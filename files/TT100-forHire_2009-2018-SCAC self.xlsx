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/>
  <mc:AlternateContent xmlns:mc="http://schemas.openxmlformats.org/markup-compatibility/2006">
    <mc:Choice Requires="x15">
      <x15ac:absPath xmlns:x15ac="http://schemas.microsoft.com/office/spreadsheetml/2010/11/ac" url="/Users/chengl/Desktop/bschool_ra/"/>
    </mc:Choice>
  </mc:AlternateContent>
  <bookViews>
    <workbookView xWindow="-2280" yWindow="-20920" windowWidth="28220" windowHeight="20640" tabRatio="819" activeTab="9"/>
  </bookViews>
  <sheets>
    <sheet name="For Hire 2008-09" sheetId="4" r:id="rId1"/>
    <sheet name="For Hire 2009-10" sheetId="3" r:id="rId2"/>
    <sheet name="For Hire 2011-12" sheetId="1" r:id="rId3"/>
    <sheet name="For Hire 2010-11" sheetId="2" r:id="rId4"/>
    <sheet name="For Hire 2012-13" sheetId="5" r:id="rId5"/>
    <sheet name="For Hire 2013-14" sheetId="6" r:id="rId6"/>
    <sheet name="For Hire 2015-16" sheetId="9" r:id="rId7"/>
    <sheet name="For Hire 2016-17" sheetId="10" r:id="rId8"/>
    <sheet name="For Hire 2017-18" sheetId="11" r:id="rId9"/>
    <sheet name="SCAC" sheetId="8" r:id="rId10"/>
    <sheet name="All Fleet" sheetId="7" r:id="rId11"/>
    <sheet name="Sheet1" sheetId="12" r:id="rId1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2" i="10"/>
  <c r="L3" i="8"/>
  <c r="C97" i="5"/>
  <c r="C96" i="6"/>
  <c r="C2" i="5"/>
  <c r="C3" i="5"/>
  <c r="C4" i="5"/>
  <c r="G4" i="5"/>
  <c r="H4" i="5"/>
  <c r="C5" i="5"/>
  <c r="G5" i="5"/>
  <c r="C6" i="5"/>
  <c r="C7" i="5"/>
  <c r="G7" i="5"/>
  <c r="C8" i="5"/>
  <c r="G8" i="5"/>
  <c r="C9" i="5"/>
  <c r="G9" i="5"/>
  <c r="C10" i="5"/>
  <c r="G10" i="5"/>
  <c r="C11" i="5"/>
  <c r="C12" i="5"/>
  <c r="C13" i="5"/>
  <c r="C14" i="5"/>
  <c r="C15" i="5"/>
  <c r="G15" i="5"/>
  <c r="C16" i="5"/>
  <c r="G16" i="5"/>
  <c r="C17" i="5"/>
  <c r="C18" i="5"/>
  <c r="G18" i="5"/>
  <c r="C19" i="5"/>
  <c r="G19" i="5"/>
  <c r="C20" i="5"/>
  <c r="C21" i="5"/>
  <c r="G21" i="5"/>
  <c r="C22" i="5"/>
  <c r="G22" i="5"/>
  <c r="C23" i="5"/>
  <c r="G23" i="5"/>
  <c r="C24" i="5"/>
  <c r="G24" i="5"/>
  <c r="C25" i="5"/>
  <c r="G25" i="5"/>
  <c r="C26" i="5"/>
  <c r="C27" i="5"/>
  <c r="G27" i="5"/>
  <c r="C28" i="5"/>
  <c r="G28" i="5"/>
  <c r="C29" i="5"/>
  <c r="G29" i="5"/>
  <c r="C30" i="5"/>
  <c r="C31" i="5"/>
  <c r="C32" i="5"/>
  <c r="G32" i="5"/>
  <c r="C33" i="5"/>
  <c r="C34" i="5"/>
  <c r="C35" i="5"/>
  <c r="G35" i="5"/>
  <c r="C36" i="5"/>
  <c r="G36" i="5"/>
  <c r="H36" i="5"/>
  <c r="C37" i="5"/>
  <c r="G37" i="5"/>
  <c r="C38" i="5"/>
  <c r="C39" i="5"/>
  <c r="C40" i="5"/>
  <c r="G40" i="5"/>
  <c r="C41" i="5"/>
  <c r="G41" i="5"/>
  <c r="C42" i="5"/>
  <c r="G42" i="5"/>
  <c r="C43" i="5"/>
  <c r="C44" i="5"/>
  <c r="G44" i="5"/>
  <c r="C45" i="5"/>
  <c r="G45" i="5"/>
  <c r="C46" i="5"/>
  <c r="G46" i="5"/>
  <c r="C47" i="5"/>
  <c r="G47" i="5"/>
  <c r="C48" i="5"/>
  <c r="G48" i="5"/>
  <c r="C49" i="5"/>
  <c r="C50" i="5"/>
  <c r="C51" i="5"/>
  <c r="G51" i="5"/>
  <c r="C52" i="5"/>
  <c r="G52" i="5"/>
  <c r="C53" i="5"/>
  <c r="G53" i="5"/>
  <c r="H53" i="5"/>
  <c r="C54" i="5"/>
  <c r="G54" i="5"/>
  <c r="C55" i="5"/>
  <c r="G55" i="5"/>
  <c r="C56" i="5"/>
  <c r="G56" i="5"/>
  <c r="C57" i="5"/>
  <c r="C58" i="5"/>
  <c r="G58" i="5"/>
  <c r="C59" i="5"/>
  <c r="G59" i="5"/>
  <c r="G60" i="5"/>
  <c r="C61" i="5"/>
  <c r="G61" i="5"/>
  <c r="H61" i="5"/>
  <c r="C62" i="5"/>
  <c r="C63" i="5"/>
  <c r="G63" i="5"/>
  <c r="C64" i="5"/>
  <c r="G64" i="5"/>
  <c r="C66" i="5"/>
  <c r="C67" i="5"/>
  <c r="G67" i="5"/>
  <c r="C68" i="5"/>
  <c r="G68" i="5"/>
  <c r="C69" i="5"/>
  <c r="C70" i="5"/>
  <c r="G70" i="5"/>
  <c r="C71" i="5"/>
  <c r="C72" i="5"/>
  <c r="G72" i="5"/>
  <c r="C73" i="5"/>
  <c r="G73" i="5"/>
  <c r="C74" i="5"/>
  <c r="G74" i="5"/>
  <c r="C75" i="5"/>
  <c r="G75" i="5"/>
  <c r="C76" i="5"/>
  <c r="C77" i="5"/>
  <c r="G77" i="5"/>
  <c r="C78" i="5"/>
  <c r="G78" i="5"/>
  <c r="C79" i="5"/>
  <c r="G79" i="5"/>
  <c r="C80" i="5"/>
  <c r="C81" i="5"/>
  <c r="G81" i="5"/>
  <c r="C82" i="5"/>
  <c r="C83" i="5"/>
  <c r="G83" i="5"/>
  <c r="C84" i="5"/>
  <c r="C85" i="5"/>
  <c r="G85" i="5"/>
  <c r="C86" i="5"/>
  <c r="G86" i="5"/>
  <c r="C87" i="5"/>
  <c r="G87" i="5"/>
  <c r="G88" i="5"/>
  <c r="C89" i="5"/>
  <c r="G89" i="5"/>
  <c r="C90" i="5"/>
  <c r="G90" i="5"/>
  <c r="G91" i="5"/>
  <c r="C92" i="5"/>
  <c r="G93" i="5"/>
  <c r="G94" i="5"/>
  <c r="C95" i="5"/>
  <c r="G95" i="5"/>
  <c r="C96" i="5"/>
  <c r="G97" i="5"/>
  <c r="C98" i="5"/>
  <c r="G98" i="5"/>
  <c r="G100" i="5"/>
  <c r="G101" i="5"/>
  <c r="C98" i="6"/>
  <c r="C101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94" i="6"/>
  <c r="C95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3" i="6"/>
  <c r="C4" i="6"/>
  <c r="C5" i="6"/>
  <c r="C6" i="6"/>
  <c r="C7" i="6"/>
  <c r="C8" i="6"/>
  <c r="C9" i="6"/>
  <c r="C10" i="6"/>
  <c r="C11" i="6"/>
  <c r="C12" i="6"/>
  <c r="C13" i="6"/>
  <c r="C14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2" i="6"/>
  <c r="G101" i="6"/>
  <c r="G100" i="6"/>
  <c r="G99" i="6"/>
  <c r="G98" i="6"/>
  <c r="G97" i="6"/>
  <c r="G96" i="6"/>
  <c r="G95" i="6"/>
  <c r="G94" i="6"/>
  <c r="G93" i="6"/>
  <c r="G92" i="6"/>
  <c r="G90" i="6"/>
  <c r="G87" i="6"/>
  <c r="G86" i="6"/>
  <c r="G85" i="6"/>
  <c r="G84" i="6"/>
  <c r="G83" i="6"/>
  <c r="G82" i="6"/>
  <c r="G81" i="6"/>
  <c r="G80" i="6"/>
  <c r="G79" i="6"/>
  <c r="G78" i="6"/>
  <c r="G77" i="6"/>
  <c r="G76" i="6"/>
  <c r="G74" i="6"/>
  <c r="G71" i="6"/>
  <c r="G70" i="6"/>
  <c r="G69" i="6"/>
  <c r="G68" i="6"/>
  <c r="G67" i="6"/>
  <c r="G66" i="6"/>
  <c r="G64" i="6"/>
  <c r="G63" i="6"/>
  <c r="G62" i="6"/>
  <c r="G60" i="6"/>
  <c r="H58" i="6"/>
  <c r="G58" i="6"/>
  <c r="G57" i="6"/>
  <c r="G56" i="6"/>
  <c r="G55" i="6"/>
  <c r="H53" i="6"/>
  <c r="G51" i="6"/>
  <c r="G50" i="6"/>
  <c r="G49" i="6"/>
  <c r="G48" i="6"/>
  <c r="G47" i="6"/>
  <c r="G46" i="6"/>
  <c r="G45" i="6"/>
  <c r="G43" i="6"/>
  <c r="G39" i="6"/>
  <c r="G38" i="6"/>
  <c r="G37" i="6"/>
  <c r="G36" i="6"/>
  <c r="H35" i="6"/>
  <c r="G35" i="6"/>
  <c r="G32" i="6"/>
  <c r="G31" i="6"/>
  <c r="G29" i="6"/>
  <c r="G28" i="6"/>
  <c r="G26" i="6"/>
  <c r="G25" i="6"/>
  <c r="G24" i="6"/>
  <c r="H23" i="6"/>
  <c r="G22" i="6"/>
  <c r="G21" i="6"/>
  <c r="G20" i="6"/>
  <c r="G19" i="6"/>
  <c r="G18" i="6"/>
  <c r="G17" i="6"/>
  <c r="G10" i="6"/>
  <c r="G9" i="6"/>
  <c r="G8" i="6"/>
  <c r="G7" i="6"/>
  <c r="G4" i="6"/>
  <c r="H55" i="4"/>
  <c r="G55" i="4"/>
  <c r="H49" i="3"/>
  <c r="G49" i="3"/>
  <c r="H4" i="1"/>
  <c r="G4" i="1"/>
  <c r="H4" i="2"/>
  <c r="G4" i="2"/>
  <c r="H4" i="3"/>
  <c r="G4" i="3"/>
</calcChain>
</file>

<file path=xl/comments1.xml><?xml version="1.0" encoding="utf-8"?>
<comments xmlns="http://schemas.openxmlformats.org/spreadsheetml/2006/main">
  <authors>
    <author>Kefeng Xu</author>
  </authors>
  <commentList>
    <comment ref="H14" authorId="0">
      <text>
        <r>
          <rPr>
            <b/>
            <sz val="9"/>
            <color indexed="81"/>
            <rFont val="Tahoma"/>
            <family val="2"/>
          </rPr>
          <t xml:space="preserve">8,519 owner-operator tractors
and straight trucks.
All allocated to Tractors, because of no trucks on 2011.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464 company-owned tractors and straight trucks. 
Split ratioa between tractors and trucks according to 2012 data:
#tractors:
=464*1027/(1027 + 177)
#trucks
=464*177/(1027 + 177)</t>
        </r>
      </text>
    </comment>
    <comment ref="H69" authorId="0">
      <text>
        <r>
          <rPr>
            <sz val="9"/>
            <color indexed="81"/>
            <rFont val="Tahoma"/>
            <family val="2"/>
          </rPr>
          <t xml:space="preserve">1,078 owner-operator tractors
and straight trucks.
Split evenly between them.
</t>
        </r>
      </text>
    </comment>
  </commentList>
</comments>
</file>

<file path=xl/comments2.xml><?xml version="1.0" encoding="utf-8"?>
<comments xmlns="http://schemas.openxmlformats.org/spreadsheetml/2006/main">
  <authors>
    <author>Kefeng Xu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 xml:space="preserve">Kefeng Xu:
Split the total 99800 according to 2010 ratio of </t>
        </r>
        <r>
          <rPr>
            <sz val="9"/>
            <color indexed="81"/>
            <rFont val="Tahoma"/>
            <family val="2"/>
          </rPr>
          <t>12268 vs. 66425.
E.g. Tractor% is
12268/(12268+66425)=15.59%.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456 company-owned tractors and straight trucks. 
Split ratioa between tractors and trucks according to 2012 data:
#tractors:
=456*1027/(1027 + 177)
#trucks
=456*177/(1027 + 177)</t>
        </r>
      </text>
    </comment>
  </commentList>
</comments>
</file>

<file path=xl/comments3.xml><?xml version="1.0" encoding="utf-8"?>
<comments xmlns="http://schemas.openxmlformats.org/spreadsheetml/2006/main">
  <authors>
    <author>Kefeng Xu</author>
    <author>kx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 xml:space="preserve">Kefeng Xu:
Split the total 102851 according to 2010 ratio of 12268 vs. 66425.
E.g. Tractor% is
12268/(12268+66425)=15.59%.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4" authorId="1">
      <text>
        <r>
          <rPr>
            <b/>
            <sz val="9"/>
            <color indexed="81"/>
            <rFont val="Tahoma"/>
            <family val="2"/>
          </rPr>
          <t>kx: "250 containers and chassis"</t>
        </r>
        <r>
          <rPr>
            <sz val="9"/>
            <color indexed="81"/>
            <rFont val="Tahoma"/>
            <family val="2"/>
          </rPr>
          <t xml:space="preserve">
to split 250 equally between Container and Chassis, given no other info available
</t>
        </r>
      </text>
    </comment>
    <comment ref="I89" authorId="0">
      <text>
        <r>
          <rPr>
            <b/>
            <sz val="9"/>
            <color indexed="81"/>
            <rFont val="Tahoma"/>
            <family val="2"/>
          </rPr>
          <t>1,230 company-owned tractors and trailers. 
Split evenly between tractors and trailers.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Kefeng Xu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Kefeng Xu:</t>
        </r>
        <r>
          <rPr>
            <sz val="9"/>
            <color indexed="81"/>
            <rFont val="Tahoma"/>
            <family val="2"/>
          </rPr>
          <t xml:space="preserve">
Split the total 101121 according to 2010 ratio of 12268 vs. 66425.
E.g. Tractor% is
12268/(12268+66425)=15.59%.
</t>
        </r>
      </text>
    </comment>
    <comment ref="I57" authorId="0">
      <text>
        <r>
          <rPr>
            <b/>
            <sz val="9"/>
            <color indexed="81"/>
            <rFont val="Tahoma"/>
            <family val="2"/>
          </rPr>
          <t>2,073 owner-operator tractors and trailers.
Split evenly between tractors and trailers.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2" authorId="0">
      <text>
        <r>
          <rPr>
            <b/>
            <sz val="9"/>
            <color indexed="81"/>
            <rFont val="Tahoma"/>
            <family val="2"/>
          </rPr>
          <t>1,073 company-owned tractors
and trailers.
Split evenly between tractors and trailers.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<sst xmlns="http://schemas.openxmlformats.org/spreadsheetml/2006/main" count="54931" uniqueCount="9564">
  <si>
    <t>Rank</t>
  </si>
  <si>
    <t>Company</t>
  </si>
  <si>
    <t>Revenue</t>
  </si>
  <si>
    <t>Tractors</t>
  </si>
  <si>
    <t>Truck &amp;Van</t>
  </si>
  <si>
    <t>Trailers</t>
  </si>
  <si>
    <t>Net income</t>
  </si>
  <si>
    <t>Employee</t>
  </si>
  <si>
    <t>UPS Inc</t>
  </si>
  <si>
    <t>FedEx Corp</t>
  </si>
  <si>
    <t>Con-way Inc</t>
  </si>
  <si>
    <t>J.B. Hunt Transport Services</t>
  </si>
  <si>
    <t>YRC Worldwide</t>
  </si>
  <si>
    <t>thousand</t>
  </si>
  <si>
    <t>aircraft</t>
  </si>
  <si>
    <t>container</t>
  </si>
  <si>
    <t>chassis</t>
  </si>
  <si>
    <t>Schneider National Inc</t>
  </si>
  <si>
    <t>Swift Transportation</t>
  </si>
  <si>
    <t>TransForce Inc.</t>
  </si>
  <si>
    <t>Landstar System</t>
  </si>
  <si>
    <t>Ryder Supply Chain Solutions</t>
  </si>
  <si>
    <t>Old Dominion Freight Line</t>
  </si>
  <si>
    <t>Arkansas Best Corp.</t>
  </si>
  <si>
    <t>Werner Enterprises</t>
  </si>
  <si>
    <t>Sirva Inc.</t>
  </si>
  <si>
    <t>Estes Express Lines</t>
  </si>
  <si>
    <t>U.S. Xpress Enterprises</t>
  </si>
  <si>
    <t>Purolator Inc.</t>
  </si>
  <si>
    <t>UniGroup Inc.</t>
  </si>
  <si>
    <t>C.R. England Inc.</t>
  </si>
  <si>
    <t>CRST International</t>
  </si>
  <si>
    <t>Prime Inc.</t>
  </si>
  <si>
    <t>Saia Inc.</t>
  </si>
  <si>
    <t>Kenan Advantage Group</t>
  </si>
  <si>
    <t>Roadrunner Transportation Systems</t>
  </si>
  <si>
    <t>NFI Industries</t>
  </si>
  <si>
    <t>Universal Truckload Services Inc</t>
  </si>
  <si>
    <t>Southeastern Freight Lines</t>
  </si>
  <si>
    <t>Crete Carrier Corp</t>
  </si>
  <si>
    <t>Averitt Express</t>
  </si>
  <si>
    <t>Penske Logistics</t>
  </si>
  <si>
    <t>Knight Transportation</t>
  </si>
  <si>
    <t>Anderson Trucking Service</t>
  </si>
  <si>
    <t>Cardinal Logistics Management Corp.</t>
  </si>
  <si>
    <t>Quality Distribution Inc</t>
  </si>
  <si>
    <t>Atlas World Group</t>
  </si>
  <si>
    <t>Ruan Transportation Management Systems</t>
  </si>
  <si>
    <r>
      <t>Day &amp; Ross Transportation</t>
    </r>
    <r>
      <rPr>
        <b/>
        <sz val="6"/>
        <color rgb="FF231F20"/>
        <rFont val="Arial"/>
        <family val="2"/>
      </rPr>
      <t xml:space="preserve">1 </t>
    </r>
    <r>
      <rPr>
        <sz val="10"/>
        <color rgb="FF231F20"/>
        <rFont val="Arial"/>
        <family val="2"/>
      </rPr>
      <t>Group</t>
    </r>
  </si>
  <si>
    <t xml:space="preserve"> Lynden Inc.</t>
  </si>
  <si>
    <t xml:space="preserve">Trimac Group </t>
  </si>
  <si>
    <t>Vitran Corp</t>
  </si>
  <si>
    <t>Covenant  Transportation</t>
  </si>
  <si>
    <t>Marten Transport</t>
  </si>
  <si>
    <t>Stevens Transport</t>
  </si>
  <si>
    <r>
      <t>Celadon Group</t>
    </r>
    <r>
      <rPr>
        <b/>
        <sz val="6"/>
        <color rgb="FF231F20"/>
        <rFont val="Arial"/>
        <family val="2"/>
      </rPr>
      <t>1</t>
    </r>
  </si>
  <si>
    <t>Forward Air Corp.</t>
  </si>
  <si>
    <t>AAA Cooper Transportation</t>
  </si>
  <si>
    <t>Heartland Express</t>
  </si>
  <si>
    <t>Canada catage system</t>
  </si>
  <si>
    <t>Mullen Group</t>
  </si>
  <si>
    <t>TransX Group</t>
  </si>
  <si>
    <t>Contrans Group</t>
  </si>
  <si>
    <t>USA Truck</t>
  </si>
  <si>
    <t>Jack Cooper Transport Co.</t>
  </si>
  <si>
    <t>Mercer Transportation</t>
  </si>
  <si>
    <t>Dart Transit Co.</t>
  </si>
  <si>
    <t>Central Refrigerated Service</t>
  </si>
  <si>
    <t>Shevell Group</t>
  </si>
  <si>
    <t>Greatwide Logistics Services</t>
  </si>
  <si>
    <t>Western Express</t>
  </si>
  <si>
    <t>The Suddath Cos</t>
  </si>
  <si>
    <t>Gordon Trucking Inc</t>
  </si>
  <si>
    <t>Groupe Robert</t>
  </si>
  <si>
    <t>Bison Transport</t>
  </si>
  <si>
    <t>Pitt Ohio</t>
  </si>
  <si>
    <t>P.A.M. Transportation services</t>
  </si>
  <si>
    <t>Frozen Food Express industries</t>
  </si>
  <si>
    <t>Mesilla Valley Transportation</t>
  </si>
  <si>
    <t>Roehl Transport</t>
  </si>
  <si>
    <t>Comtrak Logistics</t>
  </si>
  <si>
    <t>Comcar Industries</t>
  </si>
  <si>
    <t>Acme Truck Line Inc.</t>
  </si>
  <si>
    <t>Transport America</t>
  </si>
  <si>
    <t>Dayton Freight Lines</t>
  </si>
  <si>
    <t>KLLM Transport Services</t>
  </si>
  <si>
    <t>Graebel Cos.</t>
  </si>
  <si>
    <r>
      <t>Challenger Group</t>
    </r>
    <r>
      <rPr>
        <b/>
        <sz val="6"/>
        <color rgb="FF231F20"/>
        <rFont val="Arial"/>
        <family val="2"/>
      </rPr>
      <t>1</t>
    </r>
  </si>
  <si>
    <t>Interstate Distributor Co</t>
  </si>
  <si>
    <t>United Road Services</t>
  </si>
  <si>
    <t>TransAm Trucking</t>
  </si>
  <si>
    <t>Cowan Systems</t>
  </si>
  <si>
    <t>California Cartage Co.</t>
  </si>
  <si>
    <t>Epes Carriers</t>
  </si>
  <si>
    <t>OnTrac Inc.</t>
  </si>
  <si>
    <t>Maverick USA</t>
  </si>
  <si>
    <t>A. Duie Pyle Cos.</t>
  </si>
  <si>
    <t>Cassens Transport</t>
  </si>
  <si>
    <t>Evans Network of Cos</t>
  </si>
  <si>
    <t>Bennett International Group</t>
  </si>
  <si>
    <t>John Christner Trucking LLC</t>
  </si>
  <si>
    <t>#  +</t>
  </si>
  <si>
    <t>the item and the the one before it combine equals to #</t>
  </si>
  <si>
    <t>Fastfrate Holdings</t>
  </si>
  <si>
    <t>Koch Companies</t>
  </si>
  <si>
    <t xml:space="preserve">Towne Air Freight </t>
  </si>
  <si>
    <t>Wheaton Van Lines</t>
  </si>
  <si>
    <t>The Waggoners Trucking</t>
  </si>
  <si>
    <t>A&amp;R Logistics</t>
  </si>
  <si>
    <t>Superior Bulk Logistics</t>
  </si>
  <si>
    <t>Groendyke Transport Inc.</t>
  </si>
  <si>
    <t>Paschall Truck Lines</t>
  </si>
  <si>
    <t>Brown Integrated Logistics</t>
  </si>
  <si>
    <t>Boyd Bros. Transportation</t>
  </si>
  <si>
    <t xml:space="preserve">Landstar System </t>
  </si>
  <si>
    <t>Crete Carrier Corp.</t>
  </si>
  <si>
    <t xml:space="preserve">Lynden Inc. </t>
  </si>
  <si>
    <t>Roadrunner   Transportation Systems</t>
  </si>
  <si>
    <t>Vitran Corp.</t>
  </si>
  <si>
    <r>
      <t>Day &amp; Ross Transportation Group</t>
    </r>
    <r>
      <rPr>
        <b/>
        <sz val="6"/>
        <color rgb="FF231F20"/>
        <rFont val="Arial"/>
        <family val="2"/>
      </rPr>
      <t>1</t>
    </r>
  </si>
  <si>
    <t>Universal Truckload  Services Inc</t>
  </si>
  <si>
    <t>Covenant Transportation Group</t>
  </si>
  <si>
    <t>Trimac Group</t>
  </si>
  <si>
    <t>Canada Cartage System</t>
  </si>
  <si>
    <t>Forward Air Corp</t>
  </si>
  <si>
    <t>AAA  Cooper Transportation</t>
  </si>
  <si>
    <t>United Vision Logistics</t>
  </si>
  <si>
    <t>Dart Transit Co</t>
  </si>
  <si>
    <t>Jack Cooper Transport Co</t>
  </si>
  <si>
    <t>Frozen Food Express Industries</t>
  </si>
  <si>
    <t>Bison Transport Inc</t>
  </si>
  <si>
    <t>Interstate Distributor Co.</t>
  </si>
  <si>
    <t>P.A.M. Transportation Services</t>
  </si>
  <si>
    <t>Allied Systems Holdings</t>
  </si>
  <si>
    <t>Challenger Group</t>
  </si>
  <si>
    <t>Acme Truck Line Inc</t>
  </si>
  <si>
    <t>Graebel Cos</t>
  </si>
  <si>
    <t>184 owner-operator tractor</t>
  </si>
  <si>
    <t>Evans Network of Cos.</t>
  </si>
  <si>
    <t>Towne Air Freight</t>
  </si>
  <si>
    <t>Calyx Transportation Group</t>
  </si>
  <si>
    <t>Groendyke Transport Inc</t>
  </si>
  <si>
    <t>U.S. 1 Industries</t>
  </si>
  <si>
    <t>Transport Investments Inc.</t>
  </si>
  <si>
    <t>Central Freight Lines</t>
  </si>
  <si>
    <t>Super Service Holdings</t>
  </si>
  <si>
    <t>Con-way Inc.</t>
  </si>
  <si>
    <t>TransForce Inc</t>
  </si>
  <si>
    <t>Lynden Inc.</t>
  </si>
  <si>
    <t>Quality Distribution Inc.</t>
  </si>
  <si>
    <t>Covenant  Transportation group</t>
  </si>
  <si>
    <t>Day &amp; Ross Transportation group</t>
  </si>
  <si>
    <t>Roadrunner Transportation systems</t>
  </si>
  <si>
    <t>Universal Truckload Services</t>
  </si>
  <si>
    <r>
      <t>Celadon Group</t>
    </r>
    <r>
      <rPr>
        <b/>
        <sz val="6"/>
        <color rgb="FF272526"/>
        <rFont val="Arial"/>
        <family val="2"/>
      </rPr>
      <t>2</t>
    </r>
  </si>
  <si>
    <r>
      <t>Mullen Group</t>
    </r>
    <r>
      <rPr>
        <b/>
        <sz val="6"/>
        <color rgb="FF272526"/>
        <rFont val="Arial"/>
        <family val="2"/>
      </rPr>
      <t>1</t>
    </r>
  </si>
  <si>
    <t xml:space="preserve">Contrans Group </t>
  </si>
  <si>
    <r>
      <t>Challenger Group</t>
    </r>
    <r>
      <rPr>
        <b/>
        <sz val="6"/>
        <color rgb="FF272526"/>
        <rFont val="Arial"/>
        <family val="2"/>
      </rPr>
      <t>1</t>
    </r>
  </si>
  <si>
    <t>RoadLink</t>
  </si>
  <si>
    <t>Bison Transport Inc.</t>
  </si>
  <si>
    <t>The Suddath Cos.</t>
  </si>
  <si>
    <t>Cardinal Logistics management</t>
  </si>
  <si>
    <t>Specialized Transportation Inc.</t>
  </si>
  <si>
    <t>Navajo Express</t>
  </si>
  <si>
    <t>Acme Truck Lines</t>
  </si>
  <si>
    <t xml:space="preserve">Koch Companies </t>
  </si>
  <si>
    <t>Panther Expedited Services</t>
  </si>
  <si>
    <t>Consolidated Fastfrate Inc.</t>
  </si>
  <si>
    <t>SLH Transport</t>
  </si>
  <si>
    <t xml:space="preserve">DHL USA </t>
  </si>
  <si>
    <t xml:space="preserve">YRC Worldwide Inc. </t>
  </si>
  <si>
    <t>Ryder System</t>
  </si>
  <si>
    <t>Penske Truck Leasing Co</t>
  </si>
  <si>
    <t xml:space="preserve">Sirva Inc. </t>
  </si>
  <si>
    <t>Purolator Courier Ltd.</t>
  </si>
  <si>
    <t>Prime Inc</t>
  </si>
  <si>
    <t xml:space="preserve">CRST International </t>
  </si>
  <si>
    <t>Knight  Transportation</t>
  </si>
  <si>
    <t>Universal Truckload Services Inc.</t>
  </si>
  <si>
    <r>
      <t>Celadon Group</t>
    </r>
    <r>
      <rPr>
        <sz val="6"/>
        <color rgb="FF272526"/>
        <rFont val="Calibri"/>
        <family val="2"/>
        <scheme val="minor"/>
      </rPr>
      <t>1</t>
    </r>
  </si>
  <si>
    <t xml:space="preserve">Heartland Express </t>
  </si>
  <si>
    <r>
      <t>Mullen Group</t>
    </r>
    <r>
      <rPr>
        <b/>
        <sz val="6"/>
        <color rgb="FF272526"/>
        <rFont val="Arial"/>
        <family val="2"/>
      </rPr>
      <t xml:space="preserve"> </t>
    </r>
  </si>
  <si>
    <t>Central Refrigerated Service Inc</t>
  </si>
  <si>
    <t>Dynamex Inc</t>
  </si>
  <si>
    <t>P.A.M. Transportation Services Inc</t>
  </si>
  <si>
    <r>
      <t>Challenger Group</t>
    </r>
    <r>
      <rPr>
        <b/>
        <sz val="6"/>
        <color rgb="FF272526"/>
        <rFont val="Arial"/>
        <family val="2"/>
      </rPr>
      <t>3</t>
    </r>
  </si>
  <si>
    <t>Gordon Trucking Inc.</t>
  </si>
  <si>
    <t>3PD Inc.</t>
  </si>
  <si>
    <t xml:space="preserve">Cardinal Logistics Management </t>
  </si>
  <si>
    <t>Pitt Ohio Express</t>
  </si>
  <si>
    <t xml:space="preserve">Super Service Holdings </t>
  </si>
  <si>
    <t>Specialized Transportation Inc</t>
  </si>
  <si>
    <t>Koch Companies Inc.</t>
  </si>
  <si>
    <t>Bridge Terminal Transport Inc</t>
  </si>
  <si>
    <t>Epes Carriers Inc</t>
  </si>
  <si>
    <t>Dayton Freight Lines Inc</t>
  </si>
  <si>
    <t>Milan Express Co.</t>
  </si>
  <si>
    <t>Consolidated Fastfrate</t>
  </si>
  <si>
    <t>Velocity Express</t>
  </si>
  <si>
    <t xml:space="preserve">U.S. 1 Industries </t>
  </si>
  <si>
    <t>Groendyke Transport</t>
  </si>
  <si>
    <t>Arpin Group</t>
  </si>
  <si>
    <t>SCAC_Self</t>
  </si>
  <si>
    <t>UPSF</t>
  </si>
  <si>
    <t>FDTB</t>
  </si>
  <si>
    <t>DMAL</t>
  </si>
  <si>
    <t>RDWY</t>
  </si>
  <si>
    <t xml:space="preserve">Ryder </t>
  </si>
  <si>
    <t>CNWY</t>
  </si>
  <si>
    <t>PSKL</t>
  </si>
  <si>
    <t>QPMT</t>
  </si>
  <si>
    <t>SCNN</t>
  </si>
  <si>
    <t>SWFT</t>
  </si>
  <si>
    <t>LRGR</t>
  </si>
  <si>
    <t>Sirva</t>
  </si>
  <si>
    <t>WENP</t>
  </si>
  <si>
    <t>TransForce</t>
  </si>
  <si>
    <t>not found</t>
  </si>
  <si>
    <t>AERM</t>
  </si>
  <si>
    <t>Arkansas</t>
  </si>
  <si>
    <t>USXI</t>
  </si>
  <si>
    <t>EXLA</t>
  </si>
  <si>
    <t>Purolator</t>
  </si>
  <si>
    <t>ODFL</t>
  </si>
  <si>
    <t>ATGL</t>
  </si>
  <si>
    <t>ENGI</t>
  </si>
  <si>
    <t>CRCR</t>
  </si>
  <si>
    <t>SAIA</t>
  </si>
  <si>
    <t>PDSI</t>
  </si>
  <si>
    <t>NFAQ</t>
  </si>
  <si>
    <t>AVRT</t>
  </si>
  <si>
    <t>ALQK</t>
  </si>
  <si>
    <t>SEFL</t>
  </si>
  <si>
    <t>RLCF</t>
  </si>
  <si>
    <t>LTIA</t>
  </si>
  <si>
    <t>CRFR</t>
  </si>
  <si>
    <t>AVTK</t>
  </si>
  <si>
    <t xml:space="preserve">Knight  </t>
  </si>
  <si>
    <t>VITR</t>
  </si>
  <si>
    <t>QTKI</t>
  </si>
  <si>
    <t>CVTH</t>
  </si>
  <si>
    <t>ANNN</t>
  </si>
  <si>
    <t>MTEN</t>
  </si>
  <si>
    <t>UTVE</t>
  </si>
  <si>
    <t>TSUH</t>
  </si>
  <si>
    <t>CDNK</t>
  </si>
  <si>
    <t>STVV</t>
  </si>
  <si>
    <t>IPNS</t>
  </si>
  <si>
    <t>ADTS</t>
  </si>
  <si>
    <t>NDIJ</t>
  </si>
  <si>
    <t>MGAS</t>
  </si>
  <si>
    <t>DKXP</t>
  </si>
  <si>
    <t>WESD</t>
  </si>
  <si>
    <t>Shevell</t>
  </si>
  <si>
    <t>AACT</t>
  </si>
  <si>
    <t>FAFN</t>
  </si>
  <si>
    <t xml:space="preserve">Comcar </t>
  </si>
  <si>
    <t>USAT</t>
  </si>
  <si>
    <t>RDLK</t>
  </si>
  <si>
    <t>FRZF</t>
  </si>
  <si>
    <t>CACG</t>
  </si>
  <si>
    <t>BCFG</t>
  </si>
  <si>
    <t>MULM</t>
  </si>
  <si>
    <t>CRFS</t>
  </si>
  <si>
    <t>DYXW</t>
  </si>
  <si>
    <t>PAMT</t>
  </si>
  <si>
    <t>CGFR</t>
  </si>
  <si>
    <t>GORK</t>
  </si>
  <si>
    <t>MCET</t>
  </si>
  <si>
    <t>TPIB</t>
  </si>
  <si>
    <t>TAMI</t>
  </si>
  <si>
    <t>Graebel</t>
  </si>
  <si>
    <t>KLMI</t>
  </si>
  <si>
    <t>CHWK</t>
  </si>
  <si>
    <t>SGLN</t>
  </si>
  <si>
    <t>PITD</t>
  </si>
  <si>
    <t>SUSE</t>
  </si>
  <si>
    <t>MSLV</t>
  </si>
  <si>
    <t>SZXE</t>
  </si>
  <si>
    <t>Calyx</t>
  </si>
  <si>
    <t>ROEV</t>
  </si>
  <si>
    <t>KLOG</t>
  </si>
  <si>
    <t>BTTM</t>
  </si>
  <si>
    <t>EPES</t>
  </si>
  <si>
    <t>DAFG</t>
  </si>
  <si>
    <t>CFMH</t>
  </si>
  <si>
    <t>BGME</t>
  </si>
  <si>
    <t>PYLE</t>
  </si>
  <si>
    <t>EXTO</t>
  </si>
  <si>
    <t>Express TA</t>
  </si>
  <si>
    <t>CWAS</t>
  </si>
  <si>
    <t>URDS</t>
  </si>
  <si>
    <t>NAVE</t>
  </si>
  <si>
    <t>MAVK</t>
  </si>
  <si>
    <t>MLXP</t>
  </si>
  <si>
    <t>SUAH</t>
  </si>
  <si>
    <t>ANRI</t>
  </si>
  <si>
    <t>Consolidated</t>
  </si>
  <si>
    <t>EVTW</t>
  </si>
  <si>
    <t>VAIC</t>
  </si>
  <si>
    <t>U.S. 1</t>
  </si>
  <si>
    <t>PASC</t>
  </si>
  <si>
    <t xml:space="preserve">Groendyke </t>
  </si>
  <si>
    <t>AIGP</t>
  </si>
  <si>
    <t>COOJ</t>
  </si>
  <si>
    <t>DAYR</t>
  </si>
  <si>
    <t>BUTN</t>
  </si>
  <si>
    <t>BIOS</t>
  </si>
  <si>
    <t>CMKI</t>
  </si>
  <si>
    <t>ATEQ</t>
  </si>
  <si>
    <t>CCXP</t>
  </si>
  <si>
    <t>EMSY</t>
  </si>
  <si>
    <t>CASF</t>
  </si>
  <si>
    <t>CJHT</t>
  </si>
  <si>
    <t>TOWE</t>
  </si>
  <si>
    <t>WHTN</t>
  </si>
  <si>
    <t>WAGP</t>
  </si>
  <si>
    <t>BRWH</t>
  </si>
  <si>
    <t>Boyd Bros.</t>
  </si>
  <si>
    <t>DYNS</t>
  </si>
  <si>
    <t xml:space="preserve">Allied Systems </t>
  </si>
  <si>
    <t xml:space="preserve">Transport Investments </t>
  </si>
  <si>
    <t>SLHO</t>
  </si>
  <si>
    <t>PTWT</t>
  </si>
  <si>
    <t>subsidiaries found</t>
  </si>
  <si>
    <t>NetIncome</t>
  </si>
  <si>
    <t>NumberEmployees</t>
  </si>
  <si>
    <t>NumberTractors</t>
  </si>
  <si>
    <t>NumberTruckVans</t>
  </si>
  <si>
    <t>NumberTrailers</t>
  </si>
  <si>
    <t xml:space="preserve">	Company</t>
  </si>
  <si>
    <t>Aircraft</t>
  </si>
  <si>
    <t>Container</t>
  </si>
  <si>
    <t>Chassis</t>
  </si>
  <si>
    <t>AssetYear</t>
  </si>
  <si>
    <t>Rank 2013</t>
  </si>
  <si>
    <t>Rank 2012</t>
  </si>
  <si>
    <t>NA</t>
  </si>
  <si>
    <t>Daseke Inc.</t>
  </si>
  <si>
    <t>The Dependable Cos.</t>
  </si>
  <si>
    <t>Trans-System Inc.</t>
  </si>
  <si>
    <t>Arnold Transportation Services</t>
  </si>
  <si>
    <t>Bridge Terminal Transport</t>
  </si>
  <si>
    <t>Falcon Transport Co.</t>
  </si>
  <si>
    <t>McCoy Group</t>
  </si>
  <si>
    <t>Employees</t>
  </si>
  <si>
    <t>Trucks &amp; Vans</t>
  </si>
  <si>
    <t>Rank 2014</t>
  </si>
  <si>
    <t>XPO Logistics</t>
  </si>
  <si>
    <t>Black Horse Carriers</t>
  </si>
  <si>
    <t>Melton Truck Lines</t>
  </si>
  <si>
    <t>IMC Cos.</t>
  </si>
  <si>
    <t>Dicom Transportation Group</t>
  </si>
  <si>
    <t>Martin Transportation Systems</t>
  </si>
  <si>
    <t>Central Freight Lines Inc.</t>
  </si>
  <si>
    <t>Revenue (000)</t>
  </si>
  <si>
    <t>Net Income (000)</t>
  </si>
  <si>
    <t>N/A</t>
  </si>
  <si>
    <t>563+169</t>
  </si>
  <si>
    <t xml:space="preserve">Performance Rankings </t>
  </si>
  <si>
    <t>ALL FLEETS</t>
  </si>
  <si>
    <t xml:space="preserve">Rankings are from 1-5, 1=Best (Top 20%)   </t>
  </si>
  <si>
    <t xml:space="preserve"> </t>
  </si>
  <si>
    <t>Click down  arrows       to filter data by column categories.  Select one or more items in the dropdown checklists.</t>
  </si>
  <si>
    <t>To seach by name, SCAC or MCN, click CTRL + F to bring up the search dialogue box, then type in the 4 letter SCAC , the  8 digit MCN, or all or part of the company name.</t>
  </si>
  <si>
    <t>Note: g/tm=g/ton-mile</t>
  </si>
  <si>
    <t xml:space="preserve"> Performance Rankings and Emission Factors</t>
  </si>
  <si>
    <t>Grams per Mile</t>
  </si>
  <si>
    <t>Grams per Ton-Mile</t>
  </si>
  <si>
    <t>CompanyDivisionName</t>
  </si>
  <si>
    <t>Mode</t>
  </si>
  <si>
    <t>SubMode</t>
  </si>
  <si>
    <t>Fleet Type</t>
  </si>
  <si>
    <t>SCAC</t>
  </si>
  <si>
    <t>MCN</t>
  </si>
  <si>
    <t>g/mile CO2 Rank</t>
  </si>
  <si>
    <t xml:space="preserve">g/mile CO2 </t>
  </si>
  <si>
    <t>g/mile NOx Rank</t>
  </si>
  <si>
    <t xml:space="preserve">g/mile NOx  </t>
  </si>
  <si>
    <t>g/mile PM Rank</t>
  </si>
  <si>
    <t xml:space="preserve">g/mile PM </t>
  </si>
  <si>
    <t>g/tm CO2 Rank</t>
  </si>
  <si>
    <t>g/tm CO2</t>
  </si>
  <si>
    <t>g/tm NOx Rank</t>
  </si>
  <si>
    <t>g/tm NOx</t>
  </si>
  <si>
    <t>g/tm PM Rank</t>
  </si>
  <si>
    <t>g/tm PM</t>
  </si>
  <si>
    <t>1st Choice Logistics LLC</t>
  </si>
  <si>
    <t>Logistics</t>
  </si>
  <si>
    <t>FCOS</t>
  </si>
  <si>
    <t>MC833561</t>
  </si>
  <si>
    <t>3 Rivers Logistics, Inc</t>
  </si>
  <si>
    <t>TVQI</t>
  </si>
  <si>
    <t>MC376181</t>
  </si>
  <si>
    <t>A &amp; Z Trucking, Inc.</t>
  </si>
  <si>
    <t>AZTD</t>
  </si>
  <si>
    <t>MC510449</t>
  </si>
  <si>
    <t>A&amp;R Global Logistics</t>
  </si>
  <si>
    <t>AMLQ</t>
  </si>
  <si>
    <t>MC316077</t>
  </si>
  <si>
    <t>A.M.Transport Services, Inc.</t>
  </si>
  <si>
    <t>AMNO</t>
  </si>
  <si>
    <t>MC224875</t>
  </si>
  <si>
    <t>Ace Logistics, Inc.</t>
  </si>
  <si>
    <t>ACEI</t>
  </si>
  <si>
    <t>MC411479</t>
  </si>
  <si>
    <t>Adams Third Wave Logistics LLC: Freight Broker</t>
  </si>
  <si>
    <t>AHWE</t>
  </si>
  <si>
    <t>MC723939</t>
  </si>
  <si>
    <t>Addison Transportation</t>
  </si>
  <si>
    <t>AFDN</t>
  </si>
  <si>
    <t>MC326834</t>
  </si>
  <si>
    <t>ADM Logistics, Inc.</t>
  </si>
  <si>
    <t>ADOS</t>
  </si>
  <si>
    <t>MC274764</t>
  </si>
  <si>
    <t>Advanced Transportation Services, Inc.</t>
  </si>
  <si>
    <t>AVDR</t>
  </si>
  <si>
    <t>MC191784</t>
  </si>
  <si>
    <t>Aeronet Worldwide: supply chain solutions</t>
  </si>
  <si>
    <t>AERG,AERN</t>
  </si>
  <si>
    <t>MC0033994</t>
  </si>
  <si>
    <t>AFN, LLC</t>
  </si>
  <si>
    <t>AFNW</t>
  </si>
  <si>
    <t>MC446639</t>
  </si>
  <si>
    <t>Agmark Logistics, LLC</t>
  </si>
  <si>
    <t>AKFO</t>
  </si>
  <si>
    <t>MC684924</t>
  </si>
  <si>
    <t>Airways Freight Corp.: AFRG</t>
  </si>
  <si>
    <t>AFRG</t>
  </si>
  <si>
    <t>MC288078</t>
  </si>
  <si>
    <t>AIT Worldwide Logistics, Inc.</t>
  </si>
  <si>
    <t>AIIH</t>
  </si>
  <si>
    <t>MC209107</t>
  </si>
  <si>
    <t>Alam Group LLC: Motor Freight Logistics</t>
  </si>
  <si>
    <t>MFAV</t>
  </si>
  <si>
    <t>MC831258</t>
  </si>
  <si>
    <t>ALG Worldwide Logistics, LLC: ALG Worldwide - ALG Direct Division</t>
  </si>
  <si>
    <t>AGPN</t>
  </si>
  <si>
    <t>MC002586</t>
  </si>
  <si>
    <t>All American Logistics, LLC</t>
  </si>
  <si>
    <t>AAL</t>
  </si>
  <si>
    <t>MC591007</t>
  </si>
  <si>
    <t>Allen Lund Company, LLC</t>
  </si>
  <si>
    <t>LUAC</t>
  </si>
  <si>
    <t>MC163523</t>
  </si>
  <si>
    <t>Alliance Shippers Inc.</t>
  </si>
  <si>
    <t>ANSH</t>
  </si>
  <si>
    <t>MCN/A</t>
  </si>
  <si>
    <t>Allstates WorldCargo</t>
  </si>
  <si>
    <t>ASAQ</t>
  </si>
  <si>
    <t>Alpha Logistics Service</t>
  </si>
  <si>
    <t>ALFM</t>
  </si>
  <si>
    <t>MC593344</t>
  </si>
  <si>
    <t>AMAC Logistics, LLC</t>
  </si>
  <si>
    <t>ALOE</t>
  </si>
  <si>
    <t>MC544434</t>
  </si>
  <si>
    <t>American Domestic Cargo Services</t>
  </si>
  <si>
    <t>ADCS</t>
  </si>
  <si>
    <t>MC4326926</t>
  </si>
  <si>
    <t>American Freight Carrier Services, Inc.</t>
  </si>
  <si>
    <t>AEFC</t>
  </si>
  <si>
    <t>MC179532</t>
  </si>
  <si>
    <t>American Logistical Freight Brokers</t>
  </si>
  <si>
    <t>MC191480</t>
  </si>
  <si>
    <t>American Transport Group, LLC</t>
  </si>
  <si>
    <t>AMTG</t>
  </si>
  <si>
    <t>MC430606</t>
  </si>
  <si>
    <t>American Transportation Systems, INC: Broker</t>
  </si>
  <si>
    <t>ATYS</t>
  </si>
  <si>
    <t>Amino Transport, Inc</t>
  </si>
  <si>
    <t>ANTC</t>
  </si>
  <si>
    <t>MC351837</t>
  </si>
  <si>
    <t>AMX Logistics: Logistics Division</t>
  </si>
  <si>
    <t>AMXA</t>
  </si>
  <si>
    <t>MC196425</t>
  </si>
  <si>
    <t>APL Logistics: AUTO</t>
  </si>
  <si>
    <t>APDD</t>
  </si>
  <si>
    <t>MC141578</t>
  </si>
  <si>
    <t>APL Logistics: HTS</t>
  </si>
  <si>
    <t>APTB</t>
  </si>
  <si>
    <t>APL Logistics: ILS</t>
  </si>
  <si>
    <t>APL Logistics: IMS</t>
  </si>
  <si>
    <t>APL Logistics: MTS</t>
  </si>
  <si>
    <t>APGF</t>
  </si>
  <si>
    <t>Approved Freight Management inc.</t>
  </si>
  <si>
    <t>ACTC</t>
  </si>
  <si>
    <t>MC171-396-776</t>
  </si>
  <si>
    <t>Ardmore Power Logistics</t>
  </si>
  <si>
    <t>MC460017</t>
  </si>
  <si>
    <t>ARI Logistics, LLC</t>
  </si>
  <si>
    <t>ARQL</t>
  </si>
  <si>
    <t>MC640557</t>
  </si>
  <si>
    <t>Armada</t>
  </si>
  <si>
    <t>LEPV</t>
  </si>
  <si>
    <t>MC557414</t>
  </si>
  <si>
    <t>Armstrong Transport Group, Inc.</t>
  </si>
  <si>
    <t>ATIE</t>
  </si>
  <si>
    <t>MC555609</t>
  </si>
  <si>
    <t>ARPCO Transport Services: Logistics Brokerage</t>
  </si>
  <si>
    <t>AAEG</t>
  </si>
  <si>
    <t>MC184639</t>
  </si>
  <si>
    <t>Arpin International Group, Inc.</t>
  </si>
  <si>
    <t>MC521266</t>
  </si>
  <si>
    <t>Arrive Logistics: ARVY</t>
  </si>
  <si>
    <t>ARVY</t>
  </si>
  <si>
    <t>MC787104</t>
  </si>
  <si>
    <t>Arrow Lines Transport</t>
  </si>
  <si>
    <t>ARRL</t>
  </si>
  <si>
    <t>MC234789</t>
  </si>
  <si>
    <t>ArrowStream, Inc</t>
  </si>
  <si>
    <t>AWAD</t>
  </si>
  <si>
    <t>Arven Services LLC: Logistics Division</t>
  </si>
  <si>
    <t>AEKA</t>
  </si>
  <si>
    <t>MC741149</t>
  </si>
  <si>
    <t>Aspen Transportation LLC</t>
  </si>
  <si>
    <t>ASPR</t>
  </si>
  <si>
    <t>MC439678</t>
  </si>
  <si>
    <t>Aspirations Inc</t>
  </si>
  <si>
    <t>APIR</t>
  </si>
  <si>
    <t>Asset Based Intermodal</t>
  </si>
  <si>
    <t>ASBI</t>
  </si>
  <si>
    <t>MC341318</t>
  </si>
  <si>
    <t>Associated Freight Brokers, Inc.</t>
  </si>
  <si>
    <t>AFBS</t>
  </si>
  <si>
    <t>MC214286</t>
  </si>
  <si>
    <t>Associated Global Systems, Inc.</t>
  </si>
  <si>
    <t>ASAF,ASGY</t>
  </si>
  <si>
    <t>MC151219</t>
  </si>
  <si>
    <t>Atech Logistics, Inc.</t>
  </si>
  <si>
    <t>APKI</t>
  </si>
  <si>
    <t>MC437810</t>
  </si>
  <si>
    <t>Atlantic Logistics, Inc.</t>
  </si>
  <si>
    <t>AQGC</t>
  </si>
  <si>
    <t>MC397574</t>
  </si>
  <si>
    <t>Atlantic-Pacific Express, Inc.</t>
  </si>
  <si>
    <t>APEN</t>
  </si>
  <si>
    <t>MC873473</t>
  </si>
  <si>
    <t>Atomic Transport, LLC</t>
  </si>
  <si>
    <t>ATYL</t>
  </si>
  <si>
    <t>MC657583</t>
  </si>
  <si>
    <t>Audit Logistics LLC</t>
  </si>
  <si>
    <t>MC433634</t>
  </si>
  <si>
    <t>AV Logistics, LLC</t>
  </si>
  <si>
    <t>AVOG</t>
  </si>
  <si>
    <t>MC414502</t>
  </si>
  <si>
    <t>Avery Trucking Co Inc</t>
  </si>
  <si>
    <t>AVYT</t>
  </si>
  <si>
    <t>MC241978</t>
  </si>
  <si>
    <t>Axiom Logistics, LLC</t>
  </si>
  <si>
    <t>AXMC</t>
  </si>
  <si>
    <t>MC809593</t>
  </si>
  <si>
    <t>Axle Logistics, LLC</t>
  </si>
  <si>
    <t>AXLL</t>
  </si>
  <si>
    <t>MC765587</t>
  </si>
  <si>
    <t>B&amp;H Freight, Inc</t>
  </si>
  <si>
    <t>BHFR</t>
  </si>
  <si>
    <t>MC423650</t>
  </si>
  <si>
    <t>B.E.S.T. Inc. dba Go Best Logistics</t>
  </si>
  <si>
    <t>GBLW</t>
  </si>
  <si>
    <t>Backhaul Direct, LLC</t>
  </si>
  <si>
    <t>BHDR,BHDS</t>
  </si>
  <si>
    <t>MC500860</t>
  </si>
  <si>
    <t>Badger Refrigerated Express, Inc.</t>
  </si>
  <si>
    <t>BXGI</t>
  </si>
  <si>
    <t>MC294455</t>
  </si>
  <si>
    <t>Barefoot Express Inc</t>
  </si>
  <si>
    <t>BFXP</t>
  </si>
  <si>
    <t>MC259950</t>
  </si>
  <si>
    <t>Barton Logistics LLC</t>
  </si>
  <si>
    <t>BNBH</t>
  </si>
  <si>
    <t>MC326257</t>
  </si>
  <si>
    <t>Bay Logistics Services, LLC</t>
  </si>
  <si>
    <t>BYLV</t>
  </si>
  <si>
    <t>MC708380</t>
  </si>
  <si>
    <t>Bear Transportation Services, LP</t>
  </si>
  <si>
    <t>BTAG</t>
  </si>
  <si>
    <t>MC162467</t>
  </si>
  <si>
    <t>Becker Logistics Inc</t>
  </si>
  <si>
    <t>BKLI</t>
  </si>
  <si>
    <t>MC322914</t>
  </si>
  <si>
    <t>Bedrock Freight Brokerage, LLC</t>
  </si>
  <si>
    <t>BRFK</t>
  </si>
  <si>
    <t>MC461122</t>
  </si>
  <si>
    <t>Beltmann Integrated Logistics: BMGI</t>
  </si>
  <si>
    <t>BMGI</t>
  </si>
  <si>
    <t>Bennett International Logistics: BIL</t>
  </si>
  <si>
    <t>BNSS</t>
  </si>
  <si>
    <t>MC385004</t>
  </si>
  <si>
    <t>Best Logistics, Inc: BLOD</t>
  </si>
  <si>
    <t>BLOD</t>
  </si>
  <si>
    <t>MC213204</t>
  </si>
  <si>
    <t>Best Shipping Ever, Inc.: BSE Logistics</t>
  </si>
  <si>
    <t>BSEW</t>
  </si>
  <si>
    <t>MC403421</t>
  </si>
  <si>
    <t>Bett-A-Way Traffic Systems, Inc.</t>
  </si>
  <si>
    <t>BAWB</t>
  </si>
  <si>
    <t>MC479291</t>
  </si>
  <si>
    <t>Bexar Tranportation LLC</t>
  </si>
  <si>
    <t>BEXG</t>
  </si>
  <si>
    <t>MC631150</t>
  </si>
  <si>
    <t>Big Dog Logistics LLP: Logistics Business Unit</t>
  </si>
  <si>
    <t>BDLO</t>
  </si>
  <si>
    <t>MC415847</t>
  </si>
  <si>
    <t>Blackjack Express, Inc.</t>
  </si>
  <si>
    <t>BEXA</t>
  </si>
  <si>
    <t>MC324040</t>
  </si>
  <si>
    <t>Blakeman Transportation Inc: Freight Broker</t>
  </si>
  <si>
    <t>BKMP</t>
  </si>
  <si>
    <t>MC214825</t>
  </si>
  <si>
    <t>Blue Chip Logistics Inc.: Blue Chip Logistics Inc.</t>
  </si>
  <si>
    <t>BCLG</t>
  </si>
  <si>
    <t>Blue Line Logistics, Inc.</t>
  </si>
  <si>
    <t>BLNJ</t>
  </si>
  <si>
    <t>MC563549</t>
  </si>
  <si>
    <t>Blue Ribbon Transport, Inc.</t>
  </si>
  <si>
    <t>BRBT</t>
  </si>
  <si>
    <t>MC222986</t>
  </si>
  <si>
    <t>BM2 Freight Services, Inc.: BM2 Main</t>
  </si>
  <si>
    <t>BFSJ</t>
  </si>
  <si>
    <t>MC633641</t>
  </si>
  <si>
    <t>BNSF Logistics,LLC</t>
  </si>
  <si>
    <t>BNLS,BNLF,BNLR,BNLG,BNFV,BNLH</t>
  </si>
  <si>
    <t>MC439484</t>
  </si>
  <si>
    <t>Bolding's Enterprises LLC</t>
  </si>
  <si>
    <t>BELO</t>
  </si>
  <si>
    <t>MC789186</t>
  </si>
  <si>
    <t>Bolt Logistics</t>
  </si>
  <si>
    <t>BOLT</t>
  </si>
  <si>
    <t>MC437783</t>
  </si>
  <si>
    <t>Border Group Logistics, Inc</t>
  </si>
  <si>
    <t>BPBS</t>
  </si>
  <si>
    <t>MC534986</t>
  </si>
  <si>
    <t>Bounce Logistics, Inc.</t>
  </si>
  <si>
    <t>BLJH</t>
  </si>
  <si>
    <t>MC633062</t>
  </si>
  <si>
    <t>Bramel Trucking: Refrigerated</t>
  </si>
  <si>
    <t>BMER</t>
  </si>
  <si>
    <t>MC249877</t>
  </si>
  <si>
    <t>Brenny Transportation, Inc</t>
  </si>
  <si>
    <t>BQRE</t>
  </si>
  <si>
    <t>MC688678</t>
  </si>
  <si>
    <t>Bridge Logistics inc: BRLO</t>
  </si>
  <si>
    <t>BRLO</t>
  </si>
  <si>
    <t>MC468166</t>
  </si>
  <si>
    <t>Bridger Transportation LLC</t>
  </si>
  <si>
    <t>BTLB</t>
  </si>
  <si>
    <t>MC598967</t>
  </si>
  <si>
    <t>Britus Transportation Services, Inc.: BTVI</t>
  </si>
  <si>
    <t>BTVI</t>
  </si>
  <si>
    <t>MC482875</t>
  </si>
  <si>
    <t>BT Spencer Transport, LLC</t>
  </si>
  <si>
    <t>SPBL</t>
  </si>
  <si>
    <t>MC886453</t>
  </si>
  <si>
    <t>BTX Global Logistics</t>
  </si>
  <si>
    <t>BTXE</t>
  </si>
  <si>
    <t>MC461607</t>
  </si>
  <si>
    <t>Business to Business Logistics, LLC</t>
  </si>
  <si>
    <t>BTBB</t>
  </si>
  <si>
    <t>MC748491</t>
  </si>
  <si>
    <t>Business Transportation Solutions, Inc.</t>
  </si>
  <si>
    <t>BTBJ</t>
  </si>
  <si>
    <t>BX Solutions</t>
  </si>
  <si>
    <t>BXSI</t>
  </si>
  <si>
    <t>C&amp;L Logistics</t>
  </si>
  <si>
    <t>CLNQ</t>
  </si>
  <si>
    <t>MC529383</t>
  </si>
  <si>
    <t>C. H. Robinson Worldwide, Inc.</t>
  </si>
  <si>
    <t>RBTW</t>
  </si>
  <si>
    <t>MC384859</t>
  </si>
  <si>
    <t>C. L. Services, Inc.</t>
  </si>
  <si>
    <t>CVQC</t>
  </si>
  <si>
    <t>MC325129</t>
  </si>
  <si>
    <t>Cagney Global Logistics, Inc.</t>
  </si>
  <si>
    <t>CGLL</t>
  </si>
  <si>
    <t>MC303409</t>
  </si>
  <si>
    <t>California Freight</t>
  </si>
  <si>
    <t>CFSA</t>
  </si>
  <si>
    <t>MC213456</t>
  </si>
  <si>
    <t>CAM Logistics LLC: Cam Logistics LLC</t>
  </si>
  <si>
    <t>CMGG</t>
  </si>
  <si>
    <t>MC507077</t>
  </si>
  <si>
    <t>Capstone Logistic Services, LLC</t>
  </si>
  <si>
    <t>CLVL</t>
  </si>
  <si>
    <t>MC449083</t>
  </si>
  <si>
    <t>Cargo Logistics Group, Inc.</t>
  </si>
  <si>
    <t>CGLG</t>
  </si>
  <si>
    <t>MC528637</t>
  </si>
  <si>
    <t>CargoBarn Inc.: MC 675107</t>
  </si>
  <si>
    <t>CGBI</t>
  </si>
  <si>
    <t>MC675107</t>
  </si>
  <si>
    <t>Carrier Services Group, LLC</t>
  </si>
  <si>
    <t>CSVP</t>
  </si>
  <si>
    <t>MC595095</t>
  </si>
  <si>
    <t>Carrier Services of Tn., Inc.</t>
  </si>
  <si>
    <t>CSVT</t>
  </si>
  <si>
    <t>MC489644</t>
  </si>
  <si>
    <t>CaseStack</t>
  </si>
  <si>
    <t>CKCO</t>
  </si>
  <si>
    <t>MC730963</t>
  </si>
  <si>
    <t>CB Transportation Inc</t>
  </si>
  <si>
    <t>CDL Logistics, LLC</t>
  </si>
  <si>
    <t>CDGY</t>
  </si>
  <si>
    <t>MC656647</t>
  </si>
  <si>
    <t>CEI Logistics</t>
  </si>
  <si>
    <t>CUEH</t>
  </si>
  <si>
    <t>MC552130</t>
  </si>
  <si>
    <t>Celtic International LLC</t>
  </si>
  <si>
    <t>CELC</t>
  </si>
  <si>
    <t>MC472285</t>
  </si>
  <si>
    <t>Central Freight Management LLC</t>
  </si>
  <si>
    <t>MC603536</t>
  </si>
  <si>
    <t>CEVA Ground US, LP</t>
  </si>
  <si>
    <t>CEVE</t>
  </si>
  <si>
    <t>MC472198</t>
  </si>
  <si>
    <t>Champagne Logistics</t>
  </si>
  <si>
    <t>VSTQ</t>
  </si>
  <si>
    <t>MC397283</t>
  </si>
  <si>
    <t>Chariot Logsitics Inc</t>
  </si>
  <si>
    <t>CHQA</t>
  </si>
  <si>
    <t>MC782830</t>
  </si>
  <si>
    <t>ChemLogix, LLC: Logistics Services</t>
  </si>
  <si>
    <t>CHXC</t>
  </si>
  <si>
    <t>MC399759</t>
  </si>
  <si>
    <t>Choptank Transport, Inc.</t>
  </si>
  <si>
    <t>CKTH</t>
  </si>
  <si>
    <t>MC383378</t>
  </si>
  <si>
    <t>CHTL Logistics LLC</t>
  </si>
  <si>
    <t>CHTL</t>
  </si>
  <si>
    <t>MC025798</t>
  </si>
  <si>
    <t>Clark Group, Inc.</t>
  </si>
  <si>
    <t>ClearPointt Logistics LLC</t>
  </si>
  <si>
    <t>PCOF</t>
  </si>
  <si>
    <t>MC450141</t>
  </si>
  <si>
    <t>Command Transportation</t>
  </si>
  <si>
    <t>CMMS</t>
  </si>
  <si>
    <t>MC329216</t>
  </si>
  <si>
    <t>Commodity Distribution, Inc.: Broker</t>
  </si>
  <si>
    <t>CDIF</t>
  </si>
  <si>
    <t>MC200662</t>
  </si>
  <si>
    <t>Complete Logistic Services</t>
  </si>
  <si>
    <t>CPGO</t>
  </si>
  <si>
    <t>MC011676</t>
  </si>
  <si>
    <t>Con-Way Multimodal : Con-Way Multimodal Freight Broker</t>
  </si>
  <si>
    <t>MC396705</t>
  </si>
  <si>
    <t>Conexus, LLC</t>
  </si>
  <si>
    <t>CXSD</t>
  </si>
  <si>
    <t>MC339544</t>
  </si>
  <si>
    <t>Connect Logistics, Inc.</t>
  </si>
  <si>
    <t>CLHY</t>
  </si>
  <si>
    <t>MC593819</t>
  </si>
  <si>
    <t>Corbett Farming Company</t>
  </si>
  <si>
    <t>CFCW,CFCK</t>
  </si>
  <si>
    <t>MC265329</t>
  </si>
  <si>
    <t>Cornerstone Logistics LP</t>
  </si>
  <si>
    <t>CLQI</t>
  </si>
  <si>
    <t>MC343709</t>
  </si>
  <si>
    <t>Cornerstone Systems, Inc.: Cornerstone Systems, Inc.</t>
  </si>
  <si>
    <t>CSNY</t>
  </si>
  <si>
    <t>MC321007</t>
  </si>
  <si>
    <t>Corporate Traffic, Inc.</t>
  </si>
  <si>
    <t>CRPE</t>
  </si>
  <si>
    <t>MC135953</t>
  </si>
  <si>
    <t>CorTrans Logistics, LLC</t>
  </si>
  <si>
    <t>CQRG,CFVR,COOG,CLQH,CTLS</t>
  </si>
  <si>
    <t>MC376477</t>
  </si>
  <si>
    <t>Covenant Transport Solutions, Inc.: CVTH</t>
  </si>
  <si>
    <t>MC345803</t>
  </si>
  <si>
    <t>Cowboy USA LLC</t>
  </si>
  <si>
    <t>CWBL</t>
  </si>
  <si>
    <t>MC512439</t>
  </si>
  <si>
    <t>Coyote Logistics, LLC</t>
  </si>
  <si>
    <t>CLLQ</t>
  </si>
  <si>
    <t>MC561135</t>
  </si>
  <si>
    <t>Crane Worldwide Logistics</t>
  </si>
  <si>
    <t>CNCQ</t>
  </si>
  <si>
    <t>MC655802</t>
  </si>
  <si>
    <t>Cross Point Expedite Logistics, LLC: South Texas Logistics Division</t>
  </si>
  <si>
    <t>CPEV</t>
  </si>
  <si>
    <t>MC887253</t>
  </si>
  <si>
    <t>Crowley Logistics: Logistics Division</t>
  </si>
  <si>
    <t>CYLI</t>
  </si>
  <si>
    <t>MC372497</t>
  </si>
  <si>
    <t>CTI Logistics, Inc</t>
  </si>
  <si>
    <t>CTIS</t>
  </si>
  <si>
    <t>MC316012</t>
  </si>
  <si>
    <t>D&amp;D Logistics, LLC</t>
  </si>
  <si>
    <t>DDLT</t>
  </si>
  <si>
    <t>MC518136</t>
  </si>
  <si>
    <t>Damco Distribution Services, Inc. DBA. Hudd Transp</t>
  </si>
  <si>
    <t>HDDR</t>
  </si>
  <si>
    <t>MC626219</t>
  </si>
  <si>
    <t>Dana Transportation Inc</t>
  </si>
  <si>
    <t>DNAR</t>
  </si>
  <si>
    <t>MC533366</t>
  </si>
  <si>
    <t>Dart Advantage Logistics: Complete</t>
  </si>
  <si>
    <t>MC301004</t>
  </si>
  <si>
    <t>Dawn Transportation, Inc</t>
  </si>
  <si>
    <t>DWNT</t>
  </si>
  <si>
    <t>MC165786</t>
  </si>
  <si>
    <t>Daylight Transport, LLC</t>
  </si>
  <si>
    <t>DYLT</t>
  </si>
  <si>
    <t>MC390739</t>
  </si>
  <si>
    <t>DB Schenker Of Canada</t>
  </si>
  <si>
    <t>XXXX</t>
  </si>
  <si>
    <t>Dedicated Logistical Serivce, Inc.: DLGI</t>
  </si>
  <si>
    <t>DLGI</t>
  </si>
  <si>
    <t>MC293646</t>
  </si>
  <si>
    <t>Deluxe Delivery Systems, Inc.: Logistics</t>
  </si>
  <si>
    <t>DDMT</t>
  </si>
  <si>
    <t>MC280808</t>
  </si>
  <si>
    <t>Dependable Transportation, Inc. : Dependable Transportation, Inc.</t>
  </si>
  <si>
    <t>DPXI</t>
  </si>
  <si>
    <t>MC694062</t>
  </si>
  <si>
    <t>Destin Logistics LLC</t>
  </si>
  <si>
    <t>DLLS</t>
  </si>
  <si>
    <t>MC792873</t>
  </si>
  <si>
    <t>DEW Distribution Services, Inc.</t>
  </si>
  <si>
    <t>DEWD</t>
  </si>
  <si>
    <t>MC196577</t>
  </si>
  <si>
    <t>DHL Global Forwarding</t>
  </si>
  <si>
    <t>MC193047</t>
  </si>
  <si>
    <t>DHL Global Mail</t>
  </si>
  <si>
    <t>DHGM</t>
  </si>
  <si>
    <t>Diel Jerue Logistics, Inc.</t>
  </si>
  <si>
    <t>DJLC</t>
  </si>
  <si>
    <t>MC632438</t>
  </si>
  <si>
    <t>Direct Connect Logistix, Inc.</t>
  </si>
  <si>
    <t>DCLK</t>
  </si>
  <si>
    <t>MC689995</t>
  </si>
  <si>
    <t>Diverse Logistics and Transportation, Inc</t>
  </si>
  <si>
    <t>DLBV</t>
  </si>
  <si>
    <t>MC626831</t>
  </si>
  <si>
    <t>Dream Catcher Logistics LLC</t>
  </si>
  <si>
    <t>DCEG</t>
  </si>
  <si>
    <t>MC704211</t>
  </si>
  <si>
    <t>DRT Transportation LLC</t>
  </si>
  <si>
    <t>DTCV,DRBV</t>
  </si>
  <si>
    <t>MC604254</t>
  </si>
  <si>
    <t>DSC Logistics</t>
  </si>
  <si>
    <t>DRSC</t>
  </si>
  <si>
    <t>MC627395</t>
  </si>
  <si>
    <t>DSG Logistics LLC</t>
  </si>
  <si>
    <t>DSGW</t>
  </si>
  <si>
    <t>MC679102</t>
  </si>
  <si>
    <t>DSX Worldwide</t>
  </si>
  <si>
    <t>MC372494</t>
  </si>
  <si>
    <t>DTI, Inc.</t>
  </si>
  <si>
    <t>DTIC</t>
  </si>
  <si>
    <t>MC243960</t>
  </si>
  <si>
    <t>Dunavant Logistics Group, LLC: DLGC</t>
  </si>
  <si>
    <t>DLGC</t>
  </si>
  <si>
    <t>MC222456</t>
  </si>
  <si>
    <t>Dynamex Operations West</t>
  </si>
  <si>
    <t>MC298399</t>
  </si>
  <si>
    <t>EA Logistics: Freight Forwarder</t>
  </si>
  <si>
    <t>ELOA</t>
  </si>
  <si>
    <t>MC308894</t>
  </si>
  <si>
    <t>Echo Global Logistics</t>
  </si>
  <si>
    <t>ECHS</t>
  </si>
  <si>
    <t>MC511639</t>
  </si>
  <si>
    <t>Edge Logistics LLC</t>
  </si>
  <si>
    <t>EDGF</t>
  </si>
  <si>
    <t>MC873427</t>
  </si>
  <si>
    <t>Elite Transit Solutions, LLC</t>
  </si>
  <si>
    <t>ETSJ</t>
  </si>
  <si>
    <t>MC808036</t>
  </si>
  <si>
    <t>ELITeXPO</t>
  </si>
  <si>
    <t>Empire Express Transport LLC</t>
  </si>
  <si>
    <t>EETN</t>
  </si>
  <si>
    <t>MC441375</t>
  </si>
  <si>
    <t>England Logistics, Inc.: 3PL: 3PL</t>
  </si>
  <si>
    <t>EQLC</t>
  </si>
  <si>
    <t>MC635748</t>
  </si>
  <si>
    <t>EPES Logistics Services, Inc.: EPSG</t>
  </si>
  <si>
    <t>EPSG</t>
  </si>
  <si>
    <t>MC211123</t>
  </si>
  <si>
    <t>Estes Forwarding Worldwide, LLC</t>
  </si>
  <si>
    <t>EFWW,EFSD,EFWE,EFTL</t>
  </si>
  <si>
    <t>MC801982</t>
  </si>
  <si>
    <t>Evans Transportation Services, Inc</t>
  </si>
  <si>
    <t>MC179512</t>
  </si>
  <si>
    <t>EveryPoint Logistics Solutions Inc.</t>
  </si>
  <si>
    <t>EVPG</t>
  </si>
  <si>
    <t>MC401415</t>
  </si>
  <si>
    <t>Exel, Inc,: Managed Transportation</t>
  </si>
  <si>
    <t>EXLF</t>
  </si>
  <si>
    <t>MC45300</t>
  </si>
  <si>
    <t>Expeditors International of Washington, Inc.</t>
  </si>
  <si>
    <t>EXDO</t>
  </si>
  <si>
    <t>MC16947</t>
  </si>
  <si>
    <t>Express Cargo Inc</t>
  </si>
  <si>
    <t>ECIC</t>
  </si>
  <si>
    <t>MC705901</t>
  </si>
  <si>
    <t>Express Logistics, LLC</t>
  </si>
  <si>
    <t>EXSL</t>
  </si>
  <si>
    <t>MC493116</t>
  </si>
  <si>
    <t>Express Transport America Logistics</t>
  </si>
  <si>
    <t>MC838690</t>
  </si>
  <si>
    <t>Extra Mile Transportation</t>
  </si>
  <si>
    <t>EMTA</t>
  </si>
  <si>
    <t>MC291000</t>
  </si>
  <si>
    <t>Exxact Express Inc.: EXXA</t>
  </si>
  <si>
    <t>EXXA</t>
  </si>
  <si>
    <t>MC200412</t>
  </si>
  <si>
    <t>F.B.T. Inc.</t>
  </si>
  <si>
    <t>FBLT</t>
  </si>
  <si>
    <t>MC214356</t>
  </si>
  <si>
    <t>FAC Logistics, Inc.</t>
  </si>
  <si>
    <t>FTAG</t>
  </si>
  <si>
    <t>MC180941</t>
  </si>
  <si>
    <t>Fairrington Transportation Corp.</t>
  </si>
  <si>
    <t>FRGN</t>
  </si>
  <si>
    <t>MC159819</t>
  </si>
  <si>
    <t>FAK 3PL: FAK 3PL</t>
  </si>
  <si>
    <t>FKDN</t>
  </si>
  <si>
    <t>MC239393</t>
  </si>
  <si>
    <t>Fastmore Logistics LLC</t>
  </si>
  <si>
    <t>FLLW</t>
  </si>
  <si>
    <t>MC544227</t>
  </si>
  <si>
    <t>FedEx Truckload Brokerage Inc.</t>
  </si>
  <si>
    <t>MC582056</t>
  </si>
  <si>
    <t>Fetch Logistics, Inc.: Flatbed</t>
  </si>
  <si>
    <t>FTHG</t>
  </si>
  <si>
    <t>MC318283</t>
  </si>
  <si>
    <t>Fetch Logistics, Inc.: Rail/Intermodal</t>
  </si>
  <si>
    <t>Fetch Logistics, Inc.: Refrigerated</t>
  </si>
  <si>
    <t>Fetch Logistics, Inc.: T/L Van</t>
  </si>
  <si>
    <t>FHI Logistics, LLC.</t>
  </si>
  <si>
    <t>FHAN</t>
  </si>
  <si>
    <t>MC361285</t>
  </si>
  <si>
    <t>Fitzmark, Inc.: 3PL</t>
  </si>
  <si>
    <t>FZMK</t>
  </si>
  <si>
    <t>MC586603</t>
  </si>
  <si>
    <t>Flat World Supply Chain LLC</t>
  </si>
  <si>
    <t>MC611294</t>
  </si>
  <si>
    <t>FLS transportation Services</t>
  </si>
  <si>
    <t>FLSJ</t>
  </si>
  <si>
    <t>MC1M30325i</t>
  </si>
  <si>
    <t>Foreway Management Services</t>
  </si>
  <si>
    <t>FWMR</t>
  </si>
  <si>
    <t>MC281504</t>
  </si>
  <si>
    <t>Fortus Group Inc.: Logistics</t>
  </si>
  <si>
    <t>FGRC</t>
  </si>
  <si>
    <t>Fortus Group Inc.: Transportation</t>
  </si>
  <si>
    <t>Fox Logistics</t>
  </si>
  <si>
    <t>FXLG</t>
  </si>
  <si>
    <t>Freeman</t>
  </si>
  <si>
    <t>FMNP</t>
  </si>
  <si>
    <t>freight agency inc</t>
  </si>
  <si>
    <t>FAIB</t>
  </si>
  <si>
    <t>MC176035</t>
  </si>
  <si>
    <t>Freight Fox Inc.</t>
  </si>
  <si>
    <t>FFXC</t>
  </si>
  <si>
    <t>Frontline Freight, Inc.</t>
  </si>
  <si>
    <t>FCSY</t>
  </si>
  <si>
    <t>MC240311</t>
  </si>
  <si>
    <t>Frost Tansportation, Inc</t>
  </si>
  <si>
    <t>FRST</t>
  </si>
  <si>
    <t>MC425641</t>
  </si>
  <si>
    <t>Fuel Transport: Logistics</t>
  </si>
  <si>
    <t>FUEQ</t>
  </si>
  <si>
    <t>MC63181226</t>
  </si>
  <si>
    <t>Fulmer Logistics Services, Inc.</t>
  </si>
  <si>
    <t>FLSI</t>
  </si>
  <si>
    <t>MC567049</t>
  </si>
  <si>
    <t>Future Logistics, Inc.</t>
  </si>
  <si>
    <t>FMFI</t>
  </si>
  <si>
    <t>MC249921</t>
  </si>
  <si>
    <t>Garner Enterprises: Logistics</t>
  </si>
  <si>
    <t>GRNQ</t>
  </si>
  <si>
    <t>Gateway Freight Systems Inc.: 273980</t>
  </si>
  <si>
    <t>MC273980</t>
  </si>
  <si>
    <t>GENCO Transportation Management, LLC.</t>
  </si>
  <si>
    <t>GNAK</t>
  </si>
  <si>
    <t>MC463112</t>
  </si>
  <si>
    <t>Gene Hyde Logistics Inc:</t>
  </si>
  <si>
    <t>HYDL</t>
  </si>
  <si>
    <t>MC458967</t>
  </si>
  <si>
    <t>Genrpo, Inc.</t>
  </si>
  <si>
    <t>GENN</t>
  </si>
  <si>
    <t>MC219754</t>
  </si>
  <si>
    <t>Geodis Global Solutions, USA Inc, Geodis Supply Ch: 30209122</t>
  </si>
  <si>
    <t>GHC Services, Inc.</t>
  </si>
  <si>
    <t>GHAT</t>
  </si>
  <si>
    <t>MC692682</t>
  </si>
  <si>
    <t>Gin's Brokerage, Inc.</t>
  </si>
  <si>
    <t>MC256496</t>
  </si>
  <si>
    <t>GIX Logistics, Inc.</t>
  </si>
  <si>
    <t>GIXP</t>
  </si>
  <si>
    <t>MC546449</t>
  </si>
  <si>
    <t>Glen Rose Transportation Management Inc.</t>
  </si>
  <si>
    <t>GRSB</t>
  </si>
  <si>
    <t>MC216873</t>
  </si>
  <si>
    <t>Global Transport Logistics, Inc</t>
  </si>
  <si>
    <t>GLBL</t>
  </si>
  <si>
    <t>MC003178</t>
  </si>
  <si>
    <t>GLOBALTRANSSERVICE Corp.</t>
  </si>
  <si>
    <t>GTVP</t>
  </si>
  <si>
    <t>MC874366</t>
  </si>
  <si>
    <t>GlobalTranz Enterprises, Inc.</t>
  </si>
  <si>
    <t>GELJ</t>
  </si>
  <si>
    <t>MC501299</t>
  </si>
  <si>
    <t>Gold Transportation Services</t>
  </si>
  <si>
    <t>MC335029</t>
  </si>
  <si>
    <t>Great Northern Trans-Port Inc.</t>
  </si>
  <si>
    <t>GNNS</t>
  </si>
  <si>
    <t>Gregory Truck Brokerage, LLC: Freight Brokerage</t>
  </si>
  <si>
    <t>GRFH</t>
  </si>
  <si>
    <t>MC403920</t>
  </si>
  <si>
    <t>Groshell Transportation Services, Inc: GROK</t>
  </si>
  <si>
    <t>GROK</t>
  </si>
  <si>
    <t>Groshell Transportation Services, Inc: GROT</t>
  </si>
  <si>
    <t>GROT</t>
  </si>
  <si>
    <t>Ground Freight Expeditors LLC.: GFE</t>
  </si>
  <si>
    <t>GFXP</t>
  </si>
  <si>
    <t>MC441410</t>
  </si>
  <si>
    <t>GSA - Freight Transportation Management</t>
  </si>
  <si>
    <t>GTD Logistics</t>
  </si>
  <si>
    <t>GTDG</t>
  </si>
  <si>
    <t>MC379298</t>
  </si>
  <si>
    <t>GTO 2000, Inc.</t>
  </si>
  <si>
    <t>GTOT</t>
  </si>
  <si>
    <t>MC223164</t>
  </si>
  <si>
    <t>Guide Global Logistics LLC: Guide Global Logistics LLC</t>
  </si>
  <si>
    <t>GGGL</t>
  </si>
  <si>
    <t>MC891286</t>
  </si>
  <si>
    <t>Guided Logistics</t>
  </si>
  <si>
    <t>GLOP</t>
  </si>
  <si>
    <t>MC741361</t>
  </si>
  <si>
    <t>H &amp; N Logistics LLC</t>
  </si>
  <si>
    <t>HICS</t>
  </si>
  <si>
    <t>MC433057</t>
  </si>
  <si>
    <t>H &amp; S Transportation, Inc.: Transportation Broker</t>
  </si>
  <si>
    <t>HSRA</t>
  </si>
  <si>
    <t>H &amp; W Transportation Logistics, LLC</t>
  </si>
  <si>
    <t>HWTT</t>
  </si>
  <si>
    <t>MC605299</t>
  </si>
  <si>
    <t>H C Schmieding Produce CO, LLC</t>
  </si>
  <si>
    <t>SHMC</t>
  </si>
  <si>
    <t>MC165901</t>
  </si>
  <si>
    <t>H&amp;M Bay, Inc.</t>
  </si>
  <si>
    <t>HMBY</t>
  </si>
  <si>
    <t>MC190769</t>
  </si>
  <si>
    <t>Hannic Inc.</t>
  </si>
  <si>
    <t>HNNC</t>
  </si>
  <si>
    <t>MC211823</t>
  </si>
  <si>
    <t>harte hanks logistics</t>
  </si>
  <si>
    <t>HHTK</t>
  </si>
  <si>
    <t>MC163536</t>
  </si>
  <si>
    <t>Hassett Express, LLC: Hassett Express, LLC</t>
  </si>
  <si>
    <t>HAXS</t>
  </si>
  <si>
    <t>MC211918</t>
  </si>
  <si>
    <t>Hawkeye Transportation Services, Inc.</t>
  </si>
  <si>
    <t>HKYE</t>
  </si>
  <si>
    <t>MC402090</t>
  </si>
  <si>
    <t>HG Logistics LLC: HG Logistics LLC</t>
  </si>
  <si>
    <t>HGLB</t>
  </si>
  <si>
    <t>MC569982</t>
  </si>
  <si>
    <t>Hickory Transportation Services</t>
  </si>
  <si>
    <t>HYXS</t>
  </si>
  <si>
    <t>MC624657</t>
  </si>
  <si>
    <t>Highland Transportation Group, LLC: Logistics</t>
  </si>
  <si>
    <t>HLDA</t>
  </si>
  <si>
    <t>MC518655</t>
  </si>
  <si>
    <t>Holland Transportation Management Services, Inc.</t>
  </si>
  <si>
    <t>HTMS</t>
  </si>
  <si>
    <t>MC512837</t>
  </si>
  <si>
    <t>Honolulu Freight Service: Guam Freight Service</t>
  </si>
  <si>
    <t>GUAA</t>
  </si>
  <si>
    <t>MC817829</t>
  </si>
  <si>
    <t>Honolulu Freight Service: Honolulu Freight Service</t>
  </si>
  <si>
    <t>HLFS</t>
  </si>
  <si>
    <t>MC817540</t>
  </si>
  <si>
    <t>Hospitality Logistics International</t>
  </si>
  <si>
    <t>HLIE</t>
  </si>
  <si>
    <t>MC873140</t>
  </si>
  <si>
    <t>Hub Group: Highway</t>
  </si>
  <si>
    <t>HUBG,HHWY</t>
  </si>
  <si>
    <t>MC507885</t>
  </si>
  <si>
    <t>Hub Group: Unyson</t>
  </si>
  <si>
    <t>UNYS</t>
  </si>
  <si>
    <t>MC179407</t>
  </si>
  <si>
    <t>Hybrid Transit Systems, Inc: 534198B</t>
  </si>
  <si>
    <t>HYAT</t>
  </si>
  <si>
    <t>MC534198</t>
  </si>
  <si>
    <t>Hyperlogistics Group: Transport Network, LLC</t>
  </si>
  <si>
    <t>MC166438</t>
  </si>
  <si>
    <t>ICAT Logistics, Inc</t>
  </si>
  <si>
    <t>ICAO</t>
  </si>
  <si>
    <t>MC468137</t>
  </si>
  <si>
    <t>IDS Transportation Services, LLC</t>
  </si>
  <si>
    <t>IDSS</t>
  </si>
  <si>
    <t>MC648679</t>
  </si>
  <si>
    <t>IGH Logistics Group Inc</t>
  </si>
  <si>
    <t>ILGM</t>
  </si>
  <si>
    <t>MC728283</t>
  </si>
  <si>
    <t>IMD Transportation</t>
  </si>
  <si>
    <t>IMDT</t>
  </si>
  <si>
    <t>MC171779</t>
  </si>
  <si>
    <t>Infinity Transportation Logistics, LLC</t>
  </si>
  <si>
    <t>INYU</t>
  </si>
  <si>
    <t>MC889366</t>
  </si>
  <si>
    <t>Innovative Logistics Services Inc.</t>
  </si>
  <si>
    <t>INNL</t>
  </si>
  <si>
    <t>MC298772</t>
  </si>
  <si>
    <t>Integra Logistics Services, LLC:</t>
  </si>
  <si>
    <t>ILSV</t>
  </si>
  <si>
    <t>MC512020</t>
  </si>
  <si>
    <t>Integrated Transportation Group Inc</t>
  </si>
  <si>
    <t>ITGI</t>
  </si>
  <si>
    <t>Integrity Express Logistics, LLC: Integrity Express Logistics</t>
  </si>
  <si>
    <t>IELC</t>
  </si>
  <si>
    <t>MC596655</t>
  </si>
  <si>
    <t>Integrity Logistics Inc</t>
  </si>
  <si>
    <t>ITYL</t>
  </si>
  <si>
    <t>MC209478</t>
  </si>
  <si>
    <t>Intelligent Logistics, LLC</t>
  </si>
  <si>
    <t>IGLO</t>
  </si>
  <si>
    <t>MC520852</t>
  </si>
  <si>
    <t>Intermodal Sales Corporation</t>
  </si>
  <si>
    <t>ISCO</t>
  </si>
  <si>
    <t>MC187587</t>
  </si>
  <si>
    <t>International Delivery Solutions: Oak Creek, Wisconsin</t>
  </si>
  <si>
    <t>Interstate Transport, Inc.</t>
  </si>
  <si>
    <t>MC443741</t>
  </si>
  <si>
    <t>Interstate X</t>
  </si>
  <si>
    <t>INTK</t>
  </si>
  <si>
    <t>MC837778</t>
  </si>
  <si>
    <t>J.H. Rose Logistics LLC</t>
  </si>
  <si>
    <t>RSLS</t>
  </si>
  <si>
    <t>MC336297</t>
  </si>
  <si>
    <t>Jacobson Companies dba XPO Logistics Supply Chain: Transportation &amp; Logistics</t>
  </si>
  <si>
    <t>JAWH</t>
  </si>
  <si>
    <t>JC Transportation Lines, Inc.: Brokerage Division</t>
  </si>
  <si>
    <t>JCAS</t>
  </si>
  <si>
    <t>MC235065</t>
  </si>
  <si>
    <t>JC Transportation Lines, Inc.: Trucking Division</t>
  </si>
  <si>
    <t>JDT Transport, LLC</t>
  </si>
  <si>
    <t>JDLA</t>
  </si>
  <si>
    <t>MC287803</t>
  </si>
  <si>
    <t>Jeff Beckham: Kingsgate Transportation</t>
  </si>
  <si>
    <t>KGSA</t>
  </si>
  <si>
    <t>MC197973</t>
  </si>
  <si>
    <t>Jerich USA, Inc.: JRCH</t>
  </si>
  <si>
    <t>JRCH</t>
  </si>
  <si>
    <t>MC429661</t>
  </si>
  <si>
    <t>Johanson Transportation Service: JTS</t>
  </si>
  <si>
    <t>JOHO</t>
  </si>
  <si>
    <t>MC159429</t>
  </si>
  <si>
    <t>John Brumback Trucking, Inc: Logistics</t>
  </si>
  <si>
    <t>BRJH</t>
  </si>
  <si>
    <t>MC153865</t>
  </si>
  <si>
    <t>John Greene Logistics Company</t>
  </si>
  <si>
    <t>GJLC</t>
  </si>
  <si>
    <t>MC290591</t>
  </si>
  <si>
    <t>John J. Jerue Truck Broker, Inc.</t>
  </si>
  <si>
    <t>JJJB</t>
  </si>
  <si>
    <t>MC265774</t>
  </si>
  <si>
    <t>Jones-Staats Logistics, LLC</t>
  </si>
  <si>
    <t>JSLP</t>
  </si>
  <si>
    <t>MC692610</t>
  </si>
  <si>
    <t>JW Logistics LLC: JW Logistics LLC</t>
  </si>
  <si>
    <t>JWLO</t>
  </si>
  <si>
    <t>MC750864</t>
  </si>
  <si>
    <t>K&amp;M Trucking, Inc.</t>
  </si>
  <si>
    <t>KMTW</t>
  </si>
  <si>
    <t>MC282097</t>
  </si>
  <si>
    <t>KACE Logistics LLC</t>
  </si>
  <si>
    <t>KACL</t>
  </si>
  <si>
    <t>MC324753</t>
  </si>
  <si>
    <t>Kane Traffic Services</t>
  </si>
  <si>
    <t>KTSC</t>
  </si>
  <si>
    <t>MC180021</t>
  </si>
  <si>
    <t>KFS, Inc.</t>
  </si>
  <si>
    <t>KFSA</t>
  </si>
  <si>
    <t>MC413170</t>
  </si>
  <si>
    <t>King Solutions, Inc.</t>
  </si>
  <si>
    <t>KNCN</t>
  </si>
  <si>
    <t>King's Transport, Inc.</t>
  </si>
  <si>
    <t>KNGR</t>
  </si>
  <si>
    <t>MC689305</t>
  </si>
  <si>
    <t>Kingdom Brokerage Inc.: Truckload Services</t>
  </si>
  <si>
    <t>MC309005</t>
  </si>
  <si>
    <t>Kirsch Transportation Services, Inc.</t>
  </si>
  <si>
    <t>KIAT</t>
  </si>
  <si>
    <t>MC469735</t>
  </si>
  <si>
    <t>Knichel Logistics: Knichel Logistics</t>
  </si>
  <si>
    <t>KNCH</t>
  </si>
  <si>
    <t>MC454402</t>
  </si>
  <si>
    <t>Koch Logistics</t>
  </si>
  <si>
    <t>KPI Logistics, Inc.</t>
  </si>
  <si>
    <t>KPIL</t>
  </si>
  <si>
    <t>MC734923</t>
  </si>
  <si>
    <t>KTI Inc, The Transportation People</t>
  </si>
  <si>
    <t>KTNC</t>
  </si>
  <si>
    <t>Kuehne + Nagel Inc.: Overland</t>
  </si>
  <si>
    <t>KHNN</t>
  </si>
  <si>
    <t>MC154404</t>
  </si>
  <si>
    <t>L &amp; L Freight Services, Inc.: 788179</t>
  </si>
  <si>
    <t>MC788179</t>
  </si>
  <si>
    <t>L L Klenske Logistics Inc</t>
  </si>
  <si>
    <t>KLLL</t>
  </si>
  <si>
    <t>MC635430</t>
  </si>
  <si>
    <t>Lakeside</t>
  </si>
  <si>
    <t>LSFS</t>
  </si>
  <si>
    <t>Landstar System Inc.: Expedited</t>
  </si>
  <si>
    <t>MC206847</t>
  </si>
  <si>
    <t>Landstar System Inc.: Flatbed</t>
  </si>
  <si>
    <t>MC277729</t>
  </si>
  <si>
    <t>Landstar System Inc.: Heavy Haul</t>
  </si>
  <si>
    <t>Landstar System Inc.: Refrigerated</t>
  </si>
  <si>
    <t>Landstar System Inc.: Van</t>
  </si>
  <si>
    <t>Langham Logistics: 3rd Party Logistics Company</t>
  </si>
  <si>
    <t>LNHM</t>
  </si>
  <si>
    <t>MC281225</t>
  </si>
  <si>
    <t>Lanter Delivery Systems, Inc.</t>
  </si>
  <si>
    <t>LDVY</t>
  </si>
  <si>
    <t>MC298040</t>
  </si>
  <si>
    <t>Lee Truck Broker, Inc</t>
  </si>
  <si>
    <t>LTBN</t>
  </si>
  <si>
    <t>MC177190</t>
  </si>
  <si>
    <t>Legacy Logistics</t>
  </si>
  <si>
    <t>LYLO</t>
  </si>
  <si>
    <t>MC398931</t>
  </si>
  <si>
    <t>Legion Logistics, LLC</t>
  </si>
  <si>
    <t>LGGS</t>
  </si>
  <si>
    <t>MC694524</t>
  </si>
  <si>
    <t>Lexmar Distribution, Inc</t>
  </si>
  <si>
    <t>LXDI</t>
  </si>
  <si>
    <t>Linkex, Inc.</t>
  </si>
  <si>
    <t>LXCO</t>
  </si>
  <si>
    <t>MC442995</t>
  </si>
  <si>
    <t>LinQ Transport, Inc.</t>
  </si>
  <si>
    <t>LQAB,LQAL,LQAF</t>
  </si>
  <si>
    <t>MC538146</t>
  </si>
  <si>
    <t>Lipman Logistics</t>
  </si>
  <si>
    <t>LLSC</t>
  </si>
  <si>
    <t>MC801252</t>
  </si>
  <si>
    <t>Lipsey Logistics Worldwide LLC</t>
  </si>
  <si>
    <t>LLWL</t>
  </si>
  <si>
    <t>MC609875</t>
  </si>
  <si>
    <t>Load Delivered Logistics, LLC</t>
  </si>
  <si>
    <t>LDLC</t>
  </si>
  <si>
    <t>MC629379</t>
  </si>
  <si>
    <t>Loadsmart, Inc.: Domestic Freight Brokerage</t>
  </si>
  <si>
    <t>LOAA</t>
  </si>
  <si>
    <t>MC872918</t>
  </si>
  <si>
    <t>LogiServe Inc.</t>
  </si>
  <si>
    <t>Logisource Inc : DBA Source Transport</t>
  </si>
  <si>
    <t>SRCQ</t>
  </si>
  <si>
    <t>MC261079</t>
  </si>
  <si>
    <t>Logistic Dynamics Inc.</t>
  </si>
  <si>
    <t>LDYN</t>
  </si>
  <si>
    <t>MC471231</t>
  </si>
  <si>
    <t>Logistic Services USA LLC: Logistic Services USA LLC</t>
  </si>
  <si>
    <t>LGSH</t>
  </si>
  <si>
    <t>MC130712</t>
  </si>
  <si>
    <t>Logistics &amp; Distribution Services, Corp.</t>
  </si>
  <si>
    <t>LDPR</t>
  </si>
  <si>
    <t>MC405498</t>
  </si>
  <si>
    <t>Logistics Freight Management: Logistics Freight Management</t>
  </si>
  <si>
    <t>LFMT</t>
  </si>
  <si>
    <t>Logistics Management Solutions</t>
  </si>
  <si>
    <t>LMSL</t>
  </si>
  <si>
    <t>MC307140</t>
  </si>
  <si>
    <t>Logistics Planning Services</t>
  </si>
  <si>
    <t>LPSA</t>
  </si>
  <si>
    <t>MC0000000</t>
  </si>
  <si>
    <t>Logistics Plus</t>
  </si>
  <si>
    <t>LGPL</t>
  </si>
  <si>
    <t>MC351651</t>
  </si>
  <si>
    <t>Logistics Revolution, Inc.</t>
  </si>
  <si>
    <t>LLNK</t>
  </si>
  <si>
    <t>MC413334</t>
  </si>
  <si>
    <t>Logistics Trans West Inc.: Intermodal Rail</t>
  </si>
  <si>
    <t>TWLP</t>
  </si>
  <si>
    <t>MC19131</t>
  </si>
  <si>
    <t>LPC Logistics</t>
  </si>
  <si>
    <t>LKNW</t>
  </si>
  <si>
    <t>LTI Delivers, Inc</t>
  </si>
  <si>
    <t>LLBG</t>
  </si>
  <si>
    <t>MC457553</t>
  </si>
  <si>
    <t>LynnCo Supply Chain Solutions, Inc.</t>
  </si>
  <si>
    <t>LYSI</t>
  </si>
  <si>
    <t>MC415219</t>
  </si>
  <si>
    <t>M&amp;M Logistics Brokerage Inc.</t>
  </si>
  <si>
    <t>MMLW</t>
  </si>
  <si>
    <t>MC703978</t>
  </si>
  <si>
    <t>M2 Logistics Inc.</t>
  </si>
  <si>
    <t>MTUS</t>
  </si>
  <si>
    <t>MC405692</t>
  </si>
  <si>
    <t>M33 Integrated</t>
  </si>
  <si>
    <t>Magellan Transport Logistics</t>
  </si>
  <si>
    <t>MGXB</t>
  </si>
  <si>
    <t>MC293730</t>
  </si>
  <si>
    <t>Majestic Transport Inc</t>
  </si>
  <si>
    <t>MJSF</t>
  </si>
  <si>
    <t>MC337611</t>
  </si>
  <si>
    <t>Malark Logistics</t>
  </si>
  <si>
    <t>MC283481</t>
  </si>
  <si>
    <t>Mallory Alexander International Logistics</t>
  </si>
  <si>
    <t>MLYS,MALY</t>
  </si>
  <si>
    <t>MC245281</t>
  </si>
  <si>
    <t>Manna Freight Systems, Inc.</t>
  </si>
  <si>
    <t>MFSY</t>
  </si>
  <si>
    <t>Manufacturer's Transportation, Inc.</t>
  </si>
  <si>
    <t>MC172702</t>
  </si>
  <si>
    <t>Mark Westby &amp; Associates, Inc</t>
  </si>
  <si>
    <t>WMAI</t>
  </si>
  <si>
    <t>MC455768</t>
  </si>
  <si>
    <t>Matson Logistics: MIOS</t>
  </si>
  <si>
    <t>MIOS</t>
  </si>
  <si>
    <t>MC219328</t>
  </si>
  <si>
    <t>Mayflower Transit</t>
  </si>
  <si>
    <t>MC004358</t>
  </si>
  <si>
    <t>McLeod Logistics, LLC: Transportation Brokerage</t>
  </si>
  <si>
    <t>MLOD</t>
  </si>
  <si>
    <t>MC406255</t>
  </si>
  <si>
    <t>MD Logistics Services a Divivsion of FTI Transport</t>
  </si>
  <si>
    <t>FTIT</t>
  </si>
  <si>
    <t>MC448268</t>
  </si>
  <si>
    <t>Meadow Lark Agency, Inc</t>
  </si>
  <si>
    <t>MWLK</t>
  </si>
  <si>
    <t>MC175597</t>
  </si>
  <si>
    <t>MegaCorp Logistics, LLC.</t>
  </si>
  <si>
    <t>MGPG</t>
  </si>
  <si>
    <t>Menlo Logistics</t>
  </si>
  <si>
    <t>MLOG</t>
  </si>
  <si>
    <t>MC167938</t>
  </si>
  <si>
    <t>Midwestern Transit Service Inc</t>
  </si>
  <si>
    <t>MDWN</t>
  </si>
  <si>
    <t>MC186420</t>
  </si>
  <si>
    <t>Millennium Logistics Management, LLC</t>
  </si>
  <si>
    <t>MNLG</t>
  </si>
  <si>
    <t>MC797576</t>
  </si>
  <si>
    <t>MIQ Logistics, LLC</t>
  </si>
  <si>
    <t>MEIQ</t>
  </si>
  <si>
    <t>MC432187</t>
  </si>
  <si>
    <t>Mode Transportation LLC: Logistics Provider</t>
  </si>
  <si>
    <t>MTLE</t>
  </si>
  <si>
    <t>MC223021</t>
  </si>
  <si>
    <t>Morgan Systems, Inc.</t>
  </si>
  <si>
    <t>MSFY</t>
  </si>
  <si>
    <t>MC536938</t>
  </si>
  <si>
    <t>MountainMovers Transportation &amp; Logistics</t>
  </si>
  <si>
    <t>MMCV</t>
  </si>
  <si>
    <t>MS Brokerage LLC</t>
  </si>
  <si>
    <t>MBKB</t>
  </si>
  <si>
    <t>MC618039</t>
  </si>
  <si>
    <t>MSB Logistics, Inc.</t>
  </si>
  <si>
    <t>MSBS</t>
  </si>
  <si>
    <t>MC885008</t>
  </si>
  <si>
    <t>Multi-National Logistics Inc.</t>
  </si>
  <si>
    <t>MNLM</t>
  </si>
  <si>
    <t>MW Logistics, LLC: 3PL OTR Dry Reefer</t>
  </si>
  <si>
    <t>MWLT</t>
  </si>
  <si>
    <t>MC392137</t>
  </si>
  <si>
    <t>MW Logistics, LLC: MW Bulk, LLC</t>
  </si>
  <si>
    <t>MWBL</t>
  </si>
  <si>
    <t>MW Logistics, LLC: MW Intermodal, LLC - Multi-modal</t>
  </si>
  <si>
    <t>MWIR</t>
  </si>
  <si>
    <t>National Fast Freight</t>
  </si>
  <si>
    <t>NFFI</t>
  </si>
  <si>
    <t>National Freight Operations: Logistics Provider</t>
  </si>
  <si>
    <t>NFOC</t>
  </si>
  <si>
    <t>MC837534</t>
  </si>
  <si>
    <t>National Parcel Logistics, Inc.: Truckload Services</t>
  </si>
  <si>
    <t>NPLQ</t>
  </si>
  <si>
    <t>Nationwide Transportation, Inc.</t>
  </si>
  <si>
    <t>NWDN</t>
  </si>
  <si>
    <t>MC235079</t>
  </si>
  <si>
    <t>Neagle Freight Systems, Inc.</t>
  </si>
  <si>
    <t>NGFS</t>
  </si>
  <si>
    <t>MC297598</t>
  </si>
  <si>
    <t>Next Exit Logistics LLC</t>
  </si>
  <si>
    <t>NXLL</t>
  </si>
  <si>
    <t>MC431144</t>
  </si>
  <si>
    <t>Nightline Express Inc</t>
  </si>
  <si>
    <t>NEXH</t>
  </si>
  <si>
    <t>MC336392</t>
  </si>
  <si>
    <t>Nippon Express USA, Inc.</t>
  </si>
  <si>
    <t>NIPP</t>
  </si>
  <si>
    <t>MC161869</t>
  </si>
  <si>
    <t>Nolan Transportation Group, Inc. (NTG): NTGO</t>
  </si>
  <si>
    <t>NTGO</t>
  </si>
  <si>
    <t>MC567093</t>
  </si>
  <si>
    <t>NonstopDelivery, Inc.</t>
  </si>
  <si>
    <t>NDLV</t>
  </si>
  <si>
    <t>MC533902</t>
  </si>
  <si>
    <t>North American Logistics Group LLC</t>
  </si>
  <si>
    <t>NALP</t>
  </si>
  <si>
    <t>MC903126</t>
  </si>
  <si>
    <t>Nova Container Freight Station</t>
  </si>
  <si>
    <t>NVCF</t>
  </si>
  <si>
    <t>Nu-Era Logistics Inc.</t>
  </si>
  <si>
    <t>NUEA</t>
  </si>
  <si>
    <t>MC640025</t>
  </si>
  <si>
    <t>ODW LTS, LLC.</t>
  </si>
  <si>
    <t>ODWL</t>
  </si>
  <si>
    <t>MC679673</t>
  </si>
  <si>
    <t>Odyssey Logistics &amp; Technology</t>
  </si>
  <si>
    <t>OHL: Logistics</t>
  </si>
  <si>
    <t>OHSQ</t>
  </si>
  <si>
    <t>MC151786</t>
  </si>
  <si>
    <t>Old Frontier Family, Inc.</t>
  </si>
  <si>
    <t>OFFY</t>
  </si>
  <si>
    <t>MC236611</t>
  </si>
  <si>
    <t>Olympic Logistics Services Inc</t>
  </si>
  <si>
    <t>OLS</t>
  </si>
  <si>
    <t>MC313558</t>
  </si>
  <si>
    <t>Omni Logistics Inc: OMNG</t>
  </si>
  <si>
    <t>OMNG</t>
  </si>
  <si>
    <t>On A Roll Trucking, Inc</t>
  </si>
  <si>
    <t>ONRL</t>
  </si>
  <si>
    <t>MC297666</t>
  </si>
  <si>
    <t>One Source Freight</t>
  </si>
  <si>
    <t>OSFJ</t>
  </si>
  <si>
    <t>MC772775</t>
  </si>
  <si>
    <t>OPTECH Enterpise Solutions (OES): Logistics Division</t>
  </si>
  <si>
    <t>OESC</t>
  </si>
  <si>
    <t>MC832936</t>
  </si>
  <si>
    <t>Options Transportation Inc</t>
  </si>
  <si>
    <t>Organic Logistics</t>
  </si>
  <si>
    <t>ORGO</t>
  </si>
  <si>
    <t>MC0004751</t>
  </si>
  <si>
    <t>Our Specialty Transportation Services LLC: Broker</t>
  </si>
  <si>
    <t>OURS</t>
  </si>
  <si>
    <t>MC642821</t>
  </si>
  <si>
    <t>Palmer Logistics Services</t>
  </si>
  <si>
    <t>PLSS</t>
  </si>
  <si>
    <t>MC658659</t>
  </si>
  <si>
    <t>Panalpina, Inc.</t>
  </si>
  <si>
    <t>PALA</t>
  </si>
  <si>
    <t>MC0005309</t>
  </si>
  <si>
    <t>Pathfinder Logistics</t>
  </si>
  <si>
    <t>PFKB</t>
  </si>
  <si>
    <t>MC314639</t>
  </si>
  <si>
    <t>Patterson Companies, Inc.</t>
  </si>
  <si>
    <t>PFGA</t>
  </si>
  <si>
    <t>MC277941</t>
  </si>
  <si>
    <t>Pax Logistics LLC</t>
  </si>
  <si>
    <t>PXLT</t>
  </si>
  <si>
    <t>MC765312</t>
  </si>
  <si>
    <t>Paystar Logistics, Inc.</t>
  </si>
  <si>
    <t>PAYL</t>
  </si>
  <si>
    <t>MC419322</t>
  </si>
  <si>
    <t>Peak Logistics LLC</t>
  </si>
  <si>
    <t>PKLW</t>
  </si>
  <si>
    <t>MC608469</t>
  </si>
  <si>
    <t>Pearce Worldwide Logistics Inc</t>
  </si>
  <si>
    <t>PARW</t>
  </si>
  <si>
    <t>MC308990</t>
  </si>
  <si>
    <t>Pegasus Logistics Group</t>
  </si>
  <si>
    <t>PGAA</t>
  </si>
  <si>
    <t>MC910929</t>
  </si>
  <si>
    <t>Penske Logistics LLC</t>
  </si>
  <si>
    <t>MC143308</t>
  </si>
  <si>
    <t>Pepsi Logistics Company, Inc.: PLCI</t>
  </si>
  <si>
    <t>PLCY</t>
  </si>
  <si>
    <t>MC595216</t>
  </si>
  <si>
    <t>Performance Team</t>
  </si>
  <si>
    <t>PFYM</t>
  </si>
  <si>
    <t>MC243142</t>
  </si>
  <si>
    <t>Perimeter Global Logistics</t>
  </si>
  <si>
    <t>PMNI</t>
  </si>
  <si>
    <t>MC711216</t>
  </si>
  <si>
    <t>Perimeter Logistics LLC</t>
  </si>
  <si>
    <t>PLQL</t>
  </si>
  <si>
    <t>MC504850</t>
  </si>
  <si>
    <t>PFL Logistics, LLC: PFL</t>
  </si>
  <si>
    <t>PFLY</t>
  </si>
  <si>
    <t>MC914174</t>
  </si>
  <si>
    <t>Piggyback Consolidators Inc.</t>
  </si>
  <si>
    <t>PGBC</t>
  </si>
  <si>
    <t>MC225120</t>
  </si>
  <si>
    <t>Pilot Freight Services: Freight Forwarder</t>
  </si>
  <si>
    <t>PAGD</t>
  </si>
  <si>
    <t>MC389460</t>
  </si>
  <si>
    <t>Pin-Point Logistics: Pin-Point Logistics</t>
  </si>
  <si>
    <t>PPLW</t>
  </si>
  <si>
    <t>MC730668</t>
  </si>
  <si>
    <t>Plains Dedicated LLC</t>
  </si>
  <si>
    <t>PDLD</t>
  </si>
  <si>
    <t>MC513147</t>
  </si>
  <si>
    <t>Planet Freight, Inc.</t>
  </si>
  <si>
    <t>PVLG</t>
  </si>
  <si>
    <t>MC329146</t>
  </si>
  <si>
    <t>Platinum Cargo Logistics</t>
  </si>
  <si>
    <t>PLCG</t>
  </si>
  <si>
    <t>MC797211</t>
  </si>
  <si>
    <t>PLS Logistics Services</t>
  </si>
  <si>
    <t>PTLC</t>
  </si>
  <si>
    <t>MC247621</t>
  </si>
  <si>
    <t>PNG Logistics Co. LLC</t>
  </si>
  <si>
    <t>PNGL</t>
  </si>
  <si>
    <t>MC403106</t>
  </si>
  <si>
    <t>PowerOne Logistics LLC: PowerOne Logistics LLC</t>
  </si>
  <si>
    <t>PWOG</t>
  </si>
  <si>
    <t>MC613069</t>
  </si>
  <si>
    <t>PR Logistics Corp.</t>
  </si>
  <si>
    <t>Preferred Freezer Logistics</t>
  </si>
  <si>
    <t>PFBE</t>
  </si>
  <si>
    <t>MC763187</t>
  </si>
  <si>
    <t>Print Media Logistic Solutions, LLC</t>
  </si>
  <si>
    <t>RLSY</t>
  </si>
  <si>
    <t>MC513210</t>
  </si>
  <si>
    <t>Private Fleet Backhaul</t>
  </si>
  <si>
    <t>PFBH</t>
  </si>
  <si>
    <t>MC437153</t>
  </si>
  <si>
    <t>Pro Transportation Services Inc.: Brokerage</t>
  </si>
  <si>
    <t>PTPQ</t>
  </si>
  <si>
    <t>MC239010</t>
  </si>
  <si>
    <t>Productive Transportation Inc.: Logistics</t>
  </si>
  <si>
    <t>PDVC</t>
  </si>
  <si>
    <t>MC682564</t>
  </si>
  <si>
    <t>Protrans: 3PL Logistics</t>
  </si>
  <si>
    <t>PNII</t>
  </si>
  <si>
    <t>MC264190</t>
  </si>
  <si>
    <t>Quarterback Transportation Inc</t>
  </si>
  <si>
    <t>QRKQ</t>
  </si>
  <si>
    <t>R.R. Donnelley &amp; Sons Co.: Logistics</t>
  </si>
  <si>
    <t>DRRY</t>
  </si>
  <si>
    <t>MC180889</t>
  </si>
  <si>
    <t>R2 Logistics, Inc.</t>
  </si>
  <si>
    <t>RTCY</t>
  </si>
  <si>
    <t>MC513105</t>
  </si>
  <si>
    <t>R2 Trucking Solutions LLC</t>
  </si>
  <si>
    <t>RTKA</t>
  </si>
  <si>
    <t>MC900635</t>
  </si>
  <si>
    <t>Radiant Global Logistics, dba Adcom, Airgroup &amp;DBA</t>
  </si>
  <si>
    <t>RLGN</t>
  </si>
  <si>
    <t>Radius Rail Logistics LLC</t>
  </si>
  <si>
    <t>RRLA</t>
  </si>
  <si>
    <t>MC577361</t>
  </si>
  <si>
    <t>Railex, LLC: Railex</t>
  </si>
  <si>
    <t>RAIJ</t>
  </si>
  <si>
    <t>RBA Transportation Services, Inc.</t>
  </si>
  <si>
    <t>RBVZ</t>
  </si>
  <si>
    <t>MC211620</t>
  </si>
  <si>
    <t>Re Transportation Inc</t>
  </si>
  <si>
    <t>RETR</t>
  </si>
  <si>
    <t>MC434782</t>
  </si>
  <si>
    <t>Red Classic Transportation Services, LLC: Red Classic Transportation Services, LLC</t>
  </si>
  <si>
    <t>RCXV</t>
  </si>
  <si>
    <t>MC731754</t>
  </si>
  <si>
    <t>Redwood Multimodal</t>
  </si>
  <si>
    <t>TSGN</t>
  </si>
  <si>
    <t>MC412533</t>
  </si>
  <si>
    <t>Reed Transport Services, Inc.</t>
  </si>
  <si>
    <t>RDRV</t>
  </si>
  <si>
    <t>MC309204</t>
  </si>
  <si>
    <t>Rehmann Transportation Corp: RTC</t>
  </si>
  <si>
    <t>REHM</t>
  </si>
  <si>
    <t>MC284072</t>
  </si>
  <si>
    <t>Retail Direct Exporters of America: RDEA</t>
  </si>
  <si>
    <t>RDEA</t>
  </si>
  <si>
    <t>Reynolds Logistics, Inc.: 256913</t>
  </si>
  <si>
    <t>RYLI</t>
  </si>
  <si>
    <t>MC256913</t>
  </si>
  <si>
    <t>RFX, Inc.: 43060772</t>
  </si>
  <si>
    <t>RFXI</t>
  </si>
  <si>
    <t>MC203507</t>
  </si>
  <si>
    <t xml:space="preserve">RGL </t>
  </si>
  <si>
    <t>RSSY</t>
  </si>
  <si>
    <t>MC437079</t>
  </si>
  <si>
    <t>RJ Logistics LLC</t>
  </si>
  <si>
    <t>RASE</t>
  </si>
  <si>
    <t>MC783663</t>
  </si>
  <si>
    <t>RMX Global Logistics</t>
  </si>
  <si>
    <t>RMXR</t>
  </si>
  <si>
    <t>MC182548</t>
  </si>
  <si>
    <t>Roadrunner Transportation Services, Inc.</t>
  </si>
  <si>
    <t>RDFS</t>
  </si>
  <si>
    <t>MC170247</t>
  </si>
  <si>
    <t>Roadrunner Truckload Plus</t>
  </si>
  <si>
    <t>RRNA</t>
  </si>
  <si>
    <t>MC151258</t>
  </si>
  <si>
    <t>ROAR Logistics Inc.: Intermodal</t>
  </si>
  <si>
    <t>ROAR</t>
  </si>
  <si>
    <t>MC467560</t>
  </si>
  <si>
    <t>ROAR Logistics Inc.: Truckload</t>
  </si>
  <si>
    <t>Roll on Transportation Company: Logistics</t>
  </si>
  <si>
    <t>ROOM</t>
  </si>
  <si>
    <t>MC390381</t>
  </si>
  <si>
    <t>RPM Freight Systems</t>
  </si>
  <si>
    <t>RPMF</t>
  </si>
  <si>
    <t>MC767565</t>
  </si>
  <si>
    <t>RSVP International LLC: Logistics</t>
  </si>
  <si>
    <t>RSVP</t>
  </si>
  <si>
    <t>MC603643</t>
  </si>
  <si>
    <t>Ryan Transportation Services</t>
  </si>
  <si>
    <t>RYNK</t>
  </si>
  <si>
    <t>MC196502</t>
  </si>
  <si>
    <t>Ryder Integrated Logistics: Ryder Supply Chain Solutions</t>
  </si>
  <si>
    <t>S-2international LLC</t>
  </si>
  <si>
    <t>SIYC</t>
  </si>
  <si>
    <t>MC697147</t>
  </si>
  <si>
    <t>Saia TL Plus, LLC DBA Linkex</t>
  </si>
  <si>
    <t>SATP</t>
  </si>
  <si>
    <t>MC169807</t>
  </si>
  <si>
    <t>Satellite Logistics Group,Inc.</t>
  </si>
  <si>
    <t>SLGC</t>
  </si>
  <si>
    <t>MC214678</t>
  </si>
  <si>
    <t>Saturn Freight Systems</t>
  </si>
  <si>
    <t>SFGH</t>
  </si>
  <si>
    <t>MC498842</t>
  </si>
  <si>
    <t>Scheduled Transportation Systems Inc.</t>
  </si>
  <si>
    <t>STYI</t>
  </si>
  <si>
    <t>MC193854</t>
  </si>
  <si>
    <t>Schenker, Inc.</t>
  </si>
  <si>
    <t>Schilli Transportation Services, Inc.: STS</t>
  </si>
  <si>
    <t>SLPN</t>
  </si>
  <si>
    <t>MC174890</t>
  </si>
  <si>
    <t>Schneider: Schneider Logistics Division</t>
  </si>
  <si>
    <t>MCNA</t>
  </si>
  <si>
    <t>Scott Logistics Corp.: 30200312</t>
  </si>
  <si>
    <t>SCGP</t>
  </si>
  <si>
    <t>MC265376</t>
  </si>
  <si>
    <t>SD Transportation</t>
  </si>
  <si>
    <t>SDPR</t>
  </si>
  <si>
    <t>MC168140</t>
  </si>
  <si>
    <t>Seagate Transportation Services, Inc.: Company Trucks</t>
  </si>
  <si>
    <t>SGTB</t>
  </si>
  <si>
    <t>MC190156</t>
  </si>
  <si>
    <t>Seagate Transportation Services, Inc.: Logistics Trucks</t>
  </si>
  <si>
    <t>Seagate Transportation Services, Inc.: Owner Operator Trucks</t>
  </si>
  <si>
    <t>Seal Transportation, Inc.</t>
  </si>
  <si>
    <t>SLQS</t>
  </si>
  <si>
    <t>MC358743</t>
  </si>
  <si>
    <t>Seko Logistics</t>
  </si>
  <si>
    <t>SEKW</t>
  </si>
  <si>
    <t>MC488602</t>
  </si>
  <si>
    <t>Select Express &amp; Logistics: SXLT</t>
  </si>
  <si>
    <t>SXLT</t>
  </si>
  <si>
    <t>MC528020</t>
  </si>
  <si>
    <t>Select Logistics Network, Inc</t>
  </si>
  <si>
    <t>SLGK</t>
  </si>
  <si>
    <t>MC317421</t>
  </si>
  <si>
    <t>Sequoia Transportation Services, Inc.</t>
  </si>
  <si>
    <t>SQTR</t>
  </si>
  <si>
    <t>MC814725</t>
  </si>
  <si>
    <t>Service By Air, Inc.: SBAGlobal</t>
  </si>
  <si>
    <t>SVBA</t>
  </si>
  <si>
    <t>Service First Logistics Incorporated</t>
  </si>
  <si>
    <t>SFQP</t>
  </si>
  <si>
    <t>MC703009</t>
  </si>
  <si>
    <t>Seven Star Services, Inc.: Seven Star Services, Inc</t>
  </si>
  <si>
    <t>SVRS</t>
  </si>
  <si>
    <t>MC675368</t>
  </si>
  <si>
    <t>SheerTrans Solutions LLC</t>
  </si>
  <si>
    <t>SNSC</t>
  </si>
  <si>
    <t>MC692167</t>
  </si>
  <si>
    <t>ShipCarsNow</t>
  </si>
  <si>
    <t>INET</t>
  </si>
  <si>
    <t>MC558293</t>
  </si>
  <si>
    <t>Shipco Transport, Inc.</t>
  </si>
  <si>
    <t>SHPT</t>
  </si>
  <si>
    <t>MC746443</t>
  </si>
  <si>
    <t>Shippers Express Truck Lines, Inc.</t>
  </si>
  <si>
    <t>SXTI</t>
  </si>
  <si>
    <t>MC705883</t>
  </si>
  <si>
    <t>Siam Logistics, LLC</t>
  </si>
  <si>
    <t>SOGT</t>
  </si>
  <si>
    <t>MC689499</t>
  </si>
  <si>
    <t>SKILS Incorporated</t>
  </si>
  <si>
    <t>SKQL</t>
  </si>
  <si>
    <t>MC261719</t>
  </si>
  <si>
    <t>Snowland Freight Services Inc</t>
  </si>
  <si>
    <t>SLEH</t>
  </si>
  <si>
    <t>MC182868</t>
  </si>
  <si>
    <t>Somerset Logistics</t>
  </si>
  <si>
    <t>SMEL</t>
  </si>
  <si>
    <t>MC376967</t>
  </si>
  <si>
    <t>SOS Global Express Inc.</t>
  </si>
  <si>
    <t>SOGL</t>
  </si>
  <si>
    <t>MC563093</t>
  </si>
  <si>
    <t>Southwest Logistics, Inc.</t>
  </si>
  <si>
    <t>SWLM</t>
  </si>
  <si>
    <t>MC506543</t>
  </si>
  <si>
    <t>Spice Logistics LLC</t>
  </si>
  <si>
    <t>SIUP</t>
  </si>
  <si>
    <t>MC925942</t>
  </si>
  <si>
    <t>Spot Freight, Inc.</t>
  </si>
  <si>
    <t>SFIK</t>
  </si>
  <si>
    <t>MC665776</t>
  </si>
  <si>
    <t>Standard Transportation Services Inc.</t>
  </si>
  <si>
    <t>STHS</t>
  </si>
  <si>
    <t>MC176765</t>
  </si>
  <si>
    <t>Star Logistics, Inc.:</t>
  </si>
  <si>
    <t>SECS</t>
  </si>
  <si>
    <t>MC526234</t>
  </si>
  <si>
    <t>STC LOGISTICS</t>
  </si>
  <si>
    <t>SLPP</t>
  </si>
  <si>
    <t>MC496589</t>
  </si>
  <si>
    <t>Straitline Transportation Systems Inc.</t>
  </si>
  <si>
    <t>SLNT</t>
  </si>
  <si>
    <t>MC12345678</t>
  </si>
  <si>
    <t>Strategic Logistics Co, LLC</t>
  </si>
  <si>
    <t>SYBT</t>
  </si>
  <si>
    <t>MC586483</t>
  </si>
  <si>
    <t>Strive Logistics, LLC: STVG</t>
  </si>
  <si>
    <t>STVG</t>
  </si>
  <si>
    <t>MC284729</t>
  </si>
  <si>
    <t>Summit Expedited Logistics</t>
  </si>
  <si>
    <t>SXPL</t>
  </si>
  <si>
    <t>MC417762</t>
  </si>
  <si>
    <t>Sunset Transportation</t>
  </si>
  <si>
    <t>SSRP</t>
  </si>
  <si>
    <t>MC211084</t>
  </si>
  <si>
    <t>Sunteck Transport Co., Inc.</t>
  </si>
  <si>
    <t>SNKS</t>
  </si>
  <si>
    <t>MC329363</t>
  </si>
  <si>
    <t>Syfan Logistics, Inc.</t>
  </si>
  <si>
    <t>SYFN</t>
  </si>
  <si>
    <t>MC583906</t>
  </si>
  <si>
    <t>SYNC National Logistics: Logistics</t>
  </si>
  <si>
    <t>SNLE</t>
  </si>
  <si>
    <t>MC812559</t>
  </si>
  <si>
    <t>Synergy Worldwide, LLC</t>
  </si>
  <si>
    <t>SWFJ</t>
  </si>
  <si>
    <t>MC624025</t>
  </si>
  <si>
    <t>TA Services</t>
  </si>
  <si>
    <t>TASW</t>
  </si>
  <si>
    <t>MC183070</t>
  </si>
  <si>
    <t>Target Transportation</t>
  </si>
  <si>
    <t>TGQT</t>
  </si>
  <si>
    <t>Targeted Transport: Asset Carrier</t>
  </si>
  <si>
    <t>TGRT</t>
  </si>
  <si>
    <t>MC897660</t>
  </si>
  <si>
    <t>Taylor Logistics Inc: Taylor Logistics Inc</t>
  </si>
  <si>
    <t>TYLV</t>
  </si>
  <si>
    <t>MC448473</t>
  </si>
  <si>
    <t>TDM Transport, Inc.: TDM Transport, Inc.</t>
  </si>
  <si>
    <t>TDMM</t>
  </si>
  <si>
    <t>MC206729</t>
  </si>
  <si>
    <t>Team Worldwide</t>
  </si>
  <si>
    <t>TAIF</t>
  </si>
  <si>
    <t>MC002833</t>
  </si>
  <si>
    <t>Technical Transportation, Inc.</t>
  </si>
  <si>
    <t>TLQT</t>
  </si>
  <si>
    <t>MC03195</t>
  </si>
  <si>
    <t>Technicolor Global Logistics: 3PL</t>
  </si>
  <si>
    <t>TGLQ</t>
  </si>
  <si>
    <t>MC786074</t>
  </si>
  <si>
    <t>Terry Enterprises, Inc.</t>
  </si>
  <si>
    <t>TYCO</t>
  </si>
  <si>
    <t>MC249456</t>
  </si>
  <si>
    <t>The American Holding Group, LLC dba Ameritrans</t>
  </si>
  <si>
    <t>AXRN</t>
  </si>
  <si>
    <t>MC793145</t>
  </si>
  <si>
    <t>The Oppenheimer Group</t>
  </si>
  <si>
    <t>OPHG</t>
  </si>
  <si>
    <t>MC61587</t>
  </si>
  <si>
    <t>Thoroughbred Direct Intermodal Services Inc</t>
  </si>
  <si>
    <t>TDIS</t>
  </si>
  <si>
    <t>MC371347</t>
  </si>
  <si>
    <t>Tiger Cool Express LLC: TCE</t>
  </si>
  <si>
    <t>MC845868</t>
  </si>
  <si>
    <t>Time Logistics, Inc.: Time Logistics, Inc.</t>
  </si>
  <si>
    <t>TQGI</t>
  </si>
  <si>
    <t>MC411205</t>
  </si>
  <si>
    <t>Total Quality Logistics: Total Quality Logistics</t>
  </si>
  <si>
    <t>TQYL</t>
  </si>
  <si>
    <t>MC322572</t>
  </si>
  <si>
    <t>Total Services, Inc.</t>
  </si>
  <si>
    <t>TTSS</t>
  </si>
  <si>
    <t>MC337571</t>
  </si>
  <si>
    <t>tps logistics, inc.</t>
  </si>
  <si>
    <t>TLTC</t>
  </si>
  <si>
    <t>MC492228</t>
  </si>
  <si>
    <t>Traffic Tech Inc: 3PL, 4PL, OTR, Rail, Ocean, Air, Warehousing</t>
  </si>
  <si>
    <t>TFFC,TFCH</t>
  </si>
  <si>
    <t>Trans Global Logistics LLC</t>
  </si>
  <si>
    <t>TGQG</t>
  </si>
  <si>
    <t>Trans-Expedite</t>
  </si>
  <si>
    <t>TXAP</t>
  </si>
  <si>
    <t>Trans-Link, LLC</t>
  </si>
  <si>
    <t>TLKY</t>
  </si>
  <si>
    <t>MC379248</t>
  </si>
  <si>
    <t>TransCorr National Logistics, LLC</t>
  </si>
  <si>
    <t>TAHE</t>
  </si>
  <si>
    <t>MC508966</t>
  </si>
  <si>
    <t>TransGroup Worldwide Logistics</t>
  </si>
  <si>
    <t>TGPE</t>
  </si>
  <si>
    <t>Translogistics, Inc.</t>
  </si>
  <si>
    <t>TLOG</t>
  </si>
  <si>
    <t>MC266554</t>
  </si>
  <si>
    <t>Transplace: Brokerage - TSGT</t>
  </si>
  <si>
    <t>TSGT</t>
  </si>
  <si>
    <t>MC485199</t>
  </si>
  <si>
    <t>Transplace: Brokerage - TXCD</t>
  </si>
  <si>
    <t>TXCD</t>
  </si>
  <si>
    <t>MC384205</t>
  </si>
  <si>
    <t>Transplace: Texas LP - 3PL</t>
  </si>
  <si>
    <t>TPQL</t>
  </si>
  <si>
    <t>Transport Logistics Inc.</t>
  </si>
  <si>
    <t>TSJT</t>
  </si>
  <si>
    <t>Transportation Insight, LLC: LTL</t>
  </si>
  <si>
    <t>Transportation Insight, LLC: Small Package</t>
  </si>
  <si>
    <t>Transportation Insight, LLC: TL</t>
  </si>
  <si>
    <t>Transportation One, LLC: Freight Broker</t>
  </si>
  <si>
    <t>TXOK</t>
  </si>
  <si>
    <t>MC702342</t>
  </si>
  <si>
    <t>Transportation Services of America, Inc.</t>
  </si>
  <si>
    <t>TPSS</t>
  </si>
  <si>
    <t>MC171083</t>
  </si>
  <si>
    <t>Transtar Logistics, Inc: tstl</t>
  </si>
  <si>
    <t>TSTL</t>
  </si>
  <si>
    <t>MC444718</t>
  </si>
  <si>
    <t>TranSure Express LLC</t>
  </si>
  <si>
    <t>TELP</t>
  </si>
  <si>
    <t>MC615029</t>
  </si>
  <si>
    <t>Tri-Star Traffic &amp; Distribution Inc.</t>
  </si>
  <si>
    <t>TSTY</t>
  </si>
  <si>
    <t>Tribe Transport, Inc</t>
  </si>
  <si>
    <t>TBPI</t>
  </si>
  <si>
    <t>MC528595</t>
  </si>
  <si>
    <t>Trinity Logistics, Inc.: Trinity Logistics</t>
  </si>
  <si>
    <t>TTFD</t>
  </si>
  <si>
    <t>MC205157</t>
  </si>
  <si>
    <t>Triple T Transport, Inc.</t>
  </si>
  <si>
    <t>TPTA</t>
  </si>
  <si>
    <t>MC271691</t>
  </si>
  <si>
    <t>Troy Logistics, LLC</t>
  </si>
  <si>
    <t>TLGQ</t>
  </si>
  <si>
    <t>MC460766</t>
  </si>
  <si>
    <t>Truckers Exchange Inc.</t>
  </si>
  <si>
    <t>TKXC</t>
  </si>
  <si>
    <t>MC130793</t>
  </si>
  <si>
    <t>TSD Logistics, Inc.</t>
  </si>
  <si>
    <t>TBKD</t>
  </si>
  <si>
    <t>MC205733</t>
  </si>
  <si>
    <t>TSL Logistics, Ltd.</t>
  </si>
  <si>
    <t>TTLD</t>
  </si>
  <si>
    <t>MC162879</t>
  </si>
  <si>
    <t>TTS, LLC: TTS, LLC</t>
  </si>
  <si>
    <t>TODL</t>
  </si>
  <si>
    <t>MC526314</t>
  </si>
  <si>
    <t>Tucker Company Worldwide</t>
  </si>
  <si>
    <t>TUKC</t>
  </si>
  <si>
    <t>MC130735</t>
  </si>
  <si>
    <t>Tumalo Creek Transportation, LLC</t>
  </si>
  <si>
    <t>TMKA</t>
  </si>
  <si>
    <t>MC513622</t>
  </si>
  <si>
    <t>Twin Peaks Logistics, LLC</t>
  </si>
  <si>
    <t>TPLC</t>
  </si>
  <si>
    <t>MC451014</t>
  </si>
  <si>
    <t xml:space="preserve">U. S. Postal Service: </t>
  </si>
  <si>
    <t>U.S. Traffic:</t>
  </si>
  <si>
    <t>USTO</t>
  </si>
  <si>
    <t>MC488510</t>
  </si>
  <si>
    <t>Ultra Logistics, Inc.</t>
  </si>
  <si>
    <t>ULTL</t>
  </si>
  <si>
    <t>MC314596</t>
  </si>
  <si>
    <t>UniExpress Systems, Inc</t>
  </si>
  <si>
    <t>UYAK</t>
  </si>
  <si>
    <t>MC366366</t>
  </si>
  <si>
    <t>Union Pacific Distribution Services</t>
  </si>
  <si>
    <t>UPFS</t>
  </si>
  <si>
    <t>MC161736</t>
  </si>
  <si>
    <t>United Carriers LLC</t>
  </si>
  <si>
    <t>UCAA</t>
  </si>
  <si>
    <t>MC617990</t>
  </si>
  <si>
    <t>United Van Lines</t>
  </si>
  <si>
    <t>UVLN</t>
  </si>
  <si>
    <t>MC003655</t>
  </si>
  <si>
    <t>Universal Logistics Services, Inc: Freight Brokerage</t>
  </si>
  <si>
    <t>ULSV</t>
  </si>
  <si>
    <t>MC371555</t>
  </si>
  <si>
    <t>Universal Logistics Services, Inc: Logistics</t>
  </si>
  <si>
    <t>UPS Supply Chain Solutions: Freight Forwarding</t>
  </si>
  <si>
    <t>UPS Supply Chain Solutions: Logistics and Distribution</t>
  </si>
  <si>
    <t>US 1 Intermodal LLC:</t>
  </si>
  <si>
    <t>UOIM</t>
  </si>
  <si>
    <t>MC845457</t>
  </si>
  <si>
    <t>USA Transportation Logistics, LLC</t>
  </si>
  <si>
    <t>UTLR</t>
  </si>
  <si>
    <t>MC808788</t>
  </si>
  <si>
    <t>USCS Logistics</t>
  </si>
  <si>
    <t>ULLV</t>
  </si>
  <si>
    <t>MC671252</t>
  </si>
  <si>
    <t>UTi Distribution, Inc.</t>
  </si>
  <si>
    <t>UTi Transport Solutions</t>
  </si>
  <si>
    <t>UTSA</t>
  </si>
  <si>
    <t>UTXL, Inc.</t>
  </si>
  <si>
    <t>UNFF</t>
  </si>
  <si>
    <t>MC319177</t>
  </si>
  <si>
    <t>ValDivia Enterprises, Inc.</t>
  </si>
  <si>
    <t>VDEI</t>
  </si>
  <si>
    <t>MC551445</t>
  </si>
  <si>
    <t>Vantix Logistics LTD</t>
  </si>
  <si>
    <t>VTXL</t>
  </si>
  <si>
    <t>MC358339</t>
  </si>
  <si>
    <t>Vector Transportation, Inc.</t>
  </si>
  <si>
    <t>VECR</t>
  </si>
  <si>
    <t>MC244328</t>
  </si>
  <si>
    <t>Verde Logistics, LLC.</t>
  </si>
  <si>
    <t>VLLQ</t>
  </si>
  <si>
    <t>MC697035</t>
  </si>
  <si>
    <t>Veritiv Logistics Solutions: VRTV</t>
  </si>
  <si>
    <t>USWB</t>
  </si>
  <si>
    <t>MC384595</t>
  </si>
  <si>
    <t>Versant Supply Chain Inc.: Versant Supply Chain Broker Forwarder</t>
  </si>
  <si>
    <t>VSCC</t>
  </si>
  <si>
    <t>MC369285</t>
  </si>
  <si>
    <t>Vertex Transport, LLC</t>
  </si>
  <si>
    <t>VTLR</t>
  </si>
  <si>
    <t>MC788821</t>
  </si>
  <si>
    <t>Vestra Logistics LLC</t>
  </si>
  <si>
    <t>VLLO</t>
  </si>
  <si>
    <t>MC324252</t>
  </si>
  <si>
    <t>VETRANS LLC: 30879732</t>
  </si>
  <si>
    <t>VETQ</t>
  </si>
  <si>
    <t>MC566935</t>
  </si>
  <si>
    <t>VHI Transport: Brokerage</t>
  </si>
  <si>
    <t>VAHI</t>
  </si>
  <si>
    <t>MC172093</t>
  </si>
  <si>
    <t>Visual Pak Logistics LLC</t>
  </si>
  <si>
    <t>VPLN</t>
  </si>
  <si>
    <t>MC684404</t>
  </si>
  <si>
    <t>VSF Transportation Inc.</t>
  </si>
  <si>
    <t>VSFT</t>
  </si>
  <si>
    <t>MC219463</t>
  </si>
  <si>
    <t>Warehouse Specialists, Inc.</t>
  </si>
  <si>
    <t>WSIC</t>
  </si>
  <si>
    <t>MC545332</t>
  </si>
  <si>
    <t>Watco Supply Chain Services, LLC</t>
  </si>
  <si>
    <t>WSYH</t>
  </si>
  <si>
    <t>MC430294</t>
  </si>
  <si>
    <t>West Coast Trucking Corp.</t>
  </si>
  <si>
    <t>WCKP</t>
  </si>
  <si>
    <t>MC536471</t>
  </si>
  <si>
    <t>West Industries Inc.</t>
  </si>
  <si>
    <t>WIDI</t>
  </si>
  <si>
    <t>MC541769</t>
  </si>
  <si>
    <t>Wheels Clipper Group: Wheels Clipper Group</t>
  </si>
  <si>
    <t>WIFS</t>
  </si>
  <si>
    <t>MC523393</t>
  </si>
  <si>
    <t>Whitfield Foods, Inc.</t>
  </si>
  <si>
    <t>WIFI</t>
  </si>
  <si>
    <t>MC144165</t>
  </si>
  <si>
    <t>WILK, Inc</t>
  </si>
  <si>
    <t>WKIF</t>
  </si>
  <si>
    <t>MC1812710</t>
  </si>
  <si>
    <t>Wilson Transportation, Inc.</t>
  </si>
  <si>
    <t>WLPR</t>
  </si>
  <si>
    <t>MC269203</t>
  </si>
  <si>
    <t>Wisconsin Paper Group, Inc.: WPG Shippers Association</t>
  </si>
  <si>
    <t>WIPG</t>
  </si>
  <si>
    <t>World Class Logistics Management</t>
  </si>
  <si>
    <t>WCLG</t>
  </si>
  <si>
    <t>World Wide Logistics Inc.</t>
  </si>
  <si>
    <t>WWLQ</t>
  </si>
  <si>
    <t>MC165571911</t>
  </si>
  <si>
    <t>WorldWide Logistics</t>
  </si>
  <si>
    <t>WISW</t>
  </si>
  <si>
    <t>MC392808</t>
  </si>
  <si>
    <t>WPS Team Logistics, Inc.</t>
  </si>
  <si>
    <t>WPST</t>
  </si>
  <si>
    <t>MC374263</t>
  </si>
  <si>
    <t>XPO - Supply Chain</t>
  </si>
  <si>
    <t>NBLI</t>
  </si>
  <si>
    <t>MC440378</t>
  </si>
  <si>
    <t>XPO Global Forwarding, Inc.</t>
  </si>
  <si>
    <t>CGLP,CGPI</t>
  </si>
  <si>
    <t>MC510967</t>
  </si>
  <si>
    <t>XPO Intermodal Solutions, Inc</t>
  </si>
  <si>
    <t>PGLH,PGLI,PGPR,PGXT</t>
  </si>
  <si>
    <t>MC421224</t>
  </si>
  <si>
    <t>XPO Logistics Canada Inc.</t>
  </si>
  <si>
    <t>XPOC</t>
  </si>
  <si>
    <t>MC269140</t>
  </si>
  <si>
    <t>XPO Logistics LLC</t>
  </si>
  <si>
    <t>XPOL</t>
  </si>
  <si>
    <t>MC175953</t>
  </si>
  <si>
    <t>XPOLastMile: XPOLastMile</t>
  </si>
  <si>
    <t>THPW</t>
  </si>
  <si>
    <t>Yusen Logistics Americas, Inc (Transportation Divi: Transportation Division</t>
  </si>
  <si>
    <t>YLAT,YLAR</t>
  </si>
  <si>
    <t>MC164520</t>
  </si>
  <si>
    <t>Z Transport &amp; Logistics LLC</t>
  </si>
  <si>
    <t>ZTLL</t>
  </si>
  <si>
    <t>MC489608</t>
  </si>
  <si>
    <t>Zip Xpress Inc</t>
  </si>
  <si>
    <t>ZPXS</t>
  </si>
  <si>
    <t>MC411894</t>
  </si>
  <si>
    <t>Zipline Logistics, LLC</t>
  </si>
  <si>
    <t>MC600879</t>
  </si>
  <si>
    <t>C.R. England: Intermodal</t>
  </si>
  <si>
    <t>Multi-modal</t>
  </si>
  <si>
    <t>MC124679</t>
  </si>
  <si>
    <t>Hub Group: Intermodal</t>
  </si>
  <si>
    <t>HUBG</t>
  </si>
  <si>
    <t>Independent Dispatch, Inc.: Intermodal</t>
  </si>
  <si>
    <t>INDD</t>
  </si>
  <si>
    <t>MC156480</t>
  </si>
  <si>
    <t>Independent Dispatch, Inc.: Regional Trucking</t>
  </si>
  <si>
    <t>J.B. Hunt Transport, Inc.: Intermodal Division</t>
  </si>
  <si>
    <t>MC135797</t>
  </si>
  <si>
    <t>Kleysen Group LP: Intermodal Division</t>
  </si>
  <si>
    <t>KLET</t>
  </si>
  <si>
    <t>MCMB 0693372</t>
  </si>
  <si>
    <t>Kleysen Group LP: Truckload Division</t>
  </si>
  <si>
    <t>Market Transport, Ltd.: Logistics</t>
  </si>
  <si>
    <t>MTLZ</t>
  </si>
  <si>
    <t>MC140827</t>
  </si>
  <si>
    <t>Marten Transport LTD</t>
  </si>
  <si>
    <t>MC103798</t>
  </si>
  <si>
    <t>Schneider: Schneider Intermodal Division</t>
  </si>
  <si>
    <t>MC264184</t>
  </si>
  <si>
    <t>Triple Crown Services Company: rail operations</t>
  </si>
  <si>
    <t>TCSR</t>
  </si>
  <si>
    <t>MC263591</t>
  </si>
  <si>
    <t>UPS Small Package</t>
  </si>
  <si>
    <t>UPSN,UPSS</t>
  </si>
  <si>
    <t>MC115495</t>
  </si>
  <si>
    <t>White Arrow LLC</t>
  </si>
  <si>
    <t>WARW</t>
  </si>
  <si>
    <t>MC281042</t>
  </si>
  <si>
    <t>YRC Worldwide Inc.: YRC Freight</t>
  </si>
  <si>
    <t>MC071821</t>
  </si>
  <si>
    <t>101 Transport, Inc.</t>
  </si>
  <si>
    <t>Truck</t>
  </si>
  <si>
    <t>TL/Dry Van</t>
  </si>
  <si>
    <t>For-Hire</t>
  </si>
  <si>
    <t>OZOT</t>
  </si>
  <si>
    <t>MC625894</t>
  </si>
  <si>
    <t>1262380 Ontario Limited/dba FF Express</t>
  </si>
  <si>
    <t>Expedited</t>
  </si>
  <si>
    <t>FFXR</t>
  </si>
  <si>
    <t>MC343105</t>
  </si>
  <si>
    <t>1527530 Ontario Inc./M&amp;M Carriers</t>
  </si>
  <si>
    <t>MNMR</t>
  </si>
  <si>
    <t>1541335 Ontario Inc./Road Link Xpress</t>
  </si>
  <si>
    <t>ROAD</t>
  </si>
  <si>
    <t>1579901 Ontario Inc./ASL Global Logistics</t>
  </si>
  <si>
    <t>Refrigerated</t>
  </si>
  <si>
    <t>AGBM</t>
  </si>
  <si>
    <t>1628939 Ontario LTD o/a P&amp;D Freightlines</t>
  </si>
  <si>
    <t>PDGH</t>
  </si>
  <si>
    <t>1st Express Inc.</t>
  </si>
  <si>
    <t>FSEP</t>
  </si>
  <si>
    <t>MC181440</t>
  </si>
  <si>
    <t>2210310 Ontario Inc./Dynamic Freight Haulers</t>
  </si>
  <si>
    <t>DFHR</t>
  </si>
  <si>
    <t>MC691346</t>
  </si>
  <si>
    <t>2322819 Ontario Inc./Right Service Right Choice</t>
  </si>
  <si>
    <t>TTWT</t>
  </si>
  <si>
    <t>24/7 Express Logistics, Inc.: Truckload Denver</t>
  </si>
  <si>
    <t>LTL/Dry Van</t>
  </si>
  <si>
    <t>TFCD</t>
  </si>
  <si>
    <t>MC426943</t>
  </si>
  <si>
    <t>24/7 Express Logistics, Inc.: Truckload KC</t>
  </si>
  <si>
    <t>Mixed</t>
  </si>
  <si>
    <t>TFCY</t>
  </si>
  <si>
    <t>24/7 Express Logistics, Inc: Truckload</t>
  </si>
  <si>
    <t>24:7 Expedite, Inc.: Freight</t>
  </si>
  <si>
    <t>TWFJ</t>
  </si>
  <si>
    <t>MC690675</t>
  </si>
  <si>
    <t>3398722 Canada Inc: JB Transport</t>
  </si>
  <si>
    <t>74Y6</t>
  </si>
  <si>
    <t>MC516915</t>
  </si>
  <si>
    <t>3NT, LLC.</t>
  </si>
  <si>
    <t>THLL</t>
  </si>
  <si>
    <t>MC716290</t>
  </si>
  <si>
    <t>5/D Express, Inc.: 5/D Express,Inc</t>
  </si>
  <si>
    <t>FDRP</t>
  </si>
  <si>
    <t>MC488737</t>
  </si>
  <si>
    <t>6233317 Canada Inc. DBA Rockwell Truck Line</t>
  </si>
  <si>
    <t>RKWT</t>
  </si>
  <si>
    <t>MC797845</t>
  </si>
  <si>
    <t>8198004 Canada Inc.: A AND R Transport &amp; Logistics</t>
  </si>
  <si>
    <t>ARTQ</t>
  </si>
  <si>
    <t>MC823220</t>
  </si>
  <si>
    <t>A &amp; A Express, LLC</t>
  </si>
  <si>
    <t>AAXB</t>
  </si>
  <si>
    <t>MC108419</t>
  </si>
  <si>
    <t>A &amp; C Transport LLC</t>
  </si>
  <si>
    <t>ACBB</t>
  </si>
  <si>
    <t>A &amp; H Cartage, Inc.</t>
  </si>
  <si>
    <t>AHCG</t>
  </si>
  <si>
    <t>MC196753</t>
  </si>
  <si>
    <t>A &amp; T Trucking Company</t>
  </si>
  <si>
    <t>ATNG</t>
  </si>
  <si>
    <t>MC292766</t>
  </si>
  <si>
    <t>A Plus Expediting &amp; Logistics Inc</t>
  </si>
  <si>
    <t>APEP</t>
  </si>
  <si>
    <t>MC641074</t>
  </si>
  <si>
    <t>A&amp;I Express Inc.</t>
  </si>
  <si>
    <t>AIEP</t>
  </si>
  <si>
    <t>MC629066</t>
  </si>
  <si>
    <t>A&amp;I Transport Inc</t>
  </si>
  <si>
    <t>AITG</t>
  </si>
  <si>
    <t>MC629165</t>
  </si>
  <si>
    <t>A&amp;L Intermodal</t>
  </si>
  <si>
    <t>Dray</t>
  </si>
  <si>
    <t>AALM</t>
  </si>
  <si>
    <t>A&amp;M Transport, Inc.: Dry Van Fleet</t>
  </si>
  <si>
    <t>ALKM</t>
  </si>
  <si>
    <t>MC217072</t>
  </si>
  <si>
    <t>A&amp;M Transport, Inc.: Flatbed Fleet</t>
  </si>
  <si>
    <t>Flatbed</t>
  </si>
  <si>
    <t>ALKM,AFLJ</t>
  </si>
  <si>
    <t>A&amp;M Transport, Inc.: Tautliner Fleet</t>
  </si>
  <si>
    <t>Specialized</t>
  </si>
  <si>
    <t>A&amp;R Logistics, Inc.</t>
  </si>
  <si>
    <t>Heavy/Bulk</t>
  </si>
  <si>
    <t>MC140820</t>
  </si>
  <si>
    <t>A&amp;S Services Group, LLC</t>
  </si>
  <si>
    <t>ANSW</t>
  </si>
  <si>
    <t>MC164166</t>
  </si>
  <si>
    <t>A. Blair Enterprises Inc</t>
  </si>
  <si>
    <t>BAEN</t>
  </si>
  <si>
    <t>MC218608</t>
  </si>
  <si>
    <t>A. Duie Pyle Inc.</t>
  </si>
  <si>
    <t>MC031941</t>
  </si>
  <si>
    <t>A. L. Smith Trucking, Inc.</t>
  </si>
  <si>
    <t>SALJ</t>
  </si>
  <si>
    <t>MC147232</t>
  </si>
  <si>
    <t>A. Smith Trucking Co. Inc.</t>
  </si>
  <si>
    <t>SMGD</t>
  </si>
  <si>
    <t>MC297422</t>
  </si>
  <si>
    <t>A.C. Trucking, Inc.: 12073707</t>
  </si>
  <si>
    <t>AKGM</t>
  </si>
  <si>
    <t>MC196190</t>
  </si>
  <si>
    <t>A.D. Transport Express, Inc.</t>
  </si>
  <si>
    <t>ADXR</t>
  </si>
  <si>
    <t>MC195625</t>
  </si>
  <si>
    <t>A.N. Webber, Inc.</t>
  </si>
  <si>
    <t>WANQ</t>
  </si>
  <si>
    <t>MC147008</t>
  </si>
  <si>
    <t>A.O. Knabb Inc. - Northern Berks Transport Brokera</t>
  </si>
  <si>
    <t>NBTN</t>
  </si>
  <si>
    <t>MC677982</t>
  </si>
  <si>
    <t>A/T Transportation, LLC.</t>
  </si>
  <si>
    <t>AUCR</t>
  </si>
  <si>
    <t>Private</t>
  </si>
  <si>
    <t>MC55889</t>
  </si>
  <si>
    <t>Abbyland Trucking, Inc.</t>
  </si>
  <si>
    <t>ABYL</t>
  </si>
  <si>
    <t>MC226145</t>
  </si>
  <si>
    <t>Abco Transportation: ABTS</t>
  </si>
  <si>
    <t>ABTS</t>
  </si>
  <si>
    <t>MC269456</t>
  </si>
  <si>
    <t>ABEX Transportation, LLC</t>
  </si>
  <si>
    <t>ABED</t>
  </si>
  <si>
    <t>MC647183</t>
  </si>
  <si>
    <t>ABF Freight System, Inc.</t>
  </si>
  <si>
    <t>ABFS</t>
  </si>
  <si>
    <t>MC029910</t>
  </si>
  <si>
    <t>Abilene Motor Express</t>
  </si>
  <si>
    <t>AEQC</t>
  </si>
  <si>
    <t>MC194957</t>
  </si>
  <si>
    <t>Above All Transport LLC</t>
  </si>
  <si>
    <t>Dedicated</t>
  </si>
  <si>
    <t>ABVC</t>
  </si>
  <si>
    <t>MC0383031</t>
  </si>
  <si>
    <t>Absolute Intermodal LLC</t>
  </si>
  <si>
    <t>ASUL</t>
  </si>
  <si>
    <t>MC603063</t>
  </si>
  <si>
    <t>ABT Freight Lines Inc</t>
  </si>
  <si>
    <t>ABTL</t>
  </si>
  <si>
    <t>MC713583</t>
  </si>
  <si>
    <t>AC Leasing Company Inc.</t>
  </si>
  <si>
    <t>ACWH</t>
  </si>
  <si>
    <t>MC156691</t>
  </si>
  <si>
    <t>AC Transport</t>
  </si>
  <si>
    <t>OFTO</t>
  </si>
  <si>
    <t>MC465753</t>
  </si>
  <si>
    <t>Accelerated Courier, Inc.</t>
  </si>
  <si>
    <t>ACUI</t>
  </si>
  <si>
    <t>MC171052</t>
  </si>
  <si>
    <t>Accelerated Services LLC</t>
  </si>
  <si>
    <t>Auto Carrier</t>
  </si>
  <si>
    <t>ACVY</t>
  </si>
  <si>
    <t>MC382853</t>
  </si>
  <si>
    <t>Accord Transportation Ltd.: Highway</t>
  </si>
  <si>
    <t>ACTL</t>
  </si>
  <si>
    <t>Ace Doran Hauling &amp; Rigging Co</t>
  </si>
  <si>
    <t>ACEH</t>
  </si>
  <si>
    <t>MC112304</t>
  </si>
  <si>
    <t>Ace Forwarding, Inc</t>
  </si>
  <si>
    <t>AFWO,AFWP</t>
  </si>
  <si>
    <t>MC307158</t>
  </si>
  <si>
    <t>Ace Hardware Corporation: ACHW</t>
  </si>
  <si>
    <t>ACHW</t>
  </si>
  <si>
    <t>MC186924</t>
  </si>
  <si>
    <t>Ace Heavy Haul, LLC</t>
  </si>
  <si>
    <t>AHYL</t>
  </si>
  <si>
    <t>MC754608</t>
  </si>
  <si>
    <t>ACI Motor Freight, Inc.</t>
  </si>
  <si>
    <t>AGCE</t>
  </si>
  <si>
    <t>MC153560</t>
  </si>
  <si>
    <t>Acme Truck Line, Inc.</t>
  </si>
  <si>
    <t>MC120675</t>
  </si>
  <si>
    <t>ACS Logistics Transportation Inc.</t>
  </si>
  <si>
    <t>OFNS</t>
  </si>
  <si>
    <t>MC548067</t>
  </si>
  <si>
    <t>Action Expediting, Inc.</t>
  </si>
  <si>
    <t>AEPD</t>
  </si>
  <si>
    <t>MC284403</t>
  </si>
  <si>
    <t>Action Resources, Inc.</t>
  </si>
  <si>
    <t>AQRR</t>
  </si>
  <si>
    <t>MC316888</t>
  </si>
  <si>
    <t>Adams Motor Express, Inc.</t>
  </si>
  <si>
    <t>ADXI</t>
  </si>
  <si>
    <t>MC210014</t>
  </si>
  <si>
    <t>Adco Logistics</t>
  </si>
  <si>
    <t>AORL</t>
  </si>
  <si>
    <t>ADM Trucking, Inc.</t>
  </si>
  <si>
    <t>ADMH</t>
  </si>
  <si>
    <t>MC172456</t>
  </si>
  <si>
    <t>Advanced Cargo Transportation Inc.</t>
  </si>
  <si>
    <t>ADVP</t>
  </si>
  <si>
    <t>MC319863</t>
  </si>
  <si>
    <t>ADZ TRUCKING</t>
  </si>
  <si>
    <t>ADZL</t>
  </si>
  <si>
    <t>MC642297</t>
  </si>
  <si>
    <t>Aerodyne Transportation, LLC</t>
  </si>
  <si>
    <t>LDWY</t>
  </si>
  <si>
    <t>MC161864</t>
  </si>
  <si>
    <t>Aeropres Corporation</t>
  </si>
  <si>
    <t>Tanker</t>
  </si>
  <si>
    <t>ACOH</t>
  </si>
  <si>
    <t>Aetna Freight Lines, Inc.</t>
  </si>
  <si>
    <t>AGFC</t>
  </si>
  <si>
    <t>MC200014</t>
  </si>
  <si>
    <t>Afton Trucking: AFTT</t>
  </si>
  <si>
    <t>AFTT</t>
  </si>
  <si>
    <t>MC164738</t>
  </si>
  <si>
    <t>Ag Trucking, Inc.</t>
  </si>
  <si>
    <t>AGTG</t>
  </si>
  <si>
    <t>MC13367</t>
  </si>
  <si>
    <t>Agri-Tel Transportation Inc.</t>
  </si>
  <si>
    <t>AGTJ</t>
  </si>
  <si>
    <t>Agricultural Express Inc</t>
  </si>
  <si>
    <t>AGIE</t>
  </si>
  <si>
    <t>MC195889</t>
  </si>
  <si>
    <t>Agricultural Transport</t>
  </si>
  <si>
    <t>AGUN</t>
  </si>
  <si>
    <t>MC245850</t>
  </si>
  <si>
    <t>Aim Integrated Logistics</t>
  </si>
  <si>
    <t>AIDD</t>
  </si>
  <si>
    <t>MC244504</t>
  </si>
  <si>
    <t>Aim Transport, Inc.</t>
  </si>
  <si>
    <t>AIMP</t>
  </si>
  <si>
    <t>MC240419</t>
  </si>
  <si>
    <t>Air Capitol Delivery &amp; Warehouse LLC</t>
  </si>
  <si>
    <t>AQIR</t>
  </si>
  <si>
    <t>MC389874</t>
  </si>
  <si>
    <t>Air Ground Xpress, Inc.</t>
  </si>
  <si>
    <t>AGXP</t>
  </si>
  <si>
    <t>MC268342</t>
  </si>
  <si>
    <t>Air Ocean Transport, Inc.</t>
  </si>
  <si>
    <t>AIRT</t>
  </si>
  <si>
    <t>MC57133</t>
  </si>
  <si>
    <t>Air Traffic Services DBA FASTMILE</t>
  </si>
  <si>
    <t>Package</t>
  </si>
  <si>
    <t>AVFE</t>
  </si>
  <si>
    <t>MC724556</t>
  </si>
  <si>
    <t>Air-Land Transport Services, Inc.</t>
  </si>
  <si>
    <t>APVC</t>
  </si>
  <si>
    <t>MC172878</t>
  </si>
  <si>
    <t>Airtime Express Inc.</t>
  </si>
  <si>
    <t>ATOT</t>
  </si>
  <si>
    <t>MC425874</t>
  </si>
  <si>
    <t>AIS</t>
  </si>
  <si>
    <t>AISB</t>
  </si>
  <si>
    <t>MC543201</t>
  </si>
  <si>
    <t>AJ &amp; J Deliveries LLC</t>
  </si>
  <si>
    <t>Alabama Motor Express, Inc.</t>
  </si>
  <si>
    <t>ABXN</t>
  </si>
  <si>
    <t>MC325932</t>
  </si>
  <si>
    <t>Alan Ritchey Inc.: ARMCO</t>
  </si>
  <si>
    <t>RIAL</t>
  </si>
  <si>
    <t>MC172924</t>
  </si>
  <si>
    <t>Alan Ritchey Inc.: Frac Tank</t>
  </si>
  <si>
    <t>Alan Ritchey Inc.: Martindale Feed Mill</t>
  </si>
  <si>
    <t>Alan Ritchey Inc.: US Mail</t>
  </si>
  <si>
    <t>Alaska West Express Inc</t>
  </si>
  <si>
    <t>ALWE</t>
  </si>
  <si>
    <t>MC118445</t>
  </si>
  <si>
    <t>ALB Express</t>
  </si>
  <si>
    <t>ALBK</t>
  </si>
  <si>
    <t>MC803750</t>
  </si>
  <si>
    <t>Albatross Express Inc. DBA Albatross</t>
  </si>
  <si>
    <t>AEIC</t>
  </si>
  <si>
    <t>MC504335</t>
  </si>
  <si>
    <t>Albertsons Companies: Albertsons LLC</t>
  </si>
  <si>
    <t>ABRN</t>
  </si>
  <si>
    <t>MC146452</t>
  </si>
  <si>
    <t>Albertsons Companies: American Procurement &amp; Logistics</t>
  </si>
  <si>
    <t>MC304492</t>
  </si>
  <si>
    <t>Albertsons Companies: CW Perham</t>
  </si>
  <si>
    <t>MC218257</t>
  </si>
  <si>
    <t>ALDO Group</t>
  </si>
  <si>
    <t>S/O</t>
  </si>
  <si>
    <t>MCS/O</t>
  </si>
  <si>
    <t>Alfred J Blackburn</t>
  </si>
  <si>
    <t>All Canadian Courier Corp.</t>
  </si>
  <si>
    <t>ADUP</t>
  </si>
  <si>
    <t>All Cartage Transportation, Inc.</t>
  </si>
  <si>
    <t>ALCY</t>
  </si>
  <si>
    <t>MC555055</t>
  </si>
  <si>
    <t>All Star Transportation Inc</t>
  </si>
  <si>
    <t>ALSA</t>
  </si>
  <si>
    <t>MC269759</t>
  </si>
  <si>
    <t>All State Express, Inc.</t>
  </si>
  <si>
    <t>ASXA</t>
  </si>
  <si>
    <t>MC356772</t>
  </si>
  <si>
    <t>All Truck Transportation Co. Inc.,</t>
  </si>
  <si>
    <t>ALLC</t>
  </si>
  <si>
    <t>MC163455</t>
  </si>
  <si>
    <t>Allegheny Recycled Products</t>
  </si>
  <si>
    <t>ARPD</t>
  </si>
  <si>
    <t>MC152985</t>
  </si>
  <si>
    <t>Allen Distribution</t>
  </si>
  <si>
    <t>ALES</t>
  </si>
  <si>
    <t>MC287848</t>
  </si>
  <si>
    <t>Alliance Express LLC</t>
  </si>
  <si>
    <t>AQLL</t>
  </si>
  <si>
    <t>MC602989</t>
  </si>
  <si>
    <t>Allied Brothers Intermodal, Inc.</t>
  </si>
  <si>
    <t>ABIN</t>
  </si>
  <si>
    <t>MC476682</t>
  </si>
  <si>
    <t>Alpha Trans Ltd.</t>
  </si>
  <si>
    <t>APHN</t>
  </si>
  <si>
    <t>Altendorf Express</t>
  </si>
  <si>
    <t>ADFE</t>
  </si>
  <si>
    <t>MC202486</t>
  </si>
  <si>
    <t>Altendorf Trucking: local</t>
  </si>
  <si>
    <t>ADTB</t>
  </si>
  <si>
    <t>MC173659</t>
  </si>
  <si>
    <t>Altendorf Trucking: OTR</t>
  </si>
  <si>
    <t>ALTL Inc</t>
  </si>
  <si>
    <t>ALLM</t>
  </si>
  <si>
    <t>MC154127</t>
  </si>
  <si>
    <t>Alto's Express, Inc.</t>
  </si>
  <si>
    <t>ALEP</t>
  </si>
  <si>
    <t>MC0002017</t>
  </si>
  <si>
    <t>Altom Transport, Inc.</t>
  </si>
  <si>
    <t>ATOI</t>
  </si>
  <si>
    <t>MC187735</t>
  </si>
  <si>
    <t>AM International (TFI 11, S.E.C.): AM International</t>
  </si>
  <si>
    <t>AMJO</t>
  </si>
  <si>
    <t>AMC Express, Inc.</t>
  </si>
  <si>
    <t>AMCM</t>
  </si>
  <si>
    <t>MC789656</t>
  </si>
  <si>
    <t>Ameri-Co Carriers: Flat Bed</t>
  </si>
  <si>
    <t>AIOE</t>
  </si>
  <si>
    <t>MC152366</t>
  </si>
  <si>
    <t>Ameri-Co Carriers: Pneumatic</t>
  </si>
  <si>
    <t>Ameri-Co Carriers: Van</t>
  </si>
  <si>
    <t>America Midwest Transportation, LLC: Reefer</t>
  </si>
  <si>
    <t>AMTA</t>
  </si>
  <si>
    <t>MC462229</t>
  </si>
  <si>
    <t>America's Service Line, LLC</t>
  </si>
  <si>
    <t>ASLO</t>
  </si>
  <si>
    <t>MC308633</t>
  </si>
  <si>
    <t>American Cartage &amp; Distribution LLC: amcd1</t>
  </si>
  <si>
    <t>AMCD</t>
  </si>
  <si>
    <t>MC474938</t>
  </si>
  <si>
    <t>American Central Transport, Inc.</t>
  </si>
  <si>
    <t>ACRL</t>
  </si>
  <si>
    <t>MC138741</t>
  </si>
  <si>
    <t>American Freight Corporation</t>
  </si>
  <si>
    <t>AFCN</t>
  </si>
  <si>
    <t>MC583299</t>
  </si>
  <si>
    <t>American Furniture Warehouse</t>
  </si>
  <si>
    <t>AFWH</t>
  </si>
  <si>
    <t>MC167860</t>
  </si>
  <si>
    <t>American Haulage Inc.</t>
  </si>
  <si>
    <t>AHIQ</t>
  </si>
  <si>
    <t>MC675302</t>
  </si>
  <si>
    <t>American National Logistics, Inc.</t>
  </si>
  <si>
    <t>AOIE</t>
  </si>
  <si>
    <t>MC383197</t>
  </si>
  <si>
    <t>American Pacific</t>
  </si>
  <si>
    <t>AMPF</t>
  </si>
  <si>
    <t>MC142867</t>
  </si>
  <si>
    <t>American Power LLC</t>
  </si>
  <si>
    <t>APWR</t>
  </si>
  <si>
    <t>MC838281</t>
  </si>
  <si>
    <t>American Transportation Management LLC</t>
  </si>
  <si>
    <t>ANOD</t>
  </si>
  <si>
    <t>MC884773</t>
  </si>
  <si>
    <t>American Transportation Nationwide of Wisconsin, I</t>
  </si>
  <si>
    <t>ATQN</t>
  </si>
  <si>
    <t>MC211032</t>
  </si>
  <si>
    <t>Americanstar Transport LLC</t>
  </si>
  <si>
    <t>ANSO</t>
  </si>
  <si>
    <t>MC703067</t>
  </si>
  <si>
    <t>AmeriCarrier, Inc.</t>
  </si>
  <si>
    <t>ACIK</t>
  </si>
  <si>
    <t>MC173704</t>
  </si>
  <si>
    <t>Americold Transportation Services: US</t>
  </si>
  <si>
    <t>AEID</t>
  </si>
  <si>
    <t>MC590148</t>
  </si>
  <si>
    <t>Amerifreight Systems LLC</t>
  </si>
  <si>
    <t>AFGM</t>
  </si>
  <si>
    <t>MC490644</t>
  </si>
  <si>
    <t>AmeriPride Services, Inc.: AmeriPride Services Inc.</t>
  </si>
  <si>
    <t>AmeriPride Services, Inc.: Canadian Linen and Uniform Service Co</t>
  </si>
  <si>
    <t>Ameritrans</t>
  </si>
  <si>
    <t>AMDQ</t>
  </si>
  <si>
    <t>MC454256</t>
  </si>
  <si>
    <t>Amistad Freight Lines, Inc.</t>
  </si>
  <si>
    <t>AFGI</t>
  </si>
  <si>
    <t>MC761022</t>
  </si>
  <si>
    <t>Anchor Bay Express LLC</t>
  </si>
  <si>
    <t>AXBY</t>
  </si>
  <si>
    <t>MC395308</t>
  </si>
  <si>
    <t>Andersen Distribution Inc., D.B.A. Andersen Logist</t>
  </si>
  <si>
    <t>MC439333</t>
  </si>
  <si>
    <t>Anderson Transportation Co. Inc.: ANNN</t>
  </si>
  <si>
    <t>MC184643</t>
  </si>
  <si>
    <t>Anderson-Dubose Company: ADR NY Dist LLC</t>
  </si>
  <si>
    <t>Anderson-Dubose Company: Lordstown</t>
  </si>
  <si>
    <t>Andreucci Trucking Inc.</t>
  </si>
  <si>
    <t>ADUC</t>
  </si>
  <si>
    <t>MC200073</t>
  </si>
  <si>
    <t>Andrews Logistics, Inc</t>
  </si>
  <si>
    <t>AWLO,ADRW</t>
  </si>
  <si>
    <t>MC336052</t>
  </si>
  <si>
    <t>Andrey's Delivery Express LLC</t>
  </si>
  <si>
    <t>ADEW</t>
  </si>
  <si>
    <t>MC823646</t>
  </si>
  <si>
    <t>Andrus Transportation Services</t>
  </si>
  <si>
    <t>ANJL</t>
  </si>
  <si>
    <t>MC160950</t>
  </si>
  <si>
    <t>Andy Stieva Trucking Ltd.: Andy Stieva Trucking</t>
  </si>
  <si>
    <t>STVH</t>
  </si>
  <si>
    <t>ANL Transport Inc</t>
  </si>
  <si>
    <t>ANAW</t>
  </si>
  <si>
    <t>MC956167</t>
  </si>
  <si>
    <t>Ann Arbor Distribution Inc.</t>
  </si>
  <si>
    <t>MC316541</t>
  </si>
  <si>
    <t>Any Time Service Co., Inc.</t>
  </si>
  <si>
    <t>ANYS</t>
  </si>
  <si>
    <t>MC222141</t>
  </si>
  <si>
    <t>AP Express</t>
  </si>
  <si>
    <t>APXC</t>
  </si>
  <si>
    <t>Apex Motor Express Ltd.</t>
  </si>
  <si>
    <t>AXME</t>
  </si>
  <si>
    <t>Apollo Express Inc</t>
  </si>
  <si>
    <t>AOXE</t>
  </si>
  <si>
    <t>MC366984</t>
  </si>
  <si>
    <t>Appalachian Freight Carriers, Inc.</t>
  </si>
  <si>
    <t>APFC</t>
  </si>
  <si>
    <t>MC152741</t>
  </si>
  <si>
    <t>APPS Transport Group</t>
  </si>
  <si>
    <t>APXG</t>
  </si>
  <si>
    <t>Arab Cartage &amp; Express</t>
  </si>
  <si>
    <t>ARCE</t>
  </si>
  <si>
    <t>MC147554</t>
  </si>
  <si>
    <t>Arctic Express, Inc.: Truck-1</t>
  </si>
  <si>
    <t>ARIE</t>
  </si>
  <si>
    <t>MC155529</t>
  </si>
  <si>
    <t>ARD Express Inc.</t>
  </si>
  <si>
    <t>ARXK</t>
  </si>
  <si>
    <t>MC588686</t>
  </si>
  <si>
    <t>Ardwin Inc.</t>
  </si>
  <si>
    <t>ADWF</t>
  </si>
  <si>
    <t>MC470797</t>
  </si>
  <si>
    <t>Arens Inc.</t>
  </si>
  <si>
    <t>ARND</t>
  </si>
  <si>
    <t>MC212779</t>
  </si>
  <si>
    <t>Arfsten Transfer, Inc.</t>
  </si>
  <si>
    <t>AENF</t>
  </si>
  <si>
    <t>MC173128</t>
  </si>
  <si>
    <t>Ariel Garcia</t>
  </si>
  <si>
    <t>Arko Exchange LLC</t>
  </si>
  <si>
    <t>ARKX</t>
  </si>
  <si>
    <t>MC705994</t>
  </si>
  <si>
    <t>ARL Transport, LLC</t>
  </si>
  <si>
    <t>AIPA</t>
  </si>
  <si>
    <t>MC152672</t>
  </si>
  <si>
    <t>Arlo G Lott Trucking Inc: bulk</t>
  </si>
  <si>
    <t>LOAG</t>
  </si>
  <si>
    <t>MC152523</t>
  </si>
  <si>
    <t>Arlo G Lott Trucking Inc: Flatbed</t>
  </si>
  <si>
    <t>Arlo G Lott Trucking Inc: heavy bulk</t>
  </si>
  <si>
    <t>Arlo G Lott Trucking Inc: heavy flatbed</t>
  </si>
  <si>
    <t>Arlo G Lott Trucking Inc: specialized - Heavy hopper</t>
  </si>
  <si>
    <t>Arlo G Lott Trucking Inc: specialized - side dump</t>
  </si>
  <si>
    <t>Armellini Express Lines, Inc.</t>
  </si>
  <si>
    <t>AELS</t>
  </si>
  <si>
    <t>MC105636</t>
  </si>
  <si>
    <t>Armour Transport Inc: Armour Flatbed</t>
  </si>
  <si>
    <t>AMOT</t>
  </si>
  <si>
    <t>MC199754</t>
  </si>
  <si>
    <t>Armour Transport Inc: Armour Other</t>
  </si>
  <si>
    <t>Armstrong Transportation &amp; Trailers LLC</t>
  </si>
  <si>
    <t>AHOT</t>
  </si>
  <si>
    <t>MC586712</t>
  </si>
  <si>
    <t>Army and Air Force Exchange Service: AYAF</t>
  </si>
  <si>
    <t>AYAF</t>
  </si>
  <si>
    <t>Arnold Bros. Transport Ltd.: Deck Division</t>
  </si>
  <si>
    <t>ARNB</t>
  </si>
  <si>
    <t>Arnold Bros. Transport Ltd.: Dry &amp; Reefer Division</t>
  </si>
  <si>
    <t>Arnold J. Thomas &amp; Son Inc.: Curtain Van</t>
  </si>
  <si>
    <t>THAJ</t>
  </si>
  <si>
    <t>MC152430</t>
  </si>
  <si>
    <t>Arnold J. Thomas &amp; Son Inc.: Dry Van</t>
  </si>
  <si>
    <t>Arnold Transportation Services, Inc.</t>
  </si>
  <si>
    <t>ANTT</t>
  </si>
  <si>
    <t>MC149541</t>
  </si>
  <si>
    <t>Arpin Van Lines, Inc.</t>
  </si>
  <si>
    <t>Moving</t>
  </si>
  <si>
    <t>MC00621</t>
  </si>
  <si>
    <t>Arrow Freight Management, Inc.</t>
  </si>
  <si>
    <t>AWFM</t>
  </si>
  <si>
    <t>MC396401</t>
  </si>
  <si>
    <t>Arrow Freight Systems, Inc.</t>
  </si>
  <si>
    <t>AWFH</t>
  </si>
  <si>
    <t>MC472804</t>
  </si>
  <si>
    <t>Arrow Reload Systems Inc.: AB</t>
  </si>
  <si>
    <t>Arrow Reload Systems Inc.: BC</t>
  </si>
  <si>
    <t>Arrow Straight Transport</t>
  </si>
  <si>
    <t>AWSC</t>
  </si>
  <si>
    <t>MC840341</t>
  </si>
  <si>
    <t>Arrow Transportation Systems Inc.: AB Bulk: Athabasca</t>
  </si>
  <si>
    <t>ARWO</t>
  </si>
  <si>
    <t>Arrow Transportation Systems Inc.: AB Bulk: Peace River</t>
  </si>
  <si>
    <t>Arrow Transportation Systems Inc.: AB: Grande Prairie</t>
  </si>
  <si>
    <t>Arrow Transportation Systems Inc.: BC Bulk: Kamloops</t>
  </si>
  <si>
    <t>Arrow Transportation Systems Inc.: BC Bulk: Quesnel</t>
  </si>
  <si>
    <t>Arrow Transportation Systems Inc.: Mining: Ashcroft</t>
  </si>
  <si>
    <t>Arrow Transportation Systems Inc.: Mining: Chilliwack</t>
  </si>
  <si>
    <t>Arrow Transportation Systems Inc.: Mining: Stewart</t>
  </si>
  <si>
    <t>Art Heavy Haul, Inc</t>
  </si>
  <si>
    <t>AHHA</t>
  </si>
  <si>
    <t>MC733222</t>
  </si>
  <si>
    <t>Artur Express, Inc.: Artur Express</t>
  </si>
  <si>
    <t>ATUR</t>
  </si>
  <si>
    <t>MC343003</t>
  </si>
  <si>
    <t>Arturos Transport Inc</t>
  </si>
  <si>
    <t>MC371662</t>
  </si>
  <si>
    <t>ASAP Express &amp; Logistics Inc.</t>
  </si>
  <si>
    <t>ASXP</t>
  </si>
  <si>
    <t>MC294386</t>
  </si>
  <si>
    <t>asf intermodal llc</t>
  </si>
  <si>
    <t>ASFS</t>
  </si>
  <si>
    <t>MC736484</t>
  </si>
  <si>
    <t>Ashley Distribution Services, LTD.</t>
  </si>
  <si>
    <t>AHLY</t>
  </si>
  <si>
    <t>MC270480</t>
  </si>
  <si>
    <t>ASL Transportation Group, Inc.</t>
  </si>
  <si>
    <t>AXGN</t>
  </si>
  <si>
    <t>MC644828</t>
  </si>
  <si>
    <t>Asphalt Express Enterprises, LLC</t>
  </si>
  <si>
    <t>ASKH</t>
  </si>
  <si>
    <t>MC567395</t>
  </si>
  <si>
    <t>ATL Courier, Inc.: BT / TT</t>
  </si>
  <si>
    <t>ATQE</t>
  </si>
  <si>
    <t>MC184233</t>
  </si>
  <si>
    <t>ATL Expedited Freight LLC</t>
  </si>
  <si>
    <t>AEFG</t>
  </si>
  <si>
    <t>MC719887</t>
  </si>
  <si>
    <t>Atl Transport, Inc.</t>
  </si>
  <si>
    <t>ATBV</t>
  </si>
  <si>
    <t>Atlantic Bulk Carrier Corporation</t>
  </si>
  <si>
    <t>ABCV</t>
  </si>
  <si>
    <t>MC155143</t>
  </si>
  <si>
    <t>Atlantic Express Trucking Corporation</t>
  </si>
  <si>
    <t>AETG</t>
  </si>
  <si>
    <t>MC646646</t>
  </si>
  <si>
    <t>Atlantic Trucking Co., Inc.</t>
  </si>
  <si>
    <t>ALUC</t>
  </si>
  <si>
    <t>MC184560</t>
  </si>
  <si>
    <t>Atlas Trucking Company LLC</t>
  </si>
  <si>
    <t>MC370661</t>
  </si>
  <si>
    <t>ATP Logistics, Inc.</t>
  </si>
  <si>
    <t>AAIG</t>
  </si>
  <si>
    <t>MC816537</t>
  </si>
  <si>
    <t>ATS Specialized, Inc</t>
  </si>
  <si>
    <t>ASSM</t>
  </si>
  <si>
    <t>MC290227</t>
  </si>
  <si>
    <t>ATS, INC.</t>
  </si>
  <si>
    <t>AQSM</t>
  </si>
  <si>
    <t>MC286926</t>
  </si>
  <si>
    <t>Augusta Transportation, Inc.</t>
  </si>
  <si>
    <t>AUGT</t>
  </si>
  <si>
    <t>MC150393</t>
  </si>
  <si>
    <t>Auto Carrier Express, Inc.</t>
  </si>
  <si>
    <t>AUCF</t>
  </si>
  <si>
    <t>MC344779</t>
  </si>
  <si>
    <t>Auto Transport Masters, Inc.</t>
  </si>
  <si>
    <t>AXMJ</t>
  </si>
  <si>
    <t>MC681006</t>
  </si>
  <si>
    <t>Autobahn Freight Lines Ltd.</t>
  </si>
  <si>
    <t>AUBA</t>
  </si>
  <si>
    <t>Automated Logistics &amp; Transportation, Inc</t>
  </si>
  <si>
    <t>AQTW</t>
  </si>
  <si>
    <t>MC749782</t>
  </si>
  <si>
    <t>Autumn Transport, Inc.</t>
  </si>
  <si>
    <t>AUMN</t>
  </si>
  <si>
    <t>MC177464</t>
  </si>
  <si>
    <t>MC121600</t>
  </si>
  <si>
    <t>AVIS DELIVERY EXPRESS</t>
  </si>
  <si>
    <t>MC454997</t>
  </si>
  <si>
    <t>Avon Trucklines Inc.</t>
  </si>
  <si>
    <t>AVKF</t>
  </si>
  <si>
    <t>AX Express Inc: Flatbed department</t>
  </si>
  <si>
    <t>AXXR</t>
  </si>
  <si>
    <t>MC761354</t>
  </si>
  <si>
    <t>Ayala's Trucking</t>
  </si>
  <si>
    <t>MC0364676</t>
  </si>
  <si>
    <t>B &amp; D Motors, Inc.</t>
  </si>
  <si>
    <t>BDMW</t>
  </si>
  <si>
    <t>MC185907</t>
  </si>
  <si>
    <t>B&amp;B Logistics, Inc.</t>
  </si>
  <si>
    <t>BBLM</t>
  </si>
  <si>
    <t>MC836720</t>
  </si>
  <si>
    <t>B&amp;B Transport, Inc.</t>
  </si>
  <si>
    <t>BBXA</t>
  </si>
  <si>
    <t>MC565290</t>
  </si>
  <si>
    <t>B&amp;H Systems</t>
  </si>
  <si>
    <t>BHSY</t>
  </si>
  <si>
    <t>MC211820</t>
  </si>
  <si>
    <t>B&amp;L Transport, Inc.</t>
  </si>
  <si>
    <t>BLTI</t>
  </si>
  <si>
    <t>MC197300</t>
  </si>
  <si>
    <t>B&amp;W Cartage Co., Inc.</t>
  </si>
  <si>
    <t>BAWC</t>
  </si>
  <si>
    <t>MC120924</t>
  </si>
  <si>
    <t>B-H Transfer Co: Domestic Operations</t>
  </si>
  <si>
    <t>BHTF</t>
  </si>
  <si>
    <t>MC135809</t>
  </si>
  <si>
    <t>B-H Transfer Co: Import/Export Operations</t>
  </si>
  <si>
    <t>B-LAK Express LLC</t>
  </si>
  <si>
    <t>BEBL</t>
  </si>
  <si>
    <t>MC583105</t>
  </si>
  <si>
    <t>B. A. Trucking</t>
  </si>
  <si>
    <t>MC909159</t>
  </si>
  <si>
    <t>B. T. Trucking, Inc.</t>
  </si>
  <si>
    <t>BTTH</t>
  </si>
  <si>
    <t>MC180672</t>
  </si>
  <si>
    <t>B.A.H. Express inc</t>
  </si>
  <si>
    <t>BAXS</t>
  </si>
  <si>
    <t>MC236232</t>
  </si>
  <si>
    <t>B.R. Williams Trucking, Inc.</t>
  </si>
  <si>
    <t>BRWW</t>
  </si>
  <si>
    <t>MC126542</t>
  </si>
  <si>
    <t>B.S.D Linehaul Inc.</t>
  </si>
  <si>
    <t>BSJD</t>
  </si>
  <si>
    <t>MC790472</t>
  </si>
  <si>
    <t>Badger Federal Services, Inc.</t>
  </si>
  <si>
    <t>BFES</t>
  </si>
  <si>
    <t>MC32122</t>
  </si>
  <si>
    <t>Badger State Western,Inc.: Badger State Western,Inc.</t>
  </si>
  <si>
    <t>BDGW</t>
  </si>
  <si>
    <t>MC158417</t>
  </si>
  <si>
    <t>Baga Transport Inc.</t>
  </si>
  <si>
    <t>BAGR</t>
  </si>
  <si>
    <t>MC818208</t>
  </si>
  <si>
    <t>Bailey Trucking Inc.</t>
  </si>
  <si>
    <t>BYUN</t>
  </si>
  <si>
    <t>MC211831</t>
  </si>
  <si>
    <t>Baker Trucking Inc.: Baker Trucking Inc.</t>
  </si>
  <si>
    <t>BABV</t>
  </si>
  <si>
    <t>MC312917</t>
  </si>
  <si>
    <t>Baldwin Transfer Co. Inc: Baldwin Transfer Co Inc / Mobile,AL Intermodel</t>
  </si>
  <si>
    <t>BWIF</t>
  </si>
  <si>
    <t>MC239703</t>
  </si>
  <si>
    <t>Baldwin Transfer Co. Inc: Baldwin Transfer Co. Inc/ Mobile,AL</t>
  </si>
  <si>
    <t>Barber Trucking, Inc.: Flatbed</t>
  </si>
  <si>
    <t>BBKR</t>
  </si>
  <si>
    <t>MC219684</t>
  </si>
  <si>
    <t>Barber Trucking, Inc.: Specialized</t>
  </si>
  <si>
    <t>Barlow Truck Lines</t>
  </si>
  <si>
    <t>BARN</t>
  </si>
  <si>
    <t>MC148899</t>
  </si>
  <si>
    <t>Barnes Transportation</t>
  </si>
  <si>
    <t>BTTE</t>
  </si>
  <si>
    <t>MC271116</t>
  </si>
  <si>
    <t>Barr-Nunn Transportation, Inc.</t>
  </si>
  <si>
    <t>BNUN</t>
  </si>
  <si>
    <t>MC178033</t>
  </si>
  <si>
    <t>Barrett Directline Delivery Service's Inc.</t>
  </si>
  <si>
    <t>BDDS</t>
  </si>
  <si>
    <t>MC328661</t>
  </si>
  <si>
    <t>Baton Rouge Cargo</t>
  </si>
  <si>
    <t>BRBF</t>
  </si>
  <si>
    <t>MC264036</t>
  </si>
  <si>
    <t>Baxter Healthcare</t>
  </si>
  <si>
    <t>C007</t>
  </si>
  <si>
    <t>Bay and Bay Transportation</t>
  </si>
  <si>
    <t>BAYN</t>
  </si>
  <si>
    <t>MC087231</t>
  </si>
  <si>
    <t>Bay Lines, Inc.</t>
  </si>
  <si>
    <t>BYLM</t>
  </si>
  <si>
    <t>MC186516</t>
  </si>
  <si>
    <t>Bay Shippers Delaware Fleet</t>
  </si>
  <si>
    <t>BAPP</t>
  </si>
  <si>
    <t>MC406807</t>
  </si>
  <si>
    <t>BBC Express LLC</t>
  </si>
  <si>
    <t>BBCS</t>
  </si>
  <si>
    <t>MC777231</t>
  </si>
  <si>
    <t>BBW Holdings, Inc: Mich Fleet</t>
  </si>
  <si>
    <t>BBWI</t>
  </si>
  <si>
    <t>MC880877</t>
  </si>
  <si>
    <t>BCJ Trucking Inc.</t>
  </si>
  <si>
    <t>BCJ1</t>
  </si>
  <si>
    <t>MC178219</t>
  </si>
  <si>
    <t>BCP Transportation, Inc</t>
  </si>
  <si>
    <t>BCPB</t>
  </si>
  <si>
    <t>MC425222</t>
  </si>
  <si>
    <t>BD Transportation, Inc</t>
  </si>
  <si>
    <t>BDTD</t>
  </si>
  <si>
    <t>MC375816</t>
  </si>
  <si>
    <t>Beacon Transport, LLC</t>
  </si>
  <si>
    <t>BCNT</t>
  </si>
  <si>
    <t>MC382721</t>
  </si>
  <si>
    <t>Bear Cartage &amp; Intermodal, Inc.</t>
  </si>
  <si>
    <t>BCRG</t>
  </si>
  <si>
    <t>MC278215</t>
  </si>
  <si>
    <t>Bear Trucking, Inc.</t>
  </si>
  <si>
    <t>BERO</t>
  </si>
  <si>
    <t>MC367467</t>
  </si>
  <si>
    <t>Beckmann Distribution Service, Inc.</t>
  </si>
  <si>
    <t>BCKD</t>
  </si>
  <si>
    <t>MC170151</t>
  </si>
  <si>
    <t>Beco, Inc.</t>
  </si>
  <si>
    <t>BECC</t>
  </si>
  <si>
    <t>MC148002</t>
  </si>
  <si>
    <t>Bee-Line Delivery Service</t>
  </si>
  <si>
    <t>BEFO</t>
  </si>
  <si>
    <t>MC288734</t>
  </si>
  <si>
    <t>Bee-Line Delivery Southwest,Inc.</t>
  </si>
  <si>
    <t>BLVY</t>
  </si>
  <si>
    <t>MC722044</t>
  </si>
  <si>
    <t>Beemac Trucking, LLC</t>
  </si>
  <si>
    <t>BEMC</t>
  </si>
  <si>
    <t>MC365667</t>
  </si>
  <si>
    <t>Beimel Transportation Inc: BTI</t>
  </si>
  <si>
    <t>BMTS</t>
  </si>
  <si>
    <t>Bell City Transport Systems 2012 Inc.</t>
  </si>
  <si>
    <t>BCYT</t>
  </si>
  <si>
    <t>MC797190</t>
  </si>
  <si>
    <t>Bella Transport Inc</t>
  </si>
  <si>
    <t>BLXW</t>
  </si>
  <si>
    <t>MC615133</t>
  </si>
  <si>
    <t>Bellerud Transport, Inc.</t>
  </si>
  <si>
    <t>BDRF</t>
  </si>
  <si>
    <t>MC160721</t>
  </si>
  <si>
    <t>Belue Trucking Company, Inc.</t>
  </si>
  <si>
    <t>BLTG</t>
  </si>
  <si>
    <t>MC134978</t>
  </si>
  <si>
    <t>Bengal Transportation Services LLC: BTS</t>
  </si>
  <si>
    <t>BNGP</t>
  </si>
  <si>
    <t>MC289607</t>
  </si>
  <si>
    <t>Benjamin Mazer Trucking, Inc.</t>
  </si>
  <si>
    <t>MAZR</t>
  </si>
  <si>
    <t>MC269221</t>
  </si>
  <si>
    <t>Benjamin Moore &amp; Company</t>
  </si>
  <si>
    <t>MBCV</t>
  </si>
  <si>
    <t>MC336266</t>
  </si>
  <si>
    <t>Bennett Motor Express LLC</t>
  </si>
  <si>
    <t>MC129712</t>
  </si>
  <si>
    <t>Benny Whitehead Inc</t>
  </si>
  <si>
    <t>WHBN</t>
  </si>
  <si>
    <t>MC157384</t>
  </si>
  <si>
    <t>Benore Logistic Systems, Inc.</t>
  </si>
  <si>
    <t>BLSY</t>
  </si>
  <si>
    <t>MC469784</t>
  </si>
  <si>
    <t>Berry &amp; Smith Trucking Ltd</t>
  </si>
  <si>
    <t>BNSL</t>
  </si>
  <si>
    <t>MC141302</t>
  </si>
  <si>
    <t>Bert E. Jessup Transportation, Inc.</t>
  </si>
  <si>
    <t>JEBN</t>
  </si>
  <si>
    <t>MC263823</t>
  </si>
  <si>
    <t>Best Services Group, Inc: Best Cartage, Inc</t>
  </si>
  <si>
    <t>BSCG</t>
  </si>
  <si>
    <t>MC173882</t>
  </si>
  <si>
    <t>Best Services Group, Inc: Best Dedicated, LLC</t>
  </si>
  <si>
    <t>BSDL</t>
  </si>
  <si>
    <t>MC489960</t>
  </si>
  <si>
    <t>Best Services Group, Inc: Best Specialized, LLC</t>
  </si>
  <si>
    <t>HAWT</t>
  </si>
  <si>
    <t>MC416504</t>
  </si>
  <si>
    <t>Best Transportation LLC</t>
  </si>
  <si>
    <t>BESR</t>
  </si>
  <si>
    <t>MC472409</t>
  </si>
  <si>
    <t>Best Way Expediting, LLC</t>
  </si>
  <si>
    <t>BSWW</t>
  </si>
  <si>
    <t>MC649326</t>
  </si>
  <si>
    <t>Bestway Express, Inc.</t>
  </si>
  <si>
    <t>BWEP</t>
  </si>
  <si>
    <t>MC162820</t>
  </si>
  <si>
    <t>Bestway Systems Inc</t>
  </si>
  <si>
    <t>BSWS</t>
  </si>
  <si>
    <t>MC161173</t>
  </si>
  <si>
    <t>Bett-A-Way Beverage Distributors, Inc.</t>
  </si>
  <si>
    <t>MC210330</t>
  </si>
  <si>
    <t>BIA GROUP INC: FTL</t>
  </si>
  <si>
    <t>Biagi Bros., Inc.</t>
  </si>
  <si>
    <t>BIAP</t>
  </si>
  <si>
    <t>MC247822</t>
  </si>
  <si>
    <t>Big Freight Systems Inc</t>
  </si>
  <si>
    <t>BFSE</t>
  </si>
  <si>
    <t>MC150381</t>
  </si>
  <si>
    <t>Big G Express, Inc</t>
  </si>
  <si>
    <t>BGXP</t>
  </si>
  <si>
    <t>MC282266</t>
  </si>
  <si>
    <t>Big M Transportation: Intermodal</t>
  </si>
  <si>
    <t>BMAV</t>
  </si>
  <si>
    <t>MC394402</t>
  </si>
  <si>
    <t>Big M Transportation: Truck Load</t>
  </si>
  <si>
    <t>Bigg Wrigg Trucking &amp; Logistics LLC</t>
  </si>
  <si>
    <t>MC888652</t>
  </si>
  <si>
    <t>Bilbo Transports Inc.</t>
  </si>
  <si>
    <t>BIBT</t>
  </si>
  <si>
    <t>MC134547</t>
  </si>
  <si>
    <t>Bill Davis Trucking, Inc.</t>
  </si>
  <si>
    <t>DASB</t>
  </si>
  <si>
    <t>MC154596</t>
  </si>
  <si>
    <t>Bill Wilson Trucking LLC</t>
  </si>
  <si>
    <t>WBTC</t>
  </si>
  <si>
    <t>MC252087</t>
  </si>
  <si>
    <t>Billy Barnes Enterprises, Inc.</t>
  </si>
  <si>
    <t>BBEH,BBEG</t>
  </si>
  <si>
    <t>MC145943</t>
  </si>
  <si>
    <t>Billy Cook Trucking</t>
  </si>
  <si>
    <t>MC361884</t>
  </si>
  <si>
    <t>Bimbo Bakeries USA: BBU</t>
  </si>
  <si>
    <t>MC304937</t>
  </si>
  <si>
    <t>Birchwood Transport , Inc.</t>
  </si>
  <si>
    <t>BHWT</t>
  </si>
  <si>
    <t>Bisom Truck Line, Inc.</t>
  </si>
  <si>
    <t>BISM</t>
  </si>
  <si>
    <t>MC59317</t>
  </si>
  <si>
    <t>Bison Transport, Inc.: Dry Van</t>
  </si>
  <si>
    <t>Bison Transport, Inc.: Reefer</t>
  </si>
  <si>
    <t>BJK Transport LLC: BJK Transport LLC</t>
  </si>
  <si>
    <t>BJKC</t>
  </si>
  <si>
    <t>MC388087</t>
  </si>
  <si>
    <t>BK Trucking Co. Inc.: BKCO</t>
  </si>
  <si>
    <t>BKCO</t>
  </si>
  <si>
    <t>MC484825</t>
  </si>
  <si>
    <t>Black Horse Carriers Inc.: Master</t>
  </si>
  <si>
    <t>MC359207</t>
  </si>
  <si>
    <t>Blackhawk Transport, Inc.</t>
  </si>
  <si>
    <t>BLKW</t>
  </si>
  <si>
    <t>MC231795</t>
  </si>
  <si>
    <t>Blue and Grey Transport, LLC.</t>
  </si>
  <si>
    <t>BGTY</t>
  </si>
  <si>
    <t>MC190263</t>
  </si>
  <si>
    <t>Blue Eagle Logistics, Inc.</t>
  </si>
  <si>
    <t>BEGJ</t>
  </si>
  <si>
    <t>MC825974</t>
  </si>
  <si>
    <t>Blue Land Transportation Inc.</t>
  </si>
  <si>
    <t>BLNO</t>
  </si>
  <si>
    <t>MC456174</t>
  </si>
  <si>
    <t>Blue Line Foodservice Distribution</t>
  </si>
  <si>
    <t>BLXD</t>
  </si>
  <si>
    <t>MC773700</t>
  </si>
  <si>
    <t>Blue Streak Courier Service, Inc.</t>
  </si>
  <si>
    <t>BKCG</t>
  </si>
  <si>
    <t>MC190454</t>
  </si>
  <si>
    <t>Blue Trans Logistics Inc.</t>
  </si>
  <si>
    <t>BUET</t>
  </si>
  <si>
    <t>MC535321</t>
  </si>
  <si>
    <t>Blue Water Trucking Inc.:</t>
  </si>
  <si>
    <t>BUWG</t>
  </si>
  <si>
    <t>MC238484</t>
  </si>
  <si>
    <t>Bluefield Transport LLC</t>
  </si>
  <si>
    <t>BLFB</t>
  </si>
  <si>
    <t>MC448042</t>
  </si>
  <si>
    <t>Bluegrass Trucking Inc.</t>
  </si>
  <si>
    <t>BUGK</t>
  </si>
  <si>
    <t>MC224540</t>
  </si>
  <si>
    <t>BlueLinx Corporation</t>
  </si>
  <si>
    <t>BXCO</t>
  </si>
  <si>
    <t>MC486175</t>
  </si>
  <si>
    <t>BMM Transportation Inc: BMM Transportation Inc</t>
  </si>
  <si>
    <t>BMMT</t>
  </si>
  <si>
    <t>MC642643</t>
  </si>
  <si>
    <t>Boatman Express</t>
  </si>
  <si>
    <t>BTXB</t>
  </si>
  <si>
    <t>MC397064</t>
  </si>
  <si>
    <t>Boaty's Transport Inc.</t>
  </si>
  <si>
    <t>BTYP</t>
  </si>
  <si>
    <t>MC256731</t>
  </si>
  <si>
    <t>Bob Green Trucking</t>
  </si>
  <si>
    <t>GRIV</t>
  </si>
  <si>
    <t>MC296284</t>
  </si>
  <si>
    <t>Bob's Transport &amp; Storage Co., Inc.</t>
  </si>
  <si>
    <t>MC148624</t>
  </si>
  <si>
    <t>bogarin trucking inc.</t>
  </si>
  <si>
    <t>BOGD</t>
  </si>
  <si>
    <t>MC321395</t>
  </si>
  <si>
    <t>Bogdan Delivery LLC</t>
  </si>
  <si>
    <t>MC673455</t>
  </si>
  <si>
    <t>Boise White Paper LLC: Dedicated Dry Van</t>
  </si>
  <si>
    <t>BCTO</t>
  </si>
  <si>
    <t>MC133589</t>
  </si>
  <si>
    <t>Boise White Paper LLC: Heavy Haul Flatbed</t>
  </si>
  <si>
    <t>Boise White Paper LLC: Heavy Haul Wood Residual</t>
  </si>
  <si>
    <t>Bold Transportation Inc.</t>
  </si>
  <si>
    <t>BTNK</t>
  </si>
  <si>
    <t>MC2155663</t>
  </si>
  <si>
    <t>Bolt Express</t>
  </si>
  <si>
    <t>BXPE</t>
  </si>
  <si>
    <t>MC408074</t>
  </si>
  <si>
    <t>Bolt Express Truckload</t>
  </si>
  <si>
    <t>BETY</t>
  </si>
  <si>
    <t>MC563795</t>
  </si>
  <si>
    <t>Bolus Freight Systems</t>
  </si>
  <si>
    <t>BOUF</t>
  </si>
  <si>
    <t>MC063838</t>
  </si>
  <si>
    <t>Booth Delivery Service</t>
  </si>
  <si>
    <t>MC123124</t>
  </si>
  <si>
    <t>Border Connect Freight Services Inc.</t>
  </si>
  <si>
    <t>BCNF</t>
  </si>
  <si>
    <t>MC556564</t>
  </si>
  <si>
    <t>Bowie Transportation Co., Inc.</t>
  </si>
  <si>
    <t>BWTO</t>
  </si>
  <si>
    <t>MC210287</t>
  </si>
  <si>
    <t>Boyd &amp; Sons, Inc.</t>
  </si>
  <si>
    <t>BOYA</t>
  </si>
  <si>
    <t>MC155951</t>
  </si>
  <si>
    <t>Boyd Bros Transportation, Inc.</t>
  </si>
  <si>
    <t>BODB</t>
  </si>
  <si>
    <t>MC126305</t>
  </si>
  <si>
    <t>Boyd Special Commodities, Inc.</t>
  </si>
  <si>
    <t>BSCM</t>
  </si>
  <si>
    <t>MC0012138</t>
  </si>
  <si>
    <t>Boyle Transportation: BYLE</t>
  </si>
  <si>
    <t>BYLE</t>
  </si>
  <si>
    <t>MC054819</t>
  </si>
  <si>
    <t>Bozzuto's Inc.</t>
  </si>
  <si>
    <t>CSIO</t>
  </si>
  <si>
    <t>MC179376</t>
  </si>
  <si>
    <t>BP Express, Inc.</t>
  </si>
  <si>
    <t>BPXP</t>
  </si>
  <si>
    <t>MC238914</t>
  </si>
  <si>
    <t>Brach Trucking Inc</t>
  </si>
  <si>
    <t>BLBW</t>
  </si>
  <si>
    <t>MC324914</t>
  </si>
  <si>
    <t>Braun's Express Inc.</t>
  </si>
  <si>
    <t>BRXS,BXID</t>
  </si>
  <si>
    <t>MC008713</t>
  </si>
  <si>
    <t>Brendamour Moving &amp; Storage, Inc: Delivery Service</t>
  </si>
  <si>
    <t>BMVQ</t>
  </si>
  <si>
    <t>MC296052</t>
  </si>
  <si>
    <t>Brenke Logistics LLC</t>
  </si>
  <si>
    <t>BKLD</t>
  </si>
  <si>
    <t>MC807595</t>
  </si>
  <si>
    <t>Brent Redmond Transportation, Inc.</t>
  </si>
  <si>
    <t>RBRA</t>
  </si>
  <si>
    <t>MC240080</t>
  </si>
  <si>
    <t>Brian Kurtz Trucking Ltd.</t>
  </si>
  <si>
    <t>KBTL</t>
  </si>
  <si>
    <t>MC174267</t>
  </si>
  <si>
    <t>Bridgestone Americas Tire Operations, LLC</t>
  </si>
  <si>
    <t>BGFI</t>
  </si>
  <si>
    <t>MC309557</t>
  </si>
  <si>
    <t>Bright Sky Transport LLC</t>
  </si>
  <si>
    <t>BSYJ</t>
  </si>
  <si>
    <t>MC848965</t>
  </si>
  <si>
    <t>Britton Transport Inc</t>
  </si>
  <si>
    <t>BITD</t>
  </si>
  <si>
    <t>MC157782</t>
  </si>
  <si>
    <t>Briway Carriers Inc.</t>
  </si>
  <si>
    <t>BRWY</t>
  </si>
  <si>
    <t>MC328452</t>
  </si>
  <si>
    <t>Brock Express, Inc.</t>
  </si>
  <si>
    <t>BKXY</t>
  </si>
  <si>
    <t>MC350109</t>
  </si>
  <si>
    <t>Brokings Transport Inc: Local</t>
  </si>
  <si>
    <t>BROK</t>
  </si>
  <si>
    <t>MC853810</t>
  </si>
  <si>
    <t>Brokings Transport Inc: Long Haul</t>
  </si>
  <si>
    <t>Brookshire's Grocery Company: BGC</t>
  </si>
  <si>
    <t>BGC1</t>
  </si>
  <si>
    <t>MC059930</t>
  </si>
  <si>
    <t>Brown Line, LLC</t>
  </si>
  <si>
    <t>MC079648</t>
  </si>
  <si>
    <t>Brown Logistics, Inc.</t>
  </si>
  <si>
    <t>BNIN</t>
  </si>
  <si>
    <t>MC295560</t>
  </si>
  <si>
    <t>Brown Trucking Company</t>
  </si>
  <si>
    <t>BRJF,BTFH</t>
  </si>
  <si>
    <t>MC148714</t>
  </si>
  <si>
    <t>Brownmiller Leasing &amp; Transportation Inc.</t>
  </si>
  <si>
    <t>BLTS</t>
  </si>
  <si>
    <t>MC408020</t>
  </si>
  <si>
    <t>Bruce R. Smith Limited</t>
  </si>
  <si>
    <t>SBRL</t>
  </si>
  <si>
    <t>Bryan Truck Line, Inc.</t>
  </si>
  <si>
    <t>BRYN</t>
  </si>
  <si>
    <t>MC061470</t>
  </si>
  <si>
    <t>BSP Trans., Inc.</t>
  </si>
  <si>
    <t>BSPT</t>
  </si>
  <si>
    <t>MC136428</t>
  </si>
  <si>
    <t>BTC Express Inc.</t>
  </si>
  <si>
    <t>BTCE</t>
  </si>
  <si>
    <t>Buchanan Hauling &amp; Rigging, Inc.</t>
  </si>
  <si>
    <t>BHRI</t>
  </si>
  <si>
    <t>MC306359</t>
  </si>
  <si>
    <t>Bud's Enterprises, Inc.</t>
  </si>
  <si>
    <t>BDNP</t>
  </si>
  <si>
    <t>MC242782</t>
  </si>
  <si>
    <t>Buddy L Transport</t>
  </si>
  <si>
    <t>BDYL</t>
  </si>
  <si>
    <t>MC395335</t>
  </si>
  <si>
    <t>Buesing Bulk Transport, Inc.</t>
  </si>
  <si>
    <t>BBOT</t>
  </si>
  <si>
    <t>MC140273</t>
  </si>
  <si>
    <t>Building Systems Transportation: Flatbed Division</t>
  </si>
  <si>
    <t>BSYS</t>
  </si>
  <si>
    <t>MC139083</t>
  </si>
  <si>
    <t>Building Systems Transportation: Van Division</t>
  </si>
  <si>
    <t>Bulk Express Logistics Inc.</t>
  </si>
  <si>
    <t>BKEN</t>
  </si>
  <si>
    <t>MC517567</t>
  </si>
  <si>
    <t>Bulk or Liquid Transport, LLC (BOLT)</t>
  </si>
  <si>
    <t>BKCD</t>
  </si>
  <si>
    <t>MC564690</t>
  </si>
  <si>
    <t>Bulk Service Transport, Inc. dba James J. Williams: Hopper, Bulk &amp; Tanker Fleet</t>
  </si>
  <si>
    <t>BSVP</t>
  </si>
  <si>
    <t>MC110252</t>
  </si>
  <si>
    <t>Bulkmatic Transport</t>
  </si>
  <si>
    <t>BULJ</t>
  </si>
  <si>
    <t>MC128205</t>
  </si>
  <si>
    <t>Bulldog Hiway Express</t>
  </si>
  <si>
    <t>BHEQ</t>
  </si>
  <si>
    <t>MC126898</t>
  </si>
  <si>
    <t>Burns Motor Freight, Inc.</t>
  </si>
  <si>
    <t>BRRN</t>
  </si>
  <si>
    <t>MC111785</t>
  </si>
  <si>
    <t>Butler Transport, Inc.</t>
  </si>
  <si>
    <t>BTAK</t>
  </si>
  <si>
    <t>MC212216</t>
  </si>
  <si>
    <t>BXT, Inc.</t>
  </si>
  <si>
    <t>BXTS</t>
  </si>
  <si>
    <t>MC568177</t>
  </si>
  <si>
    <t>Bynum Transport, Inc.</t>
  </si>
  <si>
    <t>BYUM</t>
  </si>
  <si>
    <t>MC138687</t>
  </si>
  <si>
    <t>Byron L. Lang, Inc</t>
  </si>
  <si>
    <t>LGBL</t>
  </si>
  <si>
    <t>MC182604</t>
  </si>
  <si>
    <t>C &amp; F Moving LLC</t>
  </si>
  <si>
    <t>C Bar P Trucking, Inc.</t>
  </si>
  <si>
    <t>CBPT</t>
  </si>
  <si>
    <t>MC353898</t>
  </si>
  <si>
    <t>C Blackburn Inc</t>
  </si>
  <si>
    <t>C H Hall Trucking Inc.</t>
  </si>
  <si>
    <t>HCHG</t>
  </si>
  <si>
    <t>C R Dutton Transportation, LLC</t>
  </si>
  <si>
    <t>DUCR</t>
  </si>
  <si>
    <t>MC186847</t>
  </si>
  <si>
    <t>C&amp;A Transportation Inc.</t>
  </si>
  <si>
    <t>CAXT</t>
  </si>
  <si>
    <t>MC221587</t>
  </si>
  <si>
    <t>C&amp;J Bark Haulers Inc</t>
  </si>
  <si>
    <t>CJBH</t>
  </si>
  <si>
    <t>MC743107</t>
  </si>
  <si>
    <t>C&amp;K Trucking, LLC</t>
  </si>
  <si>
    <t>CKKI</t>
  </si>
  <si>
    <t>MC268946</t>
  </si>
  <si>
    <t>C&amp;L Transport: Trucking</t>
  </si>
  <si>
    <t>CLJW</t>
  </si>
  <si>
    <t>MC143081</t>
  </si>
  <si>
    <t>C. C. Jones, Inc</t>
  </si>
  <si>
    <t>JCCD</t>
  </si>
  <si>
    <t>MC203618</t>
  </si>
  <si>
    <t>C.A.R. Transport, Inc.</t>
  </si>
  <si>
    <t>CRGH</t>
  </si>
  <si>
    <t>MC171569</t>
  </si>
  <si>
    <t>C.A.T. Inc.: C.A.T. inc.</t>
  </si>
  <si>
    <t>C.H. Express Inc.</t>
  </si>
  <si>
    <t>CHES</t>
  </si>
  <si>
    <t>MC365538</t>
  </si>
  <si>
    <t>C.L.Richert Trucking Co Inc: asset based contract carrier</t>
  </si>
  <si>
    <t>RTOH</t>
  </si>
  <si>
    <t>MC297584</t>
  </si>
  <si>
    <t>C.O.R.E. Trucking World Wide LLC</t>
  </si>
  <si>
    <t>CORV</t>
  </si>
  <si>
    <t>MC920312</t>
  </si>
  <si>
    <t>C.R. England: Truckload</t>
  </si>
  <si>
    <t>ENGC</t>
  </si>
  <si>
    <t>C.R. Vlora, Inc.</t>
  </si>
  <si>
    <t>CRVE</t>
  </si>
  <si>
    <t>MC932075</t>
  </si>
  <si>
    <t>Cadence Premier Global, Inc: Dry Van Division</t>
  </si>
  <si>
    <t>CPGB</t>
  </si>
  <si>
    <t>MC756120</t>
  </si>
  <si>
    <t>Caine Transfer Inc</t>
  </si>
  <si>
    <t>MC138388</t>
  </si>
  <si>
    <t>CalArk, Inc.</t>
  </si>
  <si>
    <t>CALJ</t>
  </si>
  <si>
    <t>MC270827</t>
  </si>
  <si>
    <t>Caledonia Haulers LLC</t>
  </si>
  <si>
    <t>CADH</t>
  </si>
  <si>
    <t>MC176498</t>
  </si>
  <si>
    <t>Calex ISCS, Inc.</t>
  </si>
  <si>
    <t>CLXE</t>
  </si>
  <si>
    <t>MC139112</t>
  </si>
  <si>
    <t>California Cartage Express: Dray</t>
  </si>
  <si>
    <t>MC254964</t>
  </si>
  <si>
    <t>California Multimodal LLC</t>
  </si>
  <si>
    <t>CFMM</t>
  </si>
  <si>
    <t>MC1828554</t>
  </si>
  <si>
    <t>California Overland, Ltd.</t>
  </si>
  <si>
    <t>CAOV</t>
  </si>
  <si>
    <t>MC417805</t>
  </si>
  <si>
    <t>Camero Transport Inc.</t>
  </si>
  <si>
    <t>CPBS</t>
  </si>
  <si>
    <t>Camionnage CP Inc.</t>
  </si>
  <si>
    <t>CMNA</t>
  </si>
  <si>
    <t>Campbell's Express</t>
  </si>
  <si>
    <t>CAAE</t>
  </si>
  <si>
    <t>MC000109</t>
  </si>
  <si>
    <t>Can-Am West Carriers Inc.</t>
  </si>
  <si>
    <t>CAWD</t>
  </si>
  <si>
    <t>MC170756</t>
  </si>
  <si>
    <t>Canada Cartage System LP: CCSLP</t>
  </si>
  <si>
    <t>MC551530</t>
  </si>
  <si>
    <t>Canada Road Carrier Ltd.</t>
  </si>
  <si>
    <t>CRCD</t>
  </si>
  <si>
    <t>MC371450</t>
  </si>
  <si>
    <t>Canadian Freightways: CFWL</t>
  </si>
  <si>
    <t>CFWL</t>
  </si>
  <si>
    <t>Canadian National Transportation Limited</t>
  </si>
  <si>
    <t>CQNL</t>
  </si>
  <si>
    <t>MC298071</t>
  </si>
  <si>
    <t>Canal Cartage Company: Drayage</t>
  </si>
  <si>
    <t>CAQC</t>
  </si>
  <si>
    <t>MC276209</t>
  </si>
  <si>
    <t>Canal Cartage Company: Dry Van</t>
  </si>
  <si>
    <t>Canamex Carbra Transportation Services Inc.</t>
  </si>
  <si>
    <t>CXTY</t>
  </si>
  <si>
    <t>MC309700</t>
  </si>
  <si>
    <t>Canex Freight Systems Inc.</t>
  </si>
  <si>
    <t>CXFN</t>
  </si>
  <si>
    <t>Cannon Express of the Southeast, LLC</t>
  </si>
  <si>
    <t>CXPI</t>
  </si>
  <si>
    <t>MC335340</t>
  </si>
  <si>
    <t>Cano and Sons Trucking, LLC</t>
  </si>
  <si>
    <t>CAQM</t>
  </si>
  <si>
    <t>MC420519</t>
  </si>
  <si>
    <t>Cap Logistics</t>
  </si>
  <si>
    <t>CPFE</t>
  </si>
  <si>
    <t>MC182087</t>
  </si>
  <si>
    <t>Capable Express LLC</t>
  </si>
  <si>
    <t>CXSY</t>
  </si>
  <si>
    <t>MC837116</t>
  </si>
  <si>
    <t>Capitol Express Lines Inc</t>
  </si>
  <si>
    <t>CXLH</t>
  </si>
  <si>
    <t>MC914109</t>
  </si>
  <si>
    <t>Caravan Logistics Inc.</t>
  </si>
  <si>
    <t>CVLG</t>
  </si>
  <si>
    <t>Carboro Carrier Group LLC</t>
  </si>
  <si>
    <t>CCUJ</t>
  </si>
  <si>
    <t>MC795215</t>
  </si>
  <si>
    <t>Cardinal Health 200, LLC</t>
  </si>
  <si>
    <t>MC308012</t>
  </si>
  <si>
    <t>Cardinal Health Canada</t>
  </si>
  <si>
    <t>Cardinal Logistics Management Corporation: Cardinal Dedicated</t>
  </si>
  <si>
    <t>CCNI</t>
  </si>
  <si>
    <t>MC154105</t>
  </si>
  <si>
    <t>Cardinal Transport, Inc.</t>
  </si>
  <si>
    <t>CRDT</t>
  </si>
  <si>
    <t>MC142059</t>
  </si>
  <si>
    <t>Carey Leasing Ltd.: Carey Leasing Ltd</t>
  </si>
  <si>
    <t>CYLD</t>
  </si>
  <si>
    <t>Cargo Solution Express Inc</t>
  </si>
  <si>
    <t>CHRY</t>
  </si>
  <si>
    <t>MC565817</t>
  </si>
  <si>
    <t>Cargo Transporters</t>
  </si>
  <si>
    <t>CGOR</t>
  </si>
  <si>
    <t>MC161652</t>
  </si>
  <si>
    <t>Carleton Transport Service, Inc</t>
  </si>
  <si>
    <t>CQVI</t>
  </si>
  <si>
    <t>MC399597</t>
  </si>
  <si>
    <t>Carlisle Carrier Corp.</t>
  </si>
  <si>
    <t>CIEQ</t>
  </si>
  <si>
    <t>MC223588</t>
  </si>
  <si>
    <t>Carman, Inc.</t>
  </si>
  <si>
    <t>CNID</t>
  </si>
  <si>
    <t>MC186076</t>
  </si>
  <si>
    <t>Carmen Pacheco Transportation LLC: CPT</t>
  </si>
  <si>
    <t>PHCO</t>
  </si>
  <si>
    <t>MC639609</t>
  </si>
  <si>
    <t>Carolina Southern, Inc.</t>
  </si>
  <si>
    <t>CRLH</t>
  </si>
  <si>
    <t>MC302075</t>
  </si>
  <si>
    <t>Carolina Tank Lines, Inc.</t>
  </si>
  <si>
    <t>CTAQ,CTAY</t>
  </si>
  <si>
    <t>MC165807</t>
  </si>
  <si>
    <t>Carrier Logistics, LLC.</t>
  </si>
  <si>
    <t>CLJY</t>
  </si>
  <si>
    <t>MC670329</t>
  </si>
  <si>
    <t>Carrier One Inc.</t>
  </si>
  <si>
    <t>CONH</t>
  </si>
  <si>
    <t>MC454483</t>
  </si>
  <si>
    <t>Carroll Fulmer Logistics Corporation</t>
  </si>
  <si>
    <t>FCLC</t>
  </si>
  <si>
    <t>MC430596</t>
  </si>
  <si>
    <t>cartage xperts co: tempertaure controlled</t>
  </si>
  <si>
    <t>CXCI</t>
  </si>
  <si>
    <t>MC463349</t>
  </si>
  <si>
    <t>Carter Express Inc.: Carter Express Inc.</t>
  </si>
  <si>
    <t>CTID</t>
  </si>
  <si>
    <t>MC158033</t>
  </si>
  <si>
    <t>Cascade Carriers L.P.</t>
  </si>
  <si>
    <t>CCLY</t>
  </si>
  <si>
    <t>Caspers Distribution</t>
  </si>
  <si>
    <t>CPDF</t>
  </si>
  <si>
    <t>MC892244</t>
  </si>
  <si>
    <t>Cassens Transport Co.</t>
  </si>
  <si>
    <t>CCC Transportation, LLC</t>
  </si>
  <si>
    <t>CCNC</t>
  </si>
  <si>
    <t>MC115491</t>
  </si>
  <si>
    <t>CCS Transportation, Inc.</t>
  </si>
  <si>
    <t>CCSQ</t>
  </si>
  <si>
    <t>MC337808</t>
  </si>
  <si>
    <t>CCT Auto Trans Inc.</t>
  </si>
  <si>
    <t>CAUW</t>
  </si>
  <si>
    <t>MC367066</t>
  </si>
  <si>
    <t>CCV Transport Express Inc</t>
  </si>
  <si>
    <t>CCVE</t>
  </si>
  <si>
    <t>MC447356</t>
  </si>
  <si>
    <t>CDN Logistics, Inc.</t>
  </si>
  <si>
    <t>CQDN</t>
  </si>
  <si>
    <t>MC332177</t>
  </si>
  <si>
    <t>CDS Transport Agent Group, Inc</t>
  </si>
  <si>
    <t>CTAC</t>
  </si>
  <si>
    <t>CDT USA Inc.</t>
  </si>
  <si>
    <t>CUST</t>
  </si>
  <si>
    <t>MC596963</t>
  </si>
  <si>
    <t>Cedarpoint Trucking, Inc.</t>
  </si>
  <si>
    <t>CEJT</t>
  </si>
  <si>
    <t>MC154095</t>
  </si>
  <si>
    <t>Celadon Group, Inc.: Celadon Trucking</t>
  </si>
  <si>
    <t>CDNK,CNGV,CELU,CDER,CELZ,CDFK,OSTP</t>
  </si>
  <si>
    <t>MC185116</t>
  </si>
  <si>
    <t>Centennial Southern Express, Inc.: Centennial Southern Express, Inc.</t>
  </si>
  <si>
    <t>CSXA</t>
  </si>
  <si>
    <t>MC359905</t>
  </si>
  <si>
    <t>Centennial Warehousing</t>
  </si>
  <si>
    <t>CWHG</t>
  </si>
  <si>
    <t>MC182285</t>
  </si>
  <si>
    <t>Central Coast Transport Inc.</t>
  </si>
  <si>
    <t>CQNP</t>
  </si>
  <si>
    <t>MC422319</t>
  </si>
  <si>
    <t>Central Freight Lines, Inc.</t>
  </si>
  <si>
    <t>CENT</t>
  </si>
  <si>
    <t>MC030867</t>
  </si>
  <si>
    <t>Central Nebraska Transload, Inc.</t>
  </si>
  <si>
    <t>CNTY</t>
  </si>
  <si>
    <t>MC813134</t>
  </si>
  <si>
    <t>Central Oregon Truck Company</t>
  </si>
  <si>
    <t>CEGT</t>
  </si>
  <si>
    <t>MC197839</t>
  </si>
  <si>
    <t>Central Pennsylvania Transportation, Inc</t>
  </si>
  <si>
    <t>CPYL</t>
  </si>
  <si>
    <t>MC209806</t>
  </si>
  <si>
    <t>Central States Distribution Service</t>
  </si>
  <si>
    <t>CSTS</t>
  </si>
  <si>
    <t>MC669897</t>
  </si>
  <si>
    <t>Central Transport, LLC</t>
  </si>
  <si>
    <t>CTII</t>
  </si>
  <si>
    <t>MC302382</t>
  </si>
  <si>
    <t>Central Trucking, Inc.</t>
  </si>
  <si>
    <t>CNLR</t>
  </si>
  <si>
    <t>MC155550</t>
  </si>
  <si>
    <t>Centurion Auto Transport, Inc.</t>
  </si>
  <si>
    <t>CAQH</t>
  </si>
  <si>
    <t>MC250549</t>
  </si>
  <si>
    <t>Centurion Trucking Inc.: Centurion</t>
  </si>
  <si>
    <t>CUUG</t>
  </si>
  <si>
    <t>MC644011</t>
  </si>
  <si>
    <t>Certified Freight Logistics, Inc.</t>
  </si>
  <si>
    <t>CERT</t>
  </si>
  <si>
    <t>MC646093</t>
  </si>
  <si>
    <t>CEVA Logistics, U.S.: cout</t>
  </si>
  <si>
    <t>COUT</t>
  </si>
  <si>
    <t>MC152620</t>
  </si>
  <si>
    <t>Challenger Freight Systems, Inc</t>
  </si>
  <si>
    <t>MC307437</t>
  </si>
  <si>
    <t>Challenger Motor Freight Inc.: Challenger Bulk</t>
  </si>
  <si>
    <t>CMFH</t>
  </si>
  <si>
    <t>MC171459</t>
  </si>
  <si>
    <t>Challenger Motor Freight Inc.: Special Commodities</t>
  </si>
  <si>
    <t>Challenger Motor Freight Inc.: Vans</t>
  </si>
  <si>
    <t>Champion Auto Carriers, Inc.</t>
  </si>
  <si>
    <t>CHPR</t>
  </si>
  <si>
    <t>MC356186</t>
  </si>
  <si>
    <t>Champion Transportation Services, Inc.</t>
  </si>
  <si>
    <t>CTQH</t>
  </si>
  <si>
    <t>MC206620</t>
  </si>
  <si>
    <t>Charger Logistics Inc.</t>
  </si>
  <si>
    <t>CLIJ</t>
  </si>
  <si>
    <t>MC629080</t>
  </si>
  <si>
    <t>Charles Jeffries &amp; Son Trucking, Inc</t>
  </si>
  <si>
    <t>JFCT</t>
  </si>
  <si>
    <t>MC178612</t>
  </si>
  <si>
    <t>Charles V Brown Trucking</t>
  </si>
  <si>
    <t>BWCH</t>
  </si>
  <si>
    <t>MC399397</t>
  </si>
  <si>
    <t>Chase Transport Group LLC</t>
  </si>
  <si>
    <t>CTGP</t>
  </si>
  <si>
    <t>MC790687</t>
  </si>
  <si>
    <t>Chaser Transport</t>
  </si>
  <si>
    <t>CHXP</t>
  </si>
  <si>
    <t>MC334565</t>
  </si>
  <si>
    <t>Cheema Freightlines LLC</t>
  </si>
  <si>
    <t>MC559877</t>
  </si>
  <si>
    <t>Cheeseman LLC</t>
  </si>
  <si>
    <t>CJRQ</t>
  </si>
  <si>
    <t>MC149440</t>
  </si>
  <si>
    <t>Chefas Fleet Services</t>
  </si>
  <si>
    <t>Cherokee Logistics Inc</t>
  </si>
  <si>
    <t>CKLG</t>
  </si>
  <si>
    <t>MC222751</t>
  </si>
  <si>
    <t>Chester Cartage Ltd.</t>
  </si>
  <si>
    <t>CSCA</t>
  </si>
  <si>
    <t>Cheyenne Express Inc</t>
  </si>
  <si>
    <t>CHYN</t>
  </si>
  <si>
    <t>MC450647</t>
  </si>
  <si>
    <t>Chief Express, LLC</t>
  </si>
  <si>
    <t>CHXF</t>
  </si>
  <si>
    <t>MC342674</t>
  </si>
  <si>
    <t>Child Truck Line, Inc.: Child Truck Line, Inc.</t>
  </si>
  <si>
    <t>CHDN</t>
  </si>
  <si>
    <t>MC148857</t>
  </si>
  <si>
    <t>Chizek Transport, Inc.</t>
  </si>
  <si>
    <t>CHZK</t>
  </si>
  <si>
    <t>MC138420</t>
  </si>
  <si>
    <t>Chohan Transportation, Inc.</t>
  </si>
  <si>
    <t>COHD</t>
  </si>
  <si>
    <t>MC789542</t>
  </si>
  <si>
    <t>Christenson Transportation, Inc.</t>
  </si>
  <si>
    <t>CHNS</t>
  </si>
  <si>
    <t>MC279799</t>
  </si>
  <si>
    <t>Churchill Transportation Inc.</t>
  </si>
  <si>
    <t>CHUH</t>
  </si>
  <si>
    <t>MC147259</t>
  </si>
  <si>
    <t>Cimarron Express, Inc.</t>
  </si>
  <si>
    <t>CIEG</t>
  </si>
  <si>
    <t>MC175471</t>
  </si>
  <si>
    <t>Circle B Enterprises, LLC</t>
  </si>
  <si>
    <t>CBKD</t>
  </si>
  <si>
    <t>MC268836</t>
  </si>
  <si>
    <t>Circle Logistics, Inc</t>
  </si>
  <si>
    <t>CLNC</t>
  </si>
  <si>
    <t>MC299953</t>
  </si>
  <si>
    <t>Circle T Logistics, Inc.</t>
  </si>
  <si>
    <t>CRCJ</t>
  </si>
  <si>
    <t>MC523923</t>
  </si>
  <si>
    <t>Citi-Cargo &amp; Storage Co. Inc.</t>
  </si>
  <si>
    <t>CUXM</t>
  </si>
  <si>
    <t>MC175925</t>
  </si>
  <si>
    <t>Citrus Systems Madison, LLC</t>
  </si>
  <si>
    <t>CSMF</t>
  </si>
  <si>
    <t>MC605726</t>
  </si>
  <si>
    <t>City Dash, Inc.</t>
  </si>
  <si>
    <t>CTYD</t>
  </si>
  <si>
    <t>MC200622</t>
  </si>
  <si>
    <t>Clancy Relocation &amp; Logistics</t>
  </si>
  <si>
    <t>CLMY</t>
  </si>
  <si>
    <t>MC265038</t>
  </si>
  <si>
    <t>Clanton Trucking, Inc.</t>
  </si>
  <si>
    <t>CTOB</t>
  </si>
  <si>
    <t>MC323109</t>
  </si>
  <si>
    <t>Clark Transfer Inc</t>
  </si>
  <si>
    <t>CLKT</t>
  </si>
  <si>
    <t>MC116859</t>
  </si>
  <si>
    <t>Clarke Road Transport Inc</t>
  </si>
  <si>
    <t>CKRT</t>
  </si>
  <si>
    <t>MC495080</t>
  </si>
  <si>
    <t>Classic Carriers Inc</t>
  </si>
  <si>
    <t>CCRK</t>
  </si>
  <si>
    <t>MC190369</t>
  </si>
  <si>
    <t>Classic Transportation Services, Inc.</t>
  </si>
  <si>
    <t>CTSP</t>
  </si>
  <si>
    <t>MC209918</t>
  </si>
  <si>
    <t>Clausen Supply Co dba Clausen Warehousing</t>
  </si>
  <si>
    <t>CSWH</t>
  </si>
  <si>
    <t>MC182131</t>
  </si>
  <si>
    <t>Cliff Viessman, Inc.: Live Bottom</t>
  </si>
  <si>
    <t>VIES</t>
  </si>
  <si>
    <t>MC143831</t>
  </si>
  <si>
    <t>Cliff Viessman, Inc.: Pneumatic</t>
  </si>
  <si>
    <t>Cliff Viessman, Inc.: Reefer</t>
  </si>
  <si>
    <t>Cliff Viessman, Inc.: Tanker</t>
  </si>
  <si>
    <t>Climate Express, Inc.</t>
  </si>
  <si>
    <t>CLXD</t>
  </si>
  <si>
    <t>MC306127</t>
  </si>
  <si>
    <t>Clinton's Ditch Cooperative Co., Inc.</t>
  </si>
  <si>
    <t>CDPY</t>
  </si>
  <si>
    <t>MC273347</t>
  </si>
  <si>
    <t>CloudBlue, An Ingram Micro Company</t>
  </si>
  <si>
    <t>CBGI</t>
  </si>
  <si>
    <t>CLT Air Freight</t>
  </si>
  <si>
    <t>CAFA</t>
  </si>
  <si>
    <t>MC301860</t>
  </si>
  <si>
    <t>CMAC Transportation, LLC</t>
  </si>
  <si>
    <t>CQQM</t>
  </si>
  <si>
    <t>MC402072</t>
  </si>
  <si>
    <t>CND Trucking, Inc.</t>
  </si>
  <si>
    <t>CDGK</t>
  </si>
  <si>
    <t>MC411404</t>
  </si>
  <si>
    <t>CNM Enterprises, Inc., dba White Stone Logistics</t>
  </si>
  <si>
    <t>WLOC</t>
  </si>
  <si>
    <t>MC618044</t>
  </si>
  <si>
    <t>Coach Transport, Inc.</t>
  </si>
  <si>
    <t>COCH</t>
  </si>
  <si>
    <t>MC425586</t>
  </si>
  <si>
    <t>Coast to Coast Logistics, LLC</t>
  </si>
  <si>
    <t>COGF</t>
  </si>
  <si>
    <t>Coastal Carriers Truck Lines Inc</t>
  </si>
  <si>
    <t>CCTN</t>
  </si>
  <si>
    <t>MC380631</t>
  </si>
  <si>
    <t>Coastal Pacific Xpress Inc.</t>
  </si>
  <si>
    <t>CXPF</t>
  </si>
  <si>
    <t>MC236678</t>
  </si>
  <si>
    <t>Coca-Cola Refreshments</t>
  </si>
  <si>
    <t>MC697344</t>
  </si>
  <si>
    <t>Codysur Expedite, LLC</t>
  </si>
  <si>
    <t>CYSA</t>
  </si>
  <si>
    <t>MC890184</t>
  </si>
  <si>
    <t>Coe Transfer, Inc.</t>
  </si>
  <si>
    <t>CTNE</t>
  </si>
  <si>
    <t>MC350816</t>
  </si>
  <si>
    <t>Coldliner Express, Inc.</t>
  </si>
  <si>
    <t>COLD</t>
  </si>
  <si>
    <t>MC911790</t>
  </si>
  <si>
    <t>Collins Trucking Co., Inc.</t>
  </si>
  <si>
    <t>CKCJ</t>
  </si>
  <si>
    <t>MC289600</t>
  </si>
  <si>
    <t>Colonial Cartage Corporation: Fleet Trucks</t>
  </si>
  <si>
    <t>CCGA</t>
  </si>
  <si>
    <t>MC170995</t>
  </si>
  <si>
    <t>Colonial Freight Systems Inc.</t>
  </si>
  <si>
    <t>CFSM</t>
  </si>
  <si>
    <t>MC115841</t>
  </si>
  <si>
    <t>Columbian Distribution Services, Inc.</t>
  </si>
  <si>
    <t>CSNT</t>
  </si>
  <si>
    <t>MC052580</t>
  </si>
  <si>
    <t>Combined Transport, Inc.: Blackwell Consolidation, LLC.</t>
  </si>
  <si>
    <t>BWCD</t>
  </si>
  <si>
    <t>MC741798</t>
  </si>
  <si>
    <t>Combined Transport, Inc.: Combined Transport, Inc.</t>
  </si>
  <si>
    <t>CMBD</t>
  </si>
  <si>
    <t>MC152144</t>
  </si>
  <si>
    <t>Commodity Carriers Inc</t>
  </si>
  <si>
    <t>COOT</t>
  </si>
  <si>
    <t>MC248911</t>
  </si>
  <si>
    <t>Commodore Express , INC</t>
  </si>
  <si>
    <t>CMEE</t>
  </si>
  <si>
    <t>MC333606</t>
  </si>
  <si>
    <t>Compton Transfer &amp; Storage</t>
  </si>
  <si>
    <t>COTS</t>
  </si>
  <si>
    <t>MC003486</t>
  </si>
  <si>
    <t>Comstar Enterprises, Inc</t>
  </si>
  <si>
    <t>CSEP</t>
  </si>
  <si>
    <t>MC292144</t>
  </si>
  <si>
    <t>Con-Way Truckload dba XPO Logistics</t>
  </si>
  <si>
    <t>CTRQ</t>
  </si>
  <si>
    <t>MC119399</t>
  </si>
  <si>
    <t>Conard Transportation, Inc.: Conard Transportation</t>
  </si>
  <si>
    <t>CDPN</t>
  </si>
  <si>
    <t>MC533846</t>
  </si>
  <si>
    <t>Concare Logistics Inc</t>
  </si>
  <si>
    <t>CGIV</t>
  </si>
  <si>
    <t>MC695669</t>
  </si>
  <si>
    <t>Condor Express Inc</t>
  </si>
  <si>
    <t>CNXD</t>
  </si>
  <si>
    <t>MC826725</t>
  </si>
  <si>
    <t>Connell Transport International Inc.</t>
  </si>
  <si>
    <t>CTIO</t>
  </si>
  <si>
    <t>MC940487</t>
  </si>
  <si>
    <t>Connors Transfer Limited</t>
  </si>
  <si>
    <t>CSFQ</t>
  </si>
  <si>
    <t>MC204716</t>
  </si>
  <si>
    <t>Container Connection*</t>
  </si>
  <si>
    <t>CCOO</t>
  </si>
  <si>
    <t>MC940144</t>
  </si>
  <si>
    <t>Container Transfer Corp</t>
  </si>
  <si>
    <t>CTCR</t>
  </si>
  <si>
    <t>MC244013</t>
  </si>
  <si>
    <t>ContainerFreight/EIT, LLC</t>
  </si>
  <si>
    <t>CFRT</t>
  </si>
  <si>
    <t>MC107841</t>
  </si>
  <si>
    <t>Continental Expedited Services Inc</t>
  </si>
  <si>
    <t>CESF</t>
  </si>
  <si>
    <t>MC627220</t>
  </si>
  <si>
    <t>Continental Express, Inc.</t>
  </si>
  <si>
    <t>COXS</t>
  </si>
  <si>
    <t>MC173878</t>
  </si>
  <si>
    <t>Continental Group LLC</t>
  </si>
  <si>
    <t>CFHM</t>
  </si>
  <si>
    <t>MC746701</t>
  </si>
  <si>
    <t>Contract Transport Services, LLC</t>
  </si>
  <si>
    <t>COTA</t>
  </si>
  <si>
    <t>MC145402</t>
  </si>
  <si>
    <t>Contract Transportation Systems, Co. (Sherwin Will: 188891</t>
  </si>
  <si>
    <t>CTSM</t>
  </si>
  <si>
    <t>MC1525090</t>
  </si>
  <si>
    <t>Contrans Group Inc.: Brookville Carriers Flatbed</t>
  </si>
  <si>
    <t>Contrans Group Inc.: Contrans Flatbed Group</t>
  </si>
  <si>
    <t>CFGO</t>
  </si>
  <si>
    <t>Contrans Group Inc.: Glen Tay Transportation</t>
  </si>
  <si>
    <t>TAYP</t>
  </si>
  <si>
    <t>Contrans Group Inc.: Laidlaw Carriers Van</t>
  </si>
  <si>
    <t>LCVG</t>
  </si>
  <si>
    <t>Contrans Group Inc.: Tri-Line Carriers</t>
  </si>
  <si>
    <t>TLNC</t>
  </si>
  <si>
    <t>Contrans Group Inc.: Tripar Transportation</t>
  </si>
  <si>
    <t>TPTT</t>
  </si>
  <si>
    <t>CONUS Transportation Inc</t>
  </si>
  <si>
    <t>CNUT</t>
  </si>
  <si>
    <t>MC204772</t>
  </si>
  <si>
    <t>Convenience Transportation, LLC: CVRO</t>
  </si>
  <si>
    <t>CVRO</t>
  </si>
  <si>
    <t>MC347275</t>
  </si>
  <si>
    <t>Convoy Systems LLC</t>
  </si>
  <si>
    <t>CNVS</t>
  </si>
  <si>
    <t>MC167183</t>
  </si>
  <si>
    <t>Cool Runnings Logistics, Inc</t>
  </si>
  <si>
    <t>CRUJ</t>
  </si>
  <si>
    <t>MC625030</t>
  </si>
  <si>
    <t>Cooper Freight Service, Inc.</t>
  </si>
  <si>
    <t>COFP</t>
  </si>
  <si>
    <t>MC154306</t>
  </si>
  <si>
    <t>Cope Bestway Express Inc.</t>
  </si>
  <si>
    <t>COPB</t>
  </si>
  <si>
    <t>MC140349</t>
  </si>
  <si>
    <t>Copeland Trucking</t>
  </si>
  <si>
    <t>CPDK</t>
  </si>
  <si>
    <t>MC198970</t>
  </si>
  <si>
    <t>Copper Express, Inc.</t>
  </si>
  <si>
    <t>CPPR</t>
  </si>
  <si>
    <t>MC349231</t>
  </si>
  <si>
    <t>Corcoran Trucking, Inc.: Flatbed</t>
  </si>
  <si>
    <t>COKH</t>
  </si>
  <si>
    <t>MC146666</t>
  </si>
  <si>
    <t>Corcoran Trucking, Inc.: Temperature Control</t>
  </si>
  <si>
    <t>Cordell Transportation Company, LLC.</t>
  </si>
  <si>
    <t>CDEL</t>
  </si>
  <si>
    <t>MC377049</t>
  </si>
  <si>
    <t>CoreTrans, LLC</t>
  </si>
  <si>
    <t>COTN</t>
  </si>
  <si>
    <t>MC440663</t>
  </si>
  <si>
    <t>Corkery Transport, Inc.</t>
  </si>
  <si>
    <t>CKYT</t>
  </si>
  <si>
    <t>MC832192</t>
  </si>
  <si>
    <t>Corporate Courier, Inc.</t>
  </si>
  <si>
    <t>CCRN</t>
  </si>
  <si>
    <t>MC359012</t>
  </si>
  <si>
    <t>Corriher Trucking, Inc.</t>
  </si>
  <si>
    <t>CRHN</t>
  </si>
  <si>
    <t>MC204518</t>
  </si>
  <si>
    <t>Country Transport</t>
  </si>
  <si>
    <t>COTO</t>
  </si>
  <si>
    <t>Covenant Transport</t>
  </si>
  <si>
    <t>CVEN</t>
  </si>
  <si>
    <t>MC188102</t>
  </si>
  <si>
    <t>Covered Transportation, LLC.</t>
  </si>
  <si>
    <t>CVXI</t>
  </si>
  <si>
    <t>MC746865</t>
  </si>
  <si>
    <t>Covey Auto Express Inc.</t>
  </si>
  <si>
    <t>CUXC</t>
  </si>
  <si>
    <t>MC363936</t>
  </si>
  <si>
    <t>Cowan Systems, LLC</t>
  </si>
  <si>
    <t>MC271882</t>
  </si>
  <si>
    <t>Cowboy Expedited Services LLC</t>
  </si>
  <si>
    <t>CUES</t>
  </si>
  <si>
    <t>MC733380</t>
  </si>
  <si>
    <t>Cowen Truck Line, Inc.: Green Fleet</t>
  </si>
  <si>
    <t>CTOJ</t>
  </si>
  <si>
    <t>MC147932</t>
  </si>
  <si>
    <t>Cowen Truck Line, Inc.: Standard Fleet</t>
  </si>
  <si>
    <t>Cox Transfer, Inc.: Van &amp; Chassis</t>
  </si>
  <si>
    <t>CXTQ</t>
  </si>
  <si>
    <t>MC142888</t>
  </si>
  <si>
    <t>Cox Transportation Services, Inc.</t>
  </si>
  <si>
    <t>CXTB</t>
  </si>
  <si>
    <t>MC161985</t>
  </si>
  <si>
    <t>CPS Express Inc.: CPS Express Contracted Line Division</t>
  </si>
  <si>
    <t>CPSE</t>
  </si>
  <si>
    <t>MC186367</t>
  </si>
  <si>
    <t>CPS Express Inc.: CPS Express Contracted Local Division</t>
  </si>
  <si>
    <t>CPS Express Inc.: CPS Express Line Division</t>
  </si>
  <si>
    <t>CPS Express Inc.: CPS Express Local Division</t>
  </si>
  <si>
    <t>Crane Transport Inc</t>
  </si>
  <si>
    <t>CRNB</t>
  </si>
  <si>
    <t>MC358596</t>
  </si>
  <si>
    <t>Crawford Trucking, Inc.</t>
  </si>
  <si>
    <t>CRAW</t>
  </si>
  <si>
    <t>MC232411</t>
  </si>
  <si>
    <t>Crete Carrier Corporation: Crete Carrier (Dry Van Division)</t>
  </si>
  <si>
    <t>MC126118</t>
  </si>
  <si>
    <t>Crete Carrier Corporation: Hunt Transportation (Flatbed Division)</t>
  </si>
  <si>
    <t>HUNA</t>
  </si>
  <si>
    <t>MC146087</t>
  </si>
  <si>
    <t>Crete Carrier Corporation: Shaffer Trucking (Temperature Control Division)</t>
  </si>
  <si>
    <t>SHAF</t>
  </si>
  <si>
    <t>MC114569</t>
  </si>
  <si>
    <t>Crosby Trucking Service, Inc.</t>
  </si>
  <si>
    <t>CSBI</t>
  </si>
  <si>
    <t>MC142823</t>
  </si>
  <si>
    <t>CrossCountry Courier, Inc.</t>
  </si>
  <si>
    <t>CCYQ</t>
  </si>
  <si>
    <t>MC209657</t>
  </si>
  <si>
    <t>CrossGlobe Transport, LTD</t>
  </si>
  <si>
    <t>CGBD</t>
  </si>
  <si>
    <t>MC284258</t>
  </si>
  <si>
    <t>Crowley Trucking, Inc.</t>
  </si>
  <si>
    <t>CYWB</t>
  </si>
  <si>
    <t>MC141323</t>
  </si>
  <si>
    <t>Crown Auto Transport, Inc.</t>
  </si>
  <si>
    <t>CAXK</t>
  </si>
  <si>
    <t>MC328711</t>
  </si>
  <si>
    <t>Crown Xpress Transport, Inc.</t>
  </si>
  <si>
    <t>CXPJ</t>
  </si>
  <si>
    <t>MC453813</t>
  </si>
  <si>
    <t>CRST Dedicated Services, Inc.</t>
  </si>
  <si>
    <t>MC159643</t>
  </si>
  <si>
    <t>CRST Expedited, Inc.</t>
  </si>
  <si>
    <t>CRPS</t>
  </si>
  <si>
    <t>MC114273</t>
  </si>
  <si>
    <t>CRST Specialized Transportation</t>
  </si>
  <si>
    <t>SPCG</t>
  </si>
  <si>
    <t>MC1278850</t>
  </si>
  <si>
    <t>Crum Trucking Inc.</t>
  </si>
  <si>
    <t>CMTK</t>
  </si>
  <si>
    <t>MC278022</t>
  </si>
  <si>
    <t>CRW, Inc.: CRW, Inc.: For Hire</t>
  </si>
  <si>
    <t>CRWH</t>
  </si>
  <si>
    <t>MC209934</t>
  </si>
  <si>
    <t>CRW, Inc.: CRW, Inc.: Mulch Yard</t>
  </si>
  <si>
    <t>CSI of Iowa, Ltd.</t>
  </si>
  <si>
    <t>CSIQ</t>
  </si>
  <si>
    <t>MC315202</t>
  </si>
  <si>
    <t>CT Transportation, LLC</t>
  </si>
  <si>
    <t>CTLL</t>
  </si>
  <si>
    <t>MC121654</t>
  </si>
  <si>
    <t>CTC Trucking Inc</t>
  </si>
  <si>
    <t>CKNI</t>
  </si>
  <si>
    <t>MC322481</t>
  </si>
  <si>
    <t>Curry's Transportation Services</t>
  </si>
  <si>
    <t>CUPV</t>
  </si>
  <si>
    <t>MC418987</t>
  </si>
  <si>
    <t>Custom Carrier, Inc.</t>
  </si>
  <si>
    <t>CUSK</t>
  </si>
  <si>
    <t>MC663754</t>
  </si>
  <si>
    <t>Custom Transfer Inc</t>
  </si>
  <si>
    <t>CTQI</t>
  </si>
  <si>
    <t>MC175243</t>
  </si>
  <si>
    <t>Customer Service Quality Transportation</t>
  </si>
  <si>
    <t>CSQS</t>
  </si>
  <si>
    <t>MC872569</t>
  </si>
  <si>
    <t>CVS Transportation LLC.</t>
  </si>
  <si>
    <t>MC294309</t>
  </si>
  <si>
    <t>Cypress Truck Lines, Inc.</t>
  </si>
  <si>
    <t>CYPR</t>
  </si>
  <si>
    <t>MC152544</t>
  </si>
  <si>
    <t>Cypress Truck Lines, Inc.: Low Country Loading Service</t>
  </si>
  <si>
    <t>D &amp; E Transport, LLC</t>
  </si>
  <si>
    <t>DNET</t>
  </si>
  <si>
    <t>MC212852</t>
  </si>
  <si>
    <t>D&amp;D Sexton Inc.</t>
  </si>
  <si>
    <t>SXDD</t>
  </si>
  <si>
    <t>MC199846</t>
  </si>
  <si>
    <t>D&amp;D Transportation Services Inc</t>
  </si>
  <si>
    <t>DDTA</t>
  </si>
  <si>
    <t>MC176598</t>
  </si>
  <si>
    <t>D&amp;G Express Service Ltd.</t>
  </si>
  <si>
    <t>DAGE</t>
  </si>
  <si>
    <t>MC248108</t>
  </si>
  <si>
    <t>D&amp;G Transportation, Inc.</t>
  </si>
  <si>
    <t>DNGP</t>
  </si>
  <si>
    <t>MC193805</t>
  </si>
  <si>
    <t>D&amp;M Transportation Solutions, LLC</t>
  </si>
  <si>
    <t>DMRA</t>
  </si>
  <si>
    <t>MC871224</t>
  </si>
  <si>
    <t>D. M. Bowman Inc.</t>
  </si>
  <si>
    <t>BOMN,BOMD</t>
  </si>
  <si>
    <t>MC138438</t>
  </si>
  <si>
    <t>D. P. Curtis Trucking, Inc.: Maxi</t>
  </si>
  <si>
    <t>CSUG</t>
  </si>
  <si>
    <t>MC164650</t>
  </si>
  <si>
    <t>D. P. Curtis Trucking, Inc.: Single</t>
  </si>
  <si>
    <t>D. Sample Express, Inc.</t>
  </si>
  <si>
    <t>MC828123</t>
  </si>
  <si>
    <t>D.E.H. Trucking Inc.</t>
  </si>
  <si>
    <t>DEHK</t>
  </si>
  <si>
    <t>MC316984</t>
  </si>
  <si>
    <t>D.L. Landis Inc.</t>
  </si>
  <si>
    <t>LABG</t>
  </si>
  <si>
    <t>MC314666</t>
  </si>
  <si>
    <t>D.M.T. Services, Inc.</t>
  </si>
  <si>
    <t>DMTV</t>
  </si>
  <si>
    <t>MC207293</t>
  </si>
  <si>
    <t>D.W. Morgan LLC</t>
  </si>
  <si>
    <t>MRAF</t>
  </si>
  <si>
    <t>MC511735</t>
  </si>
  <si>
    <t>D/C Transport, Inc</t>
  </si>
  <si>
    <t>DCRN</t>
  </si>
  <si>
    <t>MC242302</t>
  </si>
  <si>
    <t>Dabco Transportation Inc</t>
  </si>
  <si>
    <t>DBCT</t>
  </si>
  <si>
    <t>MC161174</t>
  </si>
  <si>
    <t>Dahlquist Trucking Inc.: Dahlquist Trucking</t>
  </si>
  <si>
    <t>DHQT</t>
  </si>
  <si>
    <t>MC427215</t>
  </si>
  <si>
    <t>Daily Express, Inc.</t>
  </si>
  <si>
    <t>DAIC</t>
  </si>
  <si>
    <t>MC117574</t>
  </si>
  <si>
    <t>Dairyland Transportation, LLC</t>
  </si>
  <si>
    <t>DYLP</t>
  </si>
  <si>
    <t>MC463624</t>
  </si>
  <si>
    <t>Dakota Lines Inc</t>
  </si>
  <si>
    <t>DKLI</t>
  </si>
  <si>
    <t>MC219667</t>
  </si>
  <si>
    <t>Dan Vorpahl Transit Inc</t>
  </si>
  <si>
    <t>Dancor Transit, Inc.</t>
  </si>
  <si>
    <t>DNMR</t>
  </si>
  <si>
    <t>MC167139</t>
  </si>
  <si>
    <t>Dandy Service Corporation</t>
  </si>
  <si>
    <t>DNDS</t>
  </si>
  <si>
    <t>MC157608</t>
  </si>
  <si>
    <t>Danny Herman Trucking Inc</t>
  </si>
  <si>
    <t>HDTI</t>
  </si>
  <si>
    <t>MC142368</t>
  </si>
  <si>
    <t>DaRan, Inc.</t>
  </si>
  <si>
    <t>DRIN</t>
  </si>
  <si>
    <t>MC202808</t>
  </si>
  <si>
    <t>Dart Transit Company</t>
  </si>
  <si>
    <t>DART,DARN,DARD</t>
  </si>
  <si>
    <t>MC114457</t>
  </si>
  <si>
    <t>Dart Trucking Company, Inc.: Private Fleet CCC</t>
  </si>
  <si>
    <t>DRTT</t>
  </si>
  <si>
    <t>MC121420</t>
  </si>
  <si>
    <t>Daryl Thomason Trucking, Inc.</t>
  </si>
  <si>
    <t>THDY</t>
  </si>
  <si>
    <t>MC152622</t>
  </si>
  <si>
    <t>DASH Transportation, LLC</t>
  </si>
  <si>
    <t>DHTT</t>
  </si>
  <si>
    <t>MC753693</t>
  </si>
  <si>
    <t>Daum Trucking, Inc.</t>
  </si>
  <si>
    <t>DMKP</t>
  </si>
  <si>
    <t>MC303799</t>
  </si>
  <si>
    <t>David W Frey</t>
  </si>
  <si>
    <t>FYDW</t>
  </si>
  <si>
    <t>MC374543</t>
  </si>
  <si>
    <t>Davidson Farms of Creston, Inc.</t>
  </si>
  <si>
    <t>DFCR</t>
  </si>
  <si>
    <t>MC332306</t>
  </si>
  <si>
    <t>Davidson Surface/Air</t>
  </si>
  <si>
    <t>DSAI</t>
  </si>
  <si>
    <t>MC261606</t>
  </si>
  <si>
    <t>Davis Express, Inc.</t>
  </si>
  <si>
    <t>DATJ</t>
  </si>
  <si>
    <t>MC141339</t>
  </si>
  <si>
    <t>Davis Transfer Co. Inc</t>
  </si>
  <si>
    <t>DTNF</t>
  </si>
  <si>
    <t>MC182534</t>
  </si>
  <si>
    <t>Davis Trucking, LLC</t>
  </si>
  <si>
    <t>DVLC</t>
  </si>
  <si>
    <t>MC360502</t>
  </si>
  <si>
    <t>Daybreak Express, Inc.</t>
  </si>
  <si>
    <t>DBKE</t>
  </si>
  <si>
    <t>MC186214</t>
  </si>
  <si>
    <t>Dayton Freight Lines, Inc.</t>
  </si>
  <si>
    <t>MC189528</t>
  </si>
  <si>
    <t>daytona freight systems inc</t>
  </si>
  <si>
    <t>DFST</t>
  </si>
  <si>
    <t>DCM Transport, Inc.</t>
  </si>
  <si>
    <t>DCMT</t>
  </si>
  <si>
    <t>MC282116</t>
  </si>
  <si>
    <t>DDI Transportation, Inc.: Intermodal</t>
  </si>
  <si>
    <t>DDIV</t>
  </si>
  <si>
    <t>MC170785</t>
  </si>
  <si>
    <t>DDI Transportation, Inc.: Truckload</t>
  </si>
  <si>
    <t>De Jong Enterprises Inc.</t>
  </si>
  <si>
    <t>DJWM</t>
  </si>
  <si>
    <t>MC215900</t>
  </si>
  <si>
    <t>deBoer Transportation Inc</t>
  </si>
  <si>
    <t>DETR</t>
  </si>
  <si>
    <t>MC248652</t>
  </si>
  <si>
    <t>Debrick Truck Line Company</t>
  </si>
  <si>
    <t>DEVR</t>
  </si>
  <si>
    <t>MC016334</t>
  </si>
  <si>
    <t>Decker Truck Line: Flatbed</t>
  </si>
  <si>
    <t>DEKR</t>
  </si>
  <si>
    <t>MC059367</t>
  </si>
  <si>
    <t>Decker Truck Line: Refrigerated</t>
  </si>
  <si>
    <t>Dedicated Farms, LLC</t>
  </si>
  <si>
    <t>MC823478</t>
  </si>
  <si>
    <t>Dedicated Fleet Systems, Inc.</t>
  </si>
  <si>
    <t>DDFS</t>
  </si>
  <si>
    <t>MC359042</t>
  </si>
  <si>
    <t>Dedicated Logistics Inc: 12855637</t>
  </si>
  <si>
    <t>DCLG</t>
  </si>
  <si>
    <t>MC700327</t>
  </si>
  <si>
    <t>Dedicated Logistics Services, Inc.</t>
  </si>
  <si>
    <t>DLGV</t>
  </si>
  <si>
    <t>MC425069</t>
  </si>
  <si>
    <t>Dedicated Logistics, LLC</t>
  </si>
  <si>
    <t>DDOG</t>
  </si>
  <si>
    <t>MC425723</t>
  </si>
  <si>
    <t>Dedicated Systems, Inc.</t>
  </si>
  <si>
    <t>DDSW</t>
  </si>
  <si>
    <t>MC351350</t>
  </si>
  <si>
    <t>Dedicated Transport LLC: Food Service</t>
  </si>
  <si>
    <t>DEDI</t>
  </si>
  <si>
    <t>MC500758</t>
  </si>
  <si>
    <t>Dedicated Transport LLC: Mixed</t>
  </si>
  <si>
    <t>Dedicated Transport LLC: Tanker</t>
  </si>
  <si>
    <t>Dedicated Transportation Solutions Inc.</t>
  </si>
  <si>
    <t>DSAE</t>
  </si>
  <si>
    <t>MC484048</t>
  </si>
  <si>
    <t>Dedicated Transportation Systems LLC</t>
  </si>
  <si>
    <t>DTNY</t>
  </si>
  <si>
    <t>MC249392</t>
  </si>
  <si>
    <t>Dee King Trucking, LP</t>
  </si>
  <si>
    <t>DKTI</t>
  </si>
  <si>
    <t>MC617964</t>
  </si>
  <si>
    <t>Delhaize America Transportation LLC</t>
  </si>
  <si>
    <t>DHZA</t>
  </si>
  <si>
    <t>MC164100</t>
  </si>
  <si>
    <t>Delta Automotive Services, Inc.</t>
  </si>
  <si>
    <t>DMVO</t>
  </si>
  <si>
    <t>MC360649</t>
  </si>
  <si>
    <t>Delta Freight Systems LLC</t>
  </si>
  <si>
    <t>DFGL</t>
  </si>
  <si>
    <t>MC491945</t>
  </si>
  <si>
    <t>Delta Trans LLC</t>
  </si>
  <si>
    <t>DTNG</t>
  </si>
  <si>
    <t>MC767759</t>
  </si>
  <si>
    <t>Deluxe Auto Carriers Inc. dba Excel Transporting &amp;: Deluxe Auto Carriers Inc. dba Excel Transporting</t>
  </si>
  <si>
    <t>DEAA</t>
  </si>
  <si>
    <t>MC509446</t>
  </si>
  <si>
    <t>DeMase Trucking Co., Inc.</t>
  </si>
  <si>
    <t>DEME</t>
  </si>
  <si>
    <t>MC150176</t>
  </si>
  <si>
    <t>Demiri Transportation LLC</t>
  </si>
  <si>
    <t>DTNI</t>
  </si>
  <si>
    <t>MC798191</t>
  </si>
  <si>
    <t>Denney Transport, LTD</t>
  </si>
  <si>
    <t>DTLP</t>
  </si>
  <si>
    <t>MC276064</t>
  </si>
  <si>
    <t>Dennis R Hilker Trucking, Inc</t>
  </si>
  <si>
    <t>HLKD</t>
  </si>
  <si>
    <t>MC153258</t>
  </si>
  <si>
    <t>Denton Cartage Company, Inc.</t>
  </si>
  <si>
    <t>DCGQ</t>
  </si>
  <si>
    <t>MC146880</t>
  </si>
  <si>
    <t>Denver Assembly, INC</t>
  </si>
  <si>
    <t>Deol Road Carrier Ltd.</t>
  </si>
  <si>
    <t>DRCA</t>
  </si>
  <si>
    <t>Dependable Hawaiian Express - Big Island, Inc.</t>
  </si>
  <si>
    <t>DHX1</t>
  </si>
  <si>
    <t>Dependable Highway Express, Inc.</t>
  </si>
  <si>
    <t>DPHE</t>
  </si>
  <si>
    <t>MC139496</t>
  </si>
  <si>
    <t>DES CLAW LLC</t>
  </si>
  <si>
    <t>CWFE</t>
  </si>
  <si>
    <t>MC597889</t>
  </si>
  <si>
    <t>Desert Coastal Transport, Inc.</t>
  </si>
  <si>
    <t>DSCT</t>
  </si>
  <si>
    <t>MC134441</t>
  </si>
  <si>
    <t>Desert Star Transportation LLC</t>
  </si>
  <si>
    <t>DSRP</t>
  </si>
  <si>
    <t>MC309755</t>
  </si>
  <si>
    <t>DeWitt Bros., Inc.</t>
  </si>
  <si>
    <t>DWBT</t>
  </si>
  <si>
    <t>MC182794</t>
  </si>
  <si>
    <t>Dhindsa Group of Companies, Inc: dgcinc</t>
  </si>
  <si>
    <t>DGCO</t>
  </si>
  <si>
    <t>MC336796</t>
  </si>
  <si>
    <t>DHL Express USA</t>
  </si>
  <si>
    <t>MC123343</t>
  </si>
  <si>
    <t>DHX - Dependable Hawaiian Express Oahu</t>
  </si>
  <si>
    <t>DHX - Dependable Hawaiian Express, Inc. Mainland</t>
  </si>
  <si>
    <t>DXXI</t>
  </si>
  <si>
    <t>MC329728</t>
  </si>
  <si>
    <t>DHX Maui, Inc.</t>
  </si>
  <si>
    <t>MC572219</t>
  </si>
  <si>
    <t>Diamond Logistics LLC</t>
  </si>
  <si>
    <t>Diamond Transportation Logistic Inc</t>
  </si>
  <si>
    <t>DMDQ</t>
  </si>
  <si>
    <t>MC488761</t>
  </si>
  <si>
    <t>Diamond Transportation System, Inc.</t>
  </si>
  <si>
    <t>DIAT</t>
  </si>
  <si>
    <t>MC123048</t>
  </si>
  <si>
    <t>Dibble Trucking Inc.</t>
  </si>
  <si>
    <t>DBBL</t>
  </si>
  <si>
    <t>MC240266</t>
  </si>
  <si>
    <t>Dick Harris &amp; Son Inc.</t>
  </si>
  <si>
    <t>HDNS</t>
  </si>
  <si>
    <t>MC004801</t>
  </si>
  <si>
    <t>Dick Lavy Trucking, Inc.: Dick Lavy Trucking, Inc.</t>
  </si>
  <si>
    <t>LVDT</t>
  </si>
  <si>
    <t>MC163035</t>
  </si>
  <si>
    <t>Dickinson Fleet Services, LLC</t>
  </si>
  <si>
    <t>Dicom Transportation Group Canada Inc.</t>
  </si>
  <si>
    <t>GOGI</t>
  </si>
  <si>
    <t>MC163581</t>
  </si>
  <si>
    <t>Diego A. Gracia</t>
  </si>
  <si>
    <t>GADG</t>
  </si>
  <si>
    <t>MC897265</t>
  </si>
  <si>
    <t>Diel Jerue Logistics, Inc.: Assets</t>
  </si>
  <si>
    <t>Dill-Elam, Inc. dba City Service: Dry Van</t>
  </si>
  <si>
    <t>CIYS</t>
  </si>
  <si>
    <t>MC200251</t>
  </si>
  <si>
    <t>Dillon Transport, Inc.</t>
  </si>
  <si>
    <t>DTIT</t>
  </si>
  <si>
    <t>MC254325</t>
  </si>
  <si>
    <t>Dillon Transportation, LLC</t>
  </si>
  <si>
    <t>DLNT</t>
  </si>
  <si>
    <t>MC326557</t>
  </si>
  <si>
    <t>Dino's Trucking, Inc.: DINO</t>
  </si>
  <si>
    <t>DINO</t>
  </si>
  <si>
    <t>MC159576</t>
  </si>
  <si>
    <t>Direct Drive Express Inc.: Direct Drive Fleet</t>
  </si>
  <si>
    <t>DDXI</t>
  </si>
  <si>
    <t>MC271751</t>
  </si>
  <si>
    <t>Direct Motor Freight,Inc.</t>
  </si>
  <si>
    <t>DCFR</t>
  </si>
  <si>
    <t>MC194447</t>
  </si>
  <si>
    <t>Direct Service Transport, Inc.</t>
  </si>
  <si>
    <t>DIRS</t>
  </si>
  <si>
    <t>MC163611</t>
  </si>
  <si>
    <t>Direct Transport</t>
  </si>
  <si>
    <t>DRER</t>
  </si>
  <si>
    <t>MC266283</t>
  </si>
  <si>
    <t>Direct Transport Services, Inc.</t>
  </si>
  <si>
    <t>DITV</t>
  </si>
  <si>
    <t>MC346750</t>
  </si>
  <si>
    <t>Distribution Solutions Inc, DSI</t>
  </si>
  <si>
    <t>DIQS</t>
  </si>
  <si>
    <t>MC348026</t>
  </si>
  <si>
    <t>Distribution Technology Inc, DBA PDC Trucking</t>
  </si>
  <si>
    <t>PDCT</t>
  </si>
  <si>
    <t>MC155808</t>
  </si>
  <si>
    <t>Ditzfeld Transfer, Inc.</t>
  </si>
  <si>
    <t>DITE</t>
  </si>
  <si>
    <t>MC154426</t>
  </si>
  <si>
    <t>Diversified Automotive, Inc.</t>
  </si>
  <si>
    <t>DVAI</t>
  </si>
  <si>
    <t>MC219653</t>
  </si>
  <si>
    <t>Diversified CPC International Inc.</t>
  </si>
  <si>
    <t>DCPC</t>
  </si>
  <si>
    <t>Diversified Transfer and Storage</t>
  </si>
  <si>
    <t>DTSB</t>
  </si>
  <si>
    <t>MC215020</t>
  </si>
  <si>
    <t>Divine Enterprises: Refrigerated Carrier</t>
  </si>
  <si>
    <t>DVNP</t>
  </si>
  <si>
    <t>MC461462</t>
  </si>
  <si>
    <t>Dixon Auto Transport, Inc</t>
  </si>
  <si>
    <t>DXON</t>
  </si>
  <si>
    <t>MC241938</t>
  </si>
  <si>
    <t>DJ Delivery Service LLC</t>
  </si>
  <si>
    <t>DK Express</t>
  </si>
  <si>
    <t>DEXG</t>
  </si>
  <si>
    <t>MC505056</t>
  </si>
  <si>
    <t>DK Transport Inc.</t>
  </si>
  <si>
    <t>DKXC</t>
  </si>
  <si>
    <t>MC584950</t>
  </si>
  <si>
    <t>DKP Express</t>
  </si>
  <si>
    <t>DKPA</t>
  </si>
  <si>
    <t>MC828178</t>
  </si>
  <si>
    <t>DLM Trucking LLC</t>
  </si>
  <si>
    <t>DLMJ</t>
  </si>
  <si>
    <t>MC632196</t>
  </si>
  <si>
    <t>DMB Transportation Service Inc.: Expedite Fleet</t>
  </si>
  <si>
    <t>DMBP</t>
  </si>
  <si>
    <t>MC565333</t>
  </si>
  <si>
    <t>DMTC, Inc.</t>
  </si>
  <si>
    <t>DSMT</t>
  </si>
  <si>
    <t>MC253379</t>
  </si>
  <si>
    <t>DNJ</t>
  </si>
  <si>
    <t>DLIJ</t>
  </si>
  <si>
    <t>MC712938</t>
  </si>
  <si>
    <t>DNS Transportation Inc</t>
  </si>
  <si>
    <t>DNST</t>
  </si>
  <si>
    <t>MC845471</t>
  </si>
  <si>
    <t>Dohrn Transfer Company, LLC: 169753</t>
  </si>
  <si>
    <t>DHRN</t>
  </si>
  <si>
    <t>MC169753</t>
  </si>
  <si>
    <t>Dolphin Line, Inc.</t>
  </si>
  <si>
    <t>DLPL</t>
  </si>
  <si>
    <t>MC188627</t>
  </si>
  <si>
    <t>Dolphin Transport Ltd.</t>
  </si>
  <si>
    <t>DPHN</t>
  </si>
  <si>
    <t>MC159748</t>
  </si>
  <si>
    <t>Dominion Dedicated Logistics Inc.</t>
  </si>
  <si>
    <t>DODL</t>
  </si>
  <si>
    <t>MC588568</t>
  </si>
  <si>
    <t>Domino's Pizza LLC</t>
  </si>
  <si>
    <t>DPLL</t>
  </si>
  <si>
    <t>MC356668</t>
  </si>
  <si>
    <t>Don Hummer Trucking Corp.: HUMD Truckload</t>
  </si>
  <si>
    <t>HUMD</t>
  </si>
  <si>
    <t>MC196988</t>
  </si>
  <si>
    <t>Don's Trucking</t>
  </si>
  <si>
    <t>DONK</t>
  </si>
  <si>
    <t>MC146372</t>
  </si>
  <si>
    <t>Done Right Trucking Inc dba Redgo</t>
  </si>
  <si>
    <t>DRGH</t>
  </si>
  <si>
    <t>MC548428</t>
  </si>
  <si>
    <t>Dorn's Delivery &amp; Transfer Inc.</t>
  </si>
  <si>
    <t>DOEO</t>
  </si>
  <si>
    <t>MC155247</t>
  </si>
  <si>
    <t>Dot Line tarnsportation</t>
  </si>
  <si>
    <t>DOLR</t>
  </si>
  <si>
    <t>DOT Transportation</t>
  </si>
  <si>
    <t>DTNR</t>
  </si>
  <si>
    <t>MC235436</t>
  </si>
  <si>
    <t>Doug Andrus Distributing LLC: Flatbed</t>
  </si>
  <si>
    <t>ADNS</t>
  </si>
  <si>
    <t>MC123310</t>
  </si>
  <si>
    <t>Doug Andrus Distributing LLC: Heavy Haul Flatbed</t>
  </si>
  <si>
    <t>Doug Andrus Distributing LLC: Hopper Bulk</t>
  </si>
  <si>
    <t>Doug Andrus Distributing LLC: Hopper/Flat Convertible</t>
  </si>
  <si>
    <t>Doug Andrus Distributing LLC: Refridgerated and Dry Van</t>
  </si>
  <si>
    <t>Doug Andrus Distributing LLC: Refridgerated Heavy Haul</t>
  </si>
  <si>
    <t>Doug Bradley Trucking, Inc.</t>
  </si>
  <si>
    <t>BDGT</t>
  </si>
  <si>
    <t>MC191909</t>
  </si>
  <si>
    <t>Doug Coleman Trucking Ltd.</t>
  </si>
  <si>
    <t>CDGG</t>
  </si>
  <si>
    <t>Dowell Transport Inc.</t>
  </si>
  <si>
    <t>DWTB</t>
  </si>
  <si>
    <t>MC196127</t>
  </si>
  <si>
    <t>Doyle Sims &amp; Sons Trucking, Inc.</t>
  </si>
  <si>
    <t>DOYS</t>
  </si>
  <si>
    <t>MC199096</t>
  </si>
  <si>
    <t>Dreisbach Enterprises: Dreisbach Freight</t>
  </si>
  <si>
    <t>DABE</t>
  </si>
  <si>
    <t>MC121753</t>
  </si>
  <si>
    <t>Drew-Massa Transportation LLC</t>
  </si>
  <si>
    <t>DMTN</t>
  </si>
  <si>
    <t>MC651878</t>
  </si>
  <si>
    <t>Dreya's Trucking Company, Inc</t>
  </si>
  <si>
    <t>MC883568</t>
  </si>
  <si>
    <t>DRG Trucking Inc.</t>
  </si>
  <si>
    <t>DRGN</t>
  </si>
  <si>
    <t>Drive Logistics Ltd.</t>
  </si>
  <si>
    <t>DRLT</t>
  </si>
  <si>
    <t>Drive Xpress Inc.</t>
  </si>
  <si>
    <t>DXPC</t>
  </si>
  <si>
    <t>MC815051</t>
  </si>
  <si>
    <t>Driver Trucking Inc.</t>
  </si>
  <si>
    <t>DRIV</t>
  </si>
  <si>
    <t>MC319101</t>
  </si>
  <si>
    <t>DSC Logistics: DSC Logistics</t>
  </si>
  <si>
    <t>MC160172</t>
  </si>
  <si>
    <t>DSS Express Inc.</t>
  </si>
  <si>
    <t>D93</t>
  </si>
  <si>
    <t>MC237503</t>
  </si>
  <si>
    <t>Dss Transport, Inc.</t>
  </si>
  <si>
    <t>DSSA</t>
  </si>
  <si>
    <t>MC782557</t>
  </si>
  <si>
    <t>DST Express, Inc.: DST Express, Inc. Local</t>
  </si>
  <si>
    <t>DSXL</t>
  </si>
  <si>
    <t>MC411942</t>
  </si>
  <si>
    <t>DST Express, Inc.: DST Express, Inc. OTR</t>
  </si>
  <si>
    <t>DTL Transportation Inc.</t>
  </si>
  <si>
    <t>DICT</t>
  </si>
  <si>
    <t>MC188598</t>
  </si>
  <si>
    <t>Dunavant Sea Lane Express, LLC</t>
  </si>
  <si>
    <t>DSBI</t>
  </si>
  <si>
    <t>MC147919</t>
  </si>
  <si>
    <t>Dunavant Trans Gulf Transportation, LLC</t>
  </si>
  <si>
    <t>DTHJ</t>
  </si>
  <si>
    <t>MC203312</t>
  </si>
  <si>
    <t>Duncan and Son Lines, Inc.</t>
  </si>
  <si>
    <t>DNSL</t>
  </si>
  <si>
    <t>MC144606</t>
  </si>
  <si>
    <t>Dupre' Logistics, LLC: Dedicated</t>
  </si>
  <si>
    <t>DUPR</t>
  </si>
  <si>
    <t>MC158069</t>
  </si>
  <si>
    <t>Dupre' Logistics, LLC: Gasoline</t>
  </si>
  <si>
    <t>Dupre' Logistics, LLC: Shale</t>
  </si>
  <si>
    <t>Duran Freight Corporation</t>
  </si>
  <si>
    <t>DRAN</t>
  </si>
  <si>
    <t>MC247454</t>
  </si>
  <si>
    <t>Dutch Maid Logistics</t>
  </si>
  <si>
    <t>DUTM</t>
  </si>
  <si>
    <t>MC145235</t>
  </si>
  <si>
    <t>Dynamic Express</t>
  </si>
  <si>
    <t>DYXI</t>
  </si>
  <si>
    <t>MC205962</t>
  </si>
  <si>
    <t>Dynamic Transit Co.</t>
  </si>
  <si>
    <t>DYCT</t>
  </si>
  <si>
    <t>MC236575</t>
  </si>
  <si>
    <t>Dynevor Express (2010) Ltd.</t>
  </si>
  <si>
    <t>DYXD</t>
  </si>
  <si>
    <t>MC549949</t>
  </si>
  <si>
    <t>E &amp; B Transport INc</t>
  </si>
  <si>
    <t>EBTQ</t>
  </si>
  <si>
    <t>MC466674</t>
  </si>
  <si>
    <t>E &amp; T Trucking, LLC</t>
  </si>
  <si>
    <t>MC811018</t>
  </si>
  <si>
    <t>E-Line Express Inc.</t>
  </si>
  <si>
    <t>ELPC</t>
  </si>
  <si>
    <t>MC347602</t>
  </si>
  <si>
    <t>E-Transport Carriers, Inc.</t>
  </si>
  <si>
    <t>ETCA</t>
  </si>
  <si>
    <t>MC438912</t>
  </si>
  <si>
    <t>E-Transport Group, Inc.</t>
  </si>
  <si>
    <t>ETGQ</t>
  </si>
  <si>
    <t>MC809157</t>
  </si>
  <si>
    <t>E.L. Hollingsworth &amp; Company: Chieftain Contract Services</t>
  </si>
  <si>
    <t>CFCN</t>
  </si>
  <si>
    <t>MC026836</t>
  </si>
  <si>
    <t>E.L. Hollingsworth &amp; Company: Help Expedite</t>
  </si>
  <si>
    <t>HXLP</t>
  </si>
  <si>
    <t>Eagle Transport Corporation</t>
  </si>
  <si>
    <t>EAGN</t>
  </si>
  <si>
    <t>MC128539</t>
  </si>
  <si>
    <t>Eagle Transportation Logistics</t>
  </si>
  <si>
    <t>LKCF</t>
  </si>
  <si>
    <t>MC432392</t>
  </si>
  <si>
    <t>Earl L Henderson Trucking</t>
  </si>
  <si>
    <t>HEDN</t>
  </si>
  <si>
    <t>MC146209</t>
  </si>
  <si>
    <t>Earl Paddock Transportation</t>
  </si>
  <si>
    <t>PDKE</t>
  </si>
  <si>
    <t>MC452101</t>
  </si>
  <si>
    <t>Early Trucking Company: EYKM</t>
  </si>
  <si>
    <t>EYKM</t>
  </si>
  <si>
    <t>MC174800</t>
  </si>
  <si>
    <t>Earp Distribution</t>
  </si>
  <si>
    <t>MC630826</t>
  </si>
  <si>
    <t>Easley Transportation</t>
  </si>
  <si>
    <t>ELEY</t>
  </si>
  <si>
    <t>MC360941</t>
  </si>
  <si>
    <t>Eassons Transport Limited</t>
  </si>
  <si>
    <t>ESOT</t>
  </si>
  <si>
    <t>MC195322</t>
  </si>
  <si>
    <t>East West Express</t>
  </si>
  <si>
    <t>EWEP</t>
  </si>
  <si>
    <t>MC183775</t>
  </si>
  <si>
    <t>Eastern Freightways: EFW</t>
  </si>
  <si>
    <t>EFWY</t>
  </si>
  <si>
    <t>Eastlick Trucking: truckload</t>
  </si>
  <si>
    <t>EABI</t>
  </si>
  <si>
    <t>MC447497</t>
  </si>
  <si>
    <t>ECM Transport, LLC</t>
  </si>
  <si>
    <t>ECMT</t>
  </si>
  <si>
    <t>MC209658</t>
  </si>
  <si>
    <t>Ed Lewis Trucking, Inc.</t>
  </si>
  <si>
    <t>LEWD</t>
  </si>
  <si>
    <t>MC603660</t>
  </si>
  <si>
    <t>Ed Thayer, Inc.</t>
  </si>
  <si>
    <t>THYE</t>
  </si>
  <si>
    <t>MC175769</t>
  </si>
  <si>
    <t>Edwards Distribution Services, Inc.: FTL Division</t>
  </si>
  <si>
    <t>EDDG</t>
  </si>
  <si>
    <t>MC488307</t>
  </si>
  <si>
    <t>Edwards Distribution Services, Inc.: LTL Division</t>
  </si>
  <si>
    <t>Edwards Transfer</t>
  </si>
  <si>
    <t>ETSC</t>
  </si>
  <si>
    <t>MC038799</t>
  </si>
  <si>
    <t>EF Transit Inc.</t>
  </si>
  <si>
    <t>EFTR</t>
  </si>
  <si>
    <t>MC304328</t>
  </si>
  <si>
    <t>EHS Trucking Enterprises, LLC: Regional Dedicated</t>
  </si>
  <si>
    <t>EHSK</t>
  </si>
  <si>
    <t>MC634853</t>
  </si>
  <si>
    <t>Eickhoff Enterprises, Inc.</t>
  </si>
  <si>
    <t>EHOF</t>
  </si>
  <si>
    <t>MC309990</t>
  </si>
  <si>
    <t>Elgin Motor Freight Inc.: Challenger Climate Division</t>
  </si>
  <si>
    <t>EMFH</t>
  </si>
  <si>
    <t>MC244816</t>
  </si>
  <si>
    <t>Elgin Motor Freight Inc.: Vans Division</t>
  </si>
  <si>
    <t>Eliason Ranch Trucking LLC</t>
  </si>
  <si>
    <t>ELSN</t>
  </si>
  <si>
    <t>MC331632</t>
  </si>
  <si>
    <t>Elite Carriers LLC: ELCQ</t>
  </si>
  <si>
    <t>ELCQ</t>
  </si>
  <si>
    <t>MC286746</t>
  </si>
  <si>
    <t>Elite Transporation, Inc.</t>
  </si>
  <si>
    <t>ETXK</t>
  </si>
  <si>
    <t>MC681784</t>
  </si>
  <si>
    <t>Ellerbrock Trucking Inc.</t>
  </si>
  <si>
    <t>ELBT</t>
  </si>
  <si>
    <t>MC142399</t>
  </si>
  <si>
    <t>Elliott Bros Truck Line, Inc.</t>
  </si>
  <si>
    <t>ELTB</t>
  </si>
  <si>
    <t>MC78947</t>
  </si>
  <si>
    <t>Elman Trucking Inc</t>
  </si>
  <si>
    <t>ECCG</t>
  </si>
  <si>
    <t>Elvis' Services Inc.</t>
  </si>
  <si>
    <t>EVCS</t>
  </si>
  <si>
    <t>MC505169</t>
  </si>
  <si>
    <t>Emerson Express Co. Inc.</t>
  </si>
  <si>
    <t>EMEE</t>
  </si>
  <si>
    <t>MC150559</t>
  </si>
  <si>
    <t>EMH Transportation, LLC</t>
  </si>
  <si>
    <t>EMHA</t>
  </si>
  <si>
    <t>MC413591</t>
  </si>
  <si>
    <t>Empire Express, Inc.</t>
  </si>
  <si>
    <t>EPXP</t>
  </si>
  <si>
    <t>MC179963</t>
  </si>
  <si>
    <t>Empire Truck Lines, Inc.</t>
  </si>
  <si>
    <t>EMTL</t>
  </si>
  <si>
    <t>MC153600</t>
  </si>
  <si>
    <t>Endries Express Inc.</t>
  </si>
  <si>
    <t>ENDR</t>
  </si>
  <si>
    <t>MC299514</t>
  </si>
  <si>
    <t>Energetic Services Inc.: Energetic Services Inc.</t>
  </si>
  <si>
    <t>EGSR</t>
  </si>
  <si>
    <t>MC661672</t>
  </si>
  <si>
    <t>Energetic Services Inc.: Evolve Logistics Inc.</t>
  </si>
  <si>
    <t>Energy Express Trucking Inc.</t>
  </si>
  <si>
    <t>EETO</t>
  </si>
  <si>
    <t>MC733963</t>
  </si>
  <si>
    <t>Englander Transportation, Inc.: ENGT</t>
  </si>
  <si>
    <t>ENGT</t>
  </si>
  <si>
    <t>MC841210</t>
  </si>
  <si>
    <t>Enhanced Transportation Services, Inc.</t>
  </si>
  <si>
    <t>MC934066</t>
  </si>
  <si>
    <t>Ennis Corporation</t>
  </si>
  <si>
    <t>ENBR</t>
  </si>
  <si>
    <t>MC146047</t>
  </si>
  <si>
    <t>Ennis Transportation Co., Inc.</t>
  </si>
  <si>
    <t>ENIS</t>
  </si>
  <si>
    <t>MC134282</t>
  </si>
  <si>
    <t>Ennis Trucking Inc</t>
  </si>
  <si>
    <t>ENNT</t>
  </si>
  <si>
    <t>MC170880</t>
  </si>
  <si>
    <t>Envision Transport Ltd.</t>
  </si>
  <si>
    <t>ENVS</t>
  </si>
  <si>
    <t>MC481012</t>
  </si>
  <si>
    <t>Epes Transport System, Inc.</t>
  </si>
  <si>
    <t>MC44128</t>
  </si>
  <si>
    <t>Equipment Express Inc.</t>
  </si>
  <si>
    <t>EQPM</t>
  </si>
  <si>
    <t>Equity Transportation Co. Inc.</t>
  </si>
  <si>
    <t>EQUT</t>
  </si>
  <si>
    <t>MC150301</t>
  </si>
  <si>
    <t>Erb Group of Companies: Erb International Inc</t>
  </si>
  <si>
    <t>ERBI</t>
  </si>
  <si>
    <t>MC282399</t>
  </si>
  <si>
    <t>Erb Group of Companies: Erb Transport Limited</t>
  </si>
  <si>
    <t>ERBL</t>
  </si>
  <si>
    <t>MC139212</t>
  </si>
  <si>
    <t>Erdner Bros., Inc.</t>
  </si>
  <si>
    <t>ERDB</t>
  </si>
  <si>
    <t>MC128698</t>
  </si>
  <si>
    <t>Essen Transport Ltd</t>
  </si>
  <si>
    <t>ESNR</t>
  </si>
  <si>
    <t>Essendant Co</t>
  </si>
  <si>
    <t>UIDS</t>
  </si>
  <si>
    <t>MC193846</t>
  </si>
  <si>
    <t>Essential Freight Systems, Inc.</t>
  </si>
  <si>
    <t>ESSY</t>
  </si>
  <si>
    <t>MC331642</t>
  </si>
  <si>
    <t>Estenson Logistics, LLC</t>
  </si>
  <si>
    <t>ESNL</t>
  </si>
  <si>
    <t>MC357193</t>
  </si>
  <si>
    <t>Estes Express Lines: Estes Express Lines</t>
  </si>
  <si>
    <t>MC097275</t>
  </si>
  <si>
    <t>Estes Express Lines: GI Trucking CO. dba Estes West</t>
  </si>
  <si>
    <t>GITC</t>
  </si>
  <si>
    <t>MC099685</t>
  </si>
  <si>
    <t>Eugene Frost Trucking &amp; Sales, Inc.</t>
  </si>
  <si>
    <t>FETQ</t>
  </si>
  <si>
    <t>MC2610524</t>
  </si>
  <si>
    <t>Evans Delivery Company Inc.*: Commercial Transportation LLC</t>
  </si>
  <si>
    <t>CMRL</t>
  </si>
  <si>
    <t>MC08558</t>
  </si>
  <si>
    <t>Evans Delivery Company Inc.*: Drayage Express of Delaware LLC</t>
  </si>
  <si>
    <t>DRYG</t>
  </si>
  <si>
    <t>MC627552</t>
  </si>
  <si>
    <t>Evans Delivery Company Inc.*: Evans Delivery Company Inc.</t>
  </si>
  <si>
    <t>EEDF</t>
  </si>
  <si>
    <t>MC05791</t>
  </si>
  <si>
    <t>Evans Distribution Systems: ADEN</t>
  </si>
  <si>
    <t>ADEN</t>
  </si>
  <si>
    <t>MC387036</t>
  </si>
  <si>
    <t>Evenson Trucking Company</t>
  </si>
  <si>
    <t>EVTV</t>
  </si>
  <si>
    <t>MC190274</t>
  </si>
  <si>
    <t>Ever Fresh Farms Transportation Inc.</t>
  </si>
  <si>
    <t>EVFF</t>
  </si>
  <si>
    <t>MC251709</t>
  </si>
  <si>
    <t>Everglades Express</t>
  </si>
  <si>
    <t>EVGL</t>
  </si>
  <si>
    <t>MC422859</t>
  </si>
  <si>
    <t>EverGreen Industries, Inc.</t>
  </si>
  <si>
    <t>EVGI</t>
  </si>
  <si>
    <t>MC252152</t>
  </si>
  <si>
    <t>Evergreen Transport, LLC: Evergreen Transport LLC</t>
  </si>
  <si>
    <t>EVGY</t>
  </si>
  <si>
    <t>MC701544</t>
  </si>
  <si>
    <t>Everhart Trucking LLC</t>
  </si>
  <si>
    <t>EVHK</t>
  </si>
  <si>
    <t>MC225210</t>
  </si>
  <si>
    <t>EW Wylie Corporation: Flatbed Long Haul &amp; Specialized</t>
  </si>
  <si>
    <t>WYLC</t>
  </si>
  <si>
    <t>MC149406</t>
  </si>
  <si>
    <t>Excargo Services Inc.: Excargo Services</t>
  </si>
  <si>
    <t>EXCG</t>
  </si>
  <si>
    <t>MC173420</t>
  </si>
  <si>
    <t>Excel Courier</t>
  </si>
  <si>
    <t>EXEV</t>
  </si>
  <si>
    <t>MC241040</t>
  </si>
  <si>
    <t>Excel Trucking LLC</t>
  </si>
  <si>
    <t>EXEL</t>
  </si>
  <si>
    <t>MC866654</t>
  </si>
  <si>
    <t>Exel Inc., AEM d/b/a DHL Supply Chain</t>
  </si>
  <si>
    <t>ELGS</t>
  </si>
  <si>
    <t>MC145300</t>
  </si>
  <si>
    <t>Expedite Direct</t>
  </si>
  <si>
    <t>EXDR</t>
  </si>
  <si>
    <t>MC891402</t>
  </si>
  <si>
    <t>Expedited Freight Systems, LLC.</t>
  </si>
  <si>
    <t>EXDF</t>
  </si>
  <si>
    <t>MC163474</t>
  </si>
  <si>
    <t>Expeditus Transport LLC</t>
  </si>
  <si>
    <t>ETPO</t>
  </si>
  <si>
    <t>MC802331</t>
  </si>
  <si>
    <t>Experior Transport: Dry Van Division</t>
  </si>
  <si>
    <t>PLXT</t>
  </si>
  <si>
    <t>MC342107</t>
  </si>
  <si>
    <t>Experior Transport: Refrigerated Division</t>
  </si>
  <si>
    <t>Express Carriers, LLC</t>
  </si>
  <si>
    <t>ECLW</t>
  </si>
  <si>
    <t>MC605634</t>
  </si>
  <si>
    <t>Express Freight</t>
  </si>
  <si>
    <t>AYSD</t>
  </si>
  <si>
    <t>MC416993</t>
  </si>
  <si>
    <t>Extreme Expedite, Inc.</t>
  </si>
  <si>
    <t>EXTH</t>
  </si>
  <si>
    <t>MC632506</t>
  </si>
  <si>
    <t>Extreme Transport Inc</t>
  </si>
  <si>
    <t>EXTG</t>
  </si>
  <si>
    <t>MC467969</t>
  </si>
  <si>
    <t>Extreme Transportation Inc.</t>
  </si>
  <si>
    <t>EXMJ</t>
  </si>
  <si>
    <t>MC535840</t>
  </si>
  <si>
    <t>Exxact Transport Inc.: ETIS</t>
  </si>
  <si>
    <t>ETIS</t>
  </si>
  <si>
    <t>MC277158</t>
  </si>
  <si>
    <t>Ez-2 Build Express LLC</t>
  </si>
  <si>
    <t>MC469280</t>
  </si>
  <si>
    <t>F B T INC</t>
  </si>
  <si>
    <t>FBTQ</t>
  </si>
  <si>
    <t>MC611291</t>
  </si>
  <si>
    <t>F.A. International</t>
  </si>
  <si>
    <t>FAIE</t>
  </si>
  <si>
    <t>MC758465</t>
  </si>
  <si>
    <t>F1 Freight Systems Inc: F1 Freight Systems</t>
  </si>
  <si>
    <t>FOFY</t>
  </si>
  <si>
    <t>MC356718</t>
  </si>
  <si>
    <t>Fabri-Kal Fleet</t>
  </si>
  <si>
    <t>FBKC</t>
  </si>
  <si>
    <t>MC504614</t>
  </si>
  <si>
    <t>Fackler Transportation, Inc.</t>
  </si>
  <si>
    <t>FCKL</t>
  </si>
  <si>
    <t>MC213378</t>
  </si>
  <si>
    <t>Fairchild Freight LLC: Fairchild Freight</t>
  </si>
  <si>
    <t>FHII</t>
  </si>
  <si>
    <t>MC554226</t>
  </si>
  <si>
    <t>Faith Global Transportation, LLC</t>
  </si>
  <si>
    <t>FGTA</t>
  </si>
  <si>
    <t>MC488184</t>
  </si>
  <si>
    <t>Falcon Motor Xpress Ltd.</t>
  </si>
  <si>
    <t>FLCM</t>
  </si>
  <si>
    <t>MC485563</t>
  </si>
  <si>
    <t>Falcon Transportation LLC</t>
  </si>
  <si>
    <t>FCNW</t>
  </si>
  <si>
    <t>MC880886</t>
  </si>
  <si>
    <t>Fanelli Brothers Trucking Company</t>
  </si>
  <si>
    <t>FNLL</t>
  </si>
  <si>
    <t>MC87717</t>
  </si>
  <si>
    <t>Fargo Cargo LLC</t>
  </si>
  <si>
    <t>FCRG</t>
  </si>
  <si>
    <t>MC570054</t>
  </si>
  <si>
    <t>Farmington Trucking Inc.</t>
  </si>
  <si>
    <t>FKAR</t>
  </si>
  <si>
    <t>MC306225</t>
  </si>
  <si>
    <t>Farruggio's Express: Intermodal/Rail Servicing the East Coast</t>
  </si>
  <si>
    <t>MC38481</t>
  </si>
  <si>
    <t>Fast Exact</t>
  </si>
  <si>
    <t>FEXM</t>
  </si>
  <si>
    <t>MC774218</t>
  </si>
  <si>
    <t>FCA Auto Transport Services LLC</t>
  </si>
  <si>
    <t>ATFL</t>
  </si>
  <si>
    <t>FCA Group Transport LLC</t>
  </si>
  <si>
    <t>FCAA,FCXD</t>
  </si>
  <si>
    <t>MC143028</t>
  </si>
  <si>
    <t>Federal Logistics, LLC</t>
  </si>
  <si>
    <t>FLLV</t>
  </si>
  <si>
    <t>MC157311</t>
  </si>
  <si>
    <t>Federated Co-operated Limited: Petroleum Fleet</t>
  </si>
  <si>
    <t>FedEx Custom Critical, Inc.</t>
  </si>
  <si>
    <t>FDCC</t>
  </si>
  <si>
    <t>MC141898</t>
  </si>
  <si>
    <t>FedEx Express</t>
  </si>
  <si>
    <t>FDE</t>
  </si>
  <si>
    <t>MC066562</t>
  </si>
  <si>
    <t>FedEx Freight Inc.</t>
  </si>
  <si>
    <t>FXFE</t>
  </si>
  <si>
    <t>MC121805</t>
  </si>
  <si>
    <t>Felton Pearson Company</t>
  </si>
  <si>
    <t>FPCE</t>
  </si>
  <si>
    <t>MC148051</t>
  </si>
  <si>
    <t>Fepco Container, Inc.</t>
  </si>
  <si>
    <t>FEPT</t>
  </si>
  <si>
    <t>MC149388</t>
  </si>
  <si>
    <t>Fepco Trucking, Inc.</t>
  </si>
  <si>
    <t>FGM Trucklines Inc</t>
  </si>
  <si>
    <t>FGML</t>
  </si>
  <si>
    <t>Findlay's Tall Timbers Distribution Center Inc. db: Ohio Logistics</t>
  </si>
  <si>
    <t>OHLO</t>
  </si>
  <si>
    <t>MC407467</t>
  </si>
  <si>
    <t>First Class Express Service LLC</t>
  </si>
  <si>
    <t>FCEF</t>
  </si>
  <si>
    <t>MC702329</t>
  </si>
  <si>
    <t>First Freight Express of Fort Atkinson, Inc.</t>
  </si>
  <si>
    <t>FFFA</t>
  </si>
  <si>
    <t>MC232260</t>
  </si>
  <si>
    <t>First Star Logistics LLC</t>
  </si>
  <si>
    <t>FSGH</t>
  </si>
  <si>
    <t>MC650521</t>
  </si>
  <si>
    <t>FirstExpress, Inc.</t>
  </si>
  <si>
    <t>FIXR</t>
  </si>
  <si>
    <t>MC273815</t>
  </si>
  <si>
    <t>FirstFleet, Inc.: FirstFleet, Inc.</t>
  </si>
  <si>
    <t>FFTI</t>
  </si>
  <si>
    <t>MC193678</t>
  </si>
  <si>
    <t>Fischer Trucking, Inc.: Fischer Trucking Inc.</t>
  </si>
  <si>
    <t>FSCK</t>
  </si>
  <si>
    <t>MC269021</t>
  </si>
  <si>
    <t>Fitzharris Enterprises, Inc.</t>
  </si>
  <si>
    <t>FZHE</t>
  </si>
  <si>
    <t>MC241425</t>
  </si>
  <si>
    <t>Five Star Trucking</t>
  </si>
  <si>
    <t>MC140889</t>
  </si>
  <si>
    <t>Fleet Car Lease, inc.</t>
  </si>
  <si>
    <t>FCRL</t>
  </si>
  <si>
    <t>MC177129</t>
  </si>
  <si>
    <t>Fleetmaster Express, Inc.</t>
  </si>
  <si>
    <t>FLMR</t>
  </si>
  <si>
    <t>MC202206</t>
  </si>
  <si>
    <t>FleetStreet, Inc.</t>
  </si>
  <si>
    <t>FCUC</t>
  </si>
  <si>
    <t>MC692074</t>
  </si>
  <si>
    <t>Fleetway Transport Inc.</t>
  </si>
  <si>
    <t>FWAP</t>
  </si>
  <si>
    <t>MC238594</t>
  </si>
  <si>
    <t>Flegal Trucking, Inc</t>
  </si>
  <si>
    <t>FLGC</t>
  </si>
  <si>
    <t>MC451205</t>
  </si>
  <si>
    <t>Fleming's Transportation Inc.:</t>
  </si>
  <si>
    <t>FLGI</t>
  </si>
  <si>
    <t>MC222754</t>
  </si>
  <si>
    <t>Flizoyd Transportation, LLC</t>
  </si>
  <si>
    <t>FDZT</t>
  </si>
  <si>
    <t>MC634768</t>
  </si>
  <si>
    <t>Flo's Trucking, LLC</t>
  </si>
  <si>
    <t>FLON</t>
  </si>
  <si>
    <t>MC316112</t>
  </si>
  <si>
    <t>Florida Beauty Flora: Temperature Controlled</t>
  </si>
  <si>
    <t>FBFN</t>
  </si>
  <si>
    <t>MC308139</t>
  </si>
  <si>
    <t>Florilli Transporation, LLC</t>
  </si>
  <si>
    <t>FLRC</t>
  </si>
  <si>
    <t>MC206180</t>
  </si>
  <si>
    <t>Florstar Sales, Inc</t>
  </si>
  <si>
    <t>MC242491</t>
  </si>
  <si>
    <t>Floyd Blinsky Trucking, Inc.</t>
  </si>
  <si>
    <t>BFLT</t>
  </si>
  <si>
    <t>Focus North America Transportation, Inc.</t>
  </si>
  <si>
    <t>FNAN</t>
  </si>
  <si>
    <t>MC362331</t>
  </si>
  <si>
    <t>Foodliner, Inc.</t>
  </si>
  <si>
    <t>FOLW</t>
  </si>
  <si>
    <t>MC163711</t>
  </si>
  <si>
    <t>Fore Transportation Inc.</t>
  </si>
  <si>
    <t>FOTO</t>
  </si>
  <si>
    <t>MC294796</t>
  </si>
  <si>
    <t>Forest Products Transports LLC</t>
  </si>
  <si>
    <t>MC138308</t>
  </si>
  <si>
    <t>Foreway Transportation, Inc.</t>
  </si>
  <si>
    <t>FOWN</t>
  </si>
  <si>
    <t>MC146976</t>
  </si>
  <si>
    <t>Forrage, Inc</t>
  </si>
  <si>
    <t>ZKVK</t>
  </si>
  <si>
    <t>MC507054</t>
  </si>
  <si>
    <t>Fortune Transportation</t>
  </si>
  <si>
    <t>FTNA</t>
  </si>
  <si>
    <t>MC198945</t>
  </si>
  <si>
    <t>Forward Air Corp.: cst inc.</t>
  </si>
  <si>
    <t>CSAC</t>
  </si>
  <si>
    <t>MC152337</t>
  </si>
  <si>
    <t>Forward Air Corp.: faf inc.</t>
  </si>
  <si>
    <t>MC333604</t>
  </si>
  <si>
    <t>Forward Air Corp.: forward air solutions,inc.</t>
  </si>
  <si>
    <t>FAWB</t>
  </si>
  <si>
    <t>MC613161</t>
  </si>
  <si>
    <t>Forward Air Corp.: tqi inc.</t>
  </si>
  <si>
    <t>HLLB</t>
  </si>
  <si>
    <t>MC369050</t>
  </si>
  <si>
    <t>Foster Poultry Farms: Longline</t>
  </si>
  <si>
    <t>FSTF</t>
  </si>
  <si>
    <t>MC080403</t>
  </si>
  <si>
    <t>Four Star Transportation</t>
  </si>
  <si>
    <t>FSTY</t>
  </si>
  <si>
    <t>MC281032</t>
  </si>
  <si>
    <t>Fr8 Solutions, Inc.</t>
  </si>
  <si>
    <t>FGNJ</t>
  </si>
  <si>
    <t>MC828211</t>
  </si>
  <si>
    <t>Fraley and Schilling, Inc.</t>
  </si>
  <si>
    <t>FASQ</t>
  </si>
  <si>
    <t>MC126091</t>
  </si>
  <si>
    <t>Freedom Trans Dedicated, LLC</t>
  </si>
  <si>
    <t>FTDS</t>
  </si>
  <si>
    <t>MC702638</t>
  </si>
  <si>
    <t>Freight all Kinds Inc</t>
  </si>
  <si>
    <t>FAKI</t>
  </si>
  <si>
    <t>MC095084</t>
  </si>
  <si>
    <t>Freight Exchange of North America, LLC dba F/X</t>
  </si>
  <si>
    <t>FXLL</t>
  </si>
  <si>
    <t>MC471387</t>
  </si>
  <si>
    <t>Freight Koncepts LLC</t>
  </si>
  <si>
    <t>FKLP</t>
  </si>
  <si>
    <t>MC893284</t>
  </si>
  <si>
    <t>Freight Pro Transport, LLC</t>
  </si>
  <si>
    <t>FPRP</t>
  </si>
  <si>
    <t>MC905685</t>
  </si>
  <si>
    <t>Freight Solution Providers - A KLS Air Express Co.</t>
  </si>
  <si>
    <t>KLSA</t>
  </si>
  <si>
    <t>MC486370</t>
  </si>
  <si>
    <t>FreightEx Freight Services, LLC.</t>
  </si>
  <si>
    <t>FXFV</t>
  </si>
  <si>
    <t>MC816635</t>
  </si>
  <si>
    <t>Fremont Contract Carriers, Inc.: Flatbed Division</t>
  </si>
  <si>
    <t>FRCI</t>
  </si>
  <si>
    <t>MC128190</t>
  </si>
  <si>
    <t>Fremont Contract Carriers, Inc.: Van Division</t>
  </si>
  <si>
    <t>French Trucking, Inc.</t>
  </si>
  <si>
    <t>FRNG</t>
  </si>
  <si>
    <t>MC203893</t>
  </si>
  <si>
    <t>Freymiller</t>
  </si>
  <si>
    <t>FYMI</t>
  </si>
  <si>
    <t>MC410900</t>
  </si>
  <si>
    <t>Friend Freightways, Inc.</t>
  </si>
  <si>
    <t>FRFT</t>
  </si>
  <si>
    <t>MC225752</t>
  </si>
  <si>
    <t>Frito-Lay: Rolling Frito-Lay Sales</t>
  </si>
  <si>
    <t>Frito-Lay: Transportation</t>
  </si>
  <si>
    <t>Frock Bros. Trucking, Inc.</t>
  </si>
  <si>
    <t>FRBO</t>
  </si>
  <si>
    <t>MC164094</t>
  </si>
  <si>
    <t>Frontier Leasing, Inc.</t>
  </si>
  <si>
    <t>FRLG</t>
  </si>
  <si>
    <t>MC145475</t>
  </si>
  <si>
    <t>Frontier Transport, Corp.</t>
  </si>
  <si>
    <t>FTAC</t>
  </si>
  <si>
    <t>MC168959</t>
  </si>
  <si>
    <t>Frontier Transportation, Inc.</t>
  </si>
  <si>
    <t>FTAT</t>
  </si>
  <si>
    <t>MC283949</t>
  </si>
  <si>
    <t>Frozen Food Express</t>
  </si>
  <si>
    <t>MC108207</t>
  </si>
  <si>
    <t>FST Logistics - FST Express</t>
  </si>
  <si>
    <t>FNKN,FKSP</t>
  </si>
  <si>
    <t>MC245149</t>
  </si>
  <si>
    <t>FTC Transport, Inc.</t>
  </si>
  <si>
    <t>FTCB</t>
  </si>
  <si>
    <t>MC437193</t>
  </si>
  <si>
    <t>FTC Transportation, Inc.</t>
  </si>
  <si>
    <t>FTOK</t>
  </si>
  <si>
    <t>MC195063</t>
  </si>
  <si>
    <t>FTI: 2810026 Canada Limited</t>
  </si>
  <si>
    <t>TEON</t>
  </si>
  <si>
    <t>MC255483</t>
  </si>
  <si>
    <t>FTI: Bill Thompson Transport, Inc.</t>
  </si>
  <si>
    <t>THMB</t>
  </si>
  <si>
    <t>MC178451</t>
  </si>
  <si>
    <t>Fuchs Trucking LLC</t>
  </si>
  <si>
    <t>FUCH</t>
  </si>
  <si>
    <t>Fuel Truck Inc.: Carrier</t>
  </si>
  <si>
    <t>MC535068</t>
  </si>
  <si>
    <t>Fusion Transportation Group</t>
  </si>
  <si>
    <t>FTGK</t>
  </si>
  <si>
    <t>MC535067</t>
  </si>
  <si>
    <t>G &amp; P Trucking Company, Inc: Container Division</t>
  </si>
  <si>
    <t>GPTC</t>
  </si>
  <si>
    <t>MC060709</t>
  </si>
  <si>
    <t>G &amp; P Trucking Company, Inc: Van Division</t>
  </si>
  <si>
    <t>G &amp; S Transfer, Inc.</t>
  </si>
  <si>
    <t>MC286284</t>
  </si>
  <si>
    <t>G Castillo Transport</t>
  </si>
  <si>
    <t>ZDAK</t>
  </si>
  <si>
    <t>G&amp;D Integrated: Core Fleet</t>
  </si>
  <si>
    <t>GADL</t>
  </si>
  <si>
    <t>MC185950</t>
  </si>
  <si>
    <t>G&amp;D Integrated: Hardebeck Trucking (HTI)</t>
  </si>
  <si>
    <t>HRDB</t>
  </si>
  <si>
    <t>MC163671</t>
  </si>
  <si>
    <t>G. G. Barnett Transport</t>
  </si>
  <si>
    <t>BNGG</t>
  </si>
  <si>
    <t>MC163794</t>
  </si>
  <si>
    <t>G. Zavitz Ltd.</t>
  </si>
  <si>
    <t>ZVZG</t>
  </si>
  <si>
    <t>MC193674</t>
  </si>
  <si>
    <t>G.P. Hamlett Trucking</t>
  </si>
  <si>
    <t>HMGT</t>
  </si>
  <si>
    <t>MC294498</t>
  </si>
  <si>
    <t>G4 Express, Inc.</t>
  </si>
  <si>
    <t>GFGP</t>
  </si>
  <si>
    <t>MC696023</t>
  </si>
  <si>
    <t>Gabler Trucking, Inc.</t>
  </si>
  <si>
    <t>GBLR</t>
  </si>
  <si>
    <t>MC27817</t>
  </si>
  <si>
    <t>Gaio Trucking, Inc.</t>
  </si>
  <si>
    <t>GAOK</t>
  </si>
  <si>
    <t>Ganeca Transport (TFI 11 S.E.C.)</t>
  </si>
  <si>
    <t>GTAP</t>
  </si>
  <si>
    <t>Gangloff Industries, Inc.</t>
  </si>
  <si>
    <t>GANL</t>
  </si>
  <si>
    <t>MC257394</t>
  </si>
  <si>
    <t>Gantt Trucking LLC</t>
  </si>
  <si>
    <t>GNTV</t>
  </si>
  <si>
    <t>MC903804</t>
  </si>
  <si>
    <t>Gardner Family Transportation LLC</t>
  </si>
  <si>
    <t>GFTN</t>
  </si>
  <si>
    <t>MC728603</t>
  </si>
  <si>
    <t>Gardner Trucking</t>
  </si>
  <si>
    <t>GATI</t>
  </si>
  <si>
    <t>MC0031822</t>
  </si>
  <si>
    <t>Garner Transportation Group</t>
  </si>
  <si>
    <t>GRTG</t>
  </si>
  <si>
    <t>Garten Trucking II LLC</t>
  </si>
  <si>
    <t>GRKQ</t>
  </si>
  <si>
    <t>MC767833</t>
  </si>
  <si>
    <t>Garten Trucking LC</t>
  </si>
  <si>
    <t>GNKR</t>
  </si>
  <si>
    <t>MC00000</t>
  </si>
  <si>
    <t>Gary Blick Trucking Inc.</t>
  </si>
  <si>
    <t>BLIC</t>
  </si>
  <si>
    <t>MC408311</t>
  </si>
  <si>
    <t>Gary Transport Inc: Truckload Carrier</t>
  </si>
  <si>
    <t>GYTV</t>
  </si>
  <si>
    <t>MC812935</t>
  </si>
  <si>
    <t>GAT Dedicated, INC</t>
  </si>
  <si>
    <t>GATK</t>
  </si>
  <si>
    <t>MC692556</t>
  </si>
  <si>
    <t>Gates Corporation</t>
  </si>
  <si>
    <t>GTOF</t>
  </si>
  <si>
    <t>MC188048</t>
  </si>
  <si>
    <t>Gayle Frerichs Trucking, LLC: Gayle Frerichs Trucking LLC</t>
  </si>
  <si>
    <t>FGYL</t>
  </si>
  <si>
    <t>MC339424</t>
  </si>
  <si>
    <t>GBTI, Inc.</t>
  </si>
  <si>
    <t>GBTY</t>
  </si>
  <si>
    <t>MC505611</t>
  </si>
  <si>
    <t>GDS Express, Inc.</t>
  </si>
  <si>
    <t>GDSD</t>
  </si>
  <si>
    <t>MC234622</t>
  </si>
  <si>
    <t>Gei-Corp Trucking</t>
  </si>
  <si>
    <t>GEIC</t>
  </si>
  <si>
    <t>MC325356</t>
  </si>
  <si>
    <t>Gemini Transport LLC</t>
  </si>
  <si>
    <t>GEMS</t>
  </si>
  <si>
    <t>MC432907</t>
  </si>
  <si>
    <t>Gene Hoenig, Inc</t>
  </si>
  <si>
    <t>HNGA</t>
  </si>
  <si>
    <t>MC170675</t>
  </si>
  <si>
    <t>General Express Inc.</t>
  </si>
  <si>
    <t>GEXP</t>
  </si>
  <si>
    <t>MC791924</t>
  </si>
  <si>
    <t>General Freight Solutions</t>
  </si>
  <si>
    <t>GFSD</t>
  </si>
  <si>
    <t>MC961208</t>
  </si>
  <si>
    <t>General Logistics, Inc: Cincinnati</t>
  </si>
  <si>
    <t>GNRL</t>
  </si>
  <si>
    <t>MC178298</t>
  </si>
  <si>
    <t>General Logistics, Inc: Middletown</t>
  </si>
  <si>
    <t>General Trucking Inc.</t>
  </si>
  <si>
    <t>GTHV</t>
  </si>
  <si>
    <t>MC578193</t>
  </si>
  <si>
    <t>Genesis Expedite LLC</t>
  </si>
  <si>
    <t>GEXE</t>
  </si>
  <si>
    <t>MC804112</t>
  </si>
  <si>
    <t>Genesis Express &amp; Logistics Inc.</t>
  </si>
  <si>
    <t>GXPG</t>
  </si>
  <si>
    <t>Genesis Intermodal Delivery, Inc.</t>
  </si>
  <si>
    <t>GEND</t>
  </si>
  <si>
    <t>MC389674</t>
  </si>
  <si>
    <t>Genesis Transportation</t>
  </si>
  <si>
    <t>PTAL</t>
  </si>
  <si>
    <t>MC290005</t>
  </si>
  <si>
    <t>George Hildebrandt, Inc.</t>
  </si>
  <si>
    <t>HLDB</t>
  </si>
  <si>
    <t>MC33970</t>
  </si>
  <si>
    <t>George Van Dyke Trucking, Inc.</t>
  </si>
  <si>
    <t>VADY</t>
  </si>
  <si>
    <t>MC154675</t>
  </si>
  <si>
    <t>George's Foods LLC - VA. Division - Dressed Haul</t>
  </si>
  <si>
    <t>MC414603</t>
  </si>
  <si>
    <t>Georgia Freightways Corporation</t>
  </si>
  <si>
    <t>GAFC</t>
  </si>
  <si>
    <t>MC382412</t>
  </si>
  <si>
    <t>Georgia Southern Transportation</t>
  </si>
  <si>
    <t>GASR</t>
  </si>
  <si>
    <t>MC157719</t>
  </si>
  <si>
    <t>Gertsen Interstate Systems, Inc.</t>
  </si>
  <si>
    <t>GISY</t>
  </si>
  <si>
    <t>MC168009</t>
  </si>
  <si>
    <t>GetGo Transportation Co. LLC</t>
  </si>
  <si>
    <t>GGOT</t>
  </si>
  <si>
    <t>MC398434</t>
  </si>
  <si>
    <t>GFS EXPRESS / Genesis Freight Systems Inc.: Truckload</t>
  </si>
  <si>
    <t>GFSJ</t>
  </si>
  <si>
    <t>MC630044</t>
  </si>
  <si>
    <t>GHG Logistics: Private Fleet</t>
  </si>
  <si>
    <t>MC719083</t>
  </si>
  <si>
    <t>Giant Eagle, Inc.: Talon logistics</t>
  </si>
  <si>
    <t>TLQC</t>
  </si>
  <si>
    <t>MC297936</t>
  </si>
  <si>
    <t>Giant of Maryland LLC Supermarket Company</t>
  </si>
  <si>
    <t>MC170440</t>
  </si>
  <si>
    <t>Gigg Express Inc</t>
  </si>
  <si>
    <t>GEIB</t>
  </si>
  <si>
    <t>MC709073</t>
  </si>
  <si>
    <t>Gilbert Express Inc</t>
  </si>
  <si>
    <t>GBXI</t>
  </si>
  <si>
    <t>MC252528</t>
  </si>
  <si>
    <t>GIS</t>
  </si>
  <si>
    <t>GINF</t>
  </si>
  <si>
    <t>MC660128</t>
  </si>
  <si>
    <t>Glacier Transit and Storage, Inc.</t>
  </si>
  <si>
    <t>GTSG</t>
  </si>
  <si>
    <t>Glass TI LLC</t>
  </si>
  <si>
    <t>GLTK</t>
  </si>
  <si>
    <t>MC12595</t>
  </si>
  <si>
    <t>Glen Raven Transportation, Inc.</t>
  </si>
  <si>
    <t>GRVE</t>
  </si>
  <si>
    <t>MC279819</t>
  </si>
  <si>
    <t>GlenDi Inc.</t>
  </si>
  <si>
    <t>GLED</t>
  </si>
  <si>
    <t>MC262773</t>
  </si>
  <si>
    <t>GLM Transport Inc</t>
  </si>
  <si>
    <t>MC233761</t>
  </si>
  <si>
    <t>Global Expedited, Inc.</t>
  </si>
  <si>
    <t>GEXW</t>
  </si>
  <si>
    <t>MC692998</t>
  </si>
  <si>
    <t>Global Freight Experts Inc</t>
  </si>
  <si>
    <t>GFEI</t>
  </si>
  <si>
    <t>MC708448</t>
  </si>
  <si>
    <t>Global Pacific Xpress Inc.</t>
  </si>
  <si>
    <t>GPXN</t>
  </si>
  <si>
    <t>GMR Transportation, Inc.</t>
  </si>
  <si>
    <t>GMRR</t>
  </si>
  <si>
    <t>MC371435</t>
  </si>
  <si>
    <t>GMT Logistic Inc</t>
  </si>
  <si>
    <t>GMOQ</t>
  </si>
  <si>
    <t>MC685510</t>
  </si>
  <si>
    <t>GNH Trucking, Inc.</t>
  </si>
  <si>
    <t>GNHG</t>
  </si>
  <si>
    <t>MC261943</t>
  </si>
  <si>
    <t>Go-To Transport, Inc.</t>
  </si>
  <si>
    <t>GTTI</t>
  </si>
  <si>
    <t>MC476897</t>
  </si>
  <si>
    <t>Goggin Warehousing, LLC</t>
  </si>
  <si>
    <t>GGCI</t>
  </si>
  <si>
    <t>MC337053</t>
  </si>
  <si>
    <t>Golden State Foods</t>
  </si>
  <si>
    <t>GSFP</t>
  </si>
  <si>
    <t>MC181461</t>
  </si>
  <si>
    <t>Gordon Trucking, Inc.: Heavy/Bulk</t>
  </si>
  <si>
    <t>MC152187</t>
  </si>
  <si>
    <t>Gordon Trucking, Inc.: Regional Fleet</t>
  </si>
  <si>
    <t>Gordon Trucking, Inc.: Truckload Fleet</t>
  </si>
  <si>
    <t>Gore Freight Company, LLC</t>
  </si>
  <si>
    <t>GFCY</t>
  </si>
  <si>
    <t>MC689201</t>
  </si>
  <si>
    <t>Gorski Bulk Transport Inc.</t>
  </si>
  <si>
    <t>GBUK</t>
  </si>
  <si>
    <t>MC142268</t>
  </si>
  <si>
    <t>GP Transco: Owned</t>
  </si>
  <si>
    <t>GPAB</t>
  </si>
  <si>
    <t>MC583633</t>
  </si>
  <si>
    <t>Grafton Transit Inc.</t>
  </si>
  <si>
    <t>GFON</t>
  </si>
  <si>
    <t>MC236601</t>
  </si>
  <si>
    <t>Gramlings, Inc.</t>
  </si>
  <si>
    <t>GMLG</t>
  </si>
  <si>
    <t>MC239610</t>
  </si>
  <si>
    <t>Grammer Industries, Inc.: Grammer Industries, Inc.</t>
  </si>
  <si>
    <t>GIPB</t>
  </si>
  <si>
    <t>MC152256</t>
  </si>
  <si>
    <t>Grammer Industries, Inc.: Vickery Transportation, Inc.</t>
  </si>
  <si>
    <t>VKRY</t>
  </si>
  <si>
    <t>MC4146055</t>
  </si>
  <si>
    <t>Grand Aire, Inc.</t>
  </si>
  <si>
    <t>GAIP</t>
  </si>
  <si>
    <t>MC691093</t>
  </si>
  <si>
    <t>Grand Island Express, Inc.</t>
  </si>
  <si>
    <t>GIMV</t>
  </si>
  <si>
    <t>MC135283</t>
  </si>
  <si>
    <t>Grand Rapids Transport, Inc.</t>
  </si>
  <si>
    <t>GDRR</t>
  </si>
  <si>
    <t>MC184817</t>
  </si>
  <si>
    <t>Grand Traverse Trucking, Inc.</t>
  </si>
  <si>
    <t>GTVK</t>
  </si>
  <si>
    <t>MC313972</t>
  </si>
  <si>
    <t>Grandview Enterprises, Inc.</t>
  </si>
  <si>
    <t>GRWE</t>
  </si>
  <si>
    <t>MC139588</t>
  </si>
  <si>
    <t>Grane Transportation Lines, Ltd.</t>
  </si>
  <si>
    <t>GRNL</t>
  </si>
  <si>
    <t>MC030032</t>
  </si>
  <si>
    <t>Grant Transport: grant transport</t>
  </si>
  <si>
    <t>GRON</t>
  </si>
  <si>
    <t>MC433330</t>
  </si>
  <si>
    <t>Grassmid Transport Inc</t>
  </si>
  <si>
    <t>GRSM</t>
  </si>
  <si>
    <t>MC159968</t>
  </si>
  <si>
    <t>Gray Transportation, Inc.</t>
  </si>
  <si>
    <t>GRYO</t>
  </si>
  <si>
    <t>MC184341</t>
  </si>
  <si>
    <t>Great Lakes Cold Logistics, Inc.</t>
  </si>
  <si>
    <t>GDBK</t>
  </si>
  <si>
    <t>MC498420</t>
  </si>
  <si>
    <t>Great Lakes Trucking, Inc.</t>
  </si>
  <si>
    <t>GLTQ</t>
  </si>
  <si>
    <t>MC820269</t>
  </si>
  <si>
    <t>Great Lakes Western, Inc.</t>
  </si>
  <si>
    <t>GLWI</t>
  </si>
  <si>
    <t>MC238687</t>
  </si>
  <si>
    <t>Great Plains Transport, Inc.</t>
  </si>
  <si>
    <t>GPTH</t>
  </si>
  <si>
    <t>MC268241</t>
  </si>
  <si>
    <t>Greatway Transportation, Inc.</t>
  </si>
  <si>
    <t>GWYP</t>
  </si>
  <si>
    <t>MC678205</t>
  </si>
  <si>
    <t>Greatwide American Trans-Freight, LLC</t>
  </si>
  <si>
    <t>MC340975</t>
  </si>
  <si>
    <t>Greatwide Cheetah Transportation, LLC: Cheetah Transportation, LLC</t>
  </si>
  <si>
    <t>CQEH</t>
  </si>
  <si>
    <t>MC412349</t>
  </si>
  <si>
    <t>Greatwide Dallas Mavis, LLC</t>
  </si>
  <si>
    <t>DLMS</t>
  </si>
  <si>
    <t>MC277164</t>
  </si>
  <si>
    <t>Greatwide National Transportation Specialists, LLC: National Transportation Specialists, LLC</t>
  </si>
  <si>
    <t>NTSE</t>
  </si>
  <si>
    <t>MC478765</t>
  </si>
  <si>
    <t>Green Products Company</t>
  </si>
  <si>
    <t>GRPD</t>
  </si>
  <si>
    <t>MC191955</t>
  </si>
  <si>
    <t>Greenbush Logistics, Incorporated</t>
  </si>
  <si>
    <t>GSOK</t>
  </si>
  <si>
    <t>MC334279</t>
  </si>
  <si>
    <t>Greene Transport Company</t>
  </si>
  <si>
    <t>GRNC</t>
  </si>
  <si>
    <t>MC451508</t>
  </si>
  <si>
    <t>Greenfield Logistics</t>
  </si>
  <si>
    <t>GAHM</t>
  </si>
  <si>
    <t>MC110581</t>
  </si>
  <si>
    <t>Greentree Logistics, Inc.</t>
  </si>
  <si>
    <t>GNLN</t>
  </si>
  <si>
    <t>MC769647</t>
  </si>
  <si>
    <t>Gregory Logistics, Inc.: truckload fleet</t>
  </si>
  <si>
    <t>GRGS</t>
  </si>
  <si>
    <t>MC316721</t>
  </si>
  <si>
    <t>Griffin Transportation, Inc.</t>
  </si>
  <si>
    <t>GTIF</t>
  </si>
  <si>
    <t>MC349552</t>
  </si>
  <si>
    <t>Grimshaw Trucking LP</t>
  </si>
  <si>
    <t>GRMI Logistics, LLC</t>
  </si>
  <si>
    <t>GRMF</t>
  </si>
  <si>
    <t>MC744133</t>
  </si>
  <si>
    <t>GRT - Transportation</t>
  </si>
  <si>
    <t>GRTR</t>
  </si>
  <si>
    <t>MC751827</t>
  </si>
  <si>
    <t>Grt Transportation</t>
  </si>
  <si>
    <t>GSA International Ltd.</t>
  </si>
  <si>
    <t>GSBE</t>
  </si>
  <si>
    <t>MC165803</t>
  </si>
  <si>
    <t>GSC Logistics, Inc.</t>
  </si>
  <si>
    <t>GSCO</t>
  </si>
  <si>
    <t>MC240220</t>
  </si>
  <si>
    <t>GSV Transportation, Inc.: GSV Transportation, Inc.</t>
  </si>
  <si>
    <t>GSVP</t>
  </si>
  <si>
    <t>MC646960</t>
  </si>
  <si>
    <t>GT Worldwide Transport Inc</t>
  </si>
  <si>
    <t>GTWJ</t>
  </si>
  <si>
    <t>MC684465</t>
  </si>
  <si>
    <t>GTI Transportation Solutions: GTI Global Freight Systems</t>
  </si>
  <si>
    <t>GTI Transportation Solutions: GTI Roll Transportation Services</t>
  </si>
  <si>
    <t>GTIL</t>
  </si>
  <si>
    <t>MCR-541794-5</t>
  </si>
  <si>
    <t>GTI Transportation Solutions: GTI Specialized Transportation</t>
  </si>
  <si>
    <t>TWOA</t>
  </si>
  <si>
    <t>MC137031270</t>
  </si>
  <si>
    <t>GTL Transport Co., Inc.</t>
  </si>
  <si>
    <t>GTLP</t>
  </si>
  <si>
    <t>MC153201</t>
  </si>
  <si>
    <t>GTW Trucking</t>
  </si>
  <si>
    <t>GTWQ</t>
  </si>
  <si>
    <t>MC0009344</t>
  </si>
  <si>
    <t>GTZ Xpress, Inc.</t>
  </si>
  <si>
    <t>GTDS</t>
  </si>
  <si>
    <t>MC575141</t>
  </si>
  <si>
    <t>Gulacha Brothers Trucking Inc.</t>
  </si>
  <si>
    <t>GBRO</t>
  </si>
  <si>
    <t>MC500694</t>
  </si>
  <si>
    <t>Gulf Relay LLC</t>
  </si>
  <si>
    <t>GFRA</t>
  </si>
  <si>
    <t>MC723111</t>
  </si>
  <si>
    <t>Gulf Winds International*: Truck Carrier</t>
  </si>
  <si>
    <t>GFWD</t>
  </si>
  <si>
    <t>MC320104</t>
  </si>
  <si>
    <t>Gulick Trucking Inc.</t>
  </si>
  <si>
    <t>GUMA,GUCK</t>
  </si>
  <si>
    <t>MC192093</t>
  </si>
  <si>
    <t>Guntren Trucking LLC</t>
  </si>
  <si>
    <t>GTNK</t>
  </si>
  <si>
    <t>MC209119</t>
  </si>
  <si>
    <t>Gustavo Jimenez, Inc. dba Southwest Freightlines</t>
  </si>
  <si>
    <t>SWGH</t>
  </si>
  <si>
    <t>MC205285</t>
  </si>
  <si>
    <t>GX Transportation Solutions Inc.</t>
  </si>
  <si>
    <t>GXTS</t>
  </si>
  <si>
    <t>MC441448</t>
  </si>
  <si>
    <t>Gypsum Express Ltd</t>
  </si>
  <si>
    <t>GYPE</t>
  </si>
  <si>
    <t>MC175702</t>
  </si>
  <si>
    <t>H &amp; M Trucking Inc.</t>
  </si>
  <si>
    <t>HSNM</t>
  </si>
  <si>
    <t>MC198858</t>
  </si>
  <si>
    <t>H &amp; S Trucking, LLC</t>
  </si>
  <si>
    <t>HDSC</t>
  </si>
  <si>
    <t>MC647645</t>
  </si>
  <si>
    <t>H P Hood LLC</t>
  </si>
  <si>
    <t>HHPI</t>
  </si>
  <si>
    <t>MC049515</t>
  </si>
  <si>
    <t>H&amp;H Express, Inc.</t>
  </si>
  <si>
    <t>HHXR</t>
  </si>
  <si>
    <t>MC483583</t>
  </si>
  <si>
    <t>H&amp;P Transport LLC</t>
  </si>
  <si>
    <t>H&amp;R Transport Ltd</t>
  </si>
  <si>
    <t>HNRI</t>
  </si>
  <si>
    <t>MC151325</t>
  </si>
  <si>
    <t>H-E-B</t>
  </si>
  <si>
    <t>BUTT</t>
  </si>
  <si>
    <t>MC295504</t>
  </si>
  <si>
    <t>H.O. Wolding, Inc.</t>
  </si>
  <si>
    <t>WOLH</t>
  </si>
  <si>
    <t>MC142310</t>
  </si>
  <si>
    <t>H.R. Ewell Inc.</t>
  </si>
  <si>
    <t>EWEL</t>
  </si>
  <si>
    <t>MC114123</t>
  </si>
  <si>
    <t>H.R.S. Transport, Inc.</t>
  </si>
  <si>
    <t>HRSS</t>
  </si>
  <si>
    <t>MC190311</t>
  </si>
  <si>
    <t>Habeck Trucking, Inc.</t>
  </si>
  <si>
    <t>HBKK</t>
  </si>
  <si>
    <t>MC318168</t>
  </si>
  <si>
    <t>Hackbarth Delivery Service</t>
  </si>
  <si>
    <t>HDSD</t>
  </si>
  <si>
    <t>MC168461</t>
  </si>
  <si>
    <t>Haggerty Logistics</t>
  </si>
  <si>
    <t>HAGY</t>
  </si>
  <si>
    <t>MC782825</t>
  </si>
  <si>
    <t>Halbersleben Trucking</t>
  </si>
  <si>
    <t>HTAK</t>
  </si>
  <si>
    <t>MC427786</t>
  </si>
  <si>
    <t>Hall Bros. Transportation Co., Inc.</t>
  </si>
  <si>
    <t>HABC</t>
  </si>
  <si>
    <t>MC145926</t>
  </si>
  <si>
    <t>Hall Transportation LLC</t>
  </si>
  <si>
    <t>HWTF</t>
  </si>
  <si>
    <t>MC627778</t>
  </si>
  <si>
    <t>Hall's Fast Motor Freight, Inc.</t>
  </si>
  <si>
    <t>HFMF</t>
  </si>
  <si>
    <t>MC12751</t>
  </si>
  <si>
    <t>Halvor Lines, Inc.: Flatbed Division</t>
  </si>
  <si>
    <t>HVRL</t>
  </si>
  <si>
    <t>MC146133</t>
  </si>
  <si>
    <t>Halvor Lines, Inc.: Refrigerated</t>
  </si>
  <si>
    <t>Halvor Lines, Inc.: Van Division</t>
  </si>
  <si>
    <t>Hamilton Transport Services</t>
  </si>
  <si>
    <t>HXSV</t>
  </si>
  <si>
    <t>MC305694</t>
  </si>
  <si>
    <t>Hamilton Trucking Company, Inc.</t>
  </si>
  <si>
    <t>HAMG</t>
  </si>
  <si>
    <t>MC250889</t>
  </si>
  <si>
    <t>Hammell Transport Service, Inc.</t>
  </si>
  <si>
    <t>HMLT</t>
  </si>
  <si>
    <t>MC283510</t>
  </si>
  <si>
    <t>Haney Truck Line LLC: GAMI</t>
  </si>
  <si>
    <t>GAMI</t>
  </si>
  <si>
    <t>MC187723</t>
  </si>
  <si>
    <t>Haney Truck Line LLC: HANEY</t>
  </si>
  <si>
    <t>HANY</t>
  </si>
  <si>
    <t>MC108340</t>
  </si>
  <si>
    <t>Hanks Inc DBA Sun Express</t>
  </si>
  <si>
    <t>SUXE</t>
  </si>
  <si>
    <t>Hanna Truck Line, Inc.</t>
  </si>
  <si>
    <t>HTLI</t>
  </si>
  <si>
    <t>MC139294</t>
  </si>
  <si>
    <t>Hansen &amp; Adkins Auto Transport: Hansen &amp; Adkins Auto Transport</t>
  </si>
  <si>
    <t>HATA</t>
  </si>
  <si>
    <t>MC277621</t>
  </si>
  <si>
    <t>Hansen Egg Company dba Hansen Company</t>
  </si>
  <si>
    <t>HNSE</t>
  </si>
  <si>
    <t>MC217725</t>
  </si>
  <si>
    <t>Hardinger Transfer Co., Inc.</t>
  </si>
  <si>
    <t>HNGQ</t>
  </si>
  <si>
    <t>MC143511</t>
  </si>
  <si>
    <t>Hardy Brothers, Inc.</t>
  </si>
  <si>
    <t>HYBH</t>
  </si>
  <si>
    <t>MC173778</t>
  </si>
  <si>
    <t>Harlens Trucking Ltd</t>
  </si>
  <si>
    <t>HGCL</t>
  </si>
  <si>
    <t>MC341646</t>
  </si>
  <si>
    <t>Harris Quality, Inc.</t>
  </si>
  <si>
    <t>HRSQ</t>
  </si>
  <si>
    <t>MC520653</t>
  </si>
  <si>
    <t>Hartley Oil Company, Incorporated</t>
  </si>
  <si>
    <t>HOLI</t>
  </si>
  <si>
    <t>MC55708</t>
  </si>
  <si>
    <t>Hartt Transportation Systems, Inc.: Van</t>
  </si>
  <si>
    <t>HRTD</t>
  </si>
  <si>
    <t>MC151941</t>
  </si>
  <si>
    <t>Harvey Building Products</t>
  </si>
  <si>
    <t>MC049564</t>
  </si>
  <si>
    <t>Hassett Express</t>
  </si>
  <si>
    <t>Hawaii Transfer Company Ltd.</t>
  </si>
  <si>
    <t>MC900015</t>
  </si>
  <si>
    <t>Hawkeye Transport, LLC</t>
  </si>
  <si>
    <t>HWYT</t>
  </si>
  <si>
    <t>MC627810</t>
  </si>
  <si>
    <t>Hazen Transport: Final Mile</t>
  </si>
  <si>
    <t>HFMD</t>
  </si>
  <si>
    <t>MC761899</t>
  </si>
  <si>
    <t>Hazen Transport: Truckload</t>
  </si>
  <si>
    <t>HZEN</t>
  </si>
  <si>
    <t>MC225969</t>
  </si>
  <si>
    <t>Hazmat Environmental Group, Inc.</t>
  </si>
  <si>
    <t>HZEG</t>
  </si>
  <si>
    <t>MC202347</t>
  </si>
  <si>
    <t>HBJW,LLC</t>
  </si>
  <si>
    <t>HBJW</t>
  </si>
  <si>
    <t>MC838367</t>
  </si>
  <si>
    <t>Heart of the Road Trucking, LLC</t>
  </si>
  <si>
    <t>HOTK</t>
  </si>
  <si>
    <t>MC580625</t>
  </si>
  <si>
    <t>Heart Transportation US, Inc.</t>
  </si>
  <si>
    <t>HEAR</t>
  </si>
  <si>
    <t>MC313043</t>
  </si>
  <si>
    <t>Heartland Ag / Nationwide</t>
  </si>
  <si>
    <t>MC817111</t>
  </si>
  <si>
    <t>Heartland Express, Inc. of Iowa</t>
  </si>
  <si>
    <t>HAEI</t>
  </si>
  <si>
    <t>MC115554</t>
  </si>
  <si>
    <t>Heavy Crude Hauling L.P.: Oilfield Fluid Hauling</t>
  </si>
  <si>
    <t>Heavy Weight Enterprises INC</t>
  </si>
  <si>
    <t>HWEH</t>
  </si>
  <si>
    <t>MC882860</t>
  </si>
  <si>
    <t>Hedge and Herberg Inc: HEHI</t>
  </si>
  <si>
    <t>HEHI</t>
  </si>
  <si>
    <t>MC145552</t>
  </si>
  <si>
    <t>Heim Trucking Co.</t>
  </si>
  <si>
    <t>HEIM</t>
  </si>
  <si>
    <t>MC161661</t>
  </si>
  <si>
    <t>Heiter Truck Line, Inc</t>
  </si>
  <si>
    <t>HIDT</t>
  </si>
  <si>
    <t>MC173458</t>
  </si>
  <si>
    <t>Hello Express, Inc: Hello Express, Inc</t>
  </si>
  <si>
    <t>HELG</t>
  </si>
  <si>
    <t>MC476684</t>
  </si>
  <si>
    <t>Hello Express, Inc: Yes Express, Inc</t>
  </si>
  <si>
    <t>YESE</t>
  </si>
  <si>
    <t>MC454348</t>
  </si>
  <si>
    <t>Hendrickson Truck Lines, Inc.</t>
  </si>
  <si>
    <t>HRKE</t>
  </si>
  <si>
    <t>MC883507</t>
  </si>
  <si>
    <t>Heniff Transportation Systems, LLC.</t>
  </si>
  <si>
    <t>HNIF</t>
  </si>
  <si>
    <t>MC342531</t>
  </si>
  <si>
    <t>Henry's Moving Service LLC</t>
  </si>
  <si>
    <t>MC424705</t>
  </si>
  <si>
    <t>Herche Transfer Co., Inc.: Herche Kent</t>
  </si>
  <si>
    <t>HTFO</t>
  </si>
  <si>
    <t>MC206381</t>
  </si>
  <si>
    <t>Herche Transfer Co., Inc.: Herche Vancouver</t>
  </si>
  <si>
    <t>HVAN</t>
  </si>
  <si>
    <t>MC259601</t>
  </si>
  <si>
    <t>Hercules Freight Inc.</t>
  </si>
  <si>
    <t>HRCF</t>
  </si>
  <si>
    <t>MC236993</t>
  </si>
  <si>
    <t>Heritage Transport, LLC: Dump</t>
  </si>
  <si>
    <t>HGET</t>
  </si>
  <si>
    <t>MC187355</t>
  </si>
  <si>
    <t>Heritage Transport, LLC: Roll Off</t>
  </si>
  <si>
    <t>Heritage Transport, LLC: Tanker</t>
  </si>
  <si>
    <t>Heritage Transport, LLC: Van</t>
  </si>
  <si>
    <t>Herlache Truck Lines LLC</t>
  </si>
  <si>
    <t>HHKL</t>
  </si>
  <si>
    <t>MC839732</t>
  </si>
  <si>
    <t>Herman Miller Incorporated</t>
  </si>
  <si>
    <t>MC279418</t>
  </si>
  <si>
    <t>Hermann Transportation</t>
  </si>
  <si>
    <t>HRMN</t>
  </si>
  <si>
    <t>MC32775</t>
  </si>
  <si>
    <t>Hess Trucking Company</t>
  </si>
  <si>
    <t>HEST</t>
  </si>
  <si>
    <t>MC121272</t>
  </si>
  <si>
    <t>Heyl Truck Lines, Inc. - DED Division</t>
  </si>
  <si>
    <t>HEYL</t>
  </si>
  <si>
    <t>MC133119</t>
  </si>
  <si>
    <t>Heyl Truck Lines, Inc. - FLA Division</t>
  </si>
  <si>
    <t>Heyl Truck Lines, Inc. - MID Division</t>
  </si>
  <si>
    <t>Heyl Truck Lines, Inc.: Heyl Truck Lines, Inc. - TEX Division</t>
  </si>
  <si>
    <t>Heyl Truck Lines, Inc.: Heyl Truck Lines, Inc. - US Division</t>
  </si>
  <si>
    <t>Hi-Way 9 Express Ltd.: HW9</t>
  </si>
  <si>
    <t>HIWP</t>
  </si>
  <si>
    <t>Hiel Trucking, Inc.: OTR</t>
  </si>
  <si>
    <t>HIET</t>
  </si>
  <si>
    <t>MC129149</t>
  </si>
  <si>
    <t>Hiel Trucking, Inc.: Specialized Service</t>
  </si>
  <si>
    <t>High Country Transportation, Inc.: Dry Van</t>
  </si>
  <si>
    <t>HCTD</t>
  </si>
  <si>
    <t>MC150054</t>
  </si>
  <si>
    <t>High Country Transportation, Inc.: Local Hopper</t>
  </si>
  <si>
    <t>High Country Transportation, Inc.: OTR Hopper</t>
  </si>
  <si>
    <t>High Mountain Transport LLC.</t>
  </si>
  <si>
    <t>HMTA</t>
  </si>
  <si>
    <t>MC224896</t>
  </si>
  <si>
    <t>Highland Transport</t>
  </si>
  <si>
    <t>Highway Transport Chemical, LLC</t>
  </si>
  <si>
    <t>HTAC</t>
  </si>
  <si>
    <t>MC111302</t>
  </si>
  <si>
    <t>Hill &amp; Williams Bros Inc: HILW</t>
  </si>
  <si>
    <t>HILW</t>
  </si>
  <si>
    <t>Hill Brothers Transportation: For-Hire</t>
  </si>
  <si>
    <t>HLBO</t>
  </si>
  <si>
    <t>MC191735</t>
  </si>
  <si>
    <t>Hill's Pet Nutrition Sales, Inc.: Customer Fulfillmnet</t>
  </si>
  <si>
    <t>Hillcrest Transportation, Inc</t>
  </si>
  <si>
    <t>HLSC</t>
  </si>
  <si>
    <t>MC425469</t>
  </si>
  <si>
    <t>Hills Air Support LLC</t>
  </si>
  <si>
    <t>HASL</t>
  </si>
  <si>
    <t>Hills Trucking, Inc.</t>
  </si>
  <si>
    <t>HKIR</t>
  </si>
  <si>
    <t>MC34087</t>
  </si>
  <si>
    <t>Hillyard, Inc</t>
  </si>
  <si>
    <t>HYDO</t>
  </si>
  <si>
    <t>MC180757</t>
  </si>
  <si>
    <t>Hirschbach Motor Lines</t>
  </si>
  <si>
    <t>HIRS</t>
  </si>
  <si>
    <t>MC4208832</t>
  </si>
  <si>
    <t>HMD Trucking, Inc.</t>
  </si>
  <si>
    <t>HMDT</t>
  </si>
  <si>
    <t>MC415186</t>
  </si>
  <si>
    <t>HO-RO Trucking Company, Inc.: Flatbed</t>
  </si>
  <si>
    <t>HORO</t>
  </si>
  <si>
    <t>MC123057</t>
  </si>
  <si>
    <t>Hobby Lobby Stores Inc.</t>
  </si>
  <si>
    <t>HLSS</t>
  </si>
  <si>
    <t>MC238758</t>
  </si>
  <si>
    <t>Hoekstra Transportation</t>
  </si>
  <si>
    <t>HKRA</t>
  </si>
  <si>
    <t>MC152829</t>
  </si>
  <si>
    <t>Hoffman Transport, Inc.</t>
  </si>
  <si>
    <t>HFAD</t>
  </si>
  <si>
    <t>MC150817</t>
  </si>
  <si>
    <t>Hoffman Transportation LLC/G &amp; D Trucking, Inc.</t>
  </si>
  <si>
    <t>GNDQ</t>
  </si>
  <si>
    <t>MC172442</t>
  </si>
  <si>
    <t>Hog Wild Trucking, Inc.: HGWI</t>
  </si>
  <si>
    <t>HGWI</t>
  </si>
  <si>
    <t>MC689600</t>
  </si>
  <si>
    <t>Hogan Transports, Inc</t>
  </si>
  <si>
    <t>HGTN,HOGD</t>
  </si>
  <si>
    <t>MC164981</t>
  </si>
  <si>
    <t>Hogland Transfer Company, Inc.</t>
  </si>
  <si>
    <t>HOGT</t>
  </si>
  <si>
    <t>MC040505</t>
  </si>
  <si>
    <t>Hoker Trucking LLC</t>
  </si>
  <si>
    <t>HTEN</t>
  </si>
  <si>
    <t>MC570181</t>
  </si>
  <si>
    <t>Holiday Express Corporation</t>
  </si>
  <si>
    <t>HOEC</t>
  </si>
  <si>
    <t>MC133562</t>
  </si>
  <si>
    <t>Holland Enterprises, Inc.</t>
  </si>
  <si>
    <t>HLLE</t>
  </si>
  <si>
    <t>MC260033</t>
  </si>
  <si>
    <t>Holland Transfer Company</t>
  </si>
  <si>
    <t>HOLT</t>
  </si>
  <si>
    <t>MC106202</t>
  </si>
  <si>
    <t>Hollywood Delivery Service, Inc.</t>
  </si>
  <si>
    <t>HWDQ</t>
  </si>
  <si>
    <t>MC257706</t>
  </si>
  <si>
    <t>Holman Transportation LLC</t>
  </si>
  <si>
    <t>HDCW</t>
  </si>
  <si>
    <t>MC203549</t>
  </si>
  <si>
    <t>Holman Transportation Services, Inc.</t>
  </si>
  <si>
    <t>HMTS</t>
  </si>
  <si>
    <t>MC315156</t>
  </si>
  <si>
    <t>Home Run Inc.</t>
  </si>
  <si>
    <t>HMER</t>
  </si>
  <si>
    <t>MC152104</t>
  </si>
  <si>
    <t>Honey Locust Farms, LLC</t>
  </si>
  <si>
    <t>HLSM</t>
  </si>
  <si>
    <t>MC292032</t>
  </si>
  <si>
    <t>Hoosier Air Transport, Inc.</t>
  </si>
  <si>
    <t>HSAR</t>
  </si>
  <si>
    <t>MC235727</t>
  </si>
  <si>
    <t>Horizon International Distributors</t>
  </si>
  <si>
    <t>HQID</t>
  </si>
  <si>
    <t>Horn Bros., Inc.</t>
  </si>
  <si>
    <t>HNBO</t>
  </si>
  <si>
    <t>MC365715</t>
  </si>
  <si>
    <t>Hornady Transportation LLC: fleet for-hire</t>
  </si>
  <si>
    <t>HBTN</t>
  </si>
  <si>
    <t>MC121664</t>
  </si>
  <si>
    <t>Hospira Fleet Services, LLC</t>
  </si>
  <si>
    <t>HPFS</t>
  </si>
  <si>
    <t>MC484268</t>
  </si>
  <si>
    <t>Hot-Line Freight System, Inc.</t>
  </si>
  <si>
    <t>HLNF</t>
  </si>
  <si>
    <t>MC213264</t>
  </si>
  <si>
    <t>Houff Transfer, Inc.</t>
  </si>
  <si>
    <t>HOTR</t>
  </si>
  <si>
    <t>MC066900</t>
  </si>
  <si>
    <t>Howard Baer, Inc.</t>
  </si>
  <si>
    <t>BAED</t>
  </si>
  <si>
    <t>MC124221</t>
  </si>
  <si>
    <t>Howard Sheppard, Inc.: CTN</t>
  </si>
  <si>
    <t>SEPD</t>
  </si>
  <si>
    <t>MC133920</t>
  </si>
  <si>
    <t>Howe Freightways, Inc.</t>
  </si>
  <si>
    <t>HWFA</t>
  </si>
  <si>
    <t>MC426141</t>
  </si>
  <si>
    <t>Howell's Motor Freight, Inc.</t>
  </si>
  <si>
    <t>HWLS</t>
  </si>
  <si>
    <t>Howl Transportation LLC.</t>
  </si>
  <si>
    <t>HWCC</t>
  </si>
  <si>
    <t>MC494997</t>
  </si>
  <si>
    <t>HP Distribution LLC</t>
  </si>
  <si>
    <t>HPDP</t>
  </si>
  <si>
    <t>MC389505</t>
  </si>
  <si>
    <t>HSD Holding Co.: Holland Special Delivery</t>
  </si>
  <si>
    <t>HOSD</t>
  </si>
  <si>
    <t>MC177069</t>
  </si>
  <si>
    <t>HT Bar, Inc.</t>
  </si>
  <si>
    <t>HTBR</t>
  </si>
  <si>
    <t>MC439967</t>
  </si>
  <si>
    <t>HTI Hall Trucking Express, Inc.</t>
  </si>
  <si>
    <t>HTIR</t>
  </si>
  <si>
    <t>MC349923</t>
  </si>
  <si>
    <t>HTI Transportation Inc</t>
  </si>
  <si>
    <t>MC929889</t>
  </si>
  <si>
    <t>Hub Group: Hub Group Trucking</t>
  </si>
  <si>
    <t>HUBT</t>
  </si>
  <si>
    <t>MC549479</t>
  </si>
  <si>
    <t>Hull Trucking, Inc</t>
  </si>
  <si>
    <t>HULG</t>
  </si>
  <si>
    <t>MC211119</t>
  </si>
  <si>
    <t>Humbang Express LLC</t>
  </si>
  <si>
    <t>Hunt's Transport Ltd.</t>
  </si>
  <si>
    <t>HUTP</t>
  </si>
  <si>
    <t>MC334629</t>
  </si>
  <si>
    <t>Hunter Express Ltd.</t>
  </si>
  <si>
    <t>HLGI</t>
  </si>
  <si>
    <t>Hutt Trucking Company</t>
  </si>
  <si>
    <t>HUTK</t>
  </si>
  <si>
    <t>MC164563</t>
  </si>
  <si>
    <t>HVH Transportation, Inc.: HVH LTL Fleet</t>
  </si>
  <si>
    <t>HVH1</t>
  </si>
  <si>
    <t>MC144631</t>
  </si>
  <si>
    <t>HVH Transportation, Inc.: HVH Truckload Fleet</t>
  </si>
  <si>
    <t>HWC Logistics, Inc.</t>
  </si>
  <si>
    <t>HWCL</t>
  </si>
  <si>
    <t>MC407581</t>
  </si>
  <si>
    <t>Hydra Trucking Inc.</t>
  </si>
  <si>
    <t>HYTF</t>
  </si>
  <si>
    <t>MC737136</t>
  </si>
  <si>
    <t>Hyway Trucking Co.</t>
  </si>
  <si>
    <t>HYWK</t>
  </si>
  <si>
    <t>MC204011</t>
  </si>
  <si>
    <t>I-65 Transport LLC</t>
  </si>
  <si>
    <t>ITBO</t>
  </si>
  <si>
    <t>MC655707</t>
  </si>
  <si>
    <t>ICS Logistics, LLC</t>
  </si>
  <si>
    <t>ILQC</t>
  </si>
  <si>
    <t>MC713068</t>
  </si>
  <si>
    <t>Idaho Milk Transport, Inc.: Beverage Distributors</t>
  </si>
  <si>
    <t>BVGD</t>
  </si>
  <si>
    <t>MC151311</t>
  </si>
  <si>
    <t>Idaho Milk Transport, Inc.: Idaho MIlk Transport Inc.</t>
  </si>
  <si>
    <t>IMKT</t>
  </si>
  <si>
    <t>MC204227</t>
  </si>
  <si>
    <t>Idaho Truck Lines, Inc.</t>
  </si>
  <si>
    <t>IDKN</t>
  </si>
  <si>
    <t>MC413612</t>
  </si>
  <si>
    <t>Ideal Logistics Group</t>
  </si>
  <si>
    <t>IDET</t>
  </si>
  <si>
    <t>Ideal Logistics, LLC</t>
  </si>
  <si>
    <t>ILLT</t>
  </si>
  <si>
    <t>MC518862</t>
  </si>
  <si>
    <t>Ihle Transport Inc.</t>
  </si>
  <si>
    <t>IHLE</t>
  </si>
  <si>
    <t>MC189273</t>
  </si>
  <si>
    <t>IMCG</t>
  </si>
  <si>
    <t>MC187562</t>
  </si>
  <si>
    <t>Imperial Eagle Express, Inc</t>
  </si>
  <si>
    <t>IMPG</t>
  </si>
  <si>
    <t>MC422507</t>
  </si>
  <si>
    <t>Imperial Express, Inc.</t>
  </si>
  <si>
    <t>IMES</t>
  </si>
  <si>
    <t>MC270583</t>
  </si>
  <si>
    <t>Indian River Transport Co.</t>
  </si>
  <si>
    <t>INRT</t>
  </si>
  <si>
    <t>MC266784</t>
  </si>
  <si>
    <t>Indiana Western Express, Inc</t>
  </si>
  <si>
    <t>IWXP</t>
  </si>
  <si>
    <t>MC212622</t>
  </si>
  <si>
    <t>Industrial Transport Services, LLC.: ITS</t>
  </si>
  <si>
    <t>Infinity Shipping LLC</t>
  </si>
  <si>
    <t>MC433175</t>
  </si>
  <si>
    <t>Infinity Transportation Inc.</t>
  </si>
  <si>
    <t>IYTN</t>
  </si>
  <si>
    <t>MC763462</t>
  </si>
  <si>
    <t>Inman Trucking, Inc.</t>
  </si>
  <si>
    <t>IMMG</t>
  </si>
  <si>
    <t>MC174834</t>
  </si>
  <si>
    <t>Inner Valley Transport, Inc.</t>
  </si>
  <si>
    <t>INVL</t>
  </si>
  <si>
    <t>MC587367</t>
  </si>
  <si>
    <t>Innovative Courier Solutions: Atlanta, GA</t>
  </si>
  <si>
    <t>ICSB</t>
  </si>
  <si>
    <t>MC550396</t>
  </si>
  <si>
    <t>Innovative Courier Solutions: Charlotte, NC</t>
  </si>
  <si>
    <t>Innovative Courier Solutions: Columbia, SC</t>
  </si>
  <si>
    <t>Innovative Courier Solutions: Raleigh, NC</t>
  </si>
  <si>
    <t>Innovative Transportation Services LLC</t>
  </si>
  <si>
    <t>INVS</t>
  </si>
  <si>
    <t>MC1996668</t>
  </si>
  <si>
    <t>Inontime, Inc.</t>
  </si>
  <si>
    <t>INJM</t>
  </si>
  <si>
    <t>MC358129</t>
  </si>
  <si>
    <t>Integrated Intermodal Transportation, Inc.</t>
  </si>
  <si>
    <t>IITO</t>
  </si>
  <si>
    <t>MC850178</t>
  </si>
  <si>
    <t>IntelliQuick Delivery, Inc.</t>
  </si>
  <si>
    <t>IQCK</t>
  </si>
  <si>
    <t>MC544876</t>
  </si>
  <si>
    <t>Inter-Coastal, Inc.</t>
  </si>
  <si>
    <t>INCA</t>
  </si>
  <si>
    <t>MC149472</t>
  </si>
  <si>
    <t>Intercoastal Wholesale and Distribution</t>
  </si>
  <si>
    <t>IWAD</t>
  </si>
  <si>
    <t>MC835934</t>
  </si>
  <si>
    <t>Interide Transport, LC</t>
  </si>
  <si>
    <t>IDXL</t>
  </si>
  <si>
    <t>MC354676</t>
  </si>
  <si>
    <t>Interlink Auto Transport, LLC</t>
  </si>
  <si>
    <t>IATP</t>
  </si>
  <si>
    <t>MC707120</t>
  </si>
  <si>
    <t>International Motor Freight*</t>
  </si>
  <si>
    <t>IMRF</t>
  </si>
  <si>
    <t>MC212742</t>
  </si>
  <si>
    <t>International System Transport, LLC</t>
  </si>
  <si>
    <t>ISTP</t>
  </si>
  <si>
    <t>MC821067</t>
  </si>
  <si>
    <t>International Truckload Services Inc.: International Truckload services Inc.</t>
  </si>
  <si>
    <t>ITLO</t>
  </si>
  <si>
    <t>Interstate Distributor Co.: Dedicated Fleets</t>
  </si>
  <si>
    <t>IDCD</t>
  </si>
  <si>
    <t>MC117201</t>
  </si>
  <si>
    <t>Interstate Distributor Co.: Dry Van</t>
  </si>
  <si>
    <t>INTD</t>
  </si>
  <si>
    <t>Interstate Distributor Co.: Temperature Control</t>
  </si>
  <si>
    <t>Interstate Van Lines, Inc.: INVA</t>
  </si>
  <si>
    <t>INVA</t>
  </si>
  <si>
    <t>MC001745</t>
  </si>
  <si>
    <t>Ippolito Transportation Inc.</t>
  </si>
  <si>
    <t>IPTO</t>
  </si>
  <si>
    <t>Island Movers, Inc.</t>
  </si>
  <si>
    <t>ISMQ</t>
  </si>
  <si>
    <t>MC135534</t>
  </si>
  <si>
    <t>ITDS, Inc.</t>
  </si>
  <si>
    <t>INQD</t>
  </si>
  <si>
    <t>MC283050</t>
  </si>
  <si>
    <t>ITS Logistics LLC</t>
  </si>
  <si>
    <t>ITSB</t>
  </si>
  <si>
    <t>MC378268</t>
  </si>
  <si>
    <t>J &amp; B Services, Inc.</t>
  </si>
  <si>
    <t>JBSD</t>
  </si>
  <si>
    <t>MC191929</t>
  </si>
  <si>
    <t>J &amp; M Tank Lines, Inc.</t>
  </si>
  <si>
    <t>JAMK</t>
  </si>
  <si>
    <t>MC148903</t>
  </si>
  <si>
    <t>J &amp; S Transportation, LLC</t>
  </si>
  <si>
    <t>JSRN</t>
  </si>
  <si>
    <t>MC335897</t>
  </si>
  <si>
    <t>j h k transport inc</t>
  </si>
  <si>
    <t>JHKT</t>
  </si>
  <si>
    <t>MC821650</t>
  </si>
  <si>
    <t>J K Hackl Transportation Services, Inc.</t>
  </si>
  <si>
    <t>HCTG</t>
  </si>
  <si>
    <t>MC240819</t>
  </si>
  <si>
    <t>J Line Inc.</t>
  </si>
  <si>
    <t>JEZT</t>
  </si>
  <si>
    <t>MC517895</t>
  </si>
  <si>
    <t>J&amp;H Trucking, Inc.: J&amp;H Trucking, Inc Dry Van</t>
  </si>
  <si>
    <t>JHTK</t>
  </si>
  <si>
    <t>MC286525</t>
  </si>
  <si>
    <t>J&amp;H Trucking, Inc.: J&amp;H Trucking, Inc Refrigerated</t>
  </si>
  <si>
    <t>J&amp;L Services Inc</t>
  </si>
  <si>
    <t>JLSR</t>
  </si>
  <si>
    <t>MC308154</t>
  </si>
  <si>
    <t>J&amp;P Hall Express</t>
  </si>
  <si>
    <t>HLXA</t>
  </si>
  <si>
    <t>MC254027</t>
  </si>
  <si>
    <t>J&amp;R Schugel Trucking Inc.: Dry Van Division</t>
  </si>
  <si>
    <t>SJRG</t>
  </si>
  <si>
    <t>MC125894</t>
  </si>
  <si>
    <t>J&amp;R Schugel Trucking Inc.: Reefer Division</t>
  </si>
  <si>
    <t>J&amp;W Enterprises of Green Bay, Inc</t>
  </si>
  <si>
    <t>JWGB</t>
  </si>
  <si>
    <t>MC254259</t>
  </si>
  <si>
    <t>J-Mar Enterprises, Inc.</t>
  </si>
  <si>
    <t>JMEP</t>
  </si>
  <si>
    <t>MC184368</t>
  </si>
  <si>
    <t>J-Max Transportation Services Inc.: JMXT</t>
  </si>
  <si>
    <t>JMXT</t>
  </si>
  <si>
    <t>MC406223</t>
  </si>
  <si>
    <t>J-Max Transportation Services Inc.: JMXTI</t>
  </si>
  <si>
    <t>J. Grady Randolph, Inc.</t>
  </si>
  <si>
    <t>RJGY</t>
  </si>
  <si>
    <t>MC116621</t>
  </si>
  <si>
    <t>J. Rayl Transport Inc.</t>
  </si>
  <si>
    <t>RYTJ</t>
  </si>
  <si>
    <t>MC198241</t>
  </si>
  <si>
    <t>J. Trucking Inc.</t>
  </si>
  <si>
    <t>JTKK</t>
  </si>
  <si>
    <t>MC715263</t>
  </si>
  <si>
    <t>J.B. Hunt Transport, Inc.: Dedicated Division</t>
  </si>
  <si>
    <t>HJBB</t>
  </si>
  <si>
    <t>J.B. Hunt Transport, Inc.: Truckload Division</t>
  </si>
  <si>
    <t>HJBT</t>
  </si>
  <si>
    <t>J.D. &amp; Billy Hines Trucking, Inc.: Flatbed</t>
  </si>
  <si>
    <t>MC141614</t>
  </si>
  <si>
    <t>J.D. &amp; Billy Hines Trucking, Inc.: Short haul - Mississippi</t>
  </si>
  <si>
    <t>J.D. &amp; Billy Hines Trucking, Inc.: Short haul - Prescott</t>
  </si>
  <si>
    <t>J.D. Spayre, Inc.</t>
  </si>
  <si>
    <t>SPJD</t>
  </si>
  <si>
    <t>MC393291</t>
  </si>
  <si>
    <t>J.E. Berkowitz LP</t>
  </si>
  <si>
    <t>J.J.A. Munoz Dist., Inc.</t>
  </si>
  <si>
    <t>MZBO</t>
  </si>
  <si>
    <t>MC361633</t>
  </si>
  <si>
    <t>J.R. Logistics Ltd.</t>
  </si>
  <si>
    <t>JRLT</t>
  </si>
  <si>
    <t>MC785658</t>
  </si>
  <si>
    <t>J.S. Helwig &amp; Son, LLC</t>
  </si>
  <si>
    <t>HJNS</t>
  </si>
  <si>
    <t>MC152406</t>
  </si>
  <si>
    <t>Jabam Express LLC</t>
  </si>
  <si>
    <t>MC444206</t>
  </si>
  <si>
    <t>Jack Cooper Transport Co., Inc.</t>
  </si>
  <si>
    <t>MC071902</t>
  </si>
  <si>
    <t>Jack Key Auto Transport</t>
  </si>
  <si>
    <t>XJKA</t>
  </si>
  <si>
    <t>MC193564</t>
  </si>
  <si>
    <t>Jack Kilgore LLC</t>
  </si>
  <si>
    <t>KGJK</t>
  </si>
  <si>
    <t>MC440189</t>
  </si>
  <si>
    <t>Jacobson Transportation: Dedicated</t>
  </si>
  <si>
    <t>MC181154</t>
  </si>
  <si>
    <t>Jacobson Transportation: OTR</t>
  </si>
  <si>
    <t>MC172189</t>
  </si>
  <si>
    <t>Jagger Canada Inc</t>
  </si>
  <si>
    <t>JFWI</t>
  </si>
  <si>
    <t>MC742410</t>
  </si>
  <si>
    <t>Jagjot Express Inc</t>
  </si>
  <si>
    <t>JGXI</t>
  </si>
  <si>
    <t>MC512236</t>
  </si>
  <si>
    <t>James A. Smith Transportation Inc.</t>
  </si>
  <si>
    <t>SMJA</t>
  </si>
  <si>
    <t>MC303802</t>
  </si>
  <si>
    <t>James Burg Trucking Company</t>
  </si>
  <si>
    <t>BGJM</t>
  </si>
  <si>
    <t>MC237985</t>
  </si>
  <si>
    <t>James Gentry, LLC</t>
  </si>
  <si>
    <t>GEJT</t>
  </si>
  <si>
    <t>MC180233</t>
  </si>
  <si>
    <t>James H Clark &amp; Son Inc.</t>
  </si>
  <si>
    <t>CLJH</t>
  </si>
  <si>
    <t>MC123793</t>
  </si>
  <si>
    <t>James R. Smith Trucking Co. Inc.</t>
  </si>
  <si>
    <t>SJPP</t>
  </si>
  <si>
    <t>MC175233</t>
  </si>
  <si>
    <t>JAS Trucking, Inc.</t>
  </si>
  <si>
    <t>JATN</t>
  </si>
  <si>
    <t>MC282900</t>
  </si>
  <si>
    <t>Jasa Transit, Inc.</t>
  </si>
  <si>
    <t>JAST</t>
  </si>
  <si>
    <t>MC316332</t>
  </si>
  <si>
    <t>JASCO Enterprises</t>
  </si>
  <si>
    <t>JEIF</t>
  </si>
  <si>
    <t>MC461470</t>
  </si>
  <si>
    <t>JAT of Fort Wayne Inc.</t>
  </si>
  <si>
    <t>JATV</t>
  </si>
  <si>
    <t>MC163876</t>
  </si>
  <si>
    <t>JBJ Trucking Service Inc.</t>
  </si>
  <si>
    <t>JBJS</t>
  </si>
  <si>
    <t>MC815855</t>
  </si>
  <si>
    <t>JBS Carriers, Inc</t>
  </si>
  <si>
    <t>JBSY</t>
  </si>
  <si>
    <t>MC152285</t>
  </si>
  <si>
    <t>JBS Transportation, Inc.</t>
  </si>
  <si>
    <t>JBSL</t>
  </si>
  <si>
    <t>MC421539</t>
  </si>
  <si>
    <t>JD Smith &amp; Sons</t>
  </si>
  <si>
    <t>SJDS</t>
  </si>
  <si>
    <t>JED Express Ltd.</t>
  </si>
  <si>
    <t>JEXL</t>
  </si>
  <si>
    <t>MC263830</t>
  </si>
  <si>
    <t>JEDCO LLC</t>
  </si>
  <si>
    <t>JDCJ</t>
  </si>
  <si>
    <t>MC750111</t>
  </si>
  <si>
    <t>Jeff Foster Trucking, Inc.: Bulk</t>
  </si>
  <si>
    <t>DNIN</t>
  </si>
  <si>
    <t>MC180852</t>
  </si>
  <si>
    <t>Jeff Foster Trucking, Inc.: O.T.R.</t>
  </si>
  <si>
    <t>FJEF</t>
  </si>
  <si>
    <t>MC192436</t>
  </si>
  <si>
    <t>Jerry Lipps Inc.</t>
  </si>
  <si>
    <t>LIPS</t>
  </si>
  <si>
    <t>MC118959</t>
  </si>
  <si>
    <t>Jet Delivery, Inc.: Courier Fleet</t>
  </si>
  <si>
    <t>JDLI</t>
  </si>
  <si>
    <t>MC153767</t>
  </si>
  <si>
    <t>Jet Star Inc.</t>
  </si>
  <si>
    <t>JEST</t>
  </si>
  <si>
    <t>MC136182</t>
  </si>
  <si>
    <t>Jetco Delivery, LLC</t>
  </si>
  <si>
    <t>JETD</t>
  </si>
  <si>
    <t>MC555157</t>
  </si>
  <si>
    <t>Jim Lawrence Transportation, Inc.</t>
  </si>
  <si>
    <t>LJTI</t>
  </si>
  <si>
    <t>MC676759</t>
  </si>
  <si>
    <t>Jimmy's Trucking Inc.</t>
  </si>
  <si>
    <t>JMYS</t>
  </si>
  <si>
    <t>MC387101</t>
  </si>
  <si>
    <t>JIT Transportation</t>
  </si>
  <si>
    <t>JTTI</t>
  </si>
  <si>
    <t>MC350717</t>
  </si>
  <si>
    <t>JJ West Express LLC</t>
  </si>
  <si>
    <t>JK Moving Services</t>
  </si>
  <si>
    <t>JKMS</t>
  </si>
  <si>
    <t>MC196957</t>
  </si>
  <si>
    <t>JL Freight, Inc.</t>
  </si>
  <si>
    <t>JLFQ</t>
  </si>
  <si>
    <t>MC524556</t>
  </si>
  <si>
    <t>JL Xpress, Inc.</t>
  </si>
  <si>
    <t>JLXI</t>
  </si>
  <si>
    <t>MC894648</t>
  </si>
  <si>
    <t>JM Bozeman Enterprises, Inc.</t>
  </si>
  <si>
    <t>BOZJ</t>
  </si>
  <si>
    <t>MC302430</t>
  </si>
  <si>
    <t>JMN Logistics, LLC</t>
  </si>
  <si>
    <t>JTID</t>
  </si>
  <si>
    <t>MC447482</t>
  </si>
  <si>
    <t>JMS Trucking, Inc.</t>
  </si>
  <si>
    <t>JMSH</t>
  </si>
  <si>
    <t>MC213048</t>
  </si>
  <si>
    <t>JMW Transfer Inc.</t>
  </si>
  <si>
    <t>JMWN</t>
  </si>
  <si>
    <t>MC207084</t>
  </si>
  <si>
    <t>JNJ Express Inc.</t>
  </si>
  <si>
    <t>JNJR</t>
  </si>
  <si>
    <t>MC308216</t>
  </si>
  <si>
    <t>Joaquin G Solorzano</t>
  </si>
  <si>
    <t>MC436332</t>
  </si>
  <si>
    <t>John Brumback Trucking, Inc: Trucking</t>
  </si>
  <si>
    <t>John Busch &amp; Sons Trucking, LLC</t>
  </si>
  <si>
    <t>BUHJ</t>
  </si>
  <si>
    <t>MC0110801</t>
  </si>
  <si>
    <t>John Christner Trucking, LLC</t>
  </si>
  <si>
    <t>MC192518</t>
  </si>
  <si>
    <t>John Darragh Trucking, Inc</t>
  </si>
  <si>
    <t>DRJN</t>
  </si>
  <si>
    <t>MC254827</t>
  </si>
  <si>
    <t>John Greene Transportation Company</t>
  </si>
  <si>
    <t>GJAA</t>
  </si>
  <si>
    <t>MC327414</t>
  </si>
  <si>
    <t>John R. Reed, Inc.</t>
  </si>
  <si>
    <t>REEJ</t>
  </si>
  <si>
    <t>MC387904</t>
  </si>
  <si>
    <t>Johnson Feed, Inc.</t>
  </si>
  <si>
    <t>JOFD</t>
  </si>
  <si>
    <t>MC155074</t>
  </si>
  <si>
    <t>Jones Brothers Trucking, Inc.</t>
  </si>
  <si>
    <t>JBRS</t>
  </si>
  <si>
    <t>MC159075</t>
  </si>
  <si>
    <t>Jones Motor Co., Inc.</t>
  </si>
  <si>
    <t>JONS</t>
  </si>
  <si>
    <t>MC004963</t>
  </si>
  <si>
    <t>Jones Transportation, Inc.</t>
  </si>
  <si>
    <t>JOET</t>
  </si>
  <si>
    <t>MC218166</t>
  </si>
  <si>
    <t>Jones-Staats Transportation, LLC</t>
  </si>
  <si>
    <t>JSBF</t>
  </si>
  <si>
    <t>MC735717</t>
  </si>
  <si>
    <t>Jordan Carriers, Inc.: Flatbed</t>
  </si>
  <si>
    <t>JRCA</t>
  </si>
  <si>
    <t>MC255825</t>
  </si>
  <si>
    <t>Jose Hernandez</t>
  </si>
  <si>
    <t>MC459387</t>
  </si>
  <si>
    <t>JOT Truckline</t>
  </si>
  <si>
    <t>JOTW</t>
  </si>
  <si>
    <t>Jowin Express Inc</t>
  </si>
  <si>
    <t>JWNE</t>
  </si>
  <si>
    <t>MC163457</t>
  </si>
  <si>
    <t>JP Express Service, Inc.</t>
  </si>
  <si>
    <t>JPXS</t>
  </si>
  <si>
    <t>MC260858</t>
  </si>
  <si>
    <t>JR Kays Trucking, Inc.</t>
  </si>
  <si>
    <t>JRKK</t>
  </si>
  <si>
    <t>MC411708</t>
  </si>
  <si>
    <t>JR'S Transportation, Inc.</t>
  </si>
  <si>
    <t>JRXC</t>
  </si>
  <si>
    <t>MC180443</t>
  </si>
  <si>
    <t>JRB Target Inc</t>
  </si>
  <si>
    <t>JRBT</t>
  </si>
  <si>
    <t>MC259206</t>
  </si>
  <si>
    <t>JST, LLC</t>
  </si>
  <si>
    <t>JSTL</t>
  </si>
  <si>
    <t>MC501204</t>
  </si>
  <si>
    <t>JSX North</t>
  </si>
  <si>
    <t>JNLB</t>
  </si>
  <si>
    <t>MC876957</t>
  </si>
  <si>
    <t>JTL Carriers, LLC</t>
  </si>
  <si>
    <t>JTLC</t>
  </si>
  <si>
    <t>MC331128</t>
  </si>
  <si>
    <t>JTS Jefferson Trucking Service Inc.</t>
  </si>
  <si>
    <t>JTSV</t>
  </si>
  <si>
    <t>MC336999</t>
  </si>
  <si>
    <t>Juan C Sanchez</t>
  </si>
  <si>
    <t>MC449745</t>
  </si>
  <si>
    <t>JuCat KKJM Express LLC</t>
  </si>
  <si>
    <t>MC429269</t>
  </si>
  <si>
    <t>June Hyde Trucking Co., Inc.</t>
  </si>
  <si>
    <t>HJTO</t>
  </si>
  <si>
    <t>MC274689</t>
  </si>
  <si>
    <t>Jung Express</t>
  </si>
  <si>
    <t>JUNG</t>
  </si>
  <si>
    <t>MC271859</t>
  </si>
  <si>
    <t>Justa, LLC</t>
  </si>
  <si>
    <t>JUTT</t>
  </si>
  <si>
    <t>MC161611</t>
  </si>
  <si>
    <t>JV Transportation, Inc.: Company Vehicles</t>
  </si>
  <si>
    <t>FFOJ</t>
  </si>
  <si>
    <t>MC599734</t>
  </si>
  <si>
    <t>JW Fleet Services, LLC</t>
  </si>
  <si>
    <t>JWFS</t>
  </si>
  <si>
    <t>MC822088</t>
  </si>
  <si>
    <t>Jyoti Trucking Inc.</t>
  </si>
  <si>
    <t>JYKI</t>
  </si>
  <si>
    <t>MC693836</t>
  </si>
  <si>
    <t>K &amp; S Carriers, LLC</t>
  </si>
  <si>
    <t>KSCS</t>
  </si>
  <si>
    <t>MC299723</t>
  </si>
  <si>
    <t>K J Neal Trucking, Inc.</t>
  </si>
  <si>
    <t>NKJT</t>
  </si>
  <si>
    <t>MC585597</t>
  </si>
  <si>
    <t>K&amp;B Transportation, Inc.</t>
  </si>
  <si>
    <t>KBTO</t>
  </si>
  <si>
    <t>MC205685</t>
  </si>
  <si>
    <t>K&amp;J Trucking Inc.</t>
  </si>
  <si>
    <t>KNJT</t>
  </si>
  <si>
    <t>MC146600</t>
  </si>
  <si>
    <t>K&amp;T Transport Ltd</t>
  </si>
  <si>
    <t>KTTP</t>
  </si>
  <si>
    <t>K.L. Harring Transportation,LLC</t>
  </si>
  <si>
    <t>HRGK</t>
  </si>
  <si>
    <t>Kabir Trucking Inc.</t>
  </si>
  <si>
    <t>GWYC</t>
  </si>
  <si>
    <t>Kaiser Permanente: Northern California</t>
  </si>
  <si>
    <t>MC0052033</t>
  </si>
  <si>
    <t>Kaiser Permanente: Southern California</t>
  </si>
  <si>
    <t>Kane Freight Lines Inc</t>
  </si>
  <si>
    <t>KAEJ</t>
  </si>
  <si>
    <t>MC099567</t>
  </si>
  <si>
    <t>Kapa Logistics Ltd.: Intermodal Canada &amp; USA (Pacific Northwest)</t>
  </si>
  <si>
    <t>KABM</t>
  </si>
  <si>
    <t>Karr Transportation Inc.</t>
  </si>
  <si>
    <t>KTXA</t>
  </si>
  <si>
    <t>MC643887</t>
  </si>
  <si>
    <t>KBD Transportation</t>
  </si>
  <si>
    <t>OZSS</t>
  </si>
  <si>
    <t>KC Transportation</t>
  </si>
  <si>
    <t>KCCI</t>
  </si>
  <si>
    <t>MC201946</t>
  </si>
  <si>
    <t>KCH Trucking, LLC</t>
  </si>
  <si>
    <t>KCHK</t>
  </si>
  <si>
    <t>MC589415</t>
  </si>
  <si>
    <t>Kee West Auto Carriers Inc.</t>
  </si>
  <si>
    <t>KEEW</t>
  </si>
  <si>
    <t>Keen Transport, Inc.</t>
  </si>
  <si>
    <t>KEET</t>
  </si>
  <si>
    <t>MC111320</t>
  </si>
  <si>
    <t>Keeter Enterprises LLC</t>
  </si>
  <si>
    <t>KEER</t>
  </si>
  <si>
    <t>MC134581</t>
  </si>
  <si>
    <t>Keim TS Inc.</t>
  </si>
  <si>
    <t>KIIM</t>
  </si>
  <si>
    <t>MC312469</t>
  </si>
  <si>
    <t>Keith Hall &amp; Sons Transport Ltd.</t>
  </si>
  <si>
    <t>HLKS</t>
  </si>
  <si>
    <t>MC189642</t>
  </si>
  <si>
    <t>Keith Lawless</t>
  </si>
  <si>
    <t>ZHQU</t>
  </si>
  <si>
    <t>MC731946</t>
  </si>
  <si>
    <t>Kelle's Transport Service</t>
  </si>
  <si>
    <t>KTSI</t>
  </si>
  <si>
    <t>MC430316</t>
  </si>
  <si>
    <t>Kellogg Company</t>
  </si>
  <si>
    <t>GDFE</t>
  </si>
  <si>
    <t>MC334733</t>
  </si>
  <si>
    <t>Keltic Transportation Inc</t>
  </si>
  <si>
    <t>KLTT</t>
  </si>
  <si>
    <t>MC321414</t>
  </si>
  <si>
    <t>Ken Graham Trucking, inc.</t>
  </si>
  <si>
    <t>GRHA</t>
  </si>
  <si>
    <t>MC92319</t>
  </si>
  <si>
    <t>Kenco Transportation Services</t>
  </si>
  <si>
    <t>KLSV</t>
  </si>
  <si>
    <t>MC265051</t>
  </si>
  <si>
    <t>Kennedy Transportation, Inc: Dray</t>
  </si>
  <si>
    <t>KTAS</t>
  </si>
  <si>
    <t>MC560019</t>
  </si>
  <si>
    <t>Kennesaw Transportation, Inc.</t>
  </si>
  <si>
    <t>KESW</t>
  </si>
  <si>
    <t>MC155337</t>
  </si>
  <si>
    <t>Key Trucking, Inc.</t>
  </si>
  <si>
    <t>KYTT</t>
  </si>
  <si>
    <t>MC210839</t>
  </si>
  <si>
    <t>Keystone Logistics, Inc</t>
  </si>
  <si>
    <t>KSLO</t>
  </si>
  <si>
    <t>MC309165</t>
  </si>
  <si>
    <t>Khalsa Transportation, Inc.</t>
  </si>
  <si>
    <t>KTAJ</t>
  </si>
  <si>
    <t>MC523729</t>
  </si>
  <si>
    <t>KI Trucking Inc</t>
  </si>
  <si>
    <t>KRGR</t>
  </si>
  <si>
    <t>MC152395</t>
  </si>
  <si>
    <t>Kimball International Transit, Inc.</t>
  </si>
  <si>
    <t>MC197864</t>
  </si>
  <si>
    <t>Kimrad Transport, LP: Kimrad Transport, LP</t>
  </si>
  <si>
    <t>KMRD</t>
  </si>
  <si>
    <t>MC471503</t>
  </si>
  <si>
    <t>King Farms Trucking LLC: Truckload Carrier</t>
  </si>
  <si>
    <t>KFTK</t>
  </si>
  <si>
    <t>MC456428</t>
  </si>
  <si>
    <t>King Freight Lines Ltd.</t>
  </si>
  <si>
    <t>KGFL</t>
  </si>
  <si>
    <t>Kings Cargo Express Ltd.</t>
  </si>
  <si>
    <t>KCED</t>
  </si>
  <si>
    <t>MC794808</t>
  </si>
  <si>
    <t>Kirk Trucking Service, Inc.: Kirk Trucking Service, Inc.</t>
  </si>
  <si>
    <t>KKTE</t>
  </si>
  <si>
    <t>MC123375</t>
  </si>
  <si>
    <t>Kirts Trucking, Inc</t>
  </si>
  <si>
    <t>KTIK</t>
  </si>
  <si>
    <t>MC203583</t>
  </si>
  <si>
    <t>KJS Transport Inc.</t>
  </si>
  <si>
    <t>KJSI</t>
  </si>
  <si>
    <t>KKW Trucking Inc.: Furniture Transportation System FNTY</t>
  </si>
  <si>
    <t>FNTY</t>
  </si>
  <si>
    <t>MC144726</t>
  </si>
  <si>
    <t>KKW Trucking Inc.: KKW Trucking Inc.</t>
  </si>
  <si>
    <t>KKWQ</t>
  </si>
  <si>
    <t>Klein Transport, Inc.</t>
  </si>
  <si>
    <t>KTIO,CNKC</t>
  </si>
  <si>
    <t>MC360098</t>
  </si>
  <si>
    <t>Klingshirn &amp; Sons Trucking Inc.</t>
  </si>
  <si>
    <t>KLNG</t>
  </si>
  <si>
    <t>MC198468</t>
  </si>
  <si>
    <t>Klosterman Transportation Services</t>
  </si>
  <si>
    <t>MC294692</t>
  </si>
  <si>
    <t>KLX, Inc.: Reefer &amp; Dry</t>
  </si>
  <si>
    <t>KLXI</t>
  </si>
  <si>
    <t>MC0006159</t>
  </si>
  <si>
    <t>Knight Transportation, Inc.: Knight Refrigerated</t>
  </si>
  <si>
    <t>KNIR,KTLF</t>
  </si>
  <si>
    <t>Knight Transportation, Inc.: Knight Transportation</t>
  </si>
  <si>
    <t>KNIG,KTMW,KNBK,KNIB,KNIM,KTPS</t>
  </si>
  <si>
    <t>Knudsen Trucking Inc.</t>
  </si>
  <si>
    <t>KUDT</t>
  </si>
  <si>
    <t>MC105159</t>
  </si>
  <si>
    <t>Kohel Interstate Transport Corp.</t>
  </si>
  <si>
    <t>KHLI</t>
  </si>
  <si>
    <t>MC261720</t>
  </si>
  <si>
    <t>Kohler Transport, Inc.:</t>
  </si>
  <si>
    <t>KOHL</t>
  </si>
  <si>
    <t>MC206249</t>
  </si>
  <si>
    <t>Kool Pak LLC</t>
  </si>
  <si>
    <t>KOOP</t>
  </si>
  <si>
    <t>MC236270</t>
  </si>
  <si>
    <t>Korth Transfer</t>
  </si>
  <si>
    <t>NONE</t>
  </si>
  <si>
    <t>MC493143</t>
  </si>
  <si>
    <t>Kottke Trucking, Inc.</t>
  </si>
  <si>
    <t>KTKE</t>
  </si>
  <si>
    <t>MC157240</t>
  </si>
  <si>
    <t>Kraze Trucking LLC</t>
  </si>
  <si>
    <t>KRZE</t>
  </si>
  <si>
    <t>MC302380</t>
  </si>
  <si>
    <t>KRC, Inc.: Keller Transfer Line, Inc.</t>
  </si>
  <si>
    <t>KTRL</t>
  </si>
  <si>
    <t>MC082079</t>
  </si>
  <si>
    <t>KRC, Inc.: RTI Transport, Inc.</t>
  </si>
  <si>
    <t>RTIT</t>
  </si>
  <si>
    <t>MC013700</t>
  </si>
  <si>
    <t>KRC, Inc.: Staley General Transportation</t>
  </si>
  <si>
    <t>STXQ</t>
  </si>
  <si>
    <t>MC135640</t>
  </si>
  <si>
    <t>Kreilkamp Trucking, Inc</t>
  </si>
  <si>
    <t>KRLK</t>
  </si>
  <si>
    <t>MC145768</t>
  </si>
  <si>
    <t>Kriska Holdings Ltd.</t>
  </si>
  <si>
    <t>KRSK</t>
  </si>
  <si>
    <t>MC297060</t>
  </si>
  <si>
    <t>Krome Transporation Services LLC</t>
  </si>
  <si>
    <t>KTVC</t>
  </si>
  <si>
    <t>MC480131</t>
  </si>
  <si>
    <t>Kross Trucking, Inc.</t>
  </si>
  <si>
    <t>KRSG</t>
  </si>
  <si>
    <t>MC799468</t>
  </si>
  <si>
    <t>Kruse Nationwide Inc.</t>
  </si>
  <si>
    <t>KRSN</t>
  </si>
  <si>
    <t>MC371812</t>
  </si>
  <si>
    <t>KS Trans Service Co.: KS Trans Service Co.</t>
  </si>
  <si>
    <t>KSTW</t>
  </si>
  <si>
    <t>MC495440</t>
  </si>
  <si>
    <t>KT Trucking Inc</t>
  </si>
  <si>
    <t>KTKL</t>
  </si>
  <si>
    <t>MC506868</t>
  </si>
  <si>
    <t>KTI LTD</t>
  </si>
  <si>
    <t>KTID</t>
  </si>
  <si>
    <t>MC399158</t>
  </si>
  <si>
    <t>KTL Transport Inc.</t>
  </si>
  <si>
    <t>KALH</t>
  </si>
  <si>
    <t>KTS Express, Inc.</t>
  </si>
  <si>
    <t>KTGS</t>
  </si>
  <si>
    <t>MC175890</t>
  </si>
  <si>
    <t>Kuperus Trucking, Inc.</t>
  </si>
  <si>
    <t>KUCI</t>
  </si>
  <si>
    <t>MC669387</t>
  </si>
  <si>
    <t>Kutzler Express, Inc.: DKUT /Local</t>
  </si>
  <si>
    <t>DKUT,KUTR</t>
  </si>
  <si>
    <t>MC163866</t>
  </si>
  <si>
    <t>Kutzler Express, Inc.: KUTR /Regional</t>
  </si>
  <si>
    <t>KUTR</t>
  </si>
  <si>
    <t>KVS Transportation</t>
  </si>
  <si>
    <t>KWL, Inc</t>
  </si>
  <si>
    <t>KWLI</t>
  </si>
  <si>
    <t>MC389424</t>
  </si>
  <si>
    <t>KYS Express, Inc.</t>
  </si>
  <si>
    <t>SKY1</t>
  </si>
  <si>
    <t>MC644919</t>
  </si>
  <si>
    <t>L &amp; D Welch Enterprises, LLC</t>
  </si>
  <si>
    <t>WCLD</t>
  </si>
  <si>
    <t>MC335437</t>
  </si>
  <si>
    <t>L&amp;B Cartage, Inc.</t>
  </si>
  <si>
    <t>LNBC</t>
  </si>
  <si>
    <t>MC148055</t>
  </si>
  <si>
    <t>L'Express du Midi Inc.: Flatbed</t>
  </si>
  <si>
    <t>LEXD</t>
  </si>
  <si>
    <t>L. E. Tucker &amp; Son Inc: Refrigerated Long Haul TL</t>
  </si>
  <si>
    <t>TUCL</t>
  </si>
  <si>
    <t>MC151528</t>
  </si>
  <si>
    <t>L. Hansen's Forwarding Ltd.</t>
  </si>
  <si>
    <t>HANR</t>
  </si>
  <si>
    <t>L. Neill Cartage Co. Inc.</t>
  </si>
  <si>
    <t>NLCQ</t>
  </si>
  <si>
    <t>L.J. Rogers Trucking, Inc.</t>
  </si>
  <si>
    <t>RGLJ</t>
  </si>
  <si>
    <t>MC195477</t>
  </si>
  <si>
    <t>L.V. Trucking: L.V. Trucking</t>
  </si>
  <si>
    <t>LVTK</t>
  </si>
  <si>
    <t>MC195384</t>
  </si>
  <si>
    <t>La Urban Express LLC</t>
  </si>
  <si>
    <t>LAD Truck Lines, Inc.</t>
  </si>
  <si>
    <t>LADN</t>
  </si>
  <si>
    <t>MC362790</t>
  </si>
  <si>
    <t>Lafayette Logistics</t>
  </si>
  <si>
    <t>LFYL</t>
  </si>
  <si>
    <t>MC860432</t>
  </si>
  <si>
    <t>Lake Trucking Company</t>
  </si>
  <si>
    <t>LTFL</t>
  </si>
  <si>
    <t>MC151590</t>
  </si>
  <si>
    <t>Landair Transport, Inc.</t>
  </si>
  <si>
    <t>LTAO</t>
  </si>
  <si>
    <t>MC177240</t>
  </si>
  <si>
    <t>Landes Trucking, Inc.: Bulk Food-Grade</t>
  </si>
  <si>
    <t>LNTM</t>
  </si>
  <si>
    <t>MC171270</t>
  </si>
  <si>
    <t>Landsberg Canada Inc. d.b.a. Jakait Express</t>
  </si>
  <si>
    <t>JEAC</t>
  </si>
  <si>
    <t>Langford Inc.</t>
  </si>
  <si>
    <t>LGFD</t>
  </si>
  <si>
    <t>MC199617</t>
  </si>
  <si>
    <t>Laris Shelman &amp; Sons Trucking, Inc.</t>
  </si>
  <si>
    <t>SLIC</t>
  </si>
  <si>
    <t>MC222645</t>
  </si>
  <si>
    <t>Larry Williams Trucking: larry williams trucking</t>
  </si>
  <si>
    <t>Laser Transport Inc</t>
  </si>
  <si>
    <t>LTAN</t>
  </si>
  <si>
    <t>MC189362</t>
  </si>
  <si>
    <t>Laspada Enterprises Inc.</t>
  </si>
  <si>
    <t>LAEN</t>
  </si>
  <si>
    <t>MC741020</t>
  </si>
  <si>
    <t>Lawrence Transportation Company</t>
  </si>
  <si>
    <t>MC129361</t>
  </si>
  <si>
    <t>Lawson Logistics Inc.</t>
  </si>
  <si>
    <t>LLIW</t>
  </si>
  <si>
    <t>MC631147</t>
  </si>
  <si>
    <t>Lazer Spot Inc.</t>
  </si>
  <si>
    <t>LSPI</t>
  </si>
  <si>
    <t>MC370668</t>
  </si>
  <si>
    <t>LDI Trucking, Inc.</t>
  </si>
  <si>
    <t>LDIP</t>
  </si>
  <si>
    <t>MC446897</t>
  </si>
  <si>
    <t>Leek Logistics Corporation</t>
  </si>
  <si>
    <t>LLCF</t>
  </si>
  <si>
    <t>MC702471</t>
  </si>
  <si>
    <t>Legacy Carriers LLC</t>
  </si>
  <si>
    <t>LYCR</t>
  </si>
  <si>
    <t>MC823724</t>
  </si>
  <si>
    <t>Len Dubois Trucking Inc</t>
  </si>
  <si>
    <t>DBOI</t>
  </si>
  <si>
    <t>MC309258</t>
  </si>
  <si>
    <t>Leonard's Express, Inc.: LEQO</t>
  </si>
  <si>
    <t>LEQO</t>
  </si>
  <si>
    <t>MC397709</t>
  </si>
  <si>
    <t>Les Transports Audec Inc.: Tank Trailers</t>
  </si>
  <si>
    <t>LTRA</t>
  </si>
  <si>
    <t>Lesco Logistics LLC.</t>
  </si>
  <si>
    <t>LSLO</t>
  </si>
  <si>
    <t>MC317388</t>
  </si>
  <si>
    <t>Lessors, Inc.</t>
  </si>
  <si>
    <t>LSOR</t>
  </si>
  <si>
    <t>MC265891</t>
  </si>
  <si>
    <t>Letica Resources, Inc.</t>
  </si>
  <si>
    <t>LFRN</t>
  </si>
  <si>
    <t>MC163079</t>
  </si>
  <si>
    <t>Levari Trucking Company, LLC</t>
  </si>
  <si>
    <t>LTBJ</t>
  </si>
  <si>
    <t>MC580539</t>
  </si>
  <si>
    <t>LGA Trucking</t>
  </si>
  <si>
    <t>LGAK</t>
  </si>
  <si>
    <t>MC292382</t>
  </si>
  <si>
    <t>LIBERTY LANE LLC</t>
  </si>
  <si>
    <t>LYLE</t>
  </si>
  <si>
    <t>Liberty Linehaul Inc.</t>
  </si>
  <si>
    <t>LBLH</t>
  </si>
  <si>
    <t>MC208837</t>
  </si>
  <si>
    <t>Liberty Lines, Inc (Fresno): Refrigerated Division</t>
  </si>
  <si>
    <t>LYLC</t>
  </si>
  <si>
    <t>MC567883</t>
  </si>
  <si>
    <t>Liberty Transport, Inc.</t>
  </si>
  <si>
    <t>LIBP</t>
  </si>
  <si>
    <t>MC411086</t>
  </si>
  <si>
    <t>Light Speed Logistics Inc.</t>
  </si>
  <si>
    <t>LSLI</t>
  </si>
  <si>
    <t>MC382381</t>
  </si>
  <si>
    <t>Lily Transportation Corp.</t>
  </si>
  <si>
    <t>LTPL</t>
  </si>
  <si>
    <t>MC128486</t>
  </si>
  <si>
    <t>Lincoln Trucking</t>
  </si>
  <si>
    <t>LTCB</t>
  </si>
  <si>
    <t>MC554316</t>
  </si>
  <si>
    <t>Lindenmeyr Munroe</t>
  </si>
  <si>
    <t>Line-Drive Transportation Inc.</t>
  </si>
  <si>
    <t>LDRT</t>
  </si>
  <si>
    <t>MC502918</t>
  </si>
  <si>
    <t>Link Transport Inc</t>
  </si>
  <si>
    <t>LKXI</t>
  </si>
  <si>
    <t>MC718601</t>
  </si>
  <si>
    <t>Lipsey Trucking, LLC: LPYK</t>
  </si>
  <si>
    <t>LPYK</t>
  </si>
  <si>
    <t>MC884030</t>
  </si>
  <si>
    <t>Liquid Transport Corp</t>
  </si>
  <si>
    <t>LIQD</t>
  </si>
  <si>
    <t>MC119226</t>
  </si>
  <si>
    <t>Little King Transportation LLC</t>
  </si>
  <si>
    <t>LKTL</t>
  </si>
  <si>
    <t>MC413337</t>
  </si>
  <si>
    <t>Liverman Trucking Co., Inc.</t>
  </si>
  <si>
    <t>LVRD</t>
  </si>
  <si>
    <t>MC215456</t>
  </si>
  <si>
    <t>Livingston Transportation Inc.</t>
  </si>
  <si>
    <t>LFVT</t>
  </si>
  <si>
    <t>Llano Logistics Inc.</t>
  </si>
  <si>
    <t>LLQG</t>
  </si>
  <si>
    <t>MC367262</t>
  </si>
  <si>
    <t>LME Inc</t>
  </si>
  <si>
    <t>LMEL</t>
  </si>
  <si>
    <t>MC400053</t>
  </si>
  <si>
    <t>Load Boss Logistics Inc.</t>
  </si>
  <si>
    <t>LBLN</t>
  </si>
  <si>
    <t>MC864298</t>
  </si>
  <si>
    <t>Load King Transport Inc.</t>
  </si>
  <si>
    <t>LKTE</t>
  </si>
  <si>
    <t>Load One, LLC</t>
  </si>
  <si>
    <t>LONE</t>
  </si>
  <si>
    <t>MC456807</t>
  </si>
  <si>
    <t>Load Solutions Inc.: Load Solutions Inc.</t>
  </si>
  <si>
    <t>LDSQ</t>
  </si>
  <si>
    <t>Local Logistics LLC</t>
  </si>
  <si>
    <t>MC606169</t>
  </si>
  <si>
    <t>LodeStar Transport Services, LLC.</t>
  </si>
  <si>
    <t>LTAR</t>
  </si>
  <si>
    <t>MC601275</t>
  </si>
  <si>
    <t>Logicorp Transportation LLC</t>
  </si>
  <si>
    <t>LGCE</t>
  </si>
  <si>
    <t>MC325300</t>
  </si>
  <si>
    <t>Logiflex</t>
  </si>
  <si>
    <t>LFXI</t>
  </si>
  <si>
    <t>MC734742</t>
  </si>
  <si>
    <t>Logistic One Ltd.</t>
  </si>
  <si>
    <t>LTCO</t>
  </si>
  <si>
    <t>MC515593</t>
  </si>
  <si>
    <t>Logistics One Transport, Inc.</t>
  </si>
  <si>
    <t>LGOA</t>
  </si>
  <si>
    <t>MC275859</t>
  </si>
  <si>
    <t>Logistics Trans West Inc.: Intermodal Division</t>
  </si>
  <si>
    <t>Logistics Trans West Inc.: Truckload Division</t>
  </si>
  <si>
    <t>Logix Transportation, Inc.</t>
  </si>
  <si>
    <t>LGXT</t>
  </si>
  <si>
    <t>MC404331</t>
  </si>
  <si>
    <t>Logos Logisitcs, Inc</t>
  </si>
  <si>
    <t>LLIA</t>
  </si>
  <si>
    <t>MC639288</t>
  </si>
  <si>
    <t>Lone Star Transportation, LLC: 90</t>
  </si>
  <si>
    <t>LSST</t>
  </si>
  <si>
    <t>MC210209</t>
  </si>
  <si>
    <t>Long Haul Trucking</t>
  </si>
  <si>
    <t>LHLT</t>
  </si>
  <si>
    <t>MC195935</t>
  </si>
  <si>
    <t>Longistics Transportation, Inc.</t>
  </si>
  <si>
    <t>LTPS</t>
  </si>
  <si>
    <t>MC184239</t>
  </si>
  <si>
    <t>Lotus Terminals Ltd.: Intermodal - Canada &amp; USA</t>
  </si>
  <si>
    <t>LTNL</t>
  </si>
  <si>
    <t>Lotz Trucking, Inc.</t>
  </si>
  <si>
    <t>LOTQ</t>
  </si>
  <si>
    <t>MC249706</t>
  </si>
  <si>
    <t>Loyalty Transport Ltd</t>
  </si>
  <si>
    <t>LOYP</t>
  </si>
  <si>
    <t>MC488313</t>
  </si>
  <si>
    <t>LSO</t>
  </si>
  <si>
    <t>LSOV</t>
  </si>
  <si>
    <t>MC606123</t>
  </si>
  <si>
    <t>LTI Trucking Services, Inc.</t>
  </si>
  <si>
    <t>LNNP</t>
  </si>
  <si>
    <t>MC398388</t>
  </si>
  <si>
    <t>LTI, Inc.</t>
  </si>
  <si>
    <t>LTIN</t>
  </si>
  <si>
    <t>MC170078</t>
  </si>
  <si>
    <t>LTI, Inc.: Milky Way</t>
  </si>
  <si>
    <t>Ludwig Transport Limited</t>
  </si>
  <si>
    <t>LWIG</t>
  </si>
  <si>
    <t>MC536272</t>
  </si>
  <si>
    <t>Luga Transportation Inc: LUGA</t>
  </si>
  <si>
    <t>LTPN</t>
  </si>
  <si>
    <t>MC817938</t>
  </si>
  <si>
    <t>Lund Trucking Co. Inc.</t>
  </si>
  <si>
    <t>LUTI</t>
  </si>
  <si>
    <t>MC281549</t>
  </si>
  <si>
    <t>Lunkwitz Transportation Inc.: Lunkwitz</t>
  </si>
  <si>
    <t>LNWT</t>
  </si>
  <si>
    <t>MC211370</t>
  </si>
  <si>
    <t>Lynden Transport, Inc.: Flatbed</t>
  </si>
  <si>
    <t>MC65802</t>
  </si>
  <si>
    <t>Lynden Transport, Inc.: Reefer</t>
  </si>
  <si>
    <t>Lynden Transport, Inc.: Van</t>
  </si>
  <si>
    <t>Lyons Transportation Inc.</t>
  </si>
  <si>
    <t>LYSR</t>
  </si>
  <si>
    <t>MC186654</t>
  </si>
  <si>
    <t>M D Logistics LLC</t>
  </si>
  <si>
    <t>MDLW</t>
  </si>
  <si>
    <t>MC560586</t>
  </si>
  <si>
    <t>M Tapia Trucking</t>
  </si>
  <si>
    <t>ZCVL</t>
  </si>
  <si>
    <t>MC698024</t>
  </si>
  <si>
    <t>M&amp;J Carriers LLC</t>
  </si>
  <si>
    <t>MJCR</t>
  </si>
  <si>
    <t>MC804089</t>
  </si>
  <si>
    <t>M&amp;M Cartage Co, Inc.</t>
  </si>
  <si>
    <t>MMCG</t>
  </si>
  <si>
    <t>MC182539</t>
  </si>
  <si>
    <t>M&amp;M Express Inc</t>
  </si>
  <si>
    <t>MMXQ</t>
  </si>
  <si>
    <t>MC697242</t>
  </si>
  <si>
    <t>M&amp;M Transport Services, Inc.</t>
  </si>
  <si>
    <t>MMQP</t>
  </si>
  <si>
    <t>MC209767</t>
  </si>
  <si>
    <t>M&amp;W Transportation Inc.: MWTC</t>
  </si>
  <si>
    <t>MWTC</t>
  </si>
  <si>
    <t>MC159420</t>
  </si>
  <si>
    <t>M. Bjorn Petersen Transportation, Inc.</t>
  </si>
  <si>
    <t>PMBJ</t>
  </si>
  <si>
    <t>MC221122</t>
  </si>
  <si>
    <t>M. Bruenger Truck Lines, Inc.</t>
  </si>
  <si>
    <t>BRUA</t>
  </si>
  <si>
    <t>MC118142</t>
  </si>
  <si>
    <t>M. Gerace Enterprise Inc.</t>
  </si>
  <si>
    <t>GSFM</t>
  </si>
  <si>
    <t>MC522860</t>
  </si>
  <si>
    <t>M. Madic, Inc.</t>
  </si>
  <si>
    <t>MDIM</t>
  </si>
  <si>
    <t>MC177020</t>
  </si>
  <si>
    <t>M2 Express LLC</t>
  </si>
  <si>
    <t>MTWH</t>
  </si>
  <si>
    <t>Mabe Trucking Co., Inc.</t>
  </si>
  <si>
    <t>MABE</t>
  </si>
  <si>
    <t>MC222306</t>
  </si>
  <si>
    <t>Mac Xpress LLC: domestic</t>
  </si>
  <si>
    <t>MELK</t>
  </si>
  <si>
    <t>MC613722</t>
  </si>
  <si>
    <t>Mach 1 Global Services, Inc.</t>
  </si>
  <si>
    <t>MOAV</t>
  </si>
  <si>
    <t>MC513894</t>
  </si>
  <si>
    <t>Mack Trucking Inc.</t>
  </si>
  <si>
    <t>MKTW</t>
  </si>
  <si>
    <t>MC640412</t>
  </si>
  <si>
    <t>Mackie Transportation Inc.: Auto Division</t>
  </si>
  <si>
    <t>MCKG</t>
  </si>
  <si>
    <t>MacKinnon Transport Inc.: Flatbed Operations</t>
  </si>
  <si>
    <t>MKNO</t>
  </si>
  <si>
    <t>MC241956</t>
  </si>
  <si>
    <t>MacMillan-Piper, Inc: Intermodal fleet</t>
  </si>
  <si>
    <t>MMPI</t>
  </si>
  <si>
    <t>MC203361</t>
  </si>
  <si>
    <t>Macton Express Ltd.</t>
  </si>
  <si>
    <t>MEXP</t>
  </si>
  <si>
    <t>MC306164</t>
  </si>
  <si>
    <t>MAF Expedited</t>
  </si>
  <si>
    <t>HAFL</t>
  </si>
  <si>
    <t>MC115930</t>
  </si>
  <si>
    <t>Magnum Companies--: DEDICATED</t>
  </si>
  <si>
    <t>MGDE</t>
  </si>
  <si>
    <t>MC637314</t>
  </si>
  <si>
    <t>Magnum Companies--: LTD</t>
  </si>
  <si>
    <t>MGUL</t>
  </si>
  <si>
    <t>MC233791</t>
  </si>
  <si>
    <t>Magnum Companies--: LTL</t>
  </si>
  <si>
    <t>MGNL</t>
  </si>
  <si>
    <t>MC151665</t>
  </si>
  <si>
    <t>Mahurin-Duvall Lines, Inc</t>
  </si>
  <si>
    <t>MDLN</t>
  </si>
  <si>
    <t>MC311151</t>
  </si>
  <si>
    <t>Major Transportation Services Inc.</t>
  </si>
  <si>
    <t>MJTF</t>
  </si>
  <si>
    <t>MC598243</t>
  </si>
  <si>
    <t>Manchester Motor Freight: Intermodal Drayage</t>
  </si>
  <si>
    <t>MNCM</t>
  </si>
  <si>
    <t>MC153889</t>
  </si>
  <si>
    <t>Manfredi Mushroom, Inc dba Manfredi Logistics Serv: Refrigerated Truck load &amp; LTL</t>
  </si>
  <si>
    <t>MFDI</t>
  </si>
  <si>
    <t>MC155288</t>
  </si>
  <si>
    <t>Manito Transit, LLC</t>
  </si>
  <si>
    <t>MTIQ</t>
  </si>
  <si>
    <t>MC145517</t>
  </si>
  <si>
    <t>Manitoulin Transport</t>
  </si>
  <si>
    <t>MANI</t>
  </si>
  <si>
    <t>Mansur Trucking, Inc.</t>
  </si>
  <si>
    <t>MSUT</t>
  </si>
  <si>
    <t>MC170846</t>
  </si>
  <si>
    <t>Manuel Huerta Trucking, Inc.</t>
  </si>
  <si>
    <t>MC166610</t>
  </si>
  <si>
    <t>MAP Transportation, Inc.</t>
  </si>
  <si>
    <t>MPTO</t>
  </si>
  <si>
    <t>MC514261</t>
  </si>
  <si>
    <t>Marathon Cheese Transport, LLC.</t>
  </si>
  <si>
    <t>MCHV</t>
  </si>
  <si>
    <t>MC425927</t>
  </si>
  <si>
    <t>Marathon Petroleum Company</t>
  </si>
  <si>
    <t>MAOC</t>
  </si>
  <si>
    <t>Marina Cartage, Inc.</t>
  </si>
  <si>
    <t>MCMP</t>
  </si>
  <si>
    <t>MC159961</t>
  </si>
  <si>
    <t>Marina Cartage, Inc.: MAT LEASING, INC.</t>
  </si>
  <si>
    <t>Marine Transport, Inc.</t>
  </si>
  <si>
    <t>MRPJ</t>
  </si>
  <si>
    <t>MC235262</t>
  </si>
  <si>
    <t>Mariner Distribution, Inc.</t>
  </si>
  <si>
    <t>MARD</t>
  </si>
  <si>
    <t>MC356244</t>
  </si>
  <si>
    <t>Mario's Ground Delivery Service LLC</t>
  </si>
  <si>
    <t>MC418716</t>
  </si>
  <si>
    <t>Market Transport, Ltd.: Truck</t>
  </si>
  <si>
    <t>Marks Transportation Inc.</t>
  </si>
  <si>
    <t>MKSW</t>
  </si>
  <si>
    <t>MC235094</t>
  </si>
  <si>
    <t>Martin Transportation Systems, Inc.: MTSTrans</t>
  </si>
  <si>
    <t>MRLC</t>
  </si>
  <si>
    <t>MC160108</t>
  </si>
  <si>
    <t>Martin's Bulk Milk Service Inc</t>
  </si>
  <si>
    <t>MBMK</t>
  </si>
  <si>
    <t>MC172816</t>
  </si>
  <si>
    <t>Martin-Brower of Canada Co.</t>
  </si>
  <si>
    <t>Marvin Keller Trucking, Inc.</t>
  </si>
  <si>
    <t>KMTN</t>
  </si>
  <si>
    <t>MC161777</t>
  </si>
  <si>
    <t>Marx Distribution, Inc.</t>
  </si>
  <si>
    <t>MRXD</t>
  </si>
  <si>
    <t>MC301278</t>
  </si>
  <si>
    <t>Mary B. Turner Trucking Co., LLC</t>
  </si>
  <si>
    <t>TUTB</t>
  </si>
  <si>
    <t>MC200219</t>
  </si>
  <si>
    <t>Mast Trucking Inc.</t>
  </si>
  <si>
    <t>MTUO</t>
  </si>
  <si>
    <t>MC171923</t>
  </si>
  <si>
    <t>Mastar Supply Chain &amp; Logistics, Inc.</t>
  </si>
  <si>
    <t>MSCL</t>
  </si>
  <si>
    <t>MC793286</t>
  </si>
  <si>
    <t>Material Transport: Sacramento</t>
  </si>
  <si>
    <t>MLRQ</t>
  </si>
  <si>
    <t>MC456380</t>
  </si>
  <si>
    <t>Material Transport: Tacoma</t>
  </si>
  <si>
    <t>Matrix Expedited Service</t>
  </si>
  <si>
    <t>MRES</t>
  </si>
  <si>
    <t>MC487770</t>
  </si>
  <si>
    <t>Matths Trucking LLC</t>
  </si>
  <si>
    <t>MC440129</t>
  </si>
  <si>
    <t>Maverick The Barbarian Transport, Inc.: Southern California</t>
  </si>
  <si>
    <t>MVBT</t>
  </si>
  <si>
    <t>MC972718</t>
  </si>
  <si>
    <t>Maverick Transportation LLC: Dedicated Services Division</t>
  </si>
  <si>
    <t>MC436281</t>
  </si>
  <si>
    <t>Maverick Transportation LLC: MAV IC Division</t>
  </si>
  <si>
    <t>Maverick Transportation LLC: Platform Division</t>
  </si>
  <si>
    <t>Maverick Transportation LLC: Temperature Control Division</t>
  </si>
  <si>
    <t>Mavron Transport Inc: Mavron Transport Inc</t>
  </si>
  <si>
    <t>MVRN</t>
  </si>
  <si>
    <t>MC278908</t>
  </si>
  <si>
    <t>Mawson and Mawson, Inc.</t>
  </si>
  <si>
    <t>MAWS</t>
  </si>
  <si>
    <t>MC00076</t>
  </si>
  <si>
    <t>Max Trucking LLC</t>
  </si>
  <si>
    <t>MXAH</t>
  </si>
  <si>
    <t>MC658131</t>
  </si>
  <si>
    <t>May Trucking Company</t>
  </si>
  <si>
    <t>MAYT</t>
  </si>
  <si>
    <t>MC094081</t>
  </si>
  <si>
    <t>Mayfield Transfer Co., Inc.</t>
  </si>
  <si>
    <t>MFLD</t>
  </si>
  <si>
    <t>MC99888</t>
  </si>
  <si>
    <t>Mayflower Transit/W.J. Donovan LLC</t>
  </si>
  <si>
    <t>DWJA</t>
  </si>
  <si>
    <t>MC0125563</t>
  </si>
  <si>
    <t>Mayor Logistics, Inc.: Drayage Fleet</t>
  </si>
  <si>
    <t>MYRG</t>
  </si>
  <si>
    <t>MC626342</t>
  </si>
  <si>
    <t>MB Global Logistics Inc.</t>
  </si>
  <si>
    <t>MBGB</t>
  </si>
  <si>
    <t>MC725207</t>
  </si>
  <si>
    <t>MC America Transport LLC</t>
  </si>
  <si>
    <t>MAPB</t>
  </si>
  <si>
    <t>MC852074</t>
  </si>
  <si>
    <t>MC Carrier, Inc.</t>
  </si>
  <si>
    <t>MCQC</t>
  </si>
  <si>
    <t>MC Express LLC</t>
  </si>
  <si>
    <t>MCXE</t>
  </si>
  <si>
    <t>MC217482</t>
  </si>
  <si>
    <t>McArthur Express / Transport TFI 21</t>
  </si>
  <si>
    <t>MTHV</t>
  </si>
  <si>
    <t>MCCK Transportation Group Inc.</t>
  </si>
  <si>
    <t>MCCW</t>
  </si>
  <si>
    <t>MC512552</t>
  </si>
  <si>
    <t>McCollister's Transportation Group</t>
  </si>
  <si>
    <t>MCCG</t>
  </si>
  <si>
    <t>MC358185</t>
  </si>
  <si>
    <t>McConnell Transport Ltd.</t>
  </si>
  <si>
    <t>MCNE</t>
  </si>
  <si>
    <t>MC221823</t>
  </si>
  <si>
    <t>McCormick &amp; McCormick, Inc.</t>
  </si>
  <si>
    <t>MCCO</t>
  </si>
  <si>
    <t>MC133967</t>
  </si>
  <si>
    <t>McCracken Motor Freight</t>
  </si>
  <si>
    <t>MMFG</t>
  </si>
  <si>
    <t>MC000941</t>
  </si>
  <si>
    <t>McElroy Truck Lines, Inc.</t>
  </si>
  <si>
    <t>MLRT</t>
  </si>
  <si>
    <t>MC142680</t>
  </si>
  <si>
    <t>McEwen Trucking, Inc.</t>
  </si>
  <si>
    <t>MWEN</t>
  </si>
  <si>
    <t>MC206835</t>
  </si>
  <si>
    <t>McFarland Truck Lines, Inc.</t>
  </si>
  <si>
    <t>MCFG</t>
  </si>
  <si>
    <t>MC260226</t>
  </si>
  <si>
    <t>McKevitt Trucking Limited</t>
  </si>
  <si>
    <t>MKLD</t>
  </si>
  <si>
    <t>MC123169</t>
  </si>
  <si>
    <t>McKimm Milk Transit, Inc.</t>
  </si>
  <si>
    <t>MCKM</t>
  </si>
  <si>
    <t>MC136461</t>
  </si>
  <si>
    <t>MCL McGill Carriers Ltd.: Ontario Fleet</t>
  </si>
  <si>
    <t>MCL McGill Carriers Ltd.: Vancouver Fleet</t>
  </si>
  <si>
    <t>McLeod Express, LLC</t>
  </si>
  <si>
    <t>MLXO</t>
  </si>
  <si>
    <t>MC420333</t>
  </si>
  <si>
    <t>McMullen Transportation, LLC</t>
  </si>
  <si>
    <t>MMRB</t>
  </si>
  <si>
    <t>MC890257</t>
  </si>
  <si>
    <t>McNay Truck Line</t>
  </si>
  <si>
    <t>MCAY</t>
  </si>
  <si>
    <t>MC145217</t>
  </si>
  <si>
    <t>MCO Transport, Inc.</t>
  </si>
  <si>
    <t>MCOP</t>
  </si>
  <si>
    <t>MC014286</t>
  </si>
  <si>
    <t>MCT Transporatation,LLC: Long Haul</t>
  </si>
  <si>
    <t>MWCT</t>
  </si>
  <si>
    <t>MC111812</t>
  </si>
  <si>
    <t>Medallion International LLC</t>
  </si>
  <si>
    <t>MNIL</t>
  </si>
  <si>
    <t>MC672670</t>
  </si>
  <si>
    <t>Medallion Transport &amp; Logistics, LLC</t>
  </si>
  <si>
    <t>MDXW</t>
  </si>
  <si>
    <t>MC221460</t>
  </si>
  <si>
    <t>Medelez Inc.</t>
  </si>
  <si>
    <t>MZIP</t>
  </si>
  <si>
    <t>MC238535</t>
  </si>
  <si>
    <t>MedTrans, LLC</t>
  </si>
  <si>
    <t>MEDA</t>
  </si>
  <si>
    <t>MC419207</t>
  </si>
  <si>
    <t>Medway Trucking</t>
  </si>
  <si>
    <t>MWYK</t>
  </si>
  <si>
    <t>MC822539</t>
  </si>
  <si>
    <t>Mega Fleet Corp</t>
  </si>
  <si>
    <t>MFCE</t>
  </si>
  <si>
    <t>MC499871</t>
  </si>
  <si>
    <t>Mega Transportation Services LLC: MGXV</t>
  </si>
  <si>
    <t>MGXV</t>
  </si>
  <si>
    <t>MC629523</t>
  </si>
  <si>
    <t>Meiborg Inc.: Meiborg Brothers</t>
  </si>
  <si>
    <t>MEBR</t>
  </si>
  <si>
    <t>MC200038</t>
  </si>
  <si>
    <t>Meiborg Inc.: Silver Arrow Express</t>
  </si>
  <si>
    <t>SIAW</t>
  </si>
  <si>
    <t>MC188228</t>
  </si>
  <si>
    <t>Meijer Logistics LLC</t>
  </si>
  <si>
    <t>MEIJ</t>
  </si>
  <si>
    <t>MC545985</t>
  </si>
  <si>
    <t>Melton Truck Lines, Inc</t>
  </si>
  <si>
    <t>MTLA</t>
  </si>
  <si>
    <t>MC100666</t>
  </si>
  <si>
    <t>Mercer Transportation Company</t>
  </si>
  <si>
    <t>MC143059</t>
  </si>
  <si>
    <t>Mercury Services, Inc.</t>
  </si>
  <si>
    <t>MCVY</t>
  </si>
  <si>
    <t>MC512190</t>
  </si>
  <si>
    <t>Meredith Enterprises Inc.</t>
  </si>
  <si>
    <t>MC590774</t>
  </si>
  <si>
    <t>Mergenthaler Transfer and Storage Co.: Household Goods</t>
  </si>
  <si>
    <t>MRGQ</t>
  </si>
  <si>
    <t>MC158526</t>
  </si>
  <si>
    <t>Mergenthaler Transfer and Storage Co.: MTS Freight/Linehaul</t>
  </si>
  <si>
    <t>Mergenthaler Transfer and Storage Co.: MTS Freight/Pickup and Delivery</t>
  </si>
  <si>
    <t>Mergenthaler Transfer and Storage Co.: Special Contracts</t>
  </si>
  <si>
    <t>MC158956</t>
  </si>
  <si>
    <t>Merx Global, Inc.</t>
  </si>
  <si>
    <t>MBAL</t>
  </si>
  <si>
    <t>MC566381</t>
  </si>
  <si>
    <t>Mesa Systems, Inc.</t>
  </si>
  <si>
    <t>MEMQ</t>
  </si>
  <si>
    <t>MC240638</t>
  </si>
  <si>
    <t>MC186190</t>
  </si>
  <si>
    <t>Metraco Transportation Company</t>
  </si>
  <si>
    <t>MTUN</t>
  </si>
  <si>
    <t>MC583844</t>
  </si>
  <si>
    <t>Metro Parcel &amp; Freight, Inc.</t>
  </si>
  <si>
    <t>MPNF</t>
  </si>
  <si>
    <t>MC225425</t>
  </si>
  <si>
    <t>Metropolitan Trucking</t>
  </si>
  <si>
    <t>MTRK</t>
  </si>
  <si>
    <t>MC08973</t>
  </si>
  <si>
    <t>Mhart Express, Inc.</t>
  </si>
  <si>
    <t>MHRE</t>
  </si>
  <si>
    <t>MC224015</t>
  </si>
  <si>
    <t>Michigan Produce Haulers Inc.</t>
  </si>
  <si>
    <t>MPHF</t>
  </si>
  <si>
    <t>MC217008</t>
  </si>
  <si>
    <t>Mid Atlantic Xpress, Inc.</t>
  </si>
  <si>
    <t>MAXH</t>
  </si>
  <si>
    <t>MC292024</t>
  </si>
  <si>
    <t>Mid Continent Trucking Co.</t>
  </si>
  <si>
    <t>MDCN</t>
  </si>
  <si>
    <t>MC768565</t>
  </si>
  <si>
    <t>Mid South Transport, Inc.</t>
  </si>
  <si>
    <t>MSOH</t>
  </si>
  <si>
    <t>MC168849</t>
  </si>
  <si>
    <t>Mid-American Specialized Transport</t>
  </si>
  <si>
    <t>MAZT</t>
  </si>
  <si>
    <t>MC634222</t>
  </si>
  <si>
    <t>Midland Transport Limited: Greenline Fleet</t>
  </si>
  <si>
    <t>MDLD</t>
  </si>
  <si>
    <t>Midland Transport Limited: Linehaul General Fleet</t>
  </si>
  <si>
    <t>Midland Transport Limited: Michelin Fleet</t>
  </si>
  <si>
    <t>MDLV</t>
  </si>
  <si>
    <t>Midnite Express Inc</t>
  </si>
  <si>
    <t>MDEB</t>
  </si>
  <si>
    <t>MC196602</t>
  </si>
  <si>
    <t>Midwest Continental, Inc.</t>
  </si>
  <si>
    <t>MWCI</t>
  </si>
  <si>
    <t>MC154494</t>
  </si>
  <si>
    <t>Midwest Courier Inc.</t>
  </si>
  <si>
    <t>MDWO</t>
  </si>
  <si>
    <t>MC583056</t>
  </si>
  <si>
    <t>Midwest Expedited Carrier Corporation</t>
  </si>
  <si>
    <t>MEJH</t>
  </si>
  <si>
    <t>Midwest Express, Inc.</t>
  </si>
  <si>
    <t>MWEP</t>
  </si>
  <si>
    <t>MC270187</t>
  </si>
  <si>
    <t>Midwest Express, Inc. (Wisconsin)</t>
  </si>
  <si>
    <t>MWXP</t>
  </si>
  <si>
    <t>MC170496</t>
  </si>
  <si>
    <t>Midwest Freight Systems Corp</t>
  </si>
  <si>
    <t>MWFP</t>
  </si>
  <si>
    <t>MC724874</t>
  </si>
  <si>
    <t>Midwest Motor Express, Inc.</t>
  </si>
  <si>
    <t>MIDW</t>
  </si>
  <si>
    <t>MC002153</t>
  </si>
  <si>
    <t>Midwest Specialized Transportation, Inc.</t>
  </si>
  <si>
    <t>MHTC</t>
  </si>
  <si>
    <t>MC117068</t>
  </si>
  <si>
    <t>Mike Tamana FreightLines LLC.</t>
  </si>
  <si>
    <t>TMFL</t>
  </si>
  <si>
    <t>MC548856</t>
  </si>
  <si>
    <t>Miky Transport Co Inc</t>
  </si>
  <si>
    <t>MIKT</t>
  </si>
  <si>
    <t>MC454357</t>
  </si>
  <si>
    <t>Milan Supply Chain Solutions Inc.: Truckload</t>
  </si>
  <si>
    <t>MC121649</t>
  </si>
  <si>
    <t>Mile Hi Foods Co.</t>
  </si>
  <si>
    <t>MHFF</t>
  </si>
  <si>
    <t>MC179381</t>
  </si>
  <si>
    <t>Mile Hi Specialty Foods</t>
  </si>
  <si>
    <t>MHIQ</t>
  </si>
  <si>
    <t>MC844076</t>
  </si>
  <si>
    <t>Mile High Transportation Services Inc: Mile High Transportation Services Inc</t>
  </si>
  <si>
    <t>MHTN</t>
  </si>
  <si>
    <t>MC262929</t>
  </si>
  <si>
    <t>Mill Creek Motor Freight L.P.</t>
  </si>
  <si>
    <t>MCJE</t>
  </si>
  <si>
    <t>Millennial Transport Services LLC</t>
  </si>
  <si>
    <t>MLTB</t>
  </si>
  <si>
    <t>MC358747</t>
  </si>
  <si>
    <t>Miller Brothers Express L.C.</t>
  </si>
  <si>
    <t>MBFY</t>
  </si>
  <si>
    <t>MC202909</t>
  </si>
  <si>
    <t>Miller Intermodal Logistics Services, Inc.</t>
  </si>
  <si>
    <t>MLIV</t>
  </si>
  <si>
    <t>MC327786</t>
  </si>
  <si>
    <t>Miller Transfer &amp; Rigging Co.</t>
  </si>
  <si>
    <t>MTRR</t>
  </si>
  <si>
    <t>MC087103</t>
  </si>
  <si>
    <t>Miller Transporters, Inc.</t>
  </si>
  <si>
    <t>MITN</t>
  </si>
  <si>
    <t>MC107002</t>
  </si>
  <si>
    <t>Miller Truck Lines, LLC</t>
  </si>
  <si>
    <t>MTUC</t>
  </si>
  <si>
    <t>MC168121</t>
  </si>
  <si>
    <t>Miller Trucking Corporation</t>
  </si>
  <si>
    <t>MITO</t>
  </si>
  <si>
    <t>MC244112</t>
  </si>
  <si>
    <t>Millhouse Logistics Inc</t>
  </si>
  <si>
    <t>MLQI</t>
  </si>
  <si>
    <t>MC644584</t>
  </si>
  <si>
    <t>Milliken &amp; Company</t>
  </si>
  <si>
    <t>MILL</t>
  </si>
  <si>
    <t>MC681933</t>
  </si>
  <si>
    <t>Millis Transfer, Inc.</t>
  </si>
  <si>
    <t>MTNF</t>
  </si>
  <si>
    <t>MC111310</t>
  </si>
  <si>
    <t>Minimax Express Transport Inc.: Cornwall</t>
  </si>
  <si>
    <t>MNME</t>
  </si>
  <si>
    <t>Minn-Tex Express, Inc.</t>
  </si>
  <si>
    <t>MTXS</t>
  </si>
  <si>
    <t>MC258809</t>
  </si>
  <si>
    <t>Minnesota Valley Transport, Inc.</t>
  </si>
  <si>
    <t>MNVY</t>
  </si>
  <si>
    <t>MC173518</t>
  </si>
  <si>
    <t>Minstar Transport</t>
  </si>
  <si>
    <t>MSFM</t>
  </si>
  <si>
    <t>MC643366</t>
  </si>
  <si>
    <t>Mirage Freight &amp; Logistics Services LLC</t>
  </si>
  <si>
    <t>MFGR</t>
  </si>
  <si>
    <t>MC917181</t>
  </si>
  <si>
    <t>Mister "P" Express, Inc.</t>
  </si>
  <si>
    <t>MPXI</t>
  </si>
  <si>
    <t>MC211407</t>
  </si>
  <si>
    <t>MJ Gutierrez Trucking</t>
  </si>
  <si>
    <t>ZEIJ</t>
  </si>
  <si>
    <t>MMS Logistic Services</t>
  </si>
  <si>
    <t>MDMB</t>
  </si>
  <si>
    <t>MC198621</t>
  </si>
  <si>
    <t>MN Express Inc.</t>
  </si>
  <si>
    <t>MNEH</t>
  </si>
  <si>
    <t>MC710368</t>
  </si>
  <si>
    <t>Mobile Air Transport Inc.</t>
  </si>
  <si>
    <t>MC135570</t>
  </si>
  <si>
    <t>Modern Forwarding Inc.</t>
  </si>
  <si>
    <t>MDFL</t>
  </si>
  <si>
    <t>Modern Transportation Services, LLC: Modern Transportation Services</t>
  </si>
  <si>
    <t>MDTS</t>
  </si>
  <si>
    <t>MC200334</t>
  </si>
  <si>
    <t>Moe's Transport Trucking: Moe's Canadian Fleet</t>
  </si>
  <si>
    <t>MUOE</t>
  </si>
  <si>
    <t>MC405998</t>
  </si>
  <si>
    <t>Moeller Trucking Inc</t>
  </si>
  <si>
    <t>METG</t>
  </si>
  <si>
    <t>MC191216</t>
  </si>
  <si>
    <t>Moeller Trucking, Inc. (Iowa)</t>
  </si>
  <si>
    <t>MOEE</t>
  </si>
  <si>
    <t>MC278162</t>
  </si>
  <si>
    <t>Mohawk Carpet Transportation of GA LLC: Fleet</t>
  </si>
  <si>
    <t>MHKC</t>
  </si>
  <si>
    <t>MC215729</t>
  </si>
  <si>
    <t>Mohawk Services Inc.</t>
  </si>
  <si>
    <t>MHWK</t>
  </si>
  <si>
    <t>MC358027</t>
  </si>
  <si>
    <t>Monarch Transport (1975) Ltd.: 004 Canadian Division</t>
  </si>
  <si>
    <t>MNCT</t>
  </si>
  <si>
    <t>Monarch Transport (1975) Ltd.: 015 US Division</t>
  </si>
  <si>
    <t>Mont's On-Time Express Inc.</t>
  </si>
  <si>
    <t>MHDM</t>
  </si>
  <si>
    <t>MC556356</t>
  </si>
  <si>
    <t>Montana Brand Produce</t>
  </si>
  <si>
    <t>MBPC</t>
  </si>
  <si>
    <t>MC133979</t>
  </si>
  <si>
    <t>Moore Transport of Tulsa LLC.</t>
  </si>
  <si>
    <t>MTUP</t>
  </si>
  <si>
    <t>MC543764</t>
  </si>
  <si>
    <t>Morrice Transportation</t>
  </si>
  <si>
    <t>EETE</t>
  </si>
  <si>
    <t>MC236944</t>
  </si>
  <si>
    <t>Morris Transportation, Inc.</t>
  </si>
  <si>
    <t>MOTD</t>
  </si>
  <si>
    <t>MC340907</t>
  </si>
  <si>
    <t>Morrison Trucking</t>
  </si>
  <si>
    <t>Morristown Driver's Service, Inc.</t>
  </si>
  <si>
    <t>MDSV</t>
  </si>
  <si>
    <t>MC177575</t>
  </si>
  <si>
    <t>Morrow Trucking Company</t>
  </si>
  <si>
    <t>MC169820</t>
  </si>
  <si>
    <t>Moser Trucking Inc</t>
  </si>
  <si>
    <t>MSRK</t>
  </si>
  <si>
    <t>MC508054</t>
  </si>
  <si>
    <t>Motor Car Auto Carriers</t>
  </si>
  <si>
    <t>MCAR</t>
  </si>
  <si>
    <t>MC396212</t>
  </si>
  <si>
    <t>Motor Carrier Service LLC</t>
  </si>
  <si>
    <t>MOAA</t>
  </si>
  <si>
    <t>MC202670</t>
  </si>
  <si>
    <t>Mountain River Trucking Co., Inc.</t>
  </si>
  <si>
    <t>MRVT</t>
  </si>
  <si>
    <t>MC194278</t>
  </si>
  <si>
    <t>Mountain Transport Corp.</t>
  </si>
  <si>
    <t>MNTT</t>
  </si>
  <si>
    <t>MC263569</t>
  </si>
  <si>
    <t>Mountain Valley Express Co., Inc</t>
  </si>
  <si>
    <t>Moutrie Trucking LLC</t>
  </si>
  <si>
    <t>MTQL</t>
  </si>
  <si>
    <t>MC348504</t>
  </si>
  <si>
    <t>MOV Trucking</t>
  </si>
  <si>
    <t>Moxie Transport, Inc.: 1</t>
  </si>
  <si>
    <t>MOXO</t>
  </si>
  <si>
    <t>MC219698</t>
  </si>
  <si>
    <t>MPW Industrial Water Services</t>
  </si>
  <si>
    <t>MC866289</t>
  </si>
  <si>
    <t>Mr. Bult's, Inc.</t>
  </si>
  <si>
    <t>MBLT</t>
  </si>
  <si>
    <t>MC290960</t>
  </si>
  <si>
    <t>MRM Specialized Trucking Inc</t>
  </si>
  <si>
    <t>MRMC</t>
  </si>
  <si>
    <t>MC554144</t>
  </si>
  <si>
    <t>MTL Transportation LLC</t>
  </si>
  <si>
    <t>Mullen Trucking LP: Dedicated</t>
  </si>
  <si>
    <t>Mullen Trucking LP: Heavy Licensed/Specialized</t>
  </si>
  <si>
    <t>Mullen Trucking LP: Medium Licensed/Truck Load</t>
  </si>
  <si>
    <t>Munoz Trucking Inc</t>
  </si>
  <si>
    <t>MNZG</t>
  </si>
  <si>
    <t>MC316482</t>
  </si>
  <si>
    <t>Murphy Transportation, Inc.</t>
  </si>
  <si>
    <t>MUTP</t>
  </si>
  <si>
    <t>MC273582</t>
  </si>
  <si>
    <t>Mustang Express LTD</t>
  </si>
  <si>
    <t>MGXE</t>
  </si>
  <si>
    <t>MC470825</t>
  </si>
  <si>
    <t>Mutual Materials Company</t>
  </si>
  <si>
    <t>MLMC</t>
  </si>
  <si>
    <t>MC723802</t>
  </si>
  <si>
    <t>Myers Transport Inc</t>
  </si>
  <si>
    <t>MYTI</t>
  </si>
  <si>
    <t>MC5817865</t>
  </si>
  <si>
    <t>Myers Trucking, Inc.</t>
  </si>
  <si>
    <t>MYRJ</t>
  </si>
  <si>
    <t>MC242089</t>
  </si>
  <si>
    <t>N&amp;M Transfer Co., Inc.: Expedited</t>
  </si>
  <si>
    <t>NMFT</t>
  </si>
  <si>
    <t>MC154495</t>
  </si>
  <si>
    <t>N&amp;M Transfer Co., Inc.: Transfer</t>
  </si>
  <si>
    <t>NMTF</t>
  </si>
  <si>
    <t>Nadar Transport LLC</t>
  </si>
  <si>
    <t>NDTS</t>
  </si>
  <si>
    <t>MC492670</t>
  </si>
  <si>
    <t>Nagle Toledo Inc</t>
  </si>
  <si>
    <t>NGTI</t>
  </si>
  <si>
    <t>MC219949</t>
  </si>
  <si>
    <t>NAPA Transportation, Inc.</t>
  </si>
  <si>
    <t>NPAT</t>
  </si>
  <si>
    <t>MC242988</t>
  </si>
  <si>
    <t>National Carriers, Inc.: Livestock Division</t>
  </si>
  <si>
    <t>NALC</t>
  </si>
  <si>
    <t>MC139495</t>
  </si>
  <si>
    <t>National Carriers, Inc.: Reefer Division</t>
  </si>
  <si>
    <t>National Delivery Systems, Inc.</t>
  </si>
  <si>
    <t>NDSN</t>
  </si>
  <si>
    <t>MC429253</t>
  </si>
  <si>
    <t>National Expedited Freight, Inc</t>
  </si>
  <si>
    <t>NEFT</t>
  </si>
  <si>
    <t>MC749866</t>
  </si>
  <si>
    <t>National Retail Systems, Inc.: Keystone Freight Corp.</t>
  </si>
  <si>
    <t>KYSO</t>
  </si>
  <si>
    <t>MC165964</t>
  </si>
  <si>
    <t>National Retail Systems, Inc.: Mystic Island Transport</t>
  </si>
  <si>
    <t>MYIL</t>
  </si>
  <si>
    <t>MC189278</t>
  </si>
  <si>
    <t>National Retail Systems, Inc.: National Retail Transportation, Inc.</t>
  </si>
  <si>
    <t>NART</t>
  </si>
  <si>
    <t>MC146386</t>
  </si>
  <si>
    <t>Nations Finest Transports Inc.</t>
  </si>
  <si>
    <t>MC0428798</t>
  </si>
  <si>
    <t>Nationwide Express Inc: NAWE</t>
  </si>
  <si>
    <t>NAWE</t>
  </si>
  <si>
    <t>MC150993</t>
  </si>
  <si>
    <t>Nationwide Express Inc: NDS</t>
  </si>
  <si>
    <t>NDS</t>
  </si>
  <si>
    <t>MC662771</t>
  </si>
  <si>
    <t>NTWD</t>
  </si>
  <si>
    <t>MC164851</t>
  </si>
  <si>
    <t>Nationwide Truck Brokers, Inc.</t>
  </si>
  <si>
    <t>NATW</t>
  </si>
  <si>
    <t>Navajo Express, Inc.</t>
  </si>
  <si>
    <t>MC157626</t>
  </si>
  <si>
    <t>Navasota Trucking, Inc</t>
  </si>
  <si>
    <t>NVKN</t>
  </si>
  <si>
    <t>MC610858</t>
  </si>
  <si>
    <t>NCI Group, Inc.</t>
  </si>
  <si>
    <t>NCIG</t>
  </si>
  <si>
    <t>MC587695</t>
  </si>
  <si>
    <t>NDSV</t>
  </si>
  <si>
    <t>MC639627</t>
  </si>
  <si>
    <t>Nealon Transportation Inc</t>
  </si>
  <si>
    <t>NLON</t>
  </si>
  <si>
    <t>MC225780</t>
  </si>
  <si>
    <t>Nebraska Transport Company Inc.</t>
  </si>
  <si>
    <t>NEBT</t>
  </si>
  <si>
    <t>MC121066</t>
  </si>
  <si>
    <t>Nello Pistoresi &amp; Son, Inc</t>
  </si>
  <si>
    <t>PNEO</t>
  </si>
  <si>
    <t>MC127922</t>
  </si>
  <si>
    <t>NEP Supershooters: NEP</t>
  </si>
  <si>
    <t>NEPS</t>
  </si>
  <si>
    <t>Nestle Transportation Company</t>
  </si>
  <si>
    <t>NSLE</t>
  </si>
  <si>
    <t>MC158221</t>
  </si>
  <si>
    <t>Net Freight System Inc.: Net Freight System Inc.: Dry Van Division</t>
  </si>
  <si>
    <t>NFSY</t>
  </si>
  <si>
    <t>Net Freight System Inc.: Net Freight System Inc.: Refrigerated Division</t>
  </si>
  <si>
    <t>New Bern Transportation</t>
  </si>
  <si>
    <t>NBTC</t>
  </si>
  <si>
    <t>MC321263</t>
  </si>
  <si>
    <t>New England Motor Freight</t>
  </si>
  <si>
    <t>NEMF</t>
  </si>
  <si>
    <t>New Era Truck Line Inc</t>
  </si>
  <si>
    <t>MC622291</t>
  </si>
  <si>
    <t>New Generation Truck Inc.</t>
  </si>
  <si>
    <t>NWGK</t>
  </si>
  <si>
    <t>MC315063</t>
  </si>
  <si>
    <t>New Legend Inc dba Legend Transportation</t>
  </si>
  <si>
    <t>LEGS</t>
  </si>
  <si>
    <t>MC536992</t>
  </si>
  <si>
    <t>New Line Transport, LLC</t>
  </si>
  <si>
    <t>NLNP</t>
  </si>
  <si>
    <t>MC575064</t>
  </si>
  <si>
    <t>New South Express, LLC: Over The Road</t>
  </si>
  <si>
    <t>NSES</t>
  </si>
  <si>
    <t>MC411384</t>
  </si>
  <si>
    <t>New South Express, LLC: Straight Truck</t>
  </si>
  <si>
    <t>New South Express, LLC: Yard</t>
  </si>
  <si>
    <t>New Wavery Transportation: NWT</t>
  </si>
  <si>
    <t>NWWV</t>
  </si>
  <si>
    <t>MC20674</t>
  </si>
  <si>
    <t>New World Van Lines</t>
  </si>
  <si>
    <t>NWIL</t>
  </si>
  <si>
    <t>New-Way Trucking ltd.</t>
  </si>
  <si>
    <t>Newcomb Warehouse, Inc.</t>
  </si>
  <si>
    <t>NEFG</t>
  </si>
  <si>
    <t>MC312598</t>
  </si>
  <si>
    <t>Newport Traffic and Logistics LLC</t>
  </si>
  <si>
    <t>NWRC</t>
  </si>
  <si>
    <t>MC809701</t>
  </si>
  <si>
    <t>Nexeo Solutions: Fleet</t>
  </si>
  <si>
    <t>NSLC</t>
  </si>
  <si>
    <t>MC737760</t>
  </si>
  <si>
    <t>NFI: NFI Canada</t>
  </si>
  <si>
    <t>NFCA,NFCB</t>
  </si>
  <si>
    <t>MC713822</t>
  </si>
  <si>
    <t>NFI: NFI Transportation</t>
  </si>
  <si>
    <t>NFIL,NFAV,NFBR,NFCV,NFIA,NFIH,NFIV,NFTG,NAFT,NAFQ,NFIV</t>
  </si>
  <si>
    <t>MC1486168</t>
  </si>
  <si>
    <t>NHH Services LLC</t>
  </si>
  <si>
    <t>NNHS</t>
  </si>
  <si>
    <t>MC818994</t>
  </si>
  <si>
    <t>Niagara Logistics, Inc.,</t>
  </si>
  <si>
    <t>NIRA</t>
  </si>
  <si>
    <t>MC280675</t>
  </si>
  <si>
    <t>Nichols Trucking Co., Inc.</t>
  </si>
  <si>
    <t>NCLS</t>
  </si>
  <si>
    <t>MC223136</t>
  </si>
  <si>
    <t>Nick Walton Trucking LLC</t>
  </si>
  <si>
    <t>Nickels Cartage Co. LTD</t>
  </si>
  <si>
    <t>NKCK</t>
  </si>
  <si>
    <t>MC346714</t>
  </si>
  <si>
    <t>Niece Trucking, Inc.</t>
  </si>
  <si>
    <t>NTBB</t>
  </si>
  <si>
    <t>MC352470</t>
  </si>
  <si>
    <t>Night Train Trucking, Inc</t>
  </si>
  <si>
    <t>NTTK</t>
  </si>
  <si>
    <t>MC361864</t>
  </si>
  <si>
    <t>Nijjar Trucking Ltd.</t>
  </si>
  <si>
    <t>NJTL</t>
  </si>
  <si>
    <t>MC426101</t>
  </si>
  <si>
    <t>NKC Transportation, Inc</t>
  </si>
  <si>
    <t>NKCN</t>
  </si>
  <si>
    <t>MC255744</t>
  </si>
  <si>
    <t>NKRS Trucking</t>
  </si>
  <si>
    <t>NKRS</t>
  </si>
  <si>
    <t>MC517193</t>
  </si>
  <si>
    <t>Noble Delivery, LLC</t>
  </si>
  <si>
    <t>NDEY</t>
  </si>
  <si>
    <t>MC406688</t>
  </si>
  <si>
    <t>Noel Transportation Corp</t>
  </si>
  <si>
    <t>NLTS</t>
  </si>
  <si>
    <t>MC782319</t>
  </si>
  <si>
    <t>Norco Corporation: Fleet 1</t>
  </si>
  <si>
    <t>NCOC</t>
  </si>
  <si>
    <t>MC417025</t>
  </si>
  <si>
    <t>Nordic Logistics, LLC.</t>
  </si>
  <si>
    <t>NDIC</t>
  </si>
  <si>
    <t>MC499138</t>
  </si>
  <si>
    <t>Normandin Transit Inc.: Normandin Transit inc.</t>
  </si>
  <si>
    <t>NRMA</t>
  </si>
  <si>
    <t>Normandin Transportation Services, Inc.</t>
  </si>
  <si>
    <t>NTVY</t>
  </si>
  <si>
    <t>MC648404</t>
  </si>
  <si>
    <t>Norsemen Trucking, Inc.</t>
  </si>
  <si>
    <t>NOTG</t>
  </si>
  <si>
    <t>MC217470</t>
  </si>
  <si>
    <t>North American Transport Services</t>
  </si>
  <si>
    <t>NAAF</t>
  </si>
  <si>
    <t>MC494689</t>
  </si>
  <si>
    <t>North Bay Distribution &amp; Transportation</t>
  </si>
  <si>
    <t>NBDN</t>
  </si>
  <si>
    <t>Northeast Foods, Inc.</t>
  </si>
  <si>
    <t>NORTHERN NECK TRANSFER, INC: NONT</t>
  </si>
  <si>
    <t>NONT</t>
  </si>
  <si>
    <t>MC95304</t>
  </si>
  <si>
    <t>Northern Refrigerated Transportation, Inc.</t>
  </si>
  <si>
    <t>NRRF</t>
  </si>
  <si>
    <t>MC178289</t>
  </si>
  <si>
    <t>Northfield Trucking Company, Inc.</t>
  </si>
  <si>
    <t>NFTR</t>
  </si>
  <si>
    <t>MC376071</t>
  </si>
  <si>
    <t>NorthShore Transportation Co., Inc.</t>
  </si>
  <si>
    <t>NOHE</t>
  </si>
  <si>
    <t>MC171441</t>
  </si>
  <si>
    <t>Northwest Food Products Transportation LLC</t>
  </si>
  <si>
    <t>MC205492</t>
  </si>
  <si>
    <t>Northwest Transportation Inc.</t>
  </si>
  <si>
    <t>NHWN</t>
  </si>
  <si>
    <t>MC791646</t>
  </si>
  <si>
    <t>Northx Logistics Ltd.</t>
  </si>
  <si>
    <t>NXLD</t>
  </si>
  <si>
    <t>MC929102</t>
  </si>
  <si>
    <t>Novex Delivery Solutions</t>
  </si>
  <si>
    <t>NOVX</t>
  </si>
  <si>
    <t>NTA, Ltd.</t>
  </si>
  <si>
    <t>NTAH</t>
  </si>
  <si>
    <t>MC278055</t>
  </si>
  <si>
    <t>Nu-Way Transportation Services, Inc.: Local Delivery</t>
  </si>
  <si>
    <t>NUWT,NWSD</t>
  </si>
  <si>
    <t>MC277852</t>
  </si>
  <si>
    <t>Nu-Way Transportation Services, Inc.: Local Shuttle/Spotting</t>
  </si>
  <si>
    <t>NUWT</t>
  </si>
  <si>
    <t>Nu-Way Transportation Services, Inc.: Local Straight Truck Delivery</t>
  </si>
  <si>
    <t>Nu-Way Transportation Services, Inc.: Regional Delivery</t>
  </si>
  <si>
    <t>NU-Way, Inc.</t>
  </si>
  <si>
    <t>NUWA</t>
  </si>
  <si>
    <t>MC177158</t>
  </si>
  <si>
    <t>Nussbaum Transportation Services, Inc.</t>
  </si>
  <si>
    <t>NUST</t>
  </si>
  <si>
    <t>MC120436</t>
  </si>
  <si>
    <t>NV Transport Inc: 1</t>
  </si>
  <si>
    <t>NVTQ</t>
  </si>
  <si>
    <t>MC524101</t>
  </si>
  <si>
    <t>O'Brien Transportation, Inc.</t>
  </si>
  <si>
    <t>OBTR</t>
  </si>
  <si>
    <t>MC719771</t>
  </si>
  <si>
    <t>Oak Harbor Freight Lines</t>
  </si>
  <si>
    <t>OAKH</t>
  </si>
  <si>
    <t>Oakhurst Dairy</t>
  </si>
  <si>
    <t>Oakley Transport, Inc.: Liquid Food Grade</t>
  </si>
  <si>
    <t>OKLE</t>
  </si>
  <si>
    <t>MC183301</t>
  </si>
  <si>
    <t>Oakwood Transport: 12850867</t>
  </si>
  <si>
    <t>OKWT</t>
  </si>
  <si>
    <t>MC292757</t>
  </si>
  <si>
    <t>Oberg Freight Company</t>
  </si>
  <si>
    <t>OBRG</t>
  </si>
  <si>
    <t>MC188877</t>
  </si>
  <si>
    <t>OCS Transport Services, Inc.</t>
  </si>
  <si>
    <t>OCSP</t>
  </si>
  <si>
    <t>MC750496</t>
  </si>
  <si>
    <t>Office Depot, Inc.</t>
  </si>
  <si>
    <t>OCIQ</t>
  </si>
  <si>
    <t>MC394832</t>
  </si>
  <si>
    <t>Ohio Transportation Group Services</t>
  </si>
  <si>
    <t>DSLR</t>
  </si>
  <si>
    <t>MC686166</t>
  </si>
  <si>
    <t>OIX, Incorporated dba OrTran Express</t>
  </si>
  <si>
    <t>OIXI</t>
  </si>
  <si>
    <t>MC275790</t>
  </si>
  <si>
    <t>Old Dominion Freight Line, Inc.</t>
  </si>
  <si>
    <t>MC107478</t>
  </si>
  <si>
    <t>Olymel, S.E.C.: Transbo-ADS</t>
  </si>
  <si>
    <t>Olymel, S.E.C.: Transbo-Local</t>
  </si>
  <si>
    <t>Olymel, S.E.C.: Transbo-Longue distance</t>
  </si>
  <si>
    <t>Olympian Group Systems Inc</t>
  </si>
  <si>
    <t>OGSY</t>
  </si>
  <si>
    <t>MC684677</t>
  </si>
  <si>
    <t>Olympic Freightlines, Inc</t>
  </si>
  <si>
    <t>OYFI</t>
  </si>
  <si>
    <t>MC879644</t>
  </si>
  <si>
    <t>Omada Worldwide Expedite Inc.</t>
  </si>
  <si>
    <t>OWED</t>
  </si>
  <si>
    <t>MC609891</t>
  </si>
  <si>
    <t>Omega Trucking, Inc.</t>
  </si>
  <si>
    <t>OMGG</t>
  </si>
  <si>
    <t>MC348735</t>
  </si>
  <si>
    <t>On Time Logistics Inc.</t>
  </si>
  <si>
    <t>OTAO</t>
  </si>
  <si>
    <t>MC597208</t>
  </si>
  <si>
    <t>On Track Transportation, Inc.</t>
  </si>
  <si>
    <t>OTKT</t>
  </si>
  <si>
    <t>MC284677</t>
  </si>
  <si>
    <t>On-Dekk Transportation LLC: 2015 Fleet</t>
  </si>
  <si>
    <t>ODTP</t>
  </si>
  <si>
    <t>MC746810</t>
  </si>
  <si>
    <t>One World Logistics of America, Inc.</t>
  </si>
  <si>
    <t>ONEW</t>
  </si>
  <si>
    <t>MC361540</t>
  </si>
  <si>
    <t>Onfreight Logistics / Div. 1266192 Ontario Limited</t>
  </si>
  <si>
    <t>OTLO</t>
  </si>
  <si>
    <t>Online Transport, Inc.</t>
  </si>
  <si>
    <t>OLIN</t>
  </si>
  <si>
    <t>MC375768</t>
  </si>
  <si>
    <t>OnTrac / Express Messenger Systems, Inc.</t>
  </si>
  <si>
    <t>MC215572</t>
  </si>
  <si>
    <t>OpenRoad Trucking</t>
  </si>
  <si>
    <t>OTAT</t>
  </si>
  <si>
    <t>MC607839</t>
  </si>
  <si>
    <t>Orchard Supply Company LLC</t>
  </si>
  <si>
    <t>Orchard's Logistics LLC</t>
  </si>
  <si>
    <t>MC752317</t>
  </si>
  <si>
    <t>Orest Express Inc.</t>
  </si>
  <si>
    <t>OEXR</t>
  </si>
  <si>
    <t>MC693682</t>
  </si>
  <si>
    <t>Orgil Auto Inc: Auto Carrier</t>
  </si>
  <si>
    <t>XORG</t>
  </si>
  <si>
    <t>MC781032</t>
  </si>
  <si>
    <t>OS TVM Logistics Co.</t>
  </si>
  <si>
    <t>OSTG</t>
  </si>
  <si>
    <t>MC564999</t>
  </si>
  <si>
    <t>Osborn &amp; Son Trucking Co., Inc.</t>
  </si>
  <si>
    <t>OSBS</t>
  </si>
  <si>
    <t>MC022147</t>
  </si>
  <si>
    <t>Oscar Moving, Inc.</t>
  </si>
  <si>
    <t>MC442639</t>
  </si>
  <si>
    <t>Osterkamp Trucking, Inc.</t>
  </si>
  <si>
    <t>OSKP</t>
  </si>
  <si>
    <t>MC138732</t>
  </si>
  <si>
    <t>Otto Transfer, Inc.</t>
  </si>
  <si>
    <t>OTRF</t>
  </si>
  <si>
    <t>MC136796</t>
  </si>
  <si>
    <t>OutWest Express, LLC.</t>
  </si>
  <si>
    <t>OWEL</t>
  </si>
  <si>
    <t>MC714900</t>
  </si>
  <si>
    <t>Overbye Transport Inc.</t>
  </si>
  <si>
    <t>OVRB</t>
  </si>
  <si>
    <t>MC359148</t>
  </si>
  <si>
    <t>Overseas Financial Institure, Inc.</t>
  </si>
  <si>
    <t>OFII</t>
  </si>
  <si>
    <t>MC292354</t>
  </si>
  <si>
    <t>Ovie Logistics Express</t>
  </si>
  <si>
    <t>OVLE</t>
  </si>
  <si>
    <t>MC693295</t>
  </si>
  <si>
    <t>Owens &amp; Minor Distribution, Inc.</t>
  </si>
  <si>
    <t>OWMN</t>
  </si>
  <si>
    <t>MC160520</t>
  </si>
  <si>
    <t>Ozark Motor Lines, Inc.</t>
  </si>
  <si>
    <t>OZRK</t>
  </si>
  <si>
    <t>MC119837</t>
  </si>
  <si>
    <t>P &amp; S Transportation</t>
  </si>
  <si>
    <t>PSTO</t>
  </si>
  <si>
    <t>MC488790</t>
  </si>
  <si>
    <t>P and L Express, Inc.</t>
  </si>
  <si>
    <t>PLXB</t>
  </si>
  <si>
    <t>MC368792</t>
  </si>
  <si>
    <t>P&amp;B Transport</t>
  </si>
  <si>
    <t>PBTP</t>
  </si>
  <si>
    <t>MC217736</t>
  </si>
  <si>
    <t>P.E. Kramme, Inc.</t>
  </si>
  <si>
    <t>KRME</t>
  </si>
  <si>
    <t>MC119443</t>
  </si>
  <si>
    <t>Pacific 9 Transportation, Inc</t>
  </si>
  <si>
    <t>PCNT</t>
  </si>
  <si>
    <t>MC496960</t>
  </si>
  <si>
    <t>PACIFIC CASCADE TRUCKING, LLC: drayage</t>
  </si>
  <si>
    <t>PCIK</t>
  </si>
  <si>
    <t>MC637497</t>
  </si>
  <si>
    <t>Pacific Coast Distribution Ltd.</t>
  </si>
  <si>
    <t>PCDI</t>
  </si>
  <si>
    <t>MC423485</t>
  </si>
  <si>
    <t>Pacific Functional Fluids: Tanker Transport Service</t>
  </si>
  <si>
    <t>PFUF</t>
  </si>
  <si>
    <t>MC448563</t>
  </si>
  <si>
    <t>Pacific Logistics Corp Expedited: PLCX</t>
  </si>
  <si>
    <t>PFLP</t>
  </si>
  <si>
    <t>MC476388</t>
  </si>
  <si>
    <t>Pacific Ocean Transport Ltd: Hummer Freightways Ltd</t>
  </si>
  <si>
    <t>HFYL</t>
  </si>
  <si>
    <t>Pacific Ocean Transport Ltd: Pacific Ocean Transport</t>
  </si>
  <si>
    <t>PAOC</t>
  </si>
  <si>
    <t>Pacific Shipping &amp; Trucking Co., Inc.</t>
  </si>
  <si>
    <t>PFSG</t>
  </si>
  <si>
    <t>MC250281</t>
  </si>
  <si>
    <t>Pacific Western Transportation, Inc.</t>
  </si>
  <si>
    <t>PWTW</t>
  </si>
  <si>
    <t>MC545360</t>
  </si>
  <si>
    <t>Packard Transport, Inc.: Flatbed 8A</t>
  </si>
  <si>
    <t>PKDS</t>
  </si>
  <si>
    <t>MC220010</t>
  </si>
  <si>
    <t>Packard Transport, Inc.: Flatbed 8B</t>
  </si>
  <si>
    <t>Packard Transport, Inc.: Van</t>
  </si>
  <si>
    <t>PAF Transportation Inc.</t>
  </si>
  <si>
    <t>POAF</t>
  </si>
  <si>
    <t>MC148837</t>
  </si>
  <si>
    <t>Page Transport</t>
  </si>
  <si>
    <t>PGTS</t>
  </si>
  <si>
    <t>MC346403</t>
  </si>
  <si>
    <t>Palmer Moving and Storage: Local</t>
  </si>
  <si>
    <t>PMRQ</t>
  </si>
  <si>
    <t>MC406654</t>
  </si>
  <si>
    <t>Palmer Moving and Storage: NAVL</t>
  </si>
  <si>
    <t>NACL</t>
  </si>
  <si>
    <t>MC519314</t>
  </si>
  <si>
    <t>PAM Transport, Inc.</t>
  </si>
  <si>
    <t>MC150496</t>
  </si>
  <si>
    <t>Pambros Transport Corp.</t>
  </si>
  <si>
    <t>PAMB</t>
  </si>
  <si>
    <t>MC429117</t>
  </si>
  <si>
    <t>Pan American Express, Inc.</t>
  </si>
  <si>
    <t>PAXI</t>
  </si>
  <si>
    <t>MC202461</t>
  </si>
  <si>
    <t>Panther Premium Logistics, Inc.</t>
  </si>
  <si>
    <t>MC257496</t>
  </si>
  <si>
    <t>Panther Transport, Inc.</t>
  </si>
  <si>
    <t>PTSC</t>
  </si>
  <si>
    <t>MC189398</t>
  </si>
  <si>
    <t>Papa Joe Trucking, LLC</t>
  </si>
  <si>
    <t>PPJO</t>
  </si>
  <si>
    <t>MC368067</t>
  </si>
  <si>
    <t>Paper Transport Inc</t>
  </si>
  <si>
    <t>PAPT</t>
  </si>
  <si>
    <t>MC227188</t>
  </si>
  <si>
    <t>Papineau International, S.E.C.</t>
  </si>
  <si>
    <t>PAPI</t>
  </si>
  <si>
    <t>Parish Transport LLC</t>
  </si>
  <si>
    <t>PLH</t>
  </si>
  <si>
    <t>MC510422</t>
  </si>
  <si>
    <t>Park Transportation Inc.: Chicago</t>
  </si>
  <si>
    <t>PNBS</t>
  </si>
  <si>
    <t>MC556121</t>
  </si>
  <si>
    <t>Parke Cox Trucking Company, Inc.</t>
  </si>
  <si>
    <t>CXPT</t>
  </si>
  <si>
    <t>MC199145</t>
  </si>
  <si>
    <t>Parkway Transport, Inc.</t>
  </si>
  <si>
    <t>PDIT</t>
  </si>
  <si>
    <t>MC208278</t>
  </si>
  <si>
    <t>Parrish Dedicated Services LLC: Parrish Dedicated Services</t>
  </si>
  <si>
    <t>PDSN,PDSB</t>
  </si>
  <si>
    <t>MC446206</t>
  </si>
  <si>
    <t>Paschall Truck Lines, Inc.: PTL</t>
  </si>
  <si>
    <t>MC111485</t>
  </si>
  <si>
    <t>Pasquale Trucking Co., Inc.</t>
  </si>
  <si>
    <t>PASQ</t>
  </si>
  <si>
    <t>MC105656</t>
  </si>
  <si>
    <t>Pat Fruth, Inc.</t>
  </si>
  <si>
    <t>FPIT</t>
  </si>
  <si>
    <t>MC235831</t>
  </si>
  <si>
    <t>Pat Walker Trucking, LLC: 01</t>
  </si>
  <si>
    <t>WKPT</t>
  </si>
  <si>
    <t>MC328136</t>
  </si>
  <si>
    <t>Patriot Logistics, Inc.</t>
  </si>
  <si>
    <t>PATG</t>
  </si>
  <si>
    <t>Pattar Transport</t>
  </si>
  <si>
    <t>PRXM</t>
  </si>
  <si>
    <t>MC378130</t>
  </si>
  <si>
    <t>Paul Transportation, Inc. Flatbed</t>
  </si>
  <si>
    <t>PATT</t>
  </si>
  <si>
    <t>MC449259</t>
  </si>
  <si>
    <t>Paul's Hauling Ltd.</t>
  </si>
  <si>
    <t>PHLD</t>
  </si>
  <si>
    <t>Paxton Van Lines Inc.</t>
  </si>
  <si>
    <t>PAXT</t>
  </si>
  <si>
    <t>MC61481</t>
  </si>
  <si>
    <t>Payne Transportation L.P.</t>
  </si>
  <si>
    <t>PAYT</t>
  </si>
  <si>
    <t>MC369088</t>
  </si>
  <si>
    <t>Peace Transportation</t>
  </si>
  <si>
    <t>PTNN</t>
  </si>
  <si>
    <t>MC691107</t>
  </si>
  <si>
    <t>Peak Transportation Solutions, Inc.</t>
  </si>
  <si>
    <t>PTSO</t>
  </si>
  <si>
    <t>MC479012</t>
  </si>
  <si>
    <t>Pearl Global Logistics</t>
  </si>
  <si>
    <t>PEAI</t>
  </si>
  <si>
    <t>MC520308</t>
  </si>
  <si>
    <t>Pegasus Transportation</t>
  </si>
  <si>
    <t>PGSI</t>
  </si>
  <si>
    <t>MC200964</t>
  </si>
  <si>
    <t>PEI, Inc.</t>
  </si>
  <si>
    <t>PEIC</t>
  </si>
  <si>
    <t>MC320063</t>
  </si>
  <si>
    <t>Pella Corporation</t>
  </si>
  <si>
    <t>AA32</t>
  </si>
  <si>
    <t>MC530132</t>
  </si>
  <si>
    <t>Peninsula Truck Lines, Inc.</t>
  </si>
  <si>
    <t>PENS</t>
  </si>
  <si>
    <t>MC113165</t>
  </si>
  <si>
    <t>Peninsula Trucking, Inc.</t>
  </si>
  <si>
    <t>PUTB</t>
  </si>
  <si>
    <t>MC376063</t>
  </si>
  <si>
    <t>Penner International Inc.</t>
  </si>
  <si>
    <t>PTSL</t>
  </si>
  <si>
    <t>Penns Best, Inc.</t>
  </si>
  <si>
    <t>PENM</t>
  </si>
  <si>
    <t>MC156010</t>
  </si>
  <si>
    <t>Penske Logistics, LLC: Drayage</t>
  </si>
  <si>
    <t>Penske Logistics, LLC: Dry Van</t>
  </si>
  <si>
    <t>Penske Logistics, LLC: Flatbed</t>
  </si>
  <si>
    <t>Penske Logistics, LLC: Refrigerated</t>
  </si>
  <si>
    <t>PepsiCo Beverages Canada: Pepsi Canada East</t>
  </si>
  <si>
    <t>PBGT</t>
  </si>
  <si>
    <t>PepsiCo Beverages Canada: Pepsi Canada Ontario</t>
  </si>
  <si>
    <t>PepsiCo Beverages Canada: Pepsi Canada West</t>
  </si>
  <si>
    <t>Perdue Transportation, Inc.</t>
  </si>
  <si>
    <t>PDTS</t>
  </si>
  <si>
    <t>MC152363</t>
  </si>
  <si>
    <t>Performance Logistics 2010 Inc.</t>
  </si>
  <si>
    <t>PQGC</t>
  </si>
  <si>
    <t>MC726444</t>
  </si>
  <si>
    <t>Performance Team dba Gale Triangle</t>
  </si>
  <si>
    <t>GLTN</t>
  </si>
  <si>
    <t>MC262387</t>
  </si>
  <si>
    <t>Performance Transportation Corp</t>
  </si>
  <si>
    <t>PTBV</t>
  </si>
  <si>
    <t>MC324781</t>
  </si>
  <si>
    <t>Performance Trucking, Inc</t>
  </si>
  <si>
    <t>PFTK</t>
  </si>
  <si>
    <t>MC288576</t>
  </si>
  <si>
    <t>Perishable Distribution Solutions, Inc.</t>
  </si>
  <si>
    <t>PDSO</t>
  </si>
  <si>
    <t>MC391629</t>
  </si>
  <si>
    <t>Pethick Trucking Inc.</t>
  </si>
  <si>
    <t>PTKA</t>
  </si>
  <si>
    <t>MC316419</t>
  </si>
  <si>
    <t>PGT Trucking Inc.: Flatbed</t>
  </si>
  <si>
    <t>PGTT</t>
  </si>
  <si>
    <t>MC155377</t>
  </si>
  <si>
    <t>Phase II Transportation</t>
  </si>
  <si>
    <t>PHSN</t>
  </si>
  <si>
    <t>MC325249</t>
  </si>
  <si>
    <t>Phoenix PDQ, Inc.</t>
  </si>
  <si>
    <t>PPDQ</t>
  </si>
  <si>
    <t>MC200326</t>
  </si>
  <si>
    <t>PHX Transportation Freight Corporation</t>
  </si>
  <si>
    <t>PXTT</t>
  </si>
  <si>
    <t>MC923440</t>
  </si>
  <si>
    <t>Pier Enterprises Group Inc, dba DC Logistics: Dedicated contract</t>
  </si>
  <si>
    <t>MC579186</t>
  </si>
  <si>
    <t>Pier Enterprises Group Inc, dba DC Logistics: Expedited</t>
  </si>
  <si>
    <t>Pier Enterprises Group Inc, dba DC Logistics: LTL services</t>
  </si>
  <si>
    <t>Pier Enterprises Group Inc, dba DC Logistics: Truckload services</t>
  </si>
  <si>
    <t>Pike Distributors, Inc.</t>
  </si>
  <si>
    <t>PIKE</t>
  </si>
  <si>
    <t>MC202219</t>
  </si>
  <si>
    <t>Pinnacle Trucking LLC</t>
  </si>
  <si>
    <t>PNKA</t>
  </si>
  <si>
    <t>MC735300</t>
  </si>
  <si>
    <t>Pioneer Freight LTD</t>
  </si>
  <si>
    <t>PFRE</t>
  </si>
  <si>
    <t>MC514641</t>
  </si>
  <si>
    <t>Pioneer Transportation, Ltd.</t>
  </si>
  <si>
    <t>PNRI</t>
  </si>
  <si>
    <t>MC177264</t>
  </si>
  <si>
    <t>MC30136</t>
  </si>
  <si>
    <t>Pival International Inc. dba Pival Expedite: Expedite</t>
  </si>
  <si>
    <t>PVIQ</t>
  </si>
  <si>
    <t>MC706776</t>
  </si>
  <si>
    <t>Plains Dedicated Express LLC</t>
  </si>
  <si>
    <t>PDEP</t>
  </si>
  <si>
    <t>MC617417</t>
  </si>
  <si>
    <t>Plains Transportation</t>
  </si>
  <si>
    <t>PLAS</t>
  </si>
  <si>
    <t>MC268796</t>
  </si>
  <si>
    <t>Planchers Mercier: Planchers Mercier</t>
  </si>
  <si>
    <t>ND</t>
  </si>
  <si>
    <t>Plata Transport LLC</t>
  </si>
  <si>
    <t>MC771796</t>
  </si>
  <si>
    <t>Pleasant Trucking Inc.</t>
  </si>
  <si>
    <t>PLSA</t>
  </si>
  <si>
    <t>MC190202</t>
  </si>
  <si>
    <t>Pocono Coast West LLC</t>
  </si>
  <si>
    <t>PCWC</t>
  </si>
  <si>
    <t>MC749168</t>
  </si>
  <si>
    <t>Pohl Transportation, Inc.</t>
  </si>
  <si>
    <t>POHP</t>
  </si>
  <si>
    <t>MC202989</t>
  </si>
  <si>
    <t>Point Dedicated Services</t>
  </si>
  <si>
    <t>PLOG</t>
  </si>
  <si>
    <t>MC301198</t>
  </si>
  <si>
    <t>Polar Express Transportation LTD</t>
  </si>
  <si>
    <t>PESO</t>
  </si>
  <si>
    <t>Polaris Transport Carriers Inc.</t>
  </si>
  <si>
    <t>POLT</t>
  </si>
  <si>
    <t>MC305288</t>
  </si>
  <si>
    <t>Pole Star Transport Inc.</t>
  </si>
  <si>
    <t>PSTC</t>
  </si>
  <si>
    <t>MC199409</t>
  </si>
  <si>
    <t>Port Logistics Group</t>
  </si>
  <si>
    <t>PLGM</t>
  </si>
  <si>
    <t>MC154153</t>
  </si>
  <si>
    <t>Portage Transport Inc</t>
  </si>
  <si>
    <t>PORT</t>
  </si>
  <si>
    <t>Postal Fleet Services, Inc.</t>
  </si>
  <si>
    <t>PFSI</t>
  </si>
  <si>
    <t>MC443711</t>
  </si>
  <si>
    <t>Potato King Transportation</t>
  </si>
  <si>
    <t>PKTW</t>
  </si>
  <si>
    <t>MC335518</t>
  </si>
  <si>
    <t>Potter Transportation, Inc</t>
  </si>
  <si>
    <t>PTGB</t>
  </si>
  <si>
    <t>MC177315</t>
  </si>
  <si>
    <t>Pottle's Transportation, LLC</t>
  </si>
  <si>
    <t>PTES</t>
  </si>
  <si>
    <t>MC155236</t>
  </si>
  <si>
    <t>Powerline Freight Systems, Inc.</t>
  </si>
  <si>
    <t>PWFS</t>
  </si>
  <si>
    <t>MC228983</t>
  </si>
  <si>
    <t>Powers Livestock Transport Ltd</t>
  </si>
  <si>
    <t>PWLV</t>
  </si>
  <si>
    <t>MC234973</t>
  </si>
  <si>
    <t>Preferred Cartage Service Inc-</t>
  </si>
  <si>
    <t>PCGV</t>
  </si>
  <si>
    <t>MC309159</t>
  </si>
  <si>
    <t>Premier Logistics, LLC</t>
  </si>
  <si>
    <t>PMLO</t>
  </si>
  <si>
    <t>MC340338</t>
  </si>
  <si>
    <t>Premier Transportation, Inc</t>
  </si>
  <si>
    <t>PTAG</t>
  </si>
  <si>
    <t>MC196518</t>
  </si>
  <si>
    <t>Premium Transportation Logistics, LLC</t>
  </si>
  <si>
    <t>PMUC</t>
  </si>
  <si>
    <t>MC434695</t>
  </si>
  <si>
    <t>Pride Group Logistics Ltd: Pride Group Logistics</t>
  </si>
  <si>
    <t>PGPS</t>
  </si>
  <si>
    <t>MC891389</t>
  </si>
  <si>
    <t>Pride Transport Inc.</t>
  </si>
  <si>
    <t>PRQT</t>
  </si>
  <si>
    <t>MC150084</t>
  </si>
  <si>
    <t>Primary Transportation: Dedicated</t>
  </si>
  <si>
    <t>PMYT</t>
  </si>
  <si>
    <t>MC267158</t>
  </si>
  <si>
    <t>Primary Transportation: OTR</t>
  </si>
  <si>
    <t>Primary Transportation: Sand &amp; Bond</t>
  </si>
  <si>
    <t>Prime, Inc.: EcoFeather</t>
  </si>
  <si>
    <t>PRIJ</t>
  </si>
  <si>
    <t>Prime, Inc.: Flatbed</t>
  </si>
  <si>
    <t>Prime, Inc.: Reefer</t>
  </si>
  <si>
    <t>Prime, Inc.: Tanker</t>
  </si>
  <si>
    <t>Prins Trucking Inc.</t>
  </si>
  <si>
    <t>PRNT</t>
  </si>
  <si>
    <t>MC134210</t>
  </si>
  <si>
    <t>PRNN, Inc.</t>
  </si>
  <si>
    <t>PRNC</t>
  </si>
  <si>
    <t>MC714402</t>
  </si>
  <si>
    <t>Pro Transport &amp; Leasing</t>
  </si>
  <si>
    <t>PRLG</t>
  </si>
  <si>
    <t>MC180342</t>
  </si>
  <si>
    <t>Product Distribution Company</t>
  </si>
  <si>
    <t>PDCM</t>
  </si>
  <si>
    <t>MC230522</t>
  </si>
  <si>
    <t>Productive Transportation Carrier Corp.</t>
  </si>
  <si>
    <t>PDTC</t>
  </si>
  <si>
    <t>MC278056</t>
  </si>
  <si>
    <t>Professional Auto Transport, Inc.</t>
  </si>
  <si>
    <t>PUCO</t>
  </si>
  <si>
    <t>MC458828</t>
  </si>
  <si>
    <t>Proficient Auto Transport</t>
  </si>
  <si>
    <t>PUGH</t>
  </si>
  <si>
    <t>MC502865</t>
  </si>
  <si>
    <t>Progressive Logistics, Inc. DBA Giltner, Inc.</t>
  </si>
  <si>
    <t>PGLJ</t>
  </si>
  <si>
    <t>MC374966</t>
  </si>
  <si>
    <t>Progressive Transportation LLC</t>
  </si>
  <si>
    <t>PGVE</t>
  </si>
  <si>
    <t>MC649346</t>
  </si>
  <si>
    <t>Promax Transport Ltd</t>
  </si>
  <si>
    <t>PMXD</t>
  </si>
  <si>
    <t>Pronto Freight Ways Inc.</t>
  </si>
  <si>
    <t>PRFW</t>
  </si>
  <si>
    <t>MC311837</t>
  </si>
  <si>
    <t>ProQuality Transportation &amp; Logistics Services LLC</t>
  </si>
  <si>
    <t>PQTL</t>
  </si>
  <si>
    <t>MC825014</t>
  </si>
  <si>
    <t>Prosport Express Inc</t>
  </si>
  <si>
    <t>Proud 2 Haul, Inc</t>
  </si>
  <si>
    <t>PTHI</t>
  </si>
  <si>
    <t>MC616995</t>
  </si>
  <si>
    <t>PRT, Inc.</t>
  </si>
  <si>
    <t>RAYG</t>
  </si>
  <si>
    <t>MC478564</t>
  </si>
  <si>
    <t>PTG Logistics, LLC</t>
  </si>
  <si>
    <t>PTGO</t>
  </si>
  <si>
    <t>MC241243</t>
  </si>
  <si>
    <t>Purdy Brothers Trucking, LLC</t>
  </si>
  <si>
    <t>PUBO</t>
  </si>
  <si>
    <t>Pure Transportation LLC: Automotive Expedite Group - OEM</t>
  </si>
  <si>
    <t>PTAM</t>
  </si>
  <si>
    <t>MC805114</t>
  </si>
  <si>
    <t>Putnam Trucking, Inc.</t>
  </si>
  <si>
    <t>PUNM</t>
  </si>
  <si>
    <t>MC208801</t>
  </si>
  <si>
    <t>PV Transport, Inc.: Livehaul</t>
  </si>
  <si>
    <t>PVTI</t>
  </si>
  <si>
    <t>MC537444</t>
  </si>
  <si>
    <t>PV Transport, Inc.: Refrigerated</t>
  </si>
  <si>
    <t>PVH Corp</t>
  </si>
  <si>
    <t>MC314675</t>
  </si>
  <si>
    <t>Pyramid Trucking, Inc</t>
  </si>
  <si>
    <t>PYRH</t>
  </si>
  <si>
    <t>MC777092</t>
  </si>
  <si>
    <t>Q Carriers, Inc.</t>
  </si>
  <si>
    <t>QCAI</t>
  </si>
  <si>
    <t>MC154460</t>
  </si>
  <si>
    <t>Q-Line Trucking Ltd.</t>
  </si>
  <si>
    <t>QNGF</t>
  </si>
  <si>
    <t>MC286158</t>
  </si>
  <si>
    <t>QLS Logistic Services, LLC: dba US IntermodaLogistics</t>
  </si>
  <si>
    <t>USML</t>
  </si>
  <si>
    <t>MC836951</t>
  </si>
  <si>
    <t>Quality Trucking Inc</t>
  </si>
  <si>
    <t>MC305140</t>
  </si>
  <si>
    <t>Quest Global, Inc.</t>
  </si>
  <si>
    <t>QSTG</t>
  </si>
  <si>
    <t>MC339564</t>
  </si>
  <si>
    <t>Quest Liner, Inc.</t>
  </si>
  <si>
    <t>QLIC</t>
  </si>
  <si>
    <t>MC595010</t>
  </si>
  <si>
    <t>Quick-Way, Inc.</t>
  </si>
  <si>
    <t>QKWA</t>
  </si>
  <si>
    <t>MC244464</t>
  </si>
  <si>
    <t>Quickway: Carriers</t>
  </si>
  <si>
    <t>QKWI</t>
  </si>
  <si>
    <t>MC214749</t>
  </si>
  <si>
    <t>Quickway: Transportation</t>
  </si>
  <si>
    <t>QWYT</t>
  </si>
  <si>
    <t>MC341699</t>
  </si>
  <si>
    <t>Quik-X Transportation</t>
  </si>
  <si>
    <t>QXTI</t>
  </si>
  <si>
    <t>R &amp; M Transportation LLC</t>
  </si>
  <si>
    <t>RNMR</t>
  </si>
  <si>
    <t>MC393708</t>
  </si>
  <si>
    <t>R &amp; R Express Inc</t>
  </si>
  <si>
    <t>RRXM</t>
  </si>
  <si>
    <t>MC297351</t>
  </si>
  <si>
    <t>R C Moore Inc.</t>
  </si>
  <si>
    <t>MMRC</t>
  </si>
  <si>
    <t>MC143563</t>
  </si>
  <si>
    <t>R&amp;R Transporation, Inc.</t>
  </si>
  <si>
    <t>RNRJ</t>
  </si>
  <si>
    <t>MC204955</t>
  </si>
  <si>
    <t>R. E. West, Inc.</t>
  </si>
  <si>
    <t>WSRE</t>
  </si>
  <si>
    <t>MC211510</t>
  </si>
  <si>
    <t>R. O. Harrell, Inc.</t>
  </si>
  <si>
    <t>HRRL</t>
  </si>
  <si>
    <t>MC103826</t>
  </si>
  <si>
    <t>R.B. Humphreys, Inc.</t>
  </si>
  <si>
    <t>HUMR</t>
  </si>
  <si>
    <t>MC143396</t>
  </si>
  <si>
    <t>R.C. McEntire Trucking</t>
  </si>
  <si>
    <t>MEKQ</t>
  </si>
  <si>
    <t>MC198540</t>
  </si>
  <si>
    <t>R.E. Garrison Trucking, Inc.</t>
  </si>
  <si>
    <t>GRTV</t>
  </si>
  <si>
    <t>MC144168</t>
  </si>
  <si>
    <t>R.G.E. Truck Lines Inc.</t>
  </si>
  <si>
    <t>RGEB</t>
  </si>
  <si>
    <t>MC628016</t>
  </si>
  <si>
    <t>R.S. HARRIS TRANSPORT LTD: Long-haul</t>
  </si>
  <si>
    <t>HRSD</t>
  </si>
  <si>
    <t>R.S. HARRIS TRANSPORT LTD: Short-haul</t>
  </si>
  <si>
    <t>Rabbit River Transport II llc</t>
  </si>
  <si>
    <t>RBRV</t>
  </si>
  <si>
    <t>MC450055</t>
  </si>
  <si>
    <t>Raider Express, Inc.</t>
  </si>
  <si>
    <t>RDXO</t>
  </si>
  <si>
    <t>MC335302</t>
  </si>
  <si>
    <t>Railport Services Inc.</t>
  </si>
  <si>
    <t>RSIQ</t>
  </si>
  <si>
    <t>MC670621</t>
  </si>
  <si>
    <t>Rains and Sons Transportation, LLC</t>
  </si>
  <si>
    <t>RASY</t>
  </si>
  <si>
    <t>MC523665</t>
  </si>
  <si>
    <t>Raja Road Rail Services Ltd.</t>
  </si>
  <si>
    <t>RRSL</t>
  </si>
  <si>
    <t>Ralph Meyers Trucking Inc.</t>
  </si>
  <si>
    <t>MEYC</t>
  </si>
  <si>
    <t>MC152954</t>
  </si>
  <si>
    <t>Ralph Moyle, Inc.</t>
  </si>
  <si>
    <t>MOYL</t>
  </si>
  <si>
    <t>MC125519</t>
  </si>
  <si>
    <t>Ramar Transportation Inc.</t>
  </si>
  <si>
    <t>RRXI</t>
  </si>
  <si>
    <t>MC300208</t>
  </si>
  <si>
    <t>Ramler Trucking Inc.</t>
  </si>
  <si>
    <t>RMLT</t>
  </si>
  <si>
    <t>MC184266</t>
  </si>
  <si>
    <t>Rands Trucking Inc.</t>
  </si>
  <si>
    <t>RNTG</t>
  </si>
  <si>
    <t>MC167498</t>
  </si>
  <si>
    <t>Rapid Transport, Inc.</t>
  </si>
  <si>
    <t>RPTJ</t>
  </si>
  <si>
    <t>Raveill Trucking Inc</t>
  </si>
  <si>
    <t>RVLK</t>
  </si>
  <si>
    <t>MC429820</t>
  </si>
  <si>
    <t>Raven Transport</t>
  </si>
  <si>
    <t>RVTI</t>
  </si>
  <si>
    <t>MC188905</t>
  </si>
  <si>
    <t>Raymond Corcoran Trucking, Inc.</t>
  </si>
  <si>
    <t>CRMD</t>
  </si>
  <si>
    <t>MC188005</t>
  </si>
  <si>
    <t>RBX, Inc.: RBX INC</t>
  </si>
  <si>
    <t>RBEE</t>
  </si>
  <si>
    <t>MC173467</t>
  </si>
  <si>
    <t>RDF Logistics, Inc.</t>
  </si>
  <si>
    <t>RDFG</t>
  </si>
  <si>
    <t>MC415078</t>
  </si>
  <si>
    <t>RDK Transportation Co Inc: Deck Division</t>
  </si>
  <si>
    <t>RDKS</t>
  </si>
  <si>
    <t>RDS Transport, Inc.</t>
  </si>
  <si>
    <t>RDRT</t>
  </si>
  <si>
    <t>MC293063</t>
  </si>
  <si>
    <t>Ready Trucking, Inc.</t>
  </si>
  <si>
    <t>RDYT</t>
  </si>
  <si>
    <t>MC144688</t>
  </si>
  <si>
    <t>Red Line Freight Systems</t>
  </si>
  <si>
    <t>RFSD</t>
  </si>
  <si>
    <t>MC548616</t>
  </si>
  <si>
    <t>Red Line Inc</t>
  </si>
  <si>
    <t>RDLN</t>
  </si>
  <si>
    <t>MC118178</t>
  </si>
  <si>
    <t>Red Line Logistics Inc.</t>
  </si>
  <si>
    <t>RENL</t>
  </si>
  <si>
    <t>MC833017</t>
  </si>
  <si>
    <t>Red Rose Transport Service Inc.</t>
  </si>
  <si>
    <t>MC327296</t>
  </si>
  <si>
    <t>Redbone Trucking Inc</t>
  </si>
  <si>
    <t>RBKS</t>
  </si>
  <si>
    <t>MC560561</t>
  </si>
  <si>
    <t>Redding Lumber Transport, Inc.</t>
  </si>
  <si>
    <t>REDP</t>
  </si>
  <si>
    <t>MC146965</t>
  </si>
  <si>
    <t>Redford Truck Line</t>
  </si>
  <si>
    <t>REDT</t>
  </si>
  <si>
    <t>MC281768</t>
  </si>
  <si>
    <t>Reed Trucking Company: Fleet</t>
  </si>
  <si>
    <t>REET</t>
  </si>
  <si>
    <t>MC69052</t>
  </si>
  <si>
    <t>Refrigerated Food Express, Inc.</t>
  </si>
  <si>
    <t>REFE</t>
  </si>
  <si>
    <t>MC113843</t>
  </si>
  <si>
    <t>Refrigerated Transport Inc.</t>
  </si>
  <si>
    <t>REFR</t>
  </si>
  <si>
    <t>MC97998</t>
  </si>
  <si>
    <t>Regal Service Company</t>
  </si>
  <si>
    <t>RGLS</t>
  </si>
  <si>
    <t>MC155759</t>
  </si>
  <si>
    <t>Regency Transportation Inc.</t>
  </si>
  <si>
    <t>RGNT</t>
  </si>
  <si>
    <t>MC182157</t>
  </si>
  <si>
    <t>Reid Petroleum Corp.</t>
  </si>
  <si>
    <t>RDPM</t>
  </si>
  <si>
    <t>MC2666523</t>
  </si>
  <si>
    <t>Reliable Transportation Specialists Inc.</t>
  </si>
  <si>
    <t>RELT</t>
  </si>
  <si>
    <t>MC221046</t>
  </si>
  <si>
    <t>Reliance Intermodal, Inc</t>
  </si>
  <si>
    <t>RIMD</t>
  </si>
  <si>
    <t>MC670108</t>
  </si>
  <si>
    <t>Reliance Transportation, Inc.</t>
  </si>
  <si>
    <t>RLNT</t>
  </si>
  <si>
    <t>MC150261</t>
  </si>
  <si>
    <t>Remco Forwarding Ltd.</t>
  </si>
  <si>
    <t>RFOW</t>
  </si>
  <si>
    <t>Reo Distribution Services, Inc.: Dry Freight Division</t>
  </si>
  <si>
    <t>RE00</t>
  </si>
  <si>
    <t>MC214437</t>
  </si>
  <si>
    <t>Republic Express Inc</t>
  </si>
  <si>
    <t>REPE</t>
  </si>
  <si>
    <t>MC192647</t>
  </si>
  <si>
    <t>Revere Transportation Solutions, LLC: TL</t>
  </si>
  <si>
    <t>RVTQ</t>
  </si>
  <si>
    <t>MC945363</t>
  </si>
  <si>
    <t>RGL</t>
  </si>
  <si>
    <t>CKLO</t>
  </si>
  <si>
    <t>MC370979</t>
  </si>
  <si>
    <t>Richard L Hodges Inc</t>
  </si>
  <si>
    <t>HGRL</t>
  </si>
  <si>
    <t>MC141516</t>
  </si>
  <si>
    <t>Ricoh USA, Inc.</t>
  </si>
  <si>
    <t>Ride Hard Express, LLC</t>
  </si>
  <si>
    <t>MC0466927</t>
  </si>
  <si>
    <t>Rideway Transport Inc.</t>
  </si>
  <si>
    <t>RIDY</t>
  </si>
  <si>
    <t>MC267047</t>
  </si>
  <si>
    <t>Riedemann Transport Inc.</t>
  </si>
  <si>
    <t>RMXG</t>
  </si>
  <si>
    <t>MC249820</t>
  </si>
  <si>
    <t>Rig Logistics Inc</t>
  </si>
  <si>
    <t>RIGQ</t>
  </si>
  <si>
    <t>MC625538</t>
  </si>
  <si>
    <t>Risinger Bros Transfer</t>
  </si>
  <si>
    <t>RISN</t>
  </si>
  <si>
    <t>MC172510</t>
  </si>
  <si>
    <t>Ritter Transport, Inc.</t>
  </si>
  <si>
    <t>RTIN</t>
  </si>
  <si>
    <t>MC239770</t>
  </si>
  <si>
    <t>River Valley Express, LLC</t>
  </si>
  <si>
    <t>RVXR</t>
  </si>
  <si>
    <t>MC362448</t>
  </si>
  <si>
    <t>Riverside Transport, Inc</t>
  </si>
  <si>
    <t>RVTS</t>
  </si>
  <si>
    <t>MC270137</t>
  </si>
  <si>
    <t>RJ and Sons LLC</t>
  </si>
  <si>
    <t>MC646952</t>
  </si>
  <si>
    <t>RJR Transportation: Canadian Fleet</t>
  </si>
  <si>
    <t>RJRP</t>
  </si>
  <si>
    <t>MC243624</t>
  </si>
  <si>
    <t>RJR Transportation: US Fleet</t>
  </si>
  <si>
    <t>RJRT</t>
  </si>
  <si>
    <t>MC290090</t>
  </si>
  <si>
    <t>RJW Transport, Inc.</t>
  </si>
  <si>
    <t>RJW1</t>
  </si>
  <si>
    <t>MC239218</t>
  </si>
  <si>
    <t>RM Trucking, Inc.</t>
  </si>
  <si>
    <t>RMNG</t>
  </si>
  <si>
    <t>MC175486</t>
  </si>
  <si>
    <t>RML Transport LLC</t>
  </si>
  <si>
    <t>RMLI</t>
  </si>
  <si>
    <t>MC474784</t>
  </si>
  <si>
    <t>ROA Delivery Services LLC</t>
  </si>
  <si>
    <t>MC432087</t>
  </si>
  <si>
    <t>Road Scholar Transport</t>
  </si>
  <si>
    <t>RSCA</t>
  </si>
  <si>
    <t>MC212331</t>
  </si>
  <si>
    <t>RoadOne IntermodaLogistics: Central</t>
  </si>
  <si>
    <t>RLUM</t>
  </si>
  <si>
    <t>MC810939</t>
  </si>
  <si>
    <t>RoadOne IntermodaLogistics: East</t>
  </si>
  <si>
    <t>RoadOne IntermodaLogistics: New England</t>
  </si>
  <si>
    <t>RKNE</t>
  </si>
  <si>
    <t>RoadOne IntermodaLogistics: South</t>
  </si>
  <si>
    <t>RDKA</t>
  </si>
  <si>
    <t>RoadOne IntermodaLogistics: West</t>
  </si>
  <si>
    <t>RLUP</t>
  </si>
  <si>
    <t>Roadrunner Intermodal Services LLC</t>
  </si>
  <si>
    <t>RRIS</t>
  </si>
  <si>
    <t>MC294830</t>
  </si>
  <si>
    <t>RoadStar Carrier Inc.: Continental Trucking Inc.</t>
  </si>
  <si>
    <t>CQTK</t>
  </si>
  <si>
    <t>RoadStar Carrier Inc.: EMCEA Transport</t>
  </si>
  <si>
    <t>EMCV</t>
  </si>
  <si>
    <t>RoadStar Carrier Inc.: RoadStar Trucking</t>
  </si>
  <si>
    <t>RDSC</t>
  </si>
  <si>
    <t>Roadstar LLC</t>
  </si>
  <si>
    <t>ROFE</t>
  </si>
  <si>
    <t>MC567708</t>
  </si>
  <si>
    <t>Roadway Transport Corp</t>
  </si>
  <si>
    <t>RWYR</t>
  </si>
  <si>
    <t>MC461905</t>
  </si>
  <si>
    <t>Robert Bearden, Inc.</t>
  </si>
  <si>
    <t>BNRP</t>
  </si>
  <si>
    <t>MC322813</t>
  </si>
  <si>
    <t>Robert Heath Trucking, Inc.</t>
  </si>
  <si>
    <t>HETH</t>
  </si>
  <si>
    <t>MC118089</t>
  </si>
  <si>
    <t>Robin Hood Container Express, Inc.</t>
  </si>
  <si>
    <t>RBHC</t>
  </si>
  <si>
    <t>MC264049</t>
  </si>
  <si>
    <t>Robin International Transport</t>
  </si>
  <si>
    <t>RITI</t>
  </si>
  <si>
    <t>MC224245</t>
  </si>
  <si>
    <t>Robinson + Sons Trucking, Inc.</t>
  </si>
  <si>
    <t>RSTJ</t>
  </si>
  <si>
    <t>MC170218</t>
  </si>
  <si>
    <t>Rocha Transportation</t>
  </si>
  <si>
    <t>RCEL</t>
  </si>
  <si>
    <t>MC234071</t>
  </si>
  <si>
    <t>Rock Transfer &amp; Storage, Inc.: Local</t>
  </si>
  <si>
    <t>RCKS</t>
  </si>
  <si>
    <t>MC222303</t>
  </si>
  <si>
    <t>Rock Transfer &amp; Storage, Inc.: OTR</t>
  </si>
  <si>
    <t>Rocking C Truck Lines Inc</t>
  </si>
  <si>
    <t>RCTD</t>
  </si>
  <si>
    <t>MC183306</t>
  </si>
  <si>
    <t>Rockport Carrier Co. Inc.: Company Equipment</t>
  </si>
  <si>
    <t>RPCC</t>
  </si>
  <si>
    <t>MC333798</t>
  </si>
  <si>
    <t>Rodriguez Expedited Services</t>
  </si>
  <si>
    <t>RFS</t>
  </si>
  <si>
    <t>MC290964</t>
  </si>
  <si>
    <t>Roehl Transport, Inc.</t>
  </si>
  <si>
    <t>MC127651</t>
  </si>
  <si>
    <t>Roll On Transportation, Inc.</t>
  </si>
  <si>
    <t>RONP</t>
  </si>
  <si>
    <t>MC690467</t>
  </si>
  <si>
    <t>Roly's Trucking Incorporated</t>
  </si>
  <si>
    <t>ROLY</t>
  </si>
  <si>
    <t>MC379952</t>
  </si>
  <si>
    <t>Romeo Expeditors, Inc.</t>
  </si>
  <si>
    <t>RMEO</t>
  </si>
  <si>
    <t>MC160236</t>
  </si>
  <si>
    <t>Ron &amp; Sons Trucking, Inc.</t>
  </si>
  <si>
    <t>RNAS</t>
  </si>
  <si>
    <t>MC313450</t>
  </si>
  <si>
    <t>Rona Transport, LLC</t>
  </si>
  <si>
    <t>RONR</t>
  </si>
  <si>
    <t>MC824077</t>
  </si>
  <si>
    <t>Rose Marie Incorporated DBA RMI</t>
  </si>
  <si>
    <t>RSMC</t>
  </si>
  <si>
    <t>MC374324</t>
  </si>
  <si>
    <t>Rosedale Transport Inc</t>
  </si>
  <si>
    <t>RSDL</t>
  </si>
  <si>
    <t>MC234242</t>
  </si>
  <si>
    <t>Roseland Trucking Inc</t>
  </si>
  <si>
    <t>RSLA</t>
  </si>
  <si>
    <t>MC155751</t>
  </si>
  <si>
    <t>Ross Express, Inc.</t>
  </si>
  <si>
    <t>RXIC</t>
  </si>
  <si>
    <t>MC139115</t>
  </si>
  <si>
    <t>Ross Transportation Services, Inc.</t>
  </si>
  <si>
    <t>MC187846</t>
  </si>
  <si>
    <t>Rounding Third, LLC</t>
  </si>
  <si>
    <t>Rowland Transportation Inc.</t>
  </si>
  <si>
    <t>ROWN</t>
  </si>
  <si>
    <t>MC249439</t>
  </si>
  <si>
    <t>Royal Express, Inc.</t>
  </si>
  <si>
    <t>RYXP</t>
  </si>
  <si>
    <t>MC366258</t>
  </si>
  <si>
    <t>Royal Freight, LP: RFLP</t>
  </si>
  <si>
    <t>RFLP</t>
  </si>
  <si>
    <t>MC409758</t>
  </si>
  <si>
    <t>Royal Logistics, Inc.</t>
  </si>
  <si>
    <t>ROYF</t>
  </si>
  <si>
    <t>MC388153</t>
  </si>
  <si>
    <t>Royal Trucking Company</t>
  </si>
  <si>
    <t>RYTO</t>
  </si>
  <si>
    <t>MC147747</t>
  </si>
  <si>
    <t>RPM Harbor Services, Inc.*</t>
  </si>
  <si>
    <t>RQPM</t>
  </si>
  <si>
    <t>MC399313</t>
  </si>
  <si>
    <t>RPM Transportation, Inc.</t>
  </si>
  <si>
    <t>RPMI</t>
  </si>
  <si>
    <t>MC190228</t>
  </si>
  <si>
    <t>RR Plett Trucking LTD</t>
  </si>
  <si>
    <t>PTRR</t>
  </si>
  <si>
    <t>RRR Transportation Co.</t>
  </si>
  <si>
    <t>RRRP</t>
  </si>
  <si>
    <t>MC485962</t>
  </si>
  <si>
    <t>RSP Express Inc</t>
  </si>
  <si>
    <t>RSPS</t>
  </si>
  <si>
    <t>MC585895</t>
  </si>
  <si>
    <t>RSVP International LLC</t>
  </si>
  <si>
    <t>MC619188</t>
  </si>
  <si>
    <t>RT&amp;T Enterprises Inc</t>
  </si>
  <si>
    <t>RTTE</t>
  </si>
  <si>
    <t>MC295830</t>
  </si>
  <si>
    <t>Ruan Transportation Management Systems, Inc.: Ruan Transport Corporation</t>
  </si>
  <si>
    <t>RLCF,RUAN</t>
  </si>
  <si>
    <t>MC107496</t>
  </si>
  <si>
    <t>Ruby Truck Line Inc.</t>
  </si>
  <si>
    <t>RBYT</t>
  </si>
  <si>
    <t>MC323825</t>
  </si>
  <si>
    <t>Rush Expediting</t>
  </si>
  <si>
    <t>REFV</t>
  </si>
  <si>
    <t>MC461323</t>
  </si>
  <si>
    <t>Rush Trucking Corporation</t>
  </si>
  <si>
    <t>RSHQ</t>
  </si>
  <si>
    <t>MC201657</t>
  </si>
  <si>
    <t>Russell Transport Inc.</t>
  </si>
  <si>
    <t>RULT</t>
  </si>
  <si>
    <t>MC262231</t>
  </si>
  <si>
    <t>RWH Trucking</t>
  </si>
  <si>
    <t>MMLK</t>
  </si>
  <si>
    <t>MC870820</t>
  </si>
  <si>
    <t>RWI Transportation LLC</t>
  </si>
  <si>
    <t>RWIS</t>
  </si>
  <si>
    <t>MC117786</t>
  </si>
  <si>
    <t>Ryan Logistics, Inc</t>
  </si>
  <si>
    <t>RYNH</t>
  </si>
  <si>
    <t>MC382043</t>
  </si>
  <si>
    <t>Ryder Dedicated Transportation Solutions (DTS)</t>
  </si>
  <si>
    <t>S &amp; E Transport LLC</t>
  </si>
  <si>
    <t>MC707574</t>
  </si>
  <si>
    <t>S &amp; H Trucking, Inc: S &amp; H Trucking</t>
  </si>
  <si>
    <t>SHUK</t>
  </si>
  <si>
    <t>MC342297</t>
  </si>
  <si>
    <t>S &amp; M Transport Incorporated</t>
  </si>
  <si>
    <t>SMAQ</t>
  </si>
  <si>
    <t>MC263661</t>
  </si>
  <si>
    <t>S &amp; S Transport, Inc</t>
  </si>
  <si>
    <t>SSTE</t>
  </si>
  <si>
    <t>MC153648</t>
  </si>
  <si>
    <t>S and M Transportation Inc.</t>
  </si>
  <si>
    <t>SMWH</t>
  </si>
  <si>
    <t>MC261707</t>
  </si>
  <si>
    <t>S&amp;H Express</t>
  </si>
  <si>
    <t>SXXP</t>
  </si>
  <si>
    <t>MC210679</t>
  </si>
  <si>
    <t>S&amp;J Transportation Services, Inc.</t>
  </si>
  <si>
    <t>SJTS</t>
  </si>
  <si>
    <t>MC261188</t>
  </si>
  <si>
    <t>S&amp;M Moving Systems: Interstate Fleet - Household Goods</t>
  </si>
  <si>
    <t>S&amp;M Moving Systems: Interstate Fleet - Special Products</t>
  </si>
  <si>
    <t>S.E.I Trucking</t>
  </si>
  <si>
    <t>MC668900</t>
  </si>
  <si>
    <t>S.E.I. Trucking</t>
  </si>
  <si>
    <t>S.L.S. Delivery Service Inc</t>
  </si>
  <si>
    <t>SSDL</t>
  </si>
  <si>
    <t>MC838455</t>
  </si>
  <si>
    <t>S.S. Skikos, Inc.: S.S Skikos Enterprises</t>
  </si>
  <si>
    <t>SSEM</t>
  </si>
  <si>
    <t>MC718541</t>
  </si>
  <si>
    <t>S.S. Skikos, Inc.: S.S. Skikos Trucking, Inc.</t>
  </si>
  <si>
    <t>SKOG</t>
  </si>
  <si>
    <t>MC867907</t>
  </si>
  <si>
    <t>Sabre Logistics LLC</t>
  </si>
  <si>
    <t>SBGS</t>
  </si>
  <si>
    <t>MC917853</t>
  </si>
  <si>
    <t>Saddle Creek Transportation Inc.</t>
  </si>
  <si>
    <t>SDLC</t>
  </si>
  <si>
    <t>MC470192</t>
  </si>
  <si>
    <t>Sadler Brothers Trucking and Leasing Co., Inc.</t>
  </si>
  <si>
    <t>SBTL</t>
  </si>
  <si>
    <t>MC215314</t>
  </si>
  <si>
    <t>Safeco Trucklines Ltd</t>
  </si>
  <si>
    <t>SFEO</t>
  </si>
  <si>
    <t>Safeway, Inc.: Carr-Gottstein Foods Co.</t>
  </si>
  <si>
    <t>SFEY</t>
  </si>
  <si>
    <t>MC685558</t>
  </si>
  <si>
    <t>Safeway, Inc.: Randall's Food &amp; Drugs, LP</t>
  </si>
  <si>
    <t>MC685599</t>
  </si>
  <si>
    <t>Safeway, Inc.: Safeway Trucking Inc.</t>
  </si>
  <si>
    <t>MC197107</t>
  </si>
  <si>
    <t>Safeway, Inc.: Safeway, Inc.</t>
  </si>
  <si>
    <t>MC684448</t>
  </si>
  <si>
    <t>Safeway, Inc.: The Vons Companies, Inc.</t>
  </si>
  <si>
    <t>MC685638</t>
  </si>
  <si>
    <t>Sagamore Express, Inc.</t>
  </si>
  <si>
    <t>SAGE</t>
  </si>
  <si>
    <t>MC220977</t>
  </si>
  <si>
    <t>Saia Motor Freight Line, LLC</t>
  </si>
  <si>
    <t>MC087511</t>
  </si>
  <si>
    <t>Sajacks Transport, Inc</t>
  </si>
  <si>
    <t>Salanger Trucking, LLC</t>
  </si>
  <si>
    <t>Salson Logistics</t>
  </si>
  <si>
    <t>SLOJ</t>
  </si>
  <si>
    <t>MC327035</t>
  </si>
  <si>
    <t>Same Day Guaranteed Deliveries - Corp: TL, LTL</t>
  </si>
  <si>
    <t>MC895254</t>
  </si>
  <si>
    <t>Sapphire Express, Inc.</t>
  </si>
  <si>
    <t>Sarabha Transport Ltd</t>
  </si>
  <si>
    <t>SBHT</t>
  </si>
  <si>
    <t>MC189219</t>
  </si>
  <si>
    <t>Sartin Trucking, LLC</t>
  </si>
  <si>
    <t>SAV Express Inc.</t>
  </si>
  <si>
    <t>SAVT</t>
  </si>
  <si>
    <t>MC334891</t>
  </si>
  <si>
    <t>Say Cargo Express, Inc</t>
  </si>
  <si>
    <t>SYGE</t>
  </si>
  <si>
    <t>MC189778</t>
  </si>
  <si>
    <t>Scales Express, Inc.</t>
  </si>
  <si>
    <t>SQES</t>
  </si>
  <si>
    <t>MC286906</t>
  </si>
  <si>
    <t>Scenic Boundaries Transportation Inc.</t>
  </si>
  <si>
    <t>SBTI</t>
  </si>
  <si>
    <t>MC157035</t>
  </si>
  <si>
    <t>Scheiderer Transport Inc.</t>
  </si>
  <si>
    <t>SIDE</t>
  </si>
  <si>
    <t>MC216545</t>
  </si>
  <si>
    <t>Schilli Corporation: Bulk Transport Company</t>
  </si>
  <si>
    <t>BTOM</t>
  </si>
  <si>
    <t>MC193954</t>
  </si>
  <si>
    <t>Schilli Corporation: Contractors Cartage Incorporated</t>
  </si>
  <si>
    <t>CGTH</t>
  </si>
  <si>
    <t>MC193952</t>
  </si>
  <si>
    <t>Schilli Corporation: Material Delvery Service</t>
  </si>
  <si>
    <t>MADW</t>
  </si>
  <si>
    <t>MC146719</t>
  </si>
  <si>
    <t>Schilli Specialized Flatbed Division, Inc.</t>
  </si>
  <si>
    <t>SSFW</t>
  </si>
  <si>
    <t>MC188769</t>
  </si>
  <si>
    <t>Schilli Specialized of Texas, Inc.</t>
  </si>
  <si>
    <t>SSOL</t>
  </si>
  <si>
    <t>MC273504</t>
  </si>
  <si>
    <t>Schilli Specialized Van Division, Inc.</t>
  </si>
  <si>
    <t>SSIV</t>
  </si>
  <si>
    <t>MC188697</t>
  </si>
  <si>
    <t>Schneider: Schneider Bulk Division</t>
  </si>
  <si>
    <t>SNBO</t>
  </si>
  <si>
    <t>MC143594</t>
  </si>
  <si>
    <t>Schneider: Schneider Truckload Division</t>
  </si>
  <si>
    <t>Schuster Company</t>
  </si>
  <si>
    <t>SHGR</t>
  </si>
  <si>
    <t>MC140125</t>
  </si>
  <si>
    <t>Scotlynn Commodities Inc.</t>
  </si>
  <si>
    <t>SLYD</t>
  </si>
  <si>
    <t>SDG Transportation, Inc.</t>
  </si>
  <si>
    <t>SGXA</t>
  </si>
  <si>
    <t>MC165763</t>
  </si>
  <si>
    <t>SDR Trucking, LLC: SDR Trucking</t>
  </si>
  <si>
    <t>SDAI</t>
  </si>
  <si>
    <t>MC529139</t>
  </si>
  <si>
    <t>SE Freight Systems Inc.</t>
  </si>
  <si>
    <t>SEFY</t>
  </si>
  <si>
    <t>Seaboard Transport</t>
  </si>
  <si>
    <t>SBDN</t>
  </si>
  <si>
    <t>MC368318</t>
  </si>
  <si>
    <t>Seaside Refrigerated Transport, Inc.</t>
  </si>
  <si>
    <t>SESD</t>
  </si>
  <si>
    <t>MC430790</t>
  </si>
  <si>
    <t>Secure Logistics LLC</t>
  </si>
  <si>
    <t>SCRC</t>
  </si>
  <si>
    <t>MC729763</t>
  </si>
  <si>
    <t>Security Transport, Inc.</t>
  </si>
  <si>
    <t>SCYP</t>
  </si>
  <si>
    <t>MC795293</t>
  </si>
  <si>
    <t>Selland Auto Transport</t>
  </si>
  <si>
    <t>SELD</t>
  </si>
  <si>
    <t>MC134614</t>
  </si>
  <si>
    <t>Semo Express LLC</t>
  </si>
  <si>
    <t>SMOP</t>
  </si>
  <si>
    <t>MC607831</t>
  </si>
  <si>
    <t>Semo Produce Inc.</t>
  </si>
  <si>
    <t>MC729362</t>
  </si>
  <si>
    <t>Sensenig Trucking, Inc.</t>
  </si>
  <si>
    <t>SSEG</t>
  </si>
  <si>
    <t>MC316955</t>
  </si>
  <si>
    <t>Sentinel Transportation, LLC: CO Fleet</t>
  </si>
  <si>
    <t>SETD</t>
  </si>
  <si>
    <t>MC294124</t>
  </si>
  <si>
    <t>Sentinel Transportation, LLC: LO</t>
  </si>
  <si>
    <t>Sentinel Transportation, LLC: OTR</t>
  </si>
  <si>
    <t>Sentinel Transportation, LLC: Services</t>
  </si>
  <si>
    <t>Serpro Logistics</t>
  </si>
  <si>
    <t>SPOI</t>
  </si>
  <si>
    <t>MC222424</t>
  </si>
  <si>
    <t>Service Bros. Transport</t>
  </si>
  <si>
    <t>SBBF</t>
  </si>
  <si>
    <t>MC727077</t>
  </si>
  <si>
    <t>Service First Distribution, LLLP</t>
  </si>
  <si>
    <t>SFDN</t>
  </si>
  <si>
    <t>MC544973</t>
  </si>
  <si>
    <t>Service One Transportation, Inc.</t>
  </si>
  <si>
    <t>SVOT</t>
  </si>
  <si>
    <t>MC321804</t>
  </si>
  <si>
    <t>Service Transportation, Inc</t>
  </si>
  <si>
    <t>SVTK</t>
  </si>
  <si>
    <t>MC561814</t>
  </si>
  <si>
    <t>Service Trucking, Inc.</t>
  </si>
  <si>
    <t>SREI</t>
  </si>
  <si>
    <t>MC201163</t>
  </si>
  <si>
    <t>Seward Motor Freight, Inc.: SMF</t>
  </si>
  <si>
    <t>SEMF</t>
  </si>
  <si>
    <t>MC085718</t>
  </si>
  <si>
    <t>Sewell Motor Express</t>
  </si>
  <si>
    <t>SEWE</t>
  </si>
  <si>
    <t>MC057992</t>
  </si>
  <si>
    <t>Sexton Farms LLC</t>
  </si>
  <si>
    <t>SXTC</t>
  </si>
  <si>
    <t>MC507281</t>
  </si>
  <si>
    <t>SFC Global Supply Chain, Inc: Private Fleet</t>
  </si>
  <si>
    <t>Sharkey Transportation, Inc.: Dry Van</t>
  </si>
  <si>
    <t>SHKE,SHKC,SSHH</t>
  </si>
  <si>
    <t>MC135598</t>
  </si>
  <si>
    <t>Sharkey Transportation, Inc.: Flatbed</t>
  </si>
  <si>
    <t>Sharkey Transportation, Inc.: Metro</t>
  </si>
  <si>
    <t>Sharkey Transportation, Inc.: Temperature Controlled</t>
  </si>
  <si>
    <t>Sharp Transport, Inc.</t>
  </si>
  <si>
    <t>SHPK</t>
  </si>
  <si>
    <t>MC148130</t>
  </si>
  <si>
    <t>Sharp Transportation Inc.</t>
  </si>
  <si>
    <t>SAPI</t>
  </si>
  <si>
    <t>MC225968</t>
  </si>
  <si>
    <t>Sharp Transportation Systems Inc.</t>
  </si>
  <si>
    <t>SHQY</t>
  </si>
  <si>
    <t>Shaw Transport, Inc.: SCPF</t>
  </si>
  <si>
    <t>SCPF</t>
  </si>
  <si>
    <t>MC188556</t>
  </si>
  <si>
    <t>Shaw Transport, Inc.: SHWP</t>
  </si>
  <si>
    <t>SHWP</t>
  </si>
  <si>
    <t>Shawnee Express, Inc.: Boat Hauling</t>
  </si>
  <si>
    <t>SNEE</t>
  </si>
  <si>
    <t>MC160321</t>
  </si>
  <si>
    <t>Shawnee Express, Inc.: General Hauling</t>
  </si>
  <si>
    <t>Sheehy Mail Contractors, Inc.</t>
  </si>
  <si>
    <t>SHYM</t>
  </si>
  <si>
    <t>MC165275</t>
  </si>
  <si>
    <t>Shefland Trucking Service, Inc</t>
  </si>
  <si>
    <t>SFKR</t>
  </si>
  <si>
    <t>MC126918</t>
  </si>
  <si>
    <t>Shelton Trucking Service Inc.</t>
  </si>
  <si>
    <t>SHEI</t>
  </si>
  <si>
    <t>MC124887</t>
  </si>
  <si>
    <t>Sherman Bros. Heavy Trucking: Flatbed Linehaul</t>
  </si>
  <si>
    <t>SHMB</t>
  </si>
  <si>
    <t>MC077061</t>
  </si>
  <si>
    <t>Sherman Bros. Heavy Trucking: Glass</t>
  </si>
  <si>
    <t>Sherman Bros. Heavy Trucking: Gross Lessors</t>
  </si>
  <si>
    <t>Sherman Bros. Heavy Trucking: Lowboy</t>
  </si>
  <si>
    <t>Sherman Bros. Heavy Trucking: Multi-Axle</t>
  </si>
  <si>
    <t>Sherman Bros. Heavy Trucking: Multi-Axle Gross Leasors</t>
  </si>
  <si>
    <t>Sherwin-Williams Automotive Finishes</t>
  </si>
  <si>
    <t>ShipEx, Inc.</t>
  </si>
  <si>
    <t>SPXQ</t>
  </si>
  <si>
    <t>MC596778</t>
  </si>
  <si>
    <t>Shippers C&amp;D</t>
  </si>
  <si>
    <t>SPEY</t>
  </si>
  <si>
    <t>MC834667</t>
  </si>
  <si>
    <t>Shoemaker Logistics Inc.</t>
  </si>
  <si>
    <t>MC765675</t>
  </si>
  <si>
    <t>Shoreline Transportation of Alabama, LLC</t>
  </si>
  <si>
    <t>SRLL</t>
  </si>
  <si>
    <t>MC558003</t>
  </si>
  <si>
    <t>Showtime Entertainment Transport LLC</t>
  </si>
  <si>
    <t>SWHA</t>
  </si>
  <si>
    <t>MC594063</t>
  </si>
  <si>
    <t>SHR Transport, Inc.</t>
  </si>
  <si>
    <t>SHRS</t>
  </si>
  <si>
    <t>MC762854</t>
  </si>
  <si>
    <t>Sierra Mountain Express, Inc.</t>
  </si>
  <si>
    <t>SMUE</t>
  </si>
  <si>
    <t>MC207234</t>
  </si>
  <si>
    <t>Silence Lines LLC</t>
  </si>
  <si>
    <t>SEZC</t>
  </si>
  <si>
    <t>MC689627</t>
  </si>
  <si>
    <t>Silica Transport, Inc.</t>
  </si>
  <si>
    <t>SITP</t>
  </si>
  <si>
    <t>MC134637</t>
  </si>
  <si>
    <t>Simconnect Freight Management</t>
  </si>
  <si>
    <t>SFMN</t>
  </si>
  <si>
    <t>Simfreight Solutions</t>
  </si>
  <si>
    <t>TOET</t>
  </si>
  <si>
    <t>Simon Transport, LLC</t>
  </si>
  <si>
    <t>SIMN</t>
  </si>
  <si>
    <t>MC500603</t>
  </si>
  <si>
    <t>Simplex Leasing, Inc.: SMXH</t>
  </si>
  <si>
    <t>SMXH</t>
  </si>
  <si>
    <t>MC643198</t>
  </si>
  <si>
    <t>Simrut Trucking Inc</t>
  </si>
  <si>
    <t>SKNJ</t>
  </si>
  <si>
    <t>MC610212</t>
  </si>
  <si>
    <t>Sindall Transport Inc.</t>
  </si>
  <si>
    <t>SIDM</t>
  </si>
  <si>
    <t>MC115078</t>
  </si>
  <si>
    <t>singh express inc: dray</t>
  </si>
  <si>
    <t>SGHE</t>
  </si>
  <si>
    <t>MC853270</t>
  </si>
  <si>
    <t>Sk-Mk Inc</t>
  </si>
  <si>
    <t>SKMK</t>
  </si>
  <si>
    <t>MC602555</t>
  </si>
  <si>
    <t>Skelton Truck Lines Ltd.</t>
  </si>
  <si>
    <t>SKON</t>
  </si>
  <si>
    <t>MC185997</t>
  </si>
  <si>
    <t>Skinner Transfer Corp</t>
  </si>
  <si>
    <t>SITC</t>
  </si>
  <si>
    <t>MC109376</t>
  </si>
  <si>
    <t>Sky Transportation Services, Inc.</t>
  </si>
  <si>
    <t>SKHP</t>
  </si>
  <si>
    <t>MC398064</t>
  </si>
  <si>
    <t>Skyline Transportation, Inc.</t>
  </si>
  <si>
    <t>SKYT</t>
  </si>
  <si>
    <t>MC099208</t>
  </si>
  <si>
    <t>Slay Transportation Co., Inc.</t>
  </si>
  <si>
    <t>SLAY</t>
  </si>
  <si>
    <t>MC113325</t>
  </si>
  <si>
    <t>SLH Transport Inc.: 100</t>
  </si>
  <si>
    <t>MC222741</t>
  </si>
  <si>
    <t>Slingshot Transportation, Inc</t>
  </si>
  <si>
    <t>SGST</t>
  </si>
  <si>
    <t>MC204737</t>
  </si>
  <si>
    <t>SLT Express Way Inc. DBA Secured Land Transport</t>
  </si>
  <si>
    <t>SLTW</t>
  </si>
  <si>
    <t>MC414967</t>
  </si>
  <si>
    <t>SM Freight Inc.: SM Freight</t>
  </si>
  <si>
    <t>SMFH</t>
  </si>
  <si>
    <t>MC278571</t>
  </si>
  <si>
    <t>Smart Choice Transport Ltd.: Smart Choice Transport</t>
  </si>
  <si>
    <t>SMAR</t>
  </si>
  <si>
    <t>Smartway Transport</t>
  </si>
  <si>
    <t>SMWR</t>
  </si>
  <si>
    <t>MC781143</t>
  </si>
  <si>
    <t>Smartway Trucking Inc.: Dry Van Division</t>
  </si>
  <si>
    <t>SWAG</t>
  </si>
  <si>
    <t>MC848723</t>
  </si>
  <si>
    <t>Smith Transport</t>
  </si>
  <si>
    <t>SMTA</t>
  </si>
  <si>
    <t>MC156598</t>
  </si>
  <si>
    <t>Smoke City Express Transport, LLC</t>
  </si>
  <si>
    <t>MC753334</t>
  </si>
  <si>
    <t>Smokey Point Distributing</t>
  </si>
  <si>
    <t>SMPD</t>
  </si>
  <si>
    <t>MC154328</t>
  </si>
  <si>
    <t>SMS Transportation &amp; Logistics, LLC</t>
  </si>
  <si>
    <t>STAS</t>
  </si>
  <si>
    <t>MC820214</t>
  </si>
  <si>
    <t>SNA Transportation Inc.</t>
  </si>
  <si>
    <t>SNJQ</t>
  </si>
  <si>
    <t>MC683486</t>
  </si>
  <si>
    <t>Snyder's-Lance Inc, S-L Snacks Logistics, LLC</t>
  </si>
  <si>
    <t>SNYF</t>
  </si>
  <si>
    <t>MC261467</t>
  </si>
  <si>
    <t>Solar Transport Company</t>
  </si>
  <si>
    <t>SOAQ</t>
  </si>
  <si>
    <t>MC154872</t>
  </si>
  <si>
    <t>Soldwedel &amp; Horn Enterprises, Inc</t>
  </si>
  <si>
    <t>SWHK</t>
  </si>
  <si>
    <t>MC589949</t>
  </si>
  <si>
    <t>Soniq Services, Inc.</t>
  </si>
  <si>
    <t>SNWS</t>
  </si>
  <si>
    <t>MC540929</t>
  </si>
  <si>
    <t>Sony Electronics Inc.</t>
  </si>
  <si>
    <t>RAYH</t>
  </si>
  <si>
    <t>MC179215</t>
  </si>
  <si>
    <t>Sortino Transportation LLC</t>
  </si>
  <si>
    <t>SOTA</t>
  </si>
  <si>
    <t>MC419197</t>
  </si>
  <si>
    <t>South Coast Transportation &amp; Distribution, Inc.</t>
  </si>
  <si>
    <t>WRDS,WRDS,SCTD</t>
  </si>
  <si>
    <t>MC424156</t>
  </si>
  <si>
    <t>South East Carriers, Inc.</t>
  </si>
  <si>
    <t>SECJ</t>
  </si>
  <si>
    <t>MC191696</t>
  </si>
  <si>
    <t>South Shore Transportation Co.</t>
  </si>
  <si>
    <t>SSHE</t>
  </si>
  <si>
    <t>MC170495</t>
  </si>
  <si>
    <t>Southeast Logistics, Inc.</t>
  </si>
  <si>
    <t>SEOL</t>
  </si>
  <si>
    <t>MC342627</t>
  </si>
  <si>
    <t>Southeast Transportation Systems, Inc</t>
  </si>
  <si>
    <t>SXSQ</t>
  </si>
  <si>
    <t>MC0041045</t>
  </si>
  <si>
    <t>Southeastern Freight Lines, Inc.</t>
  </si>
  <si>
    <t>MC111871</t>
  </si>
  <si>
    <t>Southern AG Carriers, Inc.</t>
  </si>
  <si>
    <t>SAGQ</t>
  </si>
  <si>
    <t>MC220471</t>
  </si>
  <si>
    <t>Southern Counties Express, Inc.*: Dedicated / Local / Regional Truckload</t>
  </si>
  <si>
    <t>SOCN</t>
  </si>
  <si>
    <t>MC250680</t>
  </si>
  <si>
    <t>Southern Counties Express, Inc.*: Port / Intermodal Drayage</t>
  </si>
  <si>
    <t>Southern Freight Services, Inc.: Southern Freight Services, Inc.</t>
  </si>
  <si>
    <t>SNFH</t>
  </si>
  <si>
    <t>MC270872</t>
  </si>
  <si>
    <t>Southern Freight, Inc.</t>
  </si>
  <si>
    <t>SOFI</t>
  </si>
  <si>
    <t>MC164944</t>
  </si>
  <si>
    <t>Southern Illinois Motor Xpress, Inc</t>
  </si>
  <si>
    <t>SOIL</t>
  </si>
  <si>
    <t>MC248855</t>
  </si>
  <si>
    <t>Southern Intermodal Xpress, LLC</t>
  </si>
  <si>
    <t>SIXP</t>
  </si>
  <si>
    <t>MC593622</t>
  </si>
  <si>
    <t>Southern Refrigerated Transport, Inc.</t>
  </si>
  <si>
    <t>SRFI</t>
  </si>
  <si>
    <t>MC193849</t>
  </si>
  <si>
    <t>Southern Wine and Spirits of America, Inc. DBA SWS</t>
  </si>
  <si>
    <t>SNWV</t>
  </si>
  <si>
    <t>Southlake Transport Incorporated</t>
  </si>
  <si>
    <t>SQKT</t>
  </si>
  <si>
    <t>MC396332</t>
  </si>
  <si>
    <t>Southland Transportation Company</t>
  </si>
  <si>
    <t>SLDD</t>
  </si>
  <si>
    <t>MC199727</t>
  </si>
  <si>
    <t>Southport Trucking Inc.</t>
  </si>
  <si>
    <t>SHPG</t>
  </si>
  <si>
    <t>MC630887</t>
  </si>
  <si>
    <t>Southwest Connection, Inc.</t>
  </si>
  <si>
    <t>SWCI</t>
  </si>
  <si>
    <t>MC557190</t>
  </si>
  <si>
    <t>Southwest Freight Distributors, Inc.</t>
  </si>
  <si>
    <t>SWIC</t>
  </si>
  <si>
    <t>MC164490</t>
  </si>
  <si>
    <t>Southwest Truck Service</t>
  </si>
  <si>
    <t>SOWS</t>
  </si>
  <si>
    <t>MC128246</t>
  </si>
  <si>
    <t>Southwestern Motor Transport - SMT Lines</t>
  </si>
  <si>
    <t>SMTL</t>
  </si>
  <si>
    <t>MC080252</t>
  </si>
  <si>
    <t>Spader Freight Services, Inc.</t>
  </si>
  <si>
    <t>SPDG</t>
  </si>
  <si>
    <t>MC291301</t>
  </si>
  <si>
    <t>Spady Transport Ltd</t>
  </si>
  <si>
    <t>SPDR</t>
  </si>
  <si>
    <t>Sparhawk Trucking, Inc.</t>
  </si>
  <si>
    <t>SPHK</t>
  </si>
  <si>
    <t>MC157926</t>
  </si>
  <si>
    <t>Spartan Freight Systems Inc</t>
  </si>
  <si>
    <t>SFBC</t>
  </si>
  <si>
    <t>MC628174</t>
  </si>
  <si>
    <t>SPC Transport</t>
  </si>
  <si>
    <t>SPWC</t>
  </si>
  <si>
    <t>MC207266</t>
  </si>
  <si>
    <t>Special Event Transportation Inc</t>
  </si>
  <si>
    <t>SEEV</t>
  </si>
  <si>
    <t>MC305126</t>
  </si>
  <si>
    <t>Special Logistics Truckload, LLC</t>
  </si>
  <si>
    <t>SLTB</t>
  </si>
  <si>
    <t>MC756540</t>
  </si>
  <si>
    <t>Special Service Freight Company of the Carolinas,</t>
  </si>
  <si>
    <t>SSFH</t>
  </si>
  <si>
    <t>MC225803</t>
  </si>
  <si>
    <t>Special Service Transportation, Inc.</t>
  </si>
  <si>
    <t>SPSV</t>
  </si>
  <si>
    <t>MC135653</t>
  </si>
  <si>
    <t>Specified Commodity Carriers, Inc: SCC</t>
  </si>
  <si>
    <t>SCCC</t>
  </si>
  <si>
    <t>MC112668</t>
  </si>
  <si>
    <t>Speedy Transport Group Inc.: LTL</t>
  </si>
  <si>
    <t>SZTG</t>
  </si>
  <si>
    <t>Spinnaker Inc</t>
  </si>
  <si>
    <t>SPNN</t>
  </si>
  <si>
    <t>MC153561</t>
  </si>
  <si>
    <t>Spirit Logistics Inc</t>
  </si>
  <si>
    <t>Spirit Truck Lines, Inc.</t>
  </si>
  <si>
    <t>SQTK</t>
  </si>
  <si>
    <t>MC152490</t>
  </si>
  <si>
    <t>Sprinter Services, Inc.: Dedicated</t>
  </si>
  <si>
    <t>SPWS</t>
  </si>
  <si>
    <t>MC179631</t>
  </si>
  <si>
    <t>Sprinter Services, Inc.: For Hire</t>
  </si>
  <si>
    <t>Sprinter Trucking, Inc</t>
  </si>
  <si>
    <t>SPNC</t>
  </si>
  <si>
    <t>MC291461</t>
  </si>
  <si>
    <t>Square One Transport and Logistics: Expedite</t>
  </si>
  <si>
    <t>SOTP</t>
  </si>
  <si>
    <t>MC816741</t>
  </si>
  <si>
    <t>SR Freight Transportation</t>
  </si>
  <si>
    <t>SRFY</t>
  </si>
  <si>
    <t>MC616736</t>
  </si>
  <si>
    <t>SRUQ Spectrum</t>
  </si>
  <si>
    <t>SEUM</t>
  </si>
  <si>
    <t>MC237737</t>
  </si>
  <si>
    <t>Stagecoach Cartage and Distribution LLC</t>
  </si>
  <si>
    <t>SGCE</t>
  </si>
  <si>
    <t>MC196747</t>
  </si>
  <si>
    <t>Stallion Express, Inc.</t>
  </si>
  <si>
    <t>SLXA</t>
  </si>
  <si>
    <t>MC337125</t>
  </si>
  <si>
    <t>Stallion Logistics LLC</t>
  </si>
  <si>
    <t>SOGW</t>
  </si>
  <si>
    <t>MC812983</t>
  </si>
  <si>
    <t>Stan Koch and Sons Trucking: Koch Trucking</t>
  </si>
  <si>
    <t>KSTS</t>
  </si>
  <si>
    <t>MC146969</t>
  </si>
  <si>
    <t>Stan's Inc</t>
  </si>
  <si>
    <t>SFGI</t>
  </si>
  <si>
    <t>MC166029</t>
  </si>
  <si>
    <t>Standard Forwarding LLC</t>
  </si>
  <si>
    <t>STDF</t>
  </si>
  <si>
    <t>MC16536</t>
  </si>
  <si>
    <t>Star Cartage Company, Inc: truckload</t>
  </si>
  <si>
    <t>SCCF</t>
  </si>
  <si>
    <t>MC174491</t>
  </si>
  <si>
    <t>Star Logistics Ltd.</t>
  </si>
  <si>
    <t>SRLC</t>
  </si>
  <si>
    <t>Star Transportation, Inc.</t>
  </si>
  <si>
    <t>SLSG</t>
  </si>
  <si>
    <t>MC157677</t>
  </si>
  <si>
    <t>Star Van Systems Inc.</t>
  </si>
  <si>
    <t>SRVY</t>
  </si>
  <si>
    <t>MC231683</t>
  </si>
  <si>
    <t>Starliner Transport (1981) Ltd.</t>
  </si>
  <si>
    <t>SLTO</t>
  </si>
  <si>
    <t>States Logistics Services, Inc</t>
  </si>
  <si>
    <t>SLSV</t>
  </si>
  <si>
    <t>MC335908</t>
  </si>
  <si>
    <t>Steadfast Transcontinent, Inc.</t>
  </si>
  <si>
    <t>SFTT</t>
  </si>
  <si>
    <t>MC262332</t>
  </si>
  <si>
    <t>Steed Bros Inc</t>
  </si>
  <si>
    <t>SDJR</t>
  </si>
  <si>
    <t>MC204351</t>
  </si>
  <si>
    <t>Steel &amp; Machinery Transportation, Inc.</t>
  </si>
  <si>
    <t>SNMI</t>
  </si>
  <si>
    <t>MC041406</t>
  </si>
  <si>
    <t>Steelman Transportation, Inc.</t>
  </si>
  <si>
    <t>STMQ</t>
  </si>
  <si>
    <t>MC222473</t>
  </si>
  <si>
    <t>Stegall Milling Company, Inc.</t>
  </si>
  <si>
    <t>STEG</t>
  </si>
  <si>
    <t>MC116323</t>
  </si>
  <si>
    <t>Stephen Izzi Trucking &amp; Rigging, Inc.: S.P.I. Transport Systems, Inc.</t>
  </si>
  <si>
    <t>SPIV</t>
  </si>
  <si>
    <t>MC165923</t>
  </si>
  <si>
    <t>Stephen Izzi Trucking &amp; Rigging, Inc.: Stephen Izzi Trucking &amp; Rigging, Inc.</t>
  </si>
  <si>
    <t>Sterling Transport</t>
  </si>
  <si>
    <t>SCII</t>
  </si>
  <si>
    <t>MC289334</t>
  </si>
  <si>
    <t>Stevens Transport Inc</t>
  </si>
  <si>
    <t>STVV, BBLV, BBSE, STTA, SVAS, SXVN, STTZ</t>
  </si>
  <si>
    <t>MC150578, 203631</t>
  </si>
  <si>
    <t>Stevens Worldwide Van Lines, Inc.</t>
  </si>
  <si>
    <t>SVLM</t>
  </si>
  <si>
    <t>MC74681</t>
  </si>
  <si>
    <t>Stewart Transport, Inc</t>
  </si>
  <si>
    <t>SWRE</t>
  </si>
  <si>
    <t>MC308671</t>
  </si>
  <si>
    <t>Stidham Trucking, Inc.</t>
  </si>
  <si>
    <t>STID</t>
  </si>
  <si>
    <t>MC139380</t>
  </si>
  <si>
    <t>Stokes Trucking, Inc.</t>
  </si>
  <si>
    <t>SKUL</t>
  </si>
  <si>
    <t>MC199448</t>
  </si>
  <si>
    <t>Stone Truck Line, Inc.</t>
  </si>
  <si>
    <t>SNKH</t>
  </si>
  <si>
    <t>MC460857</t>
  </si>
  <si>
    <t>StonesTransport Inc.</t>
  </si>
  <si>
    <t>22JE</t>
  </si>
  <si>
    <t>Stop &amp; Shop Supermarket Company - New England Divi</t>
  </si>
  <si>
    <t>MC884963</t>
  </si>
  <si>
    <t>Storey Trucking Co., Inc.</t>
  </si>
  <si>
    <t>SCVW</t>
  </si>
  <si>
    <t>MC148589</t>
  </si>
  <si>
    <t>Stoughton Trucking Inc.</t>
  </si>
  <si>
    <t>SGHO</t>
  </si>
  <si>
    <t>MC159599</t>
  </si>
  <si>
    <t>Styer Transportation Co.</t>
  </si>
  <si>
    <t>STYT</t>
  </si>
  <si>
    <t>MC142257</t>
  </si>
  <si>
    <t>Styline Logistics</t>
  </si>
  <si>
    <t>STYH</t>
  </si>
  <si>
    <t>MC232647</t>
  </si>
  <si>
    <t>Sub Zero Transportation, Inc</t>
  </si>
  <si>
    <t>SZTI</t>
  </si>
  <si>
    <t>MC248489</t>
  </si>
  <si>
    <t>Sugar Foods Corporation</t>
  </si>
  <si>
    <t>SFBH</t>
  </si>
  <si>
    <t>MC615469</t>
  </si>
  <si>
    <t>Suhanna freight services inc.</t>
  </si>
  <si>
    <t>SHFV</t>
  </si>
  <si>
    <t>Sullivan Transportation, Inc.</t>
  </si>
  <si>
    <t>SULV</t>
  </si>
  <si>
    <t>MC463479</t>
  </si>
  <si>
    <t>Sullivan Trucking Ltd.</t>
  </si>
  <si>
    <t>SUVK</t>
  </si>
  <si>
    <t>MC224539</t>
  </si>
  <si>
    <t>Summers Trucking Inc.</t>
  </si>
  <si>
    <t>STCG</t>
  </si>
  <si>
    <t>MC166448</t>
  </si>
  <si>
    <t>Summit Express, Inc. / Diamond Delivery Service, L</t>
  </si>
  <si>
    <t>SUMD,DDSI</t>
  </si>
  <si>
    <t>MC399796</t>
  </si>
  <si>
    <t>Summit Logistics, Inc.</t>
  </si>
  <si>
    <t>STUW</t>
  </si>
  <si>
    <t>MC516789</t>
  </si>
  <si>
    <t>Summit Trucking Inc.</t>
  </si>
  <si>
    <t>SUQO</t>
  </si>
  <si>
    <t>MC372970</t>
  </si>
  <si>
    <t>Summitt Trucking, LLC</t>
  </si>
  <si>
    <t>SMMT</t>
  </si>
  <si>
    <t>MC395146</t>
  </si>
  <si>
    <t>Sunbelt Transport LLC</t>
  </si>
  <si>
    <t>SBTQ</t>
  </si>
  <si>
    <t>MC256824</t>
  </si>
  <si>
    <t>Sunco Carriers Inc. dba Watkins Refrigerated</t>
  </si>
  <si>
    <t>SUCC</t>
  </si>
  <si>
    <t>MC155311</t>
  </si>
  <si>
    <t>Sunland Distribution of Florida, Inc.</t>
  </si>
  <si>
    <t>SUDA</t>
  </si>
  <si>
    <t>MC621646</t>
  </si>
  <si>
    <t>Sunnyhill Farm Trucking, LLC</t>
  </si>
  <si>
    <t>SHFT</t>
  </si>
  <si>
    <t>MC200005</t>
  </si>
  <si>
    <t>Sunrise Express Inc.</t>
  </si>
  <si>
    <t>SNRS</t>
  </si>
  <si>
    <t>MC181796</t>
  </si>
  <si>
    <t>Sunrise Freight Systems INC.</t>
  </si>
  <si>
    <t>SRFS</t>
  </si>
  <si>
    <t>MC493430</t>
  </si>
  <si>
    <t>Sunrise Transport Inc.</t>
  </si>
  <si>
    <t>SRSO</t>
  </si>
  <si>
    <t>Sunstate Carriers Inc.: Sunstate Carriers Inc.</t>
  </si>
  <si>
    <t>SQNS</t>
  </si>
  <si>
    <t>MC406114</t>
  </si>
  <si>
    <t>Sunteck Transport Group, Inc.</t>
  </si>
  <si>
    <t>SUJU</t>
  </si>
  <si>
    <t>MC858505</t>
  </si>
  <si>
    <t>Sunway Transport, Inc.</t>
  </si>
  <si>
    <t>SWYW</t>
  </si>
  <si>
    <t>MC657551</t>
  </si>
  <si>
    <t>Super Service, LLC</t>
  </si>
  <si>
    <t>SUSA</t>
  </si>
  <si>
    <t>MC151056</t>
  </si>
  <si>
    <t>Super T Transport Inc</t>
  </si>
  <si>
    <t>SXAC</t>
  </si>
  <si>
    <t>MC668648</t>
  </si>
  <si>
    <t>Super Transport International, Ltd.</t>
  </si>
  <si>
    <t>SRIR</t>
  </si>
  <si>
    <t>MC311165</t>
  </si>
  <si>
    <t>Superior Global Logistics LLC.</t>
  </si>
  <si>
    <t>MC525652</t>
  </si>
  <si>
    <t>Superior Truck Lines, Inc.</t>
  </si>
  <si>
    <t>SULN</t>
  </si>
  <si>
    <t>MC153161</t>
  </si>
  <si>
    <t>Supply Chain Solutions, LLC dba Foxboro Express: Foxboro Express</t>
  </si>
  <si>
    <t>FXBE</t>
  </si>
  <si>
    <t>MC200813</t>
  </si>
  <si>
    <t>Supreme Auto Transport, Inc.</t>
  </si>
  <si>
    <t>SPMA</t>
  </si>
  <si>
    <t>MC395285</t>
  </si>
  <si>
    <t>Surreal Innovations LLC</t>
  </si>
  <si>
    <t>Sustainable Freight Group Corp: Sustainable Freight Group</t>
  </si>
  <si>
    <t>SFRH</t>
  </si>
  <si>
    <t>MC917799</t>
  </si>
  <si>
    <t>SW Trucking, LLC</t>
  </si>
  <si>
    <t>SWDV</t>
  </si>
  <si>
    <t>MC459515</t>
  </si>
  <si>
    <t>Sweetland Transport Inc.</t>
  </si>
  <si>
    <t>SDPO</t>
  </si>
  <si>
    <t>MC789122</t>
  </si>
  <si>
    <t>Swift Transportation Co.: Flatbed</t>
  </si>
  <si>
    <t>MC136818</t>
  </si>
  <si>
    <t>Swift Transportation Co.: Heavy Haul</t>
  </si>
  <si>
    <t>Swift Transportation Co.: Refrigerated</t>
  </si>
  <si>
    <t>Swift Transportation Co.: Vans</t>
  </si>
  <si>
    <t>Swing Transport, Inc.: Dedicated</t>
  </si>
  <si>
    <t>SWGT</t>
  </si>
  <si>
    <t>MC115176</t>
  </si>
  <si>
    <t>Swing Transport, Inc.: Road</t>
  </si>
  <si>
    <t>SWNG</t>
  </si>
  <si>
    <t>Syfan Dedicated, Inc. DBA Syfan Transport</t>
  </si>
  <si>
    <t>SYFK</t>
  </si>
  <si>
    <t>MC756730</t>
  </si>
  <si>
    <t>Sylvite</t>
  </si>
  <si>
    <t>SYVT</t>
  </si>
  <si>
    <t>System Freight, Inc.</t>
  </si>
  <si>
    <t>SYFI</t>
  </si>
  <si>
    <t>MC147698</t>
  </si>
  <si>
    <t>System Transport, Inc.: Long Haul</t>
  </si>
  <si>
    <t>SYTP</t>
  </si>
  <si>
    <t>MC107743</t>
  </si>
  <si>
    <t>System Transport, Inc.: NW Maxi</t>
  </si>
  <si>
    <t>T X X</t>
  </si>
  <si>
    <t>TXXM</t>
  </si>
  <si>
    <t>MC881892</t>
  </si>
  <si>
    <t>T&amp;S Transportation Systems Inc.</t>
  </si>
  <si>
    <t>TASS</t>
  </si>
  <si>
    <t>MC372951</t>
  </si>
  <si>
    <t>T&amp;T Trucking of FL Inc</t>
  </si>
  <si>
    <t>TTFO</t>
  </si>
  <si>
    <t>MC472092</t>
  </si>
  <si>
    <t>T-Brothers Trucking</t>
  </si>
  <si>
    <t>TBHT</t>
  </si>
  <si>
    <t>MC364768</t>
  </si>
  <si>
    <t>T. Marzetti Company: T.Marzetti Truck Load</t>
  </si>
  <si>
    <t>MKAL</t>
  </si>
  <si>
    <t>MC235950</t>
  </si>
  <si>
    <t>T.A.P. Transport Inc.</t>
  </si>
  <si>
    <t>TAPP</t>
  </si>
  <si>
    <t>MC889449</t>
  </si>
  <si>
    <t>T.S. Expediting Services, Inc.</t>
  </si>
  <si>
    <t>TSCI</t>
  </si>
  <si>
    <t>MC157889</t>
  </si>
  <si>
    <t>T.V. Minority Co., Inc.</t>
  </si>
  <si>
    <t>TVMC</t>
  </si>
  <si>
    <t>MC212047</t>
  </si>
  <si>
    <t>T/C Distribution Company</t>
  </si>
  <si>
    <t>TA Briggs &amp; Sons, Inc</t>
  </si>
  <si>
    <t>BRIQ</t>
  </si>
  <si>
    <t>Taj Delivery LLC</t>
  </si>
  <si>
    <t>Tandem Specialized Inc: TSZA</t>
  </si>
  <si>
    <t>TSZA</t>
  </si>
  <si>
    <t>MC841373</t>
  </si>
  <si>
    <t>Tandet Dedicated Inc.</t>
  </si>
  <si>
    <t>TDNR</t>
  </si>
  <si>
    <t>MC185133</t>
  </si>
  <si>
    <t>Tandet Logistics Inc.</t>
  </si>
  <si>
    <t>TNDT</t>
  </si>
  <si>
    <t>MC283546</t>
  </si>
  <si>
    <t>Tantara Transportation Group, Inc.</t>
  </si>
  <si>
    <t>TANR</t>
  </si>
  <si>
    <t>MC13964</t>
  </si>
  <si>
    <t>Target</t>
  </si>
  <si>
    <t>TRGE</t>
  </si>
  <si>
    <t>Tate Transportation, Inc.</t>
  </si>
  <si>
    <t>TTPW</t>
  </si>
  <si>
    <t>MC157294</t>
  </si>
  <si>
    <t>Taylor Distributing Company</t>
  </si>
  <si>
    <t>TADS</t>
  </si>
  <si>
    <t>MC022276</t>
  </si>
  <si>
    <t>Taylor Express, Inc.</t>
  </si>
  <si>
    <t>TYEI</t>
  </si>
  <si>
    <t>MC198974</t>
  </si>
  <si>
    <t>taylor made express, inc.</t>
  </si>
  <si>
    <t>TYMD</t>
  </si>
  <si>
    <t>MC300607</t>
  </si>
  <si>
    <t>Taylor Truck Line Inc</t>
  </si>
  <si>
    <t>TTLQ</t>
  </si>
  <si>
    <t>MC188377</t>
  </si>
  <si>
    <t>TBM Carriers, Inc.</t>
  </si>
  <si>
    <t>TBMC</t>
  </si>
  <si>
    <t>MC372195</t>
  </si>
  <si>
    <t>TCB Motor Corporation</t>
  </si>
  <si>
    <t>MC694352</t>
  </si>
  <si>
    <t>TCI Transportation Services, Inc.: TCI Transportation</t>
  </si>
  <si>
    <t>TCIV</t>
  </si>
  <si>
    <t>MC6193888</t>
  </si>
  <si>
    <t>TCI Transportation Services, Inc.: Transportation Concepts Inc.</t>
  </si>
  <si>
    <t>TCJJ</t>
  </si>
  <si>
    <t>MC632214</t>
  </si>
  <si>
    <t>TCW</t>
  </si>
  <si>
    <t>TCWI</t>
  </si>
  <si>
    <t>MC140539</t>
  </si>
  <si>
    <t>TD Express, Inc.</t>
  </si>
  <si>
    <t>TDXS</t>
  </si>
  <si>
    <t>MC157674</t>
  </si>
  <si>
    <t>TDC Transport</t>
  </si>
  <si>
    <t>TDCC</t>
  </si>
  <si>
    <t>MC855561</t>
  </si>
  <si>
    <t>Te Slaa Trucking, Ltd.</t>
  </si>
  <si>
    <t>TESL</t>
  </si>
  <si>
    <t>MC144350</t>
  </si>
  <si>
    <t>Team Campbell Logistics</t>
  </si>
  <si>
    <t>TCPW</t>
  </si>
  <si>
    <t>MC646793</t>
  </si>
  <si>
    <t>Team Transport, Inc.: Team Transport - Chip and Resin</t>
  </si>
  <si>
    <t>TTPT</t>
  </si>
  <si>
    <t>MC286507</t>
  </si>
  <si>
    <t>Team Transport, Inc.: Team Transport - Complete</t>
  </si>
  <si>
    <t>Team Transport, Inc.: Team Transport East - Complete (with Warnings)</t>
  </si>
  <si>
    <t>Team Transport, Inc.: Team Transport Lessors - Complete (with Warnings)</t>
  </si>
  <si>
    <t>Team Transportation, Inc</t>
  </si>
  <si>
    <t>TQIO</t>
  </si>
  <si>
    <t>MC318442</t>
  </si>
  <si>
    <t>Tek Transportation Services LLC</t>
  </si>
  <si>
    <t>Tek Transportation, Inc.</t>
  </si>
  <si>
    <t>TTDH</t>
  </si>
  <si>
    <t>MC533128</t>
  </si>
  <si>
    <t>Temp Distribution of Maryland, Inc.</t>
  </si>
  <si>
    <t>TDEI</t>
  </si>
  <si>
    <t>MC180034</t>
  </si>
  <si>
    <t>Tennant Truck Lines, Inc.</t>
  </si>
  <si>
    <t>TENA</t>
  </si>
  <si>
    <t>MC146754</t>
  </si>
  <si>
    <t>Tennessee Steel Haulers</t>
  </si>
  <si>
    <t>TENN</t>
  </si>
  <si>
    <t>MC143621</t>
  </si>
  <si>
    <t>Tenold Transportation LP</t>
  </si>
  <si>
    <t>TNOD</t>
  </si>
  <si>
    <t>MC245537</t>
  </si>
  <si>
    <t>Tenpoint Expediting Services, Inc</t>
  </si>
  <si>
    <t>TESE</t>
  </si>
  <si>
    <t>MC780375</t>
  </si>
  <si>
    <t>Texas Freight Services, Inc.</t>
  </si>
  <si>
    <t>TXFS</t>
  </si>
  <si>
    <t>MC322472</t>
  </si>
  <si>
    <t>Texas Refrigerated Xpress LLC: Refrigerated</t>
  </si>
  <si>
    <t>TRXP</t>
  </si>
  <si>
    <t>MC466132</t>
  </si>
  <si>
    <t>THC Global Inc.</t>
  </si>
  <si>
    <t>TGIQ</t>
  </si>
  <si>
    <t>MC443659</t>
  </si>
  <si>
    <t>The BLM Group Inc.</t>
  </si>
  <si>
    <t>BGRO</t>
  </si>
  <si>
    <t>The Complete Logistics Company</t>
  </si>
  <si>
    <t>CPQL</t>
  </si>
  <si>
    <t>MC224589</t>
  </si>
  <si>
    <t>The Daniel Company of Springfield</t>
  </si>
  <si>
    <t>DCSP</t>
  </si>
  <si>
    <t>MC143085</t>
  </si>
  <si>
    <t>The Gilbert Company</t>
  </si>
  <si>
    <t>GBEA</t>
  </si>
  <si>
    <t>MC410211</t>
  </si>
  <si>
    <t>The Green Trucking Moving Company</t>
  </si>
  <si>
    <t>GNKV</t>
  </si>
  <si>
    <t>MC758063</t>
  </si>
  <si>
    <t>The Hubach Group, Inc.</t>
  </si>
  <si>
    <t>HGPI</t>
  </si>
  <si>
    <t>MC449430</t>
  </si>
  <si>
    <t>The Kenan Advantage Group Inc.</t>
  </si>
  <si>
    <t>AVTK,BLKE,KAGW,KNTC,NOCP,POCN,DTCH,TRAP,CRYI,KEJB</t>
  </si>
  <si>
    <t>MC247466</t>
  </si>
  <si>
    <t>The Kroger Co.: KDL Fred Meyer</t>
  </si>
  <si>
    <t>MC298044</t>
  </si>
  <si>
    <t>The Kroger Co.: KDL Houston</t>
  </si>
  <si>
    <t>The Kroger Co.: KDL JC Foods</t>
  </si>
  <si>
    <t>The Kroger Co.: KDL Memphis</t>
  </si>
  <si>
    <t>The Kroger Co.: KDL Ralphs/Food 4 Less</t>
  </si>
  <si>
    <t>The Kroger Co.: KDL Smiths</t>
  </si>
  <si>
    <t>The Kroger Co.: KDL Turkey Hill</t>
  </si>
  <si>
    <t>The Martin Brower Company</t>
  </si>
  <si>
    <t>MC173515</t>
  </si>
  <si>
    <t>The Rosedale Group: Rosedale Transport Limited</t>
  </si>
  <si>
    <t>RTAL</t>
  </si>
  <si>
    <t>THE SIMPSON GROUP, INC.</t>
  </si>
  <si>
    <t>SPSG</t>
  </si>
  <si>
    <t>MC265078</t>
  </si>
  <si>
    <t>MC026396</t>
  </si>
  <si>
    <t>Thomas E Harrington</t>
  </si>
  <si>
    <t>MC812254</t>
  </si>
  <si>
    <t>Thomas E. Keller Trucking</t>
  </si>
  <si>
    <t>KLTR</t>
  </si>
  <si>
    <t>MC156973</t>
  </si>
  <si>
    <t>Thomas Transportation</t>
  </si>
  <si>
    <t>THMP</t>
  </si>
  <si>
    <t>MC704382</t>
  </si>
  <si>
    <t>Thomason Express LLC</t>
  </si>
  <si>
    <t>THNS</t>
  </si>
  <si>
    <t>MC184529</t>
  </si>
  <si>
    <t>Thompson Emergency Freight Systems</t>
  </si>
  <si>
    <t>TEMF</t>
  </si>
  <si>
    <t>MC252136</t>
  </si>
  <si>
    <t>Thorsons Marketing Associates Canada Inc.</t>
  </si>
  <si>
    <t>THOR</t>
  </si>
  <si>
    <t>MC343354</t>
  </si>
  <si>
    <t>Three Star Trucking Company Inc.</t>
  </si>
  <si>
    <t>THES</t>
  </si>
  <si>
    <t>MC149293</t>
  </si>
  <si>
    <t>Thuman Trucking Inc.</t>
  </si>
  <si>
    <t>TNUG</t>
  </si>
  <si>
    <t>MC488076</t>
  </si>
  <si>
    <t>Thunder Bal Distributors Ltd.: Intermodal Canada &amp; USA (Pacific Northwest)</t>
  </si>
  <si>
    <t>TBDT</t>
  </si>
  <si>
    <t>THX Transport, LLC</t>
  </si>
  <si>
    <t>THPC</t>
  </si>
  <si>
    <t>MC508833</t>
  </si>
  <si>
    <t>Tidewater Transit Co., Inc.</t>
  </si>
  <si>
    <t>TITC</t>
  </si>
  <si>
    <t>MC115831</t>
  </si>
  <si>
    <t>Tiger Trans Inc</t>
  </si>
  <si>
    <t>TTIE</t>
  </si>
  <si>
    <t>MC469924</t>
  </si>
  <si>
    <t>Tiger Truck Lines</t>
  </si>
  <si>
    <t>TGKL</t>
  </si>
  <si>
    <t>MC214710</t>
  </si>
  <si>
    <t>Tigers Express Inc</t>
  </si>
  <si>
    <t>TEIN</t>
  </si>
  <si>
    <t>MC787821</t>
  </si>
  <si>
    <t>Tighe Trucking, Inc.</t>
  </si>
  <si>
    <t>TGHE</t>
  </si>
  <si>
    <t>MC104967</t>
  </si>
  <si>
    <t>Timco Logistics Systems, LLC.: Truckload</t>
  </si>
  <si>
    <t>TLAY</t>
  </si>
  <si>
    <t>MC528018</t>
  </si>
  <si>
    <t>Time Definite Services Transportation LLC</t>
  </si>
  <si>
    <t>TDFS</t>
  </si>
  <si>
    <t>MC715517</t>
  </si>
  <si>
    <t>Time Transport, Inc.</t>
  </si>
  <si>
    <t>TTYI</t>
  </si>
  <si>
    <t>MC309554</t>
  </si>
  <si>
    <t>Timeline Logistic international</t>
  </si>
  <si>
    <t>TLQD</t>
  </si>
  <si>
    <t>MC727743</t>
  </si>
  <si>
    <t>Timeline Transportation Inc</t>
  </si>
  <si>
    <t>MC871670</t>
  </si>
  <si>
    <t>Titan Transfer, Inc.</t>
  </si>
  <si>
    <t>TTFE</t>
  </si>
  <si>
    <t>MC370584</t>
  </si>
  <si>
    <t>Titanium Transportation Group Inc.: Muskoka</t>
  </si>
  <si>
    <t>MUKT</t>
  </si>
  <si>
    <t>MC181053</t>
  </si>
  <si>
    <t>Titanium Transportation Group Inc.: Titanium</t>
  </si>
  <si>
    <t>TTKS</t>
  </si>
  <si>
    <t>MC529323</t>
  </si>
  <si>
    <t>TM Transportation Services LLC: TMTS</t>
  </si>
  <si>
    <t>TMVJ</t>
  </si>
  <si>
    <t>MC768360</t>
  </si>
  <si>
    <t>TMC Transportation</t>
  </si>
  <si>
    <t>TDED</t>
  </si>
  <si>
    <t>MC115730</t>
  </si>
  <si>
    <t>TMF Logistics, Inc.</t>
  </si>
  <si>
    <t>TMFY</t>
  </si>
  <si>
    <t>MC328937</t>
  </si>
  <si>
    <t>TMG Logistics Inc.</t>
  </si>
  <si>
    <t>TGQL</t>
  </si>
  <si>
    <t>TMH Logistics Limited</t>
  </si>
  <si>
    <t>TMHC</t>
  </si>
  <si>
    <t>TML Logistics, Inc.</t>
  </si>
  <si>
    <t>TLQI</t>
  </si>
  <si>
    <t>MC440317</t>
  </si>
  <si>
    <t>TMS Logistics, Inc.</t>
  </si>
  <si>
    <t>TMSG</t>
  </si>
  <si>
    <t>MC323053</t>
  </si>
  <si>
    <t>TNL Freightways, Inc.</t>
  </si>
  <si>
    <t>TFWI</t>
  </si>
  <si>
    <t>MC789042</t>
  </si>
  <si>
    <t>To-Jo Mushroom Transportation, LLC</t>
  </si>
  <si>
    <t>TJMS</t>
  </si>
  <si>
    <t>MC425484</t>
  </si>
  <si>
    <t>Tony Nistler Trucking</t>
  </si>
  <si>
    <t>NTTY</t>
  </si>
  <si>
    <t>MC360048</t>
  </si>
  <si>
    <t>Tony's Express, Inc.</t>
  </si>
  <si>
    <t>TONI</t>
  </si>
  <si>
    <t>MC150061</t>
  </si>
  <si>
    <t>Top Gun Air Express, Inc.: Top Gun Air Express Inc</t>
  </si>
  <si>
    <t>TGAP</t>
  </si>
  <si>
    <t>MC386023</t>
  </si>
  <si>
    <t>Torres Trucking</t>
  </si>
  <si>
    <t>MC588494</t>
  </si>
  <si>
    <t>Total Transportation of Mississippi, LLC</t>
  </si>
  <si>
    <t>TTMS</t>
  </si>
  <si>
    <t>MC239097</t>
  </si>
  <si>
    <t>Total Transportation Services, Inc.*</t>
  </si>
  <si>
    <t>TTPV</t>
  </si>
  <si>
    <t>MC508870</t>
  </si>
  <si>
    <t>Total Transportation Trucking Inc.</t>
  </si>
  <si>
    <t>TTTR</t>
  </si>
  <si>
    <t>MC160291</t>
  </si>
  <si>
    <t>Totran Transportation Services Inc</t>
  </si>
  <si>
    <t>TXVI</t>
  </si>
  <si>
    <t>MC661356</t>
  </si>
  <si>
    <t>Town Trucking Co</t>
  </si>
  <si>
    <t>TWTR</t>
  </si>
  <si>
    <t>MC147446</t>
  </si>
  <si>
    <t>Toyota Transport-Toyota Logistics Services, Inc.</t>
  </si>
  <si>
    <t>TLSR</t>
  </si>
  <si>
    <t>MC264926</t>
  </si>
  <si>
    <t>TPT Systems Limited: TPT Systems Limited</t>
  </si>
  <si>
    <t>TPTO</t>
  </si>
  <si>
    <t>TQT LLC</t>
  </si>
  <si>
    <t>TQTV</t>
  </si>
  <si>
    <t>MC654128</t>
  </si>
  <si>
    <t>Tradewinds Transportation LLC</t>
  </si>
  <si>
    <t>TWIS</t>
  </si>
  <si>
    <t>MC256153</t>
  </si>
  <si>
    <t>Tradition Transportation Co., LLC: Dry Van</t>
  </si>
  <si>
    <t>TTMB</t>
  </si>
  <si>
    <t>MC175749</t>
  </si>
  <si>
    <t>Traffix High Performace Logistics</t>
  </si>
  <si>
    <t>TFXE</t>
  </si>
  <si>
    <t>Trailer Bridge, Inc</t>
  </si>
  <si>
    <t>TRBR</t>
  </si>
  <si>
    <t>MC164771</t>
  </si>
  <si>
    <t>Trailiner Corporation</t>
  </si>
  <si>
    <t>TRLH</t>
  </si>
  <si>
    <t>MC154121</t>
  </si>
  <si>
    <t>Trancasa USA Inc</t>
  </si>
  <si>
    <t>TUIQ</t>
  </si>
  <si>
    <t>MC710843</t>
  </si>
  <si>
    <t>Trans American Trucking Service, Inc.</t>
  </si>
  <si>
    <t>TNAS</t>
  </si>
  <si>
    <t>MC149576</t>
  </si>
  <si>
    <t>Trans BC Freightways(2007) Ltd.: Trans BC Freightways(2007) Ltd.</t>
  </si>
  <si>
    <t>TFWA</t>
  </si>
  <si>
    <t>Trans East, Inc.</t>
  </si>
  <si>
    <t>TNSE</t>
  </si>
  <si>
    <t>MC155207</t>
  </si>
  <si>
    <t>Trans Expert Inc.</t>
  </si>
  <si>
    <t>TXEQ</t>
  </si>
  <si>
    <t>Trans International Trucking, Inc.</t>
  </si>
  <si>
    <t>TIKG</t>
  </si>
  <si>
    <t>MC334708</t>
  </si>
  <si>
    <t>Trans-Motion LLC</t>
  </si>
  <si>
    <t>TNNT</t>
  </si>
  <si>
    <t>MC676129</t>
  </si>
  <si>
    <t>Trans-National Express</t>
  </si>
  <si>
    <t>TNUE</t>
  </si>
  <si>
    <t>MC141719</t>
  </si>
  <si>
    <t>Trans-United Inc.</t>
  </si>
  <si>
    <t>TRUI</t>
  </si>
  <si>
    <t>MC128648</t>
  </si>
  <si>
    <t>Transam Carriers Inc.</t>
  </si>
  <si>
    <t>TCVG</t>
  </si>
  <si>
    <t>MC563102</t>
  </si>
  <si>
    <t>TransAm Trucking, Inc.</t>
  </si>
  <si>
    <t>MC197897</t>
  </si>
  <si>
    <t>Transcarriers, Inc.: IM</t>
  </si>
  <si>
    <t>TCAR</t>
  </si>
  <si>
    <t>MC163372</t>
  </si>
  <si>
    <t>Transcarriers, Inc.: OTR</t>
  </si>
  <si>
    <t>Transco Lines Inc.: TLI</t>
  </si>
  <si>
    <t>TLIN</t>
  </si>
  <si>
    <t>MC184249</t>
  </si>
  <si>
    <t>Transcorp Carriers, Inc.</t>
  </si>
  <si>
    <t>MC159978</t>
  </si>
  <si>
    <t>TransCorr LLC</t>
  </si>
  <si>
    <t>TRCR</t>
  </si>
  <si>
    <t>MC311135</t>
  </si>
  <si>
    <t>Transervice Logistics, Inc.</t>
  </si>
  <si>
    <t>TSVL</t>
  </si>
  <si>
    <t>MC295793</t>
  </si>
  <si>
    <t>Transfreight, Inc.</t>
  </si>
  <si>
    <t>TFNH</t>
  </si>
  <si>
    <t>Transfreight, LLC</t>
  </si>
  <si>
    <t>TQFR</t>
  </si>
  <si>
    <t>MC383351</t>
  </si>
  <si>
    <t>Transfrt McNamara Inc.</t>
  </si>
  <si>
    <t>TFMC</t>
  </si>
  <si>
    <t>MC238528</t>
  </si>
  <si>
    <t>Transit Logistics Solutions Inc.</t>
  </si>
  <si>
    <t>TXLQ</t>
  </si>
  <si>
    <t>Transita LLC: Main Fleet</t>
  </si>
  <si>
    <t>MC823545</t>
  </si>
  <si>
    <t>Transland, Inc.: Dry Van</t>
  </si>
  <si>
    <t>TCSF</t>
  </si>
  <si>
    <t>MC294707</t>
  </si>
  <si>
    <t>Transland, Inc.: Flatbed</t>
  </si>
  <si>
    <t>Transnational Logistics Corp</t>
  </si>
  <si>
    <t>TNLL</t>
  </si>
  <si>
    <t>MC668480</t>
  </si>
  <si>
    <t>Transource Freightways Ltd.</t>
  </si>
  <si>
    <t>TFLY</t>
  </si>
  <si>
    <t>Transport and Distribution MTL Inc.</t>
  </si>
  <si>
    <t>TDML</t>
  </si>
  <si>
    <t>MC830602</t>
  </si>
  <si>
    <t>Transport Bellemare International Inc</t>
  </si>
  <si>
    <t>TBIM</t>
  </si>
  <si>
    <t>Transport Continental Inc</t>
  </si>
  <si>
    <t>TPCN</t>
  </si>
  <si>
    <t>MC225273</t>
  </si>
  <si>
    <t>Transport Corporation of America</t>
  </si>
  <si>
    <t>TCAM</t>
  </si>
  <si>
    <t>MC151556</t>
  </si>
  <si>
    <t>Transport Couture: Transport Couture</t>
  </si>
  <si>
    <t>TCFP</t>
  </si>
  <si>
    <t>Transport Designs, Inc.</t>
  </si>
  <si>
    <t>TPOD</t>
  </si>
  <si>
    <t>MC177994</t>
  </si>
  <si>
    <t>Transport Distribution Company: Truckload Van</t>
  </si>
  <si>
    <t>TSBC</t>
  </si>
  <si>
    <t>MC185853</t>
  </si>
  <si>
    <t>Transport Guy Bourassa</t>
  </si>
  <si>
    <t>TAGB</t>
  </si>
  <si>
    <t>Transport J.C. Germain, TFI 1 Limited Partnership</t>
  </si>
  <si>
    <t>TFIT</t>
  </si>
  <si>
    <t>MC214913</t>
  </si>
  <si>
    <t>Transport Jocelyn Bourdeau Inc. d/b/a TJB</t>
  </si>
  <si>
    <t>TQJB</t>
  </si>
  <si>
    <t>Transport National</t>
  </si>
  <si>
    <t>TNQA</t>
  </si>
  <si>
    <t>MC145566</t>
  </si>
  <si>
    <t>Transport Sylvester &amp; Forget Inc.: parc 1</t>
  </si>
  <si>
    <t>TSYF</t>
  </si>
  <si>
    <t>Transport TFI 15, S.E.C., Gregoire</t>
  </si>
  <si>
    <t>TGEG</t>
  </si>
  <si>
    <t>Transport TFI 6 S.E.C -division Besner</t>
  </si>
  <si>
    <t>TFIS</t>
  </si>
  <si>
    <t>Transportation Services Inc.</t>
  </si>
  <si>
    <t>MC147039</t>
  </si>
  <si>
    <t>Transportation Specialists Ltd</t>
  </si>
  <si>
    <t>TPSP</t>
  </si>
  <si>
    <t>MC155796</t>
  </si>
  <si>
    <t>Transpro/Burgener Trucking: Transpro/Burgener Trucking</t>
  </si>
  <si>
    <t>MC555340</t>
  </si>
  <si>
    <t>Transtewart Trucking Inc</t>
  </si>
  <si>
    <t>TSWT</t>
  </si>
  <si>
    <t>MC363125</t>
  </si>
  <si>
    <t>TransWood Inc.</t>
  </si>
  <si>
    <t>TNWI</t>
  </si>
  <si>
    <t>MC269004</t>
  </si>
  <si>
    <t>Transworld Xpress Inc.: Transportation</t>
  </si>
  <si>
    <t>TWXC</t>
  </si>
  <si>
    <t>MC877362</t>
  </si>
  <si>
    <t>TransX: TNXL</t>
  </si>
  <si>
    <t>TNXL</t>
  </si>
  <si>
    <t>MC153367</t>
  </si>
  <si>
    <t>Trappers Transport Ltd</t>
  </si>
  <si>
    <t>TPPG</t>
  </si>
  <si>
    <t>MC200083</t>
  </si>
  <si>
    <t>Travelers Transportation Services Inc.</t>
  </si>
  <si>
    <t>TVLS</t>
  </si>
  <si>
    <t>Tri Hi Transportation, Inc.</t>
  </si>
  <si>
    <t>THIT</t>
  </si>
  <si>
    <t>MC230833</t>
  </si>
  <si>
    <t>Tri Star Freight System, Inc.</t>
  </si>
  <si>
    <t>TSFS</t>
  </si>
  <si>
    <t>MC203287</t>
  </si>
  <si>
    <t>Tri State Xpress Inc</t>
  </si>
  <si>
    <t>TSQP</t>
  </si>
  <si>
    <t>MC420418</t>
  </si>
  <si>
    <t>Tri-F Consolidators, Inc.: Dry Van Division</t>
  </si>
  <si>
    <t>MC196770</t>
  </si>
  <si>
    <t>Tri-Link Transportation Inc.</t>
  </si>
  <si>
    <t>TRNK</t>
  </si>
  <si>
    <t>MC817846</t>
  </si>
  <si>
    <t>Tri-National, Inc.</t>
  </si>
  <si>
    <t>TNIN</t>
  </si>
  <si>
    <t>MC492993</t>
  </si>
  <si>
    <t>Tribe Express, Inc.</t>
  </si>
  <si>
    <t>TBXK</t>
  </si>
  <si>
    <t>MC708213</t>
  </si>
  <si>
    <t>Tribeca Automotive Inc.</t>
  </si>
  <si>
    <t>TAMC</t>
  </si>
  <si>
    <t>MC733321</t>
  </si>
  <si>
    <t>Trican Transport Ltd.</t>
  </si>
  <si>
    <t>TTPY</t>
  </si>
  <si>
    <t>MC535203</t>
  </si>
  <si>
    <t>Tridex Trucking ltd</t>
  </si>
  <si>
    <t>TXKB</t>
  </si>
  <si>
    <t>MC934634</t>
  </si>
  <si>
    <t>Trilink Logistics Inc.</t>
  </si>
  <si>
    <t>TLKV</t>
  </si>
  <si>
    <t>MC906824</t>
  </si>
  <si>
    <t>Trimac Transportation Inc.</t>
  </si>
  <si>
    <t>TSUH,TTOS</t>
  </si>
  <si>
    <t>MC116077</t>
  </si>
  <si>
    <t>Trinder Enterprises</t>
  </si>
  <si>
    <t>TNDE</t>
  </si>
  <si>
    <t>MC568210</t>
  </si>
  <si>
    <t>Trinity Logistics Group, Inc.</t>
  </si>
  <si>
    <t>TRYR</t>
  </si>
  <si>
    <t>MC140762</t>
  </si>
  <si>
    <t>Trio Trucking, Inc.</t>
  </si>
  <si>
    <t>TTGO</t>
  </si>
  <si>
    <t>MC175723</t>
  </si>
  <si>
    <t>Triple Eight Transport Inc</t>
  </si>
  <si>
    <t>TPGH</t>
  </si>
  <si>
    <t>Triple G Enterprises, Inc.</t>
  </si>
  <si>
    <t>TPGS</t>
  </si>
  <si>
    <t>MC306334</t>
  </si>
  <si>
    <t>Triple Play Services, Inc., dba Three Way</t>
  </si>
  <si>
    <t>THRW</t>
  </si>
  <si>
    <t>MC558201</t>
  </si>
  <si>
    <t>Triple R Trucking of Laurens, IA Inc.</t>
  </si>
  <si>
    <t>TRTJ</t>
  </si>
  <si>
    <t>MC145802</t>
  </si>
  <si>
    <t>Trisec Logistics</t>
  </si>
  <si>
    <t>TWHS</t>
  </si>
  <si>
    <t>MC348005</t>
  </si>
  <si>
    <t>Triumph Transport, Inc.</t>
  </si>
  <si>
    <t>TTPH</t>
  </si>
  <si>
    <t>MC416882</t>
  </si>
  <si>
    <t>Trivium Trans Inc: Trivium Trans Inc</t>
  </si>
  <si>
    <t>MC934575</t>
  </si>
  <si>
    <t>Triways, Inc.</t>
  </si>
  <si>
    <t>TRWM</t>
  </si>
  <si>
    <t>MC148390</t>
  </si>
  <si>
    <t>Truck Logistics Services, Inc.</t>
  </si>
  <si>
    <t>TQSI</t>
  </si>
  <si>
    <t>MC793456</t>
  </si>
  <si>
    <t>Truck One, Inc.</t>
  </si>
  <si>
    <t>TKOI</t>
  </si>
  <si>
    <t>MC156327</t>
  </si>
  <si>
    <t>Truck Service, Inc.</t>
  </si>
  <si>
    <t>TRKE</t>
  </si>
  <si>
    <t>MC145912</t>
  </si>
  <si>
    <t>Trucking Experts, LLC: Dry Van</t>
  </si>
  <si>
    <t>TXPL</t>
  </si>
  <si>
    <t>MC669415</t>
  </si>
  <si>
    <t>Trucks For You, Inc.</t>
  </si>
  <si>
    <t>TFYI</t>
  </si>
  <si>
    <t>MC187363</t>
  </si>
  <si>
    <t>Truline Corporation: Dedicated</t>
  </si>
  <si>
    <t>TRUF</t>
  </si>
  <si>
    <t>MC138206</t>
  </si>
  <si>
    <t>Truline Corporation: OTR</t>
  </si>
  <si>
    <t>TS Delivery</t>
  </si>
  <si>
    <t>TSDL</t>
  </si>
  <si>
    <t>TST Expedited Services, Inc.</t>
  </si>
  <si>
    <t>TTOL</t>
  </si>
  <si>
    <t>MC245556</t>
  </si>
  <si>
    <t>TTR Transport</t>
  </si>
  <si>
    <t>TTRH</t>
  </si>
  <si>
    <t>MC199584</t>
  </si>
  <si>
    <t>Tucson Transport Inc.</t>
  </si>
  <si>
    <t>TTIV</t>
  </si>
  <si>
    <t>MC176034</t>
  </si>
  <si>
    <t>Tuffy Trans, Inc.</t>
  </si>
  <si>
    <t>TYFN</t>
  </si>
  <si>
    <t>MC812514</t>
  </si>
  <si>
    <t>TUJ Transportation Inc.</t>
  </si>
  <si>
    <t>TUJC</t>
  </si>
  <si>
    <t>Turk Enterprises Ltd.</t>
  </si>
  <si>
    <t>TKEL</t>
  </si>
  <si>
    <t>TVA Transportation Services</t>
  </si>
  <si>
    <t>TVTS</t>
  </si>
  <si>
    <t>TW Transport, Inc.: Heavy Haul</t>
  </si>
  <si>
    <t>TWTN</t>
  </si>
  <si>
    <t>MC139857</t>
  </si>
  <si>
    <t>TW Transport, Inc.: Line Haul</t>
  </si>
  <si>
    <t>TWG Transportation Inc.</t>
  </si>
  <si>
    <t>TWGB</t>
  </si>
  <si>
    <t>MC520672</t>
  </si>
  <si>
    <t>Twin City Transportation, Inc.</t>
  </si>
  <si>
    <t>TWPD</t>
  </si>
  <si>
    <t>MC166765</t>
  </si>
  <si>
    <t>Twin Express, Inc.</t>
  </si>
  <si>
    <t>TWXP</t>
  </si>
  <si>
    <t>MC207492</t>
  </si>
  <si>
    <t>Twin Lake Trucking: Flatbed</t>
  </si>
  <si>
    <t>TGLK</t>
  </si>
  <si>
    <t>MC217125</t>
  </si>
  <si>
    <t>Twin Lake Trucking: Intermodal</t>
  </si>
  <si>
    <t>Twin Lake Trucking: Praxair</t>
  </si>
  <si>
    <t>Twin Lake Trucking: Van &amp; Temp Controlled Units</t>
  </si>
  <si>
    <t>Twin River Logistics, Inc.</t>
  </si>
  <si>
    <t>TWGN</t>
  </si>
  <si>
    <t>MC629606</t>
  </si>
  <si>
    <t>Twin Valley Farms Exchange, Inc.</t>
  </si>
  <si>
    <t>TVFM</t>
  </si>
  <si>
    <t>MC236039</t>
  </si>
  <si>
    <t>Twiss Transport, Inc.</t>
  </si>
  <si>
    <t>TWSS</t>
  </si>
  <si>
    <t>MC407212</t>
  </si>
  <si>
    <t>TXN Management, Inc DBA TXN Logistics</t>
  </si>
  <si>
    <t>TXNL</t>
  </si>
  <si>
    <t>MC431952</t>
  </si>
  <si>
    <t>TYAB INC.</t>
  </si>
  <si>
    <t>TYAO</t>
  </si>
  <si>
    <t>MC807322</t>
  </si>
  <si>
    <t>Tyson Foods, Inc.</t>
  </si>
  <si>
    <t>TYSF</t>
  </si>
  <si>
    <t>MC145655</t>
  </si>
  <si>
    <t>U. S. Postal Service: Truck Fleet</t>
  </si>
  <si>
    <t>U. S. Transport</t>
  </si>
  <si>
    <t>USDI</t>
  </si>
  <si>
    <t>MC515746</t>
  </si>
  <si>
    <t>U.S. Xpress Enterprises, Inc.: U.S.Xpress, Inc./USXI-Complete</t>
  </si>
  <si>
    <t>MC188121</t>
  </si>
  <si>
    <t>Uka Transportation LLC.</t>
  </si>
  <si>
    <t>UTLW</t>
  </si>
  <si>
    <t>MC694892</t>
  </si>
  <si>
    <t>Uncommon Carrier, Inc.</t>
  </si>
  <si>
    <t>UNMC</t>
  </si>
  <si>
    <t>MC190952</t>
  </si>
  <si>
    <t>UniGroup Logistics Fleet: Mayflower Tranist, LLC</t>
  </si>
  <si>
    <t>UniGroup Logistics Fleet: United Van Lines, LLC</t>
  </si>
  <si>
    <t>Unimark Lowboy Transportation LLC</t>
  </si>
  <si>
    <t>UMLT</t>
  </si>
  <si>
    <t>MC593409</t>
  </si>
  <si>
    <t>United Brothers Transport Ltd.: UBT</t>
  </si>
  <si>
    <t>United California Freight Solutions, Inc.</t>
  </si>
  <si>
    <t>UCFN</t>
  </si>
  <si>
    <t>MC652190</t>
  </si>
  <si>
    <t>United Express LLC</t>
  </si>
  <si>
    <t>UNEP</t>
  </si>
  <si>
    <t>MC785301</t>
  </si>
  <si>
    <t>United Logistic Services Group Inc</t>
  </si>
  <si>
    <t>ULSB</t>
  </si>
  <si>
    <t>MC900009</t>
  </si>
  <si>
    <t>United Natural Foods Inc. (UNFI)</t>
  </si>
  <si>
    <t>MC308546</t>
  </si>
  <si>
    <t>United Road Services, Inc.</t>
  </si>
  <si>
    <t>MC343084</t>
  </si>
  <si>
    <t>United Vision Logistics: Flatbed</t>
  </si>
  <si>
    <t>MC194705</t>
  </si>
  <si>
    <t>Universal Freight Express, LLC</t>
  </si>
  <si>
    <t>UFER</t>
  </si>
  <si>
    <t>MC194107</t>
  </si>
  <si>
    <t>Universal Transportation Services, LLC d/b/a Calhoun Truck Lines</t>
  </si>
  <si>
    <t>CHKD</t>
  </si>
  <si>
    <t>MC201062</t>
  </si>
  <si>
    <t>Universal Truckload, Inc: Dedicated</t>
  </si>
  <si>
    <t>UDCD</t>
  </si>
  <si>
    <t>MC181004</t>
  </si>
  <si>
    <t>Universal Truckload, Inc: Intermodal</t>
  </si>
  <si>
    <t>UISA</t>
  </si>
  <si>
    <t>MC468507</t>
  </si>
  <si>
    <t>Universal Truckload, Inc: Specialized</t>
  </si>
  <si>
    <t>UVSI</t>
  </si>
  <si>
    <t>MC376139</t>
  </si>
  <si>
    <t>Universal Truckload, Inc: Truckload</t>
  </si>
  <si>
    <t>UACL</t>
  </si>
  <si>
    <t>MC59583</t>
  </si>
  <si>
    <t>Universe Carrier Inc: Flatbed division</t>
  </si>
  <si>
    <t>UVCN</t>
  </si>
  <si>
    <t>MC740221</t>
  </si>
  <si>
    <t>Updike Distribution Logistics, LLC</t>
  </si>
  <si>
    <t>UDLC</t>
  </si>
  <si>
    <t>MC651505</t>
  </si>
  <si>
    <t>UPS Freight LTL (Less-Than-Truckload)</t>
  </si>
  <si>
    <t>UPGF</t>
  </si>
  <si>
    <t>MC109533</t>
  </si>
  <si>
    <t>UPS Freight Truckload: Truckload</t>
  </si>
  <si>
    <t>Urzua Trucking</t>
  </si>
  <si>
    <t>URZA</t>
  </si>
  <si>
    <t>MC743869</t>
  </si>
  <si>
    <t>US 1 XPRESS INC: 01</t>
  </si>
  <si>
    <t>USOO</t>
  </si>
  <si>
    <t>MC473251</t>
  </si>
  <si>
    <t>US Atlantic Express: 001</t>
  </si>
  <si>
    <t>MC670979</t>
  </si>
  <si>
    <t>US AutoLogistics, LLC.: USAL</t>
  </si>
  <si>
    <t>USAA</t>
  </si>
  <si>
    <t>MC226461</t>
  </si>
  <si>
    <t>US Foods Inc.</t>
  </si>
  <si>
    <t>USFD</t>
  </si>
  <si>
    <t>MC221931</t>
  </si>
  <si>
    <t>US Truck Line</t>
  </si>
  <si>
    <t>USKE</t>
  </si>
  <si>
    <t>MC836255</t>
  </si>
  <si>
    <t>USA Truck, Inc.</t>
  </si>
  <si>
    <t>USIR,USIL,USAT</t>
  </si>
  <si>
    <t>MC161412</t>
  </si>
  <si>
    <t>USXL Worldwide</t>
  </si>
  <si>
    <t>USXL</t>
  </si>
  <si>
    <t>MC443561</t>
  </si>
  <si>
    <t>UWC Transportation, LLC</t>
  </si>
  <si>
    <t>UWCT</t>
  </si>
  <si>
    <t>MC265420</t>
  </si>
  <si>
    <t>V&amp;S Midwest Carriers Corp.</t>
  </si>
  <si>
    <t>VSMW</t>
  </si>
  <si>
    <t>MC187929</t>
  </si>
  <si>
    <t>V3 Transportation, LLC</t>
  </si>
  <si>
    <t>VTVN</t>
  </si>
  <si>
    <t>MC807828</t>
  </si>
  <si>
    <t>Valley Cartage</t>
  </si>
  <si>
    <t>VALC</t>
  </si>
  <si>
    <t>MC199728</t>
  </si>
  <si>
    <t>Valley Equipment Leasing, Inc.</t>
  </si>
  <si>
    <t>VLYE</t>
  </si>
  <si>
    <t>MC147300</t>
  </si>
  <si>
    <t>Valley Express, LLC</t>
  </si>
  <si>
    <t>VLYP</t>
  </si>
  <si>
    <t>MC325475</t>
  </si>
  <si>
    <t>Van Eck Family Trucking, Inc.</t>
  </si>
  <si>
    <t>VEFT</t>
  </si>
  <si>
    <t>MC310741</t>
  </si>
  <si>
    <t>Van Eerden Trucking Company</t>
  </si>
  <si>
    <t>VAEC</t>
  </si>
  <si>
    <t>MC150247</t>
  </si>
  <si>
    <t>Van Groll Trucking, Inc</t>
  </si>
  <si>
    <t>VNGL</t>
  </si>
  <si>
    <t>MC140947</t>
  </si>
  <si>
    <t>Van Groningen Transport, Inc.</t>
  </si>
  <si>
    <t>MC955025</t>
  </si>
  <si>
    <t>Van Wyk, Inc.</t>
  </si>
  <si>
    <t>VNWK</t>
  </si>
  <si>
    <t>MC146814</t>
  </si>
  <si>
    <t>Vand LLC</t>
  </si>
  <si>
    <t>Vansea Transport Ltd: Canada &amp; US Vans &amp; Containers</t>
  </si>
  <si>
    <t>VSTL</t>
  </si>
  <si>
    <t>Variety Wholesale, LLC. dba: Variety Logistics</t>
  </si>
  <si>
    <t>vrtg</t>
  </si>
  <si>
    <t>MC411420</t>
  </si>
  <si>
    <t>Vaughan Xpress, Inc</t>
  </si>
  <si>
    <t>VNXI</t>
  </si>
  <si>
    <t>MC688618</t>
  </si>
  <si>
    <t>Vedder Transport Ltd.</t>
  </si>
  <si>
    <t>VEDR</t>
  </si>
  <si>
    <t>MC307574</t>
  </si>
  <si>
    <t>Vega Transport</t>
  </si>
  <si>
    <t>VGAL</t>
  </si>
  <si>
    <t>Velic Transportation Inc.</t>
  </si>
  <si>
    <t>VTXN</t>
  </si>
  <si>
    <t>MC551229</t>
  </si>
  <si>
    <t>Veltri, Inc</t>
  </si>
  <si>
    <t>VERI</t>
  </si>
  <si>
    <t>MC481594</t>
  </si>
  <si>
    <t>Venture Logistics, Inc.</t>
  </si>
  <si>
    <t>VNLO</t>
  </si>
  <si>
    <t>MC394445</t>
  </si>
  <si>
    <t>Veriha Trucking, Inc</t>
  </si>
  <si>
    <t>VRJT</t>
  </si>
  <si>
    <t>MC154766</t>
  </si>
  <si>
    <t>Veritiv Operating Company: Canada Fleet</t>
  </si>
  <si>
    <t>Veritiv Operating Company: US Fleet</t>
  </si>
  <si>
    <t>DSWD</t>
  </si>
  <si>
    <t>Vero Logistics LLC</t>
  </si>
  <si>
    <t>VLOA</t>
  </si>
  <si>
    <t>MC607097</t>
  </si>
  <si>
    <t>Verspeeten Cartage Ltd.</t>
  </si>
  <si>
    <t>VERC</t>
  </si>
  <si>
    <t>MC152320</t>
  </si>
  <si>
    <t>Verst Group Logistics</t>
  </si>
  <si>
    <t>VGXP</t>
  </si>
  <si>
    <t>MC250574</t>
  </si>
  <si>
    <t>Vette City Transportation, LLC</t>
  </si>
  <si>
    <t>VCTP</t>
  </si>
  <si>
    <t>MC492697</t>
  </si>
  <si>
    <t>VHI Express, Inc.: Truckload and Dray</t>
  </si>
  <si>
    <t>VHIE</t>
  </si>
  <si>
    <t>MC724099</t>
  </si>
  <si>
    <t>Vicinity Transportation Ltd.</t>
  </si>
  <si>
    <t>VYXN</t>
  </si>
  <si>
    <t>Victoria Food Distribution, LLC</t>
  </si>
  <si>
    <t>VIAI</t>
  </si>
  <si>
    <t>MC429759</t>
  </si>
  <si>
    <t>Victory Leasing Inc</t>
  </si>
  <si>
    <t>VICL</t>
  </si>
  <si>
    <t>MC151493</t>
  </si>
  <si>
    <t>Villa Park Trucking, Inc</t>
  </si>
  <si>
    <t>VPKT</t>
  </si>
  <si>
    <t>MC234233</t>
  </si>
  <si>
    <t>Vince Paladino Farms, Inc.</t>
  </si>
  <si>
    <t>PDAL</t>
  </si>
  <si>
    <t>MC241272</t>
  </si>
  <si>
    <t>Vine Line Trucking LLC</t>
  </si>
  <si>
    <t>VLTL</t>
  </si>
  <si>
    <t>MC284149</t>
  </si>
  <si>
    <t>Virdi Trucking Company</t>
  </si>
  <si>
    <t>VKCT</t>
  </si>
  <si>
    <t>MC558359</t>
  </si>
  <si>
    <t>Virginia Transportation Corp.</t>
  </si>
  <si>
    <t>VTCR</t>
  </si>
  <si>
    <t>MC258963</t>
  </si>
  <si>
    <t>Virnich Corporation</t>
  </si>
  <si>
    <t>VCOP</t>
  </si>
  <si>
    <t>MC776398</t>
  </si>
  <si>
    <t>Vitesse Trucking Services Inc./ Services de Camion</t>
  </si>
  <si>
    <t>VTKS</t>
  </si>
  <si>
    <t>MC488450</t>
  </si>
  <si>
    <t>VMW Express, LLC</t>
  </si>
  <si>
    <t>VMWE</t>
  </si>
  <si>
    <t>MC669888</t>
  </si>
  <si>
    <t>Volk Transfer, Inc.: VLKT</t>
  </si>
  <si>
    <t>VLKT</t>
  </si>
  <si>
    <t>MC301279</t>
  </si>
  <si>
    <t>Volume Transportation, Inc.</t>
  </si>
  <si>
    <t>VOUM</t>
  </si>
  <si>
    <t>MC250804</t>
  </si>
  <si>
    <t>Volunteer Express Inc.</t>
  </si>
  <si>
    <t>VOLT</t>
  </si>
  <si>
    <t>MC121699</t>
  </si>
  <si>
    <t>Vortex Express Inc.</t>
  </si>
  <si>
    <t>MC747168</t>
  </si>
  <si>
    <t>Voyager Express Inc - Detroit, MI</t>
  </si>
  <si>
    <t>VYEI</t>
  </si>
  <si>
    <t>MC698318</t>
  </si>
  <si>
    <t>Voyager Express One Inc - Detroit, MI</t>
  </si>
  <si>
    <t>VEOI</t>
  </si>
  <si>
    <t>MC765808</t>
  </si>
  <si>
    <t>Voyager Express, Inc.</t>
  </si>
  <si>
    <t>VYGR</t>
  </si>
  <si>
    <t>MC292157</t>
  </si>
  <si>
    <t>W B Produce Haulers Inc.: W B Produce Haulers, Inc.</t>
  </si>
  <si>
    <t>WBPR</t>
  </si>
  <si>
    <t>MC128734</t>
  </si>
  <si>
    <t>W&amp;A Distribution Services Inc</t>
  </si>
  <si>
    <t>WNAD</t>
  </si>
  <si>
    <t>MC237709</t>
  </si>
  <si>
    <t>W. J. Beitler Co. and Beitler Trucking, Inc.</t>
  </si>
  <si>
    <t>BEIT</t>
  </si>
  <si>
    <t>MC151846</t>
  </si>
  <si>
    <t>W. L. Logan Trucking Co.</t>
  </si>
  <si>
    <t>LGNQ</t>
  </si>
  <si>
    <t>MC159283</t>
  </si>
  <si>
    <t>W. W. Transport, Inc.: Flatbed</t>
  </si>
  <si>
    <t>WWSP</t>
  </si>
  <si>
    <t>MC244510</t>
  </si>
  <si>
    <t>W. W. Transport, Inc.: Pneumatic/Liquid</t>
  </si>
  <si>
    <t>W. W. Transport, Inc.: Refrigerated</t>
  </si>
  <si>
    <t>W. W. Transport, Inc.: Rock/Cement</t>
  </si>
  <si>
    <t>W.D. Potato Limited</t>
  </si>
  <si>
    <t>WDPO</t>
  </si>
  <si>
    <t>MC268234</t>
  </si>
  <si>
    <t>W.N. Morehouse Truckline, Inc.</t>
  </si>
  <si>
    <t>MOHS</t>
  </si>
  <si>
    <t>MC048221</t>
  </si>
  <si>
    <t>W2 Logistic Inc: Carrier</t>
  </si>
  <si>
    <t>WTGI</t>
  </si>
  <si>
    <t>MC492258</t>
  </si>
  <si>
    <t>Wadhams Enterprises, Inc.: ARG Trucking, Corp.</t>
  </si>
  <si>
    <t>ARGC</t>
  </si>
  <si>
    <t>MC285935</t>
  </si>
  <si>
    <t>Wadhams Enterprises, Inc.: Earl T. Wadhams, Inc.</t>
  </si>
  <si>
    <t>MC154097</t>
  </si>
  <si>
    <t>Wadhams Enterprises, Inc.: RIST Transport, Ltd dba Howard's Express</t>
  </si>
  <si>
    <t>HWEP</t>
  </si>
  <si>
    <t>MC285525</t>
  </si>
  <si>
    <t>Wadhams Enterprises, Inc.: RIST Transport, Ltd.</t>
  </si>
  <si>
    <t>RISF</t>
  </si>
  <si>
    <t>Waitt Trucking, Inc</t>
  </si>
  <si>
    <t>WAIT</t>
  </si>
  <si>
    <t>MC213126</t>
  </si>
  <si>
    <t>Walbon &amp; Company, Inc.</t>
  </si>
  <si>
    <t>WABN</t>
  </si>
  <si>
    <t>MC141583</t>
  </si>
  <si>
    <t>Waletich Corporation</t>
  </si>
  <si>
    <t>WLCO</t>
  </si>
  <si>
    <t>MC396840</t>
  </si>
  <si>
    <t>Walgreen Oshkosh, Inc.</t>
  </si>
  <si>
    <t>WAOS,WAGL</t>
  </si>
  <si>
    <t>MC154716</t>
  </si>
  <si>
    <t>Wall Trucking, Inc d/b/a Wall, Inc</t>
  </si>
  <si>
    <t>WALG</t>
  </si>
  <si>
    <t>MC295517</t>
  </si>
  <si>
    <t>Waller Truck Company, Inc.</t>
  </si>
  <si>
    <t>WALR</t>
  </si>
  <si>
    <t>MC59444</t>
  </si>
  <si>
    <t>Walmart Transportation, LLC</t>
  </si>
  <si>
    <t>WALM</t>
  </si>
  <si>
    <t>MC311233</t>
  </si>
  <si>
    <t>Walpole, Inc.</t>
  </si>
  <si>
    <t>WLPO</t>
  </si>
  <si>
    <t>MC178490</t>
  </si>
  <si>
    <t>Wanship Enterprises LLC</t>
  </si>
  <si>
    <t>WSHE</t>
  </si>
  <si>
    <t>MC211519</t>
  </si>
  <si>
    <t>Ward Transport and Logistics LLC: Ward Trucking LTL</t>
  </si>
  <si>
    <t>WARD</t>
  </si>
  <si>
    <t>MC065916</t>
  </si>
  <si>
    <t>Ward Transport and Logistics LLC: Ward Truckload</t>
  </si>
  <si>
    <t>WDTC</t>
  </si>
  <si>
    <t>MC487116</t>
  </si>
  <si>
    <t>Warren Transport, Inc.: Dry Van</t>
  </si>
  <si>
    <t>WNTT</t>
  </si>
  <si>
    <t>Warren Transport, Inc.: Machinery</t>
  </si>
  <si>
    <t>Washington Transfer, Inc.</t>
  </si>
  <si>
    <t>WSHT</t>
  </si>
  <si>
    <t>MC459424</t>
  </si>
  <si>
    <t>Waste Management: Collection and Support Vehicles</t>
  </si>
  <si>
    <t>Watkins and Shepard Trucking, Inc.: Less Than Truckload</t>
  </si>
  <si>
    <t>WKSH</t>
  </si>
  <si>
    <t>MC176957</t>
  </si>
  <si>
    <t>Watkins and Shepard Trucking, Inc.: Truckload</t>
  </si>
  <si>
    <t>WSVT</t>
  </si>
  <si>
    <t>Watsontown Trucking Company</t>
  </si>
  <si>
    <t>WATW</t>
  </si>
  <si>
    <t>MC133367</t>
  </si>
  <si>
    <t>Watt &amp; Stewart Commodities Inc.</t>
  </si>
  <si>
    <t>WATT</t>
  </si>
  <si>
    <t>Wayne Olson Inc</t>
  </si>
  <si>
    <t>OLWJ</t>
  </si>
  <si>
    <t>MC172964</t>
  </si>
  <si>
    <t>WDF Inc.</t>
  </si>
  <si>
    <t>WDFC</t>
  </si>
  <si>
    <t>MC141127</t>
  </si>
  <si>
    <t>WDS Enterprises Inc.</t>
  </si>
  <si>
    <t>WDSI</t>
  </si>
  <si>
    <t>MC241636</t>
  </si>
  <si>
    <t>Webb Pallet Service Inc.</t>
  </si>
  <si>
    <t>WPSN</t>
  </si>
  <si>
    <t>MC743148</t>
  </si>
  <si>
    <t>Weber Logistics</t>
  </si>
  <si>
    <t>WDWI</t>
  </si>
  <si>
    <t>MC041665</t>
  </si>
  <si>
    <t>Weiland Trucking Company, Inc.</t>
  </si>
  <si>
    <t>WELD</t>
  </si>
  <si>
    <t>MC143373</t>
  </si>
  <si>
    <t>Weis Markets, Inc.</t>
  </si>
  <si>
    <t>MC420363</t>
  </si>
  <si>
    <t>WEL Companies, Inc.: Trucking Division</t>
  </si>
  <si>
    <t>WIEL</t>
  </si>
  <si>
    <t>MC142305</t>
  </si>
  <si>
    <t>Wells Leasing</t>
  </si>
  <si>
    <t>WLDB</t>
  </si>
  <si>
    <t>MC140638</t>
  </si>
  <si>
    <t>Wellsite Delivery Services, Inc.</t>
  </si>
  <si>
    <t>WDS</t>
  </si>
  <si>
    <t>MC788161</t>
  </si>
  <si>
    <t>Wenger Truck Line, Inc.</t>
  </si>
  <si>
    <t>WENG</t>
  </si>
  <si>
    <t>MC109818</t>
  </si>
  <si>
    <t>Werner Enterprises: Complete</t>
  </si>
  <si>
    <t>WENP,WEND,WENL,WGLL,WENF,WMMD,WEDV,WERN,WVAS,WMMI,WVAD,WRBH</t>
  </si>
  <si>
    <t>MC13828</t>
  </si>
  <si>
    <t>Werner Enterprises: Dedicated</t>
  </si>
  <si>
    <t>Werner Enterprises: Flatbed</t>
  </si>
  <si>
    <t>Werner Enterprises: Intermodal</t>
  </si>
  <si>
    <t>Werner Enterprises: Reefer</t>
  </si>
  <si>
    <t>Werner Enterprises: Van One-Way</t>
  </si>
  <si>
    <t>West End Express Co. Inc</t>
  </si>
  <si>
    <t>WEXI</t>
  </si>
  <si>
    <t>MC678823</t>
  </si>
  <si>
    <t>West Marine Products</t>
  </si>
  <si>
    <t>WMPU</t>
  </si>
  <si>
    <t>MC0010084</t>
  </si>
  <si>
    <t>West Motor Freight</t>
  </si>
  <si>
    <t>WESM</t>
  </si>
  <si>
    <t>MC021866</t>
  </si>
  <si>
    <t>West Side Transport, Inc.</t>
  </si>
  <si>
    <t>WSGS</t>
  </si>
  <si>
    <t>MC160875</t>
  </si>
  <si>
    <t>West Wind Logistics Inc</t>
  </si>
  <si>
    <t>WWLL</t>
  </si>
  <si>
    <t>MC503969</t>
  </si>
  <si>
    <t>Westco Express, Inc.</t>
  </si>
  <si>
    <t>WSXR</t>
  </si>
  <si>
    <t>MC492158</t>
  </si>
  <si>
    <t>Western Canada Express Inc.</t>
  </si>
  <si>
    <t>WCNE</t>
  </si>
  <si>
    <t>Western Dist. Trans., Corp.</t>
  </si>
  <si>
    <t>MC142969</t>
  </si>
  <si>
    <t>Western Express, Inc.</t>
  </si>
  <si>
    <t>WSXI</t>
  </si>
  <si>
    <t>MC260323</t>
  </si>
  <si>
    <t>Western Flyer Express, LLC</t>
  </si>
  <si>
    <t>WFLY</t>
  </si>
  <si>
    <t>MC309036</t>
  </si>
  <si>
    <t>Western Freight Carrier, Inc.</t>
  </si>
  <si>
    <t>WFCR</t>
  </si>
  <si>
    <t>Western Ports Transportation*: Intermodal Drayage</t>
  </si>
  <si>
    <t>WPTT</t>
  </si>
  <si>
    <t>MC225438</t>
  </si>
  <si>
    <t>Western Provisions Inc</t>
  </si>
  <si>
    <t>WSEE</t>
  </si>
  <si>
    <t>MC167322</t>
  </si>
  <si>
    <t>Western Transport Inc</t>
  </si>
  <si>
    <t>WEWH</t>
  </si>
  <si>
    <t>MC153122</t>
  </si>
  <si>
    <t>WestWind Logistics, LLC</t>
  </si>
  <si>
    <t>WWIN</t>
  </si>
  <si>
    <t>MC405962</t>
  </si>
  <si>
    <t>Wheaton Worldwide Moving | Bekins Van Lines, Inc.: Wheaton Van Lines, Inc.</t>
  </si>
  <si>
    <t>MC87113</t>
  </si>
  <si>
    <t>Wheeler Trucking Inc</t>
  </si>
  <si>
    <t>WHKQ</t>
  </si>
  <si>
    <t>MC699302</t>
  </si>
  <si>
    <t>White Rock Motors Inc.</t>
  </si>
  <si>
    <t>WRMN</t>
  </si>
  <si>
    <t>MC867768</t>
  </si>
  <si>
    <t>White Transportation Services, Inc.</t>
  </si>
  <si>
    <t>WTTS</t>
  </si>
  <si>
    <t>MC178597</t>
  </si>
  <si>
    <t>Whitehawk Transport Ltd</t>
  </si>
  <si>
    <t>WHKD</t>
  </si>
  <si>
    <t>MC595728</t>
  </si>
  <si>
    <t>Whiteline Express Ltd.: Whiteline Fleet</t>
  </si>
  <si>
    <t>WLEL</t>
  </si>
  <si>
    <t>MC163645</t>
  </si>
  <si>
    <t>Whitestone Transportation</t>
  </si>
  <si>
    <t>WHXN</t>
  </si>
  <si>
    <t>MC745419</t>
  </si>
  <si>
    <t>Wilburn Archer Trucking</t>
  </si>
  <si>
    <t>Wild West Express, Inc.</t>
  </si>
  <si>
    <t>WWXR</t>
  </si>
  <si>
    <t>MC312396</t>
  </si>
  <si>
    <t>Wiley Sanders Truck Lines, Inc.</t>
  </si>
  <si>
    <t>SDRW</t>
  </si>
  <si>
    <t>MC138882</t>
  </si>
  <si>
    <t>william a spencer jr trucking inc</t>
  </si>
  <si>
    <t>SPEN</t>
  </si>
  <si>
    <t>MC374652</t>
  </si>
  <si>
    <t>William E. Lee &amp; Sons Trucking</t>
  </si>
  <si>
    <t>LWES</t>
  </si>
  <si>
    <t>MC228076</t>
  </si>
  <si>
    <t>Williams NationaLease, Ltd: WNL Transportation, LLC</t>
  </si>
  <si>
    <t>WNLT</t>
  </si>
  <si>
    <t>MC610830</t>
  </si>
  <si>
    <t>Williams NationaLease: Williams Systems  LLC</t>
  </si>
  <si>
    <t>WMSN</t>
  </si>
  <si>
    <t>MC316904</t>
  </si>
  <si>
    <t>Willow Express</t>
  </si>
  <si>
    <t>WXTA</t>
  </si>
  <si>
    <t>MC707213</t>
  </si>
  <si>
    <t>Wilride Transport Ltd.</t>
  </si>
  <si>
    <t>WIRD</t>
  </si>
  <si>
    <t>MC250760</t>
  </si>
  <si>
    <t>Wilson Inland Contract Carriers</t>
  </si>
  <si>
    <t>INLY</t>
  </si>
  <si>
    <t>MC135726</t>
  </si>
  <si>
    <t>Wilson Trucking Corporation</t>
  </si>
  <si>
    <t>WTVA</t>
  </si>
  <si>
    <t>MC0064600</t>
  </si>
  <si>
    <t>WinCo Foods, LLC</t>
  </si>
  <si>
    <t>WINC</t>
  </si>
  <si>
    <t>MC258565</t>
  </si>
  <si>
    <t>Windy Hill Foliage, Inc.</t>
  </si>
  <si>
    <t>WNDY</t>
  </si>
  <si>
    <t>MC157375</t>
  </si>
  <si>
    <t>Wise Truck Lines, LLC</t>
  </si>
  <si>
    <t>Withers LP</t>
  </si>
  <si>
    <t>Witte Brothere Exchange Inc: 1</t>
  </si>
  <si>
    <t>WTTY</t>
  </si>
  <si>
    <t>MC125299</t>
  </si>
  <si>
    <t>WJW Associates, LTD: WJWA</t>
  </si>
  <si>
    <t>WJWA</t>
  </si>
  <si>
    <t>MC216842</t>
  </si>
  <si>
    <t>WLA, Inc</t>
  </si>
  <si>
    <t>WLAY</t>
  </si>
  <si>
    <t>MC196859</t>
  </si>
  <si>
    <t>Wolverine Freight System</t>
  </si>
  <si>
    <t>WOVT</t>
  </si>
  <si>
    <t>MC176742</t>
  </si>
  <si>
    <t>Woodfield, Inc.</t>
  </si>
  <si>
    <t>WDFE</t>
  </si>
  <si>
    <t>MC270255</t>
  </si>
  <si>
    <t>Woody Bogler Trucking Company</t>
  </si>
  <si>
    <t>BWOT</t>
  </si>
  <si>
    <t>MC204262</t>
  </si>
  <si>
    <t>Woody's LLC</t>
  </si>
  <si>
    <t>WODI</t>
  </si>
  <si>
    <t>MC741261</t>
  </si>
  <si>
    <t>Wooster Motor Ways Inc.: wosq</t>
  </si>
  <si>
    <t>WOSQ</t>
  </si>
  <si>
    <t>World Wide Carriers Ltd.</t>
  </si>
  <si>
    <t>WWCI</t>
  </si>
  <si>
    <t>MC523846</t>
  </si>
  <si>
    <t>Worldwide Logistics &amp; Transportation, Inc</t>
  </si>
  <si>
    <t>WLTI</t>
  </si>
  <si>
    <t>MC775939</t>
  </si>
  <si>
    <t>Wright Transportation, Inc.</t>
  </si>
  <si>
    <t>WRHT</t>
  </si>
  <si>
    <t>MC353905</t>
  </si>
  <si>
    <t>WSI Transportation, LLC</t>
  </si>
  <si>
    <t>WSIY</t>
  </si>
  <si>
    <t>MC161245</t>
  </si>
  <si>
    <t>WTI Transport Inc.: WBTT</t>
  </si>
  <si>
    <t>WBTT</t>
  </si>
  <si>
    <t>MC220995</t>
  </si>
  <si>
    <t>Xcelerated Transportation Group: Xcelerated Transportation</t>
  </si>
  <si>
    <t>XCTG</t>
  </si>
  <si>
    <t>MC366458</t>
  </si>
  <si>
    <t>Xfinity Freight Systems, Inc.</t>
  </si>
  <si>
    <t>XFSN</t>
  </si>
  <si>
    <t>MC798044</t>
  </si>
  <si>
    <t>XPO Cartage, Inc.</t>
  </si>
  <si>
    <t>XPOK</t>
  </si>
  <si>
    <t>MC097977</t>
  </si>
  <si>
    <t>XPO Drayage, Inc.</t>
  </si>
  <si>
    <t>XPDR</t>
  </si>
  <si>
    <t>MC164032</t>
  </si>
  <si>
    <t>XPO Express, Inc.</t>
  </si>
  <si>
    <t>EPOI</t>
  </si>
  <si>
    <t>MC219694</t>
  </si>
  <si>
    <t>XPO Last Mile, Inc.: USA</t>
  </si>
  <si>
    <t>URBS</t>
  </si>
  <si>
    <t>MC181215</t>
  </si>
  <si>
    <t>XPO Logistics Freight, Inc.: Less-Than-Truckload</t>
  </si>
  <si>
    <t>MC165377</t>
  </si>
  <si>
    <t>XPress Cargo, Inc.</t>
  </si>
  <si>
    <t>XPRC</t>
  </si>
  <si>
    <t>MC542988</t>
  </si>
  <si>
    <t>Xpress Global Systems, LLC: XGSI</t>
  </si>
  <si>
    <t>Xpress Transport, Inc.</t>
  </si>
  <si>
    <t>XPTQ</t>
  </si>
  <si>
    <t>MC555382</t>
  </si>
  <si>
    <t>XTL Transport Inc.</t>
  </si>
  <si>
    <t>XTLT</t>
  </si>
  <si>
    <t>MC191587</t>
  </si>
  <si>
    <t>XTL, Inc.</t>
  </si>
  <si>
    <t>XTLI</t>
  </si>
  <si>
    <t>MC396155</t>
  </si>
  <si>
    <t>Yandell Truckaway Inc.: Yand</t>
  </si>
  <si>
    <t>YAND</t>
  </si>
  <si>
    <t>MC018445</t>
  </si>
  <si>
    <t>Yarbrough Transfer Company</t>
  </si>
  <si>
    <t>YARB</t>
  </si>
  <si>
    <t>MC112288</t>
  </si>
  <si>
    <t>YRC Worldwide Inc.: Holland</t>
  </si>
  <si>
    <t>HMES</t>
  </si>
  <si>
    <t>MC075806</t>
  </si>
  <si>
    <t>YRC Worldwide Inc.: New Penn</t>
  </si>
  <si>
    <t>NPME</t>
  </si>
  <si>
    <t>MC010670</t>
  </si>
  <si>
    <t>YRC Worldwide Inc.: Reddaway</t>
  </si>
  <si>
    <t>RETL</t>
  </si>
  <si>
    <t>MC062227</t>
  </si>
  <si>
    <t>Yu Express Inc.</t>
  </si>
  <si>
    <t>YUES</t>
  </si>
  <si>
    <t>MC475776</t>
  </si>
  <si>
    <t>Yuhak LLC</t>
  </si>
  <si>
    <t>MC459975</t>
  </si>
  <si>
    <t>Z Trucking LLC</t>
  </si>
  <si>
    <t>ZTRK</t>
  </si>
  <si>
    <t>MC466579</t>
  </si>
  <si>
    <t>Zachrich Trucking Inc.</t>
  </si>
  <si>
    <t>ZAHT</t>
  </si>
  <si>
    <t>MC190396</t>
  </si>
  <si>
    <t>Zavcor Trucking Limited</t>
  </si>
  <si>
    <t>ZVCR</t>
  </si>
  <si>
    <t>MC233297</t>
  </si>
  <si>
    <t>Zeitner &amp; Sons, Inc.</t>
  </si>
  <si>
    <t>ZENS</t>
  </si>
  <si>
    <t>MC212557</t>
  </si>
  <si>
    <t>Zeko Transport Inc</t>
  </si>
  <si>
    <t>ZKTI</t>
  </si>
  <si>
    <t>MC624544</t>
  </si>
  <si>
    <t>Zero Mountain Logistics</t>
  </si>
  <si>
    <t>ZMLL</t>
  </si>
  <si>
    <t>MC878554</t>
  </si>
  <si>
    <t>Zimmerman Truck Lines, Inc.</t>
  </si>
  <si>
    <t>ZMTL</t>
  </si>
  <si>
    <t>MC172419</t>
  </si>
  <si>
    <t>Zipp Express, LLC</t>
  </si>
  <si>
    <t>ZIPE</t>
  </si>
  <si>
    <t>MC517654</t>
  </si>
  <si>
    <t>ZNG Freight, Inc.: 1</t>
  </si>
  <si>
    <t>ZNGF</t>
  </si>
  <si>
    <t>MC904632</t>
  </si>
  <si>
    <t>Daseke</t>
  </si>
  <si>
    <t>Transsystem</t>
  </si>
  <si>
    <t>BridgeTerminal</t>
  </si>
  <si>
    <t>mccoy</t>
  </si>
  <si>
    <t>Transportinvest</t>
  </si>
  <si>
    <t>IMCCos</t>
  </si>
  <si>
    <t>Rank 2016</t>
  </si>
  <si>
    <t>Rank 2015</t>
  </si>
  <si>
    <t>Revenue (millions)</t>
  </si>
  <si>
    <t>Net Income (millions)</t>
  </si>
  <si>
    <t>UPS Supply Chain Solutions</t>
  </si>
  <si>
    <t>3,108 est</t>
  </si>
  <si>
    <t>XPO Logistics Inc.</t>
  </si>
  <si>
    <t>2,841 est</t>
  </si>
  <si>
    <t>5,536 est</t>
  </si>
  <si>
    <t>2,660 est</t>
  </si>
  <si>
    <t>-</t>
  </si>
  <si>
    <t>C.H. Robinson Worldwide</t>
  </si>
  <si>
    <t>Expeditors International of Washington</t>
  </si>
  <si>
    <t>1,925 est</t>
  </si>
  <si>
    <t>2,443 est</t>
  </si>
  <si>
    <t>DHL Supply Chain</t>
  </si>
  <si>
    <t>FedEx Corp.</t>
  </si>
  <si>
    <t>1,625 est</t>
  </si>
  <si>
    <t>Ceva Logistics</t>
  </si>
  <si>
    <t>1,570 est</t>
  </si>
  <si>
    <t>Americold Logistics</t>
  </si>
  <si>
    <t>1,555 est</t>
  </si>
  <si>
    <t>UTi Worldwide</t>
  </si>
  <si>
    <t>1,330 est</t>
  </si>
  <si>
    <t>3,696 est</t>
  </si>
  <si>
    <t>Schneider</t>
  </si>
  <si>
    <t>1,275 est</t>
  </si>
  <si>
    <t>3,480 est</t>
  </si>
  <si>
    <t>Kuehne + Nagel Inc.</t>
  </si>
  <si>
    <t>1,150 est</t>
  </si>
  <si>
    <t>1,430 est</t>
  </si>
  <si>
    <t>NFI</t>
  </si>
  <si>
    <t>1,065 est</t>
  </si>
  <si>
    <t>1,418 est</t>
  </si>
  <si>
    <t>DB Schenker USA</t>
  </si>
  <si>
    <t>Neovia Logistics</t>
  </si>
  <si>
    <t>Werner Global Logistics</t>
  </si>
  <si>
    <t>Ruan</t>
  </si>
  <si>
    <t>Lineage Logistics</t>
  </si>
  <si>
    <t>OHL</t>
  </si>
  <si>
    <t>732 est</t>
  </si>
  <si>
    <t>Cardinal Logistics Holdings</t>
  </si>
  <si>
    <t>681 est</t>
  </si>
  <si>
    <t>APL Logistics</t>
  </si>
  <si>
    <t>660 est</t>
  </si>
  <si>
    <t>Kenco Group</t>
  </si>
  <si>
    <t>Panalpina Inc.</t>
  </si>
  <si>
    <t>Total Quality Logistics</t>
  </si>
  <si>
    <t>Universal Logistics Holdings Inc.</t>
  </si>
  <si>
    <t>Hub Group</t>
  </si>
  <si>
    <t>Saddle Creek Logistics Services</t>
  </si>
  <si>
    <t>U.S. Xpress Inc.</t>
  </si>
  <si>
    <t>BDP International</t>
  </si>
  <si>
    <t>292 est</t>
  </si>
  <si>
    <t>1,760 est</t>
  </si>
  <si>
    <t>Toll Global Forwarding</t>
  </si>
  <si>
    <t>Burris Logistics</t>
  </si>
  <si>
    <t>Preferred Freezer Services</t>
  </si>
  <si>
    <t>265 est</t>
  </si>
  <si>
    <t>Apex Logistics International</t>
  </si>
  <si>
    <t>255 est</t>
  </si>
  <si>
    <t>Cowan Logistics</t>
  </si>
  <si>
    <t>Fidelitone</t>
  </si>
  <si>
    <t>Estenson Logistics</t>
  </si>
  <si>
    <t>Averitt Express Inc.</t>
  </si>
  <si>
    <t>Worldwide Express</t>
  </si>
  <si>
    <t>200 est</t>
  </si>
  <si>
    <t>Radiant Logistics</t>
  </si>
  <si>
    <t>SCI Group</t>
  </si>
  <si>
    <t>Agility Logistics</t>
  </si>
  <si>
    <t>180 est</t>
  </si>
  <si>
    <t>774 est</t>
  </si>
  <si>
    <t>590 est</t>
  </si>
  <si>
    <t>Rank 2017</t>
  </si>
  <si>
    <t>Revenue(000)</t>
  </si>
  <si>
    <t>Net income(000)</t>
  </si>
  <si>
    <t>UPS Inc.</t>
  </si>
  <si>
    <t>J.B. Hunt Transport Services Inc.</t>
  </si>
  <si>
    <t>TFI International</t>
  </si>
  <si>
    <t>Old Dominion Freight Line Inc.</t>
  </si>
  <si>
    <t>ArcBest</t>
  </si>
  <si>
    <t>Roadrunner Transportation Systems Inc.</t>
  </si>
  <si>
    <t>Werner Enterprises Inc.</t>
  </si>
  <si>
    <t>Purolator Holdings Ltd.</t>
  </si>
  <si>
    <t>R+L Carriers</t>
  </si>
  <si>
    <t>Kenan Advantage Group Inc.</t>
  </si>
  <si>
    <t>Knight-Swift Transportation Holdings</t>
  </si>
  <si>
    <t>Universal Logistics Holdings</t>
  </si>
  <si>
    <t>Celadon Group Inc.</t>
  </si>
  <si>
    <t>Central Transport International</t>
  </si>
  <si>
    <t>Trimac Transportation</t>
  </si>
  <si>
    <t>Marten Transport Ltd.</t>
  </si>
  <si>
    <t>Covenant Transport Services</t>
  </si>
  <si>
    <t>Jack Cooper Holdings Corp.</t>
  </si>
  <si>
    <t>Pitt Ohio Transportation Group</t>
  </si>
  <si>
    <t>Day &amp; Ross Transportation</t>
  </si>
  <si>
    <t>Heartland Express Inc.</t>
  </si>
  <si>
    <t>AAA Cooper Transportation Inc.</t>
  </si>
  <si>
    <t>Suddath</t>
  </si>
  <si>
    <t>Western Express Inc.</t>
  </si>
  <si>
    <t>United Road Services Inc.</t>
  </si>
  <si>
    <t>Mullen Group Ltd.</t>
  </si>
  <si>
    <t>Dayton Freight Lines Inc.</t>
  </si>
  <si>
    <t>PS Logistics</t>
  </si>
  <si>
    <t>Canada Cartage</t>
  </si>
  <si>
    <t>Mercer Transportation Co.</t>
  </si>
  <si>
    <t>Dart Holding Co.</t>
  </si>
  <si>
    <t>P.A.M. Transport</t>
  </si>
  <si>
    <t>TransX Group of Companies</t>
  </si>
  <si>
    <t>Roehl Transport Inc.</t>
  </si>
  <si>
    <t>Maverick USA Inc.</t>
  </si>
  <si>
    <t>Epes Carriers Inc.</t>
  </si>
  <si>
    <t>Dependable Supply Chain Services</t>
  </si>
  <si>
    <t>TransAm Trucking Inc.</t>
  </si>
  <si>
    <t>Foodliner/Quest Liner</t>
  </si>
  <si>
    <t>Salmon Cos.</t>
  </si>
  <si>
    <t>John Christner Trucking</t>
  </si>
  <si>
    <t>Paschall Truck Lines Inc.</t>
  </si>
  <si>
    <t>Superior Bulk Logistics Inc.</t>
  </si>
  <si>
    <t>Rank 2018</t>
  </si>
  <si>
    <t>Two Men and a Truck Movers</t>
  </si>
  <si>
    <t>Eagle Express Lines/Hoovestol Inc.</t>
  </si>
  <si>
    <t>LaserShip Inc.</t>
  </si>
  <si>
    <t>Melton Truck Lines Inc.</t>
  </si>
  <si>
    <t>Acme Truck Line</t>
  </si>
  <si>
    <t>CompanyDivisionName2</t>
  </si>
  <si>
    <t>U.S. Xpress</t>
  </si>
  <si>
    <t>Kenan Advantage</t>
  </si>
  <si>
    <t>Foodliner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</si>
</sst>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585858"/>
      <name val="Arial"/>
      <family val="2"/>
    </font>
    <font>
      <sz val="10"/>
      <color rgb="FF231F20"/>
      <name val="Arial"/>
      <family val="2"/>
    </font>
    <font>
      <b/>
      <sz val="6"/>
      <color rgb="FF231F20"/>
      <name val="Arial"/>
      <family val="2"/>
    </font>
    <font>
      <b/>
      <sz val="6"/>
      <color rgb="FF272526"/>
      <name val="Arial"/>
      <family val="2"/>
    </font>
    <font>
      <sz val="11"/>
      <color rgb="FF272526"/>
      <name val="Calibri"/>
      <family val="2"/>
      <scheme val="minor"/>
    </font>
    <font>
      <sz val="6"/>
      <color rgb="FF27252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medium">
        <color rgb="FFCBCBCB"/>
      </left>
      <right/>
      <top style="medium">
        <color rgb="FFCBCBCB"/>
      </top>
      <bottom/>
      <diagonal/>
    </border>
    <border>
      <left style="medium">
        <color rgb="FFCBCBCB"/>
      </left>
      <right style="medium">
        <color rgb="FFCBCBCB"/>
      </right>
      <top style="medium">
        <color rgb="FFCBCBCB"/>
      </top>
      <bottom/>
      <diagonal/>
    </border>
    <border>
      <left style="medium">
        <color rgb="FFCBCBCB"/>
      </left>
      <right/>
      <top/>
      <bottom style="medium">
        <color rgb="FFCBCBCB"/>
      </bottom>
      <diagonal/>
    </border>
    <border>
      <left style="medium">
        <color rgb="FFCBCBCB"/>
      </left>
      <right style="medium">
        <color rgb="FFCBCBCB"/>
      </right>
      <top/>
      <bottom style="medium">
        <color rgb="FFCBCBCB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2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6" fillId="4" borderId="0" applyNumberFormat="0" applyBorder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1" applyFill="1" applyBorder="1" applyAlignment="1">
      <alignment horizontal="left" vertical="top"/>
    </xf>
    <xf numFmtId="0" fontId="4" fillId="0" borderId="1" xfId="2" applyFont="1" applyBorder="1" applyAlignment="1">
      <alignment horizontal="left" vertical="center" wrapText="1" indent="1"/>
    </xf>
    <xf numFmtId="0" fontId="4" fillId="0" borderId="3" xfId="2" applyFont="1" applyBorder="1" applyAlignment="1">
      <alignment horizontal="left" vertical="center" wrapText="1" inden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4" fillId="0" borderId="0" xfId="2" applyFont="1" applyBorder="1" applyAlignment="1">
      <alignment horizontal="left" vertical="center" wrapText="1" indent="1"/>
    </xf>
    <xf numFmtId="0" fontId="0" fillId="2" borderId="0" xfId="0" applyFill="1" applyAlignment="1">
      <alignment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164" fontId="0" fillId="0" borderId="0" xfId="4" applyNumberFormat="1" applyFont="1"/>
    <xf numFmtId="164" fontId="0" fillId="2" borderId="0" xfId="4" applyNumberFormat="1" applyFont="1" applyFill="1"/>
    <xf numFmtId="0" fontId="13" fillId="0" borderId="0" xfId="0" applyFont="1" applyAlignment="1">
      <alignment wrapText="1"/>
    </xf>
    <xf numFmtId="0" fontId="14" fillId="0" borderId="0" xfId="0" applyFont="1"/>
    <xf numFmtId="3" fontId="0" fillId="0" borderId="0" xfId="0" applyNumberFormat="1"/>
    <xf numFmtId="2" fontId="0" fillId="0" borderId="0" xfId="0" applyNumberFormat="1"/>
    <xf numFmtId="0" fontId="12" fillId="0" borderId="0" xfId="0" applyFont="1"/>
    <xf numFmtId="2" fontId="15" fillId="0" borderId="0" xfId="0" applyNumberFormat="1" applyFont="1"/>
    <xf numFmtId="0" fontId="18" fillId="0" borderId="0" xfId="0" applyFont="1"/>
    <xf numFmtId="0" fontId="19" fillId="0" borderId="0" xfId="0" applyFont="1"/>
    <xf numFmtId="0" fontId="21" fillId="5" borderId="6" xfId="0" applyFont="1" applyFill="1" applyBorder="1" applyAlignment="1">
      <alignment horizontal="center" wrapText="1"/>
    </xf>
    <xf numFmtId="0" fontId="21" fillId="5" borderId="7" xfId="0" applyFont="1" applyFill="1" applyBorder="1" applyAlignment="1">
      <alignment horizontal="left" wrapText="1"/>
    </xf>
    <xf numFmtId="0" fontId="21" fillId="5" borderId="8" xfId="0" applyFont="1" applyFill="1" applyBorder="1" applyAlignment="1">
      <alignment horizontal="left" wrapText="1"/>
    </xf>
    <xf numFmtId="0" fontId="22" fillId="6" borderId="6" xfId="0" applyFont="1" applyFill="1" applyBorder="1" applyAlignment="1">
      <alignment horizontal="left" wrapText="1"/>
    </xf>
    <xf numFmtId="0" fontId="22" fillId="6" borderId="8" xfId="0" applyFont="1" applyFill="1" applyBorder="1" applyAlignment="1">
      <alignment horizontal="left" wrapText="1"/>
    </xf>
    <xf numFmtId="0" fontId="22" fillId="7" borderId="6" xfId="0" applyFont="1" applyFill="1" applyBorder="1" applyAlignment="1">
      <alignment horizontal="left" wrapText="1"/>
    </xf>
    <xf numFmtId="0" fontId="22" fillId="7" borderId="8" xfId="0" applyFont="1" applyFill="1" applyBorder="1" applyAlignment="1">
      <alignment horizontal="left" wrapText="1"/>
    </xf>
    <xf numFmtId="0" fontId="0" fillId="8" borderId="0" xfId="0" applyFill="1"/>
    <xf numFmtId="0" fontId="0" fillId="9" borderId="9" xfId="0" applyFont="1" applyFill="1" applyBorder="1"/>
    <xf numFmtId="0" fontId="0" fillId="10" borderId="9" xfId="0" applyFont="1" applyFill="1" applyBorder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2" fillId="0" borderId="0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wrapText="1"/>
    </xf>
    <xf numFmtId="0" fontId="25" fillId="0" borderId="0" xfId="0" applyFont="1"/>
    <xf numFmtId="0" fontId="25" fillId="0" borderId="0" xfId="0" applyFont="1" applyAlignment="1">
      <alignment wrapText="1"/>
    </xf>
    <xf numFmtId="0" fontId="4" fillId="0" borderId="2" xfId="2" applyFont="1" applyBorder="1" applyAlignment="1">
      <alignment horizontal="left" vertical="center" wrapText="1" indent="1"/>
    </xf>
    <xf numFmtId="0" fontId="4" fillId="0" borderId="4" xfId="2" applyFont="1" applyBorder="1" applyAlignment="1">
      <alignment horizontal="left" vertical="center" wrapText="1" indent="1"/>
    </xf>
    <xf numFmtId="0" fontId="17" fillId="5" borderId="6" xfId="5" applyFont="1" applyFill="1" applyBorder="1" applyAlignment="1">
      <alignment horizontal="center"/>
    </xf>
    <xf numFmtId="0" fontId="15" fillId="5" borderId="7" xfId="0" applyFont="1" applyFill="1" applyBorder="1" applyAlignment="1"/>
    <xf numFmtId="0" fontId="15" fillId="5" borderId="8" xfId="0" applyFont="1" applyFill="1" applyBorder="1" applyAlignment="1"/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7" borderId="7" xfId="0" applyFont="1" applyFill="1" applyBorder="1" applyAlignment="1">
      <alignment horizontal="center"/>
    </xf>
    <xf numFmtId="0" fontId="20" fillId="7" borderId="8" xfId="0" applyFont="1" applyFill="1" applyBorder="1" applyAlignment="1">
      <alignment horizontal="center"/>
    </xf>
  </cellXfs>
  <cellStyles count="22">
    <cellStyle name="Accent3 2" xfId="5"/>
    <cellStyle name="Comma" xfId="4" builtinId="3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 2" xfId="3"/>
    <cellStyle name="Normal" xfId="0" builtinId="0"/>
    <cellStyle name="Normal 2" xfId="2"/>
    <cellStyle name="Normal 3" xfId="1"/>
  </cellStyles>
  <dxfs count="2"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1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2</xdr:row>
      <xdr:rowOff>19050</xdr:rowOff>
    </xdr:from>
    <xdr:to>
      <xdr:col>0</xdr:col>
      <xdr:colOff>1133475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5" y="666750"/>
          <a:ext cx="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1162050</xdr:colOff>
      <xdr:row>2</xdr:row>
      <xdr:rowOff>19050</xdr:rowOff>
    </xdr:from>
    <xdr:to>
      <xdr:col>0</xdr:col>
      <xdr:colOff>1162050</xdr:colOff>
      <xdr:row>2</xdr:row>
      <xdr:rowOff>171450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62050" y="666750"/>
          <a:ext cx="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1133475</xdr:colOff>
      <xdr:row>2</xdr:row>
      <xdr:rowOff>28575</xdr:rowOff>
    </xdr:from>
    <xdr:to>
      <xdr:col>0</xdr:col>
      <xdr:colOff>1285875</xdr:colOff>
      <xdr:row>2</xdr:row>
      <xdr:rowOff>180975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33475" y="676275"/>
          <a:ext cx="15240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id="1" name="Table32" displayName="Table32" ref="A8:R3388" totalsRowShown="0" headerRowDxfId="1">
  <autoFilter ref="A8:R3388"/>
  <tableColumns count="18">
    <tableColumn id="1" name="CompanyDivisionName"/>
    <tableColumn id="2" name="Mode"/>
    <tableColumn id="3" name="SubMode"/>
    <tableColumn id="4" name="Fleet Type"/>
    <tableColumn id="5" name="SCAC"/>
    <tableColumn id="6" name="MCN"/>
    <tableColumn id="23" name="g/mile CO2 Rank" dataDxfId="0"/>
    <tableColumn id="7" name="g/mile CO2 "/>
    <tableColumn id="24" name="g/mile NOx Rank"/>
    <tableColumn id="8" name="g/mile NOx  "/>
    <tableColumn id="25" name="g/mile PM Rank"/>
    <tableColumn id="10" name="g/mile PM "/>
    <tableColumn id="27" name="g/tm CO2 Rank"/>
    <tableColumn id="11" name="g/tm CO2"/>
    <tableColumn id="28" name="g/tm NOx Rank"/>
    <tableColumn id="12" name="g/tm NOx"/>
    <tableColumn id="30" name="g/tm PM Rank"/>
    <tableColumn id="14" name="g/tm P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3"/>
  <sheetViews>
    <sheetView workbookViewId="0">
      <pane ySplit="3" topLeftCell="A4" activePane="bottomLeft" state="frozenSplit"/>
      <selection activeCell="C3" sqref="C3:M3"/>
      <selection pane="bottomLeft" activeCell="D4" sqref="D4:N103"/>
    </sheetView>
  </sheetViews>
  <sheetFormatPr baseColWidth="10" defaultColWidth="8.6640625" defaultRowHeight="15" x14ac:dyDescent="0.2"/>
  <cols>
    <col min="1" max="1" width="7.1640625" customWidth="1"/>
    <col min="2" max="2" width="7.33203125" customWidth="1"/>
    <col min="3" max="3" width="14.6640625" customWidth="1"/>
    <col min="4" max="4" width="9.5" customWidth="1"/>
    <col min="5" max="5" width="11.1640625" customWidth="1"/>
    <col min="6" max="6" width="9.6640625" customWidth="1"/>
    <col min="7" max="8" width="10.6640625" customWidth="1"/>
    <col min="9" max="9" width="11.33203125" customWidth="1"/>
    <col min="10" max="10" width="7.6640625" customWidth="1"/>
    <col min="11" max="11" width="9.6640625" customWidth="1"/>
    <col min="13" max="13" width="10.6640625" customWidth="1"/>
    <col min="14" max="14" width="10.33203125" style="8" customWidth="1"/>
  </cols>
  <sheetData>
    <row r="1" spans="1:17" ht="28" x14ac:dyDescent="0.2">
      <c r="A1" s="2" t="s">
        <v>0</v>
      </c>
      <c r="B1" s="2" t="s">
        <v>0</v>
      </c>
      <c r="C1" s="43" t="s">
        <v>1</v>
      </c>
      <c r="D1" s="2" t="s">
        <v>2</v>
      </c>
      <c r="E1" s="2" t="s">
        <v>6</v>
      </c>
      <c r="F1" s="2" t="s">
        <v>7</v>
      </c>
      <c r="G1" s="43" t="s">
        <v>3</v>
      </c>
      <c r="H1" s="1" t="s">
        <v>4</v>
      </c>
      <c r="I1" s="43" t="s">
        <v>5</v>
      </c>
      <c r="J1" t="s">
        <v>14</v>
      </c>
      <c r="K1" t="s">
        <v>15</v>
      </c>
      <c r="L1" t="s">
        <v>16</v>
      </c>
      <c r="N1" s="8" t="s">
        <v>202</v>
      </c>
    </row>
    <row r="2" spans="1:17" ht="29" thickBot="1" x14ac:dyDescent="0.25">
      <c r="A2" s="3">
        <v>2009</v>
      </c>
      <c r="B2" s="3">
        <v>2008</v>
      </c>
      <c r="C2" s="44"/>
      <c r="D2" s="3" t="s">
        <v>13</v>
      </c>
      <c r="E2" s="3"/>
      <c r="F2" s="3"/>
      <c r="G2" s="44"/>
      <c r="H2" s="1"/>
      <c r="I2" s="44"/>
    </row>
    <row r="3" spans="1:17" ht="30" x14ac:dyDescent="0.2">
      <c r="A3" s="2" t="s">
        <v>0</v>
      </c>
      <c r="B3" s="11"/>
      <c r="C3" s="6" t="s">
        <v>330</v>
      </c>
      <c r="D3" s="6" t="s">
        <v>2</v>
      </c>
      <c r="E3" s="6" t="s">
        <v>325</v>
      </c>
      <c r="F3" s="6" t="s">
        <v>326</v>
      </c>
      <c r="G3" s="6" t="s">
        <v>327</v>
      </c>
      <c r="H3" s="6" t="s">
        <v>328</v>
      </c>
      <c r="I3" s="6" t="s">
        <v>329</v>
      </c>
      <c r="J3" s="6" t="s">
        <v>331</v>
      </c>
      <c r="K3" s="6" t="s">
        <v>332</v>
      </c>
      <c r="L3" s="6" t="s">
        <v>333</v>
      </c>
      <c r="M3" s="6" t="s">
        <v>334</v>
      </c>
      <c r="N3" s="12" t="s">
        <v>202</v>
      </c>
      <c r="Q3" s="6"/>
    </row>
    <row r="4" spans="1:17" x14ac:dyDescent="0.2">
      <c r="A4">
        <v>1</v>
      </c>
      <c r="B4">
        <v>1</v>
      </c>
      <c r="C4" s="6" t="s">
        <v>8</v>
      </c>
      <c r="D4">
        <v>45297000</v>
      </c>
      <c r="E4">
        <v>2152000</v>
      </c>
      <c r="F4">
        <v>408000</v>
      </c>
      <c r="G4">
        <v>12268</v>
      </c>
      <c r="H4">
        <v>66425</v>
      </c>
      <c r="I4">
        <v>22015</v>
      </c>
      <c r="J4">
        <v>253</v>
      </c>
      <c r="M4">
        <v>2010</v>
      </c>
      <c r="N4" t="s">
        <v>203</v>
      </c>
    </row>
    <row r="5" spans="1:17" x14ac:dyDescent="0.2">
      <c r="A5">
        <v>2</v>
      </c>
      <c r="B5">
        <v>2</v>
      </c>
      <c r="C5" s="6" t="s">
        <v>9</v>
      </c>
      <c r="D5">
        <v>34734000</v>
      </c>
      <c r="E5">
        <v>1184000</v>
      </c>
      <c r="F5">
        <v>280000</v>
      </c>
      <c r="G5">
        <v>22800</v>
      </c>
      <c r="H5">
        <v>60900</v>
      </c>
      <c r="I5">
        <v>0</v>
      </c>
      <c r="J5">
        <v>664</v>
      </c>
      <c r="M5">
        <v>2010</v>
      </c>
      <c r="N5" t="s">
        <v>204</v>
      </c>
    </row>
    <row r="6" spans="1:17" x14ac:dyDescent="0.2">
      <c r="A6">
        <v>3</v>
      </c>
      <c r="B6">
        <v>3</v>
      </c>
      <c r="C6" s="6" t="s">
        <v>169</v>
      </c>
      <c r="D6">
        <v>6586872</v>
      </c>
      <c r="G6">
        <v>46</v>
      </c>
      <c r="H6">
        <v>2683</v>
      </c>
      <c r="I6">
        <v>28</v>
      </c>
      <c r="M6">
        <v>2010</v>
      </c>
      <c r="N6" t="s">
        <v>205</v>
      </c>
    </row>
    <row r="7" spans="1:17" ht="30" x14ac:dyDescent="0.2">
      <c r="A7">
        <v>4</v>
      </c>
      <c r="B7">
        <v>4</v>
      </c>
      <c r="C7" s="6" t="s">
        <v>170</v>
      </c>
      <c r="D7">
        <v>5282778</v>
      </c>
      <c r="E7">
        <v>-622019</v>
      </c>
      <c r="F7">
        <v>36000</v>
      </c>
      <c r="G7">
        <v>18600</v>
      </c>
      <c r="H7">
        <v>400</v>
      </c>
      <c r="I7">
        <v>65600</v>
      </c>
      <c r="M7">
        <v>2010</v>
      </c>
      <c r="N7" t="s">
        <v>206</v>
      </c>
    </row>
    <row r="8" spans="1:17" x14ac:dyDescent="0.2">
      <c r="A8">
        <v>5</v>
      </c>
      <c r="B8">
        <v>5</v>
      </c>
      <c r="C8" s="6" t="s">
        <v>171</v>
      </c>
      <c r="D8">
        <v>4887254</v>
      </c>
      <c r="E8">
        <v>61945</v>
      </c>
      <c r="F8">
        <v>22900</v>
      </c>
      <c r="G8">
        <v>49328</v>
      </c>
      <c r="H8">
        <v>72527</v>
      </c>
      <c r="I8">
        <v>49660</v>
      </c>
      <c r="M8">
        <v>2010</v>
      </c>
      <c r="N8" s="8" t="s">
        <v>207</v>
      </c>
    </row>
    <row r="9" spans="1:17" x14ac:dyDescent="0.2">
      <c r="A9">
        <v>6</v>
      </c>
      <c r="B9">
        <v>6</v>
      </c>
      <c r="C9" s="6" t="s">
        <v>146</v>
      </c>
      <c r="D9">
        <v>4269239</v>
      </c>
      <c r="E9">
        <v>-110936</v>
      </c>
      <c r="F9">
        <v>27400</v>
      </c>
      <c r="G9">
        <v>49328</v>
      </c>
      <c r="H9">
        <v>72527</v>
      </c>
      <c r="I9">
        <v>49660</v>
      </c>
      <c r="M9">
        <v>2010</v>
      </c>
      <c r="N9" t="s">
        <v>208</v>
      </c>
    </row>
    <row r="10" spans="1:17" ht="30" x14ac:dyDescent="0.2">
      <c r="A10">
        <v>7</v>
      </c>
      <c r="B10">
        <v>7</v>
      </c>
      <c r="C10" s="6" t="s">
        <v>172</v>
      </c>
      <c r="D10">
        <v>4000000</v>
      </c>
      <c r="F10">
        <v>18000</v>
      </c>
      <c r="G10">
        <v>12060</v>
      </c>
      <c r="H10">
        <v>105</v>
      </c>
      <c r="I10">
        <v>33028</v>
      </c>
      <c r="M10">
        <v>2010</v>
      </c>
      <c r="N10" t="s">
        <v>209</v>
      </c>
    </row>
    <row r="11" spans="1:17" ht="45" x14ac:dyDescent="0.2">
      <c r="A11">
        <v>8</v>
      </c>
      <c r="B11">
        <v>8</v>
      </c>
      <c r="C11" s="6" t="s">
        <v>11</v>
      </c>
      <c r="D11">
        <v>3203321</v>
      </c>
      <c r="E11">
        <v>136435</v>
      </c>
      <c r="F11">
        <v>14171</v>
      </c>
      <c r="G11">
        <v>0</v>
      </c>
      <c r="H11">
        <v>151350</v>
      </c>
      <c r="I11">
        <v>53200</v>
      </c>
      <c r="M11">
        <v>2010</v>
      </c>
      <c r="N11" t="s">
        <v>210</v>
      </c>
    </row>
    <row r="12" spans="1:17" ht="30" x14ac:dyDescent="0.2">
      <c r="A12">
        <v>9</v>
      </c>
      <c r="B12">
        <v>9</v>
      </c>
      <c r="C12" s="6" t="s">
        <v>17</v>
      </c>
      <c r="D12">
        <v>2900000</v>
      </c>
      <c r="F12">
        <v>18468</v>
      </c>
      <c r="G12">
        <v>9169</v>
      </c>
      <c r="H12">
        <v>0</v>
      </c>
      <c r="I12">
        <v>21951</v>
      </c>
      <c r="K12">
        <v>40236</v>
      </c>
      <c r="M12">
        <v>2010</v>
      </c>
      <c r="N12" t="s">
        <v>211</v>
      </c>
    </row>
    <row r="13" spans="1:17" ht="30" x14ac:dyDescent="0.2">
      <c r="A13">
        <v>10</v>
      </c>
      <c r="B13">
        <v>10</v>
      </c>
      <c r="C13" s="6" t="s">
        <v>18</v>
      </c>
      <c r="D13">
        <v>2571000</v>
      </c>
      <c r="F13">
        <v>15500</v>
      </c>
      <c r="G13">
        <v>16025</v>
      </c>
      <c r="H13">
        <v>0</v>
      </c>
      <c r="I13">
        <v>49200</v>
      </c>
      <c r="K13">
        <v>4300</v>
      </c>
      <c r="M13">
        <v>2010</v>
      </c>
      <c r="N13" t="s">
        <v>212</v>
      </c>
    </row>
    <row r="14" spans="1:17" x14ac:dyDescent="0.2">
      <c r="A14">
        <v>11</v>
      </c>
      <c r="B14">
        <v>13</v>
      </c>
      <c r="C14" s="6" t="s">
        <v>20</v>
      </c>
      <c r="D14">
        <v>2008796</v>
      </c>
      <c r="E14">
        <v>69950</v>
      </c>
      <c r="F14">
        <v>1374</v>
      </c>
      <c r="G14">
        <v>8519</v>
      </c>
      <c r="H14">
        <v>0</v>
      </c>
      <c r="I14">
        <v>13302</v>
      </c>
      <c r="M14">
        <v>2010</v>
      </c>
      <c r="N14" t="s">
        <v>213</v>
      </c>
    </row>
    <row r="15" spans="1:17" x14ac:dyDescent="0.2">
      <c r="A15">
        <v>12</v>
      </c>
      <c r="B15">
        <v>12</v>
      </c>
      <c r="C15" s="6" t="s">
        <v>173</v>
      </c>
      <c r="D15">
        <v>1698900</v>
      </c>
      <c r="F15">
        <v>2600</v>
      </c>
      <c r="G15">
        <v>2627</v>
      </c>
      <c r="H15">
        <v>1477</v>
      </c>
      <c r="I15">
        <v>4362</v>
      </c>
      <c r="M15">
        <v>2010</v>
      </c>
      <c r="N15" s="8" t="s">
        <v>214</v>
      </c>
      <c r="O15" t="s">
        <v>217</v>
      </c>
    </row>
    <row r="16" spans="1:17" ht="30" x14ac:dyDescent="0.2">
      <c r="A16">
        <v>13</v>
      </c>
      <c r="B16">
        <v>14</v>
      </c>
      <c r="C16" s="6" t="s">
        <v>24</v>
      </c>
      <c r="D16">
        <v>1666470</v>
      </c>
      <c r="E16">
        <v>56584</v>
      </c>
      <c r="F16">
        <v>11352</v>
      </c>
      <c r="G16">
        <v>7250</v>
      </c>
      <c r="H16">
        <v>0</v>
      </c>
      <c r="I16">
        <v>23880</v>
      </c>
      <c r="M16">
        <v>2010</v>
      </c>
      <c r="N16" s="9" t="s">
        <v>215</v>
      </c>
    </row>
    <row r="17" spans="1:15" x14ac:dyDescent="0.2">
      <c r="A17">
        <v>14</v>
      </c>
      <c r="B17">
        <v>15</v>
      </c>
      <c r="C17" s="6" t="s">
        <v>19</v>
      </c>
      <c r="D17">
        <v>1618111</v>
      </c>
      <c r="E17">
        <v>9577</v>
      </c>
      <c r="F17">
        <v>13900</v>
      </c>
      <c r="G17">
        <v>6700</v>
      </c>
      <c r="H17">
        <v>0</v>
      </c>
      <c r="I17">
        <v>12000</v>
      </c>
      <c r="M17">
        <v>2010</v>
      </c>
      <c r="N17" s="8" t="s">
        <v>216</v>
      </c>
      <c r="O17" t="s">
        <v>217</v>
      </c>
    </row>
    <row r="18" spans="1:15" x14ac:dyDescent="0.2">
      <c r="A18">
        <v>15</v>
      </c>
      <c r="B18">
        <v>17</v>
      </c>
      <c r="C18" s="7" t="s">
        <v>29</v>
      </c>
      <c r="D18">
        <v>1600000</v>
      </c>
      <c r="F18">
        <v>1050</v>
      </c>
      <c r="G18">
        <v>6401</v>
      </c>
      <c r="H18">
        <v>4343</v>
      </c>
      <c r="I18">
        <v>10615</v>
      </c>
      <c r="K18">
        <v>735</v>
      </c>
      <c r="M18">
        <v>2010</v>
      </c>
      <c r="N18" t="s">
        <v>218</v>
      </c>
    </row>
    <row r="19" spans="1:15" ht="30" x14ac:dyDescent="0.2">
      <c r="A19">
        <v>16</v>
      </c>
      <c r="B19">
        <v>18</v>
      </c>
      <c r="C19" s="6" t="s">
        <v>23</v>
      </c>
      <c r="D19">
        <v>1472901</v>
      </c>
      <c r="E19">
        <v>-127889</v>
      </c>
      <c r="F19">
        <v>10347</v>
      </c>
      <c r="G19">
        <v>3962</v>
      </c>
      <c r="H19">
        <v>73</v>
      </c>
      <c r="I19">
        <v>19764</v>
      </c>
      <c r="M19">
        <v>2010</v>
      </c>
      <c r="N19" s="8" t="s">
        <v>219</v>
      </c>
      <c r="O19" t="s">
        <v>217</v>
      </c>
    </row>
    <row r="20" spans="1:15" ht="30" x14ac:dyDescent="0.2">
      <c r="A20">
        <v>17</v>
      </c>
      <c r="B20">
        <v>19</v>
      </c>
      <c r="C20" s="6" t="s">
        <v>27</v>
      </c>
      <c r="D20">
        <v>1394537</v>
      </c>
      <c r="F20">
        <v>10566</v>
      </c>
      <c r="G20">
        <v>8536</v>
      </c>
      <c r="H20">
        <v>0</v>
      </c>
      <c r="I20">
        <v>21458</v>
      </c>
      <c r="M20">
        <v>2010</v>
      </c>
      <c r="N20" t="s">
        <v>220</v>
      </c>
    </row>
    <row r="21" spans="1:15" ht="30" x14ac:dyDescent="0.2">
      <c r="A21">
        <v>18</v>
      </c>
      <c r="B21">
        <v>21</v>
      </c>
      <c r="C21" s="6" t="s">
        <v>26</v>
      </c>
      <c r="D21">
        <v>1304000</v>
      </c>
      <c r="F21">
        <v>12469</v>
      </c>
      <c r="G21">
        <v>5547</v>
      </c>
      <c r="H21">
        <v>315</v>
      </c>
      <c r="I21">
        <v>21994</v>
      </c>
      <c r="M21">
        <v>2010</v>
      </c>
      <c r="N21" t="s">
        <v>221</v>
      </c>
    </row>
    <row r="22" spans="1:15" ht="30" x14ac:dyDescent="0.2">
      <c r="A22">
        <v>19</v>
      </c>
      <c r="B22">
        <v>22</v>
      </c>
      <c r="C22" s="6" t="s">
        <v>174</v>
      </c>
      <c r="D22">
        <v>1256245</v>
      </c>
      <c r="F22">
        <v>11300</v>
      </c>
      <c r="G22">
        <v>493</v>
      </c>
      <c r="H22">
        <v>3833</v>
      </c>
      <c r="I22">
        <v>1113</v>
      </c>
      <c r="J22">
        <v>18</v>
      </c>
      <c r="M22">
        <v>2010</v>
      </c>
      <c r="N22" s="8" t="s">
        <v>222</v>
      </c>
      <c r="O22" t="s">
        <v>217</v>
      </c>
    </row>
    <row r="23" spans="1:15" ht="30" x14ac:dyDescent="0.2">
      <c r="A23">
        <v>20</v>
      </c>
      <c r="B23">
        <v>20</v>
      </c>
      <c r="C23" s="6" t="s">
        <v>22</v>
      </c>
      <c r="D23">
        <v>1245005</v>
      </c>
      <c r="E23">
        <v>34871</v>
      </c>
      <c r="F23">
        <v>9608</v>
      </c>
      <c r="G23">
        <v>5390</v>
      </c>
      <c r="H23">
        <v>114</v>
      </c>
      <c r="I23">
        <v>21185</v>
      </c>
      <c r="M23">
        <v>2010</v>
      </c>
      <c r="N23" t="s">
        <v>223</v>
      </c>
    </row>
    <row r="24" spans="1:15" ht="30" x14ac:dyDescent="0.2">
      <c r="A24">
        <v>21</v>
      </c>
      <c r="B24">
        <v>23</v>
      </c>
      <c r="C24" s="6" t="s">
        <v>69</v>
      </c>
      <c r="D24">
        <v>1000000</v>
      </c>
      <c r="F24">
        <v>3200</v>
      </c>
      <c r="G24">
        <v>4967</v>
      </c>
      <c r="H24">
        <v>0</v>
      </c>
      <c r="I24">
        <v>5628</v>
      </c>
      <c r="M24">
        <v>2010</v>
      </c>
      <c r="N24" t="s">
        <v>224</v>
      </c>
    </row>
    <row r="25" spans="1:15" x14ac:dyDescent="0.2">
      <c r="A25">
        <v>22</v>
      </c>
      <c r="B25">
        <v>30</v>
      </c>
      <c r="C25" s="6" t="s">
        <v>30</v>
      </c>
      <c r="D25">
        <v>919092</v>
      </c>
      <c r="E25">
        <v>48521</v>
      </c>
      <c r="F25">
        <v>5531</v>
      </c>
      <c r="G25">
        <v>3552</v>
      </c>
      <c r="H25">
        <v>0</v>
      </c>
      <c r="I25">
        <v>5425</v>
      </c>
      <c r="K25">
        <v>320</v>
      </c>
      <c r="M25">
        <v>2010</v>
      </c>
      <c r="N25" t="s">
        <v>225</v>
      </c>
    </row>
    <row r="26" spans="1:15" ht="30" x14ac:dyDescent="0.2">
      <c r="A26">
        <v>23</v>
      </c>
      <c r="B26">
        <v>24</v>
      </c>
      <c r="C26" s="6" t="s">
        <v>115</v>
      </c>
      <c r="D26">
        <v>850000</v>
      </c>
      <c r="F26">
        <v>5750</v>
      </c>
      <c r="G26">
        <v>5100</v>
      </c>
      <c r="H26">
        <v>0</v>
      </c>
      <c r="I26">
        <v>13500</v>
      </c>
      <c r="M26">
        <v>2010</v>
      </c>
      <c r="N26" t="s">
        <v>226</v>
      </c>
    </row>
    <row r="27" spans="1:15" x14ac:dyDescent="0.2">
      <c r="A27">
        <v>24</v>
      </c>
      <c r="B27">
        <v>25</v>
      </c>
      <c r="C27" s="6" t="s">
        <v>33</v>
      </c>
      <c r="D27">
        <v>849141</v>
      </c>
      <c r="E27">
        <v>-7875</v>
      </c>
      <c r="F27">
        <v>7200</v>
      </c>
      <c r="G27">
        <v>3390</v>
      </c>
      <c r="H27">
        <v>127</v>
      </c>
      <c r="I27">
        <v>11089</v>
      </c>
      <c r="M27">
        <v>2010</v>
      </c>
      <c r="N27" t="s">
        <v>227</v>
      </c>
    </row>
    <row r="28" spans="1:15" x14ac:dyDescent="0.2">
      <c r="A28">
        <v>25</v>
      </c>
      <c r="B28">
        <v>32</v>
      </c>
      <c r="C28" s="6" t="s">
        <v>175</v>
      </c>
      <c r="D28">
        <v>837382</v>
      </c>
      <c r="E28">
        <v>92248</v>
      </c>
      <c r="F28">
        <v>3528</v>
      </c>
      <c r="G28">
        <v>4418</v>
      </c>
      <c r="H28">
        <v>0</v>
      </c>
      <c r="I28">
        <v>6149</v>
      </c>
      <c r="M28">
        <v>2010</v>
      </c>
      <c r="N28" t="s">
        <v>228</v>
      </c>
    </row>
    <row r="29" spans="1:15" x14ac:dyDescent="0.2">
      <c r="A29">
        <v>26</v>
      </c>
      <c r="B29">
        <v>35</v>
      </c>
      <c r="C29" s="6" t="s">
        <v>36</v>
      </c>
      <c r="D29">
        <v>810000</v>
      </c>
      <c r="F29">
        <v>5500</v>
      </c>
      <c r="G29">
        <v>2233</v>
      </c>
      <c r="H29">
        <v>0</v>
      </c>
      <c r="I29">
        <v>7350</v>
      </c>
      <c r="M29">
        <v>2010</v>
      </c>
      <c r="N29" t="s">
        <v>229</v>
      </c>
    </row>
    <row r="30" spans="1:15" x14ac:dyDescent="0.2">
      <c r="A30">
        <v>27</v>
      </c>
      <c r="B30">
        <v>26</v>
      </c>
      <c r="C30" s="6" t="s">
        <v>40</v>
      </c>
      <c r="D30">
        <v>768348</v>
      </c>
      <c r="G30">
        <v>3668</v>
      </c>
      <c r="H30">
        <v>48</v>
      </c>
      <c r="I30">
        <v>12210</v>
      </c>
      <c r="M30">
        <v>2010</v>
      </c>
      <c r="N30" t="s">
        <v>230</v>
      </c>
    </row>
    <row r="31" spans="1:15" ht="30" x14ac:dyDescent="0.2">
      <c r="A31">
        <v>28</v>
      </c>
      <c r="B31">
        <v>27</v>
      </c>
      <c r="C31" s="6" t="s">
        <v>46</v>
      </c>
      <c r="D31">
        <v>715000</v>
      </c>
      <c r="F31">
        <v>350</v>
      </c>
      <c r="G31">
        <v>2321</v>
      </c>
      <c r="H31">
        <v>1670</v>
      </c>
      <c r="I31">
        <v>4218</v>
      </c>
      <c r="M31">
        <v>2010</v>
      </c>
      <c r="N31" t="s">
        <v>231</v>
      </c>
    </row>
    <row r="32" spans="1:15" ht="30" x14ac:dyDescent="0.2">
      <c r="A32">
        <v>29</v>
      </c>
      <c r="B32">
        <v>33</v>
      </c>
      <c r="C32" s="6" t="s">
        <v>38</v>
      </c>
      <c r="D32">
        <v>703354</v>
      </c>
      <c r="F32">
        <v>6883</v>
      </c>
      <c r="G32">
        <v>3136</v>
      </c>
      <c r="H32">
        <v>27</v>
      </c>
      <c r="I32">
        <v>9387</v>
      </c>
      <c r="M32">
        <v>2010</v>
      </c>
      <c r="N32" t="s">
        <v>232</v>
      </c>
    </row>
    <row r="33" spans="1:15" ht="60" customHeight="1" x14ac:dyDescent="0.2">
      <c r="A33">
        <v>30</v>
      </c>
      <c r="B33">
        <v>31</v>
      </c>
      <c r="C33" s="6" t="s">
        <v>47</v>
      </c>
      <c r="D33">
        <v>680134</v>
      </c>
      <c r="F33">
        <v>4553</v>
      </c>
      <c r="G33">
        <v>2666</v>
      </c>
      <c r="H33">
        <v>18</v>
      </c>
      <c r="I33">
        <v>4450</v>
      </c>
      <c r="M33">
        <v>2010</v>
      </c>
      <c r="N33" t="s">
        <v>233</v>
      </c>
    </row>
    <row r="34" spans="1:15" x14ac:dyDescent="0.2">
      <c r="A34">
        <v>31</v>
      </c>
      <c r="B34">
        <v>36</v>
      </c>
      <c r="C34" s="6" t="s">
        <v>148</v>
      </c>
      <c r="D34">
        <v>680000</v>
      </c>
      <c r="F34">
        <v>2267</v>
      </c>
      <c r="G34">
        <v>711</v>
      </c>
      <c r="H34">
        <v>62</v>
      </c>
      <c r="I34">
        <v>2735</v>
      </c>
      <c r="K34">
        <v>5605</v>
      </c>
      <c r="M34">
        <v>2010</v>
      </c>
      <c r="N34" t="s">
        <v>234</v>
      </c>
    </row>
    <row r="35" spans="1:15" ht="30" x14ac:dyDescent="0.2">
      <c r="A35">
        <v>32</v>
      </c>
      <c r="B35">
        <v>28</v>
      </c>
      <c r="C35" s="6" t="s">
        <v>176</v>
      </c>
      <c r="D35">
        <v>679622</v>
      </c>
      <c r="F35">
        <v>3740</v>
      </c>
      <c r="G35">
        <v>2952</v>
      </c>
      <c r="H35">
        <v>0</v>
      </c>
      <c r="I35">
        <v>4973</v>
      </c>
      <c r="M35">
        <v>2010</v>
      </c>
      <c r="N35" t="s">
        <v>235</v>
      </c>
    </row>
    <row r="36" spans="1:15" ht="44.75" customHeight="1" x14ac:dyDescent="0.2">
      <c r="A36">
        <v>33</v>
      </c>
      <c r="B36">
        <v>42</v>
      </c>
      <c r="C36" s="6" t="s">
        <v>34</v>
      </c>
      <c r="D36">
        <v>672113</v>
      </c>
      <c r="F36">
        <v>5622</v>
      </c>
      <c r="G36">
        <v>3231</v>
      </c>
      <c r="H36">
        <v>0</v>
      </c>
      <c r="I36">
        <v>3294</v>
      </c>
      <c r="M36">
        <v>2010</v>
      </c>
      <c r="N36" t="s">
        <v>236</v>
      </c>
    </row>
    <row r="37" spans="1:15" ht="30" x14ac:dyDescent="0.2">
      <c r="A37">
        <v>34</v>
      </c>
      <c r="B37">
        <v>38</v>
      </c>
      <c r="C37" s="6" t="s">
        <v>177</v>
      </c>
      <c r="D37">
        <v>651721</v>
      </c>
      <c r="E37">
        <v>50563</v>
      </c>
      <c r="F37">
        <v>4500</v>
      </c>
      <c r="G37">
        <v>3736</v>
      </c>
      <c r="H37">
        <v>0</v>
      </c>
      <c r="I37">
        <v>8493</v>
      </c>
      <c r="M37">
        <v>2010</v>
      </c>
      <c r="N37" s="8" t="s">
        <v>237</v>
      </c>
      <c r="O37" t="s">
        <v>324</v>
      </c>
    </row>
    <row r="38" spans="1:15" x14ac:dyDescent="0.2">
      <c r="A38">
        <v>35</v>
      </c>
      <c r="B38">
        <v>40</v>
      </c>
      <c r="C38" s="6" t="s">
        <v>118</v>
      </c>
      <c r="D38">
        <v>629260</v>
      </c>
      <c r="E38">
        <v>-3972</v>
      </c>
      <c r="F38">
        <v>4832</v>
      </c>
      <c r="G38">
        <v>2338</v>
      </c>
      <c r="H38">
        <v>0</v>
      </c>
      <c r="I38">
        <v>6967</v>
      </c>
      <c r="K38">
        <v>519</v>
      </c>
      <c r="L38">
        <v>451</v>
      </c>
      <c r="M38">
        <v>2010</v>
      </c>
      <c r="N38" s="9" t="s">
        <v>238</v>
      </c>
    </row>
    <row r="39" spans="1:15" ht="30" x14ac:dyDescent="0.2">
      <c r="A39">
        <v>36</v>
      </c>
      <c r="B39">
        <v>34</v>
      </c>
      <c r="C39" s="6" t="s">
        <v>149</v>
      </c>
      <c r="D39">
        <v>613609</v>
      </c>
      <c r="E39">
        <v>-180534</v>
      </c>
      <c r="F39">
        <v>810</v>
      </c>
      <c r="G39">
        <v>2839</v>
      </c>
      <c r="H39">
        <v>0</v>
      </c>
      <c r="I39">
        <v>6410</v>
      </c>
      <c r="M39">
        <v>2010</v>
      </c>
      <c r="N39" t="s">
        <v>239</v>
      </c>
    </row>
    <row r="40" spans="1:15" ht="45" x14ac:dyDescent="0.2">
      <c r="A40">
        <v>37</v>
      </c>
      <c r="B40">
        <v>37</v>
      </c>
      <c r="C40" s="6" t="s">
        <v>121</v>
      </c>
      <c r="D40">
        <v>588687</v>
      </c>
      <c r="E40">
        <v>-25030</v>
      </c>
      <c r="F40">
        <v>4819</v>
      </c>
      <c r="G40">
        <v>3206</v>
      </c>
      <c r="H40">
        <v>0</v>
      </c>
      <c r="I40">
        <v>8005</v>
      </c>
      <c r="M40">
        <v>2010</v>
      </c>
      <c r="N40" t="s">
        <v>240</v>
      </c>
    </row>
    <row r="41" spans="1:15" ht="30" x14ac:dyDescent="0.2">
      <c r="A41">
        <v>38</v>
      </c>
      <c r="B41">
        <v>29</v>
      </c>
      <c r="C41" s="6" t="s">
        <v>43</v>
      </c>
      <c r="D41">
        <v>569692</v>
      </c>
      <c r="F41">
        <v>1150</v>
      </c>
      <c r="G41">
        <v>1900</v>
      </c>
      <c r="H41">
        <v>0</v>
      </c>
      <c r="I41">
        <v>5500</v>
      </c>
      <c r="M41">
        <v>2010</v>
      </c>
      <c r="N41" s="10" t="s">
        <v>241</v>
      </c>
    </row>
    <row r="42" spans="1:15" x14ac:dyDescent="0.2">
      <c r="A42">
        <v>39</v>
      </c>
      <c r="B42">
        <v>44</v>
      </c>
      <c r="C42" s="6" t="s">
        <v>53</v>
      </c>
      <c r="D42">
        <v>505874</v>
      </c>
      <c r="E42">
        <v>16267</v>
      </c>
      <c r="F42">
        <v>2666</v>
      </c>
      <c r="G42">
        <v>2264</v>
      </c>
      <c r="H42">
        <v>0</v>
      </c>
      <c r="I42">
        <v>3958</v>
      </c>
      <c r="M42">
        <v>2010</v>
      </c>
      <c r="N42" s="10" t="s">
        <v>242</v>
      </c>
    </row>
    <row r="43" spans="1:15" x14ac:dyDescent="0.2">
      <c r="A43">
        <v>40</v>
      </c>
      <c r="B43">
        <v>41</v>
      </c>
      <c r="C43" s="6" t="s">
        <v>122</v>
      </c>
      <c r="D43">
        <v>505000</v>
      </c>
      <c r="F43">
        <v>4200</v>
      </c>
      <c r="G43">
        <v>1874</v>
      </c>
      <c r="H43">
        <v>0</v>
      </c>
      <c r="I43">
        <v>4918</v>
      </c>
      <c r="M43">
        <v>2010</v>
      </c>
      <c r="N43" s="10" t="s">
        <v>244</v>
      </c>
    </row>
    <row r="44" spans="1:15" ht="45" x14ac:dyDescent="0.2">
      <c r="A44">
        <v>41</v>
      </c>
      <c r="B44">
        <v>39</v>
      </c>
      <c r="C44" s="6" t="s">
        <v>178</v>
      </c>
      <c r="D44">
        <v>503230</v>
      </c>
      <c r="E44">
        <v>4900</v>
      </c>
      <c r="F44">
        <v>630</v>
      </c>
      <c r="G44">
        <v>3558</v>
      </c>
      <c r="H44">
        <v>0</v>
      </c>
      <c r="I44">
        <v>5200</v>
      </c>
      <c r="M44">
        <v>2010</v>
      </c>
      <c r="N44" s="10" t="s">
        <v>243</v>
      </c>
    </row>
    <row r="45" spans="1:15" x14ac:dyDescent="0.2">
      <c r="A45">
        <v>42</v>
      </c>
      <c r="B45">
        <v>45</v>
      </c>
      <c r="C45" s="6" t="s">
        <v>179</v>
      </c>
      <c r="D45">
        <v>490338</v>
      </c>
      <c r="E45">
        <v>2500</v>
      </c>
      <c r="F45">
        <v>3777</v>
      </c>
      <c r="G45">
        <v>3488</v>
      </c>
      <c r="H45">
        <v>0</v>
      </c>
      <c r="I45">
        <v>9900</v>
      </c>
      <c r="M45">
        <v>2010</v>
      </c>
      <c r="N45" t="s">
        <v>245</v>
      </c>
    </row>
    <row r="46" spans="1:15" x14ac:dyDescent="0.2">
      <c r="A46">
        <v>43</v>
      </c>
      <c r="B46">
        <v>48</v>
      </c>
      <c r="C46" s="6" t="s">
        <v>54</v>
      </c>
      <c r="D46">
        <v>479291</v>
      </c>
      <c r="E46">
        <v>64831</v>
      </c>
      <c r="F46">
        <v>2450</v>
      </c>
      <c r="G46">
        <v>2400</v>
      </c>
      <c r="H46">
        <v>0</v>
      </c>
      <c r="I46">
        <v>3050</v>
      </c>
      <c r="M46">
        <v>2010</v>
      </c>
      <c r="N46" s="10" t="s">
        <v>246</v>
      </c>
    </row>
    <row r="47" spans="1:15" x14ac:dyDescent="0.2">
      <c r="A47">
        <v>44</v>
      </c>
      <c r="B47">
        <v>47</v>
      </c>
      <c r="C47" s="6" t="s">
        <v>66</v>
      </c>
      <c r="D47">
        <v>474000</v>
      </c>
      <c r="F47">
        <v>479</v>
      </c>
      <c r="G47">
        <v>2539</v>
      </c>
      <c r="H47">
        <v>0</v>
      </c>
      <c r="I47">
        <v>7385</v>
      </c>
      <c r="K47">
        <v>350</v>
      </c>
      <c r="M47">
        <v>2010</v>
      </c>
      <c r="N47" t="s">
        <v>248</v>
      </c>
    </row>
    <row r="48" spans="1:15" ht="30" x14ac:dyDescent="0.2">
      <c r="A48">
        <v>45</v>
      </c>
      <c r="B48">
        <v>46</v>
      </c>
      <c r="C48" s="6" t="s">
        <v>88</v>
      </c>
      <c r="D48">
        <v>469622</v>
      </c>
      <c r="F48">
        <v>2706</v>
      </c>
      <c r="G48">
        <v>1964</v>
      </c>
      <c r="H48">
        <v>0</v>
      </c>
      <c r="I48">
        <v>7340</v>
      </c>
      <c r="M48">
        <v>2010</v>
      </c>
      <c r="N48" t="s">
        <v>247</v>
      </c>
    </row>
    <row r="49" spans="1:15" x14ac:dyDescent="0.2">
      <c r="A49">
        <v>46</v>
      </c>
      <c r="B49">
        <v>43</v>
      </c>
      <c r="C49" s="6" t="s">
        <v>180</v>
      </c>
      <c r="D49">
        <v>459539</v>
      </c>
      <c r="E49">
        <v>56949</v>
      </c>
      <c r="F49">
        <v>2781</v>
      </c>
      <c r="G49">
        <v>3000</v>
      </c>
      <c r="H49">
        <v>0</v>
      </c>
      <c r="I49">
        <v>8500</v>
      </c>
      <c r="M49">
        <v>2010</v>
      </c>
      <c r="N49" t="s">
        <v>249</v>
      </c>
    </row>
    <row r="50" spans="1:15" ht="45" x14ac:dyDescent="0.2">
      <c r="A50">
        <v>47</v>
      </c>
      <c r="B50">
        <v>49</v>
      </c>
      <c r="C50" s="6" t="s">
        <v>35</v>
      </c>
      <c r="D50">
        <v>450351</v>
      </c>
      <c r="E50">
        <v>-1783</v>
      </c>
      <c r="F50">
        <v>1040</v>
      </c>
      <c r="G50">
        <v>1300</v>
      </c>
      <c r="H50">
        <v>0</v>
      </c>
      <c r="I50">
        <v>900</v>
      </c>
      <c r="M50">
        <v>2010</v>
      </c>
      <c r="N50" t="s">
        <v>250</v>
      </c>
    </row>
    <row r="51" spans="1:15" x14ac:dyDescent="0.2">
      <c r="A51">
        <v>48</v>
      </c>
      <c r="C51" s="6" t="s">
        <v>61</v>
      </c>
      <c r="D51">
        <v>448666</v>
      </c>
      <c r="F51">
        <v>2544</v>
      </c>
      <c r="G51">
        <v>1487</v>
      </c>
      <c r="H51">
        <v>39</v>
      </c>
      <c r="I51">
        <v>3925</v>
      </c>
      <c r="K51">
        <v>920</v>
      </c>
      <c r="M51">
        <v>2010</v>
      </c>
      <c r="N51" t="s">
        <v>251</v>
      </c>
    </row>
    <row r="52" spans="1:15" x14ac:dyDescent="0.2">
      <c r="A52">
        <v>49</v>
      </c>
      <c r="C52" s="6" t="s">
        <v>70</v>
      </c>
      <c r="D52">
        <v>439000</v>
      </c>
      <c r="G52">
        <v>2500</v>
      </c>
      <c r="H52">
        <v>0</v>
      </c>
      <c r="I52">
        <v>6250</v>
      </c>
      <c r="M52">
        <v>2010</v>
      </c>
      <c r="N52" t="s">
        <v>252</v>
      </c>
    </row>
    <row r="53" spans="1:15" x14ac:dyDescent="0.2">
      <c r="A53">
        <v>50</v>
      </c>
      <c r="B53">
        <v>57</v>
      </c>
      <c r="C53" s="6" t="s">
        <v>68</v>
      </c>
      <c r="D53">
        <v>434000</v>
      </c>
      <c r="F53">
        <v>3400</v>
      </c>
      <c r="G53">
        <v>2660</v>
      </c>
      <c r="H53">
        <v>141</v>
      </c>
      <c r="I53">
        <v>5200</v>
      </c>
      <c r="M53">
        <v>2010</v>
      </c>
      <c r="N53" s="8" t="s">
        <v>253</v>
      </c>
      <c r="O53" t="s">
        <v>217</v>
      </c>
    </row>
    <row r="54" spans="1:15" ht="30" x14ac:dyDescent="0.2">
      <c r="A54">
        <v>51</v>
      </c>
      <c r="B54">
        <v>51</v>
      </c>
      <c r="C54" s="6" t="s">
        <v>125</v>
      </c>
      <c r="D54">
        <v>420000</v>
      </c>
      <c r="F54">
        <v>4200</v>
      </c>
      <c r="G54">
        <v>2350</v>
      </c>
      <c r="H54">
        <v>85</v>
      </c>
      <c r="I54">
        <v>6250</v>
      </c>
      <c r="M54">
        <v>2010</v>
      </c>
      <c r="N54" t="s">
        <v>254</v>
      </c>
    </row>
    <row r="55" spans="1:15" x14ac:dyDescent="0.2">
      <c r="A55">
        <v>52</v>
      </c>
      <c r="B55">
        <v>54</v>
      </c>
      <c r="C55" s="6" t="s">
        <v>56</v>
      </c>
      <c r="D55">
        <v>417410</v>
      </c>
      <c r="E55">
        <v>9802</v>
      </c>
      <c r="F55">
        <v>2755</v>
      </c>
      <c r="G55">
        <f>464*1027/(1027 + 177)</f>
        <v>395.78737541528238</v>
      </c>
      <c r="H55">
        <f>464*177/(1027 + 177)</f>
        <v>68.212624584717602</v>
      </c>
      <c r="I55">
        <v>2310</v>
      </c>
      <c r="M55">
        <v>2010</v>
      </c>
      <c r="N55" t="s">
        <v>255</v>
      </c>
    </row>
    <row r="56" spans="1:15" x14ac:dyDescent="0.2">
      <c r="A56">
        <v>53</v>
      </c>
      <c r="B56">
        <v>52</v>
      </c>
      <c r="C56" s="6" t="s">
        <v>81</v>
      </c>
      <c r="D56">
        <v>401279</v>
      </c>
      <c r="F56">
        <v>3294</v>
      </c>
      <c r="G56">
        <v>2803</v>
      </c>
      <c r="H56">
        <v>0</v>
      </c>
      <c r="I56">
        <v>5575</v>
      </c>
      <c r="M56">
        <v>2010</v>
      </c>
      <c r="N56" s="8" t="s">
        <v>256</v>
      </c>
      <c r="O56" t="s">
        <v>324</v>
      </c>
    </row>
    <row r="57" spans="1:15" x14ac:dyDescent="0.2">
      <c r="A57">
        <v>54</v>
      </c>
      <c r="B57">
        <v>50</v>
      </c>
      <c r="C57" s="6" t="s">
        <v>63</v>
      </c>
      <c r="D57">
        <v>382368</v>
      </c>
      <c r="E57">
        <v>-7177</v>
      </c>
      <c r="F57">
        <v>3000</v>
      </c>
      <c r="G57">
        <v>2344</v>
      </c>
      <c r="H57">
        <v>0</v>
      </c>
      <c r="I57">
        <v>6904</v>
      </c>
      <c r="M57">
        <v>2010</v>
      </c>
      <c r="N57" t="s">
        <v>257</v>
      </c>
    </row>
    <row r="58" spans="1:15" x14ac:dyDescent="0.2">
      <c r="A58">
        <v>55</v>
      </c>
      <c r="B58">
        <v>59</v>
      </c>
      <c r="C58" s="7" t="s">
        <v>158</v>
      </c>
      <c r="D58">
        <v>374000</v>
      </c>
      <c r="F58">
        <v>2400</v>
      </c>
      <c r="G58">
        <v>1790</v>
      </c>
      <c r="H58">
        <v>0</v>
      </c>
      <c r="I58">
        <v>457</v>
      </c>
      <c r="M58">
        <v>2010</v>
      </c>
      <c r="N58" t="s">
        <v>258</v>
      </c>
    </row>
    <row r="59" spans="1:15" ht="30" x14ac:dyDescent="0.2">
      <c r="A59">
        <v>56</v>
      </c>
      <c r="B59">
        <v>53</v>
      </c>
      <c r="C59" s="6" t="s">
        <v>129</v>
      </c>
      <c r="D59">
        <v>373051</v>
      </c>
      <c r="E59">
        <v>-16415</v>
      </c>
      <c r="F59">
        <v>2187</v>
      </c>
      <c r="G59">
        <v>1943</v>
      </c>
      <c r="H59">
        <v>0</v>
      </c>
      <c r="I59">
        <v>3786</v>
      </c>
      <c r="M59">
        <v>2010</v>
      </c>
      <c r="N59" t="s">
        <v>259</v>
      </c>
    </row>
    <row r="60" spans="1:15" ht="30" x14ac:dyDescent="0.2">
      <c r="A60">
        <v>57</v>
      </c>
      <c r="B60">
        <v>60</v>
      </c>
      <c r="C60" s="6" t="s">
        <v>123</v>
      </c>
      <c r="D60">
        <v>350520</v>
      </c>
      <c r="G60">
        <v>2000</v>
      </c>
      <c r="H60">
        <v>430</v>
      </c>
      <c r="I60">
        <v>2300</v>
      </c>
      <c r="M60">
        <v>2010</v>
      </c>
      <c r="N60" t="s">
        <v>260</v>
      </c>
    </row>
    <row r="61" spans="1:15" x14ac:dyDescent="0.2">
      <c r="A61">
        <v>58</v>
      </c>
      <c r="B61">
        <v>55</v>
      </c>
      <c r="C61" s="6" t="s">
        <v>62</v>
      </c>
      <c r="D61">
        <v>327374</v>
      </c>
      <c r="E61">
        <v>20114</v>
      </c>
      <c r="F61">
        <v>1600</v>
      </c>
      <c r="G61">
        <v>1100</v>
      </c>
      <c r="H61">
        <v>0</v>
      </c>
      <c r="I61">
        <v>2200</v>
      </c>
      <c r="M61">
        <v>2010</v>
      </c>
      <c r="N61" t="s">
        <v>261</v>
      </c>
    </row>
    <row r="62" spans="1:15" x14ac:dyDescent="0.2">
      <c r="A62">
        <v>59</v>
      </c>
      <c r="B62">
        <v>56</v>
      </c>
      <c r="C62" s="7" t="s">
        <v>181</v>
      </c>
      <c r="D62">
        <v>326071</v>
      </c>
      <c r="F62">
        <v>1000</v>
      </c>
      <c r="G62">
        <v>980</v>
      </c>
      <c r="H62">
        <v>644</v>
      </c>
      <c r="I62">
        <v>2771</v>
      </c>
      <c r="K62">
        <v>750</v>
      </c>
      <c r="M62">
        <v>2010</v>
      </c>
      <c r="N62" t="s">
        <v>262</v>
      </c>
    </row>
    <row r="63" spans="1:15" ht="45" x14ac:dyDescent="0.2">
      <c r="A63">
        <v>60</v>
      </c>
      <c r="B63">
        <v>61</v>
      </c>
      <c r="C63" s="6" t="s">
        <v>182</v>
      </c>
      <c r="D63">
        <v>322103</v>
      </c>
      <c r="F63">
        <v>1430</v>
      </c>
      <c r="G63">
        <v>1720</v>
      </c>
      <c r="H63">
        <v>0</v>
      </c>
      <c r="I63">
        <v>2680</v>
      </c>
      <c r="M63">
        <v>2010</v>
      </c>
      <c r="N63" t="s">
        <v>263</v>
      </c>
    </row>
    <row r="64" spans="1:15" x14ac:dyDescent="0.2">
      <c r="A64">
        <v>61</v>
      </c>
      <c r="B64">
        <v>70</v>
      </c>
      <c r="C64" s="7" t="s">
        <v>183</v>
      </c>
      <c r="D64">
        <v>301924</v>
      </c>
      <c r="E64">
        <v>7866</v>
      </c>
      <c r="F64">
        <v>1500</v>
      </c>
      <c r="G64">
        <v>97</v>
      </c>
      <c r="H64">
        <v>745</v>
      </c>
      <c r="I64">
        <v>2404</v>
      </c>
      <c r="M64">
        <v>2010</v>
      </c>
      <c r="N64" t="s">
        <v>264</v>
      </c>
    </row>
    <row r="65" spans="1:15" ht="45" x14ac:dyDescent="0.2">
      <c r="A65">
        <v>62</v>
      </c>
      <c r="B65">
        <v>62</v>
      </c>
      <c r="C65" s="6" t="s">
        <v>184</v>
      </c>
      <c r="D65">
        <v>291910</v>
      </c>
      <c r="E65">
        <v>-10847</v>
      </c>
      <c r="F65">
        <v>2591</v>
      </c>
      <c r="G65">
        <v>1731</v>
      </c>
      <c r="H65">
        <v>0</v>
      </c>
      <c r="I65">
        <v>4630</v>
      </c>
      <c r="M65">
        <v>2010</v>
      </c>
      <c r="N65" t="s">
        <v>265</v>
      </c>
    </row>
    <row r="66" spans="1:15" x14ac:dyDescent="0.2">
      <c r="A66">
        <v>63</v>
      </c>
      <c r="B66">
        <v>66</v>
      </c>
      <c r="C66" s="6" t="s">
        <v>185</v>
      </c>
      <c r="D66">
        <v>285674</v>
      </c>
      <c r="F66">
        <v>2300</v>
      </c>
      <c r="G66">
        <v>3081</v>
      </c>
      <c r="H66">
        <v>34</v>
      </c>
      <c r="I66">
        <v>3563</v>
      </c>
      <c r="K66">
        <v>400</v>
      </c>
      <c r="M66">
        <v>2010</v>
      </c>
      <c r="N66" t="s">
        <v>266</v>
      </c>
    </row>
    <row r="67" spans="1:15" ht="30" x14ac:dyDescent="0.2">
      <c r="A67">
        <v>64</v>
      </c>
      <c r="B67">
        <v>77</v>
      </c>
      <c r="C67" s="6" t="s">
        <v>186</v>
      </c>
      <c r="D67">
        <v>285000</v>
      </c>
      <c r="F67">
        <v>1900</v>
      </c>
      <c r="G67">
        <v>1500</v>
      </c>
      <c r="H67">
        <v>0</v>
      </c>
      <c r="I67">
        <v>4200</v>
      </c>
      <c r="M67">
        <v>2010</v>
      </c>
      <c r="N67" t="s">
        <v>267</v>
      </c>
    </row>
    <row r="68" spans="1:15" ht="30" x14ac:dyDescent="0.2">
      <c r="A68">
        <v>65</v>
      </c>
      <c r="B68">
        <v>58</v>
      </c>
      <c r="C68" s="6" t="s">
        <v>65</v>
      </c>
      <c r="D68">
        <v>282166</v>
      </c>
      <c r="F68">
        <v>214</v>
      </c>
      <c r="G68">
        <v>1700</v>
      </c>
      <c r="H68">
        <v>0</v>
      </c>
      <c r="I68">
        <v>1850</v>
      </c>
      <c r="M68">
        <v>2010</v>
      </c>
      <c r="N68" t="s">
        <v>268</v>
      </c>
    </row>
    <row r="69" spans="1:15" x14ac:dyDescent="0.2">
      <c r="A69">
        <v>66</v>
      </c>
      <c r="B69">
        <v>88</v>
      </c>
      <c r="C69" s="6" t="s">
        <v>187</v>
      </c>
      <c r="D69">
        <v>271000</v>
      </c>
      <c r="F69">
        <v>500</v>
      </c>
      <c r="G69">
        <v>539</v>
      </c>
      <c r="H69">
        <v>539</v>
      </c>
      <c r="I69">
        <v>0</v>
      </c>
      <c r="M69">
        <v>2010</v>
      </c>
      <c r="N69" t="s">
        <v>269</v>
      </c>
    </row>
    <row r="70" spans="1:15" x14ac:dyDescent="0.2">
      <c r="A70">
        <v>67</v>
      </c>
      <c r="B70">
        <v>80</v>
      </c>
      <c r="C70" s="6" t="s">
        <v>90</v>
      </c>
      <c r="D70">
        <v>267738</v>
      </c>
      <c r="F70">
        <v>663</v>
      </c>
      <c r="G70">
        <v>1347</v>
      </c>
      <c r="H70">
        <v>0</v>
      </c>
      <c r="I70">
        <v>2400</v>
      </c>
      <c r="M70">
        <v>2010</v>
      </c>
      <c r="N70" t="s">
        <v>270</v>
      </c>
    </row>
    <row r="71" spans="1:15" x14ac:dyDescent="0.2">
      <c r="A71">
        <v>68</v>
      </c>
      <c r="B71">
        <v>65</v>
      </c>
      <c r="C71" s="6" t="s">
        <v>86</v>
      </c>
      <c r="D71">
        <v>261000</v>
      </c>
      <c r="E71">
        <v>-3300</v>
      </c>
      <c r="F71">
        <v>1531</v>
      </c>
      <c r="G71">
        <v>805</v>
      </c>
      <c r="H71">
        <v>472</v>
      </c>
      <c r="I71">
        <v>1036</v>
      </c>
      <c r="M71">
        <v>2010</v>
      </c>
      <c r="N71" s="8" t="s">
        <v>271</v>
      </c>
      <c r="O71" t="s">
        <v>217</v>
      </c>
    </row>
    <row r="72" spans="1:15" ht="30" x14ac:dyDescent="0.2">
      <c r="A72">
        <v>69</v>
      </c>
      <c r="B72">
        <v>76</v>
      </c>
      <c r="C72" s="6" t="s">
        <v>85</v>
      </c>
      <c r="D72">
        <v>260234</v>
      </c>
      <c r="F72">
        <v>1013</v>
      </c>
      <c r="G72">
        <v>1550</v>
      </c>
      <c r="H72">
        <v>0</v>
      </c>
      <c r="I72">
        <v>2100</v>
      </c>
      <c r="M72">
        <v>2010</v>
      </c>
      <c r="N72" t="s">
        <v>272</v>
      </c>
    </row>
    <row r="73" spans="1:15" ht="30" x14ac:dyDescent="0.2">
      <c r="A73">
        <v>70</v>
      </c>
      <c r="B73">
        <v>64</v>
      </c>
      <c r="C73" s="6" t="s">
        <v>188</v>
      </c>
      <c r="D73">
        <v>257000</v>
      </c>
      <c r="F73">
        <v>1811</v>
      </c>
      <c r="G73">
        <v>1201</v>
      </c>
      <c r="H73">
        <v>264</v>
      </c>
      <c r="I73">
        <v>4297</v>
      </c>
      <c r="M73">
        <v>2010</v>
      </c>
      <c r="N73" t="s">
        <v>273</v>
      </c>
    </row>
    <row r="74" spans="1:15" x14ac:dyDescent="0.2">
      <c r="A74">
        <v>71</v>
      </c>
      <c r="B74">
        <v>69</v>
      </c>
      <c r="C74" s="6" t="s">
        <v>160</v>
      </c>
      <c r="D74">
        <v>255221</v>
      </c>
      <c r="E74">
        <v>10291</v>
      </c>
      <c r="F74">
        <v>940</v>
      </c>
      <c r="G74">
        <v>216</v>
      </c>
      <c r="H74">
        <v>217</v>
      </c>
      <c r="I74">
        <v>412</v>
      </c>
      <c r="K74">
        <v>1600</v>
      </c>
      <c r="M74">
        <v>2010</v>
      </c>
      <c r="N74" t="s">
        <v>274</v>
      </c>
    </row>
    <row r="75" spans="1:15" x14ac:dyDescent="0.2">
      <c r="A75">
        <v>72</v>
      </c>
      <c r="B75">
        <v>67</v>
      </c>
      <c r="C75" s="6" t="s">
        <v>189</v>
      </c>
      <c r="D75">
        <v>255198</v>
      </c>
      <c r="E75">
        <v>9420</v>
      </c>
      <c r="F75">
        <v>2042</v>
      </c>
      <c r="G75">
        <v>682</v>
      </c>
      <c r="H75">
        <v>436</v>
      </c>
      <c r="I75">
        <v>1747</v>
      </c>
      <c r="M75">
        <v>2010</v>
      </c>
      <c r="N75" t="s">
        <v>275</v>
      </c>
    </row>
    <row r="76" spans="1:15" ht="30" x14ac:dyDescent="0.2">
      <c r="A76">
        <v>73</v>
      </c>
      <c r="B76">
        <v>73</v>
      </c>
      <c r="C76" s="6" t="s">
        <v>190</v>
      </c>
      <c r="D76">
        <v>250000</v>
      </c>
      <c r="G76">
        <v>1154</v>
      </c>
      <c r="H76">
        <v>0</v>
      </c>
      <c r="I76">
        <v>2830</v>
      </c>
      <c r="M76">
        <v>2010</v>
      </c>
      <c r="N76" t="s">
        <v>276</v>
      </c>
    </row>
    <row r="77" spans="1:15" ht="30" x14ac:dyDescent="0.2">
      <c r="A77">
        <v>74</v>
      </c>
      <c r="B77">
        <v>83</v>
      </c>
      <c r="C77" s="6" t="s">
        <v>78</v>
      </c>
      <c r="D77">
        <v>232000</v>
      </c>
      <c r="F77">
        <v>1500</v>
      </c>
      <c r="G77">
        <v>1020</v>
      </c>
      <c r="H77">
        <v>0</v>
      </c>
      <c r="I77">
        <v>3900</v>
      </c>
      <c r="M77">
        <v>2010</v>
      </c>
      <c r="N77" t="s">
        <v>277</v>
      </c>
    </row>
    <row r="78" spans="1:15" ht="45" x14ac:dyDescent="0.2">
      <c r="A78">
        <v>75</v>
      </c>
      <c r="B78">
        <v>78</v>
      </c>
      <c r="C78" s="6" t="s">
        <v>191</v>
      </c>
      <c r="D78">
        <v>230000</v>
      </c>
      <c r="E78">
        <v>12030</v>
      </c>
      <c r="F78">
        <v>225</v>
      </c>
      <c r="G78">
        <v>643</v>
      </c>
      <c r="H78">
        <v>200</v>
      </c>
      <c r="I78">
        <v>1100</v>
      </c>
      <c r="M78">
        <v>2010</v>
      </c>
      <c r="N78" t="s">
        <v>278</v>
      </c>
    </row>
    <row r="79" spans="1:15" ht="45" x14ac:dyDescent="0.2">
      <c r="A79">
        <v>76</v>
      </c>
      <c r="B79">
        <v>81</v>
      </c>
      <c r="C79" s="6" t="s">
        <v>140</v>
      </c>
      <c r="D79">
        <v>228714</v>
      </c>
      <c r="F79">
        <v>1800</v>
      </c>
      <c r="G79">
        <v>365</v>
      </c>
      <c r="H79">
        <v>33</v>
      </c>
      <c r="I79">
        <v>1158</v>
      </c>
      <c r="M79">
        <v>2010</v>
      </c>
      <c r="N79" s="8" t="s">
        <v>279</v>
      </c>
      <c r="O79" t="s">
        <v>324</v>
      </c>
    </row>
    <row r="80" spans="1:15" x14ac:dyDescent="0.2">
      <c r="A80">
        <v>77</v>
      </c>
      <c r="B80">
        <v>74</v>
      </c>
      <c r="C80" s="6" t="s">
        <v>79</v>
      </c>
      <c r="D80">
        <v>228057</v>
      </c>
      <c r="F80">
        <v>1955</v>
      </c>
      <c r="G80">
        <v>1873</v>
      </c>
      <c r="H80">
        <v>4</v>
      </c>
      <c r="I80">
        <v>4722</v>
      </c>
      <c r="M80">
        <v>2010</v>
      </c>
      <c r="N80" t="s">
        <v>280</v>
      </c>
    </row>
    <row r="81" spans="1:15" ht="30" x14ac:dyDescent="0.2">
      <c r="A81">
        <v>78</v>
      </c>
      <c r="C81" s="6" t="s">
        <v>192</v>
      </c>
      <c r="D81">
        <v>226700</v>
      </c>
      <c r="F81">
        <v>1000</v>
      </c>
      <c r="G81">
        <v>735</v>
      </c>
      <c r="H81">
        <v>0</v>
      </c>
      <c r="I81">
        <v>2200</v>
      </c>
      <c r="M81">
        <v>2010</v>
      </c>
      <c r="N81" t="s">
        <v>281</v>
      </c>
    </row>
    <row r="82" spans="1:15" ht="30" x14ac:dyDescent="0.2">
      <c r="A82">
        <v>79</v>
      </c>
      <c r="B82">
        <v>63</v>
      </c>
      <c r="C82" s="6" t="s">
        <v>193</v>
      </c>
      <c r="D82">
        <v>224157</v>
      </c>
      <c r="F82">
        <v>300</v>
      </c>
      <c r="G82">
        <v>1414</v>
      </c>
      <c r="H82">
        <v>0</v>
      </c>
      <c r="I82">
        <v>0</v>
      </c>
      <c r="L82">
        <v>700</v>
      </c>
      <c r="M82">
        <v>2010</v>
      </c>
      <c r="N82" t="s">
        <v>282</v>
      </c>
    </row>
    <row r="83" spans="1:15" x14ac:dyDescent="0.2">
      <c r="A83">
        <v>80</v>
      </c>
      <c r="B83">
        <v>82</v>
      </c>
      <c r="C83" s="6" t="s">
        <v>194</v>
      </c>
      <c r="D83">
        <v>218434</v>
      </c>
      <c r="F83">
        <v>1206</v>
      </c>
      <c r="G83">
        <v>1091</v>
      </c>
      <c r="H83">
        <v>0</v>
      </c>
      <c r="I83">
        <v>3920</v>
      </c>
      <c r="M83">
        <v>2010</v>
      </c>
      <c r="N83" s="10" t="s">
        <v>283</v>
      </c>
    </row>
    <row r="84" spans="1:15" ht="30" x14ac:dyDescent="0.2">
      <c r="A84">
        <v>81</v>
      </c>
      <c r="B84">
        <v>86</v>
      </c>
      <c r="C84" s="6" t="s">
        <v>195</v>
      </c>
      <c r="D84">
        <v>213500</v>
      </c>
      <c r="F84">
        <v>2200</v>
      </c>
      <c r="G84">
        <v>996</v>
      </c>
      <c r="H84">
        <v>19</v>
      </c>
      <c r="I84">
        <v>2205</v>
      </c>
      <c r="M84">
        <v>2010</v>
      </c>
      <c r="N84" t="s">
        <v>284</v>
      </c>
    </row>
    <row r="85" spans="1:15" ht="30" x14ac:dyDescent="0.2">
      <c r="A85">
        <v>82</v>
      </c>
      <c r="B85">
        <v>84</v>
      </c>
      <c r="C85" s="6" t="s">
        <v>144</v>
      </c>
      <c r="D85">
        <v>207000</v>
      </c>
      <c r="F85">
        <v>3235</v>
      </c>
      <c r="G85">
        <v>2351</v>
      </c>
      <c r="H85">
        <v>0</v>
      </c>
      <c r="I85">
        <v>8464</v>
      </c>
      <c r="M85">
        <v>2010</v>
      </c>
      <c r="N85" t="s">
        <v>285</v>
      </c>
    </row>
    <row r="86" spans="1:15" ht="45" x14ac:dyDescent="0.2">
      <c r="A86">
        <v>83</v>
      </c>
      <c r="B86">
        <v>85</v>
      </c>
      <c r="C86" s="6" t="s">
        <v>99</v>
      </c>
      <c r="D86">
        <v>206477</v>
      </c>
      <c r="F86">
        <v>574</v>
      </c>
      <c r="G86">
        <v>615</v>
      </c>
      <c r="H86">
        <v>667</v>
      </c>
      <c r="I86">
        <v>1178</v>
      </c>
      <c r="M86">
        <v>2010</v>
      </c>
      <c r="N86" t="s">
        <v>286</v>
      </c>
    </row>
    <row r="87" spans="1:15" x14ac:dyDescent="0.2">
      <c r="A87">
        <v>84</v>
      </c>
      <c r="B87">
        <v>90</v>
      </c>
      <c r="C87" s="6" t="s">
        <v>96</v>
      </c>
      <c r="D87">
        <v>205000</v>
      </c>
      <c r="F87">
        <v>2455</v>
      </c>
      <c r="G87">
        <v>800</v>
      </c>
      <c r="H87">
        <v>26</v>
      </c>
      <c r="I87">
        <v>1451</v>
      </c>
      <c r="M87">
        <v>2010</v>
      </c>
      <c r="N87" t="s">
        <v>287</v>
      </c>
    </row>
    <row r="88" spans="1:15" ht="30" x14ac:dyDescent="0.2">
      <c r="A88">
        <v>85</v>
      </c>
      <c r="B88">
        <v>79</v>
      </c>
      <c r="C88" s="6" t="s">
        <v>83</v>
      </c>
      <c r="D88">
        <v>203178</v>
      </c>
      <c r="F88">
        <v>1205</v>
      </c>
      <c r="G88">
        <v>1156</v>
      </c>
      <c r="H88">
        <v>0</v>
      </c>
      <c r="I88">
        <v>3855</v>
      </c>
      <c r="M88">
        <v>2010</v>
      </c>
      <c r="N88" t="s">
        <v>288</v>
      </c>
      <c r="O88" t="s">
        <v>289</v>
      </c>
    </row>
    <row r="89" spans="1:15" x14ac:dyDescent="0.2">
      <c r="A89">
        <v>86</v>
      </c>
      <c r="B89">
        <v>95</v>
      </c>
      <c r="C89" s="6" t="s">
        <v>91</v>
      </c>
      <c r="D89">
        <v>199668</v>
      </c>
      <c r="F89">
        <v>920</v>
      </c>
      <c r="G89">
        <v>1070</v>
      </c>
      <c r="H89">
        <v>0</v>
      </c>
      <c r="I89">
        <v>3737</v>
      </c>
      <c r="M89">
        <v>2010</v>
      </c>
      <c r="N89" t="s">
        <v>290</v>
      </c>
    </row>
    <row r="90" spans="1:15" ht="30" x14ac:dyDescent="0.2">
      <c r="A90">
        <v>87</v>
      </c>
      <c r="B90">
        <v>87</v>
      </c>
      <c r="C90" s="6" t="s">
        <v>89</v>
      </c>
      <c r="D90">
        <v>198000</v>
      </c>
      <c r="E90">
        <v>1700</v>
      </c>
      <c r="F90">
        <v>1200</v>
      </c>
      <c r="G90">
        <v>1126</v>
      </c>
      <c r="H90">
        <v>0</v>
      </c>
      <c r="I90">
        <v>908</v>
      </c>
      <c r="M90">
        <v>2010</v>
      </c>
      <c r="N90" t="s">
        <v>291</v>
      </c>
    </row>
    <row r="91" spans="1:15" x14ac:dyDescent="0.2">
      <c r="A91">
        <v>88</v>
      </c>
      <c r="B91">
        <v>93</v>
      </c>
      <c r="C91" s="6" t="s">
        <v>163</v>
      </c>
      <c r="D91">
        <v>197000</v>
      </c>
      <c r="E91">
        <v>6200</v>
      </c>
      <c r="F91">
        <v>609</v>
      </c>
      <c r="G91">
        <v>751</v>
      </c>
      <c r="H91">
        <v>0</v>
      </c>
      <c r="I91">
        <v>1677</v>
      </c>
      <c r="M91">
        <v>2010</v>
      </c>
      <c r="N91" t="s">
        <v>292</v>
      </c>
    </row>
    <row r="92" spans="1:15" x14ac:dyDescent="0.2">
      <c r="A92">
        <v>89</v>
      </c>
      <c r="B92">
        <v>71</v>
      </c>
      <c r="C92" s="6" t="s">
        <v>95</v>
      </c>
      <c r="D92">
        <v>190658</v>
      </c>
      <c r="F92">
        <v>1262</v>
      </c>
      <c r="G92">
        <v>1292</v>
      </c>
      <c r="H92">
        <v>0</v>
      </c>
      <c r="I92">
        <v>1807</v>
      </c>
      <c r="M92">
        <v>2010</v>
      </c>
      <c r="N92" t="s">
        <v>293</v>
      </c>
    </row>
    <row r="93" spans="1:15" x14ac:dyDescent="0.2">
      <c r="A93">
        <v>90</v>
      </c>
      <c r="C93" s="6" t="s">
        <v>196</v>
      </c>
      <c r="D93">
        <v>189000</v>
      </c>
      <c r="F93">
        <v>1500</v>
      </c>
      <c r="G93">
        <v>920</v>
      </c>
      <c r="H93">
        <v>13</v>
      </c>
      <c r="I93">
        <v>2255</v>
      </c>
      <c r="M93">
        <v>2010</v>
      </c>
      <c r="N93" t="s">
        <v>294</v>
      </c>
    </row>
    <row r="94" spans="1:15" ht="30" x14ac:dyDescent="0.2">
      <c r="A94">
        <v>91</v>
      </c>
      <c r="B94">
        <v>89</v>
      </c>
      <c r="C94" s="6" t="s">
        <v>109</v>
      </c>
      <c r="D94">
        <v>188278</v>
      </c>
      <c r="E94">
        <v>2050</v>
      </c>
      <c r="F94">
        <v>1300</v>
      </c>
      <c r="G94">
        <v>1185</v>
      </c>
      <c r="H94">
        <v>0</v>
      </c>
      <c r="I94">
        <v>1954</v>
      </c>
      <c r="M94">
        <v>2010</v>
      </c>
      <c r="N94" t="s">
        <v>295</v>
      </c>
    </row>
    <row r="95" spans="1:15" x14ac:dyDescent="0.2">
      <c r="A95">
        <v>92</v>
      </c>
      <c r="B95">
        <v>98</v>
      </c>
      <c r="C95" s="6" t="s">
        <v>108</v>
      </c>
      <c r="D95">
        <v>185000</v>
      </c>
      <c r="F95">
        <v>988</v>
      </c>
      <c r="G95">
        <v>705</v>
      </c>
      <c r="H95">
        <v>0</v>
      </c>
      <c r="I95">
        <v>1774</v>
      </c>
      <c r="K95">
        <v>276</v>
      </c>
      <c r="M95">
        <v>2010</v>
      </c>
      <c r="N95" t="s">
        <v>296</v>
      </c>
    </row>
    <row r="96" spans="1:15" ht="30" x14ac:dyDescent="0.2">
      <c r="A96">
        <v>93</v>
      </c>
      <c r="B96">
        <v>94</v>
      </c>
      <c r="C96" s="6" t="s">
        <v>197</v>
      </c>
      <c r="D96">
        <v>184023</v>
      </c>
      <c r="F96">
        <v>1600</v>
      </c>
      <c r="G96">
        <v>590</v>
      </c>
      <c r="H96">
        <v>30</v>
      </c>
      <c r="I96">
        <v>900</v>
      </c>
      <c r="K96">
        <v>500</v>
      </c>
      <c r="M96">
        <v>2010</v>
      </c>
      <c r="N96" s="8" t="s">
        <v>297</v>
      </c>
      <c r="O96" t="s">
        <v>217</v>
      </c>
    </row>
    <row r="97" spans="1:15" ht="30" x14ac:dyDescent="0.2">
      <c r="A97">
        <v>94</v>
      </c>
      <c r="C97" s="6" t="s">
        <v>98</v>
      </c>
      <c r="D97">
        <v>181000</v>
      </c>
      <c r="F97">
        <v>250</v>
      </c>
      <c r="G97">
        <v>1770</v>
      </c>
      <c r="H97">
        <v>0</v>
      </c>
      <c r="I97">
        <v>400</v>
      </c>
      <c r="M97">
        <v>2010</v>
      </c>
      <c r="N97" t="s">
        <v>298</v>
      </c>
    </row>
    <row r="98" spans="1:15" x14ac:dyDescent="0.2">
      <c r="A98">
        <v>95</v>
      </c>
      <c r="C98" s="6" t="s">
        <v>198</v>
      </c>
      <c r="D98">
        <v>180000</v>
      </c>
      <c r="F98">
        <v>1200</v>
      </c>
      <c r="G98">
        <v>71</v>
      </c>
      <c r="H98">
        <v>518</v>
      </c>
      <c r="I98">
        <v>1079</v>
      </c>
      <c r="M98">
        <v>2010</v>
      </c>
      <c r="N98" t="s">
        <v>299</v>
      </c>
    </row>
    <row r="99" spans="1:15" x14ac:dyDescent="0.2">
      <c r="A99">
        <v>96</v>
      </c>
      <c r="C99" s="6" t="s">
        <v>199</v>
      </c>
      <c r="D99">
        <v>179732</v>
      </c>
      <c r="E99">
        <v>-2586</v>
      </c>
      <c r="F99">
        <v>89</v>
      </c>
      <c r="G99">
        <v>1700</v>
      </c>
      <c r="H99">
        <v>0</v>
      </c>
      <c r="I99">
        <v>0</v>
      </c>
      <c r="M99">
        <v>2010</v>
      </c>
      <c r="N99" s="8" t="s">
        <v>300</v>
      </c>
      <c r="O99" t="s">
        <v>217</v>
      </c>
    </row>
    <row r="100" spans="1:15" ht="30" x14ac:dyDescent="0.2">
      <c r="A100">
        <v>97</v>
      </c>
      <c r="C100" s="6" t="s">
        <v>111</v>
      </c>
      <c r="D100">
        <v>172717</v>
      </c>
      <c r="F100">
        <v>1485</v>
      </c>
      <c r="G100">
        <v>1105</v>
      </c>
      <c r="H100">
        <v>0</v>
      </c>
      <c r="I100">
        <v>2895</v>
      </c>
      <c r="M100">
        <v>2010</v>
      </c>
      <c r="N100" t="s">
        <v>301</v>
      </c>
    </row>
    <row r="101" spans="1:15" ht="30" x14ac:dyDescent="0.2">
      <c r="A101">
        <v>98</v>
      </c>
      <c r="B101">
        <v>96</v>
      </c>
      <c r="C101" s="6" t="s">
        <v>200</v>
      </c>
      <c r="D101">
        <v>172441</v>
      </c>
      <c r="F101">
        <v>1286</v>
      </c>
      <c r="G101">
        <v>1050</v>
      </c>
      <c r="H101">
        <v>40</v>
      </c>
      <c r="I101">
        <v>1700</v>
      </c>
      <c r="M101">
        <v>2010</v>
      </c>
      <c r="N101" s="8" t="s">
        <v>302</v>
      </c>
      <c r="O101" t="s">
        <v>217</v>
      </c>
    </row>
    <row r="102" spans="1:15" x14ac:dyDescent="0.2">
      <c r="A102">
        <v>99</v>
      </c>
      <c r="C102" s="6" t="s">
        <v>201</v>
      </c>
      <c r="D102">
        <v>169493</v>
      </c>
      <c r="E102">
        <v>3850</v>
      </c>
      <c r="F102">
        <v>270</v>
      </c>
      <c r="G102">
        <v>68</v>
      </c>
      <c r="H102">
        <v>24</v>
      </c>
      <c r="I102">
        <v>90</v>
      </c>
      <c r="M102">
        <v>2010</v>
      </c>
      <c r="N102" t="s">
        <v>303</v>
      </c>
    </row>
    <row r="103" spans="1:15" ht="30" x14ac:dyDescent="0.2">
      <c r="A103">
        <v>100</v>
      </c>
      <c r="B103">
        <v>72</v>
      </c>
      <c r="C103" s="6" t="s">
        <v>128</v>
      </c>
      <c r="D103">
        <v>165600</v>
      </c>
      <c r="F103">
        <v>1521</v>
      </c>
      <c r="G103">
        <v>1533</v>
      </c>
      <c r="H103">
        <v>0</v>
      </c>
      <c r="I103">
        <v>1531</v>
      </c>
      <c r="M103">
        <v>2010</v>
      </c>
      <c r="N103" t="s">
        <v>304</v>
      </c>
    </row>
  </sheetData>
  <mergeCells count="3">
    <mergeCell ref="C1:C2"/>
    <mergeCell ref="G1:G2"/>
    <mergeCell ref="I1:I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3"/>
  <sheetViews>
    <sheetView workbookViewId="0">
      <pane ySplit="4" topLeftCell="A5" activePane="bottomLeft" state="frozenSplit"/>
      <selection pane="bottomLeft" activeCell="H8" sqref="H8"/>
    </sheetView>
  </sheetViews>
  <sheetFormatPr baseColWidth="10" defaultColWidth="8.6640625" defaultRowHeight="15" x14ac:dyDescent="0.2"/>
  <cols>
    <col min="1" max="1" width="8.33203125" customWidth="1"/>
    <col min="2" max="2" width="9.1640625" customWidth="1"/>
    <col min="3" max="3" width="16.1640625" customWidth="1"/>
    <col min="4" max="4" width="11.33203125" customWidth="1"/>
    <col min="5" max="5" width="11.5" customWidth="1"/>
    <col min="6" max="6" width="11.1640625" customWidth="1"/>
    <col min="7" max="7" width="11.6640625" customWidth="1"/>
    <col min="8" max="8" width="10.6640625" customWidth="1"/>
    <col min="9" max="9" width="10.1640625" customWidth="1"/>
    <col min="10" max="10" width="8.5" customWidth="1"/>
    <col min="11" max="11" width="11" customWidth="1"/>
    <col min="13" max="13" width="10.6640625" customWidth="1"/>
    <col min="14" max="14" width="10.33203125" style="8" customWidth="1"/>
  </cols>
  <sheetData>
    <row r="1" spans="1:17" ht="28" x14ac:dyDescent="0.2">
      <c r="A1" s="2" t="s">
        <v>0</v>
      </c>
      <c r="B1" s="2" t="s">
        <v>0</v>
      </c>
      <c r="C1" s="43" t="s">
        <v>1</v>
      </c>
      <c r="D1" s="2" t="s">
        <v>2</v>
      </c>
      <c r="E1" s="2" t="s">
        <v>6</v>
      </c>
      <c r="F1" s="2" t="s">
        <v>7</v>
      </c>
      <c r="G1" s="43" t="s">
        <v>3</v>
      </c>
      <c r="H1" s="1" t="s">
        <v>4</v>
      </c>
      <c r="I1" s="43" t="s">
        <v>5</v>
      </c>
      <c r="J1" t="s">
        <v>14</v>
      </c>
      <c r="K1" t="s">
        <v>15</v>
      </c>
      <c r="L1" t="s">
        <v>16</v>
      </c>
      <c r="N1" s="8" t="s">
        <v>202</v>
      </c>
    </row>
    <row r="2" spans="1:17" ht="16" thickBot="1" x14ac:dyDescent="0.25">
      <c r="A2" s="3">
        <v>2010</v>
      </c>
      <c r="B2" s="3">
        <v>2009</v>
      </c>
      <c r="C2" s="44"/>
      <c r="D2" s="3" t="s">
        <v>13</v>
      </c>
      <c r="E2" s="3"/>
      <c r="F2" s="3"/>
      <c r="G2" s="44"/>
      <c r="H2" s="1"/>
      <c r="I2" s="44"/>
    </row>
    <row r="3" spans="1:17" ht="30" x14ac:dyDescent="0.2">
      <c r="A3" s="2" t="s">
        <v>0</v>
      </c>
      <c r="B3" s="11"/>
      <c r="C3" s="6" t="s">
        <v>330</v>
      </c>
      <c r="D3" s="6" t="s">
        <v>2</v>
      </c>
      <c r="E3" s="6" t="s">
        <v>325</v>
      </c>
      <c r="F3" s="6" t="s">
        <v>326</v>
      </c>
      <c r="G3" s="6" t="s">
        <v>327</v>
      </c>
      <c r="H3" s="6" t="s">
        <v>328</v>
      </c>
      <c r="I3" s="6" t="s">
        <v>329</v>
      </c>
      <c r="J3" s="6" t="s">
        <v>331</v>
      </c>
      <c r="K3" s="6" t="s">
        <v>332</v>
      </c>
      <c r="L3" s="6" t="s">
        <v>333</v>
      </c>
      <c r="M3" s="6" t="s">
        <v>334</v>
      </c>
      <c r="N3" s="12" t="s">
        <v>202</v>
      </c>
      <c r="Q3" s="6"/>
    </row>
    <row r="4" spans="1:17" x14ac:dyDescent="0.2">
      <c r="A4">
        <v>1</v>
      </c>
      <c r="B4">
        <v>1</v>
      </c>
      <c r="C4" s="6" t="s">
        <v>8</v>
      </c>
      <c r="D4">
        <v>49600000</v>
      </c>
      <c r="E4">
        <v>3500000</v>
      </c>
      <c r="F4">
        <v>400600</v>
      </c>
      <c r="G4">
        <f>12268/(12268+66425)*99800</f>
        <v>15558.517275996595</v>
      </c>
      <c r="H4">
        <f>66425/(12268+66425)*99800</f>
        <v>84241.482724003406</v>
      </c>
      <c r="I4">
        <v>21090</v>
      </c>
      <c r="J4">
        <v>216</v>
      </c>
      <c r="M4">
        <v>2011</v>
      </c>
      <c r="N4" t="s">
        <v>203</v>
      </c>
    </row>
    <row r="5" spans="1:17" x14ac:dyDescent="0.2">
      <c r="A5">
        <v>2</v>
      </c>
      <c r="B5">
        <v>2</v>
      </c>
      <c r="C5" s="6" t="s">
        <v>9</v>
      </c>
      <c r="D5">
        <v>38180000</v>
      </c>
      <c r="E5">
        <v>1125000</v>
      </c>
      <c r="F5">
        <v>285000</v>
      </c>
      <c r="G5">
        <v>22803</v>
      </c>
      <c r="H5">
        <v>52353</v>
      </c>
      <c r="I5">
        <v>80281</v>
      </c>
      <c r="J5">
        <v>697</v>
      </c>
      <c r="M5">
        <v>2011</v>
      </c>
      <c r="N5" t="s">
        <v>204</v>
      </c>
    </row>
    <row r="6" spans="1:17" x14ac:dyDescent="0.2">
      <c r="A6">
        <v>3</v>
      </c>
      <c r="B6">
        <v>6</v>
      </c>
      <c r="C6" s="6" t="s">
        <v>146</v>
      </c>
      <c r="D6">
        <v>4952000</v>
      </c>
      <c r="E6">
        <v>78200</v>
      </c>
      <c r="F6">
        <v>27900</v>
      </c>
      <c r="G6">
        <v>11952</v>
      </c>
      <c r="H6">
        <v>105</v>
      </c>
      <c r="I6">
        <v>34400</v>
      </c>
      <c r="M6">
        <v>2011</v>
      </c>
      <c r="N6" t="s">
        <v>208</v>
      </c>
    </row>
    <row r="7" spans="1:17" x14ac:dyDescent="0.2">
      <c r="A7">
        <v>4</v>
      </c>
      <c r="B7">
        <v>4</v>
      </c>
      <c r="C7" s="6" t="s">
        <v>12</v>
      </c>
      <c r="D7">
        <v>4334640</v>
      </c>
      <c r="E7">
        <v>-230600</v>
      </c>
      <c r="F7">
        <v>32000</v>
      </c>
      <c r="G7">
        <v>16152</v>
      </c>
      <c r="H7">
        <v>0</v>
      </c>
      <c r="I7">
        <v>52098</v>
      </c>
      <c r="M7">
        <v>2011</v>
      </c>
      <c r="N7" t="s">
        <v>206</v>
      </c>
    </row>
    <row r="8" spans="1:17" ht="30" x14ac:dyDescent="0.2">
      <c r="A8">
        <v>5</v>
      </c>
      <c r="B8">
        <v>8</v>
      </c>
      <c r="C8" s="6" t="s">
        <v>11</v>
      </c>
      <c r="D8">
        <v>3793485</v>
      </c>
      <c r="E8">
        <v>199617</v>
      </c>
      <c r="F8">
        <v>15223</v>
      </c>
      <c r="G8">
        <v>9543</v>
      </c>
      <c r="H8">
        <v>0</v>
      </c>
      <c r="I8">
        <v>20803</v>
      </c>
      <c r="K8">
        <v>45666</v>
      </c>
      <c r="M8">
        <v>2011</v>
      </c>
      <c r="N8" t="s">
        <v>210</v>
      </c>
    </row>
    <row r="9" spans="1:17" ht="30" x14ac:dyDescent="0.2">
      <c r="A9">
        <v>6</v>
      </c>
      <c r="B9">
        <v>9</v>
      </c>
      <c r="C9" s="6" t="s">
        <v>17</v>
      </c>
      <c r="D9">
        <v>3100000</v>
      </c>
      <c r="F9">
        <v>18395</v>
      </c>
      <c r="G9">
        <v>11634</v>
      </c>
      <c r="H9">
        <v>0</v>
      </c>
      <c r="I9">
        <v>32608</v>
      </c>
      <c r="K9">
        <v>12600</v>
      </c>
      <c r="M9">
        <v>2011</v>
      </c>
      <c r="N9" t="s">
        <v>211</v>
      </c>
    </row>
    <row r="10" spans="1:17" ht="30" x14ac:dyDescent="0.2">
      <c r="A10">
        <v>7</v>
      </c>
      <c r="B10">
        <v>10</v>
      </c>
      <c r="C10" s="6" t="s">
        <v>18</v>
      </c>
      <c r="D10">
        <v>2929723</v>
      </c>
      <c r="E10">
        <v>-125413</v>
      </c>
      <c r="F10">
        <v>18000</v>
      </c>
      <c r="G10">
        <v>16100</v>
      </c>
      <c r="H10">
        <v>0</v>
      </c>
      <c r="I10">
        <v>48992</v>
      </c>
      <c r="K10">
        <v>4800</v>
      </c>
      <c r="M10">
        <v>2011</v>
      </c>
      <c r="N10" t="s">
        <v>212</v>
      </c>
    </row>
    <row r="11" spans="1:17" x14ac:dyDescent="0.2">
      <c r="A11">
        <v>8</v>
      </c>
      <c r="B11">
        <v>11</v>
      </c>
      <c r="C11" s="6" t="s">
        <v>20</v>
      </c>
      <c r="D11">
        <v>2400170</v>
      </c>
      <c r="E11">
        <v>87514</v>
      </c>
      <c r="F11">
        <v>1353</v>
      </c>
      <c r="G11">
        <v>8452</v>
      </c>
      <c r="H11">
        <v>0</v>
      </c>
      <c r="I11">
        <v>13084</v>
      </c>
      <c r="M11">
        <v>2011</v>
      </c>
      <c r="N11" t="s">
        <v>213</v>
      </c>
    </row>
    <row r="12" spans="1:17" x14ac:dyDescent="0.2">
      <c r="A12">
        <v>9</v>
      </c>
      <c r="B12">
        <v>7</v>
      </c>
      <c r="C12" s="6" t="s">
        <v>41</v>
      </c>
      <c r="D12">
        <v>2400000</v>
      </c>
      <c r="F12">
        <v>9000</v>
      </c>
      <c r="G12">
        <v>2115</v>
      </c>
      <c r="H12">
        <v>289</v>
      </c>
      <c r="I12">
        <v>2969</v>
      </c>
      <c r="M12">
        <v>2011</v>
      </c>
      <c r="N12" t="s">
        <v>209</v>
      </c>
    </row>
    <row r="13" spans="1:17" x14ac:dyDescent="0.2">
      <c r="A13">
        <v>10</v>
      </c>
      <c r="B13">
        <v>14</v>
      </c>
      <c r="C13" s="6" t="s">
        <v>147</v>
      </c>
      <c r="D13">
        <v>1942746</v>
      </c>
      <c r="E13">
        <v>101504</v>
      </c>
      <c r="F13">
        <v>11600</v>
      </c>
      <c r="G13">
        <v>4906</v>
      </c>
      <c r="H13">
        <v>1294</v>
      </c>
      <c r="I13">
        <v>10684</v>
      </c>
      <c r="L13">
        <v>916</v>
      </c>
      <c r="M13">
        <v>2011</v>
      </c>
      <c r="N13" s="8" t="s">
        <v>216</v>
      </c>
      <c r="O13" t="s">
        <v>217</v>
      </c>
    </row>
    <row r="14" spans="1:17" x14ac:dyDescent="0.2">
      <c r="A14">
        <v>11</v>
      </c>
      <c r="B14">
        <v>13</v>
      </c>
      <c r="C14" s="6" t="s">
        <v>24</v>
      </c>
      <c r="D14">
        <v>1815020</v>
      </c>
      <c r="E14">
        <v>80039</v>
      </c>
      <c r="F14">
        <v>11916</v>
      </c>
      <c r="G14">
        <v>7275</v>
      </c>
      <c r="H14">
        <v>0</v>
      </c>
      <c r="I14">
        <v>23850</v>
      </c>
      <c r="M14">
        <v>2011</v>
      </c>
      <c r="N14" s="8" t="s">
        <v>215</v>
      </c>
    </row>
    <row r="15" spans="1:17" ht="30" x14ac:dyDescent="0.2">
      <c r="A15">
        <v>12</v>
      </c>
      <c r="B15">
        <v>5</v>
      </c>
      <c r="C15" s="6" t="s">
        <v>21</v>
      </c>
      <c r="D15">
        <v>1734834</v>
      </c>
      <c r="F15">
        <v>15017</v>
      </c>
      <c r="G15">
        <v>3272</v>
      </c>
      <c r="H15">
        <v>707</v>
      </c>
      <c r="I15">
        <v>5455</v>
      </c>
      <c r="M15">
        <v>2011</v>
      </c>
      <c r="N15" s="8" t="s">
        <v>207</v>
      </c>
    </row>
    <row r="16" spans="1:17" x14ac:dyDescent="0.2">
      <c r="A16">
        <v>13</v>
      </c>
      <c r="B16">
        <v>12</v>
      </c>
      <c r="C16" s="6" t="s">
        <v>25</v>
      </c>
      <c r="D16">
        <v>1731900</v>
      </c>
      <c r="F16">
        <v>2300</v>
      </c>
      <c r="G16">
        <v>2510</v>
      </c>
      <c r="H16">
        <v>1388</v>
      </c>
      <c r="I16">
        <v>8002</v>
      </c>
      <c r="M16">
        <v>2011</v>
      </c>
      <c r="N16" s="8" t="s">
        <v>214</v>
      </c>
    </row>
    <row r="17" spans="1:15" x14ac:dyDescent="0.2">
      <c r="A17">
        <v>14</v>
      </c>
      <c r="B17">
        <v>16</v>
      </c>
      <c r="C17" s="6" t="s">
        <v>23</v>
      </c>
      <c r="D17">
        <v>1657864</v>
      </c>
      <c r="E17">
        <v>-32693</v>
      </c>
      <c r="F17">
        <v>10750</v>
      </c>
      <c r="G17">
        <v>3821</v>
      </c>
      <c r="H17">
        <v>63</v>
      </c>
      <c r="I17">
        <v>19285</v>
      </c>
      <c r="M17">
        <v>2011</v>
      </c>
      <c r="N17" s="8" t="s">
        <v>219</v>
      </c>
      <c r="O17" t="s">
        <v>217</v>
      </c>
    </row>
    <row r="18" spans="1:15" ht="30" x14ac:dyDescent="0.2">
      <c r="A18">
        <v>15</v>
      </c>
      <c r="B18">
        <v>17</v>
      </c>
      <c r="C18" s="6" t="s">
        <v>27</v>
      </c>
      <c r="D18">
        <v>1585283</v>
      </c>
      <c r="F18">
        <v>9250</v>
      </c>
      <c r="G18">
        <v>8517</v>
      </c>
      <c r="H18">
        <v>0</v>
      </c>
      <c r="I18">
        <v>22000</v>
      </c>
      <c r="M18">
        <v>2011</v>
      </c>
      <c r="N18" t="s">
        <v>220</v>
      </c>
    </row>
    <row r="19" spans="1:15" x14ac:dyDescent="0.2">
      <c r="A19">
        <v>16</v>
      </c>
      <c r="B19">
        <v>15</v>
      </c>
      <c r="C19" s="6" t="s">
        <v>29</v>
      </c>
      <c r="D19">
        <v>1520000</v>
      </c>
      <c r="F19">
        <v>800</v>
      </c>
      <c r="G19">
        <v>6204</v>
      </c>
      <c r="H19">
        <v>4650</v>
      </c>
      <c r="I19">
        <v>10400</v>
      </c>
      <c r="K19">
        <v>6600</v>
      </c>
      <c r="M19">
        <v>2011</v>
      </c>
      <c r="N19" t="s">
        <v>218</v>
      </c>
    </row>
    <row r="20" spans="1:15" x14ac:dyDescent="0.2">
      <c r="A20">
        <v>17</v>
      </c>
      <c r="B20">
        <v>18</v>
      </c>
      <c r="C20" s="6" t="s">
        <v>26</v>
      </c>
      <c r="D20">
        <v>1502510</v>
      </c>
      <c r="F20">
        <v>13412</v>
      </c>
      <c r="G20">
        <v>6009</v>
      </c>
      <c r="H20">
        <v>371</v>
      </c>
      <c r="I20">
        <v>22120</v>
      </c>
      <c r="M20">
        <v>2011</v>
      </c>
      <c r="N20" t="s">
        <v>221</v>
      </c>
    </row>
    <row r="21" spans="1:15" ht="30" x14ac:dyDescent="0.2">
      <c r="A21">
        <v>18</v>
      </c>
      <c r="B21">
        <v>20</v>
      </c>
      <c r="C21" s="6" t="s">
        <v>22</v>
      </c>
      <c r="D21">
        <v>1480998</v>
      </c>
      <c r="E21">
        <v>117</v>
      </c>
      <c r="F21">
        <v>12457</v>
      </c>
      <c r="G21">
        <v>5718</v>
      </c>
      <c r="H21">
        <v>112</v>
      </c>
      <c r="I21">
        <v>20986</v>
      </c>
      <c r="L21">
        <v>52</v>
      </c>
      <c r="M21">
        <v>2011</v>
      </c>
      <c r="N21" t="s">
        <v>223</v>
      </c>
    </row>
    <row r="22" spans="1:15" x14ac:dyDescent="0.2">
      <c r="A22">
        <v>19</v>
      </c>
      <c r="B22">
        <v>19</v>
      </c>
      <c r="C22" s="6" t="s">
        <v>28</v>
      </c>
      <c r="D22">
        <v>1448777</v>
      </c>
      <c r="F22">
        <v>11300</v>
      </c>
      <c r="G22">
        <v>432</v>
      </c>
      <c r="H22">
        <v>3273</v>
      </c>
      <c r="I22">
        <v>1149</v>
      </c>
      <c r="M22">
        <v>2011</v>
      </c>
      <c r="N22" s="8" t="s">
        <v>222</v>
      </c>
      <c r="O22" t="s">
        <v>217</v>
      </c>
    </row>
    <row r="23" spans="1:15" ht="30" x14ac:dyDescent="0.2">
      <c r="A23">
        <v>20</v>
      </c>
      <c r="B23">
        <v>21</v>
      </c>
      <c r="C23" s="6" t="s">
        <v>69</v>
      </c>
      <c r="D23">
        <v>1022027</v>
      </c>
      <c r="F23">
        <v>3300</v>
      </c>
      <c r="G23">
        <v>4089</v>
      </c>
      <c r="H23">
        <v>0</v>
      </c>
      <c r="I23">
        <v>5200</v>
      </c>
      <c r="M23">
        <v>2011</v>
      </c>
      <c r="N23" t="s">
        <v>224</v>
      </c>
    </row>
    <row r="24" spans="1:15" x14ac:dyDescent="0.2">
      <c r="A24">
        <v>21</v>
      </c>
      <c r="B24">
        <v>22</v>
      </c>
      <c r="C24" s="6" t="s">
        <v>30</v>
      </c>
      <c r="D24">
        <v>934669</v>
      </c>
      <c r="E24">
        <v>47716</v>
      </c>
      <c r="F24">
        <v>6109</v>
      </c>
      <c r="G24">
        <v>3747</v>
      </c>
      <c r="H24">
        <v>0</v>
      </c>
      <c r="I24">
        <v>5444</v>
      </c>
      <c r="K24">
        <v>320</v>
      </c>
      <c r="M24">
        <v>2011</v>
      </c>
      <c r="N24" t="s">
        <v>225</v>
      </c>
    </row>
    <row r="25" spans="1:15" x14ac:dyDescent="0.2">
      <c r="A25">
        <v>22</v>
      </c>
      <c r="B25">
        <v>25</v>
      </c>
      <c r="C25" s="6" t="s">
        <v>32</v>
      </c>
      <c r="D25">
        <v>931787</v>
      </c>
      <c r="E25">
        <v>93818</v>
      </c>
      <c r="F25">
        <v>3565</v>
      </c>
      <c r="G25">
        <v>4392</v>
      </c>
      <c r="H25">
        <v>0</v>
      </c>
      <c r="I25">
        <v>6828</v>
      </c>
      <c r="M25">
        <v>2011</v>
      </c>
      <c r="N25" t="s">
        <v>228</v>
      </c>
    </row>
    <row r="26" spans="1:15" x14ac:dyDescent="0.2">
      <c r="A26">
        <v>23</v>
      </c>
      <c r="B26">
        <v>24</v>
      </c>
      <c r="C26" s="6" t="s">
        <v>33</v>
      </c>
      <c r="D26">
        <v>902660</v>
      </c>
      <c r="E26">
        <v>1957</v>
      </c>
      <c r="F26">
        <v>7500</v>
      </c>
      <c r="G26">
        <v>3525</v>
      </c>
      <c r="H26">
        <v>130</v>
      </c>
      <c r="I26">
        <v>10900</v>
      </c>
      <c r="M26">
        <v>2011</v>
      </c>
      <c r="N26" t="s">
        <v>229</v>
      </c>
    </row>
    <row r="27" spans="1:15" x14ac:dyDescent="0.2">
      <c r="A27">
        <v>24</v>
      </c>
      <c r="B27">
        <v>26</v>
      </c>
      <c r="C27" s="6" t="s">
        <v>36</v>
      </c>
      <c r="D27">
        <v>90000</v>
      </c>
      <c r="F27">
        <v>5600</v>
      </c>
      <c r="G27">
        <v>1907</v>
      </c>
      <c r="H27">
        <v>235</v>
      </c>
      <c r="I27">
        <v>6851</v>
      </c>
      <c r="K27">
        <v>49</v>
      </c>
      <c r="M27">
        <v>2011</v>
      </c>
      <c r="N27" t="s">
        <v>227</v>
      </c>
    </row>
    <row r="28" spans="1:15" x14ac:dyDescent="0.2">
      <c r="A28">
        <v>25</v>
      </c>
      <c r="B28">
        <v>23</v>
      </c>
      <c r="C28" s="6" t="s">
        <v>115</v>
      </c>
      <c r="D28">
        <v>850311</v>
      </c>
      <c r="F28">
        <v>5815</v>
      </c>
      <c r="G28">
        <v>5260</v>
      </c>
      <c r="H28">
        <v>0</v>
      </c>
      <c r="I28">
        <v>13400</v>
      </c>
      <c r="M28">
        <v>2011</v>
      </c>
      <c r="N28" t="s">
        <v>226</v>
      </c>
    </row>
    <row r="29" spans="1:15" x14ac:dyDescent="0.2">
      <c r="A29">
        <v>26</v>
      </c>
      <c r="B29">
        <v>32</v>
      </c>
      <c r="C29" s="6" t="s">
        <v>31</v>
      </c>
      <c r="D29">
        <v>838193</v>
      </c>
      <c r="F29">
        <v>6490</v>
      </c>
      <c r="G29">
        <v>3427</v>
      </c>
      <c r="H29">
        <v>0</v>
      </c>
      <c r="I29">
        <v>6031</v>
      </c>
      <c r="M29">
        <v>2011</v>
      </c>
      <c r="N29" t="s">
        <v>235</v>
      </c>
    </row>
    <row r="30" spans="1:15" ht="30" x14ac:dyDescent="0.2">
      <c r="A30">
        <v>27</v>
      </c>
      <c r="B30">
        <v>29</v>
      </c>
      <c r="C30" s="6" t="s">
        <v>38</v>
      </c>
      <c r="D30">
        <v>826755</v>
      </c>
      <c r="F30">
        <v>7360</v>
      </c>
      <c r="G30">
        <v>2778</v>
      </c>
      <c r="H30">
        <v>23</v>
      </c>
      <c r="I30">
        <v>9189</v>
      </c>
      <c r="M30">
        <v>2011</v>
      </c>
      <c r="N30" t="s">
        <v>232</v>
      </c>
    </row>
    <row r="31" spans="1:15" x14ac:dyDescent="0.2">
      <c r="A31">
        <v>28</v>
      </c>
      <c r="B31">
        <v>27</v>
      </c>
      <c r="C31" s="6" t="s">
        <v>40</v>
      </c>
      <c r="D31">
        <v>824000</v>
      </c>
      <c r="G31">
        <v>3720</v>
      </c>
      <c r="H31">
        <v>46</v>
      </c>
      <c r="I31">
        <v>12082</v>
      </c>
      <c r="M31">
        <v>2011</v>
      </c>
      <c r="N31" t="s">
        <v>230</v>
      </c>
    </row>
    <row r="32" spans="1:15" ht="30" x14ac:dyDescent="0.2">
      <c r="A32">
        <v>29</v>
      </c>
      <c r="B32">
        <v>33</v>
      </c>
      <c r="C32" s="6" t="s">
        <v>34</v>
      </c>
      <c r="D32">
        <v>772447</v>
      </c>
      <c r="F32">
        <v>6245</v>
      </c>
      <c r="G32">
        <v>4038</v>
      </c>
      <c r="H32">
        <v>0</v>
      </c>
      <c r="I32">
        <v>5382</v>
      </c>
      <c r="M32">
        <v>2011</v>
      </c>
      <c r="N32" t="s">
        <v>236</v>
      </c>
    </row>
    <row r="33" spans="1:15" x14ac:dyDescent="0.2">
      <c r="A33">
        <v>30</v>
      </c>
      <c r="B33">
        <v>28</v>
      </c>
      <c r="C33" s="6" t="s">
        <v>46</v>
      </c>
      <c r="D33">
        <v>759998</v>
      </c>
      <c r="F33">
        <v>636</v>
      </c>
      <c r="G33">
        <v>2206</v>
      </c>
      <c r="H33">
        <v>1612</v>
      </c>
      <c r="I33">
        <v>4063</v>
      </c>
      <c r="K33">
        <v>5648</v>
      </c>
      <c r="M33">
        <v>2011</v>
      </c>
      <c r="N33" t="s">
        <v>231</v>
      </c>
    </row>
    <row r="34" spans="1:15" ht="30" x14ac:dyDescent="0.2">
      <c r="A34">
        <v>31</v>
      </c>
      <c r="B34">
        <v>34</v>
      </c>
      <c r="C34" s="6" t="s">
        <v>42</v>
      </c>
      <c r="D34">
        <v>730709</v>
      </c>
      <c r="E34">
        <v>59072</v>
      </c>
      <c r="F34">
        <v>4526</v>
      </c>
      <c r="G34">
        <v>3866</v>
      </c>
      <c r="H34">
        <v>0</v>
      </c>
      <c r="I34">
        <v>8960</v>
      </c>
      <c r="L34">
        <v>48</v>
      </c>
      <c r="M34">
        <v>2011</v>
      </c>
      <c r="N34" s="8" t="s">
        <v>237</v>
      </c>
      <c r="O34" t="s">
        <v>324</v>
      </c>
    </row>
    <row r="35" spans="1:15" x14ac:dyDescent="0.2">
      <c r="A35">
        <v>32</v>
      </c>
      <c r="B35">
        <v>31</v>
      </c>
      <c r="C35" s="6" t="s">
        <v>148</v>
      </c>
      <c r="D35">
        <v>720000</v>
      </c>
      <c r="F35">
        <v>2198</v>
      </c>
      <c r="G35">
        <v>693</v>
      </c>
      <c r="H35">
        <v>94</v>
      </c>
      <c r="I35">
        <v>2773</v>
      </c>
      <c r="K35">
        <v>5578</v>
      </c>
      <c r="L35">
        <v>1624</v>
      </c>
      <c r="M35">
        <v>2011</v>
      </c>
      <c r="N35" t="s">
        <v>234</v>
      </c>
    </row>
    <row r="36" spans="1:15" ht="30" x14ac:dyDescent="0.2">
      <c r="A36">
        <v>33</v>
      </c>
      <c r="B36">
        <v>36</v>
      </c>
      <c r="C36" s="6" t="s">
        <v>149</v>
      </c>
      <c r="D36">
        <v>686598</v>
      </c>
      <c r="E36">
        <v>-7406</v>
      </c>
      <c r="F36">
        <v>752</v>
      </c>
      <c r="G36">
        <v>2901</v>
      </c>
      <c r="H36">
        <v>0</v>
      </c>
      <c r="I36">
        <v>5738</v>
      </c>
      <c r="M36">
        <v>2011</v>
      </c>
      <c r="N36" t="s">
        <v>239</v>
      </c>
    </row>
    <row r="37" spans="1:15" x14ac:dyDescent="0.2">
      <c r="A37">
        <v>34</v>
      </c>
      <c r="B37">
        <v>35</v>
      </c>
      <c r="C37" s="6" t="s">
        <v>118</v>
      </c>
      <c r="D37">
        <v>672556</v>
      </c>
      <c r="E37">
        <v>-40182</v>
      </c>
      <c r="F37">
        <v>4895</v>
      </c>
      <c r="G37">
        <v>2134</v>
      </c>
      <c r="H37">
        <v>0</v>
      </c>
      <c r="I37">
        <v>6158</v>
      </c>
      <c r="K37">
        <v>513</v>
      </c>
      <c r="L37">
        <v>451</v>
      </c>
      <c r="M37">
        <v>2011</v>
      </c>
      <c r="N37" s="9" t="s">
        <v>238</v>
      </c>
    </row>
    <row r="38" spans="1:15" ht="60" x14ac:dyDescent="0.2">
      <c r="A38">
        <v>35</v>
      </c>
      <c r="B38">
        <v>30</v>
      </c>
      <c r="C38" s="6" t="s">
        <v>47</v>
      </c>
      <c r="D38">
        <v>669905</v>
      </c>
      <c r="F38">
        <v>4603</v>
      </c>
      <c r="G38">
        <v>3036</v>
      </c>
      <c r="H38">
        <v>25</v>
      </c>
      <c r="I38">
        <v>7443</v>
      </c>
      <c r="M38">
        <v>2011</v>
      </c>
      <c r="N38" t="s">
        <v>233</v>
      </c>
    </row>
    <row r="39" spans="1:15" ht="45" x14ac:dyDescent="0.2">
      <c r="A39">
        <v>36</v>
      </c>
      <c r="B39">
        <v>37</v>
      </c>
      <c r="C39" s="6" t="s">
        <v>150</v>
      </c>
      <c r="D39">
        <v>649749</v>
      </c>
      <c r="E39">
        <v>3289</v>
      </c>
      <c r="F39">
        <v>4740</v>
      </c>
      <c r="G39">
        <v>3059</v>
      </c>
      <c r="H39">
        <v>0</v>
      </c>
      <c r="I39">
        <v>7332</v>
      </c>
      <c r="M39">
        <v>2011</v>
      </c>
      <c r="N39" t="s">
        <v>240</v>
      </c>
    </row>
    <row r="40" spans="1:15" ht="45" x14ac:dyDescent="0.2">
      <c r="A40">
        <v>37</v>
      </c>
      <c r="C40" s="6" t="s">
        <v>151</v>
      </c>
      <c r="D40">
        <v>643583</v>
      </c>
      <c r="F40">
        <v>4318</v>
      </c>
      <c r="G40">
        <v>2154</v>
      </c>
      <c r="H40">
        <v>170</v>
      </c>
      <c r="I40">
        <v>3858</v>
      </c>
      <c r="M40">
        <v>2011</v>
      </c>
      <c r="N40" t="s">
        <v>305</v>
      </c>
    </row>
    <row r="41" spans="1:15" ht="45" x14ac:dyDescent="0.2">
      <c r="A41">
        <v>38</v>
      </c>
      <c r="B41">
        <v>47</v>
      </c>
      <c r="C41" s="6" t="s">
        <v>152</v>
      </c>
      <c r="D41">
        <v>632018</v>
      </c>
      <c r="E41">
        <v>2826</v>
      </c>
      <c r="F41">
        <v>1054</v>
      </c>
      <c r="G41">
        <v>1330</v>
      </c>
      <c r="H41">
        <v>0</v>
      </c>
      <c r="I41">
        <v>800</v>
      </c>
      <c r="M41">
        <v>2011</v>
      </c>
      <c r="N41" t="s">
        <v>250</v>
      </c>
    </row>
    <row r="42" spans="1:15" ht="30" x14ac:dyDescent="0.2">
      <c r="A42">
        <v>39</v>
      </c>
      <c r="B42">
        <v>38</v>
      </c>
      <c r="C42" s="6" t="s">
        <v>43</v>
      </c>
      <c r="D42">
        <v>611521</v>
      </c>
      <c r="F42">
        <v>1050</v>
      </c>
      <c r="G42">
        <v>1750</v>
      </c>
      <c r="H42">
        <v>0</v>
      </c>
      <c r="I42">
        <v>5000</v>
      </c>
      <c r="M42">
        <v>2011</v>
      </c>
      <c r="N42" t="s">
        <v>241</v>
      </c>
    </row>
    <row r="43" spans="1:15" ht="30" x14ac:dyDescent="0.2">
      <c r="A43">
        <v>40</v>
      </c>
      <c r="B43">
        <v>41</v>
      </c>
      <c r="C43" s="6" t="s">
        <v>153</v>
      </c>
      <c r="D43">
        <v>605943</v>
      </c>
      <c r="E43">
        <v>12744</v>
      </c>
      <c r="F43">
        <v>714</v>
      </c>
      <c r="G43">
        <v>2997</v>
      </c>
      <c r="H43">
        <v>0</v>
      </c>
      <c r="I43">
        <v>3400</v>
      </c>
      <c r="L43">
        <v>475</v>
      </c>
      <c r="M43">
        <v>2011</v>
      </c>
      <c r="N43" t="s">
        <v>243</v>
      </c>
    </row>
    <row r="44" spans="1:15" x14ac:dyDescent="0.2">
      <c r="A44">
        <v>41</v>
      </c>
      <c r="B44">
        <v>40</v>
      </c>
      <c r="C44" s="6" t="s">
        <v>122</v>
      </c>
      <c r="D44">
        <v>579551</v>
      </c>
      <c r="F44">
        <v>3725</v>
      </c>
      <c r="G44">
        <v>1879</v>
      </c>
      <c r="H44">
        <v>0</v>
      </c>
      <c r="I44">
        <v>4856</v>
      </c>
      <c r="M44">
        <v>2011</v>
      </c>
      <c r="N44" s="8" t="s">
        <v>244</v>
      </c>
    </row>
    <row r="45" spans="1:15" x14ac:dyDescent="0.2">
      <c r="A45">
        <v>42</v>
      </c>
      <c r="B45">
        <v>42</v>
      </c>
      <c r="C45" s="6" t="s">
        <v>154</v>
      </c>
      <c r="D45">
        <v>541841</v>
      </c>
      <c r="E45">
        <v>10372</v>
      </c>
      <c r="F45">
        <v>3802</v>
      </c>
      <c r="G45">
        <v>3194</v>
      </c>
      <c r="H45">
        <v>0</v>
      </c>
      <c r="I45">
        <v>9852</v>
      </c>
      <c r="M45">
        <v>2011</v>
      </c>
      <c r="N45" t="s">
        <v>245</v>
      </c>
    </row>
    <row r="46" spans="1:15" x14ac:dyDescent="0.2">
      <c r="A46">
        <v>43</v>
      </c>
      <c r="B46">
        <v>39</v>
      </c>
      <c r="C46" s="6" t="s">
        <v>53</v>
      </c>
      <c r="D46">
        <v>516920</v>
      </c>
      <c r="E46">
        <v>19742</v>
      </c>
      <c r="F46">
        <v>2678</v>
      </c>
      <c r="G46">
        <v>2146</v>
      </c>
      <c r="H46">
        <v>0</v>
      </c>
      <c r="I46">
        <v>3928</v>
      </c>
      <c r="M46">
        <v>2011</v>
      </c>
      <c r="N46" t="s">
        <v>242</v>
      </c>
    </row>
    <row r="47" spans="1:15" x14ac:dyDescent="0.2">
      <c r="A47">
        <v>44</v>
      </c>
      <c r="B47">
        <v>43</v>
      </c>
      <c r="C47" s="6" t="s">
        <v>54</v>
      </c>
      <c r="D47">
        <v>508930</v>
      </c>
      <c r="E47">
        <v>67277</v>
      </c>
      <c r="F47">
        <v>2475</v>
      </c>
      <c r="G47">
        <v>2500</v>
      </c>
      <c r="H47">
        <v>0</v>
      </c>
      <c r="I47">
        <v>3150</v>
      </c>
      <c r="M47">
        <v>2011</v>
      </c>
      <c r="N47" s="10" t="s">
        <v>246</v>
      </c>
    </row>
    <row r="48" spans="1:15" x14ac:dyDescent="0.2">
      <c r="A48">
        <v>45</v>
      </c>
      <c r="B48">
        <v>46</v>
      </c>
      <c r="C48" s="6" t="s">
        <v>58</v>
      </c>
      <c r="D48">
        <v>499516</v>
      </c>
      <c r="E48">
        <v>62216</v>
      </c>
      <c r="F48">
        <v>3000</v>
      </c>
      <c r="G48">
        <v>3000</v>
      </c>
      <c r="H48">
        <v>0</v>
      </c>
      <c r="I48">
        <v>8500</v>
      </c>
      <c r="M48">
        <v>2011</v>
      </c>
      <c r="N48" t="s">
        <v>249</v>
      </c>
    </row>
    <row r="49" spans="1:15" x14ac:dyDescent="0.2">
      <c r="A49">
        <v>46</v>
      </c>
      <c r="B49">
        <v>52</v>
      </c>
      <c r="C49" s="6" t="s">
        <v>56</v>
      </c>
      <c r="D49">
        <v>483939</v>
      </c>
      <c r="E49">
        <v>32036</v>
      </c>
      <c r="F49">
        <v>2717</v>
      </c>
      <c r="G49">
        <f>456*1027/(1027 + 177)</f>
        <v>388.96345514950167</v>
      </c>
      <c r="H49">
        <f>456*177/(1027 + 177)</f>
        <v>67.036544850498345</v>
      </c>
      <c r="I49">
        <v>2375</v>
      </c>
      <c r="M49">
        <v>2011</v>
      </c>
      <c r="N49" t="s">
        <v>255</v>
      </c>
    </row>
    <row r="50" spans="1:15" ht="30" x14ac:dyDescent="0.2">
      <c r="A50">
        <v>47</v>
      </c>
      <c r="B50">
        <v>57</v>
      </c>
      <c r="C50" s="6" t="s">
        <v>123</v>
      </c>
      <c r="D50">
        <v>470645</v>
      </c>
      <c r="F50">
        <v>3500</v>
      </c>
      <c r="G50">
        <v>2500</v>
      </c>
      <c r="H50">
        <v>430</v>
      </c>
      <c r="I50">
        <v>2300</v>
      </c>
      <c r="M50">
        <v>2011</v>
      </c>
      <c r="N50" t="s">
        <v>260</v>
      </c>
    </row>
    <row r="51" spans="1:15" ht="30" x14ac:dyDescent="0.2">
      <c r="A51">
        <v>48</v>
      </c>
      <c r="B51">
        <v>51</v>
      </c>
      <c r="C51" s="6" t="s">
        <v>123</v>
      </c>
      <c r="D51">
        <v>468868</v>
      </c>
      <c r="F51">
        <v>4500</v>
      </c>
      <c r="G51">
        <v>1961</v>
      </c>
      <c r="H51">
        <v>59</v>
      </c>
      <c r="I51">
        <v>6461</v>
      </c>
      <c r="M51">
        <v>2011</v>
      </c>
      <c r="N51" s="10" t="s">
        <v>310</v>
      </c>
    </row>
    <row r="52" spans="1:15" ht="30" x14ac:dyDescent="0.2">
      <c r="A52">
        <v>49</v>
      </c>
      <c r="C52" s="6" t="s">
        <v>126</v>
      </c>
      <c r="D52">
        <v>461100</v>
      </c>
      <c r="F52">
        <v>381</v>
      </c>
      <c r="G52">
        <v>2550</v>
      </c>
      <c r="H52">
        <v>0</v>
      </c>
      <c r="I52">
        <v>0</v>
      </c>
      <c r="M52">
        <v>2011</v>
      </c>
      <c r="N52" t="s">
        <v>319</v>
      </c>
    </row>
    <row r="53" spans="1:15" x14ac:dyDescent="0.2">
      <c r="A53">
        <v>50</v>
      </c>
      <c r="B53">
        <v>54</v>
      </c>
      <c r="C53" s="6" t="s">
        <v>63</v>
      </c>
      <c r="D53">
        <v>460161</v>
      </c>
      <c r="E53">
        <v>-3308</v>
      </c>
      <c r="G53">
        <v>2621</v>
      </c>
      <c r="H53">
        <v>0</v>
      </c>
      <c r="I53">
        <v>6716</v>
      </c>
      <c r="M53">
        <v>2011</v>
      </c>
      <c r="N53" t="s">
        <v>257</v>
      </c>
    </row>
    <row r="54" spans="1:15" x14ac:dyDescent="0.2">
      <c r="A54">
        <v>51</v>
      </c>
      <c r="B54">
        <v>44</v>
      </c>
      <c r="C54" s="6" t="s">
        <v>66</v>
      </c>
      <c r="D54">
        <v>458000</v>
      </c>
      <c r="F54">
        <v>378</v>
      </c>
      <c r="G54">
        <v>2481</v>
      </c>
      <c r="H54">
        <v>0</v>
      </c>
      <c r="I54">
        <v>8252</v>
      </c>
      <c r="K54">
        <v>350</v>
      </c>
      <c r="M54">
        <v>2011</v>
      </c>
      <c r="N54" t="s">
        <v>248</v>
      </c>
    </row>
    <row r="55" spans="1:15" x14ac:dyDescent="0.2">
      <c r="A55">
        <v>52</v>
      </c>
      <c r="B55">
        <v>48</v>
      </c>
      <c r="C55" s="6" t="s">
        <v>61</v>
      </c>
      <c r="D55">
        <v>454148</v>
      </c>
      <c r="F55">
        <v>2468</v>
      </c>
      <c r="G55">
        <v>1414</v>
      </c>
      <c r="H55">
        <v>72</v>
      </c>
      <c r="I55">
        <v>4015</v>
      </c>
      <c r="K55">
        <v>920</v>
      </c>
      <c r="L55">
        <v>458</v>
      </c>
      <c r="M55">
        <v>2011</v>
      </c>
      <c r="N55" t="s">
        <v>251</v>
      </c>
    </row>
    <row r="56" spans="1:15" x14ac:dyDescent="0.2">
      <c r="A56">
        <v>53</v>
      </c>
      <c r="B56">
        <v>50</v>
      </c>
      <c r="C56" s="6" t="s">
        <v>68</v>
      </c>
      <c r="D56">
        <v>442000</v>
      </c>
      <c r="F56">
        <v>3600</v>
      </c>
      <c r="G56">
        <v>2855</v>
      </c>
      <c r="H56">
        <v>150</v>
      </c>
      <c r="I56">
        <v>5600</v>
      </c>
      <c r="M56">
        <v>2011</v>
      </c>
      <c r="N56" s="8" t="s">
        <v>253</v>
      </c>
      <c r="O56" t="s">
        <v>217</v>
      </c>
    </row>
    <row r="57" spans="1:15" ht="30" x14ac:dyDescent="0.2">
      <c r="A57">
        <v>54</v>
      </c>
      <c r="B57">
        <v>45</v>
      </c>
      <c r="C57" s="6" t="s">
        <v>131</v>
      </c>
      <c r="D57">
        <v>433174</v>
      </c>
      <c r="F57">
        <v>2500</v>
      </c>
      <c r="G57">
        <v>1804</v>
      </c>
      <c r="H57">
        <v>0</v>
      </c>
      <c r="I57">
        <v>7253</v>
      </c>
      <c r="M57">
        <v>2011</v>
      </c>
      <c r="N57" t="s">
        <v>247</v>
      </c>
    </row>
    <row r="58" spans="1:15" x14ac:dyDescent="0.2">
      <c r="A58">
        <v>55</v>
      </c>
      <c r="B58">
        <v>49</v>
      </c>
      <c r="C58" s="6" t="s">
        <v>70</v>
      </c>
      <c r="D58">
        <v>432000</v>
      </c>
      <c r="G58">
        <v>2459</v>
      </c>
      <c r="H58">
        <v>0</v>
      </c>
      <c r="I58">
        <v>6687</v>
      </c>
      <c r="M58">
        <v>2011</v>
      </c>
      <c r="N58" t="s">
        <v>252</v>
      </c>
    </row>
    <row r="59" spans="1:15" x14ac:dyDescent="0.2">
      <c r="A59">
        <v>56</v>
      </c>
      <c r="B59">
        <v>59</v>
      </c>
      <c r="C59" s="6" t="s">
        <v>155</v>
      </c>
      <c r="D59">
        <v>380495</v>
      </c>
      <c r="F59">
        <v>1084</v>
      </c>
      <c r="G59">
        <v>998</v>
      </c>
      <c r="H59">
        <v>118</v>
      </c>
      <c r="I59">
        <v>2668</v>
      </c>
      <c r="K59">
        <v>636</v>
      </c>
      <c r="M59">
        <v>2011</v>
      </c>
      <c r="N59" t="s">
        <v>262</v>
      </c>
    </row>
    <row r="60" spans="1:15" ht="30" x14ac:dyDescent="0.2">
      <c r="A60">
        <v>57</v>
      </c>
      <c r="B60">
        <v>56</v>
      </c>
      <c r="C60" s="6" t="s">
        <v>129</v>
      </c>
      <c r="D60">
        <v>368822</v>
      </c>
      <c r="E60">
        <v>-11930</v>
      </c>
      <c r="F60">
        <v>2286</v>
      </c>
      <c r="G60">
        <v>1803</v>
      </c>
      <c r="H60">
        <v>0</v>
      </c>
      <c r="I60">
        <v>3503</v>
      </c>
      <c r="M60">
        <v>2011</v>
      </c>
      <c r="N60" t="s">
        <v>259</v>
      </c>
    </row>
    <row r="61" spans="1:15" x14ac:dyDescent="0.2">
      <c r="A61">
        <v>58</v>
      </c>
      <c r="B61">
        <v>53</v>
      </c>
      <c r="C61" s="6" t="s">
        <v>81</v>
      </c>
      <c r="D61">
        <v>368099</v>
      </c>
      <c r="F61">
        <v>3023</v>
      </c>
      <c r="G61">
        <v>2713</v>
      </c>
      <c r="H61">
        <v>0</v>
      </c>
      <c r="I61">
        <v>5354</v>
      </c>
      <c r="M61">
        <v>2011</v>
      </c>
      <c r="N61" s="8" t="s">
        <v>256</v>
      </c>
      <c r="O61" t="s">
        <v>324</v>
      </c>
    </row>
    <row r="62" spans="1:15" ht="30" x14ac:dyDescent="0.2">
      <c r="A62">
        <v>59</v>
      </c>
      <c r="B62">
        <v>65</v>
      </c>
      <c r="C62" s="6" t="s">
        <v>65</v>
      </c>
      <c r="D62">
        <v>363695</v>
      </c>
      <c r="F62">
        <v>244</v>
      </c>
      <c r="G62">
        <v>1951</v>
      </c>
      <c r="H62">
        <v>0</v>
      </c>
      <c r="I62">
        <v>2251</v>
      </c>
      <c r="M62">
        <v>2011</v>
      </c>
      <c r="N62" t="s">
        <v>268</v>
      </c>
    </row>
    <row r="63" spans="1:15" x14ac:dyDescent="0.2">
      <c r="A63">
        <v>60</v>
      </c>
      <c r="B63">
        <v>58</v>
      </c>
      <c r="C63" s="6" t="s">
        <v>156</v>
      </c>
      <c r="D63">
        <v>347918</v>
      </c>
      <c r="E63">
        <v>17121</v>
      </c>
      <c r="F63">
        <v>943</v>
      </c>
      <c r="G63">
        <v>1146</v>
      </c>
      <c r="H63">
        <v>0</v>
      </c>
      <c r="I63">
        <v>1966</v>
      </c>
      <c r="M63">
        <v>2011</v>
      </c>
      <c r="N63" t="s">
        <v>261</v>
      </c>
    </row>
    <row r="64" spans="1:15" ht="30" x14ac:dyDescent="0.2">
      <c r="A64">
        <v>61</v>
      </c>
      <c r="B64">
        <v>60</v>
      </c>
      <c r="C64" s="6" t="s">
        <v>67</v>
      </c>
      <c r="D64">
        <v>346472</v>
      </c>
      <c r="F64">
        <v>1700</v>
      </c>
      <c r="G64">
        <v>1750</v>
      </c>
      <c r="H64">
        <v>0</v>
      </c>
      <c r="I64">
        <v>2700</v>
      </c>
      <c r="M64">
        <v>2011</v>
      </c>
      <c r="N64" t="s">
        <v>263</v>
      </c>
    </row>
    <row r="65" spans="1:15" ht="45" x14ac:dyDescent="0.2">
      <c r="A65">
        <v>62</v>
      </c>
      <c r="B65">
        <v>62</v>
      </c>
      <c r="C65" s="6" t="s">
        <v>132</v>
      </c>
      <c r="D65">
        <v>331994</v>
      </c>
      <c r="E65">
        <v>-655</v>
      </c>
      <c r="F65">
        <v>2658</v>
      </c>
      <c r="G65">
        <v>1768</v>
      </c>
      <c r="H65">
        <v>0</v>
      </c>
      <c r="I65">
        <v>4632</v>
      </c>
      <c r="M65">
        <v>2011</v>
      </c>
      <c r="N65" t="s">
        <v>265</v>
      </c>
    </row>
    <row r="66" spans="1:15" x14ac:dyDescent="0.2">
      <c r="A66">
        <v>63</v>
      </c>
      <c r="B66">
        <v>63</v>
      </c>
      <c r="C66" s="6" t="s">
        <v>157</v>
      </c>
      <c r="D66">
        <v>321876</v>
      </c>
      <c r="F66">
        <v>2300</v>
      </c>
      <c r="G66">
        <v>1505</v>
      </c>
      <c r="H66">
        <v>34</v>
      </c>
      <c r="I66">
        <v>3563</v>
      </c>
      <c r="K66">
        <v>400</v>
      </c>
      <c r="L66">
        <v>300</v>
      </c>
      <c r="M66">
        <v>2011</v>
      </c>
      <c r="N66" t="s">
        <v>266</v>
      </c>
    </row>
    <row r="67" spans="1:15" x14ac:dyDescent="0.2">
      <c r="A67">
        <v>64</v>
      </c>
      <c r="B67">
        <v>64</v>
      </c>
      <c r="C67" s="6" t="s">
        <v>72</v>
      </c>
      <c r="D67">
        <v>320000</v>
      </c>
      <c r="F67">
        <v>2000</v>
      </c>
      <c r="G67">
        <v>1640</v>
      </c>
      <c r="H67">
        <v>0</v>
      </c>
      <c r="I67">
        <v>4800</v>
      </c>
      <c r="M67">
        <v>2011</v>
      </c>
      <c r="N67" t="s">
        <v>267</v>
      </c>
    </row>
    <row r="68" spans="1:15" x14ac:dyDescent="0.2">
      <c r="A68">
        <v>65</v>
      </c>
      <c r="B68">
        <v>72</v>
      </c>
      <c r="C68" s="6" t="s">
        <v>75</v>
      </c>
      <c r="D68">
        <v>312454</v>
      </c>
      <c r="E68">
        <v>11658</v>
      </c>
      <c r="F68">
        <v>2502</v>
      </c>
      <c r="G68">
        <v>997</v>
      </c>
      <c r="H68">
        <v>385</v>
      </c>
      <c r="I68">
        <v>3096</v>
      </c>
      <c r="M68">
        <v>2011</v>
      </c>
      <c r="N68" t="s">
        <v>275</v>
      </c>
    </row>
    <row r="69" spans="1:15" ht="30" x14ac:dyDescent="0.2">
      <c r="A69">
        <v>66</v>
      </c>
      <c r="B69">
        <v>74</v>
      </c>
      <c r="C69" s="6" t="s">
        <v>78</v>
      </c>
      <c r="D69">
        <v>298000</v>
      </c>
      <c r="F69">
        <v>1500</v>
      </c>
      <c r="G69">
        <v>1180</v>
      </c>
      <c r="H69">
        <v>0</v>
      </c>
      <c r="I69">
        <v>4100</v>
      </c>
      <c r="M69">
        <v>2011</v>
      </c>
      <c r="N69" t="s">
        <v>277</v>
      </c>
    </row>
    <row r="70" spans="1:15" x14ac:dyDescent="0.2">
      <c r="A70">
        <v>67</v>
      </c>
      <c r="B70">
        <v>55</v>
      </c>
      <c r="C70" s="6" t="s">
        <v>158</v>
      </c>
      <c r="D70">
        <v>297000</v>
      </c>
      <c r="F70">
        <v>2100</v>
      </c>
      <c r="G70">
        <v>1285</v>
      </c>
      <c r="H70">
        <v>0</v>
      </c>
      <c r="I70">
        <v>325</v>
      </c>
      <c r="L70">
        <v>25</v>
      </c>
      <c r="M70">
        <v>2011</v>
      </c>
      <c r="N70" t="s">
        <v>258</v>
      </c>
    </row>
    <row r="71" spans="1:15" x14ac:dyDescent="0.2">
      <c r="A71">
        <v>68</v>
      </c>
      <c r="C71" s="6" t="s">
        <v>159</v>
      </c>
      <c r="D71">
        <v>291121</v>
      </c>
      <c r="F71">
        <v>1700</v>
      </c>
      <c r="G71">
        <v>1050</v>
      </c>
      <c r="H71">
        <v>0</v>
      </c>
      <c r="I71">
        <v>3000</v>
      </c>
      <c r="K71">
        <v>160</v>
      </c>
      <c r="M71">
        <v>2011</v>
      </c>
      <c r="N71" t="s">
        <v>307</v>
      </c>
    </row>
    <row r="72" spans="1:15" ht="30" x14ac:dyDescent="0.2">
      <c r="A72">
        <v>69</v>
      </c>
      <c r="B72">
        <v>87</v>
      </c>
      <c r="C72" s="6" t="s">
        <v>89</v>
      </c>
      <c r="D72">
        <v>285000</v>
      </c>
      <c r="F72">
        <v>1250</v>
      </c>
      <c r="G72">
        <v>1130</v>
      </c>
      <c r="H72">
        <v>0</v>
      </c>
      <c r="I72">
        <v>910</v>
      </c>
      <c r="M72">
        <v>2011</v>
      </c>
      <c r="N72" t="s">
        <v>291</v>
      </c>
    </row>
    <row r="73" spans="1:15" x14ac:dyDescent="0.2">
      <c r="A73">
        <v>70</v>
      </c>
      <c r="B73">
        <v>71</v>
      </c>
      <c r="C73" s="6" t="s">
        <v>160</v>
      </c>
      <c r="D73">
        <v>281515</v>
      </c>
      <c r="E73">
        <v>14570</v>
      </c>
      <c r="F73">
        <v>1350</v>
      </c>
      <c r="G73">
        <v>327</v>
      </c>
      <c r="H73">
        <v>251</v>
      </c>
      <c r="I73">
        <v>551</v>
      </c>
      <c r="K73">
        <v>2004</v>
      </c>
      <c r="M73">
        <v>2011</v>
      </c>
      <c r="N73" t="s">
        <v>274</v>
      </c>
    </row>
    <row r="74" spans="1:15" ht="30" x14ac:dyDescent="0.2">
      <c r="A74">
        <v>71</v>
      </c>
      <c r="B74">
        <v>69</v>
      </c>
      <c r="C74" s="6" t="s">
        <v>85</v>
      </c>
      <c r="D74">
        <v>280904</v>
      </c>
      <c r="F74">
        <v>880</v>
      </c>
      <c r="G74">
        <v>1300</v>
      </c>
      <c r="H74">
        <v>0</v>
      </c>
      <c r="I74">
        <v>2100</v>
      </c>
      <c r="M74">
        <v>2011</v>
      </c>
      <c r="N74" t="s">
        <v>272</v>
      </c>
    </row>
    <row r="75" spans="1:15" ht="30" x14ac:dyDescent="0.2">
      <c r="A75">
        <v>72</v>
      </c>
      <c r="B75">
        <v>100</v>
      </c>
      <c r="C75" s="6" t="s">
        <v>64</v>
      </c>
      <c r="D75">
        <v>275000</v>
      </c>
      <c r="F75">
        <v>1500</v>
      </c>
      <c r="G75">
        <v>1800</v>
      </c>
      <c r="H75">
        <v>0</v>
      </c>
      <c r="I75">
        <v>1800</v>
      </c>
      <c r="M75">
        <v>2011</v>
      </c>
      <c r="N75" t="s">
        <v>304</v>
      </c>
    </row>
    <row r="76" spans="1:15" ht="30" x14ac:dyDescent="0.2">
      <c r="A76">
        <v>73</v>
      </c>
      <c r="B76">
        <v>70</v>
      </c>
      <c r="C76" s="6" t="s">
        <v>161</v>
      </c>
      <c r="D76">
        <v>274100</v>
      </c>
      <c r="F76">
        <v>2030</v>
      </c>
      <c r="G76">
        <v>1458</v>
      </c>
      <c r="H76">
        <v>171</v>
      </c>
      <c r="I76">
        <v>4824</v>
      </c>
      <c r="M76">
        <v>2011</v>
      </c>
      <c r="N76" t="s">
        <v>273</v>
      </c>
    </row>
    <row r="77" spans="1:15" x14ac:dyDescent="0.2">
      <c r="A77">
        <v>74</v>
      </c>
      <c r="B77">
        <v>77</v>
      </c>
      <c r="C77" s="6" t="s">
        <v>79</v>
      </c>
      <c r="D77">
        <v>272536</v>
      </c>
      <c r="F77">
        <v>2185</v>
      </c>
      <c r="G77">
        <v>1810</v>
      </c>
      <c r="H77">
        <v>4</v>
      </c>
      <c r="I77">
        <v>4690</v>
      </c>
      <c r="M77">
        <v>2011</v>
      </c>
      <c r="N77" t="s">
        <v>280</v>
      </c>
    </row>
    <row r="78" spans="1:15" x14ac:dyDescent="0.2">
      <c r="A78">
        <v>75</v>
      </c>
      <c r="B78">
        <v>67</v>
      </c>
      <c r="C78" s="6" t="s">
        <v>90</v>
      </c>
      <c r="D78">
        <v>269660</v>
      </c>
      <c r="F78">
        <v>683</v>
      </c>
      <c r="G78">
        <v>1347</v>
      </c>
      <c r="H78">
        <v>0</v>
      </c>
      <c r="I78">
        <v>2100</v>
      </c>
      <c r="M78">
        <v>2011</v>
      </c>
      <c r="N78" t="s">
        <v>270</v>
      </c>
    </row>
    <row r="79" spans="1:15" x14ac:dyDescent="0.2">
      <c r="A79">
        <v>76</v>
      </c>
      <c r="B79">
        <v>68</v>
      </c>
      <c r="C79" s="6" t="s">
        <v>86</v>
      </c>
      <c r="D79">
        <v>266000</v>
      </c>
      <c r="E79">
        <v>-1866</v>
      </c>
      <c r="F79">
        <v>1363</v>
      </c>
      <c r="G79">
        <v>463</v>
      </c>
      <c r="H79">
        <v>400</v>
      </c>
      <c r="I79">
        <v>864</v>
      </c>
      <c r="M79">
        <v>2011</v>
      </c>
      <c r="N79" s="8" t="s">
        <v>271</v>
      </c>
      <c r="O79" t="s">
        <v>217</v>
      </c>
    </row>
    <row r="80" spans="1:15" ht="30" x14ac:dyDescent="0.2">
      <c r="A80">
        <v>77</v>
      </c>
      <c r="B80">
        <v>81</v>
      </c>
      <c r="C80" s="6" t="s">
        <v>84</v>
      </c>
      <c r="D80">
        <v>257000</v>
      </c>
      <c r="F80">
        <v>2500</v>
      </c>
      <c r="G80">
        <v>1065</v>
      </c>
      <c r="H80">
        <v>25</v>
      </c>
      <c r="I80">
        <v>2300</v>
      </c>
      <c r="M80">
        <v>2011</v>
      </c>
      <c r="N80" t="s">
        <v>284</v>
      </c>
    </row>
    <row r="81" spans="1:15" x14ac:dyDescent="0.2">
      <c r="A81">
        <v>78</v>
      </c>
      <c r="B81">
        <v>80</v>
      </c>
      <c r="C81" s="6" t="s">
        <v>93</v>
      </c>
      <c r="D81">
        <v>247898</v>
      </c>
      <c r="F81">
        <v>1206</v>
      </c>
      <c r="G81">
        <v>1105</v>
      </c>
      <c r="H81">
        <v>0</v>
      </c>
      <c r="I81">
        <v>3922</v>
      </c>
      <c r="M81">
        <v>2011</v>
      </c>
      <c r="N81" s="10" t="s">
        <v>283</v>
      </c>
    </row>
    <row r="82" spans="1:15" ht="30" x14ac:dyDescent="0.2">
      <c r="A82">
        <v>79</v>
      </c>
      <c r="B82">
        <v>94</v>
      </c>
      <c r="C82" s="6" t="s">
        <v>138</v>
      </c>
      <c r="D82">
        <v>245673</v>
      </c>
      <c r="E82">
        <v>6787</v>
      </c>
      <c r="F82">
        <v>250</v>
      </c>
      <c r="G82">
        <v>1760</v>
      </c>
      <c r="H82">
        <v>0</v>
      </c>
      <c r="I82">
        <v>500</v>
      </c>
      <c r="M82">
        <v>2011</v>
      </c>
      <c r="N82" t="s">
        <v>298</v>
      </c>
    </row>
    <row r="83" spans="1:15" x14ac:dyDescent="0.2">
      <c r="A83">
        <v>80</v>
      </c>
      <c r="B83">
        <v>84</v>
      </c>
      <c r="C83" s="6" t="s">
        <v>96</v>
      </c>
      <c r="D83">
        <v>234000</v>
      </c>
      <c r="F83">
        <v>1956</v>
      </c>
      <c r="G83">
        <v>893</v>
      </c>
      <c r="H83">
        <v>23</v>
      </c>
      <c r="I83">
        <v>1799</v>
      </c>
      <c r="K83">
        <v>217</v>
      </c>
      <c r="M83">
        <v>2011</v>
      </c>
      <c r="N83" t="s">
        <v>287</v>
      </c>
    </row>
    <row r="84" spans="1:15" ht="45" x14ac:dyDescent="0.2">
      <c r="A84">
        <v>81</v>
      </c>
      <c r="B84">
        <v>76</v>
      </c>
      <c r="C84" s="6" t="s">
        <v>140</v>
      </c>
      <c r="D84">
        <v>232128</v>
      </c>
      <c r="F84">
        <v>1802</v>
      </c>
      <c r="G84">
        <v>357</v>
      </c>
      <c r="H84">
        <v>42</v>
      </c>
      <c r="I84">
        <v>1917</v>
      </c>
      <c r="M84">
        <v>2011</v>
      </c>
      <c r="N84" s="8" t="s">
        <v>279</v>
      </c>
      <c r="O84" t="s">
        <v>324</v>
      </c>
    </row>
    <row r="85" spans="1:15" ht="30" x14ac:dyDescent="0.2">
      <c r="A85">
        <v>82</v>
      </c>
      <c r="B85">
        <v>75</v>
      </c>
      <c r="C85" s="6" t="s">
        <v>162</v>
      </c>
      <c r="D85">
        <v>230700</v>
      </c>
      <c r="E85">
        <v>9200</v>
      </c>
      <c r="F85">
        <v>230</v>
      </c>
      <c r="G85">
        <v>580</v>
      </c>
      <c r="H85">
        <v>123</v>
      </c>
      <c r="I85">
        <v>890</v>
      </c>
      <c r="M85">
        <v>2011</v>
      </c>
      <c r="N85" t="s">
        <v>278</v>
      </c>
    </row>
    <row r="86" spans="1:15" x14ac:dyDescent="0.2">
      <c r="A86">
        <v>83</v>
      </c>
      <c r="B86">
        <v>86</v>
      </c>
      <c r="C86" s="6" t="s">
        <v>91</v>
      </c>
      <c r="D86">
        <v>230321</v>
      </c>
      <c r="F86">
        <v>1066</v>
      </c>
      <c r="G86">
        <v>1195</v>
      </c>
      <c r="H86">
        <v>0</v>
      </c>
      <c r="I86">
        <v>2750</v>
      </c>
      <c r="M86">
        <v>2011</v>
      </c>
      <c r="N86" t="s">
        <v>290</v>
      </c>
    </row>
    <row r="87" spans="1:15" x14ac:dyDescent="0.2">
      <c r="A87">
        <v>84</v>
      </c>
      <c r="C87" s="6" t="s">
        <v>139</v>
      </c>
      <c r="D87">
        <v>226000</v>
      </c>
      <c r="F87">
        <v>1250</v>
      </c>
      <c r="G87">
        <v>1001</v>
      </c>
      <c r="H87">
        <v>50</v>
      </c>
      <c r="I87">
        <v>1400</v>
      </c>
      <c r="M87">
        <v>2011</v>
      </c>
      <c r="N87" t="s">
        <v>314</v>
      </c>
    </row>
    <row r="88" spans="1:15" x14ac:dyDescent="0.2">
      <c r="A88">
        <v>85</v>
      </c>
      <c r="B88">
        <v>88</v>
      </c>
      <c r="C88" s="6" t="s">
        <v>163</v>
      </c>
      <c r="D88">
        <v>225000</v>
      </c>
      <c r="G88">
        <v>751</v>
      </c>
      <c r="H88">
        <v>0</v>
      </c>
      <c r="I88">
        <v>1677</v>
      </c>
      <c r="M88">
        <v>2011</v>
      </c>
      <c r="N88" t="s">
        <v>292</v>
      </c>
    </row>
    <row r="89" spans="1:15" ht="30" x14ac:dyDescent="0.2">
      <c r="A89">
        <v>86</v>
      </c>
      <c r="B89">
        <v>83</v>
      </c>
      <c r="C89" s="6" t="s">
        <v>99</v>
      </c>
      <c r="D89">
        <v>221208</v>
      </c>
      <c r="F89">
        <v>574</v>
      </c>
      <c r="G89">
        <v>650</v>
      </c>
      <c r="H89">
        <v>667</v>
      </c>
      <c r="I89">
        <v>1155</v>
      </c>
      <c r="M89">
        <v>2011</v>
      </c>
      <c r="N89" t="s">
        <v>286</v>
      </c>
    </row>
    <row r="90" spans="1:15" x14ac:dyDescent="0.2">
      <c r="A90">
        <v>87</v>
      </c>
      <c r="B90">
        <v>97</v>
      </c>
      <c r="C90" s="6" t="s">
        <v>111</v>
      </c>
      <c r="D90">
        <v>200845</v>
      </c>
      <c r="F90">
        <v>1474</v>
      </c>
      <c r="G90">
        <v>1137</v>
      </c>
      <c r="H90">
        <v>0</v>
      </c>
      <c r="I90">
        <v>2704</v>
      </c>
      <c r="M90">
        <v>2011</v>
      </c>
      <c r="N90" t="s">
        <v>301</v>
      </c>
    </row>
    <row r="91" spans="1:15" ht="28.5" customHeight="1" x14ac:dyDescent="0.2">
      <c r="A91">
        <v>88</v>
      </c>
      <c r="B91">
        <v>85</v>
      </c>
      <c r="C91" s="6" t="s">
        <v>83</v>
      </c>
      <c r="D91">
        <v>219721</v>
      </c>
      <c r="F91">
        <v>1551</v>
      </c>
      <c r="G91">
        <v>1150</v>
      </c>
      <c r="H91">
        <v>0</v>
      </c>
      <c r="I91">
        <v>3650</v>
      </c>
      <c r="M91">
        <v>2011</v>
      </c>
      <c r="N91" t="s">
        <v>288</v>
      </c>
    </row>
    <row r="92" spans="1:15" x14ac:dyDescent="0.2">
      <c r="A92">
        <v>89</v>
      </c>
      <c r="C92" s="6" t="s">
        <v>164</v>
      </c>
      <c r="D92">
        <v>214975</v>
      </c>
      <c r="F92">
        <v>2600</v>
      </c>
      <c r="G92">
        <v>1037</v>
      </c>
      <c r="H92">
        <v>1010</v>
      </c>
      <c r="I92">
        <v>1400</v>
      </c>
      <c r="M92">
        <v>2011</v>
      </c>
      <c r="N92" t="s">
        <v>309</v>
      </c>
    </row>
    <row r="93" spans="1:15" x14ac:dyDescent="0.2">
      <c r="A93">
        <v>90</v>
      </c>
      <c r="B93">
        <v>78</v>
      </c>
      <c r="C93" s="6" t="s">
        <v>165</v>
      </c>
      <c r="D93">
        <v>214789</v>
      </c>
      <c r="E93">
        <v>4800</v>
      </c>
      <c r="F93">
        <v>1000</v>
      </c>
      <c r="G93">
        <v>725</v>
      </c>
      <c r="H93">
        <v>0</v>
      </c>
      <c r="I93">
        <v>2400</v>
      </c>
      <c r="M93">
        <v>2011</v>
      </c>
      <c r="N93" t="s">
        <v>281</v>
      </c>
    </row>
    <row r="94" spans="1:15" x14ac:dyDescent="0.2">
      <c r="A94">
        <v>91</v>
      </c>
      <c r="B94">
        <v>92</v>
      </c>
      <c r="C94" s="6" t="s">
        <v>108</v>
      </c>
      <c r="D94">
        <v>212000</v>
      </c>
      <c r="F94">
        <v>960</v>
      </c>
      <c r="G94">
        <v>730</v>
      </c>
      <c r="H94">
        <v>1</v>
      </c>
      <c r="I94">
        <v>1800</v>
      </c>
      <c r="K94">
        <v>275</v>
      </c>
      <c r="L94">
        <v>50</v>
      </c>
      <c r="M94">
        <v>2011</v>
      </c>
      <c r="N94" t="s">
        <v>296</v>
      </c>
    </row>
    <row r="95" spans="1:15" ht="30" x14ac:dyDescent="0.2">
      <c r="A95">
        <v>92</v>
      </c>
      <c r="B95">
        <v>82</v>
      </c>
      <c r="C95" s="6" t="s">
        <v>144</v>
      </c>
      <c r="D95">
        <v>211067</v>
      </c>
      <c r="F95">
        <v>2341</v>
      </c>
      <c r="G95">
        <v>1092</v>
      </c>
      <c r="H95">
        <v>11</v>
      </c>
      <c r="I95">
        <v>2700</v>
      </c>
      <c r="M95">
        <v>2011</v>
      </c>
      <c r="N95" t="s">
        <v>285</v>
      </c>
    </row>
    <row r="96" spans="1:15" x14ac:dyDescent="0.2">
      <c r="A96">
        <v>93</v>
      </c>
      <c r="B96">
        <v>96</v>
      </c>
      <c r="C96" s="6" t="s">
        <v>142</v>
      </c>
      <c r="D96">
        <v>210751</v>
      </c>
      <c r="E96">
        <v>1773</v>
      </c>
      <c r="F96">
        <v>89</v>
      </c>
      <c r="G96">
        <v>1700</v>
      </c>
      <c r="H96">
        <v>0</v>
      </c>
      <c r="I96">
        <v>0</v>
      </c>
      <c r="M96">
        <v>2011</v>
      </c>
      <c r="N96" s="8" t="s">
        <v>300</v>
      </c>
      <c r="O96" t="s">
        <v>217</v>
      </c>
    </row>
    <row r="97" spans="1:15" ht="30" x14ac:dyDescent="0.2">
      <c r="A97">
        <v>94</v>
      </c>
      <c r="B97">
        <v>73</v>
      </c>
      <c r="C97" s="6" t="s">
        <v>145</v>
      </c>
      <c r="D97">
        <v>209220</v>
      </c>
      <c r="F97">
        <v>1560</v>
      </c>
      <c r="G97">
        <v>1267</v>
      </c>
      <c r="H97">
        <v>0</v>
      </c>
      <c r="I97">
        <v>2600</v>
      </c>
      <c r="M97">
        <v>2011</v>
      </c>
      <c r="N97" t="s">
        <v>276</v>
      </c>
    </row>
    <row r="98" spans="1:15" ht="30" x14ac:dyDescent="0.2">
      <c r="A98">
        <v>95</v>
      </c>
      <c r="B98">
        <v>91</v>
      </c>
      <c r="C98" s="6" t="s">
        <v>109</v>
      </c>
      <c r="D98">
        <v>207060</v>
      </c>
      <c r="E98">
        <v>5566</v>
      </c>
      <c r="F98">
        <v>1321</v>
      </c>
      <c r="G98">
        <v>1082</v>
      </c>
      <c r="H98">
        <v>0</v>
      </c>
      <c r="I98">
        <v>1898</v>
      </c>
      <c r="M98">
        <v>2011</v>
      </c>
      <c r="N98" t="s">
        <v>295</v>
      </c>
    </row>
    <row r="99" spans="1:15" x14ac:dyDescent="0.2">
      <c r="A99">
        <v>96</v>
      </c>
      <c r="B99">
        <v>89</v>
      </c>
      <c r="C99" s="6" t="s">
        <v>95</v>
      </c>
      <c r="D99">
        <v>200108</v>
      </c>
      <c r="F99">
        <v>1377</v>
      </c>
      <c r="G99">
        <v>1113</v>
      </c>
      <c r="H99">
        <v>0</v>
      </c>
      <c r="I99">
        <v>1761</v>
      </c>
      <c r="M99">
        <v>2011</v>
      </c>
      <c r="N99" t="s">
        <v>293</v>
      </c>
    </row>
    <row r="100" spans="1:15" ht="30" x14ac:dyDescent="0.2">
      <c r="A100">
        <v>97</v>
      </c>
      <c r="C100" s="6" t="s">
        <v>166</v>
      </c>
      <c r="D100">
        <v>196414</v>
      </c>
      <c r="F100">
        <v>394</v>
      </c>
      <c r="G100">
        <v>316</v>
      </c>
      <c r="H100">
        <v>722</v>
      </c>
      <c r="I100">
        <v>0</v>
      </c>
      <c r="M100">
        <v>2011</v>
      </c>
      <c r="N100" s="10" t="s">
        <v>323</v>
      </c>
    </row>
    <row r="101" spans="1:15" ht="30" x14ac:dyDescent="0.2">
      <c r="A101">
        <v>98</v>
      </c>
      <c r="B101">
        <v>93</v>
      </c>
      <c r="C101" s="6" t="s">
        <v>167</v>
      </c>
      <c r="D101">
        <v>196021</v>
      </c>
      <c r="F101">
        <v>1800</v>
      </c>
      <c r="G101">
        <v>609</v>
      </c>
      <c r="H101">
        <v>983</v>
      </c>
      <c r="I101">
        <v>0</v>
      </c>
      <c r="L101">
        <v>483</v>
      </c>
      <c r="M101">
        <v>2011</v>
      </c>
      <c r="N101" s="8" t="s">
        <v>297</v>
      </c>
      <c r="O101" t="s">
        <v>217</v>
      </c>
    </row>
    <row r="102" spans="1:15" ht="30" x14ac:dyDescent="0.2">
      <c r="A102">
        <v>99</v>
      </c>
      <c r="B102">
        <v>98</v>
      </c>
      <c r="C102" s="6" t="s">
        <v>110</v>
      </c>
      <c r="D102">
        <v>195090</v>
      </c>
      <c r="F102">
        <v>1320</v>
      </c>
      <c r="G102">
        <v>983</v>
      </c>
      <c r="H102">
        <v>0</v>
      </c>
      <c r="I102">
        <v>1870</v>
      </c>
      <c r="M102">
        <v>2011</v>
      </c>
      <c r="N102" s="8" t="s">
        <v>302</v>
      </c>
      <c r="O102" t="s">
        <v>217</v>
      </c>
    </row>
    <row r="103" spans="1:15" x14ac:dyDescent="0.2">
      <c r="A103">
        <v>100</v>
      </c>
      <c r="C103" s="6" t="s">
        <v>168</v>
      </c>
      <c r="D103">
        <v>193595</v>
      </c>
      <c r="F103">
        <v>858</v>
      </c>
      <c r="G103">
        <v>666</v>
      </c>
      <c r="H103">
        <v>0</v>
      </c>
      <c r="I103">
        <v>3450</v>
      </c>
      <c r="M103">
        <v>2011</v>
      </c>
      <c r="N103" t="s">
        <v>322</v>
      </c>
    </row>
  </sheetData>
  <mergeCells count="3">
    <mergeCell ref="C1:C2"/>
    <mergeCell ref="G1:G2"/>
    <mergeCell ref="I1:I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workbookViewId="0">
      <pane ySplit="3" topLeftCell="A4" activePane="bottomLeft" state="frozenSplit"/>
      <selection pane="bottomLeft" activeCell="N103" sqref="D4:N103"/>
    </sheetView>
  </sheetViews>
  <sheetFormatPr baseColWidth="10" defaultColWidth="8.6640625" defaultRowHeight="15" x14ac:dyDescent="0.2"/>
  <cols>
    <col min="1" max="1" width="7.6640625" customWidth="1"/>
    <col min="2" max="2" width="10" customWidth="1"/>
    <col min="3" max="3" width="16.6640625" customWidth="1"/>
    <col min="5" max="5" width="10.1640625" customWidth="1"/>
    <col min="6" max="7" width="10.5" customWidth="1"/>
    <col min="8" max="8" width="11" customWidth="1"/>
    <col min="9" max="9" width="11.5" customWidth="1"/>
    <col min="13" max="13" width="10.6640625" customWidth="1"/>
    <col min="14" max="14" width="10.5" style="8" customWidth="1"/>
  </cols>
  <sheetData>
    <row r="1" spans="1:17" ht="28" x14ac:dyDescent="0.2">
      <c r="A1" s="2" t="s">
        <v>0</v>
      </c>
      <c r="B1" s="2" t="s">
        <v>0</v>
      </c>
      <c r="C1" s="43" t="s">
        <v>1</v>
      </c>
      <c r="D1" s="2" t="s">
        <v>2</v>
      </c>
      <c r="E1" s="2" t="s">
        <v>6</v>
      </c>
      <c r="F1" s="2" t="s">
        <v>7</v>
      </c>
      <c r="G1" s="43" t="s">
        <v>3</v>
      </c>
      <c r="H1" s="1" t="s">
        <v>4</v>
      </c>
      <c r="I1" s="43" t="s">
        <v>5</v>
      </c>
      <c r="J1" t="s">
        <v>14</v>
      </c>
      <c r="K1" t="s">
        <v>15</v>
      </c>
      <c r="L1" t="s">
        <v>16</v>
      </c>
      <c r="N1" s="8" t="s">
        <v>202</v>
      </c>
    </row>
    <row r="2" spans="1:17" ht="29" thickBot="1" x14ac:dyDescent="0.25">
      <c r="A2" s="3">
        <v>2012</v>
      </c>
      <c r="B2" s="3">
        <v>2011</v>
      </c>
      <c r="C2" s="44"/>
      <c r="D2" s="3" t="s">
        <v>13</v>
      </c>
      <c r="E2" s="3"/>
      <c r="F2" s="3"/>
      <c r="G2" s="44"/>
      <c r="H2" s="1"/>
      <c r="I2" s="44"/>
    </row>
    <row r="3" spans="1:17" ht="30" x14ac:dyDescent="0.2">
      <c r="A3" s="2" t="s">
        <v>0</v>
      </c>
      <c r="B3" s="11"/>
      <c r="C3" s="6" t="s">
        <v>330</v>
      </c>
      <c r="D3" s="6" t="s">
        <v>2</v>
      </c>
      <c r="E3" s="6" t="s">
        <v>325</v>
      </c>
      <c r="F3" s="6" t="s">
        <v>326</v>
      </c>
      <c r="G3" s="6" t="s">
        <v>327</v>
      </c>
      <c r="H3" s="6" t="s">
        <v>328</v>
      </c>
      <c r="I3" s="6" t="s">
        <v>329</v>
      </c>
      <c r="J3" s="6" t="s">
        <v>331</v>
      </c>
      <c r="K3" s="6" t="s">
        <v>332</v>
      </c>
      <c r="L3" s="6" t="s">
        <v>333</v>
      </c>
      <c r="M3" s="6" t="s">
        <v>334</v>
      </c>
      <c r="N3" s="12" t="s">
        <v>202</v>
      </c>
      <c r="Q3" s="6"/>
    </row>
    <row r="4" spans="1:17" x14ac:dyDescent="0.2">
      <c r="A4">
        <v>1</v>
      </c>
      <c r="B4">
        <v>1</v>
      </c>
      <c r="C4" s="4" t="s">
        <v>8</v>
      </c>
      <c r="D4">
        <v>54127000</v>
      </c>
      <c r="E4">
        <v>807000</v>
      </c>
      <c r="F4">
        <v>399000</v>
      </c>
      <c r="G4">
        <f>102851*12268/(12268+66425)</f>
        <v>16034.158921378013</v>
      </c>
      <c r="H4">
        <f>102851*66425/(12268+66425)</f>
        <v>86816.84107862199</v>
      </c>
      <c r="I4">
        <v>83730</v>
      </c>
      <c r="J4">
        <v>230</v>
      </c>
      <c r="M4">
        <v>2013</v>
      </c>
      <c r="N4" t="s">
        <v>203</v>
      </c>
    </row>
    <row r="5" spans="1:17" x14ac:dyDescent="0.2">
      <c r="A5">
        <v>2</v>
      </c>
      <c r="B5">
        <v>2</v>
      </c>
      <c r="C5" s="4" t="s">
        <v>9</v>
      </c>
      <c r="D5">
        <v>43898000</v>
      </c>
      <c r="E5">
        <v>1808000</v>
      </c>
      <c r="F5">
        <v>300000</v>
      </c>
      <c r="G5">
        <v>24261</v>
      </c>
      <c r="H5">
        <v>57335</v>
      </c>
      <c r="I5">
        <v>86707</v>
      </c>
      <c r="J5">
        <v>660</v>
      </c>
      <c r="M5">
        <v>2013</v>
      </c>
      <c r="N5" t="s">
        <v>204</v>
      </c>
    </row>
    <row r="6" spans="1:17" x14ac:dyDescent="0.2">
      <c r="A6">
        <v>3</v>
      </c>
      <c r="B6">
        <v>3</v>
      </c>
      <c r="C6" s="4" t="s">
        <v>10</v>
      </c>
      <c r="D6">
        <v>5580247</v>
      </c>
      <c r="E6">
        <v>104546</v>
      </c>
      <c r="F6">
        <v>29987</v>
      </c>
      <c r="G6">
        <v>11800</v>
      </c>
      <c r="H6">
        <v>0</v>
      </c>
      <c r="I6">
        <v>40000</v>
      </c>
      <c r="M6">
        <v>2013</v>
      </c>
      <c r="N6" t="s">
        <v>208</v>
      </c>
    </row>
    <row r="7" spans="1:17" ht="27" x14ac:dyDescent="0.2">
      <c r="A7">
        <v>4</v>
      </c>
      <c r="B7">
        <v>5</v>
      </c>
      <c r="C7" s="4" t="s">
        <v>11</v>
      </c>
      <c r="D7">
        <v>5054980</v>
      </c>
      <c r="E7">
        <v>310354</v>
      </c>
      <c r="F7">
        <v>16475</v>
      </c>
      <c r="G7">
        <v>9686</v>
      </c>
      <c r="H7">
        <v>684</v>
      </c>
      <c r="I7">
        <v>22699</v>
      </c>
      <c r="J7">
        <v>0</v>
      </c>
      <c r="K7">
        <v>58745</v>
      </c>
      <c r="L7">
        <v>55409</v>
      </c>
      <c r="M7">
        <v>2013</v>
      </c>
      <c r="N7" t="s">
        <v>210</v>
      </c>
    </row>
    <row r="8" spans="1:17" x14ac:dyDescent="0.2">
      <c r="A8">
        <v>5</v>
      </c>
      <c r="B8">
        <v>4</v>
      </c>
      <c r="C8" s="5" t="s">
        <v>12</v>
      </c>
      <c r="D8">
        <v>4850500</v>
      </c>
      <c r="E8">
        <v>-136500</v>
      </c>
      <c r="F8">
        <v>32000</v>
      </c>
      <c r="G8">
        <v>14572</v>
      </c>
      <c r="H8">
        <v>0</v>
      </c>
      <c r="I8">
        <v>47694</v>
      </c>
      <c r="M8">
        <v>2013</v>
      </c>
      <c r="N8" t="s">
        <v>206</v>
      </c>
    </row>
    <row r="9" spans="1:17" ht="27" x14ac:dyDescent="0.2">
      <c r="A9">
        <v>6</v>
      </c>
      <c r="B9">
        <v>6</v>
      </c>
      <c r="C9" s="4" t="s">
        <v>17</v>
      </c>
      <c r="D9">
        <v>3500000</v>
      </c>
      <c r="F9">
        <v>16700</v>
      </c>
      <c r="G9">
        <v>11540</v>
      </c>
      <c r="H9">
        <v>23</v>
      </c>
      <c r="I9">
        <v>29800</v>
      </c>
      <c r="J9">
        <v>0</v>
      </c>
      <c r="K9">
        <v>14300</v>
      </c>
      <c r="M9">
        <v>2013</v>
      </c>
      <c r="N9" t="s">
        <v>211</v>
      </c>
    </row>
    <row r="10" spans="1:17" x14ac:dyDescent="0.2">
      <c r="A10">
        <v>7</v>
      </c>
      <c r="B10">
        <v>7</v>
      </c>
      <c r="C10" s="4" t="s">
        <v>18</v>
      </c>
      <c r="D10">
        <v>3493182</v>
      </c>
      <c r="E10">
        <v>114589</v>
      </c>
      <c r="F10">
        <v>16671</v>
      </c>
      <c r="G10">
        <v>15231</v>
      </c>
      <c r="M10">
        <v>2013</v>
      </c>
      <c r="N10" t="s">
        <v>212</v>
      </c>
    </row>
    <row r="11" spans="1:17" x14ac:dyDescent="0.2">
      <c r="A11">
        <v>8</v>
      </c>
      <c r="B11">
        <v>8</v>
      </c>
      <c r="C11" s="4" t="s">
        <v>19</v>
      </c>
      <c r="D11">
        <v>3141513</v>
      </c>
      <c r="E11">
        <v>154238</v>
      </c>
      <c r="F11">
        <v>14240</v>
      </c>
      <c r="G11">
        <v>11380</v>
      </c>
      <c r="H11">
        <v>0</v>
      </c>
      <c r="I11">
        <v>11700</v>
      </c>
      <c r="M11">
        <v>2013</v>
      </c>
      <c r="N11" s="8" t="s">
        <v>216</v>
      </c>
      <c r="O11" t="s">
        <v>217</v>
      </c>
    </row>
    <row r="12" spans="1:17" x14ac:dyDescent="0.2">
      <c r="A12">
        <v>9</v>
      </c>
      <c r="B12">
        <v>9</v>
      </c>
      <c r="C12" s="4" t="s">
        <v>20</v>
      </c>
      <c r="D12">
        <v>2793420</v>
      </c>
      <c r="E12">
        <v>129781</v>
      </c>
      <c r="F12">
        <v>1369</v>
      </c>
      <c r="G12">
        <v>8265</v>
      </c>
      <c r="H12">
        <v>258</v>
      </c>
      <c r="I12">
        <v>12967</v>
      </c>
      <c r="M12">
        <v>2013</v>
      </c>
      <c r="N12" t="s">
        <v>213</v>
      </c>
    </row>
    <row r="13" spans="1:17" ht="27" x14ac:dyDescent="0.2">
      <c r="A13">
        <v>10</v>
      </c>
      <c r="B13">
        <v>10</v>
      </c>
      <c r="C13" s="4" t="s">
        <v>21</v>
      </c>
      <c r="D13">
        <v>2280586</v>
      </c>
      <c r="E13">
        <v>1945</v>
      </c>
      <c r="F13">
        <v>13711</v>
      </c>
      <c r="G13">
        <v>3729</v>
      </c>
      <c r="H13">
        <v>692</v>
      </c>
      <c r="I13">
        <v>6282</v>
      </c>
      <c r="M13">
        <v>2013</v>
      </c>
      <c r="N13" s="8" t="s">
        <v>207</v>
      </c>
    </row>
    <row r="14" spans="1:17" ht="27" x14ac:dyDescent="0.2">
      <c r="A14">
        <v>11</v>
      </c>
      <c r="B14">
        <v>14</v>
      </c>
      <c r="C14" s="4" t="s">
        <v>22</v>
      </c>
      <c r="D14">
        <v>2110483</v>
      </c>
      <c r="E14">
        <v>169452</v>
      </c>
      <c r="F14">
        <v>14334</v>
      </c>
      <c r="G14">
        <v>6099</v>
      </c>
      <c r="H14">
        <v>106</v>
      </c>
      <c r="I14">
        <v>24181</v>
      </c>
      <c r="L14">
        <v>68</v>
      </c>
      <c r="M14">
        <v>2013</v>
      </c>
      <c r="N14" t="s">
        <v>223</v>
      </c>
    </row>
    <row r="15" spans="1:17" x14ac:dyDescent="0.2">
      <c r="A15">
        <v>12</v>
      </c>
      <c r="B15">
        <v>13</v>
      </c>
      <c r="C15" s="4" t="s">
        <v>23</v>
      </c>
      <c r="D15">
        <v>2065999</v>
      </c>
      <c r="E15">
        <v>-7732</v>
      </c>
      <c r="F15">
        <v>11250</v>
      </c>
      <c r="G15">
        <v>3835</v>
      </c>
      <c r="H15">
        <v>65</v>
      </c>
      <c r="I15">
        <v>20079</v>
      </c>
      <c r="M15">
        <v>2013</v>
      </c>
      <c r="N15" s="8" t="s">
        <v>219</v>
      </c>
      <c r="O15" t="s">
        <v>217</v>
      </c>
    </row>
    <row r="16" spans="1:17" x14ac:dyDescent="0.2">
      <c r="A16">
        <v>13</v>
      </c>
      <c r="B16">
        <v>11</v>
      </c>
      <c r="C16" s="4" t="s">
        <v>24</v>
      </c>
      <c r="D16">
        <v>2036386</v>
      </c>
      <c r="E16">
        <v>103034</v>
      </c>
      <c r="F16">
        <v>10736</v>
      </c>
      <c r="G16">
        <v>6505</v>
      </c>
      <c r="H16">
        <v>645</v>
      </c>
      <c r="I16">
        <v>23380</v>
      </c>
      <c r="M16">
        <v>2013</v>
      </c>
      <c r="N16" s="8" t="s">
        <v>215</v>
      </c>
    </row>
    <row r="17" spans="1:15" x14ac:dyDescent="0.2">
      <c r="A17">
        <v>14</v>
      </c>
      <c r="B17">
        <v>12</v>
      </c>
      <c r="C17" s="4" t="s">
        <v>25</v>
      </c>
      <c r="D17">
        <v>1973000</v>
      </c>
      <c r="G17">
        <v>2465</v>
      </c>
      <c r="H17">
        <v>1454</v>
      </c>
      <c r="I17">
        <v>4074</v>
      </c>
      <c r="M17">
        <v>2013</v>
      </c>
      <c r="N17" s="8" t="s">
        <v>214</v>
      </c>
      <c r="O17" t="s">
        <v>217</v>
      </c>
    </row>
    <row r="18" spans="1:15" x14ac:dyDescent="0.2">
      <c r="A18">
        <v>15</v>
      </c>
      <c r="B18">
        <v>15</v>
      </c>
      <c r="C18" s="4" t="s">
        <v>26</v>
      </c>
      <c r="D18">
        <v>1857598</v>
      </c>
      <c r="F18">
        <v>13849</v>
      </c>
      <c r="G18">
        <v>6536</v>
      </c>
      <c r="H18">
        <v>523</v>
      </c>
      <c r="I18">
        <v>24135</v>
      </c>
      <c r="M18">
        <v>2013</v>
      </c>
      <c r="N18" t="s">
        <v>221</v>
      </c>
    </row>
    <row r="19" spans="1:15" ht="27" x14ac:dyDescent="0.2">
      <c r="A19">
        <v>16</v>
      </c>
      <c r="B19">
        <v>16</v>
      </c>
      <c r="C19" s="4" t="s">
        <v>27</v>
      </c>
      <c r="D19">
        <v>1756464</v>
      </c>
      <c r="F19">
        <v>11983</v>
      </c>
      <c r="G19">
        <v>7550</v>
      </c>
      <c r="H19">
        <v>0</v>
      </c>
      <c r="I19">
        <v>21000</v>
      </c>
      <c r="M19">
        <v>2013</v>
      </c>
      <c r="N19" t="s">
        <v>220</v>
      </c>
    </row>
    <row r="20" spans="1:15" x14ac:dyDescent="0.2">
      <c r="A20">
        <v>17</v>
      </c>
      <c r="B20">
        <v>17</v>
      </c>
      <c r="C20" s="4" t="s">
        <v>28</v>
      </c>
      <c r="D20">
        <v>1632291</v>
      </c>
      <c r="F20">
        <v>12000</v>
      </c>
      <c r="G20">
        <v>487</v>
      </c>
      <c r="H20">
        <v>3256</v>
      </c>
      <c r="I20">
        <v>1296</v>
      </c>
      <c r="J20">
        <v>23</v>
      </c>
      <c r="M20">
        <v>2013</v>
      </c>
      <c r="N20" s="8" t="s">
        <v>222</v>
      </c>
      <c r="O20" t="s">
        <v>217</v>
      </c>
    </row>
    <row r="21" spans="1:15" x14ac:dyDescent="0.2">
      <c r="A21">
        <v>18</v>
      </c>
      <c r="B21">
        <v>18</v>
      </c>
      <c r="C21" s="4" t="s">
        <v>29</v>
      </c>
      <c r="D21">
        <v>1613124</v>
      </c>
      <c r="F21">
        <v>980</v>
      </c>
      <c r="G21">
        <v>6260</v>
      </c>
      <c r="H21">
        <v>4415</v>
      </c>
      <c r="I21">
        <v>9950</v>
      </c>
      <c r="K21">
        <v>14300</v>
      </c>
      <c r="M21">
        <v>2013</v>
      </c>
      <c r="N21" t="s">
        <v>218</v>
      </c>
    </row>
    <row r="22" spans="1:15" x14ac:dyDescent="0.2">
      <c r="A22">
        <v>19</v>
      </c>
      <c r="B22">
        <v>20</v>
      </c>
      <c r="C22" s="4" t="s">
        <v>30</v>
      </c>
      <c r="D22">
        <v>1416806</v>
      </c>
      <c r="F22">
        <v>6759</v>
      </c>
      <c r="G22">
        <v>5238</v>
      </c>
      <c r="H22">
        <v>0</v>
      </c>
      <c r="I22">
        <v>7259</v>
      </c>
      <c r="K22">
        <v>700</v>
      </c>
      <c r="M22">
        <v>2013</v>
      </c>
      <c r="N22" t="s">
        <v>225</v>
      </c>
    </row>
    <row r="23" spans="1:15" x14ac:dyDescent="0.2">
      <c r="A23">
        <v>20</v>
      </c>
      <c r="B23">
        <v>19</v>
      </c>
      <c r="C23" s="4" t="s">
        <v>31</v>
      </c>
      <c r="D23">
        <v>1257995</v>
      </c>
      <c r="F23">
        <v>5128</v>
      </c>
      <c r="G23">
        <v>4511</v>
      </c>
      <c r="H23">
        <v>0</v>
      </c>
      <c r="I23">
        <v>7570</v>
      </c>
      <c r="M23">
        <v>2013</v>
      </c>
      <c r="N23" t="s">
        <v>235</v>
      </c>
    </row>
    <row r="24" spans="1:15" x14ac:dyDescent="0.2">
      <c r="A24">
        <v>21</v>
      </c>
      <c r="B24">
        <v>23</v>
      </c>
      <c r="C24" s="4" t="s">
        <v>32</v>
      </c>
      <c r="D24">
        <v>1152569</v>
      </c>
      <c r="E24">
        <v>147281</v>
      </c>
      <c r="F24">
        <v>4450</v>
      </c>
      <c r="G24">
        <v>4985</v>
      </c>
      <c r="H24">
        <v>0</v>
      </c>
      <c r="I24">
        <v>8781</v>
      </c>
      <c r="M24">
        <v>2013</v>
      </c>
      <c r="N24" t="s">
        <v>228</v>
      </c>
    </row>
    <row r="25" spans="1:15" x14ac:dyDescent="0.2">
      <c r="A25">
        <v>22</v>
      </c>
      <c r="B25">
        <v>22</v>
      </c>
      <c r="C25" s="4" t="s">
        <v>33</v>
      </c>
      <c r="D25">
        <v>1100000</v>
      </c>
      <c r="F25">
        <v>8000</v>
      </c>
      <c r="G25">
        <v>3662</v>
      </c>
      <c r="H25">
        <v>80</v>
      </c>
      <c r="I25">
        <v>10407</v>
      </c>
      <c r="M25">
        <v>2013</v>
      </c>
      <c r="N25" t="s">
        <v>227</v>
      </c>
    </row>
    <row r="26" spans="1:15" ht="27" x14ac:dyDescent="0.2">
      <c r="A26">
        <v>23</v>
      </c>
      <c r="B26">
        <v>26</v>
      </c>
      <c r="C26" s="4" t="s">
        <v>34</v>
      </c>
      <c r="D26">
        <v>1091031</v>
      </c>
      <c r="F26">
        <v>6873</v>
      </c>
      <c r="G26">
        <v>4767</v>
      </c>
      <c r="H26">
        <v>0</v>
      </c>
      <c r="I26">
        <v>6229</v>
      </c>
      <c r="M26">
        <v>2013</v>
      </c>
      <c r="N26" t="s">
        <v>236</v>
      </c>
    </row>
    <row r="27" spans="1:15" ht="40" x14ac:dyDescent="0.2">
      <c r="A27">
        <v>24</v>
      </c>
      <c r="B27">
        <v>32</v>
      </c>
      <c r="C27" s="4" t="s">
        <v>35</v>
      </c>
      <c r="D27">
        <v>1073354</v>
      </c>
      <c r="E27">
        <v>37530</v>
      </c>
      <c r="F27">
        <v>2491</v>
      </c>
      <c r="G27">
        <v>3222</v>
      </c>
      <c r="H27">
        <v>0</v>
      </c>
      <c r="I27">
        <v>2609</v>
      </c>
      <c r="M27">
        <v>2013</v>
      </c>
      <c r="N27" t="s">
        <v>250</v>
      </c>
    </row>
    <row r="28" spans="1:15" x14ac:dyDescent="0.2">
      <c r="A28">
        <v>25</v>
      </c>
      <c r="B28">
        <v>24</v>
      </c>
      <c r="C28" s="4" t="s">
        <v>36</v>
      </c>
      <c r="D28">
        <v>1041230</v>
      </c>
      <c r="F28">
        <v>6000</v>
      </c>
      <c r="G28">
        <v>2155</v>
      </c>
      <c r="H28">
        <v>0</v>
      </c>
      <c r="I28">
        <v>7000</v>
      </c>
      <c r="K28">
        <v>120</v>
      </c>
      <c r="M28">
        <v>2013</v>
      </c>
      <c r="N28" t="s">
        <v>229</v>
      </c>
    </row>
    <row r="29" spans="1:15" ht="27" x14ac:dyDescent="0.2">
      <c r="A29">
        <v>26</v>
      </c>
      <c r="B29">
        <v>39</v>
      </c>
      <c r="C29" s="4" t="s">
        <v>37</v>
      </c>
      <c r="D29">
        <v>1037006</v>
      </c>
      <c r="E29">
        <v>47688</v>
      </c>
      <c r="F29">
        <v>4809</v>
      </c>
      <c r="G29">
        <v>4125</v>
      </c>
      <c r="H29">
        <v>0</v>
      </c>
      <c r="I29">
        <v>6308</v>
      </c>
      <c r="K29">
        <v>800</v>
      </c>
      <c r="L29">
        <v>844</v>
      </c>
      <c r="M29">
        <v>2013</v>
      </c>
      <c r="N29" t="s">
        <v>243</v>
      </c>
    </row>
    <row r="30" spans="1:15" ht="27" x14ac:dyDescent="0.2">
      <c r="A30">
        <v>27</v>
      </c>
      <c r="B30">
        <v>27</v>
      </c>
      <c r="C30" s="4" t="s">
        <v>38</v>
      </c>
      <c r="D30">
        <v>1012908</v>
      </c>
      <c r="F30">
        <v>7852</v>
      </c>
      <c r="G30">
        <v>3291</v>
      </c>
      <c r="H30">
        <v>23</v>
      </c>
      <c r="I30">
        <v>9820</v>
      </c>
      <c r="M30">
        <v>2013</v>
      </c>
      <c r="N30" t="s">
        <v>232</v>
      </c>
    </row>
    <row r="31" spans="1:15" x14ac:dyDescent="0.2">
      <c r="A31">
        <v>28</v>
      </c>
      <c r="B31">
        <v>28</v>
      </c>
      <c r="C31" s="4" t="s">
        <v>39</v>
      </c>
      <c r="D31">
        <v>998727</v>
      </c>
      <c r="F31">
        <v>5627</v>
      </c>
      <c r="G31">
        <v>5500</v>
      </c>
      <c r="H31">
        <v>0</v>
      </c>
      <c r="I31">
        <v>13494</v>
      </c>
      <c r="M31">
        <v>2013</v>
      </c>
      <c r="N31" t="s">
        <v>226</v>
      </c>
    </row>
    <row r="32" spans="1:15" x14ac:dyDescent="0.2">
      <c r="A32">
        <v>29</v>
      </c>
      <c r="B32">
        <v>29</v>
      </c>
      <c r="C32" s="4" t="s">
        <v>40</v>
      </c>
      <c r="D32">
        <v>961560</v>
      </c>
      <c r="G32">
        <v>3939</v>
      </c>
      <c r="H32">
        <v>43</v>
      </c>
      <c r="I32">
        <v>11606</v>
      </c>
      <c r="M32">
        <v>2013</v>
      </c>
      <c r="N32" t="s">
        <v>230</v>
      </c>
    </row>
    <row r="33" spans="1:15" x14ac:dyDescent="0.2">
      <c r="A33">
        <v>30</v>
      </c>
      <c r="B33">
        <v>25</v>
      </c>
      <c r="C33" s="4" t="s">
        <v>41</v>
      </c>
      <c r="D33">
        <v>951000</v>
      </c>
      <c r="F33">
        <v>8151</v>
      </c>
      <c r="G33">
        <v>1615</v>
      </c>
      <c r="H33">
        <v>219</v>
      </c>
      <c r="I33">
        <v>2883</v>
      </c>
      <c r="M33">
        <v>2013</v>
      </c>
      <c r="N33" t="s">
        <v>209</v>
      </c>
    </row>
    <row r="34" spans="1:15" ht="27" x14ac:dyDescent="0.2">
      <c r="A34">
        <v>31</v>
      </c>
      <c r="B34">
        <v>30</v>
      </c>
      <c r="C34" s="4" t="s">
        <v>42</v>
      </c>
      <c r="D34">
        <v>936036</v>
      </c>
      <c r="E34">
        <v>64117</v>
      </c>
      <c r="F34">
        <v>4600</v>
      </c>
      <c r="G34">
        <v>4134</v>
      </c>
      <c r="H34">
        <v>0</v>
      </c>
      <c r="I34">
        <v>9564</v>
      </c>
      <c r="M34">
        <v>2013</v>
      </c>
      <c r="N34" s="8" t="s">
        <v>237</v>
      </c>
      <c r="O34" t="s">
        <v>217</v>
      </c>
    </row>
    <row r="35" spans="1:15" ht="27" x14ac:dyDescent="0.2">
      <c r="A35">
        <v>32</v>
      </c>
      <c r="B35">
        <v>36</v>
      </c>
      <c r="C35" s="4" t="s">
        <v>43</v>
      </c>
      <c r="D35">
        <v>927406</v>
      </c>
      <c r="F35">
        <v>1250</v>
      </c>
      <c r="G35">
        <v>2209</v>
      </c>
      <c r="H35">
        <v>0</v>
      </c>
      <c r="I35">
        <v>5400</v>
      </c>
      <c r="M35">
        <v>2013</v>
      </c>
      <c r="N35" t="s">
        <v>241</v>
      </c>
    </row>
    <row r="36" spans="1:15" x14ac:dyDescent="0.2">
      <c r="A36">
        <v>33</v>
      </c>
      <c r="B36">
        <v>31</v>
      </c>
      <c r="C36" s="4" t="s">
        <v>49</v>
      </c>
      <c r="D36">
        <v>885000</v>
      </c>
      <c r="F36">
        <v>2391</v>
      </c>
      <c r="G36">
        <v>689</v>
      </c>
      <c r="H36">
        <v>55</v>
      </c>
      <c r="I36">
        <v>1190</v>
      </c>
      <c r="K36">
        <v>5926</v>
      </c>
      <c r="L36">
        <v>1644</v>
      </c>
      <c r="M36">
        <v>2013</v>
      </c>
      <c r="N36" t="s">
        <v>234</v>
      </c>
    </row>
    <row r="37" spans="1:15" ht="27" x14ac:dyDescent="0.2">
      <c r="A37">
        <v>34</v>
      </c>
      <c r="C37" s="4" t="s">
        <v>44</v>
      </c>
      <c r="D37">
        <v>850000</v>
      </c>
      <c r="F37">
        <v>5100</v>
      </c>
      <c r="G37">
        <v>4066</v>
      </c>
      <c r="H37">
        <v>201</v>
      </c>
      <c r="I37">
        <v>9930</v>
      </c>
      <c r="M37">
        <v>2013</v>
      </c>
      <c r="N37" t="s">
        <v>273</v>
      </c>
    </row>
    <row r="38" spans="1:15" ht="27" x14ac:dyDescent="0.2">
      <c r="A38">
        <v>35</v>
      </c>
      <c r="B38">
        <v>38</v>
      </c>
      <c r="C38" s="4" t="s">
        <v>45</v>
      </c>
      <c r="D38">
        <v>842118</v>
      </c>
      <c r="E38">
        <v>50076</v>
      </c>
      <c r="F38">
        <v>1371</v>
      </c>
      <c r="G38">
        <v>2775</v>
      </c>
      <c r="H38">
        <v>0</v>
      </c>
      <c r="I38">
        <v>6514</v>
      </c>
      <c r="M38">
        <v>2013</v>
      </c>
      <c r="N38" t="s">
        <v>239</v>
      </c>
    </row>
    <row r="39" spans="1:15" ht="40" x14ac:dyDescent="0.2">
      <c r="A39">
        <v>36</v>
      </c>
      <c r="B39">
        <v>35</v>
      </c>
      <c r="C39" s="4" t="s">
        <v>48</v>
      </c>
      <c r="D39">
        <v>830642</v>
      </c>
      <c r="F39">
        <v>2138</v>
      </c>
      <c r="G39">
        <v>1630</v>
      </c>
      <c r="H39">
        <v>486</v>
      </c>
      <c r="I39">
        <v>3944</v>
      </c>
      <c r="M39">
        <v>2013</v>
      </c>
      <c r="N39" t="s">
        <v>305</v>
      </c>
    </row>
    <row r="40" spans="1:15" x14ac:dyDescent="0.2">
      <c r="A40">
        <v>37</v>
      </c>
      <c r="B40">
        <v>33</v>
      </c>
      <c r="C40" s="4" t="s">
        <v>46</v>
      </c>
      <c r="D40">
        <v>815518</v>
      </c>
      <c r="E40">
        <v>5910</v>
      </c>
      <c r="F40">
        <v>405</v>
      </c>
      <c r="G40">
        <v>2178</v>
      </c>
      <c r="H40">
        <v>1562</v>
      </c>
      <c r="I40">
        <v>3391</v>
      </c>
      <c r="M40">
        <v>2013</v>
      </c>
      <c r="N40" t="s">
        <v>231</v>
      </c>
    </row>
    <row r="41" spans="1:15" ht="40" x14ac:dyDescent="0.2">
      <c r="A41">
        <v>38</v>
      </c>
      <c r="B41">
        <v>37</v>
      </c>
      <c r="C41" s="4" t="s">
        <v>47</v>
      </c>
      <c r="D41">
        <v>774892</v>
      </c>
      <c r="F41">
        <v>5139</v>
      </c>
      <c r="G41">
        <v>3319</v>
      </c>
      <c r="H41">
        <v>35</v>
      </c>
      <c r="I41">
        <v>5858</v>
      </c>
      <c r="M41">
        <v>2013</v>
      </c>
      <c r="N41" t="s">
        <v>233</v>
      </c>
    </row>
    <row r="42" spans="1:15" x14ac:dyDescent="0.2">
      <c r="A42">
        <v>39</v>
      </c>
      <c r="B42">
        <v>42</v>
      </c>
      <c r="C42" s="4" t="s">
        <v>50</v>
      </c>
      <c r="D42">
        <v>722288</v>
      </c>
      <c r="F42">
        <v>3750</v>
      </c>
      <c r="G42">
        <v>2132</v>
      </c>
      <c r="H42">
        <v>0</v>
      </c>
      <c r="I42">
        <v>4871</v>
      </c>
      <c r="M42">
        <v>2013</v>
      </c>
      <c r="N42" s="10" t="s">
        <v>244</v>
      </c>
    </row>
    <row r="43" spans="1:15" x14ac:dyDescent="0.2">
      <c r="A43">
        <v>40</v>
      </c>
      <c r="B43">
        <v>34</v>
      </c>
      <c r="C43" s="4" t="s">
        <v>51</v>
      </c>
      <c r="D43">
        <v>702914</v>
      </c>
      <c r="E43">
        <v>-35975</v>
      </c>
      <c r="F43">
        <v>6366</v>
      </c>
      <c r="G43">
        <v>2603</v>
      </c>
      <c r="H43">
        <v>243</v>
      </c>
      <c r="I43">
        <v>7221</v>
      </c>
      <c r="K43">
        <v>512</v>
      </c>
      <c r="L43">
        <v>448</v>
      </c>
      <c r="M43">
        <v>2013</v>
      </c>
      <c r="N43" s="9" t="s">
        <v>238</v>
      </c>
    </row>
    <row r="44" spans="1:15" ht="27" x14ac:dyDescent="0.2">
      <c r="A44">
        <v>41</v>
      </c>
      <c r="B44">
        <v>40</v>
      </c>
      <c r="C44" s="4" t="s">
        <v>52</v>
      </c>
      <c r="D44">
        <v>674254</v>
      </c>
      <c r="E44">
        <v>6065</v>
      </c>
      <c r="F44">
        <v>5124</v>
      </c>
      <c r="G44">
        <v>2884</v>
      </c>
      <c r="H44">
        <v>0</v>
      </c>
      <c r="I44">
        <v>6904</v>
      </c>
      <c r="M44">
        <v>2013</v>
      </c>
      <c r="N44" t="s">
        <v>240</v>
      </c>
    </row>
    <row r="45" spans="1:15" x14ac:dyDescent="0.2">
      <c r="A45">
        <v>42</v>
      </c>
      <c r="B45">
        <v>41</v>
      </c>
      <c r="C45" s="4" t="s">
        <v>53</v>
      </c>
      <c r="D45">
        <v>638456</v>
      </c>
      <c r="E45">
        <v>27267</v>
      </c>
      <c r="F45">
        <v>2946</v>
      </c>
      <c r="G45">
        <v>2252</v>
      </c>
      <c r="H45">
        <v>0</v>
      </c>
      <c r="I45">
        <v>4170</v>
      </c>
      <c r="K45">
        <v>200</v>
      </c>
      <c r="M45">
        <v>2013</v>
      </c>
      <c r="N45" t="s">
        <v>242</v>
      </c>
    </row>
    <row r="46" spans="1:15" x14ac:dyDescent="0.2">
      <c r="A46">
        <v>43</v>
      </c>
      <c r="B46">
        <v>43</v>
      </c>
      <c r="C46" s="4" t="s">
        <v>54</v>
      </c>
      <c r="D46">
        <v>612365</v>
      </c>
      <c r="E46">
        <v>85270</v>
      </c>
      <c r="F46">
        <v>2725</v>
      </c>
      <c r="G46">
        <v>2610</v>
      </c>
      <c r="H46">
        <v>0</v>
      </c>
      <c r="I46">
        <v>3485</v>
      </c>
      <c r="M46">
        <v>2013</v>
      </c>
      <c r="N46" s="10" t="s">
        <v>246</v>
      </c>
    </row>
    <row r="47" spans="1:15" x14ac:dyDescent="0.2">
      <c r="A47">
        <v>44</v>
      </c>
      <c r="B47">
        <v>44</v>
      </c>
      <c r="C47" s="4" t="s">
        <v>55</v>
      </c>
      <c r="D47">
        <v>612202</v>
      </c>
      <c r="E47">
        <v>30265</v>
      </c>
      <c r="F47">
        <v>4100</v>
      </c>
      <c r="G47">
        <v>3801</v>
      </c>
      <c r="H47">
        <v>48</v>
      </c>
      <c r="I47">
        <v>8782</v>
      </c>
      <c r="M47">
        <v>2013</v>
      </c>
      <c r="N47" t="s">
        <v>245</v>
      </c>
    </row>
    <row r="48" spans="1:15" x14ac:dyDescent="0.2">
      <c r="A48">
        <v>45</v>
      </c>
      <c r="B48">
        <v>46</v>
      </c>
      <c r="C48" s="4" t="s">
        <v>56</v>
      </c>
      <c r="D48">
        <v>584446</v>
      </c>
      <c r="E48">
        <v>52668</v>
      </c>
      <c r="F48">
        <v>3169</v>
      </c>
      <c r="G48">
        <v>3801</v>
      </c>
      <c r="H48">
        <v>166</v>
      </c>
      <c r="I48">
        <v>2746</v>
      </c>
      <c r="L48">
        <v>50</v>
      </c>
      <c r="M48">
        <v>2013</v>
      </c>
      <c r="N48" t="s">
        <v>255</v>
      </c>
    </row>
    <row r="49" spans="1:15" ht="27" x14ac:dyDescent="0.2">
      <c r="A49">
        <v>46</v>
      </c>
      <c r="B49">
        <v>48</v>
      </c>
      <c r="C49" s="4" t="s">
        <v>57</v>
      </c>
      <c r="D49">
        <v>553408</v>
      </c>
      <c r="F49">
        <v>4500</v>
      </c>
      <c r="G49">
        <v>1342</v>
      </c>
      <c r="H49">
        <v>65</v>
      </c>
      <c r="I49">
        <v>6000</v>
      </c>
      <c r="M49">
        <v>2013</v>
      </c>
      <c r="N49" t="s">
        <v>254</v>
      </c>
    </row>
    <row r="50" spans="1:15" x14ac:dyDescent="0.2">
      <c r="A50">
        <v>47</v>
      </c>
      <c r="B50">
        <v>47</v>
      </c>
      <c r="C50" s="4" t="s">
        <v>58</v>
      </c>
      <c r="D50">
        <v>545745</v>
      </c>
      <c r="E50">
        <v>61541</v>
      </c>
      <c r="F50">
        <v>2993</v>
      </c>
      <c r="G50">
        <v>2826</v>
      </c>
      <c r="H50">
        <v>0</v>
      </c>
      <c r="I50">
        <v>7800</v>
      </c>
      <c r="M50">
        <v>2013</v>
      </c>
      <c r="N50" t="s">
        <v>249</v>
      </c>
    </row>
    <row r="51" spans="1:15" ht="27" x14ac:dyDescent="0.2">
      <c r="A51">
        <v>48</v>
      </c>
      <c r="B51">
        <v>45</v>
      </c>
      <c r="C51" s="4" t="s">
        <v>59</v>
      </c>
      <c r="D51">
        <v>543820</v>
      </c>
      <c r="F51">
        <v>3700</v>
      </c>
      <c r="G51">
        <v>2188</v>
      </c>
      <c r="H51">
        <v>350</v>
      </c>
      <c r="I51">
        <v>2165</v>
      </c>
      <c r="M51">
        <v>2013</v>
      </c>
      <c r="N51" t="s">
        <v>260</v>
      </c>
    </row>
    <row r="52" spans="1:15" x14ac:dyDescent="0.2">
      <c r="A52">
        <v>49</v>
      </c>
      <c r="B52">
        <v>51</v>
      </c>
      <c r="C52" s="4" t="s">
        <v>60</v>
      </c>
      <c r="D52">
        <v>535814</v>
      </c>
      <c r="F52">
        <v>1685</v>
      </c>
      <c r="G52">
        <v>1131</v>
      </c>
      <c r="H52">
        <v>339</v>
      </c>
      <c r="I52">
        <v>3008</v>
      </c>
      <c r="K52">
        <v>527</v>
      </c>
      <c r="M52">
        <v>2013</v>
      </c>
      <c r="N52" t="s">
        <v>262</v>
      </c>
    </row>
    <row r="53" spans="1:15" x14ac:dyDescent="0.2">
      <c r="A53">
        <v>50</v>
      </c>
      <c r="B53">
        <v>50</v>
      </c>
      <c r="C53" s="4" t="s">
        <v>61</v>
      </c>
      <c r="D53">
        <v>534214</v>
      </c>
      <c r="F53">
        <v>2560</v>
      </c>
      <c r="K53">
        <v>900</v>
      </c>
      <c r="L53">
        <v>450</v>
      </c>
      <c r="M53">
        <v>2013</v>
      </c>
      <c r="N53" t="s">
        <v>251</v>
      </c>
    </row>
    <row r="54" spans="1:15" x14ac:dyDescent="0.2">
      <c r="A54">
        <v>51</v>
      </c>
      <c r="B54">
        <v>63</v>
      </c>
      <c r="C54" s="4" t="s">
        <v>62</v>
      </c>
      <c r="D54">
        <v>522429</v>
      </c>
      <c r="E54">
        <v>28298</v>
      </c>
      <c r="G54">
        <v>1520</v>
      </c>
      <c r="H54">
        <v>0</v>
      </c>
      <c r="I54">
        <v>4200</v>
      </c>
      <c r="M54">
        <v>2013</v>
      </c>
      <c r="N54" t="s">
        <v>261</v>
      </c>
    </row>
    <row r="55" spans="1:15" x14ac:dyDescent="0.2">
      <c r="A55">
        <v>52</v>
      </c>
      <c r="B55">
        <v>49</v>
      </c>
      <c r="C55" s="4" t="s">
        <v>63</v>
      </c>
      <c r="D55">
        <v>512428</v>
      </c>
      <c r="E55">
        <v>-17671</v>
      </c>
      <c r="F55">
        <v>2990</v>
      </c>
      <c r="G55">
        <v>2246</v>
      </c>
      <c r="H55">
        <v>0</v>
      </c>
      <c r="I55">
        <v>6091</v>
      </c>
      <c r="M55">
        <v>2013</v>
      </c>
      <c r="N55" t="s">
        <v>257</v>
      </c>
    </row>
    <row r="56" spans="1:15" ht="27" x14ac:dyDescent="0.2">
      <c r="A56">
        <v>53</v>
      </c>
      <c r="B56">
        <v>55</v>
      </c>
      <c r="C56" s="4" t="s">
        <v>64</v>
      </c>
      <c r="D56">
        <v>500000</v>
      </c>
      <c r="F56">
        <v>2500</v>
      </c>
      <c r="G56">
        <v>2030</v>
      </c>
      <c r="H56">
        <v>0</v>
      </c>
      <c r="I56">
        <v>0</v>
      </c>
      <c r="M56">
        <v>2013</v>
      </c>
      <c r="N56" t="s">
        <v>304</v>
      </c>
    </row>
    <row r="57" spans="1:15" ht="27" x14ac:dyDescent="0.2">
      <c r="A57">
        <v>54</v>
      </c>
      <c r="B57">
        <v>54</v>
      </c>
      <c r="C57" s="4" t="s">
        <v>65</v>
      </c>
      <c r="D57">
        <v>492297</v>
      </c>
      <c r="F57">
        <v>298</v>
      </c>
      <c r="G57">
        <v>2191</v>
      </c>
      <c r="H57">
        <v>0</v>
      </c>
      <c r="I57">
        <v>0</v>
      </c>
      <c r="M57">
        <v>2013</v>
      </c>
      <c r="N57" t="s">
        <v>268</v>
      </c>
    </row>
    <row r="58" spans="1:15" x14ac:dyDescent="0.2">
      <c r="A58">
        <v>55</v>
      </c>
      <c r="B58">
        <v>53</v>
      </c>
      <c r="C58" s="4" t="s">
        <v>66</v>
      </c>
      <c r="D58">
        <v>457000</v>
      </c>
      <c r="F58">
        <v>348</v>
      </c>
      <c r="G58">
        <v>2087</v>
      </c>
      <c r="H58">
        <v>0</v>
      </c>
      <c r="I58">
        <v>7126</v>
      </c>
      <c r="K58">
        <v>340</v>
      </c>
      <c r="M58">
        <v>2013</v>
      </c>
      <c r="N58" t="s">
        <v>248</v>
      </c>
    </row>
    <row r="59" spans="1:15" ht="27" x14ac:dyDescent="0.2">
      <c r="A59">
        <v>56</v>
      </c>
      <c r="B59">
        <v>58</v>
      </c>
      <c r="C59" s="4" t="s">
        <v>67</v>
      </c>
      <c r="D59">
        <v>452805</v>
      </c>
      <c r="F59">
        <v>1687</v>
      </c>
      <c r="G59">
        <v>1915</v>
      </c>
      <c r="H59">
        <v>0</v>
      </c>
      <c r="I59">
        <v>3100</v>
      </c>
      <c r="M59">
        <v>2013</v>
      </c>
      <c r="N59" t="s">
        <v>263</v>
      </c>
    </row>
    <row r="60" spans="1:15" x14ac:dyDescent="0.2">
      <c r="A60">
        <v>57</v>
      </c>
      <c r="B60">
        <v>56</v>
      </c>
      <c r="C60" s="4" t="s">
        <v>68</v>
      </c>
      <c r="D60">
        <v>446000</v>
      </c>
      <c r="F60">
        <v>3400</v>
      </c>
      <c r="G60">
        <v>2155</v>
      </c>
      <c r="H60">
        <v>120</v>
      </c>
      <c r="I60">
        <v>4700</v>
      </c>
      <c r="M60">
        <v>2013</v>
      </c>
      <c r="N60" s="8" t="s">
        <v>253</v>
      </c>
      <c r="O60" t="s">
        <v>217</v>
      </c>
    </row>
    <row r="61" spans="1:15" ht="27" x14ac:dyDescent="0.2">
      <c r="A61">
        <v>58</v>
      </c>
      <c r="B61">
        <v>21</v>
      </c>
      <c r="C61" s="4" t="s">
        <v>69</v>
      </c>
      <c r="D61">
        <v>444737</v>
      </c>
      <c r="M61">
        <v>2013</v>
      </c>
      <c r="N61" t="s">
        <v>224</v>
      </c>
    </row>
    <row r="62" spans="1:15" x14ac:dyDescent="0.2">
      <c r="A62">
        <v>59</v>
      </c>
      <c r="B62">
        <v>57</v>
      </c>
      <c r="C62" s="4" t="s">
        <v>70</v>
      </c>
      <c r="D62">
        <v>433018</v>
      </c>
      <c r="F62">
        <v>2500</v>
      </c>
      <c r="G62">
        <v>2390</v>
      </c>
      <c r="H62">
        <v>0</v>
      </c>
      <c r="I62">
        <v>5000</v>
      </c>
      <c r="M62">
        <v>2013</v>
      </c>
      <c r="N62" t="s">
        <v>252</v>
      </c>
    </row>
    <row r="63" spans="1:15" x14ac:dyDescent="0.2">
      <c r="A63">
        <v>60</v>
      </c>
      <c r="B63">
        <v>64</v>
      </c>
      <c r="C63" s="4" t="s">
        <v>71</v>
      </c>
      <c r="D63">
        <v>429324</v>
      </c>
      <c r="F63">
        <v>1900</v>
      </c>
      <c r="G63">
        <v>336</v>
      </c>
      <c r="H63">
        <v>205</v>
      </c>
      <c r="I63">
        <v>558</v>
      </c>
      <c r="K63">
        <v>1400</v>
      </c>
      <c r="M63">
        <v>2013</v>
      </c>
      <c r="N63" t="s">
        <v>274</v>
      </c>
    </row>
    <row r="64" spans="1:15" x14ac:dyDescent="0.2">
      <c r="A64">
        <v>61</v>
      </c>
      <c r="B64">
        <v>62</v>
      </c>
      <c r="C64" s="4" t="s">
        <v>72</v>
      </c>
      <c r="D64">
        <v>426000</v>
      </c>
      <c r="F64">
        <v>2500</v>
      </c>
      <c r="G64">
        <v>1925</v>
      </c>
      <c r="H64">
        <v>0</v>
      </c>
      <c r="I64">
        <v>6700</v>
      </c>
      <c r="M64">
        <v>2013</v>
      </c>
      <c r="N64" t="s">
        <v>267</v>
      </c>
    </row>
    <row r="65" spans="1:15" x14ac:dyDescent="0.2">
      <c r="A65">
        <v>62</v>
      </c>
      <c r="C65" s="4" t="s">
        <v>73</v>
      </c>
      <c r="D65">
        <v>420168</v>
      </c>
      <c r="F65">
        <v>3300</v>
      </c>
      <c r="G65">
        <v>1100</v>
      </c>
      <c r="H65">
        <v>0</v>
      </c>
      <c r="I65">
        <v>2142</v>
      </c>
      <c r="K65">
        <v>440</v>
      </c>
      <c r="M65">
        <v>2013</v>
      </c>
      <c r="N65" t="s">
        <v>306</v>
      </c>
    </row>
    <row r="66" spans="1:15" x14ac:dyDescent="0.2">
      <c r="A66">
        <v>63</v>
      </c>
      <c r="B66">
        <v>65</v>
      </c>
      <c r="C66" s="4" t="s">
        <v>74</v>
      </c>
      <c r="D66">
        <v>391156</v>
      </c>
      <c r="F66">
        <v>2395</v>
      </c>
      <c r="G66">
        <v>1310</v>
      </c>
      <c r="H66">
        <v>15</v>
      </c>
      <c r="I66">
        <v>3454</v>
      </c>
      <c r="K66">
        <v>124</v>
      </c>
      <c r="L66">
        <v>51</v>
      </c>
      <c r="M66">
        <v>2013</v>
      </c>
      <c r="N66" t="s">
        <v>307</v>
      </c>
    </row>
    <row r="67" spans="1:15" x14ac:dyDescent="0.2">
      <c r="A67">
        <v>64</v>
      </c>
      <c r="B67">
        <v>68</v>
      </c>
      <c r="C67" s="4" t="s">
        <v>75</v>
      </c>
      <c r="D67">
        <v>388200</v>
      </c>
      <c r="F67">
        <v>2713</v>
      </c>
      <c r="G67">
        <v>10041</v>
      </c>
      <c r="H67">
        <v>449</v>
      </c>
      <c r="I67">
        <v>3015</v>
      </c>
      <c r="M67">
        <v>2013</v>
      </c>
      <c r="N67" t="s">
        <v>275</v>
      </c>
    </row>
    <row r="68" spans="1:15" ht="40" x14ac:dyDescent="0.2">
      <c r="A68">
        <v>65</v>
      </c>
      <c r="B68">
        <v>67</v>
      </c>
      <c r="C68" s="4" t="s">
        <v>76</v>
      </c>
      <c r="D68">
        <v>380633</v>
      </c>
      <c r="E68">
        <v>2179</v>
      </c>
      <c r="F68">
        <v>3031</v>
      </c>
      <c r="G68">
        <v>1800</v>
      </c>
      <c r="H68">
        <v>0</v>
      </c>
      <c r="I68">
        <v>4943</v>
      </c>
      <c r="M68">
        <v>2013</v>
      </c>
      <c r="N68" t="s">
        <v>265</v>
      </c>
    </row>
    <row r="69" spans="1:15" ht="27" x14ac:dyDescent="0.2">
      <c r="A69">
        <v>66</v>
      </c>
      <c r="B69">
        <v>61</v>
      </c>
      <c r="C69" s="4" t="s">
        <v>77</v>
      </c>
      <c r="D69">
        <v>377715</v>
      </c>
      <c r="E69">
        <v>-15056</v>
      </c>
      <c r="F69">
        <v>2183</v>
      </c>
      <c r="G69">
        <v>1807</v>
      </c>
      <c r="H69">
        <v>0</v>
      </c>
      <c r="I69">
        <v>3252</v>
      </c>
      <c r="M69">
        <v>2013</v>
      </c>
      <c r="N69" t="s">
        <v>259</v>
      </c>
    </row>
    <row r="70" spans="1:15" ht="27" x14ac:dyDescent="0.2">
      <c r="A70">
        <v>67</v>
      </c>
      <c r="B70">
        <v>72</v>
      </c>
      <c r="C70" s="4" t="s">
        <v>78</v>
      </c>
      <c r="D70">
        <v>376800</v>
      </c>
      <c r="F70">
        <v>1700</v>
      </c>
      <c r="G70">
        <v>1235</v>
      </c>
      <c r="H70">
        <v>0</v>
      </c>
      <c r="I70">
        <v>4600</v>
      </c>
      <c r="M70">
        <v>2013</v>
      </c>
      <c r="N70" t="s">
        <v>277</v>
      </c>
    </row>
    <row r="71" spans="1:15" x14ac:dyDescent="0.2">
      <c r="A71">
        <v>68</v>
      </c>
      <c r="B71">
        <v>71</v>
      </c>
      <c r="C71" s="4" t="s">
        <v>79</v>
      </c>
      <c r="D71">
        <v>374620</v>
      </c>
      <c r="F71">
        <v>2506</v>
      </c>
      <c r="G71">
        <v>1980</v>
      </c>
      <c r="H71">
        <v>5</v>
      </c>
      <c r="I71">
        <v>5004</v>
      </c>
      <c r="M71">
        <v>2013</v>
      </c>
      <c r="N71" t="s">
        <v>280</v>
      </c>
    </row>
    <row r="72" spans="1:15" x14ac:dyDescent="0.2">
      <c r="A72">
        <v>69</v>
      </c>
      <c r="B72">
        <v>79</v>
      </c>
      <c r="C72" s="4" t="s">
        <v>80</v>
      </c>
      <c r="D72">
        <v>373827</v>
      </c>
      <c r="F72">
        <v>658</v>
      </c>
      <c r="G72">
        <v>2541</v>
      </c>
      <c r="H72">
        <v>0</v>
      </c>
      <c r="I72">
        <v>450</v>
      </c>
      <c r="L72">
        <v>82</v>
      </c>
      <c r="M72">
        <v>2013</v>
      </c>
      <c r="N72" t="s">
        <v>308</v>
      </c>
    </row>
    <row r="73" spans="1:15" x14ac:dyDescent="0.2">
      <c r="A73">
        <v>70</v>
      </c>
      <c r="B73">
        <v>59</v>
      </c>
      <c r="C73" s="4" t="s">
        <v>81</v>
      </c>
      <c r="D73">
        <v>3737239</v>
      </c>
      <c r="F73">
        <v>3004</v>
      </c>
      <c r="G73">
        <v>2305</v>
      </c>
      <c r="H73">
        <v>0</v>
      </c>
      <c r="I73">
        <v>4784</v>
      </c>
      <c r="M73">
        <v>2013</v>
      </c>
      <c r="N73" s="8" t="s">
        <v>256</v>
      </c>
      <c r="O73" t="s">
        <v>217</v>
      </c>
    </row>
    <row r="74" spans="1:15" x14ac:dyDescent="0.2">
      <c r="A74">
        <v>71</v>
      </c>
      <c r="B74">
        <v>74</v>
      </c>
      <c r="C74" s="4" t="s">
        <v>82</v>
      </c>
      <c r="D74">
        <v>372739</v>
      </c>
      <c r="F74">
        <v>3150</v>
      </c>
      <c r="G74">
        <v>1322</v>
      </c>
      <c r="H74">
        <v>386</v>
      </c>
      <c r="I74">
        <v>0</v>
      </c>
      <c r="M74">
        <v>2013</v>
      </c>
      <c r="N74" t="s">
        <v>309</v>
      </c>
    </row>
    <row r="75" spans="1:15" x14ac:dyDescent="0.2">
      <c r="A75">
        <v>72</v>
      </c>
      <c r="B75">
        <v>60</v>
      </c>
      <c r="C75" s="4" t="s">
        <v>83</v>
      </c>
      <c r="D75">
        <v>363546</v>
      </c>
      <c r="F75">
        <v>2270</v>
      </c>
      <c r="G75">
        <v>1680</v>
      </c>
      <c r="H75">
        <v>30</v>
      </c>
      <c r="I75">
        <v>4570</v>
      </c>
      <c r="L75">
        <v>125</v>
      </c>
      <c r="M75">
        <v>2013</v>
      </c>
      <c r="N75" t="s">
        <v>288</v>
      </c>
    </row>
    <row r="76" spans="1:15" x14ac:dyDescent="0.2">
      <c r="A76">
        <v>73</v>
      </c>
      <c r="B76">
        <v>76</v>
      </c>
      <c r="C76" s="4" t="s">
        <v>84</v>
      </c>
      <c r="D76">
        <v>363400</v>
      </c>
      <c r="F76">
        <v>2906</v>
      </c>
      <c r="G76">
        <v>1167</v>
      </c>
      <c r="H76">
        <v>39</v>
      </c>
      <c r="I76">
        <v>2750</v>
      </c>
      <c r="M76">
        <v>2013</v>
      </c>
      <c r="N76" t="s">
        <v>284</v>
      </c>
    </row>
    <row r="77" spans="1:15" ht="27" x14ac:dyDescent="0.2">
      <c r="A77">
        <v>74</v>
      </c>
      <c r="B77">
        <v>69</v>
      </c>
      <c r="C77" s="4" t="s">
        <v>85</v>
      </c>
      <c r="D77">
        <v>363000</v>
      </c>
      <c r="G77">
        <v>1685</v>
      </c>
      <c r="H77">
        <v>0</v>
      </c>
      <c r="I77">
        <v>2213</v>
      </c>
      <c r="M77">
        <v>2013</v>
      </c>
      <c r="N77" t="s">
        <v>272</v>
      </c>
    </row>
    <row r="78" spans="1:15" x14ac:dyDescent="0.2">
      <c r="A78">
        <v>75</v>
      </c>
      <c r="B78">
        <v>75</v>
      </c>
      <c r="C78" s="4" t="s">
        <v>86</v>
      </c>
      <c r="D78">
        <v>341856</v>
      </c>
      <c r="E78">
        <v>4462</v>
      </c>
      <c r="F78">
        <v>2377</v>
      </c>
      <c r="G78">
        <v>618</v>
      </c>
      <c r="H78">
        <v>340</v>
      </c>
      <c r="I78">
        <v>972</v>
      </c>
      <c r="M78">
        <v>2013</v>
      </c>
      <c r="N78" s="8" t="s">
        <v>271</v>
      </c>
      <c r="O78" t="s">
        <v>217</v>
      </c>
    </row>
    <row r="79" spans="1:15" x14ac:dyDescent="0.2">
      <c r="A79">
        <v>76</v>
      </c>
      <c r="B79">
        <v>73</v>
      </c>
      <c r="C79" s="4" t="s">
        <v>87</v>
      </c>
      <c r="D79">
        <v>340351</v>
      </c>
      <c r="F79">
        <v>2300</v>
      </c>
      <c r="G79">
        <v>1505</v>
      </c>
      <c r="H79">
        <v>0</v>
      </c>
      <c r="I79">
        <v>3613</v>
      </c>
      <c r="L79">
        <v>300</v>
      </c>
      <c r="M79">
        <v>2013</v>
      </c>
      <c r="N79" t="s">
        <v>266</v>
      </c>
    </row>
    <row r="80" spans="1:15" ht="27" x14ac:dyDescent="0.2">
      <c r="A80">
        <v>77</v>
      </c>
      <c r="B80">
        <v>66</v>
      </c>
      <c r="C80" s="4" t="s">
        <v>88</v>
      </c>
      <c r="D80">
        <v>338500</v>
      </c>
      <c r="F80">
        <v>1800</v>
      </c>
      <c r="G80">
        <v>1605</v>
      </c>
      <c r="H80">
        <v>0</v>
      </c>
      <c r="I80">
        <v>5450</v>
      </c>
      <c r="M80">
        <v>2013</v>
      </c>
      <c r="N80" t="s">
        <v>247</v>
      </c>
    </row>
    <row r="81" spans="1:15" ht="27" x14ac:dyDescent="0.2">
      <c r="A81">
        <v>78</v>
      </c>
      <c r="B81">
        <v>77</v>
      </c>
      <c r="C81" s="4" t="s">
        <v>89</v>
      </c>
      <c r="D81">
        <v>325000</v>
      </c>
      <c r="F81">
        <v>1100</v>
      </c>
      <c r="G81">
        <v>1100</v>
      </c>
      <c r="H81">
        <v>0</v>
      </c>
      <c r="I81">
        <v>900</v>
      </c>
      <c r="M81">
        <v>2013</v>
      </c>
      <c r="N81" t="s">
        <v>291</v>
      </c>
    </row>
    <row r="82" spans="1:15" x14ac:dyDescent="0.2">
      <c r="A82">
        <v>79</v>
      </c>
      <c r="B82">
        <v>78</v>
      </c>
      <c r="C82" s="4" t="s">
        <v>90</v>
      </c>
      <c r="D82">
        <v>321000</v>
      </c>
      <c r="F82">
        <v>669</v>
      </c>
      <c r="G82">
        <v>1347</v>
      </c>
      <c r="H82">
        <v>0</v>
      </c>
      <c r="I82">
        <v>2100</v>
      </c>
      <c r="M82">
        <v>2013</v>
      </c>
      <c r="N82" t="s">
        <v>270</v>
      </c>
    </row>
    <row r="83" spans="1:15" x14ac:dyDescent="0.2">
      <c r="A83">
        <v>80</v>
      </c>
      <c r="B83">
        <v>80</v>
      </c>
      <c r="C83" s="4" t="s">
        <v>91</v>
      </c>
      <c r="D83">
        <v>315325</v>
      </c>
      <c r="F83">
        <v>1362</v>
      </c>
      <c r="G83">
        <v>1455</v>
      </c>
      <c r="H83">
        <v>0</v>
      </c>
      <c r="I83">
        <v>3724</v>
      </c>
      <c r="M83">
        <v>2013</v>
      </c>
      <c r="N83" t="s">
        <v>290</v>
      </c>
    </row>
    <row r="84" spans="1:15" ht="27" x14ac:dyDescent="0.2">
      <c r="A84">
        <v>81</v>
      </c>
      <c r="C84" s="4" t="s">
        <v>92</v>
      </c>
      <c r="D84">
        <v>311000</v>
      </c>
      <c r="G84">
        <v>1000</v>
      </c>
      <c r="H84">
        <v>0</v>
      </c>
      <c r="I84">
        <v>0</v>
      </c>
      <c r="K84">
        <v>125</v>
      </c>
      <c r="L84">
        <v>125</v>
      </c>
      <c r="M84">
        <v>2013</v>
      </c>
      <c r="N84" s="10" t="s">
        <v>310</v>
      </c>
    </row>
    <row r="85" spans="1:15" x14ac:dyDescent="0.2">
      <c r="A85">
        <v>82</v>
      </c>
      <c r="B85">
        <v>81</v>
      </c>
      <c r="C85" s="4" t="s">
        <v>93</v>
      </c>
      <c r="D85">
        <v>302593</v>
      </c>
      <c r="E85">
        <v>18404</v>
      </c>
      <c r="F85">
        <v>1424</v>
      </c>
      <c r="G85">
        <v>1116</v>
      </c>
      <c r="H85">
        <v>27</v>
      </c>
      <c r="I85">
        <v>4422</v>
      </c>
      <c r="M85">
        <v>2013</v>
      </c>
      <c r="N85" s="10" t="s">
        <v>283</v>
      </c>
    </row>
    <row r="86" spans="1:15" x14ac:dyDescent="0.2">
      <c r="A86">
        <v>83</v>
      </c>
      <c r="B86">
        <v>87</v>
      </c>
      <c r="C86" s="4" t="s">
        <v>94</v>
      </c>
      <c r="D86">
        <v>286911</v>
      </c>
      <c r="E86">
        <v>4846</v>
      </c>
      <c r="F86">
        <v>1656</v>
      </c>
      <c r="G86">
        <v>0</v>
      </c>
      <c r="H86">
        <v>0</v>
      </c>
      <c r="I86">
        <v>250</v>
      </c>
      <c r="M86">
        <v>2013</v>
      </c>
      <c r="N86" t="s">
        <v>311</v>
      </c>
    </row>
    <row r="87" spans="1:15" x14ac:dyDescent="0.2">
      <c r="A87">
        <v>84</v>
      </c>
      <c r="B87">
        <v>88</v>
      </c>
      <c r="C87" s="4" t="s">
        <v>95</v>
      </c>
      <c r="D87">
        <v>286851</v>
      </c>
      <c r="F87">
        <v>1782</v>
      </c>
      <c r="G87">
        <v>1432</v>
      </c>
      <c r="H87">
        <v>0</v>
      </c>
      <c r="I87">
        <v>1665</v>
      </c>
      <c r="M87">
        <v>2013</v>
      </c>
      <c r="N87" t="s">
        <v>293</v>
      </c>
    </row>
    <row r="88" spans="1:15" x14ac:dyDescent="0.2">
      <c r="A88">
        <v>85</v>
      </c>
      <c r="B88">
        <v>82</v>
      </c>
      <c r="C88" s="4" t="s">
        <v>96</v>
      </c>
      <c r="D88">
        <v>286000</v>
      </c>
      <c r="F88">
        <v>2149</v>
      </c>
      <c r="G88">
        <v>740</v>
      </c>
      <c r="H88">
        <v>23</v>
      </c>
      <c r="I88">
        <v>2050</v>
      </c>
      <c r="M88">
        <v>2013</v>
      </c>
      <c r="N88" t="s">
        <v>287</v>
      </c>
    </row>
    <row r="89" spans="1:15" ht="33" customHeight="1" x14ac:dyDescent="0.2">
      <c r="A89">
        <v>86</v>
      </c>
      <c r="B89">
        <v>89</v>
      </c>
      <c r="C89" s="4" t="s">
        <v>97</v>
      </c>
      <c r="D89">
        <v>283775</v>
      </c>
      <c r="F89">
        <v>1280</v>
      </c>
      <c r="G89">
        <v>615</v>
      </c>
      <c r="I89">
        <v>615</v>
      </c>
      <c r="M89">
        <v>2013</v>
      </c>
      <c r="N89" t="s">
        <v>312</v>
      </c>
    </row>
    <row r="90" spans="1:15" ht="27" x14ac:dyDescent="0.2">
      <c r="A90">
        <v>87</v>
      </c>
      <c r="B90">
        <v>83</v>
      </c>
      <c r="C90" s="4" t="s">
        <v>98</v>
      </c>
      <c r="D90">
        <v>275000</v>
      </c>
      <c r="F90">
        <v>260</v>
      </c>
      <c r="G90">
        <v>1850</v>
      </c>
      <c r="H90">
        <v>0</v>
      </c>
      <c r="I90">
        <v>525</v>
      </c>
      <c r="M90">
        <v>2013</v>
      </c>
      <c r="N90" t="s">
        <v>298</v>
      </c>
    </row>
    <row r="91" spans="1:15" ht="27" x14ac:dyDescent="0.2">
      <c r="A91">
        <v>88</v>
      </c>
      <c r="B91">
        <v>85</v>
      </c>
      <c r="C91" s="4" t="s">
        <v>99</v>
      </c>
      <c r="D91">
        <v>266349</v>
      </c>
      <c r="F91">
        <v>643</v>
      </c>
      <c r="G91">
        <v>680</v>
      </c>
      <c r="H91">
        <v>560</v>
      </c>
      <c r="I91">
        <v>1152</v>
      </c>
      <c r="M91">
        <v>2013</v>
      </c>
      <c r="N91" t="s">
        <v>286</v>
      </c>
    </row>
    <row r="92" spans="1:15" ht="27" x14ac:dyDescent="0.2">
      <c r="A92">
        <v>89</v>
      </c>
      <c r="C92" s="4" t="s">
        <v>100</v>
      </c>
      <c r="D92">
        <v>264774</v>
      </c>
      <c r="E92">
        <v>13328</v>
      </c>
      <c r="F92">
        <v>967</v>
      </c>
      <c r="G92">
        <v>817</v>
      </c>
      <c r="H92">
        <v>0</v>
      </c>
      <c r="I92">
        <v>1098</v>
      </c>
      <c r="M92">
        <v>2013</v>
      </c>
      <c r="N92" t="s">
        <v>313</v>
      </c>
    </row>
    <row r="93" spans="1:15" ht="26.25" customHeight="1" x14ac:dyDescent="0.2">
      <c r="A93">
        <v>90</v>
      </c>
      <c r="C93" s="4" t="s">
        <v>103</v>
      </c>
      <c r="D93">
        <v>263079</v>
      </c>
      <c r="F93">
        <v>1600</v>
      </c>
      <c r="G93">
        <v>636</v>
      </c>
      <c r="H93">
        <v>24</v>
      </c>
      <c r="I93">
        <v>1668</v>
      </c>
      <c r="L93">
        <v>366</v>
      </c>
      <c r="M93">
        <v>2013</v>
      </c>
      <c r="N93" s="8" t="s">
        <v>297</v>
      </c>
      <c r="O93" t="s">
        <v>217</v>
      </c>
    </row>
    <row r="94" spans="1:15" x14ac:dyDescent="0.2">
      <c r="A94">
        <v>91</v>
      </c>
      <c r="B94">
        <v>90</v>
      </c>
      <c r="C94" s="4" t="s">
        <v>104</v>
      </c>
      <c r="D94">
        <v>262000</v>
      </c>
      <c r="E94">
        <v>7500</v>
      </c>
      <c r="F94">
        <v>925</v>
      </c>
      <c r="G94">
        <v>725</v>
      </c>
      <c r="H94">
        <v>0</v>
      </c>
      <c r="I94">
        <v>2100</v>
      </c>
      <c r="M94">
        <v>2013</v>
      </c>
      <c r="N94" t="s">
        <v>281</v>
      </c>
    </row>
    <row r="95" spans="1:15" x14ac:dyDescent="0.2">
      <c r="A95">
        <v>92</v>
      </c>
      <c r="B95">
        <v>86</v>
      </c>
      <c r="C95" s="4" t="s">
        <v>105</v>
      </c>
      <c r="D95">
        <v>258825</v>
      </c>
      <c r="G95">
        <v>1150</v>
      </c>
      <c r="H95">
        <v>0</v>
      </c>
      <c r="I95">
        <v>0</v>
      </c>
      <c r="M95">
        <v>2013</v>
      </c>
      <c r="N95" t="s">
        <v>314</v>
      </c>
    </row>
    <row r="96" spans="1:15" x14ac:dyDescent="0.2">
      <c r="A96">
        <v>93</v>
      </c>
      <c r="B96">
        <v>84</v>
      </c>
      <c r="C96" s="4" t="s">
        <v>106</v>
      </c>
      <c r="D96">
        <v>250000</v>
      </c>
      <c r="F96">
        <v>150</v>
      </c>
      <c r="G96">
        <v>661</v>
      </c>
      <c r="H96">
        <v>496</v>
      </c>
      <c r="I96">
        <v>779</v>
      </c>
      <c r="M96">
        <v>2013</v>
      </c>
      <c r="N96" t="s">
        <v>315</v>
      </c>
    </row>
    <row r="97" spans="1:15" ht="27" x14ac:dyDescent="0.2">
      <c r="A97">
        <v>94</v>
      </c>
      <c r="B97">
        <v>92</v>
      </c>
      <c r="C97" s="4" t="s">
        <v>107</v>
      </c>
      <c r="D97">
        <v>247031</v>
      </c>
      <c r="F97">
        <v>1087</v>
      </c>
      <c r="G97">
        <v>809</v>
      </c>
      <c r="H97">
        <v>0</v>
      </c>
      <c r="I97">
        <v>900</v>
      </c>
      <c r="M97">
        <v>2013</v>
      </c>
      <c r="N97" t="s">
        <v>316</v>
      </c>
    </row>
    <row r="98" spans="1:15" x14ac:dyDescent="0.2">
      <c r="A98">
        <v>95</v>
      </c>
      <c r="B98">
        <v>98</v>
      </c>
      <c r="C98" s="4" t="s">
        <v>108</v>
      </c>
      <c r="D98">
        <v>235000</v>
      </c>
      <c r="F98">
        <v>1100</v>
      </c>
      <c r="G98">
        <v>825</v>
      </c>
      <c r="H98">
        <v>0</v>
      </c>
      <c r="I98">
        <v>0</v>
      </c>
      <c r="K98">
        <v>750</v>
      </c>
      <c r="L98">
        <v>100</v>
      </c>
      <c r="M98">
        <v>2013</v>
      </c>
      <c r="N98" t="s">
        <v>296</v>
      </c>
    </row>
    <row r="99" spans="1:15" ht="27" x14ac:dyDescent="0.2">
      <c r="A99">
        <v>96</v>
      </c>
      <c r="B99">
        <v>93</v>
      </c>
      <c r="C99" s="4" t="s">
        <v>109</v>
      </c>
      <c r="D99">
        <v>234700</v>
      </c>
      <c r="F99">
        <v>1359</v>
      </c>
      <c r="G99">
        <v>1078</v>
      </c>
      <c r="H99">
        <v>0</v>
      </c>
      <c r="I99">
        <v>1967</v>
      </c>
      <c r="M99">
        <v>2013</v>
      </c>
      <c r="N99" t="s">
        <v>295</v>
      </c>
    </row>
    <row r="100" spans="1:15" ht="27" x14ac:dyDescent="0.2">
      <c r="A100">
        <v>97</v>
      </c>
      <c r="B100">
        <v>95</v>
      </c>
      <c r="C100" s="4" t="s">
        <v>110</v>
      </c>
      <c r="D100">
        <v>228855</v>
      </c>
      <c r="F100">
        <v>1382</v>
      </c>
      <c r="G100">
        <v>1048</v>
      </c>
      <c r="H100">
        <v>0</v>
      </c>
      <c r="I100">
        <v>1723</v>
      </c>
      <c r="M100">
        <v>2013</v>
      </c>
      <c r="N100" s="8" t="s">
        <v>302</v>
      </c>
      <c r="O100" t="s">
        <v>217</v>
      </c>
    </row>
    <row r="101" spans="1:15" x14ac:dyDescent="0.2">
      <c r="A101">
        <v>98</v>
      </c>
      <c r="B101">
        <v>94</v>
      </c>
      <c r="C101" s="4" t="s">
        <v>111</v>
      </c>
      <c r="D101">
        <v>220696</v>
      </c>
      <c r="F101">
        <v>1559</v>
      </c>
      <c r="G101">
        <v>1139</v>
      </c>
      <c r="H101">
        <v>0</v>
      </c>
      <c r="I101">
        <v>2599</v>
      </c>
      <c r="M101">
        <v>2013</v>
      </c>
      <c r="N101" t="s">
        <v>301</v>
      </c>
    </row>
    <row r="102" spans="1:15" ht="27" x14ac:dyDescent="0.2">
      <c r="A102">
        <v>99</v>
      </c>
      <c r="C102" s="4" t="s">
        <v>112</v>
      </c>
      <c r="D102">
        <v>218012</v>
      </c>
      <c r="F102">
        <v>1031</v>
      </c>
      <c r="G102">
        <v>1009</v>
      </c>
      <c r="H102">
        <v>14</v>
      </c>
      <c r="I102">
        <v>4750</v>
      </c>
      <c r="M102">
        <v>2013</v>
      </c>
      <c r="N102" t="s">
        <v>317</v>
      </c>
    </row>
    <row r="103" spans="1:15" ht="27" x14ac:dyDescent="0.2">
      <c r="A103">
        <v>100</v>
      </c>
      <c r="C103" s="4" t="s">
        <v>113</v>
      </c>
      <c r="D103">
        <v>217338</v>
      </c>
      <c r="F103">
        <v>1042</v>
      </c>
      <c r="G103">
        <v>1050</v>
      </c>
      <c r="H103">
        <v>0</v>
      </c>
      <c r="I103">
        <v>1670</v>
      </c>
      <c r="M103">
        <v>2013</v>
      </c>
      <c r="N103" s="8" t="s">
        <v>318</v>
      </c>
      <c r="O103" t="s">
        <v>217</v>
      </c>
    </row>
    <row r="107" spans="1:15" x14ac:dyDescent="0.2">
      <c r="A107" t="s">
        <v>101</v>
      </c>
      <c r="B107" t="s">
        <v>102</v>
      </c>
    </row>
  </sheetData>
  <mergeCells count="3">
    <mergeCell ref="C1:C2"/>
    <mergeCell ref="G1:G2"/>
    <mergeCell ref="I1:I2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3"/>
  <sheetViews>
    <sheetView workbookViewId="0">
      <pane ySplit="3" topLeftCell="A87" activePane="bottomLeft" state="frozenSplit"/>
      <selection pane="bottomLeft" activeCell="D4" sqref="D4:N103"/>
    </sheetView>
  </sheetViews>
  <sheetFormatPr baseColWidth="10" defaultColWidth="8.6640625" defaultRowHeight="15" x14ac:dyDescent="0.2"/>
  <cols>
    <col min="3" max="3" width="12.5" customWidth="1"/>
    <col min="11" max="11" width="11" customWidth="1"/>
    <col min="13" max="13" width="10.6640625" customWidth="1"/>
    <col min="14" max="14" width="10.6640625" style="8" customWidth="1"/>
  </cols>
  <sheetData>
    <row r="1" spans="1:17" ht="28" x14ac:dyDescent="0.2">
      <c r="A1" s="2" t="s">
        <v>0</v>
      </c>
      <c r="B1" s="2" t="s">
        <v>0</v>
      </c>
      <c r="C1" s="43" t="s">
        <v>1</v>
      </c>
      <c r="D1" s="2" t="s">
        <v>2</v>
      </c>
      <c r="E1" s="2" t="s">
        <v>6</v>
      </c>
      <c r="F1" s="2" t="s">
        <v>7</v>
      </c>
      <c r="G1" s="43" t="s">
        <v>3</v>
      </c>
      <c r="H1" s="1" t="s">
        <v>4</v>
      </c>
      <c r="I1" s="43" t="s">
        <v>5</v>
      </c>
      <c r="J1" t="s">
        <v>14</v>
      </c>
      <c r="K1" t="s">
        <v>15</v>
      </c>
      <c r="L1" t="s">
        <v>16</v>
      </c>
      <c r="N1" s="8" t="s">
        <v>202</v>
      </c>
    </row>
    <row r="2" spans="1:17" ht="29" thickBot="1" x14ac:dyDescent="0.25">
      <c r="A2" s="3">
        <v>2011</v>
      </c>
      <c r="B2" s="3">
        <v>2010</v>
      </c>
      <c r="C2" s="44"/>
      <c r="D2" s="3" t="s">
        <v>13</v>
      </c>
      <c r="E2" s="3"/>
      <c r="F2" s="3"/>
      <c r="G2" s="44"/>
      <c r="H2" s="1"/>
      <c r="I2" s="44"/>
    </row>
    <row r="3" spans="1:17" ht="30" x14ac:dyDescent="0.2">
      <c r="A3" s="2" t="s">
        <v>0</v>
      </c>
      <c r="B3" s="11"/>
      <c r="C3" s="6" t="s">
        <v>330</v>
      </c>
      <c r="D3" s="6" t="s">
        <v>2</v>
      </c>
      <c r="E3" s="6" t="s">
        <v>325</v>
      </c>
      <c r="F3" s="6" t="s">
        <v>326</v>
      </c>
      <c r="G3" s="6" t="s">
        <v>327</v>
      </c>
      <c r="H3" s="6" t="s">
        <v>328</v>
      </c>
      <c r="I3" s="6" t="s">
        <v>329</v>
      </c>
      <c r="J3" s="6" t="s">
        <v>331</v>
      </c>
      <c r="K3" s="6" t="s">
        <v>332</v>
      </c>
      <c r="L3" s="6" t="s">
        <v>333</v>
      </c>
      <c r="M3" s="6" t="s">
        <v>334</v>
      </c>
      <c r="N3" s="12" t="s">
        <v>202</v>
      </c>
      <c r="Q3" s="6"/>
    </row>
    <row r="4" spans="1:17" ht="16.5" customHeight="1" x14ac:dyDescent="0.2">
      <c r="A4">
        <v>1</v>
      </c>
      <c r="B4">
        <v>1</v>
      </c>
      <c r="C4" s="4" t="s">
        <v>8</v>
      </c>
      <c r="D4">
        <v>53105000</v>
      </c>
      <c r="E4">
        <v>3804000</v>
      </c>
      <c r="F4">
        <v>398300</v>
      </c>
      <c r="G4">
        <f>101121*12268/(12268+66425)</f>
        <v>15764.457168998513</v>
      </c>
      <c r="H4">
        <f>101121*66425/(12268+66425)</f>
        <v>85356.542831001483</v>
      </c>
      <c r="I4">
        <v>78974</v>
      </c>
      <c r="J4">
        <v>230</v>
      </c>
      <c r="M4">
        <v>2012</v>
      </c>
      <c r="N4" t="s">
        <v>203</v>
      </c>
    </row>
    <row r="5" spans="1:17" x14ac:dyDescent="0.2">
      <c r="A5">
        <v>2</v>
      </c>
      <c r="B5">
        <v>2</v>
      </c>
      <c r="C5" s="4" t="s">
        <v>9</v>
      </c>
      <c r="D5">
        <v>42224000</v>
      </c>
      <c r="E5">
        <v>1369000</v>
      </c>
      <c r="F5">
        <v>300000</v>
      </c>
      <c r="G5">
        <v>23692</v>
      </c>
      <c r="H5">
        <v>53839</v>
      </c>
      <c r="I5">
        <v>84817</v>
      </c>
      <c r="J5">
        <v>688</v>
      </c>
      <c r="M5">
        <v>2012</v>
      </c>
      <c r="N5" t="s">
        <v>204</v>
      </c>
    </row>
    <row r="6" spans="1:17" x14ac:dyDescent="0.2">
      <c r="A6">
        <v>3</v>
      </c>
      <c r="B6">
        <v>3</v>
      </c>
      <c r="C6" s="4" t="s">
        <v>10</v>
      </c>
      <c r="D6">
        <v>5289953</v>
      </c>
      <c r="E6">
        <v>88443</v>
      </c>
      <c r="F6">
        <v>27800</v>
      </c>
      <c r="G6">
        <v>11900</v>
      </c>
      <c r="H6">
        <v>0</v>
      </c>
      <c r="I6">
        <v>34400</v>
      </c>
      <c r="M6">
        <v>2012</v>
      </c>
      <c r="N6" t="s">
        <v>208</v>
      </c>
    </row>
    <row r="7" spans="1:17" ht="27" x14ac:dyDescent="0.2">
      <c r="A7">
        <v>4</v>
      </c>
      <c r="B7">
        <v>4</v>
      </c>
      <c r="C7" s="4" t="s">
        <v>12</v>
      </c>
      <c r="D7">
        <v>4868844</v>
      </c>
      <c r="E7">
        <v>-354517</v>
      </c>
      <c r="F7">
        <v>32000</v>
      </c>
      <c r="G7">
        <v>15602</v>
      </c>
      <c r="H7">
        <v>0</v>
      </c>
      <c r="I7">
        <v>51636</v>
      </c>
      <c r="M7">
        <v>2012</v>
      </c>
      <c r="N7" t="s">
        <v>206</v>
      </c>
    </row>
    <row r="8" spans="1:17" ht="39.5" customHeight="1" x14ac:dyDescent="0.2">
      <c r="A8">
        <v>5</v>
      </c>
      <c r="B8">
        <v>5</v>
      </c>
      <c r="C8" s="4" t="s">
        <v>11</v>
      </c>
      <c r="D8">
        <v>4527000</v>
      </c>
      <c r="E8">
        <v>257006</v>
      </c>
      <c r="F8">
        <v>15631</v>
      </c>
      <c r="G8">
        <v>10287</v>
      </c>
      <c r="H8">
        <v>0</v>
      </c>
      <c r="I8">
        <v>54506</v>
      </c>
      <c r="K8">
        <v>54506</v>
      </c>
      <c r="M8">
        <v>2012</v>
      </c>
      <c r="N8" t="s">
        <v>210</v>
      </c>
    </row>
    <row r="9" spans="1:17" ht="27" x14ac:dyDescent="0.2">
      <c r="A9">
        <v>6</v>
      </c>
      <c r="B9">
        <v>6</v>
      </c>
      <c r="C9" s="4" t="s">
        <v>17</v>
      </c>
      <c r="D9">
        <v>3400000</v>
      </c>
      <c r="F9">
        <v>17400</v>
      </c>
      <c r="G9">
        <v>11700</v>
      </c>
      <c r="H9">
        <v>80</v>
      </c>
      <c r="I9">
        <v>32000</v>
      </c>
      <c r="K9">
        <v>13600</v>
      </c>
      <c r="M9">
        <v>2012</v>
      </c>
      <c r="N9" t="s">
        <v>211</v>
      </c>
    </row>
    <row r="10" spans="1:17" ht="27" x14ac:dyDescent="0.2">
      <c r="A10">
        <v>7</v>
      </c>
      <c r="B10">
        <v>7</v>
      </c>
      <c r="C10" s="4" t="s">
        <v>18</v>
      </c>
      <c r="D10">
        <v>3333908</v>
      </c>
      <c r="E10">
        <v>90550</v>
      </c>
      <c r="F10">
        <v>17400</v>
      </c>
      <c r="G10">
        <v>15902</v>
      </c>
      <c r="H10">
        <v>0</v>
      </c>
      <c r="I10">
        <v>50555</v>
      </c>
      <c r="K10">
        <v>6210</v>
      </c>
      <c r="M10">
        <v>2012</v>
      </c>
      <c r="N10" t="s">
        <v>212</v>
      </c>
    </row>
    <row r="11" spans="1:17" ht="27" x14ac:dyDescent="0.2">
      <c r="A11">
        <v>8</v>
      </c>
      <c r="B11">
        <v>10</v>
      </c>
      <c r="C11" s="4" t="s">
        <v>19</v>
      </c>
      <c r="D11">
        <v>2719907</v>
      </c>
      <c r="E11">
        <v>103336</v>
      </c>
      <c r="F11">
        <v>14680</v>
      </c>
      <c r="G11">
        <v>4906</v>
      </c>
      <c r="H11">
        <v>1294</v>
      </c>
      <c r="I11">
        <v>10684</v>
      </c>
      <c r="L11">
        <v>916</v>
      </c>
      <c r="M11">
        <v>2012</v>
      </c>
      <c r="N11" s="8" t="s">
        <v>216</v>
      </c>
      <c r="O11" t="s">
        <v>217</v>
      </c>
    </row>
    <row r="12" spans="1:17" ht="27" x14ac:dyDescent="0.2">
      <c r="A12">
        <v>9</v>
      </c>
      <c r="B12">
        <v>8</v>
      </c>
      <c r="C12" s="4" t="s">
        <v>114</v>
      </c>
      <c r="D12">
        <v>2649082</v>
      </c>
      <c r="E12">
        <v>113007</v>
      </c>
      <c r="F12">
        <v>1351</v>
      </c>
      <c r="G12">
        <v>8121</v>
      </c>
      <c r="H12">
        <v>250</v>
      </c>
      <c r="I12">
        <v>13320</v>
      </c>
      <c r="M12">
        <v>2012</v>
      </c>
      <c r="N12" t="s">
        <v>213</v>
      </c>
    </row>
    <row r="13" spans="1:17" ht="40" x14ac:dyDescent="0.2">
      <c r="A13">
        <v>10</v>
      </c>
      <c r="B13">
        <v>12</v>
      </c>
      <c r="C13" s="4" t="s">
        <v>21</v>
      </c>
      <c r="D13">
        <v>2211000</v>
      </c>
      <c r="F13">
        <v>12387</v>
      </c>
      <c r="G13">
        <v>3503</v>
      </c>
      <c r="H13">
        <v>918</v>
      </c>
      <c r="I13">
        <v>5526</v>
      </c>
      <c r="M13">
        <v>2012</v>
      </c>
      <c r="N13" s="8" t="s">
        <v>207</v>
      </c>
      <c r="O13" t="s">
        <v>324</v>
      </c>
    </row>
    <row r="14" spans="1:17" ht="27" x14ac:dyDescent="0.2">
      <c r="A14">
        <v>11</v>
      </c>
      <c r="B14">
        <v>11</v>
      </c>
      <c r="C14" s="4" t="s">
        <v>24</v>
      </c>
      <c r="D14">
        <v>2002850</v>
      </c>
      <c r="E14">
        <v>103757</v>
      </c>
      <c r="F14">
        <v>11033</v>
      </c>
      <c r="G14">
        <v>7280</v>
      </c>
      <c r="H14">
        <v>0</v>
      </c>
      <c r="I14">
        <v>23045</v>
      </c>
      <c r="M14">
        <v>2012</v>
      </c>
      <c r="N14" s="10" t="s">
        <v>215</v>
      </c>
    </row>
    <row r="15" spans="1:17" x14ac:dyDescent="0.2">
      <c r="A15">
        <v>12</v>
      </c>
      <c r="B15">
        <v>13</v>
      </c>
      <c r="C15" s="4" t="s">
        <v>25</v>
      </c>
      <c r="D15">
        <v>1957000</v>
      </c>
      <c r="F15">
        <v>2700</v>
      </c>
      <c r="G15">
        <v>2435</v>
      </c>
      <c r="H15">
        <v>1429</v>
      </c>
      <c r="I15">
        <v>4104</v>
      </c>
      <c r="M15">
        <v>2012</v>
      </c>
      <c r="N15" s="8" t="s">
        <v>214</v>
      </c>
      <c r="O15" t="s">
        <v>217</v>
      </c>
    </row>
    <row r="16" spans="1:17" ht="27" x14ac:dyDescent="0.2">
      <c r="A16">
        <v>13</v>
      </c>
      <c r="B16">
        <v>14</v>
      </c>
      <c r="C16" s="4" t="s">
        <v>23</v>
      </c>
      <c r="D16">
        <v>1907609</v>
      </c>
      <c r="E16">
        <v>6159</v>
      </c>
      <c r="F16">
        <v>10800</v>
      </c>
      <c r="G16">
        <v>3989</v>
      </c>
      <c r="H16">
        <v>67</v>
      </c>
      <c r="I16">
        <v>20209</v>
      </c>
      <c r="M16">
        <v>2012</v>
      </c>
      <c r="N16" s="8" t="s">
        <v>219</v>
      </c>
      <c r="O16" t="s">
        <v>217</v>
      </c>
    </row>
    <row r="17" spans="1:15" ht="27" x14ac:dyDescent="0.2">
      <c r="A17">
        <v>14</v>
      </c>
      <c r="B17">
        <v>18</v>
      </c>
      <c r="C17" s="4" t="s">
        <v>22</v>
      </c>
      <c r="D17">
        <v>1882541</v>
      </c>
      <c r="E17">
        <v>139470</v>
      </c>
      <c r="F17">
        <v>13696</v>
      </c>
      <c r="G17">
        <v>5830</v>
      </c>
      <c r="H17">
        <v>109</v>
      </c>
      <c r="I17">
        <v>22695</v>
      </c>
      <c r="L17">
        <v>69</v>
      </c>
      <c r="M17">
        <v>2012</v>
      </c>
      <c r="N17" t="s">
        <v>223</v>
      </c>
    </row>
    <row r="18" spans="1:15" ht="27" x14ac:dyDescent="0.2">
      <c r="A18">
        <v>15</v>
      </c>
      <c r="B18">
        <v>17</v>
      </c>
      <c r="C18" s="4" t="s">
        <v>26</v>
      </c>
      <c r="D18">
        <v>170000</v>
      </c>
      <c r="F18">
        <v>13605</v>
      </c>
      <c r="G18">
        <v>6131</v>
      </c>
      <c r="H18">
        <v>433</v>
      </c>
      <c r="I18">
        <v>22760</v>
      </c>
      <c r="M18">
        <v>2012</v>
      </c>
      <c r="N18" t="s">
        <v>221</v>
      </c>
    </row>
    <row r="19" spans="1:15" ht="27" x14ac:dyDescent="0.2">
      <c r="A19">
        <v>16</v>
      </c>
      <c r="B19">
        <v>15</v>
      </c>
      <c r="C19" s="4" t="s">
        <v>27</v>
      </c>
      <c r="D19">
        <v>1695548</v>
      </c>
      <c r="F19">
        <v>9666</v>
      </c>
      <c r="G19">
        <v>7500</v>
      </c>
      <c r="H19">
        <v>150</v>
      </c>
      <c r="I19">
        <v>21000</v>
      </c>
      <c r="M19">
        <v>2012</v>
      </c>
      <c r="N19" t="s">
        <v>220</v>
      </c>
    </row>
    <row r="20" spans="1:15" x14ac:dyDescent="0.2">
      <c r="A20">
        <v>17</v>
      </c>
      <c r="B20">
        <v>19</v>
      </c>
      <c r="C20" s="4" t="s">
        <v>28</v>
      </c>
      <c r="D20">
        <v>1633241</v>
      </c>
      <c r="F20">
        <v>12000</v>
      </c>
      <c r="G20">
        <v>432</v>
      </c>
      <c r="H20">
        <v>3342</v>
      </c>
      <c r="I20">
        <v>1150</v>
      </c>
      <c r="J20">
        <v>22</v>
      </c>
      <c r="M20">
        <v>2012</v>
      </c>
      <c r="N20" s="8" t="s">
        <v>222</v>
      </c>
      <c r="O20" t="s">
        <v>217</v>
      </c>
    </row>
    <row r="21" spans="1:15" x14ac:dyDescent="0.2">
      <c r="A21">
        <v>18</v>
      </c>
      <c r="B21">
        <v>16</v>
      </c>
      <c r="C21" s="4" t="s">
        <v>29</v>
      </c>
      <c r="D21">
        <v>1580000</v>
      </c>
      <c r="F21">
        <v>900</v>
      </c>
      <c r="G21">
        <v>5904</v>
      </c>
      <c r="H21">
        <v>4810</v>
      </c>
      <c r="I21">
        <v>10100</v>
      </c>
      <c r="K21">
        <v>8000</v>
      </c>
      <c r="M21">
        <v>2012</v>
      </c>
      <c r="N21" t="s">
        <v>218</v>
      </c>
    </row>
    <row r="22" spans="1:15" ht="27" x14ac:dyDescent="0.2">
      <c r="A22">
        <v>19</v>
      </c>
      <c r="B22">
        <v>26</v>
      </c>
      <c r="C22" s="4" t="s">
        <v>31</v>
      </c>
      <c r="D22">
        <v>1277348</v>
      </c>
      <c r="F22">
        <v>5200</v>
      </c>
      <c r="G22">
        <v>4413</v>
      </c>
      <c r="H22">
        <v>0</v>
      </c>
      <c r="I22">
        <v>7569</v>
      </c>
      <c r="M22">
        <v>2012</v>
      </c>
      <c r="N22" t="s">
        <v>235</v>
      </c>
    </row>
    <row r="23" spans="1:15" ht="27" x14ac:dyDescent="0.2">
      <c r="A23">
        <v>20</v>
      </c>
      <c r="B23">
        <v>21</v>
      </c>
      <c r="C23" s="4" t="s">
        <v>30</v>
      </c>
      <c r="D23">
        <v>1079716</v>
      </c>
      <c r="E23">
        <v>73038</v>
      </c>
      <c r="F23">
        <v>4005</v>
      </c>
      <c r="G23">
        <v>4331</v>
      </c>
      <c r="H23">
        <v>0</v>
      </c>
      <c r="I23">
        <v>6854</v>
      </c>
      <c r="K23">
        <v>301</v>
      </c>
      <c r="M23">
        <v>2012</v>
      </c>
      <c r="N23" t="s">
        <v>225</v>
      </c>
    </row>
    <row r="24" spans="1:15" ht="40" x14ac:dyDescent="0.2">
      <c r="A24">
        <v>21</v>
      </c>
      <c r="B24">
        <v>20</v>
      </c>
      <c r="C24" s="4" t="s">
        <v>69</v>
      </c>
      <c r="D24">
        <v>1045957</v>
      </c>
      <c r="F24">
        <v>3500</v>
      </c>
      <c r="G24">
        <v>4252</v>
      </c>
      <c r="H24">
        <v>0</v>
      </c>
      <c r="I24">
        <v>5355</v>
      </c>
      <c r="M24">
        <v>2012</v>
      </c>
      <c r="N24" t="s">
        <v>224</v>
      </c>
    </row>
    <row r="25" spans="1:15" x14ac:dyDescent="0.2">
      <c r="A25">
        <v>22</v>
      </c>
      <c r="B25">
        <v>23</v>
      </c>
      <c r="C25" s="4" t="s">
        <v>33</v>
      </c>
      <c r="D25">
        <v>1030224</v>
      </c>
      <c r="E25">
        <v>11373</v>
      </c>
      <c r="F25">
        <v>7900</v>
      </c>
      <c r="G25">
        <v>4125</v>
      </c>
      <c r="H25">
        <v>130</v>
      </c>
      <c r="I25">
        <v>11000</v>
      </c>
      <c r="M25">
        <v>2012</v>
      </c>
      <c r="N25" t="s">
        <v>227</v>
      </c>
    </row>
    <row r="26" spans="1:15" x14ac:dyDescent="0.2">
      <c r="A26">
        <v>23</v>
      </c>
      <c r="B26">
        <v>22</v>
      </c>
      <c r="C26" s="4" t="s">
        <v>32</v>
      </c>
      <c r="D26">
        <v>1017482</v>
      </c>
      <c r="E26">
        <v>128399</v>
      </c>
      <c r="F26">
        <v>3629</v>
      </c>
      <c r="G26">
        <v>4886</v>
      </c>
      <c r="H26">
        <v>0</v>
      </c>
      <c r="I26">
        <v>7262</v>
      </c>
      <c r="M26">
        <v>2012</v>
      </c>
      <c r="N26" t="s">
        <v>228</v>
      </c>
    </row>
    <row r="27" spans="1:15" x14ac:dyDescent="0.2">
      <c r="A27">
        <v>24</v>
      </c>
      <c r="B27">
        <v>24</v>
      </c>
      <c r="C27" s="4" t="s">
        <v>36</v>
      </c>
      <c r="D27">
        <v>1010000</v>
      </c>
      <c r="F27">
        <v>6000</v>
      </c>
      <c r="G27">
        <v>2044</v>
      </c>
      <c r="H27">
        <v>30</v>
      </c>
      <c r="I27">
        <v>6840</v>
      </c>
      <c r="K27">
        <v>70</v>
      </c>
      <c r="M27">
        <v>2012</v>
      </c>
      <c r="N27" t="s">
        <v>229</v>
      </c>
    </row>
    <row r="28" spans="1:15" ht="27" x14ac:dyDescent="0.2">
      <c r="A28">
        <v>25</v>
      </c>
      <c r="B28">
        <v>9</v>
      </c>
      <c r="C28" s="4" t="s">
        <v>41</v>
      </c>
      <c r="D28">
        <v>990000</v>
      </c>
      <c r="F28">
        <v>8000</v>
      </c>
      <c r="G28">
        <v>2180</v>
      </c>
      <c r="H28">
        <v>330</v>
      </c>
      <c r="I28">
        <v>2878</v>
      </c>
      <c r="M28">
        <v>2012</v>
      </c>
      <c r="N28" t="s">
        <v>209</v>
      </c>
    </row>
    <row r="29" spans="1:15" ht="40" x14ac:dyDescent="0.2">
      <c r="A29">
        <v>26</v>
      </c>
      <c r="B29">
        <v>29</v>
      </c>
      <c r="C29" s="4" t="s">
        <v>34</v>
      </c>
      <c r="D29">
        <v>987800</v>
      </c>
      <c r="F29">
        <v>6560</v>
      </c>
      <c r="G29">
        <v>4380</v>
      </c>
      <c r="H29">
        <v>0</v>
      </c>
      <c r="I29">
        <v>5771</v>
      </c>
      <c r="M29">
        <v>2012</v>
      </c>
      <c r="N29" t="s">
        <v>236</v>
      </c>
    </row>
    <row r="30" spans="1:15" ht="27" x14ac:dyDescent="0.2">
      <c r="A30">
        <v>27</v>
      </c>
      <c r="B30">
        <v>27</v>
      </c>
      <c r="C30" s="4" t="s">
        <v>38</v>
      </c>
      <c r="D30">
        <v>942912</v>
      </c>
      <c r="F30">
        <v>7552</v>
      </c>
      <c r="G30">
        <v>3368</v>
      </c>
      <c r="H30">
        <v>23</v>
      </c>
      <c r="I30">
        <v>11496</v>
      </c>
      <c r="M30">
        <v>2012</v>
      </c>
      <c r="N30" t="s">
        <v>232</v>
      </c>
    </row>
    <row r="31" spans="1:15" ht="27" x14ac:dyDescent="0.2">
      <c r="A31">
        <v>28</v>
      </c>
      <c r="B31">
        <v>25</v>
      </c>
      <c r="C31" s="4" t="s">
        <v>115</v>
      </c>
      <c r="D31">
        <v>942000</v>
      </c>
      <c r="F31">
        <v>5933</v>
      </c>
      <c r="G31">
        <v>5266</v>
      </c>
      <c r="H31">
        <v>0</v>
      </c>
      <c r="I31">
        <v>13330</v>
      </c>
      <c r="M31">
        <v>2012</v>
      </c>
      <c r="N31" t="s">
        <v>226</v>
      </c>
    </row>
    <row r="32" spans="1:15" x14ac:dyDescent="0.2">
      <c r="A32">
        <v>29</v>
      </c>
      <c r="B32">
        <v>28</v>
      </c>
      <c r="C32" s="4" t="s">
        <v>40</v>
      </c>
      <c r="D32">
        <v>922000</v>
      </c>
      <c r="G32">
        <v>3753</v>
      </c>
      <c r="H32">
        <v>44</v>
      </c>
      <c r="I32">
        <v>11955</v>
      </c>
      <c r="M32">
        <v>2012</v>
      </c>
      <c r="N32" t="s">
        <v>230</v>
      </c>
    </row>
    <row r="33" spans="1:15" ht="27" x14ac:dyDescent="0.2">
      <c r="A33">
        <v>30</v>
      </c>
      <c r="B33">
        <v>31</v>
      </c>
      <c r="C33" s="4" t="s">
        <v>42</v>
      </c>
      <c r="D33">
        <v>866199</v>
      </c>
      <c r="E33">
        <v>60248</v>
      </c>
      <c r="F33">
        <v>4854</v>
      </c>
      <c r="G33">
        <v>3976</v>
      </c>
      <c r="H33">
        <v>0</v>
      </c>
      <c r="I33">
        <v>8986</v>
      </c>
      <c r="L33">
        <v>66</v>
      </c>
      <c r="M33">
        <v>2012</v>
      </c>
      <c r="N33" s="8" t="s">
        <v>237</v>
      </c>
      <c r="O33" t="s">
        <v>324</v>
      </c>
    </row>
    <row r="34" spans="1:15" x14ac:dyDescent="0.2">
      <c r="A34">
        <v>31</v>
      </c>
      <c r="B34">
        <v>32</v>
      </c>
      <c r="C34" s="4" t="s">
        <v>116</v>
      </c>
      <c r="D34">
        <v>850000</v>
      </c>
      <c r="F34">
        <v>2298</v>
      </c>
      <c r="G34">
        <v>729</v>
      </c>
      <c r="H34">
        <v>113</v>
      </c>
      <c r="I34">
        <v>2931</v>
      </c>
      <c r="K34">
        <v>5704</v>
      </c>
      <c r="L34">
        <v>1643</v>
      </c>
      <c r="M34">
        <v>2012</v>
      </c>
      <c r="N34" t="s">
        <v>234</v>
      </c>
    </row>
    <row r="35" spans="1:15" ht="40" x14ac:dyDescent="0.2">
      <c r="A35">
        <v>32</v>
      </c>
      <c r="B35">
        <v>38</v>
      </c>
      <c r="C35" s="4" t="s">
        <v>117</v>
      </c>
      <c r="D35">
        <v>843627</v>
      </c>
      <c r="E35">
        <v>25871</v>
      </c>
      <c r="F35">
        <v>1848</v>
      </c>
      <c r="G35">
        <v>2320</v>
      </c>
      <c r="H35">
        <v>0</v>
      </c>
      <c r="I35">
        <v>1225</v>
      </c>
      <c r="M35">
        <v>2012</v>
      </c>
      <c r="N35" t="s">
        <v>250</v>
      </c>
    </row>
    <row r="36" spans="1:15" ht="27" x14ac:dyDescent="0.2">
      <c r="A36">
        <v>33</v>
      </c>
      <c r="B36">
        <v>30</v>
      </c>
      <c r="C36" s="4" t="s">
        <v>46</v>
      </c>
      <c r="D36">
        <v>808935</v>
      </c>
      <c r="E36">
        <v>3532</v>
      </c>
      <c r="F36">
        <v>642</v>
      </c>
      <c r="G36">
        <v>2153</v>
      </c>
      <c r="H36">
        <v>1576</v>
      </c>
      <c r="I36">
        <v>4014</v>
      </c>
      <c r="K36">
        <v>5648</v>
      </c>
      <c r="M36">
        <v>2012</v>
      </c>
      <c r="N36" t="s">
        <v>231</v>
      </c>
    </row>
    <row r="37" spans="1:15" x14ac:dyDescent="0.2">
      <c r="A37">
        <v>34</v>
      </c>
      <c r="B37">
        <v>34</v>
      </c>
      <c r="C37" s="4" t="s">
        <v>118</v>
      </c>
      <c r="D37">
        <v>805598</v>
      </c>
      <c r="E37">
        <v>-14013</v>
      </c>
      <c r="F37">
        <v>6282</v>
      </c>
      <c r="G37">
        <v>2664</v>
      </c>
      <c r="H37">
        <v>194</v>
      </c>
      <c r="I37">
        <v>7386</v>
      </c>
      <c r="K37">
        <v>517</v>
      </c>
      <c r="L37">
        <v>448</v>
      </c>
      <c r="M37">
        <v>2012</v>
      </c>
      <c r="N37" s="9" t="s">
        <v>238</v>
      </c>
    </row>
    <row r="38" spans="1:15" ht="40" x14ac:dyDescent="0.2">
      <c r="A38">
        <v>35</v>
      </c>
      <c r="B38">
        <v>37</v>
      </c>
      <c r="C38" s="4" t="s">
        <v>119</v>
      </c>
      <c r="D38">
        <v>785022</v>
      </c>
      <c r="F38">
        <v>4292</v>
      </c>
      <c r="G38">
        <v>2124</v>
      </c>
      <c r="H38">
        <v>145</v>
      </c>
      <c r="I38">
        <v>4026</v>
      </c>
      <c r="M38">
        <v>2012</v>
      </c>
      <c r="N38" t="s">
        <v>305</v>
      </c>
    </row>
    <row r="39" spans="1:15" ht="40" x14ac:dyDescent="0.2">
      <c r="A39">
        <v>36</v>
      </c>
      <c r="B39">
        <v>39</v>
      </c>
      <c r="C39" s="4" t="s">
        <v>43</v>
      </c>
      <c r="D39">
        <v>762143</v>
      </c>
      <c r="F39">
        <v>1150</v>
      </c>
      <c r="G39">
        <v>2054</v>
      </c>
      <c r="H39">
        <v>0</v>
      </c>
      <c r="I39">
        <v>5300</v>
      </c>
      <c r="M39">
        <v>2012</v>
      </c>
      <c r="N39" t="s">
        <v>241</v>
      </c>
    </row>
    <row r="40" spans="1:15" ht="53" x14ac:dyDescent="0.2">
      <c r="A40">
        <v>37</v>
      </c>
      <c r="B40">
        <v>35</v>
      </c>
      <c r="C40" s="4" t="s">
        <v>47</v>
      </c>
      <c r="D40">
        <v>750915</v>
      </c>
      <c r="F40">
        <v>5155</v>
      </c>
      <c r="G40">
        <v>3334</v>
      </c>
      <c r="H40">
        <v>45</v>
      </c>
      <c r="I40">
        <v>5667</v>
      </c>
      <c r="M40">
        <v>2012</v>
      </c>
      <c r="N40" t="s">
        <v>233</v>
      </c>
    </row>
    <row r="41" spans="1:15" ht="27" x14ac:dyDescent="0.2">
      <c r="A41">
        <v>38</v>
      </c>
      <c r="B41">
        <v>33</v>
      </c>
      <c r="C41" s="4" t="s">
        <v>45</v>
      </c>
      <c r="D41">
        <v>745951</v>
      </c>
      <c r="E41">
        <v>23431</v>
      </c>
      <c r="F41">
        <v>851</v>
      </c>
      <c r="G41">
        <v>2940</v>
      </c>
      <c r="H41">
        <v>0</v>
      </c>
      <c r="I41">
        <v>5493</v>
      </c>
      <c r="M41">
        <v>2012</v>
      </c>
      <c r="N41" t="s">
        <v>239</v>
      </c>
    </row>
    <row r="42" spans="1:15" ht="40" x14ac:dyDescent="0.2">
      <c r="A42">
        <v>39</v>
      </c>
      <c r="B42">
        <v>40</v>
      </c>
      <c r="C42" s="4" t="s">
        <v>120</v>
      </c>
      <c r="D42">
        <v>699771</v>
      </c>
      <c r="E42">
        <v>15813</v>
      </c>
      <c r="F42">
        <v>675</v>
      </c>
      <c r="G42">
        <v>3240</v>
      </c>
      <c r="H42">
        <v>0</v>
      </c>
      <c r="I42">
        <v>0</v>
      </c>
      <c r="M42">
        <v>2012</v>
      </c>
      <c r="N42" t="s">
        <v>243</v>
      </c>
    </row>
    <row r="43" spans="1:15" ht="40" x14ac:dyDescent="0.2">
      <c r="A43">
        <v>40</v>
      </c>
      <c r="B43">
        <v>36</v>
      </c>
      <c r="C43" s="4" t="s">
        <v>121</v>
      </c>
      <c r="D43">
        <v>652627</v>
      </c>
      <c r="E43">
        <v>-14267</v>
      </c>
      <c r="F43">
        <v>4807</v>
      </c>
      <c r="G43">
        <v>3194</v>
      </c>
      <c r="H43">
        <v>0</v>
      </c>
      <c r="I43">
        <v>7361</v>
      </c>
      <c r="M43">
        <v>2012</v>
      </c>
      <c r="N43" t="s">
        <v>240</v>
      </c>
    </row>
    <row r="44" spans="1:15" ht="27" x14ac:dyDescent="0.2">
      <c r="A44">
        <v>41</v>
      </c>
      <c r="B44">
        <v>43</v>
      </c>
      <c r="C44" s="4" t="s">
        <v>53</v>
      </c>
      <c r="D44">
        <v>603679</v>
      </c>
      <c r="E44">
        <v>24285</v>
      </c>
      <c r="F44">
        <v>2787</v>
      </c>
      <c r="G44">
        <v>2281</v>
      </c>
      <c r="H44">
        <v>0</v>
      </c>
      <c r="I44">
        <v>4124</v>
      </c>
      <c r="K44">
        <v>200</v>
      </c>
      <c r="M44">
        <v>2012</v>
      </c>
      <c r="N44" t="s">
        <v>242</v>
      </c>
    </row>
    <row r="45" spans="1:15" x14ac:dyDescent="0.2">
      <c r="A45">
        <v>42</v>
      </c>
      <c r="B45">
        <v>41</v>
      </c>
      <c r="C45" s="4" t="s">
        <v>122</v>
      </c>
      <c r="D45">
        <v>589000</v>
      </c>
      <c r="F45">
        <v>3725</v>
      </c>
      <c r="G45">
        <v>1879</v>
      </c>
      <c r="H45">
        <v>0</v>
      </c>
      <c r="I45">
        <v>4856</v>
      </c>
      <c r="M45">
        <v>2012</v>
      </c>
      <c r="N45" s="10" t="s">
        <v>244</v>
      </c>
    </row>
    <row r="46" spans="1:15" ht="27" x14ac:dyDescent="0.2">
      <c r="A46">
        <v>43</v>
      </c>
      <c r="B46">
        <v>44</v>
      </c>
      <c r="C46" s="4" t="s">
        <v>54</v>
      </c>
      <c r="D46">
        <v>569901</v>
      </c>
      <c r="E46">
        <v>76996</v>
      </c>
      <c r="F46">
        <v>2650</v>
      </c>
      <c r="G46">
        <v>2600</v>
      </c>
      <c r="H46">
        <v>0</v>
      </c>
      <c r="I46">
        <v>3310</v>
      </c>
      <c r="M46">
        <v>2012</v>
      </c>
      <c r="N46" s="10" t="s">
        <v>246</v>
      </c>
    </row>
    <row r="47" spans="1:15" ht="27" x14ac:dyDescent="0.2">
      <c r="A47">
        <v>44</v>
      </c>
      <c r="B47">
        <v>42</v>
      </c>
      <c r="C47" s="4" t="s">
        <v>55</v>
      </c>
      <c r="D47">
        <v>556695</v>
      </c>
      <c r="E47">
        <v>14731</v>
      </c>
      <c r="F47">
        <v>3478</v>
      </c>
      <c r="G47">
        <v>2785</v>
      </c>
      <c r="H47">
        <v>0</v>
      </c>
      <c r="I47">
        <v>8206</v>
      </c>
      <c r="M47">
        <v>2012</v>
      </c>
      <c r="N47" t="s">
        <v>245</v>
      </c>
    </row>
    <row r="48" spans="1:15" ht="40" x14ac:dyDescent="0.2">
      <c r="A48">
        <v>45</v>
      </c>
      <c r="B48">
        <v>47</v>
      </c>
      <c r="C48" s="4" t="s">
        <v>123</v>
      </c>
      <c r="D48">
        <v>539830</v>
      </c>
      <c r="F48">
        <v>3600</v>
      </c>
      <c r="G48">
        <v>1940</v>
      </c>
      <c r="H48">
        <v>415</v>
      </c>
      <c r="I48">
        <v>2300</v>
      </c>
      <c r="L48">
        <v>35</v>
      </c>
      <c r="M48">
        <v>2012</v>
      </c>
      <c r="N48" t="s">
        <v>260</v>
      </c>
    </row>
    <row r="49" spans="1:15" ht="27" x14ac:dyDescent="0.2">
      <c r="A49">
        <v>46</v>
      </c>
      <c r="B49">
        <v>46</v>
      </c>
      <c r="C49" s="4" t="s">
        <v>124</v>
      </c>
      <c r="D49">
        <v>536402</v>
      </c>
      <c r="E49">
        <v>47199</v>
      </c>
      <c r="F49">
        <v>3161</v>
      </c>
      <c r="G49">
        <v>1027</v>
      </c>
      <c r="H49">
        <v>177</v>
      </c>
      <c r="I49">
        <v>2536</v>
      </c>
      <c r="M49">
        <v>2012</v>
      </c>
      <c r="N49" t="s">
        <v>255</v>
      </c>
    </row>
    <row r="50" spans="1:15" ht="27" x14ac:dyDescent="0.2">
      <c r="A50">
        <v>47</v>
      </c>
      <c r="B50">
        <v>45</v>
      </c>
      <c r="C50" s="4" t="s">
        <v>58</v>
      </c>
      <c r="D50">
        <v>528623</v>
      </c>
      <c r="E50">
        <v>69932</v>
      </c>
      <c r="F50">
        <v>2862</v>
      </c>
      <c r="G50">
        <v>2886</v>
      </c>
      <c r="H50">
        <v>0</v>
      </c>
      <c r="I50">
        <v>7800</v>
      </c>
      <c r="M50">
        <v>2012</v>
      </c>
      <c r="N50" t="s">
        <v>249</v>
      </c>
    </row>
    <row r="51" spans="1:15" ht="27" x14ac:dyDescent="0.2">
      <c r="A51">
        <v>48</v>
      </c>
      <c r="B51">
        <v>48</v>
      </c>
      <c r="C51" s="4" t="s">
        <v>125</v>
      </c>
      <c r="D51">
        <v>522000</v>
      </c>
      <c r="F51">
        <v>4350</v>
      </c>
      <c r="G51">
        <v>5115</v>
      </c>
      <c r="H51">
        <v>80</v>
      </c>
      <c r="I51">
        <v>6526</v>
      </c>
      <c r="M51">
        <v>2012</v>
      </c>
      <c r="N51" t="s">
        <v>254</v>
      </c>
    </row>
    <row r="52" spans="1:15" x14ac:dyDescent="0.2">
      <c r="A52">
        <v>49</v>
      </c>
      <c r="B52">
        <v>50</v>
      </c>
      <c r="C52" s="4" t="s">
        <v>63</v>
      </c>
      <c r="D52">
        <v>519408</v>
      </c>
      <c r="E52">
        <v>-10777</v>
      </c>
      <c r="F52">
        <v>3020</v>
      </c>
      <c r="G52">
        <v>2394</v>
      </c>
      <c r="H52">
        <v>0</v>
      </c>
      <c r="I52">
        <v>6318</v>
      </c>
      <c r="M52">
        <v>2012</v>
      </c>
      <c r="N52" t="s">
        <v>257</v>
      </c>
    </row>
    <row r="53" spans="1:15" x14ac:dyDescent="0.2">
      <c r="A53">
        <v>50</v>
      </c>
      <c r="B53">
        <v>52</v>
      </c>
      <c r="C53" s="4" t="s">
        <v>61</v>
      </c>
      <c r="D53">
        <v>507481</v>
      </c>
      <c r="F53">
        <v>2510</v>
      </c>
      <c r="G53">
        <v>1510</v>
      </c>
      <c r="H53">
        <v>0</v>
      </c>
      <c r="I53">
        <v>4100</v>
      </c>
      <c r="K53">
        <v>925</v>
      </c>
      <c r="L53">
        <v>450</v>
      </c>
      <c r="M53">
        <v>2012</v>
      </c>
      <c r="N53" t="s">
        <v>251</v>
      </c>
    </row>
    <row r="54" spans="1:15" x14ac:dyDescent="0.2">
      <c r="A54">
        <v>51</v>
      </c>
      <c r="B54">
        <v>56</v>
      </c>
      <c r="C54" s="4" t="s">
        <v>60</v>
      </c>
      <c r="D54">
        <v>494646</v>
      </c>
      <c r="F54">
        <v>1084</v>
      </c>
      <c r="G54">
        <v>998</v>
      </c>
      <c r="H54">
        <v>118</v>
      </c>
      <c r="I54">
        <v>2668</v>
      </c>
      <c r="K54">
        <v>636</v>
      </c>
      <c r="M54">
        <v>2012</v>
      </c>
      <c r="N54" t="s">
        <v>262</v>
      </c>
    </row>
    <row r="55" spans="1:15" ht="27" x14ac:dyDescent="0.2">
      <c r="A55">
        <v>52</v>
      </c>
      <c r="B55">
        <v>49</v>
      </c>
      <c r="C55" s="4" t="s">
        <v>126</v>
      </c>
      <c r="D55">
        <v>494000</v>
      </c>
      <c r="F55">
        <v>361</v>
      </c>
      <c r="G55">
        <v>2238</v>
      </c>
      <c r="H55">
        <v>0</v>
      </c>
      <c r="I55">
        <v>0</v>
      </c>
      <c r="M55">
        <v>2012</v>
      </c>
      <c r="N55" t="s">
        <v>319</v>
      </c>
    </row>
    <row r="56" spans="1:15" x14ac:dyDescent="0.2">
      <c r="A56">
        <v>53</v>
      </c>
      <c r="B56">
        <v>51</v>
      </c>
      <c r="C56" s="4" t="s">
        <v>127</v>
      </c>
      <c r="D56">
        <v>480000</v>
      </c>
      <c r="F56">
        <v>320</v>
      </c>
      <c r="G56">
        <v>2225</v>
      </c>
      <c r="H56">
        <v>0</v>
      </c>
      <c r="I56">
        <v>7950</v>
      </c>
      <c r="K56">
        <v>350</v>
      </c>
      <c r="M56">
        <v>2012</v>
      </c>
      <c r="N56" t="s">
        <v>248</v>
      </c>
    </row>
    <row r="57" spans="1:15" ht="27" x14ac:dyDescent="0.2">
      <c r="A57">
        <v>54</v>
      </c>
      <c r="B57">
        <v>59</v>
      </c>
      <c r="C57" s="4" t="s">
        <v>65</v>
      </c>
      <c r="D57">
        <v>476633</v>
      </c>
      <c r="F57">
        <v>281</v>
      </c>
      <c r="G57">
        <v>1037</v>
      </c>
      <c r="I57">
        <v>1036</v>
      </c>
      <c r="M57">
        <v>2012</v>
      </c>
      <c r="N57" t="s">
        <v>268</v>
      </c>
    </row>
    <row r="58" spans="1:15" ht="27" x14ac:dyDescent="0.2">
      <c r="A58">
        <v>55</v>
      </c>
      <c r="B58">
        <v>72</v>
      </c>
      <c r="C58" s="4" t="s">
        <v>128</v>
      </c>
      <c r="D58">
        <v>450000</v>
      </c>
      <c r="F58">
        <v>2000</v>
      </c>
      <c r="G58">
        <v>1800</v>
      </c>
      <c r="H58">
        <v>0</v>
      </c>
      <c r="I58">
        <v>1800</v>
      </c>
      <c r="M58">
        <v>2012</v>
      </c>
      <c r="N58" t="s">
        <v>304</v>
      </c>
    </row>
    <row r="59" spans="1:15" x14ac:dyDescent="0.2">
      <c r="A59">
        <v>56</v>
      </c>
      <c r="B59">
        <v>53</v>
      </c>
      <c r="C59" s="4" t="s">
        <v>68</v>
      </c>
      <c r="D59">
        <v>441000</v>
      </c>
      <c r="F59">
        <v>3310</v>
      </c>
      <c r="G59">
        <v>3470</v>
      </c>
      <c r="H59">
        <v>145</v>
      </c>
      <c r="I59">
        <v>5250</v>
      </c>
      <c r="M59">
        <v>2012</v>
      </c>
      <c r="N59" s="8" t="s">
        <v>253</v>
      </c>
      <c r="O59" t="s">
        <v>217</v>
      </c>
    </row>
    <row r="60" spans="1:15" ht="27" x14ac:dyDescent="0.2">
      <c r="A60">
        <v>57</v>
      </c>
      <c r="B60">
        <v>55</v>
      </c>
      <c r="C60" s="4" t="s">
        <v>70</v>
      </c>
      <c r="D60">
        <v>433000</v>
      </c>
      <c r="F60">
        <v>300</v>
      </c>
      <c r="G60">
        <v>2300</v>
      </c>
      <c r="H60">
        <v>0</v>
      </c>
      <c r="I60">
        <v>5800</v>
      </c>
      <c r="M60">
        <v>2012</v>
      </c>
      <c r="N60" t="s">
        <v>252</v>
      </c>
    </row>
    <row r="61" spans="1:15" ht="40" x14ac:dyDescent="0.2">
      <c r="A61">
        <v>58</v>
      </c>
      <c r="B61">
        <v>61</v>
      </c>
      <c r="C61" s="4" t="s">
        <v>67</v>
      </c>
      <c r="D61">
        <v>419138</v>
      </c>
      <c r="F61">
        <v>1650</v>
      </c>
      <c r="G61">
        <v>1800</v>
      </c>
      <c r="H61">
        <v>0</v>
      </c>
      <c r="I61">
        <v>3000</v>
      </c>
      <c r="M61">
        <v>2012</v>
      </c>
      <c r="N61" t="s">
        <v>263</v>
      </c>
    </row>
    <row r="62" spans="1:15" ht="27" x14ac:dyDescent="0.2">
      <c r="A62">
        <v>59</v>
      </c>
      <c r="B62">
        <v>58</v>
      </c>
      <c r="C62" s="4" t="s">
        <v>81</v>
      </c>
      <c r="D62">
        <v>392687</v>
      </c>
      <c r="F62">
        <v>3002</v>
      </c>
      <c r="G62">
        <v>2713</v>
      </c>
      <c r="H62">
        <v>0</v>
      </c>
      <c r="I62">
        <v>5354</v>
      </c>
      <c r="M62">
        <v>2012</v>
      </c>
      <c r="N62" s="8" t="s">
        <v>256</v>
      </c>
      <c r="O62" t="s">
        <v>324</v>
      </c>
    </row>
    <row r="63" spans="1:15" ht="27" x14ac:dyDescent="0.2">
      <c r="A63">
        <v>60</v>
      </c>
      <c r="B63">
        <v>88</v>
      </c>
      <c r="C63" s="4" t="s">
        <v>83</v>
      </c>
      <c r="D63">
        <v>392000</v>
      </c>
      <c r="F63">
        <v>2520</v>
      </c>
      <c r="G63">
        <v>1880</v>
      </c>
      <c r="H63">
        <v>0</v>
      </c>
      <c r="I63">
        <v>5050</v>
      </c>
      <c r="L63">
        <v>125</v>
      </c>
      <c r="M63">
        <v>2012</v>
      </c>
      <c r="N63" t="s">
        <v>288</v>
      </c>
    </row>
    <row r="64" spans="1:15" ht="40" x14ac:dyDescent="0.2">
      <c r="A64">
        <v>61</v>
      </c>
      <c r="B64">
        <v>57</v>
      </c>
      <c r="C64" s="4" t="s">
        <v>129</v>
      </c>
      <c r="D64">
        <v>388461</v>
      </c>
      <c r="E64">
        <v>-36670</v>
      </c>
      <c r="F64">
        <v>2125</v>
      </c>
      <c r="G64">
        <v>1656</v>
      </c>
      <c r="H64">
        <v>0</v>
      </c>
      <c r="I64">
        <v>3388</v>
      </c>
      <c r="M64">
        <v>2012</v>
      </c>
      <c r="N64" t="s">
        <v>259</v>
      </c>
    </row>
    <row r="65" spans="1:15" ht="27" x14ac:dyDescent="0.2">
      <c r="A65">
        <v>62</v>
      </c>
      <c r="B65">
        <v>64</v>
      </c>
      <c r="C65" s="4" t="s">
        <v>72</v>
      </c>
      <c r="D65">
        <v>383000</v>
      </c>
      <c r="F65">
        <v>2400</v>
      </c>
      <c r="G65">
        <v>1900</v>
      </c>
      <c r="H65">
        <v>0</v>
      </c>
      <c r="I65">
        <v>6100</v>
      </c>
      <c r="M65">
        <v>2012</v>
      </c>
      <c r="N65" t="s">
        <v>267</v>
      </c>
    </row>
    <row r="66" spans="1:15" ht="27" x14ac:dyDescent="0.2">
      <c r="A66">
        <v>63</v>
      </c>
      <c r="B66">
        <v>60</v>
      </c>
      <c r="C66" s="4" t="s">
        <v>62</v>
      </c>
      <c r="D66">
        <v>382143</v>
      </c>
      <c r="E66">
        <v>20709</v>
      </c>
      <c r="F66">
        <v>943</v>
      </c>
      <c r="G66">
        <v>1146</v>
      </c>
      <c r="H66">
        <v>0</v>
      </c>
      <c r="I66">
        <v>1966</v>
      </c>
      <c r="M66">
        <v>2012</v>
      </c>
      <c r="N66" t="s">
        <v>261</v>
      </c>
    </row>
    <row r="67" spans="1:15" ht="27" x14ac:dyDescent="0.2">
      <c r="A67">
        <v>64</v>
      </c>
      <c r="B67">
        <v>70</v>
      </c>
      <c r="C67" s="4" t="s">
        <v>71</v>
      </c>
      <c r="D67">
        <v>380000</v>
      </c>
      <c r="F67">
        <v>1700</v>
      </c>
      <c r="G67">
        <v>304</v>
      </c>
      <c r="H67">
        <v>283</v>
      </c>
      <c r="I67">
        <v>579</v>
      </c>
      <c r="K67">
        <v>1500</v>
      </c>
      <c r="M67">
        <v>2012</v>
      </c>
      <c r="N67" t="s">
        <v>274</v>
      </c>
    </row>
    <row r="68" spans="1:15" ht="27" x14ac:dyDescent="0.2">
      <c r="A68">
        <v>65</v>
      </c>
      <c r="B68">
        <v>68</v>
      </c>
      <c r="C68" s="4" t="s">
        <v>130</v>
      </c>
      <c r="D68">
        <v>375253</v>
      </c>
      <c r="F68">
        <v>1850</v>
      </c>
      <c r="G68">
        <v>1101</v>
      </c>
      <c r="H68">
        <v>10</v>
      </c>
      <c r="I68">
        <v>3128</v>
      </c>
      <c r="K68">
        <v>200</v>
      </c>
      <c r="L68">
        <v>51</v>
      </c>
      <c r="M68">
        <v>2012</v>
      </c>
      <c r="N68" t="s">
        <v>307</v>
      </c>
    </row>
    <row r="69" spans="1:15" ht="27" x14ac:dyDescent="0.2">
      <c r="A69">
        <v>66</v>
      </c>
      <c r="B69">
        <v>54</v>
      </c>
      <c r="C69" s="4" t="s">
        <v>131</v>
      </c>
      <c r="D69">
        <v>372000</v>
      </c>
      <c r="F69">
        <v>2030</v>
      </c>
      <c r="G69">
        <v>1655</v>
      </c>
      <c r="H69">
        <v>0</v>
      </c>
      <c r="I69">
        <v>6200</v>
      </c>
      <c r="M69">
        <v>2012</v>
      </c>
      <c r="N69" t="s">
        <v>247</v>
      </c>
    </row>
    <row r="70" spans="1:15" ht="40" x14ac:dyDescent="0.2">
      <c r="A70">
        <v>67</v>
      </c>
      <c r="B70">
        <v>62</v>
      </c>
      <c r="C70" s="4" t="s">
        <v>132</v>
      </c>
      <c r="D70">
        <v>359243</v>
      </c>
      <c r="E70">
        <v>-2857</v>
      </c>
      <c r="F70">
        <v>2764</v>
      </c>
      <c r="G70">
        <v>1868</v>
      </c>
      <c r="H70">
        <v>0</v>
      </c>
      <c r="I70">
        <v>4785</v>
      </c>
      <c r="M70">
        <v>2012</v>
      </c>
      <c r="N70" t="s">
        <v>265</v>
      </c>
    </row>
    <row r="71" spans="1:15" x14ac:dyDescent="0.2">
      <c r="A71">
        <v>68</v>
      </c>
      <c r="B71">
        <v>65</v>
      </c>
      <c r="C71" s="4" t="s">
        <v>75</v>
      </c>
      <c r="D71">
        <v>358384</v>
      </c>
      <c r="F71">
        <v>2586</v>
      </c>
      <c r="G71">
        <v>926</v>
      </c>
      <c r="H71">
        <v>360</v>
      </c>
      <c r="I71">
        <v>2835</v>
      </c>
      <c r="M71">
        <v>2012</v>
      </c>
      <c r="N71" t="s">
        <v>275</v>
      </c>
    </row>
    <row r="72" spans="1:15" ht="40" x14ac:dyDescent="0.2">
      <c r="A72">
        <v>69</v>
      </c>
      <c r="B72">
        <v>71</v>
      </c>
      <c r="C72" s="4" t="s">
        <v>85</v>
      </c>
      <c r="D72">
        <v>351000</v>
      </c>
      <c r="F72">
        <v>710</v>
      </c>
      <c r="G72">
        <v>1400</v>
      </c>
      <c r="H72">
        <v>150</v>
      </c>
      <c r="I72">
        <v>2200</v>
      </c>
      <c r="M72">
        <v>2012</v>
      </c>
      <c r="N72" t="s">
        <v>272</v>
      </c>
    </row>
    <row r="73" spans="1:15" ht="27" x14ac:dyDescent="0.2">
      <c r="A73">
        <v>70</v>
      </c>
      <c r="C73" s="4" t="s">
        <v>133</v>
      </c>
      <c r="D73">
        <v>3434000</v>
      </c>
      <c r="M73">
        <v>2012</v>
      </c>
      <c r="N73" s="8" t="s">
        <v>320</v>
      </c>
      <c r="O73" t="s">
        <v>217</v>
      </c>
    </row>
    <row r="74" spans="1:15" ht="27" x14ac:dyDescent="0.2">
      <c r="A74">
        <v>71</v>
      </c>
      <c r="B74">
        <v>74</v>
      </c>
      <c r="C74" s="4" t="s">
        <v>79</v>
      </c>
      <c r="D74">
        <v>339388</v>
      </c>
      <c r="F74">
        <v>2345</v>
      </c>
      <c r="G74">
        <v>1943</v>
      </c>
      <c r="H74">
        <v>4</v>
      </c>
      <c r="I74">
        <v>4875</v>
      </c>
      <c r="M74">
        <v>2012</v>
      </c>
      <c r="N74" t="s">
        <v>280</v>
      </c>
    </row>
    <row r="75" spans="1:15" ht="27" x14ac:dyDescent="0.2">
      <c r="A75">
        <v>72</v>
      </c>
      <c r="B75">
        <v>66</v>
      </c>
      <c r="C75" s="4" t="s">
        <v>78</v>
      </c>
      <c r="D75">
        <v>335000</v>
      </c>
      <c r="F75">
        <v>1500</v>
      </c>
      <c r="G75">
        <v>1200</v>
      </c>
      <c r="H75">
        <v>0</v>
      </c>
      <c r="I75">
        <v>4400</v>
      </c>
      <c r="M75">
        <v>2012</v>
      </c>
      <c r="N75" t="s">
        <v>277</v>
      </c>
    </row>
    <row r="76" spans="1:15" ht="27" x14ac:dyDescent="0.2">
      <c r="A76">
        <v>73</v>
      </c>
      <c r="B76">
        <v>63</v>
      </c>
      <c r="C76" s="4" t="s">
        <v>134</v>
      </c>
      <c r="D76">
        <v>334503</v>
      </c>
      <c r="F76">
        <v>2300</v>
      </c>
      <c r="G76">
        <v>1505</v>
      </c>
      <c r="H76">
        <v>0</v>
      </c>
      <c r="I76">
        <v>3613</v>
      </c>
      <c r="L76">
        <v>300</v>
      </c>
      <c r="M76">
        <v>2012</v>
      </c>
      <c r="N76" t="s">
        <v>266</v>
      </c>
    </row>
    <row r="77" spans="1:15" ht="27" x14ac:dyDescent="0.2">
      <c r="A77">
        <v>74</v>
      </c>
      <c r="B77">
        <v>89</v>
      </c>
      <c r="C77" s="4" t="s">
        <v>135</v>
      </c>
      <c r="D77">
        <v>325000</v>
      </c>
      <c r="F77">
        <v>3000</v>
      </c>
      <c r="G77">
        <v>1910</v>
      </c>
      <c r="H77">
        <v>780</v>
      </c>
      <c r="I77">
        <v>2200</v>
      </c>
      <c r="M77">
        <v>2012</v>
      </c>
      <c r="N77" t="s">
        <v>309</v>
      </c>
    </row>
    <row r="78" spans="1:15" x14ac:dyDescent="0.2">
      <c r="A78">
        <v>75</v>
      </c>
      <c r="B78">
        <v>76</v>
      </c>
      <c r="C78" s="4" t="s">
        <v>136</v>
      </c>
      <c r="D78">
        <v>322926</v>
      </c>
      <c r="E78">
        <v>3021</v>
      </c>
      <c r="F78">
        <v>1603</v>
      </c>
      <c r="G78">
        <v>460</v>
      </c>
      <c r="H78">
        <v>400</v>
      </c>
      <c r="I78">
        <v>864</v>
      </c>
      <c r="M78">
        <v>2012</v>
      </c>
      <c r="N78" s="8" t="s">
        <v>271</v>
      </c>
      <c r="O78" t="s">
        <v>217</v>
      </c>
    </row>
    <row r="79" spans="1:15" ht="27" x14ac:dyDescent="0.2">
      <c r="A79">
        <v>76</v>
      </c>
      <c r="B79">
        <v>77</v>
      </c>
      <c r="C79" s="4" t="s">
        <v>84</v>
      </c>
      <c r="D79">
        <v>321000</v>
      </c>
      <c r="F79">
        <v>2838</v>
      </c>
      <c r="G79">
        <v>1105</v>
      </c>
      <c r="H79">
        <v>31</v>
      </c>
      <c r="I79">
        <v>2698</v>
      </c>
      <c r="M79">
        <v>2012</v>
      </c>
      <c r="N79" t="s">
        <v>284</v>
      </c>
    </row>
    <row r="80" spans="1:15" ht="27" x14ac:dyDescent="0.2">
      <c r="A80">
        <v>77</v>
      </c>
      <c r="B80">
        <v>69</v>
      </c>
      <c r="C80" s="4" t="s">
        <v>89</v>
      </c>
      <c r="D80">
        <v>307000</v>
      </c>
      <c r="F80">
        <v>1122</v>
      </c>
      <c r="G80">
        <v>776</v>
      </c>
      <c r="H80">
        <v>0</v>
      </c>
      <c r="I80">
        <v>184</v>
      </c>
      <c r="M80">
        <v>2012</v>
      </c>
      <c r="N80" t="s">
        <v>291</v>
      </c>
      <c r="O80" t="s">
        <v>137</v>
      </c>
    </row>
    <row r="81" spans="1:15" ht="27" x14ac:dyDescent="0.2">
      <c r="A81">
        <v>78</v>
      </c>
      <c r="B81">
        <v>75</v>
      </c>
      <c r="C81" s="4" t="s">
        <v>90</v>
      </c>
      <c r="D81">
        <v>305000</v>
      </c>
      <c r="F81">
        <v>588</v>
      </c>
      <c r="G81">
        <v>1347</v>
      </c>
      <c r="H81">
        <v>0</v>
      </c>
      <c r="I81">
        <v>2100</v>
      </c>
      <c r="M81">
        <v>2012</v>
      </c>
      <c r="N81" t="s">
        <v>270</v>
      </c>
    </row>
    <row r="82" spans="1:15" ht="27" x14ac:dyDescent="0.2">
      <c r="A82">
        <v>79</v>
      </c>
      <c r="C82" s="4" t="s">
        <v>80</v>
      </c>
      <c r="D82">
        <v>294747</v>
      </c>
      <c r="E82">
        <v>15500</v>
      </c>
      <c r="F82">
        <v>343</v>
      </c>
      <c r="G82">
        <v>2102</v>
      </c>
      <c r="H82">
        <v>0</v>
      </c>
      <c r="I82">
        <v>450</v>
      </c>
      <c r="K82">
        <v>82</v>
      </c>
      <c r="M82">
        <v>2012</v>
      </c>
      <c r="N82" t="s">
        <v>308</v>
      </c>
    </row>
    <row r="83" spans="1:15" ht="27" x14ac:dyDescent="0.2">
      <c r="A83">
        <v>80</v>
      </c>
      <c r="B83">
        <v>83</v>
      </c>
      <c r="C83" s="4" t="s">
        <v>91</v>
      </c>
      <c r="D83">
        <v>279044</v>
      </c>
      <c r="F83">
        <v>1281</v>
      </c>
      <c r="G83">
        <v>1252</v>
      </c>
      <c r="H83">
        <v>0</v>
      </c>
      <c r="I83">
        <v>3079</v>
      </c>
      <c r="M83">
        <v>2012</v>
      </c>
      <c r="N83" t="s">
        <v>290</v>
      </c>
    </row>
    <row r="84" spans="1:15" x14ac:dyDescent="0.2">
      <c r="A84">
        <v>81</v>
      </c>
      <c r="B84">
        <v>78</v>
      </c>
      <c r="C84" s="4" t="s">
        <v>93</v>
      </c>
      <c r="D84">
        <v>277087</v>
      </c>
      <c r="F84">
        <v>1276</v>
      </c>
      <c r="G84">
        <v>1087</v>
      </c>
      <c r="H84">
        <v>0</v>
      </c>
      <c r="I84">
        <v>3804</v>
      </c>
      <c r="M84">
        <v>2012</v>
      </c>
      <c r="N84" s="10" t="s">
        <v>283</v>
      </c>
    </row>
    <row r="85" spans="1:15" ht="27" x14ac:dyDescent="0.2">
      <c r="A85">
        <v>82</v>
      </c>
      <c r="B85">
        <v>80</v>
      </c>
      <c r="C85" s="4" t="s">
        <v>96</v>
      </c>
      <c r="D85">
        <v>270000</v>
      </c>
      <c r="F85">
        <v>2163</v>
      </c>
      <c r="G85">
        <v>754</v>
      </c>
      <c r="H85">
        <v>23</v>
      </c>
      <c r="I85">
        <v>2000</v>
      </c>
      <c r="M85">
        <v>2012</v>
      </c>
      <c r="N85" t="s">
        <v>287</v>
      </c>
    </row>
    <row r="86" spans="1:15" ht="27" x14ac:dyDescent="0.2">
      <c r="A86">
        <v>83</v>
      </c>
      <c r="B86">
        <v>79</v>
      </c>
      <c r="C86" s="4" t="s">
        <v>138</v>
      </c>
      <c r="D86">
        <v>268635</v>
      </c>
      <c r="F86">
        <v>250</v>
      </c>
      <c r="G86">
        <v>1725</v>
      </c>
      <c r="H86">
        <v>0</v>
      </c>
      <c r="I86">
        <v>525</v>
      </c>
      <c r="M86">
        <v>2012</v>
      </c>
      <c r="N86" t="s">
        <v>298</v>
      </c>
    </row>
    <row r="87" spans="1:15" ht="27" x14ac:dyDescent="0.2">
      <c r="A87">
        <v>84</v>
      </c>
      <c r="C87" s="4" t="s">
        <v>106</v>
      </c>
      <c r="D87">
        <v>250000</v>
      </c>
      <c r="F87">
        <v>138</v>
      </c>
      <c r="G87">
        <v>103</v>
      </c>
      <c r="H87">
        <v>47</v>
      </c>
      <c r="I87">
        <v>88</v>
      </c>
      <c r="M87">
        <v>2012</v>
      </c>
      <c r="N87" t="s">
        <v>315</v>
      </c>
    </row>
    <row r="88" spans="1:15" ht="40" x14ac:dyDescent="0.2">
      <c r="A88">
        <v>85</v>
      </c>
      <c r="B88">
        <v>86</v>
      </c>
      <c r="C88" s="4" t="s">
        <v>99</v>
      </c>
      <c r="D88">
        <v>249514</v>
      </c>
      <c r="F88">
        <v>638</v>
      </c>
      <c r="G88">
        <v>646</v>
      </c>
      <c r="H88">
        <v>616</v>
      </c>
      <c r="I88">
        <v>1155</v>
      </c>
      <c r="M88">
        <v>2012</v>
      </c>
      <c r="N88" t="s">
        <v>286</v>
      </c>
    </row>
    <row r="89" spans="1:15" ht="27" x14ac:dyDescent="0.2">
      <c r="A89">
        <v>86</v>
      </c>
      <c r="B89">
        <v>84</v>
      </c>
      <c r="C89" s="4" t="s">
        <v>139</v>
      </c>
      <c r="D89">
        <v>241772</v>
      </c>
      <c r="F89">
        <v>1120</v>
      </c>
      <c r="G89">
        <v>1020</v>
      </c>
      <c r="H89">
        <v>50</v>
      </c>
      <c r="I89">
        <v>1500</v>
      </c>
      <c r="M89">
        <v>2012</v>
      </c>
      <c r="N89" t="s">
        <v>314</v>
      </c>
    </row>
    <row r="90" spans="1:15" x14ac:dyDescent="0.2">
      <c r="A90">
        <v>87</v>
      </c>
      <c r="C90" s="4" t="s">
        <v>94</v>
      </c>
      <c r="D90">
        <v>239552</v>
      </c>
      <c r="F90">
        <v>1571</v>
      </c>
      <c r="G90">
        <v>0</v>
      </c>
      <c r="H90">
        <v>0</v>
      </c>
      <c r="I90">
        <v>154</v>
      </c>
      <c r="M90">
        <v>2012</v>
      </c>
      <c r="N90" t="s">
        <v>311</v>
      </c>
    </row>
    <row r="91" spans="1:15" x14ac:dyDescent="0.2">
      <c r="A91">
        <v>88</v>
      </c>
      <c r="B91">
        <v>96</v>
      </c>
      <c r="C91" s="4" t="s">
        <v>95</v>
      </c>
      <c r="D91">
        <v>239497</v>
      </c>
      <c r="F91">
        <v>1497</v>
      </c>
      <c r="G91">
        <v>1199</v>
      </c>
      <c r="H91">
        <v>0</v>
      </c>
      <c r="I91">
        <v>1665</v>
      </c>
      <c r="M91">
        <v>2012</v>
      </c>
      <c r="N91" t="s">
        <v>293</v>
      </c>
    </row>
    <row r="92" spans="1:15" ht="27" x14ac:dyDescent="0.2">
      <c r="A92">
        <v>89</v>
      </c>
      <c r="C92" s="4" t="s">
        <v>97</v>
      </c>
      <c r="D92">
        <v>238358</v>
      </c>
      <c r="F92">
        <v>1231</v>
      </c>
      <c r="G92">
        <v>537</v>
      </c>
      <c r="I92">
        <v>536</v>
      </c>
      <c r="M92">
        <v>2012</v>
      </c>
      <c r="N92" t="s">
        <v>312</v>
      </c>
    </row>
    <row r="93" spans="1:15" ht="27" x14ac:dyDescent="0.2">
      <c r="A93">
        <v>90</v>
      </c>
      <c r="B93">
        <v>90</v>
      </c>
      <c r="C93" s="4" t="s">
        <v>104</v>
      </c>
      <c r="D93">
        <v>230189</v>
      </c>
      <c r="E93">
        <v>2400</v>
      </c>
      <c r="F93">
        <v>1000</v>
      </c>
      <c r="G93">
        <v>735</v>
      </c>
      <c r="H93">
        <v>0</v>
      </c>
      <c r="I93">
        <v>2400</v>
      </c>
      <c r="M93">
        <v>2012</v>
      </c>
      <c r="N93" t="s">
        <v>281</v>
      </c>
    </row>
    <row r="94" spans="1:15" ht="40" x14ac:dyDescent="0.2">
      <c r="A94">
        <v>91</v>
      </c>
      <c r="B94">
        <v>81</v>
      </c>
      <c r="C94" s="4" t="s">
        <v>140</v>
      </c>
      <c r="D94">
        <v>228983</v>
      </c>
      <c r="F94">
        <v>600</v>
      </c>
      <c r="G94">
        <v>251</v>
      </c>
      <c r="H94">
        <v>15</v>
      </c>
      <c r="I94">
        <v>1674</v>
      </c>
      <c r="M94">
        <v>2012</v>
      </c>
      <c r="N94" s="8" t="s">
        <v>279</v>
      </c>
      <c r="O94" t="s">
        <v>324</v>
      </c>
    </row>
    <row r="95" spans="1:15" ht="40" x14ac:dyDescent="0.2">
      <c r="A95">
        <v>92</v>
      </c>
      <c r="C95" s="4" t="s">
        <v>107</v>
      </c>
      <c r="D95">
        <v>224722</v>
      </c>
      <c r="F95">
        <v>1069</v>
      </c>
      <c r="G95">
        <v>1101</v>
      </c>
      <c r="H95">
        <v>0</v>
      </c>
      <c r="I95">
        <v>1100</v>
      </c>
      <c r="M95">
        <v>2012</v>
      </c>
      <c r="N95" t="s">
        <v>316</v>
      </c>
    </row>
    <row r="96" spans="1:15" ht="27" x14ac:dyDescent="0.2">
      <c r="A96">
        <v>93</v>
      </c>
      <c r="B96">
        <v>95</v>
      </c>
      <c r="C96" s="4" t="s">
        <v>109</v>
      </c>
      <c r="D96">
        <v>224000</v>
      </c>
      <c r="E96">
        <v>5500</v>
      </c>
      <c r="F96">
        <v>1329</v>
      </c>
      <c r="G96">
        <v>1098</v>
      </c>
      <c r="H96">
        <v>0</v>
      </c>
      <c r="I96">
        <v>1835</v>
      </c>
      <c r="M96">
        <v>2012</v>
      </c>
      <c r="N96" t="s">
        <v>295</v>
      </c>
    </row>
    <row r="97" spans="1:15" ht="27" x14ac:dyDescent="0.2">
      <c r="A97">
        <v>94</v>
      </c>
      <c r="B97">
        <v>87</v>
      </c>
      <c r="C97" s="4" t="s">
        <v>111</v>
      </c>
      <c r="D97">
        <v>218383</v>
      </c>
      <c r="F97">
        <v>1464</v>
      </c>
      <c r="G97">
        <v>1150</v>
      </c>
      <c r="H97">
        <v>0</v>
      </c>
      <c r="I97">
        <v>3000</v>
      </c>
      <c r="M97">
        <v>2012</v>
      </c>
      <c r="N97" t="s">
        <v>301</v>
      </c>
    </row>
    <row r="98" spans="1:15" ht="27" x14ac:dyDescent="0.2">
      <c r="A98">
        <v>95</v>
      </c>
      <c r="B98">
        <v>99</v>
      </c>
      <c r="C98" s="4" t="s">
        <v>141</v>
      </c>
      <c r="D98">
        <v>217780</v>
      </c>
      <c r="F98">
        <v>1317</v>
      </c>
      <c r="G98">
        <v>953</v>
      </c>
      <c r="H98">
        <v>0</v>
      </c>
      <c r="I98">
        <v>1800</v>
      </c>
      <c r="M98">
        <v>2012</v>
      </c>
      <c r="N98" s="8" t="s">
        <v>302</v>
      </c>
      <c r="O98" t="s">
        <v>217</v>
      </c>
    </row>
    <row r="99" spans="1:15" ht="27" x14ac:dyDescent="0.2">
      <c r="A99">
        <v>96</v>
      </c>
      <c r="B99">
        <v>93</v>
      </c>
      <c r="C99" s="4" t="s">
        <v>142</v>
      </c>
      <c r="D99">
        <v>216000</v>
      </c>
      <c r="E99">
        <v>91</v>
      </c>
      <c r="F99">
        <v>91</v>
      </c>
      <c r="G99">
        <v>1702</v>
      </c>
      <c r="H99">
        <v>0</v>
      </c>
      <c r="I99">
        <v>100</v>
      </c>
      <c r="L99">
        <v>20</v>
      </c>
      <c r="M99">
        <v>2012</v>
      </c>
      <c r="N99" s="8" t="s">
        <v>300</v>
      </c>
      <c r="O99" t="s">
        <v>217</v>
      </c>
    </row>
    <row r="100" spans="1:15" ht="40" x14ac:dyDescent="0.2">
      <c r="A100">
        <v>97</v>
      </c>
      <c r="C100" s="4" t="s">
        <v>143</v>
      </c>
      <c r="D100">
        <v>215359</v>
      </c>
      <c r="F100">
        <v>127</v>
      </c>
      <c r="G100">
        <v>730</v>
      </c>
      <c r="H100">
        <v>0</v>
      </c>
      <c r="I100">
        <v>780</v>
      </c>
      <c r="M100">
        <v>2012</v>
      </c>
      <c r="N100" s="8" t="s">
        <v>321</v>
      </c>
      <c r="O100" t="s">
        <v>217</v>
      </c>
    </row>
    <row r="101" spans="1:15" x14ac:dyDescent="0.2">
      <c r="A101">
        <v>98</v>
      </c>
      <c r="B101">
        <v>91</v>
      </c>
      <c r="C101" s="4" t="s">
        <v>108</v>
      </c>
      <c r="D101">
        <v>214000</v>
      </c>
      <c r="F101">
        <v>1000</v>
      </c>
      <c r="G101">
        <v>730</v>
      </c>
      <c r="H101">
        <v>0</v>
      </c>
      <c r="I101">
        <v>1100</v>
      </c>
      <c r="K101">
        <v>680</v>
      </c>
      <c r="L101">
        <v>137</v>
      </c>
      <c r="M101">
        <v>2012</v>
      </c>
      <c r="N101" t="s">
        <v>296</v>
      </c>
    </row>
    <row r="102" spans="1:15" ht="27" x14ac:dyDescent="0.2">
      <c r="A102">
        <v>99</v>
      </c>
      <c r="B102">
        <v>91</v>
      </c>
      <c r="C102" s="4" t="s">
        <v>144</v>
      </c>
      <c r="D102">
        <v>209000</v>
      </c>
      <c r="F102">
        <v>1853</v>
      </c>
      <c r="G102">
        <v>1610</v>
      </c>
      <c r="H102">
        <v>49</v>
      </c>
      <c r="I102">
        <v>8000</v>
      </c>
      <c r="M102">
        <v>2012</v>
      </c>
      <c r="N102" t="s">
        <v>285</v>
      </c>
    </row>
    <row r="103" spans="1:15" ht="27" x14ac:dyDescent="0.2">
      <c r="A103">
        <v>100</v>
      </c>
      <c r="B103">
        <v>94</v>
      </c>
      <c r="C103" s="4" t="s">
        <v>145</v>
      </c>
      <c r="D103">
        <v>202700</v>
      </c>
      <c r="F103">
        <v>1439</v>
      </c>
      <c r="G103">
        <v>1154</v>
      </c>
      <c r="H103">
        <v>0</v>
      </c>
      <c r="I103">
        <v>2600</v>
      </c>
      <c r="M103">
        <v>2012</v>
      </c>
      <c r="N103" t="s">
        <v>276</v>
      </c>
    </row>
  </sheetData>
  <mergeCells count="3">
    <mergeCell ref="C1:C2"/>
    <mergeCell ref="G1:G2"/>
    <mergeCell ref="I1:I2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zoomScale="70" zoomScaleNormal="70" zoomScalePageLayoutView="80" workbookViewId="0">
      <pane ySplit="1" topLeftCell="A2" activePane="bottomLeft" state="frozen"/>
      <selection pane="bottomLeft" activeCell="C10" sqref="C10"/>
    </sheetView>
  </sheetViews>
  <sheetFormatPr baseColWidth="10" defaultColWidth="11.5" defaultRowHeight="15" x14ac:dyDescent="0.2"/>
  <cols>
    <col min="1" max="1" width="7" customWidth="1"/>
    <col min="2" max="2" width="6.6640625" customWidth="1"/>
    <col min="3" max="3" width="33.33203125" bestFit="1" customWidth="1"/>
    <col min="4" max="4" width="12.6640625" bestFit="1" customWidth="1"/>
    <col min="8" max="8" width="11.6640625" bestFit="1" customWidth="1"/>
  </cols>
  <sheetData>
    <row r="1" spans="1:13" ht="30" customHeight="1" x14ac:dyDescent="0.2">
      <c r="A1" s="13" t="s">
        <v>335</v>
      </c>
      <c r="B1" s="13" t="s">
        <v>336</v>
      </c>
      <c r="C1" s="14" t="s">
        <v>1</v>
      </c>
      <c r="D1" s="13" t="s">
        <v>355</v>
      </c>
      <c r="E1" s="13" t="s">
        <v>356</v>
      </c>
      <c r="F1" s="14" t="s">
        <v>345</v>
      </c>
      <c r="G1" s="15" t="s">
        <v>3</v>
      </c>
      <c r="H1" s="14" t="s">
        <v>346</v>
      </c>
      <c r="I1" s="14" t="s">
        <v>5</v>
      </c>
      <c r="J1" s="14" t="s">
        <v>331</v>
      </c>
      <c r="K1" s="14" t="s">
        <v>332</v>
      </c>
      <c r="L1" s="14" t="s">
        <v>333</v>
      </c>
      <c r="M1" s="14" t="s">
        <v>202</v>
      </c>
    </row>
    <row r="2" spans="1:13" ht="18" customHeight="1" x14ac:dyDescent="0.2">
      <c r="A2">
        <v>1</v>
      </c>
      <c r="B2">
        <v>1</v>
      </c>
      <c r="C2" t="str">
        <f>VLOOKUP('For Hire 2012-13'!B2,'For Hire 2011-12'!$A$4:$C$103,3)</f>
        <v>UPS Inc</v>
      </c>
      <c r="D2" s="16">
        <v>55438000</v>
      </c>
      <c r="E2" s="16">
        <v>4372000</v>
      </c>
      <c r="F2" s="16">
        <v>395000</v>
      </c>
      <c r="G2" s="16">
        <v>103000</v>
      </c>
      <c r="H2" s="16"/>
      <c r="I2" s="16"/>
      <c r="J2" s="16">
        <v>237</v>
      </c>
      <c r="K2" s="16">
        <v>33000</v>
      </c>
      <c r="L2" s="16"/>
      <c r="M2" t="s">
        <v>203</v>
      </c>
    </row>
    <row r="3" spans="1:13" x14ac:dyDescent="0.2">
      <c r="A3">
        <v>2</v>
      </c>
      <c r="B3">
        <v>2</v>
      </c>
      <c r="C3" t="str">
        <f>VLOOKUP('For Hire 2012-13'!B3,'For Hire 2011-12'!$A$4:$C$103,3)</f>
        <v>FedEx Corp</v>
      </c>
      <c r="D3" s="16">
        <v>45100000</v>
      </c>
      <c r="E3" s="16">
        <v>2046000</v>
      </c>
      <c r="F3" s="16">
        <v>300000</v>
      </c>
      <c r="G3" s="16">
        <v>25028</v>
      </c>
      <c r="H3" s="16">
        <v>62076</v>
      </c>
      <c r="I3" s="16">
        <v>92982</v>
      </c>
      <c r="J3" s="16">
        <v>649</v>
      </c>
      <c r="K3" s="16"/>
      <c r="L3" s="16"/>
      <c r="M3" t="s">
        <v>4314</v>
      </c>
    </row>
    <row r="4" spans="1:13" x14ac:dyDescent="0.2">
      <c r="A4">
        <v>3</v>
      </c>
      <c r="B4">
        <v>4</v>
      </c>
      <c r="C4" t="str">
        <f>VLOOKUP('For Hire 2012-13'!B4,'For Hire 2011-12'!$A$4:$C$103,3)</f>
        <v>J.B. Hunt Transport Services</v>
      </c>
      <c r="D4" s="16">
        <v>5585000</v>
      </c>
      <c r="E4" s="16">
        <v>342000</v>
      </c>
      <c r="F4" s="16">
        <v>18467</v>
      </c>
      <c r="G4" s="16">
        <f>10397+152+686</f>
        <v>11235</v>
      </c>
      <c r="H4" s="16">
        <f>537+208</f>
        <v>745</v>
      </c>
      <c r="I4" s="16">
        <v>26340</v>
      </c>
      <c r="J4" s="16"/>
      <c r="K4" s="16">
        <v>68302</v>
      </c>
      <c r="L4" s="16">
        <v>61948</v>
      </c>
      <c r="M4" t="s">
        <v>210</v>
      </c>
    </row>
    <row r="5" spans="1:13" x14ac:dyDescent="0.2">
      <c r="A5">
        <v>4</v>
      </c>
      <c r="B5">
        <v>3</v>
      </c>
      <c r="C5" t="str">
        <f>VLOOKUP('For Hire 2012-13'!B5,'For Hire 2011-12'!$A$4:$C$103,3)</f>
        <v>Con-way Inc</v>
      </c>
      <c r="D5" s="16">
        <v>5473356</v>
      </c>
      <c r="E5" s="16">
        <v>99152</v>
      </c>
      <c r="F5" s="16">
        <v>29500</v>
      </c>
      <c r="G5" s="16">
        <f>11600+267</f>
        <v>11867</v>
      </c>
      <c r="H5" s="16"/>
      <c r="I5" s="16">
        <v>32800</v>
      </c>
      <c r="J5" s="16"/>
      <c r="K5" s="16"/>
      <c r="L5" s="16"/>
      <c r="M5" t="s">
        <v>208</v>
      </c>
    </row>
    <row r="6" spans="1:13" x14ac:dyDescent="0.2">
      <c r="A6">
        <v>5</v>
      </c>
      <c r="B6">
        <v>5</v>
      </c>
      <c r="C6" t="str">
        <f>VLOOKUP('For Hire 2012-13'!B6,'For Hire 2011-12'!$A$4:$C$103,3)</f>
        <v>YRC Worldwide</v>
      </c>
      <c r="D6" s="16">
        <v>4865400</v>
      </c>
      <c r="E6" s="16">
        <v>83600</v>
      </c>
      <c r="F6" s="16">
        <v>2000</v>
      </c>
      <c r="G6" s="16">
        <v>14500</v>
      </c>
      <c r="H6" s="16"/>
      <c r="I6" s="16">
        <v>46500</v>
      </c>
      <c r="J6" s="16"/>
      <c r="K6" s="16"/>
      <c r="L6" s="16"/>
      <c r="M6" t="s">
        <v>206</v>
      </c>
    </row>
    <row r="7" spans="1:13" x14ac:dyDescent="0.2">
      <c r="A7">
        <v>6</v>
      </c>
      <c r="B7">
        <v>7</v>
      </c>
      <c r="C7" t="str">
        <f>VLOOKUP('For Hire 2012-13'!B7,'For Hire 2011-12'!$A$4:$C$103,3)</f>
        <v>Swift Transportation</v>
      </c>
      <c r="D7" s="16">
        <v>4118195</v>
      </c>
      <c r="E7" s="16">
        <v>155422</v>
      </c>
      <c r="F7" s="16">
        <v>16900</v>
      </c>
      <c r="G7" s="16">
        <f>6081+6685+5195</f>
        <v>17961</v>
      </c>
      <c r="H7" s="16"/>
      <c r="I7" s="16">
        <v>57310</v>
      </c>
      <c r="J7" s="16"/>
      <c r="K7" s="16">
        <v>8717</v>
      </c>
      <c r="L7" s="16"/>
      <c r="M7" t="s">
        <v>212</v>
      </c>
    </row>
    <row r="8" spans="1:13" x14ac:dyDescent="0.2">
      <c r="A8">
        <v>7</v>
      </c>
      <c r="B8">
        <v>6</v>
      </c>
      <c r="C8" t="str">
        <f>VLOOKUP('For Hire 2012-13'!B8,'For Hire 2011-12'!$A$4:$C$103,3)</f>
        <v>Schneider National Inc</v>
      </c>
      <c r="D8" s="16">
        <v>3600000</v>
      </c>
      <c r="E8" s="16"/>
      <c r="F8" s="16">
        <v>16900</v>
      </c>
      <c r="G8" s="16">
        <f>9700+2000</f>
        <v>11700</v>
      </c>
      <c r="H8" s="16"/>
      <c r="I8" s="16">
        <v>31000</v>
      </c>
      <c r="J8" s="16"/>
      <c r="K8" s="16">
        <v>14500</v>
      </c>
      <c r="L8" s="16"/>
      <c r="M8" t="s">
        <v>211</v>
      </c>
    </row>
    <row r="9" spans="1:13" x14ac:dyDescent="0.2">
      <c r="A9">
        <v>8</v>
      </c>
      <c r="B9">
        <v>69</v>
      </c>
      <c r="C9" t="str">
        <f>VLOOKUP('For Hire 2012-13'!B9,'For Hire 2011-12'!$A$4:$C$103,3)</f>
        <v>Comtrak Logistics</v>
      </c>
      <c r="D9" s="16">
        <v>3373898</v>
      </c>
      <c r="E9" s="16">
        <v>69110</v>
      </c>
      <c r="F9" s="16">
        <v>1982</v>
      </c>
      <c r="G9" s="16">
        <f>355+2269</f>
        <v>2624</v>
      </c>
      <c r="H9" s="16"/>
      <c r="I9" s="16">
        <v>448</v>
      </c>
      <c r="J9" s="16"/>
      <c r="K9" s="16">
        <v>25769</v>
      </c>
      <c r="L9" s="16"/>
      <c r="M9" t="s">
        <v>308</v>
      </c>
    </row>
    <row r="10" spans="1:13" x14ac:dyDescent="0.2">
      <c r="A10">
        <v>9</v>
      </c>
      <c r="B10">
        <v>8</v>
      </c>
      <c r="C10" t="str">
        <f>VLOOKUP('For Hire 2012-13'!B10,'For Hire 2011-12'!$A$4:$C$103,3)</f>
        <v>TransForce Inc.</v>
      </c>
      <c r="D10" s="16">
        <v>3019367</v>
      </c>
      <c r="E10" s="16">
        <v>98754</v>
      </c>
      <c r="F10" s="16">
        <v>14210</v>
      </c>
      <c r="G10" s="16">
        <f>4300+7630</f>
        <v>11930</v>
      </c>
      <c r="H10" s="16"/>
      <c r="I10" s="16">
        <v>11200</v>
      </c>
      <c r="J10" s="16"/>
      <c r="K10" s="16"/>
      <c r="L10" s="16"/>
      <c r="M10" t="s">
        <v>216</v>
      </c>
    </row>
    <row r="11" spans="1:13" x14ac:dyDescent="0.2">
      <c r="A11">
        <v>10</v>
      </c>
      <c r="B11">
        <v>9</v>
      </c>
      <c r="C11" t="str">
        <f>VLOOKUP('For Hire 2012-13'!B11,'For Hire 2011-12'!$A$4:$C$103,3)</f>
        <v>Landstar System</v>
      </c>
      <c r="D11" s="16">
        <v>2644780</v>
      </c>
      <c r="E11" s="16">
        <v>146009</v>
      </c>
      <c r="F11" s="16">
        <v>1217</v>
      </c>
      <c r="G11" s="16">
        <v>8174</v>
      </c>
      <c r="H11" s="16">
        <v>258</v>
      </c>
      <c r="I11" s="16">
        <v>12912</v>
      </c>
      <c r="J11" s="16"/>
      <c r="K11" s="16"/>
      <c r="L11" s="16"/>
      <c r="M11" t="s">
        <v>213</v>
      </c>
    </row>
    <row r="12" spans="1:13" x14ac:dyDescent="0.2">
      <c r="A12">
        <v>11</v>
      </c>
      <c r="B12">
        <v>10</v>
      </c>
      <c r="C12" t="str">
        <f>VLOOKUP('For Hire 2012-13'!B12,'For Hire 2011-12'!$A$4:$C$103,3)</f>
        <v>Ryder Supply Chain Solutions</v>
      </c>
      <c r="D12" s="16">
        <v>2383063</v>
      </c>
      <c r="E12" s="16"/>
      <c r="F12" s="16">
        <v>14312</v>
      </c>
      <c r="G12" s="16">
        <v>4098</v>
      </c>
      <c r="H12" s="16"/>
      <c r="I12" s="16">
        <v>6042</v>
      </c>
      <c r="J12" s="16"/>
      <c r="K12" s="16"/>
      <c r="L12" s="16"/>
      <c r="M12" t="s">
        <v>207</v>
      </c>
    </row>
    <row r="13" spans="1:13" x14ac:dyDescent="0.2">
      <c r="A13">
        <v>12</v>
      </c>
      <c r="B13">
        <v>11</v>
      </c>
      <c r="C13" t="str">
        <f>VLOOKUP('For Hire 2012-13'!B13,'For Hire 2011-12'!$A$4:$C$103,3)</f>
        <v>Old Dominion Freight Line</v>
      </c>
      <c r="D13" s="16">
        <v>2337648</v>
      </c>
      <c r="E13" s="16">
        <v>206113</v>
      </c>
      <c r="F13" s="16">
        <v>14073</v>
      </c>
      <c r="G13" s="16">
        <v>6296</v>
      </c>
      <c r="H13" s="16">
        <v>105</v>
      </c>
      <c r="I13" s="16">
        <v>25052</v>
      </c>
      <c r="J13" s="16"/>
      <c r="K13" s="16"/>
      <c r="L13" s="16">
        <v>27</v>
      </c>
      <c r="M13" t="s">
        <v>223</v>
      </c>
    </row>
    <row r="14" spans="1:13" x14ac:dyDescent="0.2">
      <c r="A14">
        <v>13</v>
      </c>
      <c r="B14">
        <v>12</v>
      </c>
      <c r="C14" t="str">
        <f>VLOOKUP('For Hire 2012-13'!B14,'For Hire 2011-12'!$A$4:$C$103,3)</f>
        <v>Arkansas Best Corp.</v>
      </c>
      <c r="D14" s="16">
        <v>2299549</v>
      </c>
      <c r="E14" s="16">
        <v>15811</v>
      </c>
      <c r="F14" s="16">
        <v>11420</v>
      </c>
      <c r="G14" s="16">
        <v>3791</v>
      </c>
      <c r="H14" s="16">
        <v>56</v>
      </c>
      <c r="I14" s="16">
        <v>19650</v>
      </c>
      <c r="J14" s="16"/>
      <c r="K14" s="16"/>
      <c r="L14" s="16"/>
      <c r="M14" t="s">
        <v>219</v>
      </c>
    </row>
    <row r="15" spans="1:13" x14ac:dyDescent="0.2">
      <c r="A15">
        <v>14</v>
      </c>
      <c r="B15">
        <v>13</v>
      </c>
      <c r="C15" t="str">
        <f>VLOOKUP('For Hire 2012-13'!B15,'For Hire 2011-12'!$A$4:$C$103,3)</f>
        <v>Werner Enterprises</v>
      </c>
      <c r="D15" s="16">
        <v>2029183</v>
      </c>
      <c r="E15" s="16">
        <v>86785</v>
      </c>
      <c r="F15" s="16">
        <v>11642</v>
      </c>
      <c r="G15" s="16">
        <f>6380+670</f>
        <v>7050</v>
      </c>
      <c r="H15" s="16"/>
      <c r="I15" s="16">
        <v>21980</v>
      </c>
      <c r="J15" s="16"/>
      <c r="K15" s="16">
        <v>16</v>
      </c>
      <c r="L15" s="16"/>
      <c r="M15" t="s">
        <v>215</v>
      </c>
    </row>
    <row r="16" spans="1:13" x14ac:dyDescent="0.2">
      <c r="A16">
        <v>15</v>
      </c>
      <c r="B16">
        <v>14</v>
      </c>
      <c r="C16" t="str">
        <f>VLOOKUP('For Hire 2012-13'!B16,'For Hire 2011-12'!$A$4:$C$103,3)</f>
        <v>Sirva Inc.</v>
      </c>
      <c r="D16" s="16">
        <v>1994200</v>
      </c>
      <c r="E16" s="16">
        <v>9700</v>
      </c>
      <c r="F16" s="16">
        <v>2700</v>
      </c>
      <c r="G16" s="16">
        <f>1+1831</f>
        <v>1832</v>
      </c>
      <c r="H16" s="16">
        <v>506</v>
      </c>
      <c r="I16" s="16">
        <v>6516</v>
      </c>
      <c r="J16" s="16"/>
      <c r="K16" s="16"/>
      <c r="L16" s="16"/>
      <c r="M16" t="s">
        <v>214</v>
      </c>
    </row>
    <row r="17" spans="1:13" x14ac:dyDescent="0.2">
      <c r="A17">
        <v>16</v>
      </c>
      <c r="B17">
        <v>15</v>
      </c>
      <c r="C17" t="str">
        <f>VLOOKUP('For Hire 2012-13'!B17,'For Hire 2011-12'!$A$4:$C$103,3)</f>
        <v>Estes Express Lines</v>
      </c>
      <c r="D17" s="16">
        <v>1948535</v>
      </c>
      <c r="E17" s="16"/>
      <c r="F17" s="16">
        <v>14909</v>
      </c>
      <c r="G17" s="16">
        <v>6277</v>
      </c>
      <c r="H17" s="16">
        <v>398</v>
      </c>
      <c r="I17" s="16">
        <v>24102</v>
      </c>
      <c r="J17" s="16"/>
      <c r="K17" s="16"/>
      <c r="L17" s="16"/>
      <c r="M17" t="s">
        <v>221</v>
      </c>
    </row>
    <row r="18" spans="1:13" x14ac:dyDescent="0.2">
      <c r="A18">
        <v>17</v>
      </c>
      <c r="B18">
        <v>18</v>
      </c>
      <c r="C18" t="str">
        <f>VLOOKUP('For Hire 2012-13'!B18,'For Hire 2011-12'!$A$4:$C$103,3)</f>
        <v>UniGroup Inc.</v>
      </c>
      <c r="D18" s="16">
        <v>1700000</v>
      </c>
      <c r="E18" s="16"/>
      <c r="F18" s="16">
        <v>1050</v>
      </c>
      <c r="G18" s="16">
        <f>1+6300</f>
        <v>6301</v>
      </c>
      <c r="H18" s="16">
        <v>4500</v>
      </c>
      <c r="I18" s="16">
        <v>10000</v>
      </c>
      <c r="J18" s="16"/>
      <c r="K18" s="16">
        <v>16500</v>
      </c>
      <c r="L18" s="16"/>
      <c r="M18" t="s">
        <v>218</v>
      </c>
    </row>
    <row r="19" spans="1:13" x14ac:dyDescent="0.2">
      <c r="A19">
        <v>18</v>
      </c>
      <c r="B19">
        <v>16</v>
      </c>
      <c r="C19" t="str">
        <f>VLOOKUP('For Hire 2012-13'!B19,'For Hire 2011-12'!$A$4:$C$103,3)</f>
        <v>U.S. Xpress Enterprises</v>
      </c>
      <c r="D19" s="16">
        <v>1600000</v>
      </c>
      <c r="E19" s="16"/>
      <c r="F19" s="16">
        <v>9700</v>
      </c>
      <c r="G19" s="16">
        <f>6800+575+621</f>
        <v>7996</v>
      </c>
      <c r="H19" s="16"/>
      <c r="I19" s="16">
        <v>17000</v>
      </c>
      <c r="J19" s="16"/>
      <c r="K19" s="16"/>
      <c r="L19" s="16"/>
      <c r="M19" t="s">
        <v>220</v>
      </c>
    </row>
    <row r="20" spans="1:13" x14ac:dyDescent="0.2">
      <c r="A20">
        <v>19</v>
      </c>
      <c r="B20">
        <v>17</v>
      </c>
      <c r="C20" t="str">
        <f>VLOOKUP('For Hire 2012-13'!B20,'For Hire 2011-12'!$A$4:$C$103,3)</f>
        <v>Purolator Inc.</v>
      </c>
      <c r="D20" s="16">
        <v>1575391</v>
      </c>
      <c r="E20" s="16"/>
      <c r="F20" s="16">
        <v>12000</v>
      </c>
      <c r="G20" s="16">
        <v>493</v>
      </c>
      <c r="H20" s="16">
        <v>169</v>
      </c>
      <c r="I20" s="16">
        <v>1292</v>
      </c>
      <c r="J20" s="16"/>
      <c r="K20" s="16"/>
      <c r="L20" s="16"/>
      <c r="M20" t="s">
        <v>222</v>
      </c>
    </row>
    <row r="21" spans="1:13" x14ac:dyDescent="0.2">
      <c r="A21">
        <v>20</v>
      </c>
      <c r="B21">
        <v>19</v>
      </c>
      <c r="C21" t="str">
        <f>VLOOKUP('For Hire 2012-13'!B21,'For Hire 2011-12'!$A$4:$C$103,3)</f>
        <v>C.R. England Inc.</v>
      </c>
      <c r="D21" s="16">
        <v>1495597</v>
      </c>
      <c r="E21" s="16"/>
      <c r="F21" s="16">
        <v>7352</v>
      </c>
      <c r="G21" s="16">
        <f>3412+819+267</f>
        <v>4498</v>
      </c>
      <c r="H21" s="16"/>
      <c r="I21" s="16">
        <v>6400</v>
      </c>
      <c r="J21" s="16"/>
      <c r="K21" s="16">
        <v>1200</v>
      </c>
      <c r="L21" s="16"/>
      <c r="M21" t="s">
        <v>225</v>
      </c>
    </row>
    <row r="22" spans="1:13" x14ac:dyDescent="0.2">
      <c r="A22">
        <v>21</v>
      </c>
      <c r="B22">
        <v>24</v>
      </c>
      <c r="C22" t="str">
        <f>VLOOKUP('For Hire 2012-13'!B22,'For Hire 2011-12'!$A$4:$C$103,3)</f>
        <v>Roadrunner Transportation Systems</v>
      </c>
      <c r="D22" s="16">
        <v>1361410</v>
      </c>
      <c r="E22" s="16">
        <v>48996</v>
      </c>
      <c r="F22" s="16">
        <v>3325</v>
      </c>
      <c r="G22" s="16">
        <f>740+2983</f>
        <v>3723</v>
      </c>
      <c r="H22" s="16"/>
      <c r="I22" s="16">
        <v>3429</v>
      </c>
      <c r="J22" s="16"/>
      <c r="K22" s="16"/>
      <c r="L22" s="16"/>
      <c r="M22" t="s">
        <v>250</v>
      </c>
    </row>
    <row r="23" spans="1:13" x14ac:dyDescent="0.2">
      <c r="A23">
        <v>22</v>
      </c>
      <c r="B23">
        <v>21</v>
      </c>
      <c r="C23" t="str">
        <f>VLOOKUP('For Hire 2012-13'!B23,'For Hire 2011-12'!$A$4:$C$103,3)</f>
        <v>Prime Inc.</v>
      </c>
      <c r="D23" s="16">
        <v>1300998</v>
      </c>
      <c r="E23" s="16">
        <v>163439</v>
      </c>
      <c r="F23" s="16">
        <v>4400</v>
      </c>
      <c r="G23" s="16">
        <f>2021+3168+158</f>
        <v>5347</v>
      </c>
      <c r="H23" s="16"/>
      <c r="I23" s="16">
        <v>9436</v>
      </c>
      <c r="J23" s="16"/>
      <c r="K23" s="16"/>
      <c r="L23" s="16"/>
      <c r="M23" t="s">
        <v>228</v>
      </c>
    </row>
    <row r="24" spans="1:13" x14ac:dyDescent="0.2">
      <c r="A24">
        <v>23</v>
      </c>
      <c r="B24">
        <v>23</v>
      </c>
      <c r="C24" t="str">
        <f>VLOOKUP('For Hire 2012-13'!B24,'For Hire 2011-12'!$A$4:$C$103,3)</f>
        <v>Kenan Advantage Group</v>
      </c>
      <c r="D24" s="16">
        <v>1286631</v>
      </c>
      <c r="E24" s="16"/>
      <c r="F24" s="16">
        <v>7530</v>
      </c>
      <c r="G24" s="16">
        <f>4449+488+1364</f>
        <v>6301</v>
      </c>
      <c r="H24" s="16"/>
      <c r="I24" s="16">
        <v>9774</v>
      </c>
      <c r="J24" s="16"/>
      <c r="K24" s="16"/>
      <c r="L24" s="16"/>
      <c r="M24" t="s">
        <v>236</v>
      </c>
    </row>
    <row r="25" spans="1:13" x14ac:dyDescent="0.2">
      <c r="A25">
        <v>24</v>
      </c>
      <c r="B25">
        <v>20</v>
      </c>
      <c r="C25" t="str">
        <f>VLOOKUP('For Hire 2012-13'!B25,'For Hire 2011-12'!$A$4:$C$103,3)</f>
        <v>CRST International</v>
      </c>
      <c r="D25" s="16">
        <v>1269899</v>
      </c>
      <c r="E25" s="16"/>
      <c r="F25" s="16">
        <v>4975</v>
      </c>
      <c r="G25" s="16">
        <f>1870+1208+1412</f>
        <v>4490</v>
      </c>
      <c r="H25" s="16">
        <v>5</v>
      </c>
      <c r="I25" s="16">
        <v>7552</v>
      </c>
      <c r="J25" s="16"/>
      <c r="K25" s="16"/>
      <c r="L25" s="16"/>
      <c r="M25" t="s">
        <v>235</v>
      </c>
    </row>
    <row r="26" spans="1:13" x14ac:dyDescent="0.2">
      <c r="A26">
        <v>25</v>
      </c>
      <c r="B26">
        <v>22</v>
      </c>
      <c r="C26" t="str">
        <f>VLOOKUP('For Hire 2012-13'!B26,'For Hire 2011-12'!$A$4:$C$103,3)</f>
        <v>Saia Inc.</v>
      </c>
      <c r="D26" s="16">
        <v>1139044</v>
      </c>
      <c r="E26" s="16">
        <v>43627</v>
      </c>
      <c r="F26" s="16">
        <v>8400</v>
      </c>
      <c r="G26" s="16">
        <v>3426</v>
      </c>
      <c r="H26" s="16">
        <v>35</v>
      </c>
      <c r="I26" s="16">
        <v>10848</v>
      </c>
      <c r="J26" s="16"/>
      <c r="K26" s="16"/>
      <c r="L26" s="16"/>
      <c r="M26" t="s">
        <v>227</v>
      </c>
    </row>
    <row r="27" spans="1:13" x14ac:dyDescent="0.2">
      <c r="A27">
        <v>26</v>
      </c>
      <c r="B27">
        <v>25</v>
      </c>
      <c r="C27" t="str">
        <f>VLOOKUP('For Hire 2012-13'!B27,'For Hire 2011-12'!$A$4:$C$103,3)</f>
        <v>NFI Industries</v>
      </c>
      <c r="D27" s="16">
        <v>1090000</v>
      </c>
      <c r="E27" s="16"/>
      <c r="F27" s="16">
        <v>7600</v>
      </c>
      <c r="G27" s="16">
        <f>2050+250</f>
        <v>2300</v>
      </c>
      <c r="H27" s="16"/>
      <c r="I27" s="16">
        <v>7400</v>
      </c>
      <c r="J27" s="16"/>
      <c r="K27" s="16">
        <v>170</v>
      </c>
      <c r="L27" s="16"/>
      <c r="M27" t="s">
        <v>229</v>
      </c>
    </row>
    <row r="28" spans="1:13" x14ac:dyDescent="0.2">
      <c r="A28">
        <v>27</v>
      </c>
      <c r="B28">
        <v>27</v>
      </c>
      <c r="C28" t="str">
        <f>VLOOKUP('For Hire 2012-13'!B28,'For Hire 2011-12'!$A$4:$C$103,3)</f>
        <v>Southeastern Freight Lines</v>
      </c>
      <c r="D28" s="16">
        <v>1065188</v>
      </c>
      <c r="E28" s="16"/>
      <c r="F28" s="16">
        <v>8030</v>
      </c>
      <c r="G28" s="16">
        <f>3082+236</f>
        <v>3318</v>
      </c>
      <c r="H28" s="16">
        <v>23</v>
      </c>
      <c r="I28" s="16">
        <v>11042</v>
      </c>
      <c r="J28" s="16"/>
      <c r="K28" s="16"/>
      <c r="L28" s="16"/>
      <c r="M28" t="s">
        <v>232</v>
      </c>
    </row>
    <row r="29" spans="1:13" x14ac:dyDescent="0.2">
      <c r="A29">
        <v>28</v>
      </c>
      <c r="B29">
        <v>26</v>
      </c>
      <c r="C29" t="str">
        <f>VLOOKUP('For Hire 2012-13'!B29,'For Hire 2011-12'!$A$4:$C$103,3)</f>
        <v>Universal Truckload Services Inc</v>
      </c>
      <c r="D29" s="16">
        <v>1033492</v>
      </c>
      <c r="E29" s="16">
        <v>50572</v>
      </c>
      <c r="F29" s="16">
        <v>4339</v>
      </c>
      <c r="G29" s="16">
        <f>734+3403</f>
        <v>4137</v>
      </c>
      <c r="H29" s="16"/>
      <c r="I29" s="16">
        <v>6198</v>
      </c>
      <c r="J29" s="16"/>
      <c r="K29" s="16">
        <v>800</v>
      </c>
      <c r="L29" s="16">
        <v>778</v>
      </c>
      <c r="M29" t="s">
        <v>243</v>
      </c>
    </row>
    <row r="30" spans="1:13" x14ac:dyDescent="0.2">
      <c r="A30">
        <v>29</v>
      </c>
      <c r="B30">
        <v>29</v>
      </c>
      <c r="C30" t="str">
        <f>VLOOKUP('For Hire 2012-13'!B30,'For Hire 2011-12'!$A$4:$C$103,3)</f>
        <v>Averitt Express</v>
      </c>
      <c r="D30" s="16">
        <v>1020000</v>
      </c>
      <c r="E30" s="16"/>
      <c r="F30" s="16" t="s">
        <v>357</v>
      </c>
      <c r="G30" s="16">
        <v>4121</v>
      </c>
      <c r="H30" s="16">
        <v>42</v>
      </c>
      <c r="I30" s="16">
        <v>12139</v>
      </c>
      <c r="J30" s="16"/>
      <c r="K30" s="16"/>
      <c r="L30" s="16"/>
      <c r="M30" t="s">
        <v>230</v>
      </c>
    </row>
    <row r="31" spans="1:13" x14ac:dyDescent="0.2">
      <c r="A31">
        <v>30</v>
      </c>
      <c r="B31">
        <v>28</v>
      </c>
      <c r="C31" t="str">
        <f>VLOOKUP('For Hire 2012-13'!B31,'For Hire 2011-12'!$A$4:$C$103,3)</f>
        <v>Crete Carrier Corp</v>
      </c>
      <c r="D31" s="16">
        <v>1008165</v>
      </c>
      <c r="E31" s="16"/>
      <c r="F31" s="16">
        <v>5524</v>
      </c>
      <c r="G31" s="16">
        <v>5300</v>
      </c>
      <c r="H31" s="16"/>
      <c r="I31" s="16">
        <v>13614</v>
      </c>
      <c r="J31" s="16"/>
      <c r="K31" s="16"/>
      <c r="L31" s="16"/>
      <c r="M31" t="s">
        <v>226</v>
      </c>
    </row>
    <row r="32" spans="1:13" x14ac:dyDescent="0.2">
      <c r="A32">
        <v>31</v>
      </c>
      <c r="B32">
        <v>31</v>
      </c>
      <c r="C32" t="str">
        <f>VLOOKUP('For Hire 2012-13'!B32,'For Hire 2011-12'!$A$4:$C$103,3)</f>
        <v>Knight Transportation</v>
      </c>
      <c r="D32" s="16">
        <v>969237</v>
      </c>
      <c r="E32" s="16">
        <v>69282</v>
      </c>
      <c r="F32" s="16">
        <v>4600</v>
      </c>
      <c r="G32" s="16">
        <f>3539+452</f>
        <v>3991</v>
      </c>
      <c r="H32" s="16"/>
      <c r="I32" s="16">
        <v>9181</v>
      </c>
      <c r="J32" s="16"/>
      <c r="K32" s="16"/>
      <c r="L32" s="16"/>
      <c r="M32" t="s">
        <v>237</v>
      </c>
    </row>
    <row r="33" spans="1:13" x14ac:dyDescent="0.2">
      <c r="A33">
        <v>32</v>
      </c>
      <c r="B33">
        <v>30</v>
      </c>
      <c r="C33" t="str">
        <f>VLOOKUP('For Hire 2012-13'!B33,'For Hire 2011-12'!$A$4:$C$103,3)</f>
        <v>Penske Logistics</v>
      </c>
      <c r="D33" s="16">
        <v>968000</v>
      </c>
      <c r="E33" s="16"/>
      <c r="F33" s="16">
        <v>10000</v>
      </c>
      <c r="G33" s="16">
        <v>1598</v>
      </c>
      <c r="H33" s="16">
        <v>224</v>
      </c>
      <c r="I33" s="16">
        <v>2816</v>
      </c>
      <c r="J33" s="16"/>
      <c r="K33" s="16"/>
      <c r="L33" s="16"/>
      <c r="M33" t="s">
        <v>209</v>
      </c>
    </row>
    <row r="34" spans="1:13" x14ac:dyDescent="0.2">
      <c r="A34">
        <v>33</v>
      </c>
      <c r="B34">
        <v>47</v>
      </c>
      <c r="C34" t="str">
        <f>VLOOKUP('For Hire 2012-13'!B34,'For Hire 2011-12'!$A$4:$C$103,3)</f>
        <v>Heartland Express</v>
      </c>
      <c r="D34" s="16">
        <v>961525</v>
      </c>
      <c r="E34" s="16">
        <v>90821</v>
      </c>
      <c r="F34" s="16">
        <v>5220</v>
      </c>
      <c r="G34" s="16">
        <v>4878</v>
      </c>
      <c r="H34" s="16"/>
      <c r="I34" s="16">
        <v>14372</v>
      </c>
      <c r="J34" s="16"/>
      <c r="K34" s="16"/>
      <c r="L34" s="16"/>
      <c r="M34" t="s">
        <v>249</v>
      </c>
    </row>
    <row r="35" spans="1:13" x14ac:dyDescent="0.2">
      <c r="A35">
        <v>34</v>
      </c>
      <c r="B35">
        <v>35</v>
      </c>
      <c r="C35" t="str">
        <f>VLOOKUP('For Hire 2012-13'!B35,'For Hire 2011-12'!$A$4:$C$103,3)</f>
        <v>Quality Distribution Inc</v>
      </c>
      <c r="D35" s="16">
        <v>929810</v>
      </c>
      <c r="E35" s="16">
        <v>42038</v>
      </c>
      <c r="F35" s="16">
        <v>1145</v>
      </c>
      <c r="G35" s="16">
        <f>832+1178+889</f>
        <v>2899</v>
      </c>
      <c r="H35" s="16"/>
      <c r="I35" s="16">
        <v>5255</v>
      </c>
      <c r="J35" s="16"/>
      <c r="K35" s="16"/>
      <c r="L35" s="16"/>
      <c r="M35" t="s">
        <v>239</v>
      </c>
    </row>
    <row r="36" spans="1:13" x14ac:dyDescent="0.2">
      <c r="A36">
        <v>35</v>
      </c>
      <c r="B36">
        <v>33</v>
      </c>
      <c r="C36" t="str">
        <f>VLOOKUP('For Hire 2012-13'!B36,'For Hire 2011-12'!$A$4:$C$103,3)</f>
        <v xml:space="preserve"> Lynden Inc.</v>
      </c>
      <c r="D36" s="16">
        <v>875000</v>
      </c>
      <c r="E36" s="16"/>
      <c r="F36" s="16">
        <v>2540</v>
      </c>
      <c r="G36" s="16">
        <f>483+187</f>
        <v>670</v>
      </c>
      <c r="H36" s="16">
        <f>32+33</f>
        <v>65</v>
      </c>
      <c r="I36" s="16">
        <v>3612</v>
      </c>
      <c r="J36" s="16"/>
      <c r="K36" s="16">
        <v>12154</v>
      </c>
      <c r="L36" s="16">
        <v>1558</v>
      </c>
      <c r="M36" t="s">
        <v>234</v>
      </c>
    </row>
    <row r="37" spans="1:13" x14ac:dyDescent="0.2">
      <c r="A37">
        <v>36</v>
      </c>
      <c r="B37">
        <v>37</v>
      </c>
      <c r="C37" t="str">
        <f>VLOOKUP('For Hire 2012-13'!B37,'For Hire 2011-12'!$A$4:$C$103,3)</f>
        <v>Atlas World Group</v>
      </c>
      <c r="D37" s="16">
        <v>844827</v>
      </c>
      <c r="E37" s="16">
        <v>7747</v>
      </c>
      <c r="F37" s="16">
        <v>700</v>
      </c>
      <c r="G37" s="16">
        <f>14+2126</f>
        <v>2140</v>
      </c>
      <c r="H37" s="16">
        <v>1551</v>
      </c>
      <c r="I37" s="16">
        <v>3922</v>
      </c>
      <c r="J37" s="16"/>
      <c r="K37" s="16"/>
      <c r="L37" s="16"/>
      <c r="M37" t="s">
        <v>231</v>
      </c>
    </row>
    <row r="38" spans="1:13" x14ac:dyDescent="0.2">
      <c r="A38">
        <v>37</v>
      </c>
      <c r="B38">
        <v>53</v>
      </c>
      <c r="C38" t="str">
        <f>VLOOKUP('For Hire 2012-13'!B38,'For Hire 2011-12'!$A$4:$C$103,3)</f>
        <v>Jack Cooper Transport Co.</v>
      </c>
      <c r="D38" s="16">
        <v>825000</v>
      </c>
      <c r="E38" s="16"/>
      <c r="F38" s="16">
        <v>4500</v>
      </c>
      <c r="G38" s="16">
        <v>4000</v>
      </c>
      <c r="H38" s="16"/>
      <c r="I38" s="16"/>
      <c r="J38" s="16"/>
      <c r="K38" s="16"/>
      <c r="L38" s="16"/>
      <c r="M38" t="s">
        <v>304</v>
      </c>
    </row>
    <row r="39" spans="1:13" x14ac:dyDescent="0.2">
      <c r="A39">
        <v>38</v>
      </c>
      <c r="B39">
        <v>38</v>
      </c>
      <c r="C39" t="str">
        <f>VLOOKUP('For Hire 2012-13'!B39,'For Hire 2011-12'!$A$4:$C$103,3)</f>
        <v>Ruan Transportation Management Systems</v>
      </c>
      <c r="D39" s="16">
        <v>807507</v>
      </c>
      <c r="E39" s="16"/>
      <c r="F39" s="16">
        <v>5088</v>
      </c>
      <c r="G39" s="16">
        <v>3651</v>
      </c>
      <c r="H39" s="16">
        <v>39</v>
      </c>
      <c r="I39" s="16">
        <v>6683</v>
      </c>
      <c r="J39" s="16"/>
      <c r="K39" s="16">
        <v>302</v>
      </c>
      <c r="L39" s="16"/>
      <c r="M39" t="s">
        <v>233</v>
      </c>
    </row>
    <row r="40" spans="1:13" x14ac:dyDescent="0.2">
      <c r="A40">
        <v>39</v>
      </c>
      <c r="B40">
        <v>36</v>
      </c>
      <c r="C40" t="str">
        <f>VLOOKUP('For Hire 2012-13'!B40,'For Hire 2011-12'!$A$4:$C$103,3)</f>
        <v>Day &amp; Ross Transportation1 Group</v>
      </c>
      <c r="D40" s="16">
        <v>796476</v>
      </c>
      <c r="E40" s="16"/>
      <c r="F40" s="16">
        <v>1734</v>
      </c>
      <c r="G40" s="16">
        <f>110+136+1366</f>
        <v>1612</v>
      </c>
      <c r="H40" s="16">
        <v>339</v>
      </c>
      <c r="I40" s="16">
        <v>2629</v>
      </c>
      <c r="J40" s="16"/>
      <c r="K40" s="16"/>
      <c r="L40" s="16">
        <v>69</v>
      </c>
      <c r="M40" t="s">
        <v>305</v>
      </c>
    </row>
    <row r="41" spans="1:13" x14ac:dyDescent="0.2">
      <c r="A41">
        <v>40</v>
      </c>
      <c r="B41">
        <v>39</v>
      </c>
      <c r="C41" t="str">
        <f>VLOOKUP('For Hire 2012-13'!B41,'For Hire 2011-12'!$A$4:$C$103,3)</f>
        <v xml:space="preserve">Trimac Group </v>
      </c>
      <c r="D41" s="16">
        <v>761000</v>
      </c>
      <c r="E41" s="16"/>
      <c r="F41" s="16">
        <v>3345</v>
      </c>
      <c r="G41" s="16">
        <f>1127+843</f>
        <v>1970</v>
      </c>
      <c r="H41" s="16"/>
      <c r="I41" s="16">
        <v>4801</v>
      </c>
      <c r="J41" s="16"/>
      <c r="K41" s="16"/>
      <c r="L41" s="16"/>
      <c r="M41" t="s">
        <v>244</v>
      </c>
    </row>
    <row r="42" spans="1:13" x14ac:dyDescent="0.2">
      <c r="A42">
        <v>41</v>
      </c>
      <c r="B42">
        <v>32</v>
      </c>
      <c r="C42" t="str">
        <f>VLOOKUP('For Hire 2012-13'!B42,'For Hire 2011-12'!$A$4:$C$103,3)</f>
        <v>Anderson Trucking Service</v>
      </c>
      <c r="D42" s="16">
        <v>750204</v>
      </c>
      <c r="E42" s="16"/>
      <c r="F42" s="16">
        <v>1300</v>
      </c>
      <c r="G42" s="16">
        <f>493+703+1009</f>
        <v>2205</v>
      </c>
      <c r="H42" s="16"/>
      <c r="I42" s="16">
        <v>5300</v>
      </c>
      <c r="J42" s="16"/>
      <c r="K42" s="16"/>
      <c r="L42" s="16"/>
      <c r="M42" t="s">
        <v>241</v>
      </c>
    </row>
    <row r="43" spans="1:13" x14ac:dyDescent="0.2">
      <c r="A43">
        <v>42</v>
      </c>
      <c r="B43">
        <v>74</v>
      </c>
      <c r="C43" t="str">
        <f>VLOOKUP('For Hire 2012-13'!B43,'For Hire 2011-12'!$A$4:$C$103,3)</f>
        <v>KLLM Transport Services</v>
      </c>
      <c r="D43" s="16">
        <v>743682</v>
      </c>
      <c r="E43" s="16"/>
      <c r="F43" s="16"/>
      <c r="G43" s="16">
        <v>3250</v>
      </c>
      <c r="H43" s="16"/>
      <c r="I43" s="16">
        <v>4600</v>
      </c>
      <c r="J43" s="16"/>
      <c r="K43" s="16"/>
      <c r="L43" s="16"/>
      <c r="M43" t="s">
        <v>272</v>
      </c>
    </row>
    <row r="44" spans="1:13" x14ac:dyDescent="0.2">
      <c r="A44">
        <v>43</v>
      </c>
      <c r="B44">
        <v>41</v>
      </c>
      <c r="C44" t="str">
        <f>VLOOKUP('For Hire 2012-13'!B44,'For Hire 2011-12'!$A$4:$C$103,3)</f>
        <v>Covenant  Transportation</v>
      </c>
      <c r="D44" s="16">
        <v>684549</v>
      </c>
      <c r="E44" s="16">
        <v>5244</v>
      </c>
      <c r="F44" s="16">
        <v>4204</v>
      </c>
      <c r="G44" s="16">
        <f>2456+232</f>
        <v>2688</v>
      </c>
      <c r="H44" s="16"/>
      <c r="I44" s="16">
        <v>6861</v>
      </c>
      <c r="J44" s="16"/>
      <c r="K44" s="16"/>
      <c r="L44" s="16"/>
      <c r="M44" t="s">
        <v>240</v>
      </c>
    </row>
    <row r="45" spans="1:13" x14ac:dyDescent="0.2">
      <c r="A45">
        <v>44</v>
      </c>
      <c r="B45">
        <v>44</v>
      </c>
      <c r="C45" t="str">
        <f>VLOOKUP('For Hire 2012-13'!B45,'For Hire 2011-12'!$A$4:$C$103,3)</f>
        <v>Celadon Group1</v>
      </c>
      <c r="D45" s="16">
        <v>680936</v>
      </c>
      <c r="E45" s="16">
        <v>23314</v>
      </c>
      <c r="F45" s="16"/>
      <c r="G45" s="16">
        <f>1941+1213+636</f>
        <v>3790</v>
      </c>
      <c r="H45" s="16"/>
      <c r="I45" s="16">
        <v>8385</v>
      </c>
      <c r="J45" s="16"/>
      <c r="K45" s="16">
        <v>185</v>
      </c>
      <c r="L45" s="16">
        <v>64</v>
      </c>
      <c r="M45" t="s">
        <v>245</v>
      </c>
    </row>
    <row r="46" spans="1:13" x14ac:dyDescent="0.2">
      <c r="A46">
        <v>45</v>
      </c>
      <c r="B46">
        <v>42</v>
      </c>
      <c r="C46" t="str">
        <f>VLOOKUP('For Hire 2012-13'!B46,'For Hire 2011-12'!$A$4:$C$103,3)</f>
        <v>Marten Transport</v>
      </c>
      <c r="D46" s="16">
        <v>659214</v>
      </c>
      <c r="E46" s="16">
        <v>30147</v>
      </c>
      <c r="F46" s="16">
        <v>3045</v>
      </c>
      <c r="G46" s="16">
        <f>2206+49</f>
        <v>2255</v>
      </c>
      <c r="H46" s="16"/>
      <c r="I46" s="16">
        <v>4105</v>
      </c>
      <c r="J46" s="16"/>
      <c r="K46" s="16"/>
      <c r="L46" s="16"/>
      <c r="M46" t="s">
        <v>242</v>
      </c>
    </row>
    <row r="47" spans="1:13" x14ac:dyDescent="0.2">
      <c r="A47">
        <v>46</v>
      </c>
      <c r="B47">
        <v>45</v>
      </c>
      <c r="C47" t="str">
        <f>VLOOKUP('For Hire 2012-13'!B47,'For Hire 2011-12'!$A$4:$C$103,3)</f>
        <v>Forward Air Corp.</v>
      </c>
      <c r="D47" s="16">
        <v>652481</v>
      </c>
      <c r="E47" s="16">
        <v>54467</v>
      </c>
      <c r="F47" s="16">
        <v>3537</v>
      </c>
      <c r="G47" s="16">
        <f>233+1284</f>
        <v>1517</v>
      </c>
      <c r="H47" s="16">
        <v>196</v>
      </c>
      <c r="I47" s="16">
        <v>3017</v>
      </c>
      <c r="J47" s="16"/>
      <c r="K47" s="16"/>
      <c r="L47" s="16">
        <v>50</v>
      </c>
      <c r="M47" t="s">
        <v>255</v>
      </c>
    </row>
    <row r="48" spans="1:13" x14ac:dyDescent="0.2">
      <c r="A48">
        <v>47</v>
      </c>
      <c r="B48">
        <v>43</v>
      </c>
      <c r="C48" t="str">
        <f>VLOOKUP('For Hire 2012-13'!B48,'For Hire 2011-12'!$A$4:$C$103,3)</f>
        <v>Stevens Transport</v>
      </c>
      <c r="D48" s="16">
        <v>642138</v>
      </c>
      <c r="E48" s="16">
        <v>86285</v>
      </c>
      <c r="F48" s="16">
        <v>2835</v>
      </c>
      <c r="G48" s="16">
        <f>1890+820</f>
        <v>2710</v>
      </c>
      <c r="I48" s="16">
        <v>3615</v>
      </c>
      <c r="J48" s="16"/>
      <c r="K48" s="16"/>
      <c r="L48" s="16"/>
      <c r="M48" t="s">
        <v>246</v>
      </c>
    </row>
    <row r="49" spans="1:13" x14ac:dyDescent="0.2">
      <c r="A49">
        <v>48</v>
      </c>
      <c r="B49">
        <v>46</v>
      </c>
      <c r="C49" t="str">
        <f>VLOOKUP('For Hire 2012-13'!B49,'For Hire 2011-12'!$A$4:$C$103,3)</f>
        <v>AAA Cooper Transportation</v>
      </c>
      <c r="D49" s="16">
        <v>580372</v>
      </c>
      <c r="E49" s="16"/>
      <c r="F49" s="16">
        <v>4500</v>
      </c>
      <c r="G49" s="16">
        <v>2450</v>
      </c>
      <c r="H49" s="16"/>
      <c r="I49" s="16">
        <v>6000</v>
      </c>
      <c r="J49" s="16"/>
      <c r="K49" s="16"/>
      <c r="L49" s="16"/>
      <c r="M49" t="s">
        <v>254</v>
      </c>
    </row>
    <row r="50" spans="1:13" x14ac:dyDescent="0.2">
      <c r="A50">
        <v>49</v>
      </c>
      <c r="B50">
        <v>51</v>
      </c>
      <c r="C50" t="str">
        <f>VLOOKUP('For Hire 2012-13'!B50,'For Hire 2011-12'!$A$4:$C$103,3)</f>
        <v>Contrans Group</v>
      </c>
      <c r="D50" s="16">
        <v>555715</v>
      </c>
      <c r="E50" s="16">
        <v>28577</v>
      </c>
      <c r="F50" s="16"/>
      <c r="G50" s="16">
        <v>1400</v>
      </c>
      <c r="H50" s="16"/>
      <c r="I50" s="16">
        <v>2600</v>
      </c>
      <c r="J50" s="16"/>
      <c r="K50" s="16"/>
      <c r="L50" s="16"/>
      <c r="M50" t="s">
        <v>261</v>
      </c>
    </row>
    <row r="51" spans="1:13" x14ac:dyDescent="0.2">
      <c r="A51">
        <v>50</v>
      </c>
      <c r="B51">
        <v>52</v>
      </c>
      <c r="C51" t="str">
        <f>VLOOKUP('For Hire 2012-13'!B51,'For Hire 2011-12'!$A$4:$C$103,3)</f>
        <v>USA Truck</v>
      </c>
      <c r="D51" s="16">
        <v>555005</v>
      </c>
      <c r="E51" s="16">
        <v>9110</v>
      </c>
      <c r="F51" s="16">
        <v>2750</v>
      </c>
      <c r="G51" s="16">
        <f>2113+135</f>
        <v>2248</v>
      </c>
      <c r="H51" s="16"/>
      <c r="I51" s="16">
        <v>6054</v>
      </c>
      <c r="J51" s="16"/>
      <c r="K51" s="16"/>
      <c r="L51" s="16"/>
      <c r="M51" t="s">
        <v>257</v>
      </c>
    </row>
    <row r="52" spans="1:13" x14ac:dyDescent="0.2">
      <c r="A52">
        <v>51</v>
      </c>
      <c r="B52">
        <v>48</v>
      </c>
      <c r="C52" t="str">
        <f>VLOOKUP('For Hire 2012-13'!B52,'For Hire 2011-12'!$A$4:$C$103,3)</f>
        <v>Canada catage system</v>
      </c>
      <c r="D52" s="16">
        <v>541800</v>
      </c>
      <c r="E52" s="16"/>
      <c r="F52" s="16">
        <v>3800</v>
      </c>
      <c r="G52" s="16">
        <f>1578+668</f>
        <v>2246</v>
      </c>
      <c r="H52" s="16">
        <v>359</v>
      </c>
      <c r="I52" s="16">
        <v>2589</v>
      </c>
      <c r="J52" s="16"/>
      <c r="K52" s="16"/>
      <c r="L52" s="16"/>
      <c r="M52" t="s">
        <v>260</v>
      </c>
    </row>
    <row r="53" spans="1:13" x14ac:dyDescent="0.2">
      <c r="A53">
        <v>52</v>
      </c>
      <c r="B53">
        <v>49</v>
      </c>
      <c r="C53" t="str">
        <f>VLOOKUP('For Hire 2012-13'!B53,'For Hire 2011-12'!$A$4:$C$103,3)</f>
        <v>Mullen Group</v>
      </c>
      <c r="D53" s="16">
        <v>537858</v>
      </c>
      <c r="E53" s="16"/>
      <c r="F53" s="16">
        <v>2170</v>
      </c>
      <c r="G53" s="16">
        <f>678+647</f>
        <v>1325</v>
      </c>
      <c r="H53" s="16">
        <f>252+178</f>
        <v>430</v>
      </c>
      <c r="I53" s="16">
        <v>3329</v>
      </c>
      <c r="J53" s="16"/>
      <c r="K53" s="16">
        <v>555</v>
      </c>
      <c r="L53" s="16">
        <v>166</v>
      </c>
      <c r="M53" t="s">
        <v>262</v>
      </c>
    </row>
    <row r="54" spans="1:13" x14ac:dyDescent="0.2">
      <c r="A54">
        <v>53</v>
      </c>
      <c r="B54">
        <v>50</v>
      </c>
      <c r="C54" t="str">
        <f>VLOOKUP('For Hire 2012-13'!B54,'For Hire 2011-12'!$A$4:$C$103,3)</f>
        <v>TransX Group</v>
      </c>
      <c r="D54" s="16">
        <v>533061</v>
      </c>
      <c r="E54" s="16"/>
      <c r="F54" s="16">
        <v>2630</v>
      </c>
      <c r="G54" s="16">
        <f>650+890</f>
        <v>1540</v>
      </c>
      <c r="H54" s="16"/>
      <c r="I54" s="16">
        <v>4280</v>
      </c>
      <c r="J54" s="16"/>
      <c r="K54" s="16">
        <v>940</v>
      </c>
      <c r="L54" s="16">
        <v>475</v>
      </c>
      <c r="M54" t="s">
        <v>251</v>
      </c>
    </row>
    <row r="55" spans="1:13" x14ac:dyDescent="0.2">
      <c r="A55">
        <v>54</v>
      </c>
      <c r="B55">
        <v>60</v>
      </c>
      <c r="C55" t="str">
        <f>VLOOKUP('For Hire 2012-13'!B55,'For Hire 2011-12'!$A$4:$C$103,3)</f>
        <v>The Suddath Cos</v>
      </c>
      <c r="D55" s="16">
        <v>500000</v>
      </c>
      <c r="E55" s="16">
        <v>7000</v>
      </c>
      <c r="F55" s="16">
        <v>2000</v>
      </c>
      <c r="G55" s="16">
        <f>142+188</f>
        <v>330</v>
      </c>
      <c r="H55" s="16">
        <v>265</v>
      </c>
      <c r="I55" s="16">
        <v>692</v>
      </c>
      <c r="J55" s="16"/>
      <c r="K55" s="16">
        <v>1492</v>
      </c>
      <c r="L55" s="16"/>
      <c r="M55" t="s">
        <v>274</v>
      </c>
    </row>
    <row r="56" spans="1:13" x14ac:dyDescent="0.2">
      <c r="A56">
        <v>55</v>
      </c>
      <c r="B56">
        <v>63</v>
      </c>
      <c r="C56" t="str">
        <f>VLOOKUP('For Hire 2012-13'!B56,'For Hire 2011-12'!$A$4:$C$103,3)</f>
        <v>Bison Transport</v>
      </c>
      <c r="D56" s="16">
        <v>485484</v>
      </c>
      <c r="E56" s="16"/>
      <c r="F56" s="16">
        <v>2600</v>
      </c>
      <c r="G56" s="16">
        <f>876+526</f>
        <v>1402</v>
      </c>
      <c r="H56" s="16"/>
      <c r="I56" s="16">
        <v>4000</v>
      </c>
      <c r="J56" s="16"/>
      <c r="K56" s="16">
        <v>118</v>
      </c>
      <c r="L56" s="16">
        <v>51</v>
      </c>
      <c r="M56" t="s">
        <v>307</v>
      </c>
    </row>
    <row r="57" spans="1:13" x14ac:dyDescent="0.2">
      <c r="A57">
        <v>56</v>
      </c>
      <c r="B57">
        <v>54</v>
      </c>
      <c r="C57" t="str">
        <f>VLOOKUP('For Hire 2012-13'!B57,'For Hire 2011-12'!$A$4:$C$103,3)</f>
        <v>Mercer Transportation</v>
      </c>
      <c r="D57" s="16">
        <v>483162</v>
      </c>
      <c r="E57" s="16"/>
      <c r="F57" s="16">
        <v>315</v>
      </c>
      <c r="G57" s="16">
        <v>2183</v>
      </c>
      <c r="H57" s="16"/>
      <c r="I57" s="16"/>
      <c r="J57" s="16"/>
      <c r="K57" s="16"/>
      <c r="L57" s="16"/>
      <c r="M57" t="s">
        <v>268</v>
      </c>
    </row>
    <row r="58" spans="1:13" x14ac:dyDescent="0.2">
      <c r="A58">
        <v>57</v>
      </c>
      <c r="B58">
        <v>59</v>
      </c>
      <c r="C58" t="str">
        <f>VLOOKUP('For Hire 2012-13'!B58,'For Hire 2011-12'!$A$4:$C$103,3)</f>
        <v>Western Express</v>
      </c>
      <c r="D58" s="16">
        <v>463454</v>
      </c>
      <c r="E58" s="16"/>
      <c r="F58" s="16">
        <v>2962</v>
      </c>
      <c r="G58" s="16">
        <f>2415+4</f>
        <v>2419</v>
      </c>
      <c r="H58" s="16"/>
      <c r="I58" s="16">
        <v>5650</v>
      </c>
      <c r="J58" s="16"/>
      <c r="K58" s="16"/>
      <c r="L58" s="16"/>
      <c r="M58" t="s">
        <v>252</v>
      </c>
    </row>
    <row r="59" spans="1:13" x14ac:dyDescent="0.2">
      <c r="A59">
        <v>58</v>
      </c>
      <c r="B59">
        <v>57</v>
      </c>
      <c r="C59" t="str">
        <f>VLOOKUP('For Hire 2012-13'!B59,'For Hire 2011-12'!$A$4:$C$103,3)</f>
        <v>Shevell Group</v>
      </c>
      <c r="D59" s="16">
        <v>450105</v>
      </c>
      <c r="E59" s="16"/>
      <c r="F59" s="16">
        <v>3515</v>
      </c>
      <c r="G59" s="16">
        <f>2100+40</f>
        <v>2140</v>
      </c>
      <c r="H59" s="16">
        <v>115</v>
      </c>
      <c r="I59" s="16">
        <v>4600</v>
      </c>
      <c r="J59" s="16"/>
      <c r="K59" s="16"/>
      <c r="L59" s="16">
        <v>10</v>
      </c>
      <c r="M59" t="s">
        <v>253</v>
      </c>
    </row>
    <row r="60" spans="1:13" x14ac:dyDescent="0.2">
      <c r="A60">
        <v>59</v>
      </c>
      <c r="B60" t="s">
        <v>337</v>
      </c>
      <c r="C60" t="s">
        <v>338</v>
      </c>
      <c r="D60" s="16">
        <v>447000</v>
      </c>
      <c r="E60" s="16"/>
      <c r="F60" s="16">
        <v>1990</v>
      </c>
      <c r="G60" s="16">
        <f>1575+280+200</f>
        <v>2055</v>
      </c>
      <c r="H60" s="16"/>
      <c r="I60" s="16">
        <v>3800</v>
      </c>
      <c r="J60" s="16"/>
      <c r="K60" s="16"/>
      <c r="L60" s="16">
        <v>95</v>
      </c>
      <c r="M60" t="s">
        <v>9429</v>
      </c>
    </row>
    <row r="61" spans="1:13" x14ac:dyDescent="0.2">
      <c r="A61">
        <v>60</v>
      </c>
      <c r="B61">
        <v>64</v>
      </c>
      <c r="C61" t="str">
        <f>VLOOKUP('For Hire 2012-13'!B61,'For Hire 2011-12'!$A$4:$C$103,3)</f>
        <v>Pitt Ohio</v>
      </c>
      <c r="D61" s="16">
        <v>429800</v>
      </c>
      <c r="E61" s="16"/>
      <c r="F61" s="16">
        <v>2851</v>
      </c>
      <c r="G61" s="16">
        <f>1040+20+10</f>
        <v>1070</v>
      </c>
      <c r="H61" s="16">
        <f>398+68</f>
        <v>466</v>
      </c>
      <c r="I61" s="16">
        <v>3134</v>
      </c>
      <c r="J61" s="16"/>
      <c r="K61" s="16"/>
      <c r="L61" s="16"/>
      <c r="M61" t="s">
        <v>275</v>
      </c>
    </row>
    <row r="62" spans="1:13" x14ac:dyDescent="0.2">
      <c r="A62">
        <v>61</v>
      </c>
      <c r="B62">
        <v>55</v>
      </c>
      <c r="C62" t="str">
        <f>VLOOKUP('For Hire 2012-13'!B62,'For Hire 2011-12'!$A$4:$C$103,3)</f>
        <v>Dart Transit Co.</v>
      </c>
      <c r="D62" s="16">
        <v>426320</v>
      </c>
      <c r="E62" s="16"/>
      <c r="F62" s="16">
        <v>411</v>
      </c>
      <c r="G62" s="16">
        <v>1886</v>
      </c>
      <c r="H62" s="16"/>
      <c r="I62" s="16">
        <v>6799</v>
      </c>
      <c r="J62" s="16"/>
      <c r="K62" s="16">
        <v>342</v>
      </c>
      <c r="L62" s="16"/>
      <c r="M62" t="s">
        <v>248</v>
      </c>
    </row>
    <row r="63" spans="1:13" x14ac:dyDescent="0.2">
      <c r="A63">
        <v>62</v>
      </c>
      <c r="B63">
        <v>62</v>
      </c>
      <c r="C63" t="str">
        <f>VLOOKUP('For Hire 2012-13'!B63,'For Hire 2011-12'!$A$4:$C$103,3)</f>
        <v>Groupe Robert</v>
      </c>
      <c r="D63" s="16">
        <v>410719</v>
      </c>
      <c r="E63" s="16"/>
      <c r="F63" s="16"/>
      <c r="G63" s="16">
        <f>1100+270</f>
        <v>1370</v>
      </c>
      <c r="H63" s="16"/>
      <c r="I63" s="16">
        <v>3000</v>
      </c>
      <c r="J63" s="16"/>
      <c r="K63" s="16"/>
      <c r="L63" s="16"/>
      <c r="M63" t="s">
        <v>306</v>
      </c>
    </row>
    <row r="64" spans="1:13" x14ac:dyDescent="0.2">
      <c r="A64">
        <v>63</v>
      </c>
      <c r="B64">
        <v>65</v>
      </c>
      <c r="C64" t="str">
        <f>VLOOKUP('For Hire 2012-13'!B64,'For Hire 2011-12'!$A$4:$C$103,3)</f>
        <v>P.A.M. Transportation services</v>
      </c>
      <c r="D64" s="16">
        <v>402813</v>
      </c>
      <c r="E64" s="16">
        <v>5915</v>
      </c>
      <c r="F64" s="16">
        <v>3034</v>
      </c>
      <c r="G64" s="16">
        <f>1480+357</f>
        <v>1837</v>
      </c>
      <c r="H64" s="16"/>
      <c r="I64" s="16">
        <v>5170</v>
      </c>
      <c r="J64" s="16"/>
      <c r="K64" s="16"/>
      <c r="L64" s="16"/>
      <c r="M64" t="s">
        <v>265</v>
      </c>
    </row>
    <row r="65" spans="1:13" x14ac:dyDescent="0.2">
      <c r="A65">
        <v>64</v>
      </c>
      <c r="B65" t="s">
        <v>337</v>
      </c>
      <c r="C65" t="s">
        <v>126</v>
      </c>
      <c r="D65" s="16">
        <v>400325</v>
      </c>
      <c r="E65" s="16">
        <v>19512</v>
      </c>
      <c r="F65" s="16">
        <v>291</v>
      </c>
      <c r="G65" s="16">
        <v>1505</v>
      </c>
      <c r="H65" s="16">
        <v>468</v>
      </c>
      <c r="I65" s="16">
        <v>1668</v>
      </c>
      <c r="J65" s="16"/>
      <c r="K65" s="16"/>
      <c r="L65" s="16"/>
      <c r="M65" t="s">
        <v>319</v>
      </c>
    </row>
    <row r="66" spans="1:13" x14ac:dyDescent="0.2">
      <c r="A66">
        <v>65</v>
      </c>
      <c r="B66">
        <v>73</v>
      </c>
      <c r="C66" t="str">
        <f>VLOOKUP('For Hire 2012-13'!B66,'For Hire 2011-12'!$A$4:$C$103,3)</f>
        <v>Dayton Freight Lines</v>
      </c>
      <c r="D66" s="16">
        <v>386000</v>
      </c>
      <c r="E66" s="16"/>
      <c r="F66" s="16">
        <v>3361</v>
      </c>
      <c r="G66" s="16">
        <v>1167</v>
      </c>
      <c r="H66" s="16">
        <v>39</v>
      </c>
      <c r="I66" s="16">
        <v>2750</v>
      </c>
      <c r="J66" s="16"/>
      <c r="K66" s="16"/>
      <c r="L66" s="16"/>
      <c r="M66" t="s">
        <v>284</v>
      </c>
    </row>
    <row r="67" spans="1:13" x14ac:dyDescent="0.2">
      <c r="A67">
        <v>66</v>
      </c>
      <c r="B67">
        <v>68</v>
      </c>
      <c r="C67" t="str">
        <f>VLOOKUP('For Hire 2012-13'!B67,'For Hire 2011-12'!$A$4:$C$103,3)</f>
        <v>Roehl Transport</v>
      </c>
      <c r="D67" s="16">
        <v>384007</v>
      </c>
      <c r="E67" s="16"/>
      <c r="F67" s="16">
        <v>2290</v>
      </c>
      <c r="G67" s="16">
        <f>1911+90+57</f>
        <v>2058</v>
      </c>
      <c r="H67" s="16">
        <v>7</v>
      </c>
      <c r="I67" s="16">
        <v>5148</v>
      </c>
      <c r="J67" s="16"/>
      <c r="K67" s="16"/>
      <c r="L67" s="16"/>
      <c r="M67" t="s">
        <v>280</v>
      </c>
    </row>
    <row r="68" spans="1:13" x14ac:dyDescent="0.2">
      <c r="A68">
        <v>67</v>
      </c>
      <c r="B68">
        <v>80</v>
      </c>
      <c r="C68" t="str">
        <f>VLOOKUP('For Hire 2012-13'!B68,'For Hire 2011-12'!$A$4:$C$103,3)</f>
        <v>Cowan Systems</v>
      </c>
      <c r="D68" s="16">
        <v>377428</v>
      </c>
      <c r="E68" s="16"/>
      <c r="F68" s="16">
        <v>1878</v>
      </c>
      <c r="G68" s="16">
        <f>1125+623</f>
        <v>1748</v>
      </c>
      <c r="H68" s="16"/>
      <c r="I68" s="16">
        <v>3795</v>
      </c>
      <c r="J68" s="16"/>
      <c r="K68" s="16"/>
      <c r="L68" s="16"/>
      <c r="M68" t="s">
        <v>290</v>
      </c>
    </row>
    <row r="69" spans="1:13" x14ac:dyDescent="0.2">
      <c r="A69">
        <v>68</v>
      </c>
      <c r="B69">
        <v>67</v>
      </c>
      <c r="C69" t="str">
        <f>VLOOKUP('For Hire 2012-13'!B69,'For Hire 2011-12'!$A$4:$C$103,3)</f>
        <v>Mesilla Valley Transportation</v>
      </c>
      <c r="D69" s="16">
        <v>376000</v>
      </c>
      <c r="E69" s="16"/>
      <c r="F69" s="16">
        <v>1700</v>
      </c>
      <c r="G69" s="16">
        <v>1200</v>
      </c>
      <c r="H69" s="16"/>
      <c r="I69" s="16">
        <v>4500</v>
      </c>
      <c r="J69" s="16"/>
      <c r="K69" s="16"/>
      <c r="L69" s="16"/>
      <c r="M69" t="s">
        <v>277</v>
      </c>
    </row>
    <row r="70" spans="1:13" x14ac:dyDescent="0.2">
      <c r="A70">
        <v>69</v>
      </c>
      <c r="B70">
        <v>75</v>
      </c>
      <c r="C70" t="str">
        <f>VLOOKUP('For Hire 2012-13'!B70,'For Hire 2011-12'!$A$4:$C$103,3)</f>
        <v>Graebel Cos.</v>
      </c>
      <c r="D70" s="16">
        <v>363131</v>
      </c>
      <c r="E70" s="16">
        <v>158</v>
      </c>
      <c r="F70" s="16">
        <v>2271</v>
      </c>
      <c r="G70" s="16">
        <f>136+482</f>
        <v>618</v>
      </c>
      <c r="H70" s="16">
        <v>253</v>
      </c>
      <c r="I70" s="16">
        <v>963</v>
      </c>
      <c r="J70" s="16"/>
      <c r="K70" s="16"/>
      <c r="L70" s="16">
        <v>67</v>
      </c>
      <c r="M70" t="s">
        <v>271</v>
      </c>
    </row>
    <row r="71" spans="1:13" x14ac:dyDescent="0.2">
      <c r="A71">
        <v>70</v>
      </c>
      <c r="B71">
        <v>71</v>
      </c>
      <c r="C71" t="str">
        <f>VLOOKUP('For Hire 2012-13'!B71,'For Hire 2011-12'!$A$4:$C$103,3)</f>
        <v>Acme Truck Line Inc.</v>
      </c>
      <c r="D71" s="16">
        <v>356157</v>
      </c>
      <c r="E71" s="16"/>
      <c r="F71" s="16">
        <v>3200</v>
      </c>
      <c r="G71" s="16">
        <v>2007</v>
      </c>
      <c r="H71" s="16">
        <v>724</v>
      </c>
      <c r="I71" s="16">
        <v>2257</v>
      </c>
      <c r="J71" s="16"/>
      <c r="K71" s="16"/>
      <c r="L71" s="16"/>
      <c r="M71" t="s">
        <v>309</v>
      </c>
    </row>
    <row r="72" spans="1:13" x14ac:dyDescent="0.2">
      <c r="A72">
        <v>71</v>
      </c>
      <c r="B72">
        <v>72</v>
      </c>
      <c r="C72" t="str">
        <f>VLOOKUP('For Hire 2012-13'!B72,'For Hire 2011-12'!$A$4:$C$103,3)</f>
        <v>Transport America</v>
      </c>
      <c r="D72" s="16">
        <v>347465</v>
      </c>
      <c r="E72" s="16"/>
      <c r="F72" s="16">
        <v>1945</v>
      </c>
      <c r="G72" s="16">
        <f>1350+15+150</f>
        <v>1515</v>
      </c>
      <c r="H72" s="16"/>
      <c r="I72" s="16">
        <v>4450</v>
      </c>
      <c r="J72" s="16"/>
      <c r="K72" s="16"/>
      <c r="L72" s="16"/>
      <c r="M72" t="s">
        <v>288</v>
      </c>
    </row>
    <row r="73" spans="1:13" x14ac:dyDescent="0.2">
      <c r="A73">
        <v>72</v>
      </c>
      <c r="B73">
        <v>70</v>
      </c>
      <c r="C73" t="str">
        <f>VLOOKUP('For Hire 2012-13'!B73,'For Hire 2011-12'!$A$4:$C$103,3)</f>
        <v>Comcar Industries</v>
      </c>
      <c r="D73" s="16">
        <v>346403</v>
      </c>
      <c r="E73" s="16"/>
      <c r="F73" s="16">
        <v>2679</v>
      </c>
      <c r="G73" s="16">
        <f>1601+385</f>
        <v>1986</v>
      </c>
      <c r="H73" s="16"/>
      <c r="I73" s="16">
        <v>4401</v>
      </c>
      <c r="J73" s="16"/>
      <c r="K73" s="16"/>
      <c r="L73" s="16"/>
      <c r="M73" t="s">
        <v>256</v>
      </c>
    </row>
    <row r="74" spans="1:13" x14ac:dyDescent="0.2">
      <c r="A74">
        <v>73</v>
      </c>
      <c r="B74">
        <v>77</v>
      </c>
      <c r="C74" t="str">
        <f>VLOOKUP('For Hire 2012-13'!B74,'For Hire 2011-12'!$A$4:$C$103,3)</f>
        <v>Interstate Distributor Co</v>
      </c>
      <c r="D74" s="16">
        <v>339250</v>
      </c>
      <c r="E74" s="16"/>
      <c r="F74" s="16">
        <v>1975</v>
      </c>
      <c r="G74" s="16">
        <f>1330+275</f>
        <v>1605</v>
      </c>
      <c r="H74" s="16"/>
      <c r="I74" s="16">
        <v>5600</v>
      </c>
      <c r="J74" s="16"/>
      <c r="K74" s="16"/>
      <c r="L74" s="16"/>
      <c r="M74" t="s">
        <v>247</v>
      </c>
    </row>
    <row r="75" spans="1:13" x14ac:dyDescent="0.2">
      <c r="A75">
        <v>74</v>
      </c>
      <c r="B75">
        <v>78</v>
      </c>
      <c r="C75" t="str">
        <f>VLOOKUP('For Hire 2012-13'!B75,'For Hire 2011-12'!$A$4:$C$103,3)</f>
        <v>United Road Services</v>
      </c>
      <c r="D75" s="16">
        <v>333464</v>
      </c>
      <c r="E75" s="16"/>
      <c r="F75" s="16">
        <v>2100</v>
      </c>
      <c r="G75" s="16">
        <f>1325+415</f>
        <v>1740</v>
      </c>
      <c r="H75" s="16"/>
      <c r="I75" s="16"/>
      <c r="J75" s="16"/>
      <c r="K75" s="16"/>
      <c r="L75" s="16"/>
      <c r="M75" t="s">
        <v>291</v>
      </c>
    </row>
    <row r="76" spans="1:13" x14ac:dyDescent="0.2">
      <c r="A76">
        <v>75</v>
      </c>
      <c r="B76">
        <v>83</v>
      </c>
      <c r="C76" t="str">
        <f>VLOOKUP('For Hire 2012-13'!B76,'For Hire 2011-12'!$A$4:$C$103,3)</f>
        <v>OnTrac Inc.</v>
      </c>
      <c r="D76" s="16">
        <v>332331</v>
      </c>
      <c r="E76" s="16"/>
      <c r="F76" s="16">
        <v>1697</v>
      </c>
      <c r="G76" s="16"/>
      <c r="H76" s="16"/>
      <c r="I76" s="16">
        <v>445</v>
      </c>
      <c r="J76" s="16"/>
      <c r="K76" s="16"/>
      <c r="L76" s="16"/>
      <c r="M76" t="s">
        <v>311</v>
      </c>
    </row>
    <row r="77" spans="1:13" x14ac:dyDescent="0.2">
      <c r="A77">
        <v>76</v>
      </c>
      <c r="B77">
        <v>88</v>
      </c>
      <c r="C77" t="str">
        <f>VLOOKUP('For Hire 2012-13'!B77,'For Hire 2011-12'!$A$4:$C$103,3)</f>
        <v>Bennett International Group</v>
      </c>
      <c r="D77" s="16">
        <v>327857</v>
      </c>
      <c r="E77" s="16"/>
      <c r="F77" s="16">
        <v>727</v>
      </c>
      <c r="G77" s="16">
        <f>35+30+1114</f>
        <v>1179</v>
      </c>
      <c r="H77" s="16">
        <v>263</v>
      </c>
      <c r="I77" s="16">
        <v>1422</v>
      </c>
      <c r="J77" s="16"/>
      <c r="K77" s="16"/>
      <c r="L77" s="16"/>
      <c r="M77" t="s">
        <v>286</v>
      </c>
    </row>
    <row r="78" spans="1:13" x14ac:dyDescent="0.2">
      <c r="A78">
        <v>77</v>
      </c>
      <c r="B78">
        <v>76</v>
      </c>
      <c r="C78" t="str">
        <f>VLOOKUP('For Hire 2012-13'!B78,'For Hire 2011-12'!$A$4:$C$103,3)</f>
        <v>Challenger Group1</v>
      </c>
      <c r="D78" s="16">
        <v>325502</v>
      </c>
      <c r="E78" s="16"/>
      <c r="F78" s="16">
        <v>1800</v>
      </c>
      <c r="G78" s="16">
        <f>1300+140</f>
        <v>1440</v>
      </c>
      <c r="H78" s="16"/>
      <c r="I78" s="16">
        <v>2900</v>
      </c>
      <c r="J78" s="16"/>
      <c r="K78" s="16"/>
      <c r="L78" s="16">
        <v>420</v>
      </c>
      <c r="M78" t="s">
        <v>266</v>
      </c>
    </row>
    <row r="79" spans="1:13" x14ac:dyDescent="0.2">
      <c r="A79">
        <v>78</v>
      </c>
      <c r="B79">
        <v>82</v>
      </c>
      <c r="C79" t="str">
        <f>VLOOKUP('For Hire 2012-13'!B79,'For Hire 2011-12'!$A$4:$C$103,3)</f>
        <v>Epes Carriers</v>
      </c>
      <c r="D79" s="16">
        <v>320000</v>
      </c>
      <c r="E79" s="16">
        <v>17700</v>
      </c>
      <c r="F79" s="16">
        <v>1446</v>
      </c>
      <c r="G79" s="16">
        <f>937+77+101</f>
        <v>1115</v>
      </c>
      <c r="H79" s="16"/>
      <c r="I79" s="16"/>
      <c r="J79" s="16"/>
      <c r="K79" s="16"/>
      <c r="L79" s="16"/>
      <c r="M79" t="s">
        <v>283</v>
      </c>
    </row>
    <row r="80" spans="1:13" x14ac:dyDescent="0.2">
      <c r="A80">
        <v>79</v>
      </c>
      <c r="B80">
        <v>81</v>
      </c>
      <c r="C80" t="str">
        <f>VLOOKUP('For Hire 2012-13'!B80,'For Hire 2011-12'!$A$4:$C$103,3)</f>
        <v>California Cartage Co.</v>
      </c>
      <c r="D80" s="16">
        <v>318000</v>
      </c>
      <c r="E80" s="16"/>
      <c r="F80" s="16"/>
      <c r="G80" s="16">
        <v>1000</v>
      </c>
      <c r="H80" s="16"/>
      <c r="I80" s="16"/>
      <c r="J80" s="16"/>
      <c r="K80" s="16"/>
      <c r="L80" s="16"/>
      <c r="M80" t="s">
        <v>310</v>
      </c>
    </row>
    <row r="81" spans="1:13" x14ac:dyDescent="0.2">
      <c r="A81">
        <v>80</v>
      </c>
      <c r="B81">
        <v>84</v>
      </c>
      <c r="C81" t="str">
        <f>VLOOKUP('For Hire 2012-13'!B81,'For Hire 2011-12'!$A$4:$C$103,3)</f>
        <v>Maverick USA</v>
      </c>
      <c r="D81" s="16">
        <v>315014</v>
      </c>
      <c r="E81" s="16">
        <v>18674</v>
      </c>
      <c r="F81" s="16">
        <v>1777</v>
      </c>
      <c r="G81" s="16">
        <f>1307+73+25</f>
        <v>1405</v>
      </c>
      <c r="H81" s="16"/>
      <c r="I81" s="16">
        <v>1971</v>
      </c>
      <c r="J81" s="16"/>
      <c r="K81" s="16"/>
      <c r="L81" s="16"/>
      <c r="M81" t="s">
        <v>293</v>
      </c>
    </row>
    <row r="82" spans="1:13" x14ac:dyDescent="0.2">
      <c r="A82">
        <v>81</v>
      </c>
      <c r="B82">
        <v>87</v>
      </c>
      <c r="C82" t="str">
        <f>VLOOKUP('For Hire 2012-13'!B82,'For Hire 2011-12'!$A$4:$C$103,3)</f>
        <v>Evans Network of Cos</v>
      </c>
      <c r="D82" s="16">
        <v>310000</v>
      </c>
      <c r="E82" s="16"/>
      <c r="F82" s="16">
        <v>200</v>
      </c>
      <c r="G82" s="16">
        <v>2250</v>
      </c>
      <c r="H82" s="16"/>
      <c r="I82" s="16">
        <v>525</v>
      </c>
      <c r="J82" s="16"/>
      <c r="K82" s="16"/>
      <c r="L82" s="16"/>
      <c r="M82" t="s">
        <v>298</v>
      </c>
    </row>
    <row r="83" spans="1:13" x14ac:dyDescent="0.2">
      <c r="A83">
        <v>82</v>
      </c>
      <c r="B83">
        <v>85</v>
      </c>
      <c r="C83" t="str">
        <f>VLOOKUP('For Hire 2012-13'!B83,'For Hire 2011-12'!$A$4:$C$103,3)</f>
        <v>A. Duie Pyle Cos.</v>
      </c>
      <c r="D83" s="16">
        <v>293000</v>
      </c>
      <c r="E83" s="16"/>
      <c r="F83" s="16">
        <v>2235</v>
      </c>
      <c r="G83" s="16">
        <f>650+81</f>
        <v>731</v>
      </c>
      <c r="H83" s="16">
        <v>22</v>
      </c>
      <c r="I83" s="16">
        <v>1702</v>
      </c>
      <c r="J83" s="16"/>
      <c r="K83" s="16"/>
      <c r="L83" s="16"/>
      <c r="M83" t="s">
        <v>287</v>
      </c>
    </row>
    <row r="84" spans="1:13" x14ac:dyDescent="0.2">
      <c r="A84">
        <v>83</v>
      </c>
      <c r="B84">
        <v>86</v>
      </c>
      <c r="C84" t="str">
        <f>VLOOKUP('For Hire 2012-13'!B84,'For Hire 2011-12'!$A$4:$C$103,3)</f>
        <v>Cassens Transport</v>
      </c>
      <c r="D84" s="16">
        <v>289794</v>
      </c>
      <c r="E84" s="16"/>
      <c r="F84" s="16">
        <v>1430</v>
      </c>
      <c r="G84" s="16">
        <v>1303</v>
      </c>
      <c r="H84" s="16"/>
      <c r="I84" s="16"/>
      <c r="J84" s="16"/>
      <c r="K84" s="16"/>
      <c r="L84" s="16"/>
      <c r="M84" t="s">
        <v>312</v>
      </c>
    </row>
    <row r="85" spans="1:13" x14ac:dyDescent="0.2">
      <c r="A85">
        <v>84</v>
      </c>
      <c r="B85">
        <v>91</v>
      </c>
      <c r="C85" t="str">
        <f>VLOOKUP('For Hire 2012-13'!B85,'For Hire 2011-12'!$A$4:$C$103,3)</f>
        <v>Koch Companies</v>
      </c>
      <c r="D85" s="16">
        <v>274705</v>
      </c>
      <c r="E85" s="16"/>
      <c r="F85" s="16">
        <v>955</v>
      </c>
      <c r="G85" s="16">
        <f>716+80+28</f>
        <v>824</v>
      </c>
      <c r="H85" s="16">
        <v>462</v>
      </c>
      <c r="I85" s="16">
        <v>4279</v>
      </c>
      <c r="J85" s="16"/>
      <c r="K85" s="16">
        <v>60</v>
      </c>
      <c r="L85" s="16">
        <v>462</v>
      </c>
      <c r="M85" t="s">
        <v>281</v>
      </c>
    </row>
    <row r="86" spans="1:13" x14ac:dyDescent="0.2">
      <c r="A86">
        <v>85</v>
      </c>
      <c r="B86">
        <v>90</v>
      </c>
      <c r="C86" t="str">
        <f>VLOOKUP('For Hire 2012-13'!B86,'For Hire 2011-12'!$A$4:$C$103,3)</f>
        <v>Fastfrate Holdings</v>
      </c>
      <c r="D86" s="16">
        <v>274633</v>
      </c>
      <c r="E86" s="16"/>
      <c r="F86" s="16"/>
      <c r="G86" s="16">
        <f>198+130</f>
        <v>328</v>
      </c>
      <c r="H86" s="16">
        <v>15</v>
      </c>
      <c r="I86" s="16">
        <v>650</v>
      </c>
      <c r="J86" s="16"/>
      <c r="K86" s="16"/>
      <c r="L86" s="16">
        <v>800</v>
      </c>
      <c r="M86" t="s">
        <v>297</v>
      </c>
    </row>
    <row r="87" spans="1:13" x14ac:dyDescent="0.2">
      <c r="A87">
        <v>86</v>
      </c>
      <c r="B87">
        <v>92</v>
      </c>
      <c r="C87" t="str">
        <f>VLOOKUP('For Hire 2012-13'!B87,'For Hire 2011-12'!$A$4:$C$103,3)</f>
        <v xml:space="preserve">Towne Air Freight </v>
      </c>
      <c r="D87" s="16">
        <v>265000</v>
      </c>
      <c r="E87" s="16"/>
      <c r="F87" s="16"/>
      <c r="G87" s="16">
        <f>260+800</f>
        <v>1060</v>
      </c>
      <c r="H87" s="16">
        <v>50</v>
      </c>
      <c r="I87" s="16">
        <v>1600</v>
      </c>
      <c r="J87" s="16"/>
      <c r="K87" s="16"/>
      <c r="L87" s="16"/>
      <c r="M87" t="s">
        <v>314</v>
      </c>
    </row>
    <row r="88" spans="1:13" x14ac:dyDescent="0.2">
      <c r="A88">
        <v>87</v>
      </c>
      <c r="B88" t="s">
        <v>337</v>
      </c>
      <c r="C88" t="s">
        <v>339</v>
      </c>
      <c r="D88" s="16">
        <v>257000</v>
      </c>
      <c r="E88" s="16"/>
      <c r="F88" s="16">
        <v>1590</v>
      </c>
      <c r="G88" s="16">
        <f>324+238</f>
        <v>562</v>
      </c>
      <c r="H88" s="16">
        <v>40</v>
      </c>
      <c r="I88" s="16">
        <v>1231</v>
      </c>
      <c r="J88" s="16"/>
      <c r="K88" s="16"/>
      <c r="L88" s="16">
        <v>300</v>
      </c>
      <c r="M88" t="s">
        <v>811</v>
      </c>
    </row>
    <row r="89" spans="1:13" x14ac:dyDescent="0.2">
      <c r="A89">
        <v>88</v>
      </c>
      <c r="B89">
        <v>89</v>
      </c>
      <c r="C89" t="str">
        <f>VLOOKUP('For Hire 2012-13'!B89,'For Hire 2011-12'!$A$4:$C$103,3)</f>
        <v>John Christner Trucking LLC</v>
      </c>
      <c r="D89" s="16">
        <v>256426</v>
      </c>
      <c r="E89" s="16">
        <v>9417</v>
      </c>
      <c r="F89" s="16">
        <v>211</v>
      </c>
      <c r="G89" s="16">
        <f>839+39</f>
        <v>878</v>
      </c>
      <c r="H89" s="16"/>
      <c r="I89" s="16">
        <v>1188</v>
      </c>
      <c r="J89" s="16"/>
      <c r="K89" s="16"/>
      <c r="L89" s="16"/>
      <c r="M89" t="s">
        <v>313</v>
      </c>
    </row>
    <row r="90" spans="1:13" x14ac:dyDescent="0.2">
      <c r="A90">
        <v>89</v>
      </c>
      <c r="B90">
        <v>96</v>
      </c>
      <c r="C90" t="str">
        <f>VLOOKUP('For Hire 2012-13'!B90,'For Hire 2011-12'!$A$4:$C$103,3)</f>
        <v>Superior Bulk Logistics</v>
      </c>
      <c r="D90" s="16">
        <v>250700</v>
      </c>
      <c r="E90" s="16">
        <v>8900</v>
      </c>
      <c r="F90" s="16">
        <v>1414</v>
      </c>
      <c r="G90" s="16">
        <f>940+236</f>
        <v>1176</v>
      </c>
      <c r="H90" s="16"/>
      <c r="I90" s="16">
        <v>2037</v>
      </c>
      <c r="J90" s="16"/>
      <c r="K90" s="16"/>
      <c r="L90" s="16"/>
      <c r="M90" t="s">
        <v>295</v>
      </c>
    </row>
    <row r="91" spans="1:13" x14ac:dyDescent="0.2">
      <c r="A91">
        <v>90</v>
      </c>
      <c r="B91" t="s">
        <v>337</v>
      </c>
      <c r="C91" t="s">
        <v>340</v>
      </c>
      <c r="D91" s="16">
        <v>246002</v>
      </c>
      <c r="E91" s="16"/>
      <c r="F91" s="16">
        <v>898</v>
      </c>
      <c r="G91" s="16">
        <f>657+219</f>
        <v>876</v>
      </c>
      <c r="H91" s="16"/>
      <c r="I91" s="16">
        <v>1110</v>
      </c>
      <c r="J91" s="16"/>
      <c r="K91" s="16"/>
      <c r="L91" s="16"/>
      <c r="M91" t="s">
        <v>9430</v>
      </c>
    </row>
    <row r="92" spans="1:13" x14ac:dyDescent="0.2">
      <c r="A92">
        <v>91</v>
      </c>
      <c r="B92">
        <v>97</v>
      </c>
      <c r="C92" t="str">
        <f>VLOOKUP('For Hire 2012-13'!B92,'For Hire 2011-12'!$A$4:$C$103,3)</f>
        <v>Groendyke Transport Inc.</v>
      </c>
      <c r="D92" s="16">
        <v>239000</v>
      </c>
      <c r="E92" s="16"/>
      <c r="F92" s="16">
        <v>1368</v>
      </c>
      <c r="G92" s="16">
        <v>955</v>
      </c>
      <c r="H92" s="16"/>
      <c r="I92" s="16">
        <v>1800</v>
      </c>
      <c r="J92" s="16"/>
      <c r="K92" s="16"/>
      <c r="L92" s="16"/>
      <c r="M92" t="s">
        <v>302</v>
      </c>
    </row>
    <row r="93" spans="1:13" x14ac:dyDescent="0.2">
      <c r="A93">
        <v>92</v>
      </c>
      <c r="B93" t="s">
        <v>337</v>
      </c>
      <c r="C93" t="s">
        <v>341</v>
      </c>
      <c r="D93" s="16">
        <v>237000</v>
      </c>
      <c r="E93" s="16"/>
      <c r="F93" s="16">
        <v>1429</v>
      </c>
      <c r="G93" s="16">
        <f>1250+149</f>
        <v>1399</v>
      </c>
      <c r="H93" s="16"/>
      <c r="I93" s="16">
        <v>4265</v>
      </c>
      <c r="J93" s="16"/>
      <c r="K93" s="16"/>
      <c r="L93" s="16"/>
      <c r="M93" t="s">
        <v>2505</v>
      </c>
    </row>
    <row r="94" spans="1:13" x14ac:dyDescent="0.2">
      <c r="A94">
        <v>93</v>
      </c>
      <c r="B94" t="s">
        <v>337</v>
      </c>
      <c r="C94" t="s">
        <v>140</v>
      </c>
      <c r="D94" s="16">
        <v>223323</v>
      </c>
      <c r="E94" s="16"/>
      <c r="F94" s="16">
        <v>373</v>
      </c>
      <c r="G94" s="16">
        <f>170+318</f>
        <v>488</v>
      </c>
      <c r="H94" s="16">
        <v>30</v>
      </c>
      <c r="I94" s="16">
        <v>750</v>
      </c>
      <c r="J94" s="16"/>
      <c r="K94" s="16">
        <v>200</v>
      </c>
      <c r="L94" s="16">
        <v>164</v>
      </c>
      <c r="M94" t="s">
        <v>279</v>
      </c>
    </row>
    <row r="95" spans="1:13" x14ac:dyDescent="0.2">
      <c r="A95">
        <v>94</v>
      </c>
      <c r="B95">
        <v>98</v>
      </c>
      <c r="C95" t="str">
        <f>VLOOKUP('For Hire 2012-13'!B95,'For Hire 2011-12'!$A$4:$C$103,3)</f>
        <v>Paschall Truck Lines</v>
      </c>
      <c r="D95" s="16">
        <v>222685</v>
      </c>
      <c r="E95" s="16"/>
      <c r="F95" s="16">
        <v>1450</v>
      </c>
      <c r="G95" s="16">
        <f>950+180</f>
        <v>1130</v>
      </c>
      <c r="H95" s="16"/>
      <c r="I95" s="16">
        <v>2600</v>
      </c>
      <c r="J95" s="16"/>
      <c r="K95" s="16"/>
      <c r="L95" s="16"/>
      <c r="M95" t="s">
        <v>301</v>
      </c>
    </row>
    <row r="96" spans="1:13" x14ac:dyDescent="0.2">
      <c r="A96">
        <v>95</v>
      </c>
      <c r="B96">
        <v>93</v>
      </c>
      <c r="C96" t="str">
        <f>VLOOKUP('For Hire 2012-13'!B96,'For Hire 2011-12'!$A$4:$C$103,3)</f>
        <v>Wheaton Van Lines</v>
      </c>
      <c r="D96" s="16">
        <v>221000</v>
      </c>
      <c r="E96" s="16">
        <v>6414</v>
      </c>
      <c r="F96" s="16">
        <v>183</v>
      </c>
      <c r="G96" s="16">
        <v>740</v>
      </c>
      <c r="H96" s="16">
        <v>261</v>
      </c>
      <c r="I96" s="16">
        <v>1143</v>
      </c>
      <c r="J96" s="16"/>
      <c r="K96" s="16"/>
      <c r="L96" s="16"/>
      <c r="M96" t="s">
        <v>315</v>
      </c>
    </row>
    <row r="97" spans="1:13" x14ac:dyDescent="0.2">
      <c r="A97">
        <v>96</v>
      </c>
      <c r="B97">
        <v>95</v>
      </c>
      <c r="C97" t="str">
        <f>VLOOKUP('For Hire 2012-13'!B97,'For Hire 2011-12'!$A$4:$C$103,3)</f>
        <v>A&amp;R Logistics</v>
      </c>
      <c r="D97" s="16">
        <v>220000</v>
      </c>
      <c r="E97" s="16">
        <v>30000</v>
      </c>
      <c r="F97" s="16">
        <v>1000</v>
      </c>
      <c r="G97" s="16">
        <f>600+125</f>
        <v>725</v>
      </c>
      <c r="H97" s="16"/>
      <c r="I97" s="16">
        <v>50</v>
      </c>
      <c r="J97" s="16"/>
      <c r="K97" s="16">
        <v>275</v>
      </c>
      <c r="L97" s="16">
        <v>25</v>
      </c>
      <c r="M97" t="s">
        <v>296</v>
      </c>
    </row>
    <row r="98" spans="1:13" x14ac:dyDescent="0.2">
      <c r="A98">
        <v>97</v>
      </c>
      <c r="B98">
        <v>99</v>
      </c>
      <c r="C98" t="str">
        <f>VLOOKUP('For Hire 2012-13'!B98,'For Hire 2011-12'!$A$4:$C$103,3)</f>
        <v>Brown Integrated Logistics</v>
      </c>
      <c r="D98" s="16">
        <v>218779</v>
      </c>
      <c r="E98" s="16"/>
      <c r="F98" s="16">
        <v>1107</v>
      </c>
      <c r="G98" s="16">
        <f>545+31+426</f>
        <v>1002</v>
      </c>
      <c r="H98" s="16">
        <v>10</v>
      </c>
      <c r="I98" s="16">
        <v>4800</v>
      </c>
      <c r="J98" s="16"/>
      <c r="K98" s="16"/>
      <c r="L98" s="16"/>
      <c r="M98" t="s">
        <v>317</v>
      </c>
    </row>
    <row r="99" spans="1:13" x14ac:dyDescent="0.2">
      <c r="A99">
        <v>98</v>
      </c>
      <c r="B99" t="s">
        <v>337</v>
      </c>
      <c r="C99" t="s">
        <v>342</v>
      </c>
      <c r="D99" s="16">
        <v>218245</v>
      </c>
      <c r="E99" s="16"/>
      <c r="F99" s="16">
        <v>262</v>
      </c>
      <c r="G99" s="16">
        <v>1285</v>
      </c>
      <c r="H99" s="16"/>
      <c r="I99" s="16"/>
      <c r="J99" s="16"/>
      <c r="K99" s="16"/>
      <c r="L99" s="16"/>
      <c r="M99" t="s">
        <v>9431</v>
      </c>
    </row>
    <row r="100" spans="1:13" x14ac:dyDescent="0.2">
      <c r="A100">
        <v>99</v>
      </c>
      <c r="B100" t="s">
        <v>337</v>
      </c>
      <c r="C100" t="s">
        <v>343</v>
      </c>
      <c r="D100" s="16">
        <v>217510</v>
      </c>
      <c r="E100" s="16">
        <v>8294</v>
      </c>
      <c r="F100" s="16">
        <v>1744</v>
      </c>
      <c r="G100" s="16">
        <f>831+22</f>
        <v>853</v>
      </c>
      <c r="H100" s="16"/>
      <c r="I100" s="16">
        <v>1251</v>
      </c>
      <c r="J100" s="16"/>
      <c r="K100" s="16"/>
      <c r="L100" s="16"/>
      <c r="M100" t="s">
        <v>4374</v>
      </c>
    </row>
    <row r="101" spans="1:13" x14ac:dyDescent="0.2">
      <c r="A101">
        <v>100</v>
      </c>
      <c r="B101" t="s">
        <v>337</v>
      </c>
      <c r="C101" t="s">
        <v>344</v>
      </c>
      <c r="D101" s="16">
        <v>215885</v>
      </c>
      <c r="E101" s="16"/>
      <c r="F101" s="16">
        <v>1141</v>
      </c>
      <c r="G101" s="16">
        <f>773+175</f>
        <v>948</v>
      </c>
      <c r="H101" s="16"/>
      <c r="I101" s="16">
        <v>1795</v>
      </c>
      <c r="J101" s="16"/>
      <c r="K101" s="16"/>
      <c r="L101" s="16"/>
      <c r="M101" t="s">
        <v>9432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zoomScale="80" zoomScaleNormal="80" zoomScalePageLayoutView="80" workbookViewId="0">
      <selection activeCell="M3" sqref="M3"/>
    </sheetView>
  </sheetViews>
  <sheetFormatPr baseColWidth="10" defaultColWidth="11.5" defaultRowHeight="15" x14ac:dyDescent="0.2"/>
  <cols>
    <col min="1" max="1" width="7" customWidth="1"/>
    <col min="2" max="2" width="6.6640625" customWidth="1"/>
    <col min="3" max="3" width="33.33203125" bestFit="1" customWidth="1"/>
    <col min="4" max="4" width="12.33203125" customWidth="1"/>
    <col min="5" max="5" width="12" customWidth="1"/>
    <col min="8" max="8" width="11.6640625" bestFit="1" customWidth="1"/>
  </cols>
  <sheetData>
    <row r="1" spans="1:13" ht="42" customHeight="1" x14ac:dyDescent="0.2">
      <c r="A1" s="13" t="s">
        <v>347</v>
      </c>
      <c r="B1" s="13" t="s">
        <v>335</v>
      </c>
      <c r="C1" s="14" t="s">
        <v>1</v>
      </c>
      <c r="D1" s="13" t="s">
        <v>355</v>
      </c>
      <c r="E1" s="13" t="s">
        <v>356</v>
      </c>
      <c r="F1" s="14" t="s">
        <v>345</v>
      </c>
      <c r="G1" s="15" t="s">
        <v>3</v>
      </c>
      <c r="H1" s="14" t="s">
        <v>346</v>
      </c>
      <c r="I1" s="14" t="s">
        <v>5</v>
      </c>
      <c r="J1" s="14" t="s">
        <v>331</v>
      </c>
      <c r="K1" s="14" t="s">
        <v>332</v>
      </c>
      <c r="L1" s="14" t="s">
        <v>333</v>
      </c>
      <c r="M1" s="14" t="s">
        <v>202</v>
      </c>
    </row>
    <row r="2" spans="1:13" x14ac:dyDescent="0.2">
      <c r="A2">
        <v>1</v>
      </c>
      <c r="B2">
        <v>1</v>
      </c>
      <c r="C2" t="str">
        <f>VLOOKUP('For Hire 2013-14'!B2,'For Hire 2012-13'!$A$2:$C$101,3)</f>
        <v>UPS Inc</v>
      </c>
      <c r="D2" s="16">
        <v>58232000</v>
      </c>
      <c r="E2" s="16">
        <v>3032000</v>
      </c>
      <c r="F2" s="16">
        <v>435000</v>
      </c>
      <c r="G2" s="17">
        <v>106000</v>
      </c>
      <c r="H2" s="17"/>
      <c r="I2" s="17"/>
      <c r="J2" s="16">
        <v>237</v>
      </c>
      <c r="K2" s="16">
        <v>33000</v>
      </c>
      <c r="L2" s="16"/>
      <c r="M2" t="s">
        <v>203</v>
      </c>
    </row>
    <row r="3" spans="1:13" x14ac:dyDescent="0.2">
      <c r="A3">
        <v>2</v>
      </c>
      <c r="B3">
        <v>2</v>
      </c>
      <c r="C3" t="str">
        <f>VLOOKUP('For Hire 2013-14'!B3,'For Hire 2012-13'!$A$2:$C$101,3)</f>
        <v>FedEx Corp</v>
      </c>
      <c r="D3" s="16">
        <v>47100000</v>
      </c>
      <c r="E3" s="16">
        <v>2532000</v>
      </c>
      <c r="F3" s="16">
        <v>300000</v>
      </c>
      <c r="G3" s="16">
        <v>26594</v>
      </c>
      <c r="H3" s="16">
        <v>39211</v>
      </c>
      <c r="I3" s="16">
        <v>97469</v>
      </c>
      <c r="J3" s="16">
        <v>673</v>
      </c>
      <c r="K3" s="16"/>
      <c r="L3" s="16"/>
      <c r="M3" t="s">
        <v>4314</v>
      </c>
    </row>
    <row r="4" spans="1:13" x14ac:dyDescent="0.2">
      <c r="A4">
        <v>3</v>
      </c>
      <c r="B4">
        <v>3</v>
      </c>
      <c r="C4" t="str">
        <f>VLOOKUP('For Hire 2013-14'!B4,'For Hire 2012-13'!$A$2:$C$101,3)</f>
        <v>J.B. Hunt Transport Services</v>
      </c>
      <c r="D4" s="16">
        <v>6165441</v>
      </c>
      <c r="E4" s="16">
        <v>374792</v>
      </c>
      <c r="F4" s="16">
        <v>20158</v>
      </c>
      <c r="G4" s="16">
        <f>1358+11637</f>
        <v>12995</v>
      </c>
      <c r="H4" s="16"/>
      <c r="I4" s="16">
        <v>27731</v>
      </c>
      <c r="J4" s="16"/>
      <c r="K4" s="16">
        <v>73298</v>
      </c>
      <c r="L4" s="16"/>
      <c r="M4" t="s">
        <v>210</v>
      </c>
    </row>
    <row r="5" spans="1:13" x14ac:dyDescent="0.2">
      <c r="A5">
        <v>4</v>
      </c>
      <c r="B5">
        <v>4</v>
      </c>
      <c r="C5" t="str">
        <f>VLOOKUP('For Hire 2013-14'!B5,'For Hire 2012-13'!$A$2:$C$101,3)</f>
        <v>Con-way Inc</v>
      </c>
      <c r="D5" s="16">
        <v>5806069</v>
      </c>
      <c r="E5" s="16">
        <v>137039</v>
      </c>
      <c r="F5" s="16">
        <v>30100</v>
      </c>
      <c r="G5" s="16">
        <v>12100</v>
      </c>
      <c r="H5" s="16"/>
      <c r="I5" s="16">
        <v>33300</v>
      </c>
      <c r="J5" s="16"/>
      <c r="K5" s="16"/>
      <c r="L5" s="16"/>
      <c r="M5" t="s">
        <v>208</v>
      </c>
    </row>
    <row r="6" spans="1:13" x14ac:dyDescent="0.2">
      <c r="A6">
        <v>5</v>
      </c>
      <c r="B6">
        <v>5</v>
      </c>
      <c r="C6" t="str">
        <f>VLOOKUP('For Hire 2013-14'!B6,'For Hire 2012-13'!$A$2:$C$101,3)</f>
        <v>YRC Worldwide</v>
      </c>
      <c r="D6" s="16">
        <v>5068800</v>
      </c>
      <c r="E6" s="16">
        <v>67700</v>
      </c>
      <c r="F6" s="16">
        <v>33000</v>
      </c>
      <c r="G6" s="16">
        <v>6400</v>
      </c>
      <c r="H6" s="16"/>
      <c r="I6" s="16">
        <v>13000</v>
      </c>
      <c r="J6" s="16"/>
      <c r="K6" s="16"/>
      <c r="L6" s="16"/>
      <c r="M6" t="s">
        <v>206</v>
      </c>
    </row>
    <row r="7" spans="1:13" x14ac:dyDescent="0.2">
      <c r="A7">
        <v>6</v>
      </c>
      <c r="B7">
        <v>6</v>
      </c>
      <c r="C7" t="str">
        <f>VLOOKUP('For Hire 2013-14'!B7,'For Hire 2012-13'!$A$2:$C$101,3)</f>
        <v>Swift Transportation</v>
      </c>
      <c r="D7" s="16">
        <v>4298724</v>
      </c>
      <c r="E7" s="16">
        <v>161151</v>
      </c>
      <c r="F7" s="16">
        <v>21274</v>
      </c>
      <c r="G7" s="16">
        <f>6083+7799+4954</f>
        <v>18836</v>
      </c>
      <c r="H7" s="16"/>
      <c r="I7" s="16">
        <v>61652</v>
      </c>
      <c r="J7" s="16"/>
      <c r="K7" s="16">
        <v>9150</v>
      </c>
      <c r="L7" s="16"/>
      <c r="M7" t="s">
        <v>212</v>
      </c>
    </row>
    <row r="8" spans="1:13" x14ac:dyDescent="0.2">
      <c r="A8">
        <v>7</v>
      </c>
      <c r="B8">
        <v>7</v>
      </c>
      <c r="C8" t="str">
        <f>VLOOKUP('For Hire 2013-14'!B8,'For Hire 2012-13'!$A$2:$C$101,3)</f>
        <v>Schneider National Inc</v>
      </c>
      <c r="D8" s="16">
        <v>3900000</v>
      </c>
      <c r="E8" s="16"/>
      <c r="F8" s="16">
        <v>17450</v>
      </c>
      <c r="G8" s="16">
        <f>9800+2500</f>
        <v>12300</v>
      </c>
      <c r="H8" s="16"/>
      <c r="I8" s="16">
        <v>32350</v>
      </c>
      <c r="J8" s="16"/>
      <c r="K8" s="16">
        <v>17500</v>
      </c>
      <c r="L8" s="16"/>
      <c r="M8" t="s">
        <v>211</v>
      </c>
    </row>
    <row r="9" spans="1:13" x14ac:dyDescent="0.2">
      <c r="A9">
        <v>8</v>
      </c>
      <c r="B9">
        <v>8</v>
      </c>
      <c r="C9" t="str">
        <f>VLOOKUP('For Hire 2013-14'!B9,'For Hire 2012-13'!$A$2:$C$101,3)</f>
        <v>Comtrak Logistics</v>
      </c>
      <c r="D9" s="16">
        <v>3571126</v>
      </c>
      <c r="E9" s="16">
        <v>51558</v>
      </c>
      <c r="F9" s="16">
        <v>2568</v>
      </c>
      <c r="G9" s="16">
        <f>1218+1759</f>
        <v>2977</v>
      </c>
      <c r="H9" s="16"/>
      <c r="I9" s="16">
        <v>448</v>
      </c>
      <c r="J9" s="16"/>
      <c r="K9" s="16">
        <v>28341</v>
      </c>
      <c r="L9" s="16"/>
      <c r="M9" t="s">
        <v>308</v>
      </c>
    </row>
    <row r="10" spans="1:13" x14ac:dyDescent="0.2">
      <c r="A10">
        <v>9</v>
      </c>
      <c r="B10">
        <v>9</v>
      </c>
      <c r="C10" t="str">
        <f>VLOOKUP('For Hire 2013-14'!B10,'For Hire 2012-13'!$A$2:$C$101,3)</f>
        <v>TransForce Inc.</v>
      </c>
      <c r="D10" s="16">
        <v>3363213</v>
      </c>
      <c r="E10" s="16">
        <v>138902</v>
      </c>
      <c r="F10" s="16">
        <v>16050</v>
      </c>
      <c r="G10" s="16">
        <f>6220+8760</f>
        <v>14980</v>
      </c>
      <c r="H10" s="16"/>
      <c r="I10" s="16">
        <v>18680</v>
      </c>
      <c r="J10" s="16"/>
      <c r="K10" s="16"/>
      <c r="L10" s="16"/>
      <c r="M10" t="s">
        <v>216</v>
      </c>
    </row>
    <row r="11" spans="1:13" x14ac:dyDescent="0.2">
      <c r="A11">
        <v>10</v>
      </c>
      <c r="B11">
        <v>10</v>
      </c>
      <c r="C11" t="str">
        <f>VLOOKUP('For Hire 2013-14'!B11,'For Hire 2012-13'!$A$2:$C$101,3)</f>
        <v>Landstar System</v>
      </c>
      <c r="D11" s="16">
        <v>31840790</v>
      </c>
      <c r="E11" s="16">
        <v>138809</v>
      </c>
      <c r="F11" s="16">
        <v>1211</v>
      </c>
      <c r="G11" s="16">
        <v>8662</v>
      </c>
      <c r="H11" s="16">
        <v>270</v>
      </c>
      <c r="I11" s="16">
        <v>13732</v>
      </c>
      <c r="J11" s="16"/>
      <c r="K11" s="16"/>
      <c r="L11" s="16"/>
      <c r="M11" t="s">
        <v>213</v>
      </c>
    </row>
    <row r="12" spans="1:13" x14ac:dyDescent="0.2">
      <c r="A12">
        <v>11</v>
      </c>
      <c r="B12">
        <v>12</v>
      </c>
      <c r="C12" t="str">
        <f>VLOOKUP('For Hire 2013-14'!B12,'For Hire 2012-13'!$A$2:$C$101,3)</f>
        <v>Old Dominion Freight Line</v>
      </c>
      <c r="D12" s="16">
        <v>2787897</v>
      </c>
      <c r="E12" s="16">
        <v>267514</v>
      </c>
      <c r="F12" s="16">
        <v>18804</v>
      </c>
      <c r="G12" s="16">
        <v>6907</v>
      </c>
      <c r="H12" s="16">
        <v>116</v>
      </c>
      <c r="I12" s="16">
        <v>27635</v>
      </c>
      <c r="J12" s="16"/>
      <c r="K12" s="16"/>
      <c r="L12" s="16">
        <v>376</v>
      </c>
      <c r="M12" t="s">
        <v>223</v>
      </c>
    </row>
    <row r="13" spans="1:13" x14ac:dyDescent="0.2">
      <c r="A13">
        <v>12</v>
      </c>
      <c r="B13">
        <v>13</v>
      </c>
      <c r="C13" t="str">
        <f>VLOOKUP('For Hire 2013-14'!B13,'For Hire 2012-13'!$A$2:$C$101,3)</f>
        <v>Arkansas Best Corp.</v>
      </c>
      <c r="D13" s="16">
        <v>2612693</v>
      </c>
      <c r="E13" s="16">
        <v>46177</v>
      </c>
      <c r="F13" s="16">
        <v>13238</v>
      </c>
      <c r="G13" s="16">
        <v>4191</v>
      </c>
      <c r="H13" s="16">
        <v>56</v>
      </c>
      <c r="I13" s="16">
        <v>19911</v>
      </c>
      <c r="J13" s="16"/>
      <c r="K13" s="16"/>
      <c r="L13" s="16"/>
      <c r="M13" t="s">
        <v>219</v>
      </c>
    </row>
    <row r="14" spans="1:13" x14ac:dyDescent="0.2">
      <c r="A14">
        <v>13</v>
      </c>
      <c r="B14">
        <v>11</v>
      </c>
      <c r="C14" t="str">
        <f>VLOOKUP('For Hire 2013-14'!B14,'For Hire 2012-13'!$A$2:$C$101,3)</f>
        <v>Ryder Supply Chain Solutions</v>
      </c>
      <c r="D14" s="16">
        <v>2461149</v>
      </c>
      <c r="E14" s="16">
        <v>122356</v>
      </c>
      <c r="F14" s="16"/>
      <c r="G14" s="16">
        <v>4098</v>
      </c>
      <c r="H14" s="16"/>
      <c r="I14" s="16">
        <v>6042</v>
      </c>
      <c r="J14" s="16"/>
      <c r="K14" s="16"/>
      <c r="L14" s="16"/>
      <c r="M14" t="s">
        <v>207</v>
      </c>
    </row>
    <row r="15" spans="1:13" x14ac:dyDescent="0.2">
      <c r="A15">
        <v>14</v>
      </c>
      <c r="B15" t="s">
        <v>337</v>
      </c>
      <c r="C15" t="s">
        <v>348</v>
      </c>
      <c r="D15" s="16">
        <v>2356600</v>
      </c>
      <c r="E15" s="16">
        <v>63600</v>
      </c>
      <c r="F15" s="16">
        <v>10000</v>
      </c>
      <c r="G15" s="16">
        <v>6200</v>
      </c>
      <c r="H15" s="16"/>
      <c r="I15" s="16"/>
      <c r="J15" s="16"/>
      <c r="K15" s="16"/>
      <c r="L15" s="16"/>
      <c r="M15" t="s">
        <v>1973</v>
      </c>
    </row>
    <row r="16" spans="1:13" x14ac:dyDescent="0.2">
      <c r="A16">
        <v>15</v>
      </c>
      <c r="B16">
        <v>16</v>
      </c>
      <c r="C16" t="str">
        <f>VLOOKUP('For Hire 2013-14'!B16,'For Hire 2012-13'!$A$2:$C$101,3)</f>
        <v>Estes Express Lines</v>
      </c>
      <c r="D16" s="16">
        <v>2173000</v>
      </c>
      <c r="E16" s="16"/>
      <c r="F16" s="16">
        <v>15815</v>
      </c>
      <c r="G16" s="16">
        <v>6620</v>
      </c>
      <c r="H16" s="16">
        <v>388</v>
      </c>
      <c r="I16" s="16">
        <v>24592</v>
      </c>
      <c r="J16" s="16"/>
      <c r="K16" s="16">
        <v>21</v>
      </c>
      <c r="L16" s="16"/>
      <c r="M16" t="s">
        <v>221</v>
      </c>
    </row>
    <row r="17" spans="1:13" x14ac:dyDescent="0.2">
      <c r="A17">
        <v>16</v>
      </c>
      <c r="B17">
        <v>14</v>
      </c>
      <c r="C17" t="str">
        <f>VLOOKUP('For Hire 2013-14'!B17,'For Hire 2012-13'!$A$2:$C$101,3)</f>
        <v>Werner Enterprises</v>
      </c>
      <c r="D17" s="16">
        <v>2139289</v>
      </c>
      <c r="E17" s="16">
        <v>98650</v>
      </c>
      <c r="F17" s="16">
        <v>10664</v>
      </c>
      <c r="G17" s="16">
        <f>6455+650</f>
        <v>7105</v>
      </c>
      <c r="H17" s="16"/>
      <c r="I17" s="16">
        <v>22305</v>
      </c>
      <c r="J17" s="16"/>
      <c r="K17" s="16">
        <v>1</v>
      </c>
      <c r="L17" s="16"/>
      <c r="M17" t="s">
        <v>215</v>
      </c>
    </row>
    <row r="18" spans="1:13" x14ac:dyDescent="0.2">
      <c r="A18">
        <v>17</v>
      </c>
      <c r="B18">
        <v>21</v>
      </c>
      <c r="C18" t="str">
        <f>VLOOKUP('For Hire 2013-14'!B18,'For Hire 2012-13'!$A$2:$C$101,3)</f>
        <v>Roadrunner Transportation Systems</v>
      </c>
      <c r="D18" s="16">
        <v>1872816</v>
      </c>
      <c r="E18" s="16">
        <v>51974</v>
      </c>
      <c r="F18" s="16">
        <v>4142</v>
      </c>
      <c r="G18" s="16">
        <f>999+3171</f>
        <v>4170</v>
      </c>
      <c r="H18" s="16"/>
      <c r="I18" s="16">
        <v>5135</v>
      </c>
      <c r="J18" s="16"/>
      <c r="K18" s="16"/>
      <c r="L18" s="16"/>
      <c r="M18" t="s">
        <v>250</v>
      </c>
    </row>
    <row r="19" spans="1:13" x14ac:dyDescent="0.2">
      <c r="A19">
        <v>18</v>
      </c>
      <c r="B19">
        <v>18</v>
      </c>
      <c r="C19" t="str">
        <f>VLOOKUP('For Hire 2013-14'!B19,'For Hire 2012-13'!$A$2:$C$101,3)</f>
        <v>U.S. Xpress Enterprises</v>
      </c>
      <c r="D19" s="16">
        <v>1730000</v>
      </c>
      <c r="E19" s="16"/>
      <c r="F19" s="16"/>
      <c r="G19" s="16">
        <f>6800+970</f>
        <v>7770</v>
      </c>
      <c r="H19" s="16"/>
      <c r="I19" s="16">
        <v>17000</v>
      </c>
      <c r="J19" s="16"/>
      <c r="K19" s="16"/>
      <c r="L19" s="16"/>
      <c r="M19" t="s">
        <v>220</v>
      </c>
    </row>
    <row r="20" spans="1:13" x14ac:dyDescent="0.2">
      <c r="A20">
        <v>19</v>
      </c>
      <c r="B20">
        <v>17</v>
      </c>
      <c r="C20" t="str">
        <f>VLOOKUP('For Hire 2013-14'!B20,'For Hire 2012-13'!$A$2:$C$101,3)</f>
        <v>UniGroup Inc.</v>
      </c>
      <c r="D20" s="16">
        <v>1700000</v>
      </c>
      <c r="E20" s="16"/>
      <c r="F20" s="16">
        <v>1150</v>
      </c>
      <c r="G20" s="16">
        <f>5000+1</f>
        <v>5001</v>
      </c>
      <c r="H20" s="16">
        <v>3700</v>
      </c>
      <c r="I20" s="16">
        <v>500</v>
      </c>
      <c r="J20" s="16"/>
      <c r="K20" s="16">
        <v>25000</v>
      </c>
      <c r="L20" s="16"/>
      <c r="M20" t="s">
        <v>218</v>
      </c>
    </row>
    <row r="21" spans="1:13" x14ac:dyDescent="0.2">
      <c r="A21">
        <v>20</v>
      </c>
      <c r="B21">
        <v>23</v>
      </c>
      <c r="C21" t="str">
        <f>VLOOKUP('For Hire 2013-14'!B21,'For Hire 2012-13'!$A$2:$C$101,3)</f>
        <v>Kenan Advantage Group</v>
      </c>
      <c r="D21" s="16">
        <v>1567453</v>
      </c>
      <c r="E21" s="16"/>
      <c r="F21" s="16">
        <v>7265</v>
      </c>
      <c r="G21" s="16">
        <f>4470+399+1586</f>
        <v>6455</v>
      </c>
      <c r="H21" s="16"/>
      <c r="I21" s="16">
        <v>9448</v>
      </c>
      <c r="J21" s="16"/>
      <c r="K21" s="16"/>
      <c r="L21" s="16"/>
      <c r="M21" t="s">
        <v>236</v>
      </c>
    </row>
    <row r="22" spans="1:13" x14ac:dyDescent="0.2">
      <c r="A22">
        <v>21</v>
      </c>
      <c r="B22">
        <v>22</v>
      </c>
      <c r="C22" t="str">
        <f>VLOOKUP('For Hire 2013-14'!B22,'For Hire 2012-13'!$A$2:$C$101,3)</f>
        <v>Prime Inc.</v>
      </c>
      <c r="D22" s="16">
        <v>1563413</v>
      </c>
      <c r="E22" s="16">
        <v>207436</v>
      </c>
      <c r="F22" s="16">
        <v>4450</v>
      </c>
      <c r="G22" s="16">
        <f>1782+3966+439</f>
        <v>6187</v>
      </c>
      <c r="H22" s="16"/>
      <c r="I22" s="16">
        <v>10637</v>
      </c>
      <c r="J22" s="16"/>
      <c r="K22" s="16"/>
      <c r="L22" s="16"/>
      <c r="M22" t="s">
        <v>228</v>
      </c>
    </row>
    <row r="23" spans="1:13" x14ac:dyDescent="0.2">
      <c r="A23">
        <v>22</v>
      </c>
      <c r="B23">
        <v>19</v>
      </c>
      <c r="C23" t="str">
        <f>VLOOKUP('For Hire 2013-14'!B23,'For Hire 2012-13'!$A$2:$C$101,3)</f>
        <v>Purolator Inc.</v>
      </c>
      <c r="D23" s="16">
        <v>1524071</v>
      </c>
      <c r="E23" s="16"/>
      <c r="F23" s="16">
        <v>11500</v>
      </c>
      <c r="G23" s="16">
        <v>489</v>
      </c>
      <c r="H23" s="16">
        <f>166+3055</f>
        <v>3221</v>
      </c>
      <c r="I23" s="16">
        <v>1286</v>
      </c>
      <c r="J23" s="16"/>
      <c r="K23" s="16"/>
      <c r="L23" s="16"/>
      <c r="M23" t="s">
        <v>222</v>
      </c>
    </row>
    <row r="24" spans="1:13" x14ac:dyDescent="0.2">
      <c r="A24">
        <v>23</v>
      </c>
      <c r="B24">
        <v>20</v>
      </c>
      <c r="C24" t="str">
        <f>VLOOKUP('For Hire 2013-14'!B24,'For Hire 2012-13'!$A$2:$C$101,3)</f>
        <v>C.R. England Inc.</v>
      </c>
      <c r="D24" s="16">
        <v>1517290</v>
      </c>
      <c r="E24" s="16"/>
      <c r="F24" s="16">
        <v>7385</v>
      </c>
      <c r="G24" s="16">
        <f>3528+427+132</f>
        <v>4087</v>
      </c>
      <c r="H24" s="16"/>
      <c r="I24" s="16">
        <v>5293</v>
      </c>
      <c r="J24" s="16"/>
      <c r="K24" s="16">
        <v>1642</v>
      </c>
      <c r="L24" s="16"/>
      <c r="M24" t="s">
        <v>225</v>
      </c>
    </row>
    <row r="25" spans="1:13" x14ac:dyDescent="0.2">
      <c r="A25">
        <v>24</v>
      </c>
      <c r="B25">
        <v>15</v>
      </c>
      <c r="C25" t="str">
        <f>VLOOKUP('For Hire 2013-14'!B25,'For Hire 2012-13'!$A$2:$C$101,3)</f>
        <v>Sirva Inc.</v>
      </c>
      <c r="D25" s="16">
        <v>1464400</v>
      </c>
      <c r="E25" s="16"/>
      <c r="F25" s="16">
        <v>2700</v>
      </c>
      <c r="G25" s="16">
        <f>1+2608</f>
        <v>2609</v>
      </c>
      <c r="H25" s="16">
        <v>1625</v>
      </c>
      <c r="I25" s="16">
        <v>4263</v>
      </c>
      <c r="J25" s="16"/>
      <c r="K25" s="16"/>
      <c r="L25" s="16"/>
      <c r="M25" t="s">
        <v>214</v>
      </c>
    </row>
    <row r="26" spans="1:13" x14ac:dyDescent="0.2">
      <c r="A26">
        <v>25</v>
      </c>
      <c r="B26">
        <v>24</v>
      </c>
      <c r="C26" t="str">
        <f>VLOOKUP('For Hire 2013-14'!B26,'For Hire 2012-13'!$A$2:$C$101,3)</f>
        <v>CRST International</v>
      </c>
      <c r="D26" s="16">
        <v>1351571</v>
      </c>
      <c r="E26" s="16"/>
      <c r="F26" s="16">
        <v>5129</v>
      </c>
      <c r="G26" s="16">
        <f>1684+1247+1463</f>
        <v>4394</v>
      </c>
      <c r="H26" s="16"/>
      <c r="I26" s="16">
        <v>7290</v>
      </c>
      <c r="J26" s="16"/>
      <c r="K26" s="16"/>
      <c r="L26" s="16"/>
      <c r="M26" t="s">
        <v>235</v>
      </c>
    </row>
    <row r="27" spans="1:13" x14ac:dyDescent="0.2">
      <c r="A27">
        <v>26</v>
      </c>
      <c r="B27">
        <v>25</v>
      </c>
      <c r="C27" t="str">
        <f>VLOOKUP('For Hire 2013-14'!B27,'For Hire 2012-13'!$A$2:$C$101,3)</f>
        <v>Saia Inc.</v>
      </c>
      <c r="D27" s="16">
        <v>1272321</v>
      </c>
      <c r="E27" s="16">
        <v>51991</v>
      </c>
      <c r="F27" s="16">
        <v>8900</v>
      </c>
      <c r="G27" s="16">
        <v>3780</v>
      </c>
      <c r="H27" s="16"/>
      <c r="I27" s="16">
        <v>11530</v>
      </c>
      <c r="J27" s="16"/>
      <c r="K27" s="16"/>
      <c r="L27" s="16"/>
      <c r="M27" t="s">
        <v>227</v>
      </c>
    </row>
    <row r="28" spans="1:13" x14ac:dyDescent="0.2">
      <c r="A28">
        <v>27</v>
      </c>
      <c r="B28">
        <v>28</v>
      </c>
      <c r="C28" t="str">
        <f>VLOOKUP('For Hire 2013-14'!B28,'For Hire 2012-13'!$A$2:$C$101,3)</f>
        <v>Universal Truckload Services Inc</v>
      </c>
      <c r="D28" s="16">
        <v>1191521</v>
      </c>
      <c r="E28" s="16">
        <v>45370</v>
      </c>
      <c r="F28" s="16">
        <v>4218</v>
      </c>
      <c r="G28" s="16">
        <f>1075+3333</f>
        <v>4408</v>
      </c>
      <c r="H28" s="16"/>
      <c r="I28" s="16">
        <v>6291</v>
      </c>
      <c r="J28" s="16"/>
      <c r="K28" s="16">
        <v>800</v>
      </c>
      <c r="L28" s="16">
        <v>954</v>
      </c>
      <c r="M28" t="s">
        <v>243</v>
      </c>
    </row>
    <row r="29" spans="1:13" x14ac:dyDescent="0.2">
      <c r="A29">
        <v>28</v>
      </c>
      <c r="B29">
        <v>27</v>
      </c>
      <c r="C29" t="str">
        <f>VLOOKUP('For Hire 2013-14'!B29,'For Hire 2012-13'!$A$2:$C$101,3)</f>
        <v>Southeastern Freight Lines</v>
      </c>
      <c r="D29" s="16">
        <v>1171968</v>
      </c>
      <c r="E29" s="16"/>
      <c r="F29" s="16">
        <v>8299</v>
      </c>
      <c r="G29" s="16">
        <f>3343+256</f>
        <v>3599</v>
      </c>
      <c r="H29" s="16">
        <v>23</v>
      </c>
      <c r="I29" s="16">
        <v>11496</v>
      </c>
      <c r="J29" s="16"/>
      <c r="K29" s="16"/>
      <c r="L29" s="16"/>
      <c r="M29" t="s">
        <v>232</v>
      </c>
    </row>
    <row r="30" spans="1:13" x14ac:dyDescent="0.2">
      <c r="A30">
        <v>29</v>
      </c>
      <c r="B30">
        <v>32</v>
      </c>
      <c r="C30" t="str">
        <f>VLOOKUP('For Hire 2013-14'!B30,'For Hire 2012-13'!$A$2:$C$101,3)</f>
        <v>Penske Logistics</v>
      </c>
      <c r="D30" s="16">
        <v>1137000</v>
      </c>
      <c r="E30" s="16"/>
      <c r="F30" s="16">
        <v>13000</v>
      </c>
      <c r="G30" s="16">
        <v>2054</v>
      </c>
      <c r="H30" s="16">
        <v>245</v>
      </c>
      <c r="I30" s="16">
        <v>4918</v>
      </c>
      <c r="J30" s="16"/>
      <c r="K30" s="16"/>
      <c r="L30" s="16"/>
      <c r="M30" t="s">
        <v>209</v>
      </c>
    </row>
    <row r="31" spans="1:13" x14ac:dyDescent="0.2">
      <c r="A31">
        <v>30</v>
      </c>
      <c r="B31">
        <v>26</v>
      </c>
      <c r="C31" t="str">
        <f>VLOOKUP('For Hire 2013-14'!B31,'For Hire 2012-13'!$A$2:$C$101,3)</f>
        <v>NFI Industries</v>
      </c>
      <c r="D31" s="16">
        <v>1105000</v>
      </c>
      <c r="E31" s="16"/>
      <c r="F31" s="16">
        <v>8000</v>
      </c>
      <c r="G31" s="16">
        <f>2022+242</f>
        <v>2264</v>
      </c>
      <c r="H31" s="16"/>
      <c r="I31" s="16">
        <v>7500</v>
      </c>
      <c r="J31" s="16"/>
      <c r="K31" s="16">
        <v>170</v>
      </c>
      <c r="L31" s="16"/>
      <c r="M31" t="s">
        <v>229</v>
      </c>
    </row>
    <row r="32" spans="1:13" x14ac:dyDescent="0.2">
      <c r="A32">
        <v>31</v>
      </c>
      <c r="B32">
        <v>31</v>
      </c>
      <c r="C32" t="str">
        <f>VLOOKUP('For Hire 2013-14'!B32,'For Hire 2012-13'!$A$2:$C$101,3)</f>
        <v>Knight Transportation</v>
      </c>
      <c r="D32" s="16">
        <v>1102332</v>
      </c>
      <c r="E32" s="16">
        <v>102862</v>
      </c>
      <c r="F32" s="16">
        <v>5526</v>
      </c>
      <c r="G32" s="16">
        <f>4282+456</f>
        <v>4738</v>
      </c>
      <c r="H32" s="16"/>
      <c r="I32" s="16">
        <v>11487</v>
      </c>
      <c r="J32" s="16"/>
      <c r="K32" s="16"/>
      <c r="L32" s="16"/>
      <c r="M32" t="s">
        <v>237</v>
      </c>
    </row>
    <row r="33" spans="1:13" s="8" customFormat="1" x14ac:dyDescent="0.2">
      <c r="A33" s="8">
        <v>32</v>
      </c>
      <c r="B33" s="8">
        <v>30</v>
      </c>
      <c r="C33" s="8" t="str">
        <f>VLOOKUP('For Hire 2013-14'!B33,'For Hire 2012-13'!$A$2:$C$101,3)</f>
        <v>Crete Carrier Corp</v>
      </c>
      <c r="D33" s="17">
        <v>1100000</v>
      </c>
      <c r="E33" s="17"/>
      <c r="F33" s="17">
        <v>5500</v>
      </c>
      <c r="G33" s="17">
        <v>5130</v>
      </c>
      <c r="H33" s="17"/>
      <c r="I33" s="17">
        <v>12883</v>
      </c>
      <c r="J33" s="17"/>
      <c r="K33" s="17"/>
      <c r="L33" s="17"/>
      <c r="M33" s="8" t="s">
        <v>226</v>
      </c>
    </row>
    <row r="34" spans="1:13" x14ac:dyDescent="0.2">
      <c r="A34">
        <v>33</v>
      </c>
      <c r="B34">
        <v>29</v>
      </c>
      <c r="C34" t="str">
        <f>VLOOKUP('For Hire 2013-14'!B34,'For Hire 2012-13'!$A$2:$C$101,3)</f>
        <v>Averitt Express</v>
      </c>
      <c r="D34" s="16">
        <v>1078000</v>
      </c>
      <c r="E34" s="16"/>
      <c r="F34" s="16"/>
      <c r="G34" s="16">
        <v>4441</v>
      </c>
      <c r="H34" s="16">
        <v>45</v>
      </c>
      <c r="I34" s="16">
        <v>13075</v>
      </c>
      <c r="J34" s="16"/>
      <c r="K34" s="16"/>
      <c r="L34" s="16"/>
      <c r="M34" t="s">
        <v>230</v>
      </c>
    </row>
    <row r="35" spans="1:13" x14ac:dyDescent="0.2">
      <c r="A35">
        <v>34</v>
      </c>
      <c r="B35">
        <v>46</v>
      </c>
      <c r="C35" t="str">
        <f>VLOOKUP('For Hire 2013-14'!B35,'For Hire 2012-13'!$A$2:$C$101,3)</f>
        <v>Forward Air Corp.</v>
      </c>
      <c r="D35" s="16">
        <v>1010959</v>
      </c>
      <c r="E35" s="16">
        <v>61169</v>
      </c>
      <c r="F35" s="16">
        <v>3600</v>
      </c>
      <c r="G35" s="16">
        <f>248+1052</f>
        <v>1300</v>
      </c>
      <c r="H35" s="16">
        <f>6+190</f>
        <v>196</v>
      </c>
      <c r="I35" s="16">
        <v>3100</v>
      </c>
      <c r="J35" s="16"/>
      <c r="K35" s="16"/>
      <c r="L35" s="16"/>
      <c r="M35" t="s">
        <v>255</v>
      </c>
    </row>
    <row r="36" spans="1:13" x14ac:dyDescent="0.2">
      <c r="A36">
        <v>35</v>
      </c>
      <c r="B36">
        <v>35</v>
      </c>
      <c r="C36" t="str">
        <f>VLOOKUP('For Hire 2013-14'!B36,'For Hire 2012-13'!$A$2:$C$101,3)</f>
        <v xml:space="preserve"> Lynden Inc.</v>
      </c>
      <c r="D36" s="16">
        <v>1000000</v>
      </c>
      <c r="E36" s="16"/>
      <c r="F36" s="16">
        <v>2652</v>
      </c>
      <c r="G36" s="16">
        <f>448+158</f>
        <v>606</v>
      </c>
      <c r="H36" s="16">
        <v>17</v>
      </c>
      <c r="I36" s="16">
        <v>3646</v>
      </c>
      <c r="J36" s="16"/>
      <c r="K36" s="16">
        <v>8540</v>
      </c>
      <c r="L36" s="16">
        <v>58</v>
      </c>
      <c r="M36" t="s">
        <v>234</v>
      </c>
    </row>
    <row r="37" spans="1:13" x14ac:dyDescent="0.2">
      <c r="A37">
        <v>36</v>
      </c>
      <c r="B37">
        <v>34</v>
      </c>
      <c r="C37" t="str">
        <f>VLOOKUP('For Hire 2013-14'!B37,'For Hire 2012-13'!$A$2:$C$101,3)</f>
        <v>Quality Distribution Inc</v>
      </c>
      <c r="D37" s="16">
        <v>991758</v>
      </c>
      <c r="E37" s="16">
        <v>20640</v>
      </c>
      <c r="F37" s="16">
        <v>188</v>
      </c>
      <c r="G37" s="16">
        <f>922+1343+930</f>
        <v>3195</v>
      </c>
      <c r="H37" s="16"/>
      <c r="I37" s="16">
        <v>3171</v>
      </c>
      <c r="J37" s="16"/>
      <c r="K37" s="16"/>
      <c r="L37" s="16"/>
      <c r="M37" t="s">
        <v>239</v>
      </c>
    </row>
    <row r="38" spans="1:13" x14ac:dyDescent="0.2">
      <c r="A38">
        <v>37</v>
      </c>
      <c r="B38">
        <v>36</v>
      </c>
      <c r="C38" t="str">
        <f>VLOOKUP('For Hire 2013-14'!B38,'For Hire 2012-13'!$A$2:$C$101,3)</f>
        <v>Atlas World Group</v>
      </c>
      <c r="D38" s="16">
        <v>878313</v>
      </c>
      <c r="E38" s="16">
        <v>9542</v>
      </c>
      <c r="F38" s="16">
        <v>644</v>
      </c>
      <c r="G38" s="16">
        <f>12+2074</f>
        <v>2086</v>
      </c>
      <c r="H38" s="16">
        <v>784</v>
      </c>
      <c r="I38" s="16">
        <v>4012</v>
      </c>
      <c r="J38" s="16"/>
      <c r="K38" s="16"/>
      <c r="L38" s="16"/>
      <c r="M38" t="s">
        <v>231</v>
      </c>
    </row>
    <row r="39" spans="1:13" x14ac:dyDescent="0.2">
      <c r="A39">
        <v>38</v>
      </c>
      <c r="B39">
        <v>41</v>
      </c>
      <c r="C39" t="str">
        <f>VLOOKUP('For Hire 2013-14'!B39,'For Hire 2012-13'!$A$2:$C$101,3)</f>
        <v>Anderson Trucking Service</v>
      </c>
      <c r="D39" s="16">
        <v>873432</v>
      </c>
      <c r="E39" s="16"/>
      <c r="F39" s="16">
        <v>1389</v>
      </c>
      <c r="G39" s="16">
        <f>581+1938</f>
        <v>2519</v>
      </c>
      <c r="H39" s="16"/>
      <c r="I39" s="16">
        <v>6127</v>
      </c>
      <c r="J39" s="16"/>
      <c r="K39" s="16"/>
      <c r="L39" s="16"/>
      <c r="M39" t="s">
        <v>241</v>
      </c>
    </row>
    <row r="40" spans="1:13" x14ac:dyDescent="0.2">
      <c r="A40">
        <v>39</v>
      </c>
      <c r="B40">
        <v>33</v>
      </c>
      <c r="C40" t="str">
        <f>VLOOKUP('For Hire 2013-14'!B40,'For Hire 2012-13'!$A$2:$C$101,3)</f>
        <v>Heartland Express</v>
      </c>
      <c r="D40" s="16">
        <v>871355</v>
      </c>
      <c r="E40" s="16">
        <v>84834</v>
      </c>
      <c r="F40" s="16">
        <v>4500</v>
      </c>
      <c r="G40" s="16">
        <v>4776</v>
      </c>
      <c r="H40" s="16"/>
      <c r="I40" s="16">
        <v>12970</v>
      </c>
      <c r="J40" s="16"/>
      <c r="K40" s="16"/>
      <c r="L40" s="16"/>
      <c r="M40" t="s">
        <v>249</v>
      </c>
    </row>
    <row r="41" spans="1:13" x14ac:dyDescent="0.2">
      <c r="A41">
        <v>40</v>
      </c>
      <c r="B41">
        <v>42</v>
      </c>
      <c r="C41" t="str">
        <f>VLOOKUP('For Hire 2013-14'!B41,'For Hire 2012-13'!$A$2:$C$101,3)</f>
        <v>KLLM Transport Services</v>
      </c>
      <c r="D41" s="16">
        <v>863000</v>
      </c>
      <c r="E41" s="16"/>
      <c r="F41" s="16"/>
      <c r="G41" s="16">
        <v>3800</v>
      </c>
      <c r="H41" s="16"/>
      <c r="I41" s="16">
        <v>5500</v>
      </c>
      <c r="J41" s="16"/>
      <c r="K41" s="16"/>
      <c r="L41" s="16"/>
      <c r="M41" t="s">
        <v>272</v>
      </c>
    </row>
    <row r="42" spans="1:13" x14ac:dyDescent="0.2">
      <c r="A42">
        <v>41</v>
      </c>
      <c r="B42">
        <v>38</v>
      </c>
      <c r="C42" t="str">
        <f>VLOOKUP('For Hire 2013-14'!B42,'For Hire 2012-13'!$A$2:$C$101,3)</f>
        <v>Ruan Transportation Management Systems</v>
      </c>
      <c r="D42" s="16">
        <v>848759</v>
      </c>
      <c r="E42" s="16"/>
      <c r="F42" s="16">
        <v>5595</v>
      </c>
      <c r="G42" s="16">
        <v>3754</v>
      </c>
      <c r="H42" s="16">
        <v>48</v>
      </c>
      <c r="I42" s="16">
        <v>8395</v>
      </c>
      <c r="J42" s="16"/>
      <c r="K42" s="16">
        <v>302</v>
      </c>
      <c r="L42" s="16">
        <v>248</v>
      </c>
      <c r="M42" t="s">
        <v>233</v>
      </c>
    </row>
    <row r="43" spans="1:13" x14ac:dyDescent="0.2">
      <c r="A43">
        <v>42</v>
      </c>
      <c r="B43">
        <v>44</v>
      </c>
      <c r="C43" t="str">
        <f>VLOOKUP('For Hire 2013-14'!B43,'For Hire 2012-13'!$A$2:$C$101,3)</f>
        <v>Celadon Group1</v>
      </c>
      <c r="D43" s="16">
        <v>806400</v>
      </c>
      <c r="E43" s="16">
        <v>35579</v>
      </c>
      <c r="F43" s="16">
        <v>4582</v>
      </c>
      <c r="G43" s="16">
        <f>2639+648+744</f>
        <v>4031</v>
      </c>
      <c r="H43" s="16"/>
      <c r="I43" s="16">
        <v>11180</v>
      </c>
      <c r="J43" s="16"/>
      <c r="K43" s="16">
        <v>185</v>
      </c>
      <c r="L43" s="16">
        <v>64</v>
      </c>
      <c r="M43" t="s">
        <v>245</v>
      </c>
    </row>
    <row r="44" spans="1:13" x14ac:dyDescent="0.2">
      <c r="A44">
        <v>43</v>
      </c>
      <c r="B44">
        <v>37</v>
      </c>
      <c r="C44" t="str">
        <f>VLOOKUP('For Hire 2013-14'!B44,'For Hire 2012-13'!$A$2:$C$101,3)</f>
        <v>Jack Cooper Transport Co.</v>
      </c>
      <c r="D44" s="16">
        <v>790000</v>
      </c>
      <c r="E44" s="16"/>
      <c r="F44" s="16"/>
      <c r="G44" s="16">
        <v>3500</v>
      </c>
      <c r="H44" s="16"/>
      <c r="I44" s="16"/>
      <c r="J44" s="16"/>
      <c r="K44" s="16"/>
      <c r="L44" s="16"/>
      <c r="M44" t="s">
        <v>304</v>
      </c>
    </row>
    <row r="45" spans="1:13" x14ac:dyDescent="0.2">
      <c r="A45">
        <v>44</v>
      </c>
      <c r="B45">
        <v>39</v>
      </c>
      <c r="C45" t="str">
        <f>VLOOKUP('For Hire 2013-14'!B45,'For Hire 2012-13'!$A$2:$C$101,3)</f>
        <v>Day &amp; Ross Transportation1 Group</v>
      </c>
      <c r="D45" s="16">
        <v>771988</v>
      </c>
      <c r="E45" s="16"/>
      <c r="F45" s="16">
        <v>1602</v>
      </c>
      <c r="G45" s="16">
        <f>243+1309</f>
        <v>1552</v>
      </c>
      <c r="H45" s="16">
        <v>359</v>
      </c>
      <c r="I45" s="16">
        <v>3103</v>
      </c>
      <c r="J45" s="16"/>
      <c r="K45" s="16"/>
      <c r="L45" s="16">
        <v>45</v>
      </c>
      <c r="M45" t="s">
        <v>305</v>
      </c>
    </row>
    <row r="46" spans="1:13" s="8" customFormat="1" x14ac:dyDescent="0.2">
      <c r="A46" s="8">
        <v>45</v>
      </c>
      <c r="B46" s="8">
        <v>40</v>
      </c>
      <c r="C46" s="8" t="str">
        <f>VLOOKUP('For Hire 2013-14'!B46,'For Hire 2012-13'!$A$2:$C$101,3)</f>
        <v xml:space="preserve">Trimac Group </v>
      </c>
      <c r="D46" s="17">
        <v>737725</v>
      </c>
      <c r="E46" s="17"/>
      <c r="F46" s="17">
        <v>3262</v>
      </c>
      <c r="G46" s="17">
        <f>1474+693</f>
        <v>2167</v>
      </c>
      <c r="H46" s="17"/>
      <c r="I46" s="17">
        <v>4679</v>
      </c>
      <c r="J46" s="17"/>
      <c r="K46" s="17"/>
      <c r="L46" s="17"/>
      <c r="M46" s="8" t="s">
        <v>244</v>
      </c>
    </row>
    <row r="47" spans="1:13" x14ac:dyDescent="0.2">
      <c r="A47">
        <v>46</v>
      </c>
      <c r="B47">
        <v>43</v>
      </c>
      <c r="C47" t="str">
        <f>VLOOKUP('For Hire 2013-14'!B47,'For Hire 2012-13'!$A$2:$C$101,3)</f>
        <v>Covenant  Transportation</v>
      </c>
      <c r="D47" s="16">
        <v>718980</v>
      </c>
      <c r="E47" s="16">
        <v>17808</v>
      </c>
      <c r="F47" s="16">
        <v>4400</v>
      </c>
      <c r="G47" s="16">
        <f>2470+195</f>
        <v>2665</v>
      </c>
      <c r="H47" s="16"/>
      <c r="I47" s="16">
        <v>6722</v>
      </c>
      <c r="J47" s="16"/>
      <c r="K47" s="16"/>
      <c r="L47" s="16"/>
      <c r="M47" t="s">
        <v>240</v>
      </c>
    </row>
    <row r="48" spans="1:13" x14ac:dyDescent="0.2">
      <c r="A48">
        <v>47</v>
      </c>
      <c r="B48">
        <v>47</v>
      </c>
      <c r="C48" t="str">
        <f>VLOOKUP('For Hire 2013-14'!B48,'For Hire 2012-13'!$A$2:$C$101,3)</f>
        <v>Stevens Transport</v>
      </c>
      <c r="D48" s="16">
        <v>673160</v>
      </c>
      <c r="E48" s="16">
        <v>91310</v>
      </c>
      <c r="F48" s="16">
        <v>2835</v>
      </c>
      <c r="G48" s="16">
        <f>1945+830</f>
        <v>2775</v>
      </c>
      <c r="H48" s="16"/>
      <c r="I48" s="16">
        <v>3782</v>
      </c>
      <c r="J48" s="16"/>
      <c r="K48" s="16"/>
      <c r="L48" s="16"/>
      <c r="M48" t="s">
        <v>246</v>
      </c>
    </row>
    <row r="49" spans="1:13" x14ac:dyDescent="0.2">
      <c r="A49">
        <v>48</v>
      </c>
      <c r="B49">
        <v>45</v>
      </c>
      <c r="C49" t="str">
        <f>VLOOKUP('For Hire 2013-14'!B49,'For Hire 2012-13'!$A$2:$C$101,3)</f>
        <v>Marten Transport</v>
      </c>
      <c r="D49" s="16">
        <v>672929</v>
      </c>
      <c r="E49" s="16">
        <v>29834</v>
      </c>
      <c r="F49" s="16">
        <v>3240</v>
      </c>
      <c r="G49" s="16">
        <f>2368+52</f>
        <v>2420</v>
      </c>
      <c r="H49" s="16"/>
      <c r="I49" s="16">
        <v>4265</v>
      </c>
      <c r="J49" s="16"/>
      <c r="K49" s="16"/>
      <c r="L49" s="16"/>
      <c r="M49" t="s">
        <v>242</v>
      </c>
    </row>
    <row r="50" spans="1:13" x14ac:dyDescent="0.2">
      <c r="A50">
        <v>49</v>
      </c>
      <c r="B50">
        <v>59</v>
      </c>
      <c r="C50" t="str">
        <f>VLOOKUP('For Hire 2013-14'!B50,'For Hire 2012-13'!$A$2:$C$101,3)</f>
        <v>Daseke Inc.</v>
      </c>
      <c r="D50" s="16">
        <v>668000</v>
      </c>
      <c r="E50" s="16"/>
      <c r="F50" s="16">
        <v>2500</v>
      </c>
      <c r="G50" s="16">
        <f>1875+257+478</f>
        <v>2610</v>
      </c>
      <c r="H50" s="16"/>
      <c r="I50" s="16">
        <v>5515</v>
      </c>
      <c r="J50" s="16"/>
      <c r="K50" s="16"/>
      <c r="L50" s="16"/>
      <c r="M50" t="s">
        <v>9429</v>
      </c>
    </row>
    <row r="51" spans="1:13" x14ac:dyDescent="0.2">
      <c r="A51">
        <v>50</v>
      </c>
      <c r="B51">
        <v>50</v>
      </c>
      <c r="C51" t="str">
        <f>VLOOKUP('For Hire 2013-14'!B51,'For Hire 2012-13'!$A$2:$C$101,3)</f>
        <v>USA Truck</v>
      </c>
      <c r="D51" s="16">
        <v>602477</v>
      </c>
      <c r="E51" s="16">
        <v>6033</v>
      </c>
      <c r="F51" s="16"/>
      <c r="G51" s="16">
        <f>1987+196</f>
        <v>2183</v>
      </c>
      <c r="H51" s="16"/>
      <c r="I51" s="16">
        <v>6216</v>
      </c>
      <c r="J51" s="16"/>
      <c r="K51" s="16"/>
      <c r="L51" s="16"/>
      <c r="M51" t="s">
        <v>257</v>
      </c>
    </row>
    <row r="52" spans="1:13" x14ac:dyDescent="0.2">
      <c r="A52">
        <v>51</v>
      </c>
      <c r="B52">
        <v>48</v>
      </c>
      <c r="C52" t="str">
        <f>VLOOKUP('For Hire 2013-14'!B52,'For Hire 2012-13'!$A$2:$C$101,3)</f>
        <v>AAA Cooper Transportation</v>
      </c>
      <c r="D52" s="16">
        <v>580372</v>
      </c>
      <c r="E52" s="16"/>
      <c r="F52" s="16">
        <v>4500</v>
      </c>
      <c r="G52" s="16">
        <v>2450</v>
      </c>
      <c r="H52" s="16"/>
      <c r="I52" s="16">
        <v>6000</v>
      </c>
      <c r="J52" s="16"/>
      <c r="K52" s="16"/>
      <c r="L52" s="16"/>
      <c r="M52" t="s">
        <v>254</v>
      </c>
    </row>
    <row r="53" spans="1:13" x14ac:dyDescent="0.2">
      <c r="A53">
        <v>52</v>
      </c>
      <c r="B53">
        <v>60</v>
      </c>
      <c r="C53" t="str">
        <f>VLOOKUP('For Hire 2013-14'!B53,'For Hire 2012-13'!$A$2:$C$101,3)</f>
        <v>Pitt Ohio</v>
      </c>
      <c r="D53" s="16">
        <v>551300</v>
      </c>
      <c r="E53" s="16"/>
      <c r="F53" s="16">
        <v>3140</v>
      </c>
      <c r="G53" s="16">
        <v>812</v>
      </c>
      <c r="H53" s="16">
        <f>398+36</f>
        <v>434</v>
      </c>
      <c r="I53" s="16">
        <v>2037</v>
      </c>
      <c r="J53" s="16"/>
      <c r="K53" s="16"/>
      <c r="L53" s="16"/>
      <c r="M53" t="s">
        <v>275</v>
      </c>
    </row>
    <row r="54" spans="1:13" x14ac:dyDescent="0.2">
      <c r="A54">
        <v>53</v>
      </c>
      <c r="B54">
        <v>56</v>
      </c>
      <c r="C54" t="str">
        <f>VLOOKUP('For Hire 2013-14'!B54,'For Hire 2012-13'!$A$2:$C$101,3)</f>
        <v>Mercer Transportation</v>
      </c>
      <c r="D54" s="16">
        <v>547269</v>
      </c>
      <c r="E54" s="16"/>
      <c r="F54" s="16">
        <v>325</v>
      </c>
      <c r="G54" s="16">
        <v>2189</v>
      </c>
      <c r="H54" s="16"/>
      <c r="I54" s="16">
        <v>2189</v>
      </c>
      <c r="J54" s="16"/>
      <c r="K54" s="16"/>
      <c r="L54" s="16"/>
      <c r="M54" t="s">
        <v>268</v>
      </c>
    </row>
    <row r="55" spans="1:13" x14ac:dyDescent="0.2">
      <c r="A55">
        <v>54</v>
      </c>
      <c r="B55">
        <v>57</v>
      </c>
      <c r="C55" t="str">
        <f>VLOOKUP('For Hire 2013-14'!B55,'For Hire 2012-13'!$A$2:$C$101,3)</f>
        <v>Western Express</v>
      </c>
      <c r="D55" s="16">
        <v>540104</v>
      </c>
      <c r="E55" s="16"/>
      <c r="F55" s="16">
        <v>3107</v>
      </c>
      <c r="G55" s="16">
        <f>2402+2</f>
        <v>2404</v>
      </c>
      <c r="H55" s="16"/>
      <c r="I55" s="16">
        <v>5700</v>
      </c>
      <c r="J55" s="16"/>
      <c r="K55" s="16"/>
      <c r="L55" s="16"/>
      <c r="M55" t="s">
        <v>252</v>
      </c>
    </row>
    <row r="56" spans="1:13" x14ac:dyDescent="0.2">
      <c r="A56">
        <v>55</v>
      </c>
      <c r="B56">
        <v>74</v>
      </c>
      <c r="C56" t="str">
        <f>VLOOKUP('For Hire 2013-14'!B56,'For Hire 2012-13'!$A$2:$C$101,3)</f>
        <v>United Road Services</v>
      </c>
      <c r="D56" s="16">
        <v>532000</v>
      </c>
      <c r="E56" s="16"/>
      <c r="F56" s="16">
        <v>1700</v>
      </c>
      <c r="G56" s="16">
        <f>1300+472</f>
        <v>1772</v>
      </c>
      <c r="H56" s="16"/>
      <c r="I56" s="16"/>
      <c r="J56" s="16"/>
      <c r="K56" s="16"/>
      <c r="L56" s="16"/>
      <c r="M56" t="s">
        <v>291</v>
      </c>
    </row>
    <row r="57" spans="1:13" x14ac:dyDescent="0.2">
      <c r="A57">
        <v>56</v>
      </c>
      <c r="B57">
        <v>51</v>
      </c>
      <c r="C57" t="str">
        <f>VLOOKUP('For Hire 2013-14'!B57,'For Hire 2012-13'!$A$2:$C$101,3)</f>
        <v>Canada catage system</v>
      </c>
      <c r="D57" s="16">
        <v>516976</v>
      </c>
      <c r="E57" s="16"/>
      <c r="F57" s="16"/>
      <c r="G57" s="16">
        <f>1952+591</f>
        <v>2543</v>
      </c>
      <c r="H57" s="16">
        <v>368</v>
      </c>
      <c r="I57" s="16">
        <v>2417</v>
      </c>
      <c r="J57" s="16"/>
      <c r="K57" s="16"/>
      <c r="L57" s="16"/>
      <c r="M57" t="s">
        <v>260</v>
      </c>
    </row>
    <row r="58" spans="1:13" x14ac:dyDescent="0.2">
      <c r="A58">
        <v>57</v>
      </c>
      <c r="B58">
        <v>52</v>
      </c>
      <c r="C58" t="str">
        <f>VLOOKUP('For Hire 2013-14'!B58,'For Hire 2012-13'!$A$2:$C$101,3)</f>
        <v>Mullen Group</v>
      </c>
      <c r="D58" s="16">
        <v>516878</v>
      </c>
      <c r="E58" s="16"/>
      <c r="F58" s="16">
        <v>2092</v>
      </c>
      <c r="G58" s="16">
        <f>831+543</f>
        <v>1374</v>
      </c>
      <c r="H58" s="16">
        <f>90+198</f>
        <v>288</v>
      </c>
      <c r="I58" s="16">
        <v>3529</v>
      </c>
      <c r="J58" s="16"/>
      <c r="K58" s="16" t="s">
        <v>358</v>
      </c>
      <c r="L58" s="16"/>
      <c r="M58" t="s">
        <v>262</v>
      </c>
    </row>
    <row r="59" spans="1:13" x14ac:dyDescent="0.2">
      <c r="A59">
        <v>58</v>
      </c>
      <c r="B59">
        <v>54</v>
      </c>
      <c r="C59" t="str">
        <f>VLOOKUP('For Hire 2013-14'!B59,'For Hire 2012-13'!$A$2:$C$101,3)</f>
        <v>The Suddath Cos</v>
      </c>
      <c r="D59" s="16">
        <v>500000</v>
      </c>
      <c r="E59" s="16"/>
      <c r="F59" s="16">
        <v>2000</v>
      </c>
      <c r="G59" s="16">
        <v>384</v>
      </c>
      <c r="H59" s="16">
        <v>287</v>
      </c>
      <c r="I59" s="16">
        <v>754</v>
      </c>
      <c r="J59" s="16"/>
      <c r="K59" s="16"/>
      <c r="L59" s="16"/>
      <c r="M59" t="s">
        <v>274</v>
      </c>
    </row>
    <row r="60" spans="1:13" x14ac:dyDescent="0.2">
      <c r="A60">
        <v>59</v>
      </c>
      <c r="B60">
        <v>55</v>
      </c>
      <c r="C60" t="str">
        <f>VLOOKUP('For Hire 2013-14'!B60,'For Hire 2012-13'!$A$2:$C$101,3)</f>
        <v>Bison Transport</v>
      </c>
      <c r="D60" s="16">
        <v>489568</v>
      </c>
      <c r="E60" s="16"/>
      <c r="F60" s="16">
        <v>2321</v>
      </c>
      <c r="G60" s="16">
        <f>1088+39+375</f>
        <v>1502</v>
      </c>
      <c r="H60" s="16"/>
      <c r="I60" s="16">
        <v>3857</v>
      </c>
      <c r="J60" s="16"/>
      <c r="K60" s="16">
        <v>182</v>
      </c>
      <c r="L60" s="16">
        <v>80</v>
      </c>
      <c r="M60" t="s">
        <v>307</v>
      </c>
    </row>
    <row r="61" spans="1:13" x14ac:dyDescent="0.2">
      <c r="A61">
        <v>60</v>
      </c>
      <c r="B61">
        <v>70</v>
      </c>
      <c r="C61" t="str">
        <f>VLOOKUP('For Hire 2013-14'!B61,'For Hire 2012-13'!$A$2:$C$101,3)</f>
        <v>Acme Truck Line Inc.</v>
      </c>
      <c r="D61" s="16">
        <v>487208</v>
      </c>
      <c r="E61" s="16"/>
      <c r="F61" s="16">
        <v>3000</v>
      </c>
      <c r="G61" s="16">
        <v>2007</v>
      </c>
      <c r="H61" s="16">
        <v>724</v>
      </c>
      <c r="I61" s="16">
        <v>2257</v>
      </c>
      <c r="J61" s="16"/>
      <c r="K61" s="16"/>
      <c r="L61" s="16"/>
      <c r="M61" t="s">
        <v>309</v>
      </c>
    </row>
    <row r="62" spans="1:13" x14ac:dyDescent="0.2">
      <c r="A62">
        <v>61</v>
      </c>
      <c r="B62">
        <v>53</v>
      </c>
      <c r="C62" t="str">
        <f>VLOOKUP('For Hire 2013-14'!B62,'For Hire 2012-13'!$A$2:$C$101,3)</f>
        <v>TransX Group</v>
      </c>
      <c r="D62" s="16">
        <v>482571</v>
      </c>
      <c r="E62" s="16"/>
      <c r="F62" s="16">
        <v>2560</v>
      </c>
      <c r="G62" s="16">
        <f>655+850</f>
        <v>1505</v>
      </c>
      <c r="H62" s="16"/>
      <c r="I62" s="16">
        <v>4240</v>
      </c>
      <c r="J62" s="16"/>
      <c r="K62" s="16">
        <v>915</v>
      </c>
      <c r="L62" s="16">
        <v>470</v>
      </c>
      <c r="M62" t="s">
        <v>251</v>
      </c>
    </row>
    <row r="63" spans="1:13" x14ac:dyDescent="0.2">
      <c r="A63">
        <v>62</v>
      </c>
      <c r="B63">
        <v>58</v>
      </c>
      <c r="C63" t="str">
        <f>VLOOKUP('For Hire 2013-14'!B63,'For Hire 2012-13'!$A$2:$C$101,3)</f>
        <v>Shevell Group</v>
      </c>
      <c r="D63" s="16">
        <v>461000</v>
      </c>
      <c r="E63" s="16"/>
      <c r="F63" s="16">
        <v>3559</v>
      </c>
      <c r="G63" s="16">
        <f>1885+35</f>
        <v>1920</v>
      </c>
      <c r="H63" s="16">
        <v>125</v>
      </c>
      <c r="I63" s="16">
        <v>4600</v>
      </c>
      <c r="J63" s="16"/>
      <c r="K63" s="16"/>
      <c r="L63" s="16">
        <v>20</v>
      </c>
      <c r="M63" t="s">
        <v>253</v>
      </c>
    </row>
    <row r="64" spans="1:13" x14ac:dyDescent="0.2">
      <c r="A64">
        <v>63</v>
      </c>
      <c r="B64">
        <v>76</v>
      </c>
      <c r="C64" t="str">
        <f>VLOOKUP('For Hire 2013-14'!B64,'For Hire 2012-13'!$A$2:$C$101,3)</f>
        <v>Bennett International Group</v>
      </c>
      <c r="D64" s="16">
        <v>436024</v>
      </c>
      <c r="E64" s="16"/>
      <c r="F64" s="16">
        <v>772</v>
      </c>
      <c r="G64" s="16">
        <f>66+110+1232</f>
        <v>1408</v>
      </c>
      <c r="H64" s="16">
        <v>388</v>
      </c>
      <c r="I64" s="16">
        <v>1418</v>
      </c>
      <c r="J64" s="16"/>
      <c r="K64" s="16"/>
      <c r="L64" s="16">
        <v>4</v>
      </c>
      <c r="M64" t="s">
        <v>286</v>
      </c>
    </row>
    <row r="65" spans="1:13" x14ac:dyDescent="0.2">
      <c r="A65">
        <v>64</v>
      </c>
      <c r="B65">
        <v>65</v>
      </c>
      <c r="C65" t="str">
        <f>VLOOKUP('For Hire 2013-14'!B65,'For Hire 2012-13'!$A$2:$C$101,3)</f>
        <v>Dayton Freight Lines</v>
      </c>
      <c r="D65" s="16">
        <v>436000</v>
      </c>
      <c r="E65" s="16"/>
      <c r="F65" s="16">
        <v>3610</v>
      </c>
      <c r="G65" s="16">
        <v>1228</v>
      </c>
      <c r="H65" s="16"/>
      <c r="I65" s="16">
        <v>3109</v>
      </c>
      <c r="J65" s="16"/>
      <c r="K65" s="16"/>
      <c r="L65" s="16"/>
      <c r="M65" t="s">
        <v>284</v>
      </c>
    </row>
    <row r="66" spans="1:13" x14ac:dyDescent="0.2">
      <c r="A66">
        <v>65</v>
      </c>
      <c r="B66">
        <v>61</v>
      </c>
      <c r="C66" t="str">
        <f>VLOOKUP('For Hire 2013-14'!B66,'For Hire 2012-13'!$A$2:$C$101,3)</f>
        <v>Dart Transit Co.</v>
      </c>
      <c r="D66" s="16">
        <v>425503</v>
      </c>
      <c r="E66" s="16">
        <v>3854</v>
      </c>
      <c r="F66" s="16">
        <v>1365</v>
      </c>
      <c r="G66" s="16">
        <f>575+1300</f>
        <v>1875</v>
      </c>
      <c r="H66" s="16"/>
      <c r="I66" s="16">
        <v>5789</v>
      </c>
      <c r="J66" s="16"/>
      <c r="K66" s="16">
        <v>94</v>
      </c>
      <c r="L66" s="16"/>
      <c r="M66" t="s">
        <v>248</v>
      </c>
    </row>
    <row r="67" spans="1:13" x14ac:dyDescent="0.2">
      <c r="A67">
        <v>66</v>
      </c>
      <c r="B67">
        <v>67</v>
      </c>
      <c r="C67" t="str">
        <f>VLOOKUP('For Hire 2013-14'!B67,'For Hire 2012-13'!$A$2:$C$101,3)</f>
        <v>Cowan Systems</v>
      </c>
      <c r="D67" s="16">
        <v>421515</v>
      </c>
      <c r="E67" s="16"/>
      <c r="F67" s="16">
        <v>1700</v>
      </c>
      <c r="G67" s="16">
        <f>1125+623</f>
        <v>1748</v>
      </c>
      <c r="H67" s="16"/>
      <c r="I67" s="16">
        <v>3795</v>
      </c>
      <c r="J67" s="16"/>
      <c r="K67" s="16"/>
      <c r="L67" s="16"/>
      <c r="M67" t="s">
        <v>290</v>
      </c>
    </row>
    <row r="68" spans="1:13" x14ac:dyDescent="0.2">
      <c r="A68">
        <v>67</v>
      </c>
      <c r="B68">
        <v>63</v>
      </c>
      <c r="C68" t="str">
        <f>VLOOKUP('For Hire 2013-14'!B68,'For Hire 2012-13'!$A$2:$C$101,3)</f>
        <v>P.A.M. Transportation services</v>
      </c>
      <c r="D68" s="16">
        <v>410937</v>
      </c>
      <c r="E68" s="16">
        <v>13491</v>
      </c>
      <c r="F68" s="16">
        <v>2911</v>
      </c>
      <c r="G68" s="16">
        <f>1436+325</f>
        <v>1761</v>
      </c>
      <c r="H68" s="16"/>
      <c r="I68" s="16">
        <v>4919</v>
      </c>
      <c r="J68" s="16"/>
      <c r="K68" s="16"/>
      <c r="L68" s="16"/>
      <c r="M68" t="s">
        <v>265</v>
      </c>
    </row>
    <row r="69" spans="1:13" x14ac:dyDescent="0.2">
      <c r="A69">
        <v>68</v>
      </c>
      <c r="B69">
        <v>81</v>
      </c>
      <c r="C69" t="str">
        <f>VLOOKUP('For Hire 2013-14'!B69,'For Hire 2012-13'!$A$2:$C$101,3)</f>
        <v>Evans Network of Cos</v>
      </c>
      <c r="D69" s="16">
        <v>400000</v>
      </c>
      <c r="E69" s="16"/>
      <c r="F69" s="16">
        <v>275</v>
      </c>
      <c r="G69" s="16">
        <f>50+250+2850</f>
        <v>3150</v>
      </c>
      <c r="H69" s="16"/>
      <c r="I69" s="16">
        <v>525</v>
      </c>
      <c r="J69" s="16"/>
      <c r="K69" s="16"/>
      <c r="L69" s="16"/>
      <c r="M69" t="s">
        <v>298</v>
      </c>
    </row>
    <row r="70" spans="1:13" x14ac:dyDescent="0.2">
      <c r="A70">
        <v>69</v>
      </c>
      <c r="B70">
        <v>66</v>
      </c>
      <c r="C70" t="str">
        <f>VLOOKUP('For Hire 2013-14'!B70,'For Hire 2012-13'!$A$2:$C$101,3)</f>
        <v>Roehl Transport</v>
      </c>
      <c r="D70" s="16">
        <v>395971</v>
      </c>
      <c r="E70" s="16"/>
      <c r="F70" s="16">
        <v>2500</v>
      </c>
      <c r="G70" s="16">
        <f>2050+85+120</f>
        <v>2255</v>
      </c>
      <c r="H70" s="16">
        <v>8</v>
      </c>
      <c r="I70" s="16">
        <v>4090</v>
      </c>
      <c r="J70" s="16"/>
      <c r="K70" s="16"/>
      <c r="L70" s="16"/>
      <c r="M70" t="s">
        <v>280</v>
      </c>
    </row>
    <row r="71" spans="1:13" x14ac:dyDescent="0.2">
      <c r="A71">
        <v>70</v>
      </c>
      <c r="B71">
        <v>73</v>
      </c>
      <c r="C71" t="str">
        <f>VLOOKUP('For Hire 2013-14'!B71,'For Hire 2012-13'!$A$2:$C$101,3)</f>
        <v>Interstate Distributor Co</v>
      </c>
      <c r="D71" s="16">
        <v>385955</v>
      </c>
      <c r="E71" s="16"/>
      <c r="F71" s="16">
        <v>2048</v>
      </c>
      <c r="G71" s="16">
        <f>1365+317</f>
        <v>1682</v>
      </c>
      <c r="H71" s="16"/>
      <c r="I71" s="16">
        <v>5046</v>
      </c>
      <c r="J71" s="16"/>
      <c r="K71" s="16"/>
      <c r="L71" s="16"/>
      <c r="M71" t="s">
        <v>247</v>
      </c>
    </row>
    <row r="72" spans="1:13" x14ac:dyDescent="0.2">
      <c r="A72">
        <v>71</v>
      </c>
      <c r="B72">
        <v>68</v>
      </c>
      <c r="C72" t="str">
        <f>VLOOKUP('For Hire 2013-14'!B72,'For Hire 2012-13'!$A$2:$C$101,3)</f>
        <v>Mesilla Valley Transportation</v>
      </c>
      <c r="D72" s="16">
        <v>372000</v>
      </c>
      <c r="E72" s="16"/>
      <c r="F72" s="16">
        <v>1700</v>
      </c>
      <c r="G72" s="16">
        <v>1300</v>
      </c>
      <c r="H72" s="16"/>
      <c r="I72" s="16">
        <v>4800</v>
      </c>
      <c r="J72" s="16"/>
      <c r="K72" s="16"/>
      <c r="L72" s="16"/>
      <c r="M72" t="s">
        <v>277</v>
      </c>
    </row>
    <row r="73" spans="1:13" x14ac:dyDescent="0.2">
      <c r="A73">
        <v>72</v>
      </c>
      <c r="B73">
        <v>79</v>
      </c>
      <c r="C73" t="str">
        <f>VLOOKUP('For Hire 2013-14'!B73,'For Hire 2012-13'!$A$2:$C$101,3)</f>
        <v>California Cartage Co.</v>
      </c>
      <c r="D73" s="16">
        <v>368700</v>
      </c>
      <c r="E73" s="16"/>
      <c r="F73" s="16"/>
      <c r="G73" s="16">
        <v>1200</v>
      </c>
      <c r="H73" s="16"/>
      <c r="I73" s="16"/>
      <c r="J73" s="16"/>
      <c r="K73" s="16"/>
      <c r="L73" s="16"/>
      <c r="M73" t="s">
        <v>310</v>
      </c>
    </row>
    <row r="74" spans="1:13" x14ac:dyDescent="0.2">
      <c r="A74">
        <v>73</v>
      </c>
      <c r="B74">
        <v>78</v>
      </c>
      <c r="C74" t="str">
        <f>VLOOKUP('For Hire 2013-14'!B74,'For Hire 2012-13'!$A$2:$C$101,3)</f>
        <v>Epes Carriers</v>
      </c>
      <c r="D74" s="16">
        <v>341494</v>
      </c>
      <c r="E74" s="16">
        <v>24001</v>
      </c>
      <c r="F74" s="16">
        <v>1359</v>
      </c>
      <c r="G74" s="16">
        <f>944+177</f>
        <v>1121</v>
      </c>
      <c r="H74" s="16"/>
      <c r="I74" s="16">
        <v>5500</v>
      </c>
      <c r="J74" s="16"/>
      <c r="K74" s="16"/>
      <c r="L74" s="16"/>
      <c r="M74" t="s">
        <v>283</v>
      </c>
    </row>
    <row r="75" spans="1:13" s="8" customFormat="1" x14ac:dyDescent="0.2">
      <c r="A75" s="8">
        <v>74</v>
      </c>
      <c r="B75" s="8">
        <v>83</v>
      </c>
      <c r="C75" s="8" t="str">
        <f>VLOOKUP('For Hire 2013-14'!B75,'For Hire 2012-13'!$A$2:$C$101,3)</f>
        <v>Cassens Transport</v>
      </c>
      <c r="D75" s="17">
        <v>328649</v>
      </c>
      <c r="E75" s="17"/>
      <c r="F75" s="17">
        <v>1445</v>
      </c>
      <c r="G75" s="17">
        <v>1371</v>
      </c>
      <c r="H75" s="17"/>
      <c r="I75" s="17"/>
      <c r="J75" s="17"/>
      <c r="K75" s="17"/>
      <c r="L75" s="17"/>
      <c r="M75" s="8" t="s">
        <v>312</v>
      </c>
    </row>
    <row r="76" spans="1:13" x14ac:dyDescent="0.2">
      <c r="A76">
        <v>75</v>
      </c>
      <c r="B76">
        <v>882</v>
      </c>
      <c r="C76" t="str">
        <f>VLOOKUP('For Hire 2013-14'!B76,'For Hire 2012-13'!$A$2:$C$101,3)</f>
        <v>McCoy Group</v>
      </c>
      <c r="D76" s="16">
        <v>318811</v>
      </c>
      <c r="E76" s="16"/>
      <c r="F76" s="16">
        <v>2500</v>
      </c>
      <c r="G76" s="16">
        <f>756+66</f>
        <v>822</v>
      </c>
      <c r="H76" s="16">
        <v>22</v>
      </c>
      <c r="I76" s="16">
        <v>1900</v>
      </c>
      <c r="J76" s="16"/>
      <c r="K76" s="16"/>
      <c r="L76" s="16"/>
      <c r="M76" t="s">
        <v>9432</v>
      </c>
    </row>
    <row r="77" spans="1:13" x14ac:dyDescent="0.2">
      <c r="A77">
        <v>76</v>
      </c>
      <c r="B77">
        <v>80</v>
      </c>
      <c r="C77" t="str">
        <f>VLOOKUP('For Hire 2013-14'!B77,'For Hire 2012-13'!$A$2:$C$101,3)</f>
        <v>Maverick USA</v>
      </c>
      <c r="D77" s="16">
        <v>316018</v>
      </c>
      <c r="E77" s="16">
        <v>21044</v>
      </c>
      <c r="F77" s="16">
        <v>1813</v>
      </c>
      <c r="G77" s="16">
        <f>1281+80+15</f>
        <v>1376</v>
      </c>
      <c r="H77" s="16"/>
      <c r="I77" s="16">
        <v>1983</v>
      </c>
      <c r="J77" s="16"/>
      <c r="K77" s="16"/>
      <c r="L77" s="16"/>
      <c r="M77" t="s">
        <v>293</v>
      </c>
    </row>
    <row r="78" spans="1:13" x14ac:dyDescent="0.2">
      <c r="A78">
        <v>77</v>
      </c>
      <c r="B78">
        <v>72</v>
      </c>
      <c r="C78" t="str">
        <f>VLOOKUP('For Hire 2013-14'!B78,'For Hire 2012-13'!$A$2:$C$101,3)</f>
        <v>Comcar Industries</v>
      </c>
      <c r="D78" s="16">
        <v>315972</v>
      </c>
      <c r="E78" s="16"/>
      <c r="F78" s="16">
        <v>2409</v>
      </c>
      <c r="G78" s="16">
        <f>1559+378</f>
        <v>1937</v>
      </c>
      <c r="H78" s="16"/>
      <c r="I78" s="16">
        <v>4226</v>
      </c>
      <c r="J78" s="16"/>
      <c r="K78" s="16"/>
      <c r="L78" s="16"/>
      <c r="M78" t="s">
        <v>256</v>
      </c>
    </row>
    <row r="79" spans="1:13" x14ac:dyDescent="0.2">
      <c r="A79">
        <v>78</v>
      </c>
      <c r="B79">
        <v>77</v>
      </c>
      <c r="C79" t="str">
        <f>VLOOKUP('For Hire 2013-14'!B79,'For Hire 2012-13'!$A$2:$C$101,3)</f>
        <v>Challenger Group1</v>
      </c>
      <c r="D79" s="16">
        <v>300130</v>
      </c>
      <c r="E79" s="16"/>
      <c r="F79" s="16">
        <v>1900</v>
      </c>
      <c r="G79" s="16">
        <f>1500+140</f>
        <v>1640</v>
      </c>
      <c r="H79" s="16"/>
      <c r="I79" s="16">
        <v>3300</v>
      </c>
      <c r="J79" s="16"/>
      <c r="K79" s="16"/>
      <c r="L79" s="16">
        <v>420</v>
      </c>
      <c r="M79" t="s">
        <v>266</v>
      </c>
    </row>
    <row r="80" spans="1:13" x14ac:dyDescent="0.2">
      <c r="A80">
        <v>79</v>
      </c>
      <c r="B80">
        <v>84</v>
      </c>
      <c r="C80" t="str">
        <f>VLOOKUP('For Hire 2013-14'!B80,'For Hire 2012-13'!$A$2:$C$101,3)</f>
        <v>Koch Companies</v>
      </c>
      <c r="D80" s="16">
        <v>285000</v>
      </c>
      <c r="E80" s="16"/>
      <c r="F80" s="16">
        <v>980</v>
      </c>
      <c r="G80" s="16">
        <f>747+59+33</f>
        <v>839</v>
      </c>
      <c r="H80" s="16">
        <v>418</v>
      </c>
      <c r="I80" s="16">
        <v>4584</v>
      </c>
      <c r="J80" s="16"/>
      <c r="K80" s="16">
        <v>60</v>
      </c>
      <c r="L80" s="16">
        <v>418</v>
      </c>
      <c r="M80" t="s">
        <v>281</v>
      </c>
    </row>
    <row r="81" spans="1:13" x14ac:dyDescent="0.2">
      <c r="A81">
        <v>80</v>
      </c>
      <c r="B81">
        <v>87</v>
      </c>
      <c r="C81" t="str">
        <f>VLOOKUP('For Hire 2013-14'!B81,'For Hire 2012-13'!$A$2:$C$101,3)</f>
        <v>The Dependable Cos.</v>
      </c>
      <c r="D81" s="16">
        <v>282000</v>
      </c>
      <c r="E81" s="16"/>
      <c r="F81" s="16">
        <v>1777</v>
      </c>
      <c r="G81" s="16">
        <f>322+174</f>
        <v>496</v>
      </c>
      <c r="H81" s="16">
        <v>1</v>
      </c>
      <c r="I81" s="16">
        <v>1130</v>
      </c>
      <c r="J81" s="16"/>
      <c r="K81" s="16"/>
      <c r="L81" s="16">
        <v>324</v>
      </c>
      <c r="M81" t="s">
        <v>811</v>
      </c>
    </row>
    <row r="82" spans="1:13" x14ac:dyDescent="0.2">
      <c r="A82">
        <v>81</v>
      </c>
      <c r="B82">
        <v>88</v>
      </c>
      <c r="C82" t="str">
        <f>VLOOKUP('For Hire 2013-14'!B82,'For Hire 2012-13'!$A$2:$C$101,3)</f>
        <v>John Christner Trucking LLC</v>
      </c>
      <c r="D82" s="16">
        <v>271104</v>
      </c>
      <c r="E82" s="16">
        <v>15033</v>
      </c>
      <c r="F82" s="16">
        <v>213</v>
      </c>
      <c r="G82" s="16">
        <f>15+690+28</f>
        <v>733</v>
      </c>
      <c r="H82" s="16"/>
      <c r="I82" s="16">
        <v>1184</v>
      </c>
      <c r="J82" s="16"/>
      <c r="K82" s="16"/>
      <c r="L82" s="16"/>
      <c r="M82" t="s">
        <v>313</v>
      </c>
    </row>
    <row r="83" spans="1:13" x14ac:dyDescent="0.2">
      <c r="A83">
        <v>82</v>
      </c>
      <c r="B83">
        <v>69</v>
      </c>
      <c r="C83" t="str">
        <f>VLOOKUP('For Hire 2013-14'!B83,'For Hire 2012-13'!$A$2:$C$101,3)</f>
        <v>Graebel Cos.</v>
      </c>
      <c r="D83" s="16">
        <v>270000</v>
      </c>
      <c r="E83" s="16"/>
      <c r="F83" s="16">
        <v>2000</v>
      </c>
      <c r="G83" s="16">
        <f>140+280</f>
        <v>420</v>
      </c>
      <c r="H83" s="16">
        <v>192</v>
      </c>
      <c r="I83" s="16">
        <v>800</v>
      </c>
      <c r="J83" s="16"/>
      <c r="K83" s="16"/>
      <c r="L83" s="16"/>
      <c r="M83" t="s">
        <v>271</v>
      </c>
    </row>
    <row r="84" spans="1:13" x14ac:dyDescent="0.2">
      <c r="A84">
        <v>83</v>
      </c>
      <c r="B84">
        <v>90</v>
      </c>
      <c r="C84" t="str">
        <f>VLOOKUP('For Hire 2013-14'!B84,'For Hire 2012-13'!$A$2:$C$101,3)</f>
        <v>Trans-System Inc.</v>
      </c>
      <c r="D84" s="16">
        <v>262627</v>
      </c>
      <c r="E84" s="16"/>
      <c r="F84" s="16">
        <v>965</v>
      </c>
      <c r="G84" s="16">
        <f>715+209</f>
        <v>924</v>
      </c>
      <c r="H84" s="16"/>
      <c r="I84" s="16">
        <v>1463</v>
      </c>
      <c r="J84" s="16"/>
      <c r="K84" s="16"/>
      <c r="L84" s="16"/>
      <c r="M84" t="s">
        <v>9430</v>
      </c>
    </row>
    <row r="85" spans="1:13" x14ac:dyDescent="0.2">
      <c r="A85">
        <v>84</v>
      </c>
      <c r="B85">
        <v>94</v>
      </c>
      <c r="C85" t="str">
        <f>VLOOKUP('For Hire 2013-14'!B85,'For Hire 2012-13'!$A$2:$C$101,3)</f>
        <v>Paschall Truck Lines</v>
      </c>
      <c r="D85" s="16">
        <v>261211</v>
      </c>
      <c r="E85" s="16"/>
      <c r="F85" s="16"/>
      <c r="G85" s="16">
        <f>950+200</f>
        <v>1150</v>
      </c>
      <c r="H85" s="16"/>
      <c r="I85" s="16">
        <v>3000</v>
      </c>
      <c r="J85" s="16"/>
      <c r="K85" s="16"/>
      <c r="L85" s="16"/>
      <c r="M85" t="s">
        <v>301</v>
      </c>
    </row>
    <row r="86" spans="1:13" x14ac:dyDescent="0.2">
      <c r="A86">
        <v>85</v>
      </c>
      <c r="B86">
        <v>89</v>
      </c>
      <c r="C86" t="str">
        <f>VLOOKUP('For Hire 2013-14'!B86,'For Hire 2012-13'!$A$2:$C$101,3)</f>
        <v>Superior Bulk Logistics</v>
      </c>
      <c r="D86" s="16">
        <v>260200</v>
      </c>
      <c r="E86" s="16">
        <v>7600</v>
      </c>
      <c r="F86" s="16">
        <v>1416</v>
      </c>
      <c r="G86" s="16">
        <f>953+236</f>
        <v>1189</v>
      </c>
      <c r="H86" s="16"/>
      <c r="I86" s="16">
        <v>2099</v>
      </c>
      <c r="J86" s="16"/>
      <c r="K86" s="16"/>
      <c r="L86" s="16"/>
      <c r="M86" t="s">
        <v>295</v>
      </c>
    </row>
    <row r="87" spans="1:13" x14ac:dyDescent="0.2">
      <c r="A87">
        <v>86</v>
      </c>
      <c r="B87">
        <v>100</v>
      </c>
      <c r="C87" t="str">
        <f>VLOOKUP('For Hire 2013-14'!B87,'For Hire 2012-13'!$A$2:$C$101,3)</f>
        <v>McCoy Group</v>
      </c>
      <c r="D87" s="16">
        <v>249244</v>
      </c>
      <c r="E87" s="16"/>
      <c r="F87" s="16">
        <v>1083</v>
      </c>
      <c r="G87" s="16">
        <f>857+224</f>
        <v>1081</v>
      </c>
      <c r="H87" s="16"/>
      <c r="I87" s="16">
        <v>2096</v>
      </c>
      <c r="J87" s="16"/>
      <c r="K87" s="16"/>
      <c r="L87" s="16"/>
      <c r="M87" t="s">
        <v>9432</v>
      </c>
    </row>
    <row r="88" spans="1:13" x14ac:dyDescent="0.2">
      <c r="A88">
        <v>87</v>
      </c>
      <c r="B88">
        <v>91</v>
      </c>
      <c r="C88" t="str">
        <f>VLOOKUP('For Hire 2013-14'!B88,'For Hire 2012-13'!$A$2:$C$101,3)</f>
        <v>Groendyke Transport Inc.</v>
      </c>
      <c r="D88" s="16">
        <v>241313</v>
      </c>
      <c r="E88" s="16"/>
      <c r="F88" s="16">
        <v>1423</v>
      </c>
      <c r="G88" s="16">
        <v>975</v>
      </c>
      <c r="H88" s="16"/>
      <c r="I88" s="16">
        <v>1500</v>
      </c>
      <c r="J88" s="16"/>
      <c r="K88" s="16"/>
      <c r="L88" s="16"/>
      <c r="M88" t="s">
        <v>302</v>
      </c>
    </row>
    <row r="89" spans="1:13" x14ac:dyDescent="0.2">
      <c r="A89">
        <v>88</v>
      </c>
      <c r="B89" t="s">
        <v>337</v>
      </c>
      <c r="C89" t="s">
        <v>349</v>
      </c>
      <c r="D89" s="16">
        <v>238000</v>
      </c>
      <c r="E89" s="16"/>
      <c r="F89" s="16">
        <v>1665</v>
      </c>
      <c r="G89" s="16">
        <v>950</v>
      </c>
      <c r="H89" s="16">
        <v>160</v>
      </c>
      <c r="I89" s="16">
        <v>2800</v>
      </c>
      <c r="J89" s="16"/>
      <c r="K89" s="16"/>
      <c r="L89" s="16"/>
      <c r="M89" t="s">
        <v>357</v>
      </c>
    </row>
    <row r="90" spans="1:13" x14ac:dyDescent="0.2">
      <c r="A90">
        <v>89</v>
      </c>
      <c r="B90" t="s">
        <v>337</v>
      </c>
      <c r="C90" t="s">
        <v>143</v>
      </c>
      <c r="D90" s="16">
        <v>237068</v>
      </c>
      <c r="E90" s="16"/>
      <c r="F90" s="16">
        <v>115</v>
      </c>
      <c r="G90" s="16">
        <f>11+26+718</f>
        <v>755</v>
      </c>
      <c r="I90" s="16">
        <v>1101</v>
      </c>
      <c r="J90" s="16"/>
      <c r="K90" s="16"/>
      <c r="L90" s="16"/>
      <c r="M90" t="s">
        <v>9433</v>
      </c>
    </row>
    <row r="91" spans="1:13" x14ac:dyDescent="0.2">
      <c r="A91">
        <v>90</v>
      </c>
      <c r="B91" t="s">
        <v>337</v>
      </c>
      <c r="C91" t="s">
        <v>350</v>
      </c>
      <c r="D91" s="16">
        <v>236000</v>
      </c>
      <c r="E91" s="16"/>
      <c r="F91" s="16">
        <v>1378</v>
      </c>
      <c r="G91" s="16">
        <v>1107</v>
      </c>
      <c r="H91" s="16"/>
      <c r="I91" s="16">
        <v>1837</v>
      </c>
      <c r="J91" s="16"/>
      <c r="K91" s="16"/>
      <c r="L91" s="16"/>
      <c r="M91" t="s">
        <v>6365</v>
      </c>
    </row>
    <row r="92" spans="1:13" x14ac:dyDescent="0.2">
      <c r="A92">
        <v>90</v>
      </c>
      <c r="B92" t="s">
        <v>337</v>
      </c>
      <c r="C92" t="s">
        <v>351</v>
      </c>
      <c r="D92" s="16">
        <v>236000</v>
      </c>
      <c r="E92" s="16"/>
      <c r="F92" s="16">
        <v>1522</v>
      </c>
      <c r="G92" s="16">
        <f>238+171+628</f>
        <v>1037</v>
      </c>
      <c r="H92" s="16"/>
      <c r="I92" s="16">
        <v>88</v>
      </c>
      <c r="J92" s="16"/>
      <c r="K92" s="16"/>
      <c r="L92" s="16">
        <v>1619</v>
      </c>
      <c r="M92" t="s">
        <v>9434</v>
      </c>
    </row>
    <row r="93" spans="1:13" x14ac:dyDescent="0.2">
      <c r="A93">
        <v>92</v>
      </c>
      <c r="B93" t="s">
        <v>337</v>
      </c>
      <c r="C93" t="s">
        <v>352</v>
      </c>
      <c r="D93" s="16">
        <v>230874</v>
      </c>
      <c r="E93" s="16"/>
      <c r="F93" s="16">
        <v>1200</v>
      </c>
      <c r="G93" s="16">
        <f>162+650</f>
        <v>812</v>
      </c>
      <c r="H93" s="16"/>
      <c r="I93" s="16">
        <v>450</v>
      </c>
      <c r="J93" s="16"/>
      <c r="K93" s="16"/>
      <c r="L93" s="16"/>
      <c r="M93" t="s">
        <v>3904</v>
      </c>
    </row>
    <row r="94" spans="1:13" x14ac:dyDescent="0.2">
      <c r="A94">
        <v>93</v>
      </c>
      <c r="B94">
        <v>97</v>
      </c>
      <c r="C94" t="str">
        <f>VLOOKUP('For Hire 2013-14'!B94,'For Hire 2012-13'!$A$2:$C$101,3)</f>
        <v>Brown Integrated Logistics</v>
      </c>
      <c r="D94" s="16">
        <v>224655</v>
      </c>
      <c r="E94" s="16"/>
      <c r="F94" s="16">
        <v>1104</v>
      </c>
      <c r="G94" s="16">
        <f>515+67+465</f>
        <v>1047</v>
      </c>
      <c r="H94" s="16">
        <v>12</v>
      </c>
      <c r="I94" s="16">
        <v>5100</v>
      </c>
      <c r="J94" s="16"/>
      <c r="K94" s="16"/>
      <c r="L94" s="16"/>
      <c r="M94" t="s">
        <v>317</v>
      </c>
    </row>
    <row r="95" spans="1:13" x14ac:dyDescent="0.2">
      <c r="A95">
        <v>94</v>
      </c>
      <c r="B95">
        <v>85</v>
      </c>
      <c r="C95" t="str">
        <f>VLOOKUP('For Hire 2013-14'!B95,'For Hire 2012-13'!$A$2:$C$101,3)</f>
        <v>Fastfrate Holdings</v>
      </c>
      <c r="D95" s="16">
        <v>222960</v>
      </c>
      <c r="E95" s="16"/>
      <c r="F95" s="16">
        <v>710</v>
      </c>
      <c r="G95" s="16">
        <f>333+171</f>
        <v>504</v>
      </c>
      <c r="H95" s="16">
        <v>24</v>
      </c>
      <c r="I95" s="16">
        <v>1371</v>
      </c>
      <c r="J95" s="16"/>
      <c r="K95" s="16"/>
      <c r="L95" s="16">
        <v>650</v>
      </c>
      <c r="M95" t="s">
        <v>297</v>
      </c>
    </row>
    <row r="96" spans="1:13" x14ac:dyDescent="0.2">
      <c r="A96">
        <v>95</v>
      </c>
      <c r="B96">
        <v>96</v>
      </c>
      <c r="C96" t="str">
        <f>VLOOKUP('For Hire 2013-14'!B96,'For Hire 2012-13'!$A$2:$C$101,3)</f>
        <v>A&amp;R Logistics</v>
      </c>
      <c r="D96" s="16">
        <v>222000</v>
      </c>
      <c r="E96" s="16"/>
      <c r="F96" s="16">
        <v>1100</v>
      </c>
      <c r="G96" s="16">
        <f>650+100</f>
        <v>750</v>
      </c>
      <c r="H96" s="16"/>
      <c r="I96" s="16">
        <v>1400</v>
      </c>
      <c r="J96" s="16"/>
      <c r="K96" s="16">
        <v>750</v>
      </c>
      <c r="L96" s="16"/>
      <c r="M96" t="s">
        <v>296</v>
      </c>
    </row>
    <row r="97" spans="1:13" x14ac:dyDescent="0.2">
      <c r="A97">
        <v>95</v>
      </c>
      <c r="B97" t="s">
        <v>337</v>
      </c>
      <c r="C97" t="s">
        <v>353</v>
      </c>
      <c r="D97" s="16">
        <v>222000</v>
      </c>
      <c r="E97" s="16"/>
      <c r="F97" s="16">
        <v>1551</v>
      </c>
      <c r="G97" s="16">
        <f>850+80</f>
        <v>930</v>
      </c>
      <c r="H97" s="16"/>
      <c r="I97" s="16">
        <v>1800</v>
      </c>
      <c r="J97" s="16"/>
      <c r="K97" s="16"/>
      <c r="L97" s="16"/>
      <c r="M97" s="34" t="s">
        <v>6215</v>
      </c>
    </row>
    <row r="98" spans="1:13" x14ac:dyDescent="0.2">
      <c r="A98">
        <v>97</v>
      </c>
      <c r="B98">
        <v>93</v>
      </c>
      <c r="C98" t="str">
        <f>VLOOKUP('For Hire 2013-14'!B98,'For Hire 2012-13'!$A$2:$C$101,3)</f>
        <v>Calyx Transportation Group</v>
      </c>
      <c r="D98" s="16">
        <v>218198</v>
      </c>
      <c r="E98" s="16"/>
      <c r="F98" s="16"/>
      <c r="G98" s="16">
        <f>175+325</f>
        <v>500</v>
      </c>
      <c r="H98" s="16">
        <v>30</v>
      </c>
      <c r="I98" s="16">
        <v>750</v>
      </c>
      <c r="J98" s="16"/>
      <c r="K98" s="16">
        <v>240</v>
      </c>
      <c r="L98" s="16">
        <v>164</v>
      </c>
      <c r="M98" t="s">
        <v>279</v>
      </c>
    </row>
    <row r="99" spans="1:13" x14ac:dyDescent="0.2">
      <c r="A99">
        <v>98</v>
      </c>
      <c r="B99" t="s">
        <v>337</v>
      </c>
      <c r="C99" t="s">
        <v>163</v>
      </c>
      <c r="D99" s="16">
        <v>218000</v>
      </c>
      <c r="E99" s="16"/>
      <c r="F99" s="16">
        <v>1300</v>
      </c>
      <c r="G99" s="16">
        <f>900+100</f>
        <v>1000</v>
      </c>
      <c r="H99" s="16"/>
      <c r="I99" s="16">
        <v>1800</v>
      </c>
      <c r="J99" s="16"/>
      <c r="K99" s="16"/>
      <c r="L99" s="16"/>
      <c r="M99" t="s">
        <v>292</v>
      </c>
    </row>
    <row r="100" spans="1:13" x14ac:dyDescent="0.2">
      <c r="A100">
        <v>99</v>
      </c>
      <c r="B100" t="s">
        <v>337</v>
      </c>
      <c r="C100" t="s">
        <v>354</v>
      </c>
      <c r="D100" s="16">
        <v>214000</v>
      </c>
      <c r="E100" s="16"/>
      <c r="F100" s="16"/>
      <c r="G100" s="16">
        <f>1198+250</f>
        <v>1448</v>
      </c>
      <c r="H100" s="16">
        <v>85</v>
      </c>
      <c r="I100" s="16">
        <v>6648</v>
      </c>
      <c r="J100" s="16"/>
      <c r="K100" s="16"/>
      <c r="L100" s="16"/>
      <c r="M100" s="35" t="s">
        <v>3250</v>
      </c>
    </row>
    <row r="101" spans="1:13" x14ac:dyDescent="0.2">
      <c r="A101">
        <v>100</v>
      </c>
      <c r="B101">
        <v>95</v>
      </c>
      <c r="C101" t="str">
        <f>VLOOKUP('For Hire 2013-14'!B101,'For Hire 2012-13'!$A$2:$C$101,3)</f>
        <v>Wheaton Van Lines</v>
      </c>
      <c r="D101" s="16">
        <v>210527</v>
      </c>
      <c r="E101" s="16">
        <v>6945</v>
      </c>
      <c r="F101" s="16">
        <v>180</v>
      </c>
      <c r="G101" s="16">
        <f>15+702</f>
        <v>717</v>
      </c>
      <c r="H101" s="16">
        <v>774</v>
      </c>
      <c r="I101" s="16">
        <v>1075</v>
      </c>
      <c r="J101" s="16"/>
      <c r="K101" s="16"/>
      <c r="L101" s="16"/>
      <c r="M101" t="s">
        <v>315</v>
      </c>
    </row>
    <row r="102" spans="1:13" x14ac:dyDescent="0.2">
      <c r="F102" s="16"/>
      <c r="G102" s="16"/>
      <c r="H102" s="16"/>
      <c r="I102" s="16"/>
      <c r="J102" s="16"/>
      <c r="K102" s="16"/>
      <c r="L102" s="16"/>
    </row>
    <row r="103" spans="1:13" x14ac:dyDescent="0.2">
      <c r="F103" s="16"/>
      <c r="G103" s="16"/>
      <c r="H103" s="16"/>
      <c r="I103" s="16"/>
      <c r="J103" s="16"/>
      <c r="K103" s="16"/>
      <c r="L103" s="16"/>
    </row>
    <row r="104" spans="1:13" x14ac:dyDescent="0.2">
      <c r="F104" s="16"/>
      <c r="G104" s="16"/>
      <c r="H104" s="16"/>
      <c r="I104" s="16"/>
      <c r="J104" s="16"/>
      <c r="K104" s="16"/>
      <c r="L104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G17" sqref="G17"/>
    </sheetView>
  </sheetViews>
  <sheetFormatPr baseColWidth="10" defaultColWidth="11.5" defaultRowHeight="15" x14ac:dyDescent="0.2"/>
  <cols>
    <col min="1" max="1" width="7.6640625" customWidth="1"/>
    <col min="2" max="2" width="7.1640625" customWidth="1"/>
    <col min="3" max="3" width="23.33203125" customWidth="1"/>
    <col min="4" max="4" width="14.5" customWidth="1"/>
  </cols>
  <sheetData>
    <row r="1" spans="1:8" ht="30" x14ac:dyDescent="0.2">
      <c r="A1" s="13" t="s">
        <v>9435</v>
      </c>
      <c r="B1" s="13" t="s">
        <v>9436</v>
      </c>
      <c r="C1" s="14" t="s">
        <v>1</v>
      </c>
      <c r="D1" s="13" t="s">
        <v>9437</v>
      </c>
      <c r="E1" s="13" t="s">
        <v>9438</v>
      </c>
      <c r="F1" s="14" t="s">
        <v>345</v>
      </c>
      <c r="G1" s="39" t="s">
        <v>373</v>
      </c>
    </row>
    <row r="2" spans="1:8" x14ac:dyDescent="0.2">
      <c r="A2">
        <v>1</v>
      </c>
      <c r="B2">
        <v>1</v>
      </c>
      <c r="C2" t="s">
        <v>9439</v>
      </c>
      <c r="D2" s="36" t="s">
        <v>9440</v>
      </c>
      <c r="E2" s="37">
        <v>5900</v>
      </c>
      <c r="F2" s="37">
        <v>12700</v>
      </c>
      <c r="G2" t="s">
        <v>203</v>
      </c>
      <c r="H2" t="s">
        <v>1870</v>
      </c>
    </row>
    <row r="3" spans="1:8" x14ac:dyDescent="0.2">
      <c r="A3">
        <v>2</v>
      </c>
      <c r="B3">
        <v>12</v>
      </c>
      <c r="C3" t="s">
        <v>9441</v>
      </c>
      <c r="D3" s="36" t="s">
        <v>9442</v>
      </c>
      <c r="E3" s="36" t="s">
        <v>9443</v>
      </c>
      <c r="F3" s="36"/>
      <c r="G3" t="s">
        <v>1973</v>
      </c>
      <c r="H3" t="s">
        <v>1972</v>
      </c>
    </row>
    <row r="4" spans="1:8" x14ac:dyDescent="0.2">
      <c r="A4">
        <v>3</v>
      </c>
      <c r="B4">
        <v>2</v>
      </c>
      <c r="C4" t="s">
        <v>11</v>
      </c>
      <c r="D4" s="36" t="s">
        <v>9444</v>
      </c>
      <c r="E4" s="37">
        <v>5816</v>
      </c>
      <c r="F4" s="36" t="s">
        <v>9445</v>
      </c>
      <c r="G4" t="s">
        <v>210</v>
      </c>
      <c r="H4" t="s">
        <v>11</v>
      </c>
    </row>
    <row r="5" spans="1:8" x14ac:dyDescent="0.2">
      <c r="A5">
        <v>4</v>
      </c>
      <c r="B5">
        <v>4</v>
      </c>
      <c r="C5" t="s">
        <v>9446</v>
      </c>
      <c r="D5" s="37">
        <v>2268</v>
      </c>
      <c r="E5" s="37">
        <v>13476</v>
      </c>
      <c r="F5" s="37">
        <v>13159</v>
      </c>
      <c r="G5" t="s">
        <v>357</v>
      </c>
    </row>
    <row r="6" spans="1:8" x14ac:dyDescent="0.2">
      <c r="A6">
        <v>5</v>
      </c>
      <c r="B6">
        <v>5</v>
      </c>
      <c r="C6" t="s">
        <v>9447</v>
      </c>
      <c r="D6" s="37">
        <v>2188</v>
      </c>
      <c r="E6" s="37">
        <v>6617</v>
      </c>
      <c r="F6" s="37">
        <v>15397</v>
      </c>
      <c r="G6" t="s">
        <v>888</v>
      </c>
      <c r="H6" t="s">
        <v>887</v>
      </c>
    </row>
    <row r="7" spans="1:8" x14ac:dyDescent="0.2">
      <c r="A7">
        <v>6</v>
      </c>
      <c r="B7">
        <v>3</v>
      </c>
      <c r="C7" t="s">
        <v>21</v>
      </c>
      <c r="D7" s="36" t="s">
        <v>9448</v>
      </c>
      <c r="E7" s="36" t="s">
        <v>9449</v>
      </c>
      <c r="F7" s="36" t="s">
        <v>9445</v>
      </c>
      <c r="G7" t="s">
        <v>207</v>
      </c>
      <c r="H7" t="s">
        <v>21</v>
      </c>
    </row>
    <row r="8" spans="1:8" x14ac:dyDescent="0.2">
      <c r="A8">
        <v>7</v>
      </c>
      <c r="B8">
        <v>6</v>
      </c>
      <c r="C8" t="s">
        <v>9450</v>
      </c>
      <c r="D8" s="37">
        <v>1815</v>
      </c>
      <c r="E8" s="37">
        <v>3300</v>
      </c>
      <c r="F8" s="36" t="s">
        <v>9445</v>
      </c>
      <c r="G8" t="s">
        <v>205</v>
      </c>
      <c r="H8" t="s">
        <v>819</v>
      </c>
    </row>
    <row r="9" spans="1:8" x14ac:dyDescent="0.2">
      <c r="A9">
        <v>8</v>
      </c>
      <c r="B9">
        <v>10</v>
      </c>
      <c r="C9" t="s">
        <v>9451</v>
      </c>
      <c r="D9" s="36" t="s">
        <v>9452</v>
      </c>
      <c r="E9" s="37">
        <v>3178</v>
      </c>
      <c r="F9" s="36" t="s">
        <v>9445</v>
      </c>
      <c r="G9" t="s">
        <v>204</v>
      </c>
      <c r="H9" t="s">
        <v>9</v>
      </c>
    </row>
    <row r="10" spans="1:8" x14ac:dyDescent="0.2">
      <c r="A10">
        <v>9</v>
      </c>
      <c r="B10">
        <v>7</v>
      </c>
      <c r="C10" t="s">
        <v>9453</v>
      </c>
      <c r="D10" s="36" t="s">
        <v>9454</v>
      </c>
      <c r="E10" s="37">
        <v>2452</v>
      </c>
      <c r="F10" s="36" t="s">
        <v>9445</v>
      </c>
      <c r="G10" t="s">
        <v>3280</v>
      </c>
      <c r="H10" t="s">
        <v>3279</v>
      </c>
    </row>
    <row r="11" spans="1:8" x14ac:dyDescent="0.2">
      <c r="A11">
        <v>10</v>
      </c>
      <c r="B11">
        <v>8</v>
      </c>
      <c r="C11" t="s">
        <v>9455</v>
      </c>
      <c r="D11" s="36" t="s">
        <v>9456</v>
      </c>
      <c r="E11" s="36" t="s">
        <v>9445</v>
      </c>
      <c r="F11" s="36" t="s">
        <v>9445</v>
      </c>
      <c r="G11" t="s">
        <v>2396</v>
      </c>
      <c r="H11" t="s">
        <v>2395</v>
      </c>
    </row>
    <row r="12" spans="1:8" x14ac:dyDescent="0.2">
      <c r="A12">
        <v>11</v>
      </c>
      <c r="B12">
        <v>9</v>
      </c>
      <c r="C12" t="s">
        <v>9457</v>
      </c>
      <c r="D12" s="36" t="s">
        <v>9458</v>
      </c>
      <c r="E12" s="36" t="s">
        <v>9459</v>
      </c>
      <c r="F12" s="36" t="s">
        <v>9445</v>
      </c>
      <c r="G12" t="s">
        <v>357</v>
      </c>
      <c r="H12" t="s">
        <v>1881</v>
      </c>
    </row>
    <row r="13" spans="1:8" x14ac:dyDescent="0.2">
      <c r="A13">
        <v>12</v>
      </c>
      <c r="B13">
        <v>11</v>
      </c>
      <c r="C13" t="s">
        <v>9460</v>
      </c>
      <c r="D13" s="36" t="s">
        <v>9461</v>
      </c>
      <c r="E13" s="36" t="s">
        <v>9462</v>
      </c>
      <c r="F13" s="36" t="s">
        <v>9445</v>
      </c>
      <c r="G13" t="s">
        <v>357</v>
      </c>
      <c r="H13" t="s">
        <v>1613</v>
      </c>
    </row>
    <row r="14" spans="1:8" x14ac:dyDescent="0.2">
      <c r="A14">
        <v>13</v>
      </c>
      <c r="B14">
        <v>13</v>
      </c>
      <c r="C14" t="s">
        <v>9463</v>
      </c>
      <c r="D14" s="37">
        <v>1197</v>
      </c>
      <c r="E14" s="37">
        <v>5230</v>
      </c>
      <c r="F14" s="36" t="s">
        <v>9445</v>
      </c>
      <c r="G14" t="s">
        <v>1196</v>
      </c>
      <c r="H14" t="s">
        <v>9463</v>
      </c>
    </row>
    <row r="15" spans="1:8" x14ac:dyDescent="0.2">
      <c r="A15">
        <v>14</v>
      </c>
      <c r="B15">
        <v>15</v>
      </c>
      <c r="C15" t="s">
        <v>41</v>
      </c>
      <c r="D15" s="36" t="s">
        <v>9464</v>
      </c>
      <c r="E15" s="36" t="s">
        <v>9465</v>
      </c>
      <c r="F15" s="37">
        <v>13750</v>
      </c>
      <c r="G15" t="s">
        <v>209</v>
      </c>
      <c r="H15" t="s">
        <v>41</v>
      </c>
    </row>
    <row r="16" spans="1:8" x14ac:dyDescent="0.2">
      <c r="A16">
        <v>15</v>
      </c>
      <c r="B16">
        <v>16</v>
      </c>
      <c r="C16" t="s">
        <v>9466</v>
      </c>
      <c r="D16" s="37">
        <v>1130</v>
      </c>
      <c r="E16" s="37">
        <v>1200</v>
      </c>
      <c r="F16" s="37">
        <v>8101</v>
      </c>
      <c r="G16" t="s">
        <v>6731</v>
      </c>
      <c r="H16" t="s">
        <v>6730</v>
      </c>
    </row>
    <row r="17" spans="1:8" x14ac:dyDescent="0.2">
      <c r="A17">
        <v>16</v>
      </c>
      <c r="B17">
        <v>14</v>
      </c>
      <c r="C17" t="s">
        <v>18</v>
      </c>
      <c r="D17" s="36" t="s">
        <v>9467</v>
      </c>
      <c r="E17" s="36" t="s">
        <v>9468</v>
      </c>
      <c r="F17" s="36">
        <v>120</v>
      </c>
      <c r="G17" t="s">
        <v>212</v>
      </c>
      <c r="H17" t="s">
        <v>18</v>
      </c>
    </row>
    <row r="18" spans="1:8" x14ac:dyDescent="0.2">
      <c r="A18">
        <v>17</v>
      </c>
      <c r="B18">
        <v>20</v>
      </c>
      <c r="C18" t="s">
        <v>9469</v>
      </c>
      <c r="D18" s="36">
        <v>898</v>
      </c>
      <c r="E18" s="37">
        <v>2687</v>
      </c>
      <c r="F18" s="36" t="s">
        <v>9445</v>
      </c>
      <c r="G18" t="s">
        <v>357</v>
      </c>
    </row>
    <row r="19" spans="1:8" x14ac:dyDescent="0.2">
      <c r="A19">
        <v>18</v>
      </c>
      <c r="B19">
        <v>19</v>
      </c>
      <c r="C19" t="s">
        <v>9470</v>
      </c>
      <c r="D19" s="36">
        <v>860</v>
      </c>
      <c r="E19" s="36" t="s">
        <v>9445</v>
      </c>
      <c r="F19" s="36" t="s">
        <v>9445</v>
      </c>
      <c r="G19" t="s">
        <v>357</v>
      </c>
    </row>
    <row r="20" spans="1:8" x14ac:dyDescent="0.2">
      <c r="A20">
        <v>19</v>
      </c>
      <c r="B20">
        <v>17</v>
      </c>
      <c r="C20" t="s">
        <v>9471</v>
      </c>
      <c r="D20" s="36">
        <v>826</v>
      </c>
      <c r="E20" s="37">
        <v>1052</v>
      </c>
      <c r="F20" s="37">
        <v>4933</v>
      </c>
      <c r="G20" t="s">
        <v>357</v>
      </c>
    </row>
    <row r="21" spans="1:8" x14ac:dyDescent="0.2">
      <c r="A21">
        <v>20</v>
      </c>
      <c r="B21">
        <v>18</v>
      </c>
      <c r="C21" t="s">
        <v>9472</v>
      </c>
      <c r="D21" s="36">
        <v>816</v>
      </c>
      <c r="E21" s="36">
        <v>869</v>
      </c>
      <c r="F21" s="37">
        <v>5558</v>
      </c>
      <c r="G21" t="s">
        <v>7634</v>
      </c>
      <c r="H21" t="s">
        <v>7633</v>
      </c>
    </row>
    <row r="22" spans="1:8" x14ac:dyDescent="0.2">
      <c r="A22">
        <v>21</v>
      </c>
      <c r="B22" t="s">
        <v>9445</v>
      </c>
      <c r="C22" t="s">
        <v>9473</v>
      </c>
      <c r="D22" s="36">
        <v>800</v>
      </c>
      <c r="E22" s="36" t="s">
        <v>9445</v>
      </c>
      <c r="F22" s="36" t="s">
        <v>9445</v>
      </c>
      <c r="G22" t="s">
        <v>357</v>
      </c>
    </row>
    <row r="23" spans="1:8" x14ac:dyDescent="0.2">
      <c r="A23">
        <v>22</v>
      </c>
      <c r="B23">
        <v>24</v>
      </c>
      <c r="C23" t="s">
        <v>9474</v>
      </c>
      <c r="D23" s="36" t="s">
        <v>9475</v>
      </c>
      <c r="E23" s="37">
        <v>1470</v>
      </c>
      <c r="F23" s="37">
        <v>8000</v>
      </c>
      <c r="G23" t="s">
        <v>1402</v>
      </c>
      <c r="H23" t="s">
        <v>1401</v>
      </c>
    </row>
    <row r="24" spans="1:8" x14ac:dyDescent="0.2">
      <c r="A24">
        <v>23</v>
      </c>
      <c r="B24">
        <v>22</v>
      </c>
      <c r="C24" t="s">
        <v>9476</v>
      </c>
      <c r="D24" s="36" t="s">
        <v>9477</v>
      </c>
      <c r="E24" s="36" t="s">
        <v>9445</v>
      </c>
      <c r="F24" s="36" t="s">
        <v>9445</v>
      </c>
      <c r="G24" t="s">
        <v>357</v>
      </c>
    </row>
    <row r="25" spans="1:8" x14ac:dyDescent="0.2">
      <c r="A25">
        <v>24</v>
      </c>
      <c r="B25">
        <v>23</v>
      </c>
      <c r="C25" t="s">
        <v>9478</v>
      </c>
      <c r="D25" s="36" t="s">
        <v>9479</v>
      </c>
      <c r="E25" s="37">
        <v>1030</v>
      </c>
      <c r="F25" s="37">
        <v>6000</v>
      </c>
      <c r="G25" t="s">
        <v>476</v>
      </c>
      <c r="H25" t="s">
        <v>475</v>
      </c>
    </row>
    <row r="26" spans="1:8" x14ac:dyDescent="0.2">
      <c r="A26">
        <v>25</v>
      </c>
      <c r="B26">
        <v>27</v>
      </c>
      <c r="C26" t="s">
        <v>9480</v>
      </c>
      <c r="D26" s="36">
        <v>535</v>
      </c>
      <c r="E26" s="36">
        <v>582</v>
      </c>
      <c r="F26" s="37">
        <v>3800</v>
      </c>
      <c r="G26" t="s">
        <v>5743</v>
      </c>
      <c r="H26" t="s">
        <v>5742</v>
      </c>
    </row>
    <row r="27" spans="1:8" x14ac:dyDescent="0.2">
      <c r="A27">
        <v>26</v>
      </c>
      <c r="B27">
        <v>26</v>
      </c>
      <c r="C27" t="s">
        <v>9481</v>
      </c>
      <c r="D27" s="36">
        <v>459</v>
      </c>
      <c r="E27" s="37">
        <v>2784</v>
      </c>
      <c r="F27" s="36" t="s">
        <v>9445</v>
      </c>
      <c r="G27" t="s">
        <v>1432</v>
      </c>
      <c r="H27" t="s">
        <v>1431</v>
      </c>
    </row>
    <row r="28" spans="1:8" x14ac:dyDescent="0.2">
      <c r="A28">
        <v>27</v>
      </c>
      <c r="B28">
        <v>33</v>
      </c>
      <c r="C28" t="s">
        <v>9482</v>
      </c>
      <c r="D28" s="36">
        <v>446</v>
      </c>
      <c r="E28" s="37">
        <v>2240</v>
      </c>
      <c r="F28" s="37">
        <v>3791</v>
      </c>
      <c r="G28" t="s">
        <v>1762</v>
      </c>
      <c r="H28" t="s">
        <v>1761</v>
      </c>
    </row>
    <row r="29" spans="1:8" x14ac:dyDescent="0.2">
      <c r="A29">
        <v>28</v>
      </c>
      <c r="B29">
        <v>30</v>
      </c>
      <c r="C29" t="s">
        <v>9483</v>
      </c>
      <c r="D29" s="36">
        <v>444</v>
      </c>
      <c r="E29" s="36" t="s">
        <v>9445</v>
      </c>
      <c r="F29" s="36" t="s">
        <v>9445</v>
      </c>
      <c r="G29" t="s">
        <v>1867</v>
      </c>
      <c r="H29" t="s">
        <v>1866</v>
      </c>
    </row>
    <row r="30" spans="1:8" x14ac:dyDescent="0.2">
      <c r="A30">
        <v>29</v>
      </c>
      <c r="B30">
        <v>31</v>
      </c>
      <c r="C30" t="s">
        <v>9484</v>
      </c>
      <c r="D30" s="36">
        <v>413</v>
      </c>
      <c r="E30" s="37">
        <v>3526</v>
      </c>
      <c r="F30" s="37">
        <v>2633</v>
      </c>
      <c r="G30" t="s">
        <v>1077</v>
      </c>
      <c r="H30" t="s">
        <v>1076</v>
      </c>
    </row>
    <row r="31" spans="1:8" x14ac:dyDescent="0.2">
      <c r="A31">
        <v>30</v>
      </c>
      <c r="B31">
        <v>34</v>
      </c>
      <c r="C31" t="s">
        <v>838</v>
      </c>
      <c r="D31" s="36">
        <v>405</v>
      </c>
      <c r="E31" s="36" t="s">
        <v>9445</v>
      </c>
      <c r="F31" s="36" t="s">
        <v>9445</v>
      </c>
      <c r="G31" t="s">
        <v>839</v>
      </c>
      <c r="H31" t="s">
        <v>4054</v>
      </c>
    </row>
    <row r="32" spans="1:8" x14ac:dyDescent="0.2">
      <c r="A32">
        <v>31</v>
      </c>
      <c r="B32">
        <v>32</v>
      </c>
      <c r="C32" t="s">
        <v>9485</v>
      </c>
      <c r="D32" s="36">
        <v>390</v>
      </c>
      <c r="E32" s="36" t="s">
        <v>9445</v>
      </c>
      <c r="F32" s="37">
        <v>2587</v>
      </c>
      <c r="G32" t="s">
        <v>7696</v>
      </c>
      <c r="H32" t="s">
        <v>7695</v>
      </c>
    </row>
    <row r="33" spans="1:8" x14ac:dyDescent="0.2">
      <c r="A33">
        <v>32</v>
      </c>
      <c r="B33">
        <v>28</v>
      </c>
      <c r="C33" t="s">
        <v>9486</v>
      </c>
      <c r="D33" s="36">
        <v>351</v>
      </c>
      <c r="E33" s="36">
        <v>508</v>
      </c>
      <c r="F33" s="36" t="s">
        <v>9445</v>
      </c>
      <c r="G33" t="s">
        <v>220</v>
      </c>
      <c r="H33" t="s">
        <v>9561</v>
      </c>
    </row>
    <row r="34" spans="1:8" x14ac:dyDescent="0.2">
      <c r="A34">
        <v>33</v>
      </c>
      <c r="B34">
        <v>40</v>
      </c>
      <c r="C34" t="s">
        <v>9487</v>
      </c>
      <c r="D34" s="36">
        <v>297</v>
      </c>
      <c r="E34" s="37">
        <v>1900</v>
      </c>
      <c r="F34" s="36" t="s">
        <v>9445</v>
      </c>
      <c r="G34" t="s">
        <v>357</v>
      </c>
    </row>
    <row r="35" spans="1:8" x14ac:dyDescent="0.2">
      <c r="A35">
        <v>34</v>
      </c>
      <c r="B35">
        <v>36</v>
      </c>
      <c r="C35" t="s">
        <v>20</v>
      </c>
      <c r="D35" s="36" t="s">
        <v>9488</v>
      </c>
      <c r="E35" s="36" t="s">
        <v>9489</v>
      </c>
      <c r="F35" s="37">
        <v>1223</v>
      </c>
      <c r="G35" t="s">
        <v>213</v>
      </c>
      <c r="H35" t="s">
        <v>20</v>
      </c>
    </row>
    <row r="36" spans="1:8" x14ac:dyDescent="0.2">
      <c r="A36">
        <v>35</v>
      </c>
      <c r="B36">
        <v>45</v>
      </c>
      <c r="C36" t="s">
        <v>857</v>
      </c>
      <c r="D36" s="36">
        <v>290</v>
      </c>
      <c r="E36" s="37">
        <v>1512</v>
      </c>
      <c r="F36" s="37">
        <v>2335</v>
      </c>
      <c r="G36" t="s">
        <v>858</v>
      </c>
      <c r="H36" t="s">
        <v>857</v>
      </c>
    </row>
    <row r="37" spans="1:8" x14ac:dyDescent="0.2">
      <c r="A37">
        <v>36</v>
      </c>
      <c r="B37">
        <v>35</v>
      </c>
      <c r="C37" t="s">
        <v>9490</v>
      </c>
      <c r="D37" s="36">
        <v>285</v>
      </c>
      <c r="E37" s="37">
        <v>1448</v>
      </c>
      <c r="F37" s="36" t="s">
        <v>9445</v>
      </c>
      <c r="G37" t="s">
        <v>357</v>
      </c>
    </row>
    <row r="38" spans="1:8" x14ac:dyDescent="0.2">
      <c r="A38">
        <v>37</v>
      </c>
      <c r="B38">
        <v>37</v>
      </c>
      <c r="C38" t="s">
        <v>1460</v>
      </c>
      <c r="D38" s="36">
        <v>278</v>
      </c>
      <c r="E38" s="36">
        <v>279</v>
      </c>
      <c r="F38" s="37">
        <v>4300</v>
      </c>
      <c r="G38" t="s">
        <v>1461</v>
      </c>
      <c r="H38" t="s">
        <v>1460</v>
      </c>
    </row>
    <row r="39" spans="1:8" x14ac:dyDescent="0.2">
      <c r="A39">
        <v>38</v>
      </c>
      <c r="B39">
        <v>38</v>
      </c>
      <c r="C39" t="s">
        <v>9491</v>
      </c>
      <c r="D39" s="36">
        <v>275</v>
      </c>
      <c r="E39" s="37">
        <v>3524</v>
      </c>
      <c r="F39" s="36" t="s">
        <v>9445</v>
      </c>
      <c r="G39" t="s">
        <v>357</v>
      </c>
    </row>
    <row r="40" spans="1:8" x14ac:dyDescent="0.2">
      <c r="A40">
        <v>39</v>
      </c>
      <c r="B40">
        <v>42</v>
      </c>
      <c r="C40" t="s">
        <v>9492</v>
      </c>
      <c r="D40" s="36" t="s">
        <v>9493</v>
      </c>
      <c r="E40" s="36">
        <v>324</v>
      </c>
      <c r="F40" s="37">
        <v>1525</v>
      </c>
      <c r="G40" t="s">
        <v>1501</v>
      </c>
      <c r="H40" t="s">
        <v>1500</v>
      </c>
    </row>
    <row r="41" spans="1:8" x14ac:dyDescent="0.2">
      <c r="A41">
        <v>40</v>
      </c>
      <c r="B41" t="s">
        <v>9445</v>
      </c>
      <c r="C41" t="s">
        <v>9494</v>
      </c>
      <c r="D41" s="36" t="s">
        <v>9495</v>
      </c>
      <c r="E41" s="36">
        <v>613</v>
      </c>
      <c r="F41" s="36" t="s">
        <v>9445</v>
      </c>
      <c r="G41" t="s">
        <v>357</v>
      </c>
    </row>
    <row r="42" spans="1:8" x14ac:dyDescent="0.2">
      <c r="A42">
        <v>41</v>
      </c>
      <c r="B42">
        <v>41</v>
      </c>
      <c r="C42" t="s">
        <v>9496</v>
      </c>
      <c r="D42" s="36">
        <v>252</v>
      </c>
      <c r="E42" s="36">
        <v>347</v>
      </c>
      <c r="F42" s="37">
        <v>1258</v>
      </c>
      <c r="G42" t="s">
        <v>357</v>
      </c>
    </row>
    <row r="43" spans="1:8" x14ac:dyDescent="0.2">
      <c r="A43">
        <v>42</v>
      </c>
      <c r="B43">
        <v>29</v>
      </c>
      <c r="C43" t="s">
        <v>9497</v>
      </c>
      <c r="D43" s="36">
        <v>235</v>
      </c>
      <c r="E43" s="36">
        <v>245</v>
      </c>
      <c r="F43" s="36">
        <v>690</v>
      </c>
      <c r="G43" t="s">
        <v>357</v>
      </c>
    </row>
    <row r="44" spans="1:8" x14ac:dyDescent="0.2">
      <c r="A44">
        <v>43</v>
      </c>
      <c r="B44" t="s">
        <v>9445</v>
      </c>
      <c r="C44" t="s">
        <v>9498</v>
      </c>
      <c r="D44" s="36">
        <v>226</v>
      </c>
      <c r="E44" s="36">
        <v>226</v>
      </c>
      <c r="F44" s="36" t="s">
        <v>9445</v>
      </c>
      <c r="G44" t="s">
        <v>4261</v>
      </c>
      <c r="H44" t="s">
        <v>9498</v>
      </c>
    </row>
    <row r="45" spans="1:8" x14ac:dyDescent="0.2">
      <c r="A45">
        <v>44</v>
      </c>
      <c r="B45">
        <v>47</v>
      </c>
      <c r="C45" t="s">
        <v>773</v>
      </c>
      <c r="D45" s="36">
        <v>217</v>
      </c>
      <c r="E45" s="36">
        <v>654</v>
      </c>
      <c r="F45" s="36" t="s">
        <v>9445</v>
      </c>
      <c r="G45" t="s">
        <v>774</v>
      </c>
      <c r="H45" t="s">
        <v>773</v>
      </c>
    </row>
    <row r="46" spans="1:8" x14ac:dyDescent="0.2">
      <c r="A46">
        <v>45</v>
      </c>
      <c r="B46">
        <v>44</v>
      </c>
      <c r="C46" t="s">
        <v>9499</v>
      </c>
      <c r="D46" s="36">
        <v>204</v>
      </c>
      <c r="E46" s="36">
        <v>396</v>
      </c>
      <c r="F46" s="36" t="s">
        <v>9445</v>
      </c>
      <c r="G46" t="s">
        <v>230</v>
      </c>
      <c r="H46" t="s">
        <v>40</v>
      </c>
    </row>
    <row r="47" spans="1:8" x14ac:dyDescent="0.2">
      <c r="A47">
        <v>46</v>
      </c>
      <c r="B47" t="s">
        <v>9445</v>
      </c>
      <c r="C47" t="s">
        <v>9500</v>
      </c>
      <c r="D47" s="36" t="s">
        <v>9501</v>
      </c>
      <c r="E47" s="36">
        <v>750</v>
      </c>
      <c r="F47" s="36" t="s">
        <v>9445</v>
      </c>
      <c r="G47" t="s">
        <v>1955</v>
      </c>
      <c r="H47" t="s">
        <v>1954</v>
      </c>
    </row>
    <row r="48" spans="1:8" x14ac:dyDescent="0.2">
      <c r="A48">
        <v>47</v>
      </c>
      <c r="B48" t="s">
        <v>9445</v>
      </c>
      <c r="C48" t="s">
        <v>7173</v>
      </c>
      <c r="D48" s="36">
        <v>190</v>
      </c>
      <c r="E48" s="36">
        <v>200</v>
      </c>
      <c r="F48" s="37">
        <v>2500</v>
      </c>
      <c r="G48" t="s">
        <v>7174</v>
      </c>
      <c r="H48" t="s">
        <v>7173</v>
      </c>
    </row>
    <row r="49" spans="1:8" x14ac:dyDescent="0.2">
      <c r="A49">
        <v>48</v>
      </c>
      <c r="B49" t="s">
        <v>9445</v>
      </c>
      <c r="C49" t="s">
        <v>9502</v>
      </c>
      <c r="D49" s="36">
        <v>189</v>
      </c>
      <c r="E49" s="36">
        <v>872</v>
      </c>
      <c r="F49" s="36" t="s">
        <v>9445</v>
      </c>
      <c r="G49" t="s">
        <v>1530</v>
      </c>
      <c r="H49" t="s">
        <v>1529</v>
      </c>
    </row>
    <row r="50" spans="1:8" x14ac:dyDescent="0.2">
      <c r="A50">
        <v>49</v>
      </c>
      <c r="B50">
        <v>43</v>
      </c>
      <c r="C50" t="s">
        <v>9503</v>
      </c>
      <c r="D50" s="36">
        <v>187</v>
      </c>
      <c r="E50" s="36">
        <v>189</v>
      </c>
      <c r="F50" s="36" t="s">
        <v>9445</v>
      </c>
      <c r="G50" t="s">
        <v>357</v>
      </c>
    </row>
    <row r="51" spans="1:8" x14ac:dyDescent="0.2">
      <c r="A51">
        <v>50</v>
      </c>
      <c r="B51">
        <v>50</v>
      </c>
      <c r="C51" t="s">
        <v>9504</v>
      </c>
      <c r="D51" s="36" t="s">
        <v>9505</v>
      </c>
      <c r="E51" s="36" t="s">
        <v>9506</v>
      </c>
      <c r="F51" s="36" t="s">
        <v>9445</v>
      </c>
      <c r="G51" t="s">
        <v>357</v>
      </c>
    </row>
    <row r="52" spans="1:8" x14ac:dyDescent="0.2">
      <c r="A52">
        <v>50</v>
      </c>
      <c r="B52">
        <v>48</v>
      </c>
      <c r="C52" t="s">
        <v>1400</v>
      </c>
      <c r="D52" t="s">
        <v>9505</v>
      </c>
      <c r="E52" t="s">
        <v>9507</v>
      </c>
      <c r="F52" t="s">
        <v>9445</v>
      </c>
      <c r="G52" t="s">
        <v>357</v>
      </c>
      <c r="H52" t="s">
        <v>1400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K16" sqref="K16"/>
    </sheetView>
  </sheetViews>
  <sheetFormatPr baseColWidth="10" defaultColWidth="11.5" defaultRowHeight="15" x14ac:dyDescent="0.2"/>
  <cols>
    <col min="3" max="3" width="25.6640625" customWidth="1"/>
    <col min="4" max="4" width="15.5" customWidth="1"/>
  </cols>
  <sheetData>
    <row r="1" spans="1:9" x14ac:dyDescent="0.2">
      <c r="A1" t="s">
        <v>9508</v>
      </c>
      <c r="B1" t="s">
        <v>9435</v>
      </c>
      <c r="C1" t="s">
        <v>1</v>
      </c>
      <c r="D1" t="s">
        <v>9509</v>
      </c>
      <c r="E1" s="38" t="s">
        <v>9510</v>
      </c>
      <c r="F1" s="38" t="s">
        <v>345</v>
      </c>
      <c r="G1" s="38" t="s">
        <v>3</v>
      </c>
      <c r="H1" s="38" t="s">
        <v>5</v>
      </c>
      <c r="I1" s="38" t="s">
        <v>373</v>
      </c>
    </row>
    <row r="2" spans="1:9" x14ac:dyDescent="0.2">
      <c r="A2">
        <v>1</v>
      </c>
      <c r="B2">
        <v>1</v>
      </c>
      <c r="C2" t="s">
        <v>9511</v>
      </c>
      <c r="D2" s="20">
        <v>60906000</v>
      </c>
      <c r="E2" s="20">
        <v>3431000</v>
      </c>
      <c r="F2" s="20">
        <v>434000</v>
      </c>
      <c r="G2" t="s">
        <v>9445</v>
      </c>
      <c r="H2" t="s">
        <v>9445</v>
      </c>
      <c r="I2" t="str">
        <f>VLOOKUP(C2,Sheet1!A1:B3381,2)</f>
        <v>UPSF</v>
      </c>
    </row>
    <row r="3" spans="1:9" x14ac:dyDescent="0.2">
      <c r="A3">
        <v>2</v>
      </c>
      <c r="B3">
        <v>2</v>
      </c>
      <c r="C3" t="s">
        <v>9451</v>
      </c>
      <c r="D3" s="20">
        <v>57570000</v>
      </c>
      <c r="E3" s="20">
        <v>1907000</v>
      </c>
      <c r="F3" s="20">
        <v>400000</v>
      </c>
      <c r="G3" s="20">
        <v>29733</v>
      </c>
      <c r="H3" s="20">
        <v>108041</v>
      </c>
      <c r="I3" t="str">
        <f>VLOOKUP(C3,Sheet1!A2:B3382,2)</f>
        <v>N/A</v>
      </c>
    </row>
    <row r="4" spans="1:9" x14ac:dyDescent="0.2">
      <c r="A4">
        <v>3</v>
      </c>
      <c r="B4">
        <v>3</v>
      </c>
      <c r="C4" t="s">
        <v>348</v>
      </c>
      <c r="D4" s="20">
        <v>14619400</v>
      </c>
      <c r="E4" s="20">
        <v>63100</v>
      </c>
      <c r="F4" s="20">
        <v>89000</v>
      </c>
      <c r="G4" s="20">
        <v>15396</v>
      </c>
      <c r="H4" s="20">
        <v>27606</v>
      </c>
      <c r="I4" t="str">
        <f>VLOOKUP(C4,Sheet1!A3:B3383,2)</f>
        <v>URBS</v>
      </c>
    </row>
    <row r="5" spans="1:9" x14ac:dyDescent="0.2">
      <c r="A5">
        <v>4</v>
      </c>
      <c r="B5">
        <v>4</v>
      </c>
      <c r="C5" t="s">
        <v>9512</v>
      </c>
      <c r="D5" s="20">
        <v>6555459</v>
      </c>
      <c r="E5" s="20">
        <v>432090</v>
      </c>
      <c r="F5" s="20">
        <v>22172</v>
      </c>
      <c r="G5" s="20">
        <v>14805</v>
      </c>
      <c r="H5" s="20">
        <v>30330</v>
      </c>
      <c r="I5" t="str">
        <f>VLOOKUP(C5,Sheet1!A4:B3384,2)</f>
        <v>JEZT</v>
      </c>
    </row>
    <row r="6" spans="1:9" x14ac:dyDescent="0.2">
      <c r="A6">
        <v>5</v>
      </c>
      <c r="B6">
        <v>5</v>
      </c>
      <c r="C6" t="s">
        <v>12</v>
      </c>
      <c r="D6" s="20">
        <v>4697500</v>
      </c>
      <c r="E6" s="20">
        <v>21500</v>
      </c>
      <c r="F6" s="20">
        <v>32000</v>
      </c>
      <c r="G6" s="20">
        <v>14300</v>
      </c>
      <c r="H6" s="20">
        <v>44500</v>
      </c>
      <c r="I6" t="str">
        <f>VLOOKUP(C6,Sheet1!A5:B3385,2)</f>
        <v>YARB</v>
      </c>
    </row>
    <row r="7" spans="1:9" x14ac:dyDescent="0.2">
      <c r="A7">
        <v>6</v>
      </c>
      <c r="B7">
        <v>7</v>
      </c>
      <c r="C7" t="s">
        <v>9460</v>
      </c>
      <c r="D7" s="20">
        <v>4045736</v>
      </c>
      <c r="E7" s="20">
        <v>156851</v>
      </c>
      <c r="F7" s="20">
        <v>19300</v>
      </c>
      <c r="G7" s="20">
        <v>10459</v>
      </c>
      <c r="H7" s="20">
        <v>37910</v>
      </c>
      <c r="I7" t="str">
        <f>VLOOKUP(C7,Sheet1!A6:B3386,2)</f>
        <v>SSIV</v>
      </c>
    </row>
    <row r="8" spans="1:9" x14ac:dyDescent="0.2">
      <c r="A8">
        <v>7</v>
      </c>
      <c r="B8">
        <v>6</v>
      </c>
      <c r="C8" t="s">
        <v>18</v>
      </c>
      <c r="D8" s="20">
        <v>4031517</v>
      </c>
      <c r="E8" s="20">
        <v>149267</v>
      </c>
      <c r="F8" s="20">
        <v>21900</v>
      </c>
      <c r="G8" s="20">
        <v>18366</v>
      </c>
      <c r="H8" s="20">
        <v>64066</v>
      </c>
      <c r="I8" t="str">
        <f>VLOOKUP(C8,Sheet1!A7:B3387,2)</f>
        <v>SDPO</v>
      </c>
    </row>
    <row r="9" spans="1:9" x14ac:dyDescent="0.2">
      <c r="A9">
        <v>8</v>
      </c>
      <c r="B9">
        <v>8</v>
      </c>
      <c r="C9" t="s">
        <v>9484</v>
      </c>
      <c r="D9" s="20">
        <v>3572790</v>
      </c>
      <c r="E9" s="20">
        <v>74805</v>
      </c>
      <c r="F9" s="20">
        <v>2755</v>
      </c>
      <c r="G9" s="20">
        <v>2705</v>
      </c>
      <c r="H9">
        <v>436</v>
      </c>
      <c r="I9" t="str">
        <f>VLOOKUP(C9,Sheet1!A8:B3388,2)</f>
        <v>N/A</v>
      </c>
    </row>
    <row r="10" spans="1:9" x14ac:dyDescent="0.2">
      <c r="A10">
        <v>9</v>
      </c>
      <c r="B10">
        <v>9</v>
      </c>
      <c r="C10" t="s">
        <v>20</v>
      </c>
      <c r="D10" s="20">
        <v>3167634</v>
      </c>
      <c r="E10" s="20">
        <v>137350</v>
      </c>
      <c r="F10" s="20">
        <v>1197</v>
      </c>
      <c r="G10" s="20">
        <v>9186</v>
      </c>
      <c r="H10" s="20">
        <v>15170</v>
      </c>
      <c r="I10" t="str">
        <f>VLOOKUP(C10,Sheet1!A9:B3389,2)</f>
        <v>JEAC</v>
      </c>
    </row>
    <row r="11" spans="1:9" x14ac:dyDescent="0.2">
      <c r="A11">
        <v>10</v>
      </c>
      <c r="B11">
        <v>10</v>
      </c>
      <c r="C11" t="s">
        <v>9513</v>
      </c>
      <c r="D11" s="20">
        <v>3037205</v>
      </c>
      <c r="E11" s="20">
        <v>482592</v>
      </c>
      <c r="F11" s="20">
        <v>17685</v>
      </c>
      <c r="G11" s="20">
        <v>18535</v>
      </c>
      <c r="H11" s="20">
        <v>25310</v>
      </c>
      <c r="I11" t="str">
        <f>VLOOKUP(C11,Sheet1!A10:B3390,2)</f>
        <v>TRXP</v>
      </c>
    </row>
    <row r="12" spans="1:9" x14ac:dyDescent="0.2">
      <c r="A12">
        <v>11</v>
      </c>
      <c r="B12">
        <v>11</v>
      </c>
      <c r="C12" t="s">
        <v>9514</v>
      </c>
      <c r="D12" s="20">
        <v>2991517</v>
      </c>
      <c r="E12" s="20">
        <v>295765</v>
      </c>
      <c r="F12" s="20">
        <v>19040</v>
      </c>
      <c r="G12" s="20">
        <v>7994</v>
      </c>
      <c r="H12" s="20">
        <v>32525</v>
      </c>
      <c r="I12" t="str">
        <f>VLOOKUP(C12,Sheet1!A11:B3391,2)</f>
        <v>OIXI</v>
      </c>
    </row>
    <row r="13" spans="1:9" x14ac:dyDescent="0.2">
      <c r="A13">
        <v>12</v>
      </c>
      <c r="B13">
        <v>12</v>
      </c>
      <c r="C13" t="s">
        <v>9515</v>
      </c>
      <c r="D13" s="20">
        <v>2700219</v>
      </c>
      <c r="E13" s="20">
        <v>18652</v>
      </c>
      <c r="F13" s="20">
        <v>13000</v>
      </c>
      <c r="G13" s="20">
        <v>4387</v>
      </c>
      <c r="H13" s="20">
        <v>21361</v>
      </c>
      <c r="I13" t="str">
        <f>VLOOKUP(C13,Sheet1!A12:B3392,2)</f>
        <v>ACTC</v>
      </c>
    </row>
    <row r="14" spans="1:9" x14ac:dyDescent="0.2">
      <c r="A14">
        <v>13</v>
      </c>
      <c r="B14">
        <v>13</v>
      </c>
      <c r="C14" t="s">
        <v>21</v>
      </c>
      <c r="D14" s="20">
        <v>2658745</v>
      </c>
      <c r="E14" s="20">
        <v>169172</v>
      </c>
      <c r="F14" t="s">
        <v>9445</v>
      </c>
      <c r="G14" s="20">
        <v>67900</v>
      </c>
      <c r="H14" s="20">
        <v>42800</v>
      </c>
      <c r="I14" t="str">
        <f>VLOOKUP(C14,Sheet1!A13:B3393,2)</f>
        <v>N/A</v>
      </c>
    </row>
    <row r="15" spans="1:9" x14ac:dyDescent="0.2">
      <c r="A15">
        <v>14</v>
      </c>
      <c r="B15">
        <v>14</v>
      </c>
      <c r="C15" t="s">
        <v>26</v>
      </c>
      <c r="D15" s="20">
        <v>2400000</v>
      </c>
      <c r="E15" t="s">
        <v>9445</v>
      </c>
      <c r="F15" s="20">
        <v>16570</v>
      </c>
      <c r="G15" s="20">
        <v>7009</v>
      </c>
      <c r="H15" s="20">
        <v>26718</v>
      </c>
      <c r="I15" t="str">
        <f>VLOOKUP(C15,Sheet1!A14:B3394,2)</f>
        <v>ESNL</v>
      </c>
    </row>
    <row r="16" spans="1:9" x14ac:dyDescent="0.2">
      <c r="A16">
        <v>15</v>
      </c>
      <c r="B16">
        <v>16</v>
      </c>
      <c r="C16" t="s">
        <v>9516</v>
      </c>
      <c r="D16" s="20">
        <v>2044000</v>
      </c>
      <c r="E16" t="s">
        <v>9445</v>
      </c>
      <c r="F16" s="20">
        <v>4645</v>
      </c>
      <c r="G16" s="20">
        <v>4332</v>
      </c>
      <c r="H16" s="20">
        <v>6508</v>
      </c>
      <c r="I16" t="str">
        <f>VLOOKUP(C16,Sheet1!A15:B3395,2)</f>
        <v>RRIS</v>
      </c>
    </row>
    <row r="17" spans="1:9" x14ac:dyDescent="0.2">
      <c r="A17">
        <v>16</v>
      </c>
      <c r="B17">
        <v>15</v>
      </c>
      <c r="C17" t="s">
        <v>9517</v>
      </c>
      <c r="D17" s="20">
        <v>2008991</v>
      </c>
      <c r="E17" s="20">
        <v>79129</v>
      </c>
      <c r="F17" s="20">
        <v>11738</v>
      </c>
      <c r="G17" s="20">
        <v>7100</v>
      </c>
      <c r="H17" s="20">
        <v>24350</v>
      </c>
      <c r="I17" t="str">
        <f>VLOOKUP(C17,Sheet1!A16:B3396,2)</f>
        <v>WENG</v>
      </c>
    </row>
    <row r="18" spans="1:9" x14ac:dyDescent="0.2">
      <c r="A18">
        <v>17</v>
      </c>
      <c r="B18">
        <v>17</v>
      </c>
      <c r="C18" t="s">
        <v>29</v>
      </c>
      <c r="D18" s="20">
        <v>1700000</v>
      </c>
      <c r="E18" t="s">
        <v>9445</v>
      </c>
      <c r="F18" t="s">
        <v>9445</v>
      </c>
      <c r="G18" t="s">
        <v>9445</v>
      </c>
      <c r="H18" t="s">
        <v>9445</v>
      </c>
      <c r="I18" t="str">
        <f>VLOOKUP(C18,Sheet1!A17:B3397,2)</f>
        <v>UNMC</v>
      </c>
    </row>
    <row r="19" spans="1:9" x14ac:dyDescent="0.2">
      <c r="A19">
        <v>18</v>
      </c>
      <c r="B19">
        <v>18</v>
      </c>
      <c r="C19" t="s">
        <v>32</v>
      </c>
      <c r="D19" s="20">
        <v>1683834</v>
      </c>
      <c r="E19" s="20">
        <v>194247</v>
      </c>
      <c r="F19" s="20">
        <v>3661</v>
      </c>
      <c r="G19" s="20">
        <v>6246</v>
      </c>
      <c r="H19" s="20">
        <v>12309</v>
      </c>
      <c r="I19" t="str">
        <f>VLOOKUP(C19,Sheet1!A18:B3398,2)</f>
        <v>PMYT</v>
      </c>
    </row>
    <row r="20" spans="1:9" x14ac:dyDescent="0.2">
      <c r="A20">
        <v>19</v>
      </c>
      <c r="B20">
        <v>24</v>
      </c>
      <c r="C20" t="s">
        <v>31</v>
      </c>
      <c r="D20" s="20">
        <v>1546000</v>
      </c>
      <c r="E20" t="s">
        <v>9445</v>
      </c>
      <c r="F20" s="20">
        <v>7849</v>
      </c>
      <c r="G20" s="20">
        <v>6682</v>
      </c>
      <c r="H20" s="20">
        <v>13811</v>
      </c>
      <c r="I20" t="str">
        <f>VLOOKUP(C20,Sheet1!A19:B3399,2)</f>
        <v>CRPS</v>
      </c>
    </row>
    <row r="21" spans="1:9" x14ac:dyDescent="0.2">
      <c r="A21">
        <v>20</v>
      </c>
      <c r="B21">
        <v>26</v>
      </c>
      <c r="C21" t="s">
        <v>9518</v>
      </c>
      <c r="D21" s="20">
        <v>1526207</v>
      </c>
      <c r="E21" t="s">
        <v>9445</v>
      </c>
      <c r="F21" s="20">
        <v>10000</v>
      </c>
      <c r="G21">
        <v>463</v>
      </c>
      <c r="H21" s="20">
        <v>1280</v>
      </c>
      <c r="I21" t="str">
        <f>VLOOKUP(C21,Sheet1!A20:B3400,2)</f>
        <v>PTAM</v>
      </c>
    </row>
    <row r="22" spans="1:9" x14ac:dyDescent="0.2">
      <c r="A22">
        <v>21</v>
      </c>
      <c r="B22">
        <v>23</v>
      </c>
      <c r="C22" t="s">
        <v>41</v>
      </c>
      <c r="D22" s="20">
        <v>1500000</v>
      </c>
      <c r="E22" t="s">
        <v>9445</v>
      </c>
      <c r="F22" s="20">
        <v>14180</v>
      </c>
      <c r="G22" s="20">
        <v>2704</v>
      </c>
      <c r="H22" s="20">
        <v>8785</v>
      </c>
      <c r="I22" t="str">
        <f>VLOOKUP(C22,Sheet1!A21:B3401,2)</f>
        <v>PENM</v>
      </c>
    </row>
    <row r="23" spans="1:9" x14ac:dyDescent="0.2">
      <c r="A23">
        <v>21</v>
      </c>
      <c r="B23">
        <v>20</v>
      </c>
      <c r="C23" t="s">
        <v>25</v>
      </c>
      <c r="D23" s="20">
        <v>1400000</v>
      </c>
      <c r="E23" t="s">
        <v>9445</v>
      </c>
      <c r="F23" t="s">
        <v>9445</v>
      </c>
      <c r="G23" t="s">
        <v>9445</v>
      </c>
      <c r="H23" t="s">
        <v>9445</v>
      </c>
      <c r="I23" t="str">
        <f>VLOOKUP(C23,Sheet1!A22:B3402,2)</f>
        <v>SGHE</v>
      </c>
    </row>
    <row r="24" spans="1:9" x14ac:dyDescent="0.2">
      <c r="A24">
        <v>21</v>
      </c>
      <c r="B24">
        <v>19</v>
      </c>
      <c r="C24" t="s">
        <v>27</v>
      </c>
      <c r="D24" s="20">
        <v>1500000</v>
      </c>
      <c r="E24" t="s">
        <v>9445</v>
      </c>
      <c r="F24" s="20">
        <v>10135</v>
      </c>
      <c r="G24" s="20">
        <v>7000</v>
      </c>
      <c r="H24" s="20">
        <v>15500</v>
      </c>
      <c r="I24" t="str">
        <f>VLOOKUP(C24,Sheet1!A23:B3403,2)</f>
        <v>USDI</v>
      </c>
    </row>
    <row r="25" spans="1:9" x14ac:dyDescent="0.2">
      <c r="A25">
        <v>24</v>
      </c>
      <c r="B25" t="s">
        <v>9445</v>
      </c>
      <c r="C25" t="s">
        <v>9519</v>
      </c>
      <c r="D25" s="20">
        <v>1452000</v>
      </c>
      <c r="E25" t="s">
        <v>9445</v>
      </c>
      <c r="F25" s="20">
        <v>10000</v>
      </c>
      <c r="G25" s="20">
        <v>5958</v>
      </c>
      <c r="H25" s="20">
        <v>12604</v>
      </c>
      <c r="I25" t="str">
        <f>VLOOKUP(C25,Sheet1!A24:B3404,2)</f>
        <v>HRSD</v>
      </c>
    </row>
    <row r="26" spans="1:9" x14ac:dyDescent="0.2">
      <c r="A26">
        <v>25</v>
      </c>
      <c r="B26">
        <v>21</v>
      </c>
      <c r="C26" t="s">
        <v>9520</v>
      </c>
      <c r="D26" s="20">
        <v>1421975</v>
      </c>
      <c r="E26" t="s">
        <v>9445</v>
      </c>
      <c r="F26" s="20">
        <v>7561</v>
      </c>
      <c r="G26" s="20">
        <v>6869</v>
      </c>
      <c r="H26" s="20">
        <v>10404</v>
      </c>
      <c r="I26" t="str">
        <f>VLOOKUP(C26,Sheet1!A25:B3405,2)</f>
        <v>GRHA</v>
      </c>
    </row>
    <row r="27" spans="1:9" x14ac:dyDescent="0.2">
      <c r="A27">
        <v>26</v>
      </c>
      <c r="B27">
        <v>23</v>
      </c>
      <c r="C27" t="s">
        <v>30</v>
      </c>
      <c r="D27" s="20">
        <v>1304898</v>
      </c>
      <c r="E27" t="s">
        <v>9445</v>
      </c>
      <c r="F27" s="20">
        <v>7883</v>
      </c>
      <c r="G27" s="20">
        <v>4165</v>
      </c>
      <c r="H27" s="20">
        <v>5990</v>
      </c>
      <c r="I27" t="str">
        <f>VLOOKUP(C27,Sheet1!A26:B3406,2)</f>
        <v>CORV</v>
      </c>
    </row>
    <row r="28" spans="1:9" x14ac:dyDescent="0.2">
      <c r="A28">
        <v>27</v>
      </c>
      <c r="B28">
        <v>27</v>
      </c>
      <c r="C28" t="s">
        <v>9466</v>
      </c>
      <c r="D28" s="20">
        <v>1250000</v>
      </c>
      <c r="E28" t="s">
        <v>9445</v>
      </c>
      <c r="F28" s="20">
        <v>8300</v>
      </c>
      <c r="G28" s="20">
        <v>2793</v>
      </c>
      <c r="H28" s="20">
        <v>8300</v>
      </c>
      <c r="I28" t="str">
        <f>VLOOKUP(C28,Sheet1!A27:B3407,2)</f>
        <v>NSLC</v>
      </c>
    </row>
    <row r="29" spans="1:9" x14ac:dyDescent="0.2">
      <c r="A29">
        <v>28</v>
      </c>
      <c r="B29">
        <v>25</v>
      </c>
      <c r="C29" t="s">
        <v>33</v>
      </c>
      <c r="D29" s="20">
        <v>1218481</v>
      </c>
      <c r="E29" s="20">
        <v>48024</v>
      </c>
      <c r="F29" s="20">
        <v>9000</v>
      </c>
      <c r="G29" s="20">
        <v>4000</v>
      </c>
      <c r="H29" s="20">
        <v>13000</v>
      </c>
      <c r="I29" t="str">
        <f>VLOOKUP(C29,Sheet1!A28:B3408,2)</f>
        <v>SAGE</v>
      </c>
    </row>
    <row r="30" spans="1:9" x14ac:dyDescent="0.2">
      <c r="A30">
        <v>29</v>
      </c>
      <c r="B30">
        <v>28</v>
      </c>
      <c r="C30" t="s">
        <v>38</v>
      </c>
      <c r="D30" s="20">
        <v>1192296</v>
      </c>
      <c r="E30" t="s">
        <v>9445</v>
      </c>
      <c r="F30" s="20">
        <v>8458</v>
      </c>
      <c r="G30" s="20">
        <v>3734</v>
      </c>
      <c r="H30" s="20">
        <v>11943</v>
      </c>
      <c r="I30" t="str">
        <f>VLOOKUP(C30,Sheet1!A29:B3409,2)</f>
        <v>SXSQ</v>
      </c>
    </row>
    <row r="31" spans="1:9" x14ac:dyDescent="0.2">
      <c r="A31">
        <v>30</v>
      </c>
      <c r="B31">
        <v>29</v>
      </c>
      <c r="C31" t="s">
        <v>9521</v>
      </c>
      <c r="D31" s="20">
        <v>1118034</v>
      </c>
      <c r="E31" s="20">
        <v>93863</v>
      </c>
      <c r="F31" s="20">
        <v>5500</v>
      </c>
      <c r="G31" s="20">
        <v>4705</v>
      </c>
      <c r="H31" s="20">
        <v>9915</v>
      </c>
      <c r="I31" t="str">
        <f>VLOOKUP(C31,Sheet1!A30:B3410,2)</f>
        <v>KNIG,KTMW,KNBK,KNIB,KNIM,KTPS</v>
      </c>
    </row>
    <row r="32" spans="1:9" x14ac:dyDescent="0.2">
      <c r="A32">
        <v>31</v>
      </c>
      <c r="B32">
        <v>32</v>
      </c>
      <c r="C32" t="s">
        <v>40</v>
      </c>
      <c r="D32" s="20">
        <v>1091475</v>
      </c>
      <c r="E32" t="s">
        <v>9445</v>
      </c>
      <c r="F32" t="s">
        <v>9445</v>
      </c>
      <c r="G32" s="20">
        <v>4500</v>
      </c>
      <c r="H32" s="20">
        <v>14623</v>
      </c>
      <c r="I32" t="str">
        <f>VLOOKUP(C32,Sheet1!A31:B3411,2)</f>
        <v>AVOG</v>
      </c>
    </row>
    <row r="33" spans="1:9" x14ac:dyDescent="0.2">
      <c r="A33">
        <v>32</v>
      </c>
      <c r="B33">
        <v>30</v>
      </c>
      <c r="C33" t="s">
        <v>9522</v>
      </c>
      <c r="D33" s="20">
        <v>1072751</v>
      </c>
      <c r="E33" s="20">
        <v>24244</v>
      </c>
      <c r="F33" s="20">
        <v>6275</v>
      </c>
      <c r="G33" s="20">
        <v>3801</v>
      </c>
      <c r="H33" s="20">
        <v>4154</v>
      </c>
      <c r="I33" t="str">
        <f>VLOOKUP(C33,Sheet1!A32:B3412,2)</f>
        <v>UFER</v>
      </c>
    </row>
    <row r="34" spans="1:9" x14ac:dyDescent="0.2">
      <c r="A34">
        <v>33</v>
      </c>
      <c r="B34">
        <v>32</v>
      </c>
      <c r="C34" t="s">
        <v>9523</v>
      </c>
      <c r="D34" s="20">
        <v>1050000</v>
      </c>
      <c r="E34" s="20">
        <v>2700</v>
      </c>
      <c r="F34" s="20">
        <v>6000</v>
      </c>
      <c r="G34" s="20">
        <v>7050</v>
      </c>
      <c r="H34" s="20">
        <v>15000</v>
      </c>
      <c r="I34" t="str">
        <f>VLOOKUP(C34,Sheet1!A33:B3413,2)</f>
        <v>CEJT</v>
      </c>
    </row>
    <row r="35" spans="1:9" x14ac:dyDescent="0.2">
      <c r="A35">
        <v>34</v>
      </c>
      <c r="B35">
        <v>37</v>
      </c>
      <c r="C35" t="s">
        <v>43</v>
      </c>
      <c r="D35" s="20">
        <v>1032144</v>
      </c>
      <c r="E35" t="s">
        <v>9445</v>
      </c>
      <c r="F35" s="20">
        <v>1410</v>
      </c>
      <c r="G35" s="20">
        <v>2372</v>
      </c>
      <c r="H35" s="20">
        <v>6300</v>
      </c>
      <c r="I35" t="e">
        <f>VLOOKUP(C35,Sheet1!A34:B3414,2)</f>
        <v>#N/A</v>
      </c>
    </row>
    <row r="36" spans="1:9" x14ac:dyDescent="0.2">
      <c r="A36">
        <v>35</v>
      </c>
      <c r="B36">
        <v>33</v>
      </c>
      <c r="C36" t="s">
        <v>115</v>
      </c>
      <c r="D36" s="20">
        <v>1030000</v>
      </c>
      <c r="E36" t="s">
        <v>9445</v>
      </c>
      <c r="F36" s="20">
        <v>5500</v>
      </c>
      <c r="G36" s="20">
        <v>5130</v>
      </c>
      <c r="H36" s="20">
        <v>12883</v>
      </c>
      <c r="I36" t="str">
        <f>VLOOKUP(C36,Sheet1!A35:B3415,2)</f>
        <v>CRAW</v>
      </c>
    </row>
    <row r="37" spans="1:9" x14ac:dyDescent="0.2">
      <c r="A37">
        <v>36</v>
      </c>
      <c r="B37" t="s">
        <v>9445</v>
      </c>
      <c r="C37" t="s">
        <v>9476</v>
      </c>
      <c r="D37" s="20">
        <v>1000600</v>
      </c>
      <c r="E37" t="s">
        <v>9445</v>
      </c>
      <c r="F37" s="20">
        <v>4642</v>
      </c>
      <c r="G37" s="20">
        <v>3020</v>
      </c>
      <c r="H37" s="20">
        <v>9725</v>
      </c>
      <c r="I37" t="str">
        <f>VLOOKUP(C37,Sheet1!A36:B3416,2)</f>
        <v>N/A</v>
      </c>
    </row>
    <row r="38" spans="1:9" x14ac:dyDescent="0.2">
      <c r="A38">
        <v>37</v>
      </c>
      <c r="B38">
        <v>35</v>
      </c>
      <c r="C38" t="s">
        <v>56</v>
      </c>
      <c r="D38" s="20">
        <v>982530</v>
      </c>
      <c r="E38" s="20">
        <v>27670</v>
      </c>
      <c r="F38" s="20">
        <v>3689</v>
      </c>
      <c r="G38">
        <v>935</v>
      </c>
      <c r="H38" s="20">
        <v>4868</v>
      </c>
      <c r="I38" t="str">
        <f>VLOOKUP(C38,Sheet1!A37:B3417,2)</f>
        <v>FTNA</v>
      </c>
    </row>
    <row r="39" spans="1:9" x14ac:dyDescent="0.2">
      <c r="A39">
        <v>38</v>
      </c>
      <c r="B39">
        <v>36</v>
      </c>
      <c r="C39" t="s">
        <v>85</v>
      </c>
      <c r="D39" s="20">
        <v>937000</v>
      </c>
      <c r="E39" t="s">
        <v>9445</v>
      </c>
      <c r="F39" t="s">
        <v>9445</v>
      </c>
      <c r="G39" s="20">
        <v>3815</v>
      </c>
      <c r="H39" s="20">
        <v>5300</v>
      </c>
      <c r="I39" t="str">
        <f>VLOOKUP(C39,Sheet1!A38:B3418,2)</f>
        <v>KLMI</v>
      </c>
    </row>
    <row r="40" spans="1:9" x14ac:dyDescent="0.2">
      <c r="A40">
        <v>39</v>
      </c>
      <c r="B40">
        <v>34</v>
      </c>
      <c r="C40" t="s">
        <v>148</v>
      </c>
      <c r="D40" s="20">
        <v>925000</v>
      </c>
      <c r="E40" t="s">
        <v>9445</v>
      </c>
      <c r="F40" s="20">
        <v>2800</v>
      </c>
      <c r="G40">
        <v>768</v>
      </c>
      <c r="H40" s="20">
        <v>2889</v>
      </c>
      <c r="I40" t="str">
        <f>VLOOKUP(C40,Sheet1!A39:B3419,2)</f>
        <v>LNWT</v>
      </c>
    </row>
    <row r="41" spans="1:9" x14ac:dyDescent="0.2">
      <c r="A41">
        <v>40</v>
      </c>
      <c r="B41">
        <v>38</v>
      </c>
      <c r="C41" t="s">
        <v>9472</v>
      </c>
      <c r="D41" s="20">
        <v>872184</v>
      </c>
      <c r="E41" t="s">
        <v>9445</v>
      </c>
      <c r="F41" s="20">
        <v>5546</v>
      </c>
      <c r="G41" s="20">
        <v>3425</v>
      </c>
      <c r="H41" s="20">
        <v>8165</v>
      </c>
      <c r="I41" t="str">
        <f>VLOOKUP(C41,Sheet1!A40:B3420,2)</f>
        <v>RTTE</v>
      </c>
    </row>
    <row r="42" spans="1:9" x14ac:dyDescent="0.2">
      <c r="A42">
        <v>41</v>
      </c>
      <c r="B42">
        <v>39</v>
      </c>
      <c r="C42" t="s">
        <v>46</v>
      </c>
      <c r="D42" s="20">
        <v>795239</v>
      </c>
      <c r="E42" t="s">
        <v>9445</v>
      </c>
      <c r="F42" t="s">
        <v>9445</v>
      </c>
      <c r="G42" s="20">
        <v>2159</v>
      </c>
      <c r="H42" t="s">
        <v>9445</v>
      </c>
      <c r="I42" t="str">
        <f>VLOOKUP(C42,Sheet1!A41:B3421,2)</f>
        <v>APEN</v>
      </c>
    </row>
    <row r="43" spans="1:9" x14ac:dyDescent="0.2">
      <c r="A43">
        <v>42</v>
      </c>
      <c r="B43">
        <v>46</v>
      </c>
      <c r="C43" t="s">
        <v>338</v>
      </c>
      <c r="D43" s="20">
        <v>770000</v>
      </c>
      <c r="E43" s="20">
        <v>-8700</v>
      </c>
      <c r="F43" s="20">
        <v>3400</v>
      </c>
      <c r="G43" s="20">
        <v>3500</v>
      </c>
      <c r="H43" s="20">
        <v>7300</v>
      </c>
      <c r="I43" t="str">
        <f>VLOOKUP(C43,Sheet1!A42:B3422,2)</f>
        <v>THDY</v>
      </c>
    </row>
    <row r="44" spans="1:9" x14ac:dyDescent="0.2">
      <c r="A44">
        <v>43</v>
      </c>
      <c r="B44">
        <v>42</v>
      </c>
      <c r="C44" t="s">
        <v>149</v>
      </c>
      <c r="D44" s="20">
        <v>758000</v>
      </c>
      <c r="E44" t="s">
        <v>9445</v>
      </c>
      <c r="F44" t="s">
        <v>9445</v>
      </c>
      <c r="G44" t="s">
        <v>9445</v>
      </c>
      <c r="H44" t="s">
        <v>9445</v>
      </c>
      <c r="I44" t="str">
        <f>VLOOKUP(C44,Sheet1!A43:B3423,2)</f>
        <v>USML</v>
      </c>
    </row>
    <row r="45" spans="1:9" x14ac:dyDescent="0.2">
      <c r="A45">
        <v>44</v>
      </c>
      <c r="B45">
        <v>113</v>
      </c>
      <c r="C45" t="s">
        <v>9524</v>
      </c>
      <c r="D45" s="20">
        <v>703000</v>
      </c>
      <c r="E45" t="s">
        <v>9445</v>
      </c>
      <c r="F45" t="s">
        <v>9445</v>
      </c>
      <c r="G45" s="20">
        <v>3180</v>
      </c>
      <c r="H45" s="20">
        <v>6543</v>
      </c>
      <c r="I45" t="str">
        <f>VLOOKUP(C45,Sheet1!A44:B3424,2)</f>
        <v>CSTS</v>
      </c>
    </row>
    <row r="46" spans="1:9" x14ac:dyDescent="0.2">
      <c r="A46">
        <v>45</v>
      </c>
      <c r="B46">
        <v>42</v>
      </c>
      <c r="C46" t="s">
        <v>9525</v>
      </c>
      <c r="D46" s="20">
        <v>700000</v>
      </c>
      <c r="E46" t="s">
        <v>9445</v>
      </c>
      <c r="F46" s="20">
        <v>3400</v>
      </c>
      <c r="G46" s="20">
        <v>1800</v>
      </c>
      <c r="H46" s="20">
        <v>2400</v>
      </c>
      <c r="I46" t="str">
        <f>VLOOKUP(C46,Sheet1!A45:B3425,2)</f>
        <v>TLKV</v>
      </c>
    </row>
    <row r="47" spans="1:9" x14ac:dyDescent="0.2">
      <c r="A47">
        <v>46</v>
      </c>
      <c r="B47">
        <v>47</v>
      </c>
      <c r="C47" t="s">
        <v>9526</v>
      </c>
      <c r="D47" s="20">
        <v>671144</v>
      </c>
      <c r="E47" s="20">
        <v>33464</v>
      </c>
      <c r="F47" s="20">
        <v>3622</v>
      </c>
      <c r="G47" s="20">
        <v>2848</v>
      </c>
      <c r="H47" s="20">
        <v>4854</v>
      </c>
      <c r="I47" t="str">
        <f>VLOOKUP(C47,Sheet1!A46:B3426,2)</f>
        <v>MKSW</v>
      </c>
    </row>
    <row r="48" spans="1:9" x14ac:dyDescent="0.2">
      <c r="A48">
        <v>47</v>
      </c>
      <c r="B48">
        <v>43</v>
      </c>
      <c r="C48" t="s">
        <v>9527</v>
      </c>
      <c r="D48" s="20">
        <v>670651</v>
      </c>
      <c r="E48" s="20">
        <v>16835</v>
      </c>
      <c r="F48" s="20">
        <v>4400</v>
      </c>
      <c r="G48" s="20">
        <v>2535</v>
      </c>
      <c r="H48" s="20">
        <v>7389</v>
      </c>
      <c r="I48" t="str">
        <f>VLOOKUP(C48,Sheet1!A47:B3427,2)</f>
        <v>CVEN</v>
      </c>
    </row>
    <row r="49" spans="1:9" x14ac:dyDescent="0.2">
      <c r="A49">
        <v>48</v>
      </c>
      <c r="B49">
        <v>44</v>
      </c>
      <c r="C49" t="s">
        <v>9528</v>
      </c>
      <c r="D49" s="20">
        <v>667849</v>
      </c>
      <c r="E49" t="s">
        <v>9445</v>
      </c>
      <c r="F49" t="s">
        <v>9445</v>
      </c>
      <c r="G49" s="20">
        <v>2119</v>
      </c>
      <c r="H49" s="20">
        <v>2126</v>
      </c>
      <c r="I49" t="str">
        <f>VLOOKUP(C49,Sheet1!A48:B3428,2)</f>
        <v>N/A</v>
      </c>
    </row>
    <row r="50" spans="1:9" x14ac:dyDescent="0.2">
      <c r="A50">
        <v>49</v>
      </c>
      <c r="B50">
        <v>46</v>
      </c>
      <c r="C50" t="s">
        <v>54</v>
      </c>
      <c r="D50" s="20">
        <v>662450</v>
      </c>
      <c r="E50" s="20">
        <v>77990</v>
      </c>
      <c r="F50" s="20">
        <v>2703</v>
      </c>
      <c r="G50" s="20">
        <v>2690</v>
      </c>
      <c r="H50" s="20">
        <v>3795</v>
      </c>
      <c r="I50" t="str">
        <f>VLOOKUP(C50,Sheet1!A49:B3429,2)</f>
        <v>SCII</v>
      </c>
    </row>
    <row r="51" spans="1:9" x14ac:dyDescent="0.2">
      <c r="A51">
        <v>50</v>
      </c>
      <c r="B51">
        <v>52</v>
      </c>
      <c r="C51" t="s">
        <v>9529</v>
      </c>
      <c r="D51" s="20">
        <v>649972</v>
      </c>
      <c r="E51" t="s">
        <v>9445</v>
      </c>
      <c r="F51" s="20">
        <v>3178</v>
      </c>
      <c r="G51">
        <v>866</v>
      </c>
      <c r="H51" s="20">
        <v>2072</v>
      </c>
      <c r="I51" t="str">
        <f>VLOOKUP(C51,Sheet1!A50:B3430,2)</f>
        <v>PITD</v>
      </c>
    </row>
    <row r="52" spans="1:9" x14ac:dyDescent="0.2">
      <c r="A52">
        <v>51</v>
      </c>
      <c r="B52">
        <v>45</v>
      </c>
      <c r="C52" t="s">
        <v>9530</v>
      </c>
      <c r="D52" s="20">
        <v>640515</v>
      </c>
      <c r="E52" t="s">
        <v>9445</v>
      </c>
      <c r="F52" s="20">
        <v>1829</v>
      </c>
      <c r="G52" s="20">
        <v>1531</v>
      </c>
      <c r="H52" s="20">
        <v>4010</v>
      </c>
      <c r="I52" t="str">
        <f>VLOOKUP(C52,Sheet1!A51:B3431,2)</f>
        <v>DVLC</v>
      </c>
    </row>
    <row r="53" spans="1:9" x14ac:dyDescent="0.2">
      <c r="A53">
        <v>52</v>
      </c>
      <c r="B53">
        <v>41</v>
      </c>
      <c r="C53" t="s">
        <v>9531</v>
      </c>
      <c r="D53" s="20">
        <v>612937</v>
      </c>
      <c r="E53" s="20">
        <v>56386</v>
      </c>
      <c r="F53" s="20">
        <v>3600</v>
      </c>
      <c r="G53" s="20">
        <v>5049</v>
      </c>
      <c r="H53" s="20">
        <v>15218</v>
      </c>
      <c r="I53" t="str">
        <f>VLOOKUP(C53,Sheet1!A52:B3432,2)</f>
        <v>NDIJ</v>
      </c>
    </row>
    <row r="54" spans="1:9" x14ac:dyDescent="0.2">
      <c r="A54">
        <v>53</v>
      </c>
      <c r="B54">
        <v>54</v>
      </c>
      <c r="C54" t="s">
        <v>9532</v>
      </c>
      <c r="D54" s="20">
        <v>605538</v>
      </c>
      <c r="E54" t="s">
        <v>9445</v>
      </c>
      <c r="F54" s="20">
        <v>4600</v>
      </c>
      <c r="G54" s="20">
        <v>2400</v>
      </c>
      <c r="H54" s="20">
        <v>6000</v>
      </c>
      <c r="I54" t="e">
        <f>VLOOKUP(C54,Sheet1!A53:B3433,2)</f>
        <v>#N/A</v>
      </c>
    </row>
    <row r="55" spans="1:9" x14ac:dyDescent="0.2">
      <c r="A55">
        <v>54</v>
      </c>
      <c r="B55">
        <v>49</v>
      </c>
      <c r="C55" t="s">
        <v>9533</v>
      </c>
      <c r="D55" s="20">
        <v>550000</v>
      </c>
      <c r="E55" t="s">
        <v>9445</v>
      </c>
      <c r="F55" t="s">
        <v>9445</v>
      </c>
      <c r="G55" t="s">
        <v>9445</v>
      </c>
      <c r="H55" t="s">
        <v>9445</v>
      </c>
      <c r="I55" t="str">
        <f>VLOOKUP(C55,Sheet1!A54:B3434,2)</f>
        <v>SZTI</v>
      </c>
    </row>
    <row r="56" spans="1:9" x14ac:dyDescent="0.2">
      <c r="A56">
        <v>55</v>
      </c>
      <c r="B56">
        <v>52</v>
      </c>
      <c r="C56" t="s">
        <v>9534</v>
      </c>
      <c r="D56" s="20">
        <v>527909</v>
      </c>
      <c r="E56" s="20">
        <v>38334</v>
      </c>
      <c r="F56" s="20">
        <v>3000</v>
      </c>
      <c r="G56" s="20">
        <v>2582</v>
      </c>
      <c r="H56" s="20">
        <v>7366</v>
      </c>
      <c r="I56" t="str">
        <f>VLOOKUP(C56,Sheet1!A55:B3435,2)</f>
        <v>WESD</v>
      </c>
    </row>
    <row r="57" spans="1:9" x14ac:dyDescent="0.2">
      <c r="A57">
        <v>56</v>
      </c>
      <c r="B57">
        <v>54</v>
      </c>
      <c r="C57" t="s">
        <v>9535</v>
      </c>
      <c r="D57" s="20">
        <v>525000</v>
      </c>
      <c r="E57" t="s">
        <v>9445</v>
      </c>
      <c r="F57" s="20">
        <v>1700</v>
      </c>
      <c r="G57" s="20">
        <v>1835</v>
      </c>
      <c r="H57" s="20">
        <v>1200</v>
      </c>
      <c r="I57" t="str">
        <f>VLOOKUP(C57,Sheet1!A56:B3436,2)</f>
        <v>N/A</v>
      </c>
    </row>
    <row r="58" spans="1:9" x14ac:dyDescent="0.2">
      <c r="A58">
        <v>56</v>
      </c>
      <c r="B58" t="s">
        <v>9445</v>
      </c>
      <c r="C58" t="s">
        <v>94</v>
      </c>
      <c r="D58" s="20">
        <v>525000</v>
      </c>
      <c r="E58" t="s">
        <v>9445</v>
      </c>
      <c r="F58" s="20">
        <v>3000</v>
      </c>
      <c r="G58">
        <v>55</v>
      </c>
      <c r="H58">
        <v>571</v>
      </c>
      <c r="I58" t="str">
        <f>VLOOKUP(C58,Sheet1!A57:B3437,2)</f>
        <v>EMSY</v>
      </c>
    </row>
    <row r="59" spans="1:9" x14ac:dyDescent="0.2">
      <c r="A59">
        <v>58</v>
      </c>
      <c r="B59">
        <v>51</v>
      </c>
      <c r="C59" t="s">
        <v>9536</v>
      </c>
      <c r="D59" s="20">
        <v>520272</v>
      </c>
      <c r="E59" t="s">
        <v>9445</v>
      </c>
      <c r="F59" s="20">
        <v>3267</v>
      </c>
      <c r="G59" s="20">
        <v>1821</v>
      </c>
      <c r="H59" s="20">
        <v>4998</v>
      </c>
      <c r="I59" t="str">
        <f>VLOOKUP(C59,Sheet1!A58:B3438,2)</f>
        <v>N/A</v>
      </c>
    </row>
    <row r="60" spans="1:9" x14ac:dyDescent="0.2">
      <c r="A60">
        <v>59</v>
      </c>
      <c r="B60">
        <v>59</v>
      </c>
      <c r="C60" t="s">
        <v>138</v>
      </c>
      <c r="D60" s="20">
        <v>505000</v>
      </c>
      <c r="E60" t="s">
        <v>9445</v>
      </c>
      <c r="F60">
        <v>320</v>
      </c>
      <c r="G60" s="20">
        <v>3865</v>
      </c>
      <c r="H60">
        <v>650</v>
      </c>
      <c r="I60" t="str">
        <f>VLOOKUP(C60,Sheet1!A59:B3439,2)</f>
        <v>ADEN</v>
      </c>
    </row>
    <row r="61" spans="1:9" x14ac:dyDescent="0.2">
      <c r="A61">
        <v>60</v>
      </c>
      <c r="B61">
        <v>58</v>
      </c>
      <c r="C61" t="s">
        <v>9537</v>
      </c>
      <c r="D61" s="20">
        <v>498370</v>
      </c>
      <c r="E61" t="s">
        <v>9445</v>
      </c>
      <c r="F61" s="20">
        <v>4010</v>
      </c>
      <c r="G61" s="20">
        <v>1387</v>
      </c>
      <c r="H61" s="20">
        <v>3664</v>
      </c>
      <c r="I61" t="str">
        <f>VLOOKUP(C61,Sheet1!A60:B3440,2)</f>
        <v>DBKE</v>
      </c>
    </row>
    <row r="62" spans="1:9" x14ac:dyDescent="0.2">
      <c r="A62">
        <v>61</v>
      </c>
      <c r="B62">
        <v>58</v>
      </c>
      <c r="C62" t="s">
        <v>9538</v>
      </c>
      <c r="D62" s="20">
        <v>495300</v>
      </c>
      <c r="E62" t="s">
        <v>9445</v>
      </c>
      <c r="F62" s="20">
        <v>2600</v>
      </c>
      <c r="G62" s="20">
        <v>2247</v>
      </c>
      <c r="H62" s="20">
        <v>2359</v>
      </c>
      <c r="I62" t="str">
        <f>VLOOKUP(C62,Sheet1!A61:B3441,2)</f>
        <v>RAYG</v>
      </c>
    </row>
    <row r="63" spans="1:9" x14ac:dyDescent="0.2">
      <c r="A63">
        <v>62</v>
      </c>
      <c r="B63">
        <v>57</v>
      </c>
      <c r="C63" t="s">
        <v>9539</v>
      </c>
      <c r="D63" s="20">
        <v>452728</v>
      </c>
      <c r="E63" t="s">
        <v>9445</v>
      </c>
      <c r="F63" s="20">
        <v>3110</v>
      </c>
      <c r="G63" s="20">
        <v>2429</v>
      </c>
      <c r="H63" s="20">
        <v>2736</v>
      </c>
      <c r="I63" t="str">
        <f>VLOOKUP(C63,Sheet1!A62:B3442,2)</f>
        <v>CAWD</v>
      </c>
    </row>
    <row r="64" spans="1:9" x14ac:dyDescent="0.2">
      <c r="A64">
        <v>63</v>
      </c>
      <c r="B64">
        <v>55</v>
      </c>
      <c r="C64" t="s">
        <v>9540</v>
      </c>
      <c r="D64" s="20">
        <v>449337</v>
      </c>
      <c r="E64" t="s">
        <v>9445</v>
      </c>
      <c r="F64">
        <v>295</v>
      </c>
      <c r="G64" s="20">
        <v>2228</v>
      </c>
      <c r="H64" s="20">
        <v>2400</v>
      </c>
      <c r="I64" t="str">
        <f>VLOOKUP(C64,Sheet1!A63:B3443,2)</f>
        <v>MTLA</v>
      </c>
    </row>
    <row r="65" spans="1:9" x14ac:dyDescent="0.2">
      <c r="A65">
        <v>64</v>
      </c>
      <c r="B65">
        <v>69</v>
      </c>
      <c r="C65" t="s">
        <v>9541</v>
      </c>
      <c r="D65" s="20">
        <v>441845</v>
      </c>
      <c r="E65" t="s">
        <v>9445</v>
      </c>
      <c r="F65" s="20">
        <v>1273</v>
      </c>
      <c r="G65" s="20">
        <v>2187</v>
      </c>
      <c r="H65" s="20">
        <v>6963</v>
      </c>
      <c r="I65" t="str">
        <f>VLOOKUP(C65,Sheet1!A64:B3444,2)</f>
        <v>DRIN</v>
      </c>
    </row>
    <row r="66" spans="1:9" x14ac:dyDescent="0.2">
      <c r="A66">
        <v>65</v>
      </c>
      <c r="B66">
        <v>63</v>
      </c>
      <c r="C66" t="s">
        <v>92</v>
      </c>
      <c r="D66" s="20">
        <v>440000</v>
      </c>
      <c r="E66" t="s">
        <v>9445</v>
      </c>
      <c r="F66" s="20">
        <v>1500</v>
      </c>
      <c r="G66" t="s">
        <v>9445</v>
      </c>
      <c r="H66" t="s">
        <v>9445</v>
      </c>
      <c r="I66" t="str">
        <f>VLOOKUP(C66,Sheet1!A65:B3445,2)</f>
        <v>CLXE</v>
      </c>
    </row>
    <row r="67" spans="1:9" x14ac:dyDescent="0.2">
      <c r="A67">
        <v>66</v>
      </c>
      <c r="B67">
        <v>60</v>
      </c>
      <c r="C67" t="s">
        <v>68</v>
      </c>
      <c r="D67" s="20">
        <v>436000</v>
      </c>
      <c r="E67" t="s">
        <v>9445</v>
      </c>
      <c r="F67" s="20">
        <v>3895</v>
      </c>
      <c r="G67" s="20">
        <v>1550</v>
      </c>
      <c r="H67" s="20">
        <v>3902</v>
      </c>
      <c r="I67" t="str">
        <f>VLOOKUP(C67,Sheet1!A66:B3446,2)</f>
        <v>N/A</v>
      </c>
    </row>
    <row r="68" spans="1:9" x14ac:dyDescent="0.2">
      <c r="A68">
        <v>67</v>
      </c>
      <c r="B68">
        <v>62</v>
      </c>
      <c r="C68" t="s">
        <v>91</v>
      </c>
      <c r="D68" s="20">
        <v>434018</v>
      </c>
      <c r="E68" t="s">
        <v>9445</v>
      </c>
      <c r="F68" s="20">
        <v>1915</v>
      </c>
      <c r="G68" s="20">
        <v>2059</v>
      </c>
      <c r="H68" s="20">
        <v>5111</v>
      </c>
      <c r="I68" t="str">
        <f>VLOOKUP(C68,Sheet1!A67:B3447,2)</f>
        <v>CUXC</v>
      </c>
    </row>
    <row r="69" spans="1:9" x14ac:dyDescent="0.2">
      <c r="A69">
        <v>68</v>
      </c>
      <c r="B69">
        <v>66</v>
      </c>
      <c r="C69" t="s">
        <v>9542</v>
      </c>
      <c r="D69" s="20">
        <v>432852</v>
      </c>
      <c r="E69" s="20">
        <v>11101</v>
      </c>
      <c r="F69" s="20">
        <v>2463</v>
      </c>
      <c r="G69" t="s">
        <v>9445</v>
      </c>
      <c r="H69" s="20">
        <v>5699</v>
      </c>
      <c r="I69" t="str">
        <f>VLOOKUP(C69,Sheet1!A68:B3448,2)</f>
        <v>PLXB</v>
      </c>
    </row>
    <row r="70" spans="1:9" x14ac:dyDescent="0.2">
      <c r="A70">
        <v>69</v>
      </c>
      <c r="B70">
        <v>68</v>
      </c>
      <c r="C70" t="s">
        <v>99</v>
      </c>
      <c r="D70" s="20">
        <v>429616</v>
      </c>
      <c r="E70" t="s">
        <v>9445</v>
      </c>
      <c r="F70">
        <v>998</v>
      </c>
      <c r="G70" s="20">
        <v>1338</v>
      </c>
      <c r="H70" s="20">
        <v>1892</v>
      </c>
      <c r="I70" t="str">
        <f>VLOOKUP(C70,Sheet1!A69:B3449,2)</f>
        <v>BMGI</v>
      </c>
    </row>
    <row r="71" spans="1:9" x14ac:dyDescent="0.2">
      <c r="A71">
        <v>70</v>
      </c>
      <c r="B71">
        <v>53</v>
      </c>
      <c r="C71" t="s">
        <v>63</v>
      </c>
      <c r="D71" s="20">
        <v>429099</v>
      </c>
      <c r="E71" s="20">
        <v>-7699</v>
      </c>
      <c r="F71" s="20">
        <v>2000</v>
      </c>
      <c r="G71" s="20">
        <v>1415</v>
      </c>
      <c r="H71" s="20">
        <v>5605</v>
      </c>
      <c r="I71" t="str">
        <f>VLOOKUP(C71,Sheet1!A70:B3450,2)</f>
        <v>USKE</v>
      </c>
    </row>
    <row r="72" spans="1:9" x14ac:dyDescent="0.2">
      <c r="A72">
        <v>71</v>
      </c>
      <c r="B72">
        <v>61</v>
      </c>
      <c r="C72" t="s">
        <v>9543</v>
      </c>
      <c r="D72" s="20">
        <v>423678</v>
      </c>
      <c r="E72" t="s">
        <v>9445</v>
      </c>
      <c r="F72" s="20">
        <v>2617</v>
      </c>
      <c r="G72" s="20">
        <v>1560</v>
      </c>
      <c r="H72" s="20">
        <v>4410</v>
      </c>
      <c r="I72" t="str">
        <f>VLOOKUP(C72,Sheet1!A71:B3451,2)</f>
        <v>TWXC</v>
      </c>
    </row>
    <row r="73" spans="1:9" x14ac:dyDescent="0.2">
      <c r="A73">
        <v>72</v>
      </c>
      <c r="B73">
        <v>66</v>
      </c>
      <c r="C73" t="s">
        <v>78</v>
      </c>
      <c r="D73" s="20">
        <v>402940</v>
      </c>
      <c r="E73" t="s">
        <v>9445</v>
      </c>
      <c r="F73" s="20">
        <v>1900</v>
      </c>
      <c r="G73" s="20">
        <v>1400</v>
      </c>
      <c r="H73" s="20">
        <v>5100</v>
      </c>
      <c r="I73" t="str">
        <f>VLOOKUP(C73,Sheet1!A72:B3452,2)</f>
        <v>MSLV</v>
      </c>
    </row>
    <row r="74" spans="1:9" x14ac:dyDescent="0.2">
      <c r="A74">
        <v>73</v>
      </c>
      <c r="B74" t="s">
        <v>9445</v>
      </c>
      <c r="C74" t="s">
        <v>8534</v>
      </c>
      <c r="D74" s="20">
        <v>394000</v>
      </c>
      <c r="E74" t="s">
        <v>9445</v>
      </c>
      <c r="F74" t="s">
        <v>9445</v>
      </c>
      <c r="G74" t="s">
        <v>9445</v>
      </c>
      <c r="H74" t="s">
        <v>9445</v>
      </c>
      <c r="I74" t="str">
        <f>VLOOKUP(C74,Sheet1!A73:B3453,2)</f>
        <v>TDED</v>
      </c>
    </row>
    <row r="75" spans="1:9" x14ac:dyDescent="0.2">
      <c r="A75">
        <v>74</v>
      </c>
      <c r="B75">
        <v>65</v>
      </c>
      <c r="C75" t="s">
        <v>159</v>
      </c>
      <c r="D75" s="20">
        <v>432084</v>
      </c>
      <c r="E75" t="s">
        <v>9445</v>
      </c>
      <c r="F75" s="20">
        <v>2559</v>
      </c>
      <c r="G75" s="20">
        <v>1439</v>
      </c>
      <c r="H75" s="20">
        <v>4475</v>
      </c>
      <c r="I75" t="str">
        <f>VLOOKUP(C75,Sheet1!A74:B3454,2)</f>
        <v>BDLO</v>
      </c>
    </row>
    <row r="76" spans="1:9" x14ac:dyDescent="0.2">
      <c r="A76">
        <v>75</v>
      </c>
      <c r="B76">
        <v>70</v>
      </c>
      <c r="C76" t="s">
        <v>131</v>
      </c>
      <c r="D76" s="20">
        <v>370168</v>
      </c>
      <c r="E76" t="s">
        <v>9445</v>
      </c>
      <c r="F76" s="20">
        <v>2000</v>
      </c>
      <c r="G76" s="20">
        <v>1805</v>
      </c>
      <c r="H76" s="20">
        <v>3900</v>
      </c>
      <c r="I76" t="str">
        <f>VLOOKUP(C76,Sheet1!A75:B3455,2)</f>
        <v>ITLO</v>
      </c>
    </row>
    <row r="77" spans="1:9" x14ac:dyDescent="0.2">
      <c r="A77">
        <v>76</v>
      </c>
      <c r="B77">
        <v>70</v>
      </c>
      <c r="C77" t="s">
        <v>9544</v>
      </c>
      <c r="D77" s="20">
        <v>355323</v>
      </c>
      <c r="E77" t="s">
        <v>9445</v>
      </c>
      <c r="F77" s="20">
        <v>2485</v>
      </c>
      <c r="G77" s="20">
        <v>1995</v>
      </c>
      <c r="H77" s="20">
        <v>4898</v>
      </c>
      <c r="I77" t="str">
        <f>VLOOKUP(C77,Sheet1!A76:B3456,2)</f>
        <v>RFS</v>
      </c>
    </row>
    <row r="78" spans="1:9" x14ac:dyDescent="0.2">
      <c r="A78">
        <v>77</v>
      </c>
      <c r="B78">
        <v>96</v>
      </c>
      <c r="C78" t="s">
        <v>144</v>
      </c>
      <c r="D78" s="20">
        <v>347800</v>
      </c>
      <c r="E78" t="s">
        <v>9445</v>
      </c>
      <c r="F78" t="s">
        <v>9445</v>
      </c>
      <c r="G78" s="20">
        <v>1127</v>
      </c>
      <c r="H78" s="20">
        <v>7852</v>
      </c>
      <c r="I78" t="str">
        <f>VLOOKUP(C78,Sheet1!A77:B3457,2)</f>
        <v>CQNP</v>
      </c>
    </row>
    <row r="79" spans="1:9" x14ac:dyDescent="0.2">
      <c r="A79">
        <v>78</v>
      </c>
      <c r="B79">
        <v>79</v>
      </c>
      <c r="C79" t="s">
        <v>2114</v>
      </c>
      <c r="D79" s="20">
        <v>346000</v>
      </c>
      <c r="E79" t="s">
        <v>9445</v>
      </c>
      <c r="F79" s="20">
        <v>2800</v>
      </c>
      <c r="G79">
        <v>945</v>
      </c>
      <c r="H79" s="20">
        <v>2225</v>
      </c>
      <c r="I79" t="e">
        <f>VLOOKUP(C79,Sheet1!A78:B3458,2)</f>
        <v>#N/A</v>
      </c>
    </row>
    <row r="80" spans="1:9" x14ac:dyDescent="0.2">
      <c r="A80">
        <v>79</v>
      </c>
      <c r="B80">
        <v>78</v>
      </c>
      <c r="C80" t="s">
        <v>349</v>
      </c>
      <c r="D80" s="20">
        <v>337500</v>
      </c>
      <c r="E80" t="s">
        <v>9445</v>
      </c>
      <c r="F80" s="20">
        <v>2625</v>
      </c>
      <c r="G80" s="20">
        <v>1520</v>
      </c>
      <c r="H80" s="20">
        <v>3000</v>
      </c>
      <c r="I80" t="e">
        <f>VLOOKUP(C80,Sheet1!A79:B3459,2)</f>
        <v>#N/A</v>
      </c>
    </row>
    <row r="81" spans="1:9" x14ac:dyDescent="0.2">
      <c r="A81">
        <v>80</v>
      </c>
      <c r="B81">
        <v>74</v>
      </c>
      <c r="C81" t="s">
        <v>9545</v>
      </c>
      <c r="D81" s="20">
        <v>334953</v>
      </c>
      <c r="E81" t="s">
        <v>9445</v>
      </c>
      <c r="F81" s="20">
        <v>2119</v>
      </c>
      <c r="G81" s="20">
        <v>1675</v>
      </c>
      <c r="H81" s="20">
        <v>2453</v>
      </c>
      <c r="I81" t="str">
        <f>VLOOKUP(C81,Sheet1!A80:B3460,2)</f>
        <v>MAVK</v>
      </c>
    </row>
    <row r="82" spans="1:9" x14ac:dyDescent="0.2">
      <c r="A82">
        <v>81</v>
      </c>
      <c r="B82">
        <v>71</v>
      </c>
      <c r="C82" t="s">
        <v>9546</v>
      </c>
      <c r="D82" s="20">
        <v>332073</v>
      </c>
      <c r="E82" s="20">
        <v>24333</v>
      </c>
      <c r="F82" s="20">
        <v>1535</v>
      </c>
      <c r="G82" s="20">
        <v>1202</v>
      </c>
      <c r="H82" t="s">
        <v>9445</v>
      </c>
      <c r="I82" t="str">
        <f>VLOOKUP(C82,Sheet1!A81:B3461,2)</f>
        <v>ENVS</v>
      </c>
    </row>
    <row r="83" spans="1:9" x14ac:dyDescent="0.2">
      <c r="A83">
        <v>82</v>
      </c>
      <c r="B83">
        <v>75</v>
      </c>
      <c r="C83" t="s">
        <v>352</v>
      </c>
      <c r="D83" s="20">
        <v>320700</v>
      </c>
      <c r="E83" t="s">
        <v>9445</v>
      </c>
      <c r="F83" t="s">
        <v>9445</v>
      </c>
      <c r="G83" t="s">
        <v>9445</v>
      </c>
      <c r="H83" t="s">
        <v>9445</v>
      </c>
      <c r="I83" t="str">
        <f>VLOOKUP(C83,Sheet1!A82:B3462,2)</f>
        <v>N/A</v>
      </c>
    </row>
    <row r="84" spans="1:9" x14ac:dyDescent="0.2">
      <c r="A84">
        <v>83</v>
      </c>
      <c r="B84">
        <v>74</v>
      </c>
      <c r="C84" t="s">
        <v>97</v>
      </c>
      <c r="D84" s="20">
        <v>317557</v>
      </c>
      <c r="E84" t="s">
        <v>9445</v>
      </c>
      <c r="F84" s="20">
        <v>1419</v>
      </c>
      <c r="G84" s="20">
        <v>1364</v>
      </c>
      <c r="H84" s="20">
        <v>1364</v>
      </c>
      <c r="I84" t="str">
        <f>VLOOKUP(C84,Sheet1!A83:B3463,2)</f>
        <v>CPDF</v>
      </c>
    </row>
    <row r="85" spans="1:9" x14ac:dyDescent="0.2">
      <c r="A85">
        <v>84</v>
      </c>
      <c r="B85">
        <v>80</v>
      </c>
      <c r="C85" t="s">
        <v>351</v>
      </c>
      <c r="D85" s="20">
        <v>293000</v>
      </c>
      <c r="E85" t="s">
        <v>9445</v>
      </c>
      <c r="F85" s="20">
        <v>1875</v>
      </c>
      <c r="G85" s="20">
        <v>1515</v>
      </c>
      <c r="H85">
        <v>91</v>
      </c>
      <c r="I85" t="str">
        <f>VLOOKUP(C85,Sheet1!A84:B3464,2)</f>
        <v>IHLE</v>
      </c>
    </row>
    <row r="86" spans="1:9" x14ac:dyDescent="0.2">
      <c r="A86">
        <v>85</v>
      </c>
      <c r="B86">
        <v>76</v>
      </c>
      <c r="C86" t="s">
        <v>192</v>
      </c>
      <c r="D86" s="20">
        <v>280000</v>
      </c>
      <c r="E86" t="s">
        <v>9445</v>
      </c>
      <c r="F86" s="20">
        <v>1150</v>
      </c>
      <c r="G86" s="20">
        <v>1001</v>
      </c>
      <c r="H86" s="20">
        <v>5250</v>
      </c>
      <c r="I86" t="str">
        <f>VLOOKUP(C86,Sheet1!A85:B3465,2)</f>
        <v>KUDT</v>
      </c>
    </row>
    <row r="87" spans="1:9" x14ac:dyDescent="0.2">
      <c r="A87">
        <v>86</v>
      </c>
      <c r="B87" t="s">
        <v>9445</v>
      </c>
      <c r="C87" t="s">
        <v>9547</v>
      </c>
      <c r="D87" s="20">
        <v>278000</v>
      </c>
      <c r="E87" t="s">
        <v>9445</v>
      </c>
      <c r="F87" t="s">
        <v>9445</v>
      </c>
      <c r="G87">
        <v>321</v>
      </c>
      <c r="H87" s="20">
        <v>1220</v>
      </c>
      <c r="I87" t="str">
        <f>VLOOKUP(C87,Sheet1!A86:B3466,2)</f>
        <v>DPHE</v>
      </c>
    </row>
    <row r="88" spans="1:9" x14ac:dyDescent="0.2">
      <c r="A88">
        <v>87</v>
      </c>
      <c r="B88">
        <v>91</v>
      </c>
      <c r="C88" t="s">
        <v>143</v>
      </c>
      <c r="D88" s="20">
        <v>276000</v>
      </c>
      <c r="E88" t="s">
        <v>9445</v>
      </c>
      <c r="F88">
        <v>200</v>
      </c>
      <c r="G88" s="20">
        <v>1150</v>
      </c>
      <c r="H88" s="20">
        <v>2100</v>
      </c>
      <c r="I88" t="str">
        <f>VLOOKUP(C88,Sheet1!A87:B3467,2)</f>
        <v>TAGB</v>
      </c>
    </row>
    <row r="89" spans="1:9" x14ac:dyDescent="0.2">
      <c r="A89">
        <v>88</v>
      </c>
      <c r="B89" t="s">
        <v>9445</v>
      </c>
      <c r="C89" t="s">
        <v>9548</v>
      </c>
      <c r="D89" s="20">
        <v>270000</v>
      </c>
      <c r="E89" t="s">
        <v>9445</v>
      </c>
      <c r="F89" t="s">
        <v>9445</v>
      </c>
      <c r="G89" s="20">
        <v>1144</v>
      </c>
      <c r="H89" s="20">
        <v>1818</v>
      </c>
      <c r="I89" t="str">
        <f>VLOOKUP(C89,Sheet1!A88:B3468,2)</f>
        <v>TCVG</v>
      </c>
    </row>
    <row r="90" spans="1:9" x14ac:dyDescent="0.2">
      <c r="A90">
        <v>89</v>
      </c>
      <c r="B90">
        <v>82</v>
      </c>
      <c r="C90" t="s">
        <v>134</v>
      </c>
      <c r="D90" s="20">
        <v>258006</v>
      </c>
      <c r="E90" t="s">
        <v>9445</v>
      </c>
      <c r="F90" t="s">
        <v>9445</v>
      </c>
      <c r="G90" t="s">
        <v>9445</v>
      </c>
      <c r="H90" t="s">
        <v>9445</v>
      </c>
      <c r="I90" t="str">
        <f>VLOOKUP(C90,Sheet1!A89:B3469,2)</f>
        <v>CGFR</v>
      </c>
    </row>
    <row r="91" spans="1:9" x14ac:dyDescent="0.2">
      <c r="A91">
        <v>90</v>
      </c>
      <c r="B91">
        <v>83</v>
      </c>
      <c r="C91" t="s">
        <v>340</v>
      </c>
      <c r="D91" s="20">
        <v>252500</v>
      </c>
      <c r="E91" t="s">
        <v>9445</v>
      </c>
      <c r="F91" s="20">
        <v>1100</v>
      </c>
      <c r="G91" s="20">
        <v>1021</v>
      </c>
      <c r="H91" s="20">
        <v>1600</v>
      </c>
      <c r="I91" t="str">
        <f>VLOOKUP(C91,Sheet1!A90:B3470,2)</f>
        <v>TNUE</v>
      </c>
    </row>
    <row r="92" spans="1:9" x14ac:dyDescent="0.2">
      <c r="A92">
        <v>91</v>
      </c>
      <c r="B92">
        <v>84</v>
      </c>
      <c r="C92" t="s">
        <v>9549</v>
      </c>
      <c r="D92" s="20">
        <v>252275</v>
      </c>
      <c r="E92" t="s">
        <v>9445</v>
      </c>
      <c r="F92" s="20">
        <v>1261</v>
      </c>
      <c r="G92" s="20">
        <v>1173</v>
      </c>
      <c r="H92" s="20">
        <v>2185</v>
      </c>
      <c r="I92" t="str">
        <f>VLOOKUP(C92,Sheet1!A91:B3471,2)</f>
        <v>FOLW</v>
      </c>
    </row>
    <row r="93" spans="1:9" x14ac:dyDescent="0.2">
      <c r="A93">
        <v>92</v>
      </c>
      <c r="B93" t="s">
        <v>9445</v>
      </c>
      <c r="C93" t="s">
        <v>5160</v>
      </c>
      <c r="D93" s="20">
        <v>251697</v>
      </c>
      <c r="E93" t="s">
        <v>9445</v>
      </c>
      <c r="F93">
        <v>646</v>
      </c>
      <c r="G93" s="20">
        <v>1010</v>
      </c>
      <c r="H93" t="s">
        <v>9445</v>
      </c>
      <c r="I93" t="str">
        <f>VLOOKUP(C93,Sheet1!A92:B3472,2)</f>
        <v>HIRS</v>
      </c>
    </row>
    <row r="94" spans="1:9" x14ac:dyDescent="0.2">
      <c r="A94">
        <v>93</v>
      </c>
      <c r="B94" t="s">
        <v>9445</v>
      </c>
      <c r="C94" t="s">
        <v>126</v>
      </c>
      <c r="D94" s="20">
        <v>245000</v>
      </c>
      <c r="E94" t="s">
        <v>9445</v>
      </c>
      <c r="F94" t="s">
        <v>9445</v>
      </c>
      <c r="G94" s="20">
        <v>1003</v>
      </c>
      <c r="H94" s="20">
        <v>1347</v>
      </c>
      <c r="I94" t="str">
        <f>VLOOKUP(C94,Sheet1!A93:B3473,2)</f>
        <v>URDS</v>
      </c>
    </row>
    <row r="95" spans="1:9" x14ac:dyDescent="0.2">
      <c r="A95">
        <v>94</v>
      </c>
      <c r="B95" t="s">
        <v>9445</v>
      </c>
      <c r="C95" t="s">
        <v>9550</v>
      </c>
      <c r="D95" s="20">
        <v>241796</v>
      </c>
      <c r="E95" t="s">
        <v>9445</v>
      </c>
      <c r="F95" t="s">
        <v>9445</v>
      </c>
      <c r="G95">
        <v>713</v>
      </c>
      <c r="H95" s="20">
        <v>1092</v>
      </c>
      <c r="I95" t="str">
        <f>VLOOKUP(C95,Sheet1!A94:B3474,2)</f>
        <v>N/A</v>
      </c>
    </row>
    <row r="96" spans="1:9" x14ac:dyDescent="0.2">
      <c r="A96">
        <v>95</v>
      </c>
      <c r="B96">
        <v>79</v>
      </c>
      <c r="C96" t="s">
        <v>81</v>
      </c>
      <c r="D96" s="20">
        <v>240054</v>
      </c>
      <c r="E96" t="s">
        <v>9445</v>
      </c>
      <c r="F96" t="s">
        <v>9445</v>
      </c>
      <c r="G96" s="20">
        <v>1592</v>
      </c>
      <c r="H96" s="20">
        <v>4660</v>
      </c>
      <c r="I96" t="str">
        <f>VLOOKUP(C96,Sheet1!A95:B3475,2)</f>
        <v>CMBD</v>
      </c>
    </row>
    <row r="97" spans="1:9" x14ac:dyDescent="0.2">
      <c r="A97">
        <v>96</v>
      </c>
      <c r="B97">
        <v>86</v>
      </c>
      <c r="C97" t="s">
        <v>9551</v>
      </c>
      <c r="D97" s="20">
        <v>239015</v>
      </c>
      <c r="E97" s="20">
        <v>14998</v>
      </c>
      <c r="F97">
        <v>232</v>
      </c>
      <c r="G97">
        <v>844</v>
      </c>
      <c r="H97" s="20">
        <v>1060</v>
      </c>
      <c r="I97" t="str">
        <f>VLOOKUP(C97,Sheet1!A96:B3476,2)</f>
        <v>BUHJ</v>
      </c>
    </row>
    <row r="98" spans="1:9" x14ac:dyDescent="0.2">
      <c r="A98">
        <v>97</v>
      </c>
      <c r="B98">
        <v>89</v>
      </c>
      <c r="C98" t="s">
        <v>353</v>
      </c>
      <c r="D98" s="20">
        <v>237500</v>
      </c>
      <c r="E98" t="s">
        <v>9445</v>
      </c>
      <c r="F98" s="20">
        <v>1637</v>
      </c>
      <c r="G98" s="20">
        <v>1130</v>
      </c>
      <c r="H98" s="20">
        <v>2200</v>
      </c>
      <c r="I98" t="str">
        <f>VLOOKUP(C98,Sheet1!A97:B3477,2)</f>
        <v>MKSW</v>
      </c>
    </row>
    <row r="99" spans="1:9" x14ac:dyDescent="0.2">
      <c r="A99">
        <v>98</v>
      </c>
      <c r="B99">
        <v>81</v>
      </c>
      <c r="C99" t="s">
        <v>9552</v>
      </c>
      <c r="D99" s="20">
        <v>237311</v>
      </c>
      <c r="E99" t="s">
        <v>9445</v>
      </c>
      <c r="F99" s="20">
        <v>1872</v>
      </c>
      <c r="G99" s="20">
        <v>1303</v>
      </c>
      <c r="H99" s="20">
        <v>3101</v>
      </c>
      <c r="I99" t="str">
        <f>VLOOKUP(C99,Sheet1!A98:B3478,2)</f>
        <v>PDSN,PDSB</v>
      </c>
    </row>
    <row r="100" spans="1:9" x14ac:dyDescent="0.2">
      <c r="A100">
        <v>99</v>
      </c>
      <c r="B100">
        <v>87</v>
      </c>
      <c r="C100" t="s">
        <v>9553</v>
      </c>
      <c r="D100" s="20">
        <v>233900</v>
      </c>
      <c r="E100" s="20">
        <v>5200</v>
      </c>
      <c r="F100" s="20">
        <v>1392</v>
      </c>
      <c r="G100" s="20">
        <v>1300</v>
      </c>
      <c r="H100" s="20">
        <v>2100</v>
      </c>
      <c r="I100" t="str">
        <f>VLOOKUP(C100,Sheet1!A99:B3479,2)</f>
        <v>SRIR</v>
      </c>
    </row>
    <row r="101" spans="1:9" x14ac:dyDescent="0.2">
      <c r="A101">
        <v>100</v>
      </c>
      <c r="B101">
        <v>94</v>
      </c>
      <c r="C101" t="s">
        <v>108</v>
      </c>
      <c r="D101" s="20">
        <v>229258</v>
      </c>
      <c r="E101" t="s">
        <v>9445</v>
      </c>
      <c r="F101" s="20">
        <v>1100</v>
      </c>
      <c r="G101">
        <v>900</v>
      </c>
      <c r="H101" s="20">
        <v>1200</v>
      </c>
      <c r="I101" t="e">
        <f>VLOOKUP(C101,Sheet1!A100:B3480,2)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P28" sqref="P28"/>
    </sheetView>
  </sheetViews>
  <sheetFormatPr baseColWidth="10" defaultColWidth="8.83203125" defaultRowHeight="15" x14ac:dyDescent="0.2"/>
  <cols>
    <col min="3" max="3" width="15.83203125" customWidth="1"/>
    <col min="4" max="4" width="21" customWidth="1"/>
  </cols>
  <sheetData>
    <row r="1" spans="1:10" x14ac:dyDescent="0.2">
      <c r="A1" t="s">
        <v>9554</v>
      </c>
      <c r="B1" t="s">
        <v>9508</v>
      </c>
      <c r="C1" t="s">
        <v>1</v>
      </c>
      <c r="D1" t="s">
        <v>9509</v>
      </c>
      <c r="E1" s="38" t="s">
        <v>9510</v>
      </c>
      <c r="F1" s="38" t="s">
        <v>345</v>
      </c>
      <c r="G1" s="38" t="s">
        <v>3</v>
      </c>
      <c r="H1" s="38" t="s">
        <v>5</v>
      </c>
      <c r="I1" s="38" t="s">
        <v>373</v>
      </c>
    </row>
    <row r="2" spans="1:10" ht="16" x14ac:dyDescent="0.2">
      <c r="A2">
        <v>1</v>
      </c>
      <c r="B2">
        <v>1</v>
      </c>
      <c r="C2" t="s">
        <v>9511</v>
      </c>
      <c r="D2" s="20">
        <v>65872000</v>
      </c>
      <c r="E2" s="20">
        <v>4910000</v>
      </c>
      <c r="F2" s="20">
        <v>454000</v>
      </c>
      <c r="G2" s="20">
        <v>18683</v>
      </c>
      <c r="H2" s="20">
        <v>97746</v>
      </c>
      <c r="I2" s="41" t="s">
        <v>203</v>
      </c>
      <c r="J2" s="41" t="s">
        <v>8</v>
      </c>
    </row>
    <row r="3" spans="1:10" ht="16" x14ac:dyDescent="0.2">
      <c r="A3">
        <v>2</v>
      </c>
      <c r="B3">
        <v>2</v>
      </c>
      <c r="C3" t="s">
        <v>9451</v>
      </c>
      <c r="D3" s="20">
        <v>63864000</v>
      </c>
      <c r="E3" s="20">
        <v>4465000</v>
      </c>
      <c r="F3" s="20">
        <v>425000</v>
      </c>
      <c r="G3" s="20">
        <v>29873</v>
      </c>
      <c r="H3" s="20">
        <v>113218</v>
      </c>
      <c r="I3" s="41" t="s">
        <v>204</v>
      </c>
      <c r="J3" s="41" t="s">
        <v>9</v>
      </c>
    </row>
    <row r="4" spans="1:10" ht="16" x14ac:dyDescent="0.2">
      <c r="A4">
        <v>3</v>
      </c>
      <c r="B4">
        <v>3</v>
      </c>
      <c r="C4" t="s">
        <v>348</v>
      </c>
      <c r="D4" s="20">
        <v>15380800</v>
      </c>
      <c r="E4" s="20">
        <v>312400</v>
      </c>
      <c r="F4" s="20">
        <v>95000</v>
      </c>
      <c r="G4" s="20">
        <v>16287</v>
      </c>
      <c r="H4" s="20">
        <v>27591</v>
      </c>
      <c r="I4" s="41" t="s">
        <v>1973</v>
      </c>
      <c r="J4" s="41" t="s">
        <v>348</v>
      </c>
    </row>
    <row r="5" spans="1:10" ht="16" x14ac:dyDescent="0.2">
      <c r="A5">
        <v>4</v>
      </c>
      <c r="B5">
        <v>4</v>
      </c>
      <c r="C5" t="s">
        <v>9512</v>
      </c>
      <c r="D5" s="20">
        <v>7189568</v>
      </c>
      <c r="E5" s="20">
        <v>385308</v>
      </c>
      <c r="F5" s="20">
        <v>27670</v>
      </c>
      <c r="G5" s="20">
        <v>14392</v>
      </c>
      <c r="H5" s="20">
        <v>32931</v>
      </c>
      <c r="I5" s="41" t="s">
        <v>210</v>
      </c>
      <c r="J5" s="41" t="s">
        <v>11</v>
      </c>
    </row>
    <row r="6" spans="1:10" ht="16" x14ac:dyDescent="0.2">
      <c r="A6">
        <v>5</v>
      </c>
      <c r="B6">
        <v>30</v>
      </c>
      <c r="C6" t="s">
        <v>9521</v>
      </c>
      <c r="D6" s="20">
        <v>5136261</v>
      </c>
      <c r="E6" s="20">
        <v>529922</v>
      </c>
      <c r="F6" s="20">
        <v>25400</v>
      </c>
      <c r="G6" s="20">
        <v>23069</v>
      </c>
      <c r="H6" s="20">
        <v>74949</v>
      </c>
      <c r="I6" s="41" t="s">
        <v>357</v>
      </c>
      <c r="J6" s="41"/>
    </row>
    <row r="7" spans="1:10" ht="16" x14ac:dyDescent="0.2">
      <c r="A7">
        <v>6</v>
      </c>
      <c r="B7">
        <v>5</v>
      </c>
      <c r="C7" t="s">
        <v>12</v>
      </c>
      <c r="D7" s="20">
        <v>4891000</v>
      </c>
      <c r="E7" s="20">
        <v>-10800</v>
      </c>
      <c r="F7" s="20">
        <v>32000</v>
      </c>
      <c r="G7" s="20">
        <v>14100</v>
      </c>
      <c r="H7" s="20">
        <v>44600</v>
      </c>
      <c r="I7" s="41" t="s">
        <v>206</v>
      </c>
      <c r="J7" s="41" t="s">
        <v>12</v>
      </c>
    </row>
    <row r="8" spans="1:10" ht="16" x14ac:dyDescent="0.2">
      <c r="A8">
        <v>7</v>
      </c>
      <c r="B8">
        <v>6</v>
      </c>
      <c r="C8" t="s">
        <v>9460</v>
      </c>
      <c r="D8" s="20">
        <v>4383600</v>
      </c>
      <c r="E8" s="20">
        <v>389900</v>
      </c>
      <c r="F8" s="20">
        <v>19600</v>
      </c>
      <c r="G8" s="20">
        <v>11859</v>
      </c>
      <c r="H8" s="20">
        <v>37637</v>
      </c>
      <c r="I8" s="41" t="s">
        <v>357</v>
      </c>
      <c r="J8" s="41" t="s">
        <v>1613</v>
      </c>
    </row>
    <row r="9" spans="1:10" ht="16" x14ac:dyDescent="0.2">
      <c r="A9">
        <v>8</v>
      </c>
      <c r="B9">
        <v>9</v>
      </c>
      <c r="C9" t="s">
        <v>9484</v>
      </c>
      <c r="D9" s="20">
        <v>4034897</v>
      </c>
      <c r="E9" s="20">
        <v>135153</v>
      </c>
      <c r="F9" s="20">
        <v>4377</v>
      </c>
      <c r="G9" s="20">
        <v>3520</v>
      </c>
      <c r="H9" s="20">
        <v>5850</v>
      </c>
      <c r="I9" s="41" t="s">
        <v>1077</v>
      </c>
      <c r="J9" s="41" t="s">
        <v>1076</v>
      </c>
    </row>
    <row r="10" spans="1:10" ht="16" x14ac:dyDescent="0.2">
      <c r="A10">
        <v>9</v>
      </c>
      <c r="B10">
        <v>10</v>
      </c>
      <c r="C10" t="s">
        <v>9513</v>
      </c>
      <c r="D10" s="20">
        <v>3906575</v>
      </c>
      <c r="E10" s="20">
        <v>130181</v>
      </c>
      <c r="F10" s="20">
        <v>17044</v>
      </c>
      <c r="G10" s="20">
        <v>16132</v>
      </c>
      <c r="H10" s="20">
        <v>24617</v>
      </c>
      <c r="I10" s="41" t="s">
        <v>357</v>
      </c>
      <c r="J10" s="41"/>
    </row>
    <row r="11" spans="1:10" ht="16" x14ac:dyDescent="0.2">
      <c r="A11">
        <v>10</v>
      </c>
      <c r="B11">
        <v>9</v>
      </c>
      <c r="C11" t="s">
        <v>20</v>
      </c>
      <c r="D11" s="20">
        <v>3646364</v>
      </c>
      <c r="E11" s="20">
        <v>177088</v>
      </c>
      <c r="F11" s="20">
        <v>1273</v>
      </c>
      <c r="G11" s="20">
        <v>9438</v>
      </c>
      <c r="H11" s="20">
        <v>15534</v>
      </c>
      <c r="I11" s="41" t="s">
        <v>213</v>
      </c>
      <c r="J11" s="41" t="s">
        <v>20</v>
      </c>
    </row>
    <row r="12" spans="1:10" ht="16" x14ac:dyDescent="0.2">
      <c r="A12">
        <v>11</v>
      </c>
      <c r="B12">
        <v>11</v>
      </c>
      <c r="C12" t="s">
        <v>9514</v>
      </c>
      <c r="D12" s="20">
        <v>3358112</v>
      </c>
      <c r="E12" s="20">
        <v>463774</v>
      </c>
      <c r="F12" s="20">
        <v>20944</v>
      </c>
      <c r="G12" s="20">
        <v>8316</v>
      </c>
      <c r="H12" s="20">
        <v>32890</v>
      </c>
      <c r="I12" s="41" t="s">
        <v>223</v>
      </c>
      <c r="J12" s="41" t="s">
        <v>6855</v>
      </c>
    </row>
    <row r="13" spans="1:10" ht="16" x14ac:dyDescent="0.2">
      <c r="A13">
        <v>12</v>
      </c>
      <c r="B13">
        <v>13</v>
      </c>
      <c r="C13" t="s">
        <v>21</v>
      </c>
      <c r="D13" s="20">
        <v>3065500</v>
      </c>
      <c r="E13" s="20">
        <v>158400</v>
      </c>
      <c r="F13" t="s">
        <v>9445</v>
      </c>
      <c r="G13" t="s">
        <v>9445</v>
      </c>
      <c r="H13" t="s">
        <v>9445</v>
      </c>
      <c r="I13" s="41" t="s">
        <v>207</v>
      </c>
      <c r="J13" s="41" t="s">
        <v>21</v>
      </c>
    </row>
    <row r="14" spans="1:10" ht="16" x14ac:dyDescent="0.2">
      <c r="A14">
        <v>13</v>
      </c>
      <c r="B14">
        <v>12</v>
      </c>
      <c r="C14" t="s">
        <v>9515</v>
      </c>
      <c r="D14" s="20">
        <v>2826457</v>
      </c>
      <c r="E14" s="20">
        <v>59726</v>
      </c>
      <c r="F14" s="20">
        <v>13000</v>
      </c>
      <c r="G14" s="20">
        <v>4436</v>
      </c>
      <c r="H14" s="20">
        <v>22275</v>
      </c>
      <c r="I14" s="41" t="s">
        <v>5803</v>
      </c>
      <c r="J14" s="41" t="s">
        <v>9515</v>
      </c>
    </row>
    <row r="15" spans="1:10" ht="16" x14ac:dyDescent="0.2">
      <c r="A15">
        <v>14</v>
      </c>
      <c r="B15">
        <v>14</v>
      </c>
      <c r="C15" t="s">
        <v>26</v>
      </c>
      <c r="D15" s="20">
        <v>2740000</v>
      </c>
      <c r="E15" t="s">
        <v>9445</v>
      </c>
      <c r="F15" s="20">
        <v>17397</v>
      </c>
      <c r="G15" s="20">
        <v>6695</v>
      </c>
      <c r="H15" s="20">
        <v>27443</v>
      </c>
      <c r="I15" s="41" t="s">
        <v>221</v>
      </c>
      <c r="J15" s="41" t="s">
        <v>26</v>
      </c>
    </row>
    <row r="16" spans="1:10" ht="16" x14ac:dyDescent="0.2">
      <c r="A16">
        <v>15</v>
      </c>
      <c r="B16">
        <v>16</v>
      </c>
      <c r="C16" t="s">
        <v>9517</v>
      </c>
      <c r="D16" s="20">
        <v>2116737</v>
      </c>
      <c r="E16" s="20">
        <v>92000</v>
      </c>
      <c r="F16" s="20">
        <v>12154</v>
      </c>
      <c r="G16" s="20">
        <v>7480</v>
      </c>
      <c r="H16" s="20">
        <v>24500</v>
      </c>
      <c r="I16" s="41" t="s">
        <v>9203</v>
      </c>
      <c r="J16" s="41" t="s">
        <v>24</v>
      </c>
    </row>
    <row r="17" spans="1:10" ht="16" x14ac:dyDescent="0.2">
      <c r="A17">
        <v>16</v>
      </c>
      <c r="B17">
        <v>15</v>
      </c>
      <c r="C17" t="s">
        <v>9516</v>
      </c>
      <c r="D17" s="20">
        <v>2091300</v>
      </c>
      <c r="E17" s="20">
        <v>-91200</v>
      </c>
      <c r="F17" s="20">
        <v>4600</v>
      </c>
      <c r="G17" s="20">
        <v>3625</v>
      </c>
      <c r="H17" s="20">
        <v>6920</v>
      </c>
      <c r="I17" s="41" t="s">
        <v>1572</v>
      </c>
      <c r="J17" s="41" t="s">
        <v>1571</v>
      </c>
    </row>
    <row r="18" spans="1:10" ht="16" x14ac:dyDescent="0.2">
      <c r="A18">
        <v>17</v>
      </c>
      <c r="B18">
        <v>27</v>
      </c>
      <c r="C18" t="s">
        <v>9466</v>
      </c>
      <c r="D18" s="20">
        <v>1910000</v>
      </c>
      <c r="E18" t="s">
        <v>9445</v>
      </c>
      <c r="F18" s="20">
        <v>10000</v>
      </c>
      <c r="G18" s="20">
        <v>4000</v>
      </c>
      <c r="H18" s="20">
        <v>8900</v>
      </c>
      <c r="I18" s="41" t="s">
        <v>6731</v>
      </c>
      <c r="J18" s="41" t="s">
        <v>6730</v>
      </c>
    </row>
    <row r="19" spans="1:10" ht="16" x14ac:dyDescent="0.2">
      <c r="A19">
        <v>18</v>
      </c>
      <c r="B19">
        <v>18</v>
      </c>
      <c r="C19" t="s">
        <v>32</v>
      </c>
      <c r="D19" s="20">
        <v>1875031</v>
      </c>
      <c r="E19" s="20">
        <v>208184</v>
      </c>
      <c r="F19" s="20">
        <v>4300</v>
      </c>
      <c r="G19" s="20">
        <v>6296</v>
      </c>
      <c r="H19" s="20">
        <v>12753</v>
      </c>
      <c r="I19" s="41" t="s">
        <v>228</v>
      </c>
      <c r="J19" s="41" t="s">
        <v>175</v>
      </c>
    </row>
    <row r="20" spans="1:10" ht="16" x14ac:dyDescent="0.2">
      <c r="A20">
        <v>19</v>
      </c>
      <c r="B20">
        <v>21</v>
      </c>
      <c r="C20" t="s">
        <v>41</v>
      </c>
      <c r="D20" s="20">
        <v>1700000</v>
      </c>
      <c r="E20" t="s">
        <v>9445</v>
      </c>
      <c r="F20" s="20">
        <v>18011</v>
      </c>
      <c r="G20" s="20">
        <v>2935</v>
      </c>
      <c r="H20" s="20">
        <v>9108</v>
      </c>
      <c r="I20" s="41" t="s">
        <v>209</v>
      </c>
      <c r="J20" s="41" t="s">
        <v>41</v>
      </c>
    </row>
    <row r="21" spans="1:10" ht="16" x14ac:dyDescent="0.2">
      <c r="A21">
        <v>19</v>
      </c>
      <c r="B21">
        <v>17</v>
      </c>
      <c r="C21" t="s">
        <v>29</v>
      </c>
      <c r="D21" s="20">
        <v>1700000</v>
      </c>
      <c r="E21" t="s">
        <v>9445</v>
      </c>
      <c r="F21" t="s">
        <v>9445</v>
      </c>
      <c r="G21" t="s">
        <v>9445</v>
      </c>
      <c r="H21" t="s">
        <v>9445</v>
      </c>
      <c r="I21" s="41" t="s">
        <v>218</v>
      </c>
      <c r="J21" s="41" t="s">
        <v>29</v>
      </c>
    </row>
    <row r="22" spans="1:10" ht="16" x14ac:dyDescent="0.2">
      <c r="A22">
        <v>21</v>
      </c>
      <c r="B22">
        <v>21</v>
      </c>
      <c r="C22" t="s">
        <v>27</v>
      </c>
      <c r="D22" s="20">
        <v>1600000</v>
      </c>
      <c r="E22" t="s">
        <v>9445</v>
      </c>
      <c r="F22" s="20">
        <v>9522</v>
      </c>
      <c r="G22" s="20">
        <v>6600</v>
      </c>
      <c r="H22" s="20">
        <v>16800</v>
      </c>
      <c r="I22" s="41" t="s">
        <v>220</v>
      </c>
      <c r="J22" s="41" t="s">
        <v>27</v>
      </c>
    </row>
    <row r="23" spans="1:10" ht="16" x14ac:dyDescent="0.2">
      <c r="A23">
        <v>22</v>
      </c>
      <c r="B23">
        <v>24</v>
      </c>
      <c r="C23" t="s">
        <v>9519</v>
      </c>
      <c r="D23" s="20">
        <v>1580000</v>
      </c>
      <c r="E23" t="s">
        <v>9445</v>
      </c>
      <c r="F23" t="s">
        <v>9445</v>
      </c>
      <c r="G23" s="20">
        <v>5084</v>
      </c>
      <c r="H23" s="20">
        <v>15675</v>
      </c>
      <c r="I23" s="41" t="s">
        <v>357</v>
      </c>
      <c r="J23" s="41"/>
    </row>
    <row r="24" spans="1:10" ht="16" x14ac:dyDescent="0.2">
      <c r="A24">
        <v>23</v>
      </c>
      <c r="B24">
        <v>19</v>
      </c>
      <c r="C24" t="s">
        <v>31</v>
      </c>
      <c r="D24" s="20">
        <v>1555000</v>
      </c>
      <c r="E24" t="s">
        <v>9445</v>
      </c>
      <c r="F24" s="20">
        <v>7538</v>
      </c>
      <c r="G24" s="20">
        <v>5774</v>
      </c>
      <c r="H24" s="20">
        <v>12145</v>
      </c>
      <c r="I24" s="41" t="s">
        <v>235</v>
      </c>
      <c r="J24" s="41" t="s">
        <v>31</v>
      </c>
    </row>
    <row r="25" spans="1:10" ht="16" x14ac:dyDescent="0.2">
      <c r="A25">
        <v>24</v>
      </c>
      <c r="B25">
        <v>25</v>
      </c>
      <c r="C25" t="s">
        <v>9520</v>
      </c>
      <c r="D25" s="20">
        <v>1441440</v>
      </c>
      <c r="E25" t="s">
        <v>9445</v>
      </c>
      <c r="F25" s="20">
        <v>9000</v>
      </c>
      <c r="G25" s="20">
        <v>6686</v>
      </c>
      <c r="H25" s="20">
        <v>10744</v>
      </c>
      <c r="I25" s="41" t="s">
        <v>8447</v>
      </c>
      <c r="J25" s="41" t="s">
        <v>9562</v>
      </c>
    </row>
    <row r="26" spans="1:10" ht="16" x14ac:dyDescent="0.2">
      <c r="A26">
        <v>25</v>
      </c>
      <c r="B26">
        <v>26</v>
      </c>
      <c r="C26" t="s">
        <v>30</v>
      </c>
      <c r="D26" s="20">
        <v>1405411</v>
      </c>
      <c r="E26" t="s">
        <v>9445</v>
      </c>
      <c r="F26" s="20">
        <v>7975</v>
      </c>
      <c r="G26" s="20">
        <v>4213</v>
      </c>
      <c r="H26" s="20">
        <v>6116</v>
      </c>
      <c r="I26" s="41" t="s">
        <v>225</v>
      </c>
      <c r="J26" s="41" t="s">
        <v>30</v>
      </c>
    </row>
    <row r="27" spans="1:10" ht="16" x14ac:dyDescent="0.2">
      <c r="A27">
        <v>26</v>
      </c>
      <c r="B27">
        <v>21</v>
      </c>
      <c r="C27" t="s">
        <v>25</v>
      </c>
      <c r="D27" s="20">
        <v>1400000</v>
      </c>
      <c r="E27" t="s">
        <v>9445</v>
      </c>
      <c r="F27" t="s">
        <v>9445</v>
      </c>
      <c r="G27" t="s">
        <v>9445</v>
      </c>
      <c r="H27" t="s">
        <v>9445</v>
      </c>
      <c r="I27" s="41" t="s">
        <v>214</v>
      </c>
      <c r="J27" s="41" t="s">
        <v>25</v>
      </c>
    </row>
    <row r="28" spans="1:10" ht="16" x14ac:dyDescent="0.2">
      <c r="A28">
        <v>27</v>
      </c>
      <c r="B28">
        <v>28</v>
      </c>
      <c r="C28" t="s">
        <v>33</v>
      </c>
      <c r="D28" s="20">
        <v>1378510</v>
      </c>
      <c r="E28" s="20">
        <v>91156</v>
      </c>
      <c r="F28" s="20">
        <v>9800</v>
      </c>
      <c r="G28" s="20">
        <v>4259</v>
      </c>
      <c r="H28" s="20">
        <v>13901</v>
      </c>
      <c r="I28" s="41" t="s">
        <v>227</v>
      </c>
      <c r="J28" s="41" t="s">
        <v>33</v>
      </c>
    </row>
    <row r="29" spans="1:10" ht="16" x14ac:dyDescent="0.2">
      <c r="A29">
        <v>28</v>
      </c>
      <c r="B29">
        <v>20</v>
      </c>
      <c r="C29" t="s">
        <v>9518</v>
      </c>
      <c r="D29" s="20">
        <v>1343111</v>
      </c>
      <c r="E29" t="s">
        <v>9445</v>
      </c>
      <c r="F29" s="20">
        <v>10000</v>
      </c>
      <c r="G29">
        <v>465</v>
      </c>
      <c r="H29" s="20">
        <v>1329</v>
      </c>
      <c r="I29" s="41" t="s">
        <v>357</v>
      </c>
      <c r="J29" s="41"/>
    </row>
    <row r="30" spans="1:10" ht="16" x14ac:dyDescent="0.2">
      <c r="A30">
        <v>29</v>
      </c>
      <c r="B30">
        <v>42</v>
      </c>
      <c r="C30" t="s">
        <v>338</v>
      </c>
      <c r="D30" s="20">
        <v>1300000</v>
      </c>
      <c r="E30" s="20">
        <v>26996</v>
      </c>
      <c r="F30" s="20">
        <v>4700</v>
      </c>
      <c r="G30" s="20">
        <v>5200</v>
      </c>
      <c r="H30" s="20">
        <v>11500</v>
      </c>
      <c r="I30" s="41" t="s">
        <v>9429</v>
      </c>
      <c r="J30" s="41" t="s">
        <v>338</v>
      </c>
    </row>
    <row r="31" spans="1:10" ht="16" x14ac:dyDescent="0.2">
      <c r="A31">
        <v>30</v>
      </c>
      <c r="B31">
        <v>29</v>
      </c>
      <c r="C31" t="s">
        <v>38</v>
      </c>
      <c r="D31" s="20">
        <v>1260050</v>
      </c>
      <c r="E31" t="s">
        <v>9445</v>
      </c>
      <c r="F31" s="20">
        <v>8792</v>
      </c>
      <c r="G31" s="20">
        <v>3635</v>
      </c>
      <c r="H31" s="20">
        <v>11697</v>
      </c>
      <c r="I31" s="41" t="s">
        <v>232</v>
      </c>
      <c r="J31" s="41" t="s">
        <v>38</v>
      </c>
    </row>
    <row r="32" spans="1:10" ht="16" x14ac:dyDescent="0.2">
      <c r="A32">
        <v>31</v>
      </c>
      <c r="B32">
        <v>32</v>
      </c>
      <c r="C32" t="s">
        <v>9522</v>
      </c>
      <c r="D32" s="20">
        <v>1216665</v>
      </c>
      <c r="E32" s="20">
        <v>28153</v>
      </c>
      <c r="F32" s="20">
        <v>8231</v>
      </c>
      <c r="G32" s="20">
        <v>3784</v>
      </c>
      <c r="H32" s="20">
        <v>5765</v>
      </c>
      <c r="I32" s="41" t="s">
        <v>1867</v>
      </c>
      <c r="J32" s="41" t="s">
        <v>1866</v>
      </c>
    </row>
    <row r="33" spans="1:10" ht="16" x14ac:dyDescent="0.2">
      <c r="A33">
        <v>32</v>
      </c>
      <c r="B33">
        <v>31</v>
      </c>
      <c r="C33" t="s">
        <v>40</v>
      </c>
      <c r="D33" s="20">
        <v>1146970</v>
      </c>
      <c r="E33" s="20">
        <v>98967</v>
      </c>
      <c r="F33" s="20">
        <v>8500</v>
      </c>
      <c r="G33" s="20">
        <v>4513</v>
      </c>
      <c r="H33" s="20">
        <v>14585</v>
      </c>
      <c r="I33" s="41" t="s">
        <v>230</v>
      </c>
      <c r="J33" s="41" t="s">
        <v>40</v>
      </c>
    </row>
    <row r="34" spans="1:10" ht="16" x14ac:dyDescent="0.2">
      <c r="A34">
        <v>33</v>
      </c>
      <c r="B34">
        <v>37</v>
      </c>
      <c r="C34" t="s">
        <v>56</v>
      </c>
      <c r="D34" s="20">
        <v>1100816</v>
      </c>
      <c r="E34" s="20">
        <v>87321</v>
      </c>
      <c r="F34" s="20">
        <v>4898</v>
      </c>
      <c r="G34">
        <v>964</v>
      </c>
      <c r="H34" s="20">
        <v>6464</v>
      </c>
      <c r="I34" s="41" t="s">
        <v>255</v>
      </c>
      <c r="J34" s="41" t="s">
        <v>124</v>
      </c>
    </row>
    <row r="35" spans="1:10" ht="16" x14ac:dyDescent="0.2">
      <c r="A35">
        <v>34</v>
      </c>
      <c r="B35">
        <v>35</v>
      </c>
      <c r="C35" t="s">
        <v>115</v>
      </c>
      <c r="D35" s="20">
        <v>1100000</v>
      </c>
      <c r="E35" t="s">
        <v>9445</v>
      </c>
      <c r="F35" s="20">
        <v>6000</v>
      </c>
      <c r="G35" s="20">
        <v>5400</v>
      </c>
      <c r="H35" s="20">
        <v>14000</v>
      </c>
      <c r="I35" s="41" t="s">
        <v>226</v>
      </c>
      <c r="J35" s="41" t="s">
        <v>39</v>
      </c>
    </row>
    <row r="36" spans="1:10" ht="16" x14ac:dyDescent="0.2">
      <c r="A36">
        <v>35</v>
      </c>
      <c r="B36">
        <v>33</v>
      </c>
      <c r="C36" t="s">
        <v>9523</v>
      </c>
      <c r="D36" s="20">
        <v>1065356</v>
      </c>
      <c r="E36" t="s">
        <v>9445</v>
      </c>
      <c r="F36" s="20">
        <v>5200</v>
      </c>
      <c r="G36" s="20">
        <v>3850</v>
      </c>
      <c r="H36" s="20">
        <v>10000</v>
      </c>
      <c r="I36" s="41" t="s">
        <v>3238</v>
      </c>
      <c r="J36" s="41" t="s">
        <v>3237</v>
      </c>
    </row>
    <row r="37" spans="1:10" ht="16" x14ac:dyDescent="0.2">
      <c r="A37">
        <v>36</v>
      </c>
      <c r="B37">
        <v>34</v>
      </c>
      <c r="C37" t="s">
        <v>43</v>
      </c>
      <c r="D37" s="20">
        <v>1004301</v>
      </c>
      <c r="E37" t="s">
        <v>9445</v>
      </c>
      <c r="F37" s="20">
        <v>1996</v>
      </c>
      <c r="G37" s="20">
        <v>2652</v>
      </c>
      <c r="H37" s="20">
        <v>6958</v>
      </c>
      <c r="I37" s="41" t="s">
        <v>241</v>
      </c>
      <c r="J37" s="41" t="s">
        <v>43</v>
      </c>
    </row>
    <row r="38" spans="1:10" ht="16" x14ac:dyDescent="0.2">
      <c r="A38">
        <v>37</v>
      </c>
      <c r="B38">
        <v>38</v>
      </c>
      <c r="C38" t="s">
        <v>85</v>
      </c>
      <c r="D38" s="20">
        <v>959000</v>
      </c>
      <c r="E38" t="s">
        <v>9445</v>
      </c>
      <c r="F38" t="s">
        <v>9445</v>
      </c>
      <c r="G38" s="20">
        <v>3800</v>
      </c>
      <c r="H38" s="20">
        <v>5700</v>
      </c>
      <c r="I38" s="41" t="s">
        <v>272</v>
      </c>
      <c r="J38" s="41" t="s">
        <v>85</v>
      </c>
    </row>
    <row r="39" spans="1:10" ht="16" x14ac:dyDescent="0.2">
      <c r="A39">
        <v>38</v>
      </c>
      <c r="B39">
        <v>39</v>
      </c>
      <c r="C39" t="s">
        <v>148</v>
      </c>
      <c r="D39" s="20">
        <v>950000</v>
      </c>
      <c r="E39" t="s">
        <v>9445</v>
      </c>
      <c r="F39" s="20">
        <v>2600</v>
      </c>
      <c r="G39">
        <v>768</v>
      </c>
      <c r="H39" s="20">
        <v>2889</v>
      </c>
      <c r="I39" s="41" t="s">
        <v>234</v>
      </c>
      <c r="J39" s="41" t="s">
        <v>148</v>
      </c>
    </row>
    <row r="40" spans="1:10" ht="16" x14ac:dyDescent="0.2">
      <c r="A40">
        <v>39</v>
      </c>
      <c r="B40">
        <v>59</v>
      </c>
      <c r="C40" t="s">
        <v>138</v>
      </c>
      <c r="D40" s="20">
        <v>898000</v>
      </c>
      <c r="E40" t="s">
        <v>9445</v>
      </c>
      <c r="F40">
        <v>376</v>
      </c>
      <c r="G40" s="20">
        <v>5014</v>
      </c>
      <c r="H40">
        <v>550</v>
      </c>
      <c r="I40" s="41" t="s">
        <v>298</v>
      </c>
      <c r="J40" s="41" t="s">
        <v>98</v>
      </c>
    </row>
    <row r="41" spans="1:10" ht="16" x14ac:dyDescent="0.2">
      <c r="A41">
        <v>40</v>
      </c>
      <c r="B41">
        <v>41</v>
      </c>
      <c r="C41" t="s">
        <v>46</v>
      </c>
      <c r="D41" s="20">
        <v>842100</v>
      </c>
      <c r="E41" s="20">
        <v>4800</v>
      </c>
      <c r="F41">
        <v>671</v>
      </c>
      <c r="G41" s="20">
        <v>1271</v>
      </c>
      <c r="H41" s="20">
        <v>4076</v>
      </c>
      <c r="I41" s="41" t="s">
        <v>231</v>
      </c>
      <c r="J41" s="41" t="s">
        <v>46</v>
      </c>
    </row>
    <row r="42" spans="1:10" ht="16" x14ac:dyDescent="0.2">
      <c r="A42">
        <v>41</v>
      </c>
      <c r="B42">
        <v>40</v>
      </c>
      <c r="C42" t="s">
        <v>9472</v>
      </c>
      <c r="D42" s="20">
        <v>836298</v>
      </c>
      <c r="E42" t="s">
        <v>9445</v>
      </c>
      <c r="F42" s="20">
        <v>5500</v>
      </c>
      <c r="G42" s="20">
        <v>2900</v>
      </c>
      <c r="H42" s="20">
        <v>8710</v>
      </c>
      <c r="I42" s="41" t="s">
        <v>7634</v>
      </c>
      <c r="J42" s="41" t="s">
        <v>7633</v>
      </c>
    </row>
    <row r="43" spans="1:10" ht="16" x14ac:dyDescent="0.2">
      <c r="A43">
        <v>42</v>
      </c>
      <c r="B43">
        <v>43</v>
      </c>
      <c r="C43" t="s">
        <v>149</v>
      </c>
      <c r="D43" s="20">
        <v>786000</v>
      </c>
      <c r="E43" t="s">
        <v>9445</v>
      </c>
      <c r="F43" t="s">
        <v>9445</v>
      </c>
      <c r="G43" s="20">
        <v>2541</v>
      </c>
      <c r="H43" s="20">
        <v>5204</v>
      </c>
      <c r="I43" s="41" t="s">
        <v>239</v>
      </c>
      <c r="J43" s="41" t="s">
        <v>45</v>
      </c>
    </row>
    <row r="44" spans="1:10" ht="16" x14ac:dyDescent="0.2">
      <c r="A44">
        <v>43</v>
      </c>
      <c r="B44">
        <v>44</v>
      </c>
      <c r="C44" t="s">
        <v>9524</v>
      </c>
      <c r="D44" s="20">
        <v>754000</v>
      </c>
      <c r="E44" t="s">
        <v>9445</v>
      </c>
      <c r="F44" t="s">
        <v>9445</v>
      </c>
      <c r="G44" s="20">
        <v>3180</v>
      </c>
      <c r="H44" s="20">
        <v>6543</v>
      </c>
      <c r="I44" s="41" t="s">
        <v>3247</v>
      </c>
      <c r="J44" s="41" t="s">
        <v>3246</v>
      </c>
    </row>
    <row r="45" spans="1:10" ht="16" x14ac:dyDescent="0.2">
      <c r="A45">
        <v>44</v>
      </c>
      <c r="B45">
        <v>36</v>
      </c>
      <c r="C45" t="s">
        <v>9476</v>
      </c>
      <c r="D45" s="20">
        <v>720000</v>
      </c>
      <c r="E45" t="s">
        <v>9445</v>
      </c>
      <c r="F45" s="20">
        <v>4245</v>
      </c>
      <c r="G45" s="20">
        <v>2905</v>
      </c>
      <c r="H45" s="20">
        <v>7940</v>
      </c>
      <c r="I45" s="41" t="s">
        <v>273</v>
      </c>
      <c r="J45" s="41" t="s">
        <v>3158</v>
      </c>
    </row>
    <row r="46" spans="1:10" ht="16" x14ac:dyDescent="0.2">
      <c r="A46">
        <v>45</v>
      </c>
      <c r="B46">
        <v>51</v>
      </c>
      <c r="C46" t="s">
        <v>9530</v>
      </c>
      <c r="D46" s="20">
        <v>718941</v>
      </c>
      <c r="E46" t="s">
        <v>9445</v>
      </c>
      <c r="F46" s="20">
        <v>2240</v>
      </c>
      <c r="G46" s="20">
        <v>1800</v>
      </c>
      <c r="H46" s="20">
        <v>5714</v>
      </c>
      <c r="I46" s="41" t="s">
        <v>357</v>
      </c>
      <c r="J46" s="41"/>
    </row>
    <row r="47" spans="1:10" ht="16" x14ac:dyDescent="0.2">
      <c r="A47">
        <v>46</v>
      </c>
      <c r="B47">
        <v>50</v>
      </c>
      <c r="C47" t="s">
        <v>9529</v>
      </c>
      <c r="D47" s="20">
        <v>715827</v>
      </c>
      <c r="E47" t="s">
        <v>9445</v>
      </c>
      <c r="F47" s="20">
        <v>5381</v>
      </c>
      <c r="G47" s="20">
        <v>1856</v>
      </c>
      <c r="H47" s="20">
        <v>5372</v>
      </c>
      <c r="I47" s="41" t="s">
        <v>275</v>
      </c>
      <c r="J47" s="41" t="s">
        <v>75</v>
      </c>
    </row>
    <row r="48" spans="1:10" ht="16" x14ac:dyDescent="0.2">
      <c r="A48">
        <v>47</v>
      </c>
      <c r="B48">
        <v>47</v>
      </c>
      <c r="C48" t="s">
        <v>9527</v>
      </c>
      <c r="D48" s="20">
        <v>705007</v>
      </c>
      <c r="E48" s="20">
        <v>55439</v>
      </c>
      <c r="F48" s="20">
        <v>4297</v>
      </c>
      <c r="G48" s="20">
        <v>2700</v>
      </c>
      <c r="H48" s="20">
        <v>7389</v>
      </c>
      <c r="I48" s="41" t="s">
        <v>3561</v>
      </c>
      <c r="J48" s="41" t="s">
        <v>3560</v>
      </c>
    </row>
    <row r="49" spans="1:10" ht="16" x14ac:dyDescent="0.2">
      <c r="A49">
        <v>48</v>
      </c>
      <c r="B49">
        <v>46</v>
      </c>
      <c r="C49" t="s">
        <v>9526</v>
      </c>
      <c r="D49" s="20">
        <v>698120</v>
      </c>
      <c r="E49" s="20">
        <v>90284</v>
      </c>
      <c r="F49" s="20">
        <v>3492</v>
      </c>
      <c r="G49" s="20">
        <v>2738</v>
      </c>
      <c r="H49" s="20">
        <v>4909</v>
      </c>
      <c r="I49" s="41" t="s">
        <v>242</v>
      </c>
      <c r="J49" s="41" t="s">
        <v>2006</v>
      </c>
    </row>
    <row r="50" spans="1:10" ht="16" x14ac:dyDescent="0.2">
      <c r="A50">
        <v>49</v>
      </c>
      <c r="B50">
        <v>49</v>
      </c>
      <c r="C50" t="s">
        <v>54</v>
      </c>
      <c r="D50" s="20">
        <v>694980</v>
      </c>
      <c r="E50" s="20">
        <v>83845</v>
      </c>
      <c r="F50" s="20">
        <v>2925</v>
      </c>
      <c r="G50" s="20">
        <v>2810</v>
      </c>
      <c r="H50" s="20">
        <v>4010</v>
      </c>
      <c r="I50" s="41" t="s">
        <v>246</v>
      </c>
      <c r="J50" s="41" t="s">
        <v>54</v>
      </c>
    </row>
    <row r="51" spans="1:10" ht="16" x14ac:dyDescent="0.2">
      <c r="A51">
        <v>50</v>
      </c>
      <c r="B51">
        <v>53</v>
      </c>
      <c r="C51" t="s">
        <v>9532</v>
      </c>
      <c r="D51" s="20">
        <v>665000</v>
      </c>
      <c r="E51" t="s">
        <v>9445</v>
      </c>
      <c r="F51" s="20">
        <v>5000</v>
      </c>
      <c r="G51" s="20">
        <v>3000</v>
      </c>
      <c r="H51" s="20">
        <v>6500</v>
      </c>
      <c r="I51" s="41" t="s">
        <v>254</v>
      </c>
      <c r="J51" s="41" t="s">
        <v>57</v>
      </c>
    </row>
    <row r="52" spans="1:10" ht="16" x14ac:dyDescent="0.2">
      <c r="A52">
        <v>51</v>
      </c>
      <c r="B52">
        <v>56</v>
      </c>
      <c r="C52" t="s">
        <v>9535</v>
      </c>
      <c r="D52" s="20">
        <v>645000</v>
      </c>
      <c r="E52" t="s">
        <v>9445</v>
      </c>
      <c r="F52" s="20">
        <v>1700</v>
      </c>
      <c r="G52" s="20">
        <v>1850</v>
      </c>
      <c r="H52" s="20">
        <v>1150</v>
      </c>
      <c r="I52" s="41" t="s">
        <v>291</v>
      </c>
      <c r="J52" s="41" t="s">
        <v>9535</v>
      </c>
    </row>
    <row r="53" spans="1:10" ht="16" x14ac:dyDescent="0.2">
      <c r="A53">
        <v>52</v>
      </c>
      <c r="B53">
        <v>58</v>
      </c>
      <c r="C53" t="s">
        <v>9536</v>
      </c>
      <c r="D53" s="20">
        <v>627372</v>
      </c>
      <c r="E53" t="s">
        <v>9445</v>
      </c>
      <c r="F53" s="20">
        <v>3535</v>
      </c>
      <c r="G53" s="20">
        <v>1919</v>
      </c>
      <c r="H53" s="20">
        <v>5065</v>
      </c>
      <c r="I53" s="41" t="s">
        <v>357</v>
      </c>
      <c r="J53" s="41"/>
    </row>
    <row r="54" spans="1:10" ht="16" x14ac:dyDescent="0.2">
      <c r="A54">
        <v>53</v>
      </c>
      <c r="B54">
        <v>52</v>
      </c>
      <c r="C54" t="s">
        <v>9531</v>
      </c>
      <c r="D54" s="20">
        <v>607336</v>
      </c>
      <c r="E54" s="20">
        <v>75173</v>
      </c>
      <c r="F54" s="20">
        <v>3800</v>
      </c>
      <c r="G54" s="20">
        <v>6719</v>
      </c>
      <c r="H54" s="20">
        <v>19975</v>
      </c>
      <c r="I54" s="41" t="s">
        <v>5063</v>
      </c>
      <c r="J54" s="41" t="s">
        <v>5062</v>
      </c>
    </row>
    <row r="55" spans="1:10" ht="16" x14ac:dyDescent="0.2">
      <c r="A55">
        <v>54</v>
      </c>
      <c r="B55">
        <v>48</v>
      </c>
      <c r="C55" t="s">
        <v>9528</v>
      </c>
      <c r="D55" s="20">
        <v>602825</v>
      </c>
      <c r="E55" s="20">
        <v>74839</v>
      </c>
      <c r="F55" s="20">
        <v>3753</v>
      </c>
      <c r="G55" s="20">
        <v>2637</v>
      </c>
      <c r="H55" t="s">
        <v>9445</v>
      </c>
      <c r="I55" s="41" t="s">
        <v>304</v>
      </c>
      <c r="J55" s="41" t="s">
        <v>5474</v>
      </c>
    </row>
    <row r="56" spans="1:10" ht="16" x14ac:dyDescent="0.2">
      <c r="A56">
        <v>55</v>
      </c>
      <c r="B56">
        <v>61</v>
      </c>
      <c r="C56" t="s">
        <v>9538</v>
      </c>
      <c r="D56" s="20">
        <v>595780</v>
      </c>
      <c r="E56" t="s">
        <v>9445</v>
      </c>
      <c r="F56" s="20">
        <v>3000</v>
      </c>
      <c r="G56" s="20">
        <v>2500</v>
      </c>
      <c r="H56" t="s">
        <v>9445</v>
      </c>
      <c r="I56" s="41" t="s">
        <v>357</v>
      </c>
      <c r="J56" s="41"/>
    </row>
    <row r="57" spans="1:10" ht="16" x14ac:dyDescent="0.2">
      <c r="A57">
        <v>56</v>
      </c>
      <c r="B57">
        <v>45</v>
      </c>
      <c r="C57" t="s">
        <v>9525</v>
      </c>
      <c r="D57" s="20">
        <v>576796</v>
      </c>
      <c r="E57" t="s">
        <v>9445</v>
      </c>
      <c r="F57" s="20">
        <v>3200</v>
      </c>
      <c r="G57" s="20">
        <v>1720</v>
      </c>
      <c r="H57" s="20">
        <v>3800</v>
      </c>
      <c r="I57" s="41" t="s">
        <v>8762</v>
      </c>
      <c r="J57" s="41" t="s">
        <v>8761</v>
      </c>
    </row>
    <row r="58" spans="1:10" ht="16" x14ac:dyDescent="0.2">
      <c r="A58">
        <v>57</v>
      </c>
      <c r="B58">
        <v>56</v>
      </c>
      <c r="C58" t="s">
        <v>94</v>
      </c>
      <c r="D58" s="20">
        <v>572856</v>
      </c>
      <c r="E58" t="s">
        <v>9445</v>
      </c>
      <c r="F58" t="s">
        <v>9445</v>
      </c>
      <c r="G58">
        <v>36</v>
      </c>
      <c r="H58">
        <v>950</v>
      </c>
      <c r="I58" s="41" t="s">
        <v>311</v>
      </c>
      <c r="J58" s="41" t="s">
        <v>94</v>
      </c>
    </row>
    <row r="59" spans="1:10" ht="16" x14ac:dyDescent="0.2">
      <c r="A59">
        <v>58</v>
      </c>
      <c r="B59">
        <v>55</v>
      </c>
      <c r="C59" t="s">
        <v>9534</v>
      </c>
      <c r="D59" s="20">
        <v>566230</v>
      </c>
      <c r="E59" s="20">
        <v>41998</v>
      </c>
      <c r="F59" s="20">
        <v>2850</v>
      </c>
      <c r="G59" s="20">
        <v>2555</v>
      </c>
      <c r="H59" s="20">
        <v>7800</v>
      </c>
      <c r="I59" s="41" t="s">
        <v>9233</v>
      </c>
      <c r="J59" s="41" t="s">
        <v>70</v>
      </c>
    </row>
    <row r="60" spans="1:10" ht="16" x14ac:dyDescent="0.2">
      <c r="A60">
        <v>59</v>
      </c>
      <c r="B60">
        <v>60</v>
      </c>
      <c r="C60" t="s">
        <v>9537</v>
      </c>
      <c r="D60" s="20">
        <v>562000</v>
      </c>
      <c r="E60" t="s">
        <v>9445</v>
      </c>
      <c r="F60" s="20">
        <v>4501</v>
      </c>
      <c r="G60" s="20">
        <v>1561</v>
      </c>
      <c r="H60" s="20">
        <v>3803</v>
      </c>
      <c r="I60" s="41" t="s">
        <v>284</v>
      </c>
      <c r="J60" s="41" t="s">
        <v>195</v>
      </c>
    </row>
    <row r="61" spans="1:10" ht="16" x14ac:dyDescent="0.2">
      <c r="A61">
        <v>60</v>
      </c>
      <c r="B61">
        <v>54</v>
      </c>
      <c r="C61" t="s">
        <v>9533</v>
      </c>
      <c r="D61" s="20">
        <v>550000</v>
      </c>
      <c r="E61" t="s">
        <v>9445</v>
      </c>
      <c r="F61" t="s">
        <v>9445</v>
      </c>
      <c r="G61" t="s">
        <v>9445</v>
      </c>
      <c r="H61" t="s">
        <v>9445</v>
      </c>
      <c r="I61" s="41" t="s">
        <v>357</v>
      </c>
      <c r="J61" s="41"/>
    </row>
    <row r="62" spans="1:10" ht="16" x14ac:dyDescent="0.2">
      <c r="A62">
        <v>61</v>
      </c>
      <c r="B62">
        <v>62</v>
      </c>
      <c r="C62" t="s">
        <v>9539</v>
      </c>
      <c r="D62" s="20">
        <v>546309</v>
      </c>
      <c r="E62" t="s">
        <v>9445</v>
      </c>
      <c r="F62" s="20">
        <v>3137</v>
      </c>
      <c r="G62" s="20">
        <v>2548</v>
      </c>
      <c r="H62" s="20">
        <v>2817</v>
      </c>
      <c r="I62" s="41" t="s">
        <v>260</v>
      </c>
      <c r="J62" s="41" t="s">
        <v>3119</v>
      </c>
    </row>
    <row r="63" spans="1:10" ht="16" x14ac:dyDescent="0.2">
      <c r="A63">
        <v>62</v>
      </c>
      <c r="B63">
        <v>69</v>
      </c>
      <c r="C63" t="s">
        <v>99</v>
      </c>
      <c r="D63" s="20">
        <v>512874</v>
      </c>
      <c r="E63" t="s">
        <v>9445</v>
      </c>
      <c r="F63" s="20">
        <v>1023</v>
      </c>
      <c r="G63" s="20">
        <v>1345</v>
      </c>
      <c r="H63" s="20">
        <v>2126</v>
      </c>
      <c r="I63" s="41" t="s">
        <v>286</v>
      </c>
      <c r="J63" s="41" t="s">
        <v>99</v>
      </c>
    </row>
    <row r="64" spans="1:10" ht="16" x14ac:dyDescent="0.2">
      <c r="A64">
        <v>63</v>
      </c>
      <c r="B64">
        <v>63</v>
      </c>
      <c r="C64" t="s">
        <v>9540</v>
      </c>
      <c r="D64" s="20">
        <v>492509</v>
      </c>
      <c r="E64" t="s">
        <v>9445</v>
      </c>
      <c r="F64">
        <v>293</v>
      </c>
      <c r="G64" s="20">
        <v>2299</v>
      </c>
      <c r="H64" s="20">
        <v>2299</v>
      </c>
      <c r="I64" s="41" t="s">
        <v>268</v>
      </c>
      <c r="J64" s="41" t="s">
        <v>6367</v>
      </c>
    </row>
    <row r="65" spans="1:10" ht="16" x14ac:dyDescent="0.2">
      <c r="A65">
        <v>64</v>
      </c>
      <c r="B65" t="s">
        <v>9445</v>
      </c>
      <c r="C65" t="s">
        <v>9555</v>
      </c>
      <c r="D65" s="20">
        <v>487236</v>
      </c>
      <c r="E65" t="s">
        <v>9445</v>
      </c>
      <c r="F65" s="20">
        <v>6136</v>
      </c>
      <c r="G65" t="s">
        <v>9445</v>
      </c>
      <c r="H65" t="s">
        <v>9445</v>
      </c>
      <c r="I65" s="41" t="s">
        <v>357</v>
      </c>
      <c r="J65" s="41"/>
    </row>
    <row r="66" spans="1:10" ht="16" x14ac:dyDescent="0.2">
      <c r="A66">
        <v>65</v>
      </c>
      <c r="B66">
        <v>74</v>
      </c>
      <c r="C66" t="s">
        <v>159</v>
      </c>
      <c r="D66" s="20">
        <v>472004</v>
      </c>
      <c r="E66" t="s">
        <v>9445</v>
      </c>
      <c r="F66" s="20">
        <v>2944</v>
      </c>
      <c r="G66" s="20">
        <v>1704</v>
      </c>
      <c r="H66" s="20">
        <v>4732</v>
      </c>
      <c r="I66" s="41" t="s">
        <v>307</v>
      </c>
      <c r="J66" s="41" t="s">
        <v>130</v>
      </c>
    </row>
    <row r="67" spans="1:10" ht="16" x14ac:dyDescent="0.2">
      <c r="A67">
        <v>66</v>
      </c>
      <c r="B67">
        <v>67</v>
      </c>
      <c r="C67" t="s">
        <v>91</v>
      </c>
      <c r="D67" s="20">
        <v>462544</v>
      </c>
      <c r="E67" t="s">
        <v>9445</v>
      </c>
      <c r="F67" s="20">
        <v>1946</v>
      </c>
      <c r="G67" s="20">
        <v>2122</v>
      </c>
      <c r="H67" s="20">
        <v>5677</v>
      </c>
      <c r="I67" s="41" t="s">
        <v>290</v>
      </c>
      <c r="J67" s="41" t="s">
        <v>91</v>
      </c>
    </row>
    <row r="68" spans="1:10" ht="16" x14ac:dyDescent="0.2">
      <c r="A68">
        <v>67</v>
      </c>
      <c r="B68" t="s">
        <v>9445</v>
      </c>
      <c r="C68" t="s">
        <v>9556</v>
      </c>
      <c r="D68" s="20">
        <v>452429</v>
      </c>
      <c r="E68" t="s">
        <v>9445</v>
      </c>
      <c r="F68" t="s">
        <v>9445</v>
      </c>
      <c r="G68" s="20">
        <v>1935</v>
      </c>
      <c r="H68" s="20">
        <v>2421</v>
      </c>
      <c r="I68" s="41" t="s">
        <v>357</v>
      </c>
      <c r="J68" s="41"/>
    </row>
    <row r="69" spans="1:10" ht="16" x14ac:dyDescent="0.2">
      <c r="A69">
        <v>68</v>
      </c>
      <c r="B69">
        <v>64</v>
      </c>
      <c r="C69" t="s">
        <v>9541</v>
      </c>
      <c r="D69" s="20">
        <v>451925</v>
      </c>
      <c r="E69" t="s">
        <v>9445</v>
      </c>
      <c r="F69" s="20">
        <v>2626</v>
      </c>
      <c r="G69" s="20">
        <v>2131</v>
      </c>
      <c r="H69" s="20">
        <v>7159</v>
      </c>
      <c r="I69" s="41" t="s">
        <v>357</v>
      </c>
      <c r="J69" s="41"/>
    </row>
    <row r="70" spans="1:10" ht="16" x14ac:dyDescent="0.2">
      <c r="A70">
        <v>69</v>
      </c>
      <c r="B70">
        <v>70</v>
      </c>
      <c r="C70" t="s">
        <v>63</v>
      </c>
      <c r="D70" s="20">
        <v>446533</v>
      </c>
      <c r="E70" s="20">
        <v>7497</v>
      </c>
      <c r="F70" s="20">
        <v>2400</v>
      </c>
      <c r="G70" s="20">
        <v>1669</v>
      </c>
      <c r="H70" s="20">
        <v>5596</v>
      </c>
      <c r="I70" s="41" t="s">
        <v>257</v>
      </c>
      <c r="J70" s="41" t="s">
        <v>63</v>
      </c>
    </row>
    <row r="71" spans="1:10" ht="16" x14ac:dyDescent="0.2">
      <c r="A71">
        <v>70</v>
      </c>
      <c r="B71">
        <v>66</v>
      </c>
      <c r="C71" t="s">
        <v>68</v>
      </c>
      <c r="D71" s="20">
        <v>439500</v>
      </c>
      <c r="E71" t="s">
        <v>9445</v>
      </c>
      <c r="F71" s="20">
        <v>3745</v>
      </c>
      <c r="G71" s="20">
        <v>1550</v>
      </c>
      <c r="H71" s="20">
        <v>3950</v>
      </c>
      <c r="I71" s="41" t="s">
        <v>253</v>
      </c>
      <c r="J71" s="41" t="s">
        <v>68</v>
      </c>
    </row>
    <row r="72" spans="1:10" ht="16" x14ac:dyDescent="0.2">
      <c r="A72">
        <v>71</v>
      </c>
      <c r="B72">
        <v>68</v>
      </c>
      <c r="C72" t="s">
        <v>9542</v>
      </c>
      <c r="D72" s="20">
        <v>437838</v>
      </c>
      <c r="E72" s="20">
        <v>38899</v>
      </c>
      <c r="F72" s="20">
        <v>2409</v>
      </c>
      <c r="G72" s="20">
        <v>2281</v>
      </c>
      <c r="H72" s="20">
        <v>5795</v>
      </c>
      <c r="I72" s="41" t="s">
        <v>357</v>
      </c>
      <c r="J72" s="41"/>
    </row>
    <row r="73" spans="1:10" ht="16" x14ac:dyDescent="0.2">
      <c r="A73">
        <v>72</v>
      </c>
      <c r="B73">
        <v>72</v>
      </c>
      <c r="C73" t="s">
        <v>78</v>
      </c>
      <c r="D73" s="20">
        <v>430261</v>
      </c>
      <c r="E73" t="s">
        <v>9445</v>
      </c>
      <c r="F73" s="20">
        <v>1760</v>
      </c>
      <c r="G73" s="20">
        <v>1450</v>
      </c>
      <c r="H73" s="20">
        <v>6000</v>
      </c>
      <c r="I73" s="41" t="s">
        <v>277</v>
      </c>
      <c r="J73" s="41" t="s">
        <v>78</v>
      </c>
    </row>
    <row r="74" spans="1:10" ht="16" x14ac:dyDescent="0.2">
      <c r="A74">
        <v>73</v>
      </c>
      <c r="B74">
        <v>71</v>
      </c>
      <c r="C74" t="s">
        <v>9543</v>
      </c>
      <c r="D74" s="20">
        <v>415541</v>
      </c>
      <c r="E74" t="s">
        <v>9445</v>
      </c>
      <c r="F74" s="20">
        <v>2617</v>
      </c>
      <c r="G74" s="20">
        <v>1365</v>
      </c>
      <c r="H74" s="20">
        <v>4410</v>
      </c>
      <c r="I74" s="41" t="s">
        <v>8722</v>
      </c>
      <c r="J74" s="41" t="s">
        <v>8721</v>
      </c>
    </row>
    <row r="75" spans="1:10" ht="16" x14ac:dyDescent="0.2">
      <c r="A75">
        <v>74</v>
      </c>
      <c r="B75">
        <v>73</v>
      </c>
      <c r="C75" t="s">
        <v>8534</v>
      </c>
      <c r="D75" s="20">
        <v>413000</v>
      </c>
      <c r="E75" t="s">
        <v>9445</v>
      </c>
      <c r="F75" t="s">
        <v>9445</v>
      </c>
      <c r="G75" s="20">
        <v>2613</v>
      </c>
      <c r="H75" s="20">
        <v>3404</v>
      </c>
      <c r="I75" s="41" t="s">
        <v>8535</v>
      </c>
      <c r="J75" s="41" t="s">
        <v>8534</v>
      </c>
    </row>
    <row r="76" spans="1:10" ht="16" x14ac:dyDescent="0.2">
      <c r="A76">
        <v>75</v>
      </c>
      <c r="B76">
        <v>79</v>
      </c>
      <c r="C76" t="s">
        <v>349</v>
      </c>
      <c r="D76" s="20">
        <v>412500</v>
      </c>
      <c r="E76" t="s">
        <v>9445</v>
      </c>
      <c r="F76" s="20">
        <v>3150</v>
      </c>
      <c r="G76" s="20">
        <v>1670</v>
      </c>
      <c r="H76" s="20">
        <v>3500</v>
      </c>
      <c r="I76" s="41" t="s">
        <v>357</v>
      </c>
      <c r="J76" s="41" t="s">
        <v>349</v>
      </c>
    </row>
    <row r="77" spans="1:10" ht="16" x14ac:dyDescent="0.2">
      <c r="A77">
        <v>76</v>
      </c>
      <c r="B77">
        <v>81</v>
      </c>
      <c r="C77" t="s">
        <v>9546</v>
      </c>
      <c r="D77" s="20">
        <v>400977</v>
      </c>
      <c r="E77" s="20">
        <v>26309</v>
      </c>
      <c r="F77" t="s">
        <v>9445</v>
      </c>
      <c r="G77" s="20">
        <v>1272</v>
      </c>
      <c r="H77" s="20">
        <v>6065</v>
      </c>
      <c r="I77" s="41" t="s">
        <v>283</v>
      </c>
      <c r="J77" s="41" t="s">
        <v>194</v>
      </c>
    </row>
    <row r="78" spans="1:10" ht="16" x14ac:dyDescent="0.2">
      <c r="A78">
        <v>77</v>
      </c>
      <c r="B78" t="s">
        <v>9445</v>
      </c>
      <c r="C78" t="s">
        <v>9557</v>
      </c>
      <c r="D78" s="20">
        <v>400000</v>
      </c>
      <c r="E78" t="s">
        <v>9445</v>
      </c>
      <c r="F78" t="s">
        <v>9445</v>
      </c>
      <c r="G78">
        <v>29</v>
      </c>
      <c r="H78">
        <v>27</v>
      </c>
      <c r="I78" s="41" t="s">
        <v>357</v>
      </c>
      <c r="J78" s="41"/>
    </row>
    <row r="79" spans="1:10" ht="16" x14ac:dyDescent="0.2">
      <c r="A79">
        <v>78</v>
      </c>
      <c r="B79">
        <v>76</v>
      </c>
      <c r="C79" t="s">
        <v>9544</v>
      </c>
      <c r="D79" s="20">
        <v>384473</v>
      </c>
      <c r="E79" t="s">
        <v>9445</v>
      </c>
      <c r="F79" s="20">
        <v>2336</v>
      </c>
      <c r="G79" s="20">
        <v>1983</v>
      </c>
      <c r="H79" s="20">
        <v>4873</v>
      </c>
      <c r="I79" s="41" t="s">
        <v>280</v>
      </c>
      <c r="J79" s="41" t="s">
        <v>7567</v>
      </c>
    </row>
    <row r="80" spans="1:10" ht="16" x14ac:dyDescent="0.2">
      <c r="A80">
        <v>79</v>
      </c>
      <c r="B80">
        <v>78</v>
      </c>
      <c r="C80" t="s">
        <v>2114</v>
      </c>
      <c r="D80" s="20">
        <v>373000</v>
      </c>
      <c r="E80" t="s">
        <v>9445</v>
      </c>
      <c r="F80" s="20">
        <v>2697</v>
      </c>
      <c r="G80">
        <v>946</v>
      </c>
      <c r="H80" s="20">
        <v>1936</v>
      </c>
      <c r="I80" s="41" t="s">
        <v>287</v>
      </c>
      <c r="J80" s="41" t="s">
        <v>2114</v>
      </c>
    </row>
    <row r="81" spans="1:10" ht="16" x14ac:dyDescent="0.2">
      <c r="A81">
        <v>80</v>
      </c>
      <c r="B81">
        <v>80</v>
      </c>
      <c r="C81" t="s">
        <v>9545</v>
      </c>
      <c r="D81" s="20">
        <v>352068</v>
      </c>
      <c r="E81" t="s">
        <v>9445</v>
      </c>
      <c r="F81" s="20">
        <v>2122</v>
      </c>
      <c r="G81" s="20">
        <v>1648</v>
      </c>
      <c r="H81" s="20">
        <v>2480</v>
      </c>
      <c r="I81" s="41" t="s">
        <v>357</v>
      </c>
      <c r="J81" s="41"/>
    </row>
    <row r="82" spans="1:10" ht="16" x14ac:dyDescent="0.2">
      <c r="A82">
        <v>81</v>
      </c>
      <c r="B82">
        <v>87</v>
      </c>
      <c r="C82" t="s">
        <v>143</v>
      </c>
      <c r="D82" s="20">
        <v>339920</v>
      </c>
      <c r="E82" t="s">
        <v>9445</v>
      </c>
      <c r="F82">
        <v>190</v>
      </c>
      <c r="G82" s="20">
        <v>1037</v>
      </c>
      <c r="H82" s="20">
        <v>1846</v>
      </c>
      <c r="I82" s="41" t="s">
        <v>357</v>
      </c>
      <c r="J82" s="41"/>
    </row>
    <row r="83" spans="1:10" ht="16" x14ac:dyDescent="0.2">
      <c r="A83">
        <v>82</v>
      </c>
      <c r="B83">
        <v>84</v>
      </c>
      <c r="C83" t="s">
        <v>351</v>
      </c>
      <c r="D83" s="20">
        <v>332490</v>
      </c>
      <c r="E83" t="s">
        <v>9445</v>
      </c>
      <c r="F83" s="20">
        <v>2300</v>
      </c>
      <c r="G83" s="20">
        <v>1658</v>
      </c>
      <c r="H83">
        <v>148</v>
      </c>
      <c r="I83" s="41" t="s">
        <v>357</v>
      </c>
      <c r="J83" s="41"/>
    </row>
    <row r="84" spans="1:10" ht="16" x14ac:dyDescent="0.2">
      <c r="A84">
        <v>83</v>
      </c>
      <c r="B84">
        <v>82</v>
      </c>
      <c r="C84" t="s">
        <v>352</v>
      </c>
      <c r="D84" s="20">
        <v>320700</v>
      </c>
      <c r="E84" t="s">
        <v>9445</v>
      </c>
      <c r="F84" t="s">
        <v>9445</v>
      </c>
      <c r="G84" t="s">
        <v>9445</v>
      </c>
      <c r="H84" t="s">
        <v>9445</v>
      </c>
      <c r="I84" s="41" t="s">
        <v>3904</v>
      </c>
      <c r="J84" s="41" t="s">
        <v>352</v>
      </c>
    </row>
    <row r="85" spans="1:10" ht="16" x14ac:dyDescent="0.2">
      <c r="A85">
        <v>84</v>
      </c>
      <c r="B85">
        <v>94</v>
      </c>
      <c r="C85" t="s">
        <v>9550</v>
      </c>
      <c r="D85" s="20">
        <v>314303</v>
      </c>
      <c r="E85" t="s">
        <v>9445</v>
      </c>
      <c r="F85" t="s">
        <v>9445</v>
      </c>
      <c r="G85">
        <v>713</v>
      </c>
      <c r="H85" s="20">
        <v>1092</v>
      </c>
      <c r="I85" s="41" t="s">
        <v>357</v>
      </c>
      <c r="J85" s="41"/>
    </row>
    <row r="86" spans="1:10" ht="16" x14ac:dyDescent="0.2">
      <c r="A86">
        <v>85</v>
      </c>
      <c r="B86">
        <v>83</v>
      </c>
      <c r="C86" t="s">
        <v>97</v>
      </c>
      <c r="D86" s="20">
        <v>302004</v>
      </c>
      <c r="E86" t="s">
        <v>9445</v>
      </c>
      <c r="F86" s="20">
        <v>1265</v>
      </c>
      <c r="G86" s="20">
        <v>1231</v>
      </c>
      <c r="H86" s="20">
        <v>1231</v>
      </c>
      <c r="I86" s="41" t="s">
        <v>312</v>
      </c>
      <c r="J86" s="41" t="s">
        <v>97</v>
      </c>
    </row>
    <row r="87" spans="1:10" ht="16" x14ac:dyDescent="0.2">
      <c r="A87">
        <v>86</v>
      </c>
      <c r="B87">
        <v>88</v>
      </c>
      <c r="C87" t="s">
        <v>9548</v>
      </c>
      <c r="D87" s="20">
        <v>280000</v>
      </c>
      <c r="E87" t="s">
        <v>9445</v>
      </c>
      <c r="F87" t="s">
        <v>9445</v>
      </c>
      <c r="G87" s="20">
        <v>1135</v>
      </c>
      <c r="H87" s="20">
        <v>1823</v>
      </c>
      <c r="I87" s="41" t="s">
        <v>270</v>
      </c>
      <c r="J87" s="41" t="s">
        <v>90</v>
      </c>
    </row>
    <row r="88" spans="1:10" ht="16" x14ac:dyDescent="0.2">
      <c r="A88">
        <v>87</v>
      </c>
      <c r="B88">
        <v>92</v>
      </c>
      <c r="C88" t="s">
        <v>5160</v>
      </c>
      <c r="D88" s="20">
        <v>278494</v>
      </c>
      <c r="E88" t="s">
        <v>9445</v>
      </c>
      <c r="F88">
        <v>800</v>
      </c>
      <c r="G88" s="20">
        <v>1250</v>
      </c>
      <c r="H88" s="20">
        <v>1965</v>
      </c>
      <c r="I88" s="41" t="s">
        <v>5161</v>
      </c>
      <c r="J88" s="41" t="s">
        <v>5160</v>
      </c>
    </row>
    <row r="89" spans="1:10" ht="16" x14ac:dyDescent="0.2">
      <c r="A89">
        <v>88</v>
      </c>
      <c r="B89">
        <v>91</v>
      </c>
      <c r="C89" t="s">
        <v>9549</v>
      </c>
      <c r="D89" s="20">
        <v>277471</v>
      </c>
      <c r="E89" t="s">
        <v>9445</v>
      </c>
      <c r="F89" s="20">
        <v>1190</v>
      </c>
      <c r="G89" s="20">
        <v>1183</v>
      </c>
      <c r="H89" s="20">
        <v>2233</v>
      </c>
      <c r="I89" s="41" t="s">
        <v>4481</v>
      </c>
      <c r="J89" s="42" t="s">
        <v>9563</v>
      </c>
    </row>
    <row r="90" spans="1:10" ht="16" x14ac:dyDescent="0.2">
      <c r="A90">
        <v>89</v>
      </c>
      <c r="B90">
        <v>85</v>
      </c>
      <c r="C90" t="s">
        <v>192</v>
      </c>
      <c r="D90" s="20">
        <v>277000</v>
      </c>
      <c r="E90" t="s">
        <v>9445</v>
      </c>
      <c r="F90" s="20">
        <v>1190</v>
      </c>
      <c r="G90" s="20">
        <v>1053</v>
      </c>
      <c r="H90" s="20">
        <v>5476</v>
      </c>
      <c r="I90" s="41" t="s">
        <v>281</v>
      </c>
      <c r="J90" s="41" t="s">
        <v>192</v>
      </c>
    </row>
    <row r="91" spans="1:10" ht="16" x14ac:dyDescent="0.2">
      <c r="A91">
        <v>90</v>
      </c>
      <c r="B91">
        <v>86</v>
      </c>
      <c r="C91" t="s">
        <v>9547</v>
      </c>
      <c r="D91" s="20">
        <v>274000</v>
      </c>
      <c r="E91" t="s">
        <v>9445</v>
      </c>
      <c r="F91" t="s">
        <v>9445</v>
      </c>
      <c r="G91">
        <v>344</v>
      </c>
      <c r="H91" s="20">
        <v>1220</v>
      </c>
      <c r="I91" s="41" t="s">
        <v>811</v>
      </c>
      <c r="J91" s="41" t="s">
        <v>810</v>
      </c>
    </row>
    <row r="92" spans="1:10" ht="16" x14ac:dyDescent="0.2">
      <c r="A92">
        <v>91</v>
      </c>
      <c r="B92">
        <v>90</v>
      </c>
      <c r="C92" t="s">
        <v>340</v>
      </c>
      <c r="D92" s="20">
        <v>271000</v>
      </c>
      <c r="E92" t="s">
        <v>9445</v>
      </c>
      <c r="F92" s="20">
        <v>1050</v>
      </c>
      <c r="G92" s="20">
        <v>1000</v>
      </c>
      <c r="H92" s="20">
        <v>1700</v>
      </c>
      <c r="I92" s="41" t="s">
        <v>9430</v>
      </c>
      <c r="J92" s="41" t="s">
        <v>340</v>
      </c>
    </row>
    <row r="93" spans="1:10" ht="16" x14ac:dyDescent="0.2">
      <c r="A93">
        <v>92</v>
      </c>
      <c r="B93" t="s">
        <v>9445</v>
      </c>
      <c r="C93" t="s">
        <v>9558</v>
      </c>
      <c r="D93" s="20">
        <v>269785</v>
      </c>
      <c r="E93" t="s">
        <v>9445</v>
      </c>
      <c r="F93" s="20">
        <v>1569</v>
      </c>
      <c r="G93" s="20">
        <v>1310</v>
      </c>
      <c r="H93" s="20">
        <v>2111</v>
      </c>
      <c r="I93" s="41" t="s">
        <v>6365</v>
      </c>
      <c r="J93" s="41" t="s">
        <v>6364</v>
      </c>
    </row>
    <row r="94" spans="1:10" ht="16" x14ac:dyDescent="0.2">
      <c r="A94">
        <v>93</v>
      </c>
      <c r="B94">
        <v>77</v>
      </c>
      <c r="C94" t="s">
        <v>144</v>
      </c>
      <c r="D94" s="20">
        <v>266000</v>
      </c>
      <c r="E94" t="s">
        <v>9445</v>
      </c>
      <c r="F94" t="s">
        <v>9445</v>
      </c>
      <c r="G94" s="20">
        <v>2001</v>
      </c>
      <c r="H94" s="20">
        <v>8012</v>
      </c>
      <c r="I94" s="41" t="s">
        <v>285</v>
      </c>
      <c r="J94" s="41" t="s">
        <v>144</v>
      </c>
    </row>
    <row r="95" spans="1:10" ht="16" x14ac:dyDescent="0.2">
      <c r="A95">
        <v>94</v>
      </c>
      <c r="B95">
        <v>97</v>
      </c>
      <c r="C95" t="s">
        <v>353</v>
      </c>
      <c r="D95" s="20">
        <v>261403</v>
      </c>
      <c r="E95" t="s">
        <v>9445</v>
      </c>
      <c r="F95" s="20">
        <v>1725</v>
      </c>
      <c r="G95" s="20">
        <v>1060</v>
      </c>
      <c r="H95" s="20">
        <v>2250</v>
      </c>
      <c r="I95" s="41" t="s">
        <v>6215</v>
      </c>
      <c r="J95" s="41" t="s">
        <v>353</v>
      </c>
    </row>
    <row r="96" spans="1:10" ht="16" x14ac:dyDescent="0.2">
      <c r="A96">
        <v>95</v>
      </c>
      <c r="B96">
        <v>100</v>
      </c>
      <c r="C96" t="s">
        <v>108</v>
      </c>
      <c r="D96" s="20">
        <v>259370</v>
      </c>
      <c r="E96" t="s">
        <v>9445</v>
      </c>
      <c r="F96" s="20">
        <v>1100</v>
      </c>
      <c r="G96">
        <v>858</v>
      </c>
      <c r="H96" s="20">
        <v>1132</v>
      </c>
      <c r="I96" s="41" t="s">
        <v>296</v>
      </c>
      <c r="J96" s="41" t="s">
        <v>108</v>
      </c>
    </row>
    <row r="97" spans="1:10" ht="16" x14ac:dyDescent="0.2">
      <c r="A97">
        <v>96</v>
      </c>
      <c r="B97">
        <v>89</v>
      </c>
      <c r="C97" t="s">
        <v>134</v>
      </c>
      <c r="D97" s="20">
        <v>258734</v>
      </c>
      <c r="E97" t="s">
        <v>9445</v>
      </c>
      <c r="F97" s="20">
        <v>1850</v>
      </c>
      <c r="G97" s="20">
        <v>1469</v>
      </c>
      <c r="H97" s="20">
        <v>3300</v>
      </c>
      <c r="I97" s="41" t="s">
        <v>266</v>
      </c>
      <c r="J97" s="41" t="s">
        <v>134</v>
      </c>
    </row>
    <row r="98" spans="1:10" ht="16" x14ac:dyDescent="0.2">
      <c r="A98">
        <v>97</v>
      </c>
      <c r="B98">
        <v>93</v>
      </c>
      <c r="C98" t="s">
        <v>126</v>
      </c>
      <c r="D98" s="20">
        <v>256000</v>
      </c>
      <c r="E98" t="s">
        <v>9445</v>
      </c>
      <c r="F98" t="s">
        <v>9445</v>
      </c>
      <c r="G98" s="20">
        <v>1003</v>
      </c>
      <c r="H98" s="20">
        <v>1347</v>
      </c>
      <c r="I98" s="41" t="s">
        <v>319</v>
      </c>
      <c r="J98" s="41" t="s">
        <v>126</v>
      </c>
    </row>
    <row r="99" spans="1:10" ht="16" x14ac:dyDescent="0.2">
      <c r="A99">
        <v>98</v>
      </c>
      <c r="B99">
        <v>99</v>
      </c>
      <c r="C99" t="s">
        <v>9553</v>
      </c>
      <c r="D99" s="20">
        <v>252300</v>
      </c>
      <c r="E99" s="20">
        <v>14500</v>
      </c>
      <c r="F99" s="20">
        <v>1370</v>
      </c>
      <c r="G99" s="20">
        <v>1100</v>
      </c>
      <c r="H99" s="20">
        <v>2000</v>
      </c>
      <c r="I99" s="41" t="s">
        <v>357</v>
      </c>
      <c r="J99" s="41"/>
    </row>
    <row r="100" spans="1:10" ht="16" x14ac:dyDescent="0.2">
      <c r="A100">
        <v>99</v>
      </c>
      <c r="B100">
        <v>96</v>
      </c>
      <c r="C100" t="s">
        <v>9551</v>
      </c>
      <c r="D100" s="20">
        <v>244696</v>
      </c>
      <c r="E100" s="20">
        <v>13138</v>
      </c>
      <c r="F100">
        <v>222</v>
      </c>
      <c r="G100">
        <v>809</v>
      </c>
      <c r="H100" s="20">
        <v>1112</v>
      </c>
      <c r="I100" s="41" t="s">
        <v>313</v>
      </c>
      <c r="J100" s="41" t="s">
        <v>5594</v>
      </c>
    </row>
    <row r="101" spans="1:10" ht="16" x14ac:dyDescent="0.2">
      <c r="A101">
        <v>100</v>
      </c>
      <c r="B101" t="s">
        <v>9445</v>
      </c>
      <c r="C101" t="s">
        <v>9559</v>
      </c>
      <c r="D101" s="20">
        <v>239000</v>
      </c>
      <c r="E101" t="s">
        <v>9445</v>
      </c>
      <c r="F101" s="20">
        <v>1900</v>
      </c>
      <c r="G101" s="20">
        <v>1315</v>
      </c>
      <c r="H101" s="20">
        <v>1314</v>
      </c>
      <c r="I101" s="41" t="s">
        <v>309</v>
      </c>
      <c r="J101" s="41" t="s">
        <v>2193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88"/>
  <sheetViews>
    <sheetView tabSelected="1" topLeftCell="A578" workbookViewId="0">
      <selection activeCell="E605" sqref="E605"/>
    </sheetView>
  </sheetViews>
  <sheetFormatPr baseColWidth="10" defaultColWidth="11.5" defaultRowHeight="15" x14ac:dyDescent="0.2"/>
  <cols>
    <col min="1" max="1" width="25" customWidth="1"/>
  </cols>
  <sheetData>
    <row r="1" spans="1:20" x14ac:dyDescent="0.2">
      <c r="A1" t="s">
        <v>359</v>
      </c>
      <c r="C1" t="s">
        <v>360</v>
      </c>
    </row>
    <row r="2" spans="1:20" x14ac:dyDescent="0.2">
      <c r="A2" t="s">
        <v>361</v>
      </c>
      <c r="L2" t="s">
        <v>362</v>
      </c>
    </row>
    <row r="3" spans="1:20" x14ac:dyDescent="0.2">
      <c r="A3" t="s">
        <v>363</v>
      </c>
      <c r="L3" t="e">
        <f>cou</f>
        <v>#NAME?</v>
      </c>
    </row>
    <row r="4" spans="1:20" x14ac:dyDescent="0.2">
      <c r="A4" t="s">
        <v>364</v>
      </c>
    </row>
    <row r="6" spans="1:20" x14ac:dyDescent="0.2">
      <c r="A6" t="s">
        <v>365</v>
      </c>
      <c r="G6" t="s">
        <v>366</v>
      </c>
    </row>
    <row r="7" spans="1:20" x14ac:dyDescent="0.2">
      <c r="G7" t="s">
        <v>367</v>
      </c>
      <c r="M7" t="s">
        <v>368</v>
      </c>
    </row>
    <row r="8" spans="1:20" x14ac:dyDescent="0.2">
      <c r="A8" t="s">
        <v>369</v>
      </c>
      <c r="B8" t="s">
        <v>370</v>
      </c>
      <c r="C8" t="s">
        <v>371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 t="s">
        <v>377</v>
      </c>
      <c r="J8" t="s">
        <v>378</v>
      </c>
      <c r="K8" t="s">
        <v>379</v>
      </c>
      <c r="L8" t="s">
        <v>380</v>
      </c>
      <c r="M8" t="s">
        <v>381</v>
      </c>
      <c r="N8" t="s">
        <v>382</v>
      </c>
      <c r="O8" t="s">
        <v>383</v>
      </c>
      <c r="P8" t="s">
        <v>384</v>
      </c>
      <c r="Q8" t="s">
        <v>385</v>
      </c>
      <c r="R8" t="s">
        <v>386</v>
      </c>
      <c r="T8" t="s">
        <v>202</v>
      </c>
    </row>
    <row r="9" spans="1:20" x14ac:dyDescent="0.2">
      <c r="A9" t="s">
        <v>387</v>
      </c>
      <c r="B9" t="s">
        <v>388</v>
      </c>
      <c r="C9" t="s">
        <v>388</v>
      </c>
      <c r="E9" t="s">
        <v>389</v>
      </c>
      <c r="F9" t="s">
        <v>390</v>
      </c>
      <c r="G9">
        <v>5</v>
      </c>
      <c r="H9">
        <v>2460</v>
      </c>
      <c r="I9">
        <v>5</v>
      </c>
      <c r="J9">
        <v>28.5</v>
      </c>
      <c r="K9">
        <v>5</v>
      </c>
      <c r="L9">
        <v>1.2749999999999999</v>
      </c>
      <c r="M9">
        <v>5</v>
      </c>
      <c r="N9">
        <v>492.5</v>
      </c>
      <c r="O9">
        <v>5</v>
      </c>
      <c r="P9">
        <v>3.35</v>
      </c>
      <c r="Q9">
        <v>5</v>
      </c>
      <c r="R9">
        <v>0.17699999999999999</v>
      </c>
      <c r="T9" t="s">
        <v>389</v>
      </c>
    </row>
    <row r="10" spans="1:20" x14ac:dyDescent="0.2">
      <c r="A10" t="s">
        <v>391</v>
      </c>
      <c r="B10" t="s">
        <v>388</v>
      </c>
      <c r="C10" t="s">
        <v>388</v>
      </c>
      <c r="E10" t="s">
        <v>392</v>
      </c>
      <c r="F10" t="s">
        <v>393</v>
      </c>
      <c r="G10">
        <v>5</v>
      </c>
      <c r="H10">
        <v>2460</v>
      </c>
      <c r="I10">
        <v>5</v>
      </c>
      <c r="J10">
        <v>28.5</v>
      </c>
      <c r="K10">
        <v>4</v>
      </c>
      <c r="L10">
        <v>1.0249999999999999</v>
      </c>
      <c r="M10">
        <v>5</v>
      </c>
      <c r="N10">
        <v>492.5</v>
      </c>
      <c r="O10">
        <v>5</v>
      </c>
      <c r="P10">
        <v>3.35</v>
      </c>
      <c r="Q10">
        <v>4</v>
      </c>
      <c r="R10">
        <v>0.13900000000000001</v>
      </c>
      <c r="T10" t="s">
        <v>392</v>
      </c>
    </row>
    <row r="11" spans="1:20" x14ac:dyDescent="0.2">
      <c r="A11" t="s">
        <v>394</v>
      </c>
      <c r="B11" t="s">
        <v>388</v>
      </c>
      <c r="C11" t="s">
        <v>388</v>
      </c>
      <c r="E11" t="s">
        <v>395</v>
      </c>
      <c r="F11" t="s">
        <v>396</v>
      </c>
      <c r="G11">
        <v>5</v>
      </c>
      <c r="H11">
        <v>2460</v>
      </c>
      <c r="I11">
        <v>5</v>
      </c>
      <c r="J11">
        <v>28.5</v>
      </c>
      <c r="K11">
        <v>4</v>
      </c>
      <c r="L11">
        <v>1.0249999999999999</v>
      </c>
      <c r="M11">
        <v>5</v>
      </c>
      <c r="N11">
        <v>492.5</v>
      </c>
      <c r="O11">
        <v>5</v>
      </c>
      <c r="P11">
        <v>3.35</v>
      </c>
      <c r="Q11">
        <v>4</v>
      </c>
      <c r="R11">
        <v>0.13900000000000001</v>
      </c>
      <c r="T11" t="s">
        <v>395</v>
      </c>
    </row>
    <row r="12" spans="1:20" x14ac:dyDescent="0.2">
      <c r="A12" t="s">
        <v>397</v>
      </c>
      <c r="B12" t="s">
        <v>388</v>
      </c>
      <c r="C12" t="s">
        <v>388</v>
      </c>
      <c r="E12" t="s">
        <v>398</v>
      </c>
      <c r="F12" t="s">
        <v>399</v>
      </c>
      <c r="G12">
        <v>4</v>
      </c>
      <c r="H12">
        <v>2250</v>
      </c>
      <c r="I12">
        <v>3</v>
      </c>
      <c r="J12">
        <v>18.5</v>
      </c>
      <c r="K12">
        <v>3</v>
      </c>
      <c r="L12">
        <v>0.77500000000000002</v>
      </c>
      <c r="M12">
        <v>2</v>
      </c>
      <c r="N12">
        <v>207.5</v>
      </c>
      <c r="O12">
        <v>2</v>
      </c>
      <c r="P12">
        <v>1.25</v>
      </c>
      <c r="Q12">
        <v>5</v>
      </c>
      <c r="R12">
        <v>0.17699999999999999</v>
      </c>
      <c r="T12" t="s">
        <v>398</v>
      </c>
    </row>
    <row r="13" spans="1:20" x14ac:dyDescent="0.2">
      <c r="A13" t="s">
        <v>400</v>
      </c>
      <c r="B13" t="s">
        <v>388</v>
      </c>
      <c r="C13" t="s">
        <v>388</v>
      </c>
      <c r="E13" t="s">
        <v>401</v>
      </c>
      <c r="F13" t="s">
        <v>402</v>
      </c>
      <c r="G13">
        <v>4</v>
      </c>
      <c r="H13">
        <v>2250</v>
      </c>
      <c r="I13">
        <v>5</v>
      </c>
      <c r="J13">
        <v>28.5</v>
      </c>
      <c r="K13">
        <v>4</v>
      </c>
      <c r="L13">
        <v>1.0249999999999999</v>
      </c>
      <c r="M13">
        <v>4</v>
      </c>
      <c r="N13">
        <v>397.5</v>
      </c>
      <c r="O13">
        <v>4</v>
      </c>
      <c r="P13">
        <v>2.65</v>
      </c>
      <c r="Q13">
        <v>4</v>
      </c>
      <c r="R13">
        <v>0.13900000000000001</v>
      </c>
      <c r="T13" t="s">
        <v>401</v>
      </c>
    </row>
    <row r="14" spans="1:20" x14ac:dyDescent="0.2">
      <c r="A14" t="s">
        <v>403</v>
      </c>
      <c r="B14" t="s">
        <v>388</v>
      </c>
      <c r="C14" t="s">
        <v>388</v>
      </c>
      <c r="E14" t="s">
        <v>404</v>
      </c>
      <c r="F14" t="s">
        <v>405</v>
      </c>
      <c r="G14">
        <v>4</v>
      </c>
      <c r="H14">
        <v>2250</v>
      </c>
      <c r="I14">
        <v>4</v>
      </c>
      <c r="J14">
        <v>23.5</v>
      </c>
      <c r="K14">
        <v>4</v>
      </c>
      <c r="L14">
        <v>1.0249999999999999</v>
      </c>
      <c r="M14">
        <v>4</v>
      </c>
      <c r="N14">
        <v>397.5</v>
      </c>
      <c r="O14">
        <v>4</v>
      </c>
      <c r="P14">
        <v>2.65</v>
      </c>
      <c r="Q14">
        <v>4</v>
      </c>
      <c r="R14">
        <v>0.13900000000000001</v>
      </c>
      <c r="T14" t="s">
        <v>404</v>
      </c>
    </row>
    <row r="15" spans="1:20" x14ac:dyDescent="0.2">
      <c r="A15" t="s">
        <v>406</v>
      </c>
      <c r="B15" t="s">
        <v>388</v>
      </c>
      <c r="C15" t="s">
        <v>388</v>
      </c>
      <c r="E15" t="s">
        <v>407</v>
      </c>
      <c r="F15" t="s">
        <v>408</v>
      </c>
      <c r="G15">
        <v>1</v>
      </c>
      <c r="H15">
        <v>1620</v>
      </c>
      <c r="I15">
        <v>1</v>
      </c>
      <c r="J15">
        <v>8.5</v>
      </c>
      <c r="K15">
        <v>1</v>
      </c>
      <c r="L15">
        <v>0.27500000000000002</v>
      </c>
      <c r="M15">
        <v>1</v>
      </c>
      <c r="N15">
        <v>112.5</v>
      </c>
      <c r="O15">
        <v>1</v>
      </c>
      <c r="P15">
        <v>0.55000000000000004</v>
      </c>
      <c r="Q15">
        <v>1</v>
      </c>
      <c r="R15">
        <v>2.5000000000000001E-2</v>
      </c>
      <c r="T15" t="s">
        <v>407</v>
      </c>
    </row>
    <row r="16" spans="1:20" x14ac:dyDescent="0.2">
      <c r="A16" t="s">
        <v>409</v>
      </c>
      <c r="B16" t="s">
        <v>388</v>
      </c>
      <c r="C16" t="s">
        <v>388</v>
      </c>
      <c r="E16" t="s">
        <v>410</v>
      </c>
      <c r="F16" t="s">
        <v>411</v>
      </c>
      <c r="G16">
        <v>4</v>
      </c>
      <c r="H16">
        <v>2250</v>
      </c>
      <c r="I16">
        <v>4</v>
      </c>
      <c r="J16">
        <v>23.5</v>
      </c>
      <c r="K16">
        <v>4</v>
      </c>
      <c r="L16">
        <v>1.0249999999999999</v>
      </c>
      <c r="M16">
        <v>4</v>
      </c>
      <c r="N16">
        <v>397.5</v>
      </c>
      <c r="O16">
        <v>4</v>
      </c>
      <c r="P16">
        <v>2.65</v>
      </c>
      <c r="Q16">
        <v>4</v>
      </c>
      <c r="R16">
        <v>0.13900000000000001</v>
      </c>
      <c r="T16" t="s">
        <v>410</v>
      </c>
    </row>
    <row r="17" spans="1:20" x14ac:dyDescent="0.2">
      <c r="A17" t="s">
        <v>412</v>
      </c>
      <c r="B17" t="s">
        <v>388</v>
      </c>
      <c r="C17" t="s">
        <v>388</v>
      </c>
      <c r="E17" t="s">
        <v>413</v>
      </c>
      <c r="F17" t="s">
        <v>414</v>
      </c>
      <c r="G17">
        <v>1</v>
      </c>
      <c r="H17">
        <v>1620</v>
      </c>
      <c r="I17">
        <v>1</v>
      </c>
      <c r="J17">
        <v>8.5</v>
      </c>
      <c r="K17">
        <v>1</v>
      </c>
      <c r="L17">
        <v>0.27500000000000002</v>
      </c>
      <c r="M17">
        <v>2</v>
      </c>
      <c r="N17">
        <v>207.5</v>
      </c>
      <c r="O17">
        <v>2</v>
      </c>
      <c r="P17">
        <v>1.25</v>
      </c>
      <c r="Q17">
        <v>2</v>
      </c>
      <c r="R17">
        <v>6.3E-2</v>
      </c>
      <c r="T17" t="s">
        <v>413</v>
      </c>
    </row>
    <row r="18" spans="1:20" x14ac:dyDescent="0.2">
      <c r="A18" t="s">
        <v>415</v>
      </c>
      <c r="B18" t="s">
        <v>388</v>
      </c>
      <c r="C18" t="s">
        <v>388</v>
      </c>
      <c r="E18" t="s">
        <v>416</v>
      </c>
      <c r="F18" t="s">
        <v>417</v>
      </c>
      <c r="G18">
        <v>4</v>
      </c>
      <c r="H18">
        <v>2250</v>
      </c>
      <c r="I18">
        <v>3</v>
      </c>
      <c r="J18">
        <v>18.5</v>
      </c>
      <c r="K18">
        <v>3</v>
      </c>
      <c r="L18">
        <v>0.77500000000000002</v>
      </c>
      <c r="M18">
        <v>3</v>
      </c>
      <c r="N18">
        <v>302.5</v>
      </c>
      <c r="O18">
        <v>3</v>
      </c>
      <c r="P18">
        <v>1.95</v>
      </c>
      <c r="Q18">
        <v>3</v>
      </c>
      <c r="R18">
        <v>0.10100000000000001</v>
      </c>
      <c r="T18" t="s">
        <v>416</v>
      </c>
    </row>
    <row r="19" spans="1:20" x14ac:dyDescent="0.2">
      <c r="A19" t="s">
        <v>418</v>
      </c>
      <c r="B19" t="s">
        <v>388</v>
      </c>
      <c r="C19" t="s">
        <v>388</v>
      </c>
      <c r="E19" t="s">
        <v>419</v>
      </c>
      <c r="F19" t="s">
        <v>420</v>
      </c>
      <c r="G19">
        <v>1</v>
      </c>
      <c r="H19">
        <v>1620</v>
      </c>
      <c r="I19">
        <v>1</v>
      </c>
      <c r="J19">
        <v>8.5</v>
      </c>
      <c r="K19">
        <v>1</v>
      </c>
      <c r="L19">
        <v>0.27500000000000002</v>
      </c>
      <c r="M19">
        <v>1</v>
      </c>
      <c r="N19">
        <v>112.5</v>
      </c>
      <c r="O19">
        <v>1</v>
      </c>
      <c r="P19">
        <v>0.55000000000000004</v>
      </c>
      <c r="Q19">
        <v>1</v>
      </c>
      <c r="R19">
        <v>2.5000000000000001E-2</v>
      </c>
      <c r="T19" t="s">
        <v>419</v>
      </c>
    </row>
    <row r="20" spans="1:20" x14ac:dyDescent="0.2">
      <c r="A20" t="s">
        <v>421</v>
      </c>
      <c r="B20" t="s">
        <v>388</v>
      </c>
      <c r="C20" t="s">
        <v>388</v>
      </c>
      <c r="E20" t="s">
        <v>422</v>
      </c>
      <c r="F20" t="s">
        <v>423</v>
      </c>
      <c r="G20">
        <v>3</v>
      </c>
      <c r="H20">
        <v>2040</v>
      </c>
      <c r="I20">
        <v>3</v>
      </c>
      <c r="J20">
        <v>18.5</v>
      </c>
      <c r="K20">
        <v>3</v>
      </c>
      <c r="L20">
        <v>0.77500000000000002</v>
      </c>
      <c r="M20">
        <v>3</v>
      </c>
      <c r="N20">
        <v>302.5</v>
      </c>
      <c r="O20">
        <v>3</v>
      </c>
      <c r="P20">
        <v>1.95</v>
      </c>
      <c r="Q20">
        <v>3</v>
      </c>
      <c r="R20">
        <v>0.10100000000000001</v>
      </c>
      <c r="T20" t="s">
        <v>422</v>
      </c>
    </row>
    <row r="21" spans="1:20" x14ac:dyDescent="0.2">
      <c r="A21" t="s">
        <v>424</v>
      </c>
      <c r="B21" t="s">
        <v>388</v>
      </c>
      <c r="C21" t="s">
        <v>388</v>
      </c>
      <c r="E21" t="s">
        <v>425</v>
      </c>
      <c r="F21" t="s">
        <v>426</v>
      </c>
      <c r="G21">
        <v>1</v>
      </c>
      <c r="H21">
        <v>1620</v>
      </c>
      <c r="I21">
        <v>3</v>
      </c>
      <c r="J21">
        <v>18.5</v>
      </c>
      <c r="K21">
        <v>2</v>
      </c>
      <c r="L21">
        <v>0.52500000000000002</v>
      </c>
      <c r="M21">
        <v>1</v>
      </c>
      <c r="N21">
        <v>112.5</v>
      </c>
      <c r="O21">
        <v>1</v>
      </c>
      <c r="P21">
        <v>0.55000000000000004</v>
      </c>
      <c r="Q21">
        <v>1</v>
      </c>
      <c r="R21">
        <v>2.5000000000000001E-2</v>
      </c>
      <c r="T21" t="s">
        <v>425</v>
      </c>
    </row>
    <row r="22" spans="1:20" x14ac:dyDescent="0.2">
      <c r="A22" t="s">
        <v>427</v>
      </c>
      <c r="B22" t="s">
        <v>388</v>
      </c>
      <c r="C22" t="s">
        <v>388</v>
      </c>
      <c r="E22" t="s">
        <v>428</v>
      </c>
      <c r="F22" t="s">
        <v>429</v>
      </c>
      <c r="G22">
        <v>2</v>
      </c>
      <c r="H22">
        <v>1830</v>
      </c>
      <c r="I22">
        <v>1</v>
      </c>
      <c r="J22">
        <v>8.5</v>
      </c>
      <c r="K22">
        <v>1</v>
      </c>
      <c r="L22">
        <v>0.27500000000000002</v>
      </c>
      <c r="M22">
        <v>2</v>
      </c>
      <c r="N22">
        <v>207.5</v>
      </c>
      <c r="O22">
        <v>1</v>
      </c>
      <c r="P22">
        <v>0.55000000000000004</v>
      </c>
      <c r="Q22">
        <v>1</v>
      </c>
      <c r="R22">
        <v>2.5000000000000001E-2</v>
      </c>
      <c r="T22" t="s">
        <v>428</v>
      </c>
    </row>
    <row r="23" spans="1:20" x14ac:dyDescent="0.2">
      <c r="A23" t="s">
        <v>430</v>
      </c>
      <c r="B23" t="s">
        <v>388</v>
      </c>
      <c r="C23" t="s">
        <v>388</v>
      </c>
      <c r="E23" t="s">
        <v>431</v>
      </c>
      <c r="F23" t="s">
        <v>432</v>
      </c>
      <c r="G23">
        <v>2</v>
      </c>
      <c r="H23">
        <v>1830</v>
      </c>
      <c r="I23">
        <v>2</v>
      </c>
      <c r="J23">
        <v>13.5</v>
      </c>
      <c r="K23">
        <v>2</v>
      </c>
      <c r="L23">
        <v>0.52500000000000002</v>
      </c>
      <c r="M23">
        <v>4</v>
      </c>
      <c r="N23">
        <v>397.5</v>
      </c>
      <c r="O23">
        <v>4</v>
      </c>
      <c r="P23">
        <v>2.65</v>
      </c>
      <c r="Q23">
        <v>4</v>
      </c>
      <c r="R23">
        <v>0.13900000000000001</v>
      </c>
      <c r="T23" t="s">
        <v>431</v>
      </c>
    </row>
    <row r="24" spans="1:20" x14ac:dyDescent="0.2">
      <c r="A24" t="s">
        <v>433</v>
      </c>
      <c r="B24" t="s">
        <v>388</v>
      </c>
      <c r="C24" t="s">
        <v>388</v>
      </c>
      <c r="E24" t="s">
        <v>434</v>
      </c>
      <c r="F24" t="s">
        <v>435</v>
      </c>
      <c r="G24">
        <v>5</v>
      </c>
      <c r="H24">
        <v>2460</v>
      </c>
      <c r="I24">
        <v>5</v>
      </c>
      <c r="J24">
        <v>28.5</v>
      </c>
      <c r="K24">
        <v>5</v>
      </c>
      <c r="L24">
        <v>1.2749999999999999</v>
      </c>
      <c r="M24">
        <v>5</v>
      </c>
      <c r="N24">
        <v>492.5</v>
      </c>
      <c r="O24">
        <v>5</v>
      </c>
      <c r="P24">
        <v>3.35</v>
      </c>
      <c r="Q24">
        <v>5</v>
      </c>
      <c r="R24">
        <v>0.17699999999999999</v>
      </c>
      <c r="T24" t="s">
        <v>434</v>
      </c>
    </row>
    <row r="25" spans="1:20" x14ac:dyDescent="0.2">
      <c r="A25" t="s">
        <v>436</v>
      </c>
      <c r="B25" t="s">
        <v>388</v>
      </c>
      <c r="C25" t="s">
        <v>388</v>
      </c>
      <c r="E25" t="s">
        <v>437</v>
      </c>
      <c r="F25" t="s">
        <v>438</v>
      </c>
      <c r="G25">
        <v>4</v>
      </c>
      <c r="H25">
        <v>2250</v>
      </c>
      <c r="I25">
        <v>4</v>
      </c>
      <c r="J25">
        <v>23.5</v>
      </c>
      <c r="K25">
        <v>4</v>
      </c>
      <c r="L25">
        <v>1.0249999999999999</v>
      </c>
      <c r="M25">
        <v>4</v>
      </c>
      <c r="N25">
        <v>397.5</v>
      </c>
      <c r="O25">
        <v>4</v>
      </c>
      <c r="P25">
        <v>2.65</v>
      </c>
      <c r="Q25">
        <v>5</v>
      </c>
      <c r="R25">
        <v>0.17699999999999999</v>
      </c>
      <c r="T25" t="s">
        <v>437</v>
      </c>
    </row>
    <row r="26" spans="1:20" x14ac:dyDescent="0.2">
      <c r="A26" t="s">
        <v>439</v>
      </c>
      <c r="B26" t="s">
        <v>388</v>
      </c>
      <c r="C26" t="s">
        <v>388</v>
      </c>
      <c r="E26" t="s">
        <v>440</v>
      </c>
      <c r="F26" t="s">
        <v>441</v>
      </c>
      <c r="G26">
        <v>5</v>
      </c>
      <c r="H26">
        <v>2460</v>
      </c>
      <c r="I26">
        <v>5</v>
      </c>
      <c r="J26">
        <v>28.5</v>
      </c>
      <c r="K26">
        <v>4</v>
      </c>
      <c r="L26">
        <v>1.0249999999999999</v>
      </c>
      <c r="M26">
        <v>4</v>
      </c>
      <c r="N26">
        <v>397.5</v>
      </c>
      <c r="O26">
        <v>4</v>
      </c>
      <c r="P26">
        <v>2.65</v>
      </c>
      <c r="Q26">
        <v>4</v>
      </c>
      <c r="R26">
        <v>0.13900000000000001</v>
      </c>
      <c r="T26" t="s">
        <v>440</v>
      </c>
    </row>
    <row r="27" spans="1:20" x14ac:dyDescent="0.2">
      <c r="A27" t="s">
        <v>442</v>
      </c>
      <c r="B27" t="s">
        <v>388</v>
      </c>
      <c r="C27" t="s">
        <v>388</v>
      </c>
      <c r="E27" t="s">
        <v>443</v>
      </c>
      <c r="F27" t="s">
        <v>444</v>
      </c>
      <c r="G27">
        <v>5</v>
      </c>
      <c r="H27">
        <v>2460</v>
      </c>
      <c r="I27">
        <v>5</v>
      </c>
      <c r="J27">
        <v>28.5</v>
      </c>
      <c r="K27">
        <v>4</v>
      </c>
      <c r="L27">
        <v>1.0249999999999999</v>
      </c>
      <c r="M27">
        <v>4</v>
      </c>
      <c r="N27">
        <v>397.5</v>
      </c>
      <c r="O27">
        <v>4</v>
      </c>
      <c r="P27">
        <v>2.65</v>
      </c>
      <c r="Q27">
        <v>4</v>
      </c>
      <c r="R27">
        <v>0.13900000000000001</v>
      </c>
      <c r="T27" t="s">
        <v>443</v>
      </c>
    </row>
    <row r="28" spans="1:20" x14ac:dyDescent="0.2">
      <c r="A28" t="s">
        <v>445</v>
      </c>
      <c r="B28" t="s">
        <v>388</v>
      </c>
      <c r="C28" t="s">
        <v>388</v>
      </c>
      <c r="E28" t="s">
        <v>446</v>
      </c>
      <c r="F28" t="s">
        <v>447</v>
      </c>
      <c r="G28">
        <v>1</v>
      </c>
      <c r="H28">
        <v>1620</v>
      </c>
      <c r="I28">
        <v>3</v>
      </c>
      <c r="J28">
        <v>18.5</v>
      </c>
      <c r="K28">
        <v>2</v>
      </c>
      <c r="L28">
        <v>0.52500000000000002</v>
      </c>
      <c r="M28">
        <v>1</v>
      </c>
      <c r="N28">
        <v>112.5</v>
      </c>
      <c r="O28">
        <v>1</v>
      </c>
      <c r="P28">
        <v>0.55000000000000004</v>
      </c>
      <c r="Q28">
        <v>1</v>
      </c>
      <c r="R28">
        <v>2.5000000000000001E-2</v>
      </c>
      <c r="T28" t="s">
        <v>446</v>
      </c>
    </row>
    <row r="29" spans="1:20" x14ac:dyDescent="0.2">
      <c r="A29" t="s">
        <v>448</v>
      </c>
      <c r="B29" t="s">
        <v>388</v>
      </c>
      <c r="C29" t="s">
        <v>388</v>
      </c>
      <c r="E29" t="s">
        <v>449</v>
      </c>
      <c r="F29" t="s">
        <v>447</v>
      </c>
      <c r="G29">
        <v>2</v>
      </c>
      <c r="H29">
        <v>1830</v>
      </c>
      <c r="I29">
        <v>1</v>
      </c>
      <c r="J29">
        <v>8.5</v>
      </c>
      <c r="K29">
        <v>1</v>
      </c>
      <c r="L29">
        <v>0.27500000000000002</v>
      </c>
      <c r="M29">
        <v>2</v>
      </c>
      <c r="N29">
        <v>207.5</v>
      </c>
      <c r="O29">
        <v>2</v>
      </c>
      <c r="P29">
        <v>1.25</v>
      </c>
      <c r="Q29">
        <v>2</v>
      </c>
      <c r="R29">
        <v>6.3E-2</v>
      </c>
      <c r="T29" t="s">
        <v>449</v>
      </c>
    </row>
    <row r="30" spans="1:20" x14ac:dyDescent="0.2">
      <c r="A30" t="s">
        <v>450</v>
      </c>
      <c r="B30" t="s">
        <v>388</v>
      </c>
      <c r="C30" t="s">
        <v>388</v>
      </c>
      <c r="E30" t="s">
        <v>451</v>
      </c>
      <c r="F30" t="s">
        <v>452</v>
      </c>
      <c r="G30">
        <v>4</v>
      </c>
      <c r="H30">
        <v>2250</v>
      </c>
      <c r="I30">
        <v>5</v>
      </c>
      <c r="J30">
        <v>28.5</v>
      </c>
      <c r="K30">
        <v>4</v>
      </c>
      <c r="L30">
        <v>1.0249999999999999</v>
      </c>
      <c r="M30">
        <v>5</v>
      </c>
      <c r="N30">
        <v>492.5</v>
      </c>
      <c r="O30">
        <v>5</v>
      </c>
      <c r="P30">
        <v>3.35</v>
      </c>
      <c r="Q30">
        <v>5</v>
      </c>
      <c r="R30">
        <v>0.17699999999999999</v>
      </c>
      <c r="T30" t="s">
        <v>451</v>
      </c>
    </row>
    <row r="31" spans="1:20" x14ac:dyDescent="0.2">
      <c r="A31" t="s">
        <v>453</v>
      </c>
      <c r="B31" t="s">
        <v>388</v>
      </c>
      <c r="C31" t="s">
        <v>388</v>
      </c>
      <c r="E31" t="s">
        <v>454</v>
      </c>
      <c r="F31" t="s">
        <v>455</v>
      </c>
      <c r="G31">
        <v>2</v>
      </c>
      <c r="H31">
        <v>1830</v>
      </c>
      <c r="I31">
        <v>1</v>
      </c>
      <c r="J31">
        <v>8.5</v>
      </c>
      <c r="K31">
        <v>1</v>
      </c>
      <c r="L31">
        <v>0.27500000000000002</v>
      </c>
      <c r="M31">
        <v>1</v>
      </c>
      <c r="N31">
        <v>112.5</v>
      </c>
      <c r="O31">
        <v>1</v>
      </c>
      <c r="P31">
        <v>0.55000000000000004</v>
      </c>
      <c r="Q31">
        <v>1</v>
      </c>
      <c r="R31">
        <v>2.5000000000000001E-2</v>
      </c>
      <c r="T31" t="s">
        <v>454</v>
      </c>
    </row>
    <row r="32" spans="1:20" x14ac:dyDescent="0.2">
      <c r="A32" t="s">
        <v>456</v>
      </c>
      <c r="B32" t="s">
        <v>388</v>
      </c>
      <c r="C32" t="s">
        <v>388</v>
      </c>
      <c r="E32" t="s">
        <v>457</v>
      </c>
      <c r="F32" t="s">
        <v>458</v>
      </c>
      <c r="G32">
        <v>4</v>
      </c>
      <c r="H32">
        <v>2250</v>
      </c>
      <c r="I32">
        <v>4</v>
      </c>
      <c r="J32">
        <v>23.5</v>
      </c>
      <c r="K32">
        <v>4</v>
      </c>
      <c r="L32">
        <v>1.0249999999999999</v>
      </c>
      <c r="M32">
        <v>2</v>
      </c>
      <c r="N32">
        <v>207.5</v>
      </c>
      <c r="O32">
        <v>2</v>
      </c>
      <c r="P32">
        <v>1.25</v>
      </c>
      <c r="Q32">
        <v>2</v>
      </c>
      <c r="R32">
        <v>6.3E-2</v>
      </c>
      <c r="T32" t="s">
        <v>457</v>
      </c>
    </row>
    <row r="33" spans="1:20" x14ac:dyDescent="0.2">
      <c r="A33" t="s">
        <v>459</v>
      </c>
      <c r="B33" t="s">
        <v>388</v>
      </c>
      <c r="C33" t="s">
        <v>388</v>
      </c>
      <c r="E33" t="s">
        <v>460</v>
      </c>
      <c r="F33" t="s">
        <v>461</v>
      </c>
      <c r="G33">
        <v>1</v>
      </c>
      <c r="H33">
        <v>1620</v>
      </c>
      <c r="I33">
        <v>1</v>
      </c>
      <c r="J33">
        <v>8.5</v>
      </c>
      <c r="K33">
        <v>1</v>
      </c>
      <c r="L33">
        <v>0.27500000000000002</v>
      </c>
      <c r="M33">
        <v>1</v>
      </c>
      <c r="N33">
        <v>112.5</v>
      </c>
      <c r="O33">
        <v>1</v>
      </c>
      <c r="P33">
        <v>0.55000000000000004</v>
      </c>
      <c r="Q33">
        <v>1</v>
      </c>
      <c r="R33">
        <v>2.5000000000000001E-2</v>
      </c>
      <c r="T33" t="s">
        <v>460</v>
      </c>
    </row>
    <row r="34" spans="1:20" x14ac:dyDescent="0.2">
      <c r="A34" t="s">
        <v>462</v>
      </c>
      <c r="B34" t="s">
        <v>388</v>
      </c>
      <c r="C34" t="s">
        <v>388</v>
      </c>
      <c r="E34" t="s">
        <v>357</v>
      </c>
      <c r="F34" t="s">
        <v>463</v>
      </c>
      <c r="G34">
        <v>3</v>
      </c>
      <c r="H34">
        <v>2040</v>
      </c>
      <c r="I34">
        <v>2</v>
      </c>
      <c r="J34">
        <v>13.5</v>
      </c>
      <c r="K34">
        <v>2</v>
      </c>
      <c r="L34">
        <v>0.52500000000000002</v>
      </c>
      <c r="M34">
        <v>2</v>
      </c>
      <c r="N34">
        <v>207.5</v>
      </c>
      <c r="O34">
        <v>2</v>
      </c>
      <c r="P34">
        <v>1.25</v>
      </c>
      <c r="Q34">
        <v>2</v>
      </c>
      <c r="R34">
        <v>6.3E-2</v>
      </c>
      <c r="T34" t="s">
        <v>357</v>
      </c>
    </row>
    <row r="35" spans="1:20" x14ac:dyDescent="0.2">
      <c r="A35" t="s">
        <v>464</v>
      </c>
      <c r="B35" t="s">
        <v>388</v>
      </c>
      <c r="C35" t="s">
        <v>388</v>
      </c>
      <c r="E35" t="s">
        <v>465</v>
      </c>
      <c r="F35" t="s">
        <v>466</v>
      </c>
      <c r="G35">
        <v>5</v>
      </c>
      <c r="H35">
        <v>2460</v>
      </c>
      <c r="I35">
        <v>5</v>
      </c>
      <c r="J35">
        <v>28.5</v>
      </c>
      <c r="K35">
        <v>4</v>
      </c>
      <c r="L35">
        <v>1.0249999999999999</v>
      </c>
      <c r="M35">
        <v>5</v>
      </c>
      <c r="N35">
        <v>492.5</v>
      </c>
      <c r="O35">
        <v>5</v>
      </c>
      <c r="P35">
        <v>3.35</v>
      </c>
      <c r="Q35">
        <v>5</v>
      </c>
      <c r="R35">
        <v>0.17699999999999999</v>
      </c>
      <c r="T35" t="s">
        <v>465</v>
      </c>
    </row>
    <row r="36" spans="1:20" x14ac:dyDescent="0.2">
      <c r="A36" t="s">
        <v>467</v>
      </c>
      <c r="B36" t="s">
        <v>388</v>
      </c>
      <c r="C36" t="s">
        <v>388</v>
      </c>
      <c r="E36" t="s">
        <v>468</v>
      </c>
      <c r="F36" t="s">
        <v>447</v>
      </c>
      <c r="G36">
        <v>1</v>
      </c>
      <c r="H36">
        <v>1620</v>
      </c>
      <c r="I36">
        <v>1</v>
      </c>
      <c r="J36">
        <v>8.5</v>
      </c>
      <c r="K36">
        <v>1</v>
      </c>
      <c r="L36">
        <v>0.27500000000000002</v>
      </c>
      <c r="M36">
        <v>1</v>
      </c>
      <c r="N36">
        <v>112.5</v>
      </c>
      <c r="O36">
        <v>1</v>
      </c>
      <c r="P36">
        <v>0.55000000000000004</v>
      </c>
      <c r="Q36">
        <v>1</v>
      </c>
      <c r="R36">
        <v>2.5000000000000001E-2</v>
      </c>
      <c r="T36" t="s">
        <v>468</v>
      </c>
    </row>
    <row r="37" spans="1:20" x14ac:dyDescent="0.2">
      <c r="A37" t="s">
        <v>469</v>
      </c>
      <c r="B37" t="s">
        <v>388</v>
      </c>
      <c r="C37" t="s">
        <v>388</v>
      </c>
      <c r="E37" t="s">
        <v>470</v>
      </c>
      <c r="F37" t="s">
        <v>471</v>
      </c>
      <c r="G37">
        <v>4</v>
      </c>
      <c r="H37">
        <v>2250</v>
      </c>
      <c r="I37">
        <v>4</v>
      </c>
      <c r="J37">
        <v>23.5</v>
      </c>
      <c r="K37">
        <v>4</v>
      </c>
      <c r="L37">
        <v>1.0249999999999999</v>
      </c>
      <c r="M37">
        <v>4</v>
      </c>
      <c r="N37">
        <v>397.5</v>
      </c>
      <c r="O37">
        <v>4</v>
      </c>
      <c r="P37">
        <v>2.65</v>
      </c>
      <c r="Q37">
        <v>4</v>
      </c>
      <c r="R37">
        <v>0.13900000000000001</v>
      </c>
      <c r="T37" t="s">
        <v>470</v>
      </c>
    </row>
    <row r="38" spans="1:20" x14ac:dyDescent="0.2">
      <c r="A38" t="s">
        <v>472</v>
      </c>
      <c r="B38" t="s">
        <v>388</v>
      </c>
      <c r="C38" t="s">
        <v>388</v>
      </c>
      <c r="E38" t="s">
        <v>473</v>
      </c>
      <c r="F38" t="s">
        <v>474</v>
      </c>
      <c r="G38">
        <v>5</v>
      </c>
      <c r="H38">
        <v>2460</v>
      </c>
      <c r="I38">
        <v>5</v>
      </c>
      <c r="J38">
        <v>28.5</v>
      </c>
      <c r="K38">
        <v>4</v>
      </c>
      <c r="L38">
        <v>1.0249999999999999</v>
      </c>
      <c r="M38">
        <v>5</v>
      </c>
      <c r="N38">
        <v>492.5</v>
      </c>
      <c r="O38">
        <v>5</v>
      </c>
      <c r="P38">
        <v>3.35</v>
      </c>
      <c r="Q38">
        <v>4</v>
      </c>
      <c r="R38">
        <v>0.13900000000000001</v>
      </c>
      <c r="T38" t="s">
        <v>473</v>
      </c>
    </row>
    <row r="39" spans="1:20" x14ac:dyDescent="0.2">
      <c r="A39" t="s">
        <v>475</v>
      </c>
      <c r="B39" t="s">
        <v>388</v>
      </c>
      <c r="C39" t="s">
        <v>388</v>
      </c>
      <c r="E39" t="s">
        <v>476</v>
      </c>
      <c r="F39" t="s">
        <v>477</v>
      </c>
      <c r="G39">
        <v>1</v>
      </c>
      <c r="H39">
        <v>1620</v>
      </c>
      <c r="I39">
        <v>3</v>
      </c>
      <c r="J39">
        <v>18.5</v>
      </c>
      <c r="K39">
        <v>2</v>
      </c>
      <c r="L39">
        <v>0.52500000000000002</v>
      </c>
      <c r="M39">
        <v>1</v>
      </c>
      <c r="N39">
        <v>112.5</v>
      </c>
      <c r="O39">
        <v>1</v>
      </c>
      <c r="P39">
        <v>0.55000000000000004</v>
      </c>
      <c r="Q39">
        <v>1</v>
      </c>
      <c r="R39">
        <v>2.5000000000000001E-2</v>
      </c>
      <c r="T39" t="s">
        <v>476</v>
      </c>
    </row>
    <row r="40" spans="1:20" x14ac:dyDescent="0.2">
      <c r="A40" t="s">
        <v>478</v>
      </c>
      <c r="B40" t="s">
        <v>388</v>
      </c>
      <c r="C40" t="s">
        <v>388</v>
      </c>
      <c r="E40" t="s">
        <v>479</v>
      </c>
      <c r="F40" t="s">
        <v>477</v>
      </c>
      <c r="G40">
        <v>4</v>
      </c>
      <c r="H40">
        <v>2250</v>
      </c>
      <c r="I40">
        <v>4</v>
      </c>
      <c r="J40">
        <v>23.5</v>
      </c>
      <c r="K40">
        <v>3</v>
      </c>
      <c r="L40">
        <v>0.77500000000000002</v>
      </c>
      <c r="M40">
        <v>4</v>
      </c>
      <c r="N40">
        <v>397.5</v>
      </c>
      <c r="O40">
        <v>4</v>
      </c>
      <c r="P40">
        <v>2.65</v>
      </c>
      <c r="Q40">
        <v>3</v>
      </c>
      <c r="R40">
        <v>0.10100000000000001</v>
      </c>
      <c r="T40" t="s">
        <v>479</v>
      </c>
    </row>
    <row r="41" spans="1:20" x14ac:dyDescent="0.2">
      <c r="A41" t="s">
        <v>480</v>
      </c>
      <c r="B41" t="s">
        <v>388</v>
      </c>
      <c r="C41" t="s">
        <v>388</v>
      </c>
      <c r="E41" t="s">
        <v>357</v>
      </c>
      <c r="F41" t="s">
        <v>477</v>
      </c>
      <c r="G41">
        <v>1</v>
      </c>
      <c r="H41">
        <v>1620</v>
      </c>
      <c r="I41">
        <v>1</v>
      </c>
      <c r="J41">
        <v>8.5</v>
      </c>
      <c r="K41">
        <v>2</v>
      </c>
      <c r="L41">
        <v>0.52500000000000002</v>
      </c>
      <c r="M41">
        <v>2</v>
      </c>
      <c r="N41">
        <v>207.5</v>
      </c>
      <c r="O41">
        <v>2</v>
      </c>
      <c r="P41">
        <v>1.25</v>
      </c>
      <c r="Q41">
        <v>2</v>
      </c>
      <c r="R41">
        <v>6.3E-2</v>
      </c>
      <c r="T41" t="s">
        <v>357</v>
      </c>
    </row>
    <row r="42" spans="1:20" x14ac:dyDescent="0.2">
      <c r="A42" t="s">
        <v>481</v>
      </c>
      <c r="B42" t="s">
        <v>388</v>
      </c>
      <c r="C42" t="s">
        <v>388</v>
      </c>
      <c r="E42" t="s">
        <v>476</v>
      </c>
      <c r="F42" t="s">
        <v>477</v>
      </c>
      <c r="G42">
        <v>1</v>
      </c>
      <c r="H42">
        <v>1620</v>
      </c>
      <c r="I42">
        <v>3</v>
      </c>
      <c r="J42">
        <v>18.5</v>
      </c>
      <c r="K42">
        <v>2</v>
      </c>
      <c r="L42">
        <v>0.52500000000000002</v>
      </c>
      <c r="M42">
        <v>1</v>
      </c>
      <c r="N42">
        <v>112.5</v>
      </c>
      <c r="O42">
        <v>1</v>
      </c>
      <c r="P42">
        <v>0.55000000000000004</v>
      </c>
      <c r="Q42">
        <v>1</v>
      </c>
      <c r="R42">
        <v>2.5000000000000001E-2</v>
      </c>
      <c r="T42" t="s">
        <v>476</v>
      </c>
    </row>
    <row r="43" spans="1:20" x14ac:dyDescent="0.2">
      <c r="A43" t="s">
        <v>482</v>
      </c>
      <c r="B43" t="s">
        <v>388</v>
      </c>
      <c r="C43" t="s">
        <v>388</v>
      </c>
      <c r="E43" t="s">
        <v>483</v>
      </c>
      <c r="F43" t="s">
        <v>477</v>
      </c>
      <c r="G43">
        <v>2</v>
      </c>
      <c r="H43">
        <v>1830</v>
      </c>
      <c r="I43">
        <v>2</v>
      </c>
      <c r="J43">
        <v>13.5</v>
      </c>
      <c r="K43">
        <v>2</v>
      </c>
      <c r="L43">
        <v>0.52500000000000002</v>
      </c>
      <c r="M43">
        <v>2</v>
      </c>
      <c r="N43">
        <v>207.5</v>
      </c>
      <c r="O43">
        <v>2</v>
      </c>
      <c r="P43">
        <v>1.25</v>
      </c>
      <c r="Q43">
        <v>2</v>
      </c>
      <c r="R43">
        <v>6.3E-2</v>
      </c>
      <c r="T43" t="s">
        <v>483</v>
      </c>
    </row>
    <row r="44" spans="1:20" x14ac:dyDescent="0.2">
      <c r="A44" t="s">
        <v>484</v>
      </c>
      <c r="B44" t="s">
        <v>388</v>
      </c>
      <c r="C44" t="s">
        <v>388</v>
      </c>
      <c r="E44" t="s">
        <v>485</v>
      </c>
      <c r="F44" t="s">
        <v>486</v>
      </c>
      <c r="G44">
        <v>5</v>
      </c>
      <c r="H44">
        <v>2460</v>
      </c>
      <c r="I44">
        <v>5</v>
      </c>
      <c r="J44">
        <v>28.5</v>
      </c>
      <c r="K44">
        <v>5</v>
      </c>
      <c r="L44">
        <v>1.2749999999999999</v>
      </c>
      <c r="M44">
        <v>5</v>
      </c>
      <c r="N44">
        <v>492.5</v>
      </c>
      <c r="O44">
        <v>5</v>
      </c>
      <c r="P44">
        <v>3.35</v>
      </c>
      <c r="Q44">
        <v>5</v>
      </c>
      <c r="R44">
        <v>0.17699999999999999</v>
      </c>
      <c r="T44" t="s">
        <v>485</v>
      </c>
    </row>
    <row r="45" spans="1:20" x14ac:dyDescent="0.2">
      <c r="A45" t="s">
        <v>487</v>
      </c>
      <c r="B45" t="s">
        <v>388</v>
      </c>
      <c r="C45" t="s">
        <v>388</v>
      </c>
      <c r="E45" t="s">
        <v>357</v>
      </c>
      <c r="F45" t="s">
        <v>488</v>
      </c>
      <c r="G45">
        <v>1</v>
      </c>
      <c r="H45">
        <v>1620</v>
      </c>
      <c r="I45">
        <v>2</v>
      </c>
      <c r="J45">
        <v>13.5</v>
      </c>
      <c r="K45">
        <v>1</v>
      </c>
      <c r="L45">
        <v>0.27500000000000002</v>
      </c>
      <c r="M45">
        <v>3</v>
      </c>
      <c r="N45">
        <v>302.5</v>
      </c>
      <c r="O45">
        <v>3</v>
      </c>
      <c r="P45">
        <v>1.95</v>
      </c>
      <c r="Q45">
        <v>4</v>
      </c>
      <c r="R45">
        <v>0.13900000000000001</v>
      </c>
      <c r="T45" t="s">
        <v>357</v>
      </c>
    </row>
    <row r="46" spans="1:20" x14ac:dyDescent="0.2">
      <c r="A46" t="s">
        <v>489</v>
      </c>
      <c r="B46" t="s">
        <v>388</v>
      </c>
      <c r="C46" t="s">
        <v>388</v>
      </c>
      <c r="E46" t="s">
        <v>490</v>
      </c>
      <c r="F46" t="s">
        <v>491</v>
      </c>
      <c r="G46">
        <v>4</v>
      </c>
      <c r="H46">
        <v>2250</v>
      </c>
      <c r="I46">
        <v>5</v>
      </c>
      <c r="J46">
        <v>28.5</v>
      </c>
      <c r="K46">
        <v>4</v>
      </c>
      <c r="L46">
        <v>1.0249999999999999</v>
      </c>
      <c r="M46">
        <v>4</v>
      </c>
      <c r="N46">
        <v>397.5</v>
      </c>
      <c r="O46">
        <v>4</v>
      </c>
      <c r="P46">
        <v>2.65</v>
      </c>
      <c r="Q46">
        <v>4</v>
      </c>
      <c r="R46">
        <v>0.13900000000000001</v>
      </c>
      <c r="T46" t="s">
        <v>490</v>
      </c>
    </row>
    <row r="47" spans="1:20" x14ac:dyDescent="0.2">
      <c r="A47" t="s">
        <v>492</v>
      </c>
      <c r="B47" t="s">
        <v>388</v>
      </c>
      <c r="C47" t="s">
        <v>388</v>
      </c>
      <c r="E47" t="s">
        <v>493</v>
      </c>
      <c r="F47" t="s">
        <v>494</v>
      </c>
      <c r="G47">
        <v>1</v>
      </c>
      <c r="H47">
        <v>1620</v>
      </c>
      <c r="I47">
        <v>1</v>
      </c>
      <c r="J47">
        <v>8.5</v>
      </c>
      <c r="K47">
        <v>1</v>
      </c>
      <c r="L47">
        <v>0.27500000000000002</v>
      </c>
      <c r="M47">
        <v>1</v>
      </c>
      <c r="N47">
        <v>112.5</v>
      </c>
      <c r="O47">
        <v>1</v>
      </c>
      <c r="P47">
        <v>0.55000000000000004</v>
      </c>
      <c r="Q47">
        <v>1</v>
      </c>
      <c r="R47">
        <v>2.5000000000000001E-2</v>
      </c>
      <c r="T47" t="s">
        <v>493</v>
      </c>
    </row>
    <row r="48" spans="1:20" x14ac:dyDescent="0.2">
      <c r="A48" t="s">
        <v>495</v>
      </c>
      <c r="B48" t="s">
        <v>388</v>
      </c>
      <c r="C48" t="s">
        <v>388</v>
      </c>
      <c r="E48" t="s">
        <v>496</v>
      </c>
      <c r="F48" t="s">
        <v>497</v>
      </c>
      <c r="G48">
        <v>2</v>
      </c>
      <c r="H48">
        <v>1830</v>
      </c>
      <c r="I48">
        <v>2</v>
      </c>
      <c r="J48">
        <v>13.5</v>
      </c>
      <c r="K48">
        <v>2</v>
      </c>
      <c r="L48">
        <v>0.52500000000000002</v>
      </c>
      <c r="M48">
        <v>2</v>
      </c>
      <c r="N48">
        <v>207.5</v>
      </c>
      <c r="O48">
        <v>2</v>
      </c>
      <c r="P48">
        <v>1.25</v>
      </c>
      <c r="Q48">
        <v>2</v>
      </c>
      <c r="R48">
        <v>6.3E-2</v>
      </c>
      <c r="T48" t="s">
        <v>496</v>
      </c>
    </row>
    <row r="49" spans="1:20" x14ac:dyDescent="0.2">
      <c r="A49" t="s">
        <v>498</v>
      </c>
      <c r="B49" t="s">
        <v>388</v>
      </c>
      <c r="C49" t="s">
        <v>388</v>
      </c>
      <c r="E49" t="s">
        <v>499</v>
      </c>
      <c r="F49" t="s">
        <v>500</v>
      </c>
      <c r="G49">
        <v>3</v>
      </c>
      <c r="H49">
        <v>2040</v>
      </c>
      <c r="I49">
        <v>3</v>
      </c>
      <c r="J49">
        <v>18.5</v>
      </c>
      <c r="K49">
        <v>3</v>
      </c>
      <c r="L49">
        <v>0.77500000000000002</v>
      </c>
      <c r="M49">
        <v>3</v>
      </c>
      <c r="N49">
        <v>302.5</v>
      </c>
      <c r="O49">
        <v>3</v>
      </c>
      <c r="P49">
        <v>1.95</v>
      </c>
      <c r="Q49">
        <v>2</v>
      </c>
      <c r="R49">
        <v>6.3E-2</v>
      </c>
      <c r="T49" t="s">
        <v>499</v>
      </c>
    </row>
    <row r="50" spans="1:20" x14ac:dyDescent="0.2">
      <c r="A50" t="s">
        <v>501</v>
      </c>
      <c r="B50" t="s">
        <v>388</v>
      </c>
      <c r="C50" t="s">
        <v>388</v>
      </c>
      <c r="E50" t="s">
        <v>357</v>
      </c>
      <c r="F50" t="s">
        <v>502</v>
      </c>
      <c r="G50">
        <v>5</v>
      </c>
      <c r="H50">
        <v>2460</v>
      </c>
      <c r="I50">
        <v>5</v>
      </c>
      <c r="J50">
        <v>28.5</v>
      </c>
      <c r="K50">
        <v>5</v>
      </c>
      <c r="L50">
        <v>1.2749999999999999</v>
      </c>
      <c r="M50">
        <v>5</v>
      </c>
      <c r="N50">
        <v>492.5</v>
      </c>
      <c r="O50">
        <v>5</v>
      </c>
      <c r="P50">
        <v>3.35</v>
      </c>
      <c r="Q50">
        <v>4</v>
      </c>
      <c r="R50">
        <v>0.13900000000000001</v>
      </c>
      <c r="T50" t="s">
        <v>357</v>
      </c>
    </row>
    <row r="51" spans="1:20" x14ac:dyDescent="0.2">
      <c r="A51" t="s">
        <v>503</v>
      </c>
      <c r="B51" t="s">
        <v>388</v>
      </c>
      <c r="C51" t="s">
        <v>388</v>
      </c>
      <c r="E51" t="s">
        <v>504</v>
      </c>
      <c r="F51" t="s">
        <v>505</v>
      </c>
      <c r="G51">
        <v>4</v>
      </c>
      <c r="H51">
        <v>2250</v>
      </c>
      <c r="I51">
        <v>4</v>
      </c>
      <c r="J51">
        <v>23.5</v>
      </c>
      <c r="K51">
        <v>4</v>
      </c>
      <c r="L51">
        <v>1.0249999999999999</v>
      </c>
      <c r="M51">
        <v>4</v>
      </c>
      <c r="N51">
        <v>397.5</v>
      </c>
      <c r="O51">
        <v>4</v>
      </c>
      <c r="P51">
        <v>2.65</v>
      </c>
      <c r="Q51">
        <v>4</v>
      </c>
      <c r="R51">
        <v>0.13900000000000001</v>
      </c>
      <c r="T51" t="s">
        <v>504</v>
      </c>
    </row>
    <row r="52" spans="1:20" x14ac:dyDescent="0.2">
      <c r="A52" t="s">
        <v>506</v>
      </c>
      <c r="B52" t="s">
        <v>388</v>
      </c>
      <c r="C52" t="s">
        <v>388</v>
      </c>
      <c r="E52" t="s">
        <v>507</v>
      </c>
      <c r="F52" t="s">
        <v>508</v>
      </c>
      <c r="G52">
        <v>2</v>
      </c>
      <c r="H52">
        <v>1830</v>
      </c>
      <c r="I52">
        <v>1</v>
      </c>
      <c r="J52">
        <v>8.5</v>
      </c>
      <c r="K52">
        <v>1</v>
      </c>
      <c r="L52">
        <v>0.27500000000000002</v>
      </c>
      <c r="M52">
        <v>1</v>
      </c>
      <c r="N52">
        <v>112.5</v>
      </c>
      <c r="O52">
        <v>1</v>
      </c>
      <c r="P52">
        <v>0.55000000000000004</v>
      </c>
      <c r="Q52">
        <v>1</v>
      </c>
      <c r="R52">
        <v>2.5000000000000001E-2</v>
      </c>
      <c r="T52" t="s">
        <v>507</v>
      </c>
    </row>
    <row r="53" spans="1:20" x14ac:dyDescent="0.2">
      <c r="A53" t="s">
        <v>509</v>
      </c>
      <c r="B53" t="s">
        <v>388</v>
      </c>
      <c r="C53" t="s">
        <v>388</v>
      </c>
      <c r="E53" t="s">
        <v>510</v>
      </c>
      <c r="F53" t="s">
        <v>447</v>
      </c>
      <c r="G53">
        <v>2</v>
      </c>
      <c r="H53">
        <v>1830</v>
      </c>
      <c r="I53">
        <v>2</v>
      </c>
      <c r="J53">
        <v>13.5</v>
      </c>
      <c r="K53">
        <v>2</v>
      </c>
      <c r="L53">
        <v>0.52500000000000002</v>
      </c>
      <c r="M53">
        <v>2</v>
      </c>
      <c r="N53">
        <v>207.5</v>
      </c>
      <c r="O53">
        <v>2</v>
      </c>
      <c r="P53">
        <v>1.25</v>
      </c>
      <c r="Q53">
        <v>2</v>
      </c>
      <c r="R53">
        <v>6.3E-2</v>
      </c>
      <c r="T53" t="s">
        <v>510</v>
      </c>
    </row>
    <row r="54" spans="1:20" x14ac:dyDescent="0.2">
      <c r="A54" t="s">
        <v>511</v>
      </c>
      <c r="B54" t="s">
        <v>388</v>
      </c>
      <c r="C54" t="s">
        <v>388</v>
      </c>
      <c r="E54" t="s">
        <v>512</v>
      </c>
      <c r="F54" t="s">
        <v>513</v>
      </c>
      <c r="G54">
        <v>3</v>
      </c>
      <c r="H54">
        <v>2040</v>
      </c>
      <c r="I54">
        <v>2</v>
      </c>
      <c r="J54">
        <v>13.5</v>
      </c>
      <c r="K54">
        <v>2</v>
      </c>
      <c r="L54">
        <v>0.52500000000000002</v>
      </c>
      <c r="M54">
        <v>3</v>
      </c>
      <c r="N54">
        <v>302.5</v>
      </c>
      <c r="O54">
        <v>3</v>
      </c>
      <c r="P54">
        <v>1.95</v>
      </c>
      <c r="Q54">
        <v>4</v>
      </c>
      <c r="R54">
        <v>0.13900000000000001</v>
      </c>
      <c r="T54" t="s">
        <v>512</v>
      </c>
    </row>
    <row r="55" spans="1:20" x14ac:dyDescent="0.2">
      <c r="A55" t="s">
        <v>514</v>
      </c>
      <c r="B55" t="s">
        <v>388</v>
      </c>
      <c r="C55" t="s">
        <v>388</v>
      </c>
      <c r="E55" t="s">
        <v>515</v>
      </c>
      <c r="F55" t="s">
        <v>516</v>
      </c>
      <c r="G55">
        <v>5</v>
      </c>
      <c r="H55">
        <v>2460</v>
      </c>
      <c r="I55">
        <v>5</v>
      </c>
      <c r="J55">
        <v>28.5</v>
      </c>
      <c r="K55">
        <v>5</v>
      </c>
      <c r="L55">
        <v>1.2749999999999999</v>
      </c>
      <c r="M55">
        <v>5</v>
      </c>
      <c r="N55">
        <v>492.5</v>
      </c>
      <c r="O55">
        <v>5</v>
      </c>
      <c r="P55">
        <v>3.35</v>
      </c>
      <c r="Q55">
        <v>4</v>
      </c>
      <c r="R55">
        <v>0.13900000000000001</v>
      </c>
      <c r="T55" t="s">
        <v>515</v>
      </c>
    </row>
    <row r="56" spans="1:20" x14ac:dyDescent="0.2">
      <c r="A56" t="s">
        <v>517</v>
      </c>
      <c r="B56" t="s">
        <v>388</v>
      </c>
      <c r="C56" t="s">
        <v>388</v>
      </c>
      <c r="E56" t="s">
        <v>518</v>
      </c>
      <c r="F56" t="s">
        <v>447</v>
      </c>
      <c r="G56">
        <v>5</v>
      </c>
      <c r="H56">
        <v>2460</v>
      </c>
      <c r="I56">
        <v>5</v>
      </c>
      <c r="J56">
        <v>28.5</v>
      </c>
      <c r="K56">
        <v>5</v>
      </c>
      <c r="L56">
        <v>1.2749999999999999</v>
      </c>
      <c r="M56">
        <v>5</v>
      </c>
      <c r="N56">
        <v>492.5</v>
      </c>
      <c r="O56">
        <v>5</v>
      </c>
      <c r="P56">
        <v>3.35</v>
      </c>
      <c r="Q56">
        <v>5</v>
      </c>
      <c r="R56">
        <v>0.17699999999999999</v>
      </c>
      <c r="T56" t="s">
        <v>518</v>
      </c>
    </row>
    <row r="57" spans="1:20" x14ac:dyDescent="0.2">
      <c r="A57" t="s">
        <v>519</v>
      </c>
      <c r="B57" t="s">
        <v>388</v>
      </c>
      <c r="C57" t="s">
        <v>388</v>
      </c>
      <c r="E57" t="s">
        <v>520</v>
      </c>
      <c r="F57" t="s">
        <v>521</v>
      </c>
      <c r="G57">
        <v>1</v>
      </c>
      <c r="H57">
        <v>1620</v>
      </c>
      <c r="I57">
        <v>3</v>
      </c>
      <c r="J57">
        <v>18.5</v>
      </c>
      <c r="K57">
        <v>2</v>
      </c>
      <c r="L57">
        <v>0.52500000000000002</v>
      </c>
      <c r="M57">
        <v>1</v>
      </c>
      <c r="N57">
        <v>112.5</v>
      </c>
      <c r="O57">
        <v>1</v>
      </c>
      <c r="P57">
        <v>0.55000000000000004</v>
      </c>
      <c r="Q57">
        <v>1</v>
      </c>
      <c r="R57">
        <v>2.5000000000000001E-2</v>
      </c>
      <c r="T57" t="s">
        <v>520</v>
      </c>
    </row>
    <row r="58" spans="1:20" x14ac:dyDescent="0.2">
      <c r="A58" t="s">
        <v>522</v>
      </c>
      <c r="B58" t="s">
        <v>388</v>
      </c>
      <c r="C58" t="s">
        <v>388</v>
      </c>
      <c r="E58" t="s">
        <v>523</v>
      </c>
      <c r="F58" t="s">
        <v>524</v>
      </c>
      <c r="G58">
        <v>5</v>
      </c>
      <c r="H58">
        <v>2460</v>
      </c>
      <c r="I58">
        <v>5</v>
      </c>
      <c r="J58">
        <v>28.5</v>
      </c>
      <c r="K58">
        <v>5</v>
      </c>
      <c r="L58">
        <v>1.2749999999999999</v>
      </c>
      <c r="M58">
        <v>5</v>
      </c>
      <c r="N58">
        <v>492.5</v>
      </c>
      <c r="O58">
        <v>5</v>
      </c>
      <c r="P58">
        <v>3.35</v>
      </c>
      <c r="Q58">
        <v>5</v>
      </c>
      <c r="R58">
        <v>0.17699999999999999</v>
      </c>
      <c r="T58" t="s">
        <v>523</v>
      </c>
    </row>
    <row r="59" spans="1:20" x14ac:dyDescent="0.2">
      <c r="A59" t="s">
        <v>525</v>
      </c>
      <c r="B59" t="s">
        <v>388</v>
      </c>
      <c r="C59" t="s">
        <v>388</v>
      </c>
      <c r="E59" t="s">
        <v>526</v>
      </c>
      <c r="F59" t="s">
        <v>527</v>
      </c>
      <c r="G59">
        <v>1</v>
      </c>
      <c r="H59">
        <v>1620</v>
      </c>
      <c r="I59">
        <v>1</v>
      </c>
      <c r="J59">
        <v>8.5</v>
      </c>
      <c r="K59">
        <v>1</v>
      </c>
      <c r="L59">
        <v>0.27500000000000002</v>
      </c>
      <c r="M59">
        <v>2</v>
      </c>
      <c r="N59">
        <v>207.5</v>
      </c>
      <c r="O59">
        <v>2</v>
      </c>
      <c r="P59">
        <v>1.25</v>
      </c>
      <c r="Q59">
        <v>2</v>
      </c>
      <c r="R59">
        <v>6.3E-2</v>
      </c>
      <c r="T59" t="s">
        <v>526</v>
      </c>
    </row>
    <row r="60" spans="1:20" x14ac:dyDescent="0.2">
      <c r="A60" t="s">
        <v>528</v>
      </c>
      <c r="B60" t="s">
        <v>388</v>
      </c>
      <c r="C60" t="s">
        <v>388</v>
      </c>
      <c r="E60" t="s">
        <v>529</v>
      </c>
      <c r="F60" t="s">
        <v>530</v>
      </c>
      <c r="G60">
        <v>5</v>
      </c>
      <c r="H60">
        <v>2460</v>
      </c>
      <c r="I60">
        <v>5</v>
      </c>
      <c r="J60">
        <v>28.5</v>
      </c>
      <c r="K60">
        <v>5</v>
      </c>
      <c r="L60">
        <v>1.2749999999999999</v>
      </c>
      <c r="M60">
        <v>5</v>
      </c>
      <c r="N60">
        <v>492.5</v>
      </c>
      <c r="O60">
        <v>5</v>
      </c>
      <c r="P60">
        <v>3.35</v>
      </c>
      <c r="Q60">
        <v>5</v>
      </c>
      <c r="R60">
        <v>0.17699999999999999</v>
      </c>
      <c r="T60" t="s">
        <v>529</v>
      </c>
    </row>
    <row r="61" spans="1:20" x14ac:dyDescent="0.2">
      <c r="A61" t="s">
        <v>531</v>
      </c>
      <c r="B61" t="s">
        <v>388</v>
      </c>
      <c r="C61" t="s">
        <v>388</v>
      </c>
      <c r="E61" t="s">
        <v>532</v>
      </c>
      <c r="F61" t="s">
        <v>533</v>
      </c>
      <c r="G61">
        <v>5</v>
      </c>
      <c r="H61">
        <v>2460</v>
      </c>
      <c r="I61">
        <v>5</v>
      </c>
      <c r="J61">
        <v>28.5</v>
      </c>
      <c r="K61">
        <v>5</v>
      </c>
      <c r="L61">
        <v>1.2749999999999999</v>
      </c>
      <c r="M61">
        <v>5</v>
      </c>
      <c r="N61">
        <v>492.5</v>
      </c>
      <c r="O61">
        <v>5</v>
      </c>
      <c r="P61">
        <v>3.35</v>
      </c>
      <c r="Q61">
        <v>4</v>
      </c>
      <c r="R61">
        <v>0.13900000000000001</v>
      </c>
      <c r="T61" t="s">
        <v>532</v>
      </c>
    </row>
    <row r="62" spans="1:20" x14ac:dyDescent="0.2">
      <c r="A62" t="s">
        <v>534</v>
      </c>
      <c r="B62" t="s">
        <v>388</v>
      </c>
      <c r="C62" t="s">
        <v>388</v>
      </c>
      <c r="E62" t="s">
        <v>535</v>
      </c>
      <c r="F62" t="s">
        <v>536</v>
      </c>
      <c r="G62">
        <v>2</v>
      </c>
      <c r="H62">
        <v>1830</v>
      </c>
      <c r="I62">
        <v>3</v>
      </c>
      <c r="J62">
        <v>18.5</v>
      </c>
      <c r="K62">
        <v>3</v>
      </c>
      <c r="L62">
        <v>0.77500000000000002</v>
      </c>
      <c r="M62">
        <v>4</v>
      </c>
      <c r="N62">
        <v>397.5</v>
      </c>
      <c r="O62">
        <v>4</v>
      </c>
      <c r="P62">
        <v>2.65</v>
      </c>
      <c r="Q62">
        <v>3</v>
      </c>
      <c r="R62">
        <v>0.10100000000000001</v>
      </c>
      <c r="T62" t="s">
        <v>535</v>
      </c>
    </row>
    <row r="63" spans="1:20" x14ac:dyDescent="0.2">
      <c r="A63" t="s">
        <v>537</v>
      </c>
      <c r="B63" t="s">
        <v>388</v>
      </c>
      <c r="C63" t="s">
        <v>388</v>
      </c>
      <c r="E63" t="s">
        <v>538</v>
      </c>
      <c r="F63" t="s">
        <v>539</v>
      </c>
      <c r="G63">
        <v>2</v>
      </c>
      <c r="H63">
        <v>1830</v>
      </c>
      <c r="I63">
        <v>1</v>
      </c>
      <c r="J63">
        <v>8.5</v>
      </c>
      <c r="K63">
        <v>1</v>
      </c>
      <c r="L63">
        <v>0.27500000000000002</v>
      </c>
      <c r="M63">
        <v>2</v>
      </c>
      <c r="N63">
        <v>207.5</v>
      </c>
      <c r="O63">
        <v>2</v>
      </c>
      <c r="P63">
        <v>1.25</v>
      </c>
      <c r="Q63">
        <v>2</v>
      </c>
      <c r="R63">
        <v>6.3E-2</v>
      </c>
      <c r="T63" t="s">
        <v>538</v>
      </c>
    </row>
    <row r="64" spans="1:20" x14ac:dyDescent="0.2">
      <c r="A64" t="s">
        <v>540</v>
      </c>
      <c r="B64" t="s">
        <v>388</v>
      </c>
      <c r="C64" t="s">
        <v>388</v>
      </c>
      <c r="E64" t="s">
        <v>357</v>
      </c>
      <c r="F64" t="s">
        <v>541</v>
      </c>
      <c r="G64">
        <v>3</v>
      </c>
      <c r="H64">
        <v>2040</v>
      </c>
      <c r="I64">
        <v>3</v>
      </c>
      <c r="J64">
        <v>18.5</v>
      </c>
      <c r="K64">
        <v>3</v>
      </c>
      <c r="L64">
        <v>0.77500000000000002</v>
      </c>
      <c r="M64">
        <v>4</v>
      </c>
      <c r="N64">
        <v>397.5</v>
      </c>
      <c r="O64">
        <v>3</v>
      </c>
      <c r="P64">
        <v>1.95</v>
      </c>
      <c r="Q64">
        <v>3</v>
      </c>
      <c r="R64">
        <v>0.10100000000000001</v>
      </c>
      <c r="T64" t="s">
        <v>357</v>
      </c>
    </row>
    <row r="65" spans="1:20" x14ac:dyDescent="0.2">
      <c r="A65" t="s">
        <v>542</v>
      </c>
      <c r="B65" t="s">
        <v>388</v>
      </c>
      <c r="C65" t="s">
        <v>388</v>
      </c>
      <c r="E65" t="s">
        <v>543</v>
      </c>
      <c r="F65" t="s">
        <v>544</v>
      </c>
      <c r="G65">
        <v>2</v>
      </c>
      <c r="H65">
        <v>1830</v>
      </c>
      <c r="I65">
        <v>3</v>
      </c>
      <c r="J65">
        <v>18.5</v>
      </c>
      <c r="K65">
        <v>3</v>
      </c>
      <c r="L65">
        <v>0.77500000000000002</v>
      </c>
      <c r="M65">
        <v>1</v>
      </c>
      <c r="N65">
        <v>112.5</v>
      </c>
      <c r="O65">
        <v>2</v>
      </c>
      <c r="P65">
        <v>1.25</v>
      </c>
      <c r="Q65">
        <v>2</v>
      </c>
      <c r="R65">
        <v>6.3E-2</v>
      </c>
      <c r="T65" t="s">
        <v>543</v>
      </c>
    </row>
    <row r="66" spans="1:20" x14ac:dyDescent="0.2">
      <c r="A66" t="s">
        <v>545</v>
      </c>
      <c r="B66" t="s">
        <v>388</v>
      </c>
      <c r="C66" t="s">
        <v>388</v>
      </c>
      <c r="E66" t="s">
        <v>546</v>
      </c>
      <c r="F66" t="s">
        <v>547</v>
      </c>
      <c r="G66">
        <v>5</v>
      </c>
      <c r="H66">
        <v>2460</v>
      </c>
      <c r="I66">
        <v>5</v>
      </c>
      <c r="J66">
        <v>28.5</v>
      </c>
      <c r="K66">
        <v>5</v>
      </c>
      <c r="L66">
        <v>1.2749999999999999</v>
      </c>
      <c r="M66">
        <v>5</v>
      </c>
      <c r="N66">
        <v>492.5</v>
      </c>
      <c r="O66">
        <v>5</v>
      </c>
      <c r="P66">
        <v>3.35</v>
      </c>
      <c r="Q66">
        <v>5</v>
      </c>
      <c r="R66">
        <v>0.17699999999999999</v>
      </c>
      <c r="T66" t="s">
        <v>546</v>
      </c>
    </row>
    <row r="67" spans="1:20" x14ac:dyDescent="0.2">
      <c r="A67" t="s">
        <v>548</v>
      </c>
      <c r="B67" t="s">
        <v>388</v>
      </c>
      <c r="C67" t="s">
        <v>388</v>
      </c>
      <c r="E67" t="s">
        <v>549</v>
      </c>
      <c r="F67" t="s">
        <v>550</v>
      </c>
      <c r="G67">
        <v>5</v>
      </c>
      <c r="H67">
        <v>2460</v>
      </c>
      <c r="I67">
        <v>4</v>
      </c>
      <c r="J67">
        <v>23.5</v>
      </c>
      <c r="K67">
        <v>5</v>
      </c>
      <c r="L67">
        <v>1.2749999999999999</v>
      </c>
      <c r="M67">
        <v>5</v>
      </c>
      <c r="N67">
        <v>492.5</v>
      </c>
      <c r="O67">
        <v>5</v>
      </c>
      <c r="P67">
        <v>3.35</v>
      </c>
      <c r="Q67">
        <v>5</v>
      </c>
      <c r="R67">
        <v>0.17699999999999999</v>
      </c>
      <c r="T67" t="s">
        <v>549</v>
      </c>
    </row>
    <row r="68" spans="1:20" x14ac:dyDescent="0.2">
      <c r="A68" t="s">
        <v>551</v>
      </c>
      <c r="B68" t="s">
        <v>388</v>
      </c>
      <c r="C68" t="s">
        <v>388</v>
      </c>
      <c r="E68" t="s">
        <v>552</v>
      </c>
      <c r="F68" t="s">
        <v>553</v>
      </c>
      <c r="G68">
        <v>4</v>
      </c>
      <c r="H68">
        <v>2250</v>
      </c>
      <c r="I68">
        <v>5</v>
      </c>
      <c r="J68">
        <v>28.5</v>
      </c>
      <c r="K68">
        <v>4</v>
      </c>
      <c r="L68">
        <v>1.0249999999999999</v>
      </c>
      <c r="M68">
        <v>3</v>
      </c>
      <c r="N68">
        <v>302.5</v>
      </c>
      <c r="O68">
        <v>3</v>
      </c>
      <c r="P68">
        <v>1.95</v>
      </c>
      <c r="Q68">
        <v>3</v>
      </c>
      <c r="R68">
        <v>0.10100000000000001</v>
      </c>
      <c r="T68" t="s">
        <v>552</v>
      </c>
    </row>
    <row r="69" spans="1:20" x14ac:dyDescent="0.2">
      <c r="A69" t="s">
        <v>554</v>
      </c>
      <c r="B69" t="s">
        <v>388</v>
      </c>
      <c r="C69" t="s">
        <v>388</v>
      </c>
      <c r="E69" t="s">
        <v>555</v>
      </c>
      <c r="F69" t="s">
        <v>556</v>
      </c>
      <c r="G69">
        <v>5</v>
      </c>
      <c r="H69">
        <v>2460</v>
      </c>
      <c r="I69">
        <v>5</v>
      </c>
      <c r="J69">
        <v>28.5</v>
      </c>
      <c r="K69">
        <v>4</v>
      </c>
      <c r="L69">
        <v>1.0249999999999999</v>
      </c>
      <c r="M69">
        <v>4</v>
      </c>
      <c r="N69">
        <v>397.5</v>
      </c>
      <c r="O69">
        <v>5</v>
      </c>
      <c r="P69">
        <v>3.35</v>
      </c>
      <c r="Q69">
        <v>4</v>
      </c>
      <c r="R69">
        <v>0.13900000000000001</v>
      </c>
      <c r="T69" t="s">
        <v>555</v>
      </c>
    </row>
    <row r="70" spans="1:20" x14ac:dyDescent="0.2">
      <c r="A70" t="s">
        <v>557</v>
      </c>
      <c r="B70" t="s">
        <v>388</v>
      </c>
      <c r="C70" t="s">
        <v>388</v>
      </c>
      <c r="E70" t="s">
        <v>558</v>
      </c>
      <c r="F70" t="s">
        <v>447</v>
      </c>
      <c r="G70">
        <v>5</v>
      </c>
      <c r="H70">
        <v>2460</v>
      </c>
      <c r="I70">
        <v>5</v>
      </c>
      <c r="J70">
        <v>28.5</v>
      </c>
      <c r="K70">
        <v>4</v>
      </c>
      <c r="L70">
        <v>1.0249999999999999</v>
      </c>
      <c r="M70">
        <v>5</v>
      </c>
      <c r="N70">
        <v>492.5</v>
      </c>
      <c r="O70">
        <v>5</v>
      </c>
      <c r="P70">
        <v>3.35</v>
      </c>
      <c r="Q70">
        <v>4</v>
      </c>
      <c r="R70">
        <v>0.13900000000000001</v>
      </c>
      <c r="T70" t="s">
        <v>558</v>
      </c>
    </row>
    <row r="71" spans="1:20" x14ac:dyDescent="0.2">
      <c r="A71" t="s">
        <v>559</v>
      </c>
      <c r="B71" t="s">
        <v>388</v>
      </c>
      <c r="C71" t="s">
        <v>388</v>
      </c>
      <c r="E71" t="s">
        <v>560</v>
      </c>
      <c r="F71" t="s">
        <v>561</v>
      </c>
      <c r="G71">
        <v>4</v>
      </c>
      <c r="H71">
        <v>2250</v>
      </c>
      <c r="I71">
        <v>4</v>
      </c>
      <c r="J71">
        <v>23.5</v>
      </c>
      <c r="K71">
        <v>4</v>
      </c>
      <c r="L71">
        <v>1.0249999999999999</v>
      </c>
      <c r="M71">
        <v>4</v>
      </c>
      <c r="N71">
        <v>397.5</v>
      </c>
      <c r="O71">
        <v>4</v>
      </c>
      <c r="P71">
        <v>2.65</v>
      </c>
      <c r="Q71">
        <v>4</v>
      </c>
      <c r="R71">
        <v>0.13900000000000001</v>
      </c>
      <c r="T71" t="s">
        <v>560</v>
      </c>
    </row>
    <row r="72" spans="1:20" x14ac:dyDescent="0.2">
      <c r="A72" t="s">
        <v>562</v>
      </c>
      <c r="B72" t="s">
        <v>388</v>
      </c>
      <c r="C72" t="s">
        <v>388</v>
      </c>
      <c r="E72" t="s">
        <v>563</v>
      </c>
      <c r="F72" t="s">
        <v>564</v>
      </c>
      <c r="G72">
        <v>4</v>
      </c>
      <c r="H72">
        <v>2250</v>
      </c>
      <c r="I72">
        <v>4</v>
      </c>
      <c r="J72">
        <v>23.5</v>
      </c>
      <c r="K72">
        <v>4</v>
      </c>
      <c r="L72">
        <v>1.0249999999999999</v>
      </c>
      <c r="M72">
        <v>4</v>
      </c>
      <c r="N72">
        <v>397.5</v>
      </c>
      <c r="O72">
        <v>4</v>
      </c>
      <c r="P72">
        <v>2.65</v>
      </c>
      <c r="Q72">
        <v>4</v>
      </c>
      <c r="R72">
        <v>0.13900000000000001</v>
      </c>
      <c r="T72" t="s">
        <v>563</v>
      </c>
    </row>
    <row r="73" spans="1:20" x14ac:dyDescent="0.2">
      <c r="A73" t="s">
        <v>565</v>
      </c>
      <c r="B73" t="s">
        <v>388</v>
      </c>
      <c r="C73" t="s">
        <v>388</v>
      </c>
      <c r="E73" t="s">
        <v>566</v>
      </c>
      <c r="F73" t="s">
        <v>567</v>
      </c>
      <c r="G73">
        <v>3</v>
      </c>
      <c r="H73">
        <v>2040</v>
      </c>
      <c r="I73">
        <v>3</v>
      </c>
      <c r="J73">
        <v>18.5</v>
      </c>
      <c r="K73">
        <v>3</v>
      </c>
      <c r="L73">
        <v>0.77500000000000002</v>
      </c>
      <c r="M73">
        <v>3</v>
      </c>
      <c r="N73">
        <v>302.5</v>
      </c>
      <c r="O73">
        <v>3</v>
      </c>
      <c r="P73">
        <v>1.95</v>
      </c>
      <c r="Q73">
        <v>3</v>
      </c>
      <c r="R73">
        <v>0.10100000000000001</v>
      </c>
      <c r="T73" t="s">
        <v>566</v>
      </c>
    </row>
    <row r="74" spans="1:20" x14ac:dyDescent="0.2">
      <c r="A74" t="s">
        <v>568</v>
      </c>
      <c r="B74" t="s">
        <v>388</v>
      </c>
      <c r="C74" t="s">
        <v>388</v>
      </c>
      <c r="E74" t="s">
        <v>569</v>
      </c>
      <c r="F74" t="s">
        <v>570</v>
      </c>
      <c r="G74">
        <v>4</v>
      </c>
      <c r="H74">
        <v>2250</v>
      </c>
      <c r="I74">
        <v>5</v>
      </c>
      <c r="J74">
        <v>28.5</v>
      </c>
      <c r="K74">
        <v>4</v>
      </c>
      <c r="L74">
        <v>1.0249999999999999</v>
      </c>
      <c r="M74">
        <v>4</v>
      </c>
      <c r="N74">
        <v>397.5</v>
      </c>
      <c r="O74">
        <v>4</v>
      </c>
      <c r="P74">
        <v>2.65</v>
      </c>
      <c r="Q74">
        <v>4</v>
      </c>
      <c r="R74">
        <v>0.13900000000000001</v>
      </c>
      <c r="T74" t="s">
        <v>569</v>
      </c>
    </row>
    <row r="75" spans="1:20" x14ac:dyDescent="0.2">
      <c r="A75" t="s">
        <v>571</v>
      </c>
      <c r="B75" t="s">
        <v>388</v>
      </c>
      <c r="C75" t="s">
        <v>388</v>
      </c>
      <c r="E75" t="s">
        <v>572</v>
      </c>
      <c r="F75" t="s">
        <v>573</v>
      </c>
      <c r="G75">
        <v>5</v>
      </c>
      <c r="H75">
        <v>2460</v>
      </c>
      <c r="I75">
        <v>5</v>
      </c>
      <c r="J75">
        <v>28.5</v>
      </c>
      <c r="K75">
        <v>4</v>
      </c>
      <c r="L75">
        <v>1.0249999999999999</v>
      </c>
      <c r="M75">
        <v>4</v>
      </c>
      <c r="N75">
        <v>397.5</v>
      </c>
      <c r="O75">
        <v>5</v>
      </c>
      <c r="P75">
        <v>3.35</v>
      </c>
      <c r="Q75">
        <v>4</v>
      </c>
      <c r="R75">
        <v>0.13900000000000001</v>
      </c>
      <c r="T75" t="s">
        <v>572</v>
      </c>
    </row>
    <row r="76" spans="1:20" x14ac:dyDescent="0.2">
      <c r="A76" t="s">
        <v>574</v>
      </c>
      <c r="B76" t="s">
        <v>388</v>
      </c>
      <c r="C76" t="s">
        <v>388</v>
      </c>
      <c r="E76" t="s">
        <v>575</v>
      </c>
      <c r="F76" t="s">
        <v>576</v>
      </c>
      <c r="G76">
        <v>4</v>
      </c>
      <c r="H76">
        <v>2250</v>
      </c>
      <c r="I76">
        <v>4</v>
      </c>
      <c r="J76">
        <v>23.5</v>
      </c>
      <c r="K76">
        <v>4</v>
      </c>
      <c r="L76">
        <v>1.0249999999999999</v>
      </c>
      <c r="M76">
        <v>4</v>
      </c>
      <c r="N76">
        <v>397.5</v>
      </c>
      <c r="O76">
        <v>4</v>
      </c>
      <c r="P76">
        <v>2.65</v>
      </c>
      <c r="Q76">
        <v>4</v>
      </c>
      <c r="R76">
        <v>0.13900000000000001</v>
      </c>
      <c r="T76" t="s">
        <v>575</v>
      </c>
    </row>
    <row r="77" spans="1:20" x14ac:dyDescent="0.2">
      <c r="A77" t="s">
        <v>577</v>
      </c>
      <c r="B77" t="s">
        <v>388</v>
      </c>
      <c r="C77" t="s">
        <v>388</v>
      </c>
      <c r="E77" t="s">
        <v>578</v>
      </c>
      <c r="F77" t="s">
        <v>579</v>
      </c>
      <c r="G77">
        <v>5</v>
      </c>
      <c r="H77">
        <v>2460</v>
      </c>
      <c r="I77">
        <v>5</v>
      </c>
      <c r="J77">
        <v>28.5</v>
      </c>
      <c r="K77">
        <v>5</v>
      </c>
      <c r="L77">
        <v>1.2749999999999999</v>
      </c>
      <c r="M77">
        <v>5</v>
      </c>
      <c r="N77">
        <v>492.5</v>
      </c>
      <c r="O77">
        <v>5</v>
      </c>
      <c r="P77">
        <v>3.35</v>
      </c>
      <c r="Q77">
        <v>5</v>
      </c>
      <c r="R77">
        <v>0.17699999999999999</v>
      </c>
      <c r="T77" t="s">
        <v>578</v>
      </c>
    </row>
    <row r="78" spans="1:20" x14ac:dyDescent="0.2">
      <c r="A78" t="s">
        <v>580</v>
      </c>
      <c r="B78" t="s">
        <v>388</v>
      </c>
      <c r="C78" t="s">
        <v>388</v>
      </c>
      <c r="E78" t="s">
        <v>581</v>
      </c>
      <c r="F78" t="s">
        <v>582</v>
      </c>
      <c r="G78">
        <v>1</v>
      </c>
      <c r="H78">
        <v>1620</v>
      </c>
      <c r="I78">
        <v>1</v>
      </c>
      <c r="J78">
        <v>8.5</v>
      </c>
      <c r="K78">
        <v>1</v>
      </c>
      <c r="L78">
        <v>0.27500000000000002</v>
      </c>
      <c r="M78">
        <v>4</v>
      </c>
      <c r="N78">
        <v>397.5</v>
      </c>
      <c r="O78">
        <v>4</v>
      </c>
      <c r="P78">
        <v>2.65</v>
      </c>
      <c r="Q78">
        <v>3</v>
      </c>
      <c r="R78">
        <v>0.10100000000000001</v>
      </c>
      <c r="T78" t="s">
        <v>581</v>
      </c>
    </row>
    <row r="79" spans="1:20" x14ac:dyDescent="0.2">
      <c r="A79" t="s">
        <v>583</v>
      </c>
      <c r="B79" t="s">
        <v>388</v>
      </c>
      <c r="C79" t="s">
        <v>388</v>
      </c>
      <c r="E79" t="s">
        <v>584</v>
      </c>
      <c r="F79" t="s">
        <v>447</v>
      </c>
      <c r="G79">
        <v>1</v>
      </c>
      <c r="H79">
        <v>1620</v>
      </c>
      <c r="I79">
        <v>1</v>
      </c>
      <c r="J79">
        <v>8.5</v>
      </c>
      <c r="K79">
        <v>1</v>
      </c>
      <c r="L79">
        <v>0.27500000000000002</v>
      </c>
      <c r="M79">
        <v>1</v>
      </c>
      <c r="N79">
        <v>112.5</v>
      </c>
      <c r="O79">
        <v>1</v>
      </c>
      <c r="P79">
        <v>0.55000000000000004</v>
      </c>
      <c r="Q79">
        <v>1</v>
      </c>
      <c r="R79">
        <v>2.5000000000000001E-2</v>
      </c>
      <c r="T79" t="s">
        <v>584</v>
      </c>
    </row>
    <row r="80" spans="1:20" x14ac:dyDescent="0.2">
      <c r="A80" t="s">
        <v>585</v>
      </c>
      <c r="B80" t="s">
        <v>388</v>
      </c>
      <c r="C80" t="s">
        <v>388</v>
      </c>
      <c r="E80" t="s">
        <v>586</v>
      </c>
      <c r="F80" t="s">
        <v>587</v>
      </c>
      <c r="G80">
        <v>4</v>
      </c>
      <c r="H80">
        <v>2250</v>
      </c>
      <c r="I80">
        <v>4</v>
      </c>
      <c r="J80">
        <v>23.5</v>
      </c>
      <c r="K80">
        <v>4</v>
      </c>
      <c r="L80">
        <v>1.0249999999999999</v>
      </c>
      <c r="M80">
        <v>4</v>
      </c>
      <c r="N80">
        <v>397.5</v>
      </c>
      <c r="O80">
        <v>4</v>
      </c>
      <c r="P80">
        <v>2.65</v>
      </c>
      <c r="Q80">
        <v>4</v>
      </c>
      <c r="R80">
        <v>0.13900000000000001</v>
      </c>
      <c r="T80" t="s">
        <v>586</v>
      </c>
    </row>
    <row r="81" spans="1:20" x14ac:dyDescent="0.2">
      <c r="A81" t="s">
        <v>588</v>
      </c>
      <c r="B81" t="s">
        <v>388</v>
      </c>
      <c r="C81" t="s">
        <v>388</v>
      </c>
      <c r="E81" t="s">
        <v>589</v>
      </c>
      <c r="F81" t="s">
        <v>590</v>
      </c>
      <c r="G81">
        <v>1</v>
      </c>
      <c r="H81">
        <v>1620</v>
      </c>
      <c r="I81">
        <v>1</v>
      </c>
      <c r="J81">
        <v>8.5</v>
      </c>
      <c r="K81">
        <v>1</v>
      </c>
      <c r="L81">
        <v>0.27500000000000002</v>
      </c>
      <c r="M81">
        <v>1</v>
      </c>
      <c r="N81">
        <v>112.5</v>
      </c>
      <c r="O81">
        <v>1</v>
      </c>
      <c r="P81">
        <v>0.55000000000000004</v>
      </c>
      <c r="Q81">
        <v>1</v>
      </c>
      <c r="R81">
        <v>2.5000000000000001E-2</v>
      </c>
      <c r="T81" t="s">
        <v>589</v>
      </c>
    </row>
    <row r="82" spans="1:20" x14ac:dyDescent="0.2">
      <c r="A82" t="s">
        <v>591</v>
      </c>
      <c r="B82" t="s">
        <v>388</v>
      </c>
      <c r="C82" t="s">
        <v>388</v>
      </c>
      <c r="E82" t="s">
        <v>592</v>
      </c>
      <c r="F82" t="s">
        <v>593</v>
      </c>
      <c r="G82">
        <v>1</v>
      </c>
      <c r="H82">
        <v>1620</v>
      </c>
      <c r="I82">
        <v>1</v>
      </c>
      <c r="J82">
        <v>8.5</v>
      </c>
      <c r="K82">
        <v>1</v>
      </c>
      <c r="L82">
        <v>0.27500000000000002</v>
      </c>
      <c r="M82">
        <v>2</v>
      </c>
      <c r="N82">
        <v>207.5</v>
      </c>
      <c r="O82">
        <v>2</v>
      </c>
      <c r="P82">
        <v>1.25</v>
      </c>
      <c r="Q82">
        <v>2</v>
      </c>
      <c r="R82">
        <v>6.3E-2</v>
      </c>
      <c r="T82" t="s">
        <v>592</v>
      </c>
    </row>
    <row r="83" spans="1:20" x14ac:dyDescent="0.2">
      <c r="A83" t="s">
        <v>594</v>
      </c>
      <c r="B83" t="s">
        <v>388</v>
      </c>
      <c r="C83" t="s">
        <v>388</v>
      </c>
      <c r="E83" t="s">
        <v>595</v>
      </c>
      <c r="F83" t="s">
        <v>596</v>
      </c>
      <c r="G83">
        <v>2</v>
      </c>
      <c r="H83">
        <v>1830</v>
      </c>
      <c r="I83">
        <v>2</v>
      </c>
      <c r="J83">
        <v>13.5</v>
      </c>
      <c r="K83">
        <v>2</v>
      </c>
      <c r="L83">
        <v>0.52500000000000002</v>
      </c>
      <c r="M83">
        <v>2</v>
      </c>
      <c r="N83">
        <v>207.5</v>
      </c>
      <c r="O83">
        <v>2</v>
      </c>
      <c r="P83">
        <v>1.25</v>
      </c>
      <c r="Q83">
        <v>2</v>
      </c>
      <c r="R83">
        <v>6.3E-2</v>
      </c>
      <c r="T83" t="s">
        <v>595</v>
      </c>
    </row>
    <row r="84" spans="1:20" x14ac:dyDescent="0.2">
      <c r="A84" t="s">
        <v>597</v>
      </c>
      <c r="B84" t="s">
        <v>388</v>
      </c>
      <c r="C84" t="s">
        <v>388</v>
      </c>
      <c r="E84" t="s">
        <v>598</v>
      </c>
      <c r="F84" t="s">
        <v>599</v>
      </c>
      <c r="G84">
        <v>5</v>
      </c>
      <c r="H84">
        <v>2460</v>
      </c>
      <c r="I84">
        <v>5</v>
      </c>
      <c r="J84">
        <v>28.5</v>
      </c>
      <c r="K84">
        <v>5</v>
      </c>
      <c r="L84">
        <v>1.2749999999999999</v>
      </c>
      <c r="M84">
        <v>5</v>
      </c>
      <c r="N84">
        <v>492.5</v>
      </c>
      <c r="O84">
        <v>5</v>
      </c>
      <c r="P84">
        <v>3.35</v>
      </c>
      <c r="Q84">
        <v>5</v>
      </c>
      <c r="R84">
        <v>0.17699999999999999</v>
      </c>
      <c r="T84" t="s">
        <v>598</v>
      </c>
    </row>
    <row r="85" spans="1:20" x14ac:dyDescent="0.2">
      <c r="A85" t="s">
        <v>600</v>
      </c>
      <c r="B85" t="s">
        <v>388</v>
      </c>
      <c r="C85" t="s">
        <v>388</v>
      </c>
      <c r="E85" t="s">
        <v>601</v>
      </c>
      <c r="F85" t="s">
        <v>602</v>
      </c>
      <c r="G85">
        <v>5</v>
      </c>
      <c r="H85">
        <v>2460</v>
      </c>
      <c r="I85">
        <v>4</v>
      </c>
      <c r="J85">
        <v>23.5</v>
      </c>
      <c r="K85">
        <v>4</v>
      </c>
      <c r="L85">
        <v>1.0249999999999999</v>
      </c>
      <c r="M85">
        <v>5</v>
      </c>
      <c r="N85">
        <v>492.5</v>
      </c>
      <c r="O85">
        <v>5</v>
      </c>
      <c r="P85">
        <v>3.35</v>
      </c>
      <c r="Q85">
        <v>5</v>
      </c>
      <c r="R85">
        <v>0.17699999999999999</v>
      </c>
      <c r="T85" t="s">
        <v>601</v>
      </c>
    </row>
    <row r="86" spans="1:20" x14ac:dyDescent="0.2">
      <c r="A86" t="s">
        <v>603</v>
      </c>
      <c r="B86" t="s">
        <v>388</v>
      </c>
      <c r="C86" t="s">
        <v>388</v>
      </c>
      <c r="E86" t="s">
        <v>604</v>
      </c>
      <c r="F86" t="s">
        <v>605</v>
      </c>
      <c r="G86">
        <v>3</v>
      </c>
      <c r="H86">
        <v>2040</v>
      </c>
      <c r="I86">
        <v>3</v>
      </c>
      <c r="J86">
        <v>18.5</v>
      </c>
      <c r="K86">
        <v>2</v>
      </c>
      <c r="L86">
        <v>0.52500000000000002</v>
      </c>
      <c r="M86">
        <v>3</v>
      </c>
      <c r="N86">
        <v>302.5</v>
      </c>
      <c r="O86">
        <v>3</v>
      </c>
      <c r="P86">
        <v>1.95</v>
      </c>
      <c r="Q86">
        <v>2</v>
      </c>
      <c r="R86">
        <v>6.3E-2</v>
      </c>
      <c r="T86" t="s">
        <v>604</v>
      </c>
    </row>
    <row r="87" spans="1:20" x14ac:dyDescent="0.2">
      <c r="A87" t="s">
        <v>606</v>
      </c>
      <c r="B87" t="s">
        <v>388</v>
      </c>
      <c r="C87" t="s">
        <v>388</v>
      </c>
      <c r="E87" t="s">
        <v>607</v>
      </c>
      <c r="F87" t="s">
        <v>608</v>
      </c>
      <c r="G87">
        <v>2</v>
      </c>
      <c r="H87">
        <v>1830</v>
      </c>
      <c r="I87">
        <v>1</v>
      </c>
      <c r="J87">
        <v>8.5</v>
      </c>
      <c r="K87">
        <v>1</v>
      </c>
      <c r="L87">
        <v>0.27500000000000002</v>
      </c>
      <c r="M87">
        <v>1</v>
      </c>
      <c r="N87">
        <v>112.5</v>
      </c>
      <c r="O87">
        <v>1</v>
      </c>
      <c r="P87">
        <v>0.55000000000000004</v>
      </c>
      <c r="Q87">
        <v>1</v>
      </c>
      <c r="R87">
        <v>2.5000000000000001E-2</v>
      </c>
      <c r="T87" t="s">
        <v>607</v>
      </c>
    </row>
    <row r="88" spans="1:20" x14ac:dyDescent="0.2">
      <c r="A88" t="s">
        <v>609</v>
      </c>
      <c r="B88" t="s">
        <v>388</v>
      </c>
      <c r="C88" t="s">
        <v>388</v>
      </c>
      <c r="E88" t="s">
        <v>610</v>
      </c>
      <c r="F88" t="s">
        <v>447</v>
      </c>
      <c r="G88">
        <v>4</v>
      </c>
      <c r="H88">
        <v>2250</v>
      </c>
      <c r="I88">
        <v>4</v>
      </c>
      <c r="J88">
        <v>23.5</v>
      </c>
      <c r="K88">
        <v>4</v>
      </c>
      <c r="L88">
        <v>1.0249999999999999</v>
      </c>
      <c r="M88">
        <v>4</v>
      </c>
      <c r="N88">
        <v>397.5</v>
      </c>
      <c r="O88">
        <v>4</v>
      </c>
      <c r="P88">
        <v>2.65</v>
      </c>
      <c r="Q88">
        <v>4</v>
      </c>
      <c r="R88">
        <v>0.13900000000000001</v>
      </c>
      <c r="T88" t="s">
        <v>610</v>
      </c>
    </row>
    <row r="89" spans="1:20" x14ac:dyDescent="0.2">
      <c r="A89" t="s">
        <v>611</v>
      </c>
      <c r="B89" t="s">
        <v>388</v>
      </c>
      <c r="C89" t="s">
        <v>388</v>
      </c>
      <c r="E89" t="s">
        <v>612</v>
      </c>
      <c r="F89" t="s">
        <v>613</v>
      </c>
      <c r="G89">
        <v>4</v>
      </c>
      <c r="H89">
        <v>2250</v>
      </c>
      <c r="I89">
        <v>4</v>
      </c>
      <c r="J89">
        <v>23.5</v>
      </c>
      <c r="K89">
        <v>4</v>
      </c>
      <c r="L89">
        <v>1.0249999999999999</v>
      </c>
      <c r="M89">
        <v>4</v>
      </c>
      <c r="N89">
        <v>397.5</v>
      </c>
      <c r="O89">
        <v>4</v>
      </c>
      <c r="P89">
        <v>2.65</v>
      </c>
      <c r="Q89">
        <v>4</v>
      </c>
      <c r="R89">
        <v>0.13900000000000001</v>
      </c>
      <c r="T89" t="s">
        <v>612</v>
      </c>
    </row>
    <row r="90" spans="1:20" x14ac:dyDescent="0.2">
      <c r="A90" t="s">
        <v>614</v>
      </c>
      <c r="B90" t="s">
        <v>388</v>
      </c>
      <c r="C90" t="s">
        <v>388</v>
      </c>
      <c r="E90" t="s">
        <v>615</v>
      </c>
      <c r="F90" t="s">
        <v>616</v>
      </c>
      <c r="G90">
        <v>3</v>
      </c>
      <c r="H90">
        <v>2040</v>
      </c>
      <c r="I90">
        <v>2</v>
      </c>
      <c r="J90">
        <v>13.5</v>
      </c>
      <c r="K90">
        <v>2</v>
      </c>
      <c r="L90">
        <v>0.52500000000000002</v>
      </c>
      <c r="M90">
        <v>2</v>
      </c>
      <c r="N90">
        <v>207.5</v>
      </c>
      <c r="O90">
        <v>2</v>
      </c>
      <c r="P90">
        <v>1.25</v>
      </c>
      <c r="Q90">
        <v>5</v>
      </c>
      <c r="R90">
        <v>0.17699999999999999</v>
      </c>
      <c r="T90" t="s">
        <v>615</v>
      </c>
    </row>
    <row r="91" spans="1:20" x14ac:dyDescent="0.2">
      <c r="A91" t="s">
        <v>617</v>
      </c>
      <c r="B91" t="s">
        <v>388</v>
      </c>
      <c r="C91" t="s">
        <v>388</v>
      </c>
      <c r="E91" t="s">
        <v>618</v>
      </c>
      <c r="F91" t="s">
        <v>619</v>
      </c>
      <c r="G91">
        <v>2</v>
      </c>
      <c r="H91">
        <v>1830</v>
      </c>
      <c r="I91">
        <v>1</v>
      </c>
      <c r="J91">
        <v>8.5</v>
      </c>
      <c r="K91">
        <v>1</v>
      </c>
      <c r="L91">
        <v>0.27500000000000002</v>
      </c>
      <c r="M91">
        <v>1</v>
      </c>
      <c r="N91">
        <v>112.5</v>
      </c>
      <c r="O91">
        <v>1</v>
      </c>
      <c r="P91">
        <v>0.55000000000000004</v>
      </c>
      <c r="Q91">
        <v>1</v>
      </c>
      <c r="R91">
        <v>2.5000000000000001E-2</v>
      </c>
      <c r="T91" t="s">
        <v>618</v>
      </c>
    </row>
    <row r="92" spans="1:20" x14ac:dyDescent="0.2">
      <c r="A92" t="s">
        <v>620</v>
      </c>
      <c r="B92" t="s">
        <v>388</v>
      </c>
      <c r="C92" t="s">
        <v>388</v>
      </c>
      <c r="E92" t="s">
        <v>621</v>
      </c>
      <c r="F92" t="s">
        <v>622</v>
      </c>
      <c r="G92">
        <v>3</v>
      </c>
      <c r="H92">
        <v>2040</v>
      </c>
      <c r="I92">
        <v>4</v>
      </c>
      <c r="J92">
        <v>23.5</v>
      </c>
      <c r="K92">
        <v>3</v>
      </c>
      <c r="L92">
        <v>0.77500000000000002</v>
      </c>
      <c r="M92">
        <v>3</v>
      </c>
      <c r="N92">
        <v>302.5</v>
      </c>
      <c r="O92">
        <v>3</v>
      </c>
      <c r="P92">
        <v>1.95</v>
      </c>
      <c r="Q92">
        <v>4</v>
      </c>
      <c r="R92">
        <v>0.13900000000000001</v>
      </c>
      <c r="T92" t="s">
        <v>621</v>
      </c>
    </row>
    <row r="93" spans="1:20" x14ac:dyDescent="0.2">
      <c r="A93" t="s">
        <v>623</v>
      </c>
      <c r="B93" t="s">
        <v>388</v>
      </c>
      <c r="C93" t="s">
        <v>388</v>
      </c>
      <c r="E93" t="s">
        <v>624</v>
      </c>
      <c r="F93" t="s">
        <v>625</v>
      </c>
      <c r="G93">
        <v>4</v>
      </c>
      <c r="H93">
        <v>2250</v>
      </c>
      <c r="I93">
        <v>4</v>
      </c>
      <c r="J93">
        <v>23.5</v>
      </c>
      <c r="K93">
        <v>4</v>
      </c>
      <c r="L93">
        <v>1.0249999999999999</v>
      </c>
      <c r="M93">
        <v>4</v>
      </c>
      <c r="N93">
        <v>397.5</v>
      </c>
      <c r="O93">
        <v>4</v>
      </c>
      <c r="P93">
        <v>2.65</v>
      </c>
      <c r="Q93">
        <v>4</v>
      </c>
      <c r="R93">
        <v>0.13900000000000001</v>
      </c>
      <c r="T93" t="s">
        <v>624</v>
      </c>
    </row>
    <row r="94" spans="1:20" x14ac:dyDescent="0.2">
      <c r="A94" t="s">
        <v>626</v>
      </c>
      <c r="B94" t="s">
        <v>388</v>
      </c>
      <c r="C94" t="s">
        <v>388</v>
      </c>
      <c r="E94" t="s">
        <v>627</v>
      </c>
      <c r="F94" t="s">
        <v>628</v>
      </c>
      <c r="G94">
        <v>4</v>
      </c>
      <c r="H94">
        <v>2250</v>
      </c>
      <c r="I94">
        <v>4</v>
      </c>
      <c r="J94">
        <v>23.5</v>
      </c>
      <c r="K94">
        <v>4</v>
      </c>
      <c r="L94">
        <v>1.0249999999999999</v>
      </c>
      <c r="M94">
        <v>4</v>
      </c>
      <c r="N94">
        <v>397.5</v>
      </c>
      <c r="O94">
        <v>4</v>
      </c>
      <c r="P94">
        <v>2.65</v>
      </c>
      <c r="Q94">
        <v>4</v>
      </c>
      <c r="R94">
        <v>0.13900000000000001</v>
      </c>
      <c r="T94" t="s">
        <v>627</v>
      </c>
    </row>
    <row r="95" spans="1:20" x14ac:dyDescent="0.2">
      <c r="A95" t="s">
        <v>629</v>
      </c>
      <c r="B95" t="s">
        <v>388</v>
      </c>
      <c r="C95" t="s">
        <v>388</v>
      </c>
      <c r="E95" t="s">
        <v>630</v>
      </c>
      <c r="F95" t="s">
        <v>631</v>
      </c>
      <c r="G95">
        <v>5</v>
      </c>
      <c r="H95">
        <v>2460</v>
      </c>
      <c r="I95">
        <v>5</v>
      </c>
      <c r="J95">
        <v>28.5</v>
      </c>
      <c r="K95">
        <v>4</v>
      </c>
      <c r="L95">
        <v>1.0249999999999999</v>
      </c>
      <c r="M95">
        <v>5</v>
      </c>
      <c r="N95">
        <v>492.5</v>
      </c>
      <c r="O95">
        <v>5</v>
      </c>
      <c r="P95">
        <v>3.35</v>
      </c>
      <c r="Q95">
        <v>4</v>
      </c>
      <c r="R95">
        <v>0.13900000000000001</v>
      </c>
      <c r="T95" t="s">
        <v>630</v>
      </c>
    </row>
    <row r="96" spans="1:20" x14ac:dyDescent="0.2">
      <c r="A96" t="s">
        <v>632</v>
      </c>
      <c r="B96" t="s">
        <v>388</v>
      </c>
      <c r="C96" t="s">
        <v>388</v>
      </c>
      <c r="E96" t="s">
        <v>633</v>
      </c>
      <c r="F96" t="s">
        <v>634</v>
      </c>
      <c r="G96">
        <v>4</v>
      </c>
      <c r="H96">
        <v>2250</v>
      </c>
      <c r="I96">
        <v>4</v>
      </c>
      <c r="J96">
        <v>23.5</v>
      </c>
      <c r="K96">
        <v>4</v>
      </c>
      <c r="L96">
        <v>1.0249999999999999</v>
      </c>
      <c r="M96">
        <v>4</v>
      </c>
      <c r="N96">
        <v>397.5</v>
      </c>
      <c r="O96">
        <v>4</v>
      </c>
      <c r="P96">
        <v>2.65</v>
      </c>
      <c r="Q96">
        <v>4</v>
      </c>
      <c r="R96">
        <v>0.13900000000000001</v>
      </c>
      <c r="T96" t="s">
        <v>633</v>
      </c>
    </row>
    <row r="97" spans="1:20" x14ac:dyDescent="0.2">
      <c r="A97" t="s">
        <v>635</v>
      </c>
      <c r="B97" t="s">
        <v>388</v>
      </c>
      <c r="C97" t="s">
        <v>388</v>
      </c>
      <c r="E97" t="s">
        <v>636</v>
      </c>
      <c r="F97" t="s">
        <v>637</v>
      </c>
      <c r="G97">
        <v>4</v>
      </c>
      <c r="H97">
        <v>2250</v>
      </c>
      <c r="I97">
        <v>4</v>
      </c>
      <c r="J97">
        <v>23.5</v>
      </c>
      <c r="K97">
        <v>4</v>
      </c>
      <c r="L97">
        <v>1.0249999999999999</v>
      </c>
      <c r="M97">
        <v>4</v>
      </c>
      <c r="N97">
        <v>397.5</v>
      </c>
      <c r="O97">
        <v>4</v>
      </c>
      <c r="P97">
        <v>2.65</v>
      </c>
      <c r="Q97">
        <v>4</v>
      </c>
      <c r="R97">
        <v>0.13900000000000001</v>
      </c>
      <c r="T97" t="s">
        <v>636</v>
      </c>
    </row>
    <row r="98" spans="1:20" x14ac:dyDescent="0.2">
      <c r="A98" t="s">
        <v>638</v>
      </c>
      <c r="B98" t="s">
        <v>388</v>
      </c>
      <c r="C98" t="s">
        <v>388</v>
      </c>
      <c r="E98" t="s">
        <v>639</v>
      </c>
      <c r="F98" t="s">
        <v>640</v>
      </c>
      <c r="G98">
        <v>1</v>
      </c>
      <c r="H98">
        <v>1620</v>
      </c>
      <c r="I98">
        <v>1</v>
      </c>
      <c r="J98">
        <v>8.5</v>
      </c>
      <c r="K98">
        <v>1</v>
      </c>
      <c r="L98">
        <v>0.27500000000000002</v>
      </c>
      <c r="M98">
        <v>1</v>
      </c>
      <c r="N98">
        <v>112.5</v>
      </c>
      <c r="O98">
        <v>1</v>
      </c>
      <c r="P98">
        <v>0.55000000000000004</v>
      </c>
      <c r="Q98">
        <v>1</v>
      </c>
      <c r="R98">
        <v>2.5000000000000001E-2</v>
      </c>
      <c r="T98" t="s">
        <v>639</v>
      </c>
    </row>
    <row r="99" spans="1:20" x14ac:dyDescent="0.2">
      <c r="A99" t="s">
        <v>641</v>
      </c>
      <c r="B99" t="s">
        <v>388</v>
      </c>
      <c r="C99" t="s">
        <v>388</v>
      </c>
      <c r="E99" t="s">
        <v>642</v>
      </c>
      <c r="F99" t="s">
        <v>643</v>
      </c>
      <c r="G99">
        <v>4</v>
      </c>
      <c r="H99">
        <v>2250</v>
      </c>
      <c r="I99">
        <v>5</v>
      </c>
      <c r="J99">
        <v>28.5</v>
      </c>
      <c r="K99">
        <v>4</v>
      </c>
      <c r="L99">
        <v>1.0249999999999999</v>
      </c>
      <c r="M99">
        <v>5</v>
      </c>
      <c r="N99">
        <v>492.5</v>
      </c>
      <c r="O99">
        <v>5</v>
      </c>
      <c r="P99">
        <v>3.35</v>
      </c>
      <c r="Q99">
        <v>4</v>
      </c>
      <c r="R99">
        <v>0.13900000000000001</v>
      </c>
      <c r="T99" t="s">
        <v>642</v>
      </c>
    </row>
    <row r="100" spans="1:20" x14ac:dyDescent="0.2">
      <c r="A100" t="s">
        <v>644</v>
      </c>
      <c r="B100" t="s">
        <v>388</v>
      </c>
      <c r="C100" t="s">
        <v>388</v>
      </c>
      <c r="E100" t="s">
        <v>645</v>
      </c>
      <c r="F100" t="s">
        <v>646</v>
      </c>
      <c r="G100">
        <v>4</v>
      </c>
      <c r="H100">
        <v>2250</v>
      </c>
      <c r="I100">
        <v>5</v>
      </c>
      <c r="J100">
        <v>28.5</v>
      </c>
      <c r="K100">
        <v>4</v>
      </c>
      <c r="L100">
        <v>1.0249999999999999</v>
      </c>
      <c r="M100">
        <v>4</v>
      </c>
      <c r="N100">
        <v>397.5</v>
      </c>
      <c r="O100">
        <v>4</v>
      </c>
      <c r="P100">
        <v>2.65</v>
      </c>
      <c r="Q100">
        <v>4</v>
      </c>
      <c r="R100">
        <v>0.13900000000000001</v>
      </c>
      <c r="T100" t="s">
        <v>645</v>
      </c>
    </row>
    <row r="101" spans="1:20" x14ac:dyDescent="0.2">
      <c r="A101" t="s">
        <v>647</v>
      </c>
      <c r="B101" t="s">
        <v>388</v>
      </c>
      <c r="C101" t="s">
        <v>388</v>
      </c>
      <c r="E101" t="s">
        <v>648</v>
      </c>
      <c r="F101" t="s">
        <v>649</v>
      </c>
      <c r="G101">
        <v>2</v>
      </c>
      <c r="H101">
        <v>1830</v>
      </c>
      <c r="I101">
        <v>2</v>
      </c>
      <c r="J101">
        <v>13.5</v>
      </c>
      <c r="K101">
        <v>1</v>
      </c>
      <c r="L101">
        <v>0.27500000000000002</v>
      </c>
      <c r="M101">
        <v>2</v>
      </c>
      <c r="N101">
        <v>207.5</v>
      </c>
      <c r="O101">
        <v>1</v>
      </c>
      <c r="P101">
        <v>0.55000000000000004</v>
      </c>
      <c r="Q101">
        <v>1</v>
      </c>
      <c r="R101">
        <v>2.5000000000000001E-2</v>
      </c>
      <c r="T101" t="s">
        <v>648</v>
      </c>
    </row>
    <row r="102" spans="1:20" x14ac:dyDescent="0.2">
      <c r="A102" t="s">
        <v>650</v>
      </c>
      <c r="B102" t="s">
        <v>388</v>
      </c>
      <c r="C102" t="s">
        <v>388</v>
      </c>
      <c r="E102" t="s">
        <v>651</v>
      </c>
      <c r="F102" t="s">
        <v>652</v>
      </c>
      <c r="G102">
        <v>2</v>
      </c>
      <c r="H102">
        <v>1830</v>
      </c>
      <c r="I102">
        <v>1</v>
      </c>
      <c r="J102">
        <v>8.5</v>
      </c>
      <c r="K102">
        <v>1</v>
      </c>
      <c r="L102">
        <v>0.27500000000000002</v>
      </c>
      <c r="M102">
        <v>1</v>
      </c>
      <c r="N102">
        <v>112.5</v>
      </c>
      <c r="O102">
        <v>1</v>
      </c>
      <c r="P102">
        <v>0.55000000000000004</v>
      </c>
      <c r="Q102">
        <v>1</v>
      </c>
      <c r="R102">
        <v>2.5000000000000001E-2</v>
      </c>
      <c r="T102" t="s">
        <v>651</v>
      </c>
    </row>
    <row r="103" spans="1:20" x14ac:dyDescent="0.2">
      <c r="A103" t="s">
        <v>653</v>
      </c>
      <c r="B103" t="s">
        <v>388</v>
      </c>
      <c r="C103" t="s">
        <v>388</v>
      </c>
      <c r="E103" t="s">
        <v>654</v>
      </c>
      <c r="F103" t="s">
        <v>655</v>
      </c>
      <c r="G103">
        <v>2</v>
      </c>
      <c r="H103">
        <v>1830</v>
      </c>
      <c r="I103">
        <v>2</v>
      </c>
      <c r="J103">
        <v>13.5</v>
      </c>
      <c r="K103">
        <v>2</v>
      </c>
      <c r="L103">
        <v>0.52500000000000002</v>
      </c>
      <c r="M103">
        <v>2</v>
      </c>
      <c r="N103">
        <v>207.5</v>
      </c>
      <c r="O103">
        <v>2</v>
      </c>
      <c r="P103">
        <v>1.25</v>
      </c>
      <c r="Q103">
        <v>1</v>
      </c>
      <c r="R103">
        <v>2.5000000000000001E-2</v>
      </c>
      <c r="T103" t="s">
        <v>654</v>
      </c>
    </row>
    <row r="104" spans="1:20" x14ac:dyDescent="0.2">
      <c r="A104" t="s">
        <v>656</v>
      </c>
      <c r="B104" t="s">
        <v>388</v>
      </c>
      <c r="C104" t="s">
        <v>388</v>
      </c>
      <c r="E104" t="s">
        <v>657</v>
      </c>
      <c r="F104" t="s">
        <v>658</v>
      </c>
      <c r="G104">
        <v>4</v>
      </c>
      <c r="H104">
        <v>2250</v>
      </c>
      <c r="I104">
        <v>4</v>
      </c>
      <c r="J104">
        <v>23.5</v>
      </c>
      <c r="K104">
        <v>4</v>
      </c>
      <c r="L104">
        <v>1.0249999999999999</v>
      </c>
      <c r="M104">
        <v>4</v>
      </c>
      <c r="N104">
        <v>397.5</v>
      </c>
      <c r="O104">
        <v>4</v>
      </c>
      <c r="P104">
        <v>2.65</v>
      </c>
      <c r="Q104">
        <v>5</v>
      </c>
      <c r="R104">
        <v>0.17699999999999999</v>
      </c>
      <c r="T104" t="s">
        <v>657</v>
      </c>
    </row>
    <row r="105" spans="1:20" x14ac:dyDescent="0.2">
      <c r="A105" t="s">
        <v>659</v>
      </c>
      <c r="B105" t="s">
        <v>388</v>
      </c>
      <c r="C105" t="s">
        <v>388</v>
      </c>
      <c r="E105" t="s">
        <v>660</v>
      </c>
      <c r="F105" t="s">
        <v>447</v>
      </c>
      <c r="G105">
        <v>3</v>
      </c>
      <c r="H105">
        <v>2040</v>
      </c>
      <c r="I105">
        <v>3</v>
      </c>
      <c r="J105">
        <v>18.5</v>
      </c>
      <c r="K105">
        <v>3</v>
      </c>
      <c r="L105">
        <v>0.77500000000000002</v>
      </c>
      <c r="M105">
        <v>3</v>
      </c>
      <c r="N105">
        <v>302.5</v>
      </c>
      <c r="O105">
        <v>3</v>
      </c>
      <c r="P105">
        <v>1.95</v>
      </c>
      <c r="Q105">
        <v>3</v>
      </c>
      <c r="R105">
        <v>0.10100000000000001</v>
      </c>
      <c r="T105" t="s">
        <v>660</v>
      </c>
    </row>
    <row r="106" spans="1:20" x14ac:dyDescent="0.2">
      <c r="A106" t="s">
        <v>661</v>
      </c>
      <c r="B106" t="s">
        <v>388</v>
      </c>
      <c r="C106" t="s">
        <v>388</v>
      </c>
      <c r="E106" t="s">
        <v>662</v>
      </c>
      <c r="F106" t="s">
        <v>447</v>
      </c>
      <c r="G106">
        <v>1</v>
      </c>
      <c r="H106">
        <v>1620</v>
      </c>
      <c r="I106">
        <v>1</v>
      </c>
      <c r="J106">
        <v>8.5</v>
      </c>
      <c r="K106">
        <v>1</v>
      </c>
      <c r="L106">
        <v>0.27500000000000002</v>
      </c>
      <c r="M106">
        <v>1</v>
      </c>
      <c r="N106">
        <v>112.5</v>
      </c>
      <c r="O106">
        <v>1</v>
      </c>
      <c r="P106">
        <v>0.55000000000000004</v>
      </c>
      <c r="Q106">
        <v>1</v>
      </c>
      <c r="R106">
        <v>2.5000000000000001E-2</v>
      </c>
      <c r="T106" t="s">
        <v>662</v>
      </c>
    </row>
    <row r="107" spans="1:20" x14ac:dyDescent="0.2">
      <c r="A107" t="s">
        <v>663</v>
      </c>
      <c r="B107" t="s">
        <v>388</v>
      </c>
      <c r="C107" t="s">
        <v>388</v>
      </c>
      <c r="E107" t="s">
        <v>664</v>
      </c>
      <c r="F107" t="s">
        <v>665</v>
      </c>
      <c r="G107">
        <v>4</v>
      </c>
      <c r="H107">
        <v>2250</v>
      </c>
      <c r="I107">
        <v>4</v>
      </c>
      <c r="J107">
        <v>23.5</v>
      </c>
      <c r="K107">
        <v>3</v>
      </c>
      <c r="L107">
        <v>0.77500000000000002</v>
      </c>
      <c r="M107">
        <v>3</v>
      </c>
      <c r="N107">
        <v>302.5</v>
      </c>
      <c r="O107">
        <v>3</v>
      </c>
      <c r="P107">
        <v>1.95</v>
      </c>
      <c r="Q107">
        <v>3</v>
      </c>
      <c r="R107">
        <v>0.10100000000000001</v>
      </c>
      <c r="T107" t="s">
        <v>664</v>
      </c>
    </row>
    <row r="108" spans="1:20" x14ac:dyDescent="0.2">
      <c r="A108" t="s">
        <v>666</v>
      </c>
      <c r="B108" t="s">
        <v>388</v>
      </c>
      <c r="C108" t="s">
        <v>388</v>
      </c>
      <c r="E108" t="s">
        <v>667</v>
      </c>
      <c r="F108" t="s">
        <v>668</v>
      </c>
      <c r="G108">
        <v>3</v>
      </c>
      <c r="H108">
        <v>2040</v>
      </c>
      <c r="I108">
        <v>4</v>
      </c>
      <c r="J108">
        <v>23.5</v>
      </c>
      <c r="K108">
        <v>3</v>
      </c>
      <c r="L108">
        <v>0.77500000000000002</v>
      </c>
      <c r="M108">
        <v>4</v>
      </c>
      <c r="N108">
        <v>397.5</v>
      </c>
      <c r="O108">
        <v>4</v>
      </c>
      <c r="P108">
        <v>2.65</v>
      </c>
      <c r="Q108">
        <v>4</v>
      </c>
      <c r="R108">
        <v>0.13900000000000001</v>
      </c>
      <c r="T108" t="s">
        <v>667</v>
      </c>
    </row>
    <row r="109" spans="1:20" x14ac:dyDescent="0.2">
      <c r="A109" t="s">
        <v>669</v>
      </c>
      <c r="B109" t="s">
        <v>388</v>
      </c>
      <c r="C109" t="s">
        <v>388</v>
      </c>
      <c r="E109" t="s">
        <v>670</v>
      </c>
      <c r="F109" t="s">
        <v>671</v>
      </c>
      <c r="G109">
        <v>4</v>
      </c>
      <c r="H109">
        <v>2250</v>
      </c>
      <c r="I109">
        <v>4</v>
      </c>
      <c r="J109">
        <v>23.5</v>
      </c>
      <c r="K109">
        <v>4</v>
      </c>
      <c r="L109">
        <v>1.0249999999999999</v>
      </c>
      <c r="M109">
        <v>4</v>
      </c>
      <c r="N109">
        <v>397.5</v>
      </c>
      <c r="O109">
        <v>4</v>
      </c>
      <c r="P109">
        <v>2.65</v>
      </c>
      <c r="Q109">
        <v>4</v>
      </c>
      <c r="R109">
        <v>0.13900000000000001</v>
      </c>
      <c r="T109" t="s">
        <v>670</v>
      </c>
    </row>
    <row r="110" spans="1:20" x14ac:dyDescent="0.2">
      <c r="A110" t="s">
        <v>672</v>
      </c>
      <c r="B110" t="s">
        <v>388</v>
      </c>
      <c r="C110" t="s">
        <v>388</v>
      </c>
      <c r="E110" t="s">
        <v>673</v>
      </c>
      <c r="F110" t="s">
        <v>674</v>
      </c>
      <c r="G110">
        <v>1</v>
      </c>
      <c r="H110">
        <v>1620</v>
      </c>
      <c r="I110">
        <v>1</v>
      </c>
      <c r="J110">
        <v>8.5</v>
      </c>
      <c r="K110">
        <v>1</v>
      </c>
      <c r="L110">
        <v>0.27500000000000002</v>
      </c>
      <c r="M110">
        <v>1</v>
      </c>
      <c r="N110">
        <v>112.5</v>
      </c>
      <c r="O110">
        <v>1</v>
      </c>
      <c r="P110">
        <v>0.55000000000000004</v>
      </c>
      <c r="Q110">
        <v>1</v>
      </c>
      <c r="R110">
        <v>2.5000000000000001E-2</v>
      </c>
      <c r="T110" t="s">
        <v>673</v>
      </c>
    </row>
    <row r="111" spans="1:20" x14ac:dyDescent="0.2">
      <c r="A111" t="s">
        <v>675</v>
      </c>
      <c r="B111" t="s">
        <v>388</v>
      </c>
      <c r="C111" t="s">
        <v>388</v>
      </c>
      <c r="E111" t="s">
        <v>676</v>
      </c>
      <c r="F111" t="s">
        <v>677</v>
      </c>
      <c r="G111">
        <v>3</v>
      </c>
      <c r="H111">
        <v>2040</v>
      </c>
      <c r="I111">
        <v>2</v>
      </c>
      <c r="J111">
        <v>13.5</v>
      </c>
      <c r="K111">
        <v>2</v>
      </c>
      <c r="L111">
        <v>0.52500000000000002</v>
      </c>
      <c r="M111">
        <v>2</v>
      </c>
      <c r="N111">
        <v>207.5</v>
      </c>
      <c r="O111">
        <v>3</v>
      </c>
      <c r="P111">
        <v>1.95</v>
      </c>
      <c r="Q111">
        <v>5</v>
      </c>
      <c r="R111">
        <v>0.17699999999999999</v>
      </c>
      <c r="T111" t="s">
        <v>676</v>
      </c>
    </row>
    <row r="112" spans="1:20" x14ac:dyDescent="0.2">
      <c r="A112" t="s">
        <v>678</v>
      </c>
      <c r="B112" t="s">
        <v>388</v>
      </c>
      <c r="C112" t="s">
        <v>388</v>
      </c>
      <c r="E112" t="s">
        <v>679</v>
      </c>
      <c r="F112" t="s">
        <v>680</v>
      </c>
      <c r="G112">
        <v>4</v>
      </c>
      <c r="H112">
        <v>2250</v>
      </c>
      <c r="I112">
        <v>4</v>
      </c>
      <c r="J112">
        <v>23.5</v>
      </c>
      <c r="K112">
        <v>4</v>
      </c>
      <c r="L112">
        <v>1.0249999999999999</v>
      </c>
      <c r="M112">
        <v>4</v>
      </c>
      <c r="N112">
        <v>397.5</v>
      </c>
      <c r="O112">
        <v>4</v>
      </c>
      <c r="P112">
        <v>2.65</v>
      </c>
      <c r="Q112">
        <v>4</v>
      </c>
      <c r="R112">
        <v>0.13900000000000001</v>
      </c>
      <c r="T112" t="s">
        <v>679</v>
      </c>
    </row>
    <row r="113" spans="1:20" x14ac:dyDescent="0.2">
      <c r="A113" t="s">
        <v>681</v>
      </c>
      <c r="B113" t="s">
        <v>388</v>
      </c>
      <c r="C113" t="s">
        <v>388</v>
      </c>
      <c r="E113" t="s">
        <v>682</v>
      </c>
      <c r="F113" t="s">
        <v>683</v>
      </c>
      <c r="G113">
        <v>4</v>
      </c>
      <c r="H113">
        <v>2250</v>
      </c>
      <c r="I113">
        <v>4</v>
      </c>
      <c r="J113">
        <v>23.5</v>
      </c>
      <c r="K113">
        <v>4</v>
      </c>
      <c r="L113">
        <v>1.0249999999999999</v>
      </c>
      <c r="M113">
        <v>4</v>
      </c>
      <c r="N113">
        <v>397.5</v>
      </c>
      <c r="O113">
        <v>4</v>
      </c>
      <c r="P113">
        <v>2.65</v>
      </c>
      <c r="Q113">
        <v>5</v>
      </c>
      <c r="R113">
        <v>0.17699999999999999</v>
      </c>
      <c r="T113" t="s">
        <v>682</v>
      </c>
    </row>
    <row r="114" spans="1:20" x14ac:dyDescent="0.2">
      <c r="A114" t="s">
        <v>684</v>
      </c>
      <c r="B114" t="s">
        <v>388</v>
      </c>
      <c r="C114" t="s">
        <v>388</v>
      </c>
      <c r="E114" t="s">
        <v>685</v>
      </c>
      <c r="F114" t="s">
        <v>686</v>
      </c>
      <c r="G114">
        <v>1</v>
      </c>
      <c r="H114">
        <v>1620</v>
      </c>
      <c r="I114">
        <v>1</v>
      </c>
      <c r="J114">
        <v>8.5</v>
      </c>
      <c r="K114">
        <v>1</v>
      </c>
      <c r="L114">
        <v>0.27500000000000002</v>
      </c>
      <c r="M114">
        <v>1</v>
      </c>
      <c r="N114">
        <v>112.5</v>
      </c>
      <c r="O114">
        <v>1</v>
      </c>
      <c r="P114">
        <v>0.55000000000000004</v>
      </c>
      <c r="Q114">
        <v>1</v>
      </c>
      <c r="R114">
        <v>2.5000000000000001E-2</v>
      </c>
      <c r="T114" t="s">
        <v>685</v>
      </c>
    </row>
    <row r="115" spans="1:20" x14ac:dyDescent="0.2">
      <c r="A115" t="s">
        <v>687</v>
      </c>
      <c r="B115" t="s">
        <v>388</v>
      </c>
      <c r="C115" t="s">
        <v>388</v>
      </c>
      <c r="E115" t="s">
        <v>688</v>
      </c>
      <c r="F115" t="s">
        <v>689</v>
      </c>
      <c r="G115">
        <v>4</v>
      </c>
      <c r="H115">
        <v>2250</v>
      </c>
      <c r="I115">
        <v>4</v>
      </c>
      <c r="J115">
        <v>23.5</v>
      </c>
      <c r="K115">
        <v>4</v>
      </c>
      <c r="L115">
        <v>1.0249999999999999</v>
      </c>
      <c r="M115">
        <v>4</v>
      </c>
      <c r="N115">
        <v>397.5</v>
      </c>
      <c r="O115">
        <v>4</v>
      </c>
      <c r="P115">
        <v>2.65</v>
      </c>
      <c r="Q115">
        <v>5</v>
      </c>
      <c r="R115">
        <v>0.17699999999999999</v>
      </c>
      <c r="T115" t="s">
        <v>688</v>
      </c>
    </row>
    <row r="116" spans="1:20" x14ac:dyDescent="0.2">
      <c r="A116" t="s">
        <v>690</v>
      </c>
      <c r="B116" t="s">
        <v>388</v>
      </c>
      <c r="C116" t="s">
        <v>388</v>
      </c>
      <c r="E116" t="s">
        <v>691</v>
      </c>
      <c r="F116" t="s">
        <v>692</v>
      </c>
      <c r="G116">
        <v>5</v>
      </c>
      <c r="H116">
        <v>2460</v>
      </c>
      <c r="I116">
        <v>5</v>
      </c>
      <c r="J116">
        <v>28.5</v>
      </c>
      <c r="K116">
        <v>4</v>
      </c>
      <c r="L116">
        <v>1.0249999999999999</v>
      </c>
      <c r="M116">
        <v>4</v>
      </c>
      <c r="N116">
        <v>397.5</v>
      </c>
      <c r="O116">
        <v>4</v>
      </c>
      <c r="P116">
        <v>2.65</v>
      </c>
      <c r="Q116">
        <v>5</v>
      </c>
      <c r="R116">
        <v>0.17699999999999999</v>
      </c>
      <c r="T116" t="s">
        <v>691</v>
      </c>
    </row>
    <row r="117" spans="1:20" x14ac:dyDescent="0.2">
      <c r="A117" t="s">
        <v>693</v>
      </c>
      <c r="B117" t="s">
        <v>388</v>
      </c>
      <c r="C117" t="s">
        <v>388</v>
      </c>
      <c r="E117" t="s">
        <v>694</v>
      </c>
      <c r="F117" t="s">
        <v>695</v>
      </c>
      <c r="G117">
        <v>3</v>
      </c>
      <c r="H117">
        <v>2040</v>
      </c>
      <c r="I117">
        <v>3</v>
      </c>
      <c r="J117">
        <v>18.5</v>
      </c>
      <c r="K117">
        <v>3</v>
      </c>
      <c r="L117">
        <v>0.77500000000000002</v>
      </c>
      <c r="M117">
        <v>3</v>
      </c>
      <c r="N117">
        <v>302.5</v>
      </c>
      <c r="O117">
        <v>3</v>
      </c>
      <c r="P117">
        <v>1.95</v>
      </c>
      <c r="Q117">
        <v>3</v>
      </c>
      <c r="R117">
        <v>0.10100000000000001</v>
      </c>
      <c r="T117" t="s">
        <v>694</v>
      </c>
    </row>
    <row r="118" spans="1:20" x14ac:dyDescent="0.2">
      <c r="A118" t="s">
        <v>696</v>
      </c>
      <c r="B118" t="s">
        <v>388</v>
      </c>
      <c r="C118" t="s">
        <v>388</v>
      </c>
      <c r="E118" t="s">
        <v>697</v>
      </c>
      <c r="F118" t="s">
        <v>698</v>
      </c>
      <c r="G118">
        <v>1</v>
      </c>
      <c r="H118">
        <v>1620</v>
      </c>
      <c r="I118">
        <v>1</v>
      </c>
      <c r="J118">
        <v>8.5</v>
      </c>
      <c r="K118">
        <v>1</v>
      </c>
      <c r="L118">
        <v>0.27500000000000002</v>
      </c>
      <c r="M118">
        <v>1</v>
      </c>
      <c r="N118">
        <v>112.5</v>
      </c>
      <c r="O118">
        <v>1</v>
      </c>
      <c r="P118">
        <v>0.55000000000000004</v>
      </c>
      <c r="Q118">
        <v>1</v>
      </c>
      <c r="R118">
        <v>2.5000000000000001E-2</v>
      </c>
      <c r="T118" t="s">
        <v>697</v>
      </c>
    </row>
    <row r="119" spans="1:20" x14ac:dyDescent="0.2">
      <c r="A119" t="s">
        <v>699</v>
      </c>
      <c r="B119" t="s">
        <v>388</v>
      </c>
      <c r="C119" t="s">
        <v>388</v>
      </c>
      <c r="E119" t="s">
        <v>357</v>
      </c>
      <c r="F119" t="s">
        <v>447</v>
      </c>
      <c r="G119">
        <v>1</v>
      </c>
      <c r="H119">
        <v>1620</v>
      </c>
      <c r="I119">
        <v>1</v>
      </c>
      <c r="J119">
        <v>8.5</v>
      </c>
      <c r="K119">
        <v>1</v>
      </c>
      <c r="L119">
        <v>0.27500000000000002</v>
      </c>
      <c r="M119">
        <v>1</v>
      </c>
      <c r="N119">
        <v>112.5</v>
      </c>
      <c r="O119">
        <v>1</v>
      </c>
      <c r="P119">
        <v>0.55000000000000004</v>
      </c>
      <c r="Q119">
        <v>1</v>
      </c>
      <c r="R119">
        <v>2.5000000000000001E-2</v>
      </c>
      <c r="T119" t="s">
        <v>357</v>
      </c>
    </row>
    <row r="120" spans="1:20" x14ac:dyDescent="0.2">
      <c r="A120" t="s">
        <v>700</v>
      </c>
      <c r="B120" t="s">
        <v>388</v>
      </c>
      <c r="C120" t="s">
        <v>388</v>
      </c>
      <c r="E120" t="s">
        <v>701</v>
      </c>
      <c r="F120" t="s">
        <v>702</v>
      </c>
      <c r="G120">
        <v>3</v>
      </c>
      <c r="H120">
        <v>2040</v>
      </c>
      <c r="I120">
        <v>3</v>
      </c>
      <c r="J120">
        <v>18.5</v>
      </c>
      <c r="K120">
        <v>3</v>
      </c>
      <c r="L120">
        <v>0.77500000000000002</v>
      </c>
      <c r="M120">
        <v>3</v>
      </c>
      <c r="N120">
        <v>302.5</v>
      </c>
      <c r="O120">
        <v>3</v>
      </c>
      <c r="P120">
        <v>1.95</v>
      </c>
      <c r="Q120">
        <v>3</v>
      </c>
      <c r="R120">
        <v>0.10100000000000001</v>
      </c>
      <c r="T120" t="s">
        <v>701</v>
      </c>
    </row>
    <row r="121" spans="1:20" x14ac:dyDescent="0.2">
      <c r="A121" t="s">
        <v>703</v>
      </c>
      <c r="B121" t="s">
        <v>388</v>
      </c>
      <c r="C121" t="s">
        <v>388</v>
      </c>
      <c r="E121" t="s">
        <v>704</v>
      </c>
      <c r="F121" t="s">
        <v>705</v>
      </c>
      <c r="G121">
        <v>4</v>
      </c>
      <c r="H121">
        <v>2250</v>
      </c>
      <c r="I121">
        <v>4</v>
      </c>
      <c r="J121">
        <v>23.5</v>
      </c>
      <c r="K121">
        <v>4</v>
      </c>
      <c r="L121">
        <v>1.0249999999999999</v>
      </c>
      <c r="M121">
        <v>4</v>
      </c>
      <c r="N121">
        <v>397.5</v>
      </c>
      <c r="O121">
        <v>4</v>
      </c>
      <c r="P121">
        <v>2.65</v>
      </c>
      <c r="Q121">
        <v>3</v>
      </c>
      <c r="R121">
        <v>0.10100000000000001</v>
      </c>
      <c r="T121" t="s">
        <v>704</v>
      </c>
    </row>
    <row r="122" spans="1:20" x14ac:dyDescent="0.2">
      <c r="A122" t="s">
        <v>706</v>
      </c>
      <c r="B122" t="s">
        <v>388</v>
      </c>
      <c r="C122" t="s">
        <v>388</v>
      </c>
      <c r="E122" t="s">
        <v>707</v>
      </c>
      <c r="F122" t="s">
        <v>708</v>
      </c>
      <c r="G122">
        <v>1</v>
      </c>
      <c r="H122">
        <v>1620</v>
      </c>
      <c r="I122">
        <v>3</v>
      </c>
      <c r="J122">
        <v>18.5</v>
      </c>
      <c r="K122">
        <v>2</v>
      </c>
      <c r="L122">
        <v>0.52500000000000002</v>
      </c>
      <c r="M122">
        <v>1</v>
      </c>
      <c r="N122">
        <v>112.5</v>
      </c>
      <c r="O122">
        <v>1</v>
      </c>
      <c r="P122">
        <v>0.55000000000000004</v>
      </c>
      <c r="Q122">
        <v>1</v>
      </c>
      <c r="R122">
        <v>2.5000000000000001E-2</v>
      </c>
      <c r="T122" t="s">
        <v>707</v>
      </c>
    </row>
    <row r="123" spans="1:20" x14ac:dyDescent="0.2">
      <c r="A123" t="s">
        <v>709</v>
      </c>
      <c r="B123" t="s">
        <v>388</v>
      </c>
      <c r="C123" t="s">
        <v>388</v>
      </c>
      <c r="E123" t="s">
        <v>285</v>
      </c>
      <c r="F123" t="s">
        <v>710</v>
      </c>
      <c r="G123">
        <v>4</v>
      </c>
      <c r="H123">
        <v>2250</v>
      </c>
      <c r="I123">
        <v>4</v>
      </c>
      <c r="J123">
        <v>23.5</v>
      </c>
      <c r="K123">
        <v>3</v>
      </c>
      <c r="L123">
        <v>0.77500000000000002</v>
      </c>
      <c r="M123">
        <v>4</v>
      </c>
      <c r="N123">
        <v>397.5</v>
      </c>
      <c r="O123">
        <v>4</v>
      </c>
      <c r="P123">
        <v>2.65</v>
      </c>
      <c r="Q123">
        <v>3</v>
      </c>
      <c r="R123">
        <v>0.10100000000000001</v>
      </c>
      <c r="T123" t="s">
        <v>285</v>
      </c>
    </row>
    <row r="124" spans="1:20" x14ac:dyDescent="0.2">
      <c r="A124" t="s">
        <v>711</v>
      </c>
      <c r="B124" t="s">
        <v>388</v>
      </c>
      <c r="C124" t="s">
        <v>388</v>
      </c>
      <c r="E124" t="s">
        <v>712</v>
      </c>
      <c r="F124" t="s">
        <v>713</v>
      </c>
      <c r="G124">
        <v>1</v>
      </c>
      <c r="H124">
        <v>1620</v>
      </c>
      <c r="I124">
        <v>1</v>
      </c>
      <c r="J124">
        <v>8.5</v>
      </c>
      <c r="K124">
        <v>1</v>
      </c>
      <c r="L124">
        <v>0.27500000000000002</v>
      </c>
      <c r="M124">
        <v>1</v>
      </c>
      <c r="N124">
        <v>112.5</v>
      </c>
      <c r="O124">
        <v>1</v>
      </c>
      <c r="P124">
        <v>0.55000000000000004</v>
      </c>
      <c r="Q124">
        <v>1</v>
      </c>
      <c r="R124">
        <v>2.5000000000000001E-2</v>
      </c>
      <c r="T124" t="s">
        <v>712</v>
      </c>
    </row>
    <row r="125" spans="1:20" x14ac:dyDescent="0.2">
      <c r="A125" t="s">
        <v>714</v>
      </c>
      <c r="B125" t="s">
        <v>388</v>
      </c>
      <c r="C125" t="s">
        <v>388</v>
      </c>
      <c r="E125" t="s">
        <v>715</v>
      </c>
      <c r="F125" t="s">
        <v>716</v>
      </c>
      <c r="G125">
        <v>5</v>
      </c>
      <c r="H125">
        <v>2460</v>
      </c>
      <c r="I125">
        <v>4</v>
      </c>
      <c r="J125">
        <v>23.5</v>
      </c>
      <c r="K125">
        <v>5</v>
      </c>
      <c r="L125">
        <v>1.2749999999999999</v>
      </c>
      <c r="M125">
        <v>5</v>
      </c>
      <c r="N125">
        <v>492.5</v>
      </c>
      <c r="O125">
        <v>5</v>
      </c>
      <c r="P125">
        <v>3.35</v>
      </c>
      <c r="Q125">
        <v>5</v>
      </c>
      <c r="R125">
        <v>0.17699999999999999</v>
      </c>
      <c r="T125" t="s">
        <v>715</v>
      </c>
    </row>
    <row r="126" spans="1:20" x14ac:dyDescent="0.2">
      <c r="A126" t="s">
        <v>717</v>
      </c>
      <c r="B126" t="s">
        <v>388</v>
      </c>
      <c r="C126" t="s">
        <v>388</v>
      </c>
      <c r="E126" t="s">
        <v>718</v>
      </c>
      <c r="F126" t="s">
        <v>719</v>
      </c>
      <c r="G126">
        <v>5</v>
      </c>
      <c r="H126">
        <v>2460</v>
      </c>
      <c r="I126">
        <v>5</v>
      </c>
      <c r="J126">
        <v>28.5</v>
      </c>
      <c r="K126">
        <v>4</v>
      </c>
      <c r="L126">
        <v>1.0249999999999999</v>
      </c>
      <c r="M126">
        <v>5</v>
      </c>
      <c r="N126">
        <v>492.5</v>
      </c>
      <c r="O126">
        <v>5</v>
      </c>
      <c r="P126">
        <v>3.35</v>
      </c>
      <c r="Q126">
        <v>4</v>
      </c>
      <c r="R126">
        <v>0.13900000000000001</v>
      </c>
      <c r="T126" t="s">
        <v>718</v>
      </c>
    </row>
    <row r="127" spans="1:20" x14ac:dyDescent="0.2">
      <c r="A127" t="s">
        <v>720</v>
      </c>
      <c r="B127" t="s">
        <v>388</v>
      </c>
      <c r="C127" t="s">
        <v>388</v>
      </c>
      <c r="E127" t="s">
        <v>721</v>
      </c>
      <c r="F127" t="s">
        <v>722</v>
      </c>
      <c r="G127">
        <v>2</v>
      </c>
      <c r="H127">
        <v>1830</v>
      </c>
      <c r="I127">
        <v>3</v>
      </c>
      <c r="J127">
        <v>18.5</v>
      </c>
      <c r="K127">
        <v>2</v>
      </c>
      <c r="L127">
        <v>0.52500000000000002</v>
      </c>
      <c r="M127">
        <v>2</v>
      </c>
      <c r="N127">
        <v>207.5</v>
      </c>
      <c r="O127">
        <v>2</v>
      </c>
      <c r="P127">
        <v>1.25</v>
      </c>
      <c r="Q127">
        <v>4</v>
      </c>
      <c r="R127">
        <v>0.13900000000000001</v>
      </c>
      <c r="T127" t="s">
        <v>721</v>
      </c>
    </row>
    <row r="128" spans="1:20" x14ac:dyDescent="0.2">
      <c r="A128" t="s">
        <v>723</v>
      </c>
      <c r="B128" t="s">
        <v>388</v>
      </c>
      <c r="C128" t="s">
        <v>388</v>
      </c>
      <c r="E128" t="s">
        <v>724</v>
      </c>
      <c r="F128" t="s">
        <v>725</v>
      </c>
      <c r="G128">
        <v>5</v>
      </c>
      <c r="H128">
        <v>2460</v>
      </c>
      <c r="I128">
        <v>5</v>
      </c>
      <c r="J128">
        <v>28.5</v>
      </c>
      <c r="K128">
        <v>5</v>
      </c>
      <c r="L128">
        <v>1.2749999999999999</v>
      </c>
      <c r="M128">
        <v>5</v>
      </c>
      <c r="N128">
        <v>492.5</v>
      </c>
      <c r="O128">
        <v>5</v>
      </c>
      <c r="P128">
        <v>3.35</v>
      </c>
      <c r="Q128">
        <v>4</v>
      </c>
      <c r="R128">
        <v>0.13900000000000001</v>
      </c>
      <c r="T128" t="s">
        <v>724</v>
      </c>
    </row>
    <row r="129" spans="1:20" x14ac:dyDescent="0.2">
      <c r="A129" t="s">
        <v>726</v>
      </c>
      <c r="B129" t="s">
        <v>388</v>
      </c>
      <c r="C129" t="s">
        <v>388</v>
      </c>
      <c r="E129" t="s">
        <v>727</v>
      </c>
      <c r="F129" t="s">
        <v>728</v>
      </c>
      <c r="G129">
        <v>2</v>
      </c>
      <c r="H129">
        <v>1830</v>
      </c>
      <c r="I129">
        <v>2</v>
      </c>
      <c r="J129">
        <v>13.5</v>
      </c>
      <c r="K129">
        <v>2</v>
      </c>
      <c r="L129">
        <v>0.52500000000000002</v>
      </c>
      <c r="M129">
        <v>2</v>
      </c>
      <c r="N129">
        <v>207.5</v>
      </c>
      <c r="O129">
        <v>2</v>
      </c>
      <c r="P129">
        <v>1.25</v>
      </c>
      <c r="Q129">
        <v>2</v>
      </c>
      <c r="R129">
        <v>6.3E-2</v>
      </c>
      <c r="T129" t="s">
        <v>727</v>
      </c>
    </row>
    <row r="130" spans="1:20" x14ac:dyDescent="0.2">
      <c r="A130" t="s">
        <v>729</v>
      </c>
      <c r="B130" t="s">
        <v>388</v>
      </c>
      <c r="C130" t="s">
        <v>388</v>
      </c>
      <c r="E130" t="s">
        <v>357</v>
      </c>
      <c r="F130" t="s">
        <v>447</v>
      </c>
      <c r="G130">
        <v>2</v>
      </c>
      <c r="H130">
        <v>1830</v>
      </c>
      <c r="I130">
        <v>2</v>
      </c>
      <c r="J130">
        <v>13.5</v>
      </c>
      <c r="K130">
        <v>2</v>
      </c>
      <c r="L130">
        <v>0.52500000000000002</v>
      </c>
      <c r="M130">
        <v>2</v>
      </c>
      <c r="N130">
        <v>207.5</v>
      </c>
      <c r="O130">
        <v>2</v>
      </c>
      <c r="P130">
        <v>1.25</v>
      </c>
      <c r="Q130">
        <v>2</v>
      </c>
      <c r="R130">
        <v>6.3E-2</v>
      </c>
      <c r="T130" t="s">
        <v>357</v>
      </c>
    </row>
    <row r="131" spans="1:20" x14ac:dyDescent="0.2">
      <c r="A131" t="s">
        <v>730</v>
      </c>
      <c r="B131" t="s">
        <v>388</v>
      </c>
      <c r="C131" t="s">
        <v>388</v>
      </c>
      <c r="E131" t="s">
        <v>731</v>
      </c>
      <c r="F131" t="s">
        <v>732</v>
      </c>
      <c r="G131">
        <v>1</v>
      </c>
      <c r="H131">
        <v>1620</v>
      </c>
      <c r="I131">
        <v>3</v>
      </c>
      <c r="J131">
        <v>18.5</v>
      </c>
      <c r="K131">
        <v>2</v>
      </c>
      <c r="L131">
        <v>0.52500000000000002</v>
      </c>
      <c r="M131">
        <v>1</v>
      </c>
      <c r="N131">
        <v>112.5</v>
      </c>
      <c r="O131">
        <v>1</v>
      </c>
      <c r="P131">
        <v>0.55000000000000004</v>
      </c>
      <c r="Q131">
        <v>1</v>
      </c>
      <c r="R131">
        <v>2.5000000000000001E-2</v>
      </c>
      <c r="T131" t="s">
        <v>731</v>
      </c>
    </row>
    <row r="132" spans="1:20" x14ac:dyDescent="0.2">
      <c r="A132" t="s">
        <v>733</v>
      </c>
      <c r="B132" t="s">
        <v>388</v>
      </c>
      <c r="C132" t="s">
        <v>388</v>
      </c>
      <c r="E132" t="s">
        <v>734</v>
      </c>
      <c r="F132" t="s">
        <v>735</v>
      </c>
      <c r="G132">
        <v>2</v>
      </c>
      <c r="H132">
        <v>1830</v>
      </c>
      <c r="I132">
        <v>2</v>
      </c>
      <c r="J132">
        <v>13.5</v>
      </c>
      <c r="K132">
        <v>2</v>
      </c>
      <c r="L132">
        <v>0.52500000000000002</v>
      </c>
      <c r="M132">
        <v>2</v>
      </c>
      <c r="N132">
        <v>207.5</v>
      </c>
      <c r="O132">
        <v>2</v>
      </c>
      <c r="P132">
        <v>1.25</v>
      </c>
      <c r="Q132">
        <v>2</v>
      </c>
      <c r="R132">
        <v>6.3E-2</v>
      </c>
      <c r="T132" t="s">
        <v>734</v>
      </c>
    </row>
    <row r="133" spans="1:20" x14ac:dyDescent="0.2">
      <c r="A133" t="s">
        <v>736</v>
      </c>
      <c r="B133" t="s">
        <v>388</v>
      </c>
      <c r="C133" t="s">
        <v>388</v>
      </c>
      <c r="E133" t="s">
        <v>737</v>
      </c>
      <c r="F133" t="s">
        <v>738</v>
      </c>
      <c r="G133">
        <v>5</v>
      </c>
      <c r="H133">
        <v>2460</v>
      </c>
      <c r="I133">
        <v>5</v>
      </c>
      <c r="J133">
        <v>28.5</v>
      </c>
      <c r="K133">
        <v>4</v>
      </c>
      <c r="L133">
        <v>1.0249999999999999</v>
      </c>
      <c r="M133">
        <v>4</v>
      </c>
      <c r="N133">
        <v>397.5</v>
      </c>
      <c r="O133">
        <v>5</v>
      </c>
      <c r="P133">
        <v>3.35</v>
      </c>
      <c r="Q133">
        <v>4</v>
      </c>
      <c r="R133">
        <v>0.13900000000000001</v>
      </c>
      <c r="T133" t="s">
        <v>737</v>
      </c>
    </row>
    <row r="134" spans="1:20" x14ac:dyDescent="0.2">
      <c r="A134" t="s">
        <v>739</v>
      </c>
      <c r="B134" t="s">
        <v>388</v>
      </c>
      <c r="C134" t="s">
        <v>388</v>
      </c>
      <c r="E134" t="s">
        <v>740</v>
      </c>
      <c r="F134" t="s">
        <v>741</v>
      </c>
      <c r="G134">
        <v>5</v>
      </c>
      <c r="H134">
        <v>2460</v>
      </c>
      <c r="I134">
        <v>5</v>
      </c>
      <c r="J134">
        <v>28.5</v>
      </c>
      <c r="K134">
        <v>4</v>
      </c>
      <c r="L134">
        <v>1.0249999999999999</v>
      </c>
      <c r="M134">
        <v>5</v>
      </c>
      <c r="N134">
        <v>492.5</v>
      </c>
      <c r="O134">
        <v>5</v>
      </c>
      <c r="P134">
        <v>3.35</v>
      </c>
      <c r="Q134">
        <v>4</v>
      </c>
      <c r="R134">
        <v>0.13900000000000001</v>
      </c>
      <c r="T134" t="s">
        <v>740</v>
      </c>
    </row>
    <row r="135" spans="1:20" x14ac:dyDescent="0.2">
      <c r="A135" t="s">
        <v>742</v>
      </c>
      <c r="B135" t="s">
        <v>388</v>
      </c>
      <c r="C135" t="s">
        <v>388</v>
      </c>
      <c r="E135" t="s">
        <v>357</v>
      </c>
      <c r="F135" t="s">
        <v>743</v>
      </c>
      <c r="G135">
        <v>2</v>
      </c>
      <c r="H135">
        <v>1830</v>
      </c>
      <c r="I135">
        <v>3</v>
      </c>
      <c r="J135">
        <v>18.5</v>
      </c>
      <c r="K135">
        <v>3</v>
      </c>
      <c r="L135">
        <v>0.77500000000000002</v>
      </c>
      <c r="M135">
        <v>2</v>
      </c>
      <c r="N135">
        <v>207.5</v>
      </c>
      <c r="O135">
        <v>2</v>
      </c>
      <c r="P135">
        <v>1.25</v>
      </c>
      <c r="Q135">
        <v>2</v>
      </c>
      <c r="R135">
        <v>6.3E-2</v>
      </c>
      <c r="T135" t="s">
        <v>357</v>
      </c>
    </row>
    <row r="136" spans="1:20" x14ac:dyDescent="0.2">
      <c r="A136" t="s">
        <v>744</v>
      </c>
      <c r="B136" t="s">
        <v>388</v>
      </c>
      <c r="C136" t="s">
        <v>388</v>
      </c>
      <c r="E136" t="s">
        <v>745</v>
      </c>
      <c r="F136" t="s">
        <v>746</v>
      </c>
      <c r="G136">
        <v>4</v>
      </c>
      <c r="H136">
        <v>2250</v>
      </c>
      <c r="I136">
        <v>4</v>
      </c>
      <c r="J136">
        <v>23.5</v>
      </c>
      <c r="K136">
        <v>4</v>
      </c>
      <c r="L136">
        <v>1.0249999999999999</v>
      </c>
      <c r="M136">
        <v>4</v>
      </c>
      <c r="N136">
        <v>397.5</v>
      </c>
      <c r="O136">
        <v>4</v>
      </c>
      <c r="P136">
        <v>2.65</v>
      </c>
      <c r="Q136">
        <v>4</v>
      </c>
      <c r="R136">
        <v>0.13900000000000001</v>
      </c>
      <c r="T136" t="s">
        <v>745</v>
      </c>
    </row>
    <row r="137" spans="1:20" x14ac:dyDescent="0.2">
      <c r="A137" t="s">
        <v>747</v>
      </c>
      <c r="B137" t="s">
        <v>388</v>
      </c>
      <c r="C137" t="s">
        <v>388</v>
      </c>
      <c r="E137" t="s">
        <v>748</v>
      </c>
      <c r="F137" t="s">
        <v>749</v>
      </c>
      <c r="G137">
        <v>4</v>
      </c>
      <c r="H137">
        <v>2250</v>
      </c>
      <c r="I137">
        <v>4</v>
      </c>
      <c r="J137">
        <v>23.5</v>
      </c>
      <c r="K137">
        <v>4</v>
      </c>
      <c r="L137">
        <v>1.0249999999999999</v>
      </c>
      <c r="M137">
        <v>4</v>
      </c>
      <c r="N137">
        <v>397.5</v>
      </c>
      <c r="O137">
        <v>4</v>
      </c>
      <c r="P137">
        <v>2.65</v>
      </c>
      <c r="Q137">
        <v>4</v>
      </c>
      <c r="R137">
        <v>0.13900000000000001</v>
      </c>
      <c r="T137" t="s">
        <v>748</v>
      </c>
    </row>
    <row r="138" spans="1:20" x14ac:dyDescent="0.2">
      <c r="A138" t="s">
        <v>750</v>
      </c>
      <c r="B138" t="s">
        <v>388</v>
      </c>
      <c r="C138" t="s">
        <v>388</v>
      </c>
      <c r="E138" t="s">
        <v>751</v>
      </c>
      <c r="F138" t="s">
        <v>752</v>
      </c>
      <c r="G138">
        <v>4</v>
      </c>
      <c r="H138">
        <v>2250</v>
      </c>
      <c r="I138">
        <v>4</v>
      </c>
      <c r="J138">
        <v>23.5</v>
      </c>
      <c r="K138">
        <v>3</v>
      </c>
      <c r="L138">
        <v>0.77500000000000002</v>
      </c>
      <c r="M138">
        <v>4</v>
      </c>
      <c r="N138">
        <v>397.5</v>
      </c>
      <c r="O138">
        <v>4</v>
      </c>
      <c r="P138">
        <v>2.65</v>
      </c>
      <c r="Q138">
        <v>4</v>
      </c>
      <c r="R138">
        <v>0.13900000000000001</v>
      </c>
      <c r="T138" t="s">
        <v>751</v>
      </c>
    </row>
    <row r="139" spans="1:20" x14ac:dyDescent="0.2">
      <c r="A139" t="s">
        <v>753</v>
      </c>
      <c r="B139" t="s">
        <v>388</v>
      </c>
      <c r="C139" t="s">
        <v>388</v>
      </c>
      <c r="E139" t="s">
        <v>754</v>
      </c>
      <c r="F139" t="s">
        <v>755</v>
      </c>
      <c r="G139">
        <v>4</v>
      </c>
      <c r="H139">
        <v>2250</v>
      </c>
      <c r="I139">
        <v>4</v>
      </c>
      <c r="J139">
        <v>23.5</v>
      </c>
      <c r="K139">
        <v>4</v>
      </c>
      <c r="L139">
        <v>1.0249999999999999</v>
      </c>
      <c r="M139">
        <v>4</v>
      </c>
      <c r="N139">
        <v>397.5</v>
      </c>
      <c r="O139">
        <v>4</v>
      </c>
      <c r="P139">
        <v>2.65</v>
      </c>
      <c r="Q139">
        <v>4</v>
      </c>
      <c r="R139">
        <v>0.13900000000000001</v>
      </c>
      <c r="T139" t="s">
        <v>754</v>
      </c>
    </row>
    <row r="140" spans="1:20" x14ac:dyDescent="0.2">
      <c r="A140" t="s">
        <v>756</v>
      </c>
      <c r="B140" t="s">
        <v>388</v>
      </c>
      <c r="C140" t="s">
        <v>388</v>
      </c>
      <c r="E140" t="s">
        <v>757</v>
      </c>
      <c r="F140" t="s">
        <v>758</v>
      </c>
      <c r="G140">
        <v>1</v>
      </c>
      <c r="H140">
        <v>1620</v>
      </c>
      <c r="I140">
        <v>4</v>
      </c>
      <c r="J140">
        <v>23.5</v>
      </c>
      <c r="K140">
        <v>3</v>
      </c>
      <c r="L140">
        <v>0.77500000000000002</v>
      </c>
      <c r="M140">
        <v>1</v>
      </c>
      <c r="N140">
        <v>112.5</v>
      </c>
      <c r="O140">
        <v>1</v>
      </c>
      <c r="P140">
        <v>0.55000000000000004</v>
      </c>
      <c r="Q140">
        <v>1</v>
      </c>
      <c r="R140">
        <v>2.5000000000000001E-2</v>
      </c>
      <c r="T140" t="s">
        <v>757</v>
      </c>
    </row>
    <row r="141" spans="1:20" x14ac:dyDescent="0.2">
      <c r="A141" t="s">
        <v>759</v>
      </c>
      <c r="B141" t="s">
        <v>388</v>
      </c>
      <c r="C141" t="s">
        <v>388</v>
      </c>
      <c r="E141" t="s">
        <v>760</v>
      </c>
      <c r="F141" t="s">
        <v>761</v>
      </c>
      <c r="G141">
        <v>4</v>
      </c>
      <c r="H141">
        <v>2250</v>
      </c>
      <c r="I141">
        <v>4</v>
      </c>
      <c r="J141">
        <v>23.5</v>
      </c>
      <c r="K141">
        <v>4</v>
      </c>
      <c r="L141">
        <v>1.0249999999999999</v>
      </c>
      <c r="M141">
        <v>4</v>
      </c>
      <c r="N141">
        <v>397.5</v>
      </c>
      <c r="O141">
        <v>4</v>
      </c>
      <c r="P141">
        <v>2.65</v>
      </c>
      <c r="Q141">
        <v>5</v>
      </c>
      <c r="R141">
        <v>0.17699999999999999</v>
      </c>
      <c r="T141" t="s">
        <v>760</v>
      </c>
    </row>
    <row r="142" spans="1:20" x14ac:dyDescent="0.2">
      <c r="A142" t="s">
        <v>762</v>
      </c>
      <c r="B142" t="s">
        <v>388</v>
      </c>
      <c r="C142" t="s">
        <v>388</v>
      </c>
      <c r="E142" t="s">
        <v>763</v>
      </c>
      <c r="F142" t="s">
        <v>764</v>
      </c>
      <c r="G142">
        <v>3</v>
      </c>
      <c r="H142">
        <v>2040</v>
      </c>
      <c r="I142">
        <v>3</v>
      </c>
      <c r="J142">
        <v>18.5</v>
      </c>
      <c r="K142">
        <v>3</v>
      </c>
      <c r="L142">
        <v>0.77500000000000002</v>
      </c>
      <c r="M142">
        <v>3</v>
      </c>
      <c r="N142">
        <v>302.5</v>
      </c>
      <c r="O142">
        <v>3</v>
      </c>
      <c r="P142">
        <v>1.95</v>
      </c>
      <c r="Q142">
        <v>3</v>
      </c>
      <c r="R142">
        <v>0.10100000000000001</v>
      </c>
      <c r="T142" t="s">
        <v>763</v>
      </c>
    </row>
    <row r="143" spans="1:20" x14ac:dyDescent="0.2">
      <c r="A143" t="s">
        <v>765</v>
      </c>
      <c r="B143" t="s">
        <v>388</v>
      </c>
      <c r="C143" t="s">
        <v>388</v>
      </c>
      <c r="E143" t="s">
        <v>240</v>
      </c>
      <c r="F143" t="s">
        <v>766</v>
      </c>
      <c r="G143">
        <v>4</v>
      </c>
      <c r="H143">
        <v>2250</v>
      </c>
      <c r="I143">
        <v>3</v>
      </c>
      <c r="J143">
        <v>18.5</v>
      </c>
      <c r="K143">
        <v>3</v>
      </c>
      <c r="L143">
        <v>0.77500000000000002</v>
      </c>
      <c r="M143">
        <v>4</v>
      </c>
      <c r="N143">
        <v>397.5</v>
      </c>
      <c r="O143">
        <v>4</v>
      </c>
      <c r="P143">
        <v>2.65</v>
      </c>
      <c r="Q143">
        <v>3</v>
      </c>
      <c r="R143">
        <v>0.10100000000000001</v>
      </c>
      <c r="T143" t="s">
        <v>240</v>
      </c>
    </row>
    <row r="144" spans="1:20" x14ac:dyDescent="0.2">
      <c r="A144" t="s">
        <v>767</v>
      </c>
      <c r="B144" t="s">
        <v>388</v>
      </c>
      <c r="C144" t="s">
        <v>388</v>
      </c>
      <c r="E144" t="s">
        <v>768</v>
      </c>
      <c r="F144" t="s">
        <v>769</v>
      </c>
      <c r="G144">
        <v>1</v>
      </c>
      <c r="H144">
        <v>1620</v>
      </c>
      <c r="I144">
        <v>1</v>
      </c>
      <c r="J144">
        <v>8.5</v>
      </c>
      <c r="K144">
        <v>2</v>
      </c>
      <c r="L144">
        <v>0.52500000000000002</v>
      </c>
      <c r="M144">
        <v>1</v>
      </c>
      <c r="N144">
        <v>112.5</v>
      </c>
      <c r="O144">
        <v>1</v>
      </c>
      <c r="P144">
        <v>0.55000000000000004</v>
      </c>
      <c r="Q144">
        <v>1</v>
      </c>
      <c r="R144">
        <v>2.5000000000000001E-2</v>
      </c>
      <c r="T144" t="s">
        <v>768</v>
      </c>
    </row>
    <row r="145" spans="1:20" x14ac:dyDescent="0.2">
      <c r="A145" t="s">
        <v>770</v>
      </c>
      <c r="B145" t="s">
        <v>388</v>
      </c>
      <c r="C145" t="s">
        <v>388</v>
      </c>
      <c r="E145" t="s">
        <v>771</v>
      </c>
      <c r="F145" t="s">
        <v>772</v>
      </c>
      <c r="G145">
        <v>1</v>
      </c>
      <c r="H145">
        <v>1620</v>
      </c>
      <c r="I145">
        <v>1</v>
      </c>
      <c r="J145">
        <v>8.5</v>
      </c>
      <c r="K145">
        <v>1</v>
      </c>
      <c r="L145">
        <v>0.27500000000000002</v>
      </c>
      <c r="M145">
        <v>1</v>
      </c>
      <c r="N145">
        <v>112.5</v>
      </c>
      <c r="O145">
        <v>1</v>
      </c>
      <c r="P145">
        <v>0.55000000000000004</v>
      </c>
      <c r="Q145">
        <v>2</v>
      </c>
      <c r="R145">
        <v>6.3E-2</v>
      </c>
      <c r="T145" t="s">
        <v>771</v>
      </c>
    </row>
    <row r="146" spans="1:20" x14ac:dyDescent="0.2">
      <c r="A146" t="s">
        <v>773</v>
      </c>
      <c r="B146" t="s">
        <v>388</v>
      </c>
      <c r="C146" t="s">
        <v>388</v>
      </c>
      <c r="E146" t="s">
        <v>774</v>
      </c>
      <c r="F146" t="s">
        <v>775</v>
      </c>
      <c r="G146">
        <v>3</v>
      </c>
      <c r="H146">
        <v>2040</v>
      </c>
      <c r="I146">
        <v>3</v>
      </c>
      <c r="J146">
        <v>18.5</v>
      </c>
      <c r="K146">
        <v>3</v>
      </c>
      <c r="L146">
        <v>0.77500000000000002</v>
      </c>
      <c r="M146">
        <v>3</v>
      </c>
      <c r="N146">
        <v>302.5</v>
      </c>
      <c r="O146">
        <v>3</v>
      </c>
      <c r="P146">
        <v>1.95</v>
      </c>
      <c r="Q146">
        <v>4</v>
      </c>
      <c r="R146">
        <v>0.13900000000000001</v>
      </c>
      <c r="T146" t="s">
        <v>774</v>
      </c>
    </row>
    <row r="147" spans="1:20" x14ac:dyDescent="0.2">
      <c r="A147" t="s">
        <v>776</v>
      </c>
      <c r="B147" t="s">
        <v>388</v>
      </c>
      <c r="C147" t="s">
        <v>388</v>
      </c>
      <c r="E147" t="s">
        <v>777</v>
      </c>
      <c r="F147" t="s">
        <v>778</v>
      </c>
      <c r="G147">
        <v>4</v>
      </c>
      <c r="H147">
        <v>2250</v>
      </c>
      <c r="I147">
        <v>3</v>
      </c>
      <c r="J147">
        <v>18.5</v>
      </c>
      <c r="K147">
        <v>3</v>
      </c>
      <c r="L147">
        <v>0.77500000000000002</v>
      </c>
      <c r="M147">
        <v>4</v>
      </c>
      <c r="N147">
        <v>397.5</v>
      </c>
      <c r="O147">
        <v>4</v>
      </c>
      <c r="P147">
        <v>2.65</v>
      </c>
      <c r="Q147">
        <v>5</v>
      </c>
      <c r="R147">
        <v>0.17699999999999999</v>
      </c>
      <c r="T147" t="s">
        <v>777</v>
      </c>
    </row>
    <row r="148" spans="1:20" x14ac:dyDescent="0.2">
      <c r="A148" t="s">
        <v>779</v>
      </c>
      <c r="B148" t="s">
        <v>388</v>
      </c>
      <c r="C148" t="s">
        <v>388</v>
      </c>
      <c r="E148" t="s">
        <v>780</v>
      </c>
      <c r="F148" t="s">
        <v>781</v>
      </c>
      <c r="G148">
        <v>1</v>
      </c>
      <c r="H148">
        <v>1620</v>
      </c>
      <c r="I148">
        <v>1</v>
      </c>
      <c r="J148">
        <v>8.5</v>
      </c>
      <c r="K148">
        <v>1</v>
      </c>
      <c r="L148">
        <v>0.27500000000000002</v>
      </c>
      <c r="M148">
        <v>1</v>
      </c>
      <c r="N148">
        <v>112.5</v>
      </c>
      <c r="O148">
        <v>1</v>
      </c>
      <c r="P148">
        <v>0.55000000000000004</v>
      </c>
      <c r="Q148">
        <v>1</v>
      </c>
      <c r="R148">
        <v>2.5000000000000001E-2</v>
      </c>
      <c r="T148" t="s">
        <v>780</v>
      </c>
    </row>
    <row r="149" spans="1:20" x14ac:dyDescent="0.2">
      <c r="A149" t="s">
        <v>782</v>
      </c>
      <c r="B149" t="s">
        <v>388</v>
      </c>
      <c r="C149" t="s">
        <v>388</v>
      </c>
      <c r="E149" t="s">
        <v>783</v>
      </c>
      <c r="F149" t="s">
        <v>784</v>
      </c>
      <c r="G149">
        <v>1</v>
      </c>
      <c r="H149">
        <v>1620</v>
      </c>
      <c r="I149">
        <v>1</v>
      </c>
      <c r="J149">
        <v>8.5</v>
      </c>
      <c r="K149">
        <v>1</v>
      </c>
      <c r="L149">
        <v>0.27500000000000002</v>
      </c>
      <c r="M149">
        <v>1</v>
      </c>
      <c r="N149">
        <v>112.5</v>
      </c>
      <c r="O149">
        <v>1</v>
      </c>
      <c r="P149">
        <v>0.55000000000000004</v>
      </c>
      <c r="Q149">
        <v>1</v>
      </c>
      <c r="R149">
        <v>2.5000000000000001E-2</v>
      </c>
      <c r="T149" t="s">
        <v>783</v>
      </c>
    </row>
    <row r="150" spans="1:20" x14ac:dyDescent="0.2">
      <c r="A150" t="s">
        <v>785</v>
      </c>
      <c r="B150" t="s">
        <v>388</v>
      </c>
      <c r="C150" t="s">
        <v>388</v>
      </c>
      <c r="E150" t="s">
        <v>786</v>
      </c>
      <c r="F150" t="s">
        <v>787</v>
      </c>
      <c r="G150">
        <v>5</v>
      </c>
      <c r="H150">
        <v>2460</v>
      </c>
      <c r="I150">
        <v>5</v>
      </c>
      <c r="J150">
        <v>28.5</v>
      </c>
      <c r="K150">
        <v>5</v>
      </c>
      <c r="L150">
        <v>1.2749999999999999</v>
      </c>
      <c r="M150">
        <v>5</v>
      </c>
      <c r="N150">
        <v>492.5</v>
      </c>
      <c r="O150">
        <v>5</v>
      </c>
      <c r="P150">
        <v>3.35</v>
      </c>
      <c r="Q150">
        <v>5</v>
      </c>
      <c r="R150">
        <v>0.17699999999999999</v>
      </c>
      <c r="T150" t="s">
        <v>786</v>
      </c>
    </row>
    <row r="151" spans="1:20" x14ac:dyDescent="0.2">
      <c r="A151" t="s">
        <v>788</v>
      </c>
      <c r="B151" t="s">
        <v>388</v>
      </c>
      <c r="C151" t="s">
        <v>388</v>
      </c>
      <c r="E151" t="s">
        <v>789</v>
      </c>
      <c r="F151" t="s">
        <v>790</v>
      </c>
      <c r="G151">
        <v>5</v>
      </c>
      <c r="H151">
        <v>2460</v>
      </c>
      <c r="I151">
        <v>3</v>
      </c>
      <c r="J151">
        <v>18.5</v>
      </c>
      <c r="K151">
        <v>4</v>
      </c>
      <c r="L151">
        <v>1.0249999999999999</v>
      </c>
      <c r="M151">
        <v>2</v>
      </c>
      <c r="N151">
        <v>207.5</v>
      </c>
      <c r="O151">
        <v>2</v>
      </c>
      <c r="P151">
        <v>1.25</v>
      </c>
      <c r="Q151">
        <v>2</v>
      </c>
      <c r="R151">
        <v>6.3E-2</v>
      </c>
      <c r="T151" t="s">
        <v>789</v>
      </c>
    </row>
    <row r="152" spans="1:20" x14ac:dyDescent="0.2">
      <c r="A152" t="s">
        <v>791</v>
      </c>
      <c r="B152" t="s">
        <v>388</v>
      </c>
      <c r="C152" t="s">
        <v>388</v>
      </c>
      <c r="E152" t="s">
        <v>792</v>
      </c>
      <c r="F152" t="s">
        <v>793</v>
      </c>
      <c r="G152">
        <v>5</v>
      </c>
      <c r="H152">
        <v>2460</v>
      </c>
      <c r="I152">
        <v>5</v>
      </c>
      <c r="J152">
        <v>28.5</v>
      </c>
      <c r="K152">
        <v>5</v>
      </c>
      <c r="L152">
        <v>1.2749999999999999</v>
      </c>
      <c r="M152">
        <v>5</v>
      </c>
      <c r="N152">
        <v>492.5</v>
      </c>
      <c r="O152">
        <v>5</v>
      </c>
      <c r="P152">
        <v>3.35</v>
      </c>
      <c r="Q152">
        <v>4</v>
      </c>
      <c r="R152">
        <v>0.13900000000000001</v>
      </c>
      <c r="T152" t="s">
        <v>792</v>
      </c>
    </row>
    <row r="153" spans="1:20" x14ac:dyDescent="0.2">
      <c r="A153" t="s">
        <v>794</v>
      </c>
      <c r="B153" t="s">
        <v>388</v>
      </c>
      <c r="C153" t="s">
        <v>388</v>
      </c>
      <c r="E153" t="s">
        <v>248</v>
      </c>
      <c r="F153" t="s">
        <v>795</v>
      </c>
      <c r="G153">
        <v>3</v>
      </c>
      <c r="H153">
        <v>2040</v>
      </c>
      <c r="I153">
        <v>2</v>
      </c>
      <c r="J153">
        <v>13.5</v>
      </c>
      <c r="K153">
        <v>2</v>
      </c>
      <c r="L153">
        <v>0.52500000000000002</v>
      </c>
      <c r="M153">
        <v>2</v>
      </c>
      <c r="N153">
        <v>207.5</v>
      </c>
      <c r="O153">
        <v>2</v>
      </c>
      <c r="P153">
        <v>1.25</v>
      </c>
      <c r="Q153">
        <v>2</v>
      </c>
      <c r="R153">
        <v>6.3E-2</v>
      </c>
      <c r="T153" t="s">
        <v>248</v>
      </c>
    </row>
    <row r="154" spans="1:20" x14ac:dyDescent="0.2">
      <c r="A154" t="s">
        <v>796</v>
      </c>
      <c r="B154" t="s">
        <v>388</v>
      </c>
      <c r="C154" t="s">
        <v>388</v>
      </c>
      <c r="E154" t="s">
        <v>797</v>
      </c>
      <c r="F154" t="s">
        <v>798</v>
      </c>
      <c r="G154">
        <v>4</v>
      </c>
      <c r="H154">
        <v>2250</v>
      </c>
      <c r="I154">
        <v>4</v>
      </c>
      <c r="J154">
        <v>23.5</v>
      </c>
      <c r="K154">
        <v>4</v>
      </c>
      <c r="L154">
        <v>1.0249999999999999</v>
      </c>
      <c r="M154">
        <v>4</v>
      </c>
      <c r="N154">
        <v>397.5</v>
      </c>
      <c r="O154">
        <v>4</v>
      </c>
      <c r="P154">
        <v>2.65</v>
      </c>
      <c r="Q154">
        <v>4</v>
      </c>
      <c r="R154">
        <v>0.13900000000000001</v>
      </c>
      <c r="T154" t="s">
        <v>797</v>
      </c>
    </row>
    <row r="155" spans="1:20" x14ac:dyDescent="0.2">
      <c r="A155" t="s">
        <v>799</v>
      </c>
      <c r="B155" t="s">
        <v>388</v>
      </c>
      <c r="C155" t="s">
        <v>388</v>
      </c>
      <c r="E155" t="s">
        <v>800</v>
      </c>
      <c r="F155" t="s">
        <v>801</v>
      </c>
      <c r="G155">
        <v>2</v>
      </c>
      <c r="H155">
        <v>1830</v>
      </c>
      <c r="I155">
        <v>2</v>
      </c>
      <c r="J155">
        <v>13.5</v>
      </c>
      <c r="K155">
        <v>2</v>
      </c>
      <c r="L155">
        <v>0.52500000000000002</v>
      </c>
      <c r="M155">
        <v>2</v>
      </c>
      <c r="N155">
        <v>207.5</v>
      </c>
      <c r="O155">
        <v>2</v>
      </c>
      <c r="P155">
        <v>1.25</v>
      </c>
      <c r="Q155">
        <v>2</v>
      </c>
      <c r="R155">
        <v>6.3E-2</v>
      </c>
      <c r="T155" t="s">
        <v>800</v>
      </c>
    </row>
    <row r="156" spans="1:20" x14ac:dyDescent="0.2">
      <c r="A156" t="s">
        <v>802</v>
      </c>
      <c r="B156" t="s">
        <v>388</v>
      </c>
      <c r="C156" t="s">
        <v>388</v>
      </c>
      <c r="E156" t="s">
        <v>803</v>
      </c>
      <c r="F156" t="s">
        <v>447</v>
      </c>
      <c r="G156">
        <v>2</v>
      </c>
      <c r="H156">
        <v>1830</v>
      </c>
      <c r="I156">
        <v>1</v>
      </c>
      <c r="J156">
        <v>8.5</v>
      </c>
      <c r="K156">
        <v>1</v>
      </c>
      <c r="L156">
        <v>0.27500000000000002</v>
      </c>
      <c r="M156">
        <v>2</v>
      </c>
      <c r="N156">
        <v>207.5</v>
      </c>
      <c r="O156">
        <v>2</v>
      </c>
      <c r="P156">
        <v>1.25</v>
      </c>
      <c r="Q156">
        <v>2</v>
      </c>
      <c r="R156">
        <v>6.3E-2</v>
      </c>
      <c r="T156" t="s">
        <v>803</v>
      </c>
    </row>
    <row r="157" spans="1:20" x14ac:dyDescent="0.2">
      <c r="A157" t="s">
        <v>804</v>
      </c>
      <c r="B157" t="s">
        <v>388</v>
      </c>
      <c r="C157" t="s">
        <v>388</v>
      </c>
      <c r="E157" t="s">
        <v>805</v>
      </c>
      <c r="F157" t="s">
        <v>806</v>
      </c>
      <c r="G157">
        <v>5</v>
      </c>
      <c r="H157">
        <v>2460</v>
      </c>
      <c r="I157">
        <v>5</v>
      </c>
      <c r="J157">
        <v>28.5</v>
      </c>
      <c r="K157">
        <v>5</v>
      </c>
      <c r="L157">
        <v>1.2749999999999999</v>
      </c>
      <c r="M157">
        <v>5</v>
      </c>
      <c r="N157">
        <v>492.5</v>
      </c>
      <c r="O157">
        <v>5</v>
      </c>
      <c r="P157">
        <v>3.35</v>
      </c>
      <c r="Q157">
        <v>5</v>
      </c>
      <c r="R157">
        <v>0.17699999999999999</v>
      </c>
      <c r="T157" t="s">
        <v>805</v>
      </c>
    </row>
    <row r="158" spans="1:20" x14ac:dyDescent="0.2">
      <c r="A158" t="s">
        <v>807</v>
      </c>
      <c r="B158" t="s">
        <v>388</v>
      </c>
      <c r="C158" t="s">
        <v>388</v>
      </c>
      <c r="E158" t="s">
        <v>808</v>
      </c>
      <c r="F158" t="s">
        <v>809</v>
      </c>
      <c r="G158">
        <v>4</v>
      </c>
      <c r="H158">
        <v>2250</v>
      </c>
      <c r="I158">
        <v>4</v>
      </c>
      <c r="J158">
        <v>23.5</v>
      </c>
      <c r="K158">
        <v>5</v>
      </c>
      <c r="L158">
        <v>1.2749999999999999</v>
      </c>
      <c r="M158">
        <v>5</v>
      </c>
      <c r="N158">
        <v>492.5</v>
      </c>
      <c r="O158">
        <v>5</v>
      </c>
      <c r="P158">
        <v>3.35</v>
      </c>
      <c r="Q158">
        <v>5</v>
      </c>
      <c r="R158">
        <v>0.17699999999999999</v>
      </c>
      <c r="T158" t="s">
        <v>808</v>
      </c>
    </row>
    <row r="159" spans="1:20" x14ac:dyDescent="0.2">
      <c r="A159" t="s">
        <v>810</v>
      </c>
      <c r="B159" t="s">
        <v>388</v>
      </c>
      <c r="C159" t="s">
        <v>388</v>
      </c>
      <c r="E159" t="s">
        <v>811</v>
      </c>
      <c r="F159" t="s">
        <v>812</v>
      </c>
      <c r="G159">
        <v>4</v>
      </c>
      <c r="H159">
        <v>2250</v>
      </c>
      <c r="I159">
        <v>4</v>
      </c>
      <c r="J159">
        <v>23.5</v>
      </c>
      <c r="K159">
        <v>4</v>
      </c>
      <c r="L159">
        <v>1.0249999999999999</v>
      </c>
      <c r="M159">
        <v>4</v>
      </c>
      <c r="N159">
        <v>397.5</v>
      </c>
      <c r="O159">
        <v>4</v>
      </c>
      <c r="P159">
        <v>2.65</v>
      </c>
      <c r="Q159">
        <v>4</v>
      </c>
      <c r="R159">
        <v>0.13900000000000001</v>
      </c>
      <c r="T159" t="s">
        <v>811</v>
      </c>
    </row>
    <row r="160" spans="1:20" x14ac:dyDescent="0.2">
      <c r="A160" t="s">
        <v>813</v>
      </c>
      <c r="B160" t="s">
        <v>388</v>
      </c>
      <c r="C160" t="s">
        <v>388</v>
      </c>
      <c r="E160" t="s">
        <v>814</v>
      </c>
      <c r="F160" t="s">
        <v>815</v>
      </c>
      <c r="G160">
        <v>3</v>
      </c>
      <c r="H160">
        <v>2040</v>
      </c>
      <c r="I160">
        <v>3</v>
      </c>
      <c r="J160">
        <v>18.5</v>
      </c>
      <c r="K160">
        <v>3</v>
      </c>
      <c r="L160">
        <v>0.77500000000000002</v>
      </c>
      <c r="M160">
        <v>3</v>
      </c>
      <c r="N160">
        <v>302.5</v>
      </c>
      <c r="O160">
        <v>3</v>
      </c>
      <c r="P160">
        <v>1.95</v>
      </c>
      <c r="Q160">
        <v>3</v>
      </c>
      <c r="R160">
        <v>0.10100000000000001</v>
      </c>
      <c r="T160" t="s">
        <v>814</v>
      </c>
    </row>
    <row r="161" spans="1:20" x14ac:dyDescent="0.2">
      <c r="A161" t="s">
        <v>816</v>
      </c>
      <c r="B161" t="s">
        <v>388</v>
      </c>
      <c r="C161" t="s">
        <v>388</v>
      </c>
      <c r="E161" t="s">
        <v>817</v>
      </c>
      <c r="F161" t="s">
        <v>818</v>
      </c>
      <c r="G161">
        <v>4</v>
      </c>
      <c r="H161">
        <v>2250</v>
      </c>
      <c r="I161">
        <v>4</v>
      </c>
      <c r="J161">
        <v>23.5</v>
      </c>
      <c r="K161">
        <v>4</v>
      </c>
      <c r="L161">
        <v>1.0249999999999999</v>
      </c>
      <c r="M161">
        <v>4</v>
      </c>
      <c r="N161">
        <v>397.5</v>
      </c>
      <c r="O161">
        <v>4</v>
      </c>
      <c r="P161">
        <v>2.65</v>
      </c>
      <c r="Q161">
        <v>4</v>
      </c>
      <c r="R161">
        <v>0.13900000000000001</v>
      </c>
      <c r="T161" t="s">
        <v>817</v>
      </c>
    </row>
    <row r="162" spans="1:20" x14ac:dyDescent="0.2">
      <c r="A162" t="s">
        <v>819</v>
      </c>
      <c r="B162" t="s">
        <v>388</v>
      </c>
      <c r="C162" t="s">
        <v>388</v>
      </c>
      <c r="E162" t="s">
        <v>205</v>
      </c>
      <c r="F162" t="s">
        <v>820</v>
      </c>
      <c r="G162">
        <v>1</v>
      </c>
      <c r="H162">
        <v>1620</v>
      </c>
      <c r="I162">
        <v>1</v>
      </c>
      <c r="J162">
        <v>8.5</v>
      </c>
      <c r="K162">
        <v>1</v>
      </c>
      <c r="L162">
        <v>0.27500000000000002</v>
      </c>
      <c r="M162">
        <v>1</v>
      </c>
      <c r="N162">
        <v>112.5</v>
      </c>
      <c r="O162">
        <v>1</v>
      </c>
      <c r="P162">
        <v>0.55000000000000004</v>
      </c>
      <c r="Q162">
        <v>1</v>
      </c>
      <c r="R162">
        <v>2.5000000000000001E-2</v>
      </c>
      <c r="T162" t="s">
        <v>205</v>
      </c>
    </row>
    <row r="163" spans="1:20" x14ac:dyDescent="0.2">
      <c r="A163" t="s">
        <v>821</v>
      </c>
      <c r="B163" t="s">
        <v>388</v>
      </c>
      <c r="C163" t="s">
        <v>388</v>
      </c>
      <c r="E163" t="s">
        <v>822</v>
      </c>
      <c r="F163" t="s">
        <v>447</v>
      </c>
      <c r="G163">
        <v>4</v>
      </c>
      <c r="H163">
        <v>2250</v>
      </c>
      <c r="I163">
        <v>3</v>
      </c>
      <c r="J163">
        <v>18.5</v>
      </c>
      <c r="K163">
        <v>3</v>
      </c>
      <c r="L163">
        <v>0.77500000000000002</v>
      </c>
      <c r="M163">
        <v>4</v>
      </c>
      <c r="N163">
        <v>397.5</v>
      </c>
      <c r="O163">
        <v>5</v>
      </c>
      <c r="P163">
        <v>3.35</v>
      </c>
      <c r="Q163">
        <v>5</v>
      </c>
      <c r="R163">
        <v>0.17699999999999999</v>
      </c>
      <c r="T163" t="s">
        <v>822</v>
      </c>
    </row>
    <row r="164" spans="1:20" x14ac:dyDescent="0.2">
      <c r="A164" t="s">
        <v>823</v>
      </c>
      <c r="B164" t="s">
        <v>388</v>
      </c>
      <c r="C164" t="s">
        <v>388</v>
      </c>
      <c r="E164" t="s">
        <v>824</v>
      </c>
      <c r="F164" t="s">
        <v>825</v>
      </c>
      <c r="G164">
        <v>5</v>
      </c>
      <c r="H164">
        <v>2460</v>
      </c>
      <c r="I164">
        <v>5</v>
      </c>
      <c r="J164">
        <v>28.5</v>
      </c>
      <c r="K164">
        <v>5</v>
      </c>
      <c r="L164">
        <v>1.2749999999999999</v>
      </c>
      <c r="M164">
        <v>5</v>
      </c>
      <c r="N164">
        <v>492.5</v>
      </c>
      <c r="O164">
        <v>5</v>
      </c>
      <c r="P164">
        <v>3.35</v>
      </c>
      <c r="Q164">
        <v>5</v>
      </c>
      <c r="R164">
        <v>0.17699999999999999</v>
      </c>
      <c r="T164" t="s">
        <v>824</v>
      </c>
    </row>
    <row r="165" spans="1:20" x14ac:dyDescent="0.2">
      <c r="A165" t="s">
        <v>826</v>
      </c>
      <c r="B165" t="s">
        <v>388</v>
      </c>
      <c r="C165" t="s">
        <v>388</v>
      </c>
      <c r="E165" t="s">
        <v>827</v>
      </c>
      <c r="F165" t="s">
        <v>828</v>
      </c>
      <c r="G165">
        <v>2</v>
      </c>
      <c r="H165">
        <v>1830</v>
      </c>
      <c r="I165">
        <v>2</v>
      </c>
      <c r="J165">
        <v>13.5</v>
      </c>
      <c r="K165">
        <v>2</v>
      </c>
      <c r="L165">
        <v>0.52500000000000002</v>
      </c>
      <c r="M165">
        <v>1</v>
      </c>
      <c r="N165">
        <v>112.5</v>
      </c>
      <c r="O165">
        <v>1</v>
      </c>
      <c r="P165">
        <v>0.55000000000000004</v>
      </c>
      <c r="Q165">
        <v>1</v>
      </c>
      <c r="R165">
        <v>2.5000000000000001E-2</v>
      </c>
      <c r="T165" t="s">
        <v>827</v>
      </c>
    </row>
    <row r="166" spans="1:20" x14ac:dyDescent="0.2">
      <c r="A166" t="s">
        <v>829</v>
      </c>
      <c r="B166" t="s">
        <v>388</v>
      </c>
      <c r="C166" t="s">
        <v>388</v>
      </c>
      <c r="E166" t="s">
        <v>830</v>
      </c>
      <c r="F166" t="s">
        <v>831</v>
      </c>
      <c r="G166">
        <v>1</v>
      </c>
      <c r="H166">
        <v>1620</v>
      </c>
      <c r="I166">
        <v>1</v>
      </c>
      <c r="J166">
        <v>8.5</v>
      </c>
      <c r="K166">
        <v>1</v>
      </c>
      <c r="L166">
        <v>0.27500000000000002</v>
      </c>
      <c r="M166">
        <v>1</v>
      </c>
      <c r="N166">
        <v>112.5</v>
      </c>
      <c r="O166">
        <v>1</v>
      </c>
      <c r="P166">
        <v>0.55000000000000004</v>
      </c>
      <c r="Q166">
        <v>1</v>
      </c>
      <c r="R166">
        <v>2.5000000000000001E-2</v>
      </c>
      <c r="T166" t="s">
        <v>830</v>
      </c>
    </row>
    <row r="167" spans="1:20" x14ac:dyDescent="0.2">
      <c r="A167" t="s">
        <v>832</v>
      </c>
      <c r="B167" t="s">
        <v>388</v>
      </c>
      <c r="C167" t="s">
        <v>388</v>
      </c>
      <c r="E167" t="s">
        <v>833</v>
      </c>
      <c r="F167" t="s">
        <v>834</v>
      </c>
      <c r="G167">
        <v>4</v>
      </c>
      <c r="H167">
        <v>2250</v>
      </c>
      <c r="I167">
        <v>4</v>
      </c>
      <c r="J167">
        <v>23.5</v>
      </c>
      <c r="K167">
        <v>4</v>
      </c>
      <c r="L167">
        <v>1.0249999999999999</v>
      </c>
      <c r="M167">
        <v>4</v>
      </c>
      <c r="N167">
        <v>397.5</v>
      </c>
      <c r="O167">
        <v>4</v>
      </c>
      <c r="P167">
        <v>2.65</v>
      </c>
      <c r="Q167">
        <v>4</v>
      </c>
      <c r="R167">
        <v>0.13900000000000001</v>
      </c>
      <c r="T167" t="s">
        <v>833</v>
      </c>
    </row>
    <row r="168" spans="1:20" x14ac:dyDescent="0.2">
      <c r="A168" t="s">
        <v>835</v>
      </c>
      <c r="B168" t="s">
        <v>388</v>
      </c>
      <c r="C168" t="s">
        <v>388</v>
      </c>
      <c r="E168" t="s">
        <v>836</v>
      </c>
      <c r="F168" t="s">
        <v>837</v>
      </c>
      <c r="G168">
        <v>2</v>
      </c>
      <c r="H168">
        <v>1830</v>
      </c>
      <c r="I168">
        <v>3</v>
      </c>
      <c r="J168">
        <v>18.5</v>
      </c>
      <c r="K168">
        <v>3</v>
      </c>
      <c r="L168">
        <v>0.77500000000000002</v>
      </c>
      <c r="M168">
        <v>3</v>
      </c>
      <c r="N168">
        <v>302.5</v>
      </c>
      <c r="O168">
        <v>3</v>
      </c>
      <c r="P168">
        <v>1.95</v>
      </c>
      <c r="Q168">
        <v>3</v>
      </c>
      <c r="R168">
        <v>0.10100000000000001</v>
      </c>
      <c r="T168" t="s">
        <v>836</v>
      </c>
    </row>
    <row r="169" spans="1:20" x14ac:dyDescent="0.2">
      <c r="A169" t="s">
        <v>838</v>
      </c>
      <c r="B169" t="s">
        <v>388</v>
      </c>
      <c r="C169" t="s">
        <v>388</v>
      </c>
      <c r="E169" t="s">
        <v>839</v>
      </c>
      <c r="F169" t="s">
        <v>840</v>
      </c>
      <c r="G169">
        <v>2</v>
      </c>
      <c r="H169">
        <v>1830</v>
      </c>
      <c r="I169">
        <v>1</v>
      </c>
      <c r="J169">
        <v>8.5</v>
      </c>
      <c r="K169">
        <v>1</v>
      </c>
      <c r="L169">
        <v>0.27500000000000002</v>
      </c>
      <c r="M169">
        <v>2</v>
      </c>
      <c r="N169">
        <v>207.5</v>
      </c>
      <c r="O169">
        <v>1</v>
      </c>
      <c r="P169">
        <v>0.55000000000000004</v>
      </c>
      <c r="Q169">
        <v>1</v>
      </c>
      <c r="R169">
        <v>2.5000000000000001E-2</v>
      </c>
      <c r="T169" t="s">
        <v>839</v>
      </c>
    </row>
    <row r="170" spans="1:20" x14ac:dyDescent="0.2">
      <c r="A170" t="s">
        <v>841</v>
      </c>
      <c r="B170" t="s">
        <v>388</v>
      </c>
      <c r="C170" t="s">
        <v>388</v>
      </c>
      <c r="E170" t="s">
        <v>842</v>
      </c>
      <c r="F170" t="s">
        <v>843</v>
      </c>
      <c r="G170">
        <v>4</v>
      </c>
      <c r="H170">
        <v>2250</v>
      </c>
      <c r="I170">
        <v>3</v>
      </c>
      <c r="J170">
        <v>18.5</v>
      </c>
      <c r="K170">
        <v>3</v>
      </c>
      <c r="L170">
        <v>0.77500000000000002</v>
      </c>
      <c r="M170">
        <v>4</v>
      </c>
      <c r="N170">
        <v>397.5</v>
      </c>
      <c r="O170">
        <v>4</v>
      </c>
      <c r="P170">
        <v>2.65</v>
      </c>
      <c r="Q170">
        <v>4</v>
      </c>
      <c r="R170">
        <v>0.13900000000000001</v>
      </c>
      <c r="T170" t="s">
        <v>842</v>
      </c>
    </row>
    <row r="171" spans="1:20" x14ac:dyDescent="0.2">
      <c r="A171" t="s">
        <v>844</v>
      </c>
      <c r="B171" t="s">
        <v>388</v>
      </c>
      <c r="C171" t="s">
        <v>388</v>
      </c>
      <c r="E171" t="s">
        <v>357</v>
      </c>
      <c r="F171" t="s">
        <v>845</v>
      </c>
      <c r="G171">
        <v>1</v>
      </c>
      <c r="H171">
        <v>1620</v>
      </c>
      <c r="I171">
        <v>1</v>
      </c>
      <c r="J171">
        <v>8.5</v>
      </c>
      <c r="K171">
        <v>1</v>
      </c>
      <c r="L171">
        <v>0.27500000000000002</v>
      </c>
      <c r="M171">
        <v>1</v>
      </c>
      <c r="N171">
        <v>112.5</v>
      </c>
      <c r="O171">
        <v>1</v>
      </c>
      <c r="P171">
        <v>0.55000000000000004</v>
      </c>
      <c r="Q171">
        <v>1</v>
      </c>
      <c r="R171">
        <v>2.5000000000000001E-2</v>
      </c>
      <c r="T171" t="s">
        <v>357</v>
      </c>
    </row>
    <row r="172" spans="1:20" x14ac:dyDescent="0.2">
      <c r="A172" t="s">
        <v>846</v>
      </c>
      <c r="B172" t="s">
        <v>388</v>
      </c>
      <c r="C172" t="s">
        <v>388</v>
      </c>
      <c r="E172" t="s">
        <v>847</v>
      </c>
      <c r="F172" t="s">
        <v>848</v>
      </c>
      <c r="G172">
        <v>5</v>
      </c>
      <c r="H172">
        <v>2460</v>
      </c>
      <c r="I172">
        <v>5</v>
      </c>
      <c r="J172">
        <v>28.5</v>
      </c>
      <c r="K172">
        <v>4</v>
      </c>
      <c r="L172">
        <v>1.0249999999999999</v>
      </c>
      <c r="M172">
        <v>5</v>
      </c>
      <c r="N172">
        <v>492.5</v>
      </c>
      <c r="O172">
        <v>5</v>
      </c>
      <c r="P172">
        <v>3.35</v>
      </c>
      <c r="Q172">
        <v>4</v>
      </c>
      <c r="R172">
        <v>0.13900000000000001</v>
      </c>
      <c r="T172" t="s">
        <v>847</v>
      </c>
    </row>
    <row r="173" spans="1:20" x14ac:dyDescent="0.2">
      <c r="A173" t="s">
        <v>849</v>
      </c>
      <c r="B173" t="s">
        <v>388</v>
      </c>
      <c r="C173" t="s">
        <v>388</v>
      </c>
      <c r="E173" t="s">
        <v>850</v>
      </c>
      <c r="F173" t="s">
        <v>851</v>
      </c>
      <c r="G173">
        <v>3</v>
      </c>
      <c r="H173">
        <v>2040</v>
      </c>
      <c r="I173">
        <v>3</v>
      </c>
      <c r="J173">
        <v>18.5</v>
      </c>
      <c r="K173">
        <v>3</v>
      </c>
      <c r="L173">
        <v>0.77500000000000002</v>
      </c>
      <c r="M173">
        <v>3</v>
      </c>
      <c r="N173">
        <v>302.5</v>
      </c>
      <c r="O173">
        <v>3</v>
      </c>
      <c r="P173">
        <v>1.95</v>
      </c>
      <c r="Q173">
        <v>3</v>
      </c>
      <c r="R173">
        <v>0.10100000000000001</v>
      </c>
      <c r="T173" t="s">
        <v>850</v>
      </c>
    </row>
    <row r="174" spans="1:20" x14ac:dyDescent="0.2">
      <c r="A174" t="s">
        <v>852</v>
      </c>
      <c r="B174" t="s">
        <v>388</v>
      </c>
      <c r="C174" t="s">
        <v>388</v>
      </c>
      <c r="E174" t="s">
        <v>264</v>
      </c>
      <c r="F174" t="s">
        <v>853</v>
      </c>
      <c r="G174">
        <v>1</v>
      </c>
      <c r="H174">
        <v>1620</v>
      </c>
      <c r="I174">
        <v>1</v>
      </c>
      <c r="J174">
        <v>8.5</v>
      </c>
      <c r="K174">
        <v>1</v>
      </c>
      <c r="L174">
        <v>0.27500000000000002</v>
      </c>
      <c r="M174">
        <v>2</v>
      </c>
      <c r="N174">
        <v>207.5</v>
      </c>
      <c r="O174">
        <v>2</v>
      </c>
      <c r="P174">
        <v>1.25</v>
      </c>
      <c r="Q174">
        <v>1</v>
      </c>
      <c r="R174">
        <v>2.5000000000000001E-2</v>
      </c>
      <c r="T174" t="s">
        <v>264</v>
      </c>
    </row>
    <row r="175" spans="1:20" x14ac:dyDescent="0.2">
      <c r="A175" t="s">
        <v>854</v>
      </c>
      <c r="B175" t="s">
        <v>388</v>
      </c>
      <c r="C175" t="s">
        <v>388</v>
      </c>
      <c r="E175" t="s">
        <v>855</v>
      </c>
      <c r="F175" t="s">
        <v>856</v>
      </c>
      <c r="G175">
        <v>1</v>
      </c>
      <c r="H175">
        <v>1620</v>
      </c>
      <c r="I175">
        <v>1</v>
      </c>
      <c r="J175">
        <v>8.5</v>
      </c>
      <c r="K175">
        <v>1</v>
      </c>
      <c r="L175">
        <v>0.27500000000000002</v>
      </c>
      <c r="M175">
        <v>1</v>
      </c>
      <c r="N175">
        <v>112.5</v>
      </c>
      <c r="O175">
        <v>1</v>
      </c>
      <c r="P175">
        <v>0.55000000000000004</v>
      </c>
      <c r="Q175">
        <v>1</v>
      </c>
      <c r="R175">
        <v>2.5000000000000001E-2</v>
      </c>
      <c r="T175" t="s">
        <v>855</v>
      </c>
    </row>
    <row r="176" spans="1:20" x14ac:dyDescent="0.2">
      <c r="A176" t="s">
        <v>857</v>
      </c>
      <c r="B176" t="s">
        <v>388</v>
      </c>
      <c r="C176" t="s">
        <v>388</v>
      </c>
      <c r="E176" t="s">
        <v>858</v>
      </c>
      <c r="F176" t="s">
        <v>859</v>
      </c>
      <c r="G176">
        <v>3</v>
      </c>
      <c r="H176">
        <v>2040</v>
      </c>
      <c r="I176">
        <v>2</v>
      </c>
      <c r="J176">
        <v>13.5</v>
      </c>
      <c r="K176">
        <v>2</v>
      </c>
      <c r="L176">
        <v>0.52500000000000002</v>
      </c>
      <c r="M176">
        <v>4</v>
      </c>
      <c r="N176">
        <v>397.5</v>
      </c>
      <c r="O176">
        <v>4</v>
      </c>
      <c r="P176">
        <v>2.65</v>
      </c>
      <c r="Q176">
        <v>4</v>
      </c>
      <c r="R176">
        <v>0.13900000000000001</v>
      </c>
      <c r="T176" t="s">
        <v>858</v>
      </c>
    </row>
    <row r="177" spans="1:20" x14ac:dyDescent="0.2">
      <c r="A177" t="s">
        <v>860</v>
      </c>
      <c r="B177" t="s">
        <v>388</v>
      </c>
      <c r="C177" t="s">
        <v>388</v>
      </c>
      <c r="E177" t="s">
        <v>861</v>
      </c>
      <c r="F177" t="s">
        <v>862</v>
      </c>
      <c r="G177">
        <v>1</v>
      </c>
      <c r="H177">
        <v>1620</v>
      </c>
      <c r="I177">
        <v>1</v>
      </c>
      <c r="J177">
        <v>8.5</v>
      </c>
      <c r="K177">
        <v>1</v>
      </c>
      <c r="L177">
        <v>0.27500000000000002</v>
      </c>
      <c r="M177">
        <v>1</v>
      </c>
      <c r="N177">
        <v>112.5</v>
      </c>
      <c r="O177">
        <v>1</v>
      </c>
      <c r="P177">
        <v>0.55000000000000004</v>
      </c>
      <c r="Q177">
        <v>1</v>
      </c>
      <c r="R177">
        <v>2.5000000000000001E-2</v>
      </c>
      <c r="T177" t="s">
        <v>861</v>
      </c>
    </row>
    <row r="178" spans="1:20" x14ac:dyDescent="0.2">
      <c r="A178" t="s">
        <v>863</v>
      </c>
      <c r="B178" t="s">
        <v>388</v>
      </c>
      <c r="C178" t="s">
        <v>388</v>
      </c>
      <c r="E178" t="s">
        <v>864</v>
      </c>
      <c r="F178" t="s">
        <v>865</v>
      </c>
      <c r="G178">
        <v>3</v>
      </c>
      <c r="H178">
        <v>2040</v>
      </c>
      <c r="I178">
        <v>4</v>
      </c>
      <c r="J178">
        <v>23.5</v>
      </c>
      <c r="K178">
        <v>4</v>
      </c>
      <c r="L178">
        <v>1.0249999999999999</v>
      </c>
      <c r="M178">
        <v>2</v>
      </c>
      <c r="N178">
        <v>207.5</v>
      </c>
      <c r="O178">
        <v>2</v>
      </c>
      <c r="P178">
        <v>1.25</v>
      </c>
      <c r="Q178">
        <v>2</v>
      </c>
      <c r="R178">
        <v>6.3E-2</v>
      </c>
      <c r="T178" t="s">
        <v>864</v>
      </c>
    </row>
    <row r="179" spans="1:20" x14ac:dyDescent="0.2">
      <c r="A179" t="s">
        <v>866</v>
      </c>
      <c r="B179" t="s">
        <v>388</v>
      </c>
      <c r="C179" t="s">
        <v>388</v>
      </c>
      <c r="E179" t="s">
        <v>357</v>
      </c>
      <c r="F179" t="s">
        <v>447</v>
      </c>
      <c r="G179">
        <v>3</v>
      </c>
      <c r="H179">
        <v>2040</v>
      </c>
      <c r="I179">
        <v>3</v>
      </c>
      <c r="J179">
        <v>18.5</v>
      </c>
      <c r="K179">
        <v>3</v>
      </c>
      <c r="L179">
        <v>0.77500000000000002</v>
      </c>
      <c r="M179">
        <v>4</v>
      </c>
      <c r="N179">
        <v>397.5</v>
      </c>
      <c r="O179">
        <v>4</v>
      </c>
      <c r="P179">
        <v>2.65</v>
      </c>
      <c r="Q179">
        <v>5</v>
      </c>
      <c r="R179">
        <v>0.17699999999999999</v>
      </c>
      <c r="T179" t="s">
        <v>357</v>
      </c>
    </row>
    <row r="180" spans="1:20" x14ac:dyDescent="0.2">
      <c r="A180" t="s">
        <v>867</v>
      </c>
      <c r="B180" t="s">
        <v>388</v>
      </c>
      <c r="C180" t="s">
        <v>388</v>
      </c>
      <c r="E180" t="s">
        <v>868</v>
      </c>
      <c r="F180" t="s">
        <v>869</v>
      </c>
      <c r="G180">
        <v>2</v>
      </c>
      <c r="H180">
        <v>1830</v>
      </c>
      <c r="I180">
        <v>2</v>
      </c>
      <c r="J180">
        <v>13.5</v>
      </c>
      <c r="K180">
        <v>2</v>
      </c>
      <c r="L180">
        <v>0.52500000000000002</v>
      </c>
      <c r="M180">
        <v>2</v>
      </c>
      <c r="N180">
        <v>207.5</v>
      </c>
      <c r="O180">
        <v>2</v>
      </c>
      <c r="P180">
        <v>1.25</v>
      </c>
      <c r="Q180">
        <v>2</v>
      </c>
      <c r="R180">
        <v>6.3E-2</v>
      </c>
      <c r="T180" t="s">
        <v>868</v>
      </c>
    </row>
    <row r="181" spans="1:20" x14ac:dyDescent="0.2">
      <c r="A181" t="s">
        <v>870</v>
      </c>
      <c r="B181" t="s">
        <v>388</v>
      </c>
      <c r="C181" t="s">
        <v>388</v>
      </c>
      <c r="E181" t="s">
        <v>871</v>
      </c>
      <c r="F181" t="s">
        <v>872</v>
      </c>
      <c r="G181">
        <v>5</v>
      </c>
      <c r="H181">
        <v>2460</v>
      </c>
      <c r="I181">
        <v>5</v>
      </c>
      <c r="J181">
        <v>28.5</v>
      </c>
      <c r="K181">
        <v>5</v>
      </c>
      <c r="L181">
        <v>1.2749999999999999</v>
      </c>
      <c r="M181">
        <v>5</v>
      </c>
      <c r="N181">
        <v>492.5</v>
      </c>
      <c r="O181">
        <v>5</v>
      </c>
      <c r="P181">
        <v>3.35</v>
      </c>
      <c r="Q181">
        <v>5</v>
      </c>
      <c r="R181">
        <v>0.17699999999999999</v>
      </c>
      <c r="T181" t="s">
        <v>871</v>
      </c>
    </row>
    <row r="182" spans="1:20" x14ac:dyDescent="0.2">
      <c r="A182" t="s">
        <v>873</v>
      </c>
      <c r="B182" t="s">
        <v>388</v>
      </c>
      <c r="C182" t="s">
        <v>388</v>
      </c>
      <c r="E182" t="s">
        <v>874</v>
      </c>
      <c r="F182" t="s">
        <v>875</v>
      </c>
      <c r="G182">
        <v>4</v>
      </c>
      <c r="H182">
        <v>2250</v>
      </c>
      <c r="I182">
        <v>4</v>
      </c>
      <c r="J182">
        <v>23.5</v>
      </c>
      <c r="K182">
        <v>4</v>
      </c>
      <c r="L182">
        <v>1.0249999999999999</v>
      </c>
      <c r="M182">
        <v>4</v>
      </c>
      <c r="N182">
        <v>397.5</v>
      </c>
      <c r="O182">
        <v>4</v>
      </c>
      <c r="P182">
        <v>2.65</v>
      </c>
      <c r="Q182">
        <v>4</v>
      </c>
      <c r="R182">
        <v>0.13900000000000001</v>
      </c>
      <c r="T182" t="s">
        <v>874</v>
      </c>
    </row>
    <row r="183" spans="1:20" x14ac:dyDescent="0.2">
      <c r="A183" t="s">
        <v>876</v>
      </c>
      <c r="B183" t="s">
        <v>388</v>
      </c>
      <c r="C183" t="s">
        <v>388</v>
      </c>
      <c r="E183" t="s">
        <v>877</v>
      </c>
      <c r="F183" t="s">
        <v>878</v>
      </c>
      <c r="G183">
        <v>5</v>
      </c>
      <c r="H183">
        <v>2460</v>
      </c>
      <c r="I183">
        <v>5</v>
      </c>
      <c r="J183">
        <v>28.5</v>
      </c>
      <c r="K183">
        <v>2</v>
      </c>
      <c r="L183">
        <v>0.52500000000000002</v>
      </c>
      <c r="M183">
        <v>2</v>
      </c>
      <c r="N183">
        <v>207.5</v>
      </c>
      <c r="O183">
        <v>2</v>
      </c>
      <c r="P183">
        <v>1.25</v>
      </c>
      <c r="Q183">
        <v>2</v>
      </c>
      <c r="R183">
        <v>6.3E-2</v>
      </c>
      <c r="T183" t="s">
        <v>877</v>
      </c>
    </row>
    <row r="184" spans="1:20" x14ac:dyDescent="0.2">
      <c r="A184" t="s">
        <v>879</v>
      </c>
      <c r="B184" t="s">
        <v>388</v>
      </c>
      <c r="C184" t="s">
        <v>388</v>
      </c>
      <c r="E184" t="s">
        <v>298</v>
      </c>
      <c r="F184" t="s">
        <v>880</v>
      </c>
      <c r="G184">
        <v>3</v>
      </c>
      <c r="H184">
        <v>2040</v>
      </c>
      <c r="I184">
        <v>3</v>
      </c>
      <c r="J184">
        <v>18.5</v>
      </c>
      <c r="K184">
        <v>3</v>
      </c>
      <c r="L184">
        <v>0.77500000000000002</v>
      </c>
      <c r="M184">
        <v>4</v>
      </c>
      <c r="N184">
        <v>397.5</v>
      </c>
      <c r="O184">
        <v>4</v>
      </c>
      <c r="P184">
        <v>2.65</v>
      </c>
      <c r="Q184">
        <v>4</v>
      </c>
      <c r="R184">
        <v>0.13900000000000001</v>
      </c>
      <c r="T184" t="s">
        <v>298</v>
      </c>
    </row>
    <row r="185" spans="1:20" x14ac:dyDescent="0.2">
      <c r="A185" t="s">
        <v>881</v>
      </c>
      <c r="B185" t="s">
        <v>388</v>
      </c>
      <c r="C185" t="s">
        <v>388</v>
      </c>
      <c r="E185" t="s">
        <v>882</v>
      </c>
      <c r="F185" t="s">
        <v>883</v>
      </c>
      <c r="G185">
        <v>4</v>
      </c>
      <c r="H185">
        <v>2250</v>
      </c>
      <c r="I185">
        <v>3</v>
      </c>
      <c r="J185">
        <v>18.5</v>
      </c>
      <c r="K185">
        <v>3</v>
      </c>
      <c r="L185">
        <v>0.77500000000000002</v>
      </c>
      <c r="M185">
        <v>4</v>
      </c>
      <c r="N185">
        <v>397.5</v>
      </c>
      <c r="O185">
        <v>4</v>
      </c>
      <c r="P185">
        <v>2.65</v>
      </c>
      <c r="Q185">
        <v>3</v>
      </c>
      <c r="R185">
        <v>0.10100000000000001</v>
      </c>
      <c r="T185" t="s">
        <v>882</v>
      </c>
    </row>
    <row r="186" spans="1:20" x14ac:dyDescent="0.2">
      <c r="A186" t="s">
        <v>884</v>
      </c>
      <c r="B186" t="s">
        <v>388</v>
      </c>
      <c r="C186" t="s">
        <v>388</v>
      </c>
      <c r="E186" t="s">
        <v>885</v>
      </c>
      <c r="F186" t="s">
        <v>886</v>
      </c>
      <c r="G186">
        <v>1</v>
      </c>
      <c r="H186">
        <v>1620</v>
      </c>
      <c r="I186">
        <v>1</v>
      </c>
      <c r="J186">
        <v>8.5</v>
      </c>
      <c r="K186">
        <v>1</v>
      </c>
      <c r="L186">
        <v>0.27500000000000002</v>
      </c>
      <c r="M186">
        <v>2</v>
      </c>
      <c r="N186">
        <v>207.5</v>
      </c>
      <c r="O186">
        <v>2</v>
      </c>
      <c r="P186">
        <v>1.25</v>
      </c>
      <c r="Q186">
        <v>3</v>
      </c>
      <c r="R186">
        <v>0.10100000000000001</v>
      </c>
      <c r="T186" t="s">
        <v>885</v>
      </c>
    </row>
    <row r="187" spans="1:20" x14ac:dyDescent="0.2">
      <c r="A187" t="s">
        <v>887</v>
      </c>
      <c r="B187" t="s">
        <v>388</v>
      </c>
      <c r="C187" t="s">
        <v>388</v>
      </c>
      <c r="E187" t="s">
        <v>888</v>
      </c>
      <c r="F187" t="s">
        <v>889</v>
      </c>
      <c r="G187">
        <v>1</v>
      </c>
      <c r="H187">
        <v>1620</v>
      </c>
      <c r="I187">
        <v>1</v>
      </c>
      <c r="J187">
        <v>8.5</v>
      </c>
      <c r="K187">
        <v>1</v>
      </c>
      <c r="L187">
        <v>0.27500000000000002</v>
      </c>
      <c r="M187">
        <v>2</v>
      </c>
      <c r="N187">
        <v>207.5</v>
      </c>
      <c r="O187">
        <v>2</v>
      </c>
      <c r="P187">
        <v>1.25</v>
      </c>
      <c r="Q187">
        <v>2</v>
      </c>
      <c r="R187">
        <v>6.3E-2</v>
      </c>
      <c r="T187" t="s">
        <v>888</v>
      </c>
    </row>
    <row r="188" spans="1:20" x14ac:dyDescent="0.2">
      <c r="A188" t="s">
        <v>890</v>
      </c>
      <c r="B188" t="s">
        <v>388</v>
      </c>
      <c r="C188" t="s">
        <v>388</v>
      </c>
      <c r="E188" t="s">
        <v>891</v>
      </c>
      <c r="F188" t="s">
        <v>892</v>
      </c>
      <c r="G188">
        <v>4</v>
      </c>
      <c r="H188">
        <v>2250</v>
      </c>
      <c r="I188">
        <v>4</v>
      </c>
      <c r="J188">
        <v>23.5</v>
      </c>
      <c r="K188">
        <v>4</v>
      </c>
      <c r="L188">
        <v>1.0249999999999999</v>
      </c>
      <c r="M188">
        <v>5</v>
      </c>
      <c r="N188">
        <v>492.5</v>
      </c>
      <c r="O188">
        <v>5</v>
      </c>
      <c r="P188">
        <v>3.35</v>
      </c>
      <c r="Q188">
        <v>4</v>
      </c>
      <c r="R188">
        <v>0.13900000000000001</v>
      </c>
      <c r="T188" t="s">
        <v>891</v>
      </c>
    </row>
    <row r="189" spans="1:20" x14ac:dyDescent="0.2">
      <c r="A189" t="s">
        <v>893</v>
      </c>
      <c r="B189" t="s">
        <v>388</v>
      </c>
      <c r="C189" t="s">
        <v>388</v>
      </c>
      <c r="E189" t="s">
        <v>894</v>
      </c>
      <c r="F189" t="s">
        <v>895</v>
      </c>
      <c r="G189">
        <v>1</v>
      </c>
      <c r="H189">
        <v>1620</v>
      </c>
      <c r="I189">
        <v>2</v>
      </c>
      <c r="J189">
        <v>13.5</v>
      </c>
      <c r="K189">
        <v>2</v>
      </c>
      <c r="L189">
        <v>0.52500000000000002</v>
      </c>
      <c r="M189">
        <v>5</v>
      </c>
      <c r="N189">
        <v>492.5</v>
      </c>
      <c r="O189">
        <v>4</v>
      </c>
      <c r="P189">
        <v>2.65</v>
      </c>
      <c r="Q189">
        <v>3</v>
      </c>
      <c r="R189">
        <v>0.10100000000000001</v>
      </c>
      <c r="T189" t="s">
        <v>894</v>
      </c>
    </row>
    <row r="190" spans="1:20" x14ac:dyDescent="0.2">
      <c r="A190" t="s">
        <v>896</v>
      </c>
      <c r="B190" t="s">
        <v>388</v>
      </c>
      <c r="C190" t="s">
        <v>388</v>
      </c>
      <c r="E190" t="s">
        <v>288</v>
      </c>
      <c r="F190" t="s">
        <v>897</v>
      </c>
      <c r="G190">
        <v>4</v>
      </c>
      <c r="H190">
        <v>2250</v>
      </c>
      <c r="I190">
        <v>4</v>
      </c>
      <c r="J190">
        <v>23.5</v>
      </c>
      <c r="K190">
        <v>4</v>
      </c>
      <c r="L190">
        <v>1.0249999999999999</v>
      </c>
      <c r="M190">
        <v>4</v>
      </c>
      <c r="N190">
        <v>397.5</v>
      </c>
      <c r="O190">
        <v>4</v>
      </c>
      <c r="P190">
        <v>2.65</v>
      </c>
      <c r="Q190">
        <v>4</v>
      </c>
      <c r="R190">
        <v>0.13900000000000001</v>
      </c>
      <c r="T190" t="s">
        <v>288</v>
      </c>
    </row>
    <row r="191" spans="1:20" x14ac:dyDescent="0.2">
      <c r="A191" t="s">
        <v>898</v>
      </c>
      <c r="B191" t="s">
        <v>388</v>
      </c>
      <c r="C191" t="s">
        <v>388</v>
      </c>
      <c r="E191" t="s">
        <v>899</v>
      </c>
      <c r="F191" t="s">
        <v>900</v>
      </c>
      <c r="G191">
        <v>4</v>
      </c>
      <c r="H191">
        <v>2250</v>
      </c>
      <c r="I191">
        <v>4</v>
      </c>
      <c r="J191">
        <v>23.5</v>
      </c>
      <c r="K191">
        <v>3</v>
      </c>
      <c r="L191">
        <v>0.77500000000000002</v>
      </c>
      <c r="M191">
        <v>3</v>
      </c>
      <c r="N191">
        <v>302.5</v>
      </c>
      <c r="O191">
        <v>4</v>
      </c>
      <c r="P191">
        <v>2.65</v>
      </c>
      <c r="Q191">
        <v>4</v>
      </c>
      <c r="R191">
        <v>0.13900000000000001</v>
      </c>
      <c r="T191" t="s">
        <v>899</v>
      </c>
    </row>
    <row r="192" spans="1:20" x14ac:dyDescent="0.2">
      <c r="A192" t="s">
        <v>901</v>
      </c>
      <c r="B192" t="s">
        <v>388</v>
      </c>
      <c r="C192" t="s">
        <v>388</v>
      </c>
      <c r="E192" t="s">
        <v>902</v>
      </c>
      <c r="F192" t="s">
        <v>903</v>
      </c>
      <c r="G192">
        <v>5</v>
      </c>
      <c r="H192">
        <v>2460</v>
      </c>
      <c r="I192">
        <v>5</v>
      </c>
      <c r="J192">
        <v>28.5</v>
      </c>
      <c r="K192">
        <v>5</v>
      </c>
      <c r="L192">
        <v>1.2749999999999999</v>
      </c>
      <c r="M192">
        <v>5</v>
      </c>
      <c r="N192">
        <v>492.5</v>
      </c>
      <c r="O192">
        <v>5</v>
      </c>
      <c r="P192">
        <v>3.35</v>
      </c>
      <c r="Q192">
        <v>4</v>
      </c>
      <c r="R192">
        <v>0.13900000000000001</v>
      </c>
      <c r="T192" t="s">
        <v>902</v>
      </c>
    </row>
    <row r="193" spans="1:20" x14ac:dyDescent="0.2">
      <c r="A193" t="s">
        <v>904</v>
      </c>
      <c r="B193" t="s">
        <v>388</v>
      </c>
      <c r="C193" t="s">
        <v>388</v>
      </c>
      <c r="E193" t="s">
        <v>905</v>
      </c>
      <c r="F193" t="s">
        <v>906</v>
      </c>
      <c r="G193">
        <v>1</v>
      </c>
      <c r="H193">
        <v>1620</v>
      </c>
      <c r="I193">
        <v>1</v>
      </c>
      <c r="J193">
        <v>8.5</v>
      </c>
      <c r="K193">
        <v>1</v>
      </c>
      <c r="L193">
        <v>0.27500000000000002</v>
      </c>
      <c r="M193">
        <v>1</v>
      </c>
      <c r="N193">
        <v>112.5</v>
      </c>
      <c r="O193">
        <v>1</v>
      </c>
      <c r="P193">
        <v>0.55000000000000004</v>
      </c>
      <c r="Q193">
        <v>1</v>
      </c>
      <c r="R193">
        <v>2.5000000000000001E-2</v>
      </c>
      <c r="T193" t="s">
        <v>905</v>
      </c>
    </row>
    <row r="194" spans="1:20" x14ac:dyDescent="0.2">
      <c r="A194" t="s">
        <v>907</v>
      </c>
      <c r="B194" t="s">
        <v>388</v>
      </c>
      <c r="C194" t="s">
        <v>388</v>
      </c>
      <c r="E194" t="s">
        <v>908</v>
      </c>
      <c r="F194" t="s">
        <v>909</v>
      </c>
      <c r="G194">
        <v>3</v>
      </c>
      <c r="H194">
        <v>2040</v>
      </c>
      <c r="I194">
        <v>3</v>
      </c>
      <c r="J194">
        <v>18.5</v>
      </c>
      <c r="K194">
        <v>3</v>
      </c>
      <c r="L194">
        <v>0.77500000000000002</v>
      </c>
      <c r="M194">
        <v>3</v>
      </c>
      <c r="N194">
        <v>302.5</v>
      </c>
      <c r="O194">
        <v>4</v>
      </c>
      <c r="P194">
        <v>2.65</v>
      </c>
      <c r="Q194">
        <v>5</v>
      </c>
      <c r="R194">
        <v>0.17699999999999999</v>
      </c>
      <c r="T194" t="s">
        <v>908</v>
      </c>
    </row>
    <row r="195" spans="1:20" x14ac:dyDescent="0.2">
      <c r="A195" t="s">
        <v>910</v>
      </c>
      <c r="B195" t="s">
        <v>388</v>
      </c>
      <c r="C195" t="s">
        <v>388</v>
      </c>
      <c r="E195" t="s">
        <v>911</v>
      </c>
      <c r="F195" t="s">
        <v>912</v>
      </c>
      <c r="G195">
        <v>2</v>
      </c>
      <c r="H195">
        <v>1830</v>
      </c>
      <c r="I195">
        <v>3</v>
      </c>
      <c r="J195">
        <v>18.5</v>
      </c>
      <c r="K195">
        <v>2</v>
      </c>
      <c r="L195">
        <v>0.52500000000000002</v>
      </c>
      <c r="M195">
        <v>2</v>
      </c>
      <c r="N195">
        <v>207.5</v>
      </c>
      <c r="O195">
        <v>3</v>
      </c>
      <c r="P195">
        <v>1.95</v>
      </c>
      <c r="Q195">
        <v>3</v>
      </c>
      <c r="R195">
        <v>0.10100000000000001</v>
      </c>
      <c r="T195" t="s">
        <v>911</v>
      </c>
    </row>
    <row r="196" spans="1:20" x14ac:dyDescent="0.2">
      <c r="A196" t="s">
        <v>913</v>
      </c>
      <c r="B196" t="s">
        <v>388</v>
      </c>
      <c r="C196" t="s">
        <v>388</v>
      </c>
      <c r="E196" t="s">
        <v>914</v>
      </c>
      <c r="F196" t="s">
        <v>915</v>
      </c>
      <c r="G196">
        <v>1</v>
      </c>
      <c r="H196">
        <v>1620</v>
      </c>
      <c r="I196">
        <v>1</v>
      </c>
      <c r="J196">
        <v>8.5</v>
      </c>
      <c r="K196">
        <v>1</v>
      </c>
      <c r="L196">
        <v>0.27500000000000002</v>
      </c>
      <c r="M196">
        <v>4</v>
      </c>
      <c r="N196">
        <v>397.5</v>
      </c>
      <c r="O196">
        <v>2</v>
      </c>
      <c r="P196">
        <v>1.25</v>
      </c>
      <c r="Q196">
        <v>1</v>
      </c>
      <c r="R196">
        <v>2.5000000000000001E-2</v>
      </c>
      <c r="T196" t="s">
        <v>914</v>
      </c>
    </row>
    <row r="197" spans="1:20" x14ac:dyDescent="0.2">
      <c r="A197" t="s">
        <v>916</v>
      </c>
      <c r="B197" t="s">
        <v>388</v>
      </c>
      <c r="C197" t="s">
        <v>388</v>
      </c>
      <c r="E197" t="s">
        <v>917</v>
      </c>
      <c r="F197" t="s">
        <v>918</v>
      </c>
      <c r="G197">
        <v>5</v>
      </c>
      <c r="H197">
        <v>2460</v>
      </c>
      <c r="I197">
        <v>5</v>
      </c>
      <c r="J197">
        <v>28.5</v>
      </c>
      <c r="K197">
        <v>5</v>
      </c>
      <c r="L197">
        <v>1.2749999999999999</v>
      </c>
      <c r="M197">
        <v>5</v>
      </c>
      <c r="N197">
        <v>492.5</v>
      </c>
      <c r="O197">
        <v>5</v>
      </c>
      <c r="P197">
        <v>3.35</v>
      </c>
      <c r="Q197">
        <v>5</v>
      </c>
      <c r="R197">
        <v>0.17699999999999999</v>
      </c>
      <c r="T197" t="s">
        <v>917</v>
      </c>
    </row>
    <row r="198" spans="1:20" x14ac:dyDescent="0.2">
      <c r="A198" t="s">
        <v>919</v>
      </c>
      <c r="B198" t="s">
        <v>388</v>
      </c>
      <c r="C198" t="s">
        <v>388</v>
      </c>
      <c r="E198" t="s">
        <v>204</v>
      </c>
      <c r="F198" t="s">
        <v>920</v>
      </c>
      <c r="G198">
        <v>4</v>
      </c>
      <c r="H198">
        <v>2250</v>
      </c>
      <c r="I198">
        <v>4</v>
      </c>
      <c r="J198">
        <v>23.5</v>
      </c>
      <c r="K198">
        <v>3</v>
      </c>
      <c r="L198">
        <v>0.77500000000000002</v>
      </c>
      <c r="M198">
        <v>4</v>
      </c>
      <c r="N198">
        <v>397.5</v>
      </c>
      <c r="O198">
        <v>4</v>
      </c>
      <c r="P198">
        <v>2.65</v>
      </c>
      <c r="Q198">
        <v>3</v>
      </c>
      <c r="R198">
        <v>0.10100000000000001</v>
      </c>
      <c r="T198" t="s">
        <v>204</v>
      </c>
    </row>
    <row r="199" spans="1:20" x14ac:dyDescent="0.2">
      <c r="A199" t="s">
        <v>921</v>
      </c>
      <c r="B199" t="s">
        <v>388</v>
      </c>
      <c r="C199" t="s">
        <v>388</v>
      </c>
      <c r="E199" t="s">
        <v>922</v>
      </c>
      <c r="F199" t="s">
        <v>923</v>
      </c>
      <c r="G199">
        <v>4</v>
      </c>
      <c r="H199">
        <v>2250</v>
      </c>
      <c r="I199">
        <v>4</v>
      </c>
      <c r="J199">
        <v>23.5</v>
      </c>
      <c r="K199">
        <v>3</v>
      </c>
      <c r="L199">
        <v>0.77500000000000002</v>
      </c>
      <c r="M199">
        <v>4</v>
      </c>
      <c r="N199">
        <v>397.5</v>
      </c>
      <c r="O199">
        <v>4</v>
      </c>
      <c r="P199">
        <v>2.65</v>
      </c>
      <c r="Q199">
        <v>3</v>
      </c>
      <c r="R199">
        <v>0.10100000000000001</v>
      </c>
      <c r="T199" t="s">
        <v>922</v>
      </c>
    </row>
    <row r="200" spans="1:20" x14ac:dyDescent="0.2">
      <c r="A200" t="s">
        <v>924</v>
      </c>
      <c r="B200" t="s">
        <v>388</v>
      </c>
      <c r="C200" t="s">
        <v>388</v>
      </c>
      <c r="E200" t="s">
        <v>922</v>
      </c>
      <c r="F200" t="s">
        <v>923</v>
      </c>
      <c r="G200">
        <v>1</v>
      </c>
      <c r="H200">
        <v>1620</v>
      </c>
      <c r="I200">
        <v>3</v>
      </c>
      <c r="J200">
        <v>18.5</v>
      </c>
      <c r="K200">
        <v>2</v>
      </c>
      <c r="L200">
        <v>0.52500000000000002</v>
      </c>
      <c r="M200">
        <v>1</v>
      </c>
      <c r="N200">
        <v>112.5</v>
      </c>
      <c r="O200">
        <v>1</v>
      </c>
      <c r="P200">
        <v>0.55000000000000004</v>
      </c>
      <c r="Q200">
        <v>1</v>
      </c>
      <c r="R200">
        <v>2.5000000000000001E-2</v>
      </c>
      <c r="T200" t="s">
        <v>922</v>
      </c>
    </row>
    <row r="201" spans="1:20" x14ac:dyDescent="0.2">
      <c r="A201" t="s">
        <v>925</v>
      </c>
      <c r="B201" t="s">
        <v>388</v>
      </c>
      <c r="C201" t="s">
        <v>388</v>
      </c>
      <c r="E201" t="s">
        <v>922</v>
      </c>
      <c r="F201" t="s">
        <v>923</v>
      </c>
      <c r="G201">
        <v>2</v>
      </c>
      <c r="H201">
        <v>1830</v>
      </c>
      <c r="I201">
        <v>1</v>
      </c>
      <c r="J201">
        <v>8.5</v>
      </c>
      <c r="K201">
        <v>1</v>
      </c>
      <c r="L201">
        <v>0.27500000000000002</v>
      </c>
      <c r="M201">
        <v>1</v>
      </c>
      <c r="N201">
        <v>112.5</v>
      </c>
      <c r="O201">
        <v>1</v>
      </c>
      <c r="P201">
        <v>0.55000000000000004</v>
      </c>
      <c r="Q201">
        <v>1</v>
      </c>
      <c r="R201">
        <v>2.5000000000000001E-2</v>
      </c>
      <c r="T201" t="s">
        <v>922</v>
      </c>
    </row>
    <row r="202" spans="1:20" x14ac:dyDescent="0.2">
      <c r="A202" t="s">
        <v>926</v>
      </c>
      <c r="B202" t="s">
        <v>388</v>
      </c>
      <c r="C202" t="s">
        <v>388</v>
      </c>
      <c r="E202" t="s">
        <v>922</v>
      </c>
      <c r="F202" t="s">
        <v>923</v>
      </c>
      <c r="G202">
        <v>3</v>
      </c>
      <c r="H202">
        <v>2040</v>
      </c>
      <c r="I202">
        <v>3</v>
      </c>
      <c r="J202">
        <v>18.5</v>
      </c>
      <c r="K202">
        <v>3</v>
      </c>
      <c r="L202">
        <v>0.77500000000000002</v>
      </c>
      <c r="M202">
        <v>3</v>
      </c>
      <c r="N202">
        <v>302.5</v>
      </c>
      <c r="O202">
        <v>3</v>
      </c>
      <c r="P202">
        <v>1.95</v>
      </c>
      <c r="Q202">
        <v>3</v>
      </c>
      <c r="R202">
        <v>0.10100000000000001</v>
      </c>
      <c r="T202" t="s">
        <v>922</v>
      </c>
    </row>
    <row r="203" spans="1:20" x14ac:dyDescent="0.2">
      <c r="A203" t="s">
        <v>927</v>
      </c>
      <c r="B203" t="s">
        <v>388</v>
      </c>
      <c r="C203" t="s">
        <v>388</v>
      </c>
      <c r="E203" t="s">
        <v>928</v>
      </c>
      <c r="F203" t="s">
        <v>929</v>
      </c>
      <c r="G203">
        <v>3</v>
      </c>
      <c r="H203">
        <v>2040</v>
      </c>
      <c r="I203">
        <v>3</v>
      </c>
      <c r="J203">
        <v>18.5</v>
      </c>
      <c r="K203">
        <v>3</v>
      </c>
      <c r="L203">
        <v>0.77500000000000002</v>
      </c>
      <c r="M203">
        <v>3</v>
      </c>
      <c r="N203">
        <v>302.5</v>
      </c>
      <c r="O203">
        <v>3</v>
      </c>
      <c r="P203">
        <v>1.95</v>
      </c>
      <c r="Q203">
        <v>3</v>
      </c>
      <c r="R203">
        <v>0.10100000000000001</v>
      </c>
      <c r="T203" t="s">
        <v>928</v>
      </c>
    </row>
    <row r="204" spans="1:20" x14ac:dyDescent="0.2">
      <c r="A204" t="s">
        <v>930</v>
      </c>
      <c r="B204" t="s">
        <v>388</v>
      </c>
      <c r="C204" t="s">
        <v>388</v>
      </c>
      <c r="E204" t="s">
        <v>931</v>
      </c>
      <c r="F204" t="s">
        <v>932</v>
      </c>
      <c r="G204">
        <v>1</v>
      </c>
      <c r="H204">
        <v>1620</v>
      </c>
      <c r="I204">
        <v>1</v>
      </c>
      <c r="J204">
        <v>8.5</v>
      </c>
      <c r="K204">
        <v>1</v>
      </c>
      <c r="L204">
        <v>0.27500000000000002</v>
      </c>
      <c r="M204">
        <v>1</v>
      </c>
      <c r="N204">
        <v>112.5</v>
      </c>
      <c r="O204">
        <v>1</v>
      </c>
      <c r="P204">
        <v>0.55000000000000004</v>
      </c>
      <c r="Q204">
        <v>1</v>
      </c>
      <c r="R204">
        <v>2.5000000000000001E-2</v>
      </c>
      <c r="T204" t="s">
        <v>931</v>
      </c>
    </row>
    <row r="205" spans="1:20" x14ac:dyDescent="0.2">
      <c r="A205" t="s">
        <v>933</v>
      </c>
      <c r="B205" t="s">
        <v>388</v>
      </c>
      <c r="C205" t="s">
        <v>388</v>
      </c>
      <c r="E205" t="s">
        <v>357</v>
      </c>
      <c r="F205" t="s">
        <v>934</v>
      </c>
      <c r="G205">
        <v>1</v>
      </c>
      <c r="H205">
        <v>1620</v>
      </c>
      <c r="I205">
        <v>1</v>
      </c>
      <c r="J205">
        <v>8.5</v>
      </c>
      <c r="K205">
        <v>1</v>
      </c>
      <c r="L205">
        <v>0.27500000000000002</v>
      </c>
      <c r="M205">
        <v>2</v>
      </c>
      <c r="N205">
        <v>207.5</v>
      </c>
      <c r="O205">
        <v>2</v>
      </c>
      <c r="P205">
        <v>1.25</v>
      </c>
      <c r="Q205">
        <v>3</v>
      </c>
      <c r="R205">
        <v>0.10100000000000001</v>
      </c>
      <c r="T205" t="s">
        <v>357</v>
      </c>
    </row>
    <row r="206" spans="1:20" x14ac:dyDescent="0.2">
      <c r="A206" t="s">
        <v>935</v>
      </c>
      <c r="B206" t="s">
        <v>388</v>
      </c>
      <c r="C206" t="s">
        <v>388</v>
      </c>
      <c r="E206" t="s">
        <v>936</v>
      </c>
      <c r="F206" t="s">
        <v>937</v>
      </c>
      <c r="G206">
        <v>4</v>
      </c>
      <c r="H206">
        <v>2250</v>
      </c>
      <c r="I206">
        <v>4</v>
      </c>
      <c r="J206">
        <v>23.5</v>
      </c>
      <c r="K206">
        <v>4</v>
      </c>
      <c r="L206">
        <v>1.0249999999999999</v>
      </c>
      <c r="M206">
        <v>4</v>
      </c>
      <c r="N206">
        <v>397.5</v>
      </c>
      <c r="O206">
        <v>4</v>
      </c>
      <c r="P206">
        <v>2.65</v>
      </c>
      <c r="Q206">
        <v>4</v>
      </c>
      <c r="R206">
        <v>0.13900000000000001</v>
      </c>
      <c r="T206" t="s">
        <v>936</v>
      </c>
    </row>
    <row r="207" spans="1:20" x14ac:dyDescent="0.2">
      <c r="A207" t="s">
        <v>938</v>
      </c>
      <c r="B207" t="s">
        <v>388</v>
      </c>
      <c r="C207" t="s">
        <v>388</v>
      </c>
      <c r="E207" t="s">
        <v>939</v>
      </c>
      <c r="F207" t="s">
        <v>940</v>
      </c>
      <c r="G207">
        <v>1</v>
      </c>
      <c r="H207">
        <v>1620</v>
      </c>
      <c r="I207">
        <v>1</v>
      </c>
      <c r="J207">
        <v>8.5</v>
      </c>
      <c r="K207">
        <v>1</v>
      </c>
      <c r="L207">
        <v>0.27500000000000002</v>
      </c>
      <c r="M207">
        <v>1</v>
      </c>
      <c r="N207">
        <v>112.5</v>
      </c>
      <c r="O207">
        <v>1</v>
      </c>
      <c r="P207">
        <v>0.55000000000000004</v>
      </c>
      <c r="Q207">
        <v>1</v>
      </c>
      <c r="R207">
        <v>2.5000000000000001E-2</v>
      </c>
      <c r="T207" t="s">
        <v>939</v>
      </c>
    </row>
    <row r="208" spans="1:20" x14ac:dyDescent="0.2">
      <c r="A208" t="s">
        <v>941</v>
      </c>
      <c r="B208" t="s">
        <v>388</v>
      </c>
      <c r="C208" t="s">
        <v>388</v>
      </c>
      <c r="E208" t="s">
        <v>942</v>
      </c>
      <c r="F208" t="s">
        <v>447</v>
      </c>
      <c r="G208">
        <v>5</v>
      </c>
      <c r="H208">
        <v>2460</v>
      </c>
      <c r="I208">
        <v>5</v>
      </c>
      <c r="J208">
        <v>28.5</v>
      </c>
      <c r="K208">
        <v>5</v>
      </c>
      <c r="L208">
        <v>1.2749999999999999</v>
      </c>
      <c r="M208">
        <v>5</v>
      </c>
      <c r="N208">
        <v>492.5</v>
      </c>
      <c r="O208">
        <v>5</v>
      </c>
      <c r="P208">
        <v>3.35</v>
      </c>
      <c r="Q208">
        <v>5</v>
      </c>
      <c r="R208">
        <v>0.17699999999999999</v>
      </c>
      <c r="T208" t="s">
        <v>942</v>
      </c>
    </row>
    <row r="209" spans="1:20" x14ac:dyDescent="0.2">
      <c r="A209" t="s">
        <v>943</v>
      </c>
      <c r="B209" t="s">
        <v>388</v>
      </c>
      <c r="C209" t="s">
        <v>388</v>
      </c>
      <c r="E209" t="s">
        <v>357</v>
      </c>
      <c r="F209" t="s">
        <v>447</v>
      </c>
      <c r="G209">
        <v>5</v>
      </c>
      <c r="H209">
        <v>2460</v>
      </c>
      <c r="I209">
        <v>5</v>
      </c>
      <c r="J209">
        <v>28.5</v>
      </c>
      <c r="K209">
        <v>5</v>
      </c>
      <c r="L209">
        <v>1.2749999999999999</v>
      </c>
      <c r="M209">
        <v>5</v>
      </c>
      <c r="N209">
        <v>492.5</v>
      </c>
      <c r="O209">
        <v>5</v>
      </c>
      <c r="P209">
        <v>3.35</v>
      </c>
      <c r="Q209">
        <v>5</v>
      </c>
      <c r="R209">
        <v>0.17699999999999999</v>
      </c>
      <c r="T209" t="s">
        <v>357</v>
      </c>
    </row>
    <row r="210" spans="1:20" x14ac:dyDescent="0.2">
      <c r="A210" t="s">
        <v>944</v>
      </c>
      <c r="B210" t="s">
        <v>388</v>
      </c>
      <c r="C210" t="s">
        <v>388</v>
      </c>
      <c r="E210" t="s">
        <v>945</v>
      </c>
      <c r="F210" t="s">
        <v>447</v>
      </c>
      <c r="G210">
        <v>2</v>
      </c>
      <c r="H210">
        <v>1830</v>
      </c>
      <c r="I210">
        <v>3</v>
      </c>
      <c r="J210">
        <v>18.5</v>
      </c>
      <c r="K210">
        <v>3</v>
      </c>
      <c r="L210">
        <v>0.77500000000000002</v>
      </c>
      <c r="M210">
        <v>3</v>
      </c>
      <c r="N210">
        <v>302.5</v>
      </c>
      <c r="O210">
        <v>3</v>
      </c>
      <c r="P210">
        <v>1.95</v>
      </c>
      <c r="Q210">
        <v>3</v>
      </c>
      <c r="R210">
        <v>0.10100000000000001</v>
      </c>
      <c r="T210" t="s">
        <v>945</v>
      </c>
    </row>
    <row r="211" spans="1:20" x14ac:dyDescent="0.2">
      <c r="A211" t="s">
        <v>946</v>
      </c>
      <c r="B211" t="s">
        <v>388</v>
      </c>
      <c r="C211" t="s">
        <v>388</v>
      </c>
      <c r="E211" t="s">
        <v>947</v>
      </c>
      <c r="F211" t="s">
        <v>447</v>
      </c>
      <c r="G211">
        <v>2</v>
      </c>
      <c r="H211">
        <v>1830</v>
      </c>
      <c r="I211">
        <v>1</v>
      </c>
      <c r="J211">
        <v>8.5</v>
      </c>
      <c r="K211">
        <v>1</v>
      </c>
      <c r="L211">
        <v>0.27500000000000002</v>
      </c>
      <c r="M211">
        <v>5</v>
      </c>
      <c r="N211">
        <v>492.5</v>
      </c>
      <c r="O211">
        <v>5</v>
      </c>
      <c r="P211">
        <v>3.35</v>
      </c>
      <c r="Q211">
        <v>5</v>
      </c>
      <c r="R211">
        <v>0.17699999999999999</v>
      </c>
      <c r="T211" t="s">
        <v>947</v>
      </c>
    </row>
    <row r="212" spans="1:20" x14ac:dyDescent="0.2">
      <c r="A212" t="s">
        <v>948</v>
      </c>
      <c r="B212" t="s">
        <v>388</v>
      </c>
      <c r="C212" t="s">
        <v>388</v>
      </c>
      <c r="E212" t="s">
        <v>949</v>
      </c>
      <c r="F212" t="s">
        <v>950</v>
      </c>
      <c r="G212">
        <v>3</v>
      </c>
      <c r="H212">
        <v>2040</v>
      </c>
      <c r="I212">
        <v>3</v>
      </c>
      <c r="J212">
        <v>18.5</v>
      </c>
      <c r="K212">
        <v>3</v>
      </c>
      <c r="L212">
        <v>0.77500000000000002</v>
      </c>
      <c r="M212">
        <v>3</v>
      </c>
      <c r="N212">
        <v>302.5</v>
      </c>
      <c r="O212">
        <v>3</v>
      </c>
      <c r="P212">
        <v>1.95</v>
      </c>
      <c r="Q212">
        <v>3</v>
      </c>
      <c r="R212">
        <v>0.10100000000000001</v>
      </c>
      <c r="T212" t="s">
        <v>949</v>
      </c>
    </row>
    <row r="213" spans="1:20" x14ac:dyDescent="0.2">
      <c r="A213" t="s">
        <v>951</v>
      </c>
      <c r="B213" t="s">
        <v>388</v>
      </c>
      <c r="C213" t="s">
        <v>388</v>
      </c>
      <c r="E213" t="s">
        <v>952</v>
      </c>
      <c r="F213" t="s">
        <v>447</v>
      </c>
      <c r="G213">
        <v>4</v>
      </c>
      <c r="H213">
        <v>2250</v>
      </c>
      <c r="I213">
        <v>4</v>
      </c>
      <c r="J213">
        <v>23.5</v>
      </c>
      <c r="K213">
        <v>4</v>
      </c>
      <c r="L213">
        <v>1.0249999999999999</v>
      </c>
      <c r="M213">
        <v>4</v>
      </c>
      <c r="N213">
        <v>397.5</v>
      </c>
      <c r="O213">
        <v>4</v>
      </c>
      <c r="P213">
        <v>2.65</v>
      </c>
      <c r="Q213">
        <v>5</v>
      </c>
      <c r="R213">
        <v>0.17699999999999999</v>
      </c>
      <c r="T213" t="s">
        <v>952</v>
      </c>
    </row>
    <row r="214" spans="1:20" x14ac:dyDescent="0.2">
      <c r="A214" t="s">
        <v>953</v>
      </c>
      <c r="B214" t="s">
        <v>388</v>
      </c>
      <c r="C214" t="s">
        <v>388</v>
      </c>
      <c r="E214" t="s">
        <v>954</v>
      </c>
      <c r="F214" t="s">
        <v>955</v>
      </c>
      <c r="G214">
        <v>1</v>
      </c>
      <c r="H214">
        <v>1620</v>
      </c>
      <c r="I214">
        <v>3</v>
      </c>
      <c r="J214">
        <v>18.5</v>
      </c>
      <c r="K214">
        <v>2</v>
      </c>
      <c r="L214">
        <v>0.52500000000000002</v>
      </c>
      <c r="M214">
        <v>1</v>
      </c>
      <c r="N214">
        <v>112.5</v>
      </c>
      <c r="O214">
        <v>2</v>
      </c>
      <c r="P214">
        <v>1.25</v>
      </c>
      <c r="Q214">
        <v>5</v>
      </c>
      <c r="R214">
        <v>0.17699999999999999</v>
      </c>
      <c r="T214" t="s">
        <v>954</v>
      </c>
    </row>
    <row r="215" spans="1:20" x14ac:dyDescent="0.2">
      <c r="A215" t="s">
        <v>956</v>
      </c>
      <c r="B215" t="s">
        <v>388</v>
      </c>
      <c r="C215" t="s">
        <v>388</v>
      </c>
      <c r="E215" t="s">
        <v>957</v>
      </c>
      <c r="F215" t="s">
        <v>958</v>
      </c>
      <c r="G215">
        <v>5</v>
      </c>
      <c r="H215">
        <v>2460</v>
      </c>
      <c r="I215">
        <v>5</v>
      </c>
      <c r="J215">
        <v>28.5</v>
      </c>
      <c r="K215">
        <v>4</v>
      </c>
      <c r="L215">
        <v>1.0249999999999999</v>
      </c>
      <c r="M215">
        <v>5</v>
      </c>
      <c r="N215">
        <v>492.5</v>
      </c>
      <c r="O215">
        <v>5</v>
      </c>
      <c r="P215">
        <v>3.35</v>
      </c>
      <c r="Q215">
        <v>4</v>
      </c>
      <c r="R215">
        <v>0.13900000000000001</v>
      </c>
      <c r="T215" t="s">
        <v>957</v>
      </c>
    </row>
    <row r="216" spans="1:20" x14ac:dyDescent="0.2">
      <c r="A216" t="s">
        <v>959</v>
      </c>
      <c r="B216" t="s">
        <v>388</v>
      </c>
      <c r="C216" t="s">
        <v>388</v>
      </c>
      <c r="E216" t="s">
        <v>960</v>
      </c>
      <c r="F216" t="s">
        <v>961</v>
      </c>
      <c r="G216">
        <v>4</v>
      </c>
      <c r="H216">
        <v>2250</v>
      </c>
      <c r="I216">
        <v>4</v>
      </c>
      <c r="J216">
        <v>23.5</v>
      </c>
      <c r="K216">
        <v>4</v>
      </c>
      <c r="L216">
        <v>1.0249999999999999</v>
      </c>
      <c r="M216">
        <v>4</v>
      </c>
      <c r="N216">
        <v>397.5</v>
      </c>
      <c r="O216">
        <v>4</v>
      </c>
      <c r="P216">
        <v>2.65</v>
      </c>
      <c r="Q216">
        <v>4</v>
      </c>
      <c r="R216">
        <v>0.13900000000000001</v>
      </c>
      <c r="T216" t="s">
        <v>960</v>
      </c>
    </row>
    <row r="217" spans="1:20" x14ac:dyDescent="0.2">
      <c r="A217" t="s">
        <v>962</v>
      </c>
      <c r="B217" t="s">
        <v>388</v>
      </c>
      <c r="C217" t="s">
        <v>388</v>
      </c>
      <c r="E217" t="s">
        <v>963</v>
      </c>
      <c r="F217" t="s">
        <v>964</v>
      </c>
      <c r="G217">
        <v>5</v>
      </c>
      <c r="H217">
        <v>2460</v>
      </c>
      <c r="I217">
        <v>5</v>
      </c>
      <c r="J217">
        <v>28.5</v>
      </c>
      <c r="K217">
        <v>5</v>
      </c>
      <c r="L217">
        <v>1.2749999999999999</v>
      </c>
      <c r="M217">
        <v>5</v>
      </c>
      <c r="N217">
        <v>492.5</v>
      </c>
      <c r="O217">
        <v>5</v>
      </c>
      <c r="P217">
        <v>3.35</v>
      </c>
      <c r="Q217">
        <v>4</v>
      </c>
      <c r="R217">
        <v>0.13900000000000001</v>
      </c>
      <c r="T217" t="s">
        <v>963</v>
      </c>
    </row>
    <row r="218" spans="1:20" x14ac:dyDescent="0.2">
      <c r="A218" t="s">
        <v>965</v>
      </c>
      <c r="B218" t="s">
        <v>388</v>
      </c>
      <c r="C218" t="s">
        <v>388</v>
      </c>
      <c r="E218" t="s">
        <v>966</v>
      </c>
      <c r="F218" t="s">
        <v>967</v>
      </c>
      <c r="G218">
        <v>1</v>
      </c>
      <c r="H218">
        <v>1620</v>
      </c>
      <c r="I218">
        <v>1</v>
      </c>
      <c r="J218">
        <v>8.5</v>
      </c>
      <c r="K218">
        <v>1</v>
      </c>
      <c r="L218">
        <v>0.27500000000000002</v>
      </c>
      <c r="M218">
        <v>4</v>
      </c>
      <c r="N218">
        <v>397.5</v>
      </c>
      <c r="O218">
        <v>4</v>
      </c>
      <c r="P218">
        <v>2.65</v>
      </c>
      <c r="Q218">
        <v>3</v>
      </c>
      <c r="R218">
        <v>0.10100000000000001</v>
      </c>
      <c r="T218" t="s">
        <v>966</v>
      </c>
    </row>
    <row r="219" spans="1:20" x14ac:dyDescent="0.2">
      <c r="A219" t="s">
        <v>968</v>
      </c>
      <c r="B219" t="s">
        <v>388</v>
      </c>
      <c r="C219" t="s">
        <v>388</v>
      </c>
      <c r="E219" t="s">
        <v>969</v>
      </c>
      <c r="F219" t="s">
        <v>447</v>
      </c>
      <c r="G219">
        <v>1</v>
      </c>
      <c r="H219">
        <v>1620</v>
      </c>
      <c r="I219">
        <v>3</v>
      </c>
      <c r="J219">
        <v>18.5</v>
      </c>
      <c r="K219">
        <v>2</v>
      </c>
      <c r="L219">
        <v>0.52500000000000002</v>
      </c>
      <c r="M219">
        <v>1</v>
      </c>
      <c r="N219">
        <v>112.5</v>
      </c>
      <c r="O219">
        <v>1</v>
      </c>
      <c r="P219">
        <v>0.55000000000000004</v>
      </c>
      <c r="Q219">
        <v>1</v>
      </c>
      <c r="R219">
        <v>2.5000000000000001E-2</v>
      </c>
      <c r="T219" t="s">
        <v>969</v>
      </c>
    </row>
    <row r="220" spans="1:20" x14ac:dyDescent="0.2">
      <c r="A220" t="s">
        <v>970</v>
      </c>
      <c r="B220" t="s">
        <v>388</v>
      </c>
      <c r="C220" t="s">
        <v>388</v>
      </c>
      <c r="E220" t="s">
        <v>357</v>
      </c>
      <c r="F220" t="s">
        <v>971</v>
      </c>
      <c r="G220">
        <v>3</v>
      </c>
      <c r="H220">
        <v>2040</v>
      </c>
      <c r="I220">
        <v>3</v>
      </c>
      <c r="J220">
        <v>18.5</v>
      </c>
      <c r="K220">
        <v>3</v>
      </c>
      <c r="L220">
        <v>0.77500000000000002</v>
      </c>
      <c r="M220">
        <v>4</v>
      </c>
      <c r="N220">
        <v>397.5</v>
      </c>
      <c r="O220">
        <v>4</v>
      </c>
      <c r="P220">
        <v>2.65</v>
      </c>
      <c r="Q220">
        <v>4</v>
      </c>
      <c r="R220">
        <v>0.13900000000000001</v>
      </c>
      <c r="T220" t="s">
        <v>357</v>
      </c>
    </row>
    <row r="221" spans="1:20" x14ac:dyDescent="0.2">
      <c r="A221" t="s">
        <v>972</v>
      </c>
      <c r="B221" t="s">
        <v>388</v>
      </c>
      <c r="C221" t="s">
        <v>388</v>
      </c>
      <c r="E221" t="s">
        <v>973</v>
      </c>
      <c r="F221" t="s">
        <v>974</v>
      </c>
      <c r="G221">
        <v>1</v>
      </c>
      <c r="H221">
        <v>1620</v>
      </c>
      <c r="I221">
        <v>1</v>
      </c>
      <c r="J221">
        <v>8.5</v>
      </c>
      <c r="K221">
        <v>1</v>
      </c>
      <c r="L221">
        <v>0.27500000000000002</v>
      </c>
      <c r="M221">
        <v>2</v>
      </c>
      <c r="N221">
        <v>207.5</v>
      </c>
      <c r="O221">
        <v>2</v>
      </c>
      <c r="P221">
        <v>1.25</v>
      </c>
      <c r="Q221">
        <v>2</v>
      </c>
      <c r="R221">
        <v>6.3E-2</v>
      </c>
      <c r="T221" t="s">
        <v>973</v>
      </c>
    </row>
    <row r="222" spans="1:20" x14ac:dyDescent="0.2">
      <c r="A222" t="s">
        <v>975</v>
      </c>
      <c r="B222" t="s">
        <v>388</v>
      </c>
      <c r="C222" t="s">
        <v>388</v>
      </c>
      <c r="E222" t="s">
        <v>976</v>
      </c>
      <c r="F222" t="s">
        <v>977</v>
      </c>
      <c r="G222">
        <v>4</v>
      </c>
      <c r="H222">
        <v>2250</v>
      </c>
      <c r="I222">
        <v>4</v>
      </c>
      <c r="J222">
        <v>23.5</v>
      </c>
      <c r="K222">
        <v>4</v>
      </c>
      <c r="L222">
        <v>1.0249999999999999</v>
      </c>
      <c r="M222">
        <v>4</v>
      </c>
      <c r="N222">
        <v>397.5</v>
      </c>
      <c r="O222">
        <v>4</v>
      </c>
      <c r="P222">
        <v>2.65</v>
      </c>
      <c r="Q222">
        <v>4</v>
      </c>
      <c r="R222">
        <v>0.13900000000000001</v>
      </c>
      <c r="T222" t="s">
        <v>976</v>
      </c>
    </row>
    <row r="223" spans="1:20" x14ac:dyDescent="0.2">
      <c r="A223" t="s">
        <v>978</v>
      </c>
      <c r="B223" t="s">
        <v>388</v>
      </c>
      <c r="C223" t="s">
        <v>388</v>
      </c>
      <c r="E223" t="s">
        <v>979</v>
      </c>
      <c r="F223" t="s">
        <v>980</v>
      </c>
      <c r="G223">
        <v>5</v>
      </c>
      <c r="H223">
        <v>2460</v>
      </c>
      <c r="I223">
        <v>5</v>
      </c>
      <c r="J223">
        <v>28.5</v>
      </c>
      <c r="K223">
        <v>4</v>
      </c>
      <c r="L223">
        <v>1.0249999999999999</v>
      </c>
      <c r="M223">
        <v>4</v>
      </c>
      <c r="N223">
        <v>397.5</v>
      </c>
      <c r="O223">
        <v>5</v>
      </c>
      <c r="P223">
        <v>3.35</v>
      </c>
      <c r="Q223">
        <v>4</v>
      </c>
      <c r="R223">
        <v>0.13900000000000001</v>
      </c>
      <c r="T223" t="s">
        <v>979</v>
      </c>
    </row>
    <row r="224" spans="1:20" x14ac:dyDescent="0.2">
      <c r="A224" t="s">
        <v>981</v>
      </c>
      <c r="B224" t="s">
        <v>388</v>
      </c>
      <c r="C224" t="s">
        <v>388</v>
      </c>
      <c r="E224" t="s">
        <v>357</v>
      </c>
      <c r="F224" t="s">
        <v>447</v>
      </c>
      <c r="G224">
        <v>1</v>
      </c>
      <c r="H224">
        <v>1620</v>
      </c>
      <c r="I224">
        <v>1</v>
      </c>
      <c r="J224">
        <v>8.5</v>
      </c>
      <c r="K224">
        <v>1</v>
      </c>
      <c r="L224">
        <v>0.27500000000000002</v>
      </c>
      <c r="M224">
        <v>1</v>
      </c>
      <c r="N224">
        <v>112.5</v>
      </c>
      <c r="O224">
        <v>1</v>
      </c>
      <c r="P224">
        <v>0.55000000000000004</v>
      </c>
      <c r="Q224">
        <v>1</v>
      </c>
      <c r="R224">
        <v>2.5000000000000001E-2</v>
      </c>
      <c r="T224" t="s">
        <v>357</v>
      </c>
    </row>
    <row r="225" spans="1:20" x14ac:dyDescent="0.2">
      <c r="A225" t="s">
        <v>982</v>
      </c>
      <c r="B225" t="s">
        <v>388</v>
      </c>
      <c r="C225" t="s">
        <v>388</v>
      </c>
      <c r="E225" t="s">
        <v>983</v>
      </c>
      <c r="F225" t="s">
        <v>984</v>
      </c>
      <c r="G225">
        <v>1</v>
      </c>
      <c r="H225">
        <v>1620</v>
      </c>
      <c r="I225">
        <v>1</v>
      </c>
      <c r="J225">
        <v>8.5</v>
      </c>
      <c r="K225">
        <v>1</v>
      </c>
      <c r="L225">
        <v>0.27500000000000002</v>
      </c>
      <c r="M225">
        <v>1</v>
      </c>
      <c r="N225">
        <v>112.5</v>
      </c>
      <c r="O225">
        <v>1</v>
      </c>
      <c r="P225">
        <v>0.55000000000000004</v>
      </c>
      <c r="Q225">
        <v>1</v>
      </c>
      <c r="R225">
        <v>2.5000000000000001E-2</v>
      </c>
      <c r="T225" t="s">
        <v>983</v>
      </c>
    </row>
    <row r="226" spans="1:20" x14ac:dyDescent="0.2">
      <c r="A226" t="s">
        <v>985</v>
      </c>
      <c r="B226" t="s">
        <v>388</v>
      </c>
      <c r="C226" t="s">
        <v>388</v>
      </c>
      <c r="E226" t="s">
        <v>357</v>
      </c>
      <c r="F226" t="s">
        <v>986</v>
      </c>
      <c r="G226">
        <v>5</v>
      </c>
      <c r="H226">
        <v>2460</v>
      </c>
      <c r="I226">
        <v>5</v>
      </c>
      <c r="J226">
        <v>28.5</v>
      </c>
      <c r="K226">
        <v>5</v>
      </c>
      <c r="L226">
        <v>1.2749999999999999</v>
      </c>
      <c r="M226">
        <v>5</v>
      </c>
      <c r="N226">
        <v>492.5</v>
      </c>
      <c r="O226">
        <v>5</v>
      </c>
      <c r="P226">
        <v>3.35</v>
      </c>
      <c r="Q226">
        <v>5</v>
      </c>
      <c r="R226">
        <v>0.17699999999999999</v>
      </c>
      <c r="T226" t="s">
        <v>357</v>
      </c>
    </row>
    <row r="227" spans="1:20" x14ac:dyDescent="0.2">
      <c r="A227" t="s">
        <v>987</v>
      </c>
      <c r="B227" t="s">
        <v>388</v>
      </c>
      <c r="C227" t="s">
        <v>388</v>
      </c>
      <c r="E227" t="s">
        <v>988</v>
      </c>
      <c r="F227" t="s">
        <v>989</v>
      </c>
      <c r="G227">
        <v>4</v>
      </c>
      <c r="H227">
        <v>2250</v>
      </c>
      <c r="I227">
        <v>4</v>
      </c>
      <c r="J227">
        <v>23.5</v>
      </c>
      <c r="K227">
        <v>4</v>
      </c>
      <c r="L227">
        <v>1.0249999999999999</v>
      </c>
      <c r="M227">
        <v>4</v>
      </c>
      <c r="N227">
        <v>397.5</v>
      </c>
      <c r="O227">
        <v>4</v>
      </c>
      <c r="P227">
        <v>2.65</v>
      </c>
      <c r="Q227">
        <v>4</v>
      </c>
      <c r="R227">
        <v>0.13900000000000001</v>
      </c>
      <c r="T227" t="s">
        <v>988</v>
      </c>
    </row>
    <row r="228" spans="1:20" x14ac:dyDescent="0.2">
      <c r="A228" t="s">
        <v>990</v>
      </c>
      <c r="B228" t="s">
        <v>388</v>
      </c>
      <c r="C228" t="s">
        <v>388</v>
      </c>
      <c r="E228" t="s">
        <v>991</v>
      </c>
      <c r="F228" t="s">
        <v>992</v>
      </c>
      <c r="G228">
        <v>4</v>
      </c>
      <c r="H228">
        <v>2250</v>
      </c>
      <c r="I228">
        <v>4</v>
      </c>
      <c r="J228">
        <v>23.5</v>
      </c>
      <c r="K228">
        <v>4</v>
      </c>
      <c r="L228">
        <v>1.0249999999999999</v>
      </c>
      <c r="M228">
        <v>4</v>
      </c>
      <c r="N228">
        <v>397.5</v>
      </c>
      <c r="O228">
        <v>4</v>
      </c>
      <c r="P228">
        <v>2.65</v>
      </c>
      <c r="Q228">
        <v>4</v>
      </c>
      <c r="R228">
        <v>0.13900000000000001</v>
      </c>
      <c r="T228" t="s">
        <v>991</v>
      </c>
    </row>
    <row r="229" spans="1:20" x14ac:dyDescent="0.2">
      <c r="A229" t="s">
        <v>993</v>
      </c>
      <c r="B229" t="s">
        <v>388</v>
      </c>
      <c r="C229" t="s">
        <v>388</v>
      </c>
      <c r="E229" t="s">
        <v>994</v>
      </c>
      <c r="F229" t="s">
        <v>995</v>
      </c>
      <c r="G229">
        <v>3</v>
      </c>
      <c r="H229">
        <v>2040</v>
      </c>
      <c r="I229">
        <v>3</v>
      </c>
      <c r="J229">
        <v>18.5</v>
      </c>
      <c r="K229">
        <v>3</v>
      </c>
      <c r="L229">
        <v>0.77500000000000002</v>
      </c>
      <c r="M229">
        <v>1</v>
      </c>
      <c r="N229">
        <v>112.5</v>
      </c>
      <c r="O229">
        <v>1</v>
      </c>
      <c r="P229">
        <v>0.55000000000000004</v>
      </c>
      <c r="Q229">
        <v>1</v>
      </c>
      <c r="R229">
        <v>2.5000000000000001E-2</v>
      </c>
      <c r="T229" t="s">
        <v>994</v>
      </c>
    </row>
    <row r="230" spans="1:20" x14ac:dyDescent="0.2">
      <c r="A230" t="s">
        <v>996</v>
      </c>
      <c r="B230" t="s">
        <v>388</v>
      </c>
      <c r="C230" t="s">
        <v>388</v>
      </c>
      <c r="E230" t="s">
        <v>997</v>
      </c>
      <c r="F230" t="s">
        <v>998</v>
      </c>
      <c r="G230">
        <v>5</v>
      </c>
      <c r="H230">
        <v>2460</v>
      </c>
      <c r="I230">
        <v>5</v>
      </c>
      <c r="J230">
        <v>28.5</v>
      </c>
      <c r="K230">
        <v>4</v>
      </c>
      <c r="L230">
        <v>1.0249999999999999</v>
      </c>
      <c r="M230">
        <v>5</v>
      </c>
      <c r="N230">
        <v>492.5</v>
      </c>
      <c r="O230">
        <v>5</v>
      </c>
      <c r="P230">
        <v>3.35</v>
      </c>
      <c r="Q230">
        <v>4</v>
      </c>
      <c r="R230">
        <v>0.13900000000000001</v>
      </c>
      <c r="T230" t="s">
        <v>997</v>
      </c>
    </row>
    <row r="231" spans="1:20" x14ac:dyDescent="0.2">
      <c r="A231" t="s">
        <v>999</v>
      </c>
      <c r="B231" t="s">
        <v>388</v>
      </c>
      <c r="C231" t="s">
        <v>388</v>
      </c>
      <c r="E231" t="s">
        <v>1000</v>
      </c>
      <c r="F231" t="s">
        <v>1001</v>
      </c>
      <c r="G231">
        <v>2</v>
      </c>
      <c r="H231">
        <v>1830</v>
      </c>
      <c r="I231">
        <v>2</v>
      </c>
      <c r="J231">
        <v>13.5</v>
      </c>
      <c r="K231">
        <v>2</v>
      </c>
      <c r="L231">
        <v>0.52500000000000002</v>
      </c>
      <c r="M231">
        <v>3</v>
      </c>
      <c r="N231">
        <v>302.5</v>
      </c>
      <c r="O231">
        <v>3</v>
      </c>
      <c r="P231">
        <v>1.95</v>
      </c>
      <c r="Q231">
        <v>3</v>
      </c>
      <c r="R231">
        <v>0.10100000000000001</v>
      </c>
      <c r="T231" t="s">
        <v>1000</v>
      </c>
    </row>
    <row r="232" spans="1:20" x14ac:dyDescent="0.2">
      <c r="A232" t="s">
        <v>1002</v>
      </c>
      <c r="B232" t="s">
        <v>388</v>
      </c>
      <c r="C232" t="s">
        <v>388</v>
      </c>
      <c r="E232" t="s">
        <v>357</v>
      </c>
      <c r="F232" t="s">
        <v>1003</v>
      </c>
      <c r="G232">
        <v>5</v>
      </c>
      <c r="H232">
        <v>2460</v>
      </c>
      <c r="I232">
        <v>5</v>
      </c>
      <c r="J232">
        <v>28.5</v>
      </c>
      <c r="K232">
        <v>4</v>
      </c>
      <c r="L232">
        <v>1.0249999999999999</v>
      </c>
      <c r="M232">
        <v>5</v>
      </c>
      <c r="N232">
        <v>492.5</v>
      </c>
      <c r="O232">
        <v>5</v>
      </c>
      <c r="P232">
        <v>3.35</v>
      </c>
      <c r="Q232">
        <v>4</v>
      </c>
      <c r="R232">
        <v>0.13900000000000001</v>
      </c>
      <c r="T232" t="s">
        <v>357</v>
      </c>
    </row>
    <row r="233" spans="1:20" x14ac:dyDescent="0.2">
      <c r="A233" t="s">
        <v>1004</v>
      </c>
      <c r="B233" t="s">
        <v>388</v>
      </c>
      <c r="C233" t="s">
        <v>388</v>
      </c>
      <c r="E233" t="s">
        <v>1005</v>
      </c>
      <c r="F233" t="s">
        <v>447</v>
      </c>
      <c r="G233">
        <v>1</v>
      </c>
      <c r="H233">
        <v>1620</v>
      </c>
      <c r="I233">
        <v>3</v>
      </c>
      <c r="J233">
        <v>18.5</v>
      </c>
      <c r="K233">
        <v>2</v>
      </c>
      <c r="L233">
        <v>0.52500000000000002</v>
      </c>
      <c r="M233">
        <v>1</v>
      </c>
      <c r="N233">
        <v>112.5</v>
      </c>
      <c r="O233">
        <v>1</v>
      </c>
      <c r="P233">
        <v>0.55000000000000004</v>
      </c>
      <c r="Q233">
        <v>1</v>
      </c>
      <c r="R233">
        <v>2.5000000000000001E-2</v>
      </c>
      <c r="T233" t="s">
        <v>1005</v>
      </c>
    </row>
    <row r="234" spans="1:20" x14ac:dyDescent="0.2">
      <c r="A234" t="s">
        <v>1006</v>
      </c>
      <c r="B234" t="s">
        <v>388</v>
      </c>
      <c r="C234" t="s">
        <v>388</v>
      </c>
      <c r="E234" t="s">
        <v>1007</v>
      </c>
      <c r="F234" t="s">
        <v>1008</v>
      </c>
      <c r="G234">
        <v>3</v>
      </c>
      <c r="H234">
        <v>2040</v>
      </c>
      <c r="I234">
        <v>3</v>
      </c>
      <c r="J234">
        <v>18.5</v>
      </c>
      <c r="K234">
        <v>3</v>
      </c>
      <c r="L234">
        <v>0.77500000000000002</v>
      </c>
      <c r="M234">
        <v>3</v>
      </c>
      <c r="N234">
        <v>302.5</v>
      </c>
      <c r="O234">
        <v>3</v>
      </c>
      <c r="P234">
        <v>1.95</v>
      </c>
      <c r="Q234">
        <v>3</v>
      </c>
      <c r="R234">
        <v>0.10100000000000001</v>
      </c>
      <c r="T234" t="s">
        <v>1007</v>
      </c>
    </row>
    <row r="235" spans="1:20" x14ac:dyDescent="0.2">
      <c r="A235" t="s">
        <v>1009</v>
      </c>
      <c r="B235" t="s">
        <v>388</v>
      </c>
      <c r="C235" t="s">
        <v>388</v>
      </c>
      <c r="E235" t="s">
        <v>1010</v>
      </c>
      <c r="F235" t="s">
        <v>447</v>
      </c>
      <c r="G235">
        <v>5</v>
      </c>
      <c r="H235">
        <v>2460</v>
      </c>
      <c r="I235">
        <v>4</v>
      </c>
      <c r="J235">
        <v>23.5</v>
      </c>
      <c r="K235">
        <v>5</v>
      </c>
      <c r="L235">
        <v>1.2749999999999999</v>
      </c>
      <c r="M235">
        <v>5</v>
      </c>
      <c r="N235">
        <v>492.5</v>
      </c>
      <c r="O235">
        <v>5</v>
      </c>
      <c r="P235">
        <v>3.35</v>
      </c>
      <c r="Q235">
        <v>5</v>
      </c>
      <c r="R235">
        <v>0.17699999999999999</v>
      </c>
      <c r="T235" t="s">
        <v>1010</v>
      </c>
    </row>
    <row r="236" spans="1:20" x14ac:dyDescent="0.2">
      <c r="A236" t="s">
        <v>1011</v>
      </c>
      <c r="B236" t="s">
        <v>388</v>
      </c>
      <c r="C236" t="s">
        <v>388</v>
      </c>
      <c r="E236" t="s">
        <v>1012</v>
      </c>
      <c r="F236" t="s">
        <v>447</v>
      </c>
      <c r="G236">
        <v>5</v>
      </c>
      <c r="H236">
        <v>2460</v>
      </c>
      <c r="I236">
        <v>5</v>
      </c>
      <c r="J236">
        <v>28.5</v>
      </c>
      <c r="K236">
        <v>5</v>
      </c>
      <c r="L236">
        <v>1.2749999999999999</v>
      </c>
      <c r="M236">
        <v>5</v>
      </c>
      <c r="N236">
        <v>492.5</v>
      </c>
      <c r="O236">
        <v>5</v>
      </c>
      <c r="P236">
        <v>3.35</v>
      </c>
      <c r="Q236">
        <v>5</v>
      </c>
      <c r="R236">
        <v>0.17699999999999999</v>
      </c>
      <c r="T236" t="s">
        <v>1012</v>
      </c>
    </row>
    <row r="237" spans="1:20" x14ac:dyDescent="0.2">
      <c r="A237" t="s">
        <v>1013</v>
      </c>
      <c r="B237" t="s">
        <v>388</v>
      </c>
      <c r="C237" t="s">
        <v>388</v>
      </c>
      <c r="E237" t="s">
        <v>1014</v>
      </c>
      <c r="F237" t="s">
        <v>1015</v>
      </c>
      <c r="G237">
        <v>2</v>
      </c>
      <c r="H237">
        <v>1830</v>
      </c>
      <c r="I237">
        <v>2</v>
      </c>
      <c r="J237">
        <v>13.5</v>
      </c>
      <c r="K237">
        <v>1</v>
      </c>
      <c r="L237">
        <v>0.27500000000000002</v>
      </c>
      <c r="M237">
        <v>2</v>
      </c>
      <c r="N237">
        <v>207.5</v>
      </c>
      <c r="O237">
        <v>2</v>
      </c>
      <c r="P237">
        <v>1.25</v>
      </c>
      <c r="Q237">
        <v>1</v>
      </c>
      <c r="R237">
        <v>2.5000000000000001E-2</v>
      </c>
      <c r="T237" t="s">
        <v>1014</v>
      </c>
    </row>
    <row r="238" spans="1:20" x14ac:dyDescent="0.2">
      <c r="A238" t="s">
        <v>1016</v>
      </c>
      <c r="B238" t="s">
        <v>388</v>
      </c>
      <c r="C238" t="s">
        <v>388</v>
      </c>
      <c r="E238" t="s">
        <v>357</v>
      </c>
      <c r="F238" t="s">
        <v>447</v>
      </c>
      <c r="G238">
        <v>2</v>
      </c>
      <c r="H238">
        <v>1830</v>
      </c>
      <c r="I238">
        <v>1</v>
      </c>
      <c r="J238">
        <v>8.5</v>
      </c>
      <c r="K238">
        <v>1</v>
      </c>
      <c r="L238">
        <v>0.27500000000000002</v>
      </c>
      <c r="M238">
        <v>2</v>
      </c>
      <c r="N238">
        <v>207.5</v>
      </c>
      <c r="O238">
        <v>2</v>
      </c>
      <c r="P238">
        <v>1.25</v>
      </c>
      <c r="Q238">
        <v>2</v>
      </c>
      <c r="R238">
        <v>6.3E-2</v>
      </c>
      <c r="T238" t="s">
        <v>357</v>
      </c>
    </row>
    <row r="239" spans="1:20" x14ac:dyDescent="0.2">
      <c r="A239" t="s">
        <v>1017</v>
      </c>
      <c r="B239" t="s">
        <v>388</v>
      </c>
      <c r="C239" t="s">
        <v>388</v>
      </c>
      <c r="E239" t="s">
        <v>1018</v>
      </c>
      <c r="F239" t="s">
        <v>1019</v>
      </c>
      <c r="G239">
        <v>4</v>
      </c>
      <c r="H239">
        <v>2250</v>
      </c>
      <c r="I239">
        <v>4</v>
      </c>
      <c r="J239">
        <v>23.5</v>
      </c>
      <c r="K239">
        <v>4</v>
      </c>
      <c r="L239">
        <v>1.0249999999999999</v>
      </c>
      <c r="M239">
        <v>4</v>
      </c>
      <c r="N239">
        <v>397.5</v>
      </c>
      <c r="O239">
        <v>4</v>
      </c>
      <c r="P239">
        <v>2.65</v>
      </c>
      <c r="Q239">
        <v>4</v>
      </c>
      <c r="R239">
        <v>0.13900000000000001</v>
      </c>
      <c r="T239" t="s">
        <v>1018</v>
      </c>
    </row>
    <row r="240" spans="1:20" x14ac:dyDescent="0.2">
      <c r="A240" t="s">
        <v>1020</v>
      </c>
      <c r="B240" t="s">
        <v>388</v>
      </c>
      <c r="C240" t="s">
        <v>388</v>
      </c>
      <c r="E240" t="s">
        <v>1021</v>
      </c>
      <c r="F240" t="s">
        <v>1022</v>
      </c>
      <c r="G240">
        <v>4</v>
      </c>
      <c r="H240">
        <v>2250</v>
      </c>
      <c r="I240">
        <v>4</v>
      </c>
      <c r="J240">
        <v>23.5</v>
      </c>
      <c r="K240">
        <v>4</v>
      </c>
      <c r="L240">
        <v>1.0249999999999999</v>
      </c>
      <c r="M240">
        <v>4</v>
      </c>
      <c r="N240">
        <v>397.5</v>
      </c>
      <c r="O240">
        <v>4</v>
      </c>
      <c r="P240">
        <v>2.65</v>
      </c>
      <c r="Q240">
        <v>4</v>
      </c>
      <c r="R240">
        <v>0.13900000000000001</v>
      </c>
      <c r="T240" t="s">
        <v>1021</v>
      </c>
    </row>
    <row r="241" spans="1:20" x14ac:dyDescent="0.2">
      <c r="A241" t="s">
        <v>1023</v>
      </c>
      <c r="B241" t="s">
        <v>388</v>
      </c>
      <c r="C241" t="s">
        <v>388</v>
      </c>
      <c r="E241" t="s">
        <v>1024</v>
      </c>
      <c r="F241" t="s">
        <v>1025</v>
      </c>
      <c r="G241">
        <v>1</v>
      </c>
      <c r="H241">
        <v>1620</v>
      </c>
      <c r="I241">
        <v>3</v>
      </c>
      <c r="J241">
        <v>18.5</v>
      </c>
      <c r="K241">
        <v>2</v>
      </c>
      <c r="L241">
        <v>0.52500000000000002</v>
      </c>
      <c r="M241">
        <v>1</v>
      </c>
      <c r="N241">
        <v>112.5</v>
      </c>
      <c r="O241">
        <v>1</v>
      </c>
      <c r="P241">
        <v>0.55000000000000004</v>
      </c>
      <c r="Q241">
        <v>1</v>
      </c>
      <c r="R241">
        <v>2.5000000000000001E-2</v>
      </c>
      <c r="T241" t="s">
        <v>1024</v>
      </c>
    </row>
    <row r="242" spans="1:20" x14ac:dyDescent="0.2">
      <c r="A242" t="s">
        <v>1026</v>
      </c>
      <c r="B242" t="s">
        <v>388</v>
      </c>
      <c r="C242" t="s">
        <v>388</v>
      </c>
      <c r="E242" t="s">
        <v>1027</v>
      </c>
      <c r="F242" t="s">
        <v>1028</v>
      </c>
      <c r="G242">
        <v>4</v>
      </c>
      <c r="H242">
        <v>2250</v>
      </c>
      <c r="I242">
        <v>4</v>
      </c>
      <c r="J242">
        <v>23.5</v>
      </c>
      <c r="K242">
        <v>4</v>
      </c>
      <c r="L242">
        <v>1.0249999999999999</v>
      </c>
      <c r="M242">
        <v>4</v>
      </c>
      <c r="N242">
        <v>397.5</v>
      </c>
      <c r="O242">
        <v>4</v>
      </c>
      <c r="P242">
        <v>2.65</v>
      </c>
      <c r="Q242">
        <v>4</v>
      </c>
      <c r="R242">
        <v>0.13900000000000001</v>
      </c>
      <c r="T242" t="s">
        <v>1027</v>
      </c>
    </row>
    <row r="243" spans="1:20" x14ac:dyDescent="0.2">
      <c r="A243" t="s">
        <v>1029</v>
      </c>
      <c r="B243" t="s">
        <v>388</v>
      </c>
      <c r="C243" t="s">
        <v>388</v>
      </c>
      <c r="E243" t="s">
        <v>1030</v>
      </c>
      <c r="F243" t="s">
        <v>1031</v>
      </c>
      <c r="G243">
        <v>5</v>
      </c>
      <c r="H243">
        <v>2460</v>
      </c>
      <c r="I243">
        <v>5</v>
      </c>
      <c r="J243">
        <v>28.5</v>
      </c>
      <c r="K243">
        <v>5</v>
      </c>
      <c r="L243">
        <v>1.2749999999999999</v>
      </c>
      <c r="M243">
        <v>5</v>
      </c>
      <c r="N243">
        <v>492.5</v>
      </c>
      <c r="O243">
        <v>5</v>
      </c>
      <c r="P243">
        <v>3.35</v>
      </c>
      <c r="Q243">
        <v>5</v>
      </c>
      <c r="R243">
        <v>0.17699999999999999</v>
      </c>
      <c r="T243" t="s">
        <v>1030</v>
      </c>
    </row>
    <row r="244" spans="1:20" x14ac:dyDescent="0.2">
      <c r="A244" t="s">
        <v>1032</v>
      </c>
      <c r="B244" t="s">
        <v>388</v>
      </c>
      <c r="C244" t="s">
        <v>388</v>
      </c>
      <c r="E244" t="s">
        <v>1033</v>
      </c>
      <c r="F244" t="s">
        <v>447</v>
      </c>
      <c r="G244">
        <v>5</v>
      </c>
      <c r="H244">
        <v>2460</v>
      </c>
      <c r="I244">
        <v>5</v>
      </c>
      <c r="J244">
        <v>28.5</v>
      </c>
      <c r="K244">
        <v>5</v>
      </c>
      <c r="L244">
        <v>1.2749999999999999</v>
      </c>
      <c r="M244">
        <v>5</v>
      </c>
      <c r="N244">
        <v>492.5</v>
      </c>
      <c r="O244">
        <v>5</v>
      </c>
      <c r="P244">
        <v>3.35</v>
      </c>
      <c r="Q244">
        <v>4</v>
      </c>
      <c r="R244">
        <v>0.13900000000000001</v>
      </c>
      <c r="T244" t="s">
        <v>1033</v>
      </c>
    </row>
    <row r="245" spans="1:20" x14ac:dyDescent="0.2">
      <c r="A245" t="s">
        <v>1034</v>
      </c>
      <c r="B245" t="s">
        <v>388</v>
      </c>
      <c r="C245" t="s">
        <v>388</v>
      </c>
      <c r="E245" t="s">
        <v>1035</v>
      </c>
      <c r="F245" t="s">
        <v>1036</v>
      </c>
      <c r="G245">
        <v>4</v>
      </c>
      <c r="H245">
        <v>2250</v>
      </c>
      <c r="I245">
        <v>4</v>
      </c>
      <c r="J245">
        <v>23.5</v>
      </c>
      <c r="K245">
        <v>4</v>
      </c>
      <c r="L245">
        <v>1.0249999999999999</v>
      </c>
      <c r="M245">
        <v>4</v>
      </c>
      <c r="N245">
        <v>397.5</v>
      </c>
      <c r="O245">
        <v>4</v>
      </c>
      <c r="P245">
        <v>2.65</v>
      </c>
      <c r="Q245">
        <v>4</v>
      </c>
      <c r="R245">
        <v>0.13900000000000001</v>
      </c>
      <c r="T245" t="s">
        <v>1035</v>
      </c>
    </row>
    <row r="246" spans="1:20" x14ac:dyDescent="0.2">
      <c r="A246" t="s">
        <v>1037</v>
      </c>
      <c r="B246" t="s">
        <v>388</v>
      </c>
      <c r="C246" t="s">
        <v>388</v>
      </c>
      <c r="E246" t="s">
        <v>1038</v>
      </c>
      <c r="F246" t="s">
        <v>1039</v>
      </c>
      <c r="G246">
        <v>5</v>
      </c>
      <c r="H246">
        <v>2460</v>
      </c>
      <c r="I246">
        <v>4</v>
      </c>
      <c r="J246">
        <v>23.5</v>
      </c>
      <c r="K246">
        <v>4</v>
      </c>
      <c r="L246">
        <v>1.0249999999999999</v>
      </c>
      <c r="M246">
        <v>5</v>
      </c>
      <c r="N246">
        <v>492.5</v>
      </c>
      <c r="O246">
        <v>5</v>
      </c>
      <c r="P246">
        <v>3.35</v>
      </c>
      <c r="Q246">
        <v>5</v>
      </c>
      <c r="R246">
        <v>0.17699999999999999</v>
      </c>
      <c r="T246" t="s">
        <v>1038</v>
      </c>
    </row>
    <row r="247" spans="1:20" x14ac:dyDescent="0.2">
      <c r="A247" t="s">
        <v>1040</v>
      </c>
      <c r="B247" t="s">
        <v>388</v>
      </c>
      <c r="C247" t="s">
        <v>388</v>
      </c>
      <c r="E247" t="s">
        <v>1041</v>
      </c>
      <c r="F247" t="s">
        <v>1042</v>
      </c>
      <c r="G247">
        <v>5</v>
      </c>
      <c r="H247">
        <v>2460</v>
      </c>
      <c r="I247">
        <v>5</v>
      </c>
      <c r="J247">
        <v>28.5</v>
      </c>
      <c r="K247">
        <v>5</v>
      </c>
      <c r="L247">
        <v>1.2749999999999999</v>
      </c>
      <c r="M247">
        <v>5</v>
      </c>
      <c r="N247">
        <v>492.5</v>
      </c>
      <c r="O247">
        <v>5</v>
      </c>
      <c r="P247">
        <v>3.35</v>
      </c>
      <c r="Q247">
        <v>5</v>
      </c>
      <c r="R247">
        <v>0.17699999999999999</v>
      </c>
      <c r="T247" t="s">
        <v>1041</v>
      </c>
    </row>
    <row r="248" spans="1:20" x14ac:dyDescent="0.2">
      <c r="A248" t="s">
        <v>1043</v>
      </c>
      <c r="B248" t="s">
        <v>388</v>
      </c>
      <c r="C248" t="s">
        <v>388</v>
      </c>
      <c r="E248" t="s">
        <v>1044</v>
      </c>
      <c r="F248" t="s">
        <v>1045</v>
      </c>
      <c r="G248">
        <v>4</v>
      </c>
      <c r="H248">
        <v>2250</v>
      </c>
      <c r="I248">
        <v>4</v>
      </c>
      <c r="J248">
        <v>23.5</v>
      </c>
      <c r="K248">
        <v>4</v>
      </c>
      <c r="L248">
        <v>1.0249999999999999</v>
      </c>
      <c r="M248">
        <v>4</v>
      </c>
      <c r="N248">
        <v>397.5</v>
      </c>
      <c r="O248">
        <v>4</v>
      </c>
      <c r="P248">
        <v>2.65</v>
      </c>
      <c r="Q248">
        <v>4</v>
      </c>
      <c r="R248">
        <v>0.13900000000000001</v>
      </c>
      <c r="T248" t="s">
        <v>1044</v>
      </c>
    </row>
    <row r="249" spans="1:20" x14ac:dyDescent="0.2">
      <c r="A249" t="s">
        <v>1046</v>
      </c>
      <c r="B249" t="s">
        <v>388</v>
      </c>
      <c r="C249" t="s">
        <v>388</v>
      </c>
      <c r="E249" t="s">
        <v>1047</v>
      </c>
      <c r="F249" t="s">
        <v>1048</v>
      </c>
      <c r="G249">
        <v>1</v>
      </c>
      <c r="H249">
        <v>1620</v>
      </c>
      <c r="I249">
        <v>1</v>
      </c>
      <c r="J249">
        <v>8.5</v>
      </c>
      <c r="K249">
        <v>1</v>
      </c>
      <c r="L249">
        <v>0.27500000000000002</v>
      </c>
      <c r="M249">
        <v>1</v>
      </c>
      <c r="N249">
        <v>112.5</v>
      </c>
      <c r="O249">
        <v>1</v>
      </c>
      <c r="P249">
        <v>0.55000000000000004</v>
      </c>
      <c r="Q249">
        <v>1</v>
      </c>
      <c r="R249">
        <v>2.5000000000000001E-2</v>
      </c>
      <c r="T249" t="s">
        <v>1047</v>
      </c>
    </row>
    <row r="250" spans="1:20" x14ac:dyDescent="0.2">
      <c r="A250" t="s">
        <v>1049</v>
      </c>
      <c r="B250" t="s">
        <v>388</v>
      </c>
      <c r="C250" t="s">
        <v>388</v>
      </c>
      <c r="E250" t="s">
        <v>1050</v>
      </c>
      <c r="F250" t="s">
        <v>1051</v>
      </c>
      <c r="G250">
        <v>1</v>
      </c>
      <c r="H250">
        <v>1620</v>
      </c>
      <c r="I250">
        <v>1</v>
      </c>
      <c r="J250">
        <v>8.5</v>
      </c>
      <c r="K250">
        <v>1</v>
      </c>
      <c r="L250">
        <v>0.27500000000000002</v>
      </c>
      <c r="M250">
        <v>1</v>
      </c>
      <c r="N250">
        <v>112.5</v>
      </c>
      <c r="O250">
        <v>1</v>
      </c>
      <c r="P250">
        <v>0.55000000000000004</v>
      </c>
      <c r="Q250">
        <v>1</v>
      </c>
      <c r="R250">
        <v>2.5000000000000001E-2</v>
      </c>
      <c r="T250" t="s">
        <v>1050</v>
      </c>
    </row>
    <row r="251" spans="1:20" x14ac:dyDescent="0.2">
      <c r="A251" t="s">
        <v>1052</v>
      </c>
      <c r="B251" t="s">
        <v>388</v>
      </c>
      <c r="C251" t="s">
        <v>388</v>
      </c>
      <c r="E251" t="s">
        <v>1053</v>
      </c>
      <c r="F251" t="s">
        <v>1054</v>
      </c>
      <c r="G251">
        <v>4</v>
      </c>
      <c r="H251">
        <v>2250</v>
      </c>
      <c r="I251">
        <v>3</v>
      </c>
      <c r="J251">
        <v>18.5</v>
      </c>
      <c r="K251">
        <v>3</v>
      </c>
      <c r="L251">
        <v>0.77500000000000002</v>
      </c>
      <c r="M251">
        <v>3</v>
      </c>
      <c r="N251">
        <v>302.5</v>
      </c>
      <c r="O251">
        <v>3</v>
      </c>
      <c r="P251">
        <v>1.95</v>
      </c>
      <c r="Q251">
        <v>3</v>
      </c>
      <c r="R251">
        <v>0.10100000000000001</v>
      </c>
      <c r="T251" t="s">
        <v>1053</v>
      </c>
    </row>
    <row r="252" spans="1:20" x14ac:dyDescent="0.2">
      <c r="A252" t="s">
        <v>1055</v>
      </c>
      <c r="B252" t="s">
        <v>388</v>
      </c>
      <c r="C252" t="s">
        <v>388</v>
      </c>
      <c r="E252" t="s">
        <v>1056</v>
      </c>
      <c r="F252" t="s">
        <v>1057</v>
      </c>
      <c r="G252">
        <v>4</v>
      </c>
      <c r="H252">
        <v>2250</v>
      </c>
      <c r="I252">
        <v>4</v>
      </c>
      <c r="J252">
        <v>23.5</v>
      </c>
      <c r="K252">
        <v>4</v>
      </c>
      <c r="L252">
        <v>1.0249999999999999</v>
      </c>
      <c r="M252">
        <v>5</v>
      </c>
      <c r="N252">
        <v>492.5</v>
      </c>
      <c r="O252">
        <v>5</v>
      </c>
      <c r="P252">
        <v>3.35</v>
      </c>
      <c r="Q252">
        <v>4</v>
      </c>
      <c r="R252">
        <v>0.13900000000000001</v>
      </c>
      <c r="T252" t="s">
        <v>1056</v>
      </c>
    </row>
    <row r="253" spans="1:20" x14ac:dyDescent="0.2">
      <c r="A253" t="s">
        <v>1058</v>
      </c>
      <c r="B253" t="s">
        <v>388</v>
      </c>
      <c r="C253" t="s">
        <v>388</v>
      </c>
      <c r="E253" t="s">
        <v>1059</v>
      </c>
      <c r="F253" t="s">
        <v>1060</v>
      </c>
      <c r="G253">
        <v>5</v>
      </c>
      <c r="H253">
        <v>2460</v>
      </c>
      <c r="I253">
        <v>5</v>
      </c>
      <c r="J253">
        <v>28.5</v>
      </c>
      <c r="K253">
        <v>4</v>
      </c>
      <c r="L253">
        <v>1.0249999999999999</v>
      </c>
      <c r="M253">
        <v>5</v>
      </c>
      <c r="N253">
        <v>492.5</v>
      </c>
      <c r="O253">
        <v>5</v>
      </c>
      <c r="P253">
        <v>3.35</v>
      </c>
      <c r="Q253">
        <v>4</v>
      </c>
      <c r="R253">
        <v>0.13900000000000001</v>
      </c>
      <c r="T253" t="s">
        <v>1059</v>
      </c>
    </row>
    <row r="254" spans="1:20" x14ac:dyDescent="0.2">
      <c r="A254" t="s">
        <v>1061</v>
      </c>
      <c r="B254" t="s">
        <v>388</v>
      </c>
      <c r="C254" t="s">
        <v>388</v>
      </c>
      <c r="E254" t="s">
        <v>1062</v>
      </c>
      <c r="F254" t="s">
        <v>1063</v>
      </c>
      <c r="G254">
        <v>1</v>
      </c>
      <c r="H254">
        <v>1620</v>
      </c>
      <c r="I254">
        <v>1</v>
      </c>
      <c r="J254">
        <v>8.5</v>
      </c>
      <c r="K254">
        <v>1</v>
      </c>
      <c r="L254">
        <v>0.27500000000000002</v>
      </c>
      <c r="M254">
        <v>1</v>
      </c>
      <c r="N254">
        <v>112.5</v>
      </c>
      <c r="O254">
        <v>1</v>
      </c>
      <c r="P254">
        <v>0.55000000000000004</v>
      </c>
      <c r="Q254">
        <v>1</v>
      </c>
      <c r="R254">
        <v>2.5000000000000001E-2</v>
      </c>
      <c r="T254" t="s">
        <v>1062</v>
      </c>
    </row>
    <row r="255" spans="1:20" x14ac:dyDescent="0.2">
      <c r="A255" t="s">
        <v>1064</v>
      </c>
      <c r="B255" t="s">
        <v>388</v>
      </c>
      <c r="C255" t="s">
        <v>388</v>
      </c>
      <c r="E255" t="s">
        <v>1065</v>
      </c>
      <c r="F255" t="s">
        <v>1066</v>
      </c>
      <c r="G255">
        <v>5</v>
      </c>
      <c r="H255">
        <v>2460</v>
      </c>
      <c r="I255">
        <v>5</v>
      </c>
      <c r="J255">
        <v>28.5</v>
      </c>
      <c r="K255">
        <v>4</v>
      </c>
      <c r="L255">
        <v>1.0249999999999999</v>
      </c>
      <c r="M255">
        <v>5</v>
      </c>
      <c r="N255">
        <v>492.5</v>
      </c>
      <c r="O255">
        <v>5</v>
      </c>
      <c r="P255">
        <v>3.35</v>
      </c>
      <c r="Q255">
        <v>4</v>
      </c>
      <c r="R255">
        <v>0.13900000000000001</v>
      </c>
      <c r="T255" t="s">
        <v>1065</v>
      </c>
    </row>
    <row r="256" spans="1:20" x14ac:dyDescent="0.2">
      <c r="A256" t="s">
        <v>1067</v>
      </c>
      <c r="B256" t="s">
        <v>388</v>
      </c>
      <c r="C256" t="s">
        <v>388</v>
      </c>
      <c r="E256" t="s">
        <v>1068</v>
      </c>
      <c r="F256" t="s">
        <v>1069</v>
      </c>
      <c r="G256">
        <v>2</v>
      </c>
      <c r="H256">
        <v>1830</v>
      </c>
      <c r="I256">
        <v>3</v>
      </c>
      <c r="J256">
        <v>18.5</v>
      </c>
      <c r="K256">
        <v>3</v>
      </c>
      <c r="L256">
        <v>0.77500000000000002</v>
      </c>
      <c r="M256">
        <v>3</v>
      </c>
      <c r="N256">
        <v>302.5</v>
      </c>
      <c r="O256">
        <v>4</v>
      </c>
      <c r="P256">
        <v>2.65</v>
      </c>
      <c r="Q256">
        <v>4</v>
      </c>
      <c r="R256">
        <v>0.13900000000000001</v>
      </c>
      <c r="T256" t="s">
        <v>1068</v>
      </c>
    </row>
    <row r="257" spans="1:20" x14ac:dyDescent="0.2">
      <c r="A257" t="s">
        <v>1070</v>
      </c>
      <c r="B257" t="s">
        <v>388</v>
      </c>
      <c r="C257" t="s">
        <v>388</v>
      </c>
      <c r="E257" t="s">
        <v>1071</v>
      </c>
      <c r="F257" t="s">
        <v>1072</v>
      </c>
      <c r="G257">
        <v>2</v>
      </c>
      <c r="H257">
        <v>1830</v>
      </c>
      <c r="I257">
        <v>2</v>
      </c>
      <c r="J257">
        <v>13.5</v>
      </c>
      <c r="K257">
        <v>2</v>
      </c>
      <c r="L257">
        <v>0.52500000000000002</v>
      </c>
      <c r="M257">
        <v>2</v>
      </c>
      <c r="N257">
        <v>207.5</v>
      </c>
      <c r="O257">
        <v>3</v>
      </c>
      <c r="P257">
        <v>1.95</v>
      </c>
      <c r="Q257">
        <v>3</v>
      </c>
      <c r="R257">
        <v>0.10100000000000001</v>
      </c>
      <c r="T257" t="s">
        <v>1071</v>
      </c>
    </row>
    <row r="258" spans="1:20" x14ac:dyDescent="0.2">
      <c r="A258" t="s">
        <v>1073</v>
      </c>
      <c r="B258" t="s">
        <v>388</v>
      </c>
      <c r="C258" t="s">
        <v>388</v>
      </c>
      <c r="E258" t="s">
        <v>1074</v>
      </c>
      <c r="F258" t="s">
        <v>1075</v>
      </c>
      <c r="G258">
        <v>3</v>
      </c>
      <c r="H258">
        <v>2040</v>
      </c>
      <c r="I258">
        <v>4</v>
      </c>
      <c r="J258">
        <v>23.5</v>
      </c>
      <c r="K258">
        <v>3</v>
      </c>
      <c r="L258">
        <v>0.77500000000000002</v>
      </c>
      <c r="M258">
        <v>3</v>
      </c>
      <c r="N258">
        <v>302.5</v>
      </c>
      <c r="O258">
        <v>3</v>
      </c>
      <c r="P258">
        <v>1.95</v>
      </c>
      <c r="Q258">
        <v>4</v>
      </c>
      <c r="R258">
        <v>0.13900000000000001</v>
      </c>
      <c r="T258" t="s">
        <v>1074</v>
      </c>
    </row>
    <row r="259" spans="1:20" x14ac:dyDescent="0.2">
      <c r="A259" t="s">
        <v>1076</v>
      </c>
      <c r="B259" t="s">
        <v>388</v>
      </c>
      <c r="C259" t="s">
        <v>388</v>
      </c>
      <c r="E259" t="s">
        <v>1077</v>
      </c>
      <c r="F259" t="s">
        <v>1078</v>
      </c>
      <c r="G259">
        <v>3</v>
      </c>
      <c r="H259">
        <v>2040</v>
      </c>
      <c r="I259">
        <v>3</v>
      </c>
      <c r="J259">
        <v>18.5</v>
      </c>
      <c r="K259">
        <v>3</v>
      </c>
      <c r="L259">
        <v>0.77500000000000002</v>
      </c>
      <c r="M259">
        <v>3</v>
      </c>
      <c r="N259">
        <v>302.5</v>
      </c>
      <c r="O259">
        <v>3</v>
      </c>
      <c r="P259">
        <v>1.95</v>
      </c>
      <c r="Q259">
        <v>3</v>
      </c>
      <c r="R259">
        <v>0.10100000000000001</v>
      </c>
      <c r="T259" t="s">
        <v>1077</v>
      </c>
    </row>
    <row r="260" spans="1:20" x14ac:dyDescent="0.2">
      <c r="A260" t="s">
        <v>1079</v>
      </c>
      <c r="B260" t="s">
        <v>388</v>
      </c>
      <c r="C260" t="s">
        <v>388</v>
      </c>
      <c r="E260" t="s">
        <v>1080</v>
      </c>
      <c r="F260" t="s">
        <v>1081</v>
      </c>
      <c r="G260">
        <v>3</v>
      </c>
      <c r="H260">
        <v>2040</v>
      </c>
      <c r="I260">
        <v>3</v>
      </c>
      <c r="J260">
        <v>18.5</v>
      </c>
      <c r="K260">
        <v>3</v>
      </c>
      <c r="L260">
        <v>0.77500000000000002</v>
      </c>
      <c r="M260">
        <v>2</v>
      </c>
      <c r="N260">
        <v>207.5</v>
      </c>
      <c r="O260">
        <v>2</v>
      </c>
      <c r="P260">
        <v>1.25</v>
      </c>
      <c r="Q260">
        <v>3</v>
      </c>
      <c r="R260">
        <v>0.10100000000000001</v>
      </c>
      <c r="T260" t="s">
        <v>1080</v>
      </c>
    </row>
    <row r="261" spans="1:20" x14ac:dyDescent="0.2">
      <c r="A261" t="s">
        <v>1082</v>
      </c>
      <c r="B261" t="s">
        <v>388</v>
      </c>
      <c r="C261" t="s">
        <v>388</v>
      </c>
      <c r="E261" t="s">
        <v>1083</v>
      </c>
      <c r="F261" t="s">
        <v>1084</v>
      </c>
      <c r="G261">
        <v>4</v>
      </c>
      <c r="H261">
        <v>2250</v>
      </c>
      <c r="I261">
        <v>4</v>
      </c>
      <c r="J261">
        <v>23.5</v>
      </c>
      <c r="K261">
        <v>4</v>
      </c>
      <c r="L261">
        <v>1.0249999999999999</v>
      </c>
      <c r="M261">
        <v>4</v>
      </c>
      <c r="N261">
        <v>397.5</v>
      </c>
      <c r="O261">
        <v>4</v>
      </c>
      <c r="P261">
        <v>2.65</v>
      </c>
      <c r="Q261">
        <v>4</v>
      </c>
      <c r="R261">
        <v>0.13900000000000001</v>
      </c>
      <c r="T261" t="s">
        <v>1083</v>
      </c>
    </row>
    <row r="262" spans="1:20" x14ac:dyDescent="0.2">
      <c r="A262" t="s">
        <v>1085</v>
      </c>
      <c r="B262" t="s">
        <v>388</v>
      </c>
      <c r="C262" t="s">
        <v>388</v>
      </c>
      <c r="E262" t="s">
        <v>357</v>
      </c>
      <c r="F262" t="s">
        <v>1086</v>
      </c>
      <c r="G262">
        <v>1</v>
      </c>
      <c r="H262">
        <v>1620</v>
      </c>
      <c r="I262">
        <v>1</v>
      </c>
      <c r="J262">
        <v>8.5</v>
      </c>
      <c r="K262">
        <v>1</v>
      </c>
      <c r="L262">
        <v>0.27500000000000002</v>
      </c>
      <c r="M262">
        <v>3</v>
      </c>
      <c r="N262">
        <v>302.5</v>
      </c>
      <c r="O262">
        <v>3</v>
      </c>
      <c r="P262">
        <v>1.95</v>
      </c>
      <c r="Q262">
        <v>2</v>
      </c>
      <c r="R262">
        <v>6.3E-2</v>
      </c>
      <c r="T262" t="s">
        <v>357</v>
      </c>
    </row>
    <row r="263" spans="1:20" x14ac:dyDescent="0.2">
      <c r="A263" t="s">
        <v>1087</v>
      </c>
      <c r="B263" t="s">
        <v>388</v>
      </c>
      <c r="C263" t="s">
        <v>388</v>
      </c>
      <c r="E263" t="s">
        <v>1088</v>
      </c>
      <c r="F263" t="s">
        <v>1089</v>
      </c>
      <c r="G263">
        <v>4</v>
      </c>
      <c r="H263">
        <v>2250</v>
      </c>
      <c r="I263">
        <v>3</v>
      </c>
      <c r="J263">
        <v>18.5</v>
      </c>
      <c r="K263">
        <v>4</v>
      </c>
      <c r="L263">
        <v>1.0249999999999999</v>
      </c>
      <c r="M263">
        <v>5</v>
      </c>
      <c r="N263">
        <v>492.5</v>
      </c>
      <c r="O263">
        <v>5</v>
      </c>
      <c r="P263">
        <v>3.35</v>
      </c>
      <c r="Q263">
        <v>5</v>
      </c>
      <c r="R263">
        <v>0.17699999999999999</v>
      </c>
      <c r="T263" t="s">
        <v>1088</v>
      </c>
    </row>
    <row r="264" spans="1:20" x14ac:dyDescent="0.2">
      <c r="A264" t="s">
        <v>1090</v>
      </c>
      <c r="B264" t="s">
        <v>388</v>
      </c>
      <c r="C264" t="s">
        <v>388</v>
      </c>
      <c r="E264" t="s">
        <v>1091</v>
      </c>
      <c r="F264" t="s">
        <v>1092</v>
      </c>
      <c r="G264">
        <v>2</v>
      </c>
      <c r="H264">
        <v>1830</v>
      </c>
      <c r="I264">
        <v>3</v>
      </c>
      <c r="J264">
        <v>18.5</v>
      </c>
      <c r="K264">
        <v>3</v>
      </c>
      <c r="L264">
        <v>0.77500000000000002</v>
      </c>
      <c r="M264">
        <v>2</v>
      </c>
      <c r="N264">
        <v>207.5</v>
      </c>
      <c r="O264">
        <v>2</v>
      </c>
      <c r="P264">
        <v>1.25</v>
      </c>
      <c r="Q264">
        <v>5</v>
      </c>
      <c r="R264">
        <v>0.17699999999999999</v>
      </c>
      <c r="T264" t="s">
        <v>1091</v>
      </c>
    </row>
    <row r="265" spans="1:20" x14ac:dyDescent="0.2">
      <c r="A265" t="s">
        <v>1093</v>
      </c>
      <c r="B265" t="s">
        <v>388</v>
      </c>
      <c r="C265" t="s">
        <v>388</v>
      </c>
      <c r="E265" t="s">
        <v>1094</v>
      </c>
      <c r="F265" t="s">
        <v>1095</v>
      </c>
      <c r="G265">
        <v>3</v>
      </c>
      <c r="H265">
        <v>2040</v>
      </c>
      <c r="I265">
        <v>3</v>
      </c>
      <c r="J265">
        <v>18.5</v>
      </c>
      <c r="K265">
        <v>3</v>
      </c>
      <c r="L265">
        <v>0.77500000000000002</v>
      </c>
      <c r="M265">
        <v>4</v>
      </c>
      <c r="N265">
        <v>397.5</v>
      </c>
      <c r="O265">
        <v>4</v>
      </c>
      <c r="P265">
        <v>2.65</v>
      </c>
      <c r="Q265">
        <v>4</v>
      </c>
      <c r="R265">
        <v>0.13900000000000001</v>
      </c>
      <c r="T265" t="s">
        <v>1094</v>
      </c>
    </row>
    <row r="266" spans="1:20" x14ac:dyDescent="0.2">
      <c r="A266" t="s">
        <v>1096</v>
      </c>
      <c r="B266" t="s">
        <v>388</v>
      </c>
      <c r="C266" t="s">
        <v>388</v>
      </c>
      <c r="E266" t="s">
        <v>1097</v>
      </c>
      <c r="F266" t="s">
        <v>1098</v>
      </c>
      <c r="G266">
        <v>4</v>
      </c>
      <c r="H266">
        <v>2250</v>
      </c>
      <c r="I266">
        <v>4</v>
      </c>
      <c r="J266">
        <v>23.5</v>
      </c>
      <c r="K266">
        <v>4</v>
      </c>
      <c r="L266">
        <v>1.0249999999999999</v>
      </c>
      <c r="M266">
        <v>4</v>
      </c>
      <c r="N266">
        <v>397.5</v>
      </c>
      <c r="O266">
        <v>4</v>
      </c>
      <c r="P266">
        <v>2.65</v>
      </c>
      <c r="Q266">
        <v>4</v>
      </c>
      <c r="R266">
        <v>0.13900000000000001</v>
      </c>
      <c r="T266" t="s">
        <v>1097</v>
      </c>
    </row>
    <row r="267" spans="1:20" x14ac:dyDescent="0.2">
      <c r="A267" t="s">
        <v>1099</v>
      </c>
      <c r="B267" t="s">
        <v>388</v>
      </c>
      <c r="C267" t="s">
        <v>388</v>
      </c>
      <c r="E267" t="s">
        <v>1100</v>
      </c>
      <c r="F267" t="s">
        <v>1101</v>
      </c>
      <c r="G267">
        <v>4</v>
      </c>
      <c r="H267">
        <v>2250</v>
      </c>
      <c r="I267">
        <v>4</v>
      </c>
      <c r="J267">
        <v>23.5</v>
      </c>
      <c r="K267">
        <v>4</v>
      </c>
      <c r="L267">
        <v>1.0249999999999999</v>
      </c>
      <c r="M267">
        <v>4</v>
      </c>
      <c r="N267">
        <v>397.5</v>
      </c>
      <c r="O267">
        <v>5</v>
      </c>
      <c r="P267">
        <v>3.35</v>
      </c>
      <c r="Q267">
        <v>5</v>
      </c>
      <c r="R267">
        <v>0.17699999999999999</v>
      </c>
      <c r="T267" t="s">
        <v>1100</v>
      </c>
    </row>
    <row r="268" spans="1:20" x14ac:dyDescent="0.2">
      <c r="A268" t="s">
        <v>1102</v>
      </c>
      <c r="B268" t="s">
        <v>388</v>
      </c>
      <c r="C268" t="s">
        <v>388</v>
      </c>
      <c r="E268" t="s">
        <v>1103</v>
      </c>
      <c r="F268" t="s">
        <v>1104</v>
      </c>
      <c r="G268">
        <v>3</v>
      </c>
      <c r="H268">
        <v>2040</v>
      </c>
      <c r="I268">
        <v>3</v>
      </c>
      <c r="J268">
        <v>18.5</v>
      </c>
      <c r="K268">
        <v>2</v>
      </c>
      <c r="L268">
        <v>0.52500000000000002</v>
      </c>
      <c r="M268">
        <v>3</v>
      </c>
      <c r="N268">
        <v>302.5</v>
      </c>
      <c r="O268">
        <v>3</v>
      </c>
      <c r="P268">
        <v>1.95</v>
      </c>
      <c r="Q268">
        <v>2</v>
      </c>
      <c r="R268">
        <v>6.3E-2</v>
      </c>
      <c r="T268" t="s">
        <v>1103</v>
      </c>
    </row>
    <row r="269" spans="1:20" x14ac:dyDescent="0.2">
      <c r="A269" t="s">
        <v>1105</v>
      </c>
      <c r="B269" t="s">
        <v>388</v>
      </c>
      <c r="C269" t="s">
        <v>388</v>
      </c>
      <c r="E269" t="s">
        <v>1106</v>
      </c>
      <c r="F269" t="s">
        <v>1107</v>
      </c>
      <c r="G269">
        <v>3</v>
      </c>
      <c r="H269">
        <v>2040</v>
      </c>
      <c r="I269">
        <v>4</v>
      </c>
      <c r="J269">
        <v>23.5</v>
      </c>
      <c r="K269">
        <v>4</v>
      </c>
      <c r="L269">
        <v>1.0249999999999999</v>
      </c>
      <c r="M269">
        <v>3</v>
      </c>
      <c r="N269">
        <v>302.5</v>
      </c>
      <c r="O269">
        <v>3</v>
      </c>
      <c r="P269">
        <v>1.95</v>
      </c>
      <c r="Q269">
        <v>3</v>
      </c>
      <c r="R269">
        <v>0.10100000000000001</v>
      </c>
      <c r="T269" t="s">
        <v>1106</v>
      </c>
    </row>
    <row r="270" spans="1:20" x14ac:dyDescent="0.2">
      <c r="A270" t="s">
        <v>1108</v>
      </c>
      <c r="B270" t="s">
        <v>388</v>
      </c>
      <c r="C270" t="s">
        <v>388</v>
      </c>
      <c r="E270" t="s">
        <v>1109</v>
      </c>
      <c r="F270" t="s">
        <v>447</v>
      </c>
      <c r="G270">
        <v>3</v>
      </c>
      <c r="H270">
        <v>2040</v>
      </c>
      <c r="I270">
        <v>3</v>
      </c>
      <c r="J270">
        <v>18.5</v>
      </c>
      <c r="K270">
        <v>2</v>
      </c>
      <c r="L270">
        <v>0.52500000000000002</v>
      </c>
      <c r="M270">
        <v>3</v>
      </c>
      <c r="N270">
        <v>302.5</v>
      </c>
      <c r="O270">
        <v>3</v>
      </c>
      <c r="P270">
        <v>1.95</v>
      </c>
      <c r="Q270">
        <v>3</v>
      </c>
      <c r="R270">
        <v>0.10100000000000001</v>
      </c>
      <c r="T270" t="s">
        <v>1109</v>
      </c>
    </row>
    <row r="271" spans="1:20" x14ac:dyDescent="0.2">
      <c r="A271" t="s">
        <v>1110</v>
      </c>
      <c r="B271" t="s">
        <v>388</v>
      </c>
      <c r="C271" t="s">
        <v>388</v>
      </c>
      <c r="E271" t="s">
        <v>1111</v>
      </c>
      <c r="F271" t="s">
        <v>1112</v>
      </c>
      <c r="G271">
        <v>5</v>
      </c>
      <c r="H271">
        <v>2460</v>
      </c>
      <c r="I271">
        <v>5</v>
      </c>
      <c r="J271">
        <v>28.5</v>
      </c>
      <c r="K271">
        <v>4</v>
      </c>
      <c r="L271">
        <v>1.0249999999999999</v>
      </c>
      <c r="M271">
        <v>4</v>
      </c>
      <c r="N271">
        <v>397.5</v>
      </c>
      <c r="O271">
        <v>5</v>
      </c>
      <c r="P271">
        <v>3.35</v>
      </c>
      <c r="Q271">
        <v>4</v>
      </c>
      <c r="R271">
        <v>0.13900000000000001</v>
      </c>
      <c r="T271" t="s">
        <v>1111</v>
      </c>
    </row>
    <row r="272" spans="1:20" x14ac:dyDescent="0.2">
      <c r="A272" t="s">
        <v>1113</v>
      </c>
      <c r="B272" t="s">
        <v>388</v>
      </c>
      <c r="C272" t="s">
        <v>388</v>
      </c>
      <c r="E272" t="s">
        <v>1114</v>
      </c>
      <c r="F272" t="s">
        <v>1115</v>
      </c>
      <c r="G272">
        <v>4</v>
      </c>
      <c r="H272">
        <v>2250</v>
      </c>
      <c r="I272">
        <v>4</v>
      </c>
      <c r="J272">
        <v>23.5</v>
      </c>
      <c r="K272">
        <v>4</v>
      </c>
      <c r="L272">
        <v>1.0249999999999999</v>
      </c>
      <c r="M272">
        <v>5</v>
      </c>
      <c r="N272">
        <v>492.5</v>
      </c>
      <c r="O272">
        <v>5</v>
      </c>
      <c r="P272">
        <v>3.35</v>
      </c>
      <c r="Q272">
        <v>4</v>
      </c>
      <c r="R272">
        <v>0.13900000000000001</v>
      </c>
      <c r="T272" t="s">
        <v>1114</v>
      </c>
    </row>
    <row r="273" spans="1:20" x14ac:dyDescent="0.2">
      <c r="A273" t="s">
        <v>1116</v>
      </c>
      <c r="B273" t="s">
        <v>388</v>
      </c>
      <c r="C273" t="s">
        <v>388</v>
      </c>
      <c r="E273" t="s">
        <v>1117</v>
      </c>
      <c r="F273" t="s">
        <v>1118</v>
      </c>
      <c r="G273">
        <v>4</v>
      </c>
      <c r="H273">
        <v>2250</v>
      </c>
      <c r="I273">
        <v>3</v>
      </c>
      <c r="J273">
        <v>18.5</v>
      </c>
      <c r="K273">
        <v>3</v>
      </c>
      <c r="L273">
        <v>0.77500000000000002</v>
      </c>
      <c r="M273">
        <v>4</v>
      </c>
      <c r="N273">
        <v>397.5</v>
      </c>
      <c r="O273">
        <v>4</v>
      </c>
      <c r="P273">
        <v>2.65</v>
      </c>
      <c r="Q273">
        <v>4</v>
      </c>
      <c r="R273">
        <v>0.13900000000000001</v>
      </c>
      <c r="T273" t="s">
        <v>1117</v>
      </c>
    </row>
    <row r="274" spans="1:20" x14ac:dyDescent="0.2">
      <c r="A274" t="s">
        <v>1119</v>
      </c>
      <c r="B274" t="s">
        <v>388</v>
      </c>
      <c r="C274" t="s">
        <v>388</v>
      </c>
      <c r="E274" t="s">
        <v>1120</v>
      </c>
      <c r="F274" t="s">
        <v>1121</v>
      </c>
      <c r="G274">
        <v>1</v>
      </c>
      <c r="H274">
        <v>1620</v>
      </c>
      <c r="I274">
        <v>3</v>
      </c>
      <c r="J274">
        <v>18.5</v>
      </c>
      <c r="K274">
        <v>2</v>
      </c>
      <c r="L274">
        <v>0.52500000000000002</v>
      </c>
      <c r="M274">
        <v>1</v>
      </c>
      <c r="N274">
        <v>112.5</v>
      </c>
      <c r="O274">
        <v>1</v>
      </c>
      <c r="P274">
        <v>0.55000000000000004</v>
      </c>
      <c r="Q274">
        <v>1</v>
      </c>
      <c r="R274">
        <v>2.5000000000000001E-2</v>
      </c>
      <c r="T274" t="s">
        <v>1120</v>
      </c>
    </row>
    <row r="275" spans="1:20" x14ac:dyDescent="0.2">
      <c r="A275" t="s">
        <v>1122</v>
      </c>
      <c r="B275" t="s">
        <v>388</v>
      </c>
      <c r="C275" t="s">
        <v>388</v>
      </c>
      <c r="E275" t="s">
        <v>357</v>
      </c>
      <c r="F275" t="s">
        <v>447</v>
      </c>
      <c r="G275">
        <v>4</v>
      </c>
      <c r="H275">
        <v>2250</v>
      </c>
      <c r="I275">
        <v>4</v>
      </c>
      <c r="J275">
        <v>23.5</v>
      </c>
      <c r="K275">
        <v>3</v>
      </c>
      <c r="L275">
        <v>0.77500000000000002</v>
      </c>
      <c r="M275">
        <v>4</v>
      </c>
      <c r="N275">
        <v>397.5</v>
      </c>
      <c r="O275">
        <v>4</v>
      </c>
      <c r="P275">
        <v>2.65</v>
      </c>
      <c r="Q275">
        <v>4</v>
      </c>
      <c r="R275">
        <v>0.13900000000000001</v>
      </c>
      <c r="T275" t="s">
        <v>357</v>
      </c>
    </row>
    <row r="276" spans="1:20" x14ac:dyDescent="0.2">
      <c r="A276" t="s">
        <v>1123</v>
      </c>
      <c r="B276" t="s">
        <v>388</v>
      </c>
      <c r="C276" t="s">
        <v>388</v>
      </c>
      <c r="E276" t="s">
        <v>247</v>
      </c>
      <c r="F276" t="s">
        <v>1124</v>
      </c>
      <c r="G276">
        <v>5</v>
      </c>
      <c r="H276">
        <v>2460</v>
      </c>
      <c r="I276">
        <v>5</v>
      </c>
      <c r="J276">
        <v>28.5</v>
      </c>
      <c r="K276">
        <v>4</v>
      </c>
      <c r="L276">
        <v>1.0249999999999999</v>
      </c>
      <c r="M276">
        <v>5</v>
      </c>
      <c r="N276">
        <v>492.5</v>
      </c>
      <c r="O276">
        <v>5</v>
      </c>
      <c r="P276">
        <v>3.35</v>
      </c>
      <c r="Q276">
        <v>4</v>
      </c>
      <c r="R276">
        <v>0.13900000000000001</v>
      </c>
      <c r="T276" t="s">
        <v>247</v>
      </c>
    </row>
    <row r="277" spans="1:20" x14ac:dyDescent="0.2">
      <c r="A277" t="s">
        <v>1125</v>
      </c>
      <c r="B277" t="s">
        <v>388</v>
      </c>
      <c r="C277" t="s">
        <v>388</v>
      </c>
      <c r="E277" t="s">
        <v>1126</v>
      </c>
      <c r="F277" t="s">
        <v>1127</v>
      </c>
      <c r="G277">
        <v>5</v>
      </c>
      <c r="H277">
        <v>2460</v>
      </c>
      <c r="I277">
        <v>5</v>
      </c>
      <c r="J277">
        <v>28.5</v>
      </c>
      <c r="K277">
        <v>5</v>
      </c>
      <c r="L277">
        <v>1.2749999999999999</v>
      </c>
      <c r="M277">
        <v>5</v>
      </c>
      <c r="N277">
        <v>492.5</v>
      </c>
      <c r="O277">
        <v>5</v>
      </c>
      <c r="P277">
        <v>3.35</v>
      </c>
      <c r="Q277">
        <v>4</v>
      </c>
      <c r="R277">
        <v>0.13900000000000001</v>
      </c>
      <c r="T277" t="s">
        <v>1126</v>
      </c>
    </row>
    <row r="278" spans="1:20" x14ac:dyDescent="0.2">
      <c r="A278" t="s">
        <v>1128</v>
      </c>
      <c r="B278" t="s">
        <v>388</v>
      </c>
      <c r="C278" t="s">
        <v>388</v>
      </c>
      <c r="E278" t="s">
        <v>1129</v>
      </c>
      <c r="F278" t="s">
        <v>1130</v>
      </c>
      <c r="G278">
        <v>4</v>
      </c>
      <c r="H278">
        <v>2250</v>
      </c>
      <c r="I278">
        <v>4</v>
      </c>
      <c r="J278">
        <v>23.5</v>
      </c>
      <c r="K278">
        <v>4</v>
      </c>
      <c r="L278">
        <v>1.0249999999999999</v>
      </c>
      <c r="M278">
        <v>4</v>
      </c>
      <c r="N278">
        <v>397.5</v>
      </c>
      <c r="O278">
        <v>4</v>
      </c>
      <c r="P278">
        <v>2.65</v>
      </c>
      <c r="Q278">
        <v>4</v>
      </c>
      <c r="R278">
        <v>0.13900000000000001</v>
      </c>
      <c r="T278" t="s">
        <v>1129</v>
      </c>
    </row>
    <row r="279" spans="1:20" x14ac:dyDescent="0.2">
      <c r="A279" t="s">
        <v>1131</v>
      </c>
      <c r="B279" t="s">
        <v>388</v>
      </c>
      <c r="C279" t="s">
        <v>388</v>
      </c>
      <c r="E279" t="s">
        <v>1132</v>
      </c>
      <c r="F279" t="s">
        <v>447</v>
      </c>
      <c r="G279">
        <v>2</v>
      </c>
      <c r="H279">
        <v>1830</v>
      </c>
      <c r="I279">
        <v>2</v>
      </c>
      <c r="J279">
        <v>13.5</v>
      </c>
      <c r="K279">
        <v>2</v>
      </c>
      <c r="L279">
        <v>0.52500000000000002</v>
      </c>
      <c r="M279">
        <v>4</v>
      </c>
      <c r="N279">
        <v>397.5</v>
      </c>
      <c r="O279">
        <v>4</v>
      </c>
      <c r="P279">
        <v>2.65</v>
      </c>
      <c r="Q279">
        <v>4</v>
      </c>
      <c r="R279">
        <v>0.13900000000000001</v>
      </c>
      <c r="T279" t="s">
        <v>1132</v>
      </c>
    </row>
    <row r="280" spans="1:20" x14ac:dyDescent="0.2">
      <c r="A280" t="s">
        <v>1133</v>
      </c>
      <c r="B280" t="s">
        <v>388</v>
      </c>
      <c r="C280" t="s">
        <v>388</v>
      </c>
      <c r="E280" t="s">
        <v>1134</v>
      </c>
      <c r="F280" t="s">
        <v>1135</v>
      </c>
      <c r="G280">
        <v>1</v>
      </c>
      <c r="H280">
        <v>1620</v>
      </c>
      <c r="I280">
        <v>1</v>
      </c>
      <c r="J280">
        <v>8.5</v>
      </c>
      <c r="K280">
        <v>1</v>
      </c>
      <c r="L280">
        <v>0.27500000000000002</v>
      </c>
      <c r="M280">
        <v>1</v>
      </c>
      <c r="N280">
        <v>112.5</v>
      </c>
      <c r="O280">
        <v>1</v>
      </c>
      <c r="P280">
        <v>0.55000000000000004</v>
      </c>
      <c r="Q280">
        <v>1</v>
      </c>
      <c r="R280">
        <v>2.5000000000000001E-2</v>
      </c>
      <c r="T280" t="s">
        <v>1134</v>
      </c>
    </row>
    <row r="281" spans="1:20" x14ac:dyDescent="0.2">
      <c r="A281" t="s">
        <v>1136</v>
      </c>
      <c r="B281" t="s">
        <v>388</v>
      </c>
      <c r="C281" t="s">
        <v>388</v>
      </c>
      <c r="E281" t="s">
        <v>1134</v>
      </c>
      <c r="F281" t="s">
        <v>1135</v>
      </c>
      <c r="G281">
        <v>5</v>
      </c>
      <c r="H281">
        <v>2460</v>
      </c>
      <c r="I281">
        <v>5</v>
      </c>
      <c r="J281">
        <v>28.5</v>
      </c>
      <c r="K281">
        <v>5</v>
      </c>
      <c r="L281">
        <v>1.2749999999999999</v>
      </c>
      <c r="M281">
        <v>5</v>
      </c>
      <c r="N281">
        <v>492.5</v>
      </c>
      <c r="O281">
        <v>5</v>
      </c>
      <c r="P281">
        <v>3.35</v>
      </c>
      <c r="Q281">
        <v>4</v>
      </c>
      <c r="R281">
        <v>0.13900000000000001</v>
      </c>
      <c r="T281" t="s">
        <v>1134</v>
      </c>
    </row>
    <row r="282" spans="1:20" x14ac:dyDescent="0.2">
      <c r="A282" t="s">
        <v>1137</v>
      </c>
      <c r="B282" t="s">
        <v>388</v>
      </c>
      <c r="C282" t="s">
        <v>388</v>
      </c>
      <c r="E282" t="s">
        <v>1138</v>
      </c>
      <c r="F282" t="s">
        <v>1139</v>
      </c>
      <c r="G282">
        <v>4</v>
      </c>
      <c r="H282">
        <v>2250</v>
      </c>
      <c r="I282">
        <v>4</v>
      </c>
      <c r="J282">
        <v>23.5</v>
      </c>
      <c r="K282">
        <v>3</v>
      </c>
      <c r="L282">
        <v>0.77500000000000002</v>
      </c>
      <c r="M282">
        <v>4</v>
      </c>
      <c r="N282">
        <v>397.5</v>
      </c>
      <c r="O282">
        <v>4</v>
      </c>
      <c r="P282">
        <v>2.65</v>
      </c>
      <c r="Q282">
        <v>3</v>
      </c>
      <c r="R282">
        <v>0.10100000000000001</v>
      </c>
      <c r="T282" t="s">
        <v>1138</v>
      </c>
    </row>
    <row r="283" spans="1:20" x14ac:dyDescent="0.2">
      <c r="A283" t="s">
        <v>1140</v>
      </c>
      <c r="B283" t="s">
        <v>388</v>
      </c>
      <c r="C283" t="s">
        <v>388</v>
      </c>
      <c r="E283" t="s">
        <v>1141</v>
      </c>
      <c r="F283" t="s">
        <v>1142</v>
      </c>
      <c r="G283">
        <v>4</v>
      </c>
      <c r="H283">
        <v>2250</v>
      </c>
      <c r="I283">
        <v>4</v>
      </c>
      <c r="J283">
        <v>23.5</v>
      </c>
      <c r="K283">
        <v>4</v>
      </c>
      <c r="L283">
        <v>1.0249999999999999</v>
      </c>
      <c r="M283">
        <v>4</v>
      </c>
      <c r="N283">
        <v>397.5</v>
      </c>
      <c r="O283">
        <v>5</v>
      </c>
      <c r="P283">
        <v>3.35</v>
      </c>
      <c r="Q283">
        <v>4</v>
      </c>
      <c r="R283">
        <v>0.13900000000000001</v>
      </c>
      <c r="T283" t="s">
        <v>1141</v>
      </c>
    </row>
    <row r="284" spans="1:20" x14ac:dyDescent="0.2">
      <c r="A284" t="s">
        <v>1143</v>
      </c>
      <c r="B284" t="s">
        <v>388</v>
      </c>
      <c r="C284" t="s">
        <v>388</v>
      </c>
      <c r="E284" t="s">
        <v>1144</v>
      </c>
      <c r="F284" t="s">
        <v>1145</v>
      </c>
      <c r="G284">
        <v>3</v>
      </c>
      <c r="H284">
        <v>2040</v>
      </c>
      <c r="I284">
        <v>2</v>
      </c>
      <c r="J284">
        <v>13.5</v>
      </c>
      <c r="K284">
        <v>2</v>
      </c>
      <c r="L284">
        <v>0.52500000000000002</v>
      </c>
      <c r="M284">
        <v>3</v>
      </c>
      <c r="N284">
        <v>302.5</v>
      </c>
      <c r="O284">
        <v>3</v>
      </c>
      <c r="P284">
        <v>1.95</v>
      </c>
      <c r="Q284">
        <v>3</v>
      </c>
      <c r="R284">
        <v>0.10100000000000001</v>
      </c>
      <c r="T284" t="s">
        <v>1144</v>
      </c>
    </row>
    <row r="285" spans="1:20" x14ac:dyDescent="0.2">
      <c r="A285" t="s">
        <v>1146</v>
      </c>
      <c r="B285" t="s">
        <v>388</v>
      </c>
      <c r="C285" t="s">
        <v>388</v>
      </c>
      <c r="E285" t="s">
        <v>1147</v>
      </c>
      <c r="F285" t="s">
        <v>1148</v>
      </c>
      <c r="G285">
        <v>1</v>
      </c>
      <c r="H285">
        <v>1620</v>
      </c>
      <c r="I285">
        <v>1</v>
      </c>
      <c r="J285">
        <v>8.5</v>
      </c>
      <c r="K285">
        <v>1</v>
      </c>
      <c r="L285">
        <v>0.27500000000000002</v>
      </c>
      <c r="M285">
        <v>1</v>
      </c>
      <c r="N285">
        <v>112.5</v>
      </c>
      <c r="O285">
        <v>1</v>
      </c>
      <c r="P285">
        <v>0.55000000000000004</v>
      </c>
      <c r="Q285">
        <v>1</v>
      </c>
      <c r="R285">
        <v>2.5000000000000001E-2</v>
      </c>
      <c r="T285" t="s">
        <v>1147</v>
      </c>
    </row>
    <row r="286" spans="1:20" x14ac:dyDescent="0.2">
      <c r="A286" t="s">
        <v>1149</v>
      </c>
      <c r="B286" t="s">
        <v>388</v>
      </c>
      <c r="C286" t="s">
        <v>388</v>
      </c>
      <c r="E286" t="s">
        <v>1150</v>
      </c>
      <c r="F286" t="s">
        <v>1151</v>
      </c>
      <c r="G286">
        <v>3</v>
      </c>
      <c r="H286">
        <v>2040</v>
      </c>
      <c r="I286">
        <v>3</v>
      </c>
      <c r="J286">
        <v>18.5</v>
      </c>
      <c r="K286">
        <v>3</v>
      </c>
      <c r="L286">
        <v>0.77500000000000002</v>
      </c>
      <c r="M286">
        <v>3</v>
      </c>
      <c r="N286">
        <v>302.5</v>
      </c>
      <c r="O286">
        <v>3</v>
      </c>
      <c r="P286">
        <v>1.95</v>
      </c>
      <c r="Q286">
        <v>3</v>
      </c>
      <c r="R286">
        <v>0.10100000000000001</v>
      </c>
      <c r="T286" t="s">
        <v>1150</v>
      </c>
    </row>
    <row r="287" spans="1:20" x14ac:dyDescent="0.2">
      <c r="A287" t="s">
        <v>1152</v>
      </c>
      <c r="B287" t="s">
        <v>388</v>
      </c>
      <c r="C287" t="s">
        <v>388</v>
      </c>
      <c r="E287" t="s">
        <v>1153</v>
      </c>
      <c r="F287" t="s">
        <v>1154</v>
      </c>
      <c r="G287">
        <v>3</v>
      </c>
      <c r="H287">
        <v>2040</v>
      </c>
      <c r="I287">
        <v>4</v>
      </c>
      <c r="J287">
        <v>23.5</v>
      </c>
      <c r="K287">
        <v>3</v>
      </c>
      <c r="L287">
        <v>0.77500000000000002</v>
      </c>
      <c r="M287">
        <v>3</v>
      </c>
      <c r="N287">
        <v>302.5</v>
      </c>
      <c r="O287">
        <v>3</v>
      </c>
      <c r="P287">
        <v>1.95</v>
      </c>
      <c r="Q287">
        <v>3</v>
      </c>
      <c r="R287">
        <v>0.10100000000000001</v>
      </c>
      <c r="T287" t="s">
        <v>1153</v>
      </c>
    </row>
    <row r="288" spans="1:20" x14ac:dyDescent="0.2">
      <c r="A288" t="s">
        <v>1155</v>
      </c>
      <c r="B288" t="s">
        <v>388</v>
      </c>
      <c r="C288" t="s">
        <v>388</v>
      </c>
      <c r="E288" t="s">
        <v>1156</v>
      </c>
      <c r="F288" t="s">
        <v>1157</v>
      </c>
      <c r="G288">
        <v>5</v>
      </c>
      <c r="H288">
        <v>2460</v>
      </c>
      <c r="I288">
        <v>5</v>
      </c>
      <c r="J288">
        <v>28.5</v>
      </c>
      <c r="K288">
        <v>5</v>
      </c>
      <c r="L288">
        <v>1.2749999999999999</v>
      </c>
      <c r="M288">
        <v>5</v>
      </c>
      <c r="N288">
        <v>492.5</v>
      </c>
      <c r="O288">
        <v>5</v>
      </c>
      <c r="P288">
        <v>3.35</v>
      </c>
      <c r="Q288">
        <v>5</v>
      </c>
      <c r="R288">
        <v>0.17699999999999999</v>
      </c>
      <c r="T288" t="s">
        <v>1156</v>
      </c>
    </row>
    <row r="289" spans="1:20" x14ac:dyDescent="0.2">
      <c r="A289" t="s">
        <v>1158</v>
      </c>
      <c r="B289" t="s">
        <v>388</v>
      </c>
      <c r="C289" t="s">
        <v>388</v>
      </c>
      <c r="E289" t="s">
        <v>1159</v>
      </c>
      <c r="F289" t="s">
        <v>1160</v>
      </c>
      <c r="G289">
        <v>2</v>
      </c>
      <c r="H289">
        <v>1830</v>
      </c>
      <c r="I289">
        <v>1</v>
      </c>
      <c r="J289">
        <v>8.5</v>
      </c>
      <c r="K289">
        <v>1</v>
      </c>
      <c r="L289">
        <v>0.27500000000000002</v>
      </c>
      <c r="M289">
        <v>1</v>
      </c>
      <c r="N289">
        <v>112.5</v>
      </c>
      <c r="O289">
        <v>1</v>
      </c>
      <c r="P289">
        <v>0.55000000000000004</v>
      </c>
      <c r="Q289">
        <v>1</v>
      </c>
      <c r="R289">
        <v>2.5000000000000001E-2</v>
      </c>
      <c r="T289" t="s">
        <v>1159</v>
      </c>
    </row>
    <row r="290" spans="1:20" x14ac:dyDescent="0.2">
      <c r="A290" t="s">
        <v>1161</v>
      </c>
      <c r="B290" t="s">
        <v>388</v>
      </c>
      <c r="C290" t="s">
        <v>388</v>
      </c>
      <c r="E290" t="s">
        <v>1162</v>
      </c>
      <c r="F290" t="s">
        <v>1163</v>
      </c>
      <c r="G290">
        <v>2</v>
      </c>
      <c r="H290">
        <v>1830</v>
      </c>
      <c r="I290">
        <v>1</v>
      </c>
      <c r="J290">
        <v>8.5</v>
      </c>
      <c r="K290">
        <v>1</v>
      </c>
      <c r="L290">
        <v>0.27500000000000002</v>
      </c>
      <c r="M290">
        <v>1</v>
      </c>
      <c r="N290">
        <v>112.5</v>
      </c>
      <c r="O290">
        <v>1</v>
      </c>
      <c r="P290">
        <v>0.55000000000000004</v>
      </c>
      <c r="Q290">
        <v>1</v>
      </c>
      <c r="R290">
        <v>2.5000000000000001E-2</v>
      </c>
      <c r="T290" t="s">
        <v>1162</v>
      </c>
    </row>
    <row r="291" spans="1:20" x14ac:dyDescent="0.2">
      <c r="A291" t="s">
        <v>1164</v>
      </c>
      <c r="B291" t="s">
        <v>388</v>
      </c>
      <c r="C291" t="s">
        <v>388</v>
      </c>
      <c r="E291" t="s">
        <v>1165</v>
      </c>
      <c r="F291" t="s">
        <v>1166</v>
      </c>
      <c r="G291">
        <v>5</v>
      </c>
      <c r="H291">
        <v>2460</v>
      </c>
      <c r="I291">
        <v>5</v>
      </c>
      <c r="J291">
        <v>28.5</v>
      </c>
      <c r="K291">
        <v>4</v>
      </c>
      <c r="L291">
        <v>1.0249999999999999</v>
      </c>
      <c r="M291">
        <v>4</v>
      </c>
      <c r="N291">
        <v>397.5</v>
      </c>
      <c r="O291">
        <v>5</v>
      </c>
      <c r="P291">
        <v>3.35</v>
      </c>
      <c r="Q291">
        <v>4</v>
      </c>
      <c r="R291">
        <v>0.13900000000000001</v>
      </c>
      <c r="T291" t="s">
        <v>1165</v>
      </c>
    </row>
    <row r="292" spans="1:20" x14ac:dyDescent="0.2">
      <c r="A292" t="s">
        <v>1167</v>
      </c>
      <c r="B292" t="s">
        <v>388</v>
      </c>
      <c r="C292" t="s">
        <v>388</v>
      </c>
      <c r="E292" t="s">
        <v>1168</v>
      </c>
      <c r="F292" t="s">
        <v>1169</v>
      </c>
      <c r="G292">
        <v>3</v>
      </c>
      <c r="H292">
        <v>2040</v>
      </c>
      <c r="I292">
        <v>3</v>
      </c>
      <c r="J292">
        <v>18.5</v>
      </c>
      <c r="K292">
        <v>3</v>
      </c>
      <c r="L292">
        <v>0.77500000000000002</v>
      </c>
      <c r="M292">
        <v>3</v>
      </c>
      <c r="N292">
        <v>302.5</v>
      </c>
      <c r="O292">
        <v>3</v>
      </c>
      <c r="P292">
        <v>1.95</v>
      </c>
      <c r="Q292">
        <v>3</v>
      </c>
      <c r="R292">
        <v>0.10100000000000001</v>
      </c>
      <c r="T292" t="s">
        <v>1168</v>
      </c>
    </row>
    <row r="293" spans="1:20" x14ac:dyDescent="0.2">
      <c r="A293" t="s">
        <v>1170</v>
      </c>
      <c r="B293" t="s">
        <v>388</v>
      </c>
      <c r="C293" t="s">
        <v>388</v>
      </c>
      <c r="E293" t="s">
        <v>1171</v>
      </c>
      <c r="F293" t="s">
        <v>1172</v>
      </c>
      <c r="G293">
        <v>5</v>
      </c>
      <c r="H293">
        <v>2460</v>
      </c>
      <c r="I293">
        <v>4</v>
      </c>
      <c r="J293">
        <v>23.5</v>
      </c>
      <c r="K293">
        <v>4</v>
      </c>
      <c r="L293">
        <v>1.0249999999999999</v>
      </c>
      <c r="M293">
        <v>5</v>
      </c>
      <c r="N293">
        <v>492.5</v>
      </c>
      <c r="O293">
        <v>5</v>
      </c>
      <c r="P293">
        <v>3.35</v>
      </c>
      <c r="Q293">
        <v>5</v>
      </c>
      <c r="R293">
        <v>0.17699999999999999</v>
      </c>
      <c r="T293" t="s">
        <v>1171</v>
      </c>
    </row>
    <row r="294" spans="1:20" x14ac:dyDescent="0.2">
      <c r="A294" t="s">
        <v>1173</v>
      </c>
      <c r="B294" t="s">
        <v>388</v>
      </c>
      <c r="C294" t="s">
        <v>388</v>
      </c>
      <c r="E294" t="s">
        <v>1174</v>
      </c>
      <c r="F294" t="s">
        <v>1175</v>
      </c>
      <c r="G294">
        <v>3</v>
      </c>
      <c r="H294">
        <v>2040</v>
      </c>
      <c r="I294">
        <v>3</v>
      </c>
      <c r="J294">
        <v>18.5</v>
      </c>
      <c r="K294">
        <v>3</v>
      </c>
      <c r="L294">
        <v>0.77500000000000002</v>
      </c>
      <c r="M294">
        <v>3</v>
      </c>
      <c r="N294">
        <v>302.5</v>
      </c>
      <c r="O294">
        <v>3</v>
      </c>
      <c r="P294">
        <v>1.95</v>
      </c>
      <c r="Q294">
        <v>3</v>
      </c>
      <c r="R294">
        <v>0.10100000000000001</v>
      </c>
      <c r="T294" t="s">
        <v>1174</v>
      </c>
    </row>
    <row r="295" spans="1:20" x14ac:dyDescent="0.2">
      <c r="A295" t="s">
        <v>1176</v>
      </c>
      <c r="B295" t="s">
        <v>388</v>
      </c>
      <c r="C295" t="s">
        <v>388</v>
      </c>
      <c r="E295" t="s">
        <v>1177</v>
      </c>
      <c r="F295" t="s">
        <v>447</v>
      </c>
      <c r="G295">
        <v>2</v>
      </c>
      <c r="H295">
        <v>1830</v>
      </c>
      <c r="I295">
        <v>1</v>
      </c>
      <c r="J295">
        <v>8.5</v>
      </c>
      <c r="K295">
        <v>1</v>
      </c>
      <c r="L295">
        <v>0.27500000000000002</v>
      </c>
      <c r="M295">
        <v>2</v>
      </c>
      <c r="N295">
        <v>207.5</v>
      </c>
      <c r="O295">
        <v>2</v>
      </c>
      <c r="P295">
        <v>1.25</v>
      </c>
      <c r="Q295">
        <v>1</v>
      </c>
      <c r="R295">
        <v>2.5000000000000001E-2</v>
      </c>
      <c r="T295" t="s">
        <v>1177</v>
      </c>
    </row>
    <row r="296" spans="1:20" x14ac:dyDescent="0.2">
      <c r="A296" t="s">
        <v>1178</v>
      </c>
      <c r="B296" t="s">
        <v>388</v>
      </c>
      <c r="C296" t="s">
        <v>388</v>
      </c>
      <c r="E296" t="s">
        <v>1179</v>
      </c>
      <c r="F296" t="s">
        <v>1180</v>
      </c>
      <c r="G296">
        <v>4</v>
      </c>
      <c r="H296">
        <v>2250</v>
      </c>
      <c r="I296">
        <v>4</v>
      </c>
      <c r="J296">
        <v>23.5</v>
      </c>
      <c r="K296">
        <v>4</v>
      </c>
      <c r="L296">
        <v>1.0249999999999999</v>
      </c>
      <c r="M296">
        <v>4</v>
      </c>
      <c r="N296">
        <v>397.5</v>
      </c>
      <c r="O296">
        <v>4</v>
      </c>
      <c r="P296">
        <v>2.65</v>
      </c>
      <c r="Q296">
        <v>4</v>
      </c>
      <c r="R296">
        <v>0.13900000000000001</v>
      </c>
      <c r="T296" t="s">
        <v>1179</v>
      </c>
    </row>
    <row r="297" spans="1:20" x14ac:dyDescent="0.2">
      <c r="A297" t="s">
        <v>1181</v>
      </c>
      <c r="B297" t="s">
        <v>388</v>
      </c>
      <c r="C297" t="s">
        <v>388</v>
      </c>
      <c r="E297" t="s">
        <v>357</v>
      </c>
      <c r="F297" t="s">
        <v>1182</v>
      </c>
      <c r="G297">
        <v>5</v>
      </c>
      <c r="H297">
        <v>2460</v>
      </c>
      <c r="I297">
        <v>5</v>
      </c>
      <c r="J297">
        <v>28.5</v>
      </c>
      <c r="K297">
        <v>5</v>
      </c>
      <c r="L297">
        <v>1.2749999999999999</v>
      </c>
      <c r="M297">
        <v>5</v>
      </c>
      <c r="N297">
        <v>492.5</v>
      </c>
      <c r="O297">
        <v>5</v>
      </c>
      <c r="P297">
        <v>3.35</v>
      </c>
      <c r="Q297">
        <v>5</v>
      </c>
      <c r="R297">
        <v>0.17699999999999999</v>
      </c>
      <c r="T297" t="s">
        <v>357</v>
      </c>
    </row>
    <row r="298" spans="1:20" x14ac:dyDescent="0.2">
      <c r="A298" t="s">
        <v>1183</v>
      </c>
      <c r="B298" t="s">
        <v>388</v>
      </c>
      <c r="C298" t="s">
        <v>388</v>
      </c>
      <c r="E298" t="s">
        <v>1184</v>
      </c>
      <c r="F298" t="s">
        <v>1185</v>
      </c>
      <c r="G298">
        <v>2</v>
      </c>
      <c r="H298">
        <v>1830</v>
      </c>
      <c r="I298">
        <v>2</v>
      </c>
      <c r="J298">
        <v>13.5</v>
      </c>
      <c r="K298">
        <v>2</v>
      </c>
      <c r="L298">
        <v>0.52500000000000002</v>
      </c>
      <c r="M298">
        <v>2</v>
      </c>
      <c r="N298">
        <v>207.5</v>
      </c>
      <c r="O298">
        <v>2</v>
      </c>
      <c r="P298">
        <v>1.25</v>
      </c>
      <c r="Q298">
        <v>1</v>
      </c>
      <c r="R298">
        <v>2.5000000000000001E-2</v>
      </c>
      <c r="T298" t="s">
        <v>1184</v>
      </c>
    </row>
    <row r="299" spans="1:20" x14ac:dyDescent="0.2">
      <c r="A299" t="s">
        <v>1186</v>
      </c>
      <c r="B299" t="s">
        <v>388</v>
      </c>
      <c r="C299" t="s">
        <v>388</v>
      </c>
      <c r="E299" t="s">
        <v>1187</v>
      </c>
      <c r="F299" t="s">
        <v>1188</v>
      </c>
      <c r="G299">
        <v>4</v>
      </c>
      <c r="H299">
        <v>2250</v>
      </c>
      <c r="I299">
        <v>5</v>
      </c>
      <c r="J299">
        <v>28.5</v>
      </c>
      <c r="K299">
        <v>4</v>
      </c>
      <c r="L299">
        <v>1.0249999999999999</v>
      </c>
      <c r="M299">
        <v>4</v>
      </c>
      <c r="N299">
        <v>397.5</v>
      </c>
      <c r="O299">
        <v>4</v>
      </c>
      <c r="P299">
        <v>2.65</v>
      </c>
      <c r="Q299">
        <v>4</v>
      </c>
      <c r="R299">
        <v>0.13900000000000001</v>
      </c>
      <c r="T299" t="s">
        <v>1187</v>
      </c>
    </row>
    <row r="300" spans="1:20" x14ac:dyDescent="0.2">
      <c r="A300" t="s">
        <v>1189</v>
      </c>
      <c r="B300" t="s">
        <v>388</v>
      </c>
      <c r="C300" t="s">
        <v>388</v>
      </c>
      <c r="E300" t="s">
        <v>357</v>
      </c>
      <c r="F300" t="s">
        <v>447</v>
      </c>
      <c r="G300">
        <v>4</v>
      </c>
      <c r="H300">
        <v>2250</v>
      </c>
      <c r="I300">
        <v>3</v>
      </c>
      <c r="J300">
        <v>18.5</v>
      </c>
      <c r="K300">
        <v>4</v>
      </c>
      <c r="L300">
        <v>1.0249999999999999</v>
      </c>
      <c r="M300">
        <v>4</v>
      </c>
      <c r="N300">
        <v>397.5</v>
      </c>
      <c r="O300">
        <v>4</v>
      </c>
      <c r="P300">
        <v>2.65</v>
      </c>
      <c r="Q300">
        <v>5</v>
      </c>
      <c r="R300">
        <v>0.17699999999999999</v>
      </c>
      <c r="T300" t="s">
        <v>357</v>
      </c>
    </row>
    <row r="301" spans="1:20" x14ac:dyDescent="0.2">
      <c r="A301" t="s">
        <v>1190</v>
      </c>
      <c r="B301" t="s">
        <v>388</v>
      </c>
      <c r="C301" t="s">
        <v>388</v>
      </c>
      <c r="E301" t="s">
        <v>1191</v>
      </c>
      <c r="F301" t="s">
        <v>1192</v>
      </c>
      <c r="G301">
        <v>4</v>
      </c>
      <c r="H301">
        <v>2250</v>
      </c>
      <c r="I301">
        <v>5</v>
      </c>
      <c r="J301">
        <v>28.5</v>
      </c>
      <c r="K301">
        <v>4</v>
      </c>
      <c r="L301">
        <v>1.0249999999999999</v>
      </c>
      <c r="M301">
        <v>2</v>
      </c>
      <c r="N301">
        <v>207.5</v>
      </c>
      <c r="O301">
        <v>3</v>
      </c>
      <c r="P301">
        <v>1.95</v>
      </c>
      <c r="Q301">
        <v>3</v>
      </c>
      <c r="R301">
        <v>0.10100000000000001</v>
      </c>
      <c r="T301" t="s">
        <v>1191</v>
      </c>
    </row>
    <row r="302" spans="1:20" x14ac:dyDescent="0.2">
      <c r="A302" t="s">
        <v>1193</v>
      </c>
      <c r="B302" t="s">
        <v>388</v>
      </c>
      <c r="C302" t="s">
        <v>388</v>
      </c>
      <c r="E302" t="s">
        <v>1194</v>
      </c>
      <c r="F302" t="s">
        <v>447</v>
      </c>
      <c r="G302">
        <v>4</v>
      </c>
      <c r="H302">
        <v>2250</v>
      </c>
      <c r="I302">
        <v>4</v>
      </c>
      <c r="J302">
        <v>23.5</v>
      </c>
      <c r="K302">
        <v>3</v>
      </c>
      <c r="L302">
        <v>0.77500000000000002</v>
      </c>
      <c r="M302">
        <v>3</v>
      </c>
      <c r="N302">
        <v>302.5</v>
      </c>
      <c r="O302">
        <v>4</v>
      </c>
      <c r="P302">
        <v>2.65</v>
      </c>
      <c r="Q302">
        <v>4</v>
      </c>
      <c r="R302">
        <v>0.13900000000000001</v>
      </c>
      <c r="T302" t="s">
        <v>1194</v>
      </c>
    </row>
    <row r="303" spans="1:20" x14ac:dyDescent="0.2">
      <c r="A303" t="s">
        <v>1195</v>
      </c>
      <c r="B303" t="s">
        <v>388</v>
      </c>
      <c r="C303" t="s">
        <v>388</v>
      </c>
      <c r="E303" t="s">
        <v>1196</v>
      </c>
      <c r="F303" t="s">
        <v>1197</v>
      </c>
      <c r="G303">
        <v>4</v>
      </c>
      <c r="H303">
        <v>2250</v>
      </c>
      <c r="I303">
        <v>4</v>
      </c>
      <c r="J303">
        <v>23.5</v>
      </c>
      <c r="K303">
        <v>4</v>
      </c>
      <c r="L303">
        <v>1.0249999999999999</v>
      </c>
      <c r="M303">
        <v>4</v>
      </c>
      <c r="N303">
        <v>397.5</v>
      </c>
      <c r="O303">
        <v>4</v>
      </c>
      <c r="P303">
        <v>2.65</v>
      </c>
      <c r="Q303">
        <v>4</v>
      </c>
      <c r="R303">
        <v>0.13900000000000001</v>
      </c>
      <c r="T303" t="s">
        <v>1196</v>
      </c>
    </row>
    <row r="304" spans="1:20" x14ac:dyDescent="0.2">
      <c r="A304" t="s">
        <v>1198</v>
      </c>
      <c r="B304" t="s">
        <v>388</v>
      </c>
      <c r="C304" t="s">
        <v>388</v>
      </c>
      <c r="E304" t="s">
        <v>357</v>
      </c>
      <c r="F304" t="s">
        <v>1199</v>
      </c>
      <c r="G304">
        <v>4</v>
      </c>
      <c r="H304">
        <v>2250</v>
      </c>
      <c r="I304">
        <v>4</v>
      </c>
      <c r="J304">
        <v>23.5</v>
      </c>
      <c r="K304">
        <v>4</v>
      </c>
      <c r="L304">
        <v>1.0249999999999999</v>
      </c>
      <c r="M304">
        <v>4</v>
      </c>
      <c r="N304">
        <v>397.5</v>
      </c>
      <c r="O304">
        <v>4</v>
      </c>
      <c r="P304">
        <v>2.65</v>
      </c>
      <c r="Q304">
        <v>4</v>
      </c>
      <c r="R304">
        <v>0.13900000000000001</v>
      </c>
      <c r="T304" t="s">
        <v>357</v>
      </c>
    </row>
    <row r="305" spans="1:20" x14ac:dyDescent="0.2">
      <c r="A305" t="s">
        <v>1200</v>
      </c>
      <c r="B305" t="s">
        <v>388</v>
      </c>
      <c r="C305" t="s">
        <v>388</v>
      </c>
      <c r="E305" t="s">
        <v>1201</v>
      </c>
      <c r="F305" t="s">
        <v>1202</v>
      </c>
      <c r="G305">
        <v>1</v>
      </c>
      <c r="H305">
        <v>1620</v>
      </c>
      <c r="I305">
        <v>1</v>
      </c>
      <c r="J305">
        <v>8.5</v>
      </c>
      <c r="K305">
        <v>1</v>
      </c>
      <c r="L305">
        <v>0.27500000000000002</v>
      </c>
      <c r="M305">
        <v>1</v>
      </c>
      <c r="N305">
        <v>112.5</v>
      </c>
      <c r="O305">
        <v>1</v>
      </c>
      <c r="P305">
        <v>0.55000000000000004</v>
      </c>
      <c r="Q305">
        <v>1</v>
      </c>
      <c r="R305">
        <v>2.5000000000000001E-2</v>
      </c>
      <c r="T305" t="s">
        <v>1201</v>
      </c>
    </row>
    <row r="306" spans="1:20" x14ac:dyDescent="0.2">
      <c r="A306" t="s">
        <v>1203</v>
      </c>
      <c r="B306" t="s">
        <v>388</v>
      </c>
      <c r="C306" t="s">
        <v>388</v>
      </c>
      <c r="E306" t="s">
        <v>1204</v>
      </c>
      <c r="F306" t="s">
        <v>447</v>
      </c>
      <c r="G306">
        <v>4</v>
      </c>
      <c r="H306">
        <v>2250</v>
      </c>
      <c r="I306">
        <v>3</v>
      </c>
      <c r="J306">
        <v>18.5</v>
      </c>
      <c r="K306">
        <v>3</v>
      </c>
      <c r="L306">
        <v>0.77500000000000002</v>
      </c>
      <c r="M306">
        <v>3</v>
      </c>
      <c r="N306">
        <v>302.5</v>
      </c>
      <c r="O306">
        <v>3</v>
      </c>
      <c r="P306">
        <v>1.95</v>
      </c>
      <c r="Q306">
        <v>3</v>
      </c>
      <c r="R306">
        <v>0.10100000000000001</v>
      </c>
      <c r="T306" t="s">
        <v>1204</v>
      </c>
    </row>
    <row r="307" spans="1:20" x14ac:dyDescent="0.2">
      <c r="A307" t="s">
        <v>1205</v>
      </c>
      <c r="B307" t="s">
        <v>388</v>
      </c>
      <c r="C307" t="s">
        <v>388</v>
      </c>
      <c r="E307" t="s">
        <v>213</v>
      </c>
      <c r="F307" t="s">
        <v>1206</v>
      </c>
      <c r="G307">
        <v>5</v>
      </c>
      <c r="H307">
        <v>2460</v>
      </c>
      <c r="I307">
        <v>5</v>
      </c>
      <c r="J307">
        <v>28.5</v>
      </c>
      <c r="K307">
        <v>5</v>
      </c>
      <c r="L307">
        <v>1.2749999999999999</v>
      </c>
      <c r="M307">
        <v>5</v>
      </c>
      <c r="N307">
        <v>492.5</v>
      </c>
      <c r="O307">
        <v>5</v>
      </c>
      <c r="P307">
        <v>3.35</v>
      </c>
      <c r="Q307">
        <v>5</v>
      </c>
      <c r="R307">
        <v>0.17699999999999999</v>
      </c>
      <c r="T307" t="s">
        <v>213</v>
      </c>
    </row>
    <row r="308" spans="1:20" x14ac:dyDescent="0.2">
      <c r="A308" t="s">
        <v>1207</v>
      </c>
      <c r="B308" t="s">
        <v>388</v>
      </c>
      <c r="C308" t="s">
        <v>388</v>
      </c>
      <c r="E308" t="s">
        <v>213</v>
      </c>
      <c r="F308" t="s">
        <v>1208</v>
      </c>
      <c r="G308">
        <v>5</v>
      </c>
      <c r="H308">
        <v>2460</v>
      </c>
      <c r="I308">
        <v>5</v>
      </c>
      <c r="J308">
        <v>28.5</v>
      </c>
      <c r="K308">
        <v>5</v>
      </c>
      <c r="L308">
        <v>1.2749999999999999</v>
      </c>
      <c r="M308">
        <v>5</v>
      </c>
      <c r="N308">
        <v>492.5</v>
      </c>
      <c r="O308">
        <v>5</v>
      </c>
      <c r="P308">
        <v>3.35</v>
      </c>
      <c r="Q308">
        <v>5</v>
      </c>
      <c r="R308">
        <v>0.17699999999999999</v>
      </c>
      <c r="T308" t="s">
        <v>213</v>
      </c>
    </row>
    <row r="309" spans="1:20" x14ac:dyDescent="0.2">
      <c r="A309" t="s">
        <v>1209</v>
      </c>
      <c r="B309" t="s">
        <v>388</v>
      </c>
      <c r="C309" t="s">
        <v>388</v>
      </c>
      <c r="E309" t="s">
        <v>213</v>
      </c>
      <c r="F309" t="s">
        <v>1208</v>
      </c>
      <c r="G309">
        <v>5</v>
      </c>
      <c r="H309">
        <v>2460</v>
      </c>
      <c r="I309">
        <v>5</v>
      </c>
      <c r="J309">
        <v>28.5</v>
      </c>
      <c r="K309">
        <v>5</v>
      </c>
      <c r="L309">
        <v>1.2749999999999999</v>
      </c>
      <c r="M309">
        <v>5</v>
      </c>
      <c r="N309">
        <v>492.5</v>
      </c>
      <c r="O309">
        <v>5</v>
      </c>
      <c r="P309">
        <v>3.35</v>
      </c>
      <c r="Q309">
        <v>5</v>
      </c>
      <c r="R309">
        <v>0.17699999999999999</v>
      </c>
      <c r="T309" t="s">
        <v>213</v>
      </c>
    </row>
    <row r="310" spans="1:20" x14ac:dyDescent="0.2">
      <c r="A310" t="s">
        <v>1210</v>
      </c>
      <c r="B310" t="s">
        <v>388</v>
      </c>
      <c r="C310" t="s">
        <v>388</v>
      </c>
      <c r="E310" t="s">
        <v>213</v>
      </c>
      <c r="F310" t="s">
        <v>1208</v>
      </c>
      <c r="G310">
        <v>5</v>
      </c>
      <c r="H310">
        <v>2460</v>
      </c>
      <c r="I310">
        <v>5</v>
      </c>
      <c r="J310">
        <v>28.5</v>
      </c>
      <c r="K310">
        <v>5</v>
      </c>
      <c r="L310">
        <v>1.2749999999999999</v>
      </c>
      <c r="M310">
        <v>5</v>
      </c>
      <c r="N310">
        <v>492.5</v>
      </c>
      <c r="O310">
        <v>5</v>
      </c>
      <c r="P310">
        <v>3.35</v>
      </c>
      <c r="Q310">
        <v>5</v>
      </c>
      <c r="R310">
        <v>0.17699999999999999</v>
      </c>
      <c r="T310" t="s">
        <v>213</v>
      </c>
    </row>
    <row r="311" spans="1:20" x14ac:dyDescent="0.2">
      <c r="A311" t="s">
        <v>1211</v>
      </c>
      <c r="B311" t="s">
        <v>388</v>
      </c>
      <c r="C311" t="s">
        <v>388</v>
      </c>
      <c r="E311" t="s">
        <v>213</v>
      </c>
      <c r="F311" t="s">
        <v>1208</v>
      </c>
      <c r="G311">
        <v>5</v>
      </c>
      <c r="H311">
        <v>2460</v>
      </c>
      <c r="I311">
        <v>5</v>
      </c>
      <c r="J311">
        <v>28.5</v>
      </c>
      <c r="K311">
        <v>5</v>
      </c>
      <c r="L311">
        <v>1.2749999999999999</v>
      </c>
      <c r="M311">
        <v>5</v>
      </c>
      <c r="N311">
        <v>492.5</v>
      </c>
      <c r="O311">
        <v>5</v>
      </c>
      <c r="P311">
        <v>3.35</v>
      </c>
      <c r="Q311">
        <v>5</v>
      </c>
      <c r="R311">
        <v>0.17699999999999999</v>
      </c>
      <c r="T311" t="s">
        <v>213</v>
      </c>
    </row>
    <row r="312" spans="1:20" x14ac:dyDescent="0.2">
      <c r="A312" t="s">
        <v>1212</v>
      </c>
      <c r="B312" t="s">
        <v>388</v>
      </c>
      <c r="C312" t="s">
        <v>388</v>
      </c>
      <c r="E312" t="s">
        <v>1213</v>
      </c>
      <c r="F312" t="s">
        <v>1214</v>
      </c>
      <c r="G312">
        <v>2</v>
      </c>
      <c r="H312">
        <v>1830</v>
      </c>
      <c r="I312">
        <v>2</v>
      </c>
      <c r="J312">
        <v>13.5</v>
      </c>
      <c r="K312">
        <v>2</v>
      </c>
      <c r="L312">
        <v>0.52500000000000002</v>
      </c>
      <c r="M312">
        <v>3</v>
      </c>
      <c r="N312">
        <v>302.5</v>
      </c>
      <c r="O312">
        <v>3</v>
      </c>
      <c r="P312">
        <v>1.95</v>
      </c>
      <c r="Q312">
        <v>4</v>
      </c>
      <c r="R312">
        <v>0.13900000000000001</v>
      </c>
      <c r="T312" t="s">
        <v>1213</v>
      </c>
    </row>
    <row r="313" spans="1:20" x14ac:dyDescent="0.2">
      <c r="A313" t="s">
        <v>1215</v>
      </c>
      <c r="B313" t="s">
        <v>388</v>
      </c>
      <c r="C313" t="s">
        <v>388</v>
      </c>
      <c r="E313" t="s">
        <v>1216</v>
      </c>
      <c r="F313" t="s">
        <v>1217</v>
      </c>
      <c r="G313">
        <v>4</v>
      </c>
      <c r="H313">
        <v>2250</v>
      </c>
      <c r="I313">
        <v>4</v>
      </c>
      <c r="J313">
        <v>23.5</v>
      </c>
      <c r="K313">
        <v>4</v>
      </c>
      <c r="L313">
        <v>1.0249999999999999</v>
      </c>
      <c r="M313">
        <v>4</v>
      </c>
      <c r="N313">
        <v>397.5</v>
      </c>
      <c r="O313">
        <v>4</v>
      </c>
      <c r="P313">
        <v>2.65</v>
      </c>
      <c r="Q313">
        <v>4</v>
      </c>
      <c r="R313">
        <v>0.13900000000000001</v>
      </c>
      <c r="T313" t="s">
        <v>1216</v>
      </c>
    </row>
    <row r="314" spans="1:20" x14ac:dyDescent="0.2">
      <c r="A314" t="s">
        <v>1218</v>
      </c>
      <c r="B314" t="s">
        <v>388</v>
      </c>
      <c r="C314" t="s">
        <v>388</v>
      </c>
      <c r="E314" t="s">
        <v>1219</v>
      </c>
      <c r="F314" t="s">
        <v>1220</v>
      </c>
      <c r="G314">
        <v>5</v>
      </c>
      <c r="H314">
        <v>2460</v>
      </c>
      <c r="I314">
        <v>5</v>
      </c>
      <c r="J314">
        <v>28.5</v>
      </c>
      <c r="K314">
        <v>5</v>
      </c>
      <c r="L314">
        <v>1.2749999999999999</v>
      </c>
      <c r="M314">
        <v>5</v>
      </c>
      <c r="N314">
        <v>492.5</v>
      </c>
      <c r="O314">
        <v>5</v>
      </c>
      <c r="P314">
        <v>3.35</v>
      </c>
      <c r="Q314">
        <v>5</v>
      </c>
      <c r="R314">
        <v>0.17699999999999999</v>
      </c>
      <c r="T314" t="s">
        <v>1219</v>
      </c>
    </row>
    <row r="315" spans="1:20" x14ac:dyDescent="0.2">
      <c r="A315" t="s">
        <v>1221</v>
      </c>
      <c r="B315" t="s">
        <v>388</v>
      </c>
      <c r="C315" t="s">
        <v>388</v>
      </c>
      <c r="E315" t="s">
        <v>1222</v>
      </c>
      <c r="F315" t="s">
        <v>1223</v>
      </c>
      <c r="G315">
        <v>2</v>
      </c>
      <c r="H315">
        <v>1830</v>
      </c>
      <c r="I315">
        <v>2</v>
      </c>
      <c r="J315">
        <v>13.5</v>
      </c>
      <c r="K315">
        <v>2</v>
      </c>
      <c r="L315">
        <v>0.52500000000000002</v>
      </c>
      <c r="M315">
        <v>3</v>
      </c>
      <c r="N315">
        <v>302.5</v>
      </c>
      <c r="O315">
        <v>3</v>
      </c>
      <c r="P315">
        <v>1.95</v>
      </c>
      <c r="Q315">
        <v>3</v>
      </c>
      <c r="R315">
        <v>0.10100000000000001</v>
      </c>
      <c r="T315" t="s">
        <v>1222</v>
      </c>
    </row>
    <row r="316" spans="1:20" x14ac:dyDescent="0.2">
      <c r="A316" t="s">
        <v>1224</v>
      </c>
      <c r="B316" t="s">
        <v>388</v>
      </c>
      <c r="C316" t="s">
        <v>388</v>
      </c>
      <c r="E316" t="s">
        <v>1225</v>
      </c>
      <c r="F316" t="s">
        <v>1226</v>
      </c>
      <c r="G316">
        <v>5</v>
      </c>
      <c r="H316">
        <v>2460</v>
      </c>
      <c r="I316">
        <v>5</v>
      </c>
      <c r="J316">
        <v>28.5</v>
      </c>
      <c r="K316">
        <v>4</v>
      </c>
      <c r="L316">
        <v>1.0249999999999999</v>
      </c>
      <c r="M316">
        <v>5</v>
      </c>
      <c r="N316">
        <v>492.5</v>
      </c>
      <c r="O316">
        <v>5</v>
      </c>
      <c r="P316">
        <v>3.35</v>
      </c>
      <c r="Q316">
        <v>4</v>
      </c>
      <c r="R316">
        <v>0.13900000000000001</v>
      </c>
      <c r="T316" t="s">
        <v>1225</v>
      </c>
    </row>
    <row r="317" spans="1:20" x14ac:dyDescent="0.2">
      <c r="A317" t="s">
        <v>1227</v>
      </c>
      <c r="B317" t="s">
        <v>388</v>
      </c>
      <c r="C317" t="s">
        <v>388</v>
      </c>
      <c r="E317" t="s">
        <v>1228</v>
      </c>
      <c r="F317" t="s">
        <v>447</v>
      </c>
      <c r="G317">
        <v>1</v>
      </c>
      <c r="H317">
        <v>1620</v>
      </c>
      <c r="I317">
        <v>1</v>
      </c>
      <c r="J317">
        <v>8.5</v>
      </c>
      <c r="K317">
        <v>1</v>
      </c>
      <c r="L317">
        <v>0.27500000000000002</v>
      </c>
      <c r="M317">
        <v>1</v>
      </c>
      <c r="N317">
        <v>112.5</v>
      </c>
      <c r="O317">
        <v>1</v>
      </c>
      <c r="P317">
        <v>0.55000000000000004</v>
      </c>
      <c r="Q317">
        <v>1</v>
      </c>
      <c r="R317">
        <v>2.5000000000000001E-2</v>
      </c>
      <c r="T317" t="s">
        <v>1228</v>
      </c>
    </row>
    <row r="318" spans="1:20" x14ac:dyDescent="0.2">
      <c r="A318" t="s">
        <v>1229</v>
      </c>
      <c r="B318" t="s">
        <v>388</v>
      </c>
      <c r="C318" t="s">
        <v>388</v>
      </c>
      <c r="E318" t="s">
        <v>1230</v>
      </c>
      <c r="F318" t="s">
        <v>1231</v>
      </c>
      <c r="G318">
        <v>1</v>
      </c>
      <c r="H318">
        <v>1620</v>
      </c>
      <c r="I318">
        <v>1</v>
      </c>
      <c r="J318">
        <v>8.5</v>
      </c>
      <c r="K318">
        <v>1</v>
      </c>
      <c r="L318">
        <v>0.27500000000000002</v>
      </c>
      <c r="M318">
        <v>1</v>
      </c>
      <c r="N318">
        <v>112.5</v>
      </c>
      <c r="O318">
        <v>1</v>
      </c>
      <c r="P318">
        <v>0.55000000000000004</v>
      </c>
      <c r="Q318">
        <v>1</v>
      </c>
      <c r="R318">
        <v>2.5000000000000001E-2</v>
      </c>
      <c r="T318" t="s">
        <v>1230</v>
      </c>
    </row>
    <row r="319" spans="1:20" x14ac:dyDescent="0.2">
      <c r="A319" t="s">
        <v>1232</v>
      </c>
      <c r="B319" t="s">
        <v>388</v>
      </c>
      <c r="C319" t="s">
        <v>388</v>
      </c>
      <c r="E319" t="s">
        <v>1233</v>
      </c>
      <c r="F319" t="s">
        <v>1234</v>
      </c>
      <c r="G319">
        <v>1</v>
      </c>
      <c r="H319">
        <v>1620</v>
      </c>
      <c r="I319">
        <v>1</v>
      </c>
      <c r="J319">
        <v>8.5</v>
      </c>
      <c r="K319">
        <v>1</v>
      </c>
      <c r="L319">
        <v>0.27500000000000002</v>
      </c>
      <c r="M319">
        <v>1</v>
      </c>
      <c r="N319">
        <v>112.5</v>
      </c>
      <c r="O319">
        <v>1</v>
      </c>
      <c r="P319">
        <v>0.55000000000000004</v>
      </c>
      <c r="Q319">
        <v>1</v>
      </c>
      <c r="R319">
        <v>2.5000000000000001E-2</v>
      </c>
      <c r="T319" t="s">
        <v>1233</v>
      </c>
    </row>
    <row r="320" spans="1:20" x14ac:dyDescent="0.2">
      <c r="A320" t="s">
        <v>1235</v>
      </c>
      <c r="B320" t="s">
        <v>388</v>
      </c>
      <c r="C320" t="s">
        <v>388</v>
      </c>
      <c r="E320" t="s">
        <v>1236</v>
      </c>
      <c r="F320" t="s">
        <v>1237</v>
      </c>
      <c r="G320">
        <v>5</v>
      </c>
      <c r="H320">
        <v>2460</v>
      </c>
      <c r="I320">
        <v>5</v>
      </c>
      <c r="J320">
        <v>28.5</v>
      </c>
      <c r="K320">
        <v>4</v>
      </c>
      <c r="L320">
        <v>1.0249999999999999</v>
      </c>
      <c r="M320">
        <v>5</v>
      </c>
      <c r="N320">
        <v>492.5</v>
      </c>
      <c r="O320">
        <v>5</v>
      </c>
      <c r="P320">
        <v>3.35</v>
      </c>
      <c r="Q320">
        <v>4</v>
      </c>
      <c r="R320">
        <v>0.13900000000000001</v>
      </c>
      <c r="T320" t="s">
        <v>1236</v>
      </c>
    </row>
    <row r="321" spans="1:20" x14ac:dyDescent="0.2">
      <c r="A321" t="s">
        <v>1238</v>
      </c>
      <c r="B321" t="s">
        <v>388</v>
      </c>
      <c r="C321" t="s">
        <v>388</v>
      </c>
      <c r="E321" t="s">
        <v>1239</v>
      </c>
      <c r="F321" t="s">
        <v>1240</v>
      </c>
      <c r="G321">
        <v>5</v>
      </c>
      <c r="H321">
        <v>2460</v>
      </c>
      <c r="I321">
        <v>5</v>
      </c>
      <c r="J321">
        <v>28.5</v>
      </c>
      <c r="K321">
        <v>4</v>
      </c>
      <c r="L321">
        <v>1.0249999999999999</v>
      </c>
      <c r="M321">
        <v>5</v>
      </c>
      <c r="N321">
        <v>492.5</v>
      </c>
      <c r="O321">
        <v>5</v>
      </c>
      <c r="P321">
        <v>3.35</v>
      </c>
      <c r="Q321">
        <v>4</v>
      </c>
      <c r="R321">
        <v>0.13900000000000001</v>
      </c>
      <c r="T321" t="s">
        <v>1239</v>
      </c>
    </row>
    <row r="322" spans="1:20" x14ac:dyDescent="0.2">
      <c r="A322" t="s">
        <v>1241</v>
      </c>
      <c r="B322" t="s">
        <v>388</v>
      </c>
      <c r="C322" t="s">
        <v>388</v>
      </c>
      <c r="E322" t="s">
        <v>1242</v>
      </c>
      <c r="F322" t="s">
        <v>1243</v>
      </c>
      <c r="G322">
        <v>4</v>
      </c>
      <c r="H322">
        <v>2250</v>
      </c>
      <c r="I322">
        <v>4</v>
      </c>
      <c r="J322">
        <v>23.5</v>
      </c>
      <c r="K322">
        <v>4</v>
      </c>
      <c r="L322">
        <v>1.0249999999999999</v>
      </c>
      <c r="M322">
        <v>4</v>
      </c>
      <c r="N322">
        <v>397.5</v>
      </c>
      <c r="O322">
        <v>4</v>
      </c>
      <c r="P322">
        <v>2.65</v>
      </c>
      <c r="Q322">
        <v>4</v>
      </c>
      <c r="R322">
        <v>0.13900000000000001</v>
      </c>
      <c r="T322" t="s">
        <v>1242</v>
      </c>
    </row>
    <row r="323" spans="1:20" x14ac:dyDescent="0.2">
      <c r="A323" t="s">
        <v>1244</v>
      </c>
      <c r="B323" t="s">
        <v>388</v>
      </c>
      <c r="C323" t="s">
        <v>388</v>
      </c>
      <c r="E323" t="s">
        <v>1245</v>
      </c>
      <c r="F323" t="s">
        <v>1246</v>
      </c>
      <c r="G323">
        <v>5</v>
      </c>
      <c r="H323">
        <v>2460</v>
      </c>
      <c r="I323">
        <v>5</v>
      </c>
      <c r="J323">
        <v>28.5</v>
      </c>
      <c r="K323">
        <v>5</v>
      </c>
      <c r="L323">
        <v>1.2749999999999999</v>
      </c>
      <c r="M323">
        <v>5</v>
      </c>
      <c r="N323">
        <v>492.5</v>
      </c>
      <c r="O323">
        <v>5</v>
      </c>
      <c r="P323">
        <v>3.35</v>
      </c>
      <c r="Q323">
        <v>4</v>
      </c>
      <c r="R323">
        <v>0.13900000000000001</v>
      </c>
      <c r="T323" t="s">
        <v>1245</v>
      </c>
    </row>
    <row r="324" spans="1:20" x14ac:dyDescent="0.2">
      <c r="A324" t="s">
        <v>1247</v>
      </c>
      <c r="B324" t="s">
        <v>388</v>
      </c>
      <c r="C324" t="s">
        <v>388</v>
      </c>
      <c r="E324" t="s">
        <v>357</v>
      </c>
      <c r="F324" t="s">
        <v>447</v>
      </c>
      <c r="G324">
        <v>1</v>
      </c>
      <c r="H324">
        <v>1620</v>
      </c>
      <c r="I324">
        <v>1</v>
      </c>
      <c r="J324">
        <v>8.5</v>
      </c>
      <c r="K324">
        <v>1</v>
      </c>
      <c r="L324">
        <v>0.27500000000000002</v>
      </c>
      <c r="M324">
        <v>1</v>
      </c>
      <c r="N324">
        <v>112.5</v>
      </c>
      <c r="O324">
        <v>1</v>
      </c>
      <c r="P324">
        <v>0.55000000000000004</v>
      </c>
      <c r="Q324">
        <v>1</v>
      </c>
      <c r="R324">
        <v>2.5000000000000001E-2</v>
      </c>
      <c r="T324" t="s">
        <v>357</v>
      </c>
    </row>
    <row r="325" spans="1:20" x14ac:dyDescent="0.2">
      <c r="A325" t="s">
        <v>1248</v>
      </c>
      <c r="B325" t="s">
        <v>388</v>
      </c>
      <c r="C325" t="s">
        <v>388</v>
      </c>
      <c r="E325" t="s">
        <v>1249</v>
      </c>
      <c r="F325" t="s">
        <v>1250</v>
      </c>
      <c r="G325">
        <v>2</v>
      </c>
      <c r="H325">
        <v>1830</v>
      </c>
      <c r="I325">
        <v>2</v>
      </c>
      <c r="J325">
        <v>13.5</v>
      </c>
      <c r="K325">
        <v>2</v>
      </c>
      <c r="L325">
        <v>0.52500000000000002</v>
      </c>
      <c r="M325">
        <v>4</v>
      </c>
      <c r="N325">
        <v>397.5</v>
      </c>
      <c r="O325">
        <v>4</v>
      </c>
      <c r="P325">
        <v>2.65</v>
      </c>
      <c r="Q325">
        <v>3</v>
      </c>
      <c r="R325">
        <v>0.10100000000000001</v>
      </c>
      <c r="T325" t="s">
        <v>1249</v>
      </c>
    </row>
    <row r="326" spans="1:20" x14ac:dyDescent="0.2">
      <c r="A326" t="s">
        <v>1251</v>
      </c>
      <c r="B326" t="s">
        <v>388</v>
      </c>
      <c r="C326" t="s">
        <v>388</v>
      </c>
      <c r="E326" t="s">
        <v>1252</v>
      </c>
      <c r="F326" t="s">
        <v>1253</v>
      </c>
      <c r="G326">
        <v>4</v>
      </c>
      <c r="H326">
        <v>2250</v>
      </c>
      <c r="I326">
        <v>5</v>
      </c>
      <c r="J326">
        <v>28.5</v>
      </c>
      <c r="K326">
        <v>4</v>
      </c>
      <c r="L326">
        <v>1.0249999999999999</v>
      </c>
      <c r="M326">
        <v>4</v>
      </c>
      <c r="N326">
        <v>397.5</v>
      </c>
      <c r="O326">
        <v>4</v>
      </c>
      <c r="P326">
        <v>2.65</v>
      </c>
      <c r="Q326">
        <v>4</v>
      </c>
      <c r="R326">
        <v>0.13900000000000001</v>
      </c>
      <c r="T326" t="s">
        <v>1252</v>
      </c>
    </row>
    <row r="327" spans="1:20" x14ac:dyDescent="0.2">
      <c r="A327" t="s">
        <v>1254</v>
      </c>
      <c r="B327" t="s">
        <v>388</v>
      </c>
      <c r="C327" t="s">
        <v>388</v>
      </c>
      <c r="E327" t="s">
        <v>1255</v>
      </c>
      <c r="F327" t="s">
        <v>1256</v>
      </c>
      <c r="G327">
        <v>3</v>
      </c>
      <c r="H327">
        <v>2040</v>
      </c>
      <c r="I327">
        <v>3</v>
      </c>
      <c r="J327">
        <v>18.5</v>
      </c>
      <c r="K327">
        <v>3</v>
      </c>
      <c r="L327">
        <v>0.77500000000000002</v>
      </c>
      <c r="M327">
        <v>3</v>
      </c>
      <c r="N327">
        <v>302.5</v>
      </c>
      <c r="O327">
        <v>3</v>
      </c>
      <c r="P327">
        <v>1.95</v>
      </c>
      <c r="Q327">
        <v>3</v>
      </c>
      <c r="R327">
        <v>0.10100000000000001</v>
      </c>
      <c r="T327" t="s">
        <v>1255</v>
      </c>
    </row>
    <row r="328" spans="1:20" x14ac:dyDescent="0.2">
      <c r="A328" t="s">
        <v>1257</v>
      </c>
      <c r="B328" t="s">
        <v>388</v>
      </c>
      <c r="C328" t="s">
        <v>388</v>
      </c>
      <c r="E328" t="s">
        <v>1258</v>
      </c>
      <c r="F328" t="s">
        <v>1259</v>
      </c>
      <c r="G328">
        <v>5</v>
      </c>
      <c r="H328">
        <v>2460</v>
      </c>
      <c r="I328">
        <v>5</v>
      </c>
      <c r="J328">
        <v>28.5</v>
      </c>
      <c r="K328">
        <v>5</v>
      </c>
      <c r="L328">
        <v>1.2749999999999999</v>
      </c>
      <c r="M328">
        <v>5</v>
      </c>
      <c r="N328">
        <v>492.5</v>
      </c>
      <c r="O328">
        <v>5</v>
      </c>
      <c r="P328">
        <v>3.35</v>
      </c>
      <c r="Q328">
        <v>5</v>
      </c>
      <c r="R328">
        <v>0.17699999999999999</v>
      </c>
      <c r="T328" t="s">
        <v>1258</v>
      </c>
    </row>
    <row r="329" spans="1:20" x14ac:dyDescent="0.2">
      <c r="A329" t="s">
        <v>1260</v>
      </c>
      <c r="B329" t="s">
        <v>388</v>
      </c>
      <c r="C329" t="s">
        <v>388</v>
      </c>
      <c r="E329" t="s">
        <v>1261</v>
      </c>
      <c r="F329" t="s">
        <v>447</v>
      </c>
      <c r="G329">
        <v>5</v>
      </c>
      <c r="H329">
        <v>2460</v>
      </c>
      <c r="I329">
        <v>5</v>
      </c>
      <c r="J329">
        <v>28.5</v>
      </c>
      <c r="K329">
        <v>5</v>
      </c>
      <c r="L329">
        <v>1.2749999999999999</v>
      </c>
      <c r="M329">
        <v>5</v>
      </c>
      <c r="N329">
        <v>492.5</v>
      </c>
      <c r="O329">
        <v>5</v>
      </c>
      <c r="P329">
        <v>3.35</v>
      </c>
      <c r="Q329">
        <v>5</v>
      </c>
      <c r="R329">
        <v>0.17699999999999999</v>
      </c>
      <c r="T329" t="s">
        <v>1261</v>
      </c>
    </row>
    <row r="330" spans="1:20" x14ac:dyDescent="0.2">
      <c r="A330" t="s">
        <v>1262</v>
      </c>
      <c r="B330" t="s">
        <v>388</v>
      </c>
      <c r="C330" t="s">
        <v>388</v>
      </c>
      <c r="E330" t="s">
        <v>1263</v>
      </c>
      <c r="F330" t="s">
        <v>1264</v>
      </c>
      <c r="G330">
        <v>2</v>
      </c>
      <c r="H330">
        <v>1830</v>
      </c>
      <c r="I330">
        <v>2</v>
      </c>
      <c r="J330">
        <v>13.5</v>
      </c>
      <c r="K330">
        <v>2</v>
      </c>
      <c r="L330">
        <v>0.52500000000000002</v>
      </c>
      <c r="M330">
        <v>4</v>
      </c>
      <c r="N330">
        <v>397.5</v>
      </c>
      <c r="O330">
        <v>4</v>
      </c>
      <c r="P330">
        <v>2.65</v>
      </c>
      <c r="Q330">
        <v>5</v>
      </c>
      <c r="R330">
        <v>0.17699999999999999</v>
      </c>
      <c r="T330" t="s">
        <v>1263</v>
      </c>
    </row>
    <row r="331" spans="1:20" x14ac:dyDescent="0.2">
      <c r="A331" t="s">
        <v>1265</v>
      </c>
      <c r="B331" t="s">
        <v>388</v>
      </c>
      <c r="C331" t="s">
        <v>388</v>
      </c>
      <c r="E331" t="s">
        <v>1266</v>
      </c>
      <c r="F331" t="s">
        <v>1267</v>
      </c>
      <c r="G331">
        <v>1</v>
      </c>
      <c r="H331">
        <v>1620</v>
      </c>
      <c r="I331">
        <v>1</v>
      </c>
      <c r="J331">
        <v>8.5</v>
      </c>
      <c r="K331">
        <v>1</v>
      </c>
      <c r="L331">
        <v>0.27500000000000002</v>
      </c>
      <c r="M331">
        <v>3</v>
      </c>
      <c r="N331">
        <v>302.5</v>
      </c>
      <c r="O331">
        <v>3</v>
      </c>
      <c r="P331">
        <v>1.95</v>
      </c>
      <c r="Q331">
        <v>3</v>
      </c>
      <c r="R331">
        <v>0.10100000000000001</v>
      </c>
      <c r="T331" t="s">
        <v>1266</v>
      </c>
    </row>
    <row r="332" spans="1:20" x14ac:dyDescent="0.2">
      <c r="A332" t="s">
        <v>1268</v>
      </c>
      <c r="B332" t="s">
        <v>388</v>
      </c>
      <c r="C332" t="s">
        <v>388</v>
      </c>
      <c r="E332" t="s">
        <v>1269</v>
      </c>
      <c r="F332" t="s">
        <v>1270</v>
      </c>
      <c r="G332">
        <v>5</v>
      </c>
      <c r="H332">
        <v>2460</v>
      </c>
      <c r="I332">
        <v>4</v>
      </c>
      <c r="J332">
        <v>23.5</v>
      </c>
      <c r="K332">
        <v>4</v>
      </c>
      <c r="L332">
        <v>1.0249999999999999</v>
      </c>
      <c r="M332">
        <v>4</v>
      </c>
      <c r="N332">
        <v>397.5</v>
      </c>
      <c r="O332">
        <v>5</v>
      </c>
      <c r="P332">
        <v>3.35</v>
      </c>
      <c r="Q332">
        <v>5</v>
      </c>
      <c r="R332">
        <v>0.17699999999999999</v>
      </c>
      <c r="T332" t="s">
        <v>1269</v>
      </c>
    </row>
    <row r="333" spans="1:20" x14ac:dyDescent="0.2">
      <c r="A333" t="s">
        <v>1271</v>
      </c>
      <c r="B333" t="s">
        <v>388</v>
      </c>
      <c r="C333" t="s">
        <v>388</v>
      </c>
      <c r="E333" t="s">
        <v>1272</v>
      </c>
      <c r="F333" t="s">
        <v>1273</v>
      </c>
      <c r="G333">
        <v>5</v>
      </c>
      <c r="H333">
        <v>2460</v>
      </c>
      <c r="I333">
        <v>5</v>
      </c>
      <c r="J333">
        <v>28.5</v>
      </c>
      <c r="K333">
        <v>4</v>
      </c>
      <c r="L333">
        <v>1.0249999999999999</v>
      </c>
      <c r="M333">
        <v>5</v>
      </c>
      <c r="N333">
        <v>492.5</v>
      </c>
      <c r="O333">
        <v>5</v>
      </c>
      <c r="P333">
        <v>3.35</v>
      </c>
      <c r="Q333">
        <v>4</v>
      </c>
      <c r="R333">
        <v>0.13900000000000001</v>
      </c>
      <c r="T333" t="s">
        <v>1272</v>
      </c>
    </row>
    <row r="334" spans="1:20" x14ac:dyDescent="0.2">
      <c r="A334" t="s">
        <v>1274</v>
      </c>
      <c r="B334" t="s">
        <v>388</v>
      </c>
      <c r="C334" t="s">
        <v>388</v>
      </c>
      <c r="E334" t="s">
        <v>1275</v>
      </c>
      <c r="F334" t="s">
        <v>1276</v>
      </c>
      <c r="G334">
        <v>4</v>
      </c>
      <c r="H334">
        <v>2200</v>
      </c>
      <c r="I334">
        <v>4</v>
      </c>
      <c r="J334">
        <v>25.5</v>
      </c>
      <c r="K334">
        <v>4</v>
      </c>
      <c r="L334">
        <v>1</v>
      </c>
      <c r="M334">
        <v>3</v>
      </c>
      <c r="N334">
        <v>300</v>
      </c>
      <c r="O334">
        <v>3</v>
      </c>
      <c r="P334">
        <v>1.95</v>
      </c>
      <c r="Q334">
        <v>3</v>
      </c>
      <c r="R334">
        <v>0.11</v>
      </c>
      <c r="T334" t="s">
        <v>1275</v>
      </c>
    </row>
    <row r="335" spans="1:20" x14ac:dyDescent="0.2">
      <c r="A335" t="s">
        <v>1277</v>
      </c>
      <c r="B335" t="s">
        <v>388</v>
      </c>
      <c r="C335" t="s">
        <v>388</v>
      </c>
      <c r="E335" t="s">
        <v>1278</v>
      </c>
      <c r="F335" t="s">
        <v>447</v>
      </c>
      <c r="G335">
        <v>2</v>
      </c>
      <c r="H335">
        <v>1830</v>
      </c>
      <c r="I335">
        <v>1</v>
      </c>
      <c r="J335">
        <v>8.5</v>
      </c>
      <c r="K335">
        <v>1</v>
      </c>
      <c r="L335">
        <v>0.27500000000000002</v>
      </c>
      <c r="M335">
        <v>1</v>
      </c>
      <c r="N335">
        <v>112.5</v>
      </c>
      <c r="O335">
        <v>1</v>
      </c>
      <c r="P335">
        <v>0.55000000000000004</v>
      </c>
      <c r="Q335">
        <v>1</v>
      </c>
      <c r="R335">
        <v>2.5000000000000001E-2</v>
      </c>
      <c r="T335" t="s">
        <v>1278</v>
      </c>
    </row>
    <row r="336" spans="1:20" x14ac:dyDescent="0.2">
      <c r="A336" t="s">
        <v>1279</v>
      </c>
      <c r="B336" t="s">
        <v>388</v>
      </c>
      <c r="C336" t="s">
        <v>388</v>
      </c>
      <c r="E336" t="s">
        <v>1280</v>
      </c>
      <c r="F336" t="s">
        <v>1281</v>
      </c>
      <c r="G336">
        <v>4</v>
      </c>
      <c r="H336">
        <v>2250</v>
      </c>
      <c r="I336">
        <v>4</v>
      </c>
      <c r="J336">
        <v>23.5</v>
      </c>
      <c r="K336">
        <v>4</v>
      </c>
      <c r="L336">
        <v>1.0249999999999999</v>
      </c>
      <c r="M336">
        <v>4</v>
      </c>
      <c r="N336">
        <v>397.5</v>
      </c>
      <c r="O336">
        <v>4</v>
      </c>
      <c r="P336">
        <v>2.65</v>
      </c>
      <c r="Q336">
        <v>4</v>
      </c>
      <c r="R336">
        <v>0.13900000000000001</v>
      </c>
      <c r="T336" t="s">
        <v>1280</v>
      </c>
    </row>
    <row r="337" spans="1:20" x14ac:dyDescent="0.2">
      <c r="A337" t="s">
        <v>1282</v>
      </c>
      <c r="B337" t="s">
        <v>388</v>
      </c>
      <c r="C337" t="s">
        <v>388</v>
      </c>
      <c r="E337" t="s">
        <v>1283</v>
      </c>
      <c r="F337" t="s">
        <v>1284</v>
      </c>
      <c r="G337">
        <v>5</v>
      </c>
      <c r="H337">
        <v>2460</v>
      </c>
      <c r="I337">
        <v>4</v>
      </c>
      <c r="J337">
        <v>23.5</v>
      </c>
      <c r="K337">
        <v>4</v>
      </c>
      <c r="L337">
        <v>1.0249999999999999</v>
      </c>
      <c r="M337">
        <v>5</v>
      </c>
      <c r="N337">
        <v>492.5</v>
      </c>
      <c r="O337">
        <v>5</v>
      </c>
      <c r="P337">
        <v>3.35</v>
      </c>
      <c r="Q337">
        <v>5</v>
      </c>
      <c r="R337">
        <v>0.17699999999999999</v>
      </c>
      <c r="T337" t="s">
        <v>1283</v>
      </c>
    </row>
    <row r="338" spans="1:20" x14ac:dyDescent="0.2">
      <c r="A338" t="s">
        <v>1285</v>
      </c>
      <c r="B338" t="s">
        <v>388</v>
      </c>
      <c r="C338" t="s">
        <v>388</v>
      </c>
      <c r="E338" t="s">
        <v>1286</v>
      </c>
      <c r="F338" t="s">
        <v>1287</v>
      </c>
      <c r="G338">
        <v>4</v>
      </c>
      <c r="H338">
        <v>2250</v>
      </c>
      <c r="I338">
        <v>4</v>
      </c>
      <c r="J338">
        <v>23.5</v>
      </c>
      <c r="K338">
        <v>4</v>
      </c>
      <c r="L338">
        <v>1.0249999999999999</v>
      </c>
      <c r="M338">
        <v>4</v>
      </c>
      <c r="N338">
        <v>397.5</v>
      </c>
      <c r="O338">
        <v>4</v>
      </c>
      <c r="P338">
        <v>2.65</v>
      </c>
      <c r="Q338">
        <v>4</v>
      </c>
      <c r="R338">
        <v>0.13900000000000001</v>
      </c>
      <c r="T338" t="s">
        <v>1286</v>
      </c>
    </row>
    <row r="339" spans="1:20" x14ac:dyDescent="0.2">
      <c r="A339" t="s">
        <v>1288</v>
      </c>
      <c r="B339" t="s">
        <v>388</v>
      </c>
      <c r="C339" t="s">
        <v>388</v>
      </c>
      <c r="E339" t="s">
        <v>1289</v>
      </c>
      <c r="F339" t="s">
        <v>1290</v>
      </c>
      <c r="G339">
        <v>5</v>
      </c>
      <c r="H339">
        <v>2460</v>
      </c>
      <c r="I339">
        <v>4</v>
      </c>
      <c r="J339">
        <v>23.5</v>
      </c>
      <c r="K339">
        <v>5</v>
      </c>
      <c r="L339">
        <v>1.2749999999999999</v>
      </c>
      <c r="M339">
        <v>5</v>
      </c>
      <c r="N339">
        <v>492.5</v>
      </c>
      <c r="O339">
        <v>5</v>
      </c>
      <c r="P339">
        <v>3.35</v>
      </c>
      <c r="Q339">
        <v>5</v>
      </c>
      <c r="R339">
        <v>0.17699999999999999</v>
      </c>
      <c r="T339" t="s">
        <v>1289</v>
      </c>
    </row>
    <row r="340" spans="1:20" x14ac:dyDescent="0.2">
      <c r="A340" t="s">
        <v>1291</v>
      </c>
      <c r="B340" t="s">
        <v>388</v>
      </c>
      <c r="C340" t="s">
        <v>388</v>
      </c>
      <c r="E340" t="s">
        <v>357</v>
      </c>
      <c r="F340" t="s">
        <v>447</v>
      </c>
      <c r="G340">
        <v>2</v>
      </c>
      <c r="H340">
        <v>1830</v>
      </c>
      <c r="I340">
        <v>2</v>
      </c>
      <c r="J340">
        <v>13.5</v>
      </c>
      <c r="K340">
        <v>2</v>
      </c>
      <c r="L340">
        <v>0.52500000000000002</v>
      </c>
      <c r="M340">
        <v>5</v>
      </c>
      <c r="N340">
        <v>492.5</v>
      </c>
      <c r="O340">
        <v>5</v>
      </c>
      <c r="P340">
        <v>3.35</v>
      </c>
      <c r="Q340">
        <v>5</v>
      </c>
      <c r="R340">
        <v>0.17699999999999999</v>
      </c>
      <c r="T340" t="s">
        <v>357</v>
      </c>
    </row>
    <row r="341" spans="1:20" x14ac:dyDescent="0.2">
      <c r="A341" t="s">
        <v>1292</v>
      </c>
      <c r="B341" t="s">
        <v>388</v>
      </c>
      <c r="C341" t="s">
        <v>388</v>
      </c>
      <c r="E341" t="s">
        <v>1293</v>
      </c>
      <c r="F341" t="s">
        <v>1294</v>
      </c>
      <c r="G341">
        <v>4</v>
      </c>
      <c r="H341">
        <v>2250</v>
      </c>
      <c r="I341">
        <v>4</v>
      </c>
      <c r="J341">
        <v>23.5</v>
      </c>
      <c r="K341">
        <v>4</v>
      </c>
      <c r="L341">
        <v>1.0249999999999999</v>
      </c>
      <c r="M341">
        <v>4</v>
      </c>
      <c r="N341">
        <v>397.5</v>
      </c>
      <c r="O341">
        <v>4</v>
      </c>
      <c r="P341">
        <v>2.65</v>
      </c>
      <c r="Q341">
        <v>4</v>
      </c>
      <c r="R341">
        <v>0.13900000000000001</v>
      </c>
      <c r="T341" t="s">
        <v>1293</v>
      </c>
    </row>
    <row r="342" spans="1:20" x14ac:dyDescent="0.2">
      <c r="A342" t="s">
        <v>1295</v>
      </c>
      <c r="B342" t="s">
        <v>388</v>
      </c>
      <c r="C342" t="s">
        <v>388</v>
      </c>
      <c r="E342" t="s">
        <v>1296</v>
      </c>
      <c r="F342" t="s">
        <v>1297</v>
      </c>
      <c r="G342">
        <v>5</v>
      </c>
      <c r="H342">
        <v>2460</v>
      </c>
      <c r="I342">
        <v>5</v>
      </c>
      <c r="J342">
        <v>28.5</v>
      </c>
      <c r="K342">
        <v>4</v>
      </c>
      <c r="L342">
        <v>1.0249999999999999</v>
      </c>
      <c r="M342">
        <v>5</v>
      </c>
      <c r="N342">
        <v>492.5</v>
      </c>
      <c r="O342">
        <v>5</v>
      </c>
      <c r="P342">
        <v>3.35</v>
      </c>
      <c r="Q342">
        <v>4</v>
      </c>
      <c r="R342">
        <v>0.13900000000000001</v>
      </c>
      <c r="T342" t="s">
        <v>1296</v>
      </c>
    </row>
    <row r="343" spans="1:20" x14ac:dyDescent="0.2">
      <c r="A343" t="s">
        <v>1298</v>
      </c>
      <c r="B343" t="s">
        <v>388</v>
      </c>
      <c r="C343" t="s">
        <v>388</v>
      </c>
      <c r="E343" t="s">
        <v>357</v>
      </c>
      <c r="F343" t="s">
        <v>1299</v>
      </c>
      <c r="G343">
        <v>1</v>
      </c>
      <c r="H343">
        <v>1620</v>
      </c>
      <c r="I343">
        <v>1</v>
      </c>
      <c r="J343">
        <v>8.5</v>
      </c>
      <c r="K343">
        <v>1</v>
      </c>
      <c r="L343">
        <v>0.27500000000000002</v>
      </c>
      <c r="M343">
        <v>3</v>
      </c>
      <c r="N343">
        <v>302.5</v>
      </c>
      <c r="O343">
        <v>3</v>
      </c>
      <c r="P343">
        <v>1.95</v>
      </c>
      <c r="Q343">
        <v>4</v>
      </c>
      <c r="R343">
        <v>0.13900000000000001</v>
      </c>
      <c r="T343" t="s">
        <v>357</v>
      </c>
    </row>
    <row r="344" spans="1:20" x14ac:dyDescent="0.2">
      <c r="A344" t="s">
        <v>1300</v>
      </c>
      <c r="B344" t="s">
        <v>388</v>
      </c>
      <c r="C344" t="s">
        <v>388</v>
      </c>
      <c r="E344" t="s">
        <v>1301</v>
      </c>
      <c r="F344" t="s">
        <v>1302</v>
      </c>
      <c r="G344">
        <v>1</v>
      </c>
      <c r="H344">
        <v>1620</v>
      </c>
      <c r="I344">
        <v>1</v>
      </c>
      <c r="J344">
        <v>8.5</v>
      </c>
      <c r="K344">
        <v>2</v>
      </c>
      <c r="L344">
        <v>0.52500000000000002</v>
      </c>
      <c r="M344">
        <v>4</v>
      </c>
      <c r="N344">
        <v>397.5</v>
      </c>
      <c r="O344">
        <v>4</v>
      </c>
      <c r="P344">
        <v>2.65</v>
      </c>
      <c r="Q344">
        <v>4</v>
      </c>
      <c r="R344">
        <v>0.13900000000000001</v>
      </c>
      <c r="T344" t="s">
        <v>1301</v>
      </c>
    </row>
    <row r="345" spans="1:20" x14ac:dyDescent="0.2">
      <c r="A345" t="s">
        <v>1303</v>
      </c>
      <c r="B345" t="s">
        <v>388</v>
      </c>
      <c r="C345" t="s">
        <v>388</v>
      </c>
      <c r="E345" t="s">
        <v>1304</v>
      </c>
      <c r="F345" t="s">
        <v>447</v>
      </c>
      <c r="G345">
        <v>3</v>
      </c>
      <c r="H345">
        <v>2040</v>
      </c>
      <c r="I345">
        <v>3</v>
      </c>
      <c r="J345">
        <v>18.5</v>
      </c>
      <c r="K345">
        <v>2</v>
      </c>
      <c r="L345">
        <v>0.52500000000000002</v>
      </c>
      <c r="M345">
        <v>3</v>
      </c>
      <c r="N345">
        <v>302.5</v>
      </c>
      <c r="O345">
        <v>3</v>
      </c>
      <c r="P345">
        <v>1.95</v>
      </c>
      <c r="Q345">
        <v>3</v>
      </c>
      <c r="R345">
        <v>0.10100000000000001</v>
      </c>
      <c r="T345" t="s">
        <v>1304</v>
      </c>
    </row>
    <row r="346" spans="1:20" x14ac:dyDescent="0.2">
      <c r="A346" t="s">
        <v>1305</v>
      </c>
      <c r="B346" t="s">
        <v>388</v>
      </c>
      <c r="C346" t="s">
        <v>388</v>
      </c>
      <c r="E346" t="s">
        <v>357</v>
      </c>
      <c r="F346" t="s">
        <v>1306</v>
      </c>
      <c r="G346">
        <v>4</v>
      </c>
      <c r="H346">
        <v>2250</v>
      </c>
      <c r="I346">
        <v>4</v>
      </c>
      <c r="J346">
        <v>23.5</v>
      </c>
      <c r="K346">
        <v>4</v>
      </c>
      <c r="L346">
        <v>1.0249999999999999</v>
      </c>
      <c r="M346">
        <v>4</v>
      </c>
      <c r="N346">
        <v>397.5</v>
      </c>
      <c r="O346">
        <v>4</v>
      </c>
      <c r="P346">
        <v>2.65</v>
      </c>
      <c r="Q346">
        <v>4</v>
      </c>
      <c r="R346">
        <v>0.13900000000000001</v>
      </c>
      <c r="T346" t="s">
        <v>357</v>
      </c>
    </row>
    <row r="347" spans="1:20" x14ac:dyDescent="0.2">
      <c r="A347" t="s">
        <v>1307</v>
      </c>
      <c r="B347" t="s">
        <v>388</v>
      </c>
      <c r="C347" t="s">
        <v>388</v>
      </c>
      <c r="E347" t="s">
        <v>1308</v>
      </c>
      <c r="F347" t="s">
        <v>1309</v>
      </c>
      <c r="G347">
        <v>5</v>
      </c>
      <c r="H347">
        <v>2460</v>
      </c>
      <c r="I347">
        <v>5</v>
      </c>
      <c r="J347">
        <v>28.5</v>
      </c>
      <c r="K347">
        <v>4</v>
      </c>
      <c r="L347">
        <v>1.0249999999999999</v>
      </c>
      <c r="M347">
        <v>4</v>
      </c>
      <c r="N347">
        <v>397.5</v>
      </c>
      <c r="O347">
        <v>5</v>
      </c>
      <c r="P347">
        <v>3.35</v>
      </c>
      <c r="Q347">
        <v>4</v>
      </c>
      <c r="R347">
        <v>0.13900000000000001</v>
      </c>
      <c r="T347" t="s">
        <v>1308</v>
      </c>
    </row>
    <row r="348" spans="1:20" x14ac:dyDescent="0.2">
      <c r="A348" t="s">
        <v>1310</v>
      </c>
      <c r="B348" t="s">
        <v>388</v>
      </c>
      <c r="C348" t="s">
        <v>388</v>
      </c>
      <c r="E348" t="s">
        <v>1311</v>
      </c>
      <c r="F348" t="s">
        <v>1312</v>
      </c>
      <c r="G348">
        <v>1</v>
      </c>
      <c r="H348">
        <v>1620</v>
      </c>
      <c r="I348">
        <v>4</v>
      </c>
      <c r="J348">
        <v>23.5</v>
      </c>
      <c r="K348">
        <v>3</v>
      </c>
      <c r="L348">
        <v>0.77500000000000002</v>
      </c>
      <c r="M348">
        <v>1</v>
      </c>
      <c r="N348">
        <v>112.5</v>
      </c>
      <c r="O348">
        <v>1</v>
      </c>
      <c r="P348">
        <v>0.55000000000000004</v>
      </c>
      <c r="Q348">
        <v>1</v>
      </c>
      <c r="R348">
        <v>2.5000000000000001E-2</v>
      </c>
      <c r="T348" t="s">
        <v>1311</v>
      </c>
    </row>
    <row r="349" spans="1:20" x14ac:dyDescent="0.2">
      <c r="A349" t="s">
        <v>1313</v>
      </c>
      <c r="B349" t="s">
        <v>388</v>
      </c>
      <c r="C349" t="s">
        <v>388</v>
      </c>
      <c r="E349" t="s">
        <v>218</v>
      </c>
      <c r="F349" t="s">
        <v>1314</v>
      </c>
      <c r="G349">
        <v>5</v>
      </c>
      <c r="H349">
        <v>2460</v>
      </c>
      <c r="I349">
        <v>5</v>
      </c>
      <c r="J349">
        <v>28.5</v>
      </c>
      <c r="K349">
        <v>5</v>
      </c>
      <c r="L349">
        <v>1.2749999999999999</v>
      </c>
      <c r="M349">
        <v>5</v>
      </c>
      <c r="N349">
        <v>492.5</v>
      </c>
      <c r="O349">
        <v>5</v>
      </c>
      <c r="P349">
        <v>3.35</v>
      </c>
      <c r="Q349">
        <v>5</v>
      </c>
      <c r="R349">
        <v>0.17699999999999999</v>
      </c>
      <c r="T349" t="s">
        <v>218</v>
      </c>
    </row>
    <row r="350" spans="1:20" x14ac:dyDescent="0.2">
      <c r="A350" t="s">
        <v>1315</v>
      </c>
      <c r="B350" t="s">
        <v>388</v>
      </c>
      <c r="C350" t="s">
        <v>388</v>
      </c>
      <c r="E350" t="s">
        <v>1316</v>
      </c>
      <c r="F350" t="s">
        <v>1317</v>
      </c>
      <c r="G350">
        <v>5</v>
      </c>
      <c r="H350">
        <v>2460</v>
      </c>
      <c r="I350">
        <v>4</v>
      </c>
      <c r="J350">
        <v>23.5</v>
      </c>
      <c r="K350">
        <v>5</v>
      </c>
      <c r="L350">
        <v>1.2749999999999999</v>
      </c>
      <c r="M350">
        <v>5</v>
      </c>
      <c r="N350">
        <v>492.5</v>
      </c>
      <c r="O350">
        <v>5</v>
      </c>
      <c r="P350">
        <v>3.35</v>
      </c>
      <c r="Q350">
        <v>5</v>
      </c>
      <c r="R350">
        <v>0.17699999999999999</v>
      </c>
      <c r="T350" t="s">
        <v>1316</v>
      </c>
    </row>
    <row r="351" spans="1:20" x14ac:dyDescent="0.2">
      <c r="A351" t="s">
        <v>1318</v>
      </c>
      <c r="B351" t="s">
        <v>388</v>
      </c>
      <c r="C351" t="s">
        <v>388</v>
      </c>
      <c r="E351" t="s">
        <v>1319</v>
      </c>
      <c r="F351" t="s">
        <v>1320</v>
      </c>
      <c r="G351">
        <v>3</v>
      </c>
      <c r="H351">
        <v>2040</v>
      </c>
      <c r="I351">
        <v>2</v>
      </c>
      <c r="J351">
        <v>13.5</v>
      </c>
      <c r="K351">
        <v>2</v>
      </c>
      <c r="L351">
        <v>0.52500000000000002</v>
      </c>
      <c r="M351">
        <v>3</v>
      </c>
      <c r="N351">
        <v>302.5</v>
      </c>
      <c r="O351">
        <v>3</v>
      </c>
      <c r="P351">
        <v>1.95</v>
      </c>
      <c r="Q351">
        <v>4</v>
      </c>
      <c r="R351">
        <v>0.13900000000000001</v>
      </c>
      <c r="T351" t="s">
        <v>1319</v>
      </c>
    </row>
    <row r="352" spans="1:20" x14ac:dyDescent="0.2">
      <c r="A352" t="s">
        <v>1321</v>
      </c>
      <c r="B352" t="s">
        <v>388</v>
      </c>
      <c r="C352" t="s">
        <v>388</v>
      </c>
      <c r="E352" t="s">
        <v>1322</v>
      </c>
      <c r="F352" t="s">
        <v>1323</v>
      </c>
      <c r="G352">
        <v>5</v>
      </c>
      <c r="H352">
        <v>2460</v>
      </c>
      <c r="I352">
        <v>5</v>
      </c>
      <c r="J352">
        <v>28.5</v>
      </c>
      <c r="K352">
        <v>5</v>
      </c>
      <c r="L352">
        <v>1.2749999999999999</v>
      </c>
      <c r="M352">
        <v>5</v>
      </c>
      <c r="N352">
        <v>492.5</v>
      </c>
      <c r="O352">
        <v>5</v>
      </c>
      <c r="P352">
        <v>3.35</v>
      </c>
      <c r="Q352">
        <v>4</v>
      </c>
      <c r="R352">
        <v>0.13900000000000001</v>
      </c>
      <c r="T352" t="s">
        <v>1322</v>
      </c>
    </row>
    <row r="353" spans="1:20" x14ac:dyDescent="0.2">
      <c r="A353" t="s">
        <v>1324</v>
      </c>
      <c r="B353" t="s">
        <v>388</v>
      </c>
      <c r="C353" t="s">
        <v>388</v>
      </c>
      <c r="E353" t="s">
        <v>1325</v>
      </c>
      <c r="F353" t="s">
        <v>447</v>
      </c>
      <c r="G353">
        <v>5</v>
      </c>
      <c r="H353">
        <v>2460</v>
      </c>
      <c r="I353">
        <v>5</v>
      </c>
      <c r="J353">
        <v>28.5</v>
      </c>
      <c r="K353">
        <v>4</v>
      </c>
      <c r="L353">
        <v>1.0249999999999999</v>
      </c>
      <c r="M353">
        <v>4</v>
      </c>
      <c r="N353">
        <v>397.5</v>
      </c>
      <c r="O353">
        <v>4</v>
      </c>
      <c r="P353">
        <v>2.65</v>
      </c>
      <c r="Q353">
        <v>4</v>
      </c>
      <c r="R353">
        <v>0.13900000000000001</v>
      </c>
      <c r="T353" t="s">
        <v>1325</v>
      </c>
    </row>
    <row r="354" spans="1:20" x14ac:dyDescent="0.2">
      <c r="A354" t="s">
        <v>1326</v>
      </c>
      <c r="B354" t="s">
        <v>388</v>
      </c>
      <c r="C354" t="s">
        <v>388</v>
      </c>
      <c r="E354" t="s">
        <v>1327</v>
      </c>
      <c r="F354" t="s">
        <v>1328</v>
      </c>
      <c r="G354">
        <v>1</v>
      </c>
      <c r="H354">
        <v>1620</v>
      </c>
      <c r="I354">
        <v>1</v>
      </c>
      <c r="J354">
        <v>8.5</v>
      </c>
      <c r="K354">
        <v>1</v>
      </c>
      <c r="L354">
        <v>0.27500000000000002</v>
      </c>
      <c r="M354">
        <v>1</v>
      </c>
      <c r="N354">
        <v>112.5</v>
      </c>
      <c r="O354">
        <v>1</v>
      </c>
      <c r="P354">
        <v>0.55000000000000004</v>
      </c>
      <c r="Q354">
        <v>1</v>
      </c>
      <c r="R354">
        <v>2.5000000000000001E-2</v>
      </c>
      <c r="T354" t="s">
        <v>1327</v>
      </c>
    </row>
    <row r="355" spans="1:20" x14ac:dyDescent="0.2">
      <c r="A355" t="s">
        <v>1329</v>
      </c>
      <c r="B355" t="s">
        <v>388</v>
      </c>
      <c r="C355" t="s">
        <v>388</v>
      </c>
      <c r="E355" t="s">
        <v>1330</v>
      </c>
      <c r="F355" t="s">
        <v>1331</v>
      </c>
      <c r="G355">
        <v>1</v>
      </c>
      <c r="H355">
        <v>1620</v>
      </c>
      <c r="I355">
        <v>1</v>
      </c>
      <c r="J355">
        <v>8.5</v>
      </c>
      <c r="K355">
        <v>1</v>
      </c>
      <c r="L355">
        <v>0.27500000000000002</v>
      </c>
      <c r="M355">
        <v>1</v>
      </c>
      <c r="N355">
        <v>112.5</v>
      </c>
      <c r="O355">
        <v>1</v>
      </c>
      <c r="P355">
        <v>0.55000000000000004</v>
      </c>
      <c r="Q355">
        <v>1</v>
      </c>
      <c r="R355">
        <v>2.5000000000000001E-2</v>
      </c>
      <c r="T355" t="s">
        <v>1330</v>
      </c>
    </row>
    <row r="356" spans="1:20" x14ac:dyDescent="0.2">
      <c r="A356" t="s">
        <v>1332</v>
      </c>
      <c r="B356" t="s">
        <v>388</v>
      </c>
      <c r="C356" t="s">
        <v>388</v>
      </c>
      <c r="E356" t="s">
        <v>1333</v>
      </c>
      <c r="F356" t="s">
        <v>1334</v>
      </c>
      <c r="G356">
        <v>1</v>
      </c>
      <c r="H356">
        <v>1620</v>
      </c>
      <c r="I356">
        <v>1</v>
      </c>
      <c r="J356">
        <v>8.5</v>
      </c>
      <c r="K356">
        <v>1</v>
      </c>
      <c r="L356">
        <v>0.27500000000000002</v>
      </c>
      <c r="M356">
        <v>1</v>
      </c>
      <c r="N356">
        <v>112.5</v>
      </c>
      <c r="O356">
        <v>1</v>
      </c>
      <c r="P356">
        <v>0.55000000000000004</v>
      </c>
      <c r="Q356">
        <v>1</v>
      </c>
      <c r="R356">
        <v>2.5000000000000001E-2</v>
      </c>
      <c r="T356" t="s">
        <v>1333</v>
      </c>
    </row>
    <row r="357" spans="1:20" x14ac:dyDescent="0.2">
      <c r="A357" t="s">
        <v>1335</v>
      </c>
      <c r="B357" t="s">
        <v>388</v>
      </c>
      <c r="C357" t="s">
        <v>388</v>
      </c>
      <c r="E357" t="s">
        <v>1336</v>
      </c>
      <c r="F357" t="s">
        <v>1337</v>
      </c>
      <c r="G357">
        <v>2</v>
      </c>
      <c r="H357">
        <v>1830</v>
      </c>
      <c r="I357">
        <v>1</v>
      </c>
      <c r="J357">
        <v>8.5</v>
      </c>
      <c r="K357">
        <v>1</v>
      </c>
      <c r="L357">
        <v>0.27500000000000002</v>
      </c>
      <c r="M357">
        <v>3</v>
      </c>
      <c r="N357">
        <v>302.5</v>
      </c>
      <c r="O357">
        <v>3</v>
      </c>
      <c r="P357">
        <v>1.95</v>
      </c>
      <c r="Q357">
        <v>3</v>
      </c>
      <c r="R357">
        <v>0.10100000000000001</v>
      </c>
      <c r="T357" t="s">
        <v>1336</v>
      </c>
    </row>
    <row r="358" spans="1:20" x14ac:dyDescent="0.2">
      <c r="A358" t="s">
        <v>1338</v>
      </c>
      <c r="B358" t="s">
        <v>388</v>
      </c>
      <c r="C358" t="s">
        <v>388</v>
      </c>
      <c r="E358" t="s">
        <v>1339</v>
      </c>
      <c r="F358" t="s">
        <v>1340</v>
      </c>
      <c r="G358">
        <v>2</v>
      </c>
      <c r="H358">
        <v>1830</v>
      </c>
      <c r="I358">
        <v>2</v>
      </c>
      <c r="J358">
        <v>13.5</v>
      </c>
      <c r="K358">
        <v>2</v>
      </c>
      <c r="L358">
        <v>0.52500000000000002</v>
      </c>
      <c r="M358">
        <v>2</v>
      </c>
      <c r="N358">
        <v>207.5</v>
      </c>
      <c r="O358">
        <v>2</v>
      </c>
      <c r="P358">
        <v>1.25</v>
      </c>
      <c r="Q358">
        <v>2</v>
      </c>
      <c r="R358">
        <v>6.3E-2</v>
      </c>
      <c r="T358" t="s">
        <v>1339</v>
      </c>
    </row>
    <row r="359" spans="1:20" x14ac:dyDescent="0.2">
      <c r="A359" t="s">
        <v>1341</v>
      </c>
      <c r="B359" t="s">
        <v>388</v>
      </c>
      <c r="C359" t="s">
        <v>388</v>
      </c>
      <c r="E359" t="s">
        <v>1342</v>
      </c>
      <c r="F359" t="s">
        <v>1343</v>
      </c>
      <c r="G359">
        <v>3</v>
      </c>
      <c r="H359">
        <v>2040</v>
      </c>
      <c r="I359">
        <v>2</v>
      </c>
      <c r="J359">
        <v>13.5</v>
      </c>
      <c r="K359">
        <v>2</v>
      </c>
      <c r="L359">
        <v>0.52500000000000002</v>
      </c>
      <c r="M359">
        <v>3</v>
      </c>
      <c r="N359">
        <v>302.5</v>
      </c>
      <c r="O359">
        <v>3</v>
      </c>
      <c r="P359">
        <v>1.95</v>
      </c>
      <c r="Q359">
        <v>3</v>
      </c>
      <c r="R359">
        <v>0.10100000000000001</v>
      </c>
      <c r="T359" t="s">
        <v>1342</v>
      </c>
    </row>
    <row r="360" spans="1:20" x14ac:dyDescent="0.2">
      <c r="A360" t="s">
        <v>1344</v>
      </c>
      <c r="B360" t="s">
        <v>388</v>
      </c>
      <c r="C360" t="s">
        <v>388</v>
      </c>
      <c r="E360" t="s">
        <v>1345</v>
      </c>
      <c r="F360" t="s">
        <v>447</v>
      </c>
      <c r="G360">
        <v>3</v>
      </c>
      <c r="H360">
        <v>2040</v>
      </c>
      <c r="I360">
        <v>3</v>
      </c>
      <c r="J360">
        <v>18.5</v>
      </c>
      <c r="K360">
        <v>3</v>
      </c>
      <c r="L360">
        <v>0.77500000000000002</v>
      </c>
      <c r="M360">
        <v>5</v>
      </c>
      <c r="N360">
        <v>492.5</v>
      </c>
      <c r="O360">
        <v>5</v>
      </c>
      <c r="P360">
        <v>3.35</v>
      </c>
      <c r="Q360">
        <v>4</v>
      </c>
      <c r="R360">
        <v>0.13900000000000001</v>
      </c>
      <c r="T360" t="s">
        <v>1345</v>
      </c>
    </row>
    <row r="361" spans="1:20" x14ac:dyDescent="0.2">
      <c r="A361" t="s">
        <v>1346</v>
      </c>
      <c r="B361" t="s">
        <v>388</v>
      </c>
      <c r="C361" t="s">
        <v>388</v>
      </c>
      <c r="E361" t="s">
        <v>1347</v>
      </c>
      <c r="F361" t="s">
        <v>1348</v>
      </c>
      <c r="G361">
        <v>5</v>
      </c>
      <c r="H361">
        <v>2460</v>
      </c>
      <c r="I361">
        <v>5</v>
      </c>
      <c r="J361">
        <v>28.5</v>
      </c>
      <c r="K361">
        <v>4</v>
      </c>
      <c r="L361">
        <v>1.0249999999999999</v>
      </c>
      <c r="M361">
        <v>4</v>
      </c>
      <c r="N361">
        <v>397.5</v>
      </c>
      <c r="O361">
        <v>5</v>
      </c>
      <c r="P361">
        <v>3.35</v>
      </c>
      <c r="Q361">
        <v>4</v>
      </c>
      <c r="R361">
        <v>0.13900000000000001</v>
      </c>
      <c r="T361" t="s">
        <v>1347</v>
      </c>
    </row>
    <row r="362" spans="1:20" x14ac:dyDescent="0.2">
      <c r="A362" t="s">
        <v>1349</v>
      </c>
      <c r="B362" t="s">
        <v>388</v>
      </c>
      <c r="C362" t="s">
        <v>388</v>
      </c>
      <c r="E362" t="s">
        <v>1350</v>
      </c>
      <c r="F362" t="s">
        <v>1351</v>
      </c>
      <c r="G362">
        <v>5</v>
      </c>
      <c r="H362">
        <v>2460</v>
      </c>
      <c r="I362">
        <v>5</v>
      </c>
      <c r="J362">
        <v>28.5</v>
      </c>
      <c r="K362">
        <v>5</v>
      </c>
      <c r="L362">
        <v>1.2749999999999999</v>
      </c>
      <c r="M362">
        <v>5</v>
      </c>
      <c r="N362">
        <v>492.5</v>
      </c>
      <c r="O362">
        <v>5</v>
      </c>
      <c r="P362">
        <v>3.35</v>
      </c>
      <c r="Q362">
        <v>4</v>
      </c>
      <c r="R362">
        <v>0.13900000000000001</v>
      </c>
      <c r="T362" t="s">
        <v>1350</v>
      </c>
    </row>
    <row r="363" spans="1:20" x14ac:dyDescent="0.2">
      <c r="A363" t="s">
        <v>1352</v>
      </c>
      <c r="B363" t="s">
        <v>388</v>
      </c>
      <c r="C363" t="s">
        <v>388</v>
      </c>
      <c r="E363" t="s">
        <v>1353</v>
      </c>
      <c r="F363" t="s">
        <v>447</v>
      </c>
      <c r="G363">
        <v>4</v>
      </c>
      <c r="H363">
        <v>2250</v>
      </c>
      <c r="I363">
        <v>5</v>
      </c>
      <c r="J363">
        <v>28.5</v>
      </c>
      <c r="K363">
        <v>4</v>
      </c>
      <c r="L363">
        <v>1.0249999999999999</v>
      </c>
      <c r="M363">
        <v>4</v>
      </c>
      <c r="N363">
        <v>397.5</v>
      </c>
      <c r="O363">
        <v>4</v>
      </c>
      <c r="P363">
        <v>2.65</v>
      </c>
      <c r="Q363">
        <v>4</v>
      </c>
      <c r="R363">
        <v>0.13900000000000001</v>
      </c>
      <c r="T363" t="s">
        <v>1353</v>
      </c>
    </row>
    <row r="364" spans="1:20" x14ac:dyDescent="0.2">
      <c r="A364" t="s">
        <v>1354</v>
      </c>
      <c r="B364" t="s">
        <v>388</v>
      </c>
      <c r="C364" t="s">
        <v>388</v>
      </c>
      <c r="E364" t="s">
        <v>1355</v>
      </c>
      <c r="F364" t="s">
        <v>1356</v>
      </c>
      <c r="G364">
        <v>4</v>
      </c>
      <c r="H364">
        <v>2250</v>
      </c>
      <c r="I364">
        <v>5</v>
      </c>
      <c r="J364">
        <v>28.5</v>
      </c>
      <c r="K364">
        <v>4</v>
      </c>
      <c r="L364">
        <v>1.0249999999999999</v>
      </c>
      <c r="M364">
        <v>4</v>
      </c>
      <c r="N364">
        <v>397.5</v>
      </c>
      <c r="O364">
        <v>4</v>
      </c>
      <c r="P364">
        <v>2.65</v>
      </c>
      <c r="Q364">
        <v>4</v>
      </c>
      <c r="R364">
        <v>0.13900000000000001</v>
      </c>
      <c r="T364" t="s">
        <v>1355</v>
      </c>
    </row>
    <row r="365" spans="1:20" x14ac:dyDescent="0.2">
      <c r="A365" t="s">
        <v>1357</v>
      </c>
      <c r="B365" t="s">
        <v>388</v>
      </c>
      <c r="C365" t="s">
        <v>388</v>
      </c>
      <c r="E365" t="s">
        <v>1358</v>
      </c>
      <c r="F365" t="s">
        <v>1356</v>
      </c>
      <c r="G365">
        <v>1</v>
      </c>
      <c r="H365">
        <v>1620</v>
      </c>
      <c r="I365">
        <v>1</v>
      </c>
      <c r="J365">
        <v>8.5</v>
      </c>
      <c r="K365">
        <v>1</v>
      </c>
      <c r="L365">
        <v>0.27500000000000002</v>
      </c>
      <c r="M365">
        <v>1</v>
      </c>
      <c r="N365">
        <v>112.5</v>
      </c>
      <c r="O365">
        <v>1</v>
      </c>
      <c r="P365">
        <v>0.55000000000000004</v>
      </c>
      <c r="Q365">
        <v>1</v>
      </c>
      <c r="R365">
        <v>2.5000000000000001E-2</v>
      </c>
      <c r="T365" t="s">
        <v>1358</v>
      </c>
    </row>
    <row r="366" spans="1:20" x14ac:dyDescent="0.2">
      <c r="A366" t="s">
        <v>1359</v>
      </c>
      <c r="B366" t="s">
        <v>388</v>
      </c>
      <c r="C366" t="s">
        <v>388</v>
      </c>
      <c r="E366" t="s">
        <v>1360</v>
      </c>
      <c r="F366" t="s">
        <v>1356</v>
      </c>
      <c r="G366">
        <v>5</v>
      </c>
      <c r="H366">
        <v>2460</v>
      </c>
      <c r="I366">
        <v>4</v>
      </c>
      <c r="J366">
        <v>23.5</v>
      </c>
      <c r="K366">
        <v>5</v>
      </c>
      <c r="L366">
        <v>1.2749999999999999</v>
      </c>
      <c r="M366">
        <v>4</v>
      </c>
      <c r="N366">
        <v>397.5</v>
      </c>
      <c r="O366">
        <v>5</v>
      </c>
      <c r="P366">
        <v>3.35</v>
      </c>
      <c r="Q366">
        <v>5</v>
      </c>
      <c r="R366">
        <v>0.17699999999999999</v>
      </c>
      <c r="T366" t="s">
        <v>1360</v>
      </c>
    </row>
    <row r="367" spans="1:20" x14ac:dyDescent="0.2">
      <c r="A367" t="s">
        <v>1361</v>
      </c>
      <c r="B367" t="s">
        <v>388</v>
      </c>
      <c r="C367" t="s">
        <v>388</v>
      </c>
      <c r="E367" t="s">
        <v>1362</v>
      </c>
      <c r="F367" t="s">
        <v>447</v>
      </c>
      <c r="G367">
        <v>3</v>
      </c>
      <c r="H367">
        <v>2040</v>
      </c>
      <c r="I367">
        <v>3</v>
      </c>
      <c r="J367">
        <v>18.5</v>
      </c>
      <c r="K367">
        <v>3</v>
      </c>
      <c r="L367">
        <v>0.77500000000000002</v>
      </c>
      <c r="M367">
        <v>2</v>
      </c>
      <c r="N367">
        <v>207.5</v>
      </c>
      <c r="O367">
        <v>2</v>
      </c>
      <c r="P367">
        <v>1.25</v>
      </c>
      <c r="Q367">
        <v>5</v>
      </c>
      <c r="R367">
        <v>0.17699999999999999</v>
      </c>
      <c r="T367" t="s">
        <v>1362</v>
      </c>
    </row>
    <row r="368" spans="1:20" x14ac:dyDescent="0.2">
      <c r="A368" t="s">
        <v>1363</v>
      </c>
      <c r="B368" t="s">
        <v>388</v>
      </c>
      <c r="C368" t="s">
        <v>388</v>
      </c>
      <c r="E368" t="s">
        <v>1364</v>
      </c>
      <c r="F368" t="s">
        <v>1365</v>
      </c>
      <c r="G368">
        <v>4</v>
      </c>
      <c r="H368">
        <v>2250</v>
      </c>
      <c r="I368">
        <v>5</v>
      </c>
      <c r="J368">
        <v>28.5</v>
      </c>
      <c r="K368">
        <v>4</v>
      </c>
      <c r="L368">
        <v>1.0249999999999999</v>
      </c>
      <c r="M368">
        <v>4</v>
      </c>
      <c r="N368">
        <v>397.5</v>
      </c>
      <c r="O368">
        <v>4</v>
      </c>
      <c r="P368">
        <v>2.65</v>
      </c>
      <c r="Q368">
        <v>4</v>
      </c>
      <c r="R368">
        <v>0.13900000000000001</v>
      </c>
      <c r="T368" t="s">
        <v>1364</v>
      </c>
    </row>
    <row r="369" spans="1:20" x14ac:dyDescent="0.2">
      <c r="A369" t="s">
        <v>1366</v>
      </c>
      <c r="B369" t="s">
        <v>388</v>
      </c>
      <c r="C369" t="s">
        <v>388</v>
      </c>
      <c r="E369" t="s">
        <v>1367</v>
      </c>
      <c r="F369" t="s">
        <v>447</v>
      </c>
      <c r="G369">
        <v>4</v>
      </c>
      <c r="H369">
        <v>2250</v>
      </c>
      <c r="I369">
        <v>4</v>
      </c>
      <c r="J369">
        <v>23.5</v>
      </c>
      <c r="K369">
        <v>4</v>
      </c>
      <c r="L369">
        <v>1.0249999999999999</v>
      </c>
      <c r="M369">
        <v>4</v>
      </c>
      <c r="N369">
        <v>397.5</v>
      </c>
      <c r="O369">
        <v>4</v>
      </c>
      <c r="P369">
        <v>2.65</v>
      </c>
      <c r="Q369">
        <v>4</v>
      </c>
      <c r="R369">
        <v>0.13900000000000001</v>
      </c>
      <c r="T369" t="s">
        <v>1367</v>
      </c>
    </row>
    <row r="370" spans="1:20" x14ac:dyDescent="0.2">
      <c r="A370" t="s">
        <v>1368</v>
      </c>
      <c r="B370" t="s">
        <v>388</v>
      </c>
      <c r="C370" t="s">
        <v>388</v>
      </c>
      <c r="E370" t="s">
        <v>1369</v>
      </c>
      <c r="F370" t="s">
        <v>1370</v>
      </c>
      <c r="G370">
        <v>4</v>
      </c>
      <c r="H370">
        <v>2250</v>
      </c>
      <c r="I370">
        <v>4</v>
      </c>
      <c r="J370">
        <v>23.5</v>
      </c>
      <c r="K370">
        <v>4</v>
      </c>
      <c r="L370">
        <v>1.0249999999999999</v>
      </c>
      <c r="M370">
        <v>5</v>
      </c>
      <c r="N370">
        <v>492.5</v>
      </c>
      <c r="O370">
        <v>5</v>
      </c>
      <c r="P370">
        <v>3.35</v>
      </c>
      <c r="Q370">
        <v>4</v>
      </c>
      <c r="R370">
        <v>0.13900000000000001</v>
      </c>
      <c r="T370" t="s">
        <v>1369</v>
      </c>
    </row>
    <row r="371" spans="1:20" x14ac:dyDescent="0.2">
      <c r="A371" t="s">
        <v>1371</v>
      </c>
      <c r="B371" t="s">
        <v>388</v>
      </c>
      <c r="C371" t="s">
        <v>388</v>
      </c>
      <c r="E371" t="s">
        <v>1372</v>
      </c>
      <c r="F371" t="s">
        <v>1373</v>
      </c>
      <c r="G371">
        <v>4</v>
      </c>
      <c r="H371">
        <v>2250</v>
      </c>
      <c r="I371">
        <v>4</v>
      </c>
      <c r="J371">
        <v>23.5</v>
      </c>
      <c r="K371">
        <v>4</v>
      </c>
      <c r="L371">
        <v>1.0249999999999999</v>
      </c>
      <c r="M371">
        <v>4</v>
      </c>
      <c r="N371">
        <v>397.5</v>
      </c>
      <c r="O371">
        <v>4</v>
      </c>
      <c r="P371">
        <v>2.65</v>
      </c>
      <c r="Q371">
        <v>4</v>
      </c>
      <c r="R371">
        <v>0.13900000000000001</v>
      </c>
      <c r="T371" t="s">
        <v>1372</v>
      </c>
    </row>
    <row r="372" spans="1:20" x14ac:dyDescent="0.2">
      <c r="A372" t="s">
        <v>1374</v>
      </c>
      <c r="B372" t="s">
        <v>388</v>
      </c>
      <c r="C372" t="s">
        <v>388</v>
      </c>
      <c r="E372" t="s">
        <v>1375</v>
      </c>
      <c r="F372" t="s">
        <v>1376</v>
      </c>
      <c r="G372">
        <v>5</v>
      </c>
      <c r="H372">
        <v>2460</v>
      </c>
      <c r="I372">
        <v>5</v>
      </c>
      <c r="J372">
        <v>28.5</v>
      </c>
      <c r="K372">
        <v>5</v>
      </c>
      <c r="L372">
        <v>1.2749999999999999</v>
      </c>
      <c r="M372">
        <v>5</v>
      </c>
      <c r="N372">
        <v>492.5</v>
      </c>
      <c r="O372">
        <v>5</v>
      </c>
      <c r="P372">
        <v>3.35</v>
      </c>
      <c r="Q372">
        <v>4</v>
      </c>
      <c r="R372">
        <v>0.13900000000000001</v>
      </c>
      <c r="T372" t="s">
        <v>1375</v>
      </c>
    </row>
    <row r="373" spans="1:20" x14ac:dyDescent="0.2">
      <c r="A373" t="s">
        <v>1377</v>
      </c>
      <c r="B373" t="s">
        <v>388</v>
      </c>
      <c r="C373" t="s">
        <v>388</v>
      </c>
      <c r="E373" t="s">
        <v>1378</v>
      </c>
      <c r="F373" t="s">
        <v>1379</v>
      </c>
      <c r="G373">
        <v>4</v>
      </c>
      <c r="H373">
        <v>2250</v>
      </c>
      <c r="I373">
        <v>4</v>
      </c>
      <c r="J373">
        <v>23.5</v>
      </c>
      <c r="K373">
        <v>4</v>
      </c>
      <c r="L373">
        <v>1.0249999999999999</v>
      </c>
      <c r="M373">
        <v>4</v>
      </c>
      <c r="N373">
        <v>397.5</v>
      </c>
      <c r="O373">
        <v>4</v>
      </c>
      <c r="P373">
        <v>2.65</v>
      </c>
      <c r="Q373">
        <v>4</v>
      </c>
      <c r="R373">
        <v>0.13900000000000001</v>
      </c>
      <c r="T373" t="s">
        <v>1378</v>
      </c>
    </row>
    <row r="374" spans="1:20" x14ac:dyDescent="0.2">
      <c r="A374" t="s">
        <v>1380</v>
      </c>
      <c r="B374" t="s">
        <v>388</v>
      </c>
      <c r="C374" t="s">
        <v>388</v>
      </c>
      <c r="E374" t="s">
        <v>1381</v>
      </c>
      <c r="F374" t="s">
        <v>1382</v>
      </c>
      <c r="G374">
        <v>1</v>
      </c>
      <c r="H374">
        <v>1620</v>
      </c>
      <c r="I374">
        <v>1</v>
      </c>
      <c r="J374">
        <v>8.5</v>
      </c>
      <c r="K374">
        <v>1</v>
      </c>
      <c r="L374">
        <v>0.27500000000000002</v>
      </c>
      <c r="M374">
        <v>1</v>
      </c>
      <c r="N374">
        <v>112.5</v>
      </c>
      <c r="O374">
        <v>1</v>
      </c>
      <c r="P374">
        <v>0.55000000000000004</v>
      </c>
      <c r="Q374">
        <v>1</v>
      </c>
      <c r="R374">
        <v>2.5000000000000001E-2</v>
      </c>
      <c r="T374" t="s">
        <v>1381</v>
      </c>
    </row>
    <row r="375" spans="1:20" x14ac:dyDescent="0.2">
      <c r="A375" t="s">
        <v>1383</v>
      </c>
      <c r="B375" t="s">
        <v>388</v>
      </c>
      <c r="C375" t="s">
        <v>388</v>
      </c>
      <c r="E375" t="s">
        <v>1384</v>
      </c>
      <c r="F375" t="s">
        <v>1385</v>
      </c>
      <c r="G375">
        <v>4</v>
      </c>
      <c r="H375">
        <v>2250</v>
      </c>
      <c r="I375">
        <v>5</v>
      </c>
      <c r="J375">
        <v>28.5</v>
      </c>
      <c r="K375">
        <v>4</v>
      </c>
      <c r="L375">
        <v>1.0249999999999999</v>
      </c>
      <c r="M375">
        <v>5</v>
      </c>
      <c r="N375">
        <v>492.5</v>
      </c>
      <c r="O375">
        <v>5</v>
      </c>
      <c r="P375">
        <v>3.35</v>
      </c>
      <c r="Q375">
        <v>5</v>
      </c>
      <c r="R375">
        <v>0.17699999999999999</v>
      </c>
      <c r="T375" t="s">
        <v>1384</v>
      </c>
    </row>
    <row r="376" spans="1:20" x14ac:dyDescent="0.2">
      <c r="A376" t="s">
        <v>1386</v>
      </c>
      <c r="B376" t="s">
        <v>388</v>
      </c>
      <c r="C376" t="s">
        <v>388</v>
      </c>
      <c r="E376" t="s">
        <v>1387</v>
      </c>
      <c r="F376" t="s">
        <v>1388</v>
      </c>
      <c r="G376">
        <v>2</v>
      </c>
      <c r="H376">
        <v>1830</v>
      </c>
      <c r="I376">
        <v>2</v>
      </c>
      <c r="J376">
        <v>13.5</v>
      </c>
      <c r="K376">
        <v>2</v>
      </c>
      <c r="L376">
        <v>0.52500000000000002</v>
      </c>
      <c r="M376">
        <v>2</v>
      </c>
      <c r="N376">
        <v>207.5</v>
      </c>
      <c r="O376">
        <v>3</v>
      </c>
      <c r="P376">
        <v>1.95</v>
      </c>
      <c r="Q376">
        <v>2</v>
      </c>
      <c r="R376">
        <v>6.3E-2</v>
      </c>
      <c r="T376" t="s">
        <v>1387</v>
      </c>
    </row>
    <row r="377" spans="1:20" x14ac:dyDescent="0.2">
      <c r="A377" t="s">
        <v>1389</v>
      </c>
      <c r="B377" t="s">
        <v>388</v>
      </c>
      <c r="C377" t="s">
        <v>388</v>
      </c>
      <c r="E377" t="s">
        <v>1390</v>
      </c>
      <c r="F377" t="s">
        <v>1391</v>
      </c>
      <c r="G377">
        <v>5</v>
      </c>
      <c r="H377">
        <v>2460</v>
      </c>
      <c r="I377">
        <v>5</v>
      </c>
      <c r="J377">
        <v>28.5</v>
      </c>
      <c r="K377">
        <v>5</v>
      </c>
      <c r="L377">
        <v>1.2749999999999999</v>
      </c>
      <c r="M377">
        <v>5</v>
      </c>
      <c r="N377">
        <v>492.5</v>
      </c>
      <c r="O377">
        <v>5</v>
      </c>
      <c r="P377">
        <v>3.35</v>
      </c>
      <c r="Q377">
        <v>5</v>
      </c>
      <c r="R377">
        <v>0.17699999999999999</v>
      </c>
      <c r="T377" t="s">
        <v>1390</v>
      </c>
    </row>
    <row r="378" spans="1:20" x14ac:dyDescent="0.2">
      <c r="A378" t="s">
        <v>1389</v>
      </c>
      <c r="B378" t="s">
        <v>388</v>
      </c>
      <c r="C378" t="s">
        <v>388</v>
      </c>
      <c r="E378" t="s">
        <v>1390</v>
      </c>
      <c r="F378" t="s">
        <v>1391</v>
      </c>
      <c r="G378">
        <v>5</v>
      </c>
      <c r="H378">
        <v>2460</v>
      </c>
      <c r="I378">
        <v>5</v>
      </c>
      <c r="J378">
        <v>28.5</v>
      </c>
      <c r="K378">
        <v>5</v>
      </c>
      <c r="L378">
        <v>1.2749999999999999</v>
      </c>
      <c r="M378">
        <v>5</v>
      </c>
      <c r="N378">
        <v>492.5</v>
      </c>
      <c r="O378">
        <v>5</v>
      </c>
      <c r="P378">
        <v>3.35</v>
      </c>
      <c r="Q378">
        <v>5</v>
      </c>
      <c r="R378">
        <v>0.17699999999999999</v>
      </c>
      <c r="T378" t="s">
        <v>1390</v>
      </c>
    </row>
    <row r="379" spans="1:20" x14ac:dyDescent="0.2">
      <c r="A379" t="s">
        <v>1392</v>
      </c>
      <c r="B379" t="s">
        <v>388</v>
      </c>
      <c r="C379" t="s">
        <v>388</v>
      </c>
      <c r="E379" t="s">
        <v>1393</v>
      </c>
      <c r="F379" t="s">
        <v>447</v>
      </c>
      <c r="G379">
        <v>2</v>
      </c>
      <c r="H379">
        <v>1830</v>
      </c>
      <c r="I379">
        <v>3</v>
      </c>
      <c r="J379">
        <v>18.5</v>
      </c>
      <c r="K379">
        <v>3</v>
      </c>
      <c r="L379">
        <v>0.77500000000000002</v>
      </c>
      <c r="M379">
        <v>2</v>
      </c>
      <c r="N379">
        <v>207.5</v>
      </c>
      <c r="O379">
        <v>2</v>
      </c>
      <c r="P379">
        <v>1.25</v>
      </c>
      <c r="Q379">
        <v>2</v>
      </c>
      <c r="R379">
        <v>6.3E-2</v>
      </c>
      <c r="T379" t="s">
        <v>1393</v>
      </c>
    </row>
    <row r="380" spans="1:20" x14ac:dyDescent="0.2">
      <c r="A380" t="s">
        <v>1394</v>
      </c>
      <c r="B380" t="s">
        <v>388</v>
      </c>
      <c r="C380" t="s">
        <v>388</v>
      </c>
      <c r="E380" t="s">
        <v>1395</v>
      </c>
      <c r="F380" t="s">
        <v>1396</v>
      </c>
      <c r="G380">
        <v>3</v>
      </c>
      <c r="H380">
        <v>2040</v>
      </c>
      <c r="I380">
        <v>3</v>
      </c>
      <c r="J380">
        <v>18.5</v>
      </c>
      <c r="K380">
        <v>3</v>
      </c>
      <c r="L380">
        <v>0.77500000000000002</v>
      </c>
      <c r="M380">
        <v>4</v>
      </c>
      <c r="N380">
        <v>397.5</v>
      </c>
      <c r="O380">
        <v>4</v>
      </c>
      <c r="P380">
        <v>2.65</v>
      </c>
      <c r="Q380">
        <v>4</v>
      </c>
      <c r="R380">
        <v>0.13900000000000001</v>
      </c>
      <c r="T380" t="s">
        <v>1395</v>
      </c>
    </row>
    <row r="381" spans="1:20" x14ac:dyDescent="0.2">
      <c r="A381" t="s">
        <v>1397</v>
      </c>
      <c r="B381" t="s">
        <v>388</v>
      </c>
      <c r="C381" t="s">
        <v>388</v>
      </c>
      <c r="E381" t="s">
        <v>1398</v>
      </c>
      <c r="F381" t="s">
        <v>1399</v>
      </c>
      <c r="G381">
        <v>4</v>
      </c>
      <c r="H381">
        <v>2250</v>
      </c>
      <c r="I381">
        <v>3</v>
      </c>
      <c r="J381">
        <v>18.5</v>
      </c>
      <c r="K381">
        <v>4</v>
      </c>
      <c r="L381">
        <v>1.0249999999999999</v>
      </c>
      <c r="M381">
        <v>5</v>
      </c>
      <c r="N381">
        <v>492.5</v>
      </c>
      <c r="O381">
        <v>5</v>
      </c>
      <c r="P381">
        <v>3.35</v>
      </c>
      <c r="Q381">
        <v>5</v>
      </c>
      <c r="R381">
        <v>0.17699999999999999</v>
      </c>
      <c r="T381" t="s">
        <v>1398</v>
      </c>
    </row>
    <row r="382" spans="1:20" x14ac:dyDescent="0.2">
      <c r="A382" t="s">
        <v>1400</v>
      </c>
      <c r="B382" t="s">
        <v>388</v>
      </c>
      <c r="C382" t="s">
        <v>388</v>
      </c>
      <c r="E382" t="s">
        <v>357</v>
      </c>
      <c r="F382" t="s">
        <v>447</v>
      </c>
      <c r="G382">
        <v>2</v>
      </c>
      <c r="H382">
        <v>1830</v>
      </c>
      <c r="I382">
        <v>2</v>
      </c>
      <c r="J382">
        <v>13.5</v>
      </c>
      <c r="K382">
        <v>2</v>
      </c>
      <c r="L382">
        <v>0.52500000000000002</v>
      </c>
      <c r="M382">
        <v>3</v>
      </c>
      <c r="N382">
        <v>302.5</v>
      </c>
      <c r="O382">
        <v>3</v>
      </c>
      <c r="P382">
        <v>1.95</v>
      </c>
      <c r="Q382">
        <v>4</v>
      </c>
      <c r="R382">
        <v>0.13900000000000001</v>
      </c>
      <c r="T382" t="s">
        <v>357</v>
      </c>
    </row>
    <row r="383" spans="1:20" x14ac:dyDescent="0.2">
      <c r="A383" t="s">
        <v>1401</v>
      </c>
      <c r="B383" t="s">
        <v>388</v>
      </c>
      <c r="C383" t="s">
        <v>388</v>
      </c>
      <c r="E383" t="s">
        <v>1402</v>
      </c>
      <c r="F383" t="s">
        <v>1403</v>
      </c>
      <c r="G383">
        <v>1</v>
      </c>
      <c r="H383">
        <v>1620</v>
      </c>
      <c r="I383">
        <v>1</v>
      </c>
      <c r="J383">
        <v>8.5</v>
      </c>
      <c r="K383">
        <v>1</v>
      </c>
      <c r="L383">
        <v>0.27500000000000002</v>
      </c>
      <c r="M383">
        <v>2</v>
      </c>
      <c r="N383">
        <v>207.5</v>
      </c>
      <c r="O383">
        <v>2</v>
      </c>
      <c r="P383">
        <v>1.25</v>
      </c>
      <c r="Q383">
        <v>2</v>
      </c>
      <c r="R383">
        <v>6.3E-2</v>
      </c>
      <c r="T383" t="s">
        <v>1402</v>
      </c>
    </row>
    <row r="384" spans="1:20" x14ac:dyDescent="0.2">
      <c r="A384" t="s">
        <v>1404</v>
      </c>
      <c r="B384" t="s">
        <v>388</v>
      </c>
      <c r="C384" t="s">
        <v>388</v>
      </c>
      <c r="E384" t="s">
        <v>1405</v>
      </c>
      <c r="F384" t="s">
        <v>1406</v>
      </c>
      <c r="G384">
        <v>4</v>
      </c>
      <c r="H384">
        <v>2250</v>
      </c>
      <c r="I384">
        <v>2</v>
      </c>
      <c r="J384">
        <v>13.5</v>
      </c>
      <c r="K384">
        <v>3</v>
      </c>
      <c r="L384">
        <v>0.77500000000000002</v>
      </c>
      <c r="M384">
        <v>4</v>
      </c>
      <c r="N384">
        <v>397.5</v>
      </c>
      <c r="O384">
        <v>4</v>
      </c>
      <c r="P384">
        <v>2.65</v>
      </c>
      <c r="Q384">
        <v>5</v>
      </c>
      <c r="R384">
        <v>0.17699999999999999</v>
      </c>
      <c r="T384" t="s">
        <v>1405</v>
      </c>
    </row>
    <row r="385" spans="1:20" x14ac:dyDescent="0.2">
      <c r="A385" t="s">
        <v>1407</v>
      </c>
      <c r="B385" t="s">
        <v>388</v>
      </c>
      <c r="C385" t="s">
        <v>388</v>
      </c>
      <c r="E385" t="s">
        <v>1408</v>
      </c>
      <c r="F385" t="s">
        <v>1409</v>
      </c>
      <c r="G385">
        <v>3</v>
      </c>
      <c r="H385">
        <v>2040</v>
      </c>
      <c r="I385">
        <v>3</v>
      </c>
      <c r="J385">
        <v>18.5</v>
      </c>
      <c r="K385">
        <v>2</v>
      </c>
      <c r="L385">
        <v>0.52500000000000002</v>
      </c>
      <c r="M385">
        <v>3</v>
      </c>
      <c r="N385">
        <v>302.5</v>
      </c>
      <c r="O385">
        <v>3</v>
      </c>
      <c r="P385">
        <v>1.95</v>
      </c>
      <c r="Q385">
        <v>2</v>
      </c>
      <c r="R385">
        <v>6.3E-2</v>
      </c>
      <c r="T385" t="s">
        <v>1408</v>
      </c>
    </row>
    <row r="386" spans="1:20" x14ac:dyDescent="0.2">
      <c r="A386" t="s">
        <v>1410</v>
      </c>
      <c r="B386" t="s">
        <v>388</v>
      </c>
      <c r="C386" t="s">
        <v>388</v>
      </c>
      <c r="E386" t="s">
        <v>1411</v>
      </c>
      <c r="F386" t="s">
        <v>447</v>
      </c>
      <c r="G386">
        <v>1</v>
      </c>
      <c r="H386">
        <v>1620</v>
      </c>
      <c r="I386">
        <v>1</v>
      </c>
      <c r="J386">
        <v>8.5</v>
      </c>
      <c r="K386">
        <v>1</v>
      </c>
      <c r="L386">
        <v>0.27500000000000002</v>
      </c>
      <c r="M386">
        <v>1</v>
      </c>
      <c r="N386">
        <v>112.5</v>
      </c>
      <c r="O386">
        <v>1</v>
      </c>
      <c r="P386">
        <v>0.55000000000000004</v>
      </c>
      <c r="Q386">
        <v>1</v>
      </c>
      <c r="R386">
        <v>2.5000000000000001E-2</v>
      </c>
      <c r="T386" t="s">
        <v>1411</v>
      </c>
    </row>
    <row r="387" spans="1:20" x14ac:dyDescent="0.2">
      <c r="A387" t="s">
        <v>1412</v>
      </c>
      <c r="B387" t="s">
        <v>388</v>
      </c>
      <c r="C387" t="s">
        <v>388</v>
      </c>
      <c r="E387" t="s">
        <v>1413</v>
      </c>
      <c r="F387" t="s">
        <v>1414</v>
      </c>
      <c r="G387">
        <v>4</v>
      </c>
      <c r="H387">
        <v>2250</v>
      </c>
      <c r="I387">
        <v>4</v>
      </c>
      <c r="J387">
        <v>23.5</v>
      </c>
      <c r="K387">
        <v>4</v>
      </c>
      <c r="L387">
        <v>1.0249999999999999</v>
      </c>
      <c r="M387">
        <v>4</v>
      </c>
      <c r="N387">
        <v>397.5</v>
      </c>
      <c r="O387">
        <v>4</v>
      </c>
      <c r="P387">
        <v>2.65</v>
      </c>
      <c r="Q387">
        <v>4</v>
      </c>
      <c r="R387">
        <v>0.13900000000000001</v>
      </c>
      <c r="T387" t="s">
        <v>1413</v>
      </c>
    </row>
    <row r="388" spans="1:20" x14ac:dyDescent="0.2">
      <c r="A388" t="s">
        <v>1415</v>
      </c>
      <c r="B388" t="s">
        <v>388</v>
      </c>
      <c r="C388" t="s">
        <v>388</v>
      </c>
      <c r="E388" t="s">
        <v>1416</v>
      </c>
      <c r="F388" t="s">
        <v>1417</v>
      </c>
      <c r="G388">
        <v>2</v>
      </c>
      <c r="H388">
        <v>1830</v>
      </c>
      <c r="I388">
        <v>2</v>
      </c>
      <c r="J388">
        <v>13.5</v>
      </c>
      <c r="K388">
        <v>2</v>
      </c>
      <c r="L388">
        <v>0.52500000000000002</v>
      </c>
      <c r="M388">
        <v>2</v>
      </c>
      <c r="N388">
        <v>207.5</v>
      </c>
      <c r="O388">
        <v>2</v>
      </c>
      <c r="P388">
        <v>1.25</v>
      </c>
      <c r="Q388">
        <v>2</v>
      </c>
      <c r="R388">
        <v>6.3E-2</v>
      </c>
      <c r="T388" t="s">
        <v>1416</v>
      </c>
    </row>
    <row r="389" spans="1:20" x14ac:dyDescent="0.2">
      <c r="A389" t="s">
        <v>1418</v>
      </c>
      <c r="B389" t="s">
        <v>388</v>
      </c>
      <c r="C389" t="s">
        <v>388</v>
      </c>
      <c r="E389" t="s">
        <v>1419</v>
      </c>
      <c r="F389" t="s">
        <v>1420</v>
      </c>
      <c r="G389">
        <v>4</v>
      </c>
      <c r="H389">
        <v>2250</v>
      </c>
      <c r="I389">
        <v>3</v>
      </c>
      <c r="J389">
        <v>18.5</v>
      </c>
      <c r="K389">
        <v>3</v>
      </c>
      <c r="L389">
        <v>0.77500000000000002</v>
      </c>
      <c r="M389">
        <v>3</v>
      </c>
      <c r="N389">
        <v>302.5</v>
      </c>
      <c r="O389">
        <v>4</v>
      </c>
      <c r="P389">
        <v>2.65</v>
      </c>
      <c r="Q389">
        <v>4</v>
      </c>
      <c r="R389">
        <v>0.13900000000000001</v>
      </c>
      <c r="T389" t="s">
        <v>1419</v>
      </c>
    </row>
    <row r="390" spans="1:20" x14ac:dyDescent="0.2">
      <c r="A390" t="s">
        <v>1421</v>
      </c>
      <c r="B390" t="s">
        <v>388</v>
      </c>
      <c r="C390" t="s">
        <v>388</v>
      </c>
      <c r="E390" t="s">
        <v>357</v>
      </c>
      <c r="F390" t="s">
        <v>447</v>
      </c>
      <c r="G390">
        <v>5</v>
      </c>
      <c r="H390">
        <v>2460</v>
      </c>
      <c r="I390">
        <v>5</v>
      </c>
      <c r="J390">
        <v>28.5</v>
      </c>
      <c r="K390">
        <v>5</v>
      </c>
      <c r="L390">
        <v>1.2749999999999999</v>
      </c>
      <c r="M390">
        <v>5</v>
      </c>
      <c r="N390">
        <v>492.5</v>
      </c>
      <c r="O390">
        <v>5</v>
      </c>
      <c r="P390">
        <v>3.35</v>
      </c>
      <c r="Q390">
        <v>5</v>
      </c>
      <c r="R390">
        <v>0.17699999999999999</v>
      </c>
      <c r="T390" t="s">
        <v>357</v>
      </c>
    </row>
    <row r="391" spans="1:20" x14ac:dyDescent="0.2">
      <c r="A391" t="s">
        <v>1422</v>
      </c>
      <c r="B391" t="s">
        <v>388</v>
      </c>
      <c r="C391" t="s">
        <v>388</v>
      </c>
      <c r="E391" t="s">
        <v>1423</v>
      </c>
      <c r="F391" t="s">
        <v>1424</v>
      </c>
      <c r="G391">
        <v>5</v>
      </c>
      <c r="H391">
        <v>2460</v>
      </c>
      <c r="I391">
        <v>4</v>
      </c>
      <c r="J391">
        <v>23.5</v>
      </c>
      <c r="K391">
        <v>5</v>
      </c>
      <c r="L391">
        <v>1.2749999999999999</v>
      </c>
      <c r="M391">
        <v>5</v>
      </c>
      <c r="N391">
        <v>492.5</v>
      </c>
      <c r="O391">
        <v>5</v>
      </c>
      <c r="P391">
        <v>3.35</v>
      </c>
      <c r="Q391">
        <v>5</v>
      </c>
      <c r="R391">
        <v>0.17699999999999999</v>
      </c>
      <c r="T391" t="s">
        <v>1423</v>
      </c>
    </row>
    <row r="392" spans="1:20" x14ac:dyDescent="0.2">
      <c r="A392" t="s">
        <v>1425</v>
      </c>
      <c r="B392" t="s">
        <v>388</v>
      </c>
      <c r="C392" t="s">
        <v>388</v>
      </c>
      <c r="E392" t="s">
        <v>1426</v>
      </c>
      <c r="F392" t="s">
        <v>1427</v>
      </c>
      <c r="G392">
        <v>4</v>
      </c>
      <c r="H392">
        <v>2250</v>
      </c>
      <c r="I392">
        <v>4</v>
      </c>
      <c r="J392">
        <v>23.5</v>
      </c>
      <c r="K392">
        <v>4</v>
      </c>
      <c r="L392">
        <v>1.0249999999999999</v>
      </c>
      <c r="M392">
        <v>4</v>
      </c>
      <c r="N392">
        <v>397.5</v>
      </c>
      <c r="O392">
        <v>4</v>
      </c>
      <c r="P392">
        <v>2.65</v>
      </c>
      <c r="Q392">
        <v>4</v>
      </c>
      <c r="R392">
        <v>0.13900000000000001</v>
      </c>
      <c r="T392" t="s">
        <v>1426</v>
      </c>
    </row>
    <row r="393" spans="1:20" x14ac:dyDescent="0.2">
      <c r="A393" t="s">
        <v>1428</v>
      </c>
      <c r="B393" t="s">
        <v>388</v>
      </c>
      <c r="C393" t="s">
        <v>388</v>
      </c>
      <c r="E393" t="s">
        <v>1429</v>
      </c>
      <c r="F393" t="s">
        <v>1430</v>
      </c>
      <c r="G393">
        <v>2</v>
      </c>
      <c r="H393">
        <v>1830</v>
      </c>
      <c r="I393">
        <v>3</v>
      </c>
      <c r="J393">
        <v>18.5</v>
      </c>
      <c r="K393">
        <v>3</v>
      </c>
      <c r="L393">
        <v>0.77500000000000002</v>
      </c>
      <c r="M393">
        <v>3</v>
      </c>
      <c r="N393">
        <v>302.5</v>
      </c>
      <c r="O393">
        <v>3</v>
      </c>
      <c r="P393">
        <v>1.95</v>
      </c>
      <c r="Q393">
        <v>3</v>
      </c>
      <c r="R393">
        <v>0.10100000000000001</v>
      </c>
      <c r="T393" t="s">
        <v>1429</v>
      </c>
    </row>
    <row r="394" spans="1:20" x14ac:dyDescent="0.2">
      <c r="A394" t="s">
        <v>1431</v>
      </c>
      <c r="B394" t="s">
        <v>388</v>
      </c>
      <c r="C394" t="s">
        <v>388</v>
      </c>
      <c r="E394" t="s">
        <v>1432</v>
      </c>
      <c r="F394" t="s">
        <v>1433</v>
      </c>
      <c r="G394">
        <v>4</v>
      </c>
      <c r="H394">
        <v>2250</v>
      </c>
      <c r="I394">
        <v>4</v>
      </c>
      <c r="J394">
        <v>23.5</v>
      </c>
      <c r="K394">
        <v>4</v>
      </c>
      <c r="L394">
        <v>1.0249999999999999</v>
      </c>
      <c r="M394">
        <v>4</v>
      </c>
      <c r="N394">
        <v>397.5</v>
      </c>
      <c r="O394">
        <v>4</v>
      </c>
      <c r="P394">
        <v>2.65</v>
      </c>
      <c r="Q394">
        <v>5</v>
      </c>
      <c r="R394">
        <v>0.17699999999999999</v>
      </c>
      <c r="T394" t="s">
        <v>1432</v>
      </c>
    </row>
    <row r="395" spans="1:20" x14ac:dyDescent="0.2">
      <c r="A395" t="s">
        <v>1434</v>
      </c>
      <c r="B395" t="s">
        <v>388</v>
      </c>
      <c r="C395" t="s">
        <v>388</v>
      </c>
      <c r="E395" t="s">
        <v>1435</v>
      </c>
      <c r="F395" t="s">
        <v>1436</v>
      </c>
      <c r="G395">
        <v>3</v>
      </c>
      <c r="H395">
        <v>2040</v>
      </c>
      <c r="I395">
        <v>4</v>
      </c>
      <c r="J395">
        <v>23.5</v>
      </c>
      <c r="K395">
        <v>3</v>
      </c>
      <c r="L395">
        <v>0.77500000000000002</v>
      </c>
      <c r="M395">
        <v>3</v>
      </c>
      <c r="N395">
        <v>302.5</v>
      </c>
      <c r="O395">
        <v>3</v>
      </c>
      <c r="P395">
        <v>1.95</v>
      </c>
      <c r="Q395">
        <v>3</v>
      </c>
      <c r="R395">
        <v>0.10100000000000001</v>
      </c>
      <c r="T395" t="s">
        <v>1435</v>
      </c>
    </row>
    <row r="396" spans="1:20" x14ac:dyDescent="0.2">
      <c r="A396" t="s">
        <v>1437</v>
      </c>
      <c r="B396" t="s">
        <v>388</v>
      </c>
      <c r="C396" t="s">
        <v>388</v>
      </c>
      <c r="E396" t="s">
        <v>1438</v>
      </c>
      <c r="F396" t="s">
        <v>1439</v>
      </c>
      <c r="G396">
        <v>5</v>
      </c>
      <c r="H396">
        <v>2460</v>
      </c>
      <c r="I396">
        <v>5</v>
      </c>
      <c r="J396">
        <v>28.5</v>
      </c>
      <c r="K396">
        <v>5</v>
      </c>
      <c r="L396">
        <v>1.2749999999999999</v>
      </c>
      <c r="M396">
        <v>5</v>
      </c>
      <c r="N396">
        <v>492.5</v>
      </c>
      <c r="O396">
        <v>5</v>
      </c>
      <c r="P396">
        <v>3.35</v>
      </c>
      <c r="Q396">
        <v>5</v>
      </c>
      <c r="R396">
        <v>0.17699999999999999</v>
      </c>
      <c r="T396" t="s">
        <v>1438</v>
      </c>
    </row>
    <row r="397" spans="1:20" x14ac:dyDescent="0.2">
      <c r="A397" t="s">
        <v>1440</v>
      </c>
      <c r="B397" t="s">
        <v>388</v>
      </c>
      <c r="C397" t="s">
        <v>388</v>
      </c>
      <c r="E397" t="s">
        <v>1441</v>
      </c>
      <c r="F397" t="s">
        <v>1442</v>
      </c>
      <c r="G397">
        <v>5</v>
      </c>
      <c r="H397">
        <v>2460</v>
      </c>
      <c r="I397">
        <v>5</v>
      </c>
      <c r="J397">
        <v>28.5</v>
      </c>
      <c r="K397">
        <v>5</v>
      </c>
      <c r="L397">
        <v>1.2749999999999999</v>
      </c>
      <c r="M397">
        <v>5</v>
      </c>
      <c r="N397">
        <v>492.5</v>
      </c>
      <c r="O397">
        <v>5</v>
      </c>
      <c r="P397">
        <v>3.35</v>
      </c>
      <c r="Q397">
        <v>4</v>
      </c>
      <c r="R397">
        <v>0.13900000000000001</v>
      </c>
      <c r="T397" t="s">
        <v>1441</v>
      </c>
    </row>
    <row r="398" spans="1:20" x14ac:dyDescent="0.2">
      <c r="A398" t="s">
        <v>1443</v>
      </c>
      <c r="B398" t="s">
        <v>388</v>
      </c>
      <c r="C398" t="s">
        <v>388</v>
      </c>
      <c r="E398" t="s">
        <v>1444</v>
      </c>
      <c r="F398" t="s">
        <v>1445</v>
      </c>
      <c r="G398">
        <v>2</v>
      </c>
      <c r="H398">
        <v>1830</v>
      </c>
      <c r="I398">
        <v>1</v>
      </c>
      <c r="J398">
        <v>8.5</v>
      </c>
      <c r="K398">
        <v>1</v>
      </c>
      <c r="L398">
        <v>0.27500000000000002</v>
      </c>
      <c r="M398">
        <v>1</v>
      </c>
      <c r="N398">
        <v>112.5</v>
      </c>
      <c r="O398">
        <v>1</v>
      </c>
      <c r="P398">
        <v>0.55000000000000004</v>
      </c>
      <c r="Q398">
        <v>1</v>
      </c>
      <c r="R398">
        <v>2.5000000000000001E-2</v>
      </c>
      <c r="T398" t="s">
        <v>1444</v>
      </c>
    </row>
    <row r="399" spans="1:20" x14ac:dyDescent="0.2">
      <c r="A399" t="s">
        <v>1446</v>
      </c>
      <c r="B399" t="s">
        <v>388</v>
      </c>
      <c r="C399" t="s">
        <v>388</v>
      </c>
      <c r="E399" t="s">
        <v>1447</v>
      </c>
      <c r="F399" t="s">
        <v>1448</v>
      </c>
      <c r="G399">
        <v>4</v>
      </c>
      <c r="H399">
        <v>2250</v>
      </c>
      <c r="I399">
        <v>4</v>
      </c>
      <c r="J399">
        <v>23.5</v>
      </c>
      <c r="K399">
        <v>3</v>
      </c>
      <c r="L399">
        <v>0.77500000000000002</v>
      </c>
      <c r="M399">
        <v>4</v>
      </c>
      <c r="N399">
        <v>397.5</v>
      </c>
      <c r="O399">
        <v>4</v>
      </c>
      <c r="P399">
        <v>2.65</v>
      </c>
      <c r="Q399">
        <v>3</v>
      </c>
      <c r="R399">
        <v>0.10100000000000001</v>
      </c>
      <c r="T399" t="s">
        <v>1447</v>
      </c>
    </row>
    <row r="400" spans="1:20" x14ac:dyDescent="0.2">
      <c r="A400" t="s">
        <v>1449</v>
      </c>
      <c r="B400" t="s">
        <v>388</v>
      </c>
      <c r="C400" t="s">
        <v>388</v>
      </c>
      <c r="E400" t="s">
        <v>1450</v>
      </c>
      <c r="F400" t="s">
        <v>1451</v>
      </c>
      <c r="G400">
        <v>5</v>
      </c>
      <c r="H400">
        <v>2460</v>
      </c>
      <c r="I400">
        <v>5</v>
      </c>
      <c r="J400">
        <v>28.5</v>
      </c>
      <c r="K400">
        <v>5</v>
      </c>
      <c r="L400">
        <v>1.2749999999999999</v>
      </c>
      <c r="M400">
        <v>5</v>
      </c>
      <c r="N400">
        <v>492.5</v>
      </c>
      <c r="O400">
        <v>5</v>
      </c>
      <c r="P400">
        <v>3.35</v>
      </c>
      <c r="Q400">
        <v>5</v>
      </c>
      <c r="R400">
        <v>0.17699999999999999</v>
      </c>
      <c r="T400" t="s">
        <v>1450</v>
      </c>
    </row>
    <row r="401" spans="1:20" x14ac:dyDescent="0.2">
      <c r="A401" t="s">
        <v>1452</v>
      </c>
      <c r="B401" t="s">
        <v>388</v>
      </c>
      <c r="C401" t="s">
        <v>388</v>
      </c>
      <c r="E401" t="s">
        <v>1453</v>
      </c>
      <c r="F401" t="s">
        <v>1454</v>
      </c>
      <c r="G401">
        <v>2</v>
      </c>
      <c r="H401">
        <v>1830</v>
      </c>
      <c r="I401">
        <v>2</v>
      </c>
      <c r="J401">
        <v>13.5</v>
      </c>
      <c r="K401">
        <v>2</v>
      </c>
      <c r="L401">
        <v>0.52500000000000002</v>
      </c>
      <c r="M401">
        <v>3</v>
      </c>
      <c r="N401">
        <v>302.5</v>
      </c>
      <c r="O401">
        <v>3</v>
      </c>
      <c r="P401">
        <v>1.95</v>
      </c>
      <c r="Q401">
        <v>3</v>
      </c>
      <c r="R401">
        <v>0.10100000000000001</v>
      </c>
      <c r="T401" t="s">
        <v>1453</v>
      </c>
    </row>
    <row r="402" spans="1:20" x14ac:dyDescent="0.2">
      <c r="A402" t="s">
        <v>1455</v>
      </c>
      <c r="B402" t="s">
        <v>388</v>
      </c>
      <c r="C402" t="s">
        <v>388</v>
      </c>
      <c r="E402" t="s">
        <v>209</v>
      </c>
      <c r="F402" t="s">
        <v>1456</v>
      </c>
      <c r="G402">
        <v>2</v>
      </c>
      <c r="H402">
        <v>1830</v>
      </c>
      <c r="I402">
        <v>2</v>
      </c>
      <c r="J402">
        <v>13.5</v>
      </c>
      <c r="K402">
        <v>2</v>
      </c>
      <c r="L402">
        <v>0.52500000000000002</v>
      </c>
      <c r="M402">
        <v>2</v>
      </c>
      <c r="N402">
        <v>207.5</v>
      </c>
      <c r="O402">
        <v>2</v>
      </c>
      <c r="P402">
        <v>1.25</v>
      </c>
      <c r="Q402">
        <v>2</v>
      </c>
      <c r="R402">
        <v>6.3E-2</v>
      </c>
      <c r="T402" t="s">
        <v>209</v>
      </c>
    </row>
    <row r="403" spans="1:20" x14ac:dyDescent="0.2">
      <c r="A403" t="s">
        <v>1457</v>
      </c>
      <c r="B403" t="s">
        <v>388</v>
      </c>
      <c r="C403" t="s">
        <v>388</v>
      </c>
      <c r="E403" t="s">
        <v>1458</v>
      </c>
      <c r="F403" t="s">
        <v>1459</v>
      </c>
      <c r="G403">
        <v>3</v>
      </c>
      <c r="H403">
        <v>2040</v>
      </c>
      <c r="I403">
        <v>3</v>
      </c>
      <c r="J403">
        <v>18.5</v>
      </c>
      <c r="K403">
        <v>3</v>
      </c>
      <c r="L403">
        <v>0.77500000000000002</v>
      </c>
      <c r="M403">
        <v>3</v>
      </c>
      <c r="N403">
        <v>302.5</v>
      </c>
      <c r="O403">
        <v>3</v>
      </c>
      <c r="P403">
        <v>1.95</v>
      </c>
      <c r="Q403">
        <v>3</v>
      </c>
      <c r="R403">
        <v>0.10100000000000001</v>
      </c>
      <c r="T403" t="s">
        <v>1458</v>
      </c>
    </row>
    <row r="404" spans="1:20" x14ac:dyDescent="0.2">
      <c r="A404" t="s">
        <v>1460</v>
      </c>
      <c r="B404" t="s">
        <v>388</v>
      </c>
      <c r="C404" t="s">
        <v>388</v>
      </c>
      <c r="E404" t="s">
        <v>1461</v>
      </c>
      <c r="F404" t="s">
        <v>1462</v>
      </c>
      <c r="G404">
        <v>1</v>
      </c>
      <c r="H404">
        <v>1620</v>
      </c>
      <c r="I404">
        <v>1</v>
      </c>
      <c r="J404">
        <v>8.5</v>
      </c>
      <c r="K404">
        <v>1</v>
      </c>
      <c r="L404">
        <v>0.27500000000000002</v>
      </c>
      <c r="M404">
        <v>1</v>
      </c>
      <c r="N404">
        <v>112.5</v>
      </c>
      <c r="O404">
        <v>1</v>
      </c>
      <c r="P404">
        <v>0.55000000000000004</v>
      </c>
      <c r="Q404">
        <v>1</v>
      </c>
      <c r="R404">
        <v>2.5000000000000001E-2</v>
      </c>
      <c r="T404" t="s">
        <v>1461</v>
      </c>
    </row>
    <row r="405" spans="1:20" x14ac:dyDescent="0.2">
      <c r="A405" t="s">
        <v>1463</v>
      </c>
      <c r="B405" t="s">
        <v>388</v>
      </c>
      <c r="C405" t="s">
        <v>388</v>
      </c>
      <c r="E405" t="s">
        <v>1464</v>
      </c>
      <c r="F405" t="s">
        <v>1465</v>
      </c>
      <c r="G405">
        <v>3</v>
      </c>
      <c r="H405">
        <v>2040</v>
      </c>
      <c r="I405">
        <v>3</v>
      </c>
      <c r="J405">
        <v>18.5</v>
      </c>
      <c r="K405">
        <v>3</v>
      </c>
      <c r="L405">
        <v>0.77500000000000002</v>
      </c>
      <c r="M405">
        <v>4</v>
      </c>
      <c r="N405">
        <v>397.5</v>
      </c>
      <c r="O405">
        <v>4</v>
      </c>
      <c r="P405">
        <v>2.65</v>
      </c>
      <c r="Q405">
        <v>5</v>
      </c>
      <c r="R405">
        <v>0.17699999999999999</v>
      </c>
      <c r="T405" t="s">
        <v>1464</v>
      </c>
    </row>
    <row r="406" spans="1:20" x14ac:dyDescent="0.2">
      <c r="A406" t="s">
        <v>1466</v>
      </c>
      <c r="B406" t="s">
        <v>388</v>
      </c>
      <c r="C406" t="s">
        <v>388</v>
      </c>
      <c r="E406" t="s">
        <v>1467</v>
      </c>
      <c r="F406" t="s">
        <v>1468</v>
      </c>
      <c r="G406">
        <v>3</v>
      </c>
      <c r="H406">
        <v>2040</v>
      </c>
      <c r="I406">
        <v>3</v>
      </c>
      <c r="J406">
        <v>18.5</v>
      </c>
      <c r="K406">
        <v>3</v>
      </c>
      <c r="L406">
        <v>0.77500000000000002</v>
      </c>
      <c r="M406">
        <v>3</v>
      </c>
      <c r="N406">
        <v>302.5</v>
      </c>
      <c r="O406">
        <v>3</v>
      </c>
      <c r="P406">
        <v>1.95</v>
      </c>
      <c r="Q406">
        <v>2</v>
      </c>
      <c r="R406">
        <v>6.3E-2</v>
      </c>
      <c r="T406" t="s">
        <v>1467</v>
      </c>
    </row>
    <row r="407" spans="1:20" x14ac:dyDescent="0.2">
      <c r="A407" t="s">
        <v>1469</v>
      </c>
      <c r="B407" t="s">
        <v>388</v>
      </c>
      <c r="C407" t="s">
        <v>388</v>
      </c>
      <c r="E407" t="s">
        <v>1470</v>
      </c>
      <c r="F407" t="s">
        <v>1471</v>
      </c>
      <c r="G407">
        <v>5</v>
      </c>
      <c r="H407">
        <v>2460</v>
      </c>
      <c r="I407">
        <v>5</v>
      </c>
      <c r="J407">
        <v>28.5</v>
      </c>
      <c r="K407">
        <v>5</v>
      </c>
      <c r="L407">
        <v>1.2749999999999999</v>
      </c>
      <c r="M407">
        <v>5</v>
      </c>
      <c r="N407">
        <v>492.5</v>
      </c>
      <c r="O407">
        <v>5</v>
      </c>
      <c r="P407">
        <v>3.35</v>
      </c>
      <c r="Q407">
        <v>4</v>
      </c>
      <c r="R407">
        <v>0.13900000000000001</v>
      </c>
      <c r="T407" t="s">
        <v>1470</v>
      </c>
    </row>
    <row r="408" spans="1:20" x14ac:dyDescent="0.2">
      <c r="A408" t="s">
        <v>1472</v>
      </c>
      <c r="B408" t="s">
        <v>388</v>
      </c>
      <c r="C408" t="s">
        <v>388</v>
      </c>
      <c r="E408" t="s">
        <v>1473</v>
      </c>
      <c r="F408" t="s">
        <v>1474</v>
      </c>
      <c r="G408">
        <v>1</v>
      </c>
      <c r="H408">
        <v>1620</v>
      </c>
      <c r="I408">
        <v>3</v>
      </c>
      <c r="J408">
        <v>18.5</v>
      </c>
      <c r="K408">
        <v>2</v>
      </c>
      <c r="L408">
        <v>0.52500000000000002</v>
      </c>
      <c r="M408">
        <v>1</v>
      </c>
      <c r="N408">
        <v>112.5</v>
      </c>
      <c r="O408">
        <v>1</v>
      </c>
      <c r="P408">
        <v>0.55000000000000004</v>
      </c>
      <c r="Q408">
        <v>1</v>
      </c>
      <c r="R408">
        <v>2.5000000000000001E-2</v>
      </c>
      <c r="T408" t="s">
        <v>1473</v>
      </c>
    </row>
    <row r="409" spans="1:20" x14ac:dyDescent="0.2">
      <c r="A409" t="s">
        <v>1475</v>
      </c>
      <c r="B409" t="s">
        <v>388</v>
      </c>
      <c r="C409" t="s">
        <v>388</v>
      </c>
      <c r="E409" t="s">
        <v>1476</v>
      </c>
      <c r="F409" t="s">
        <v>1477</v>
      </c>
      <c r="G409">
        <v>3</v>
      </c>
      <c r="H409">
        <v>2040</v>
      </c>
      <c r="I409">
        <v>2</v>
      </c>
      <c r="J409">
        <v>13.5</v>
      </c>
      <c r="K409">
        <v>2</v>
      </c>
      <c r="L409">
        <v>0.52500000000000002</v>
      </c>
      <c r="M409">
        <v>2</v>
      </c>
      <c r="N409">
        <v>207.5</v>
      </c>
      <c r="O409">
        <v>2</v>
      </c>
      <c r="P409">
        <v>1.25</v>
      </c>
      <c r="Q409">
        <v>2</v>
      </c>
      <c r="R409">
        <v>6.3E-2</v>
      </c>
      <c r="T409" t="s">
        <v>1476</v>
      </c>
    </row>
    <row r="410" spans="1:20" x14ac:dyDescent="0.2">
      <c r="A410" t="s">
        <v>1478</v>
      </c>
      <c r="B410" t="s">
        <v>388</v>
      </c>
      <c r="C410" t="s">
        <v>388</v>
      </c>
      <c r="E410" t="s">
        <v>1479</v>
      </c>
      <c r="F410" t="s">
        <v>1480</v>
      </c>
      <c r="G410">
        <v>1</v>
      </c>
      <c r="H410">
        <v>1620</v>
      </c>
      <c r="I410">
        <v>1</v>
      </c>
      <c r="J410">
        <v>8.5</v>
      </c>
      <c r="K410">
        <v>1</v>
      </c>
      <c r="L410">
        <v>0.27500000000000002</v>
      </c>
      <c r="M410">
        <v>1</v>
      </c>
      <c r="N410">
        <v>112.5</v>
      </c>
      <c r="O410">
        <v>1</v>
      </c>
      <c r="P410">
        <v>0.55000000000000004</v>
      </c>
      <c r="Q410">
        <v>1</v>
      </c>
      <c r="R410">
        <v>2.5000000000000001E-2</v>
      </c>
      <c r="T410" t="s">
        <v>1479</v>
      </c>
    </row>
    <row r="411" spans="1:20" x14ac:dyDescent="0.2">
      <c r="A411" t="s">
        <v>1481</v>
      </c>
      <c r="B411" t="s">
        <v>388</v>
      </c>
      <c r="C411" t="s">
        <v>388</v>
      </c>
      <c r="E411" t="s">
        <v>1482</v>
      </c>
      <c r="F411" t="s">
        <v>1483</v>
      </c>
      <c r="G411">
        <v>5</v>
      </c>
      <c r="H411">
        <v>2460</v>
      </c>
      <c r="I411">
        <v>5</v>
      </c>
      <c r="J411">
        <v>28.5</v>
      </c>
      <c r="K411">
        <v>4</v>
      </c>
      <c r="L411">
        <v>1.0249999999999999</v>
      </c>
      <c r="M411">
        <v>5</v>
      </c>
      <c r="N411">
        <v>492.5</v>
      </c>
      <c r="O411">
        <v>5</v>
      </c>
      <c r="P411">
        <v>3.35</v>
      </c>
      <c r="Q411">
        <v>4</v>
      </c>
      <c r="R411">
        <v>0.13900000000000001</v>
      </c>
      <c r="T411" t="s">
        <v>1482</v>
      </c>
    </row>
    <row r="412" spans="1:20" x14ac:dyDescent="0.2">
      <c r="A412" t="s">
        <v>1484</v>
      </c>
      <c r="B412" t="s">
        <v>388</v>
      </c>
      <c r="C412" t="s">
        <v>388</v>
      </c>
      <c r="E412" t="s">
        <v>1485</v>
      </c>
      <c r="F412" t="s">
        <v>1486</v>
      </c>
      <c r="G412">
        <v>4</v>
      </c>
      <c r="H412">
        <v>2250</v>
      </c>
      <c r="I412">
        <v>3</v>
      </c>
      <c r="J412">
        <v>18.5</v>
      </c>
      <c r="K412">
        <v>3</v>
      </c>
      <c r="L412">
        <v>0.77500000000000002</v>
      </c>
      <c r="M412">
        <v>3</v>
      </c>
      <c r="N412">
        <v>302.5</v>
      </c>
      <c r="O412">
        <v>3</v>
      </c>
      <c r="P412">
        <v>1.95</v>
      </c>
      <c r="Q412">
        <v>3</v>
      </c>
      <c r="R412">
        <v>0.10100000000000001</v>
      </c>
      <c r="T412" t="s">
        <v>1485</v>
      </c>
    </row>
    <row r="413" spans="1:20" x14ac:dyDescent="0.2">
      <c r="A413" t="s">
        <v>1487</v>
      </c>
      <c r="B413" t="s">
        <v>388</v>
      </c>
      <c r="C413" t="s">
        <v>388</v>
      </c>
      <c r="E413" t="s">
        <v>1488</v>
      </c>
      <c r="F413" t="s">
        <v>1489</v>
      </c>
      <c r="G413">
        <v>1</v>
      </c>
      <c r="H413">
        <v>1620</v>
      </c>
      <c r="I413">
        <v>1</v>
      </c>
      <c r="J413">
        <v>8.5</v>
      </c>
      <c r="K413">
        <v>1</v>
      </c>
      <c r="L413">
        <v>0.27500000000000002</v>
      </c>
      <c r="M413">
        <v>1</v>
      </c>
      <c r="N413">
        <v>112.5</v>
      </c>
      <c r="O413">
        <v>1</v>
      </c>
      <c r="P413">
        <v>0.55000000000000004</v>
      </c>
      <c r="Q413">
        <v>1</v>
      </c>
      <c r="R413">
        <v>2.5000000000000001E-2</v>
      </c>
      <c r="T413" t="s">
        <v>1488</v>
      </c>
    </row>
    <row r="414" spans="1:20" x14ac:dyDescent="0.2">
      <c r="A414" t="s">
        <v>1490</v>
      </c>
      <c r="B414" t="s">
        <v>388</v>
      </c>
      <c r="C414" t="s">
        <v>388</v>
      </c>
      <c r="E414" t="s">
        <v>1491</v>
      </c>
      <c r="F414" t="s">
        <v>1492</v>
      </c>
      <c r="G414">
        <v>3</v>
      </c>
      <c r="H414">
        <v>2040</v>
      </c>
      <c r="I414">
        <v>3</v>
      </c>
      <c r="J414">
        <v>18.5</v>
      </c>
      <c r="K414">
        <v>3</v>
      </c>
      <c r="L414">
        <v>0.77500000000000002</v>
      </c>
      <c r="M414">
        <v>4</v>
      </c>
      <c r="N414">
        <v>397.5</v>
      </c>
      <c r="O414">
        <v>4</v>
      </c>
      <c r="P414">
        <v>2.65</v>
      </c>
      <c r="Q414">
        <v>4</v>
      </c>
      <c r="R414">
        <v>0.13900000000000001</v>
      </c>
      <c r="T414" t="s">
        <v>1491</v>
      </c>
    </row>
    <row r="415" spans="1:20" x14ac:dyDescent="0.2">
      <c r="A415" t="s">
        <v>1493</v>
      </c>
      <c r="B415" t="s">
        <v>388</v>
      </c>
      <c r="C415" t="s">
        <v>388</v>
      </c>
      <c r="E415" t="s">
        <v>1494</v>
      </c>
      <c r="F415" t="s">
        <v>1495</v>
      </c>
      <c r="G415">
        <v>2</v>
      </c>
      <c r="H415">
        <v>1830</v>
      </c>
      <c r="I415">
        <v>1</v>
      </c>
      <c r="J415">
        <v>8.5</v>
      </c>
      <c r="K415">
        <v>1</v>
      </c>
      <c r="L415">
        <v>0.27500000000000002</v>
      </c>
      <c r="M415">
        <v>2</v>
      </c>
      <c r="N415">
        <v>207.5</v>
      </c>
      <c r="O415">
        <v>2</v>
      </c>
      <c r="P415">
        <v>1.25</v>
      </c>
      <c r="Q415">
        <v>2</v>
      </c>
      <c r="R415">
        <v>6.3E-2</v>
      </c>
      <c r="T415" t="s">
        <v>1494</v>
      </c>
    </row>
    <row r="416" spans="1:20" x14ac:dyDescent="0.2">
      <c r="A416" t="s">
        <v>1496</v>
      </c>
      <c r="B416" t="s">
        <v>388</v>
      </c>
      <c r="C416" t="s">
        <v>388</v>
      </c>
      <c r="E416" t="s">
        <v>1497</v>
      </c>
      <c r="F416" t="s">
        <v>1498</v>
      </c>
      <c r="G416">
        <v>3</v>
      </c>
      <c r="H416">
        <v>2040</v>
      </c>
      <c r="I416">
        <v>3</v>
      </c>
      <c r="J416">
        <v>18.5</v>
      </c>
      <c r="K416">
        <v>3</v>
      </c>
      <c r="L416">
        <v>0.77500000000000002</v>
      </c>
      <c r="M416">
        <v>3</v>
      </c>
      <c r="N416">
        <v>302.5</v>
      </c>
      <c r="O416">
        <v>3</v>
      </c>
      <c r="P416">
        <v>1.95</v>
      </c>
      <c r="Q416">
        <v>2</v>
      </c>
      <c r="R416">
        <v>6.3E-2</v>
      </c>
      <c r="T416" t="s">
        <v>1497</v>
      </c>
    </row>
    <row r="417" spans="1:20" x14ac:dyDescent="0.2">
      <c r="A417" t="s">
        <v>1499</v>
      </c>
      <c r="B417" t="s">
        <v>388</v>
      </c>
      <c r="C417" t="s">
        <v>388</v>
      </c>
      <c r="E417" t="s">
        <v>357</v>
      </c>
      <c r="F417" t="s">
        <v>447</v>
      </c>
      <c r="G417">
        <v>1</v>
      </c>
      <c r="H417">
        <v>1620</v>
      </c>
      <c r="I417">
        <v>1</v>
      </c>
      <c r="J417">
        <v>8.5</v>
      </c>
      <c r="K417">
        <v>1</v>
      </c>
      <c r="L417">
        <v>0.27500000000000002</v>
      </c>
      <c r="M417">
        <v>1</v>
      </c>
      <c r="N417">
        <v>112.5</v>
      </c>
      <c r="O417">
        <v>1</v>
      </c>
      <c r="P417">
        <v>0.55000000000000004</v>
      </c>
      <c r="Q417">
        <v>1</v>
      </c>
      <c r="R417">
        <v>2.5000000000000001E-2</v>
      </c>
      <c r="T417" t="s">
        <v>357</v>
      </c>
    </row>
    <row r="418" spans="1:20" x14ac:dyDescent="0.2">
      <c r="A418" t="s">
        <v>1500</v>
      </c>
      <c r="B418" t="s">
        <v>388</v>
      </c>
      <c r="C418" t="s">
        <v>388</v>
      </c>
      <c r="E418" t="s">
        <v>1501</v>
      </c>
      <c r="F418" t="s">
        <v>1502</v>
      </c>
      <c r="G418">
        <v>5</v>
      </c>
      <c r="H418">
        <v>2460</v>
      </c>
      <c r="I418">
        <v>5</v>
      </c>
      <c r="J418">
        <v>28.5</v>
      </c>
      <c r="K418">
        <v>5</v>
      </c>
      <c r="L418">
        <v>1.2749999999999999</v>
      </c>
      <c r="M418">
        <v>5</v>
      </c>
      <c r="N418">
        <v>492.5</v>
      </c>
      <c r="O418">
        <v>5</v>
      </c>
      <c r="P418">
        <v>3.35</v>
      </c>
      <c r="Q418">
        <v>5</v>
      </c>
      <c r="R418">
        <v>0.17699999999999999</v>
      </c>
      <c r="T418" t="s">
        <v>1501</v>
      </c>
    </row>
    <row r="419" spans="1:20" x14ac:dyDescent="0.2">
      <c r="A419" t="s">
        <v>1503</v>
      </c>
      <c r="B419" t="s">
        <v>388</v>
      </c>
      <c r="C419" t="s">
        <v>388</v>
      </c>
      <c r="E419" t="s">
        <v>1504</v>
      </c>
      <c r="F419" t="s">
        <v>1505</v>
      </c>
      <c r="G419">
        <v>3</v>
      </c>
      <c r="H419">
        <v>2040</v>
      </c>
      <c r="I419">
        <v>3</v>
      </c>
      <c r="J419">
        <v>18.5</v>
      </c>
      <c r="K419">
        <v>3</v>
      </c>
      <c r="L419">
        <v>0.77500000000000002</v>
      </c>
      <c r="M419">
        <v>3</v>
      </c>
      <c r="N419">
        <v>302.5</v>
      </c>
      <c r="O419">
        <v>3</v>
      </c>
      <c r="P419">
        <v>1.95</v>
      </c>
      <c r="Q419">
        <v>3</v>
      </c>
      <c r="R419">
        <v>0.10100000000000001</v>
      </c>
      <c r="T419" t="s">
        <v>1504</v>
      </c>
    </row>
    <row r="420" spans="1:20" x14ac:dyDescent="0.2">
      <c r="A420" t="s">
        <v>1506</v>
      </c>
      <c r="B420" t="s">
        <v>388</v>
      </c>
      <c r="C420" t="s">
        <v>388</v>
      </c>
      <c r="E420" t="s">
        <v>1507</v>
      </c>
      <c r="F420" t="s">
        <v>1508</v>
      </c>
      <c r="G420">
        <v>3</v>
      </c>
      <c r="H420">
        <v>2040</v>
      </c>
      <c r="I420">
        <v>3</v>
      </c>
      <c r="J420">
        <v>18.5</v>
      </c>
      <c r="K420">
        <v>3</v>
      </c>
      <c r="L420">
        <v>0.77500000000000002</v>
      </c>
      <c r="M420">
        <v>3</v>
      </c>
      <c r="N420">
        <v>302.5</v>
      </c>
      <c r="O420">
        <v>3</v>
      </c>
      <c r="P420">
        <v>1.95</v>
      </c>
      <c r="Q420">
        <v>3</v>
      </c>
      <c r="R420">
        <v>0.10100000000000001</v>
      </c>
      <c r="T420" t="s">
        <v>1507</v>
      </c>
    </row>
    <row r="421" spans="1:20" x14ac:dyDescent="0.2">
      <c r="A421" t="s">
        <v>1509</v>
      </c>
      <c r="B421" t="s">
        <v>388</v>
      </c>
      <c r="C421" t="s">
        <v>388</v>
      </c>
      <c r="E421" t="s">
        <v>1510</v>
      </c>
      <c r="F421" t="s">
        <v>1511</v>
      </c>
      <c r="G421">
        <v>4</v>
      </c>
      <c r="H421">
        <v>2250</v>
      </c>
      <c r="I421">
        <v>4</v>
      </c>
      <c r="J421">
        <v>23.5</v>
      </c>
      <c r="K421">
        <v>4</v>
      </c>
      <c r="L421">
        <v>1.0249999999999999</v>
      </c>
      <c r="M421">
        <v>4</v>
      </c>
      <c r="N421">
        <v>397.5</v>
      </c>
      <c r="O421">
        <v>4</v>
      </c>
      <c r="P421">
        <v>2.65</v>
      </c>
      <c r="Q421">
        <v>4</v>
      </c>
      <c r="R421">
        <v>0.13900000000000001</v>
      </c>
      <c r="T421" t="s">
        <v>1510</v>
      </c>
    </row>
    <row r="422" spans="1:20" x14ac:dyDescent="0.2">
      <c r="A422" t="s">
        <v>1512</v>
      </c>
      <c r="B422" t="s">
        <v>388</v>
      </c>
      <c r="C422" t="s">
        <v>388</v>
      </c>
      <c r="E422" t="s">
        <v>1513</v>
      </c>
      <c r="F422" t="s">
        <v>1514</v>
      </c>
      <c r="G422">
        <v>4</v>
      </c>
      <c r="H422">
        <v>2250</v>
      </c>
      <c r="I422">
        <v>3</v>
      </c>
      <c r="J422">
        <v>18.5</v>
      </c>
      <c r="K422">
        <v>3</v>
      </c>
      <c r="L422">
        <v>0.77500000000000002</v>
      </c>
      <c r="M422">
        <v>3</v>
      </c>
      <c r="N422">
        <v>302.5</v>
      </c>
      <c r="O422">
        <v>3</v>
      </c>
      <c r="P422">
        <v>1.95</v>
      </c>
      <c r="Q422">
        <v>4</v>
      </c>
      <c r="R422">
        <v>0.13900000000000001</v>
      </c>
      <c r="T422" t="s">
        <v>1513</v>
      </c>
    </row>
    <row r="423" spans="1:20" x14ac:dyDescent="0.2">
      <c r="A423" t="s">
        <v>1515</v>
      </c>
      <c r="B423" t="s">
        <v>388</v>
      </c>
      <c r="C423" t="s">
        <v>388</v>
      </c>
      <c r="E423" t="s">
        <v>1516</v>
      </c>
      <c r="F423" t="s">
        <v>1517</v>
      </c>
      <c r="G423">
        <v>3</v>
      </c>
      <c r="H423">
        <v>2040</v>
      </c>
      <c r="I423">
        <v>2</v>
      </c>
      <c r="J423">
        <v>13.5</v>
      </c>
      <c r="K423">
        <v>2</v>
      </c>
      <c r="L423">
        <v>0.52500000000000002</v>
      </c>
      <c r="M423">
        <v>3</v>
      </c>
      <c r="N423">
        <v>302.5</v>
      </c>
      <c r="O423">
        <v>3</v>
      </c>
      <c r="P423">
        <v>1.95</v>
      </c>
      <c r="Q423">
        <v>3</v>
      </c>
      <c r="R423">
        <v>0.10100000000000001</v>
      </c>
      <c r="T423" t="s">
        <v>1516</v>
      </c>
    </row>
    <row r="424" spans="1:20" x14ac:dyDescent="0.2">
      <c r="A424" t="s">
        <v>1518</v>
      </c>
      <c r="B424" t="s">
        <v>388</v>
      </c>
      <c r="C424" t="s">
        <v>388</v>
      </c>
      <c r="E424" t="s">
        <v>1519</v>
      </c>
      <c r="F424" t="s">
        <v>447</v>
      </c>
      <c r="G424">
        <v>4</v>
      </c>
      <c r="H424">
        <v>2250</v>
      </c>
      <c r="I424">
        <v>4</v>
      </c>
      <c r="J424">
        <v>23.5</v>
      </c>
      <c r="K424">
        <v>3</v>
      </c>
      <c r="L424">
        <v>0.77500000000000002</v>
      </c>
      <c r="M424">
        <v>3</v>
      </c>
      <c r="N424">
        <v>302.5</v>
      </c>
      <c r="O424">
        <v>3</v>
      </c>
      <c r="P424">
        <v>1.95</v>
      </c>
      <c r="Q424">
        <v>4</v>
      </c>
      <c r="R424">
        <v>0.13900000000000001</v>
      </c>
      <c r="T424" t="s">
        <v>1519</v>
      </c>
    </row>
    <row r="425" spans="1:20" x14ac:dyDescent="0.2">
      <c r="A425" t="s">
        <v>1520</v>
      </c>
      <c r="B425" t="s">
        <v>388</v>
      </c>
      <c r="C425" t="s">
        <v>388</v>
      </c>
      <c r="E425" t="s">
        <v>1521</v>
      </c>
      <c r="F425" t="s">
        <v>1522</v>
      </c>
      <c r="G425">
        <v>2</v>
      </c>
      <c r="H425">
        <v>1830</v>
      </c>
      <c r="I425">
        <v>2</v>
      </c>
      <c r="J425">
        <v>13.5</v>
      </c>
      <c r="K425">
        <v>2</v>
      </c>
      <c r="L425">
        <v>0.52500000000000002</v>
      </c>
      <c r="M425">
        <v>2</v>
      </c>
      <c r="N425">
        <v>207.5</v>
      </c>
      <c r="O425">
        <v>2</v>
      </c>
      <c r="P425">
        <v>1.25</v>
      </c>
      <c r="Q425">
        <v>2</v>
      </c>
      <c r="R425">
        <v>6.3E-2</v>
      </c>
      <c r="T425" t="s">
        <v>1521</v>
      </c>
    </row>
    <row r="426" spans="1:20" x14ac:dyDescent="0.2">
      <c r="A426" t="s">
        <v>1523</v>
      </c>
      <c r="B426" t="s">
        <v>388</v>
      </c>
      <c r="C426" t="s">
        <v>388</v>
      </c>
      <c r="E426" t="s">
        <v>1524</v>
      </c>
      <c r="F426" t="s">
        <v>1525</v>
      </c>
      <c r="G426">
        <v>5</v>
      </c>
      <c r="H426">
        <v>2460</v>
      </c>
      <c r="I426">
        <v>5</v>
      </c>
      <c r="J426">
        <v>28.5</v>
      </c>
      <c r="K426">
        <v>4</v>
      </c>
      <c r="L426">
        <v>1.0249999999999999</v>
      </c>
      <c r="M426">
        <v>4</v>
      </c>
      <c r="N426">
        <v>397.5</v>
      </c>
      <c r="O426">
        <v>5</v>
      </c>
      <c r="P426">
        <v>3.35</v>
      </c>
      <c r="Q426">
        <v>4</v>
      </c>
      <c r="R426">
        <v>0.13900000000000001</v>
      </c>
      <c r="T426" t="s">
        <v>1524</v>
      </c>
    </row>
    <row r="427" spans="1:20" x14ac:dyDescent="0.2">
      <c r="A427" t="s">
        <v>1526</v>
      </c>
      <c r="B427" t="s">
        <v>388</v>
      </c>
      <c r="C427" t="s">
        <v>388</v>
      </c>
      <c r="E427" t="s">
        <v>1527</v>
      </c>
      <c r="F427" t="s">
        <v>1528</v>
      </c>
      <c r="G427">
        <v>5</v>
      </c>
      <c r="H427">
        <v>2460</v>
      </c>
      <c r="I427">
        <v>5</v>
      </c>
      <c r="J427">
        <v>28.5</v>
      </c>
      <c r="K427">
        <v>5</v>
      </c>
      <c r="L427">
        <v>1.2749999999999999</v>
      </c>
      <c r="M427">
        <v>5</v>
      </c>
      <c r="N427">
        <v>492.5</v>
      </c>
      <c r="O427">
        <v>5</v>
      </c>
      <c r="P427">
        <v>3.35</v>
      </c>
      <c r="Q427">
        <v>5</v>
      </c>
      <c r="R427">
        <v>0.17699999999999999</v>
      </c>
      <c r="T427" t="s">
        <v>1527</v>
      </c>
    </row>
    <row r="428" spans="1:20" x14ac:dyDescent="0.2">
      <c r="A428" t="s">
        <v>1529</v>
      </c>
      <c r="B428" t="s">
        <v>388</v>
      </c>
      <c r="C428" t="s">
        <v>388</v>
      </c>
      <c r="E428" t="s">
        <v>1530</v>
      </c>
      <c r="F428" t="s">
        <v>447</v>
      </c>
      <c r="G428">
        <v>2</v>
      </c>
      <c r="H428">
        <v>1830</v>
      </c>
      <c r="I428">
        <v>2</v>
      </c>
      <c r="J428">
        <v>13.5</v>
      </c>
      <c r="K428">
        <v>2</v>
      </c>
      <c r="L428">
        <v>0.52500000000000002</v>
      </c>
      <c r="M428">
        <v>2</v>
      </c>
      <c r="N428">
        <v>207.5</v>
      </c>
      <c r="O428">
        <v>2</v>
      </c>
      <c r="P428">
        <v>1.25</v>
      </c>
      <c r="Q428">
        <v>3</v>
      </c>
      <c r="R428">
        <v>0.10100000000000001</v>
      </c>
      <c r="T428" t="s">
        <v>1530</v>
      </c>
    </row>
    <row r="429" spans="1:20" x14ac:dyDescent="0.2">
      <c r="A429" t="s">
        <v>1531</v>
      </c>
      <c r="B429" t="s">
        <v>388</v>
      </c>
      <c r="C429" t="s">
        <v>388</v>
      </c>
      <c r="E429" t="s">
        <v>1532</v>
      </c>
      <c r="F429" t="s">
        <v>1533</v>
      </c>
      <c r="G429">
        <v>5</v>
      </c>
      <c r="H429">
        <v>2460</v>
      </c>
      <c r="I429">
        <v>5</v>
      </c>
      <c r="J429">
        <v>28.5</v>
      </c>
      <c r="K429">
        <v>5</v>
      </c>
      <c r="L429">
        <v>1.2749999999999999</v>
      </c>
      <c r="M429">
        <v>5</v>
      </c>
      <c r="N429">
        <v>492.5</v>
      </c>
      <c r="O429">
        <v>5</v>
      </c>
      <c r="P429">
        <v>3.35</v>
      </c>
      <c r="Q429">
        <v>4</v>
      </c>
      <c r="R429">
        <v>0.13900000000000001</v>
      </c>
      <c r="T429" t="s">
        <v>1532</v>
      </c>
    </row>
    <row r="430" spans="1:20" x14ac:dyDescent="0.2">
      <c r="A430" t="s">
        <v>1534</v>
      </c>
      <c r="B430" t="s">
        <v>388</v>
      </c>
      <c r="C430" t="s">
        <v>388</v>
      </c>
      <c r="E430" t="s">
        <v>1535</v>
      </c>
      <c r="F430" t="s">
        <v>447</v>
      </c>
      <c r="G430">
        <v>1</v>
      </c>
      <c r="H430">
        <v>1620</v>
      </c>
      <c r="I430">
        <v>3</v>
      </c>
      <c r="J430">
        <v>18.5</v>
      </c>
      <c r="K430">
        <v>2</v>
      </c>
      <c r="L430">
        <v>0.52500000000000002</v>
      </c>
      <c r="M430">
        <v>1</v>
      </c>
      <c r="N430">
        <v>112.5</v>
      </c>
      <c r="O430">
        <v>1</v>
      </c>
      <c r="P430">
        <v>0.55000000000000004</v>
      </c>
      <c r="Q430">
        <v>1</v>
      </c>
      <c r="R430">
        <v>2.5000000000000001E-2</v>
      </c>
      <c r="T430" t="s">
        <v>1535</v>
      </c>
    </row>
    <row r="431" spans="1:20" x14ac:dyDescent="0.2">
      <c r="A431" t="s">
        <v>1536</v>
      </c>
      <c r="B431" t="s">
        <v>388</v>
      </c>
      <c r="C431" t="s">
        <v>388</v>
      </c>
      <c r="E431" t="s">
        <v>1537</v>
      </c>
      <c r="F431" t="s">
        <v>1538</v>
      </c>
      <c r="G431">
        <v>5</v>
      </c>
      <c r="H431">
        <v>2460</v>
      </c>
      <c r="I431">
        <v>5</v>
      </c>
      <c r="J431">
        <v>28.5</v>
      </c>
      <c r="K431">
        <v>4</v>
      </c>
      <c r="L431">
        <v>1.0249999999999999</v>
      </c>
      <c r="M431">
        <v>5</v>
      </c>
      <c r="N431">
        <v>492.5</v>
      </c>
      <c r="O431">
        <v>5</v>
      </c>
      <c r="P431">
        <v>3.35</v>
      </c>
      <c r="Q431">
        <v>4</v>
      </c>
      <c r="R431">
        <v>0.13900000000000001</v>
      </c>
      <c r="T431" t="s">
        <v>1537</v>
      </c>
    </row>
    <row r="432" spans="1:20" x14ac:dyDescent="0.2">
      <c r="A432" t="s">
        <v>1539</v>
      </c>
      <c r="B432" t="s">
        <v>388</v>
      </c>
      <c r="C432" t="s">
        <v>388</v>
      </c>
      <c r="E432" t="s">
        <v>1540</v>
      </c>
      <c r="F432" t="s">
        <v>1541</v>
      </c>
      <c r="G432">
        <v>3</v>
      </c>
      <c r="H432">
        <v>2040</v>
      </c>
      <c r="I432">
        <v>4</v>
      </c>
      <c r="J432">
        <v>23.5</v>
      </c>
      <c r="K432">
        <v>3</v>
      </c>
      <c r="L432">
        <v>0.77500000000000002</v>
      </c>
      <c r="M432">
        <v>2</v>
      </c>
      <c r="N432">
        <v>207.5</v>
      </c>
      <c r="O432">
        <v>2</v>
      </c>
      <c r="P432">
        <v>1.25</v>
      </c>
      <c r="Q432">
        <v>3</v>
      </c>
      <c r="R432">
        <v>0.10100000000000001</v>
      </c>
      <c r="T432" t="s">
        <v>1540</v>
      </c>
    </row>
    <row r="433" spans="1:20" x14ac:dyDescent="0.2">
      <c r="A433" t="s">
        <v>1542</v>
      </c>
      <c r="B433" t="s">
        <v>388</v>
      </c>
      <c r="C433" t="s">
        <v>388</v>
      </c>
      <c r="E433" t="s">
        <v>1543</v>
      </c>
      <c r="F433" t="s">
        <v>1544</v>
      </c>
      <c r="G433">
        <v>5</v>
      </c>
      <c r="H433">
        <v>2460</v>
      </c>
      <c r="I433">
        <v>4</v>
      </c>
      <c r="J433">
        <v>23.5</v>
      </c>
      <c r="K433">
        <v>5</v>
      </c>
      <c r="L433">
        <v>1.2749999999999999</v>
      </c>
      <c r="M433">
        <v>5</v>
      </c>
      <c r="N433">
        <v>492.5</v>
      </c>
      <c r="O433">
        <v>5</v>
      </c>
      <c r="P433">
        <v>3.35</v>
      </c>
      <c r="Q433">
        <v>5</v>
      </c>
      <c r="R433">
        <v>0.17699999999999999</v>
      </c>
      <c r="T433" t="s">
        <v>1543</v>
      </c>
    </row>
    <row r="434" spans="1:20" x14ac:dyDescent="0.2">
      <c r="A434" t="s">
        <v>1545</v>
      </c>
      <c r="B434" t="s">
        <v>388</v>
      </c>
      <c r="C434" t="s">
        <v>388</v>
      </c>
      <c r="E434" t="s">
        <v>1546</v>
      </c>
      <c r="F434" t="s">
        <v>1547</v>
      </c>
      <c r="G434">
        <v>4</v>
      </c>
      <c r="H434">
        <v>2250</v>
      </c>
      <c r="I434">
        <v>4</v>
      </c>
      <c r="J434">
        <v>23.5</v>
      </c>
      <c r="K434">
        <v>4</v>
      </c>
      <c r="L434">
        <v>1.0249999999999999</v>
      </c>
      <c r="M434">
        <v>3</v>
      </c>
      <c r="N434">
        <v>302.5</v>
      </c>
      <c r="O434">
        <v>3</v>
      </c>
      <c r="P434">
        <v>1.95</v>
      </c>
      <c r="Q434">
        <v>5</v>
      </c>
      <c r="R434">
        <v>0.17699999999999999</v>
      </c>
      <c r="T434" t="s">
        <v>1546</v>
      </c>
    </row>
    <row r="435" spans="1:20" x14ac:dyDescent="0.2">
      <c r="A435" t="s">
        <v>1548</v>
      </c>
      <c r="B435" t="s">
        <v>388</v>
      </c>
      <c r="C435" t="s">
        <v>388</v>
      </c>
      <c r="E435" t="s">
        <v>1549</v>
      </c>
      <c r="F435" t="s">
        <v>1550</v>
      </c>
      <c r="G435">
        <v>5</v>
      </c>
      <c r="H435">
        <v>2460</v>
      </c>
      <c r="I435">
        <v>5</v>
      </c>
      <c r="J435">
        <v>28.5</v>
      </c>
      <c r="K435">
        <v>4</v>
      </c>
      <c r="L435">
        <v>1.0249999999999999</v>
      </c>
      <c r="M435">
        <v>4</v>
      </c>
      <c r="N435">
        <v>397.5</v>
      </c>
      <c r="O435">
        <v>4</v>
      </c>
      <c r="P435">
        <v>2.65</v>
      </c>
      <c r="Q435">
        <v>4</v>
      </c>
      <c r="R435">
        <v>0.13900000000000001</v>
      </c>
      <c r="T435" t="s">
        <v>1549</v>
      </c>
    </row>
    <row r="436" spans="1:20" x14ac:dyDescent="0.2">
      <c r="A436" t="s">
        <v>1551</v>
      </c>
      <c r="B436" t="s">
        <v>388</v>
      </c>
      <c r="C436" t="s">
        <v>388</v>
      </c>
      <c r="E436" t="s">
        <v>1552</v>
      </c>
      <c r="F436" t="s">
        <v>1553</v>
      </c>
      <c r="G436">
        <v>2</v>
      </c>
      <c r="H436">
        <v>1830</v>
      </c>
      <c r="I436">
        <v>2</v>
      </c>
      <c r="J436">
        <v>13.5</v>
      </c>
      <c r="K436">
        <v>2</v>
      </c>
      <c r="L436">
        <v>0.52500000000000002</v>
      </c>
      <c r="M436">
        <v>2</v>
      </c>
      <c r="N436">
        <v>207.5</v>
      </c>
      <c r="O436">
        <v>2</v>
      </c>
      <c r="P436">
        <v>1.25</v>
      </c>
      <c r="Q436">
        <v>2</v>
      </c>
      <c r="R436">
        <v>6.3E-2</v>
      </c>
      <c r="T436" t="s">
        <v>1552</v>
      </c>
    </row>
    <row r="437" spans="1:20" x14ac:dyDescent="0.2">
      <c r="A437" t="s">
        <v>1554</v>
      </c>
      <c r="B437" t="s">
        <v>388</v>
      </c>
      <c r="C437" t="s">
        <v>388</v>
      </c>
      <c r="E437" t="s">
        <v>1555</v>
      </c>
      <c r="F437" t="s">
        <v>447</v>
      </c>
      <c r="G437">
        <v>4</v>
      </c>
      <c r="H437">
        <v>2250</v>
      </c>
      <c r="I437">
        <v>4</v>
      </c>
      <c r="J437">
        <v>23.5</v>
      </c>
      <c r="K437">
        <v>4</v>
      </c>
      <c r="L437">
        <v>1.0249999999999999</v>
      </c>
      <c r="M437">
        <v>4</v>
      </c>
      <c r="N437">
        <v>397.5</v>
      </c>
      <c r="O437">
        <v>5</v>
      </c>
      <c r="P437">
        <v>3.35</v>
      </c>
      <c r="Q437">
        <v>5</v>
      </c>
      <c r="R437">
        <v>0.17699999999999999</v>
      </c>
      <c r="T437" t="s">
        <v>1555</v>
      </c>
    </row>
    <row r="438" spans="1:20" x14ac:dyDescent="0.2">
      <c r="A438" t="s">
        <v>1556</v>
      </c>
      <c r="B438" t="s">
        <v>388</v>
      </c>
      <c r="C438" t="s">
        <v>388</v>
      </c>
      <c r="E438" t="s">
        <v>1557</v>
      </c>
      <c r="F438" t="s">
        <v>1558</v>
      </c>
      <c r="G438">
        <v>5</v>
      </c>
      <c r="H438">
        <v>2460</v>
      </c>
      <c r="I438">
        <v>5</v>
      </c>
      <c r="J438">
        <v>28.5</v>
      </c>
      <c r="K438">
        <v>5</v>
      </c>
      <c r="L438">
        <v>1.2749999999999999</v>
      </c>
      <c r="M438">
        <v>5</v>
      </c>
      <c r="N438">
        <v>492.5</v>
      </c>
      <c r="O438">
        <v>5</v>
      </c>
      <c r="P438">
        <v>3.35</v>
      </c>
      <c r="Q438">
        <v>5</v>
      </c>
      <c r="R438">
        <v>0.17699999999999999</v>
      </c>
      <c r="T438" t="s">
        <v>1557</v>
      </c>
    </row>
    <row r="439" spans="1:20" x14ac:dyDescent="0.2">
      <c r="A439" t="s">
        <v>1559</v>
      </c>
      <c r="B439" t="s">
        <v>388</v>
      </c>
      <c r="C439" t="s">
        <v>388</v>
      </c>
      <c r="E439" t="s">
        <v>1560</v>
      </c>
      <c r="F439" t="s">
        <v>1561</v>
      </c>
      <c r="G439">
        <v>5</v>
      </c>
      <c r="H439">
        <v>2460</v>
      </c>
      <c r="I439">
        <v>5</v>
      </c>
      <c r="J439">
        <v>28.5</v>
      </c>
      <c r="K439">
        <v>4</v>
      </c>
      <c r="L439">
        <v>1.0249999999999999</v>
      </c>
      <c r="M439">
        <v>5</v>
      </c>
      <c r="N439">
        <v>492.5</v>
      </c>
      <c r="O439">
        <v>5</v>
      </c>
      <c r="P439">
        <v>3.35</v>
      </c>
      <c r="Q439">
        <v>4</v>
      </c>
      <c r="R439">
        <v>0.13900000000000001</v>
      </c>
      <c r="T439" t="s">
        <v>1560</v>
      </c>
    </row>
    <row r="440" spans="1:20" x14ac:dyDescent="0.2">
      <c r="A440" t="s">
        <v>1562</v>
      </c>
      <c r="B440" t="s">
        <v>388</v>
      </c>
      <c r="C440" t="s">
        <v>388</v>
      </c>
      <c r="E440" t="s">
        <v>1563</v>
      </c>
      <c r="F440" t="s">
        <v>1564</v>
      </c>
      <c r="G440">
        <v>4</v>
      </c>
      <c r="H440">
        <v>2250</v>
      </c>
      <c r="I440">
        <v>4</v>
      </c>
      <c r="J440">
        <v>23.5</v>
      </c>
      <c r="K440">
        <v>4</v>
      </c>
      <c r="L440">
        <v>1.0249999999999999</v>
      </c>
      <c r="M440">
        <v>4</v>
      </c>
      <c r="N440">
        <v>397.5</v>
      </c>
      <c r="O440">
        <v>4</v>
      </c>
      <c r="P440">
        <v>2.65</v>
      </c>
      <c r="Q440">
        <v>4</v>
      </c>
      <c r="R440">
        <v>0.13900000000000001</v>
      </c>
      <c r="T440" t="s">
        <v>1563</v>
      </c>
    </row>
    <row r="441" spans="1:20" x14ac:dyDescent="0.2">
      <c r="A441" t="s">
        <v>1565</v>
      </c>
      <c r="B441" t="s">
        <v>388</v>
      </c>
      <c r="C441" t="s">
        <v>388</v>
      </c>
      <c r="E441" t="s">
        <v>1566</v>
      </c>
      <c r="F441" t="s">
        <v>1567</v>
      </c>
      <c r="G441">
        <v>5</v>
      </c>
      <c r="H441">
        <v>2460</v>
      </c>
      <c r="I441">
        <v>5</v>
      </c>
      <c r="J441">
        <v>28.5</v>
      </c>
      <c r="K441">
        <v>5</v>
      </c>
      <c r="L441">
        <v>1.2749999999999999</v>
      </c>
      <c r="M441">
        <v>5</v>
      </c>
      <c r="N441">
        <v>492.5</v>
      </c>
      <c r="O441">
        <v>5</v>
      </c>
      <c r="P441">
        <v>3.35</v>
      </c>
      <c r="Q441">
        <v>5</v>
      </c>
      <c r="R441">
        <v>0.17699999999999999</v>
      </c>
      <c r="T441" t="s">
        <v>1566</v>
      </c>
    </row>
    <row r="442" spans="1:20" x14ac:dyDescent="0.2">
      <c r="A442" t="s">
        <v>1568</v>
      </c>
      <c r="B442" t="s">
        <v>388</v>
      </c>
      <c r="C442" t="s">
        <v>388</v>
      </c>
      <c r="E442" t="s">
        <v>1569</v>
      </c>
      <c r="F442" t="s">
        <v>1570</v>
      </c>
      <c r="G442">
        <v>4</v>
      </c>
      <c r="H442">
        <v>2250</v>
      </c>
      <c r="I442">
        <v>5</v>
      </c>
      <c r="J442">
        <v>28.5</v>
      </c>
      <c r="K442">
        <v>4</v>
      </c>
      <c r="L442">
        <v>1.0249999999999999</v>
      </c>
      <c r="M442">
        <v>4</v>
      </c>
      <c r="N442">
        <v>397.5</v>
      </c>
      <c r="O442">
        <v>4</v>
      </c>
      <c r="P442">
        <v>2.65</v>
      </c>
      <c r="Q442">
        <v>4</v>
      </c>
      <c r="R442">
        <v>0.13900000000000001</v>
      </c>
      <c r="T442" t="s">
        <v>1569</v>
      </c>
    </row>
    <row r="443" spans="1:20" x14ac:dyDescent="0.2">
      <c r="A443" t="s">
        <v>1571</v>
      </c>
      <c r="B443" t="s">
        <v>388</v>
      </c>
      <c r="C443" t="s">
        <v>388</v>
      </c>
      <c r="E443" t="s">
        <v>1572</v>
      </c>
      <c r="F443" t="s">
        <v>1573</v>
      </c>
      <c r="G443">
        <v>2</v>
      </c>
      <c r="H443">
        <v>1830</v>
      </c>
      <c r="I443">
        <v>2</v>
      </c>
      <c r="J443">
        <v>13.5</v>
      </c>
      <c r="K443">
        <v>2</v>
      </c>
      <c r="L443">
        <v>0.52500000000000002</v>
      </c>
      <c r="M443">
        <v>2</v>
      </c>
      <c r="N443">
        <v>207.5</v>
      </c>
      <c r="O443">
        <v>2</v>
      </c>
      <c r="P443">
        <v>1.25</v>
      </c>
      <c r="Q443">
        <v>2</v>
      </c>
      <c r="R443">
        <v>6.3E-2</v>
      </c>
      <c r="T443" t="s">
        <v>1572</v>
      </c>
    </row>
    <row r="444" spans="1:20" x14ac:dyDescent="0.2">
      <c r="A444" t="s">
        <v>1574</v>
      </c>
      <c r="B444" t="s">
        <v>388</v>
      </c>
      <c r="C444" t="s">
        <v>388</v>
      </c>
      <c r="E444" t="s">
        <v>1575</v>
      </c>
      <c r="F444" t="s">
        <v>1576</v>
      </c>
      <c r="G444">
        <v>5</v>
      </c>
      <c r="H444">
        <v>2460</v>
      </c>
      <c r="I444">
        <v>5</v>
      </c>
      <c r="J444">
        <v>28.5</v>
      </c>
      <c r="K444">
        <v>5</v>
      </c>
      <c r="L444">
        <v>1.2749999999999999</v>
      </c>
      <c r="M444">
        <v>5</v>
      </c>
      <c r="N444">
        <v>492.5</v>
      </c>
      <c r="O444">
        <v>5</v>
      </c>
      <c r="P444">
        <v>3.35</v>
      </c>
      <c r="Q444">
        <v>5</v>
      </c>
      <c r="R444">
        <v>0.17699999999999999</v>
      </c>
      <c r="T444" t="s">
        <v>1575</v>
      </c>
    </row>
    <row r="445" spans="1:20" x14ac:dyDescent="0.2">
      <c r="A445" t="s">
        <v>1577</v>
      </c>
      <c r="B445" t="s">
        <v>388</v>
      </c>
      <c r="C445" t="s">
        <v>388</v>
      </c>
      <c r="E445" t="s">
        <v>1578</v>
      </c>
      <c r="F445" t="s">
        <v>1579</v>
      </c>
      <c r="G445">
        <v>1</v>
      </c>
      <c r="H445">
        <v>1620</v>
      </c>
      <c r="I445">
        <v>3</v>
      </c>
      <c r="J445">
        <v>18.5</v>
      </c>
      <c r="K445">
        <v>2</v>
      </c>
      <c r="L445">
        <v>0.52500000000000002</v>
      </c>
      <c r="M445">
        <v>1</v>
      </c>
      <c r="N445">
        <v>112.5</v>
      </c>
      <c r="O445">
        <v>1</v>
      </c>
      <c r="P445">
        <v>0.55000000000000004</v>
      </c>
      <c r="Q445">
        <v>1</v>
      </c>
      <c r="R445">
        <v>2.5000000000000001E-2</v>
      </c>
      <c r="T445" t="s">
        <v>1578</v>
      </c>
    </row>
    <row r="446" spans="1:20" x14ac:dyDescent="0.2">
      <c r="A446" t="s">
        <v>1580</v>
      </c>
      <c r="B446" t="s">
        <v>388</v>
      </c>
      <c r="C446" t="s">
        <v>388</v>
      </c>
      <c r="E446" t="s">
        <v>1578</v>
      </c>
      <c r="F446" t="s">
        <v>1579</v>
      </c>
      <c r="G446">
        <v>5</v>
      </c>
      <c r="H446">
        <v>2460</v>
      </c>
      <c r="I446">
        <v>5</v>
      </c>
      <c r="J446">
        <v>28.5</v>
      </c>
      <c r="K446">
        <v>5</v>
      </c>
      <c r="L446">
        <v>1.2749999999999999</v>
      </c>
      <c r="M446">
        <v>5</v>
      </c>
      <c r="N446">
        <v>492.5</v>
      </c>
      <c r="O446">
        <v>5</v>
      </c>
      <c r="P446">
        <v>3.35</v>
      </c>
      <c r="Q446">
        <v>5</v>
      </c>
      <c r="R446">
        <v>0.17699999999999999</v>
      </c>
      <c r="T446" t="s">
        <v>1578</v>
      </c>
    </row>
    <row r="447" spans="1:20" x14ac:dyDescent="0.2">
      <c r="A447" t="s">
        <v>1581</v>
      </c>
      <c r="B447" t="s">
        <v>388</v>
      </c>
      <c r="C447" t="s">
        <v>388</v>
      </c>
      <c r="E447" t="s">
        <v>1582</v>
      </c>
      <c r="F447" t="s">
        <v>1583</v>
      </c>
      <c r="G447">
        <v>5</v>
      </c>
      <c r="H447">
        <v>2460</v>
      </c>
      <c r="I447">
        <v>5</v>
      </c>
      <c r="J447">
        <v>28.5</v>
      </c>
      <c r="K447">
        <v>5</v>
      </c>
      <c r="L447">
        <v>1.2749999999999999</v>
      </c>
      <c r="M447">
        <v>5</v>
      </c>
      <c r="N447">
        <v>492.5</v>
      </c>
      <c r="O447">
        <v>5</v>
      </c>
      <c r="P447">
        <v>3.35</v>
      </c>
      <c r="Q447">
        <v>5</v>
      </c>
      <c r="R447">
        <v>0.17699999999999999</v>
      </c>
      <c r="T447" t="s">
        <v>1582</v>
      </c>
    </row>
    <row r="448" spans="1:20" x14ac:dyDescent="0.2">
      <c r="A448" t="s">
        <v>1584</v>
      </c>
      <c r="B448" t="s">
        <v>388</v>
      </c>
      <c r="C448" t="s">
        <v>388</v>
      </c>
      <c r="E448" t="s">
        <v>1585</v>
      </c>
      <c r="F448" t="s">
        <v>1586</v>
      </c>
      <c r="G448">
        <v>5</v>
      </c>
      <c r="H448">
        <v>2460</v>
      </c>
      <c r="I448">
        <v>5</v>
      </c>
      <c r="J448">
        <v>28.5</v>
      </c>
      <c r="K448">
        <v>5</v>
      </c>
      <c r="L448">
        <v>1.2749999999999999</v>
      </c>
      <c r="M448">
        <v>4</v>
      </c>
      <c r="N448">
        <v>397.5</v>
      </c>
      <c r="O448">
        <v>4</v>
      </c>
      <c r="P448">
        <v>2.65</v>
      </c>
      <c r="Q448">
        <v>4</v>
      </c>
      <c r="R448">
        <v>0.13900000000000001</v>
      </c>
      <c r="T448" t="s">
        <v>1585</v>
      </c>
    </row>
    <row r="449" spans="1:20" x14ac:dyDescent="0.2">
      <c r="A449" t="s">
        <v>1587</v>
      </c>
      <c r="B449" t="s">
        <v>388</v>
      </c>
      <c r="C449" t="s">
        <v>388</v>
      </c>
      <c r="E449" t="s">
        <v>1588</v>
      </c>
      <c r="F449" t="s">
        <v>1589</v>
      </c>
      <c r="G449">
        <v>5</v>
      </c>
      <c r="H449">
        <v>2460</v>
      </c>
      <c r="I449">
        <v>5</v>
      </c>
      <c r="J449">
        <v>28.5</v>
      </c>
      <c r="K449">
        <v>5</v>
      </c>
      <c r="L449">
        <v>1.2749999999999999</v>
      </c>
      <c r="M449">
        <v>5</v>
      </c>
      <c r="N449">
        <v>492.5</v>
      </c>
      <c r="O449">
        <v>5</v>
      </c>
      <c r="P449">
        <v>3.35</v>
      </c>
      <c r="Q449">
        <v>5</v>
      </c>
      <c r="R449">
        <v>0.17699999999999999</v>
      </c>
      <c r="T449" t="s">
        <v>1588</v>
      </c>
    </row>
    <row r="450" spans="1:20" x14ac:dyDescent="0.2">
      <c r="A450" t="s">
        <v>1590</v>
      </c>
      <c r="B450" t="s">
        <v>388</v>
      </c>
      <c r="C450" t="s">
        <v>388</v>
      </c>
      <c r="E450" t="s">
        <v>1591</v>
      </c>
      <c r="F450" t="s">
        <v>1592</v>
      </c>
      <c r="G450">
        <v>1</v>
      </c>
      <c r="H450">
        <v>1620</v>
      </c>
      <c r="I450">
        <v>1</v>
      </c>
      <c r="J450">
        <v>8.5</v>
      </c>
      <c r="K450">
        <v>1</v>
      </c>
      <c r="L450">
        <v>0.27500000000000002</v>
      </c>
      <c r="M450">
        <v>1</v>
      </c>
      <c r="N450">
        <v>112.5</v>
      </c>
      <c r="O450">
        <v>1</v>
      </c>
      <c r="P450">
        <v>0.55000000000000004</v>
      </c>
      <c r="Q450">
        <v>1</v>
      </c>
      <c r="R450">
        <v>2.5000000000000001E-2</v>
      </c>
      <c r="T450" t="s">
        <v>1591</v>
      </c>
    </row>
    <row r="451" spans="1:20" x14ac:dyDescent="0.2">
      <c r="A451" t="s">
        <v>1593</v>
      </c>
      <c r="B451" t="s">
        <v>388</v>
      </c>
      <c r="C451" t="s">
        <v>388</v>
      </c>
      <c r="E451" t="s">
        <v>357</v>
      </c>
      <c r="F451" t="s">
        <v>447</v>
      </c>
      <c r="G451">
        <v>1</v>
      </c>
      <c r="H451">
        <v>1620</v>
      </c>
      <c r="I451">
        <v>1</v>
      </c>
      <c r="J451">
        <v>8.5</v>
      </c>
      <c r="K451">
        <v>1</v>
      </c>
      <c r="L451">
        <v>0.27500000000000002</v>
      </c>
      <c r="M451">
        <v>2</v>
      </c>
      <c r="N451">
        <v>207.5</v>
      </c>
      <c r="O451">
        <v>2</v>
      </c>
      <c r="P451">
        <v>1.25</v>
      </c>
      <c r="Q451">
        <v>2</v>
      </c>
      <c r="R451">
        <v>6.3E-2</v>
      </c>
      <c r="T451" t="s">
        <v>357</v>
      </c>
    </row>
    <row r="452" spans="1:20" x14ac:dyDescent="0.2">
      <c r="A452" t="s">
        <v>1594</v>
      </c>
      <c r="B452" t="s">
        <v>388</v>
      </c>
      <c r="C452" t="s">
        <v>388</v>
      </c>
      <c r="E452" t="s">
        <v>1595</v>
      </c>
      <c r="F452" t="s">
        <v>1596</v>
      </c>
      <c r="G452">
        <v>5</v>
      </c>
      <c r="H452">
        <v>2460</v>
      </c>
      <c r="I452">
        <v>5</v>
      </c>
      <c r="J452">
        <v>28.5</v>
      </c>
      <c r="K452">
        <v>5</v>
      </c>
      <c r="L452">
        <v>1.2749999999999999</v>
      </c>
      <c r="M452">
        <v>5</v>
      </c>
      <c r="N452">
        <v>492.5</v>
      </c>
      <c r="O452">
        <v>5</v>
      </c>
      <c r="P452">
        <v>3.35</v>
      </c>
      <c r="Q452">
        <v>5</v>
      </c>
      <c r="R452">
        <v>0.17699999999999999</v>
      </c>
      <c r="T452" t="s">
        <v>1595</v>
      </c>
    </row>
    <row r="453" spans="1:20" x14ac:dyDescent="0.2">
      <c r="A453" t="s">
        <v>1597</v>
      </c>
      <c r="B453" t="s">
        <v>388</v>
      </c>
      <c r="C453" t="s">
        <v>388</v>
      </c>
      <c r="E453" t="s">
        <v>1598</v>
      </c>
      <c r="F453" t="s">
        <v>1599</v>
      </c>
      <c r="G453">
        <v>1</v>
      </c>
      <c r="H453">
        <v>1620</v>
      </c>
      <c r="I453">
        <v>1</v>
      </c>
      <c r="J453">
        <v>8.5</v>
      </c>
      <c r="K453">
        <v>1</v>
      </c>
      <c r="L453">
        <v>0.27500000000000002</v>
      </c>
      <c r="M453">
        <v>1</v>
      </c>
      <c r="N453">
        <v>112.5</v>
      </c>
      <c r="O453">
        <v>1</v>
      </c>
      <c r="P453">
        <v>0.55000000000000004</v>
      </c>
      <c r="Q453">
        <v>1</v>
      </c>
      <c r="R453">
        <v>2.5000000000000001E-2</v>
      </c>
      <c r="T453" t="s">
        <v>1598</v>
      </c>
    </row>
    <row r="454" spans="1:20" x14ac:dyDescent="0.2">
      <c r="A454" t="s">
        <v>1600</v>
      </c>
      <c r="B454" t="s">
        <v>388</v>
      </c>
      <c r="C454" t="s">
        <v>388</v>
      </c>
      <c r="E454" t="s">
        <v>1601</v>
      </c>
      <c r="F454" t="s">
        <v>1602</v>
      </c>
      <c r="G454">
        <v>4</v>
      </c>
      <c r="H454">
        <v>2250</v>
      </c>
      <c r="I454">
        <v>4</v>
      </c>
      <c r="J454">
        <v>23.5</v>
      </c>
      <c r="K454">
        <v>4</v>
      </c>
      <c r="L454">
        <v>1.0249999999999999</v>
      </c>
      <c r="M454">
        <v>4</v>
      </c>
      <c r="N454">
        <v>397.5</v>
      </c>
      <c r="O454">
        <v>4</v>
      </c>
      <c r="P454">
        <v>2.65</v>
      </c>
      <c r="Q454">
        <v>5</v>
      </c>
      <c r="R454">
        <v>0.17699999999999999</v>
      </c>
      <c r="T454" t="s">
        <v>1601</v>
      </c>
    </row>
    <row r="455" spans="1:20" x14ac:dyDescent="0.2">
      <c r="A455" t="s">
        <v>1603</v>
      </c>
      <c r="B455" t="s">
        <v>388</v>
      </c>
      <c r="C455" t="s">
        <v>388</v>
      </c>
      <c r="E455" t="s">
        <v>1604</v>
      </c>
      <c r="F455" t="s">
        <v>1605</v>
      </c>
      <c r="G455">
        <v>2</v>
      </c>
      <c r="H455">
        <v>1830</v>
      </c>
      <c r="I455">
        <v>1</v>
      </c>
      <c r="J455">
        <v>8.5</v>
      </c>
      <c r="K455">
        <v>1</v>
      </c>
      <c r="L455">
        <v>0.27500000000000002</v>
      </c>
      <c r="M455">
        <v>1</v>
      </c>
      <c r="N455">
        <v>112.5</v>
      </c>
      <c r="O455">
        <v>1</v>
      </c>
      <c r="P455">
        <v>0.55000000000000004</v>
      </c>
      <c r="Q455">
        <v>1</v>
      </c>
      <c r="R455">
        <v>2.5000000000000001E-2</v>
      </c>
      <c r="T455" t="s">
        <v>1604</v>
      </c>
    </row>
    <row r="456" spans="1:20" x14ac:dyDescent="0.2">
      <c r="A456" t="s">
        <v>1606</v>
      </c>
      <c r="B456" t="s">
        <v>388</v>
      </c>
      <c r="C456" t="s">
        <v>388</v>
      </c>
      <c r="E456" t="s">
        <v>1607</v>
      </c>
      <c r="F456" t="s">
        <v>1608</v>
      </c>
      <c r="G456">
        <v>2</v>
      </c>
      <c r="H456">
        <v>1830</v>
      </c>
      <c r="I456">
        <v>2</v>
      </c>
      <c r="J456">
        <v>13.5</v>
      </c>
      <c r="K456">
        <v>2</v>
      </c>
      <c r="L456">
        <v>0.52500000000000002</v>
      </c>
      <c r="M456">
        <v>3</v>
      </c>
      <c r="N456">
        <v>302.5</v>
      </c>
      <c r="O456">
        <v>3</v>
      </c>
      <c r="P456">
        <v>1.95</v>
      </c>
      <c r="Q456">
        <v>2</v>
      </c>
      <c r="R456">
        <v>6.3E-2</v>
      </c>
      <c r="T456" t="s">
        <v>1607</v>
      </c>
    </row>
    <row r="457" spans="1:20" x14ac:dyDescent="0.2">
      <c r="A457" t="s">
        <v>1609</v>
      </c>
      <c r="B457" t="s">
        <v>388</v>
      </c>
      <c r="C457" t="s">
        <v>388</v>
      </c>
      <c r="E457" t="s">
        <v>803</v>
      </c>
      <c r="F457" t="s">
        <v>1267</v>
      </c>
      <c r="G457">
        <v>3</v>
      </c>
      <c r="H457">
        <v>2040</v>
      </c>
      <c r="I457">
        <v>3</v>
      </c>
      <c r="J457">
        <v>18.5</v>
      </c>
      <c r="K457">
        <v>3</v>
      </c>
      <c r="L457">
        <v>0.77500000000000002</v>
      </c>
      <c r="M457">
        <v>3</v>
      </c>
      <c r="N457">
        <v>302.5</v>
      </c>
      <c r="O457">
        <v>3</v>
      </c>
      <c r="P457">
        <v>1.95</v>
      </c>
      <c r="Q457">
        <v>3</v>
      </c>
      <c r="R457">
        <v>0.10100000000000001</v>
      </c>
      <c r="T457" t="s">
        <v>803</v>
      </c>
    </row>
    <row r="458" spans="1:20" x14ac:dyDescent="0.2">
      <c r="A458" t="s">
        <v>1610</v>
      </c>
      <c r="B458" t="s">
        <v>388</v>
      </c>
      <c r="C458" t="s">
        <v>388</v>
      </c>
      <c r="E458" t="s">
        <v>1611</v>
      </c>
      <c r="F458" t="s">
        <v>1612</v>
      </c>
      <c r="G458">
        <v>2</v>
      </c>
      <c r="H458">
        <v>1830</v>
      </c>
      <c r="I458">
        <v>1</v>
      </c>
      <c r="J458">
        <v>8.5</v>
      </c>
      <c r="K458">
        <v>1</v>
      </c>
      <c r="L458">
        <v>0.27500000000000002</v>
      </c>
      <c r="M458">
        <v>1</v>
      </c>
      <c r="N458">
        <v>112.5</v>
      </c>
      <c r="O458">
        <v>1</v>
      </c>
      <c r="P458">
        <v>0.55000000000000004</v>
      </c>
      <c r="Q458">
        <v>1</v>
      </c>
      <c r="R458">
        <v>2.5000000000000001E-2</v>
      </c>
      <c r="T458" t="s">
        <v>1611</v>
      </c>
    </row>
    <row r="459" spans="1:20" x14ac:dyDescent="0.2">
      <c r="A459" t="s">
        <v>1613</v>
      </c>
      <c r="B459" t="s">
        <v>388</v>
      </c>
      <c r="C459" t="s">
        <v>388</v>
      </c>
      <c r="E459" t="s">
        <v>337</v>
      </c>
      <c r="F459" t="s">
        <v>1614</v>
      </c>
      <c r="G459">
        <v>1</v>
      </c>
      <c r="H459">
        <v>1620</v>
      </c>
      <c r="I459">
        <v>2</v>
      </c>
      <c r="J459">
        <v>13.5</v>
      </c>
      <c r="K459">
        <v>1</v>
      </c>
      <c r="L459">
        <v>0.27500000000000002</v>
      </c>
      <c r="M459">
        <v>1</v>
      </c>
      <c r="N459">
        <v>112.5</v>
      </c>
      <c r="O459">
        <v>2</v>
      </c>
      <c r="P459">
        <v>1.25</v>
      </c>
      <c r="Q459">
        <v>4</v>
      </c>
      <c r="R459">
        <v>0.13900000000000001</v>
      </c>
      <c r="T459" t="s">
        <v>337</v>
      </c>
    </row>
    <row r="460" spans="1:20" x14ac:dyDescent="0.2">
      <c r="A460" t="s">
        <v>1615</v>
      </c>
      <c r="B460" t="s">
        <v>388</v>
      </c>
      <c r="C460" t="s">
        <v>388</v>
      </c>
      <c r="E460" t="s">
        <v>1616</v>
      </c>
      <c r="F460" t="s">
        <v>1617</v>
      </c>
      <c r="G460">
        <v>5</v>
      </c>
      <c r="H460">
        <v>2460</v>
      </c>
      <c r="I460">
        <v>5</v>
      </c>
      <c r="J460">
        <v>28.5</v>
      </c>
      <c r="K460">
        <v>4</v>
      </c>
      <c r="L460">
        <v>1.0249999999999999</v>
      </c>
      <c r="M460">
        <v>4</v>
      </c>
      <c r="N460">
        <v>397.5</v>
      </c>
      <c r="O460">
        <v>5</v>
      </c>
      <c r="P460">
        <v>3.35</v>
      </c>
      <c r="Q460">
        <v>4</v>
      </c>
      <c r="R460">
        <v>0.13900000000000001</v>
      </c>
      <c r="T460" t="s">
        <v>1616</v>
      </c>
    </row>
    <row r="461" spans="1:20" x14ac:dyDescent="0.2">
      <c r="A461" t="s">
        <v>1618</v>
      </c>
      <c r="B461" t="s">
        <v>388</v>
      </c>
      <c r="C461" t="s">
        <v>388</v>
      </c>
      <c r="E461" t="s">
        <v>1619</v>
      </c>
      <c r="F461" t="s">
        <v>1620</v>
      </c>
      <c r="G461">
        <v>3</v>
      </c>
      <c r="H461">
        <v>2040</v>
      </c>
      <c r="I461">
        <v>3</v>
      </c>
      <c r="J461">
        <v>18.5</v>
      </c>
      <c r="K461">
        <v>3</v>
      </c>
      <c r="L461">
        <v>0.77500000000000002</v>
      </c>
      <c r="M461">
        <v>3</v>
      </c>
      <c r="N461">
        <v>302.5</v>
      </c>
      <c r="O461">
        <v>3</v>
      </c>
      <c r="P461">
        <v>1.95</v>
      </c>
      <c r="Q461">
        <v>3</v>
      </c>
      <c r="R461">
        <v>0.10100000000000001</v>
      </c>
      <c r="T461" t="s">
        <v>1619</v>
      </c>
    </row>
    <row r="462" spans="1:20" x14ac:dyDescent="0.2">
      <c r="A462" t="s">
        <v>1621</v>
      </c>
      <c r="B462" t="s">
        <v>388</v>
      </c>
      <c r="C462" t="s">
        <v>388</v>
      </c>
      <c r="E462" t="s">
        <v>1622</v>
      </c>
      <c r="F462" t="s">
        <v>1623</v>
      </c>
      <c r="G462">
        <v>5</v>
      </c>
      <c r="H462">
        <v>2460</v>
      </c>
      <c r="I462">
        <v>5</v>
      </c>
      <c r="J462">
        <v>28.5</v>
      </c>
      <c r="K462">
        <v>5</v>
      </c>
      <c r="L462">
        <v>1.2749999999999999</v>
      </c>
      <c r="M462">
        <v>5</v>
      </c>
      <c r="N462">
        <v>492.5</v>
      </c>
      <c r="O462">
        <v>5</v>
      </c>
      <c r="P462">
        <v>3.35</v>
      </c>
      <c r="Q462">
        <v>5</v>
      </c>
      <c r="R462">
        <v>0.17699999999999999</v>
      </c>
      <c r="T462" t="s">
        <v>1622</v>
      </c>
    </row>
    <row r="463" spans="1:20" x14ac:dyDescent="0.2">
      <c r="A463" t="s">
        <v>1624</v>
      </c>
      <c r="B463" t="s">
        <v>388</v>
      </c>
      <c r="C463" t="s">
        <v>388</v>
      </c>
      <c r="E463" t="s">
        <v>1622</v>
      </c>
      <c r="F463" t="s">
        <v>1623</v>
      </c>
      <c r="G463">
        <v>4</v>
      </c>
      <c r="H463">
        <v>2250</v>
      </c>
      <c r="I463">
        <v>4</v>
      </c>
      <c r="J463">
        <v>23.5</v>
      </c>
      <c r="K463">
        <v>4</v>
      </c>
      <c r="L463">
        <v>1.0249999999999999</v>
      </c>
      <c r="M463">
        <v>4</v>
      </c>
      <c r="N463">
        <v>397.5</v>
      </c>
      <c r="O463">
        <v>4</v>
      </c>
      <c r="P463">
        <v>2.65</v>
      </c>
      <c r="Q463">
        <v>4</v>
      </c>
      <c r="R463">
        <v>0.13900000000000001</v>
      </c>
      <c r="T463" t="s">
        <v>1622</v>
      </c>
    </row>
    <row r="464" spans="1:20" x14ac:dyDescent="0.2">
      <c r="A464" t="s">
        <v>1625</v>
      </c>
      <c r="B464" t="s">
        <v>388</v>
      </c>
      <c r="C464" t="s">
        <v>388</v>
      </c>
      <c r="E464" t="s">
        <v>1622</v>
      </c>
      <c r="F464" t="s">
        <v>1623</v>
      </c>
      <c r="G464">
        <v>5</v>
      </c>
      <c r="H464">
        <v>2460</v>
      </c>
      <c r="I464">
        <v>5</v>
      </c>
      <c r="J464">
        <v>28.5</v>
      </c>
      <c r="K464">
        <v>5</v>
      </c>
      <c r="L464">
        <v>1.2749999999999999</v>
      </c>
      <c r="M464">
        <v>5</v>
      </c>
      <c r="N464">
        <v>492.5</v>
      </c>
      <c r="O464">
        <v>5</v>
      </c>
      <c r="P464">
        <v>3.35</v>
      </c>
      <c r="Q464">
        <v>5</v>
      </c>
      <c r="R464">
        <v>0.17699999999999999</v>
      </c>
      <c r="T464" t="s">
        <v>1622</v>
      </c>
    </row>
    <row r="465" spans="1:20" x14ac:dyDescent="0.2">
      <c r="A465" t="s">
        <v>1626</v>
      </c>
      <c r="B465" t="s">
        <v>388</v>
      </c>
      <c r="C465" t="s">
        <v>388</v>
      </c>
      <c r="E465" t="s">
        <v>1627</v>
      </c>
      <c r="F465" t="s">
        <v>1628</v>
      </c>
      <c r="G465">
        <v>1</v>
      </c>
      <c r="H465">
        <v>1620</v>
      </c>
      <c r="I465">
        <v>3</v>
      </c>
      <c r="J465">
        <v>18.5</v>
      </c>
      <c r="K465">
        <v>2</v>
      </c>
      <c r="L465">
        <v>0.52500000000000002</v>
      </c>
      <c r="M465">
        <v>1</v>
      </c>
      <c r="N465">
        <v>112.5</v>
      </c>
      <c r="O465">
        <v>2</v>
      </c>
      <c r="P465">
        <v>1.25</v>
      </c>
      <c r="Q465">
        <v>2</v>
      </c>
      <c r="R465">
        <v>6.3E-2</v>
      </c>
      <c r="T465" t="s">
        <v>1627</v>
      </c>
    </row>
    <row r="466" spans="1:20" x14ac:dyDescent="0.2">
      <c r="A466" t="s">
        <v>1629</v>
      </c>
      <c r="B466" t="s">
        <v>388</v>
      </c>
      <c r="C466" t="s">
        <v>388</v>
      </c>
      <c r="E466" t="s">
        <v>1630</v>
      </c>
      <c r="F466" t="s">
        <v>1631</v>
      </c>
      <c r="G466">
        <v>2</v>
      </c>
      <c r="H466">
        <v>1830</v>
      </c>
      <c r="I466">
        <v>1</v>
      </c>
      <c r="J466">
        <v>8.5</v>
      </c>
      <c r="K466">
        <v>2</v>
      </c>
      <c r="L466">
        <v>0.52500000000000002</v>
      </c>
      <c r="M466">
        <v>4</v>
      </c>
      <c r="N466">
        <v>397.5</v>
      </c>
      <c r="O466">
        <v>5</v>
      </c>
      <c r="P466">
        <v>3.35</v>
      </c>
      <c r="Q466">
        <v>5</v>
      </c>
      <c r="R466">
        <v>0.17699999999999999</v>
      </c>
      <c r="T466" t="s">
        <v>1630</v>
      </c>
    </row>
    <row r="467" spans="1:20" x14ac:dyDescent="0.2">
      <c r="A467" t="s">
        <v>1632</v>
      </c>
      <c r="B467" t="s">
        <v>388</v>
      </c>
      <c r="C467" t="s">
        <v>388</v>
      </c>
      <c r="E467" t="s">
        <v>1633</v>
      </c>
      <c r="F467" t="s">
        <v>1634</v>
      </c>
      <c r="G467">
        <v>5</v>
      </c>
      <c r="H467">
        <v>2460</v>
      </c>
      <c r="I467">
        <v>5</v>
      </c>
      <c r="J467">
        <v>28.5</v>
      </c>
      <c r="K467">
        <v>5</v>
      </c>
      <c r="L467">
        <v>1.2749999999999999</v>
      </c>
      <c r="M467">
        <v>5</v>
      </c>
      <c r="N467">
        <v>492.5</v>
      </c>
      <c r="O467">
        <v>5</v>
      </c>
      <c r="P467">
        <v>3.35</v>
      </c>
      <c r="Q467">
        <v>5</v>
      </c>
      <c r="R467">
        <v>0.17699999999999999</v>
      </c>
      <c r="T467" t="s">
        <v>1633</v>
      </c>
    </row>
    <row r="468" spans="1:20" x14ac:dyDescent="0.2">
      <c r="A468" t="s">
        <v>1635</v>
      </c>
      <c r="B468" t="s">
        <v>388</v>
      </c>
      <c r="C468" t="s">
        <v>388</v>
      </c>
      <c r="E468" t="s">
        <v>1636</v>
      </c>
      <c r="F468" t="s">
        <v>1637</v>
      </c>
      <c r="G468">
        <v>5</v>
      </c>
      <c r="H468">
        <v>2460</v>
      </c>
      <c r="I468">
        <v>5</v>
      </c>
      <c r="J468">
        <v>28.5</v>
      </c>
      <c r="K468">
        <v>4</v>
      </c>
      <c r="L468">
        <v>1.0249999999999999</v>
      </c>
      <c r="M468">
        <v>4</v>
      </c>
      <c r="N468">
        <v>397.5</v>
      </c>
      <c r="O468">
        <v>4</v>
      </c>
      <c r="P468">
        <v>2.65</v>
      </c>
      <c r="Q468">
        <v>5</v>
      </c>
      <c r="R468">
        <v>0.17699999999999999</v>
      </c>
      <c r="T468" t="s">
        <v>1636</v>
      </c>
    </row>
    <row r="469" spans="1:20" x14ac:dyDescent="0.2">
      <c r="A469" t="s">
        <v>1638</v>
      </c>
      <c r="B469" t="s">
        <v>388</v>
      </c>
      <c r="C469" t="s">
        <v>388</v>
      </c>
      <c r="E469" t="s">
        <v>1639</v>
      </c>
      <c r="F469" t="s">
        <v>1640</v>
      </c>
      <c r="G469">
        <v>3</v>
      </c>
      <c r="H469">
        <v>2040</v>
      </c>
      <c r="I469">
        <v>3</v>
      </c>
      <c r="J469">
        <v>18.5</v>
      </c>
      <c r="K469">
        <v>3</v>
      </c>
      <c r="L469">
        <v>0.77500000000000002</v>
      </c>
      <c r="M469">
        <v>3</v>
      </c>
      <c r="N469">
        <v>302.5</v>
      </c>
      <c r="O469">
        <v>3</v>
      </c>
      <c r="P469">
        <v>1.95</v>
      </c>
      <c r="Q469">
        <v>3</v>
      </c>
      <c r="R469">
        <v>0.10100000000000001</v>
      </c>
      <c r="T469" t="s">
        <v>1639</v>
      </c>
    </row>
    <row r="470" spans="1:20" x14ac:dyDescent="0.2">
      <c r="A470" t="s">
        <v>1641</v>
      </c>
      <c r="B470" t="s">
        <v>388</v>
      </c>
      <c r="C470" t="s">
        <v>388</v>
      </c>
      <c r="E470" t="s">
        <v>1642</v>
      </c>
      <c r="F470" t="s">
        <v>447</v>
      </c>
      <c r="G470">
        <v>2</v>
      </c>
      <c r="H470">
        <v>1830</v>
      </c>
      <c r="I470">
        <v>2</v>
      </c>
      <c r="J470">
        <v>13.5</v>
      </c>
      <c r="K470">
        <v>2</v>
      </c>
      <c r="L470">
        <v>0.52500000000000002</v>
      </c>
      <c r="M470">
        <v>2</v>
      </c>
      <c r="N470">
        <v>207.5</v>
      </c>
      <c r="O470">
        <v>2</v>
      </c>
      <c r="P470">
        <v>1.25</v>
      </c>
      <c r="Q470">
        <v>2</v>
      </c>
      <c r="R470">
        <v>6.3E-2</v>
      </c>
      <c r="T470" t="s">
        <v>1642</v>
      </c>
    </row>
    <row r="471" spans="1:20" x14ac:dyDescent="0.2">
      <c r="A471" t="s">
        <v>1643</v>
      </c>
      <c r="B471" t="s">
        <v>388</v>
      </c>
      <c r="C471" t="s">
        <v>388</v>
      </c>
      <c r="E471" t="s">
        <v>1644</v>
      </c>
      <c r="F471" t="s">
        <v>1645</v>
      </c>
      <c r="G471">
        <v>2</v>
      </c>
      <c r="H471">
        <v>1830</v>
      </c>
      <c r="I471">
        <v>1</v>
      </c>
      <c r="J471">
        <v>8.5</v>
      </c>
      <c r="K471">
        <v>1</v>
      </c>
      <c r="L471">
        <v>0.27500000000000002</v>
      </c>
      <c r="M471">
        <v>1</v>
      </c>
      <c r="N471">
        <v>112.5</v>
      </c>
      <c r="O471">
        <v>1</v>
      </c>
      <c r="P471">
        <v>0.55000000000000004</v>
      </c>
      <c r="Q471">
        <v>1</v>
      </c>
      <c r="R471">
        <v>2.5000000000000001E-2</v>
      </c>
      <c r="T471" t="s">
        <v>1644</v>
      </c>
    </row>
    <row r="472" spans="1:20" x14ac:dyDescent="0.2">
      <c r="A472" t="s">
        <v>1646</v>
      </c>
      <c r="B472" t="s">
        <v>388</v>
      </c>
      <c r="C472" t="s">
        <v>388</v>
      </c>
      <c r="E472" t="s">
        <v>1647</v>
      </c>
      <c r="F472" t="s">
        <v>1648</v>
      </c>
      <c r="G472">
        <v>5</v>
      </c>
      <c r="H472">
        <v>2460</v>
      </c>
      <c r="I472">
        <v>5</v>
      </c>
      <c r="J472">
        <v>28.5</v>
      </c>
      <c r="K472">
        <v>5</v>
      </c>
      <c r="L472">
        <v>1.2749999999999999</v>
      </c>
      <c r="M472">
        <v>5</v>
      </c>
      <c r="N472">
        <v>492.5</v>
      </c>
      <c r="O472">
        <v>5</v>
      </c>
      <c r="P472">
        <v>3.35</v>
      </c>
      <c r="Q472">
        <v>5</v>
      </c>
      <c r="R472">
        <v>0.17699999999999999</v>
      </c>
      <c r="T472" t="s">
        <v>1647</v>
      </c>
    </row>
    <row r="473" spans="1:20" x14ac:dyDescent="0.2">
      <c r="A473" t="s">
        <v>1649</v>
      </c>
      <c r="B473" t="s">
        <v>388</v>
      </c>
      <c r="C473" t="s">
        <v>388</v>
      </c>
      <c r="E473" t="s">
        <v>1650</v>
      </c>
      <c r="F473" t="s">
        <v>1651</v>
      </c>
      <c r="G473">
        <v>1</v>
      </c>
      <c r="H473">
        <v>1620</v>
      </c>
      <c r="I473">
        <v>1</v>
      </c>
      <c r="J473">
        <v>8.5</v>
      </c>
      <c r="K473">
        <v>1</v>
      </c>
      <c r="L473">
        <v>0.27500000000000002</v>
      </c>
      <c r="M473">
        <v>2</v>
      </c>
      <c r="N473">
        <v>207.5</v>
      </c>
      <c r="O473">
        <v>2</v>
      </c>
      <c r="P473">
        <v>1.25</v>
      </c>
      <c r="Q473">
        <v>2</v>
      </c>
      <c r="R473">
        <v>6.3E-2</v>
      </c>
      <c r="T473" t="s">
        <v>1650</v>
      </c>
    </row>
    <row r="474" spans="1:20" x14ac:dyDescent="0.2">
      <c r="A474" t="s">
        <v>1652</v>
      </c>
      <c r="B474" t="s">
        <v>388</v>
      </c>
      <c r="C474" t="s">
        <v>388</v>
      </c>
      <c r="E474" t="s">
        <v>1653</v>
      </c>
      <c r="F474" t="s">
        <v>1654</v>
      </c>
      <c r="G474">
        <v>1</v>
      </c>
      <c r="H474">
        <v>1620</v>
      </c>
      <c r="I474">
        <v>3</v>
      </c>
      <c r="J474">
        <v>18.5</v>
      </c>
      <c r="K474">
        <v>2</v>
      </c>
      <c r="L474">
        <v>0.52500000000000002</v>
      </c>
      <c r="M474">
        <v>1</v>
      </c>
      <c r="N474">
        <v>112.5</v>
      </c>
      <c r="O474">
        <v>1</v>
      </c>
      <c r="P474">
        <v>0.55000000000000004</v>
      </c>
      <c r="Q474">
        <v>1</v>
      </c>
      <c r="R474">
        <v>2.5000000000000001E-2</v>
      </c>
      <c r="T474" t="s">
        <v>1653</v>
      </c>
    </row>
    <row r="475" spans="1:20" x14ac:dyDescent="0.2">
      <c r="A475" t="s">
        <v>1655</v>
      </c>
      <c r="B475" t="s">
        <v>388</v>
      </c>
      <c r="C475" t="s">
        <v>388</v>
      </c>
      <c r="E475" t="s">
        <v>1656</v>
      </c>
      <c r="F475" t="s">
        <v>1657</v>
      </c>
      <c r="G475">
        <v>1</v>
      </c>
      <c r="H475">
        <v>1620</v>
      </c>
      <c r="I475">
        <v>1</v>
      </c>
      <c r="J475">
        <v>8.5</v>
      </c>
      <c r="K475">
        <v>1</v>
      </c>
      <c r="L475">
        <v>0.27500000000000002</v>
      </c>
      <c r="M475">
        <v>1</v>
      </c>
      <c r="N475">
        <v>112.5</v>
      </c>
      <c r="O475">
        <v>1</v>
      </c>
      <c r="P475">
        <v>0.55000000000000004</v>
      </c>
      <c r="Q475">
        <v>1</v>
      </c>
      <c r="R475">
        <v>2.5000000000000001E-2</v>
      </c>
      <c r="T475" t="s">
        <v>1656</v>
      </c>
    </row>
    <row r="476" spans="1:20" x14ac:dyDescent="0.2">
      <c r="A476" t="s">
        <v>1658</v>
      </c>
      <c r="B476" t="s">
        <v>388</v>
      </c>
      <c r="C476" t="s">
        <v>388</v>
      </c>
      <c r="E476" t="s">
        <v>1659</v>
      </c>
      <c r="F476" t="s">
        <v>1660</v>
      </c>
      <c r="G476">
        <v>2</v>
      </c>
      <c r="H476">
        <v>1830</v>
      </c>
      <c r="I476">
        <v>2</v>
      </c>
      <c r="J476">
        <v>13.5</v>
      </c>
      <c r="K476">
        <v>2</v>
      </c>
      <c r="L476">
        <v>0.52500000000000002</v>
      </c>
      <c r="M476">
        <v>2</v>
      </c>
      <c r="N476">
        <v>207.5</v>
      </c>
      <c r="O476">
        <v>2</v>
      </c>
      <c r="P476">
        <v>1.25</v>
      </c>
      <c r="Q476">
        <v>2</v>
      </c>
      <c r="R476">
        <v>6.3E-2</v>
      </c>
      <c r="T476" t="s">
        <v>1659</v>
      </c>
    </row>
    <row r="477" spans="1:20" x14ac:dyDescent="0.2">
      <c r="A477" t="s">
        <v>1661</v>
      </c>
      <c r="B477" t="s">
        <v>388</v>
      </c>
      <c r="C477" t="s">
        <v>388</v>
      </c>
      <c r="E477" t="s">
        <v>1662</v>
      </c>
      <c r="F477" t="s">
        <v>1663</v>
      </c>
      <c r="G477">
        <v>5</v>
      </c>
      <c r="H477">
        <v>2460</v>
      </c>
      <c r="I477">
        <v>5</v>
      </c>
      <c r="J477">
        <v>28.5</v>
      </c>
      <c r="K477">
        <v>4</v>
      </c>
      <c r="L477">
        <v>1.0249999999999999</v>
      </c>
      <c r="M477">
        <v>4</v>
      </c>
      <c r="N477">
        <v>397.5</v>
      </c>
      <c r="O477">
        <v>5</v>
      </c>
      <c r="P477">
        <v>3.35</v>
      </c>
      <c r="Q477">
        <v>4</v>
      </c>
      <c r="R477">
        <v>0.13900000000000001</v>
      </c>
      <c r="T477" t="s">
        <v>1662</v>
      </c>
    </row>
    <row r="478" spans="1:20" x14ac:dyDescent="0.2">
      <c r="A478" t="s">
        <v>1664</v>
      </c>
      <c r="B478" t="s">
        <v>388</v>
      </c>
      <c r="C478" t="s">
        <v>388</v>
      </c>
      <c r="E478" t="s">
        <v>1665</v>
      </c>
      <c r="F478" t="s">
        <v>1666</v>
      </c>
      <c r="G478">
        <v>1</v>
      </c>
      <c r="H478">
        <v>1620</v>
      </c>
      <c r="I478">
        <v>3</v>
      </c>
      <c r="J478">
        <v>18.5</v>
      </c>
      <c r="K478">
        <v>3</v>
      </c>
      <c r="L478">
        <v>0.77500000000000002</v>
      </c>
      <c r="M478">
        <v>2</v>
      </c>
      <c r="N478">
        <v>207.5</v>
      </c>
      <c r="O478">
        <v>2</v>
      </c>
      <c r="P478">
        <v>1.25</v>
      </c>
      <c r="Q478">
        <v>2</v>
      </c>
      <c r="R478">
        <v>6.3E-2</v>
      </c>
      <c r="T478" t="s">
        <v>1665</v>
      </c>
    </row>
    <row r="479" spans="1:20" x14ac:dyDescent="0.2">
      <c r="A479" t="s">
        <v>1667</v>
      </c>
      <c r="B479" t="s">
        <v>388</v>
      </c>
      <c r="C479" t="s">
        <v>388</v>
      </c>
      <c r="E479" t="s">
        <v>1668</v>
      </c>
      <c r="F479" t="s">
        <v>1669</v>
      </c>
      <c r="G479">
        <v>4</v>
      </c>
      <c r="H479">
        <v>2250</v>
      </c>
      <c r="I479">
        <v>4</v>
      </c>
      <c r="J479">
        <v>23.5</v>
      </c>
      <c r="K479">
        <v>4</v>
      </c>
      <c r="L479">
        <v>1.0249999999999999</v>
      </c>
      <c r="M479">
        <v>4</v>
      </c>
      <c r="N479">
        <v>397.5</v>
      </c>
      <c r="O479">
        <v>4</v>
      </c>
      <c r="P479">
        <v>2.65</v>
      </c>
      <c r="Q479">
        <v>4</v>
      </c>
      <c r="R479">
        <v>0.13900000000000001</v>
      </c>
      <c r="T479" t="s">
        <v>1668</v>
      </c>
    </row>
    <row r="480" spans="1:20" x14ac:dyDescent="0.2">
      <c r="A480" t="s">
        <v>1670</v>
      </c>
      <c r="B480" t="s">
        <v>388</v>
      </c>
      <c r="C480" t="s">
        <v>388</v>
      </c>
      <c r="E480" t="s">
        <v>1671</v>
      </c>
      <c r="F480" t="s">
        <v>1672</v>
      </c>
      <c r="G480">
        <v>1</v>
      </c>
      <c r="H480">
        <v>1620</v>
      </c>
      <c r="I480">
        <v>1</v>
      </c>
      <c r="J480">
        <v>8.5</v>
      </c>
      <c r="K480">
        <v>1</v>
      </c>
      <c r="L480">
        <v>0.27500000000000002</v>
      </c>
      <c r="M480">
        <v>1</v>
      </c>
      <c r="N480">
        <v>112.5</v>
      </c>
      <c r="O480">
        <v>1</v>
      </c>
      <c r="P480">
        <v>0.55000000000000004</v>
      </c>
      <c r="Q480">
        <v>1</v>
      </c>
      <c r="R480">
        <v>2.5000000000000001E-2</v>
      </c>
      <c r="T480" t="s">
        <v>1671</v>
      </c>
    </row>
    <row r="481" spans="1:20" x14ac:dyDescent="0.2">
      <c r="A481" t="s">
        <v>1673</v>
      </c>
      <c r="B481" t="s">
        <v>388</v>
      </c>
      <c r="C481" t="s">
        <v>388</v>
      </c>
      <c r="E481" t="s">
        <v>1674</v>
      </c>
      <c r="F481" t="s">
        <v>1675</v>
      </c>
      <c r="G481">
        <v>5</v>
      </c>
      <c r="H481">
        <v>2460</v>
      </c>
      <c r="I481">
        <v>5</v>
      </c>
      <c r="J481">
        <v>28.5</v>
      </c>
      <c r="K481">
        <v>4</v>
      </c>
      <c r="L481">
        <v>1.0249999999999999</v>
      </c>
      <c r="M481">
        <v>5</v>
      </c>
      <c r="N481">
        <v>492.5</v>
      </c>
      <c r="O481">
        <v>5</v>
      </c>
      <c r="P481">
        <v>3.35</v>
      </c>
      <c r="Q481">
        <v>5</v>
      </c>
      <c r="R481">
        <v>0.17699999999999999</v>
      </c>
      <c r="T481" t="s">
        <v>1674</v>
      </c>
    </row>
    <row r="482" spans="1:20" x14ac:dyDescent="0.2">
      <c r="A482" t="s">
        <v>1676</v>
      </c>
      <c r="B482" t="s">
        <v>388</v>
      </c>
      <c r="C482" t="s">
        <v>388</v>
      </c>
      <c r="E482" t="s">
        <v>1677</v>
      </c>
      <c r="F482" t="s">
        <v>1678</v>
      </c>
      <c r="G482">
        <v>4</v>
      </c>
      <c r="H482">
        <v>2250</v>
      </c>
      <c r="I482">
        <v>4</v>
      </c>
      <c r="J482">
        <v>23.5</v>
      </c>
      <c r="K482">
        <v>4</v>
      </c>
      <c r="L482">
        <v>1.0249999999999999</v>
      </c>
      <c r="M482">
        <v>4</v>
      </c>
      <c r="N482">
        <v>397.5</v>
      </c>
      <c r="O482">
        <v>4</v>
      </c>
      <c r="P482">
        <v>2.65</v>
      </c>
      <c r="Q482">
        <v>4</v>
      </c>
      <c r="R482">
        <v>0.13900000000000001</v>
      </c>
      <c r="T482" t="s">
        <v>1677</v>
      </c>
    </row>
    <row r="483" spans="1:20" x14ac:dyDescent="0.2">
      <c r="A483" t="s">
        <v>1679</v>
      </c>
      <c r="B483" t="s">
        <v>388</v>
      </c>
      <c r="C483" t="s">
        <v>388</v>
      </c>
      <c r="E483" t="s">
        <v>1680</v>
      </c>
      <c r="F483" t="s">
        <v>1681</v>
      </c>
      <c r="G483">
        <v>5</v>
      </c>
      <c r="H483">
        <v>2460</v>
      </c>
      <c r="I483">
        <v>5</v>
      </c>
      <c r="J483">
        <v>28.5</v>
      </c>
      <c r="K483">
        <v>5</v>
      </c>
      <c r="L483">
        <v>1.2749999999999999</v>
      </c>
      <c r="M483">
        <v>5</v>
      </c>
      <c r="N483">
        <v>492.5</v>
      </c>
      <c r="O483">
        <v>5</v>
      </c>
      <c r="P483">
        <v>3.35</v>
      </c>
      <c r="Q483">
        <v>5</v>
      </c>
      <c r="R483">
        <v>0.17699999999999999</v>
      </c>
      <c r="T483" t="s">
        <v>1680</v>
      </c>
    </row>
    <row r="484" spans="1:20" x14ac:dyDescent="0.2">
      <c r="A484" t="s">
        <v>1682</v>
      </c>
      <c r="B484" t="s">
        <v>388</v>
      </c>
      <c r="C484" t="s">
        <v>388</v>
      </c>
      <c r="E484" t="s">
        <v>1683</v>
      </c>
      <c r="F484" t="s">
        <v>1684</v>
      </c>
      <c r="G484">
        <v>4</v>
      </c>
      <c r="H484">
        <v>2250</v>
      </c>
      <c r="I484">
        <v>5</v>
      </c>
      <c r="J484">
        <v>28.5</v>
      </c>
      <c r="K484">
        <v>4</v>
      </c>
      <c r="L484">
        <v>1.0249999999999999</v>
      </c>
      <c r="M484">
        <v>4</v>
      </c>
      <c r="N484">
        <v>397.5</v>
      </c>
      <c r="O484">
        <v>4</v>
      </c>
      <c r="P484">
        <v>2.65</v>
      </c>
      <c r="Q484">
        <v>4</v>
      </c>
      <c r="R484">
        <v>0.13900000000000001</v>
      </c>
      <c r="T484" t="s">
        <v>1683</v>
      </c>
    </row>
    <row r="485" spans="1:20" x14ac:dyDescent="0.2">
      <c r="A485" t="s">
        <v>1685</v>
      </c>
      <c r="B485" t="s">
        <v>388</v>
      </c>
      <c r="C485" t="s">
        <v>388</v>
      </c>
      <c r="E485" t="s">
        <v>1686</v>
      </c>
      <c r="F485" t="s">
        <v>1687</v>
      </c>
      <c r="G485">
        <v>4</v>
      </c>
      <c r="H485">
        <v>2250</v>
      </c>
      <c r="I485">
        <v>5</v>
      </c>
      <c r="J485">
        <v>28.5</v>
      </c>
      <c r="K485">
        <v>4</v>
      </c>
      <c r="L485">
        <v>1.0249999999999999</v>
      </c>
      <c r="M485">
        <v>4</v>
      </c>
      <c r="N485">
        <v>397.5</v>
      </c>
      <c r="O485">
        <v>4</v>
      </c>
      <c r="P485">
        <v>2.65</v>
      </c>
      <c r="Q485">
        <v>4</v>
      </c>
      <c r="R485">
        <v>0.13900000000000001</v>
      </c>
      <c r="T485" t="s">
        <v>1686</v>
      </c>
    </row>
    <row r="486" spans="1:20" x14ac:dyDescent="0.2">
      <c r="A486" t="s">
        <v>1688</v>
      </c>
      <c r="B486" t="s">
        <v>388</v>
      </c>
      <c r="C486" t="s">
        <v>388</v>
      </c>
      <c r="E486" t="s">
        <v>1689</v>
      </c>
      <c r="F486" t="s">
        <v>1690</v>
      </c>
      <c r="G486">
        <v>5</v>
      </c>
      <c r="H486">
        <v>2460</v>
      </c>
      <c r="I486">
        <v>5</v>
      </c>
      <c r="J486">
        <v>28.5</v>
      </c>
      <c r="K486">
        <v>5</v>
      </c>
      <c r="L486">
        <v>1.2749999999999999</v>
      </c>
      <c r="M486">
        <v>5</v>
      </c>
      <c r="N486">
        <v>492.5</v>
      </c>
      <c r="O486">
        <v>5</v>
      </c>
      <c r="P486">
        <v>3.35</v>
      </c>
      <c r="Q486">
        <v>5</v>
      </c>
      <c r="R486">
        <v>0.17699999999999999</v>
      </c>
      <c r="T486" t="s">
        <v>1689</v>
      </c>
    </row>
    <row r="487" spans="1:20" x14ac:dyDescent="0.2">
      <c r="A487" t="s">
        <v>1691</v>
      </c>
      <c r="B487" t="s">
        <v>388</v>
      </c>
      <c r="C487" t="s">
        <v>388</v>
      </c>
      <c r="E487" t="s">
        <v>1692</v>
      </c>
      <c r="F487" t="s">
        <v>1693</v>
      </c>
      <c r="G487">
        <v>4</v>
      </c>
      <c r="H487">
        <v>2250</v>
      </c>
      <c r="I487">
        <v>3</v>
      </c>
      <c r="J487">
        <v>18.5</v>
      </c>
      <c r="K487">
        <v>4</v>
      </c>
      <c r="L487">
        <v>1.0249999999999999</v>
      </c>
      <c r="M487">
        <v>5</v>
      </c>
      <c r="N487">
        <v>492.5</v>
      </c>
      <c r="O487">
        <v>5</v>
      </c>
      <c r="P487">
        <v>3.35</v>
      </c>
      <c r="Q487">
        <v>5</v>
      </c>
      <c r="R487">
        <v>0.17699999999999999</v>
      </c>
      <c r="T487" t="s">
        <v>1692</v>
      </c>
    </row>
    <row r="488" spans="1:20" x14ac:dyDescent="0.2">
      <c r="A488" t="s">
        <v>1694</v>
      </c>
      <c r="B488" t="s">
        <v>388</v>
      </c>
      <c r="C488" t="s">
        <v>388</v>
      </c>
      <c r="E488" t="s">
        <v>1695</v>
      </c>
      <c r="F488" t="s">
        <v>1696</v>
      </c>
      <c r="G488">
        <v>4</v>
      </c>
      <c r="H488">
        <v>2250</v>
      </c>
      <c r="I488">
        <v>4</v>
      </c>
      <c r="J488">
        <v>23.5</v>
      </c>
      <c r="K488">
        <v>3</v>
      </c>
      <c r="L488">
        <v>0.77500000000000002</v>
      </c>
      <c r="M488">
        <v>2</v>
      </c>
      <c r="N488">
        <v>207.5</v>
      </c>
      <c r="O488">
        <v>3</v>
      </c>
      <c r="P488">
        <v>1.95</v>
      </c>
      <c r="Q488">
        <v>5</v>
      </c>
      <c r="R488">
        <v>0.17699999999999999</v>
      </c>
      <c r="T488" t="s">
        <v>1695</v>
      </c>
    </row>
    <row r="489" spans="1:20" x14ac:dyDescent="0.2">
      <c r="A489" t="s">
        <v>1697</v>
      </c>
      <c r="B489" t="s">
        <v>388</v>
      </c>
      <c r="C489" t="s">
        <v>388</v>
      </c>
      <c r="E489" t="s">
        <v>1698</v>
      </c>
      <c r="F489" t="s">
        <v>1699</v>
      </c>
      <c r="G489">
        <v>5</v>
      </c>
      <c r="H489">
        <v>2460</v>
      </c>
      <c r="I489">
        <v>5</v>
      </c>
      <c r="J489">
        <v>28.5</v>
      </c>
      <c r="K489">
        <v>5</v>
      </c>
      <c r="L489">
        <v>1.2749999999999999</v>
      </c>
      <c r="M489">
        <v>5</v>
      </c>
      <c r="N489">
        <v>492.5</v>
      </c>
      <c r="O489">
        <v>5</v>
      </c>
      <c r="P489">
        <v>3.35</v>
      </c>
      <c r="Q489">
        <v>5</v>
      </c>
      <c r="R489">
        <v>0.17699999999999999</v>
      </c>
      <c r="T489" t="s">
        <v>1698</v>
      </c>
    </row>
    <row r="490" spans="1:20" x14ac:dyDescent="0.2">
      <c r="A490" t="s">
        <v>1700</v>
      </c>
      <c r="B490" t="s">
        <v>388</v>
      </c>
      <c r="C490" t="s">
        <v>388</v>
      </c>
      <c r="E490" t="s">
        <v>1701</v>
      </c>
      <c r="F490" t="s">
        <v>1702</v>
      </c>
      <c r="G490">
        <v>4</v>
      </c>
      <c r="H490">
        <v>2250</v>
      </c>
      <c r="I490">
        <v>4</v>
      </c>
      <c r="J490">
        <v>23.5</v>
      </c>
      <c r="K490">
        <v>4</v>
      </c>
      <c r="L490">
        <v>1.0249999999999999</v>
      </c>
      <c r="M490">
        <v>3</v>
      </c>
      <c r="N490">
        <v>302.5</v>
      </c>
      <c r="O490">
        <v>4</v>
      </c>
      <c r="P490">
        <v>2.65</v>
      </c>
      <c r="Q490">
        <v>3</v>
      </c>
      <c r="R490">
        <v>0.10100000000000001</v>
      </c>
      <c r="T490" t="s">
        <v>1701</v>
      </c>
    </row>
    <row r="491" spans="1:20" x14ac:dyDescent="0.2">
      <c r="A491" t="s">
        <v>1703</v>
      </c>
      <c r="B491" t="s">
        <v>388</v>
      </c>
      <c r="C491" t="s">
        <v>388</v>
      </c>
      <c r="E491" t="s">
        <v>1704</v>
      </c>
      <c r="F491" t="s">
        <v>1705</v>
      </c>
      <c r="G491">
        <v>5</v>
      </c>
      <c r="H491">
        <v>2460</v>
      </c>
      <c r="I491">
        <v>5</v>
      </c>
      <c r="J491">
        <v>28.5</v>
      </c>
      <c r="K491">
        <v>5</v>
      </c>
      <c r="L491">
        <v>1.2749999999999999</v>
      </c>
      <c r="M491">
        <v>5</v>
      </c>
      <c r="N491">
        <v>492.5</v>
      </c>
      <c r="O491">
        <v>5</v>
      </c>
      <c r="P491">
        <v>3.35</v>
      </c>
      <c r="Q491">
        <v>5</v>
      </c>
      <c r="R491">
        <v>0.17699999999999999</v>
      </c>
      <c r="T491" t="s">
        <v>1704</v>
      </c>
    </row>
    <row r="492" spans="1:20" x14ac:dyDescent="0.2">
      <c r="A492" t="s">
        <v>1706</v>
      </c>
      <c r="B492" t="s">
        <v>388</v>
      </c>
      <c r="C492" t="s">
        <v>388</v>
      </c>
      <c r="E492" t="s">
        <v>1707</v>
      </c>
      <c r="F492" t="s">
        <v>1708</v>
      </c>
      <c r="G492">
        <v>4</v>
      </c>
      <c r="H492">
        <v>2250</v>
      </c>
      <c r="I492">
        <v>3</v>
      </c>
      <c r="J492">
        <v>18.5</v>
      </c>
      <c r="K492">
        <v>3</v>
      </c>
      <c r="L492">
        <v>0.77500000000000002</v>
      </c>
      <c r="M492">
        <v>4</v>
      </c>
      <c r="N492">
        <v>397.5</v>
      </c>
      <c r="O492">
        <v>4</v>
      </c>
      <c r="P492">
        <v>2.65</v>
      </c>
      <c r="Q492">
        <v>4</v>
      </c>
      <c r="R492">
        <v>0.13900000000000001</v>
      </c>
      <c r="T492" t="s">
        <v>1707</v>
      </c>
    </row>
    <row r="493" spans="1:20" x14ac:dyDescent="0.2">
      <c r="A493" t="s">
        <v>1709</v>
      </c>
      <c r="B493" t="s">
        <v>388</v>
      </c>
      <c r="C493" t="s">
        <v>388</v>
      </c>
      <c r="E493" t="s">
        <v>1710</v>
      </c>
      <c r="F493" t="s">
        <v>1711</v>
      </c>
      <c r="G493">
        <v>5</v>
      </c>
      <c r="H493">
        <v>2460</v>
      </c>
      <c r="I493">
        <v>5</v>
      </c>
      <c r="J493">
        <v>28.5</v>
      </c>
      <c r="K493">
        <v>5</v>
      </c>
      <c r="L493">
        <v>1.2749999999999999</v>
      </c>
      <c r="M493">
        <v>5</v>
      </c>
      <c r="N493">
        <v>492.5</v>
      </c>
      <c r="O493">
        <v>5</v>
      </c>
      <c r="P493">
        <v>3.35</v>
      </c>
      <c r="Q493">
        <v>5</v>
      </c>
      <c r="R493">
        <v>0.17699999999999999</v>
      </c>
      <c r="T493" t="s">
        <v>1710</v>
      </c>
    </row>
    <row r="494" spans="1:20" x14ac:dyDescent="0.2">
      <c r="A494" t="s">
        <v>1712</v>
      </c>
      <c r="B494" t="s">
        <v>388</v>
      </c>
      <c r="C494" t="s">
        <v>388</v>
      </c>
      <c r="E494" t="s">
        <v>1713</v>
      </c>
      <c r="F494" t="s">
        <v>1714</v>
      </c>
      <c r="G494">
        <v>2</v>
      </c>
      <c r="H494">
        <v>1830</v>
      </c>
      <c r="I494">
        <v>3</v>
      </c>
      <c r="J494">
        <v>18.5</v>
      </c>
      <c r="K494">
        <v>4</v>
      </c>
      <c r="L494">
        <v>1.0249999999999999</v>
      </c>
      <c r="M494">
        <v>5</v>
      </c>
      <c r="N494">
        <v>492.5</v>
      </c>
      <c r="O494">
        <v>5</v>
      </c>
      <c r="P494">
        <v>3.35</v>
      </c>
      <c r="Q494">
        <v>5</v>
      </c>
      <c r="R494">
        <v>0.17699999999999999</v>
      </c>
      <c r="T494" t="s">
        <v>1713</v>
      </c>
    </row>
    <row r="495" spans="1:20" x14ac:dyDescent="0.2">
      <c r="A495" t="s">
        <v>1715</v>
      </c>
      <c r="B495" t="s">
        <v>388</v>
      </c>
      <c r="C495" t="s">
        <v>388</v>
      </c>
      <c r="E495" t="s">
        <v>1716</v>
      </c>
      <c r="F495" t="s">
        <v>1717</v>
      </c>
      <c r="G495">
        <v>1</v>
      </c>
      <c r="H495">
        <v>1620</v>
      </c>
      <c r="I495">
        <v>1</v>
      </c>
      <c r="J495">
        <v>8.5</v>
      </c>
      <c r="K495">
        <v>1</v>
      </c>
      <c r="L495">
        <v>0.27500000000000002</v>
      </c>
      <c r="M495">
        <v>1</v>
      </c>
      <c r="N495">
        <v>112.5</v>
      </c>
      <c r="O495">
        <v>1</v>
      </c>
      <c r="P495">
        <v>0.55000000000000004</v>
      </c>
      <c r="Q495">
        <v>1</v>
      </c>
      <c r="R495">
        <v>2.5000000000000001E-2</v>
      </c>
      <c r="T495" t="s">
        <v>1716</v>
      </c>
    </row>
    <row r="496" spans="1:20" x14ac:dyDescent="0.2">
      <c r="A496" t="s">
        <v>1718</v>
      </c>
      <c r="B496" t="s">
        <v>388</v>
      </c>
      <c r="C496" t="s">
        <v>388</v>
      </c>
      <c r="E496" t="s">
        <v>1719</v>
      </c>
      <c r="F496" t="s">
        <v>1720</v>
      </c>
      <c r="G496">
        <v>5</v>
      </c>
      <c r="H496">
        <v>2460</v>
      </c>
      <c r="I496">
        <v>5</v>
      </c>
      <c r="J496">
        <v>28.5</v>
      </c>
      <c r="K496">
        <v>5</v>
      </c>
      <c r="L496">
        <v>1.2749999999999999</v>
      </c>
      <c r="M496">
        <v>5</v>
      </c>
      <c r="N496">
        <v>492.5</v>
      </c>
      <c r="O496">
        <v>5</v>
      </c>
      <c r="P496">
        <v>3.35</v>
      </c>
      <c r="Q496">
        <v>4</v>
      </c>
      <c r="R496">
        <v>0.13900000000000001</v>
      </c>
      <c r="T496" t="s">
        <v>1719</v>
      </c>
    </row>
    <row r="497" spans="1:20" x14ac:dyDescent="0.2">
      <c r="A497" t="s">
        <v>1721</v>
      </c>
      <c r="B497" t="s">
        <v>388</v>
      </c>
      <c r="C497" t="s">
        <v>388</v>
      </c>
      <c r="E497" t="s">
        <v>1722</v>
      </c>
      <c r="F497" t="s">
        <v>1723</v>
      </c>
      <c r="G497">
        <v>5</v>
      </c>
      <c r="H497">
        <v>2460</v>
      </c>
      <c r="I497">
        <v>5</v>
      </c>
      <c r="J497">
        <v>28.5</v>
      </c>
      <c r="K497">
        <v>5</v>
      </c>
      <c r="L497">
        <v>1.2749999999999999</v>
      </c>
      <c r="M497">
        <v>5</v>
      </c>
      <c r="N497">
        <v>492.5</v>
      </c>
      <c r="O497">
        <v>5</v>
      </c>
      <c r="P497">
        <v>3.35</v>
      </c>
      <c r="Q497">
        <v>4</v>
      </c>
      <c r="R497">
        <v>0.13900000000000001</v>
      </c>
      <c r="T497" t="s">
        <v>1722</v>
      </c>
    </row>
    <row r="498" spans="1:20" x14ac:dyDescent="0.2">
      <c r="A498" t="s">
        <v>1724</v>
      </c>
      <c r="B498" t="s">
        <v>388</v>
      </c>
      <c r="C498" t="s">
        <v>388</v>
      </c>
      <c r="E498" t="s">
        <v>1725</v>
      </c>
      <c r="F498" t="s">
        <v>447</v>
      </c>
      <c r="G498">
        <v>2</v>
      </c>
      <c r="H498">
        <v>1830</v>
      </c>
      <c r="I498">
        <v>2</v>
      </c>
      <c r="J498">
        <v>13.5</v>
      </c>
      <c r="K498">
        <v>2</v>
      </c>
      <c r="L498">
        <v>0.52500000000000002</v>
      </c>
      <c r="M498">
        <v>2</v>
      </c>
      <c r="N498">
        <v>207.5</v>
      </c>
      <c r="O498">
        <v>2</v>
      </c>
      <c r="P498">
        <v>1.25</v>
      </c>
      <c r="Q498">
        <v>2</v>
      </c>
      <c r="R498">
        <v>6.3E-2</v>
      </c>
      <c r="T498" t="s">
        <v>1725</v>
      </c>
    </row>
    <row r="499" spans="1:20" x14ac:dyDescent="0.2">
      <c r="A499" t="s">
        <v>1726</v>
      </c>
      <c r="B499" t="s">
        <v>388</v>
      </c>
      <c r="C499" t="s">
        <v>388</v>
      </c>
      <c r="E499" t="s">
        <v>1727</v>
      </c>
      <c r="F499" t="s">
        <v>1728</v>
      </c>
      <c r="G499">
        <v>5</v>
      </c>
      <c r="H499">
        <v>2460</v>
      </c>
      <c r="I499">
        <v>5</v>
      </c>
      <c r="J499">
        <v>28.5</v>
      </c>
      <c r="K499">
        <v>5</v>
      </c>
      <c r="L499">
        <v>1.2749999999999999</v>
      </c>
      <c r="M499">
        <v>5</v>
      </c>
      <c r="N499">
        <v>492.5</v>
      </c>
      <c r="O499">
        <v>5</v>
      </c>
      <c r="P499">
        <v>3.35</v>
      </c>
      <c r="Q499">
        <v>5</v>
      </c>
      <c r="R499">
        <v>0.17699999999999999</v>
      </c>
      <c r="T499" t="s">
        <v>1727</v>
      </c>
    </row>
    <row r="500" spans="1:20" x14ac:dyDescent="0.2">
      <c r="A500" t="s">
        <v>1729</v>
      </c>
      <c r="B500" t="s">
        <v>388</v>
      </c>
      <c r="C500" t="s">
        <v>388</v>
      </c>
      <c r="E500" t="s">
        <v>1730</v>
      </c>
      <c r="F500" t="s">
        <v>1731</v>
      </c>
      <c r="G500">
        <v>4</v>
      </c>
      <c r="H500">
        <v>2250</v>
      </c>
      <c r="I500">
        <v>4</v>
      </c>
      <c r="J500">
        <v>23.5</v>
      </c>
      <c r="K500">
        <v>4</v>
      </c>
      <c r="L500">
        <v>1.0249999999999999</v>
      </c>
      <c r="M500">
        <v>4</v>
      </c>
      <c r="N500">
        <v>397.5</v>
      </c>
      <c r="O500">
        <v>4</v>
      </c>
      <c r="P500">
        <v>2.65</v>
      </c>
      <c r="Q500">
        <v>4</v>
      </c>
      <c r="R500">
        <v>0.13900000000000001</v>
      </c>
      <c r="T500" t="s">
        <v>1730</v>
      </c>
    </row>
    <row r="501" spans="1:20" x14ac:dyDescent="0.2">
      <c r="A501" t="s">
        <v>1732</v>
      </c>
      <c r="B501" t="s">
        <v>388</v>
      </c>
      <c r="C501" t="s">
        <v>388</v>
      </c>
      <c r="E501" t="s">
        <v>1733</v>
      </c>
      <c r="F501" t="s">
        <v>1734</v>
      </c>
      <c r="G501">
        <v>5</v>
      </c>
      <c r="H501">
        <v>2460</v>
      </c>
      <c r="I501">
        <v>5</v>
      </c>
      <c r="J501">
        <v>28.5</v>
      </c>
      <c r="K501">
        <v>4</v>
      </c>
      <c r="L501">
        <v>1.0249999999999999</v>
      </c>
      <c r="M501">
        <v>5</v>
      </c>
      <c r="N501">
        <v>492.5</v>
      </c>
      <c r="O501">
        <v>5</v>
      </c>
      <c r="P501">
        <v>3.35</v>
      </c>
      <c r="Q501">
        <v>4</v>
      </c>
      <c r="R501">
        <v>0.13900000000000001</v>
      </c>
      <c r="T501" t="s">
        <v>1733</v>
      </c>
    </row>
    <row r="502" spans="1:20" x14ac:dyDescent="0.2">
      <c r="A502" t="s">
        <v>1735</v>
      </c>
      <c r="B502" t="s">
        <v>388</v>
      </c>
      <c r="C502" t="s">
        <v>388</v>
      </c>
      <c r="E502" t="s">
        <v>1736</v>
      </c>
      <c r="F502" t="s">
        <v>1737</v>
      </c>
      <c r="G502">
        <v>3</v>
      </c>
      <c r="H502">
        <v>2040</v>
      </c>
      <c r="I502">
        <v>3</v>
      </c>
      <c r="J502">
        <v>18.5</v>
      </c>
      <c r="K502">
        <v>3</v>
      </c>
      <c r="L502">
        <v>0.77500000000000002</v>
      </c>
      <c r="M502">
        <v>3</v>
      </c>
      <c r="N502">
        <v>302.5</v>
      </c>
      <c r="O502">
        <v>3</v>
      </c>
      <c r="P502">
        <v>1.95</v>
      </c>
      <c r="Q502">
        <v>3</v>
      </c>
      <c r="R502">
        <v>0.10100000000000001</v>
      </c>
      <c r="T502" t="s">
        <v>1736</v>
      </c>
    </row>
    <row r="503" spans="1:20" x14ac:dyDescent="0.2">
      <c r="A503" t="s">
        <v>1738</v>
      </c>
      <c r="B503" t="s">
        <v>388</v>
      </c>
      <c r="C503" t="s">
        <v>388</v>
      </c>
      <c r="E503" t="s">
        <v>1739</v>
      </c>
      <c r="F503" t="s">
        <v>1740</v>
      </c>
      <c r="G503">
        <v>2</v>
      </c>
      <c r="H503">
        <v>1830</v>
      </c>
      <c r="I503">
        <v>3</v>
      </c>
      <c r="J503">
        <v>18.5</v>
      </c>
      <c r="K503">
        <v>3</v>
      </c>
      <c r="L503">
        <v>0.77500000000000002</v>
      </c>
      <c r="M503">
        <v>3</v>
      </c>
      <c r="N503">
        <v>302.5</v>
      </c>
      <c r="O503">
        <v>3</v>
      </c>
      <c r="P503">
        <v>1.95</v>
      </c>
      <c r="Q503">
        <v>3</v>
      </c>
      <c r="R503">
        <v>0.10100000000000001</v>
      </c>
      <c r="T503" t="s">
        <v>1739</v>
      </c>
    </row>
    <row r="504" spans="1:20" x14ac:dyDescent="0.2">
      <c r="A504" t="s">
        <v>1741</v>
      </c>
      <c r="B504" t="s">
        <v>388</v>
      </c>
      <c r="C504" t="s">
        <v>388</v>
      </c>
      <c r="E504" t="s">
        <v>1742</v>
      </c>
      <c r="F504" t="s">
        <v>1743</v>
      </c>
      <c r="G504">
        <v>3</v>
      </c>
      <c r="H504">
        <v>2040</v>
      </c>
      <c r="I504">
        <v>2</v>
      </c>
      <c r="J504">
        <v>13.5</v>
      </c>
      <c r="K504">
        <v>3</v>
      </c>
      <c r="L504">
        <v>0.77500000000000002</v>
      </c>
      <c r="M504">
        <v>3</v>
      </c>
      <c r="N504">
        <v>302.5</v>
      </c>
      <c r="O504">
        <v>3</v>
      </c>
      <c r="P504">
        <v>1.95</v>
      </c>
      <c r="Q504">
        <v>4</v>
      </c>
      <c r="R504">
        <v>0.13900000000000001</v>
      </c>
      <c r="T504" t="s">
        <v>1742</v>
      </c>
    </row>
    <row r="505" spans="1:20" x14ac:dyDescent="0.2">
      <c r="A505" t="s">
        <v>1744</v>
      </c>
      <c r="B505" t="s">
        <v>388</v>
      </c>
      <c r="C505" t="s">
        <v>388</v>
      </c>
      <c r="E505" t="s">
        <v>1745</v>
      </c>
      <c r="F505" t="s">
        <v>1746</v>
      </c>
      <c r="G505">
        <v>3</v>
      </c>
      <c r="H505">
        <v>2040</v>
      </c>
      <c r="I505">
        <v>2</v>
      </c>
      <c r="J505">
        <v>13.5</v>
      </c>
      <c r="K505">
        <v>2</v>
      </c>
      <c r="L505">
        <v>0.52500000000000002</v>
      </c>
      <c r="M505">
        <v>3</v>
      </c>
      <c r="N505">
        <v>302.5</v>
      </c>
      <c r="O505">
        <v>3</v>
      </c>
      <c r="P505">
        <v>1.95</v>
      </c>
      <c r="Q505">
        <v>3</v>
      </c>
      <c r="R505">
        <v>0.10100000000000001</v>
      </c>
      <c r="T505" t="s">
        <v>1745</v>
      </c>
    </row>
    <row r="506" spans="1:20" x14ac:dyDescent="0.2">
      <c r="A506" t="s">
        <v>1747</v>
      </c>
      <c r="B506" t="s">
        <v>388</v>
      </c>
      <c r="C506" t="s">
        <v>388</v>
      </c>
      <c r="E506" t="s">
        <v>1748</v>
      </c>
      <c r="F506" t="s">
        <v>1749</v>
      </c>
      <c r="G506">
        <v>5</v>
      </c>
      <c r="H506">
        <v>2460</v>
      </c>
      <c r="I506">
        <v>5</v>
      </c>
      <c r="J506">
        <v>28.5</v>
      </c>
      <c r="K506">
        <v>5</v>
      </c>
      <c r="L506">
        <v>1.2749999999999999</v>
      </c>
      <c r="M506">
        <v>5</v>
      </c>
      <c r="N506">
        <v>492.5</v>
      </c>
      <c r="O506">
        <v>5</v>
      </c>
      <c r="P506">
        <v>3.35</v>
      </c>
      <c r="Q506">
        <v>4</v>
      </c>
      <c r="R506">
        <v>0.13900000000000001</v>
      </c>
      <c r="T506" t="s">
        <v>1748</v>
      </c>
    </row>
    <row r="507" spans="1:20" x14ac:dyDescent="0.2">
      <c r="A507" t="s">
        <v>1750</v>
      </c>
      <c r="B507" t="s">
        <v>388</v>
      </c>
      <c r="C507" t="s">
        <v>388</v>
      </c>
      <c r="E507" t="s">
        <v>1751</v>
      </c>
      <c r="F507" t="s">
        <v>1752</v>
      </c>
      <c r="G507">
        <v>2</v>
      </c>
      <c r="H507">
        <v>1830</v>
      </c>
      <c r="I507">
        <v>1</v>
      </c>
      <c r="J507">
        <v>8.5</v>
      </c>
      <c r="K507">
        <v>1</v>
      </c>
      <c r="L507">
        <v>0.27500000000000002</v>
      </c>
      <c r="M507">
        <v>1</v>
      </c>
      <c r="N507">
        <v>112.5</v>
      </c>
      <c r="O507">
        <v>1</v>
      </c>
      <c r="P507">
        <v>0.55000000000000004</v>
      </c>
      <c r="Q507">
        <v>1</v>
      </c>
      <c r="R507">
        <v>2.5000000000000001E-2</v>
      </c>
      <c r="T507" t="s">
        <v>1751</v>
      </c>
    </row>
    <row r="508" spans="1:20" x14ac:dyDescent="0.2">
      <c r="A508" t="s">
        <v>1753</v>
      </c>
      <c r="B508" t="s">
        <v>388</v>
      </c>
      <c r="C508" t="s">
        <v>388</v>
      </c>
      <c r="E508" t="s">
        <v>1754</v>
      </c>
      <c r="F508" t="s">
        <v>1755</v>
      </c>
      <c r="G508">
        <v>1</v>
      </c>
      <c r="H508">
        <v>1620</v>
      </c>
      <c r="I508">
        <v>3</v>
      </c>
      <c r="J508">
        <v>18.5</v>
      </c>
      <c r="K508">
        <v>2</v>
      </c>
      <c r="L508">
        <v>0.52500000000000002</v>
      </c>
      <c r="M508">
        <v>1</v>
      </c>
      <c r="N508">
        <v>112.5</v>
      </c>
      <c r="O508">
        <v>1</v>
      </c>
      <c r="P508">
        <v>0.55000000000000004</v>
      </c>
      <c r="Q508">
        <v>1</v>
      </c>
      <c r="R508">
        <v>2.5000000000000001E-2</v>
      </c>
      <c r="T508" t="s">
        <v>1754</v>
      </c>
    </row>
    <row r="509" spans="1:20" x14ac:dyDescent="0.2">
      <c r="A509" t="s">
        <v>1756</v>
      </c>
      <c r="B509" t="s">
        <v>388</v>
      </c>
      <c r="C509" t="s">
        <v>388</v>
      </c>
      <c r="E509" t="s">
        <v>357</v>
      </c>
      <c r="F509" t="s">
        <v>1757</v>
      </c>
      <c r="G509">
        <v>1</v>
      </c>
      <c r="H509">
        <v>1620</v>
      </c>
      <c r="I509">
        <v>3</v>
      </c>
      <c r="J509">
        <v>18.5</v>
      </c>
      <c r="K509">
        <v>2</v>
      </c>
      <c r="L509">
        <v>0.52500000000000002</v>
      </c>
      <c r="M509">
        <v>1</v>
      </c>
      <c r="N509">
        <v>112.5</v>
      </c>
      <c r="O509">
        <v>2</v>
      </c>
      <c r="P509">
        <v>1.25</v>
      </c>
      <c r="Q509">
        <v>1</v>
      </c>
      <c r="R509">
        <v>2.5000000000000001E-2</v>
      </c>
      <c r="T509" t="s">
        <v>357</v>
      </c>
    </row>
    <row r="510" spans="1:20" x14ac:dyDescent="0.2">
      <c r="A510" t="s">
        <v>1758</v>
      </c>
      <c r="B510" t="s">
        <v>388</v>
      </c>
      <c r="C510" t="s">
        <v>388</v>
      </c>
      <c r="E510" t="s">
        <v>1759</v>
      </c>
      <c r="F510" t="s">
        <v>1760</v>
      </c>
      <c r="G510">
        <v>3</v>
      </c>
      <c r="H510">
        <v>2040</v>
      </c>
      <c r="I510">
        <v>3</v>
      </c>
      <c r="J510">
        <v>18.5</v>
      </c>
      <c r="K510">
        <v>3</v>
      </c>
      <c r="L510">
        <v>0.77500000000000002</v>
      </c>
      <c r="M510">
        <v>4</v>
      </c>
      <c r="N510">
        <v>397.5</v>
      </c>
      <c r="O510">
        <v>4</v>
      </c>
      <c r="P510">
        <v>2.65</v>
      </c>
      <c r="Q510">
        <v>4</v>
      </c>
      <c r="R510">
        <v>0.13900000000000001</v>
      </c>
      <c r="T510" t="s">
        <v>1759</v>
      </c>
    </row>
    <row r="511" spans="1:20" x14ac:dyDescent="0.2">
      <c r="A511" t="s">
        <v>1761</v>
      </c>
      <c r="B511" t="s">
        <v>388</v>
      </c>
      <c r="C511" t="s">
        <v>388</v>
      </c>
      <c r="E511" t="s">
        <v>1762</v>
      </c>
      <c r="F511" t="s">
        <v>1763</v>
      </c>
      <c r="G511">
        <v>5</v>
      </c>
      <c r="H511">
        <v>2460</v>
      </c>
      <c r="I511">
        <v>5</v>
      </c>
      <c r="J511">
        <v>28.5</v>
      </c>
      <c r="K511">
        <v>4</v>
      </c>
      <c r="L511">
        <v>1.0249999999999999</v>
      </c>
      <c r="M511">
        <v>5</v>
      </c>
      <c r="N511">
        <v>492.5</v>
      </c>
      <c r="O511">
        <v>5</v>
      </c>
      <c r="P511">
        <v>3.35</v>
      </c>
      <c r="Q511">
        <v>4</v>
      </c>
      <c r="R511">
        <v>0.13900000000000001</v>
      </c>
      <c r="T511" t="s">
        <v>1762</v>
      </c>
    </row>
    <row r="512" spans="1:20" x14ac:dyDescent="0.2">
      <c r="A512" t="s">
        <v>1764</v>
      </c>
      <c r="B512" t="s">
        <v>388</v>
      </c>
      <c r="C512" t="s">
        <v>388</v>
      </c>
      <c r="E512" t="s">
        <v>1765</v>
      </c>
      <c r="F512" t="s">
        <v>1766</v>
      </c>
      <c r="G512">
        <v>5</v>
      </c>
      <c r="H512">
        <v>2460</v>
      </c>
      <c r="I512">
        <v>5</v>
      </c>
      <c r="J512">
        <v>28.5</v>
      </c>
      <c r="K512">
        <v>4</v>
      </c>
      <c r="L512">
        <v>1.0249999999999999</v>
      </c>
      <c r="M512">
        <v>5</v>
      </c>
      <c r="N512">
        <v>492.5</v>
      </c>
      <c r="O512">
        <v>5</v>
      </c>
      <c r="P512">
        <v>3.35</v>
      </c>
      <c r="Q512">
        <v>4</v>
      </c>
      <c r="R512">
        <v>0.13900000000000001</v>
      </c>
      <c r="T512" t="s">
        <v>1765</v>
      </c>
    </row>
    <row r="513" spans="1:20" x14ac:dyDescent="0.2">
      <c r="A513" t="s">
        <v>1767</v>
      </c>
      <c r="B513" t="s">
        <v>388</v>
      </c>
      <c r="C513" t="s">
        <v>388</v>
      </c>
      <c r="E513" t="s">
        <v>1768</v>
      </c>
      <c r="F513" t="s">
        <v>1769</v>
      </c>
      <c r="G513">
        <v>1</v>
      </c>
      <c r="H513">
        <v>1620</v>
      </c>
      <c r="I513">
        <v>1</v>
      </c>
      <c r="J513">
        <v>8.5</v>
      </c>
      <c r="K513">
        <v>1</v>
      </c>
      <c r="L513">
        <v>0.27500000000000002</v>
      </c>
      <c r="M513">
        <v>1</v>
      </c>
      <c r="N513">
        <v>112.5</v>
      </c>
      <c r="O513">
        <v>1</v>
      </c>
      <c r="P513">
        <v>0.55000000000000004</v>
      </c>
      <c r="Q513">
        <v>1</v>
      </c>
      <c r="R513">
        <v>2.5000000000000001E-2</v>
      </c>
      <c r="T513" t="s">
        <v>1768</v>
      </c>
    </row>
    <row r="514" spans="1:20" x14ac:dyDescent="0.2">
      <c r="A514" t="s">
        <v>1770</v>
      </c>
      <c r="B514" t="s">
        <v>388</v>
      </c>
      <c r="C514" t="s">
        <v>388</v>
      </c>
      <c r="E514" t="s">
        <v>1771</v>
      </c>
      <c r="F514" t="s">
        <v>447</v>
      </c>
      <c r="G514">
        <v>4</v>
      </c>
      <c r="H514">
        <v>2250</v>
      </c>
      <c r="I514">
        <v>4</v>
      </c>
      <c r="J514">
        <v>23.5</v>
      </c>
      <c r="K514">
        <v>4</v>
      </c>
      <c r="L514">
        <v>1.0249999999999999</v>
      </c>
      <c r="M514">
        <v>4</v>
      </c>
      <c r="N514">
        <v>397.5</v>
      </c>
      <c r="O514">
        <v>4</v>
      </c>
      <c r="P514">
        <v>2.65</v>
      </c>
      <c r="Q514">
        <v>5</v>
      </c>
      <c r="R514">
        <v>0.17699999999999999</v>
      </c>
      <c r="T514" t="s">
        <v>1771</v>
      </c>
    </row>
    <row r="515" spans="1:20" x14ac:dyDescent="0.2">
      <c r="A515" t="s">
        <v>1772</v>
      </c>
      <c r="B515" t="s">
        <v>388</v>
      </c>
      <c r="C515" t="s">
        <v>388</v>
      </c>
      <c r="E515" t="s">
        <v>1773</v>
      </c>
      <c r="F515" t="s">
        <v>447</v>
      </c>
      <c r="G515">
        <v>4</v>
      </c>
      <c r="H515">
        <v>2250</v>
      </c>
      <c r="I515">
        <v>4</v>
      </c>
      <c r="J515">
        <v>23.5</v>
      </c>
      <c r="K515">
        <v>4</v>
      </c>
      <c r="L515">
        <v>1.0249999999999999</v>
      </c>
      <c r="M515">
        <v>4</v>
      </c>
      <c r="N515">
        <v>397.5</v>
      </c>
      <c r="O515">
        <v>4</v>
      </c>
      <c r="P515">
        <v>2.65</v>
      </c>
      <c r="Q515">
        <v>5</v>
      </c>
      <c r="R515">
        <v>0.17699999999999999</v>
      </c>
      <c r="T515" t="s">
        <v>1773</v>
      </c>
    </row>
    <row r="516" spans="1:20" x14ac:dyDescent="0.2">
      <c r="A516" t="s">
        <v>1774</v>
      </c>
      <c r="B516" t="s">
        <v>388</v>
      </c>
      <c r="C516" t="s">
        <v>388</v>
      </c>
      <c r="E516" t="s">
        <v>1775</v>
      </c>
      <c r="F516" t="s">
        <v>447</v>
      </c>
      <c r="G516">
        <v>2</v>
      </c>
      <c r="H516">
        <v>1830</v>
      </c>
      <c r="I516">
        <v>1</v>
      </c>
      <c r="J516">
        <v>8.5</v>
      </c>
      <c r="K516">
        <v>2</v>
      </c>
      <c r="L516">
        <v>0.52500000000000002</v>
      </c>
      <c r="M516">
        <v>2</v>
      </c>
      <c r="N516">
        <v>207.5</v>
      </c>
      <c r="O516">
        <v>2</v>
      </c>
      <c r="P516">
        <v>1.25</v>
      </c>
      <c r="Q516">
        <v>2</v>
      </c>
      <c r="R516">
        <v>6.3E-2</v>
      </c>
      <c r="T516" t="s">
        <v>1775</v>
      </c>
    </row>
    <row r="517" spans="1:20" x14ac:dyDescent="0.2">
      <c r="A517" t="s">
        <v>1776</v>
      </c>
      <c r="B517" t="s">
        <v>388</v>
      </c>
      <c r="C517" t="s">
        <v>388</v>
      </c>
      <c r="E517" t="s">
        <v>1777</v>
      </c>
      <c r="F517" t="s">
        <v>1778</v>
      </c>
      <c r="G517">
        <v>4</v>
      </c>
      <c r="H517">
        <v>2250</v>
      </c>
      <c r="I517">
        <v>4</v>
      </c>
      <c r="J517">
        <v>23.5</v>
      </c>
      <c r="K517">
        <v>4</v>
      </c>
      <c r="L517">
        <v>1.0249999999999999</v>
      </c>
      <c r="M517">
        <v>4</v>
      </c>
      <c r="N517">
        <v>397.5</v>
      </c>
      <c r="O517">
        <v>4</v>
      </c>
      <c r="P517">
        <v>2.65</v>
      </c>
      <c r="Q517">
        <v>4</v>
      </c>
      <c r="R517">
        <v>0.13900000000000001</v>
      </c>
      <c r="T517" t="s">
        <v>1777</v>
      </c>
    </row>
    <row r="518" spans="1:20" x14ac:dyDescent="0.2">
      <c r="A518" t="s">
        <v>1779</v>
      </c>
      <c r="B518" t="s">
        <v>388</v>
      </c>
      <c r="C518" t="s">
        <v>388</v>
      </c>
      <c r="E518" t="s">
        <v>1780</v>
      </c>
      <c r="F518" t="s">
        <v>1781</v>
      </c>
      <c r="G518">
        <v>3</v>
      </c>
      <c r="H518">
        <v>2040</v>
      </c>
      <c r="I518">
        <v>2</v>
      </c>
      <c r="J518">
        <v>13.5</v>
      </c>
      <c r="K518">
        <v>2</v>
      </c>
      <c r="L518">
        <v>0.52500000000000002</v>
      </c>
      <c r="M518">
        <v>2</v>
      </c>
      <c r="N518">
        <v>207.5</v>
      </c>
      <c r="O518">
        <v>2</v>
      </c>
      <c r="P518">
        <v>1.25</v>
      </c>
      <c r="Q518">
        <v>2</v>
      </c>
      <c r="R518">
        <v>6.3E-2</v>
      </c>
      <c r="T518" t="s">
        <v>1780</v>
      </c>
    </row>
    <row r="519" spans="1:20" x14ac:dyDescent="0.2">
      <c r="A519" t="s">
        <v>1782</v>
      </c>
      <c r="B519" t="s">
        <v>388</v>
      </c>
      <c r="C519" t="s">
        <v>388</v>
      </c>
      <c r="E519" t="s">
        <v>1783</v>
      </c>
      <c r="F519" t="s">
        <v>447</v>
      </c>
      <c r="G519">
        <v>2</v>
      </c>
      <c r="H519">
        <v>1830</v>
      </c>
      <c r="I519">
        <v>2</v>
      </c>
      <c r="J519">
        <v>13.5</v>
      </c>
      <c r="K519">
        <v>2</v>
      </c>
      <c r="L519">
        <v>0.52500000000000002</v>
      </c>
      <c r="M519">
        <v>3</v>
      </c>
      <c r="N519">
        <v>302.5</v>
      </c>
      <c r="O519">
        <v>3</v>
      </c>
      <c r="P519">
        <v>1.95</v>
      </c>
      <c r="Q519">
        <v>3</v>
      </c>
      <c r="R519">
        <v>0.10100000000000001</v>
      </c>
      <c r="T519" t="s">
        <v>1783</v>
      </c>
    </row>
    <row r="520" spans="1:20" x14ac:dyDescent="0.2">
      <c r="A520" t="s">
        <v>1784</v>
      </c>
      <c r="B520" t="s">
        <v>388</v>
      </c>
      <c r="C520" t="s">
        <v>388</v>
      </c>
      <c r="E520" t="s">
        <v>1785</v>
      </c>
      <c r="F520" t="s">
        <v>1786</v>
      </c>
      <c r="G520">
        <v>2</v>
      </c>
      <c r="H520">
        <v>1830</v>
      </c>
      <c r="I520">
        <v>1</v>
      </c>
      <c r="J520">
        <v>8.5</v>
      </c>
      <c r="K520">
        <v>1</v>
      </c>
      <c r="L520">
        <v>0.27500000000000002</v>
      </c>
      <c r="M520">
        <v>2</v>
      </c>
      <c r="N520">
        <v>207.5</v>
      </c>
      <c r="O520">
        <v>2</v>
      </c>
      <c r="P520">
        <v>1.25</v>
      </c>
      <c r="Q520">
        <v>3</v>
      </c>
      <c r="R520">
        <v>0.10100000000000001</v>
      </c>
      <c r="T520" t="s">
        <v>1785</v>
      </c>
    </row>
    <row r="521" spans="1:20" x14ac:dyDescent="0.2">
      <c r="A521" t="s">
        <v>1787</v>
      </c>
      <c r="B521" t="s">
        <v>388</v>
      </c>
      <c r="C521" t="s">
        <v>388</v>
      </c>
      <c r="E521" t="s">
        <v>1788</v>
      </c>
      <c r="F521" t="s">
        <v>1789</v>
      </c>
      <c r="G521">
        <v>4</v>
      </c>
      <c r="H521">
        <v>2250</v>
      </c>
      <c r="I521">
        <v>4</v>
      </c>
      <c r="J521">
        <v>23.5</v>
      </c>
      <c r="K521">
        <v>4</v>
      </c>
      <c r="L521">
        <v>1.0249999999999999</v>
      </c>
      <c r="M521">
        <v>4</v>
      </c>
      <c r="N521">
        <v>397.5</v>
      </c>
      <c r="O521">
        <v>4</v>
      </c>
      <c r="P521">
        <v>2.65</v>
      </c>
      <c r="Q521">
        <v>4</v>
      </c>
      <c r="R521">
        <v>0.13900000000000001</v>
      </c>
      <c r="T521" t="s">
        <v>1788</v>
      </c>
    </row>
    <row r="522" spans="1:20" x14ac:dyDescent="0.2">
      <c r="A522" t="s">
        <v>1790</v>
      </c>
      <c r="B522" t="s">
        <v>388</v>
      </c>
      <c r="C522" t="s">
        <v>388</v>
      </c>
      <c r="E522" t="s">
        <v>1791</v>
      </c>
      <c r="F522" t="s">
        <v>1792</v>
      </c>
      <c r="G522">
        <v>3</v>
      </c>
      <c r="H522">
        <v>2040</v>
      </c>
      <c r="I522">
        <v>3</v>
      </c>
      <c r="J522">
        <v>18.5</v>
      </c>
      <c r="K522">
        <v>3</v>
      </c>
      <c r="L522">
        <v>0.77500000000000002</v>
      </c>
      <c r="M522">
        <v>4</v>
      </c>
      <c r="N522">
        <v>397.5</v>
      </c>
      <c r="O522">
        <v>4</v>
      </c>
      <c r="P522">
        <v>2.65</v>
      </c>
      <c r="Q522">
        <v>4</v>
      </c>
      <c r="R522">
        <v>0.13900000000000001</v>
      </c>
      <c r="T522" t="s">
        <v>1791</v>
      </c>
    </row>
    <row r="523" spans="1:20" x14ac:dyDescent="0.2">
      <c r="A523" t="s">
        <v>1793</v>
      </c>
      <c r="B523" t="s">
        <v>388</v>
      </c>
      <c r="C523" t="s">
        <v>388</v>
      </c>
      <c r="E523" t="s">
        <v>1794</v>
      </c>
      <c r="F523" t="s">
        <v>1792</v>
      </c>
      <c r="G523">
        <v>1</v>
      </c>
      <c r="H523">
        <v>1620</v>
      </c>
      <c r="I523">
        <v>2</v>
      </c>
      <c r="J523">
        <v>13.5</v>
      </c>
      <c r="K523">
        <v>1</v>
      </c>
      <c r="L523">
        <v>0.27500000000000002</v>
      </c>
      <c r="M523">
        <v>2</v>
      </c>
      <c r="N523">
        <v>207.5</v>
      </c>
      <c r="O523">
        <v>2</v>
      </c>
      <c r="P523">
        <v>1.25</v>
      </c>
      <c r="Q523">
        <v>2</v>
      </c>
      <c r="R523">
        <v>6.3E-2</v>
      </c>
      <c r="T523" t="s">
        <v>1794</v>
      </c>
    </row>
    <row r="524" spans="1:20" x14ac:dyDescent="0.2">
      <c r="A524" t="s">
        <v>1795</v>
      </c>
      <c r="B524" t="s">
        <v>388</v>
      </c>
      <c r="C524" t="s">
        <v>388</v>
      </c>
      <c r="E524" t="s">
        <v>1796</v>
      </c>
      <c r="F524" t="s">
        <v>447</v>
      </c>
      <c r="G524">
        <v>5</v>
      </c>
      <c r="H524">
        <v>2460</v>
      </c>
      <c r="I524">
        <v>5</v>
      </c>
      <c r="J524">
        <v>28.5</v>
      </c>
      <c r="K524">
        <v>5</v>
      </c>
      <c r="L524">
        <v>1.2749999999999999</v>
      </c>
      <c r="M524">
        <v>5</v>
      </c>
      <c r="N524">
        <v>492.5</v>
      </c>
      <c r="O524">
        <v>5</v>
      </c>
      <c r="P524">
        <v>3.35</v>
      </c>
      <c r="Q524">
        <v>5</v>
      </c>
      <c r="R524">
        <v>0.17699999999999999</v>
      </c>
      <c r="T524" t="s">
        <v>1796</v>
      </c>
    </row>
    <row r="525" spans="1:20" x14ac:dyDescent="0.2">
      <c r="A525" t="s">
        <v>1797</v>
      </c>
      <c r="B525" t="s">
        <v>388</v>
      </c>
      <c r="C525" t="s">
        <v>388</v>
      </c>
      <c r="E525" t="s">
        <v>357</v>
      </c>
      <c r="F525" t="s">
        <v>447</v>
      </c>
      <c r="G525">
        <v>1</v>
      </c>
      <c r="H525">
        <v>1620</v>
      </c>
      <c r="I525">
        <v>1</v>
      </c>
      <c r="J525">
        <v>8.5</v>
      </c>
      <c r="K525">
        <v>1</v>
      </c>
      <c r="L525">
        <v>0.27500000000000002</v>
      </c>
      <c r="M525">
        <v>1</v>
      </c>
      <c r="N525">
        <v>112.5</v>
      </c>
      <c r="O525">
        <v>1</v>
      </c>
      <c r="P525">
        <v>0.55000000000000004</v>
      </c>
      <c r="Q525">
        <v>1</v>
      </c>
      <c r="R525">
        <v>2.5000000000000001E-2</v>
      </c>
      <c r="T525" t="s">
        <v>357</v>
      </c>
    </row>
    <row r="526" spans="1:20" x14ac:dyDescent="0.2">
      <c r="A526" t="s">
        <v>1798</v>
      </c>
      <c r="B526" t="s">
        <v>388</v>
      </c>
      <c r="C526" t="s">
        <v>388</v>
      </c>
      <c r="E526" t="s">
        <v>357</v>
      </c>
      <c r="F526" t="s">
        <v>447</v>
      </c>
      <c r="G526">
        <v>1</v>
      </c>
      <c r="H526">
        <v>1620</v>
      </c>
      <c r="I526">
        <v>1</v>
      </c>
      <c r="J526">
        <v>8.5</v>
      </c>
      <c r="K526">
        <v>1</v>
      </c>
      <c r="L526">
        <v>0.27500000000000002</v>
      </c>
      <c r="M526">
        <v>2</v>
      </c>
      <c r="N526">
        <v>207.5</v>
      </c>
      <c r="O526">
        <v>1</v>
      </c>
      <c r="P526">
        <v>0.55000000000000004</v>
      </c>
      <c r="Q526">
        <v>1</v>
      </c>
      <c r="R526">
        <v>2.5000000000000001E-2</v>
      </c>
      <c r="T526" t="s">
        <v>357</v>
      </c>
    </row>
    <row r="527" spans="1:20" x14ac:dyDescent="0.2">
      <c r="A527" t="s">
        <v>1799</v>
      </c>
      <c r="B527" t="s">
        <v>388</v>
      </c>
      <c r="C527" t="s">
        <v>388</v>
      </c>
      <c r="E527" t="s">
        <v>357</v>
      </c>
      <c r="F527" t="s">
        <v>447</v>
      </c>
      <c r="G527">
        <v>4</v>
      </c>
      <c r="H527">
        <v>2250</v>
      </c>
      <c r="I527">
        <v>4</v>
      </c>
      <c r="J527">
        <v>23.5</v>
      </c>
      <c r="K527">
        <v>3</v>
      </c>
      <c r="L527">
        <v>0.77500000000000002</v>
      </c>
      <c r="M527">
        <v>4</v>
      </c>
      <c r="N527">
        <v>397.5</v>
      </c>
      <c r="O527">
        <v>4</v>
      </c>
      <c r="P527">
        <v>2.65</v>
      </c>
      <c r="Q527">
        <v>3</v>
      </c>
      <c r="R527">
        <v>0.10100000000000001</v>
      </c>
      <c r="T527" t="s">
        <v>357</v>
      </c>
    </row>
    <row r="528" spans="1:20" x14ac:dyDescent="0.2">
      <c r="A528" t="s">
        <v>1800</v>
      </c>
      <c r="B528" t="s">
        <v>388</v>
      </c>
      <c r="C528" t="s">
        <v>388</v>
      </c>
      <c r="E528" t="s">
        <v>1801</v>
      </c>
      <c r="F528" t="s">
        <v>1802</v>
      </c>
      <c r="G528">
        <v>4</v>
      </c>
      <c r="H528">
        <v>2250</v>
      </c>
      <c r="I528">
        <v>4</v>
      </c>
      <c r="J528">
        <v>23.5</v>
      </c>
      <c r="K528">
        <v>4</v>
      </c>
      <c r="L528">
        <v>1.0249999999999999</v>
      </c>
      <c r="M528">
        <v>4</v>
      </c>
      <c r="N528">
        <v>397.5</v>
      </c>
      <c r="O528">
        <v>4</v>
      </c>
      <c r="P528">
        <v>2.65</v>
      </c>
      <c r="Q528">
        <v>4</v>
      </c>
      <c r="R528">
        <v>0.13900000000000001</v>
      </c>
      <c r="T528" t="s">
        <v>1801</v>
      </c>
    </row>
    <row r="529" spans="1:20" x14ac:dyDescent="0.2">
      <c r="A529" t="s">
        <v>1803</v>
      </c>
      <c r="B529" t="s">
        <v>388</v>
      </c>
      <c r="C529" t="s">
        <v>388</v>
      </c>
      <c r="E529" t="s">
        <v>1804</v>
      </c>
      <c r="F529" t="s">
        <v>1805</v>
      </c>
      <c r="G529">
        <v>5</v>
      </c>
      <c r="H529">
        <v>2460</v>
      </c>
      <c r="I529">
        <v>5</v>
      </c>
      <c r="J529">
        <v>28.5</v>
      </c>
      <c r="K529">
        <v>5</v>
      </c>
      <c r="L529">
        <v>1.2749999999999999</v>
      </c>
      <c r="M529">
        <v>5</v>
      </c>
      <c r="N529">
        <v>492.5</v>
      </c>
      <c r="O529">
        <v>5</v>
      </c>
      <c r="P529">
        <v>3.35</v>
      </c>
      <c r="Q529">
        <v>4</v>
      </c>
      <c r="R529">
        <v>0.13900000000000001</v>
      </c>
      <c r="T529" t="s">
        <v>1804</v>
      </c>
    </row>
    <row r="530" spans="1:20" x14ac:dyDescent="0.2">
      <c r="A530" t="s">
        <v>1806</v>
      </c>
      <c r="B530" t="s">
        <v>388</v>
      </c>
      <c r="C530" t="s">
        <v>388</v>
      </c>
      <c r="E530" t="s">
        <v>1807</v>
      </c>
      <c r="F530" t="s">
        <v>1808</v>
      </c>
      <c r="G530">
        <v>3</v>
      </c>
      <c r="H530">
        <v>2040</v>
      </c>
      <c r="I530">
        <v>2</v>
      </c>
      <c r="J530">
        <v>13.5</v>
      </c>
      <c r="K530">
        <v>2</v>
      </c>
      <c r="L530">
        <v>0.52500000000000002</v>
      </c>
      <c r="M530">
        <v>2</v>
      </c>
      <c r="N530">
        <v>207.5</v>
      </c>
      <c r="O530">
        <v>2</v>
      </c>
      <c r="P530">
        <v>1.25</v>
      </c>
      <c r="Q530">
        <v>2</v>
      </c>
      <c r="R530">
        <v>6.3E-2</v>
      </c>
      <c r="T530" t="s">
        <v>1807</v>
      </c>
    </row>
    <row r="531" spans="1:20" x14ac:dyDescent="0.2">
      <c r="A531" t="s">
        <v>1809</v>
      </c>
      <c r="B531" t="s">
        <v>388</v>
      </c>
      <c r="C531" t="s">
        <v>388</v>
      </c>
      <c r="E531" t="s">
        <v>1810</v>
      </c>
      <c r="F531" t="s">
        <v>1811</v>
      </c>
      <c r="G531">
        <v>5</v>
      </c>
      <c r="H531">
        <v>2460</v>
      </c>
      <c r="I531">
        <v>5</v>
      </c>
      <c r="J531">
        <v>28.5</v>
      </c>
      <c r="K531">
        <v>5</v>
      </c>
      <c r="L531">
        <v>1.2749999999999999</v>
      </c>
      <c r="M531">
        <v>5</v>
      </c>
      <c r="N531">
        <v>492.5</v>
      </c>
      <c r="O531">
        <v>5</v>
      </c>
      <c r="P531">
        <v>3.35</v>
      </c>
      <c r="Q531">
        <v>5</v>
      </c>
      <c r="R531">
        <v>0.17699999999999999</v>
      </c>
      <c r="T531" t="s">
        <v>1810</v>
      </c>
    </row>
    <row r="532" spans="1:20" x14ac:dyDescent="0.2">
      <c r="A532" t="s">
        <v>1812</v>
      </c>
      <c r="B532" t="s">
        <v>388</v>
      </c>
      <c r="C532" t="s">
        <v>388</v>
      </c>
      <c r="E532" t="s">
        <v>1813</v>
      </c>
      <c r="F532" t="s">
        <v>447</v>
      </c>
      <c r="G532">
        <v>2</v>
      </c>
      <c r="H532">
        <v>1830</v>
      </c>
      <c r="I532">
        <v>2</v>
      </c>
      <c r="J532">
        <v>13.5</v>
      </c>
      <c r="K532">
        <v>2</v>
      </c>
      <c r="L532">
        <v>0.52500000000000002</v>
      </c>
      <c r="M532">
        <v>1</v>
      </c>
      <c r="N532">
        <v>112.5</v>
      </c>
      <c r="O532">
        <v>2</v>
      </c>
      <c r="P532">
        <v>1.25</v>
      </c>
      <c r="Q532">
        <v>1</v>
      </c>
      <c r="R532">
        <v>2.5000000000000001E-2</v>
      </c>
      <c r="T532" t="s">
        <v>1813</v>
      </c>
    </row>
    <row r="533" spans="1:20" x14ac:dyDescent="0.2">
      <c r="A533" t="s">
        <v>1814</v>
      </c>
      <c r="B533" t="s">
        <v>388</v>
      </c>
      <c r="C533" t="s">
        <v>388</v>
      </c>
      <c r="E533" t="s">
        <v>1815</v>
      </c>
      <c r="F533" t="s">
        <v>1816</v>
      </c>
      <c r="G533">
        <v>3</v>
      </c>
      <c r="H533">
        <v>2040</v>
      </c>
      <c r="I533">
        <v>3</v>
      </c>
      <c r="J533">
        <v>18.5</v>
      </c>
      <c r="K533">
        <v>2</v>
      </c>
      <c r="L533">
        <v>0.52500000000000002</v>
      </c>
      <c r="M533">
        <v>3</v>
      </c>
      <c r="N533">
        <v>302.5</v>
      </c>
      <c r="O533">
        <v>3</v>
      </c>
      <c r="P533">
        <v>1.95</v>
      </c>
      <c r="Q533">
        <v>2</v>
      </c>
      <c r="R533">
        <v>6.3E-2</v>
      </c>
      <c r="T533" t="s">
        <v>1815</v>
      </c>
    </row>
    <row r="534" spans="1:20" x14ac:dyDescent="0.2">
      <c r="A534" t="s">
        <v>1817</v>
      </c>
      <c r="B534" t="s">
        <v>388</v>
      </c>
      <c r="C534" t="s">
        <v>388</v>
      </c>
      <c r="E534" t="s">
        <v>1818</v>
      </c>
      <c r="F534" t="s">
        <v>1819</v>
      </c>
      <c r="G534">
        <v>1</v>
      </c>
      <c r="H534">
        <v>1620</v>
      </c>
      <c r="I534">
        <v>2</v>
      </c>
      <c r="J534">
        <v>13.5</v>
      </c>
      <c r="K534">
        <v>2</v>
      </c>
      <c r="L534">
        <v>0.52500000000000002</v>
      </c>
      <c r="M534">
        <v>1</v>
      </c>
      <c r="N534">
        <v>112.5</v>
      </c>
      <c r="O534">
        <v>1</v>
      </c>
      <c r="P534">
        <v>0.55000000000000004</v>
      </c>
      <c r="Q534">
        <v>1</v>
      </c>
      <c r="R534">
        <v>2.5000000000000001E-2</v>
      </c>
      <c r="T534" t="s">
        <v>1818</v>
      </c>
    </row>
    <row r="535" spans="1:20" x14ac:dyDescent="0.2">
      <c r="A535" t="s">
        <v>1820</v>
      </c>
      <c r="B535" t="s">
        <v>388</v>
      </c>
      <c r="C535" t="s">
        <v>388</v>
      </c>
      <c r="E535" t="s">
        <v>1821</v>
      </c>
      <c r="F535" t="s">
        <v>1822</v>
      </c>
      <c r="G535">
        <v>5</v>
      </c>
      <c r="H535">
        <v>2460</v>
      </c>
      <c r="I535">
        <v>5</v>
      </c>
      <c r="J535">
        <v>28.5</v>
      </c>
      <c r="K535">
        <v>4</v>
      </c>
      <c r="L535">
        <v>1.0249999999999999</v>
      </c>
      <c r="M535">
        <v>4</v>
      </c>
      <c r="N535">
        <v>397.5</v>
      </c>
      <c r="O535">
        <v>4</v>
      </c>
      <c r="P535">
        <v>2.65</v>
      </c>
      <c r="Q535">
        <v>4</v>
      </c>
      <c r="R535">
        <v>0.13900000000000001</v>
      </c>
      <c r="T535" t="s">
        <v>1821</v>
      </c>
    </row>
    <row r="536" spans="1:20" x14ac:dyDescent="0.2">
      <c r="A536" t="s">
        <v>1823</v>
      </c>
      <c r="B536" t="s">
        <v>388</v>
      </c>
      <c r="C536" t="s">
        <v>388</v>
      </c>
      <c r="E536" t="s">
        <v>1824</v>
      </c>
      <c r="F536" t="s">
        <v>1825</v>
      </c>
      <c r="G536">
        <v>5</v>
      </c>
      <c r="H536">
        <v>2460</v>
      </c>
      <c r="I536">
        <v>5</v>
      </c>
      <c r="J536">
        <v>28.5</v>
      </c>
      <c r="K536">
        <v>5</v>
      </c>
      <c r="L536">
        <v>1.2749999999999999</v>
      </c>
      <c r="M536">
        <v>5</v>
      </c>
      <c r="N536">
        <v>492.5</v>
      </c>
      <c r="O536">
        <v>5</v>
      </c>
      <c r="P536">
        <v>3.35</v>
      </c>
      <c r="Q536">
        <v>5</v>
      </c>
      <c r="R536">
        <v>0.17699999999999999</v>
      </c>
      <c r="T536" t="s">
        <v>1824</v>
      </c>
    </row>
    <row r="537" spans="1:20" x14ac:dyDescent="0.2">
      <c r="A537" t="s">
        <v>1826</v>
      </c>
      <c r="B537" t="s">
        <v>388</v>
      </c>
      <c r="C537" t="s">
        <v>388</v>
      </c>
      <c r="E537" t="s">
        <v>1827</v>
      </c>
      <c r="F537" t="s">
        <v>1828</v>
      </c>
      <c r="G537">
        <v>5</v>
      </c>
      <c r="H537">
        <v>2460</v>
      </c>
      <c r="I537">
        <v>5</v>
      </c>
      <c r="J537">
        <v>28.5</v>
      </c>
      <c r="K537">
        <v>5</v>
      </c>
      <c r="L537">
        <v>1.2749999999999999</v>
      </c>
      <c r="M537">
        <v>5</v>
      </c>
      <c r="N537">
        <v>492.5</v>
      </c>
      <c r="O537">
        <v>5</v>
      </c>
      <c r="P537">
        <v>3.35</v>
      </c>
      <c r="Q537">
        <v>4</v>
      </c>
      <c r="R537">
        <v>0.13900000000000001</v>
      </c>
      <c r="T537" t="s">
        <v>1827</v>
      </c>
    </row>
    <row r="538" spans="1:20" x14ac:dyDescent="0.2">
      <c r="A538" t="s">
        <v>1829</v>
      </c>
      <c r="B538" t="s">
        <v>388</v>
      </c>
      <c r="C538" t="s">
        <v>388</v>
      </c>
      <c r="E538" t="s">
        <v>1830</v>
      </c>
      <c r="F538" t="s">
        <v>1831</v>
      </c>
      <c r="G538">
        <v>4</v>
      </c>
      <c r="H538">
        <v>2250</v>
      </c>
      <c r="I538">
        <v>4</v>
      </c>
      <c r="J538">
        <v>23.5</v>
      </c>
      <c r="K538">
        <v>4</v>
      </c>
      <c r="L538">
        <v>1.0249999999999999</v>
      </c>
      <c r="M538">
        <v>4</v>
      </c>
      <c r="N538">
        <v>397.5</v>
      </c>
      <c r="O538">
        <v>4</v>
      </c>
      <c r="P538">
        <v>2.65</v>
      </c>
      <c r="Q538">
        <v>4</v>
      </c>
      <c r="R538">
        <v>0.13900000000000001</v>
      </c>
      <c r="T538" t="s">
        <v>1830</v>
      </c>
    </row>
    <row r="539" spans="1:20" x14ac:dyDescent="0.2">
      <c r="A539" t="s">
        <v>1832</v>
      </c>
      <c r="B539" t="s">
        <v>388</v>
      </c>
      <c r="C539" t="s">
        <v>388</v>
      </c>
      <c r="E539" t="s">
        <v>1833</v>
      </c>
      <c r="F539" t="s">
        <v>1834</v>
      </c>
      <c r="G539">
        <v>1</v>
      </c>
      <c r="H539">
        <v>1620</v>
      </c>
      <c r="I539">
        <v>3</v>
      </c>
      <c r="J539">
        <v>18.5</v>
      </c>
      <c r="K539">
        <v>2</v>
      </c>
      <c r="L539">
        <v>0.52500000000000002</v>
      </c>
      <c r="M539">
        <v>1</v>
      </c>
      <c r="N539">
        <v>112.5</v>
      </c>
      <c r="O539">
        <v>1</v>
      </c>
      <c r="P539">
        <v>0.55000000000000004</v>
      </c>
      <c r="Q539">
        <v>1</v>
      </c>
      <c r="R539">
        <v>2.5000000000000001E-2</v>
      </c>
      <c r="T539" t="s">
        <v>1833</v>
      </c>
    </row>
    <row r="540" spans="1:20" x14ac:dyDescent="0.2">
      <c r="A540" t="s">
        <v>1835</v>
      </c>
      <c r="B540" t="s">
        <v>388</v>
      </c>
      <c r="C540" t="s">
        <v>388</v>
      </c>
      <c r="E540" t="s">
        <v>1836</v>
      </c>
      <c r="F540" t="s">
        <v>1837</v>
      </c>
      <c r="G540">
        <v>3</v>
      </c>
      <c r="H540">
        <v>2040</v>
      </c>
      <c r="I540">
        <v>3</v>
      </c>
      <c r="J540">
        <v>18.5</v>
      </c>
      <c r="K540">
        <v>3</v>
      </c>
      <c r="L540">
        <v>0.77500000000000002</v>
      </c>
      <c r="M540">
        <v>3</v>
      </c>
      <c r="N540">
        <v>302.5</v>
      </c>
      <c r="O540">
        <v>3</v>
      </c>
      <c r="P540">
        <v>1.95</v>
      </c>
      <c r="Q540">
        <v>5</v>
      </c>
      <c r="R540">
        <v>0.17699999999999999</v>
      </c>
      <c r="T540" t="s">
        <v>1836</v>
      </c>
    </row>
    <row r="541" spans="1:20" x14ac:dyDescent="0.2">
      <c r="A541" t="s">
        <v>1838</v>
      </c>
      <c r="B541" t="s">
        <v>388</v>
      </c>
      <c r="C541" t="s">
        <v>388</v>
      </c>
      <c r="E541" t="s">
        <v>1839</v>
      </c>
      <c r="F541" t="s">
        <v>1840</v>
      </c>
      <c r="G541">
        <v>2</v>
      </c>
      <c r="H541">
        <v>1830</v>
      </c>
      <c r="I541">
        <v>3</v>
      </c>
      <c r="J541">
        <v>18.5</v>
      </c>
      <c r="K541">
        <v>2</v>
      </c>
      <c r="L541">
        <v>0.52500000000000002</v>
      </c>
      <c r="M541">
        <v>2</v>
      </c>
      <c r="N541">
        <v>207.5</v>
      </c>
      <c r="O541">
        <v>2</v>
      </c>
      <c r="P541">
        <v>1.25</v>
      </c>
      <c r="Q541">
        <v>2</v>
      </c>
      <c r="R541">
        <v>6.3E-2</v>
      </c>
      <c r="T541" t="s">
        <v>1839</v>
      </c>
    </row>
    <row r="542" spans="1:20" x14ac:dyDescent="0.2">
      <c r="A542" t="s">
        <v>1841</v>
      </c>
      <c r="B542" t="s">
        <v>388</v>
      </c>
      <c r="C542" t="s">
        <v>388</v>
      </c>
      <c r="E542" t="s">
        <v>1842</v>
      </c>
      <c r="F542" t="s">
        <v>1843</v>
      </c>
      <c r="G542">
        <v>4</v>
      </c>
      <c r="H542">
        <v>2250</v>
      </c>
      <c r="I542">
        <v>4</v>
      </c>
      <c r="J542">
        <v>23.5</v>
      </c>
      <c r="K542">
        <v>4</v>
      </c>
      <c r="L542">
        <v>1.0249999999999999</v>
      </c>
      <c r="M542">
        <v>4</v>
      </c>
      <c r="N542">
        <v>397.5</v>
      </c>
      <c r="O542">
        <v>4</v>
      </c>
      <c r="P542">
        <v>2.65</v>
      </c>
      <c r="Q542">
        <v>4</v>
      </c>
      <c r="R542">
        <v>0.13900000000000001</v>
      </c>
      <c r="T542" t="s">
        <v>1842</v>
      </c>
    </row>
    <row r="543" spans="1:20" x14ac:dyDescent="0.2">
      <c r="A543" t="s">
        <v>1844</v>
      </c>
      <c r="B543" t="s">
        <v>388</v>
      </c>
      <c r="C543" t="s">
        <v>388</v>
      </c>
      <c r="E543" t="s">
        <v>1845</v>
      </c>
      <c r="F543" t="s">
        <v>1846</v>
      </c>
      <c r="G543">
        <v>3</v>
      </c>
      <c r="H543">
        <v>2040</v>
      </c>
      <c r="I543">
        <v>1</v>
      </c>
      <c r="J543">
        <v>8.5</v>
      </c>
      <c r="K543">
        <v>1</v>
      </c>
      <c r="L543">
        <v>0.27500000000000002</v>
      </c>
      <c r="M543">
        <v>1</v>
      </c>
      <c r="N543">
        <v>112.5</v>
      </c>
      <c r="O543">
        <v>1</v>
      </c>
      <c r="P543">
        <v>0.55000000000000004</v>
      </c>
      <c r="Q543">
        <v>1</v>
      </c>
      <c r="R543">
        <v>2.5000000000000001E-2</v>
      </c>
      <c r="T543" t="s">
        <v>1845</v>
      </c>
    </row>
    <row r="544" spans="1:20" x14ac:dyDescent="0.2">
      <c r="A544" t="s">
        <v>1847</v>
      </c>
      <c r="B544" t="s">
        <v>388</v>
      </c>
      <c r="C544" t="s">
        <v>388</v>
      </c>
      <c r="E544" t="s">
        <v>357</v>
      </c>
      <c r="F544" t="s">
        <v>447</v>
      </c>
      <c r="G544">
        <v>5</v>
      </c>
      <c r="H544">
        <v>2460</v>
      </c>
      <c r="I544">
        <v>5</v>
      </c>
      <c r="J544">
        <v>28.5</v>
      </c>
      <c r="K544">
        <v>4</v>
      </c>
      <c r="L544">
        <v>1.0249999999999999</v>
      </c>
      <c r="M544">
        <v>5</v>
      </c>
      <c r="N544">
        <v>492.5</v>
      </c>
      <c r="O544">
        <v>5</v>
      </c>
      <c r="P544">
        <v>3.35</v>
      </c>
      <c r="Q544">
        <v>4</v>
      </c>
      <c r="R544">
        <v>0.13900000000000001</v>
      </c>
      <c r="T544" t="s">
        <v>357</v>
      </c>
    </row>
    <row r="545" spans="1:20" x14ac:dyDescent="0.2">
      <c r="A545" t="s">
        <v>1848</v>
      </c>
      <c r="B545" t="s">
        <v>388</v>
      </c>
      <c r="C545" t="s">
        <v>388</v>
      </c>
      <c r="E545" t="s">
        <v>1849</v>
      </c>
      <c r="F545" t="s">
        <v>1850</v>
      </c>
      <c r="G545">
        <v>5</v>
      </c>
      <c r="H545">
        <v>2460</v>
      </c>
      <c r="I545">
        <v>5</v>
      </c>
      <c r="J545">
        <v>28.5</v>
      </c>
      <c r="K545">
        <v>4</v>
      </c>
      <c r="L545">
        <v>1.0249999999999999</v>
      </c>
      <c r="M545">
        <v>5</v>
      </c>
      <c r="N545">
        <v>492.5</v>
      </c>
      <c r="O545">
        <v>5</v>
      </c>
      <c r="P545">
        <v>3.35</v>
      </c>
      <c r="Q545">
        <v>4</v>
      </c>
      <c r="R545">
        <v>0.13900000000000001</v>
      </c>
      <c r="T545" t="s">
        <v>1849</v>
      </c>
    </row>
    <row r="546" spans="1:20" x14ac:dyDescent="0.2">
      <c r="A546" t="s">
        <v>1851</v>
      </c>
      <c r="B546" t="s">
        <v>388</v>
      </c>
      <c r="C546" t="s">
        <v>388</v>
      </c>
      <c r="E546" t="s">
        <v>1852</v>
      </c>
      <c r="F546" t="s">
        <v>1853</v>
      </c>
      <c r="G546">
        <v>2</v>
      </c>
      <c r="H546">
        <v>1830</v>
      </c>
      <c r="I546">
        <v>2</v>
      </c>
      <c r="J546">
        <v>13.5</v>
      </c>
      <c r="K546">
        <v>2</v>
      </c>
      <c r="L546">
        <v>0.52500000000000002</v>
      </c>
      <c r="M546">
        <v>2</v>
      </c>
      <c r="N546">
        <v>207.5</v>
      </c>
      <c r="O546">
        <v>2</v>
      </c>
      <c r="P546">
        <v>1.25</v>
      </c>
      <c r="Q546">
        <v>2</v>
      </c>
      <c r="R546">
        <v>6.3E-2</v>
      </c>
      <c r="T546" t="s">
        <v>1852</v>
      </c>
    </row>
    <row r="547" spans="1:20" x14ac:dyDescent="0.2">
      <c r="A547" t="s">
        <v>1854</v>
      </c>
      <c r="B547" t="s">
        <v>388</v>
      </c>
      <c r="C547" t="s">
        <v>388</v>
      </c>
      <c r="E547" t="s">
        <v>1855</v>
      </c>
      <c r="F547" t="s">
        <v>1856</v>
      </c>
      <c r="G547">
        <v>1</v>
      </c>
      <c r="H547">
        <v>1620</v>
      </c>
      <c r="I547">
        <v>1</v>
      </c>
      <c r="J547">
        <v>8.5</v>
      </c>
      <c r="K547">
        <v>1</v>
      </c>
      <c r="L547">
        <v>0.27500000000000002</v>
      </c>
      <c r="M547">
        <v>1</v>
      </c>
      <c r="N547">
        <v>112.5</v>
      </c>
      <c r="O547">
        <v>1</v>
      </c>
      <c r="P547">
        <v>0.55000000000000004</v>
      </c>
      <c r="Q547">
        <v>1</v>
      </c>
      <c r="R547">
        <v>2.5000000000000001E-2</v>
      </c>
      <c r="T547" t="s">
        <v>1855</v>
      </c>
    </row>
    <row r="548" spans="1:20" x14ac:dyDescent="0.2">
      <c r="A548" t="s">
        <v>1857</v>
      </c>
      <c r="B548" t="s">
        <v>388</v>
      </c>
      <c r="C548" t="s">
        <v>388</v>
      </c>
      <c r="E548" t="s">
        <v>1858</v>
      </c>
      <c r="F548" t="s">
        <v>1859</v>
      </c>
      <c r="G548">
        <v>1</v>
      </c>
      <c r="H548">
        <v>1620</v>
      </c>
      <c r="I548">
        <v>3</v>
      </c>
      <c r="J548">
        <v>18.5</v>
      </c>
      <c r="K548">
        <v>2</v>
      </c>
      <c r="L548">
        <v>0.52500000000000002</v>
      </c>
      <c r="M548">
        <v>1</v>
      </c>
      <c r="N548">
        <v>112.5</v>
      </c>
      <c r="O548">
        <v>1</v>
      </c>
      <c r="P548">
        <v>0.55000000000000004</v>
      </c>
      <c r="Q548">
        <v>1</v>
      </c>
      <c r="R548">
        <v>2.5000000000000001E-2</v>
      </c>
      <c r="T548" t="s">
        <v>1858</v>
      </c>
    </row>
    <row r="549" spans="1:20" x14ac:dyDescent="0.2">
      <c r="A549" t="s">
        <v>1860</v>
      </c>
      <c r="B549" t="s">
        <v>388</v>
      </c>
      <c r="C549" t="s">
        <v>388</v>
      </c>
      <c r="E549" t="s">
        <v>1861</v>
      </c>
      <c r="F549" t="s">
        <v>1862</v>
      </c>
      <c r="G549">
        <v>5</v>
      </c>
      <c r="H549">
        <v>2460</v>
      </c>
      <c r="I549">
        <v>5</v>
      </c>
      <c r="J549">
        <v>28.5</v>
      </c>
      <c r="K549">
        <v>4</v>
      </c>
      <c r="L549">
        <v>1.0249999999999999</v>
      </c>
      <c r="M549">
        <v>4</v>
      </c>
      <c r="N549">
        <v>397.5</v>
      </c>
      <c r="O549">
        <v>4</v>
      </c>
      <c r="P549">
        <v>2.65</v>
      </c>
      <c r="Q549">
        <v>4</v>
      </c>
      <c r="R549">
        <v>0.13900000000000001</v>
      </c>
      <c r="T549" t="s">
        <v>1861</v>
      </c>
    </row>
    <row r="550" spans="1:20" x14ac:dyDescent="0.2">
      <c r="A550" t="s">
        <v>1863</v>
      </c>
      <c r="B550" t="s">
        <v>388</v>
      </c>
      <c r="C550" t="s">
        <v>388</v>
      </c>
      <c r="E550" t="s">
        <v>1864</v>
      </c>
      <c r="F550" t="s">
        <v>1865</v>
      </c>
      <c r="G550">
        <v>5</v>
      </c>
      <c r="H550">
        <v>2460</v>
      </c>
      <c r="I550">
        <v>5</v>
      </c>
      <c r="J550">
        <v>28.5</v>
      </c>
      <c r="K550">
        <v>5</v>
      </c>
      <c r="L550">
        <v>1.2749999999999999</v>
      </c>
      <c r="M550">
        <v>5</v>
      </c>
      <c r="N550">
        <v>492.5</v>
      </c>
      <c r="O550">
        <v>5</v>
      </c>
      <c r="P550">
        <v>3.35</v>
      </c>
      <c r="Q550">
        <v>5</v>
      </c>
      <c r="R550">
        <v>0.17699999999999999</v>
      </c>
      <c r="T550" t="s">
        <v>1864</v>
      </c>
    </row>
    <row r="551" spans="1:20" x14ac:dyDescent="0.2">
      <c r="A551" t="s">
        <v>1866</v>
      </c>
      <c r="B551" t="s">
        <v>388</v>
      </c>
      <c r="C551" t="s">
        <v>388</v>
      </c>
      <c r="E551" t="s">
        <v>1867</v>
      </c>
      <c r="F551" t="s">
        <v>1868</v>
      </c>
      <c r="G551">
        <v>2</v>
      </c>
      <c r="H551">
        <v>1830</v>
      </c>
      <c r="I551">
        <v>2</v>
      </c>
      <c r="J551">
        <v>13.5</v>
      </c>
      <c r="K551">
        <v>2</v>
      </c>
      <c r="L551">
        <v>0.52500000000000002</v>
      </c>
      <c r="M551">
        <v>3</v>
      </c>
      <c r="N551">
        <v>302.5</v>
      </c>
      <c r="O551">
        <v>3</v>
      </c>
      <c r="P551">
        <v>1.95</v>
      </c>
      <c r="Q551">
        <v>2</v>
      </c>
      <c r="R551">
        <v>6.3E-2</v>
      </c>
      <c r="T551" t="s">
        <v>1867</v>
      </c>
    </row>
    <row r="552" spans="1:20" x14ac:dyDescent="0.2">
      <c r="A552" t="s">
        <v>1869</v>
      </c>
      <c r="B552" t="s">
        <v>388</v>
      </c>
      <c r="C552" t="s">
        <v>388</v>
      </c>
      <c r="E552" t="s">
        <v>1867</v>
      </c>
      <c r="F552" t="s">
        <v>1868</v>
      </c>
      <c r="G552">
        <v>2</v>
      </c>
      <c r="H552">
        <v>1830</v>
      </c>
      <c r="I552">
        <v>2</v>
      </c>
      <c r="J552">
        <v>13.5</v>
      </c>
      <c r="K552">
        <v>2</v>
      </c>
      <c r="L552">
        <v>0.52500000000000002</v>
      </c>
      <c r="M552">
        <v>2</v>
      </c>
      <c r="N552">
        <v>207.5</v>
      </c>
      <c r="O552">
        <v>2</v>
      </c>
      <c r="P552">
        <v>1.25</v>
      </c>
      <c r="Q552">
        <v>2</v>
      </c>
      <c r="R552">
        <v>6.3E-2</v>
      </c>
      <c r="T552" t="s">
        <v>1867</v>
      </c>
    </row>
    <row r="553" spans="1:20" x14ac:dyDescent="0.2">
      <c r="A553" t="s">
        <v>1870</v>
      </c>
      <c r="B553" t="s">
        <v>388</v>
      </c>
      <c r="C553" t="s">
        <v>388</v>
      </c>
      <c r="E553" t="s">
        <v>203</v>
      </c>
      <c r="F553" t="s">
        <v>447</v>
      </c>
      <c r="G553">
        <v>2</v>
      </c>
      <c r="H553">
        <v>1830</v>
      </c>
      <c r="I553">
        <v>1</v>
      </c>
      <c r="J553">
        <v>8.5</v>
      </c>
      <c r="K553">
        <v>2</v>
      </c>
      <c r="L553">
        <v>0.52500000000000002</v>
      </c>
      <c r="M553">
        <v>2</v>
      </c>
      <c r="N553">
        <v>207.5</v>
      </c>
      <c r="O553">
        <v>2</v>
      </c>
      <c r="P553">
        <v>1.25</v>
      </c>
      <c r="Q553">
        <v>3</v>
      </c>
      <c r="R553">
        <v>0.10100000000000001</v>
      </c>
      <c r="T553" t="s">
        <v>203</v>
      </c>
    </row>
    <row r="554" spans="1:20" x14ac:dyDescent="0.2">
      <c r="A554" t="s">
        <v>1871</v>
      </c>
      <c r="B554" t="s">
        <v>388</v>
      </c>
      <c r="C554" t="s">
        <v>388</v>
      </c>
      <c r="E554" t="s">
        <v>203</v>
      </c>
      <c r="F554" t="s">
        <v>447</v>
      </c>
      <c r="G554">
        <v>3</v>
      </c>
      <c r="H554">
        <v>2040</v>
      </c>
      <c r="I554">
        <v>3</v>
      </c>
      <c r="J554">
        <v>18.5</v>
      </c>
      <c r="K554">
        <v>3</v>
      </c>
      <c r="L554">
        <v>0.77500000000000002</v>
      </c>
      <c r="M554">
        <v>2</v>
      </c>
      <c r="N554">
        <v>207.5</v>
      </c>
      <c r="O554">
        <v>2</v>
      </c>
      <c r="P554">
        <v>1.25</v>
      </c>
      <c r="Q554">
        <v>2</v>
      </c>
      <c r="R554">
        <v>6.3E-2</v>
      </c>
      <c r="T554" t="s">
        <v>203</v>
      </c>
    </row>
    <row r="555" spans="1:20" x14ac:dyDescent="0.2">
      <c r="A555" t="s">
        <v>1872</v>
      </c>
      <c r="B555" t="s">
        <v>388</v>
      </c>
      <c r="C555" t="s">
        <v>388</v>
      </c>
      <c r="E555" t="s">
        <v>1873</v>
      </c>
      <c r="F555" t="s">
        <v>1874</v>
      </c>
      <c r="G555">
        <v>5</v>
      </c>
      <c r="H555">
        <v>2460</v>
      </c>
      <c r="I555">
        <v>4</v>
      </c>
      <c r="J555">
        <v>23.5</v>
      </c>
      <c r="K555">
        <v>5</v>
      </c>
      <c r="L555">
        <v>1.2749999999999999</v>
      </c>
      <c r="M555">
        <v>5</v>
      </c>
      <c r="N555">
        <v>492.5</v>
      </c>
      <c r="O555">
        <v>5</v>
      </c>
      <c r="P555">
        <v>3.35</v>
      </c>
      <c r="Q555">
        <v>5</v>
      </c>
      <c r="R555">
        <v>0.17699999999999999</v>
      </c>
      <c r="T555" t="s">
        <v>1873</v>
      </c>
    </row>
    <row r="556" spans="1:20" x14ac:dyDescent="0.2">
      <c r="A556" t="s">
        <v>1875</v>
      </c>
      <c r="B556" t="s">
        <v>388</v>
      </c>
      <c r="C556" t="s">
        <v>388</v>
      </c>
      <c r="E556" t="s">
        <v>1876</v>
      </c>
      <c r="F556" t="s">
        <v>1877</v>
      </c>
      <c r="G556">
        <v>5</v>
      </c>
      <c r="H556">
        <v>2460</v>
      </c>
      <c r="I556">
        <v>5</v>
      </c>
      <c r="J556">
        <v>28.5</v>
      </c>
      <c r="K556">
        <v>5</v>
      </c>
      <c r="L556">
        <v>1.2749999999999999</v>
      </c>
      <c r="M556">
        <v>5</v>
      </c>
      <c r="N556">
        <v>492.5</v>
      </c>
      <c r="O556">
        <v>5</v>
      </c>
      <c r="P556">
        <v>3.35</v>
      </c>
      <c r="Q556">
        <v>5</v>
      </c>
      <c r="R556">
        <v>0.17699999999999999</v>
      </c>
      <c r="T556" t="s">
        <v>1876</v>
      </c>
    </row>
    <row r="557" spans="1:20" x14ac:dyDescent="0.2">
      <c r="A557" t="s">
        <v>1878</v>
      </c>
      <c r="B557" t="s">
        <v>388</v>
      </c>
      <c r="C557" t="s">
        <v>388</v>
      </c>
      <c r="E557" t="s">
        <v>1879</v>
      </c>
      <c r="F557" t="s">
        <v>1880</v>
      </c>
      <c r="G557">
        <v>3</v>
      </c>
      <c r="H557">
        <v>2040</v>
      </c>
      <c r="I557">
        <v>3</v>
      </c>
      <c r="J557">
        <v>18.5</v>
      </c>
      <c r="K557">
        <v>3</v>
      </c>
      <c r="L557">
        <v>0.77500000000000002</v>
      </c>
      <c r="M557">
        <v>3</v>
      </c>
      <c r="N557">
        <v>302.5</v>
      </c>
      <c r="O557">
        <v>3</v>
      </c>
      <c r="P557">
        <v>1.95</v>
      </c>
      <c r="Q557">
        <v>3</v>
      </c>
      <c r="R557">
        <v>0.10100000000000001</v>
      </c>
      <c r="T557" t="s">
        <v>1879</v>
      </c>
    </row>
    <row r="558" spans="1:20" x14ac:dyDescent="0.2">
      <c r="A558" t="s">
        <v>1881</v>
      </c>
      <c r="B558" t="s">
        <v>388</v>
      </c>
      <c r="C558" t="s">
        <v>388</v>
      </c>
      <c r="E558" t="s">
        <v>357</v>
      </c>
      <c r="F558" t="s">
        <v>447</v>
      </c>
      <c r="G558">
        <v>2</v>
      </c>
      <c r="H558">
        <v>1830</v>
      </c>
      <c r="I558">
        <v>2</v>
      </c>
      <c r="J558">
        <v>13.5</v>
      </c>
      <c r="K558">
        <v>2</v>
      </c>
      <c r="L558">
        <v>0.52500000000000002</v>
      </c>
      <c r="M558">
        <v>3</v>
      </c>
      <c r="N558">
        <v>302.5</v>
      </c>
      <c r="O558">
        <v>3</v>
      </c>
      <c r="P558">
        <v>1.95</v>
      </c>
      <c r="Q558">
        <v>3</v>
      </c>
      <c r="R558">
        <v>0.10100000000000001</v>
      </c>
      <c r="T558" t="s">
        <v>357</v>
      </c>
    </row>
    <row r="559" spans="1:20" x14ac:dyDescent="0.2">
      <c r="A559" t="s">
        <v>1882</v>
      </c>
      <c r="B559" t="s">
        <v>388</v>
      </c>
      <c r="C559" t="s">
        <v>388</v>
      </c>
      <c r="E559" t="s">
        <v>1883</v>
      </c>
      <c r="F559" t="s">
        <v>447</v>
      </c>
      <c r="G559">
        <v>4</v>
      </c>
      <c r="H559">
        <v>2250</v>
      </c>
      <c r="I559">
        <v>4</v>
      </c>
      <c r="J559">
        <v>23.5</v>
      </c>
      <c r="K559">
        <v>4</v>
      </c>
      <c r="L559">
        <v>1.0249999999999999</v>
      </c>
      <c r="M559">
        <v>4</v>
      </c>
      <c r="N559">
        <v>397.5</v>
      </c>
      <c r="O559">
        <v>4</v>
      </c>
      <c r="P559">
        <v>2.65</v>
      </c>
      <c r="Q559">
        <v>4</v>
      </c>
      <c r="R559">
        <v>0.13900000000000001</v>
      </c>
      <c r="T559" t="s">
        <v>1883</v>
      </c>
    </row>
    <row r="560" spans="1:20" x14ac:dyDescent="0.2">
      <c r="A560" t="s">
        <v>1884</v>
      </c>
      <c r="B560" t="s">
        <v>388</v>
      </c>
      <c r="C560" t="s">
        <v>388</v>
      </c>
      <c r="E560" t="s">
        <v>1885</v>
      </c>
      <c r="F560" t="s">
        <v>1886</v>
      </c>
      <c r="G560">
        <v>4</v>
      </c>
      <c r="H560">
        <v>2250</v>
      </c>
      <c r="I560">
        <v>4</v>
      </c>
      <c r="J560">
        <v>23.5</v>
      </c>
      <c r="K560">
        <v>4</v>
      </c>
      <c r="L560">
        <v>1.0249999999999999</v>
      </c>
      <c r="M560">
        <v>4</v>
      </c>
      <c r="N560">
        <v>397.5</v>
      </c>
      <c r="O560">
        <v>4</v>
      </c>
      <c r="P560">
        <v>2.65</v>
      </c>
      <c r="Q560">
        <v>4</v>
      </c>
      <c r="R560">
        <v>0.13900000000000001</v>
      </c>
      <c r="T560" t="s">
        <v>1885</v>
      </c>
    </row>
    <row r="561" spans="1:20" x14ac:dyDescent="0.2">
      <c r="A561" t="s">
        <v>1887</v>
      </c>
      <c r="B561" t="s">
        <v>388</v>
      </c>
      <c r="C561" t="s">
        <v>388</v>
      </c>
      <c r="E561" t="s">
        <v>1888</v>
      </c>
      <c r="F561" t="s">
        <v>1889</v>
      </c>
      <c r="G561">
        <v>1</v>
      </c>
      <c r="H561">
        <v>1620</v>
      </c>
      <c r="I561">
        <v>1</v>
      </c>
      <c r="J561">
        <v>8.5</v>
      </c>
      <c r="K561">
        <v>1</v>
      </c>
      <c r="L561">
        <v>0.27500000000000002</v>
      </c>
      <c r="M561">
        <v>1</v>
      </c>
      <c r="N561">
        <v>112.5</v>
      </c>
      <c r="O561">
        <v>1</v>
      </c>
      <c r="P561">
        <v>0.55000000000000004</v>
      </c>
      <c r="Q561">
        <v>1</v>
      </c>
      <c r="R561">
        <v>2.5000000000000001E-2</v>
      </c>
      <c r="T561" t="s">
        <v>1888</v>
      </c>
    </row>
    <row r="562" spans="1:20" x14ac:dyDescent="0.2">
      <c r="A562" t="s">
        <v>1890</v>
      </c>
      <c r="B562" t="s">
        <v>388</v>
      </c>
      <c r="C562" t="s">
        <v>388</v>
      </c>
      <c r="E562" t="s">
        <v>1891</v>
      </c>
      <c r="F562" t="s">
        <v>1892</v>
      </c>
      <c r="G562">
        <v>3</v>
      </c>
      <c r="H562">
        <v>2040</v>
      </c>
      <c r="I562">
        <v>3</v>
      </c>
      <c r="J562">
        <v>18.5</v>
      </c>
      <c r="K562">
        <v>3</v>
      </c>
      <c r="L562">
        <v>0.77500000000000002</v>
      </c>
      <c r="M562">
        <v>3</v>
      </c>
      <c r="N562">
        <v>302.5</v>
      </c>
      <c r="O562">
        <v>4</v>
      </c>
      <c r="P562">
        <v>2.65</v>
      </c>
      <c r="Q562">
        <v>5</v>
      </c>
      <c r="R562">
        <v>0.17699999999999999</v>
      </c>
      <c r="T562" t="s">
        <v>1891</v>
      </c>
    </row>
    <row r="563" spans="1:20" x14ac:dyDescent="0.2">
      <c r="A563" t="s">
        <v>1893</v>
      </c>
      <c r="B563" t="s">
        <v>388</v>
      </c>
      <c r="C563" t="s">
        <v>388</v>
      </c>
      <c r="E563" t="s">
        <v>1894</v>
      </c>
      <c r="F563" t="s">
        <v>1895</v>
      </c>
      <c r="G563">
        <v>5</v>
      </c>
      <c r="H563">
        <v>2460</v>
      </c>
      <c r="I563">
        <v>5</v>
      </c>
      <c r="J563">
        <v>28.5</v>
      </c>
      <c r="K563">
        <v>5</v>
      </c>
      <c r="L563">
        <v>1.2749999999999999</v>
      </c>
      <c r="M563">
        <v>5</v>
      </c>
      <c r="N563">
        <v>492.5</v>
      </c>
      <c r="O563">
        <v>5</v>
      </c>
      <c r="P563">
        <v>3.35</v>
      </c>
      <c r="Q563">
        <v>5</v>
      </c>
      <c r="R563">
        <v>0.17699999999999999</v>
      </c>
      <c r="T563" t="s">
        <v>1894</v>
      </c>
    </row>
    <row r="564" spans="1:20" x14ac:dyDescent="0.2">
      <c r="A564" t="s">
        <v>1896</v>
      </c>
      <c r="B564" t="s">
        <v>388</v>
      </c>
      <c r="C564" t="s">
        <v>388</v>
      </c>
      <c r="E564" t="s">
        <v>1897</v>
      </c>
      <c r="F564" t="s">
        <v>1898</v>
      </c>
      <c r="G564">
        <v>1</v>
      </c>
      <c r="H564">
        <v>1620</v>
      </c>
      <c r="I564">
        <v>1</v>
      </c>
      <c r="J564">
        <v>8.5</v>
      </c>
      <c r="K564">
        <v>1</v>
      </c>
      <c r="L564">
        <v>0.27500000000000002</v>
      </c>
      <c r="M564">
        <v>1</v>
      </c>
      <c r="N564">
        <v>112.5</v>
      </c>
      <c r="O564">
        <v>1</v>
      </c>
      <c r="P564">
        <v>0.55000000000000004</v>
      </c>
      <c r="Q564">
        <v>1</v>
      </c>
      <c r="R564">
        <v>2.5000000000000001E-2</v>
      </c>
      <c r="T564" t="s">
        <v>1897</v>
      </c>
    </row>
    <row r="565" spans="1:20" x14ac:dyDescent="0.2">
      <c r="A565" t="s">
        <v>1899</v>
      </c>
      <c r="B565" t="s">
        <v>388</v>
      </c>
      <c r="C565" t="s">
        <v>388</v>
      </c>
      <c r="E565" t="s">
        <v>1900</v>
      </c>
      <c r="F565" t="s">
        <v>1901</v>
      </c>
      <c r="G565">
        <v>2</v>
      </c>
      <c r="H565">
        <v>1830</v>
      </c>
      <c r="I565">
        <v>2</v>
      </c>
      <c r="J565">
        <v>13.5</v>
      </c>
      <c r="K565">
        <v>2</v>
      </c>
      <c r="L565">
        <v>0.52500000000000002</v>
      </c>
      <c r="M565">
        <v>4</v>
      </c>
      <c r="N565">
        <v>397.5</v>
      </c>
      <c r="O565">
        <v>4</v>
      </c>
      <c r="P565">
        <v>2.65</v>
      </c>
      <c r="Q565">
        <v>3</v>
      </c>
      <c r="R565">
        <v>0.10100000000000001</v>
      </c>
      <c r="T565" t="s">
        <v>1900</v>
      </c>
    </row>
    <row r="566" spans="1:20" x14ac:dyDescent="0.2">
      <c r="A566" t="s">
        <v>1902</v>
      </c>
      <c r="B566" t="s">
        <v>388</v>
      </c>
      <c r="C566" t="s">
        <v>388</v>
      </c>
      <c r="E566" t="s">
        <v>1903</v>
      </c>
      <c r="F566" t="s">
        <v>1904</v>
      </c>
      <c r="G566">
        <v>4</v>
      </c>
      <c r="H566">
        <v>2250</v>
      </c>
      <c r="I566">
        <v>4</v>
      </c>
      <c r="J566">
        <v>23.5</v>
      </c>
      <c r="K566">
        <v>3</v>
      </c>
      <c r="L566">
        <v>0.77500000000000002</v>
      </c>
      <c r="M566">
        <v>4</v>
      </c>
      <c r="N566">
        <v>397.5</v>
      </c>
      <c r="O566">
        <v>4</v>
      </c>
      <c r="P566">
        <v>2.65</v>
      </c>
      <c r="Q566">
        <v>4</v>
      </c>
      <c r="R566">
        <v>0.13900000000000001</v>
      </c>
      <c r="T566" t="s">
        <v>1903</v>
      </c>
    </row>
    <row r="567" spans="1:20" x14ac:dyDescent="0.2">
      <c r="A567" t="s">
        <v>1905</v>
      </c>
      <c r="B567" t="s">
        <v>388</v>
      </c>
      <c r="C567" t="s">
        <v>388</v>
      </c>
      <c r="E567" t="s">
        <v>1906</v>
      </c>
      <c r="F567" t="s">
        <v>1907</v>
      </c>
      <c r="G567">
        <v>1</v>
      </c>
      <c r="H567">
        <v>1620</v>
      </c>
      <c r="I567">
        <v>3</v>
      </c>
      <c r="J567">
        <v>18.5</v>
      </c>
      <c r="K567">
        <v>3</v>
      </c>
      <c r="L567">
        <v>0.77500000000000002</v>
      </c>
      <c r="M567">
        <v>1</v>
      </c>
      <c r="N567">
        <v>112.5</v>
      </c>
      <c r="O567">
        <v>1</v>
      </c>
      <c r="P567">
        <v>0.55000000000000004</v>
      </c>
      <c r="Q567">
        <v>1</v>
      </c>
      <c r="R567">
        <v>2.5000000000000001E-2</v>
      </c>
      <c r="T567" t="s">
        <v>1906</v>
      </c>
    </row>
    <row r="568" spans="1:20" x14ac:dyDescent="0.2">
      <c r="A568" t="s">
        <v>1908</v>
      </c>
      <c r="B568" t="s">
        <v>388</v>
      </c>
      <c r="C568" t="s">
        <v>388</v>
      </c>
      <c r="E568" t="s">
        <v>1909</v>
      </c>
      <c r="F568" t="s">
        <v>1910</v>
      </c>
      <c r="G568">
        <v>5</v>
      </c>
      <c r="H568">
        <v>2460</v>
      </c>
      <c r="I568">
        <v>5</v>
      </c>
      <c r="J568">
        <v>28.5</v>
      </c>
      <c r="K568">
        <v>5</v>
      </c>
      <c r="L568">
        <v>1.2749999999999999</v>
      </c>
      <c r="M568">
        <v>5</v>
      </c>
      <c r="N568">
        <v>492.5</v>
      </c>
      <c r="O568">
        <v>5</v>
      </c>
      <c r="P568">
        <v>3.35</v>
      </c>
      <c r="Q568">
        <v>4</v>
      </c>
      <c r="R568">
        <v>0.13900000000000001</v>
      </c>
      <c r="T568" t="s">
        <v>1909</v>
      </c>
    </row>
    <row r="569" spans="1:20" x14ac:dyDescent="0.2">
      <c r="A569" t="s">
        <v>1911</v>
      </c>
      <c r="B569" t="s">
        <v>388</v>
      </c>
      <c r="C569" t="s">
        <v>388</v>
      </c>
      <c r="E569" t="s">
        <v>1912</v>
      </c>
      <c r="F569" t="s">
        <v>1913</v>
      </c>
      <c r="G569">
        <v>5</v>
      </c>
      <c r="H569">
        <v>2460</v>
      </c>
      <c r="I569">
        <v>5</v>
      </c>
      <c r="J569">
        <v>28.5</v>
      </c>
      <c r="K569">
        <v>5</v>
      </c>
      <c r="L569">
        <v>1.2749999999999999</v>
      </c>
      <c r="M569">
        <v>5</v>
      </c>
      <c r="N569">
        <v>492.5</v>
      </c>
      <c r="O569">
        <v>5</v>
      </c>
      <c r="P569">
        <v>3.35</v>
      </c>
      <c r="Q569">
        <v>5</v>
      </c>
      <c r="R569">
        <v>0.17699999999999999</v>
      </c>
      <c r="T569" t="s">
        <v>1912</v>
      </c>
    </row>
    <row r="570" spans="1:20" x14ac:dyDescent="0.2">
      <c r="A570" t="s">
        <v>1914</v>
      </c>
      <c r="B570" t="s">
        <v>388</v>
      </c>
      <c r="C570" t="s">
        <v>388</v>
      </c>
      <c r="E570" t="s">
        <v>1915</v>
      </c>
      <c r="F570" t="s">
        <v>1916</v>
      </c>
      <c r="G570">
        <v>2</v>
      </c>
      <c r="H570">
        <v>1830</v>
      </c>
      <c r="I570">
        <v>1</v>
      </c>
      <c r="J570">
        <v>8.5</v>
      </c>
      <c r="K570">
        <v>1</v>
      </c>
      <c r="L570">
        <v>0.27500000000000002</v>
      </c>
      <c r="M570">
        <v>1</v>
      </c>
      <c r="N570">
        <v>112.5</v>
      </c>
      <c r="O570">
        <v>1</v>
      </c>
      <c r="P570">
        <v>0.55000000000000004</v>
      </c>
      <c r="Q570">
        <v>1</v>
      </c>
      <c r="R570">
        <v>2.5000000000000001E-2</v>
      </c>
      <c r="T570" t="s">
        <v>1915</v>
      </c>
    </row>
    <row r="571" spans="1:20" x14ac:dyDescent="0.2">
      <c r="A571" t="s">
        <v>1917</v>
      </c>
      <c r="B571" t="s">
        <v>388</v>
      </c>
      <c r="C571" t="s">
        <v>388</v>
      </c>
      <c r="E571" t="s">
        <v>1918</v>
      </c>
      <c r="F571" t="s">
        <v>1919</v>
      </c>
      <c r="G571">
        <v>2</v>
      </c>
      <c r="H571">
        <v>1830</v>
      </c>
      <c r="I571">
        <v>2</v>
      </c>
      <c r="J571">
        <v>13.5</v>
      </c>
      <c r="K571">
        <v>2</v>
      </c>
      <c r="L571">
        <v>0.52500000000000002</v>
      </c>
      <c r="M571">
        <v>3</v>
      </c>
      <c r="N571">
        <v>302.5</v>
      </c>
      <c r="O571">
        <v>3</v>
      </c>
      <c r="P571">
        <v>1.95</v>
      </c>
      <c r="Q571">
        <v>2</v>
      </c>
      <c r="R571">
        <v>6.3E-2</v>
      </c>
      <c r="T571" t="s">
        <v>1918</v>
      </c>
    </row>
    <row r="572" spans="1:20" x14ac:dyDescent="0.2">
      <c r="A572" t="s">
        <v>1920</v>
      </c>
      <c r="B572" t="s">
        <v>388</v>
      </c>
      <c r="C572" t="s">
        <v>388</v>
      </c>
      <c r="E572" t="s">
        <v>1921</v>
      </c>
      <c r="F572" t="s">
        <v>1922</v>
      </c>
      <c r="G572">
        <v>2</v>
      </c>
      <c r="H572">
        <v>1830</v>
      </c>
      <c r="I572">
        <v>2</v>
      </c>
      <c r="J572">
        <v>13.5</v>
      </c>
      <c r="K572">
        <v>2</v>
      </c>
      <c r="L572">
        <v>0.52500000000000002</v>
      </c>
      <c r="M572">
        <v>2</v>
      </c>
      <c r="N572">
        <v>207.5</v>
      </c>
      <c r="O572">
        <v>2</v>
      </c>
      <c r="P572">
        <v>1.25</v>
      </c>
      <c r="Q572">
        <v>2</v>
      </c>
      <c r="R572">
        <v>6.3E-2</v>
      </c>
      <c r="T572" t="s">
        <v>1921</v>
      </c>
    </row>
    <row r="573" spans="1:20" x14ac:dyDescent="0.2">
      <c r="A573" t="s">
        <v>1923</v>
      </c>
      <c r="B573" t="s">
        <v>388</v>
      </c>
      <c r="C573" t="s">
        <v>388</v>
      </c>
      <c r="E573" t="s">
        <v>1924</v>
      </c>
      <c r="F573" t="s">
        <v>1925</v>
      </c>
      <c r="G573">
        <v>3</v>
      </c>
      <c r="H573">
        <v>2040</v>
      </c>
      <c r="I573">
        <v>3</v>
      </c>
      <c r="J573">
        <v>18.5</v>
      </c>
      <c r="K573">
        <v>3</v>
      </c>
      <c r="L573">
        <v>0.77500000000000002</v>
      </c>
      <c r="M573">
        <v>3</v>
      </c>
      <c r="N573">
        <v>302.5</v>
      </c>
      <c r="O573">
        <v>3</v>
      </c>
      <c r="P573">
        <v>1.95</v>
      </c>
      <c r="Q573">
        <v>4</v>
      </c>
      <c r="R573">
        <v>0.13900000000000001</v>
      </c>
      <c r="T573" t="s">
        <v>1924</v>
      </c>
    </row>
    <row r="574" spans="1:20" x14ac:dyDescent="0.2">
      <c r="A574" t="s">
        <v>1926</v>
      </c>
      <c r="B574" t="s">
        <v>388</v>
      </c>
      <c r="C574" t="s">
        <v>388</v>
      </c>
      <c r="E574" t="s">
        <v>1927</v>
      </c>
      <c r="F574" t="s">
        <v>1928</v>
      </c>
      <c r="G574">
        <v>4</v>
      </c>
      <c r="H574">
        <v>2250</v>
      </c>
      <c r="I574">
        <v>5</v>
      </c>
      <c r="J574">
        <v>28.5</v>
      </c>
      <c r="K574">
        <v>4</v>
      </c>
      <c r="L574">
        <v>1.0249999999999999</v>
      </c>
      <c r="M574">
        <v>4</v>
      </c>
      <c r="N574">
        <v>397.5</v>
      </c>
      <c r="O574">
        <v>4</v>
      </c>
      <c r="P574">
        <v>2.65</v>
      </c>
      <c r="Q574">
        <v>4</v>
      </c>
      <c r="R574">
        <v>0.13900000000000001</v>
      </c>
      <c r="T574" t="s">
        <v>1927</v>
      </c>
    </row>
    <row r="575" spans="1:20" x14ac:dyDescent="0.2">
      <c r="A575" t="s">
        <v>1929</v>
      </c>
      <c r="B575" t="s">
        <v>388</v>
      </c>
      <c r="C575" t="s">
        <v>388</v>
      </c>
      <c r="E575" t="s">
        <v>1930</v>
      </c>
      <c r="F575" t="s">
        <v>1931</v>
      </c>
      <c r="G575">
        <v>4</v>
      </c>
      <c r="H575">
        <v>2250</v>
      </c>
      <c r="I575">
        <v>4</v>
      </c>
      <c r="J575">
        <v>23.5</v>
      </c>
      <c r="K575">
        <v>4</v>
      </c>
      <c r="L575">
        <v>1.0249999999999999</v>
      </c>
      <c r="M575">
        <v>4</v>
      </c>
      <c r="N575">
        <v>397.5</v>
      </c>
      <c r="O575">
        <v>4</v>
      </c>
      <c r="P575">
        <v>2.65</v>
      </c>
      <c r="Q575">
        <v>4</v>
      </c>
      <c r="R575">
        <v>0.13900000000000001</v>
      </c>
      <c r="T575" t="s">
        <v>1930</v>
      </c>
    </row>
    <row r="576" spans="1:20" x14ac:dyDescent="0.2">
      <c r="A576" t="s">
        <v>1932</v>
      </c>
      <c r="B576" t="s">
        <v>388</v>
      </c>
      <c r="C576" t="s">
        <v>388</v>
      </c>
      <c r="E576" t="s">
        <v>1933</v>
      </c>
      <c r="F576" t="s">
        <v>1934</v>
      </c>
      <c r="G576">
        <v>3</v>
      </c>
      <c r="H576">
        <v>2040</v>
      </c>
      <c r="I576">
        <v>2</v>
      </c>
      <c r="J576">
        <v>13.5</v>
      </c>
      <c r="K576">
        <v>2</v>
      </c>
      <c r="L576">
        <v>0.52500000000000002</v>
      </c>
      <c r="M576">
        <v>2</v>
      </c>
      <c r="N576">
        <v>207.5</v>
      </c>
      <c r="O576">
        <v>2</v>
      </c>
      <c r="P576">
        <v>1.25</v>
      </c>
      <c r="Q576">
        <v>2</v>
      </c>
      <c r="R576">
        <v>6.3E-2</v>
      </c>
      <c r="T576" t="s">
        <v>1933</v>
      </c>
    </row>
    <row r="577" spans="1:20" x14ac:dyDescent="0.2">
      <c r="A577" t="s">
        <v>1935</v>
      </c>
      <c r="B577" t="s">
        <v>388</v>
      </c>
      <c r="C577" t="s">
        <v>388</v>
      </c>
      <c r="E577" t="s">
        <v>1936</v>
      </c>
      <c r="F577" t="s">
        <v>1937</v>
      </c>
      <c r="G577">
        <v>4</v>
      </c>
      <c r="H577">
        <v>2250</v>
      </c>
      <c r="I577">
        <v>4</v>
      </c>
      <c r="J577">
        <v>23.5</v>
      </c>
      <c r="K577">
        <v>4</v>
      </c>
      <c r="L577">
        <v>1.0249999999999999</v>
      </c>
      <c r="M577">
        <v>3</v>
      </c>
      <c r="N577">
        <v>302.5</v>
      </c>
      <c r="O577">
        <v>3</v>
      </c>
      <c r="P577">
        <v>1.95</v>
      </c>
      <c r="Q577">
        <v>3</v>
      </c>
      <c r="R577">
        <v>0.10100000000000001</v>
      </c>
      <c r="T577" t="s">
        <v>1936</v>
      </c>
    </row>
    <row r="578" spans="1:20" x14ac:dyDescent="0.2">
      <c r="A578" t="s">
        <v>1938</v>
      </c>
      <c r="B578" t="s">
        <v>388</v>
      </c>
      <c r="C578" t="s">
        <v>388</v>
      </c>
      <c r="E578" t="s">
        <v>1939</v>
      </c>
      <c r="F578" t="s">
        <v>1940</v>
      </c>
      <c r="G578">
        <v>3</v>
      </c>
      <c r="H578">
        <v>2040</v>
      </c>
      <c r="I578">
        <v>3</v>
      </c>
      <c r="J578">
        <v>18.5</v>
      </c>
      <c r="K578">
        <v>3</v>
      </c>
      <c r="L578">
        <v>0.77500000000000002</v>
      </c>
      <c r="M578">
        <v>3</v>
      </c>
      <c r="N578">
        <v>302.5</v>
      </c>
      <c r="O578">
        <v>3</v>
      </c>
      <c r="P578">
        <v>1.95</v>
      </c>
      <c r="Q578">
        <v>3</v>
      </c>
      <c r="R578">
        <v>0.10100000000000001</v>
      </c>
      <c r="T578" t="s">
        <v>1939</v>
      </c>
    </row>
    <row r="579" spans="1:20" x14ac:dyDescent="0.2">
      <c r="A579" t="s">
        <v>1941</v>
      </c>
      <c r="B579" t="s">
        <v>388</v>
      </c>
      <c r="C579" t="s">
        <v>388</v>
      </c>
      <c r="E579" t="s">
        <v>1942</v>
      </c>
      <c r="F579" t="s">
        <v>1943</v>
      </c>
      <c r="G579">
        <v>5</v>
      </c>
      <c r="H579">
        <v>2460</v>
      </c>
      <c r="I579">
        <v>5</v>
      </c>
      <c r="J579">
        <v>28.5</v>
      </c>
      <c r="K579">
        <v>4</v>
      </c>
      <c r="L579">
        <v>1.0249999999999999</v>
      </c>
      <c r="M579">
        <v>5</v>
      </c>
      <c r="N579">
        <v>492.5</v>
      </c>
      <c r="O579">
        <v>5</v>
      </c>
      <c r="P579">
        <v>3.35</v>
      </c>
      <c r="Q579">
        <v>4</v>
      </c>
      <c r="R579">
        <v>0.13900000000000001</v>
      </c>
      <c r="T579" t="s">
        <v>1942</v>
      </c>
    </row>
    <row r="580" spans="1:20" x14ac:dyDescent="0.2">
      <c r="A580" t="s">
        <v>1944</v>
      </c>
      <c r="B580" t="s">
        <v>388</v>
      </c>
      <c r="C580" t="s">
        <v>388</v>
      </c>
      <c r="E580" t="s">
        <v>1945</v>
      </c>
      <c r="F580" t="s">
        <v>1946</v>
      </c>
      <c r="G580">
        <v>4</v>
      </c>
      <c r="H580">
        <v>2250</v>
      </c>
      <c r="I580">
        <v>3</v>
      </c>
      <c r="J580">
        <v>18.5</v>
      </c>
      <c r="K580">
        <v>3</v>
      </c>
      <c r="L580">
        <v>0.77500000000000002</v>
      </c>
      <c r="M580">
        <v>3</v>
      </c>
      <c r="N580">
        <v>302.5</v>
      </c>
      <c r="O580">
        <v>3</v>
      </c>
      <c r="P580">
        <v>1.95</v>
      </c>
      <c r="Q580">
        <v>3</v>
      </c>
      <c r="R580">
        <v>0.10100000000000001</v>
      </c>
      <c r="T580" t="s">
        <v>1945</v>
      </c>
    </row>
    <row r="581" spans="1:20" x14ac:dyDescent="0.2">
      <c r="A581" t="s">
        <v>1947</v>
      </c>
      <c r="B581" t="s">
        <v>388</v>
      </c>
      <c r="C581" t="s">
        <v>388</v>
      </c>
      <c r="E581" t="s">
        <v>1948</v>
      </c>
      <c r="F581" t="s">
        <v>447</v>
      </c>
      <c r="G581">
        <v>2</v>
      </c>
      <c r="H581">
        <v>1830</v>
      </c>
      <c r="I581">
        <v>1</v>
      </c>
      <c r="J581">
        <v>8.5</v>
      </c>
      <c r="K581">
        <v>1</v>
      </c>
      <c r="L581">
        <v>0.27500000000000002</v>
      </c>
      <c r="M581">
        <v>2</v>
      </c>
      <c r="N581">
        <v>207.5</v>
      </c>
      <c r="O581">
        <v>2</v>
      </c>
      <c r="P581">
        <v>1.25</v>
      </c>
      <c r="Q581">
        <v>1</v>
      </c>
      <c r="R581">
        <v>2.5000000000000001E-2</v>
      </c>
      <c r="T581" t="s">
        <v>1948</v>
      </c>
    </row>
    <row r="582" spans="1:20" x14ac:dyDescent="0.2">
      <c r="A582" t="s">
        <v>1949</v>
      </c>
      <c r="B582" t="s">
        <v>388</v>
      </c>
      <c r="C582" t="s">
        <v>388</v>
      </c>
      <c r="E582" t="s">
        <v>1950</v>
      </c>
      <c r="F582" t="s">
        <v>447</v>
      </c>
      <c r="G582">
        <v>3</v>
      </c>
      <c r="H582">
        <v>2040</v>
      </c>
      <c r="I582">
        <v>3</v>
      </c>
      <c r="J582">
        <v>18.5</v>
      </c>
      <c r="K582">
        <v>3</v>
      </c>
      <c r="L582">
        <v>0.77500000000000002</v>
      </c>
      <c r="M582">
        <v>3</v>
      </c>
      <c r="N582">
        <v>302.5</v>
      </c>
      <c r="O582">
        <v>3</v>
      </c>
      <c r="P582">
        <v>1.95</v>
      </c>
      <c r="Q582">
        <v>3</v>
      </c>
      <c r="R582">
        <v>0.10100000000000001</v>
      </c>
      <c r="T582" t="s">
        <v>1950</v>
      </c>
    </row>
    <row r="583" spans="1:20" x14ac:dyDescent="0.2">
      <c r="A583" t="s">
        <v>1951</v>
      </c>
      <c r="B583" t="s">
        <v>388</v>
      </c>
      <c r="C583" t="s">
        <v>388</v>
      </c>
      <c r="E583" t="s">
        <v>1952</v>
      </c>
      <c r="F583" t="s">
        <v>1953</v>
      </c>
      <c r="G583">
        <v>2</v>
      </c>
      <c r="H583">
        <v>1830</v>
      </c>
      <c r="I583">
        <v>2</v>
      </c>
      <c r="J583">
        <v>13.5</v>
      </c>
      <c r="K583">
        <v>2</v>
      </c>
      <c r="L583">
        <v>0.52500000000000002</v>
      </c>
      <c r="M583">
        <v>2</v>
      </c>
      <c r="N583">
        <v>207.5</v>
      </c>
      <c r="O583">
        <v>2</v>
      </c>
      <c r="P583">
        <v>1.25</v>
      </c>
      <c r="Q583">
        <v>2</v>
      </c>
      <c r="R583">
        <v>6.3E-2</v>
      </c>
      <c r="T583" t="s">
        <v>1952</v>
      </c>
    </row>
    <row r="584" spans="1:20" x14ac:dyDescent="0.2">
      <c r="A584" t="s">
        <v>1954</v>
      </c>
      <c r="B584" t="s">
        <v>388</v>
      </c>
      <c r="C584" t="s">
        <v>388</v>
      </c>
      <c r="E584" t="s">
        <v>1955</v>
      </c>
      <c r="F584" t="s">
        <v>1956</v>
      </c>
      <c r="G584">
        <v>4</v>
      </c>
      <c r="H584">
        <v>2250</v>
      </c>
      <c r="I584">
        <v>4</v>
      </c>
      <c r="J584">
        <v>23.5</v>
      </c>
      <c r="K584">
        <v>3</v>
      </c>
      <c r="L584">
        <v>0.77500000000000002</v>
      </c>
      <c r="M584">
        <v>3</v>
      </c>
      <c r="N584">
        <v>302.5</v>
      </c>
      <c r="O584">
        <v>4</v>
      </c>
      <c r="P584">
        <v>2.65</v>
      </c>
      <c r="Q584">
        <v>3</v>
      </c>
      <c r="R584">
        <v>0.10100000000000001</v>
      </c>
      <c r="T584" t="s">
        <v>1955</v>
      </c>
    </row>
    <row r="585" spans="1:20" x14ac:dyDescent="0.2">
      <c r="A585" t="s">
        <v>1957</v>
      </c>
      <c r="B585" t="s">
        <v>388</v>
      </c>
      <c r="C585" t="s">
        <v>388</v>
      </c>
      <c r="E585" t="s">
        <v>1958</v>
      </c>
      <c r="F585" t="s">
        <v>1959</v>
      </c>
      <c r="G585">
        <v>4</v>
      </c>
      <c r="H585">
        <v>2250</v>
      </c>
      <c r="I585">
        <v>5</v>
      </c>
      <c r="J585">
        <v>28.5</v>
      </c>
      <c r="K585">
        <v>4</v>
      </c>
      <c r="L585">
        <v>1.0249999999999999</v>
      </c>
      <c r="M585">
        <v>4</v>
      </c>
      <c r="N585">
        <v>397.5</v>
      </c>
      <c r="O585">
        <v>4</v>
      </c>
      <c r="P585">
        <v>2.65</v>
      </c>
      <c r="Q585">
        <v>4</v>
      </c>
      <c r="R585">
        <v>0.13900000000000001</v>
      </c>
      <c r="T585" t="s">
        <v>1958</v>
      </c>
    </row>
    <row r="586" spans="1:20" x14ac:dyDescent="0.2">
      <c r="A586" t="s">
        <v>1960</v>
      </c>
      <c r="B586" t="s">
        <v>388</v>
      </c>
      <c r="C586" t="s">
        <v>388</v>
      </c>
      <c r="E586" t="s">
        <v>1961</v>
      </c>
      <c r="F586" t="s">
        <v>1962</v>
      </c>
      <c r="G586">
        <v>2</v>
      </c>
      <c r="H586">
        <v>1830</v>
      </c>
      <c r="I586">
        <v>2</v>
      </c>
      <c r="J586">
        <v>13.5</v>
      </c>
      <c r="K586">
        <v>2</v>
      </c>
      <c r="L586">
        <v>0.52500000000000002</v>
      </c>
      <c r="M586">
        <v>3</v>
      </c>
      <c r="N586">
        <v>302.5</v>
      </c>
      <c r="O586">
        <v>3</v>
      </c>
      <c r="P586">
        <v>1.95</v>
      </c>
      <c r="Q586">
        <v>5</v>
      </c>
      <c r="R586">
        <v>0.17699999999999999</v>
      </c>
      <c r="T586" t="s">
        <v>1961</v>
      </c>
    </row>
    <row r="587" spans="1:20" x14ac:dyDescent="0.2">
      <c r="A587" t="s">
        <v>1963</v>
      </c>
      <c r="B587" t="s">
        <v>388</v>
      </c>
      <c r="C587" t="s">
        <v>388</v>
      </c>
      <c r="E587" t="s">
        <v>1964</v>
      </c>
      <c r="F587" t="s">
        <v>1965</v>
      </c>
      <c r="G587">
        <v>1</v>
      </c>
      <c r="H587">
        <v>1620</v>
      </c>
      <c r="I587">
        <v>2</v>
      </c>
      <c r="J587">
        <v>13.5</v>
      </c>
      <c r="K587">
        <v>2</v>
      </c>
      <c r="L587">
        <v>0.52500000000000002</v>
      </c>
      <c r="M587">
        <v>2</v>
      </c>
      <c r="N587">
        <v>207.5</v>
      </c>
      <c r="O587">
        <v>1</v>
      </c>
      <c r="P587">
        <v>0.55000000000000004</v>
      </c>
      <c r="Q587">
        <v>2</v>
      </c>
      <c r="R587">
        <v>6.3E-2</v>
      </c>
      <c r="T587" t="s">
        <v>1964</v>
      </c>
    </row>
    <row r="588" spans="1:20" x14ac:dyDescent="0.2">
      <c r="A588" t="s">
        <v>1966</v>
      </c>
      <c r="B588" t="s">
        <v>388</v>
      </c>
      <c r="C588" t="s">
        <v>388</v>
      </c>
      <c r="E588" t="s">
        <v>1967</v>
      </c>
      <c r="F588" t="s">
        <v>1968</v>
      </c>
      <c r="G588">
        <v>1</v>
      </c>
      <c r="H588">
        <v>1620</v>
      </c>
      <c r="I588">
        <v>4</v>
      </c>
      <c r="J588">
        <v>23.5</v>
      </c>
      <c r="K588">
        <v>3</v>
      </c>
      <c r="L588">
        <v>0.77500000000000002</v>
      </c>
      <c r="M588">
        <v>1</v>
      </c>
      <c r="N588">
        <v>112.5</v>
      </c>
      <c r="O588">
        <v>1</v>
      </c>
      <c r="P588">
        <v>0.55000000000000004</v>
      </c>
      <c r="Q588">
        <v>2</v>
      </c>
      <c r="R588">
        <v>6.3E-2</v>
      </c>
      <c r="T588" t="s">
        <v>1967</v>
      </c>
    </row>
    <row r="589" spans="1:20" x14ac:dyDescent="0.2">
      <c r="A589" t="s">
        <v>1969</v>
      </c>
      <c r="B589" t="s">
        <v>388</v>
      </c>
      <c r="C589" t="s">
        <v>388</v>
      </c>
      <c r="E589" t="s">
        <v>1970</v>
      </c>
      <c r="F589" t="s">
        <v>1971</v>
      </c>
      <c r="G589">
        <v>5</v>
      </c>
      <c r="H589">
        <v>2460</v>
      </c>
      <c r="I589">
        <v>4</v>
      </c>
      <c r="J589">
        <v>23.5</v>
      </c>
      <c r="K589">
        <v>4</v>
      </c>
      <c r="L589">
        <v>1.0249999999999999</v>
      </c>
      <c r="M589">
        <v>5</v>
      </c>
      <c r="N589">
        <v>492.5</v>
      </c>
      <c r="O589">
        <v>5</v>
      </c>
      <c r="P589">
        <v>3.35</v>
      </c>
      <c r="Q589">
        <v>5</v>
      </c>
      <c r="R589">
        <v>0.17699999999999999</v>
      </c>
      <c r="T589" t="s">
        <v>1970</v>
      </c>
    </row>
    <row r="590" spans="1:20" x14ac:dyDescent="0.2">
      <c r="A590" t="s">
        <v>1972</v>
      </c>
      <c r="B590" t="s">
        <v>388</v>
      </c>
      <c r="C590" t="s">
        <v>388</v>
      </c>
      <c r="E590" t="s">
        <v>1973</v>
      </c>
      <c r="F590" t="s">
        <v>1974</v>
      </c>
      <c r="G590">
        <v>4</v>
      </c>
      <c r="H590">
        <v>2250</v>
      </c>
      <c r="I590">
        <v>4</v>
      </c>
      <c r="J590">
        <v>23.5</v>
      </c>
      <c r="K590">
        <v>4</v>
      </c>
      <c r="L590">
        <v>1.0249999999999999</v>
      </c>
      <c r="M590">
        <v>4</v>
      </c>
      <c r="N590">
        <v>397.5</v>
      </c>
      <c r="O590">
        <v>4</v>
      </c>
      <c r="P590">
        <v>2.65</v>
      </c>
      <c r="Q590">
        <v>5</v>
      </c>
      <c r="R590">
        <v>0.17699999999999999</v>
      </c>
      <c r="T590" t="s">
        <v>1973</v>
      </c>
    </row>
    <row r="591" spans="1:20" x14ac:dyDescent="0.2">
      <c r="A591" t="s">
        <v>1975</v>
      </c>
      <c r="B591" t="s">
        <v>388</v>
      </c>
      <c r="C591" t="s">
        <v>388</v>
      </c>
      <c r="E591" t="s">
        <v>1976</v>
      </c>
      <c r="F591" t="s">
        <v>447</v>
      </c>
      <c r="G591">
        <v>5</v>
      </c>
      <c r="H591">
        <v>2460</v>
      </c>
      <c r="I591">
        <v>5</v>
      </c>
      <c r="J591">
        <v>28.5</v>
      </c>
      <c r="K591">
        <v>5</v>
      </c>
      <c r="L591">
        <v>1.2749999999999999</v>
      </c>
      <c r="M591">
        <v>5</v>
      </c>
      <c r="N591">
        <v>492.5</v>
      </c>
      <c r="O591">
        <v>5</v>
      </c>
      <c r="P591">
        <v>3.35</v>
      </c>
      <c r="Q591">
        <v>5</v>
      </c>
      <c r="R591">
        <v>0.17699999999999999</v>
      </c>
      <c r="T591" t="s">
        <v>1976</v>
      </c>
    </row>
    <row r="592" spans="1:20" x14ac:dyDescent="0.2">
      <c r="A592" t="s">
        <v>1977</v>
      </c>
      <c r="B592" t="s">
        <v>388</v>
      </c>
      <c r="C592" t="s">
        <v>388</v>
      </c>
      <c r="E592" t="s">
        <v>1978</v>
      </c>
      <c r="F592" t="s">
        <v>1979</v>
      </c>
      <c r="G592">
        <v>4</v>
      </c>
      <c r="H592">
        <v>2250</v>
      </c>
      <c r="I592">
        <v>4</v>
      </c>
      <c r="J592">
        <v>23.5</v>
      </c>
      <c r="K592">
        <v>4</v>
      </c>
      <c r="L592">
        <v>1.0249999999999999</v>
      </c>
      <c r="M592">
        <v>2</v>
      </c>
      <c r="N592">
        <v>207.5</v>
      </c>
      <c r="O592">
        <v>3</v>
      </c>
      <c r="P592">
        <v>1.95</v>
      </c>
      <c r="Q592">
        <v>5</v>
      </c>
      <c r="R592">
        <v>0.17699999999999999</v>
      </c>
      <c r="T592" t="s">
        <v>1978</v>
      </c>
    </row>
    <row r="593" spans="1:20" x14ac:dyDescent="0.2">
      <c r="A593" t="s">
        <v>1980</v>
      </c>
      <c r="B593" t="s">
        <v>388</v>
      </c>
      <c r="C593" t="s">
        <v>388</v>
      </c>
      <c r="E593" t="s">
        <v>1981</v>
      </c>
      <c r="F593" t="s">
        <v>1982</v>
      </c>
      <c r="G593">
        <v>2</v>
      </c>
      <c r="H593">
        <v>1830</v>
      </c>
      <c r="I593">
        <v>2</v>
      </c>
      <c r="J593">
        <v>13.5</v>
      </c>
      <c r="K593">
        <v>2</v>
      </c>
      <c r="L593">
        <v>0.52500000000000002</v>
      </c>
      <c r="M593">
        <v>2</v>
      </c>
      <c r="N593">
        <v>207.5</v>
      </c>
      <c r="O593">
        <v>2</v>
      </c>
      <c r="P593">
        <v>1.25</v>
      </c>
      <c r="Q593">
        <v>2</v>
      </c>
      <c r="R593">
        <v>6.3E-2</v>
      </c>
      <c r="T593" t="s">
        <v>1981</v>
      </c>
    </row>
    <row r="594" spans="1:20" x14ac:dyDescent="0.2">
      <c r="A594" t="s">
        <v>1983</v>
      </c>
      <c r="B594" t="s">
        <v>388</v>
      </c>
      <c r="C594" t="s">
        <v>388</v>
      </c>
      <c r="E594" t="s">
        <v>1984</v>
      </c>
      <c r="F594" t="s">
        <v>1985</v>
      </c>
      <c r="G594">
        <v>1</v>
      </c>
      <c r="H594">
        <v>1620</v>
      </c>
      <c r="I594">
        <v>1</v>
      </c>
      <c r="J594">
        <v>8.5</v>
      </c>
      <c r="K594">
        <v>1</v>
      </c>
      <c r="L594">
        <v>0.27500000000000002</v>
      </c>
      <c r="M594">
        <v>1</v>
      </c>
      <c r="N594">
        <v>112.5</v>
      </c>
      <c r="O594">
        <v>1</v>
      </c>
      <c r="P594">
        <v>0.55000000000000004</v>
      </c>
      <c r="Q594">
        <v>1</v>
      </c>
      <c r="R594">
        <v>2.5000000000000001E-2</v>
      </c>
      <c r="T594" t="s">
        <v>1984</v>
      </c>
    </row>
    <row r="595" spans="1:20" x14ac:dyDescent="0.2">
      <c r="A595" t="s">
        <v>1986</v>
      </c>
      <c r="B595" t="s">
        <v>388</v>
      </c>
      <c r="C595" t="s">
        <v>388</v>
      </c>
      <c r="E595" t="s">
        <v>357</v>
      </c>
      <c r="F595" t="s">
        <v>1987</v>
      </c>
      <c r="G595">
        <v>1</v>
      </c>
      <c r="H595">
        <v>1620</v>
      </c>
      <c r="I595">
        <v>1</v>
      </c>
      <c r="J595">
        <v>8.5</v>
      </c>
      <c r="K595">
        <v>1</v>
      </c>
      <c r="L595">
        <v>0.27500000000000002</v>
      </c>
      <c r="M595">
        <v>1</v>
      </c>
      <c r="N595">
        <v>112.5</v>
      </c>
      <c r="O595">
        <v>1</v>
      </c>
      <c r="P595">
        <v>0.55000000000000004</v>
      </c>
      <c r="Q595">
        <v>1</v>
      </c>
      <c r="R595">
        <v>2.5000000000000001E-2</v>
      </c>
      <c r="T595" t="s">
        <v>357</v>
      </c>
    </row>
    <row r="596" spans="1:20" x14ac:dyDescent="0.2">
      <c r="A596" t="s">
        <v>1988</v>
      </c>
      <c r="B596" t="s">
        <v>1989</v>
      </c>
      <c r="E596" t="s">
        <v>225</v>
      </c>
      <c r="F596" t="s">
        <v>1990</v>
      </c>
      <c r="H596">
        <v>1225</v>
      </c>
      <c r="J596">
        <v>18.5</v>
      </c>
      <c r="L596">
        <v>0.5</v>
      </c>
      <c r="N596">
        <v>30</v>
      </c>
      <c r="P596">
        <v>0.42499999999999999</v>
      </c>
      <c r="R596">
        <v>1.4E-2</v>
      </c>
      <c r="T596" t="s">
        <v>225</v>
      </c>
    </row>
    <row r="597" spans="1:20" x14ac:dyDescent="0.2">
      <c r="A597" t="s">
        <v>1991</v>
      </c>
      <c r="B597" t="s">
        <v>1989</v>
      </c>
      <c r="E597" t="s">
        <v>1992</v>
      </c>
      <c r="F597" t="s">
        <v>1078</v>
      </c>
      <c r="H597">
        <v>1225</v>
      </c>
      <c r="J597">
        <v>17.5</v>
      </c>
      <c r="L597">
        <v>0.48</v>
      </c>
      <c r="N597">
        <v>40</v>
      </c>
      <c r="P597">
        <v>0.47499999999999998</v>
      </c>
      <c r="R597">
        <v>1.6E-2</v>
      </c>
      <c r="T597" t="s">
        <v>1992</v>
      </c>
    </row>
    <row r="598" spans="1:20" x14ac:dyDescent="0.2">
      <c r="A598" t="s">
        <v>1993</v>
      </c>
      <c r="B598" t="s">
        <v>1989</v>
      </c>
      <c r="E598" t="s">
        <v>1994</v>
      </c>
      <c r="F598" t="s">
        <v>1995</v>
      </c>
      <c r="H598">
        <v>1075</v>
      </c>
      <c r="J598">
        <v>18.5</v>
      </c>
      <c r="L598">
        <v>0.5</v>
      </c>
      <c r="N598">
        <v>30</v>
      </c>
      <c r="P598">
        <v>0.42499999999999999</v>
      </c>
      <c r="R598">
        <v>1.4E-2</v>
      </c>
      <c r="T598" t="s">
        <v>1994</v>
      </c>
    </row>
    <row r="599" spans="1:20" x14ac:dyDescent="0.2">
      <c r="A599" t="s">
        <v>1996</v>
      </c>
      <c r="B599" t="s">
        <v>1989</v>
      </c>
      <c r="E599" t="s">
        <v>1994</v>
      </c>
      <c r="F599" t="s">
        <v>1995</v>
      </c>
      <c r="H599">
        <v>1525</v>
      </c>
      <c r="J599">
        <v>15.5</v>
      </c>
      <c r="L599">
        <v>0.44</v>
      </c>
      <c r="N599">
        <v>60</v>
      </c>
      <c r="P599">
        <v>0.42499999999999999</v>
      </c>
      <c r="R599">
        <v>1.6E-2</v>
      </c>
      <c r="T599" t="s">
        <v>1994</v>
      </c>
    </row>
    <row r="600" spans="1:20" x14ac:dyDescent="0.2">
      <c r="A600" t="s">
        <v>1997</v>
      </c>
      <c r="B600" t="s">
        <v>1989</v>
      </c>
      <c r="E600" t="s">
        <v>210</v>
      </c>
      <c r="F600" t="s">
        <v>1998</v>
      </c>
      <c r="H600">
        <v>1075</v>
      </c>
      <c r="J600">
        <v>16.5</v>
      </c>
      <c r="L600">
        <v>0.44</v>
      </c>
      <c r="N600">
        <v>30</v>
      </c>
      <c r="P600">
        <v>0.375</v>
      </c>
      <c r="R600">
        <v>0.01</v>
      </c>
      <c r="T600" t="s">
        <v>210</v>
      </c>
    </row>
    <row r="601" spans="1:20" x14ac:dyDescent="0.2">
      <c r="A601" t="s">
        <v>1999</v>
      </c>
      <c r="B601" t="s">
        <v>1989</v>
      </c>
      <c r="E601" t="s">
        <v>2000</v>
      </c>
      <c r="F601" t="s">
        <v>2001</v>
      </c>
      <c r="H601">
        <v>1375</v>
      </c>
      <c r="J601">
        <v>15.5</v>
      </c>
      <c r="L601">
        <v>0.46</v>
      </c>
      <c r="N601">
        <v>30</v>
      </c>
      <c r="P601">
        <v>0.42499999999999999</v>
      </c>
      <c r="R601">
        <v>1.2E-2</v>
      </c>
      <c r="T601" t="s">
        <v>2000</v>
      </c>
    </row>
    <row r="602" spans="1:20" x14ac:dyDescent="0.2">
      <c r="A602" t="s">
        <v>2002</v>
      </c>
      <c r="B602" t="s">
        <v>1989</v>
      </c>
      <c r="E602" t="s">
        <v>2000</v>
      </c>
      <c r="F602" t="s">
        <v>2001</v>
      </c>
      <c r="H602">
        <v>1675</v>
      </c>
      <c r="J602">
        <v>15.5</v>
      </c>
      <c r="L602">
        <v>0.44</v>
      </c>
      <c r="N602">
        <v>60</v>
      </c>
      <c r="P602">
        <v>0.375</v>
      </c>
      <c r="R602">
        <v>1.2E-2</v>
      </c>
      <c r="T602" t="s">
        <v>2000</v>
      </c>
    </row>
    <row r="603" spans="1:20" x14ac:dyDescent="0.2">
      <c r="A603" t="s">
        <v>2003</v>
      </c>
      <c r="B603" t="s">
        <v>1989</v>
      </c>
      <c r="E603" t="s">
        <v>2004</v>
      </c>
      <c r="F603" t="s">
        <v>2005</v>
      </c>
      <c r="H603">
        <v>1525</v>
      </c>
      <c r="J603">
        <v>15.5</v>
      </c>
      <c r="L603">
        <v>0.52</v>
      </c>
      <c r="N603">
        <v>70</v>
      </c>
      <c r="P603">
        <v>0.57499999999999996</v>
      </c>
      <c r="R603">
        <v>1.7999999999999999E-2</v>
      </c>
      <c r="T603" t="s">
        <v>2004</v>
      </c>
    </row>
    <row r="604" spans="1:20" x14ac:dyDescent="0.2">
      <c r="A604" t="s">
        <v>2006</v>
      </c>
      <c r="B604" t="s">
        <v>1989</v>
      </c>
      <c r="E604" t="s">
        <v>242</v>
      </c>
      <c r="F604" t="s">
        <v>2007</v>
      </c>
      <c r="H604">
        <v>1675</v>
      </c>
      <c r="J604">
        <v>15.5</v>
      </c>
      <c r="L604">
        <v>0.44</v>
      </c>
      <c r="N604">
        <v>70</v>
      </c>
      <c r="P604">
        <v>0.375</v>
      </c>
      <c r="R604">
        <v>0.01</v>
      </c>
      <c r="T604" t="s">
        <v>242</v>
      </c>
    </row>
    <row r="605" spans="1:20" x14ac:dyDescent="0.2">
      <c r="A605" t="s">
        <v>2008</v>
      </c>
      <c r="B605" t="s">
        <v>1989</v>
      </c>
      <c r="E605" t="s">
        <v>211</v>
      </c>
      <c r="F605" t="s">
        <v>2009</v>
      </c>
      <c r="H605">
        <v>1075</v>
      </c>
      <c r="J605">
        <v>16.5</v>
      </c>
      <c r="L605">
        <v>0.46</v>
      </c>
      <c r="N605">
        <v>30</v>
      </c>
      <c r="P605">
        <v>0.42499999999999999</v>
      </c>
      <c r="R605">
        <v>1.4E-2</v>
      </c>
      <c r="T605" t="s">
        <v>211</v>
      </c>
    </row>
    <row r="606" spans="1:20" x14ac:dyDescent="0.2">
      <c r="A606" t="s">
        <v>2010</v>
      </c>
      <c r="B606" t="s">
        <v>1989</v>
      </c>
      <c r="E606" t="s">
        <v>2011</v>
      </c>
      <c r="F606" t="s">
        <v>2012</v>
      </c>
      <c r="H606">
        <v>1225</v>
      </c>
      <c r="J606">
        <v>17.5</v>
      </c>
      <c r="L606">
        <v>0.5</v>
      </c>
      <c r="N606">
        <v>40</v>
      </c>
      <c r="P606">
        <v>0.52500000000000002</v>
      </c>
      <c r="R606">
        <v>1.6E-2</v>
      </c>
      <c r="T606" t="s">
        <v>2011</v>
      </c>
    </row>
    <row r="607" spans="1:20" x14ac:dyDescent="0.2">
      <c r="A607" t="s">
        <v>2013</v>
      </c>
      <c r="B607" t="s">
        <v>1989</v>
      </c>
      <c r="E607" t="s">
        <v>2014</v>
      </c>
      <c r="F607" t="s">
        <v>2015</v>
      </c>
      <c r="H607">
        <v>1225</v>
      </c>
      <c r="J607">
        <v>15.5</v>
      </c>
      <c r="L607">
        <v>0.44</v>
      </c>
      <c r="N607">
        <v>70</v>
      </c>
      <c r="P607">
        <v>0.57499999999999996</v>
      </c>
      <c r="R607">
        <v>1.7999999999999999E-2</v>
      </c>
      <c r="T607" t="s">
        <v>2014</v>
      </c>
    </row>
    <row r="608" spans="1:20" x14ac:dyDescent="0.2">
      <c r="A608" t="s">
        <v>2016</v>
      </c>
      <c r="B608" t="s">
        <v>1989</v>
      </c>
      <c r="E608" t="s">
        <v>2017</v>
      </c>
      <c r="F608" t="s">
        <v>2018</v>
      </c>
      <c r="H608">
        <v>1075</v>
      </c>
      <c r="J608">
        <v>17.5</v>
      </c>
      <c r="L608">
        <v>0.48</v>
      </c>
      <c r="N608">
        <v>30</v>
      </c>
      <c r="P608">
        <v>0.42499999999999999</v>
      </c>
      <c r="R608">
        <v>1.2E-2</v>
      </c>
      <c r="T608" t="s">
        <v>2017</v>
      </c>
    </row>
    <row r="609" spans="1:20" x14ac:dyDescent="0.2">
      <c r="A609" t="s">
        <v>2019</v>
      </c>
      <c r="B609" t="s">
        <v>1989</v>
      </c>
      <c r="E609" t="s">
        <v>206</v>
      </c>
      <c r="F609" t="s">
        <v>2020</v>
      </c>
      <c r="H609">
        <v>1675</v>
      </c>
      <c r="J609">
        <v>15.5</v>
      </c>
      <c r="L609">
        <v>0.46</v>
      </c>
      <c r="N609">
        <v>70</v>
      </c>
      <c r="P609">
        <v>0.57499999999999996</v>
      </c>
      <c r="R609">
        <v>1.7999999999999999E-2</v>
      </c>
      <c r="T609" t="s">
        <v>206</v>
      </c>
    </row>
    <row r="610" spans="1:20" x14ac:dyDescent="0.2">
      <c r="A610" t="s">
        <v>2021</v>
      </c>
      <c r="B610" t="s">
        <v>2022</v>
      </c>
      <c r="C610" t="s">
        <v>2023</v>
      </c>
      <c r="D610" t="s">
        <v>2024</v>
      </c>
      <c r="E610" t="s">
        <v>2025</v>
      </c>
      <c r="F610" t="s">
        <v>2026</v>
      </c>
      <c r="G610">
        <v>2</v>
      </c>
      <c r="H610">
        <v>1560</v>
      </c>
      <c r="I610">
        <v>3</v>
      </c>
      <c r="J610">
        <v>5.9</v>
      </c>
      <c r="K610">
        <v>5</v>
      </c>
      <c r="L610">
        <v>8.5999999999999993E-2</v>
      </c>
      <c r="M610">
        <v>1</v>
      </c>
      <c r="N610">
        <v>74</v>
      </c>
      <c r="O610">
        <v>3</v>
      </c>
      <c r="P610">
        <v>0.375</v>
      </c>
      <c r="Q610">
        <v>5</v>
      </c>
      <c r="R610">
        <v>8.0000000000000002E-3</v>
      </c>
      <c r="T610" t="s">
        <v>2025</v>
      </c>
    </row>
    <row r="611" spans="1:20" x14ac:dyDescent="0.2">
      <c r="A611" t="s">
        <v>2027</v>
      </c>
      <c r="B611" t="s">
        <v>2022</v>
      </c>
      <c r="C611" t="s">
        <v>2028</v>
      </c>
      <c r="D611" t="s">
        <v>2024</v>
      </c>
      <c r="E611" t="s">
        <v>2029</v>
      </c>
      <c r="F611" t="s">
        <v>2030</v>
      </c>
      <c r="G611">
        <v>2</v>
      </c>
      <c r="H611">
        <v>850</v>
      </c>
      <c r="I611">
        <v>2</v>
      </c>
      <c r="J611">
        <v>1.55</v>
      </c>
      <c r="K611">
        <v>2</v>
      </c>
      <c r="L611">
        <v>4.4999999999999998E-2</v>
      </c>
      <c r="M611">
        <v>4</v>
      </c>
      <c r="N611">
        <v>400</v>
      </c>
      <c r="O611">
        <v>3</v>
      </c>
      <c r="P611">
        <v>0.75</v>
      </c>
      <c r="Q611">
        <v>5</v>
      </c>
      <c r="R611">
        <v>3.3500000000000002E-2</v>
      </c>
      <c r="T611" t="s">
        <v>2029</v>
      </c>
    </row>
    <row r="612" spans="1:20" x14ac:dyDescent="0.2">
      <c r="A612" t="s">
        <v>2031</v>
      </c>
      <c r="B612" t="s">
        <v>2022</v>
      </c>
      <c r="C612" t="s">
        <v>2023</v>
      </c>
      <c r="D612" t="s">
        <v>2024</v>
      </c>
      <c r="E612" t="s">
        <v>2032</v>
      </c>
      <c r="F612" t="s">
        <v>447</v>
      </c>
      <c r="G612">
        <v>2</v>
      </c>
      <c r="H612">
        <v>1560</v>
      </c>
      <c r="I612">
        <v>2</v>
      </c>
      <c r="J612">
        <v>3.4</v>
      </c>
      <c r="K612">
        <v>2</v>
      </c>
      <c r="L612">
        <v>2.5999999999999999E-2</v>
      </c>
      <c r="M612">
        <v>2</v>
      </c>
      <c r="N612">
        <v>84</v>
      </c>
      <c r="O612">
        <v>2</v>
      </c>
      <c r="P612">
        <v>0.22500000000000001</v>
      </c>
      <c r="Q612">
        <v>2</v>
      </c>
      <c r="R612">
        <v>2E-3</v>
      </c>
      <c r="T612" t="s">
        <v>2032</v>
      </c>
    </row>
    <row r="613" spans="1:20" x14ac:dyDescent="0.2">
      <c r="A613" t="s">
        <v>2033</v>
      </c>
      <c r="B613" t="s">
        <v>2022</v>
      </c>
      <c r="C613" t="s">
        <v>2023</v>
      </c>
      <c r="D613" t="s">
        <v>2024</v>
      </c>
      <c r="E613" t="s">
        <v>2034</v>
      </c>
      <c r="F613" t="s">
        <v>447</v>
      </c>
      <c r="G613">
        <v>5</v>
      </c>
      <c r="H613">
        <v>1800</v>
      </c>
      <c r="I613">
        <v>3</v>
      </c>
      <c r="J613">
        <v>5.9</v>
      </c>
      <c r="K613">
        <v>5</v>
      </c>
      <c r="L613">
        <v>8.5999999999999993E-2</v>
      </c>
      <c r="M613">
        <v>2</v>
      </c>
      <c r="N613">
        <v>84</v>
      </c>
      <c r="O613">
        <v>2</v>
      </c>
      <c r="P613">
        <v>0.22500000000000001</v>
      </c>
      <c r="Q613">
        <v>4</v>
      </c>
      <c r="R613">
        <v>6.0000000000000001E-3</v>
      </c>
      <c r="T613" t="s">
        <v>2034</v>
      </c>
    </row>
    <row r="614" spans="1:20" x14ac:dyDescent="0.2">
      <c r="A614" t="s">
        <v>2035</v>
      </c>
      <c r="B614" t="s">
        <v>2022</v>
      </c>
      <c r="C614" t="s">
        <v>2036</v>
      </c>
      <c r="D614" t="s">
        <v>2024</v>
      </c>
      <c r="E614" t="s">
        <v>2037</v>
      </c>
      <c r="F614" t="s">
        <v>447</v>
      </c>
      <c r="G614">
        <v>2</v>
      </c>
      <c r="H614">
        <v>1640</v>
      </c>
      <c r="I614">
        <v>5</v>
      </c>
      <c r="J614">
        <v>7</v>
      </c>
      <c r="K614">
        <v>5</v>
      </c>
      <c r="L614">
        <v>0.17499999999999999</v>
      </c>
      <c r="M614">
        <v>2</v>
      </c>
      <c r="N614">
        <v>82</v>
      </c>
      <c r="O614">
        <v>4</v>
      </c>
      <c r="P614">
        <v>0.42499999999999999</v>
      </c>
      <c r="Q614">
        <v>5</v>
      </c>
      <c r="R614">
        <v>1.2E-2</v>
      </c>
      <c r="T614" t="s">
        <v>2037</v>
      </c>
    </row>
    <row r="615" spans="1:20" x14ac:dyDescent="0.2">
      <c r="A615" t="s">
        <v>2038</v>
      </c>
      <c r="B615" t="s">
        <v>2022</v>
      </c>
      <c r="C615" t="s">
        <v>2023</v>
      </c>
      <c r="D615" t="s">
        <v>2024</v>
      </c>
      <c r="E615" t="s">
        <v>2039</v>
      </c>
      <c r="F615" t="s">
        <v>447</v>
      </c>
      <c r="G615">
        <v>3</v>
      </c>
      <c r="H615">
        <v>1640</v>
      </c>
      <c r="I615">
        <v>4</v>
      </c>
      <c r="J615">
        <v>8.4</v>
      </c>
      <c r="K615">
        <v>5</v>
      </c>
      <c r="L615">
        <v>8.5999999999999993E-2</v>
      </c>
      <c r="M615">
        <v>2</v>
      </c>
      <c r="N615">
        <v>84</v>
      </c>
      <c r="O615">
        <v>3</v>
      </c>
      <c r="P615">
        <v>0.375</v>
      </c>
      <c r="Q615">
        <v>5</v>
      </c>
      <c r="R615">
        <v>8.0000000000000002E-3</v>
      </c>
      <c r="T615" t="s">
        <v>2039</v>
      </c>
    </row>
    <row r="616" spans="1:20" x14ac:dyDescent="0.2">
      <c r="A616" t="s">
        <v>2040</v>
      </c>
      <c r="B616" t="s">
        <v>2022</v>
      </c>
      <c r="C616" t="s">
        <v>2023</v>
      </c>
      <c r="D616" t="s">
        <v>2024</v>
      </c>
      <c r="E616" t="s">
        <v>2041</v>
      </c>
      <c r="F616" t="s">
        <v>2042</v>
      </c>
      <c r="G616">
        <v>2</v>
      </c>
      <c r="H616">
        <v>1560</v>
      </c>
      <c r="I616">
        <v>3</v>
      </c>
      <c r="J616">
        <v>5.9</v>
      </c>
      <c r="K616">
        <v>5</v>
      </c>
      <c r="L616">
        <v>8.5999999999999993E-2</v>
      </c>
      <c r="M616">
        <v>2</v>
      </c>
      <c r="N616">
        <v>84</v>
      </c>
      <c r="O616">
        <v>2</v>
      </c>
      <c r="P616">
        <v>0.22500000000000001</v>
      </c>
      <c r="Q616">
        <v>4</v>
      </c>
      <c r="R616">
        <v>6.0000000000000001E-3</v>
      </c>
      <c r="T616" t="s">
        <v>2041</v>
      </c>
    </row>
    <row r="617" spans="1:20" x14ac:dyDescent="0.2">
      <c r="A617" t="s">
        <v>2043</v>
      </c>
      <c r="B617" t="s">
        <v>2022</v>
      </c>
      <c r="C617" t="s">
        <v>2023</v>
      </c>
      <c r="D617" t="s">
        <v>2024</v>
      </c>
      <c r="E617" t="s">
        <v>2044</v>
      </c>
      <c r="F617" t="s">
        <v>2045</v>
      </c>
      <c r="G617">
        <v>4</v>
      </c>
      <c r="H617">
        <v>1720</v>
      </c>
      <c r="I617">
        <v>4</v>
      </c>
      <c r="J617">
        <v>8.4</v>
      </c>
      <c r="K617">
        <v>5</v>
      </c>
      <c r="L617">
        <v>8.5999999999999993E-2</v>
      </c>
      <c r="M617">
        <v>5</v>
      </c>
      <c r="N617">
        <v>114</v>
      </c>
      <c r="O617">
        <v>4</v>
      </c>
      <c r="P617">
        <v>0.52500000000000002</v>
      </c>
      <c r="Q617">
        <v>5</v>
      </c>
      <c r="R617">
        <v>8.0000000000000002E-3</v>
      </c>
      <c r="T617" t="s">
        <v>2044</v>
      </c>
    </row>
    <row r="618" spans="1:20" x14ac:dyDescent="0.2">
      <c r="A618" t="s">
        <v>2046</v>
      </c>
      <c r="B618" t="s">
        <v>2022</v>
      </c>
      <c r="C618" t="s">
        <v>2023</v>
      </c>
      <c r="D618" t="s">
        <v>2024</v>
      </c>
      <c r="E618" t="s">
        <v>2047</v>
      </c>
      <c r="F618" t="s">
        <v>447</v>
      </c>
      <c r="G618">
        <v>2</v>
      </c>
      <c r="H618">
        <v>1560</v>
      </c>
      <c r="I618">
        <v>3</v>
      </c>
      <c r="J618">
        <v>5.9</v>
      </c>
      <c r="K618">
        <v>5</v>
      </c>
      <c r="L618">
        <v>8.5999999999999993E-2</v>
      </c>
      <c r="M618">
        <v>3</v>
      </c>
      <c r="N618">
        <v>94</v>
      </c>
      <c r="O618">
        <v>3</v>
      </c>
      <c r="P618">
        <v>0.375</v>
      </c>
      <c r="Q618">
        <v>4</v>
      </c>
      <c r="R618">
        <v>6.0000000000000001E-3</v>
      </c>
      <c r="T618" t="s">
        <v>2047</v>
      </c>
    </row>
    <row r="619" spans="1:20" x14ac:dyDescent="0.2">
      <c r="A619" t="s">
        <v>2048</v>
      </c>
      <c r="B619" t="s">
        <v>2022</v>
      </c>
      <c r="C619" t="s">
        <v>2049</v>
      </c>
      <c r="D619" t="s">
        <v>2024</v>
      </c>
      <c r="E619" t="s">
        <v>2050</v>
      </c>
      <c r="F619" t="s">
        <v>2051</v>
      </c>
      <c r="G619">
        <v>3</v>
      </c>
      <c r="H619">
        <v>1550</v>
      </c>
      <c r="I619">
        <v>1</v>
      </c>
      <c r="J619">
        <v>1.4</v>
      </c>
      <c r="K619">
        <v>1</v>
      </c>
      <c r="L619">
        <v>0.01</v>
      </c>
      <c r="M619">
        <v>4</v>
      </c>
      <c r="N619">
        <v>146</v>
      </c>
      <c r="O619">
        <v>1</v>
      </c>
      <c r="P619">
        <v>0.06</v>
      </c>
      <c r="Q619">
        <v>1</v>
      </c>
      <c r="R619">
        <v>8.4999999999999995E-4</v>
      </c>
      <c r="T619" t="s">
        <v>2050</v>
      </c>
    </row>
    <row r="620" spans="1:20" x14ac:dyDescent="0.2">
      <c r="A620" t="s">
        <v>2052</v>
      </c>
      <c r="B620" t="s">
        <v>2022</v>
      </c>
      <c r="C620" t="s">
        <v>2053</v>
      </c>
      <c r="D620" t="s">
        <v>2024</v>
      </c>
      <c r="E620" t="s">
        <v>2054</v>
      </c>
      <c r="F620" t="s">
        <v>2051</v>
      </c>
      <c r="G620">
        <v>4</v>
      </c>
      <c r="H620">
        <v>1800</v>
      </c>
      <c r="I620">
        <v>1</v>
      </c>
      <c r="J620">
        <v>1.55</v>
      </c>
      <c r="K620">
        <v>1</v>
      </c>
      <c r="L620">
        <v>1.4999999999999999E-2</v>
      </c>
      <c r="M620">
        <v>5</v>
      </c>
      <c r="N620">
        <v>113</v>
      </c>
      <c r="O620">
        <v>1</v>
      </c>
      <c r="P620">
        <v>7.4999999999999997E-2</v>
      </c>
      <c r="Q620">
        <v>1</v>
      </c>
      <c r="R620">
        <v>8.4999999999999995E-4</v>
      </c>
      <c r="T620" t="s">
        <v>2054</v>
      </c>
    </row>
    <row r="621" spans="1:20" x14ac:dyDescent="0.2">
      <c r="A621" t="s">
        <v>2055</v>
      </c>
      <c r="B621" t="s">
        <v>2022</v>
      </c>
      <c r="C621" t="s">
        <v>2053</v>
      </c>
      <c r="E621" t="s">
        <v>2054</v>
      </c>
      <c r="F621" t="s">
        <v>2051</v>
      </c>
      <c r="G621">
        <v>5</v>
      </c>
      <c r="H621">
        <v>1900</v>
      </c>
      <c r="I621">
        <v>5</v>
      </c>
      <c r="J621">
        <v>11.55</v>
      </c>
      <c r="K621">
        <v>5</v>
      </c>
      <c r="L621">
        <v>0.41499999999999998</v>
      </c>
      <c r="M621">
        <v>5</v>
      </c>
      <c r="N621">
        <v>113</v>
      </c>
      <c r="O621">
        <v>5</v>
      </c>
      <c r="P621">
        <v>0.67500000000000004</v>
      </c>
      <c r="Q621">
        <v>5</v>
      </c>
      <c r="R621">
        <v>2.6200000000000001E-2</v>
      </c>
      <c r="T621" t="s">
        <v>2054</v>
      </c>
    </row>
    <row r="622" spans="1:20" x14ac:dyDescent="0.2">
      <c r="A622" t="s">
        <v>2056</v>
      </c>
      <c r="B622" t="s">
        <v>2022</v>
      </c>
      <c r="C622" t="s">
        <v>2053</v>
      </c>
      <c r="D622" t="s">
        <v>2024</v>
      </c>
      <c r="E622" t="s">
        <v>2057</v>
      </c>
      <c r="F622" t="s">
        <v>2058</v>
      </c>
      <c r="G622">
        <v>4</v>
      </c>
      <c r="H622">
        <v>1800</v>
      </c>
      <c r="I622">
        <v>3</v>
      </c>
      <c r="J622">
        <v>6.55</v>
      </c>
      <c r="K622">
        <v>1</v>
      </c>
      <c r="L622">
        <v>1.4999999999999999E-2</v>
      </c>
      <c r="M622">
        <v>5</v>
      </c>
      <c r="N622">
        <v>113</v>
      </c>
      <c r="O622">
        <v>4</v>
      </c>
      <c r="P622">
        <v>0.52500000000000002</v>
      </c>
      <c r="Q622">
        <v>2</v>
      </c>
      <c r="R622">
        <v>5.1999999999999998E-3</v>
      </c>
      <c r="T622" t="s">
        <v>2057</v>
      </c>
    </row>
    <row r="623" spans="1:20" x14ac:dyDescent="0.2">
      <c r="A623" t="s">
        <v>2059</v>
      </c>
      <c r="B623" t="s">
        <v>2022</v>
      </c>
      <c r="C623" t="s">
        <v>2036</v>
      </c>
      <c r="D623" t="s">
        <v>2024</v>
      </c>
      <c r="E623" t="s">
        <v>2060</v>
      </c>
      <c r="F623" t="s">
        <v>2061</v>
      </c>
      <c r="G623">
        <v>5</v>
      </c>
      <c r="H623">
        <v>1940</v>
      </c>
      <c r="I623">
        <v>5</v>
      </c>
      <c r="J623">
        <v>7</v>
      </c>
      <c r="K623">
        <v>5</v>
      </c>
      <c r="L623">
        <v>0.17499999999999999</v>
      </c>
      <c r="M623">
        <v>3</v>
      </c>
      <c r="N623">
        <v>88</v>
      </c>
      <c r="O623">
        <v>4</v>
      </c>
      <c r="P623">
        <v>0.42499999999999999</v>
      </c>
      <c r="Q623">
        <v>5</v>
      </c>
      <c r="R623">
        <v>1.2E-2</v>
      </c>
      <c r="T623" t="s">
        <v>2060</v>
      </c>
    </row>
    <row r="624" spans="1:20" x14ac:dyDescent="0.2">
      <c r="A624" t="s">
        <v>2062</v>
      </c>
      <c r="B624" t="s">
        <v>2022</v>
      </c>
      <c r="C624" t="s">
        <v>2023</v>
      </c>
      <c r="D624" t="s">
        <v>2024</v>
      </c>
      <c r="E624" t="s">
        <v>2063</v>
      </c>
      <c r="F624" t="s">
        <v>2064</v>
      </c>
      <c r="G624">
        <v>2</v>
      </c>
      <c r="H624">
        <v>1560</v>
      </c>
      <c r="I624">
        <v>1</v>
      </c>
      <c r="J624">
        <v>0.9</v>
      </c>
      <c r="K624">
        <v>1</v>
      </c>
      <c r="L624">
        <v>6.0000000000000001E-3</v>
      </c>
      <c r="M624">
        <v>1</v>
      </c>
      <c r="N624">
        <v>74</v>
      </c>
      <c r="O624">
        <v>1</v>
      </c>
      <c r="P624">
        <v>7.4999999999999997E-2</v>
      </c>
      <c r="Q624">
        <v>1</v>
      </c>
      <c r="R624">
        <v>5.0000000000000001E-4</v>
      </c>
      <c r="T624" t="s">
        <v>2063</v>
      </c>
    </row>
    <row r="625" spans="1:20" x14ac:dyDescent="0.2">
      <c r="A625" t="s">
        <v>2065</v>
      </c>
      <c r="B625" t="s">
        <v>2022</v>
      </c>
      <c r="C625" t="s">
        <v>2023</v>
      </c>
      <c r="D625" t="s">
        <v>2024</v>
      </c>
      <c r="E625" t="s">
        <v>2066</v>
      </c>
      <c r="F625" t="s">
        <v>2067</v>
      </c>
      <c r="G625">
        <v>3</v>
      </c>
      <c r="H625">
        <v>1640</v>
      </c>
      <c r="I625">
        <v>3</v>
      </c>
      <c r="J625">
        <v>5.9</v>
      </c>
      <c r="K625">
        <v>5</v>
      </c>
      <c r="L625">
        <v>8.5999999999999993E-2</v>
      </c>
      <c r="M625">
        <v>1</v>
      </c>
      <c r="N625">
        <v>74</v>
      </c>
      <c r="O625">
        <v>2</v>
      </c>
      <c r="P625">
        <v>0.22500000000000001</v>
      </c>
      <c r="Q625">
        <v>3</v>
      </c>
      <c r="R625">
        <v>4.0000000000000001E-3</v>
      </c>
      <c r="T625" t="s">
        <v>2066</v>
      </c>
    </row>
    <row r="626" spans="1:20" x14ac:dyDescent="0.2">
      <c r="A626" t="s">
        <v>2068</v>
      </c>
      <c r="B626" t="s">
        <v>2022</v>
      </c>
      <c r="C626" t="s">
        <v>2023</v>
      </c>
      <c r="D626" t="s">
        <v>2024</v>
      </c>
      <c r="E626" t="s">
        <v>2069</v>
      </c>
      <c r="F626" t="s">
        <v>2070</v>
      </c>
      <c r="G626">
        <v>1</v>
      </c>
      <c r="H626">
        <v>1480</v>
      </c>
      <c r="I626">
        <v>5</v>
      </c>
      <c r="J626">
        <v>10.9</v>
      </c>
      <c r="K626">
        <v>5</v>
      </c>
      <c r="L626">
        <v>8.5999999999999993E-2</v>
      </c>
      <c r="M626">
        <v>1</v>
      </c>
      <c r="N626">
        <v>74</v>
      </c>
      <c r="O626">
        <v>4</v>
      </c>
      <c r="P626">
        <v>0.52500000000000002</v>
      </c>
      <c r="Q626">
        <v>5</v>
      </c>
      <c r="R626">
        <v>8.0000000000000002E-3</v>
      </c>
      <c r="T626" t="s">
        <v>2069</v>
      </c>
    </row>
    <row r="627" spans="1:20" x14ac:dyDescent="0.2">
      <c r="A627" t="s">
        <v>2071</v>
      </c>
      <c r="B627" t="s">
        <v>2022</v>
      </c>
      <c r="C627" t="s">
        <v>2053</v>
      </c>
      <c r="D627" t="s">
        <v>2024</v>
      </c>
      <c r="E627" t="s">
        <v>2072</v>
      </c>
      <c r="F627" t="s">
        <v>2073</v>
      </c>
      <c r="G627">
        <v>5</v>
      </c>
      <c r="H627">
        <v>1900</v>
      </c>
      <c r="I627">
        <v>5</v>
      </c>
      <c r="J627">
        <v>11.55</v>
      </c>
      <c r="K627">
        <v>5</v>
      </c>
      <c r="L627">
        <v>0.41499999999999998</v>
      </c>
      <c r="M627">
        <v>4</v>
      </c>
      <c r="N627">
        <v>103</v>
      </c>
      <c r="O627">
        <v>4</v>
      </c>
      <c r="P627">
        <v>0.52500000000000002</v>
      </c>
      <c r="Q627">
        <v>5</v>
      </c>
      <c r="R627">
        <v>2.6200000000000001E-2</v>
      </c>
      <c r="T627" t="s">
        <v>2072</v>
      </c>
    </row>
    <row r="628" spans="1:20" x14ac:dyDescent="0.2">
      <c r="A628" t="s">
        <v>2074</v>
      </c>
      <c r="B628" t="s">
        <v>2022</v>
      </c>
      <c r="C628" t="s">
        <v>2036</v>
      </c>
      <c r="D628" t="s">
        <v>2024</v>
      </c>
      <c r="E628" t="s">
        <v>2075</v>
      </c>
      <c r="F628" t="s">
        <v>2076</v>
      </c>
      <c r="G628">
        <v>4</v>
      </c>
      <c r="H628">
        <v>1840</v>
      </c>
      <c r="I628">
        <v>2</v>
      </c>
      <c r="J628">
        <v>3.4</v>
      </c>
      <c r="K628">
        <v>3</v>
      </c>
      <c r="L628">
        <v>0.115</v>
      </c>
      <c r="M628">
        <v>3</v>
      </c>
      <c r="N628">
        <v>88</v>
      </c>
      <c r="O628">
        <v>2</v>
      </c>
      <c r="P628">
        <v>0.20499999999999999</v>
      </c>
      <c r="Q628">
        <v>2</v>
      </c>
      <c r="R628">
        <v>4.2500000000000003E-3</v>
      </c>
      <c r="T628" t="s">
        <v>2075</v>
      </c>
    </row>
    <row r="629" spans="1:20" x14ac:dyDescent="0.2">
      <c r="A629" t="s">
        <v>2077</v>
      </c>
      <c r="B629" t="s">
        <v>2022</v>
      </c>
      <c r="C629" t="s">
        <v>2036</v>
      </c>
      <c r="D629" t="s">
        <v>2024</v>
      </c>
      <c r="E629" t="s">
        <v>2078</v>
      </c>
      <c r="F629" t="s">
        <v>447</v>
      </c>
      <c r="G629">
        <v>4</v>
      </c>
      <c r="H629">
        <v>1840</v>
      </c>
      <c r="I629">
        <v>3</v>
      </c>
      <c r="J629">
        <v>4.5999999999999996</v>
      </c>
      <c r="K629">
        <v>2</v>
      </c>
      <c r="L629">
        <v>8.5000000000000006E-2</v>
      </c>
      <c r="M629">
        <v>5</v>
      </c>
      <c r="N629">
        <v>100</v>
      </c>
      <c r="O629">
        <v>2</v>
      </c>
      <c r="P629">
        <v>0.20499999999999999</v>
      </c>
      <c r="Q629">
        <v>2</v>
      </c>
      <c r="R629">
        <v>4.2500000000000003E-3</v>
      </c>
      <c r="T629" t="s">
        <v>2078</v>
      </c>
    </row>
    <row r="630" spans="1:20" x14ac:dyDescent="0.2">
      <c r="A630" t="s">
        <v>2079</v>
      </c>
      <c r="B630" t="s">
        <v>2022</v>
      </c>
      <c r="C630" t="s">
        <v>2049</v>
      </c>
      <c r="D630" t="s">
        <v>2024</v>
      </c>
      <c r="E630" t="s">
        <v>2080</v>
      </c>
      <c r="F630" t="s">
        <v>2081</v>
      </c>
      <c r="G630">
        <v>3</v>
      </c>
      <c r="H630">
        <v>1550</v>
      </c>
      <c r="I630">
        <v>5</v>
      </c>
      <c r="J630">
        <v>8.6</v>
      </c>
      <c r="K630">
        <v>5</v>
      </c>
      <c r="L630">
        <v>0.3</v>
      </c>
      <c r="M630">
        <v>4</v>
      </c>
      <c r="N630">
        <v>146</v>
      </c>
      <c r="O630">
        <v>5</v>
      </c>
      <c r="P630">
        <v>0.86</v>
      </c>
      <c r="Q630">
        <v>4</v>
      </c>
      <c r="R630">
        <v>2.4199999999999999E-2</v>
      </c>
      <c r="T630" t="s">
        <v>2080</v>
      </c>
    </row>
    <row r="631" spans="1:20" x14ac:dyDescent="0.2">
      <c r="A631" t="s">
        <v>2082</v>
      </c>
      <c r="B631" t="s">
        <v>2022</v>
      </c>
      <c r="C631" t="s">
        <v>2053</v>
      </c>
      <c r="D631" t="s">
        <v>2024</v>
      </c>
      <c r="E631" t="s">
        <v>2083</v>
      </c>
      <c r="F631" t="s">
        <v>2084</v>
      </c>
      <c r="G631">
        <v>5</v>
      </c>
      <c r="H631">
        <v>1900</v>
      </c>
      <c r="I631">
        <v>1</v>
      </c>
      <c r="J631">
        <v>1.55</v>
      </c>
      <c r="K631">
        <v>1</v>
      </c>
      <c r="L631">
        <v>1.4999999999999999E-2</v>
      </c>
      <c r="M631">
        <v>5</v>
      </c>
      <c r="N631">
        <v>113</v>
      </c>
      <c r="O631">
        <v>1</v>
      </c>
      <c r="P631">
        <v>7.4999999999999997E-2</v>
      </c>
      <c r="Q631">
        <v>1</v>
      </c>
      <c r="R631">
        <v>8.4999999999999995E-4</v>
      </c>
      <c r="T631" t="s">
        <v>2083</v>
      </c>
    </row>
    <row r="632" spans="1:20" x14ac:dyDescent="0.2">
      <c r="A632" t="s">
        <v>2085</v>
      </c>
      <c r="B632" t="s">
        <v>2022</v>
      </c>
      <c r="C632" t="s">
        <v>2028</v>
      </c>
      <c r="D632" t="s">
        <v>2024</v>
      </c>
      <c r="E632" t="s">
        <v>2086</v>
      </c>
      <c r="F632" t="s">
        <v>2087</v>
      </c>
      <c r="G632">
        <v>5</v>
      </c>
      <c r="H632">
        <v>1450</v>
      </c>
      <c r="I632">
        <v>1</v>
      </c>
      <c r="J632">
        <v>0.35</v>
      </c>
      <c r="K632">
        <v>1</v>
      </c>
      <c r="L632">
        <v>4.0000000000000001E-3</v>
      </c>
      <c r="M632">
        <v>3</v>
      </c>
      <c r="N632">
        <v>300</v>
      </c>
      <c r="O632">
        <v>1</v>
      </c>
      <c r="P632">
        <v>0.15</v>
      </c>
      <c r="Q632">
        <v>1</v>
      </c>
      <c r="R632">
        <v>1.75E-3</v>
      </c>
      <c r="T632" t="s">
        <v>2086</v>
      </c>
    </row>
    <row r="633" spans="1:20" x14ac:dyDescent="0.2">
      <c r="A633" t="s">
        <v>2088</v>
      </c>
      <c r="B633" t="s">
        <v>2022</v>
      </c>
      <c r="C633" t="s">
        <v>2036</v>
      </c>
      <c r="D633" t="s">
        <v>2024</v>
      </c>
      <c r="E633" t="s">
        <v>2089</v>
      </c>
      <c r="F633" t="s">
        <v>2090</v>
      </c>
      <c r="G633">
        <v>1</v>
      </c>
      <c r="H633">
        <v>1540</v>
      </c>
      <c r="I633">
        <v>3</v>
      </c>
      <c r="J633">
        <v>4.5999999999999996</v>
      </c>
      <c r="K633">
        <v>5</v>
      </c>
      <c r="L633">
        <v>0.17499999999999999</v>
      </c>
      <c r="M633">
        <v>1</v>
      </c>
      <c r="N633">
        <v>76</v>
      </c>
      <c r="O633">
        <v>2</v>
      </c>
      <c r="P633">
        <v>0.20499999999999999</v>
      </c>
      <c r="Q633">
        <v>4</v>
      </c>
      <c r="R633">
        <v>9.2499999999999995E-3</v>
      </c>
      <c r="T633" t="s">
        <v>2089</v>
      </c>
    </row>
    <row r="634" spans="1:20" x14ac:dyDescent="0.2">
      <c r="A634" t="s">
        <v>2091</v>
      </c>
      <c r="B634" t="s">
        <v>2022</v>
      </c>
      <c r="C634" t="s">
        <v>2036</v>
      </c>
      <c r="D634" t="s">
        <v>2024</v>
      </c>
      <c r="E634" t="s">
        <v>2092</v>
      </c>
      <c r="F634" t="s">
        <v>2093</v>
      </c>
      <c r="G634">
        <v>2</v>
      </c>
      <c r="H634">
        <v>1640</v>
      </c>
      <c r="I634">
        <v>1</v>
      </c>
      <c r="J634">
        <v>2.2000000000000002</v>
      </c>
      <c r="K634">
        <v>1</v>
      </c>
      <c r="L634">
        <v>5.5E-2</v>
      </c>
      <c r="M634">
        <v>1</v>
      </c>
      <c r="N634">
        <v>76</v>
      </c>
      <c r="O634">
        <v>1</v>
      </c>
      <c r="P634">
        <v>9.5000000000000001E-2</v>
      </c>
      <c r="Q634">
        <v>1</v>
      </c>
      <c r="R634">
        <v>1.5E-3</v>
      </c>
      <c r="T634" t="s">
        <v>2092</v>
      </c>
    </row>
    <row r="635" spans="1:20" x14ac:dyDescent="0.2">
      <c r="A635" t="s">
        <v>2094</v>
      </c>
      <c r="B635" t="s">
        <v>2022</v>
      </c>
      <c r="C635" t="s">
        <v>2095</v>
      </c>
      <c r="D635" t="s">
        <v>2024</v>
      </c>
      <c r="E635" t="s">
        <v>2096</v>
      </c>
      <c r="F635" t="s">
        <v>447</v>
      </c>
      <c r="G635">
        <v>5</v>
      </c>
      <c r="H635">
        <v>1925</v>
      </c>
      <c r="I635">
        <v>3</v>
      </c>
      <c r="J635">
        <v>10.5</v>
      </c>
      <c r="K635">
        <v>3</v>
      </c>
      <c r="L635">
        <v>0.33</v>
      </c>
      <c r="M635">
        <v>3</v>
      </c>
      <c r="N635">
        <v>86</v>
      </c>
      <c r="O635">
        <v>3</v>
      </c>
      <c r="P635">
        <v>0.55000000000000004</v>
      </c>
      <c r="Q635">
        <v>3</v>
      </c>
      <c r="R635">
        <v>1.49E-2</v>
      </c>
      <c r="T635" t="s">
        <v>2096</v>
      </c>
    </row>
    <row r="636" spans="1:20" x14ac:dyDescent="0.2">
      <c r="A636" t="s">
        <v>2097</v>
      </c>
      <c r="B636" t="s">
        <v>2022</v>
      </c>
      <c r="C636" t="s">
        <v>2023</v>
      </c>
      <c r="D636" t="s">
        <v>2024</v>
      </c>
      <c r="E636" t="s">
        <v>2098</v>
      </c>
      <c r="F636" t="s">
        <v>2099</v>
      </c>
      <c r="G636">
        <v>4</v>
      </c>
      <c r="H636">
        <v>1720</v>
      </c>
      <c r="I636">
        <v>4</v>
      </c>
      <c r="J636">
        <v>8.4</v>
      </c>
      <c r="K636">
        <v>5</v>
      </c>
      <c r="L636">
        <v>8.5999999999999993E-2</v>
      </c>
      <c r="M636">
        <v>2</v>
      </c>
      <c r="N636">
        <v>84</v>
      </c>
      <c r="O636">
        <v>3</v>
      </c>
      <c r="P636">
        <v>0.375</v>
      </c>
      <c r="Q636">
        <v>4</v>
      </c>
      <c r="R636">
        <v>6.0000000000000001E-3</v>
      </c>
      <c r="T636" t="s">
        <v>2098</v>
      </c>
    </row>
    <row r="637" spans="1:20" x14ac:dyDescent="0.2">
      <c r="A637" t="s">
        <v>2100</v>
      </c>
      <c r="B637" t="s">
        <v>2022</v>
      </c>
      <c r="C637" t="s">
        <v>2101</v>
      </c>
      <c r="D637" t="s">
        <v>2024</v>
      </c>
      <c r="E637" t="s">
        <v>2102</v>
      </c>
      <c r="F637" t="s">
        <v>2099</v>
      </c>
      <c r="G637">
        <v>4</v>
      </c>
      <c r="H637">
        <v>1870</v>
      </c>
      <c r="I637">
        <v>4</v>
      </c>
      <c r="J637">
        <v>11</v>
      </c>
      <c r="K637">
        <v>2</v>
      </c>
      <c r="L637">
        <v>9.6500000000000002E-2</v>
      </c>
      <c r="M637">
        <v>2</v>
      </c>
      <c r="N637">
        <v>74</v>
      </c>
      <c r="O637">
        <v>3</v>
      </c>
      <c r="P637">
        <v>0.375</v>
      </c>
      <c r="Q637">
        <v>2</v>
      </c>
      <c r="R637">
        <v>4.4999999999999997E-3</v>
      </c>
      <c r="T637" t="s">
        <v>2102</v>
      </c>
    </row>
    <row r="638" spans="1:20" x14ac:dyDescent="0.2">
      <c r="A638" t="s">
        <v>2103</v>
      </c>
      <c r="B638" t="s">
        <v>2022</v>
      </c>
      <c r="C638" t="s">
        <v>2104</v>
      </c>
      <c r="D638" t="s">
        <v>2024</v>
      </c>
      <c r="E638" t="s">
        <v>2098</v>
      </c>
      <c r="F638" t="s">
        <v>2099</v>
      </c>
      <c r="G638">
        <v>2</v>
      </c>
      <c r="H638">
        <v>1712.5</v>
      </c>
      <c r="I638">
        <v>3</v>
      </c>
      <c r="J638">
        <v>5.55</v>
      </c>
      <c r="K638">
        <v>2</v>
      </c>
      <c r="L638">
        <v>4.1000000000000002E-2</v>
      </c>
      <c r="M638">
        <v>2</v>
      </c>
      <c r="N638">
        <v>65</v>
      </c>
      <c r="P638">
        <v>0</v>
      </c>
      <c r="Q638">
        <v>2</v>
      </c>
      <c r="R638">
        <v>3.2000000000000002E-3</v>
      </c>
      <c r="T638" t="s">
        <v>2098</v>
      </c>
    </row>
    <row r="639" spans="1:20" x14ac:dyDescent="0.2">
      <c r="A639" t="s">
        <v>2105</v>
      </c>
      <c r="B639" t="s">
        <v>2022</v>
      </c>
      <c r="C639" t="s">
        <v>2106</v>
      </c>
      <c r="D639" t="s">
        <v>2024</v>
      </c>
      <c r="E639" t="s">
        <v>296</v>
      </c>
      <c r="F639" t="s">
        <v>2107</v>
      </c>
      <c r="G639">
        <v>4</v>
      </c>
      <c r="H639">
        <v>2125</v>
      </c>
      <c r="I639">
        <v>2</v>
      </c>
      <c r="J639">
        <v>5.75</v>
      </c>
      <c r="K639">
        <v>4</v>
      </c>
      <c r="L639">
        <v>0.22</v>
      </c>
      <c r="M639">
        <v>5</v>
      </c>
      <c r="N639">
        <v>89.5</v>
      </c>
      <c r="O639">
        <v>4</v>
      </c>
      <c r="P639">
        <v>0.35</v>
      </c>
      <c r="Q639">
        <v>5</v>
      </c>
      <c r="R639">
        <v>8.5000000000000006E-3</v>
      </c>
      <c r="T639" t="s">
        <v>296</v>
      </c>
    </row>
    <row r="640" spans="1:20" x14ac:dyDescent="0.2">
      <c r="A640" t="s">
        <v>2108</v>
      </c>
      <c r="B640" t="s">
        <v>2022</v>
      </c>
      <c r="C640" t="s">
        <v>2023</v>
      </c>
      <c r="D640" t="s">
        <v>2024</v>
      </c>
      <c r="E640" t="s">
        <v>2109</v>
      </c>
      <c r="F640" t="s">
        <v>2110</v>
      </c>
      <c r="G640">
        <v>2</v>
      </c>
      <c r="H640">
        <v>1560</v>
      </c>
      <c r="I640">
        <v>2</v>
      </c>
      <c r="J640">
        <v>3.4</v>
      </c>
      <c r="K640">
        <v>2</v>
      </c>
      <c r="L640">
        <v>2.5999999999999999E-2</v>
      </c>
      <c r="M640">
        <v>4</v>
      </c>
      <c r="N640">
        <v>104</v>
      </c>
      <c r="O640">
        <v>2</v>
      </c>
      <c r="P640">
        <v>0.22500000000000001</v>
      </c>
      <c r="Q640">
        <v>2</v>
      </c>
      <c r="R640">
        <v>2E-3</v>
      </c>
      <c r="T640" t="s">
        <v>2109</v>
      </c>
    </row>
    <row r="641" spans="1:20" x14ac:dyDescent="0.2">
      <c r="A641" t="s">
        <v>2111</v>
      </c>
      <c r="B641" t="s">
        <v>2022</v>
      </c>
      <c r="C641" t="s">
        <v>2104</v>
      </c>
      <c r="D641" t="s">
        <v>2024</v>
      </c>
      <c r="E641" t="s">
        <v>2112</v>
      </c>
      <c r="F641" t="s">
        <v>2113</v>
      </c>
      <c r="G641">
        <v>1</v>
      </c>
      <c r="H641">
        <v>1537.5</v>
      </c>
      <c r="I641">
        <v>1</v>
      </c>
      <c r="J641">
        <v>0.95</v>
      </c>
      <c r="K641">
        <v>1</v>
      </c>
      <c r="L641">
        <v>8.0000000000000002E-3</v>
      </c>
      <c r="M641">
        <v>5</v>
      </c>
      <c r="N641">
        <v>89</v>
      </c>
      <c r="P641">
        <v>0</v>
      </c>
      <c r="Q641">
        <v>3</v>
      </c>
      <c r="R641">
        <v>8.2000000000000007E-3</v>
      </c>
      <c r="T641" t="s">
        <v>2112</v>
      </c>
    </row>
    <row r="642" spans="1:20" x14ac:dyDescent="0.2">
      <c r="A642" t="s">
        <v>2114</v>
      </c>
      <c r="B642" t="s">
        <v>2022</v>
      </c>
      <c r="C642" t="s">
        <v>2049</v>
      </c>
      <c r="D642" t="s">
        <v>2024</v>
      </c>
      <c r="E642" t="s">
        <v>287</v>
      </c>
      <c r="F642" t="s">
        <v>2115</v>
      </c>
      <c r="G642">
        <v>4</v>
      </c>
      <c r="H642">
        <v>1650</v>
      </c>
      <c r="I642">
        <v>3</v>
      </c>
      <c r="J642">
        <v>5</v>
      </c>
      <c r="K642">
        <v>3</v>
      </c>
      <c r="L642">
        <v>0.14000000000000001</v>
      </c>
      <c r="M642">
        <v>3</v>
      </c>
      <c r="N642">
        <v>126</v>
      </c>
      <c r="O642">
        <v>3</v>
      </c>
      <c r="P642">
        <v>0.46</v>
      </c>
      <c r="Q642">
        <v>3</v>
      </c>
      <c r="R642">
        <v>1.52E-2</v>
      </c>
      <c r="T642" t="s">
        <v>287</v>
      </c>
    </row>
    <row r="643" spans="1:20" x14ac:dyDescent="0.2">
      <c r="A643" t="s">
        <v>2116</v>
      </c>
      <c r="B643" t="s">
        <v>2022</v>
      </c>
      <c r="C643" t="s">
        <v>2036</v>
      </c>
      <c r="D643" t="s">
        <v>2024</v>
      </c>
      <c r="E643" t="s">
        <v>2117</v>
      </c>
      <c r="F643" t="s">
        <v>2118</v>
      </c>
      <c r="G643">
        <v>4</v>
      </c>
      <c r="H643">
        <v>1840</v>
      </c>
      <c r="I643">
        <v>4</v>
      </c>
      <c r="J643">
        <v>5.8</v>
      </c>
      <c r="K643">
        <v>5</v>
      </c>
      <c r="L643">
        <v>0.17499999999999999</v>
      </c>
      <c r="M643">
        <v>4</v>
      </c>
      <c r="N643">
        <v>94</v>
      </c>
      <c r="O643">
        <v>3</v>
      </c>
      <c r="P643">
        <v>0.315</v>
      </c>
      <c r="Q643">
        <v>4</v>
      </c>
      <c r="R643">
        <v>9.2499999999999995E-3</v>
      </c>
      <c r="T643" t="s">
        <v>2117</v>
      </c>
    </row>
    <row r="644" spans="1:20" x14ac:dyDescent="0.2">
      <c r="A644" t="s">
        <v>2119</v>
      </c>
      <c r="B644" t="s">
        <v>2022</v>
      </c>
      <c r="C644" t="s">
        <v>2101</v>
      </c>
      <c r="D644" t="s">
        <v>2024</v>
      </c>
      <c r="E644" t="s">
        <v>2120</v>
      </c>
      <c r="F644" t="s">
        <v>2121</v>
      </c>
      <c r="G644">
        <v>1</v>
      </c>
      <c r="H644">
        <v>1570</v>
      </c>
      <c r="I644">
        <v>5</v>
      </c>
      <c r="J644">
        <v>14</v>
      </c>
      <c r="K644">
        <v>5</v>
      </c>
      <c r="L644">
        <v>0.53749999999999998</v>
      </c>
      <c r="M644">
        <v>1</v>
      </c>
      <c r="N644">
        <v>66</v>
      </c>
      <c r="O644">
        <v>4</v>
      </c>
      <c r="P644">
        <v>0.52500000000000002</v>
      </c>
      <c r="Q644">
        <v>4</v>
      </c>
      <c r="R644">
        <v>1.8499999999999999E-2</v>
      </c>
      <c r="T644" t="s">
        <v>2120</v>
      </c>
    </row>
    <row r="645" spans="1:20" x14ac:dyDescent="0.2">
      <c r="A645" t="s">
        <v>2122</v>
      </c>
      <c r="B645" t="s">
        <v>2022</v>
      </c>
      <c r="C645" t="s">
        <v>2023</v>
      </c>
      <c r="D645" t="s">
        <v>2024</v>
      </c>
      <c r="E645" t="s">
        <v>2123</v>
      </c>
      <c r="F645" t="s">
        <v>2124</v>
      </c>
      <c r="G645">
        <v>3</v>
      </c>
      <c r="H645">
        <v>1640</v>
      </c>
      <c r="I645">
        <v>3</v>
      </c>
      <c r="J645">
        <v>5.9</v>
      </c>
      <c r="K645">
        <v>2</v>
      </c>
      <c r="L645">
        <v>2.5999999999999999E-2</v>
      </c>
      <c r="M645">
        <v>1</v>
      </c>
      <c r="N645">
        <v>74</v>
      </c>
      <c r="O645">
        <v>3</v>
      </c>
      <c r="P645">
        <v>0.375</v>
      </c>
      <c r="Q645">
        <v>2</v>
      </c>
      <c r="R645">
        <v>2E-3</v>
      </c>
      <c r="T645" t="s">
        <v>2123</v>
      </c>
    </row>
    <row r="646" spans="1:20" x14ac:dyDescent="0.2">
      <c r="A646" t="s">
        <v>2125</v>
      </c>
      <c r="B646" t="s">
        <v>2022</v>
      </c>
      <c r="C646" t="s">
        <v>2023</v>
      </c>
      <c r="D646" t="s">
        <v>2024</v>
      </c>
      <c r="E646" t="s">
        <v>2126</v>
      </c>
      <c r="F646" t="s">
        <v>2127</v>
      </c>
      <c r="G646">
        <v>1</v>
      </c>
      <c r="H646">
        <v>1480</v>
      </c>
      <c r="I646">
        <v>2</v>
      </c>
      <c r="J646">
        <v>3.4</v>
      </c>
      <c r="K646">
        <v>2</v>
      </c>
      <c r="L646">
        <v>2.5999999999999999E-2</v>
      </c>
      <c r="M646">
        <v>5</v>
      </c>
      <c r="N646">
        <v>114</v>
      </c>
      <c r="O646">
        <v>3</v>
      </c>
      <c r="P646">
        <v>0.375</v>
      </c>
      <c r="Q646">
        <v>2</v>
      </c>
      <c r="R646">
        <v>2E-3</v>
      </c>
      <c r="T646" t="s">
        <v>2126</v>
      </c>
    </row>
    <row r="647" spans="1:20" x14ac:dyDescent="0.2">
      <c r="A647" t="s">
        <v>2128</v>
      </c>
      <c r="B647" t="s">
        <v>2022</v>
      </c>
      <c r="C647" t="s">
        <v>2023</v>
      </c>
      <c r="D647" t="s">
        <v>2024</v>
      </c>
      <c r="E647" t="s">
        <v>2129</v>
      </c>
      <c r="F647" t="s">
        <v>2130</v>
      </c>
      <c r="G647">
        <v>3</v>
      </c>
      <c r="H647">
        <v>1640</v>
      </c>
      <c r="I647">
        <v>2</v>
      </c>
      <c r="J647">
        <v>3.4</v>
      </c>
      <c r="K647">
        <v>2</v>
      </c>
      <c r="L647">
        <v>2.5999999999999999E-2</v>
      </c>
      <c r="M647">
        <v>3</v>
      </c>
      <c r="N647">
        <v>94</v>
      </c>
      <c r="O647">
        <v>2</v>
      </c>
      <c r="P647">
        <v>0.22500000000000001</v>
      </c>
      <c r="Q647">
        <v>2</v>
      </c>
      <c r="R647">
        <v>2E-3</v>
      </c>
      <c r="T647" t="s">
        <v>2129</v>
      </c>
    </row>
    <row r="648" spans="1:20" x14ac:dyDescent="0.2">
      <c r="A648" t="s">
        <v>2131</v>
      </c>
      <c r="B648" t="s">
        <v>2022</v>
      </c>
      <c r="C648" t="s">
        <v>2036</v>
      </c>
      <c r="D648" t="s">
        <v>2024</v>
      </c>
      <c r="E648" t="s">
        <v>2132</v>
      </c>
      <c r="F648" t="s">
        <v>2133</v>
      </c>
      <c r="G648">
        <v>5</v>
      </c>
      <c r="H648">
        <v>1940</v>
      </c>
      <c r="I648">
        <v>5</v>
      </c>
      <c r="J648">
        <v>7</v>
      </c>
      <c r="K648">
        <v>5</v>
      </c>
      <c r="L648">
        <v>0.17499999999999999</v>
      </c>
      <c r="M648">
        <v>5</v>
      </c>
      <c r="N648">
        <v>100</v>
      </c>
      <c r="O648">
        <v>5</v>
      </c>
      <c r="P648">
        <v>0.53500000000000003</v>
      </c>
      <c r="Q648">
        <v>5</v>
      </c>
      <c r="R648">
        <v>1.2E-2</v>
      </c>
      <c r="T648" t="s">
        <v>2132</v>
      </c>
    </row>
    <row r="649" spans="1:20" x14ac:dyDescent="0.2">
      <c r="A649" t="s">
        <v>2134</v>
      </c>
      <c r="B649" t="s">
        <v>2022</v>
      </c>
      <c r="C649" t="s">
        <v>2023</v>
      </c>
      <c r="D649" t="s">
        <v>2024</v>
      </c>
      <c r="E649" t="s">
        <v>2135</v>
      </c>
      <c r="F649" t="s">
        <v>447</v>
      </c>
      <c r="G649">
        <v>4</v>
      </c>
      <c r="H649">
        <v>1720</v>
      </c>
      <c r="I649">
        <v>2</v>
      </c>
      <c r="J649">
        <v>3.4</v>
      </c>
      <c r="K649">
        <v>3</v>
      </c>
      <c r="L649">
        <v>4.5999999999999999E-2</v>
      </c>
      <c r="M649">
        <v>2</v>
      </c>
      <c r="N649">
        <v>84</v>
      </c>
      <c r="O649">
        <v>2</v>
      </c>
      <c r="P649">
        <v>0.22500000000000001</v>
      </c>
      <c r="Q649">
        <v>2</v>
      </c>
      <c r="R649">
        <v>2E-3</v>
      </c>
      <c r="T649" t="s">
        <v>2135</v>
      </c>
    </row>
    <row r="650" spans="1:20" x14ac:dyDescent="0.2">
      <c r="A650" t="s">
        <v>57</v>
      </c>
      <c r="B650" t="s">
        <v>2022</v>
      </c>
      <c r="C650" t="s">
        <v>2049</v>
      </c>
      <c r="D650" t="s">
        <v>2136</v>
      </c>
      <c r="E650" t="s">
        <v>254</v>
      </c>
      <c r="F650" t="s">
        <v>2137</v>
      </c>
      <c r="G650">
        <v>3</v>
      </c>
      <c r="H650">
        <v>1550</v>
      </c>
      <c r="I650">
        <v>4</v>
      </c>
      <c r="J650">
        <v>6.8</v>
      </c>
      <c r="K650">
        <v>5</v>
      </c>
      <c r="L650">
        <v>0.3</v>
      </c>
      <c r="M650">
        <v>3</v>
      </c>
      <c r="N650">
        <v>126</v>
      </c>
      <c r="O650">
        <v>3</v>
      </c>
      <c r="P650">
        <v>0.46</v>
      </c>
      <c r="Q650">
        <v>4</v>
      </c>
      <c r="R650">
        <v>2.4199999999999999E-2</v>
      </c>
      <c r="T650" t="s">
        <v>254</v>
      </c>
    </row>
    <row r="651" spans="1:20" x14ac:dyDescent="0.2">
      <c r="A651" t="s">
        <v>2138</v>
      </c>
      <c r="B651" t="s">
        <v>2022</v>
      </c>
      <c r="C651" t="s">
        <v>2036</v>
      </c>
      <c r="D651" t="s">
        <v>2024</v>
      </c>
      <c r="E651" t="s">
        <v>2139</v>
      </c>
      <c r="F651" t="s">
        <v>2140</v>
      </c>
      <c r="G651">
        <v>3</v>
      </c>
      <c r="H651">
        <v>1740</v>
      </c>
      <c r="I651">
        <v>5</v>
      </c>
      <c r="J651">
        <v>7</v>
      </c>
      <c r="K651">
        <v>5</v>
      </c>
      <c r="L651">
        <v>0.17499999999999999</v>
      </c>
      <c r="M651">
        <v>3</v>
      </c>
      <c r="N651">
        <v>88</v>
      </c>
      <c r="O651">
        <v>3</v>
      </c>
      <c r="P651">
        <v>0.315</v>
      </c>
      <c r="Q651">
        <v>5</v>
      </c>
      <c r="R651">
        <v>1.2E-2</v>
      </c>
      <c r="T651" t="s">
        <v>2139</v>
      </c>
    </row>
    <row r="652" spans="1:20" x14ac:dyDescent="0.2">
      <c r="A652" t="s">
        <v>2141</v>
      </c>
      <c r="B652" t="s">
        <v>2022</v>
      </c>
      <c r="C652" t="s">
        <v>2036</v>
      </c>
      <c r="D652" t="s">
        <v>2024</v>
      </c>
      <c r="E652" t="s">
        <v>2142</v>
      </c>
      <c r="F652" t="s">
        <v>2143</v>
      </c>
      <c r="G652">
        <v>5</v>
      </c>
      <c r="H652">
        <v>1940</v>
      </c>
      <c r="I652">
        <v>3</v>
      </c>
      <c r="J652">
        <v>4.5999999999999996</v>
      </c>
      <c r="K652">
        <v>5</v>
      </c>
      <c r="L652">
        <v>0.17499999999999999</v>
      </c>
      <c r="M652">
        <v>5</v>
      </c>
      <c r="N652">
        <v>100</v>
      </c>
      <c r="O652">
        <v>3</v>
      </c>
      <c r="P652">
        <v>0.315</v>
      </c>
      <c r="Q652">
        <v>4</v>
      </c>
      <c r="R652">
        <v>9.2499999999999995E-3</v>
      </c>
      <c r="T652" t="s">
        <v>2142</v>
      </c>
    </row>
    <row r="653" spans="1:20" x14ac:dyDescent="0.2">
      <c r="A653" t="s">
        <v>2144</v>
      </c>
      <c r="B653" t="s">
        <v>2022</v>
      </c>
      <c r="C653" t="s">
        <v>2095</v>
      </c>
      <c r="D653" t="s">
        <v>2024</v>
      </c>
      <c r="E653" t="s">
        <v>2145</v>
      </c>
      <c r="F653" t="s">
        <v>2146</v>
      </c>
      <c r="G653">
        <v>2</v>
      </c>
      <c r="H653">
        <v>1655</v>
      </c>
      <c r="I653">
        <v>2</v>
      </c>
      <c r="J653">
        <v>7.5</v>
      </c>
      <c r="K653">
        <v>3</v>
      </c>
      <c r="L653">
        <v>0.33</v>
      </c>
      <c r="M653">
        <v>2</v>
      </c>
      <c r="N653">
        <v>80</v>
      </c>
      <c r="O653">
        <v>2</v>
      </c>
      <c r="P653">
        <v>0.35</v>
      </c>
      <c r="Q653">
        <v>3</v>
      </c>
      <c r="R653">
        <v>1.49E-2</v>
      </c>
      <c r="T653" t="s">
        <v>2145</v>
      </c>
    </row>
    <row r="654" spans="1:20" x14ac:dyDescent="0.2">
      <c r="A654" t="s">
        <v>2147</v>
      </c>
      <c r="B654" t="s">
        <v>2022</v>
      </c>
      <c r="C654" t="s">
        <v>2049</v>
      </c>
      <c r="E654" t="s">
        <v>2148</v>
      </c>
      <c r="F654" t="s">
        <v>2149</v>
      </c>
      <c r="G654">
        <v>3</v>
      </c>
      <c r="H654">
        <v>1550</v>
      </c>
      <c r="I654">
        <v>3</v>
      </c>
      <c r="J654">
        <v>5</v>
      </c>
      <c r="K654">
        <v>4</v>
      </c>
      <c r="L654">
        <v>0.22</v>
      </c>
      <c r="M654">
        <v>3</v>
      </c>
      <c r="N654">
        <v>126</v>
      </c>
      <c r="O654">
        <v>3</v>
      </c>
      <c r="P654">
        <v>0.46</v>
      </c>
      <c r="Q654">
        <v>3</v>
      </c>
      <c r="R654">
        <v>1.52E-2</v>
      </c>
      <c r="T654" t="s">
        <v>2148</v>
      </c>
    </row>
    <row r="655" spans="1:20" x14ac:dyDescent="0.2">
      <c r="A655" t="s">
        <v>2150</v>
      </c>
      <c r="B655" t="s">
        <v>2022</v>
      </c>
      <c r="C655" t="s">
        <v>2023</v>
      </c>
      <c r="D655" t="s">
        <v>2024</v>
      </c>
      <c r="E655" t="s">
        <v>2151</v>
      </c>
      <c r="F655" t="s">
        <v>2152</v>
      </c>
      <c r="G655">
        <v>3</v>
      </c>
      <c r="H655">
        <v>1640</v>
      </c>
      <c r="I655">
        <v>3</v>
      </c>
      <c r="J655">
        <v>5.9</v>
      </c>
      <c r="K655">
        <v>4</v>
      </c>
      <c r="L655">
        <v>6.6000000000000003E-2</v>
      </c>
      <c r="M655">
        <v>3</v>
      </c>
      <c r="N655">
        <v>94</v>
      </c>
      <c r="O655">
        <v>2</v>
      </c>
      <c r="P655">
        <v>0.22500000000000001</v>
      </c>
      <c r="Q655">
        <v>3</v>
      </c>
      <c r="R655">
        <v>4.0000000000000001E-3</v>
      </c>
      <c r="T655" t="s">
        <v>2151</v>
      </c>
    </row>
    <row r="656" spans="1:20" x14ac:dyDescent="0.2">
      <c r="A656" t="s">
        <v>2153</v>
      </c>
      <c r="B656" t="s">
        <v>2022</v>
      </c>
      <c r="C656" t="s">
        <v>2036</v>
      </c>
      <c r="D656" t="s">
        <v>2154</v>
      </c>
      <c r="E656" t="s">
        <v>2155</v>
      </c>
      <c r="F656" t="s">
        <v>2156</v>
      </c>
      <c r="G656">
        <v>5</v>
      </c>
      <c r="H656">
        <v>1940</v>
      </c>
      <c r="I656">
        <v>5</v>
      </c>
      <c r="J656">
        <v>7</v>
      </c>
      <c r="K656">
        <v>5</v>
      </c>
      <c r="L656">
        <v>0.17499999999999999</v>
      </c>
      <c r="M656">
        <v>5</v>
      </c>
      <c r="N656">
        <v>100</v>
      </c>
      <c r="O656">
        <v>5</v>
      </c>
      <c r="P656">
        <v>0.53500000000000003</v>
      </c>
      <c r="Q656">
        <v>5</v>
      </c>
      <c r="R656">
        <v>1.2E-2</v>
      </c>
      <c r="T656" t="s">
        <v>2155</v>
      </c>
    </row>
    <row r="657" spans="1:20" x14ac:dyDescent="0.2">
      <c r="A657" t="s">
        <v>2157</v>
      </c>
      <c r="B657" t="s">
        <v>2022</v>
      </c>
      <c r="C657" t="s">
        <v>2095</v>
      </c>
      <c r="D657" t="s">
        <v>2024</v>
      </c>
      <c r="E657" t="s">
        <v>2158</v>
      </c>
      <c r="F657" t="s">
        <v>2159</v>
      </c>
      <c r="G657">
        <v>2</v>
      </c>
      <c r="H657">
        <v>1655</v>
      </c>
      <c r="I657">
        <v>2</v>
      </c>
      <c r="J657">
        <v>7.5</v>
      </c>
      <c r="K657">
        <v>2</v>
      </c>
      <c r="L657">
        <v>0.13</v>
      </c>
      <c r="M657">
        <v>2</v>
      </c>
      <c r="N657">
        <v>80</v>
      </c>
      <c r="O657">
        <v>2</v>
      </c>
      <c r="P657">
        <v>0.35</v>
      </c>
      <c r="Q657">
        <v>2</v>
      </c>
      <c r="R657">
        <v>5.8999999999999999E-3</v>
      </c>
      <c r="T657" t="s">
        <v>2158</v>
      </c>
    </row>
    <row r="658" spans="1:20" x14ac:dyDescent="0.2">
      <c r="A658" t="s">
        <v>2160</v>
      </c>
      <c r="B658" t="s">
        <v>2022</v>
      </c>
      <c r="C658" t="s">
        <v>2036</v>
      </c>
      <c r="D658" t="s">
        <v>2024</v>
      </c>
      <c r="E658" t="s">
        <v>2161</v>
      </c>
      <c r="F658" t="s">
        <v>2162</v>
      </c>
      <c r="G658">
        <v>5</v>
      </c>
      <c r="H658">
        <v>1940</v>
      </c>
      <c r="I658">
        <v>5</v>
      </c>
      <c r="J658">
        <v>7</v>
      </c>
      <c r="K658">
        <v>5</v>
      </c>
      <c r="L658">
        <v>0.17499999999999999</v>
      </c>
      <c r="M658">
        <v>4</v>
      </c>
      <c r="N658">
        <v>94</v>
      </c>
      <c r="O658">
        <v>4</v>
      </c>
      <c r="P658">
        <v>0.42499999999999999</v>
      </c>
      <c r="Q658">
        <v>5</v>
      </c>
      <c r="R658">
        <v>1.2E-2</v>
      </c>
      <c r="T658" t="s">
        <v>2161</v>
      </c>
    </row>
    <row r="659" spans="1:20" x14ac:dyDescent="0.2">
      <c r="A659" t="s">
        <v>2163</v>
      </c>
      <c r="B659" t="s">
        <v>2022</v>
      </c>
      <c r="C659" t="s">
        <v>2023</v>
      </c>
      <c r="D659" t="s">
        <v>2024</v>
      </c>
      <c r="E659" t="s">
        <v>2164</v>
      </c>
      <c r="F659" t="s">
        <v>2165</v>
      </c>
      <c r="G659">
        <v>3</v>
      </c>
      <c r="H659">
        <v>1640</v>
      </c>
      <c r="I659">
        <v>4</v>
      </c>
      <c r="J659">
        <v>8.4</v>
      </c>
      <c r="K659">
        <v>5</v>
      </c>
      <c r="L659">
        <v>8.5999999999999993E-2</v>
      </c>
      <c r="M659">
        <v>1</v>
      </c>
      <c r="N659">
        <v>74</v>
      </c>
      <c r="O659">
        <v>3</v>
      </c>
      <c r="P659">
        <v>0.375</v>
      </c>
      <c r="Q659">
        <v>5</v>
      </c>
      <c r="R659">
        <v>8.0000000000000002E-3</v>
      </c>
      <c r="T659" t="s">
        <v>2164</v>
      </c>
    </row>
    <row r="660" spans="1:20" x14ac:dyDescent="0.2">
      <c r="A660" t="s">
        <v>2166</v>
      </c>
      <c r="B660" t="s">
        <v>2022</v>
      </c>
      <c r="C660" t="s">
        <v>2053</v>
      </c>
      <c r="D660" t="s">
        <v>2024</v>
      </c>
      <c r="E660" t="s">
        <v>2167</v>
      </c>
      <c r="F660" t="s">
        <v>2168</v>
      </c>
      <c r="G660">
        <v>3</v>
      </c>
      <c r="H660">
        <v>1700</v>
      </c>
      <c r="I660">
        <v>5</v>
      </c>
      <c r="J660">
        <v>11.55</v>
      </c>
      <c r="K660">
        <v>4</v>
      </c>
      <c r="L660">
        <v>0.30499999999999999</v>
      </c>
      <c r="M660">
        <v>2</v>
      </c>
      <c r="N660">
        <v>83</v>
      </c>
      <c r="O660">
        <v>4</v>
      </c>
      <c r="P660">
        <v>0.52500000000000002</v>
      </c>
      <c r="Q660">
        <v>3</v>
      </c>
      <c r="R660">
        <v>1.2200000000000001E-2</v>
      </c>
      <c r="T660" t="s">
        <v>2167</v>
      </c>
    </row>
    <row r="661" spans="1:20" x14ac:dyDescent="0.2">
      <c r="A661" t="s">
        <v>2169</v>
      </c>
      <c r="B661" t="s">
        <v>2022</v>
      </c>
      <c r="C661" t="s">
        <v>2053</v>
      </c>
      <c r="D661" t="s">
        <v>2024</v>
      </c>
      <c r="E661" t="s">
        <v>2170</v>
      </c>
      <c r="F661" t="s">
        <v>2171</v>
      </c>
      <c r="G661">
        <v>2</v>
      </c>
      <c r="H661">
        <v>1600</v>
      </c>
      <c r="I661">
        <v>1</v>
      </c>
      <c r="J661">
        <v>1.55</v>
      </c>
      <c r="K661">
        <v>1</v>
      </c>
      <c r="L661">
        <v>1.4999999999999999E-2</v>
      </c>
      <c r="M661">
        <v>5</v>
      </c>
      <c r="N661">
        <v>113</v>
      </c>
      <c r="O661">
        <v>1</v>
      </c>
      <c r="P661">
        <v>7.4999999999999997E-2</v>
      </c>
      <c r="Q661">
        <v>1</v>
      </c>
      <c r="R661">
        <v>8.4999999999999995E-4</v>
      </c>
      <c r="T661" t="s">
        <v>2170</v>
      </c>
    </row>
    <row r="662" spans="1:20" x14ac:dyDescent="0.2">
      <c r="A662" t="s">
        <v>2172</v>
      </c>
      <c r="B662" t="s">
        <v>2022</v>
      </c>
      <c r="C662" t="s">
        <v>2173</v>
      </c>
      <c r="D662" t="s">
        <v>2024</v>
      </c>
      <c r="E662" t="s">
        <v>2174</v>
      </c>
      <c r="F662" t="s">
        <v>2175</v>
      </c>
      <c r="G662">
        <v>5</v>
      </c>
      <c r="H662">
        <v>2182.5</v>
      </c>
      <c r="I662">
        <v>1</v>
      </c>
      <c r="J662">
        <v>3.65</v>
      </c>
      <c r="K662">
        <v>2</v>
      </c>
      <c r="L662">
        <v>0.09</v>
      </c>
      <c r="M662">
        <v>4</v>
      </c>
      <c r="N662">
        <v>129.5</v>
      </c>
      <c r="O662">
        <v>2</v>
      </c>
      <c r="P662">
        <v>0.33</v>
      </c>
      <c r="Q662">
        <v>2</v>
      </c>
      <c r="R662">
        <v>4.7999999999999996E-3</v>
      </c>
      <c r="T662" t="s">
        <v>2174</v>
      </c>
    </row>
    <row r="663" spans="1:20" x14ac:dyDescent="0.2">
      <c r="A663" t="s">
        <v>2176</v>
      </c>
      <c r="B663" t="s">
        <v>2022</v>
      </c>
      <c r="C663" t="s">
        <v>2023</v>
      </c>
      <c r="D663" t="s">
        <v>2024</v>
      </c>
      <c r="E663" t="s">
        <v>2177</v>
      </c>
      <c r="F663" t="s">
        <v>447</v>
      </c>
      <c r="G663">
        <v>2</v>
      </c>
      <c r="H663">
        <v>1560</v>
      </c>
      <c r="I663">
        <v>2</v>
      </c>
      <c r="J663">
        <v>3.4</v>
      </c>
      <c r="K663">
        <v>4</v>
      </c>
      <c r="L663">
        <v>6.6000000000000003E-2</v>
      </c>
      <c r="M663">
        <v>1</v>
      </c>
      <c r="N663">
        <v>74</v>
      </c>
      <c r="O663">
        <v>1</v>
      </c>
      <c r="P663">
        <v>7.4999999999999997E-2</v>
      </c>
      <c r="Q663">
        <v>2</v>
      </c>
      <c r="R663">
        <v>2E-3</v>
      </c>
      <c r="T663" t="s">
        <v>2177</v>
      </c>
    </row>
    <row r="664" spans="1:20" x14ac:dyDescent="0.2">
      <c r="A664" t="s">
        <v>2178</v>
      </c>
      <c r="B664" t="s">
        <v>2022</v>
      </c>
      <c r="C664" t="s">
        <v>2101</v>
      </c>
      <c r="D664" t="s">
        <v>2024</v>
      </c>
      <c r="E664" t="s">
        <v>2179</v>
      </c>
      <c r="F664" t="s">
        <v>2180</v>
      </c>
      <c r="G664">
        <v>1</v>
      </c>
      <c r="H664">
        <v>1570</v>
      </c>
      <c r="I664">
        <v>5</v>
      </c>
      <c r="J664">
        <v>14</v>
      </c>
      <c r="K664">
        <v>5</v>
      </c>
      <c r="L664">
        <v>0.53749999999999998</v>
      </c>
      <c r="M664">
        <v>3</v>
      </c>
      <c r="N664">
        <v>82</v>
      </c>
      <c r="O664">
        <v>5</v>
      </c>
      <c r="P664">
        <v>0.67500000000000004</v>
      </c>
      <c r="Q664">
        <v>5</v>
      </c>
      <c r="R664">
        <v>2.5499999999999998E-2</v>
      </c>
      <c r="T664" t="s">
        <v>2179</v>
      </c>
    </row>
    <row r="665" spans="1:20" x14ac:dyDescent="0.2">
      <c r="A665" t="s">
        <v>2181</v>
      </c>
      <c r="B665" t="s">
        <v>2022</v>
      </c>
      <c r="C665" t="s">
        <v>2053</v>
      </c>
      <c r="D665" t="s">
        <v>2024</v>
      </c>
      <c r="E665" t="s">
        <v>2182</v>
      </c>
      <c r="F665" t="s">
        <v>2183</v>
      </c>
      <c r="G665">
        <v>1</v>
      </c>
      <c r="H665">
        <v>1500</v>
      </c>
      <c r="I665">
        <v>1</v>
      </c>
      <c r="J665">
        <v>1.55</v>
      </c>
      <c r="K665">
        <v>1</v>
      </c>
      <c r="L665">
        <v>1.4999999999999999E-2</v>
      </c>
      <c r="M665">
        <v>5</v>
      </c>
      <c r="N665">
        <v>113</v>
      </c>
      <c r="O665">
        <v>2</v>
      </c>
      <c r="P665">
        <v>0.22500000000000001</v>
      </c>
      <c r="Q665">
        <v>2</v>
      </c>
      <c r="R665">
        <v>5.1999999999999998E-3</v>
      </c>
      <c r="T665" t="s">
        <v>2182</v>
      </c>
    </row>
    <row r="666" spans="1:20" x14ac:dyDescent="0.2">
      <c r="A666" t="s">
        <v>2184</v>
      </c>
      <c r="B666" t="s">
        <v>2022</v>
      </c>
      <c r="C666" t="s">
        <v>2049</v>
      </c>
      <c r="D666" t="s">
        <v>2136</v>
      </c>
      <c r="E666" t="s">
        <v>2185</v>
      </c>
      <c r="F666" t="s">
        <v>2186</v>
      </c>
      <c r="G666">
        <v>3</v>
      </c>
      <c r="H666">
        <v>1550</v>
      </c>
      <c r="I666">
        <v>1</v>
      </c>
      <c r="J666">
        <v>1.4</v>
      </c>
      <c r="K666">
        <v>1</v>
      </c>
      <c r="L666">
        <v>0.01</v>
      </c>
      <c r="M666">
        <v>3</v>
      </c>
      <c r="N666">
        <v>126</v>
      </c>
      <c r="O666">
        <v>2</v>
      </c>
      <c r="P666">
        <v>0.26</v>
      </c>
      <c r="Q666">
        <v>1</v>
      </c>
      <c r="R666">
        <v>8.4999999999999995E-4</v>
      </c>
      <c r="T666" t="s">
        <v>2185</v>
      </c>
    </row>
    <row r="667" spans="1:20" x14ac:dyDescent="0.2">
      <c r="A667" t="s">
        <v>2187</v>
      </c>
      <c r="B667" t="s">
        <v>2022</v>
      </c>
      <c r="C667" t="s">
        <v>2106</v>
      </c>
      <c r="D667" t="s">
        <v>2024</v>
      </c>
      <c r="E667" t="s">
        <v>2188</v>
      </c>
      <c r="F667" t="s">
        <v>2189</v>
      </c>
      <c r="G667">
        <v>1</v>
      </c>
      <c r="H667">
        <v>1675</v>
      </c>
      <c r="I667">
        <v>5</v>
      </c>
      <c r="J667">
        <v>13.25</v>
      </c>
      <c r="K667">
        <v>5</v>
      </c>
      <c r="L667">
        <v>0.3</v>
      </c>
      <c r="M667">
        <v>1</v>
      </c>
      <c r="N667">
        <v>61.5</v>
      </c>
      <c r="O667">
        <v>5</v>
      </c>
      <c r="P667">
        <v>0.45</v>
      </c>
      <c r="Q667">
        <v>5</v>
      </c>
      <c r="R667">
        <v>8.5000000000000006E-3</v>
      </c>
      <c r="T667" t="s">
        <v>2188</v>
      </c>
    </row>
    <row r="668" spans="1:20" x14ac:dyDescent="0.2">
      <c r="A668" t="s">
        <v>2190</v>
      </c>
      <c r="B668" t="s">
        <v>2022</v>
      </c>
      <c r="C668" t="s">
        <v>2049</v>
      </c>
      <c r="D668" t="s">
        <v>2024</v>
      </c>
      <c r="E668" t="s">
        <v>2191</v>
      </c>
      <c r="F668" t="s">
        <v>2192</v>
      </c>
      <c r="G668">
        <v>4</v>
      </c>
      <c r="H668">
        <v>1650</v>
      </c>
      <c r="I668">
        <v>5</v>
      </c>
      <c r="J668">
        <v>8.6</v>
      </c>
      <c r="K668">
        <v>5</v>
      </c>
      <c r="L668">
        <v>0.3</v>
      </c>
      <c r="M668">
        <v>2</v>
      </c>
      <c r="N668">
        <v>106</v>
      </c>
      <c r="O668">
        <v>5</v>
      </c>
      <c r="P668">
        <v>0.86</v>
      </c>
      <c r="Q668">
        <v>5</v>
      </c>
      <c r="R668">
        <v>3.32E-2</v>
      </c>
      <c r="T668" t="s">
        <v>2191</v>
      </c>
    </row>
    <row r="669" spans="1:20" x14ac:dyDescent="0.2">
      <c r="A669" t="s">
        <v>2193</v>
      </c>
      <c r="B669" t="s">
        <v>2022</v>
      </c>
      <c r="C669" t="s">
        <v>2101</v>
      </c>
      <c r="D669" t="s">
        <v>2024</v>
      </c>
      <c r="E669" t="s">
        <v>309</v>
      </c>
      <c r="F669" t="s">
        <v>2194</v>
      </c>
      <c r="G669">
        <v>1</v>
      </c>
      <c r="H669">
        <v>1570</v>
      </c>
      <c r="I669">
        <v>4</v>
      </c>
      <c r="J669">
        <v>11</v>
      </c>
      <c r="K669">
        <v>4</v>
      </c>
      <c r="L669">
        <v>0.39050000000000001</v>
      </c>
      <c r="M669">
        <v>5</v>
      </c>
      <c r="N669">
        <v>98</v>
      </c>
      <c r="O669">
        <v>5</v>
      </c>
      <c r="P669">
        <v>0.67500000000000004</v>
      </c>
      <c r="Q669">
        <v>5</v>
      </c>
      <c r="R669">
        <v>2.5499999999999998E-2</v>
      </c>
      <c r="T669" t="s">
        <v>309</v>
      </c>
    </row>
    <row r="670" spans="1:20" x14ac:dyDescent="0.2">
      <c r="A670" t="s">
        <v>2195</v>
      </c>
      <c r="B670" t="s">
        <v>2022</v>
      </c>
      <c r="C670" t="s">
        <v>2023</v>
      </c>
      <c r="D670" t="s">
        <v>2024</v>
      </c>
      <c r="E670" t="s">
        <v>2196</v>
      </c>
      <c r="F670" t="s">
        <v>2197</v>
      </c>
      <c r="G670">
        <v>3</v>
      </c>
      <c r="H670">
        <v>1640</v>
      </c>
      <c r="I670">
        <v>5</v>
      </c>
      <c r="J670">
        <v>10.9</v>
      </c>
      <c r="K670">
        <v>5</v>
      </c>
      <c r="L670">
        <v>8.5999999999999993E-2</v>
      </c>
      <c r="M670">
        <v>3</v>
      </c>
      <c r="N670">
        <v>94</v>
      </c>
      <c r="O670">
        <v>5</v>
      </c>
      <c r="P670">
        <v>0.67500000000000004</v>
      </c>
      <c r="Q670">
        <v>5</v>
      </c>
      <c r="R670">
        <v>8.0000000000000002E-3</v>
      </c>
      <c r="T670" t="s">
        <v>2196</v>
      </c>
    </row>
    <row r="671" spans="1:20" x14ac:dyDescent="0.2">
      <c r="A671" t="s">
        <v>2198</v>
      </c>
      <c r="B671" t="s">
        <v>2022</v>
      </c>
      <c r="C671" t="s">
        <v>2049</v>
      </c>
      <c r="D671" t="s">
        <v>2136</v>
      </c>
      <c r="E671" t="s">
        <v>2199</v>
      </c>
      <c r="F671" t="s">
        <v>2200</v>
      </c>
      <c r="G671">
        <v>3</v>
      </c>
      <c r="H671">
        <v>1550</v>
      </c>
      <c r="I671">
        <v>1</v>
      </c>
      <c r="J671">
        <v>1.4</v>
      </c>
      <c r="K671">
        <v>1</v>
      </c>
      <c r="L671">
        <v>0.01</v>
      </c>
      <c r="M671">
        <v>2</v>
      </c>
      <c r="N671">
        <v>106</v>
      </c>
      <c r="O671">
        <v>1</v>
      </c>
      <c r="P671">
        <v>0.06</v>
      </c>
      <c r="Q671">
        <v>1</v>
      </c>
      <c r="R671">
        <v>8.4999999999999995E-4</v>
      </c>
      <c r="T671" t="s">
        <v>2199</v>
      </c>
    </row>
    <row r="672" spans="1:20" x14ac:dyDescent="0.2">
      <c r="A672" t="s">
        <v>2201</v>
      </c>
      <c r="B672" t="s">
        <v>2022</v>
      </c>
      <c r="C672" t="s">
        <v>2053</v>
      </c>
      <c r="D672" t="s">
        <v>2024</v>
      </c>
      <c r="E672" t="s">
        <v>2202</v>
      </c>
      <c r="F672" t="s">
        <v>2203</v>
      </c>
      <c r="G672">
        <v>5</v>
      </c>
      <c r="H672">
        <v>1900</v>
      </c>
      <c r="I672">
        <v>2</v>
      </c>
      <c r="J672">
        <v>4.05</v>
      </c>
      <c r="K672">
        <v>1</v>
      </c>
      <c r="L672">
        <v>1.4999999999999999E-2</v>
      </c>
      <c r="M672">
        <v>3</v>
      </c>
      <c r="N672">
        <v>93</v>
      </c>
      <c r="O672">
        <v>2</v>
      </c>
      <c r="P672">
        <v>0.22500000000000001</v>
      </c>
      <c r="Q672">
        <v>1</v>
      </c>
      <c r="R672">
        <v>8.4999999999999995E-4</v>
      </c>
      <c r="T672" t="s">
        <v>2202</v>
      </c>
    </row>
    <row r="673" spans="1:20" x14ac:dyDescent="0.2">
      <c r="A673" t="s">
        <v>2204</v>
      </c>
      <c r="B673" t="s">
        <v>2022</v>
      </c>
      <c r="C673" t="s">
        <v>2023</v>
      </c>
      <c r="D673" t="s">
        <v>2024</v>
      </c>
      <c r="E673" t="s">
        <v>2205</v>
      </c>
      <c r="F673" t="s">
        <v>2206</v>
      </c>
      <c r="G673">
        <v>3</v>
      </c>
      <c r="H673">
        <v>1640</v>
      </c>
      <c r="I673">
        <v>2</v>
      </c>
      <c r="J673">
        <v>3.4</v>
      </c>
      <c r="K673">
        <v>5</v>
      </c>
      <c r="L673">
        <v>8.5999999999999993E-2</v>
      </c>
      <c r="M673">
        <v>5</v>
      </c>
      <c r="N673">
        <v>114</v>
      </c>
      <c r="O673">
        <v>2</v>
      </c>
      <c r="P673">
        <v>0.22500000000000001</v>
      </c>
      <c r="Q673">
        <v>4</v>
      </c>
      <c r="R673">
        <v>6.0000000000000001E-3</v>
      </c>
      <c r="T673" t="s">
        <v>2205</v>
      </c>
    </row>
    <row r="674" spans="1:20" x14ac:dyDescent="0.2">
      <c r="A674" t="s">
        <v>2207</v>
      </c>
      <c r="B674" t="s">
        <v>2022</v>
      </c>
      <c r="C674" t="s">
        <v>2053</v>
      </c>
      <c r="D674" t="s">
        <v>2024</v>
      </c>
      <c r="E674" t="s">
        <v>2208</v>
      </c>
      <c r="F674" t="s">
        <v>447</v>
      </c>
      <c r="G674">
        <v>4</v>
      </c>
      <c r="H674">
        <v>1800</v>
      </c>
      <c r="I674">
        <v>1</v>
      </c>
      <c r="J674">
        <v>1.55</v>
      </c>
      <c r="K674">
        <v>1</v>
      </c>
      <c r="L674">
        <v>1.4999999999999999E-2</v>
      </c>
      <c r="M674">
        <v>4</v>
      </c>
      <c r="N674">
        <v>103</v>
      </c>
      <c r="O674">
        <v>2</v>
      </c>
      <c r="P674">
        <v>0.22500000000000001</v>
      </c>
      <c r="Q674">
        <v>1</v>
      </c>
      <c r="R674">
        <v>8.4999999999999995E-4</v>
      </c>
      <c r="T674" t="s">
        <v>2208</v>
      </c>
    </row>
    <row r="675" spans="1:20" x14ac:dyDescent="0.2">
      <c r="A675" t="s">
        <v>2209</v>
      </c>
      <c r="B675" t="s">
        <v>2022</v>
      </c>
      <c r="C675" t="s">
        <v>2053</v>
      </c>
      <c r="D675" t="s">
        <v>2024</v>
      </c>
      <c r="E675" t="s">
        <v>2210</v>
      </c>
      <c r="F675" t="s">
        <v>2211</v>
      </c>
      <c r="G675">
        <v>2</v>
      </c>
      <c r="H675">
        <v>1600</v>
      </c>
      <c r="I675">
        <v>3</v>
      </c>
      <c r="J675">
        <v>6.55</v>
      </c>
      <c r="K675">
        <v>2</v>
      </c>
      <c r="L675">
        <v>8.5000000000000006E-2</v>
      </c>
      <c r="M675">
        <v>1</v>
      </c>
      <c r="N675">
        <v>73</v>
      </c>
      <c r="O675">
        <v>2</v>
      </c>
      <c r="P675">
        <v>0.22500000000000001</v>
      </c>
      <c r="Q675">
        <v>2</v>
      </c>
      <c r="R675">
        <v>5.1999999999999998E-3</v>
      </c>
      <c r="T675" t="s">
        <v>2210</v>
      </c>
    </row>
    <row r="676" spans="1:20" x14ac:dyDescent="0.2">
      <c r="A676" t="s">
        <v>2212</v>
      </c>
      <c r="B676" t="s">
        <v>2022</v>
      </c>
      <c r="C676" t="s">
        <v>2053</v>
      </c>
      <c r="D676" t="s">
        <v>2136</v>
      </c>
      <c r="E676" t="s">
        <v>2213</v>
      </c>
      <c r="F676" t="s">
        <v>2214</v>
      </c>
      <c r="G676">
        <v>5</v>
      </c>
      <c r="H676">
        <v>1900</v>
      </c>
      <c r="I676">
        <v>5</v>
      </c>
      <c r="J676">
        <v>11.55</v>
      </c>
      <c r="K676">
        <v>4</v>
      </c>
      <c r="L676">
        <v>0.30499999999999999</v>
      </c>
      <c r="M676">
        <v>2</v>
      </c>
      <c r="N676">
        <v>83</v>
      </c>
      <c r="O676">
        <v>4</v>
      </c>
      <c r="P676">
        <v>0.52500000000000002</v>
      </c>
      <c r="Q676">
        <v>3</v>
      </c>
      <c r="R676">
        <v>1.2200000000000001E-2</v>
      </c>
      <c r="T676" t="s">
        <v>2213</v>
      </c>
    </row>
    <row r="677" spans="1:20" x14ac:dyDescent="0.2">
      <c r="A677" t="s">
        <v>2215</v>
      </c>
      <c r="B677" t="s">
        <v>2022</v>
      </c>
      <c r="C677" t="s">
        <v>2036</v>
      </c>
      <c r="D677" t="s">
        <v>2024</v>
      </c>
      <c r="E677" t="s">
        <v>2216</v>
      </c>
      <c r="F677" t="s">
        <v>2217</v>
      </c>
      <c r="G677">
        <v>5</v>
      </c>
      <c r="H677">
        <v>1940</v>
      </c>
      <c r="I677">
        <v>2</v>
      </c>
      <c r="J677">
        <v>3.4</v>
      </c>
      <c r="K677">
        <v>2</v>
      </c>
      <c r="L677">
        <v>8.5000000000000006E-2</v>
      </c>
      <c r="M677">
        <v>4</v>
      </c>
      <c r="N677">
        <v>94</v>
      </c>
      <c r="O677">
        <v>2</v>
      </c>
      <c r="P677">
        <v>0.20499999999999999</v>
      </c>
      <c r="Q677">
        <v>2</v>
      </c>
      <c r="R677">
        <v>4.2500000000000003E-3</v>
      </c>
      <c r="T677" t="s">
        <v>2216</v>
      </c>
    </row>
    <row r="678" spans="1:20" x14ac:dyDescent="0.2">
      <c r="A678" t="s">
        <v>2218</v>
      </c>
      <c r="B678" t="s">
        <v>2022</v>
      </c>
      <c r="C678" t="s">
        <v>2023</v>
      </c>
      <c r="D678" t="s">
        <v>2024</v>
      </c>
      <c r="E678" t="s">
        <v>2219</v>
      </c>
      <c r="F678" t="s">
        <v>2220</v>
      </c>
      <c r="G678">
        <v>1</v>
      </c>
      <c r="H678">
        <v>1480</v>
      </c>
      <c r="I678">
        <v>1</v>
      </c>
      <c r="J678">
        <v>0.9</v>
      </c>
      <c r="K678">
        <v>2</v>
      </c>
      <c r="L678">
        <v>2.5999999999999999E-2</v>
      </c>
      <c r="M678">
        <v>1</v>
      </c>
      <c r="N678">
        <v>74</v>
      </c>
      <c r="O678">
        <v>1</v>
      </c>
      <c r="P678">
        <v>7.4999999999999997E-2</v>
      </c>
      <c r="Q678">
        <v>1</v>
      </c>
      <c r="R678">
        <v>5.0000000000000001E-4</v>
      </c>
      <c r="T678" t="s">
        <v>2219</v>
      </c>
    </row>
    <row r="679" spans="1:20" x14ac:dyDescent="0.2">
      <c r="A679" t="s">
        <v>2221</v>
      </c>
      <c r="B679" t="s">
        <v>2022</v>
      </c>
      <c r="C679" t="s">
        <v>2222</v>
      </c>
      <c r="D679" t="s">
        <v>2136</v>
      </c>
      <c r="E679" t="s">
        <v>2223</v>
      </c>
      <c r="G679">
        <v>3</v>
      </c>
      <c r="H679">
        <v>1650</v>
      </c>
      <c r="I679">
        <v>2</v>
      </c>
      <c r="J679">
        <v>3.9</v>
      </c>
      <c r="K679">
        <v>2</v>
      </c>
      <c r="L679">
        <v>5.5E-2</v>
      </c>
      <c r="M679">
        <v>5</v>
      </c>
      <c r="N679">
        <v>75</v>
      </c>
      <c r="O679">
        <v>3</v>
      </c>
      <c r="P679">
        <v>0.23</v>
      </c>
      <c r="Q679">
        <v>2</v>
      </c>
      <c r="R679">
        <v>2.3E-3</v>
      </c>
      <c r="T679" t="s">
        <v>2223</v>
      </c>
    </row>
    <row r="680" spans="1:20" x14ac:dyDescent="0.2">
      <c r="A680" t="s">
        <v>2224</v>
      </c>
      <c r="B680" t="s">
        <v>2022</v>
      </c>
      <c r="C680" t="s">
        <v>2101</v>
      </c>
      <c r="D680" t="s">
        <v>2024</v>
      </c>
      <c r="E680" t="s">
        <v>2225</v>
      </c>
      <c r="F680" t="s">
        <v>2226</v>
      </c>
      <c r="G680">
        <v>3</v>
      </c>
      <c r="H680">
        <v>1770</v>
      </c>
      <c r="I680">
        <v>5</v>
      </c>
      <c r="J680">
        <v>14</v>
      </c>
      <c r="K680">
        <v>5</v>
      </c>
      <c r="L680">
        <v>0.53749999999999998</v>
      </c>
      <c r="M680">
        <v>3</v>
      </c>
      <c r="N680">
        <v>82</v>
      </c>
      <c r="O680">
        <v>5</v>
      </c>
      <c r="P680">
        <v>0.67500000000000004</v>
      </c>
      <c r="Q680">
        <v>5</v>
      </c>
      <c r="R680">
        <v>2.5499999999999998E-2</v>
      </c>
      <c r="T680" t="s">
        <v>2225</v>
      </c>
    </row>
    <row r="681" spans="1:20" x14ac:dyDescent="0.2">
      <c r="A681" t="s">
        <v>2227</v>
      </c>
      <c r="B681" t="s">
        <v>2022</v>
      </c>
      <c r="C681" t="s">
        <v>2095</v>
      </c>
      <c r="D681" t="s">
        <v>2024</v>
      </c>
      <c r="E681" t="s">
        <v>2228</v>
      </c>
      <c r="F681" t="s">
        <v>2229</v>
      </c>
      <c r="G681">
        <v>5</v>
      </c>
      <c r="H681">
        <v>1925</v>
      </c>
      <c r="I681">
        <v>1</v>
      </c>
      <c r="J681">
        <v>4.5</v>
      </c>
      <c r="K681">
        <v>2</v>
      </c>
      <c r="L681">
        <v>0.13</v>
      </c>
      <c r="M681">
        <v>3</v>
      </c>
      <c r="N681">
        <v>86</v>
      </c>
      <c r="O681">
        <v>1</v>
      </c>
      <c r="P681">
        <v>0.15</v>
      </c>
      <c r="Q681">
        <v>2</v>
      </c>
      <c r="R681">
        <v>5.8999999999999999E-3</v>
      </c>
      <c r="T681" t="s">
        <v>2228</v>
      </c>
    </row>
    <row r="682" spans="1:20" x14ac:dyDescent="0.2">
      <c r="A682" t="s">
        <v>2230</v>
      </c>
      <c r="B682" t="s">
        <v>2022</v>
      </c>
      <c r="C682" t="s">
        <v>2222</v>
      </c>
      <c r="D682" t="s">
        <v>2024</v>
      </c>
      <c r="E682" t="s">
        <v>2231</v>
      </c>
      <c r="F682" t="s">
        <v>2232</v>
      </c>
      <c r="G682">
        <v>3</v>
      </c>
      <c r="H682">
        <v>1650</v>
      </c>
      <c r="I682">
        <v>1</v>
      </c>
      <c r="J682">
        <v>2.2999999999999998</v>
      </c>
      <c r="K682">
        <v>2</v>
      </c>
      <c r="L682">
        <v>5.5E-2</v>
      </c>
      <c r="M682">
        <v>3</v>
      </c>
      <c r="N682">
        <v>67</v>
      </c>
      <c r="O682">
        <v>2</v>
      </c>
      <c r="P682">
        <v>0.15</v>
      </c>
      <c r="Q682">
        <v>2</v>
      </c>
      <c r="R682">
        <v>2.3E-3</v>
      </c>
      <c r="T682" t="s">
        <v>2231</v>
      </c>
    </row>
    <row r="683" spans="1:20" x14ac:dyDescent="0.2">
      <c r="A683" t="s">
        <v>2233</v>
      </c>
      <c r="B683" t="s">
        <v>2022</v>
      </c>
      <c r="C683" t="s">
        <v>2036</v>
      </c>
      <c r="D683" t="s">
        <v>2024</v>
      </c>
      <c r="E683" t="s">
        <v>2234</v>
      </c>
      <c r="F683" t="s">
        <v>447</v>
      </c>
      <c r="G683">
        <v>1</v>
      </c>
      <c r="H683">
        <v>1540</v>
      </c>
      <c r="I683">
        <v>1</v>
      </c>
      <c r="J683">
        <v>2.2000000000000002</v>
      </c>
      <c r="K683">
        <v>1</v>
      </c>
      <c r="L683">
        <v>5.5E-2</v>
      </c>
      <c r="M683">
        <v>1</v>
      </c>
      <c r="N683">
        <v>76</v>
      </c>
      <c r="O683">
        <v>1</v>
      </c>
      <c r="P683">
        <v>9.5000000000000001E-2</v>
      </c>
      <c r="Q683">
        <v>1</v>
      </c>
      <c r="R683">
        <v>1.5E-3</v>
      </c>
      <c r="T683" t="s">
        <v>2234</v>
      </c>
    </row>
    <row r="684" spans="1:20" x14ac:dyDescent="0.2">
      <c r="A684" t="s">
        <v>2235</v>
      </c>
      <c r="B684" t="s">
        <v>2022</v>
      </c>
      <c r="C684" t="s">
        <v>2036</v>
      </c>
      <c r="D684" t="s">
        <v>2024</v>
      </c>
      <c r="E684" t="s">
        <v>2236</v>
      </c>
      <c r="F684" t="s">
        <v>2237</v>
      </c>
      <c r="G684">
        <v>4</v>
      </c>
      <c r="H684">
        <v>1840</v>
      </c>
      <c r="I684">
        <v>4</v>
      </c>
      <c r="J684">
        <v>5.8</v>
      </c>
      <c r="K684">
        <v>4</v>
      </c>
      <c r="L684">
        <v>0.14499999999999999</v>
      </c>
      <c r="M684">
        <v>3</v>
      </c>
      <c r="N684">
        <v>88</v>
      </c>
      <c r="O684">
        <v>3</v>
      </c>
      <c r="P684">
        <v>0.315</v>
      </c>
      <c r="Q684">
        <v>3</v>
      </c>
      <c r="R684">
        <v>6.7499999999999999E-3</v>
      </c>
      <c r="T684" t="s">
        <v>2236</v>
      </c>
    </row>
    <row r="685" spans="1:20" x14ac:dyDescent="0.2">
      <c r="A685" t="s">
        <v>2238</v>
      </c>
      <c r="B685" t="s">
        <v>2022</v>
      </c>
      <c r="C685" t="s">
        <v>2036</v>
      </c>
      <c r="D685" t="s">
        <v>2024</v>
      </c>
      <c r="E685" t="s">
        <v>2239</v>
      </c>
      <c r="F685" t="s">
        <v>2240</v>
      </c>
      <c r="G685">
        <v>3</v>
      </c>
      <c r="H685">
        <v>1740</v>
      </c>
      <c r="I685">
        <v>3</v>
      </c>
      <c r="J685">
        <v>4.5999999999999996</v>
      </c>
      <c r="K685">
        <v>2</v>
      </c>
      <c r="L685">
        <v>8.5000000000000006E-2</v>
      </c>
      <c r="M685">
        <v>1</v>
      </c>
      <c r="N685">
        <v>76</v>
      </c>
      <c r="O685">
        <v>2</v>
      </c>
      <c r="P685">
        <v>0.20499999999999999</v>
      </c>
      <c r="Q685">
        <v>2</v>
      </c>
      <c r="R685">
        <v>4.2500000000000003E-3</v>
      </c>
      <c r="T685" t="s">
        <v>2239</v>
      </c>
    </row>
    <row r="686" spans="1:20" x14ac:dyDescent="0.2">
      <c r="A686" t="s">
        <v>2241</v>
      </c>
      <c r="B686" t="s">
        <v>2022</v>
      </c>
      <c r="C686" t="s">
        <v>2053</v>
      </c>
      <c r="D686" t="s">
        <v>2154</v>
      </c>
      <c r="E686" t="s">
        <v>2242</v>
      </c>
      <c r="F686" t="s">
        <v>2243</v>
      </c>
      <c r="G686">
        <v>5</v>
      </c>
      <c r="H686">
        <v>1900</v>
      </c>
      <c r="I686">
        <v>2</v>
      </c>
      <c r="J686">
        <v>4.05</v>
      </c>
      <c r="K686">
        <v>2</v>
      </c>
      <c r="L686">
        <v>8.5000000000000006E-2</v>
      </c>
      <c r="M686">
        <v>5</v>
      </c>
      <c r="N686">
        <v>113</v>
      </c>
      <c r="O686">
        <v>2</v>
      </c>
      <c r="P686">
        <v>0.22500000000000001</v>
      </c>
      <c r="Q686">
        <v>2</v>
      </c>
      <c r="R686">
        <v>5.1999999999999998E-3</v>
      </c>
      <c r="T686" t="s">
        <v>2242</v>
      </c>
    </row>
    <row r="687" spans="1:20" x14ac:dyDescent="0.2">
      <c r="A687" t="s">
        <v>2244</v>
      </c>
      <c r="B687" t="s">
        <v>2022</v>
      </c>
      <c r="C687" t="s">
        <v>2053</v>
      </c>
      <c r="D687" t="s">
        <v>2024</v>
      </c>
      <c r="E687" t="s">
        <v>2245</v>
      </c>
      <c r="F687" t="s">
        <v>2246</v>
      </c>
      <c r="G687">
        <v>2</v>
      </c>
      <c r="H687">
        <v>1600</v>
      </c>
      <c r="I687">
        <v>2</v>
      </c>
      <c r="J687">
        <v>4.05</v>
      </c>
      <c r="K687">
        <v>2</v>
      </c>
      <c r="L687">
        <v>8.5000000000000006E-2</v>
      </c>
      <c r="M687">
        <v>1</v>
      </c>
      <c r="N687">
        <v>73</v>
      </c>
      <c r="O687">
        <v>2</v>
      </c>
      <c r="P687">
        <v>0.22500000000000001</v>
      </c>
      <c r="Q687">
        <v>1</v>
      </c>
      <c r="R687">
        <v>8.4999999999999995E-4</v>
      </c>
      <c r="T687" t="s">
        <v>2245</v>
      </c>
    </row>
    <row r="688" spans="1:20" x14ac:dyDescent="0.2">
      <c r="A688" t="s">
        <v>2247</v>
      </c>
      <c r="B688" t="s">
        <v>2022</v>
      </c>
      <c r="C688" t="s">
        <v>2023</v>
      </c>
      <c r="D688" t="s">
        <v>2024</v>
      </c>
      <c r="E688" t="s">
        <v>2248</v>
      </c>
      <c r="F688" t="s">
        <v>2249</v>
      </c>
      <c r="G688">
        <v>2</v>
      </c>
      <c r="H688">
        <v>1560</v>
      </c>
      <c r="I688">
        <v>2</v>
      </c>
      <c r="J688">
        <v>3.4</v>
      </c>
      <c r="K688">
        <v>5</v>
      </c>
      <c r="L688">
        <v>8.5999999999999993E-2</v>
      </c>
      <c r="M688">
        <v>3</v>
      </c>
      <c r="N688">
        <v>94</v>
      </c>
      <c r="O688">
        <v>2</v>
      </c>
      <c r="P688">
        <v>0.22500000000000001</v>
      </c>
      <c r="Q688">
        <v>5</v>
      </c>
      <c r="R688">
        <v>8.0000000000000002E-3</v>
      </c>
      <c r="T688" t="s">
        <v>2248</v>
      </c>
    </row>
    <row r="689" spans="1:20" x14ac:dyDescent="0.2">
      <c r="A689" t="s">
        <v>2250</v>
      </c>
      <c r="B689" t="s">
        <v>2022</v>
      </c>
      <c r="C689" t="s">
        <v>2053</v>
      </c>
      <c r="D689" t="s">
        <v>2024</v>
      </c>
      <c r="E689" t="s">
        <v>2251</v>
      </c>
      <c r="F689" t="s">
        <v>2252</v>
      </c>
      <c r="G689">
        <v>1</v>
      </c>
      <c r="H689">
        <v>1500</v>
      </c>
      <c r="I689">
        <v>1</v>
      </c>
      <c r="J689">
        <v>1.55</v>
      </c>
      <c r="K689">
        <v>1</v>
      </c>
      <c r="L689">
        <v>1.4999999999999999E-2</v>
      </c>
      <c r="M689">
        <v>5</v>
      </c>
      <c r="N689">
        <v>113</v>
      </c>
      <c r="O689">
        <v>2</v>
      </c>
      <c r="P689">
        <v>0.22500000000000001</v>
      </c>
      <c r="Q689">
        <v>1</v>
      </c>
      <c r="R689">
        <v>8.4999999999999995E-4</v>
      </c>
      <c r="T689" t="s">
        <v>2251</v>
      </c>
    </row>
    <row r="690" spans="1:20" x14ac:dyDescent="0.2">
      <c r="A690" t="s">
        <v>2253</v>
      </c>
      <c r="B690" t="s">
        <v>2022</v>
      </c>
      <c r="C690" t="s">
        <v>2053</v>
      </c>
      <c r="D690" t="s">
        <v>2136</v>
      </c>
      <c r="E690" t="s">
        <v>2254</v>
      </c>
      <c r="F690" t="s">
        <v>2255</v>
      </c>
      <c r="G690">
        <v>1</v>
      </c>
      <c r="H690">
        <v>1500</v>
      </c>
      <c r="I690">
        <v>5</v>
      </c>
      <c r="J690">
        <v>11.55</v>
      </c>
      <c r="K690">
        <v>5</v>
      </c>
      <c r="L690">
        <v>0.41499999999999998</v>
      </c>
      <c r="M690">
        <v>4</v>
      </c>
      <c r="N690">
        <v>103</v>
      </c>
      <c r="O690">
        <v>5</v>
      </c>
      <c r="P690">
        <v>0.67500000000000004</v>
      </c>
      <c r="Q690">
        <v>5</v>
      </c>
      <c r="R690">
        <v>2.6200000000000001E-2</v>
      </c>
      <c r="T690" t="s">
        <v>2254</v>
      </c>
    </row>
    <row r="691" spans="1:20" x14ac:dyDescent="0.2">
      <c r="A691" t="s">
        <v>2256</v>
      </c>
      <c r="B691" t="s">
        <v>2022</v>
      </c>
      <c r="C691" t="s">
        <v>2257</v>
      </c>
      <c r="D691" t="s">
        <v>2024</v>
      </c>
      <c r="E691" t="s">
        <v>2258</v>
      </c>
      <c r="F691" t="s">
        <v>2259</v>
      </c>
      <c r="G691">
        <v>5</v>
      </c>
      <c r="H691">
        <v>1300</v>
      </c>
      <c r="I691">
        <v>2</v>
      </c>
      <c r="J691">
        <v>1.75</v>
      </c>
      <c r="K691">
        <v>2</v>
      </c>
      <c r="L691">
        <v>3.6999999999999998E-2</v>
      </c>
      <c r="M691">
        <v>1</v>
      </c>
      <c r="N691">
        <v>300</v>
      </c>
      <c r="O691">
        <v>1</v>
      </c>
      <c r="P691">
        <v>0.3</v>
      </c>
      <c r="Q691">
        <v>1</v>
      </c>
      <c r="R691">
        <v>2E-3</v>
      </c>
      <c r="T691" t="s">
        <v>2258</v>
      </c>
    </row>
    <row r="692" spans="1:20" x14ac:dyDescent="0.2">
      <c r="A692" t="s">
        <v>2260</v>
      </c>
      <c r="B692" t="s">
        <v>2022</v>
      </c>
      <c r="C692" t="s">
        <v>2023</v>
      </c>
      <c r="D692" t="s">
        <v>2024</v>
      </c>
      <c r="E692" t="s">
        <v>2261</v>
      </c>
      <c r="F692" t="s">
        <v>2262</v>
      </c>
      <c r="G692">
        <v>1</v>
      </c>
      <c r="H692">
        <v>1480</v>
      </c>
      <c r="I692">
        <v>1</v>
      </c>
      <c r="J692">
        <v>0.9</v>
      </c>
      <c r="K692">
        <v>1</v>
      </c>
      <c r="L692">
        <v>6.0000000000000001E-3</v>
      </c>
      <c r="M692">
        <v>2</v>
      </c>
      <c r="N692">
        <v>84</v>
      </c>
      <c r="O692">
        <v>1</v>
      </c>
      <c r="P692">
        <v>7.4999999999999997E-2</v>
      </c>
      <c r="Q692">
        <v>1</v>
      </c>
      <c r="R692">
        <v>5.0000000000000001E-4</v>
      </c>
      <c r="T692" t="s">
        <v>2261</v>
      </c>
    </row>
    <row r="693" spans="1:20" x14ac:dyDescent="0.2">
      <c r="A693" t="s">
        <v>2263</v>
      </c>
      <c r="B693" t="s">
        <v>2022</v>
      </c>
      <c r="C693" t="s">
        <v>2028</v>
      </c>
      <c r="D693" t="s">
        <v>2024</v>
      </c>
      <c r="E693" t="s">
        <v>2264</v>
      </c>
      <c r="F693" t="s">
        <v>2265</v>
      </c>
      <c r="G693">
        <v>5</v>
      </c>
      <c r="H693">
        <v>1450</v>
      </c>
      <c r="I693">
        <v>5</v>
      </c>
      <c r="J693">
        <v>6.65</v>
      </c>
      <c r="K693">
        <v>3</v>
      </c>
      <c r="L693">
        <v>0.11899999999999999</v>
      </c>
      <c r="M693">
        <v>1</v>
      </c>
      <c r="N693">
        <v>100</v>
      </c>
      <c r="O693">
        <v>1</v>
      </c>
      <c r="P693">
        <v>0.15</v>
      </c>
      <c r="Q693">
        <v>2</v>
      </c>
      <c r="R693">
        <v>7.7499999999999999E-3</v>
      </c>
      <c r="T693" t="s">
        <v>2264</v>
      </c>
    </row>
    <row r="694" spans="1:20" x14ac:dyDescent="0.2">
      <c r="A694" t="s">
        <v>2266</v>
      </c>
      <c r="B694" t="s">
        <v>2022</v>
      </c>
      <c r="C694" t="s">
        <v>2095</v>
      </c>
      <c r="D694" t="s">
        <v>2024</v>
      </c>
      <c r="E694" t="s">
        <v>2267</v>
      </c>
      <c r="F694" t="s">
        <v>2268</v>
      </c>
      <c r="G694">
        <v>4</v>
      </c>
      <c r="H694">
        <v>1835</v>
      </c>
      <c r="I694">
        <v>3</v>
      </c>
      <c r="J694">
        <v>10.5</v>
      </c>
      <c r="K694">
        <v>3</v>
      </c>
      <c r="L694">
        <v>0.33</v>
      </c>
      <c r="M694">
        <v>5</v>
      </c>
      <c r="N694">
        <v>98</v>
      </c>
      <c r="O694">
        <v>5</v>
      </c>
      <c r="P694">
        <v>0.95</v>
      </c>
      <c r="Q694">
        <v>4</v>
      </c>
      <c r="R694">
        <v>2.3900000000000001E-2</v>
      </c>
      <c r="T694" t="s">
        <v>2267</v>
      </c>
    </row>
    <row r="695" spans="1:20" x14ac:dyDescent="0.2">
      <c r="A695" t="s">
        <v>2269</v>
      </c>
      <c r="B695" t="s">
        <v>2022</v>
      </c>
      <c r="C695" t="s">
        <v>2257</v>
      </c>
      <c r="D695" t="s">
        <v>2024</v>
      </c>
      <c r="E695" t="s">
        <v>357</v>
      </c>
      <c r="F695" t="s">
        <v>447</v>
      </c>
      <c r="G695">
        <v>1</v>
      </c>
      <c r="H695">
        <v>900</v>
      </c>
      <c r="I695">
        <v>1</v>
      </c>
      <c r="J695">
        <v>0.45</v>
      </c>
      <c r="K695">
        <v>1</v>
      </c>
      <c r="L695">
        <v>6.0000000000000001E-3</v>
      </c>
      <c r="M695">
        <v>3</v>
      </c>
      <c r="N695">
        <v>700</v>
      </c>
      <c r="O695">
        <v>1</v>
      </c>
      <c r="P695">
        <v>0.3</v>
      </c>
      <c r="Q695">
        <v>2</v>
      </c>
      <c r="R695">
        <v>1.4999999999999999E-2</v>
      </c>
      <c r="T695" t="s">
        <v>357</v>
      </c>
    </row>
    <row r="696" spans="1:20" x14ac:dyDescent="0.2">
      <c r="A696" t="s">
        <v>2270</v>
      </c>
      <c r="B696" t="s">
        <v>2022</v>
      </c>
      <c r="C696" t="s">
        <v>2023</v>
      </c>
      <c r="D696" t="s">
        <v>2024</v>
      </c>
      <c r="E696" t="s">
        <v>2271</v>
      </c>
      <c r="F696" t="s">
        <v>2272</v>
      </c>
      <c r="G696">
        <v>3</v>
      </c>
      <c r="H696">
        <v>1640</v>
      </c>
      <c r="I696">
        <v>1</v>
      </c>
      <c r="J696">
        <v>0.9</v>
      </c>
      <c r="K696">
        <v>1</v>
      </c>
      <c r="L696">
        <v>6.0000000000000001E-3</v>
      </c>
      <c r="M696">
        <v>3</v>
      </c>
      <c r="N696">
        <v>94</v>
      </c>
      <c r="O696">
        <v>1</v>
      </c>
      <c r="P696">
        <v>7.4999999999999997E-2</v>
      </c>
      <c r="Q696">
        <v>1</v>
      </c>
      <c r="R696">
        <v>5.0000000000000001E-4</v>
      </c>
      <c r="T696" t="s">
        <v>2271</v>
      </c>
    </row>
    <row r="697" spans="1:20" x14ac:dyDescent="0.2">
      <c r="A697" t="s">
        <v>2273</v>
      </c>
      <c r="B697" t="s">
        <v>2022</v>
      </c>
      <c r="C697" t="s">
        <v>2104</v>
      </c>
      <c r="D697" t="s">
        <v>2136</v>
      </c>
      <c r="E697" t="s">
        <v>2274</v>
      </c>
      <c r="F697" t="s">
        <v>2275</v>
      </c>
      <c r="G697">
        <v>5</v>
      </c>
      <c r="H697">
        <v>2237.5</v>
      </c>
      <c r="I697">
        <v>3</v>
      </c>
      <c r="J697">
        <v>5.55</v>
      </c>
      <c r="K697">
        <v>3</v>
      </c>
      <c r="L697">
        <v>9.0999999999999998E-2</v>
      </c>
      <c r="M697">
        <v>5</v>
      </c>
      <c r="N697">
        <v>89</v>
      </c>
      <c r="P697">
        <v>0</v>
      </c>
      <c r="Q697">
        <v>2</v>
      </c>
      <c r="R697">
        <v>3.2000000000000002E-3</v>
      </c>
      <c r="T697" t="s">
        <v>2274</v>
      </c>
    </row>
    <row r="698" spans="1:20" x14ac:dyDescent="0.2">
      <c r="A698" t="s">
        <v>2276</v>
      </c>
      <c r="B698" t="s">
        <v>2022</v>
      </c>
      <c r="C698" t="s">
        <v>2104</v>
      </c>
      <c r="D698" t="s">
        <v>2024</v>
      </c>
      <c r="E698" t="s">
        <v>2274</v>
      </c>
      <c r="F698" t="s">
        <v>2275</v>
      </c>
      <c r="G698">
        <v>5</v>
      </c>
      <c r="H698">
        <v>2237.5</v>
      </c>
      <c r="I698">
        <v>5</v>
      </c>
      <c r="J698">
        <v>10.15</v>
      </c>
      <c r="K698">
        <v>2</v>
      </c>
      <c r="L698">
        <v>4.1000000000000002E-2</v>
      </c>
      <c r="M698">
        <v>5</v>
      </c>
      <c r="N698">
        <v>89</v>
      </c>
      <c r="P698">
        <v>0</v>
      </c>
      <c r="Q698">
        <v>2</v>
      </c>
      <c r="R698">
        <v>3.2000000000000002E-3</v>
      </c>
      <c r="T698" t="s">
        <v>2274</v>
      </c>
    </row>
    <row r="699" spans="1:20" x14ac:dyDescent="0.2">
      <c r="A699" t="s">
        <v>2277</v>
      </c>
      <c r="B699" t="s">
        <v>2022</v>
      </c>
      <c r="C699" t="s">
        <v>2053</v>
      </c>
      <c r="D699" t="s">
        <v>2154</v>
      </c>
      <c r="E699" t="s">
        <v>2274</v>
      </c>
      <c r="F699" t="s">
        <v>2275</v>
      </c>
      <c r="G699">
        <v>5</v>
      </c>
      <c r="H699">
        <v>1900</v>
      </c>
      <c r="I699">
        <v>4</v>
      </c>
      <c r="J699">
        <v>9.0500000000000007</v>
      </c>
      <c r="K699">
        <v>5</v>
      </c>
      <c r="L699">
        <v>0.41499999999999998</v>
      </c>
      <c r="M699">
        <v>3</v>
      </c>
      <c r="N699">
        <v>93</v>
      </c>
      <c r="O699">
        <v>3</v>
      </c>
      <c r="P699">
        <v>0.375</v>
      </c>
      <c r="Q699">
        <v>4</v>
      </c>
      <c r="R699">
        <v>1.9199999999999998E-2</v>
      </c>
      <c r="T699" t="s">
        <v>2274</v>
      </c>
    </row>
    <row r="700" spans="1:20" x14ac:dyDescent="0.2">
      <c r="A700" t="s">
        <v>2278</v>
      </c>
      <c r="B700" t="s">
        <v>2022</v>
      </c>
      <c r="C700" t="s">
        <v>2023</v>
      </c>
      <c r="D700" t="s">
        <v>2024</v>
      </c>
      <c r="E700" t="s">
        <v>2274</v>
      </c>
      <c r="F700" t="s">
        <v>2275</v>
      </c>
      <c r="G700">
        <v>1</v>
      </c>
      <c r="H700">
        <v>1480</v>
      </c>
      <c r="I700">
        <v>2</v>
      </c>
      <c r="J700">
        <v>3.4</v>
      </c>
      <c r="K700">
        <v>2</v>
      </c>
      <c r="L700">
        <v>2.5999999999999999E-2</v>
      </c>
      <c r="M700">
        <v>1</v>
      </c>
      <c r="N700">
        <v>74</v>
      </c>
      <c r="O700">
        <v>2</v>
      </c>
      <c r="P700">
        <v>0.22500000000000001</v>
      </c>
      <c r="Q700">
        <v>2</v>
      </c>
      <c r="R700">
        <v>2E-3</v>
      </c>
      <c r="T700" t="s">
        <v>2274</v>
      </c>
    </row>
    <row r="701" spans="1:20" x14ac:dyDescent="0.2">
      <c r="A701" t="s">
        <v>2279</v>
      </c>
      <c r="B701" t="s">
        <v>2022</v>
      </c>
      <c r="C701" t="s">
        <v>2053</v>
      </c>
      <c r="D701" t="s">
        <v>2024</v>
      </c>
      <c r="E701" t="s">
        <v>2280</v>
      </c>
      <c r="F701" t="s">
        <v>2281</v>
      </c>
      <c r="G701">
        <v>5</v>
      </c>
      <c r="H701">
        <v>1900</v>
      </c>
      <c r="I701">
        <v>5</v>
      </c>
      <c r="J701">
        <v>11.55</v>
      </c>
      <c r="K701">
        <v>4</v>
      </c>
      <c r="L701">
        <v>0.30499999999999999</v>
      </c>
      <c r="M701">
        <v>3</v>
      </c>
      <c r="N701">
        <v>93</v>
      </c>
      <c r="O701">
        <v>3</v>
      </c>
      <c r="P701">
        <v>0.375</v>
      </c>
      <c r="Q701">
        <v>3</v>
      </c>
      <c r="R701">
        <v>1.2200000000000001E-2</v>
      </c>
      <c r="T701" t="s">
        <v>2280</v>
      </c>
    </row>
    <row r="702" spans="1:20" x14ac:dyDescent="0.2">
      <c r="A702" t="s">
        <v>2282</v>
      </c>
      <c r="B702" t="s">
        <v>2022</v>
      </c>
      <c r="C702" t="s">
        <v>2023</v>
      </c>
      <c r="D702" t="s">
        <v>2024</v>
      </c>
      <c r="E702" t="s">
        <v>2283</v>
      </c>
      <c r="F702" t="s">
        <v>2284</v>
      </c>
      <c r="G702">
        <v>2</v>
      </c>
      <c r="H702">
        <v>1560</v>
      </c>
      <c r="I702">
        <v>2</v>
      </c>
      <c r="J702">
        <v>3.4</v>
      </c>
      <c r="K702">
        <v>2</v>
      </c>
      <c r="L702">
        <v>2.5999999999999999E-2</v>
      </c>
      <c r="M702">
        <v>1</v>
      </c>
      <c r="N702">
        <v>74</v>
      </c>
      <c r="O702">
        <v>1</v>
      </c>
      <c r="P702">
        <v>7.4999999999999997E-2</v>
      </c>
      <c r="Q702">
        <v>2</v>
      </c>
      <c r="R702">
        <v>2E-3</v>
      </c>
      <c r="T702" t="s">
        <v>2283</v>
      </c>
    </row>
    <row r="703" spans="1:20" x14ac:dyDescent="0.2">
      <c r="A703" t="s">
        <v>2285</v>
      </c>
      <c r="B703" t="s">
        <v>2022</v>
      </c>
      <c r="C703" t="s">
        <v>2053</v>
      </c>
      <c r="D703" t="s">
        <v>2024</v>
      </c>
      <c r="E703" t="s">
        <v>2286</v>
      </c>
      <c r="F703" t="s">
        <v>2287</v>
      </c>
      <c r="G703">
        <v>1</v>
      </c>
      <c r="H703">
        <v>1500</v>
      </c>
      <c r="I703">
        <v>1</v>
      </c>
      <c r="J703">
        <v>1.55</v>
      </c>
      <c r="K703">
        <v>1</v>
      </c>
      <c r="L703">
        <v>1.4999999999999999E-2</v>
      </c>
      <c r="M703">
        <v>5</v>
      </c>
      <c r="N703">
        <v>113</v>
      </c>
      <c r="O703">
        <v>4</v>
      </c>
      <c r="P703">
        <v>0.52500000000000002</v>
      </c>
      <c r="Q703">
        <v>2</v>
      </c>
      <c r="R703">
        <v>5.1999999999999998E-3</v>
      </c>
      <c r="T703" t="s">
        <v>2286</v>
      </c>
    </row>
    <row r="704" spans="1:20" x14ac:dyDescent="0.2">
      <c r="A704" t="s">
        <v>2288</v>
      </c>
      <c r="B704" t="s">
        <v>2022</v>
      </c>
      <c r="C704" t="s">
        <v>2036</v>
      </c>
      <c r="D704" t="s">
        <v>2136</v>
      </c>
      <c r="E704" t="s">
        <v>2289</v>
      </c>
      <c r="F704" t="s">
        <v>2290</v>
      </c>
      <c r="G704">
        <v>3</v>
      </c>
      <c r="H704">
        <v>1740</v>
      </c>
      <c r="I704">
        <v>4</v>
      </c>
      <c r="J704">
        <v>5.8</v>
      </c>
      <c r="K704">
        <v>5</v>
      </c>
      <c r="L704">
        <v>0.17499999999999999</v>
      </c>
      <c r="M704">
        <v>4</v>
      </c>
      <c r="N704">
        <v>94</v>
      </c>
      <c r="O704">
        <v>3</v>
      </c>
      <c r="P704">
        <v>0.315</v>
      </c>
      <c r="Q704">
        <v>5</v>
      </c>
      <c r="R704">
        <v>1.2E-2</v>
      </c>
      <c r="T704" t="s">
        <v>2289</v>
      </c>
    </row>
    <row r="705" spans="1:20" x14ac:dyDescent="0.2">
      <c r="A705" t="s">
        <v>2291</v>
      </c>
      <c r="B705" t="s">
        <v>2022</v>
      </c>
      <c r="C705" t="s">
        <v>2053</v>
      </c>
      <c r="D705" t="s">
        <v>2136</v>
      </c>
      <c r="E705" t="s">
        <v>2289</v>
      </c>
      <c r="F705" t="s">
        <v>2292</v>
      </c>
      <c r="G705">
        <v>2</v>
      </c>
      <c r="H705">
        <v>1600</v>
      </c>
      <c r="I705">
        <v>3</v>
      </c>
      <c r="J705">
        <v>6.55</v>
      </c>
      <c r="K705">
        <v>3</v>
      </c>
      <c r="L705">
        <v>0.19500000000000001</v>
      </c>
      <c r="M705">
        <v>2</v>
      </c>
      <c r="N705">
        <v>83</v>
      </c>
      <c r="O705">
        <v>2</v>
      </c>
      <c r="P705">
        <v>0.22500000000000001</v>
      </c>
      <c r="Q705">
        <v>3</v>
      </c>
      <c r="R705">
        <v>1.2200000000000001E-2</v>
      </c>
      <c r="T705" t="s">
        <v>2289</v>
      </c>
    </row>
    <row r="706" spans="1:20" x14ac:dyDescent="0.2">
      <c r="A706" t="s">
        <v>2293</v>
      </c>
      <c r="B706" t="s">
        <v>2022</v>
      </c>
      <c r="C706" t="s">
        <v>2036</v>
      </c>
      <c r="D706" t="s">
        <v>2136</v>
      </c>
      <c r="E706" t="s">
        <v>2289</v>
      </c>
      <c r="F706" t="s">
        <v>2294</v>
      </c>
      <c r="G706">
        <v>2</v>
      </c>
      <c r="H706">
        <v>1640</v>
      </c>
      <c r="I706">
        <v>3</v>
      </c>
      <c r="J706">
        <v>4.5999999999999996</v>
      </c>
      <c r="K706">
        <v>5</v>
      </c>
      <c r="L706">
        <v>0.17499999999999999</v>
      </c>
      <c r="M706">
        <v>4</v>
      </c>
      <c r="N706">
        <v>94</v>
      </c>
      <c r="O706">
        <v>3</v>
      </c>
      <c r="P706">
        <v>0.315</v>
      </c>
      <c r="Q706">
        <v>4</v>
      </c>
      <c r="R706">
        <v>9.2499999999999995E-3</v>
      </c>
      <c r="T706" t="s">
        <v>2289</v>
      </c>
    </row>
    <row r="707" spans="1:20" x14ac:dyDescent="0.2">
      <c r="A707" t="s">
        <v>2295</v>
      </c>
      <c r="B707" t="s">
        <v>2022</v>
      </c>
      <c r="C707" t="s">
        <v>2023</v>
      </c>
      <c r="D707" t="s">
        <v>2136</v>
      </c>
      <c r="E707" t="s">
        <v>2296</v>
      </c>
      <c r="F707" t="s">
        <v>2297</v>
      </c>
      <c r="G707">
        <v>2</v>
      </c>
      <c r="H707">
        <v>1560</v>
      </c>
      <c r="I707">
        <v>1</v>
      </c>
      <c r="J707">
        <v>0.9</v>
      </c>
      <c r="K707">
        <v>1</v>
      </c>
      <c r="L707">
        <v>6.0000000000000001E-3</v>
      </c>
      <c r="M707">
        <v>5</v>
      </c>
      <c r="N707">
        <v>114</v>
      </c>
      <c r="O707">
        <v>2</v>
      </c>
      <c r="P707">
        <v>0.22500000000000001</v>
      </c>
      <c r="Q707">
        <v>2</v>
      </c>
      <c r="R707">
        <v>2E-3</v>
      </c>
      <c r="T707" t="s">
        <v>2296</v>
      </c>
    </row>
    <row r="708" spans="1:20" x14ac:dyDescent="0.2">
      <c r="A708" t="s">
        <v>2298</v>
      </c>
      <c r="B708" t="s">
        <v>2022</v>
      </c>
      <c r="C708" t="s">
        <v>2023</v>
      </c>
      <c r="D708" t="s">
        <v>2136</v>
      </c>
      <c r="E708" t="s">
        <v>357</v>
      </c>
      <c r="F708" t="s">
        <v>447</v>
      </c>
      <c r="G708">
        <v>2</v>
      </c>
      <c r="H708">
        <v>1560</v>
      </c>
      <c r="I708">
        <v>5</v>
      </c>
      <c r="J708">
        <v>10.9</v>
      </c>
      <c r="K708">
        <v>5</v>
      </c>
      <c r="L708">
        <v>8.5999999999999993E-2</v>
      </c>
      <c r="M708">
        <v>3</v>
      </c>
      <c r="N708">
        <v>94</v>
      </c>
      <c r="O708">
        <v>5</v>
      </c>
      <c r="P708">
        <v>0.67500000000000004</v>
      </c>
      <c r="Q708">
        <v>5</v>
      </c>
      <c r="R708">
        <v>8.0000000000000002E-3</v>
      </c>
      <c r="T708" t="s">
        <v>357</v>
      </c>
    </row>
    <row r="709" spans="1:20" x14ac:dyDescent="0.2">
      <c r="A709" t="s">
        <v>2299</v>
      </c>
      <c r="B709" t="s">
        <v>2022</v>
      </c>
      <c r="C709" t="s">
        <v>2257</v>
      </c>
      <c r="D709" t="s">
        <v>2024</v>
      </c>
      <c r="E709" t="s">
        <v>2300</v>
      </c>
      <c r="F709" t="s">
        <v>447</v>
      </c>
      <c r="G709">
        <v>4</v>
      </c>
      <c r="H709">
        <v>1200</v>
      </c>
      <c r="I709">
        <v>5</v>
      </c>
      <c r="J709">
        <v>5.65</v>
      </c>
      <c r="K709">
        <v>5</v>
      </c>
      <c r="L709">
        <v>0.187</v>
      </c>
      <c r="M709">
        <v>1</v>
      </c>
      <c r="N709">
        <v>300</v>
      </c>
      <c r="O709">
        <v>2</v>
      </c>
      <c r="P709">
        <v>0.9</v>
      </c>
      <c r="Q709">
        <v>3</v>
      </c>
      <c r="R709">
        <v>3.6999999999999998E-2</v>
      </c>
      <c r="T709" t="s">
        <v>2300</v>
      </c>
    </row>
    <row r="710" spans="1:20" x14ac:dyDescent="0.2">
      <c r="A710" t="s">
        <v>2301</v>
      </c>
      <c r="B710" t="s">
        <v>2022</v>
      </c>
      <c r="C710" t="s">
        <v>2053</v>
      </c>
      <c r="D710" t="s">
        <v>2024</v>
      </c>
      <c r="E710" t="s">
        <v>2302</v>
      </c>
      <c r="F710" t="s">
        <v>2303</v>
      </c>
      <c r="G710">
        <v>2</v>
      </c>
      <c r="H710">
        <v>1600</v>
      </c>
      <c r="I710">
        <v>2</v>
      </c>
      <c r="J710">
        <v>4.05</v>
      </c>
      <c r="K710">
        <v>1</v>
      </c>
      <c r="L710">
        <v>1.4999999999999999E-2</v>
      </c>
      <c r="M710">
        <v>4</v>
      </c>
      <c r="N710">
        <v>103</v>
      </c>
      <c r="O710">
        <v>2</v>
      </c>
      <c r="P710">
        <v>0.22500000000000001</v>
      </c>
      <c r="Q710">
        <v>1</v>
      </c>
      <c r="R710">
        <v>8.4999999999999995E-4</v>
      </c>
      <c r="T710" t="s">
        <v>2302</v>
      </c>
    </row>
    <row r="711" spans="1:20" x14ac:dyDescent="0.2">
      <c r="A711" t="s">
        <v>2304</v>
      </c>
      <c r="B711" t="s">
        <v>2022</v>
      </c>
      <c r="C711" t="s">
        <v>2036</v>
      </c>
      <c r="D711" t="s">
        <v>2024</v>
      </c>
      <c r="E711" t="s">
        <v>2305</v>
      </c>
      <c r="F711" t="s">
        <v>2306</v>
      </c>
      <c r="G711">
        <v>3</v>
      </c>
      <c r="H711">
        <v>1740</v>
      </c>
      <c r="I711">
        <v>4</v>
      </c>
      <c r="J711">
        <v>5.8</v>
      </c>
      <c r="K711">
        <v>4</v>
      </c>
      <c r="L711">
        <v>0.14499999999999999</v>
      </c>
      <c r="M711">
        <v>1</v>
      </c>
      <c r="N711">
        <v>76</v>
      </c>
      <c r="O711">
        <v>2</v>
      </c>
      <c r="P711">
        <v>0.20499999999999999</v>
      </c>
      <c r="Q711">
        <v>3</v>
      </c>
      <c r="R711">
        <v>6.7499999999999999E-3</v>
      </c>
      <c r="T711" t="s">
        <v>2305</v>
      </c>
    </row>
    <row r="712" spans="1:20" x14ac:dyDescent="0.2">
      <c r="A712" t="s">
        <v>2307</v>
      </c>
      <c r="B712" t="s">
        <v>2022</v>
      </c>
      <c r="C712" t="s">
        <v>2053</v>
      </c>
      <c r="D712" t="s">
        <v>2024</v>
      </c>
      <c r="E712" t="s">
        <v>2308</v>
      </c>
      <c r="F712" t="s">
        <v>2309</v>
      </c>
      <c r="G712">
        <v>1</v>
      </c>
      <c r="H712">
        <v>1500</v>
      </c>
      <c r="I712">
        <v>2</v>
      </c>
      <c r="J712">
        <v>4.05</v>
      </c>
      <c r="K712">
        <v>2</v>
      </c>
      <c r="L712">
        <v>8.5000000000000006E-2</v>
      </c>
      <c r="M712">
        <v>5</v>
      </c>
      <c r="N712">
        <v>113</v>
      </c>
      <c r="O712">
        <v>2</v>
      </c>
      <c r="P712">
        <v>0.22500000000000001</v>
      </c>
      <c r="Q712">
        <v>2</v>
      </c>
      <c r="R712">
        <v>5.1999999999999998E-3</v>
      </c>
      <c r="T712" t="s">
        <v>2308</v>
      </c>
    </row>
    <row r="713" spans="1:20" x14ac:dyDescent="0.2">
      <c r="A713" t="s">
        <v>2310</v>
      </c>
      <c r="B713" t="s">
        <v>2022</v>
      </c>
      <c r="C713" t="s">
        <v>2023</v>
      </c>
      <c r="D713" t="s">
        <v>2024</v>
      </c>
      <c r="E713" t="s">
        <v>2311</v>
      </c>
      <c r="F713" t="s">
        <v>2312</v>
      </c>
      <c r="G713">
        <v>2</v>
      </c>
      <c r="H713">
        <v>1560</v>
      </c>
      <c r="I713">
        <v>5</v>
      </c>
      <c r="J713">
        <v>10.9</v>
      </c>
      <c r="K713">
        <v>5</v>
      </c>
      <c r="L713">
        <v>8.5999999999999993E-2</v>
      </c>
      <c r="M713">
        <v>5</v>
      </c>
      <c r="N713">
        <v>114</v>
      </c>
      <c r="O713">
        <v>5</v>
      </c>
      <c r="P713">
        <v>0.67500000000000004</v>
      </c>
      <c r="Q713">
        <v>5</v>
      </c>
      <c r="R713">
        <v>8.0000000000000002E-3</v>
      </c>
      <c r="T713" t="s">
        <v>2311</v>
      </c>
    </row>
    <row r="714" spans="1:20" x14ac:dyDescent="0.2">
      <c r="A714" t="s">
        <v>2313</v>
      </c>
      <c r="B714" t="s">
        <v>2022</v>
      </c>
      <c r="C714" t="s">
        <v>2023</v>
      </c>
      <c r="D714" t="s">
        <v>2136</v>
      </c>
      <c r="E714" t="s">
        <v>2314</v>
      </c>
      <c r="F714" t="s">
        <v>2315</v>
      </c>
      <c r="G714">
        <v>5</v>
      </c>
      <c r="H714">
        <v>1800</v>
      </c>
      <c r="I714">
        <v>5</v>
      </c>
      <c r="J714">
        <v>10.9</v>
      </c>
      <c r="K714">
        <v>5</v>
      </c>
      <c r="L714">
        <v>8.5999999999999993E-2</v>
      </c>
      <c r="M714">
        <v>5</v>
      </c>
      <c r="N714">
        <v>114</v>
      </c>
      <c r="O714">
        <v>5</v>
      </c>
      <c r="P714">
        <v>0.67500000000000004</v>
      </c>
      <c r="Q714">
        <v>5</v>
      </c>
      <c r="R714">
        <v>8.0000000000000002E-3</v>
      </c>
      <c r="T714" t="s">
        <v>2314</v>
      </c>
    </row>
    <row r="715" spans="1:20" x14ac:dyDescent="0.2">
      <c r="A715" t="s">
        <v>2316</v>
      </c>
      <c r="B715" t="s">
        <v>2022</v>
      </c>
      <c r="C715" t="s">
        <v>2023</v>
      </c>
      <c r="D715" t="s">
        <v>2024</v>
      </c>
      <c r="E715" t="s">
        <v>2317</v>
      </c>
      <c r="F715" t="s">
        <v>2318</v>
      </c>
      <c r="G715">
        <v>3</v>
      </c>
      <c r="H715">
        <v>1640</v>
      </c>
      <c r="I715">
        <v>2</v>
      </c>
      <c r="J715">
        <v>3.4</v>
      </c>
      <c r="K715">
        <v>4</v>
      </c>
      <c r="L715">
        <v>6.6000000000000003E-2</v>
      </c>
      <c r="M715">
        <v>3</v>
      </c>
      <c r="N715">
        <v>94</v>
      </c>
      <c r="O715">
        <v>2</v>
      </c>
      <c r="P715">
        <v>0.22500000000000001</v>
      </c>
      <c r="Q715">
        <v>3</v>
      </c>
      <c r="R715">
        <v>4.0000000000000001E-3</v>
      </c>
      <c r="T715" t="s">
        <v>2317</v>
      </c>
    </row>
    <row r="716" spans="1:20" x14ac:dyDescent="0.2">
      <c r="A716" t="s">
        <v>2319</v>
      </c>
      <c r="B716" t="s">
        <v>2022</v>
      </c>
      <c r="C716" t="s">
        <v>2028</v>
      </c>
      <c r="D716" t="s">
        <v>2024</v>
      </c>
      <c r="E716" t="s">
        <v>2320</v>
      </c>
      <c r="F716" t="s">
        <v>2321</v>
      </c>
      <c r="G716">
        <v>2</v>
      </c>
      <c r="H716">
        <v>850</v>
      </c>
      <c r="I716">
        <v>2</v>
      </c>
      <c r="J716">
        <v>1.55</v>
      </c>
      <c r="K716">
        <v>2</v>
      </c>
      <c r="L716">
        <v>4.4999999999999998E-2</v>
      </c>
      <c r="M716">
        <v>5</v>
      </c>
      <c r="N716">
        <v>500</v>
      </c>
      <c r="O716">
        <v>5</v>
      </c>
      <c r="P716">
        <v>1.35</v>
      </c>
      <c r="Q716">
        <v>5</v>
      </c>
      <c r="R716">
        <v>3.3500000000000002E-2</v>
      </c>
      <c r="T716" t="s">
        <v>2320</v>
      </c>
    </row>
    <row r="717" spans="1:20" x14ac:dyDescent="0.2">
      <c r="A717" t="s">
        <v>2322</v>
      </c>
      <c r="B717" t="s">
        <v>2022</v>
      </c>
      <c r="C717" t="s">
        <v>2095</v>
      </c>
      <c r="D717" t="s">
        <v>2024</v>
      </c>
      <c r="E717" t="s">
        <v>2323</v>
      </c>
      <c r="F717" t="s">
        <v>2324</v>
      </c>
      <c r="G717">
        <v>1</v>
      </c>
      <c r="H717">
        <v>1565</v>
      </c>
      <c r="I717">
        <v>4</v>
      </c>
      <c r="J717">
        <v>13.5</v>
      </c>
      <c r="K717">
        <v>3</v>
      </c>
      <c r="L717">
        <v>0.33</v>
      </c>
      <c r="M717">
        <v>1</v>
      </c>
      <c r="N717">
        <v>74</v>
      </c>
      <c r="O717">
        <v>3</v>
      </c>
      <c r="P717">
        <v>0.55000000000000004</v>
      </c>
      <c r="Q717">
        <v>3</v>
      </c>
      <c r="R717">
        <v>1.49E-2</v>
      </c>
      <c r="T717" t="s">
        <v>2323</v>
      </c>
    </row>
    <row r="718" spans="1:20" x14ac:dyDescent="0.2">
      <c r="A718" t="s">
        <v>2325</v>
      </c>
      <c r="B718" t="s">
        <v>2022</v>
      </c>
      <c r="C718" t="s">
        <v>2053</v>
      </c>
      <c r="D718" t="s">
        <v>2024</v>
      </c>
      <c r="E718" t="s">
        <v>2326</v>
      </c>
      <c r="F718" t="s">
        <v>447</v>
      </c>
      <c r="G718">
        <v>3</v>
      </c>
      <c r="H718">
        <v>1700</v>
      </c>
      <c r="I718">
        <v>2</v>
      </c>
      <c r="J718">
        <v>4.05</v>
      </c>
      <c r="K718">
        <v>2</v>
      </c>
      <c r="L718">
        <v>8.5000000000000006E-2</v>
      </c>
      <c r="M718">
        <v>2</v>
      </c>
      <c r="N718">
        <v>83</v>
      </c>
      <c r="O718">
        <v>2</v>
      </c>
      <c r="P718">
        <v>0.22500000000000001</v>
      </c>
      <c r="Q718">
        <v>2</v>
      </c>
      <c r="R718">
        <v>5.1999999999999998E-3</v>
      </c>
      <c r="T718" t="s">
        <v>2326</v>
      </c>
    </row>
    <row r="719" spans="1:20" x14ac:dyDescent="0.2">
      <c r="A719" t="s">
        <v>2327</v>
      </c>
      <c r="B719" t="s">
        <v>2022</v>
      </c>
      <c r="C719" t="s">
        <v>2036</v>
      </c>
      <c r="D719" t="s">
        <v>2024</v>
      </c>
      <c r="E719" t="s">
        <v>2328</v>
      </c>
      <c r="F719" t="s">
        <v>2329</v>
      </c>
      <c r="G719">
        <v>4</v>
      </c>
      <c r="H719">
        <v>1840</v>
      </c>
      <c r="I719">
        <v>3</v>
      </c>
      <c r="J719">
        <v>4.5999999999999996</v>
      </c>
      <c r="K719">
        <v>2</v>
      </c>
      <c r="L719">
        <v>8.5000000000000006E-2</v>
      </c>
      <c r="M719">
        <v>5</v>
      </c>
      <c r="N719">
        <v>100</v>
      </c>
      <c r="O719">
        <v>3</v>
      </c>
      <c r="P719">
        <v>0.315</v>
      </c>
      <c r="Q719">
        <v>2</v>
      </c>
      <c r="R719">
        <v>4.2500000000000003E-3</v>
      </c>
      <c r="T719" t="s">
        <v>2328</v>
      </c>
    </row>
    <row r="720" spans="1:20" x14ac:dyDescent="0.2">
      <c r="A720" t="s">
        <v>2330</v>
      </c>
      <c r="B720" t="s">
        <v>2022</v>
      </c>
      <c r="C720" t="s">
        <v>2106</v>
      </c>
      <c r="D720" t="s">
        <v>2024</v>
      </c>
      <c r="E720" t="s">
        <v>2331</v>
      </c>
      <c r="F720" t="s">
        <v>2332</v>
      </c>
      <c r="G720">
        <v>4</v>
      </c>
      <c r="H720">
        <v>2125</v>
      </c>
      <c r="I720">
        <v>2</v>
      </c>
      <c r="J720">
        <v>5.75</v>
      </c>
      <c r="K720">
        <v>3</v>
      </c>
      <c r="L720">
        <v>0.14000000000000001</v>
      </c>
      <c r="M720">
        <v>3</v>
      </c>
      <c r="N720">
        <v>75.5</v>
      </c>
      <c r="O720">
        <v>3</v>
      </c>
      <c r="P720">
        <v>0.25</v>
      </c>
      <c r="Q720">
        <v>3</v>
      </c>
      <c r="R720">
        <v>4.4999999999999997E-3</v>
      </c>
      <c r="T720" t="s">
        <v>2331</v>
      </c>
    </row>
    <row r="721" spans="1:20" x14ac:dyDescent="0.2">
      <c r="A721" t="s">
        <v>2333</v>
      </c>
      <c r="B721" t="s">
        <v>2022</v>
      </c>
      <c r="C721" t="s">
        <v>2036</v>
      </c>
      <c r="D721" t="s">
        <v>2024</v>
      </c>
      <c r="E721" t="s">
        <v>2331</v>
      </c>
      <c r="F721" t="s">
        <v>2332</v>
      </c>
      <c r="G721">
        <v>4</v>
      </c>
      <c r="H721">
        <v>1840</v>
      </c>
      <c r="I721">
        <v>3</v>
      </c>
      <c r="J721">
        <v>4.5999999999999996</v>
      </c>
      <c r="K721">
        <v>4</v>
      </c>
      <c r="L721">
        <v>0.14499999999999999</v>
      </c>
      <c r="M721">
        <v>2</v>
      </c>
      <c r="N721">
        <v>82</v>
      </c>
      <c r="O721">
        <v>2</v>
      </c>
      <c r="P721">
        <v>0.20499999999999999</v>
      </c>
      <c r="Q721">
        <v>3</v>
      </c>
      <c r="R721">
        <v>6.7499999999999999E-3</v>
      </c>
      <c r="T721" t="s">
        <v>2331</v>
      </c>
    </row>
    <row r="722" spans="1:20" x14ac:dyDescent="0.2">
      <c r="A722" t="s">
        <v>2334</v>
      </c>
      <c r="B722" t="s">
        <v>2022</v>
      </c>
      <c r="C722" t="s">
        <v>2023</v>
      </c>
      <c r="D722" t="s">
        <v>2024</v>
      </c>
      <c r="E722" t="s">
        <v>2335</v>
      </c>
      <c r="F722" t="s">
        <v>2336</v>
      </c>
      <c r="G722">
        <v>3</v>
      </c>
      <c r="H722">
        <v>1640</v>
      </c>
      <c r="I722">
        <v>2</v>
      </c>
      <c r="J722">
        <v>3.4</v>
      </c>
      <c r="K722">
        <v>3</v>
      </c>
      <c r="L722">
        <v>4.5999999999999999E-2</v>
      </c>
      <c r="M722">
        <v>3</v>
      </c>
      <c r="N722">
        <v>94</v>
      </c>
      <c r="O722">
        <v>1</v>
      </c>
      <c r="P722">
        <v>7.4999999999999997E-2</v>
      </c>
      <c r="Q722">
        <v>2</v>
      </c>
      <c r="R722">
        <v>2E-3</v>
      </c>
      <c r="T722" t="s">
        <v>2335</v>
      </c>
    </row>
    <row r="723" spans="1:20" x14ac:dyDescent="0.2">
      <c r="A723" t="s">
        <v>2337</v>
      </c>
      <c r="B723" t="s">
        <v>2022</v>
      </c>
      <c r="C723" t="s">
        <v>2036</v>
      </c>
      <c r="D723" t="s">
        <v>2024</v>
      </c>
      <c r="E723" t="s">
        <v>2338</v>
      </c>
      <c r="F723" t="s">
        <v>2339</v>
      </c>
      <c r="G723">
        <v>5</v>
      </c>
      <c r="H723">
        <v>1940</v>
      </c>
      <c r="I723">
        <v>5</v>
      </c>
      <c r="J723">
        <v>7</v>
      </c>
      <c r="K723">
        <v>5</v>
      </c>
      <c r="L723">
        <v>0.17499999999999999</v>
      </c>
      <c r="M723">
        <v>3</v>
      </c>
      <c r="N723">
        <v>88</v>
      </c>
      <c r="O723">
        <v>4</v>
      </c>
      <c r="P723">
        <v>0.42499999999999999</v>
      </c>
      <c r="Q723">
        <v>3</v>
      </c>
      <c r="R723">
        <v>6.7499999999999999E-3</v>
      </c>
      <c r="T723" t="s">
        <v>2338</v>
      </c>
    </row>
    <row r="724" spans="1:20" x14ac:dyDescent="0.2">
      <c r="A724" t="s">
        <v>2340</v>
      </c>
      <c r="B724" t="s">
        <v>2022</v>
      </c>
      <c r="C724" t="s">
        <v>2222</v>
      </c>
      <c r="D724" t="s">
        <v>2024</v>
      </c>
      <c r="E724" t="s">
        <v>2341</v>
      </c>
      <c r="F724" t="s">
        <v>2342</v>
      </c>
      <c r="G724">
        <v>4</v>
      </c>
      <c r="H724">
        <v>1750</v>
      </c>
      <c r="I724">
        <v>4</v>
      </c>
      <c r="J724">
        <v>7.1</v>
      </c>
      <c r="K724">
        <v>4</v>
      </c>
      <c r="L724">
        <v>0.19500000000000001</v>
      </c>
      <c r="M724">
        <v>5</v>
      </c>
      <c r="N724">
        <v>75</v>
      </c>
      <c r="O724">
        <v>4</v>
      </c>
      <c r="P724">
        <v>0.31</v>
      </c>
      <c r="Q724">
        <v>4</v>
      </c>
      <c r="R724">
        <v>8.3000000000000001E-3</v>
      </c>
      <c r="T724" t="s">
        <v>2341</v>
      </c>
    </row>
    <row r="725" spans="1:20" x14ac:dyDescent="0.2">
      <c r="A725" t="s">
        <v>2343</v>
      </c>
      <c r="B725" t="s">
        <v>2022</v>
      </c>
      <c r="C725" t="s">
        <v>2023</v>
      </c>
      <c r="D725" t="s">
        <v>2154</v>
      </c>
      <c r="E725" t="s">
        <v>2344</v>
      </c>
      <c r="F725" t="s">
        <v>2297</v>
      </c>
      <c r="G725">
        <v>2</v>
      </c>
      <c r="H725">
        <v>1560</v>
      </c>
      <c r="I725">
        <v>2</v>
      </c>
      <c r="J725">
        <v>3.4</v>
      </c>
      <c r="K725">
        <v>2</v>
      </c>
      <c r="L725">
        <v>2.5999999999999999E-2</v>
      </c>
      <c r="M725">
        <v>1</v>
      </c>
      <c r="N725">
        <v>74</v>
      </c>
      <c r="O725">
        <v>1</v>
      </c>
      <c r="P725">
        <v>7.4999999999999997E-2</v>
      </c>
      <c r="Q725">
        <v>2</v>
      </c>
      <c r="R725">
        <v>2E-3</v>
      </c>
      <c r="T725" t="s">
        <v>2344</v>
      </c>
    </row>
    <row r="726" spans="1:20" x14ac:dyDescent="0.2">
      <c r="A726" t="s">
        <v>2345</v>
      </c>
      <c r="B726" t="s">
        <v>2022</v>
      </c>
      <c r="C726" t="s">
        <v>2023</v>
      </c>
      <c r="D726" t="s">
        <v>2024</v>
      </c>
      <c r="E726" t="s">
        <v>2346</v>
      </c>
      <c r="F726" t="s">
        <v>2347</v>
      </c>
      <c r="G726">
        <v>3</v>
      </c>
      <c r="H726">
        <v>1640</v>
      </c>
      <c r="I726">
        <v>5</v>
      </c>
      <c r="J726">
        <v>10.9</v>
      </c>
      <c r="K726">
        <v>5</v>
      </c>
      <c r="L726">
        <v>8.5999999999999993E-2</v>
      </c>
      <c r="M726">
        <v>2</v>
      </c>
      <c r="N726">
        <v>84</v>
      </c>
      <c r="O726">
        <v>5</v>
      </c>
      <c r="P726">
        <v>0.67500000000000004</v>
      </c>
      <c r="Q726">
        <v>5</v>
      </c>
      <c r="R726">
        <v>8.0000000000000002E-3</v>
      </c>
      <c r="T726" t="s">
        <v>2346</v>
      </c>
    </row>
    <row r="727" spans="1:20" x14ac:dyDescent="0.2">
      <c r="A727" t="s">
        <v>2348</v>
      </c>
      <c r="B727" t="s">
        <v>2022</v>
      </c>
      <c r="C727" t="s">
        <v>2101</v>
      </c>
      <c r="D727" t="s">
        <v>2024</v>
      </c>
      <c r="E727" t="s">
        <v>2349</v>
      </c>
      <c r="F727" t="s">
        <v>2350</v>
      </c>
      <c r="G727">
        <v>3</v>
      </c>
      <c r="H727">
        <v>1770</v>
      </c>
      <c r="I727">
        <v>5</v>
      </c>
      <c r="J727">
        <v>14</v>
      </c>
      <c r="K727">
        <v>4</v>
      </c>
      <c r="L727">
        <v>0.39050000000000001</v>
      </c>
      <c r="M727">
        <v>3</v>
      </c>
      <c r="N727">
        <v>82</v>
      </c>
      <c r="O727">
        <v>5</v>
      </c>
      <c r="P727">
        <v>0.67500000000000004</v>
      </c>
      <c r="Q727">
        <v>4</v>
      </c>
      <c r="R727">
        <v>1.8499999999999999E-2</v>
      </c>
      <c r="T727" t="s">
        <v>2349</v>
      </c>
    </row>
    <row r="728" spans="1:20" x14ac:dyDescent="0.2">
      <c r="A728" t="s">
        <v>2351</v>
      </c>
      <c r="B728" t="s">
        <v>2022</v>
      </c>
      <c r="C728" t="s">
        <v>2106</v>
      </c>
      <c r="D728" t="s">
        <v>2024</v>
      </c>
      <c r="E728" t="s">
        <v>2349</v>
      </c>
      <c r="F728" t="s">
        <v>2350</v>
      </c>
      <c r="G728">
        <v>2</v>
      </c>
      <c r="H728">
        <v>1825</v>
      </c>
      <c r="I728">
        <v>5</v>
      </c>
      <c r="J728">
        <v>13.25</v>
      </c>
      <c r="K728">
        <v>5</v>
      </c>
      <c r="L728">
        <v>0.3</v>
      </c>
      <c r="M728">
        <v>4</v>
      </c>
      <c r="N728">
        <v>82.5</v>
      </c>
      <c r="O728">
        <v>5</v>
      </c>
      <c r="P728">
        <v>0.45</v>
      </c>
      <c r="Q728">
        <v>5</v>
      </c>
      <c r="R728">
        <v>8.5000000000000006E-3</v>
      </c>
      <c r="T728" t="s">
        <v>2349</v>
      </c>
    </row>
    <row r="729" spans="1:20" x14ac:dyDescent="0.2">
      <c r="A729" t="s">
        <v>2352</v>
      </c>
      <c r="B729" t="s">
        <v>2022</v>
      </c>
      <c r="C729" t="s">
        <v>2023</v>
      </c>
      <c r="D729" t="s">
        <v>2024</v>
      </c>
      <c r="E729" t="s">
        <v>2349</v>
      </c>
      <c r="F729" t="s">
        <v>2350</v>
      </c>
      <c r="G729">
        <v>5</v>
      </c>
      <c r="H729">
        <v>1800</v>
      </c>
      <c r="I729">
        <v>5</v>
      </c>
      <c r="J729">
        <v>10.9</v>
      </c>
      <c r="K729">
        <v>5</v>
      </c>
      <c r="L729">
        <v>8.5999999999999993E-2</v>
      </c>
      <c r="M729">
        <v>4</v>
      </c>
      <c r="N729">
        <v>104</v>
      </c>
      <c r="O729">
        <v>5</v>
      </c>
      <c r="P729">
        <v>0.67500000000000004</v>
      </c>
      <c r="Q729">
        <v>5</v>
      </c>
      <c r="R729">
        <v>8.0000000000000002E-3</v>
      </c>
      <c r="T729" t="s">
        <v>2349</v>
      </c>
    </row>
    <row r="730" spans="1:20" x14ac:dyDescent="0.2">
      <c r="A730" t="s">
        <v>2353</v>
      </c>
      <c r="B730" t="s">
        <v>2022</v>
      </c>
      <c r="C730" t="s">
        <v>2036</v>
      </c>
      <c r="D730" t="s">
        <v>2024</v>
      </c>
      <c r="E730" t="s">
        <v>2354</v>
      </c>
      <c r="F730" t="s">
        <v>2355</v>
      </c>
      <c r="G730">
        <v>2</v>
      </c>
      <c r="H730">
        <v>1640</v>
      </c>
      <c r="I730">
        <v>3</v>
      </c>
      <c r="J730">
        <v>4.5999999999999996</v>
      </c>
      <c r="K730">
        <v>3</v>
      </c>
      <c r="L730">
        <v>0.115</v>
      </c>
      <c r="M730">
        <v>2</v>
      </c>
      <c r="N730">
        <v>82</v>
      </c>
      <c r="O730">
        <v>2</v>
      </c>
      <c r="P730">
        <v>0.20499999999999999</v>
      </c>
      <c r="Q730">
        <v>3</v>
      </c>
      <c r="R730">
        <v>6.7499999999999999E-3</v>
      </c>
      <c r="T730" t="s">
        <v>2354</v>
      </c>
    </row>
    <row r="731" spans="1:20" x14ac:dyDescent="0.2">
      <c r="A731" t="s">
        <v>2356</v>
      </c>
      <c r="B731" t="s">
        <v>2022</v>
      </c>
      <c r="C731" t="s">
        <v>2036</v>
      </c>
      <c r="D731" t="s">
        <v>2024</v>
      </c>
      <c r="E731" t="s">
        <v>2357</v>
      </c>
      <c r="F731" t="s">
        <v>2358</v>
      </c>
      <c r="G731">
        <v>1</v>
      </c>
      <c r="H731">
        <v>1540</v>
      </c>
      <c r="I731">
        <v>4</v>
      </c>
      <c r="J731">
        <v>5.8</v>
      </c>
      <c r="K731">
        <v>3</v>
      </c>
      <c r="L731">
        <v>0.115</v>
      </c>
      <c r="M731">
        <v>1</v>
      </c>
      <c r="N731">
        <v>76</v>
      </c>
      <c r="O731">
        <v>3</v>
      </c>
      <c r="P731">
        <v>0.315</v>
      </c>
      <c r="Q731">
        <v>3</v>
      </c>
      <c r="R731">
        <v>6.7499999999999999E-3</v>
      </c>
      <c r="T731" t="s">
        <v>2357</v>
      </c>
    </row>
    <row r="732" spans="1:20" x14ac:dyDescent="0.2">
      <c r="A732" t="s">
        <v>2359</v>
      </c>
      <c r="B732" t="s">
        <v>2022</v>
      </c>
      <c r="C732" t="s">
        <v>2095</v>
      </c>
      <c r="D732" t="s">
        <v>2024</v>
      </c>
      <c r="E732" t="s">
        <v>2360</v>
      </c>
      <c r="F732" t="s">
        <v>2361</v>
      </c>
      <c r="G732">
        <v>5</v>
      </c>
      <c r="H732">
        <v>1925</v>
      </c>
      <c r="I732">
        <v>1</v>
      </c>
      <c r="J732">
        <v>4.5</v>
      </c>
      <c r="K732">
        <v>1</v>
      </c>
      <c r="L732">
        <v>1.4999999999999999E-2</v>
      </c>
      <c r="M732">
        <v>2</v>
      </c>
      <c r="N732">
        <v>80</v>
      </c>
      <c r="O732">
        <v>1</v>
      </c>
      <c r="P732">
        <v>0.15</v>
      </c>
      <c r="Q732">
        <v>1</v>
      </c>
      <c r="R732">
        <v>6.9999999999999999E-4</v>
      </c>
      <c r="T732" t="s">
        <v>2360</v>
      </c>
    </row>
    <row r="733" spans="1:20" x14ac:dyDescent="0.2">
      <c r="A733" t="s">
        <v>2362</v>
      </c>
      <c r="B733" t="s">
        <v>2022</v>
      </c>
      <c r="C733" t="s">
        <v>2023</v>
      </c>
      <c r="D733" t="s">
        <v>2024</v>
      </c>
      <c r="E733" t="s">
        <v>2363</v>
      </c>
      <c r="F733" t="s">
        <v>2364</v>
      </c>
      <c r="G733">
        <v>1</v>
      </c>
      <c r="H733">
        <v>1480</v>
      </c>
      <c r="I733">
        <v>1</v>
      </c>
      <c r="J733">
        <v>0.9</v>
      </c>
      <c r="K733">
        <v>2</v>
      </c>
      <c r="L733">
        <v>2.5999999999999999E-2</v>
      </c>
      <c r="M733">
        <v>3</v>
      </c>
      <c r="N733">
        <v>94</v>
      </c>
      <c r="O733">
        <v>1</v>
      </c>
      <c r="P733">
        <v>7.4999999999999997E-2</v>
      </c>
      <c r="Q733">
        <v>2</v>
      </c>
      <c r="R733">
        <v>2E-3</v>
      </c>
      <c r="T733" t="s">
        <v>2363</v>
      </c>
    </row>
    <row r="734" spans="1:20" x14ac:dyDescent="0.2">
      <c r="A734" t="s">
        <v>2365</v>
      </c>
      <c r="B734" t="s">
        <v>2022</v>
      </c>
      <c r="C734" t="s">
        <v>2036</v>
      </c>
      <c r="D734" t="s">
        <v>2024</v>
      </c>
      <c r="E734" t="s">
        <v>2366</v>
      </c>
      <c r="F734" t="s">
        <v>2367</v>
      </c>
      <c r="G734">
        <v>3</v>
      </c>
      <c r="H734">
        <v>1740</v>
      </c>
      <c r="I734">
        <v>2</v>
      </c>
      <c r="J734">
        <v>3.4</v>
      </c>
      <c r="K734">
        <v>1</v>
      </c>
      <c r="L734">
        <v>5.5E-2</v>
      </c>
      <c r="M734">
        <v>3</v>
      </c>
      <c r="N734">
        <v>88</v>
      </c>
      <c r="O734">
        <v>2</v>
      </c>
      <c r="P734">
        <v>0.20499999999999999</v>
      </c>
      <c r="Q734">
        <v>1</v>
      </c>
      <c r="R734">
        <v>1.5E-3</v>
      </c>
      <c r="T734" t="s">
        <v>2366</v>
      </c>
    </row>
    <row r="735" spans="1:20" x14ac:dyDescent="0.2">
      <c r="A735" t="s">
        <v>2368</v>
      </c>
      <c r="B735" t="s">
        <v>2022</v>
      </c>
      <c r="C735" t="s">
        <v>2023</v>
      </c>
      <c r="D735" t="s">
        <v>2024</v>
      </c>
      <c r="E735" t="s">
        <v>2369</v>
      </c>
      <c r="F735" t="s">
        <v>2370</v>
      </c>
      <c r="G735">
        <v>3</v>
      </c>
      <c r="H735">
        <v>1640</v>
      </c>
      <c r="I735">
        <v>2</v>
      </c>
      <c r="J735">
        <v>3.4</v>
      </c>
      <c r="K735">
        <v>2</v>
      </c>
      <c r="L735">
        <v>2.5999999999999999E-2</v>
      </c>
      <c r="M735">
        <v>5</v>
      </c>
      <c r="N735">
        <v>114</v>
      </c>
      <c r="O735">
        <v>2</v>
      </c>
      <c r="P735">
        <v>0.22500000000000001</v>
      </c>
      <c r="Q735">
        <v>2</v>
      </c>
      <c r="R735">
        <v>2E-3</v>
      </c>
      <c r="T735" t="s">
        <v>2369</v>
      </c>
    </row>
    <row r="736" spans="1:20" x14ac:dyDescent="0.2">
      <c r="A736" t="s">
        <v>2371</v>
      </c>
      <c r="B736" t="s">
        <v>2022</v>
      </c>
      <c r="C736" t="s">
        <v>2036</v>
      </c>
      <c r="D736" t="s">
        <v>2024</v>
      </c>
      <c r="E736" t="s">
        <v>2372</v>
      </c>
      <c r="F736" t="s">
        <v>2373</v>
      </c>
      <c r="G736">
        <v>3</v>
      </c>
      <c r="H736">
        <v>1740</v>
      </c>
      <c r="I736">
        <v>1</v>
      </c>
      <c r="J736">
        <v>2.2000000000000002</v>
      </c>
      <c r="K736">
        <v>1</v>
      </c>
      <c r="L736">
        <v>5.5E-2</v>
      </c>
      <c r="M736">
        <v>3</v>
      </c>
      <c r="N736">
        <v>88</v>
      </c>
      <c r="O736">
        <v>1</v>
      </c>
      <c r="P736">
        <v>9.5000000000000001E-2</v>
      </c>
      <c r="Q736">
        <v>1</v>
      </c>
      <c r="R736">
        <v>1.5E-3</v>
      </c>
      <c r="T736" t="s">
        <v>2372</v>
      </c>
    </row>
    <row r="737" spans="1:20" x14ac:dyDescent="0.2">
      <c r="A737" t="s">
        <v>2374</v>
      </c>
      <c r="B737" t="s">
        <v>2022</v>
      </c>
      <c r="C737" t="s">
        <v>2023</v>
      </c>
      <c r="D737" t="s">
        <v>2024</v>
      </c>
      <c r="E737" t="s">
        <v>2375</v>
      </c>
      <c r="F737" t="s">
        <v>2376</v>
      </c>
      <c r="G737">
        <v>3</v>
      </c>
      <c r="H737">
        <v>1640</v>
      </c>
      <c r="I737">
        <v>2</v>
      </c>
      <c r="J737">
        <v>3.4</v>
      </c>
      <c r="K737">
        <v>2</v>
      </c>
      <c r="L737">
        <v>2.5999999999999999E-2</v>
      </c>
      <c r="M737">
        <v>1</v>
      </c>
      <c r="N737">
        <v>74</v>
      </c>
      <c r="O737">
        <v>2</v>
      </c>
      <c r="P737">
        <v>0.22500000000000001</v>
      </c>
      <c r="Q737">
        <v>1</v>
      </c>
      <c r="R737">
        <v>5.0000000000000001E-4</v>
      </c>
      <c r="T737" t="s">
        <v>2375</v>
      </c>
    </row>
    <row r="738" spans="1:20" x14ac:dyDescent="0.2">
      <c r="A738" t="s">
        <v>2377</v>
      </c>
      <c r="B738" t="s">
        <v>2022</v>
      </c>
      <c r="C738" t="s">
        <v>2095</v>
      </c>
      <c r="D738" t="s">
        <v>2024</v>
      </c>
      <c r="E738" t="s">
        <v>2378</v>
      </c>
      <c r="F738" t="s">
        <v>2379</v>
      </c>
      <c r="G738">
        <v>3</v>
      </c>
      <c r="H738">
        <v>1745</v>
      </c>
      <c r="I738">
        <v>2</v>
      </c>
      <c r="J738">
        <v>7.5</v>
      </c>
      <c r="K738">
        <v>1</v>
      </c>
      <c r="L738">
        <v>1.4999999999999999E-2</v>
      </c>
      <c r="M738">
        <v>4</v>
      </c>
      <c r="N738">
        <v>92</v>
      </c>
      <c r="O738">
        <v>2</v>
      </c>
      <c r="P738">
        <v>0.35</v>
      </c>
      <c r="Q738">
        <v>1</v>
      </c>
      <c r="R738">
        <v>6.9999999999999999E-4</v>
      </c>
      <c r="T738" t="s">
        <v>2378</v>
      </c>
    </row>
    <row r="739" spans="1:20" x14ac:dyDescent="0.2">
      <c r="A739" t="s">
        <v>2380</v>
      </c>
      <c r="B739" t="s">
        <v>2022</v>
      </c>
      <c r="C739" t="s">
        <v>2053</v>
      </c>
      <c r="D739" t="s">
        <v>2024</v>
      </c>
      <c r="E739" t="s">
        <v>2381</v>
      </c>
      <c r="F739" t="s">
        <v>2382</v>
      </c>
      <c r="G739">
        <v>3</v>
      </c>
      <c r="H739">
        <v>1700</v>
      </c>
      <c r="I739">
        <v>2</v>
      </c>
      <c r="J739">
        <v>4.05</v>
      </c>
      <c r="K739">
        <v>2</v>
      </c>
      <c r="L739">
        <v>8.5000000000000006E-2</v>
      </c>
      <c r="M739">
        <v>1</v>
      </c>
      <c r="N739">
        <v>73</v>
      </c>
      <c r="O739">
        <v>2</v>
      </c>
      <c r="P739">
        <v>0.22500000000000001</v>
      </c>
      <c r="Q739">
        <v>1</v>
      </c>
      <c r="R739">
        <v>8.4999999999999995E-4</v>
      </c>
      <c r="T739" t="s">
        <v>2381</v>
      </c>
    </row>
    <row r="740" spans="1:20" x14ac:dyDescent="0.2">
      <c r="A740" t="s">
        <v>2383</v>
      </c>
      <c r="B740" t="s">
        <v>2022</v>
      </c>
      <c r="C740" t="s">
        <v>2023</v>
      </c>
      <c r="D740" t="s">
        <v>2024</v>
      </c>
      <c r="E740" t="s">
        <v>2384</v>
      </c>
      <c r="F740" t="s">
        <v>2385</v>
      </c>
      <c r="G740">
        <v>5</v>
      </c>
      <c r="H740">
        <v>1800</v>
      </c>
      <c r="I740">
        <v>3</v>
      </c>
      <c r="J740">
        <v>5.9</v>
      </c>
      <c r="K740">
        <v>2</v>
      </c>
      <c r="L740">
        <v>2.5999999999999999E-2</v>
      </c>
      <c r="M740">
        <v>5</v>
      </c>
      <c r="N740">
        <v>114</v>
      </c>
      <c r="O740">
        <v>3</v>
      </c>
      <c r="P740">
        <v>0.375</v>
      </c>
      <c r="Q740">
        <v>2</v>
      </c>
      <c r="R740">
        <v>2E-3</v>
      </c>
      <c r="T740" t="s">
        <v>2384</v>
      </c>
    </row>
    <row r="741" spans="1:20" x14ac:dyDescent="0.2">
      <c r="A741" t="s">
        <v>2386</v>
      </c>
      <c r="B741" t="s">
        <v>2022</v>
      </c>
      <c r="C741" t="s">
        <v>2023</v>
      </c>
      <c r="D741" t="s">
        <v>2024</v>
      </c>
      <c r="E741" t="s">
        <v>2387</v>
      </c>
      <c r="F741" t="s">
        <v>2388</v>
      </c>
      <c r="G741">
        <v>5</v>
      </c>
      <c r="H741">
        <v>1800</v>
      </c>
      <c r="I741">
        <v>1</v>
      </c>
      <c r="J741">
        <v>0.9</v>
      </c>
      <c r="K741">
        <v>2</v>
      </c>
      <c r="L741">
        <v>2.5999999999999999E-2</v>
      </c>
      <c r="M741">
        <v>5</v>
      </c>
      <c r="N741">
        <v>114</v>
      </c>
      <c r="O741">
        <v>1</v>
      </c>
      <c r="P741">
        <v>7.4999999999999997E-2</v>
      </c>
      <c r="Q741">
        <v>2</v>
      </c>
      <c r="R741">
        <v>2E-3</v>
      </c>
      <c r="T741" t="s">
        <v>2387</v>
      </c>
    </row>
    <row r="742" spans="1:20" x14ac:dyDescent="0.2">
      <c r="A742" t="s">
        <v>2389</v>
      </c>
      <c r="B742" t="s">
        <v>2022</v>
      </c>
      <c r="C742" t="s">
        <v>2036</v>
      </c>
      <c r="D742" t="s">
        <v>2024</v>
      </c>
      <c r="E742" t="s">
        <v>2390</v>
      </c>
      <c r="F742" t="s">
        <v>2391</v>
      </c>
      <c r="G742">
        <v>2</v>
      </c>
      <c r="H742">
        <v>1640</v>
      </c>
      <c r="I742">
        <v>1</v>
      </c>
      <c r="J742">
        <v>2.2000000000000002</v>
      </c>
      <c r="K742">
        <v>2</v>
      </c>
      <c r="L742">
        <v>8.5000000000000006E-2</v>
      </c>
      <c r="M742">
        <v>4</v>
      </c>
      <c r="N742">
        <v>94</v>
      </c>
      <c r="O742">
        <v>1</v>
      </c>
      <c r="P742">
        <v>9.5000000000000001E-2</v>
      </c>
      <c r="Q742">
        <v>2</v>
      </c>
      <c r="R742">
        <v>4.2500000000000003E-3</v>
      </c>
      <c r="T742" t="s">
        <v>2390</v>
      </c>
    </row>
    <row r="743" spans="1:20" x14ac:dyDescent="0.2">
      <c r="A743" t="s">
        <v>2392</v>
      </c>
      <c r="B743" t="s">
        <v>2022</v>
      </c>
      <c r="C743" t="s">
        <v>2101</v>
      </c>
      <c r="D743" t="s">
        <v>2024</v>
      </c>
      <c r="E743" t="s">
        <v>2393</v>
      </c>
      <c r="F743" t="s">
        <v>2394</v>
      </c>
      <c r="G743">
        <v>4</v>
      </c>
      <c r="H743">
        <v>1870</v>
      </c>
      <c r="I743">
        <v>5</v>
      </c>
      <c r="J743">
        <v>14</v>
      </c>
      <c r="K743">
        <v>5</v>
      </c>
      <c r="L743">
        <v>0.53749999999999998</v>
      </c>
      <c r="M743">
        <v>3</v>
      </c>
      <c r="N743">
        <v>82</v>
      </c>
      <c r="O743">
        <v>5</v>
      </c>
      <c r="P743">
        <v>0.67500000000000004</v>
      </c>
      <c r="Q743">
        <v>5</v>
      </c>
      <c r="R743">
        <v>2.5499999999999998E-2</v>
      </c>
      <c r="T743" t="s">
        <v>2393</v>
      </c>
    </row>
    <row r="744" spans="1:20" x14ac:dyDescent="0.2">
      <c r="A744" t="s">
        <v>2395</v>
      </c>
      <c r="B744" t="s">
        <v>2022</v>
      </c>
      <c r="C744" t="s">
        <v>2036</v>
      </c>
      <c r="D744" t="s">
        <v>2024</v>
      </c>
      <c r="E744" t="s">
        <v>2396</v>
      </c>
      <c r="F744" t="s">
        <v>2397</v>
      </c>
      <c r="G744">
        <v>2</v>
      </c>
      <c r="H744">
        <v>1640</v>
      </c>
      <c r="I744">
        <v>5</v>
      </c>
      <c r="J744">
        <v>7</v>
      </c>
      <c r="K744">
        <v>5</v>
      </c>
      <c r="L744">
        <v>0.17499999999999999</v>
      </c>
      <c r="M744">
        <v>1</v>
      </c>
      <c r="N744">
        <v>76</v>
      </c>
      <c r="O744">
        <v>4</v>
      </c>
      <c r="P744">
        <v>0.42499999999999999</v>
      </c>
      <c r="Q744">
        <v>5</v>
      </c>
      <c r="R744">
        <v>1.2E-2</v>
      </c>
      <c r="T744" t="s">
        <v>2396</v>
      </c>
    </row>
    <row r="745" spans="1:20" x14ac:dyDescent="0.2">
      <c r="A745" t="s">
        <v>2398</v>
      </c>
      <c r="B745" t="s">
        <v>2022</v>
      </c>
      <c r="C745" t="s">
        <v>2023</v>
      </c>
      <c r="D745" t="s">
        <v>2024</v>
      </c>
      <c r="E745" t="s">
        <v>2399</v>
      </c>
      <c r="F745" t="s">
        <v>2400</v>
      </c>
      <c r="G745">
        <v>3</v>
      </c>
      <c r="H745">
        <v>1640</v>
      </c>
      <c r="I745">
        <v>1</v>
      </c>
      <c r="J745">
        <v>0.9</v>
      </c>
      <c r="K745">
        <v>3</v>
      </c>
      <c r="L745">
        <v>4.5999999999999999E-2</v>
      </c>
      <c r="M745">
        <v>3</v>
      </c>
      <c r="N745">
        <v>94</v>
      </c>
      <c r="O745">
        <v>1</v>
      </c>
      <c r="P745">
        <v>7.4999999999999997E-2</v>
      </c>
      <c r="Q745">
        <v>2</v>
      </c>
      <c r="R745">
        <v>2E-3</v>
      </c>
      <c r="T745" t="s">
        <v>2399</v>
      </c>
    </row>
    <row r="746" spans="1:20" x14ac:dyDescent="0.2">
      <c r="A746" t="s">
        <v>2401</v>
      </c>
      <c r="B746" t="s">
        <v>2022</v>
      </c>
      <c r="C746" t="s">
        <v>2257</v>
      </c>
      <c r="D746" t="s">
        <v>2136</v>
      </c>
      <c r="E746" t="s">
        <v>357</v>
      </c>
      <c r="F746" t="s">
        <v>447</v>
      </c>
      <c r="G746">
        <v>2</v>
      </c>
      <c r="H746">
        <v>1000</v>
      </c>
      <c r="I746">
        <v>2</v>
      </c>
      <c r="J746">
        <v>1.75</v>
      </c>
      <c r="K746">
        <v>2</v>
      </c>
      <c r="L746">
        <v>3.6999999999999998E-2</v>
      </c>
      <c r="M746">
        <v>1</v>
      </c>
      <c r="N746">
        <v>300</v>
      </c>
      <c r="O746">
        <v>1</v>
      </c>
      <c r="P746">
        <v>0.3</v>
      </c>
      <c r="Q746">
        <v>2</v>
      </c>
      <c r="R746">
        <v>1.4999999999999999E-2</v>
      </c>
      <c r="T746" t="s">
        <v>357</v>
      </c>
    </row>
    <row r="747" spans="1:20" x14ac:dyDescent="0.2">
      <c r="A747" t="s">
        <v>2402</v>
      </c>
      <c r="B747" t="s">
        <v>2022</v>
      </c>
      <c r="C747" t="s">
        <v>2257</v>
      </c>
      <c r="D747" t="s">
        <v>2136</v>
      </c>
      <c r="E747" t="s">
        <v>357</v>
      </c>
      <c r="F747" t="s">
        <v>447</v>
      </c>
      <c r="G747">
        <v>2</v>
      </c>
      <c r="H747">
        <v>1000</v>
      </c>
      <c r="I747">
        <v>2</v>
      </c>
      <c r="J747">
        <v>1.75</v>
      </c>
      <c r="K747">
        <v>2</v>
      </c>
      <c r="L747">
        <v>3.6999999999999998E-2</v>
      </c>
      <c r="M747">
        <v>1</v>
      </c>
      <c r="N747">
        <v>300</v>
      </c>
      <c r="O747">
        <v>2</v>
      </c>
      <c r="P747">
        <v>0.9</v>
      </c>
      <c r="Q747">
        <v>2</v>
      </c>
      <c r="R747">
        <v>1.4999999999999999E-2</v>
      </c>
      <c r="T747" t="s">
        <v>357</v>
      </c>
    </row>
    <row r="748" spans="1:20" x14ac:dyDescent="0.2">
      <c r="A748" t="s">
        <v>2403</v>
      </c>
      <c r="B748" t="s">
        <v>2022</v>
      </c>
      <c r="C748" t="s">
        <v>2023</v>
      </c>
      <c r="D748" t="s">
        <v>2024</v>
      </c>
      <c r="E748" t="s">
        <v>2404</v>
      </c>
      <c r="F748" t="s">
        <v>2405</v>
      </c>
      <c r="G748">
        <v>3</v>
      </c>
      <c r="H748">
        <v>1640</v>
      </c>
      <c r="I748">
        <v>4</v>
      </c>
      <c r="J748">
        <v>8.4</v>
      </c>
      <c r="K748">
        <v>5</v>
      </c>
      <c r="L748">
        <v>8.5999999999999993E-2</v>
      </c>
      <c r="M748">
        <v>2</v>
      </c>
      <c r="N748">
        <v>84</v>
      </c>
      <c r="O748">
        <v>4</v>
      </c>
      <c r="P748">
        <v>0.52500000000000002</v>
      </c>
      <c r="Q748">
        <v>5</v>
      </c>
      <c r="R748">
        <v>8.0000000000000002E-3</v>
      </c>
      <c r="T748" t="s">
        <v>2404</v>
      </c>
    </row>
    <row r="749" spans="1:20" x14ac:dyDescent="0.2">
      <c r="A749" t="s">
        <v>2406</v>
      </c>
      <c r="B749" t="s">
        <v>2022</v>
      </c>
      <c r="C749" t="s">
        <v>2036</v>
      </c>
      <c r="D749" t="s">
        <v>2024</v>
      </c>
      <c r="E749" t="s">
        <v>2407</v>
      </c>
      <c r="F749" t="s">
        <v>2408</v>
      </c>
      <c r="G749">
        <v>4</v>
      </c>
      <c r="H749">
        <v>1840</v>
      </c>
      <c r="I749">
        <v>1</v>
      </c>
      <c r="J749">
        <v>2.2000000000000002</v>
      </c>
      <c r="K749">
        <v>2</v>
      </c>
      <c r="L749">
        <v>8.5000000000000006E-2</v>
      </c>
      <c r="M749">
        <v>3</v>
      </c>
      <c r="N749">
        <v>88</v>
      </c>
      <c r="O749">
        <v>1</v>
      </c>
      <c r="P749">
        <v>9.5000000000000001E-2</v>
      </c>
      <c r="Q749">
        <v>2</v>
      </c>
      <c r="R749">
        <v>4.2500000000000003E-3</v>
      </c>
      <c r="T749" t="s">
        <v>2407</v>
      </c>
    </row>
    <row r="750" spans="1:20" x14ac:dyDescent="0.2">
      <c r="A750" t="s">
        <v>2409</v>
      </c>
      <c r="B750" t="s">
        <v>2022</v>
      </c>
      <c r="C750" t="s">
        <v>2028</v>
      </c>
      <c r="D750" t="s">
        <v>2024</v>
      </c>
      <c r="E750" t="s">
        <v>2410</v>
      </c>
      <c r="F750" t="s">
        <v>2411</v>
      </c>
      <c r="G750">
        <v>2</v>
      </c>
      <c r="H750">
        <v>850</v>
      </c>
      <c r="I750">
        <v>3</v>
      </c>
      <c r="J750">
        <v>3.25</v>
      </c>
      <c r="K750">
        <v>3</v>
      </c>
      <c r="L750">
        <v>0.11899999999999999</v>
      </c>
      <c r="M750">
        <v>3</v>
      </c>
      <c r="N750">
        <v>300</v>
      </c>
      <c r="O750">
        <v>5</v>
      </c>
      <c r="P750">
        <v>1.35</v>
      </c>
      <c r="Q750">
        <v>5</v>
      </c>
      <c r="R750">
        <v>3.3500000000000002E-2</v>
      </c>
      <c r="T750" t="s">
        <v>2410</v>
      </c>
    </row>
    <row r="751" spans="1:20" x14ac:dyDescent="0.2">
      <c r="A751" t="s">
        <v>2412</v>
      </c>
      <c r="B751" t="s">
        <v>2022</v>
      </c>
      <c r="C751" t="s">
        <v>2049</v>
      </c>
      <c r="D751" t="s">
        <v>2136</v>
      </c>
      <c r="E751" t="s">
        <v>357</v>
      </c>
      <c r="F751" t="s">
        <v>2413</v>
      </c>
      <c r="G751">
        <v>1</v>
      </c>
      <c r="H751">
        <v>1350</v>
      </c>
      <c r="I751">
        <v>1</v>
      </c>
      <c r="J751">
        <v>1.4</v>
      </c>
      <c r="K751">
        <v>1</v>
      </c>
      <c r="L751">
        <v>0.01</v>
      </c>
      <c r="M751">
        <v>2</v>
      </c>
      <c r="N751">
        <v>106</v>
      </c>
      <c r="O751">
        <v>1</v>
      </c>
      <c r="P751">
        <v>0.06</v>
      </c>
      <c r="Q751">
        <v>1</v>
      </c>
      <c r="R751">
        <v>8.4999999999999995E-4</v>
      </c>
      <c r="T751" t="s">
        <v>357</v>
      </c>
    </row>
    <row r="752" spans="1:20" x14ac:dyDescent="0.2">
      <c r="A752" t="s">
        <v>2414</v>
      </c>
      <c r="B752" t="s">
        <v>2022</v>
      </c>
      <c r="C752" t="s">
        <v>2036</v>
      </c>
      <c r="D752" t="s">
        <v>2024</v>
      </c>
      <c r="E752" t="s">
        <v>241</v>
      </c>
      <c r="F752" t="s">
        <v>2415</v>
      </c>
      <c r="G752">
        <v>4</v>
      </c>
      <c r="H752">
        <v>1840</v>
      </c>
      <c r="I752">
        <v>4</v>
      </c>
      <c r="J752">
        <v>5.8</v>
      </c>
      <c r="K752">
        <v>1</v>
      </c>
      <c r="L752">
        <v>5.5E-2</v>
      </c>
      <c r="M752">
        <v>4</v>
      </c>
      <c r="N752">
        <v>94</v>
      </c>
      <c r="O752">
        <v>3</v>
      </c>
      <c r="P752">
        <v>0.315</v>
      </c>
      <c r="Q752">
        <v>2</v>
      </c>
      <c r="R752">
        <v>4.2500000000000003E-3</v>
      </c>
      <c r="T752" t="s">
        <v>241</v>
      </c>
    </row>
    <row r="753" spans="1:20" x14ac:dyDescent="0.2">
      <c r="A753" t="s">
        <v>2416</v>
      </c>
      <c r="B753" t="s">
        <v>2022</v>
      </c>
      <c r="C753" t="s">
        <v>2036</v>
      </c>
      <c r="D753" t="s">
        <v>2136</v>
      </c>
      <c r="E753" t="s">
        <v>357</v>
      </c>
      <c r="F753" t="s">
        <v>447</v>
      </c>
      <c r="G753">
        <v>2</v>
      </c>
      <c r="H753">
        <v>1640</v>
      </c>
      <c r="I753">
        <v>2</v>
      </c>
      <c r="J753">
        <v>3.4</v>
      </c>
      <c r="K753">
        <v>4</v>
      </c>
      <c r="L753">
        <v>0.14499999999999999</v>
      </c>
      <c r="M753">
        <v>3</v>
      </c>
      <c r="N753">
        <v>88</v>
      </c>
      <c r="O753">
        <v>2</v>
      </c>
      <c r="P753">
        <v>0.20499999999999999</v>
      </c>
      <c r="Q753">
        <v>4</v>
      </c>
      <c r="R753">
        <v>9.2499999999999995E-3</v>
      </c>
      <c r="T753" t="s">
        <v>357</v>
      </c>
    </row>
    <row r="754" spans="1:20" x14ac:dyDescent="0.2">
      <c r="A754" t="s">
        <v>2417</v>
      </c>
      <c r="B754" t="s">
        <v>2022</v>
      </c>
      <c r="C754" t="s">
        <v>2036</v>
      </c>
      <c r="D754" t="s">
        <v>2136</v>
      </c>
      <c r="E754" t="s">
        <v>357</v>
      </c>
      <c r="F754" t="s">
        <v>447</v>
      </c>
      <c r="G754">
        <v>3</v>
      </c>
      <c r="H754">
        <v>1740</v>
      </c>
      <c r="I754">
        <v>2</v>
      </c>
      <c r="J754">
        <v>3.4</v>
      </c>
      <c r="K754">
        <v>5</v>
      </c>
      <c r="L754">
        <v>0.17499999999999999</v>
      </c>
      <c r="M754">
        <v>4</v>
      </c>
      <c r="N754">
        <v>94</v>
      </c>
      <c r="O754">
        <v>2</v>
      </c>
      <c r="P754">
        <v>0.20499999999999999</v>
      </c>
      <c r="Q754">
        <v>4</v>
      </c>
      <c r="R754">
        <v>9.2499999999999995E-3</v>
      </c>
      <c r="T754" t="s">
        <v>357</v>
      </c>
    </row>
    <row r="755" spans="1:20" x14ac:dyDescent="0.2">
      <c r="A755" t="s">
        <v>2418</v>
      </c>
      <c r="B755" t="s">
        <v>2022</v>
      </c>
      <c r="C755" t="s">
        <v>2023</v>
      </c>
      <c r="D755" t="s">
        <v>2024</v>
      </c>
      <c r="E755" t="s">
        <v>2419</v>
      </c>
      <c r="F755" t="s">
        <v>2420</v>
      </c>
      <c r="G755">
        <v>2</v>
      </c>
      <c r="H755">
        <v>1560</v>
      </c>
      <c r="I755">
        <v>2</v>
      </c>
      <c r="J755">
        <v>3.4</v>
      </c>
      <c r="K755">
        <v>5</v>
      </c>
      <c r="L755">
        <v>8.5999999999999993E-2</v>
      </c>
      <c r="M755">
        <v>1</v>
      </c>
      <c r="N755">
        <v>74</v>
      </c>
      <c r="O755">
        <v>1</v>
      </c>
      <c r="P755">
        <v>7.4999999999999997E-2</v>
      </c>
      <c r="Q755">
        <v>3</v>
      </c>
      <c r="R755">
        <v>4.0000000000000001E-3</v>
      </c>
      <c r="T755" t="s">
        <v>2419</v>
      </c>
    </row>
    <row r="756" spans="1:20" x14ac:dyDescent="0.2">
      <c r="A756" t="s">
        <v>2421</v>
      </c>
      <c r="B756" t="s">
        <v>2022</v>
      </c>
      <c r="C756" t="s">
        <v>2222</v>
      </c>
      <c r="D756" t="s">
        <v>2136</v>
      </c>
      <c r="E756" t="s">
        <v>2422</v>
      </c>
      <c r="F756" t="s">
        <v>2423</v>
      </c>
      <c r="G756">
        <v>4</v>
      </c>
      <c r="H756">
        <v>1750</v>
      </c>
      <c r="I756">
        <v>4</v>
      </c>
      <c r="J756">
        <v>7.1</v>
      </c>
      <c r="K756">
        <v>2</v>
      </c>
      <c r="L756">
        <v>5.5E-2</v>
      </c>
      <c r="M756">
        <v>4</v>
      </c>
      <c r="N756">
        <v>71</v>
      </c>
      <c r="O756">
        <v>4</v>
      </c>
      <c r="P756">
        <v>0.31</v>
      </c>
      <c r="Q756">
        <v>2</v>
      </c>
      <c r="R756">
        <v>2.3E-3</v>
      </c>
      <c r="T756" t="s">
        <v>2422</v>
      </c>
    </row>
    <row r="757" spans="1:20" x14ac:dyDescent="0.2">
      <c r="A757" t="s">
        <v>2424</v>
      </c>
      <c r="B757" t="s">
        <v>2022</v>
      </c>
      <c r="C757" t="s">
        <v>2023</v>
      </c>
      <c r="D757" t="s">
        <v>2024</v>
      </c>
      <c r="E757" t="s">
        <v>2425</v>
      </c>
      <c r="F757" t="s">
        <v>2426</v>
      </c>
      <c r="G757">
        <v>1</v>
      </c>
      <c r="H757">
        <v>1480</v>
      </c>
      <c r="I757">
        <v>1</v>
      </c>
      <c r="J757">
        <v>0.9</v>
      </c>
      <c r="K757">
        <v>5</v>
      </c>
      <c r="L757">
        <v>8.5999999999999993E-2</v>
      </c>
      <c r="M757">
        <v>5</v>
      </c>
      <c r="N757">
        <v>114</v>
      </c>
      <c r="O757">
        <v>5</v>
      </c>
      <c r="P757">
        <v>0.67500000000000004</v>
      </c>
      <c r="Q757">
        <v>5</v>
      </c>
      <c r="R757">
        <v>8.0000000000000002E-3</v>
      </c>
      <c r="T757" t="s">
        <v>2425</v>
      </c>
    </row>
    <row r="758" spans="1:20" x14ac:dyDescent="0.2">
      <c r="A758" t="s">
        <v>2427</v>
      </c>
      <c r="B758" t="s">
        <v>2022</v>
      </c>
      <c r="C758" t="s">
        <v>2023</v>
      </c>
      <c r="D758" t="s">
        <v>2024</v>
      </c>
      <c r="E758" t="s">
        <v>2428</v>
      </c>
      <c r="F758" t="s">
        <v>2429</v>
      </c>
      <c r="G758">
        <v>1</v>
      </c>
      <c r="H758">
        <v>1480</v>
      </c>
      <c r="I758">
        <v>1</v>
      </c>
      <c r="J758">
        <v>0.9</v>
      </c>
      <c r="K758">
        <v>1</v>
      </c>
      <c r="L758">
        <v>6.0000000000000001E-3</v>
      </c>
      <c r="M758">
        <v>1</v>
      </c>
      <c r="N758">
        <v>74</v>
      </c>
      <c r="O758">
        <v>1</v>
      </c>
      <c r="P758">
        <v>7.4999999999999997E-2</v>
      </c>
      <c r="Q758">
        <v>1</v>
      </c>
      <c r="R758">
        <v>5.0000000000000001E-4</v>
      </c>
      <c r="T758" t="s">
        <v>2428</v>
      </c>
    </row>
    <row r="759" spans="1:20" x14ac:dyDescent="0.2">
      <c r="A759" t="s">
        <v>2430</v>
      </c>
      <c r="B759" t="s">
        <v>2022</v>
      </c>
      <c r="C759" t="s">
        <v>2036</v>
      </c>
      <c r="D759" t="s">
        <v>2024</v>
      </c>
      <c r="E759" t="s">
        <v>2431</v>
      </c>
      <c r="F759" t="s">
        <v>447</v>
      </c>
      <c r="G759">
        <v>5</v>
      </c>
      <c r="H759">
        <v>1940</v>
      </c>
      <c r="I759">
        <v>3</v>
      </c>
      <c r="J759">
        <v>4.5999999999999996</v>
      </c>
      <c r="K759">
        <v>2</v>
      </c>
      <c r="L759">
        <v>8.5000000000000006E-2</v>
      </c>
      <c r="M759">
        <v>3</v>
      </c>
      <c r="N759">
        <v>88</v>
      </c>
      <c r="O759">
        <v>2</v>
      </c>
      <c r="P759">
        <v>0.20499999999999999</v>
      </c>
      <c r="Q759">
        <v>2</v>
      </c>
      <c r="R759">
        <v>4.2500000000000003E-3</v>
      </c>
      <c r="T759" t="s">
        <v>2431</v>
      </c>
    </row>
    <row r="760" spans="1:20" x14ac:dyDescent="0.2">
      <c r="A760" t="s">
        <v>2432</v>
      </c>
      <c r="B760" t="s">
        <v>2022</v>
      </c>
      <c r="C760" t="s">
        <v>2053</v>
      </c>
      <c r="D760" t="s">
        <v>2024</v>
      </c>
      <c r="E760" t="s">
        <v>2433</v>
      </c>
      <c r="F760" t="s">
        <v>2434</v>
      </c>
      <c r="G760">
        <v>3</v>
      </c>
      <c r="H760">
        <v>1700</v>
      </c>
      <c r="I760">
        <v>2</v>
      </c>
      <c r="J760">
        <v>4.05</v>
      </c>
      <c r="K760">
        <v>1</v>
      </c>
      <c r="L760">
        <v>1.4999999999999999E-2</v>
      </c>
      <c r="M760">
        <v>2</v>
      </c>
      <c r="N760">
        <v>83</v>
      </c>
      <c r="O760">
        <v>1</v>
      </c>
      <c r="P760">
        <v>7.4999999999999997E-2</v>
      </c>
      <c r="Q760">
        <v>1</v>
      </c>
      <c r="R760">
        <v>8.4999999999999995E-4</v>
      </c>
      <c r="T760" t="s">
        <v>2433</v>
      </c>
    </row>
    <row r="761" spans="1:20" x14ac:dyDescent="0.2">
      <c r="A761" t="s">
        <v>2435</v>
      </c>
      <c r="B761" t="s">
        <v>2022</v>
      </c>
      <c r="C761" t="s">
        <v>2023</v>
      </c>
      <c r="D761" t="s">
        <v>2024</v>
      </c>
      <c r="E761" t="s">
        <v>357</v>
      </c>
      <c r="F761" t="s">
        <v>2436</v>
      </c>
      <c r="G761">
        <v>1</v>
      </c>
      <c r="H761">
        <v>1480</v>
      </c>
      <c r="I761">
        <v>3</v>
      </c>
      <c r="J761">
        <v>5.9</v>
      </c>
      <c r="K761">
        <v>5</v>
      </c>
      <c r="L761">
        <v>8.5999999999999993E-2</v>
      </c>
      <c r="M761">
        <v>5</v>
      </c>
      <c r="N761">
        <v>114</v>
      </c>
      <c r="O761">
        <v>4</v>
      </c>
      <c r="P761">
        <v>0.52500000000000002</v>
      </c>
      <c r="Q761">
        <v>5</v>
      </c>
      <c r="R761">
        <v>8.0000000000000002E-3</v>
      </c>
      <c r="T761" t="s">
        <v>357</v>
      </c>
    </row>
    <row r="762" spans="1:20" x14ac:dyDescent="0.2">
      <c r="A762" t="s">
        <v>2437</v>
      </c>
      <c r="B762" t="s">
        <v>2022</v>
      </c>
      <c r="C762" t="s">
        <v>2053</v>
      </c>
      <c r="D762" t="s">
        <v>2024</v>
      </c>
      <c r="E762" t="s">
        <v>2438</v>
      </c>
      <c r="F762" t="s">
        <v>2439</v>
      </c>
      <c r="G762">
        <v>1</v>
      </c>
      <c r="H762">
        <v>1500</v>
      </c>
      <c r="I762">
        <v>5</v>
      </c>
      <c r="J762">
        <v>11.55</v>
      </c>
      <c r="K762">
        <v>5</v>
      </c>
      <c r="L762">
        <v>0.41499999999999998</v>
      </c>
      <c r="M762">
        <v>5</v>
      </c>
      <c r="N762">
        <v>113</v>
      </c>
      <c r="O762">
        <v>5</v>
      </c>
      <c r="P762">
        <v>0.67500000000000004</v>
      </c>
      <c r="Q762">
        <v>5</v>
      </c>
      <c r="R762">
        <v>2.6200000000000001E-2</v>
      </c>
      <c r="T762" t="s">
        <v>2438</v>
      </c>
    </row>
    <row r="763" spans="1:20" x14ac:dyDescent="0.2">
      <c r="A763" t="s">
        <v>2440</v>
      </c>
      <c r="B763" t="s">
        <v>2022</v>
      </c>
      <c r="C763" t="s">
        <v>2036</v>
      </c>
      <c r="D763" t="s">
        <v>2024</v>
      </c>
      <c r="E763" t="s">
        <v>2441</v>
      </c>
      <c r="F763" t="s">
        <v>447</v>
      </c>
      <c r="G763">
        <v>3</v>
      </c>
      <c r="H763">
        <v>1740</v>
      </c>
      <c r="I763">
        <v>2</v>
      </c>
      <c r="J763">
        <v>3.4</v>
      </c>
      <c r="K763">
        <v>3</v>
      </c>
      <c r="L763">
        <v>0.115</v>
      </c>
      <c r="M763">
        <v>2</v>
      </c>
      <c r="N763">
        <v>82</v>
      </c>
      <c r="O763">
        <v>2</v>
      </c>
      <c r="P763">
        <v>0.20499999999999999</v>
      </c>
      <c r="Q763">
        <v>2</v>
      </c>
      <c r="R763">
        <v>4.2500000000000003E-3</v>
      </c>
      <c r="T763" t="s">
        <v>2441</v>
      </c>
    </row>
    <row r="764" spans="1:20" x14ac:dyDescent="0.2">
      <c r="A764" t="s">
        <v>2442</v>
      </c>
      <c r="B764" t="s">
        <v>2022</v>
      </c>
      <c r="C764" t="s">
        <v>2049</v>
      </c>
      <c r="D764" t="s">
        <v>2024</v>
      </c>
      <c r="E764" t="s">
        <v>2443</v>
      </c>
      <c r="F764" t="s">
        <v>447</v>
      </c>
      <c r="G764">
        <v>3</v>
      </c>
      <c r="H764">
        <v>1550</v>
      </c>
      <c r="I764">
        <v>5</v>
      </c>
      <c r="J764">
        <v>8.6</v>
      </c>
      <c r="K764">
        <v>5</v>
      </c>
      <c r="L764">
        <v>0.3</v>
      </c>
      <c r="M764">
        <v>2</v>
      </c>
      <c r="N764">
        <v>106</v>
      </c>
      <c r="O764">
        <v>5</v>
      </c>
      <c r="P764">
        <v>0.86</v>
      </c>
      <c r="Q764">
        <v>5</v>
      </c>
      <c r="R764">
        <v>3.32E-2</v>
      </c>
      <c r="T764" t="s">
        <v>2443</v>
      </c>
    </row>
    <row r="765" spans="1:20" x14ac:dyDescent="0.2">
      <c r="A765" t="s">
        <v>2444</v>
      </c>
      <c r="B765" t="s">
        <v>2022</v>
      </c>
      <c r="C765" t="s">
        <v>2023</v>
      </c>
      <c r="D765" t="s">
        <v>2024</v>
      </c>
      <c r="E765" t="s">
        <v>2445</v>
      </c>
      <c r="F765" t="s">
        <v>2446</v>
      </c>
      <c r="G765">
        <v>2</v>
      </c>
      <c r="H765">
        <v>1560</v>
      </c>
      <c r="I765">
        <v>3</v>
      </c>
      <c r="J765">
        <v>5.9</v>
      </c>
      <c r="K765">
        <v>5</v>
      </c>
      <c r="L765">
        <v>8.5999999999999993E-2</v>
      </c>
      <c r="M765">
        <v>2</v>
      </c>
      <c r="N765">
        <v>84</v>
      </c>
      <c r="O765">
        <v>2</v>
      </c>
      <c r="P765">
        <v>0.22500000000000001</v>
      </c>
      <c r="Q765">
        <v>3</v>
      </c>
      <c r="R765">
        <v>4.0000000000000001E-3</v>
      </c>
      <c r="T765" t="s">
        <v>2445</v>
      </c>
    </row>
    <row r="766" spans="1:20" x14ac:dyDescent="0.2">
      <c r="A766" t="s">
        <v>2447</v>
      </c>
      <c r="B766" t="s">
        <v>2022</v>
      </c>
      <c r="C766" t="s">
        <v>2036</v>
      </c>
      <c r="D766" t="s">
        <v>2024</v>
      </c>
      <c r="E766" t="s">
        <v>2448</v>
      </c>
      <c r="F766" t="s">
        <v>2449</v>
      </c>
      <c r="G766">
        <v>2</v>
      </c>
      <c r="H766">
        <v>1640</v>
      </c>
      <c r="I766">
        <v>5</v>
      </c>
      <c r="J766">
        <v>7</v>
      </c>
      <c r="K766">
        <v>5</v>
      </c>
      <c r="L766">
        <v>0.17499999999999999</v>
      </c>
      <c r="M766">
        <v>1</v>
      </c>
      <c r="N766">
        <v>76</v>
      </c>
      <c r="O766">
        <v>5</v>
      </c>
      <c r="P766">
        <v>0.53500000000000003</v>
      </c>
      <c r="Q766">
        <v>5</v>
      </c>
      <c r="R766">
        <v>1.2E-2</v>
      </c>
      <c r="T766" t="s">
        <v>2448</v>
      </c>
    </row>
    <row r="767" spans="1:20" x14ac:dyDescent="0.2">
      <c r="A767" t="s">
        <v>2450</v>
      </c>
      <c r="B767" t="s">
        <v>2022</v>
      </c>
      <c r="C767" t="s">
        <v>2053</v>
      </c>
      <c r="D767" t="s">
        <v>2024</v>
      </c>
      <c r="E767" t="s">
        <v>2451</v>
      </c>
      <c r="F767" t="s">
        <v>447</v>
      </c>
      <c r="G767">
        <v>3</v>
      </c>
      <c r="H767">
        <v>1700</v>
      </c>
      <c r="I767">
        <v>1</v>
      </c>
      <c r="J767">
        <v>1.55</v>
      </c>
      <c r="K767">
        <v>1</v>
      </c>
      <c r="L767">
        <v>1.4999999999999999E-2</v>
      </c>
      <c r="M767">
        <v>5</v>
      </c>
      <c r="N767">
        <v>113</v>
      </c>
      <c r="O767">
        <v>1</v>
      </c>
      <c r="P767">
        <v>7.4999999999999997E-2</v>
      </c>
      <c r="Q767">
        <v>1</v>
      </c>
      <c r="R767">
        <v>8.4999999999999995E-4</v>
      </c>
      <c r="T767" t="s">
        <v>2451</v>
      </c>
    </row>
    <row r="768" spans="1:20" x14ac:dyDescent="0.2">
      <c r="A768" t="s">
        <v>2452</v>
      </c>
      <c r="B768" t="s">
        <v>2022</v>
      </c>
      <c r="C768" t="s">
        <v>2023</v>
      </c>
      <c r="D768" t="s">
        <v>2024</v>
      </c>
      <c r="E768" t="s">
        <v>2453</v>
      </c>
      <c r="F768" t="s">
        <v>2454</v>
      </c>
      <c r="G768">
        <v>5</v>
      </c>
      <c r="H768">
        <v>1800</v>
      </c>
      <c r="I768">
        <v>5</v>
      </c>
      <c r="J768">
        <v>10.9</v>
      </c>
      <c r="K768">
        <v>5</v>
      </c>
      <c r="L768">
        <v>8.5999999999999993E-2</v>
      </c>
      <c r="M768">
        <v>4</v>
      </c>
      <c r="N768">
        <v>104</v>
      </c>
      <c r="O768">
        <v>4</v>
      </c>
      <c r="P768">
        <v>0.52500000000000002</v>
      </c>
      <c r="Q768">
        <v>5</v>
      </c>
      <c r="R768">
        <v>8.0000000000000002E-3</v>
      </c>
      <c r="T768" t="s">
        <v>2453</v>
      </c>
    </row>
    <row r="769" spans="1:20" x14ac:dyDescent="0.2">
      <c r="A769" t="s">
        <v>2455</v>
      </c>
      <c r="B769" t="s">
        <v>2022</v>
      </c>
      <c r="C769" t="s">
        <v>2036</v>
      </c>
      <c r="D769" t="s">
        <v>2024</v>
      </c>
      <c r="E769" t="s">
        <v>2456</v>
      </c>
      <c r="F769" t="s">
        <v>2457</v>
      </c>
      <c r="G769">
        <v>3</v>
      </c>
      <c r="H769">
        <v>1740</v>
      </c>
      <c r="I769">
        <v>2</v>
      </c>
      <c r="J769">
        <v>3.4</v>
      </c>
      <c r="K769">
        <v>3</v>
      </c>
      <c r="L769">
        <v>0.115</v>
      </c>
      <c r="M769">
        <v>3</v>
      </c>
      <c r="N769">
        <v>88</v>
      </c>
      <c r="O769">
        <v>2</v>
      </c>
      <c r="P769">
        <v>0.20499999999999999</v>
      </c>
      <c r="Q769">
        <v>2</v>
      </c>
      <c r="R769">
        <v>4.2500000000000003E-3</v>
      </c>
      <c r="T769" t="s">
        <v>2456</v>
      </c>
    </row>
    <row r="770" spans="1:20" x14ac:dyDescent="0.2">
      <c r="A770" t="s">
        <v>2458</v>
      </c>
      <c r="B770" t="s">
        <v>2022</v>
      </c>
      <c r="C770" t="s">
        <v>2023</v>
      </c>
      <c r="D770" t="s">
        <v>2024</v>
      </c>
      <c r="E770" t="s">
        <v>2459</v>
      </c>
      <c r="F770" t="s">
        <v>2460</v>
      </c>
      <c r="G770">
        <v>4</v>
      </c>
      <c r="H770">
        <v>1720</v>
      </c>
      <c r="I770">
        <v>4</v>
      </c>
      <c r="J770">
        <v>8.4</v>
      </c>
      <c r="K770">
        <v>5</v>
      </c>
      <c r="L770">
        <v>8.5999999999999993E-2</v>
      </c>
      <c r="M770">
        <v>3</v>
      </c>
      <c r="N770">
        <v>94</v>
      </c>
      <c r="O770">
        <v>4</v>
      </c>
      <c r="P770">
        <v>0.52500000000000002</v>
      </c>
      <c r="Q770">
        <v>5</v>
      </c>
      <c r="R770">
        <v>8.0000000000000002E-3</v>
      </c>
      <c r="T770" t="s">
        <v>2459</v>
      </c>
    </row>
    <row r="771" spans="1:20" x14ac:dyDescent="0.2">
      <c r="A771" t="s">
        <v>2461</v>
      </c>
      <c r="B771" t="s">
        <v>2022</v>
      </c>
      <c r="C771" t="s">
        <v>2023</v>
      </c>
      <c r="D771" t="s">
        <v>2024</v>
      </c>
      <c r="E771" t="s">
        <v>2462</v>
      </c>
      <c r="F771" t="s">
        <v>2463</v>
      </c>
      <c r="G771">
        <v>3</v>
      </c>
      <c r="H771">
        <v>1640</v>
      </c>
      <c r="I771">
        <v>2</v>
      </c>
      <c r="J771">
        <v>3.4</v>
      </c>
      <c r="K771">
        <v>2</v>
      </c>
      <c r="L771">
        <v>2.5999999999999999E-2</v>
      </c>
      <c r="M771">
        <v>2</v>
      </c>
      <c r="N771">
        <v>84</v>
      </c>
      <c r="O771">
        <v>2</v>
      </c>
      <c r="P771">
        <v>0.22500000000000001</v>
      </c>
      <c r="Q771">
        <v>2</v>
      </c>
      <c r="R771">
        <v>2E-3</v>
      </c>
      <c r="T771" t="s">
        <v>2462</v>
      </c>
    </row>
    <row r="772" spans="1:20" x14ac:dyDescent="0.2">
      <c r="A772" t="s">
        <v>2464</v>
      </c>
      <c r="B772" t="s">
        <v>2022</v>
      </c>
      <c r="C772" t="s">
        <v>2053</v>
      </c>
      <c r="D772" t="s">
        <v>2024</v>
      </c>
      <c r="E772" t="s">
        <v>2465</v>
      </c>
      <c r="F772" t="s">
        <v>2466</v>
      </c>
      <c r="G772">
        <v>5</v>
      </c>
      <c r="H772">
        <v>1900</v>
      </c>
      <c r="I772">
        <v>5</v>
      </c>
      <c r="J772">
        <v>11.55</v>
      </c>
      <c r="K772">
        <v>5</v>
      </c>
      <c r="L772">
        <v>0.41499999999999998</v>
      </c>
      <c r="M772">
        <v>2</v>
      </c>
      <c r="N772">
        <v>83</v>
      </c>
      <c r="O772">
        <v>5</v>
      </c>
      <c r="P772">
        <v>0.67500000000000004</v>
      </c>
      <c r="Q772">
        <v>5</v>
      </c>
      <c r="R772">
        <v>2.6200000000000001E-2</v>
      </c>
      <c r="T772" t="s">
        <v>2465</v>
      </c>
    </row>
    <row r="773" spans="1:20" x14ac:dyDescent="0.2">
      <c r="A773" t="s">
        <v>2467</v>
      </c>
      <c r="B773" t="s">
        <v>2022</v>
      </c>
      <c r="C773" t="s">
        <v>2023</v>
      </c>
      <c r="D773" t="s">
        <v>2024</v>
      </c>
      <c r="E773" t="s">
        <v>2468</v>
      </c>
      <c r="F773" t="s">
        <v>2469</v>
      </c>
      <c r="G773">
        <v>2</v>
      </c>
      <c r="H773">
        <v>1560</v>
      </c>
      <c r="I773">
        <v>2</v>
      </c>
      <c r="J773">
        <v>3.4</v>
      </c>
      <c r="K773">
        <v>4</v>
      </c>
      <c r="L773">
        <v>6.6000000000000003E-2</v>
      </c>
      <c r="M773">
        <v>1</v>
      </c>
      <c r="N773">
        <v>74</v>
      </c>
      <c r="O773">
        <v>1</v>
      </c>
      <c r="P773">
        <v>7.4999999999999997E-2</v>
      </c>
      <c r="Q773">
        <v>3</v>
      </c>
      <c r="R773">
        <v>4.0000000000000001E-3</v>
      </c>
      <c r="T773" t="s">
        <v>2468</v>
      </c>
    </row>
    <row r="774" spans="1:20" x14ac:dyDescent="0.2">
      <c r="A774" t="s">
        <v>2470</v>
      </c>
      <c r="B774" t="s">
        <v>2022</v>
      </c>
      <c r="C774" t="s">
        <v>2257</v>
      </c>
      <c r="D774" t="s">
        <v>2024</v>
      </c>
      <c r="E774" t="s">
        <v>357</v>
      </c>
      <c r="F774" t="s">
        <v>447</v>
      </c>
      <c r="G774">
        <v>5</v>
      </c>
      <c r="H774">
        <v>1300</v>
      </c>
      <c r="I774">
        <v>4</v>
      </c>
      <c r="J774">
        <v>4.3499999999999996</v>
      </c>
      <c r="K774">
        <v>5</v>
      </c>
      <c r="L774">
        <v>0.187</v>
      </c>
      <c r="M774">
        <v>5</v>
      </c>
      <c r="N774">
        <v>1100</v>
      </c>
      <c r="O774">
        <v>5</v>
      </c>
      <c r="P774">
        <v>2.7</v>
      </c>
      <c r="Q774">
        <v>5</v>
      </c>
      <c r="R774">
        <v>8.1000000000000003E-2</v>
      </c>
      <c r="T774" t="s">
        <v>357</v>
      </c>
    </row>
    <row r="775" spans="1:20" x14ac:dyDescent="0.2">
      <c r="A775" t="s">
        <v>2471</v>
      </c>
      <c r="B775" t="s">
        <v>2022</v>
      </c>
      <c r="C775" t="s">
        <v>2023</v>
      </c>
      <c r="D775" t="s">
        <v>2024</v>
      </c>
      <c r="E775" t="s">
        <v>2472</v>
      </c>
      <c r="F775" t="s">
        <v>2473</v>
      </c>
      <c r="G775">
        <v>3</v>
      </c>
      <c r="H775">
        <v>1640</v>
      </c>
      <c r="I775">
        <v>3</v>
      </c>
      <c r="J775">
        <v>5.9</v>
      </c>
      <c r="K775">
        <v>3</v>
      </c>
      <c r="L775">
        <v>4.5999999999999999E-2</v>
      </c>
      <c r="M775">
        <v>3</v>
      </c>
      <c r="N775">
        <v>94</v>
      </c>
      <c r="O775">
        <v>3</v>
      </c>
      <c r="P775">
        <v>0.375</v>
      </c>
      <c r="Q775">
        <v>2</v>
      </c>
      <c r="R775">
        <v>2E-3</v>
      </c>
      <c r="T775" t="s">
        <v>2472</v>
      </c>
    </row>
    <row r="776" spans="1:20" x14ac:dyDescent="0.2">
      <c r="A776" t="s">
        <v>2474</v>
      </c>
      <c r="B776" t="s">
        <v>2022</v>
      </c>
      <c r="C776" t="s">
        <v>2095</v>
      </c>
      <c r="D776" t="s">
        <v>2024</v>
      </c>
      <c r="E776" t="s">
        <v>2475</v>
      </c>
      <c r="F776" t="s">
        <v>2476</v>
      </c>
      <c r="G776">
        <v>3</v>
      </c>
      <c r="H776">
        <v>1745</v>
      </c>
      <c r="I776">
        <v>5</v>
      </c>
      <c r="J776">
        <v>16.5</v>
      </c>
      <c r="K776">
        <v>4</v>
      </c>
      <c r="L776">
        <v>0.53</v>
      </c>
      <c r="M776">
        <v>2</v>
      </c>
      <c r="N776">
        <v>80</v>
      </c>
      <c r="O776">
        <v>4</v>
      </c>
      <c r="P776">
        <v>0.75</v>
      </c>
      <c r="Q776">
        <v>4</v>
      </c>
      <c r="R776">
        <v>2.3900000000000001E-2</v>
      </c>
      <c r="T776" t="s">
        <v>2475</v>
      </c>
    </row>
    <row r="777" spans="1:20" x14ac:dyDescent="0.2">
      <c r="A777" t="s">
        <v>2477</v>
      </c>
      <c r="B777" t="s">
        <v>2022</v>
      </c>
      <c r="C777" t="s">
        <v>2104</v>
      </c>
      <c r="D777" t="s">
        <v>2024</v>
      </c>
      <c r="E777" t="s">
        <v>2478</v>
      </c>
      <c r="F777" t="s">
        <v>2479</v>
      </c>
      <c r="G777">
        <v>3</v>
      </c>
      <c r="H777">
        <v>1887.5</v>
      </c>
      <c r="I777">
        <v>2</v>
      </c>
      <c r="J777">
        <v>3.25</v>
      </c>
      <c r="K777">
        <v>1</v>
      </c>
      <c r="L777">
        <v>8.0000000000000002E-3</v>
      </c>
      <c r="M777">
        <v>3</v>
      </c>
      <c r="N777">
        <v>73</v>
      </c>
      <c r="P777">
        <v>0</v>
      </c>
      <c r="Q777">
        <v>1</v>
      </c>
      <c r="R777">
        <v>3.5E-4</v>
      </c>
      <c r="T777" t="s">
        <v>2478</v>
      </c>
    </row>
    <row r="778" spans="1:20" x14ac:dyDescent="0.2">
      <c r="A778" t="s">
        <v>2480</v>
      </c>
      <c r="B778" t="s">
        <v>2022</v>
      </c>
      <c r="C778" t="s">
        <v>2101</v>
      </c>
      <c r="D778" t="s">
        <v>2024</v>
      </c>
      <c r="E778" t="s">
        <v>2478</v>
      </c>
      <c r="F778" t="s">
        <v>2479</v>
      </c>
      <c r="G778">
        <v>4</v>
      </c>
      <c r="H778">
        <v>1870</v>
      </c>
      <c r="I778">
        <v>2</v>
      </c>
      <c r="J778">
        <v>5</v>
      </c>
      <c r="K778">
        <v>2</v>
      </c>
      <c r="L778">
        <v>9.6500000000000002E-2</v>
      </c>
      <c r="M778">
        <v>2</v>
      </c>
      <c r="N778">
        <v>74</v>
      </c>
      <c r="O778">
        <v>1</v>
      </c>
      <c r="P778">
        <v>7.4999999999999997E-2</v>
      </c>
      <c r="Q778">
        <v>2</v>
      </c>
      <c r="R778">
        <v>4.4999999999999997E-3</v>
      </c>
      <c r="T778" t="s">
        <v>2478</v>
      </c>
    </row>
    <row r="779" spans="1:20" x14ac:dyDescent="0.2">
      <c r="A779" t="s">
        <v>2481</v>
      </c>
      <c r="B779" t="s">
        <v>2022</v>
      </c>
      <c r="C779" t="s">
        <v>2104</v>
      </c>
      <c r="D779" t="s">
        <v>2024</v>
      </c>
      <c r="E779" t="s">
        <v>2478</v>
      </c>
      <c r="F779" t="s">
        <v>2479</v>
      </c>
      <c r="G779">
        <v>4</v>
      </c>
      <c r="H779">
        <v>2062.5</v>
      </c>
      <c r="I779">
        <v>2</v>
      </c>
      <c r="J779">
        <v>3.25</v>
      </c>
      <c r="K779">
        <v>1</v>
      </c>
      <c r="L779">
        <v>8.0000000000000002E-3</v>
      </c>
      <c r="M779">
        <v>1</v>
      </c>
      <c r="N779">
        <v>57</v>
      </c>
      <c r="P779">
        <v>0</v>
      </c>
      <c r="Q779">
        <v>1</v>
      </c>
      <c r="R779">
        <v>3.5E-4</v>
      </c>
      <c r="T779" t="s">
        <v>2478</v>
      </c>
    </row>
    <row r="780" spans="1:20" x14ac:dyDescent="0.2">
      <c r="A780" t="s">
        <v>2482</v>
      </c>
      <c r="B780" t="s">
        <v>2022</v>
      </c>
      <c r="C780" t="s">
        <v>2104</v>
      </c>
      <c r="D780" t="s">
        <v>2024</v>
      </c>
      <c r="E780" t="s">
        <v>2478</v>
      </c>
      <c r="F780" t="s">
        <v>2479</v>
      </c>
      <c r="G780">
        <v>4</v>
      </c>
      <c r="H780">
        <v>2062.5</v>
      </c>
      <c r="I780">
        <v>2</v>
      </c>
      <c r="J780">
        <v>3.25</v>
      </c>
      <c r="K780">
        <v>2</v>
      </c>
      <c r="L780">
        <v>4.1000000000000002E-2</v>
      </c>
      <c r="M780">
        <v>1</v>
      </c>
      <c r="N780">
        <v>57</v>
      </c>
      <c r="P780">
        <v>0</v>
      </c>
      <c r="Q780">
        <v>2</v>
      </c>
      <c r="R780">
        <v>3.2000000000000002E-3</v>
      </c>
      <c r="T780" t="s">
        <v>2478</v>
      </c>
    </row>
    <row r="781" spans="1:20" x14ac:dyDescent="0.2">
      <c r="A781" t="s">
        <v>2483</v>
      </c>
      <c r="B781" t="s">
        <v>2022</v>
      </c>
      <c r="C781" t="s">
        <v>2104</v>
      </c>
      <c r="D781" t="s">
        <v>2024</v>
      </c>
      <c r="E781" t="s">
        <v>2478</v>
      </c>
      <c r="F781" t="s">
        <v>2479</v>
      </c>
      <c r="G781">
        <v>4</v>
      </c>
      <c r="H781">
        <v>2062.5</v>
      </c>
      <c r="I781">
        <v>1</v>
      </c>
      <c r="J781">
        <v>0.95</v>
      </c>
      <c r="K781">
        <v>1</v>
      </c>
      <c r="L781">
        <v>8.0000000000000002E-3</v>
      </c>
      <c r="M781">
        <v>1</v>
      </c>
      <c r="N781">
        <v>57</v>
      </c>
      <c r="P781">
        <v>0</v>
      </c>
      <c r="Q781">
        <v>1</v>
      </c>
      <c r="R781">
        <v>3.5E-4</v>
      </c>
      <c r="T781" t="s">
        <v>2478</v>
      </c>
    </row>
    <row r="782" spans="1:20" x14ac:dyDescent="0.2">
      <c r="A782" t="s">
        <v>2484</v>
      </c>
      <c r="B782" t="s">
        <v>2022</v>
      </c>
      <c r="C782" t="s">
        <v>2104</v>
      </c>
      <c r="D782" t="s">
        <v>2154</v>
      </c>
      <c r="E782" t="s">
        <v>2478</v>
      </c>
      <c r="F782" t="s">
        <v>2479</v>
      </c>
      <c r="G782">
        <v>4</v>
      </c>
      <c r="H782">
        <v>2062.5</v>
      </c>
      <c r="I782">
        <v>1</v>
      </c>
      <c r="J782">
        <v>0.95</v>
      </c>
      <c r="K782">
        <v>1</v>
      </c>
      <c r="L782">
        <v>8.0000000000000002E-3</v>
      </c>
      <c r="M782">
        <v>1</v>
      </c>
      <c r="N782">
        <v>57</v>
      </c>
      <c r="P782">
        <v>0</v>
      </c>
      <c r="Q782">
        <v>1</v>
      </c>
      <c r="R782">
        <v>3.5E-4</v>
      </c>
      <c r="T782" t="s">
        <v>2478</v>
      </c>
    </row>
    <row r="783" spans="1:20" x14ac:dyDescent="0.2">
      <c r="A783" t="s">
        <v>2485</v>
      </c>
      <c r="B783" t="s">
        <v>2022</v>
      </c>
      <c r="C783" t="s">
        <v>2036</v>
      </c>
      <c r="D783" t="s">
        <v>2024</v>
      </c>
      <c r="E783" t="s">
        <v>2486</v>
      </c>
      <c r="F783" t="s">
        <v>2487</v>
      </c>
      <c r="G783">
        <v>2</v>
      </c>
      <c r="H783">
        <v>1640</v>
      </c>
      <c r="I783">
        <v>2</v>
      </c>
      <c r="J783">
        <v>3.4</v>
      </c>
      <c r="K783">
        <v>1</v>
      </c>
      <c r="L783">
        <v>5.5E-2</v>
      </c>
      <c r="M783">
        <v>4</v>
      </c>
      <c r="N783">
        <v>94</v>
      </c>
      <c r="O783">
        <v>2</v>
      </c>
      <c r="P783">
        <v>0.20499999999999999</v>
      </c>
      <c r="Q783">
        <v>2</v>
      </c>
      <c r="R783">
        <v>4.2500000000000003E-3</v>
      </c>
      <c r="T783" t="s">
        <v>2486</v>
      </c>
    </row>
    <row r="784" spans="1:20" x14ac:dyDescent="0.2">
      <c r="A784" t="s">
        <v>2488</v>
      </c>
      <c r="B784" t="s">
        <v>2022</v>
      </c>
      <c r="C784" t="s">
        <v>2101</v>
      </c>
      <c r="D784" t="s">
        <v>2024</v>
      </c>
      <c r="E784" t="s">
        <v>2489</v>
      </c>
      <c r="F784" t="s">
        <v>2490</v>
      </c>
      <c r="G784">
        <v>4</v>
      </c>
      <c r="H784">
        <v>1870</v>
      </c>
      <c r="I784">
        <v>1</v>
      </c>
      <c r="J784">
        <v>2</v>
      </c>
      <c r="K784">
        <v>2</v>
      </c>
      <c r="L784">
        <v>9.6500000000000002E-2</v>
      </c>
      <c r="M784">
        <v>4</v>
      </c>
      <c r="N784">
        <v>90</v>
      </c>
      <c r="O784">
        <v>2</v>
      </c>
      <c r="P784">
        <v>0.22500000000000001</v>
      </c>
      <c r="Q784">
        <v>2</v>
      </c>
      <c r="R784">
        <v>4.4999999999999997E-3</v>
      </c>
      <c r="T784" t="s">
        <v>2489</v>
      </c>
    </row>
    <row r="785" spans="1:20" x14ac:dyDescent="0.2">
      <c r="A785" t="s">
        <v>2491</v>
      </c>
      <c r="B785" t="s">
        <v>2022</v>
      </c>
      <c r="C785" t="s">
        <v>2053</v>
      </c>
      <c r="D785" t="s">
        <v>2024</v>
      </c>
      <c r="E785" t="s">
        <v>2489</v>
      </c>
      <c r="F785" t="s">
        <v>2490</v>
      </c>
      <c r="G785">
        <v>3</v>
      </c>
      <c r="H785">
        <v>1700</v>
      </c>
      <c r="I785">
        <v>2</v>
      </c>
      <c r="J785">
        <v>4.05</v>
      </c>
      <c r="K785">
        <v>3</v>
      </c>
      <c r="L785">
        <v>0.19500000000000001</v>
      </c>
      <c r="M785">
        <v>2</v>
      </c>
      <c r="N785">
        <v>83</v>
      </c>
      <c r="O785">
        <v>2</v>
      </c>
      <c r="P785">
        <v>0.22500000000000001</v>
      </c>
      <c r="Q785">
        <v>2</v>
      </c>
      <c r="R785">
        <v>5.1999999999999998E-3</v>
      </c>
      <c r="T785" t="s">
        <v>2489</v>
      </c>
    </row>
    <row r="786" spans="1:20" x14ac:dyDescent="0.2">
      <c r="A786" t="s">
        <v>2492</v>
      </c>
      <c r="B786" t="s">
        <v>2022</v>
      </c>
      <c r="C786" t="s">
        <v>2023</v>
      </c>
      <c r="D786" t="s">
        <v>2024</v>
      </c>
      <c r="E786" t="s">
        <v>2493</v>
      </c>
      <c r="F786" t="s">
        <v>2494</v>
      </c>
      <c r="G786">
        <v>5</v>
      </c>
      <c r="H786">
        <v>1800</v>
      </c>
      <c r="I786">
        <v>4</v>
      </c>
      <c r="J786">
        <v>8.4</v>
      </c>
      <c r="K786">
        <v>5</v>
      </c>
      <c r="L786">
        <v>8.5999999999999993E-2</v>
      </c>
      <c r="M786">
        <v>3</v>
      </c>
      <c r="N786">
        <v>94</v>
      </c>
      <c r="O786">
        <v>4</v>
      </c>
      <c r="P786">
        <v>0.52500000000000002</v>
      </c>
      <c r="Q786">
        <v>5</v>
      </c>
      <c r="R786">
        <v>8.0000000000000002E-3</v>
      </c>
      <c r="T786" t="s">
        <v>2493</v>
      </c>
    </row>
    <row r="787" spans="1:20" x14ac:dyDescent="0.2">
      <c r="A787" t="s">
        <v>2495</v>
      </c>
      <c r="B787" t="s">
        <v>2022</v>
      </c>
      <c r="C787" t="s">
        <v>2023</v>
      </c>
      <c r="D787" t="s">
        <v>2136</v>
      </c>
      <c r="E787" t="s">
        <v>2496</v>
      </c>
      <c r="F787" t="s">
        <v>447</v>
      </c>
      <c r="G787">
        <v>2</v>
      </c>
      <c r="H787">
        <v>1560</v>
      </c>
      <c r="I787">
        <v>5</v>
      </c>
      <c r="J787">
        <v>10.9</v>
      </c>
      <c r="K787">
        <v>5</v>
      </c>
      <c r="L787">
        <v>8.5999999999999993E-2</v>
      </c>
      <c r="M787">
        <v>3</v>
      </c>
      <c r="N787">
        <v>94</v>
      </c>
      <c r="O787">
        <v>5</v>
      </c>
      <c r="P787">
        <v>0.67500000000000004</v>
      </c>
      <c r="Q787">
        <v>3</v>
      </c>
      <c r="R787">
        <v>4.0000000000000001E-3</v>
      </c>
      <c r="T787" t="s">
        <v>2496</v>
      </c>
    </row>
    <row r="788" spans="1:20" x14ac:dyDescent="0.2">
      <c r="A788" t="s">
        <v>2497</v>
      </c>
      <c r="B788" t="s">
        <v>2022</v>
      </c>
      <c r="C788" t="s">
        <v>2101</v>
      </c>
      <c r="D788" t="s">
        <v>2154</v>
      </c>
      <c r="E788" t="s">
        <v>2498</v>
      </c>
      <c r="F788" t="s">
        <v>447</v>
      </c>
      <c r="G788">
        <v>1</v>
      </c>
      <c r="H788">
        <v>1570</v>
      </c>
      <c r="I788">
        <v>3</v>
      </c>
      <c r="J788">
        <v>8</v>
      </c>
      <c r="K788">
        <v>3</v>
      </c>
      <c r="L788">
        <v>0.24349999999999999</v>
      </c>
      <c r="M788">
        <v>5</v>
      </c>
      <c r="N788">
        <v>98</v>
      </c>
      <c r="O788">
        <v>5</v>
      </c>
      <c r="P788">
        <v>0.67500000000000004</v>
      </c>
      <c r="Q788">
        <v>5</v>
      </c>
      <c r="R788">
        <v>2.5499999999999998E-2</v>
      </c>
      <c r="T788" t="s">
        <v>2498</v>
      </c>
    </row>
    <row r="789" spans="1:20" x14ac:dyDescent="0.2">
      <c r="A789" t="s">
        <v>2499</v>
      </c>
      <c r="B789" t="s">
        <v>2022</v>
      </c>
      <c r="C789" t="s">
        <v>2053</v>
      </c>
      <c r="D789" t="s">
        <v>2024</v>
      </c>
      <c r="E789" t="s">
        <v>2498</v>
      </c>
      <c r="F789" t="s">
        <v>447</v>
      </c>
      <c r="G789">
        <v>3</v>
      </c>
      <c r="H789">
        <v>1700</v>
      </c>
      <c r="I789">
        <v>2</v>
      </c>
      <c r="J789">
        <v>4.05</v>
      </c>
      <c r="K789">
        <v>2</v>
      </c>
      <c r="L789">
        <v>8.5000000000000006E-2</v>
      </c>
      <c r="M789">
        <v>2</v>
      </c>
      <c r="N789">
        <v>83</v>
      </c>
      <c r="O789">
        <v>2</v>
      </c>
      <c r="P789">
        <v>0.22500000000000001</v>
      </c>
      <c r="Q789">
        <v>2</v>
      </c>
      <c r="R789">
        <v>5.1999999999999998E-3</v>
      </c>
      <c r="T789" t="s">
        <v>2498</v>
      </c>
    </row>
    <row r="790" spans="1:20" x14ac:dyDescent="0.2">
      <c r="A790" t="s">
        <v>2500</v>
      </c>
      <c r="B790" t="s">
        <v>2022</v>
      </c>
      <c r="C790" t="s">
        <v>2101</v>
      </c>
      <c r="D790" t="s">
        <v>2024</v>
      </c>
      <c r="E790" t="s">
        <v>2501</v>
      </c>
      <c r="F790" t="s">
        <v>2502</v>
      </c>
      <c r="G790">
        <v>2</v>
      </c>
      <c r="H790">
        <v>1670</v>
      </c>
      <c r="I790">
        <v>1</v>
      </c>
      <c r="J790">
        <v>2</v>
      </c>
      <c r="K790">
        <v>1</v>
      </c>
      <c r="L790">
        <v>1.15E-2</v>
      </c>
      <c r="M790">
        <v>2</v>
      </c>
      <c r="N790">
        <v>74</v>
      </c>
      <c r="O790">
        <v>1</v>
      </c>
      <c r="P790">
        <v>7.4999999999999997E-2</v>
      </c>
      <c r="Q790">
        <v>1</v>
      </c>
      <c r="R790">
        <v>5.0000000000000001E-4</v>
      </c>
      <c r="T790" t="s">
        <v>2501</v>
      </c>
    </row>
    <row r="791" spans="1:20" x14ac:dyDescent="0.2">
      <c r="A791" t="s">
        <v>2503</v>
      </c>
      <c r="B791" t="s">
        <v>2022</v>
      </c>
      <c r="C791" t="s">
        <v>2023</v>
      </c>
      <c r="D791" t="s">
        <v>2024</v>
      </c>
      <c r="E791" t="s">
        <v>2501</v>
      </c>
      <c r="F791" t="s">
        <v>2502</v>
      </c>
      <c r="G791">
        <v>3</v>
      </c>
      <c r="H791">
        <v>1640</v>
      </c>
      <c r="I791">
        <v>2</v>
      </c>
      <c r="J791">
        <v>3.4</v>
      </c>
      <c r="K791">
        <v>3</v>
      </c>
      <c r="L791">
        <v>4.5999999999999999E-2</v>
      </c>
      <c r="M791">
        <v>3</v>
      </c>
      <c r="N791">
        <v>94</v>
      </c>
      <c r="O791">
        <v>1</v>
      </c>
      <c r="P791">
        <v>7.4999999999999997E-2</v>
      </c>
      <c r="Q791">
        <v>2</v>
      </c>
      <c r="R791">
        <v>2E-3</v>
      </c>
      <c r="T791" t="s">
        <v>2501</v>
      </c>
    </row>
    <row r="792" spans="1:20" x14ac:dyDescent="0.2">
      <c r="A792" t="s">
        <v>2504</v>
      </c>
      <c r="B792" t="s">
        <v>2022</v>
      </c>
      <c r="C792" t="s">
        <v>2023</v>
      </c>
      <c r="D792" t="s">
        <v>2024</v>
      </c>
      <c r="E792" t="s">
        <v>2505</v>
      </c>
      <c r="F792" t="s">
        <v>2506</v>
      </c>
      <c r="G792">
        <v>3</v>
      </c>
      <c r="H792">
        <v>1640</v>
      </c>
      <c r="I792">
        <v>2</v>
      </c>
      <c r="J792">
        <v>3.4</v>
      </c>
      <c r="K792">
        <v>1</v>
      </c>
      <c r="L792">
        <v>6.0000000000000001E-3</v>
      </c>
      <c r="M792">
        <v>2</v>
      </c>
      <c r="N792">
        <v>84</v>
      </c>
      <c r="O792">
        <v>2</v>
      </c>
      <c r="P792">
        <v>0.22500000000000001</v>
      </c>
      <c r="Q792">
        <v>1</v>
      </c>
      <c r="R792">
        <v>5.0000000000000001E-4</v>
      </c>
      <c r="T792" t="s">
        <v>2505</v>
      </c>
    </row>
    <row r="793" spans="1:20" x14ac:dyDescent="0.2">
      <c r="A793" t="s">
        <v>2507</v>
      </c>
      <c r="B793" t="s">
        <v>2022</v>
      </c>
      <c r="C793" t="s">
        <v>2508</v>
      </c>
      <c r="D793" t="s">
        <v>2024</v>
      </c>
      <c r="E793" t="s">
        <v>357</v>
      </c>
      <c r="F793" t="s">
        <v>2509</v>
      </c>
      <c r="G793">
        <v>2</v>
      </c>
      <c r="H793">
        <v>1350</v>
      </c>
      <c r="I793">
        <v>4</v>
      </c>
      <c r="J793">
        <v>13</v>
      </c>
      <c r="K793">
        <v>4</v>
      </c>
      <c r="L793">
        <v>0.42</v>
      </c>
      <c r="M793">
        <v>1</v>
      </c>
      <c r="N793">
        <v>92.5</v>
      </c>
      <c r="O793">
        <v>3</v>
      </c>
      <c r="P793">
        <v>1.05</v>
      </c>
      <c r="Q793">
        <v>3</v>
      </c>
      <c r="R793">
        <v>3.5999999999999997E-2</v>
      </c>
      <c r="T793" t="s">
        <v>357</v>
      </c>
    </row>
    <row r="794" spans="1:20" x14ac:dyDescent="0.2">
      <c r="A794" t="s">
        <v>2510</v>
      </c>
      <c r="B794" t="s">
        <v>2022</v>
      </c>
      <c r="C794" t="s">
        <v>2023</v>
      </c>
      <c r="D794" t="s">
        <v>2024</v>
      </c>
      <c r="E794" t="s">
        <v>2511</v>
      </c>
      <c r="F794" t="s">
        <v>2512</v>
      </c>
      <c r="G794">
        <v>4</v>
      </c>
      <c r="H794">
        <v>1720</v>
      </c>
      <c r="I794">
        <v>4</v>
      </c>
      <c r="J794">
        <v>8.4</v>
      </c>
      <c r="K794">
        <v>5</v>
      </c>
      <c r="L794">
        <v>8.5999999999999993E-2</v>
      </c>
      <c r="M794">
        <v>3</v>
      </c>
      <c r="N794">
        <v>94</v>
      </c>
      <c r="O794">
        <v>3</v>
      </c>
      <c r="P794">
        <v>0.375</v>
      </c>
      <c r="Q794">
        <v>5</v>
      </c>
      <c r="R794">
        <v>8.0000000000000002E-3</v>
      </c>
      <c r="T794" t="s">
        <v>2511</v>
      </c>
    </row>
    <row r="795" spans="1:20" x14ac:dyDescent="0.2">
      <c r="A795" t="s">
        <v>2513</v>
      </c>
      <c r="B795" t="s">
        <v>2022</v>
      </c>
      <c r="C795" t="s">
        <v>2053</v>
      </c>
      <c r="D795" t="s">
        <v>2024</v>
      </c>
      <c r="E795" t="s">
        <v>2514</v>
      </c>
      <c r="F795" t="s">
        <v>2515</v>
      </c>
      <c r="G795">
        <v>1</v>
      </c>
      <c r="H795">
        <v>1500</v>
      </c>
      <c r="I795">
        <v>2</v>
      </c>
      <c r="J795">
        <v>4.05</v>
      </c>
      <c r="K795">
        <v>3</v>
      </c>
      <c r="L795">
        <v>0.19500000000000001</v>
      </c>
      <c r="M795">
        <v>5</v>
      </c>
      <c r="N795">
        <v>113</v>
      </c>
      <c r="O795">
        <v>5</v>
      </c>
      <c r="P795">
        <v>0.67500000000000004</v>
      </c>
      <c r="Q795">
        <v>5</v>
      </c>
      <c r="R795">
        <v>2.6200000000000001E-2</v>
      </c>
      <c r="T795" t="s">
        <v>2514</v>
      </c>
    </row>
    <row r="796" spans="1:20" x14ac:dyDescent="0.2">
      <c r="A796" t="s">
        <v>2516</v>
      </c>
      <c r="B796" t="s">
        <v>2022</v>
      </c>
      <c r="C796" t="s">
        <v>2101</v>
      </c>
      <c r="D796" t="s">
        <v>2136</v>
      </c>
      <c r="E796" t="s">
        <v>357</v>
      </c>
      <c r="F796" t="s">
        <v>447</v>
      </c>
      <c r="G796">
        <v>5</v>
      </c>
      <c r="H796">
        <v>1970</v>
      </c>
      <c r="I796">
        <v>2</v>
      </c>
      <c r="J796">
        <v>5</v>
      </c>
      <c r="K796">
        <v>3</v>
      </c>
      <c r="L796">
        <v>0.24349999999999999</v>
      </c>
      <c r="M796">
        <v>3</v>
      </c>
      <c r="N796">
        <v>82</v>
      </c>
      <c r="O796">
        <v>2</v>
      </c>
      <c r="P796">
        <v>0.22500000000000001</v>
      </c>
      <c r="Q796">
        <v>2</v>
      </c>
      <c r="R796">
        <v>4.4999999999999997E-3</v>
      </c>
      <c r="T796" t="s">
        <v>357</v>
      </c>
    </row>
    <row r="797" spans="1:20" x14ac:dyDescent="0.2">
      <c r="A797" t="s">
        <v>2517</v>
      </c>
      <c r="B797" t="s">
        <v>2022</v>
      </c>
      <c r="C797" t="s">
        <v>2101</v>
      </c>
      <c r="D797" t="s">
        <v>2136</v>
      </c>
      <c r="E797" t="s">
        <v>357</v>
      </c>
      <c r="F797" t="s">
        <v>447</v>
      </c>
      <c r="G797">
        <v>5</v>
      </c>
      <c r="H797">
        <v>1970</v>
      </c>
      <c r="I797">
        <v>1</v>
      </c>
      <c r="J797">
        <v>2</v>
      </c>
      <c r="K797">
        <v>2</v>
      </c>
      <c r="L797">
        <v>9.6500000000000002E-2</v>
      </c>
      <c r="M797">
        <v>5</v>
      </c>
      <c r="N797">
        <v>98</v>
      </c>
      <c r="O797">
        <v>1</v>
      </c>
      <c r="P797">
        <v>7.4999999999999997E-2</v>
      </c>
      <c r="Q797">
        <v>2</v>
      </c>
      <c r="R797">
        <v>4.4999999999999997E-3</v>
      </c>
      <c r="T797" t="s">
        <v>357</v>
      </c>
    </row>
    <row r="798" spans="1:20" x14ac:dyDescent="0.2">
      <c r="A798" t="s">
        <v>2518</v>
      </c>
      <c r="B798" t="s">
        <v>2022</v>
      </c>
      <c r="C798" t="s">
        <v>2053</v>
      </c>
      <c r="D798" t="s">
        <v>2024</v>
      </c>
      <c r="E798" t="s">
        <v>2519</v>
      </c>
      <c r="F798" t="s">
        <v>2520</v>
      </c>
      <c r="G798">
        <v>1</v>
      </c>
      <c r="H798">
        <v>1500</v>
      </c>
      <c r="I798">
        <v>2</v>
      </c>
      <c r="J798">
        <v>4.05</v>
      </c>
      <c r="K798">
        <v>3</v>
      </c>
      <c r="L798">
        <v>0.19500000000000001</v>
      </c>
      <c r="M798">
        <v>5</v>
      </c>
      <c r="N798">
        <v>113</v>
      </c>
      <c r="O798">
        <v>5</v>
      </c>
      <c r="P798">
        <v>0.67500000000000004</v>
      </c>
      <c r="Q798">
        <v>5</v>
      </c>
      <c r="R798">
        <v>2.6200000000000001E-2</v>
      </c>
      <c r="T798" t="s">
        <v>2519</v>
      </c>
    </row>
    <row r="799" spans="1:20" x14ac:dyDescent="0.2">
      <c r="A799" t="s">
        <v>2521</v>
      </c>
      <c r="B799" t="s">
        <v>2022</v>
      </c>
      <c r="C799" t="s">
        <v>2023</v>
      </c>
      <c r="D799" t="s">
        <v>2136</v>
      </c>
      <c r="E799" t="s">
        <v>2522</v>
      </c>
      <c r="F799" t="s">
        <v>447</v>
      </c>
      <c r="G799">
        <v>5</v>
      </c>
      <c r="H799">
        <v>1800</v>
      </c>
      <c r="I799">
        <v>2</v>
      </c>
      <c r="J799">
        <v>3.4</v>
      </c>
      <c r="K799">
        <v>4</v>
      </c>
      <c r="L799">
        <v>6.6000000000000003E-2</v>
      </c>
      <c r="M799">
        <v>1</v>
      </c>
      <c r="N799">
        <v>74</v>
      </c>
      <c r="O799">
        <v>1</v>
      </c>
      <c r="P799">
        <v>7.4999999999999997E-2</v>
      </c>
      <c r="Q799">
        <v>2</v>
      </c>
      <c r="R799">
        <v>2E-3</v>
      </c>
      <c r="T799" t="s">
        <v>2522</v>
      </c>
    </row>
    <row r="800" spans="1:20" x14ac:dyDescent="0.2">
      <c r="A800" t="s">
        <v>2523</v>
      </c>
      <c r="B800" t="s">
        <v>2022</v>
      </c>
      <c r="C800" t="s">
        <v>2023</v>
      </c>
      <c r="D800" t="s">
        <v>2136</v>
      </c>
      <c r="E800" t="s">
        <v>2522</v>
      </c>
      <c r="F800" t="s">
        <v>447</v>
      </c>
      <c r="G800">
        <v>5</v>
      </c>
      <c r="H800">
        <v>1800</v>
      </c>
      <c r="I800">
        <v>5</v>
      </c>
      <c r="J800">
        <v>10.9</v>
      </c>
      <c r="K800">
        <v>5</v>
      </c>
      <c r="L800">
        <v>8.5999999999999993E-2</v>
      </c>
      <c r="M800">
        <v>1</v>
      </c>
      <c r="N800">
        <v>74</v>
      </c>
      <c r="O800">
        <v>2</v>
      </c>
      <c r="P800">
        <v>0.22500000000000001</v>
      </c>
      <c r="Q800">
        <v>5</v>
      </c>
      <c r="R800">
        <v>8.0000000000000002E-3</v>
      </c>
      <c r="T800" t="s">
        <v>2522</v>
      </c>
    </row>
    <row r="801" spans="1:20" x14ac:dyDescent="0.2">
      <c r="A801" t="s">
        <v>2524</v>
      </c>
      <c r="B801" t="s">
        <v>2022</v>
      </c>
      <c r="C801" t="s">
        <v>2023</v>
      </c>
      <c r="D801" t="s">
        <v>2136</v>
      </c>
      <c r="E801" t="s">
        <v>2522</v>
      </c>
      <c r="F801" t="s">
        <v>447</v>
      </c>
      <c r="G801">
        <v>5</v>
      </c>
      <c r="H801">
        <v>1800</v>
      </c>
      <c r="I801">
        <v>3</v>
      </c>
      <c r="J801">
        <v>5.9</v>
      </c>
      <c r="K801">
        <v>5</v>
      </c>
      <c r="L801">
        <v>8.5999999999999993E-2</v>
      </c>
      <c r="M801">
        <v>1</v>
      </c>
      <c r="N801">
        <v>74</v>
      </c>
      <c r="O801">
        <v>2</v>
      </c>
      <c r="P801">
        <v>0.22500000000000001</v>
      </c>
      <c r="Q801">
        <v>5</v>
      </c>
      <c r="R801">
        <v>8.0000000000000002E-3</v>
      </c>
      <c r="T801" t="s">
        <v>2522</v>
      </c>
    </row>
    <row r="802" spans="1:20" x14ac:dyDescent="0.2">
      <c r="A802" t="s">
        <v>2525</v>
      </c>
      <c r="B802" t="s">
        <v>2022</v>
      </c>
      <c r="C802" t="s">
        <v>2023</v>
      </c>
      <c r="D802" t="s">
        <v>2136</v>
      </c>
      <c r="E802" t="s">
        <v>2522</v>
      </c>
      <c r="F802" t="s">
        <v>447</v>
      </c>
      <c r="G802">
        <v>5</v>
      </c>
      <c r="H802">
        <v>1800</v>
      </c>
      <c r="I802">
        <v>2</v>
      </c>
      <c r="J802">
        <v>3.4</v>
      </c>
      <c r="K802">
        <v>4</v>
      </c>
      <c r="L802">
        <v>6.6000000000000003E-2</v>
      </c>
      <c r="M802">
        <v>1</v>
      </c>
      <c r="N802">
        <v>74</v>
      </c>
      <c r="O802">
        <v>1</v>
      </c>
      <c r="P802">
        <v>7.4999999999999997E-2</v>
      </c>
      <c r="Q802">
        <v>2</v>
      </c>
      <c r="R802">
        <v>2E-3</v>
      </c>
      <c r="T802" t="s">
        <v>2522</v>
      </c>
    </row>
    <row r="803" spans="1:20" x14ac:dyDescent="0.2">
      <c r="A803" t="s">
        <v>2526</v>
      </c>
      <c r="B803" t="s">
        <v>2022</v>
      </c>
      <c r="C803" t="s">
        <v>2023</v>
      </c>
      <c r="D803" t="s">
        <v>2136</v>
      </c>
      <c r="E803" t="s">
        <v>2522</v>
      </c>
      <c r="F803" t="s">
        <v>447</v>
      </c>
      <c r="G803">
        <v>5</v>
      </c>
      <c r="H803">
        <v>1800</v>
      </c>
      <c r="I803">
        <v>3</v>
      </c>
      <c r="J803">
        <v>5.9</v>
      </c>
      <c r="K803">
        <v>5</v>
      </c>
      <c r="L803">
        <v>8.5999999999999993E-2</v>
      </c>
      <c r="M803">
        <v>2</v>
      </c>
      <c r="N803">
        <v>84</v>
      </c>
      <c r="O803">
        <v>2</v>
      </c>
      <c r="P803">
        <v>0.22500000000000001</v>
      </c>
      <c r="Q803">
        <v>3</v>
      </c>
      <c r="R803">
        <v>4.0000000000000001E-3</v>
      </c>
      <c r="T803" t="s">
        <v>2522</v>
      </c>
    </row>
    <row r="804" spans="1:20" x14ac:dyDescent="0.2">
      <c r="A804" t="s">
        <v>2527</v>
      </c>
      <c r="B804" t="s">
        <v>2022</v>
      </c>
      <c r="C804" t="s">
        <v>2104</v>
      </c>
      <c r="D804" t="s">
        <v>2136</v>
      </c>
      <c r="E804" t="s">
        <v>2522</v>
      </c>
      <c r="F804" t="s">
        <v>447</v>
      </c>
      <c r="G804">
        <v>5</v>
      </c>
      <c r="H804">
        <v>2237.5</v>
      </c>
      <c r="I804">
        <v>2</v>
      </c>
      <c r="J804">
        <v>3.25</v>
      </c>
      <c r="K804">
        <v>2</v>
      </c>
      <c r="L804">
        <v>4.1000000000000002E-2</v>
      </c>
      <c r="M804">
        <v>1</v>
      </c>
      <c r="N804">
        <v>57</v>
      </c>
      <c r="P804">
        <v>0</v>
      </c>
      <c r="Q804">
        <v>2</v>
      </c>
      <c r="R804">
        <v>3.2000000000000002E-3</v>
      </c>
      <c r="T804" t="s">
        <v>2522</v>
      </c>
    </row>
    <row r="805" spans="1:20" x14ac:dyDescent="0.2">
      <c r="A805" t="s">
        <v>2528</v>
      </c>
      <c r="B805" t="s">
        <v>2022</v>
      </c>
      <c r="C805" t="s">
        <v>2104</v>
      </c>
      <c r="D805" t="s">
        <v>2136</v>
      </c>
      <c r="E805" t="s">
        <v>2522</v>
      </c>
      <c r="F805" t="s">
        <v>447</v>
      </c>
      <c r="G805">
        <v>5</v>
      </c>
      <c r="H805">
        <v>2237.5</v>
      </c>
      <c r="I805">
        <v>2</v>
      </c>
      <c r="J805">
        <v>3.25</v>
      </c>
      <c r="K805">
        <v>2</v>
      </c>
      <c r="L805">
        <v>4.1000000000000002E-2</v>
      </c>
      <c r="M805">
        <v>1</v>
      </c>
      <c r="N805">
        <v>57</v>
      </c>
      <c r="P805">
        <v>0</v>
      </c>
      <c r="Q805">
        <v>1</v>
      </c>
      <c r="R805">
        <v>3.5E-4</v>
      </c>
      <c r="T805" t="s">
        <v>2522</v>
      </c>
    </row>
    <row r="806" spans="1:20" x14ac:dyDescent="0.2">
      <c r="A806" t="s">
        <v>2529</v>
      </c>
      <c r="B806" t="s">
        <v>2022</v>
      </c>
      <c r="C806" t="s">
        <v>2104</v>
      </c>
      <c r="D806" t="s">
        <v>2136</v>
      </c>
      <c r="E806" t="s">
        <v>2522</v>
      </c>
      <c r="F806" t="s">
        <v>447</v>
      </c>
      <c r="G806">
        <v>5</v>
      </c>
      <c r="H806">
        <v>2237.5</v>
      </c>
      <c r="I806">
        <v>2</v>
      </c>
      <c r="J806">
        <v>3.25</v>
      </c>
      <c r="K806">
        <v>1</v>
      </c>
      <c r="L806">
        <v>8.0000000000000002E-3</v>
      </c>
      <c r="M806">
        <v>1</v>
      </c>
      <c r="N806">
        <v>57</v>
      </c>
      <c r="P806">
        <v>0</v>
      </c>
      <c r="Q806">
        <v>1</v>
      </c>
      <c r="R806">
        <v>3.5E-4</v>
      </c>
      <c r="T806" t="s">
        <v>2522</v>
      </c>
    </row>
    <row r="807" spans="1:20" x14ac:dyDescent="0.2">
      <c r="A807" t="s">
        <v>2530</v>
      </c>
      <c r="B807" t="s">
        <v>2022</v>
      </c>
      <c r="C807" t="s">
        <v>2104</v>
      </c>
      <c r="D807" t="s">
        <v>2024</v>
      </c>
      <c r="E807" t="s">
        <v>2531</v>
      </c>
      <c r="F807" t="s">
        <v>2532</v>
      </c>
      <c r="G807">
        <v>5</v>
      </c>
      <c r="H807">
        <v>2237.5</v>
      </c>
      <c r="I807">
        <v>3</v>
      </c>
      <c r="J807">
        <v>5.55</v>
      </c>
      <c r="K807">
        <v>2</v>
      </c>
      <c r="L807">
        <v>4.1000000000000002E-2</v>
      </c>
      <c r="M807">
        <v>3</v>
      </c>
      <c r="N807">
        <v>73</v>
      </c>
      <c r="P807">
        <v>0</v>
      </c>
      <c r="Q807">
        <v>2</v>
      </c>
      <c r="R807">
        <v>3.2000000000000002E-3</v>
      </c>
      <c r="T807" t="s">
        <v>2531</v>
      </c>
    </row>
    <row r="808" spans="1:20" x14ac:dyDescent="0.2">
      <c r="A808" t="s">
        <v>2533</v>
      </c>
      <c r="B808" t="s">
        <v>2022</v>
      </c>
      <c r="C808" t="s">
        <v>2023</v>
      </c>
      <c r="D808" t="s">
        <v>2024</v>
      </c>
      <c r="E808" t="s">
        <v>2534</v>
      </c>
      <c r="F808" t="s">
        <v>2535</v>
      </c>
      <c r="G808">
        <v>1</v>
      </c>
      <c r="H808">
        <v>1480</v>
      </c>
      <c r="I808">
        <v>2</v>
      </c>
      <c r="J808">
        <v>3.4</v>
      </c>
      <c r="K808">
        <v>5</v>
      </c>
      <c r="L808">
        <v>8.5999999999999993E-2</v>
      </c>
      <c r="M808">
        <v>1</v>
      </c>
      <c r="N808">
        <v>74</v>
      </c>
      <c r="O808">
        <v>2</v>
      </c>
      <c r="P808">
        <v>0.22500000000000001</v>
      </c>
      <c r="Q808">
        <v>3</v>
      </c>
      <c r="R808">
        <v>4.0000000000000001E-3</v>
      </c>
      <c r="T808" t="s">
        <v>2534</v>
      </c>
    </row>
    <row r="809" spans="1:20" x14ac:dyDescent="0.2">
      <c r="A809" t="s">
        <v>2536</v>
      </c>
      <c r="B809" t="s">
        <v>2022</v>
      </c>
      <c r="C809" t="s">
        <v>2508</v>
      </c>
      <c r="D809" t="s">
        <v>2024</v>
      </c>
      <c r="E809" t="s">
        <v>357</v>
      </c>
      <c r="F809" t="s">
        <v>2537</v>
      </c>
      <c r="G809">
        <v>1</v>
      </c>
      <c r="H809">
        <v>1250</v>
      </c>
      <c r="I809">
        <v>1</v>
      </c>
      <c r="J809">
        <v>1</v>
      </c>
      <c r="K809">
        <v>1</v>
      </c>
      <c r="L809">
        <v>0.01</v>
      </c>
      <c r="M809">
        <v>5</v>
      </c>
      <c r="N809">
        <v>352.5</v>
      </c>
      <c r="O809">
        <v>3</v>
      </c>
      <c r="P809">
        <v>1.05</v>
      </c>
      <c r="Q809">
        <v>1</v>
      </c>
      <c r="R809">
        <v>1.2E-2</v>
      </c>
      <c r="T809" t="s">
        <v>357</v>
      </c>
    </row>
    <row r="810" spans="1:20" x14ac:dyDescent="0.2">
      <c r="A810" t="s">
        <v>2538</v>
      </c>
      <c r="B810" t="s">
        <v>2022</v>
      </c>
      <c r="C810" t="s">
        <v>2028</v>
      </c>
      <c r="D810" t="s">
        <v>2024</v>
      </c>
      <c r="E810" t="s">
        <v>2539</v>
      </c>
      <c r="F810" t="s">
        <v>2540</v>
      </c>
      <c r="G810">
        <v>2</v>
      </c>
      <c r="H810">
        <v>850</v>
      </c>
      <c r="I810">
        <v>2</v>
      </c>
      <c r="J810">
        <v>1.55</v>
      </c>
      <c r="K810">
        <v>2</v>
      </c>
      <c r="L810">
        <v>4.4999999999999998E-2</v>
      </c>
      <c r="M810">
        <v>2</v>
      </c>
      <c r="N810">
        <v>200</v>
      </c>
      <c r="O810">
        <v>2</v>
      </c>
      <c r="P810">
        <v>0.45</v>
      </c>
      <c r="Q810">
        <v>3</v>
      </c>
      <c r="R810">
        <v>1.6250000000000001E-2</v>
      </c>
      <c r="T810" t="s">
        <v>2539</v>
      </c>
    </row>
    <row r="811" spans="1:20" x14ac:dyDescent="0.2">
      <c r="A811" t="s">
        <v>2541</v>
      </c>
      <c r="B811" t="s">
        <v>2022</v>
      </c>
      <c r="C811" t="s">
        <v>2095</v>
      </c>
      <c r="D811" t="s">
        <v>2024</v>
      </c>
      <c r="E811" t="s">
        <v>2542</v>
      </c>
      <c r="F811" t="s">
        <v>2543</v>
      </c>
      <c r="G811">
        <v>3</v>
      </c>
      <c r="H811">
        <v>1745</v>
      </c>
      <c r="I811">
        <v>4</v>
      </c>
      <c r="J811">
        <v>13.5</v>
      </c>
      <c r="K811">
        <v>4</v>
      </c>
      <c r="L811">
        <v>0.53</v>
      </c>
      <c r="M811">
        <v>2</v>
      </c>
      <c r="N811">
        <v>80</v>
      </c>
      <c r="O811">
        <v>3</v>
      </c>
      <c r="P811">
        <v>0.55000000000000004</v>
      </c>
      <c r="Q811">
        <v>4</v>
      </c>
      <c r="R811">
        <v>2.3900000000000001E-2</v>
      </c>
      <c r="T811" t="s">
        <v>2542</v>
      </c>
    </row>
    <row r="812" spans="1:20" x14ac:dyDescent="0.2">
      <c r="A812" t="s">
        <v>2544</v>
      </c>
      <c r="B812" t="s">
        <v>2022</v>
      </c>
      <c r="C812" t="s">
        <v>2023</v>
      </c>
      <c r="D812" t="s">
        <v>2136</v>
      </c>
      <c r="E812" t="s">
        <v>2545</v>
      </c>
      <c r="F812" t="s">
        <v>2546</v>
      </c>
      <c r="G812">
        <v>5</v>
      </c>
      <c r="H812">
        <v>1800</v>
      </c>
      <c r="I812">
        <v>1</v>
      </c>
      <c r="J812">
        <v>0.9</v>
      </c>
      <c r="K812">
        <v>2</v>
      </c>
      <c r="L812">
        <v>2.5999999999999999E-2</v>
      </c>
      <c r="M812">
        <v>5</v>
      </c>
      <c r="N812">
        <v>114</v>
      </c>
      <c r="O812">
        <v>1</v>
      </c>
      <c r="P812">
        <v>7.4999999999999997E-2</v>
      </c>
      <c r="Q812">
        <v>2</v>
      </c>
      <c r="R812">
        <v>2E-3</v>
      </c>
      <c r="T812" t="s">
        <v>2545</v>
      </c>
    </row>
    <row r="813" spans="1:20" x14ac:dyDescent="0.2">
      <c r="A813" t="s">
        <v>2547</v>
      </c>
      <c r="B813" t="s">
        <v>2022</v>
      </c>
      <c r="C813" t="s">
        <v>2023</v>
      </c>
      <c r="D813" t="s">
        <v>2024</v>
      </c>
      <c r="E813" t="s">
        <v>2548</v>
      </c>
      <c r="F813" t="s">
        <v>2549</v>
      </c>
      <c r="G813">
        <v>1</v>
      </c>
      <c r="H813">
        <v>1480</v>
      </c>
      <c r="I813">
        <v>4</v>
      </c>
      <c r="J813">
        <v>8.4</v>
      </c>
      <c r="K813">
        <v>3</v>
      </c>
      <c r="L813">
        <v>4.5999999999999999E-2</v>
      </c>
      <c r="M813">
        <v>1</v>
      </c>
      <c r="N813">
        <v>74</v>
      </c>
      <c r="O813">
        <v>3</v>
      </c>
      <c r="P813">
        <v>0.375</v>
      </c>
      <c r="Q813">
        <v>2</v>
      </c>
      <c r="R813">
        <v>2E-3</v>
      </c>
      <c r="T813" t="s">
        <v>2548</v>
      </c>
    </row>
    <row r="814" spans="1:20" x14ac:dyDescent="0.2">
      <c r="A814" t="s">
        <v>2550</v>
      </c>
      <c r="B814" t="s">
        <v>2022</v>
      </c>
      <c r="C814" t="s">
        <v>2222</v>
      </c>
      <c r="D814" t="s">
        <v>2024</v>
      </c>
      <c r="E814" t="s">
        <v>2551</v>
      </c>
      <c r="F814" t="s">
        <v>2552</v>
      </c>
      <c r="G814">
        <v>5</v>
      </c>
      <c r="H814">
        <v>1850</v>
      </c>
      <c r="I814">
        <v>5</v>
      </c>
      <c r="J814">
        <v>8.6999999999999993</v>
      </c>
      <c r="K814">
        <v>5</v>
      </c>
      <c r="L814">
        <v>0.26500000000000001</v>
      </c>
      <c r="M814">
        <v>5</v>
      </c>
      <c r="N814">
        <v>75</v>
      </c>
      <c r="O814">
        <v>5</v>
      </c>
      <c r="P814">
        <v>0.39</v>
      </c>
      <c r="Q814">
        <v>5</v>
      </c>
      <c r="R814">
        <v>1.1299999999999999E-2</v>
      </c>
      <c r="T814" t="s">
        <v>2551</v>
      </c>
    </row>
    <row r="815" spans="1:20" x14ac:dyDescent="0.2">
      <c r="A815" t="s">
        <v>2553</v>
      </c>
      <c r="B815" t="s">
        <v>2022</v>
      </c>
      <c r="C815" t="s">
        <v>2028</v>
      </c>
      <c r="D815" t="s">
        <v>2024</v>
      </c>
      <c r="E815" t="s">
        <v>2554</v>
      </c>
      <c r="F815" t="s">
        <v>2555</v>
      </c>
      <c r="G815">
        <v>5</v>
      </c>
      <c r="H815">
        <v>1450</v>
      </c>
      <c r="I815">
        <v>5</v>
      </c>
      <c r="J815">
        <v>6.65</v>
      </c>
      <c r="K815">
        <v>5</v>
      </c>
      <c r="L815">
        <v>0.26700000000000002</v>
      </c>
      <c r="M815">
        <v>1</v>
      </c>
      <c r="N815">
        <v>100</v>
      </c>
      <c r="O815">
        <v>3</v>
      </c>
      <c r="P815">
        <v>0.75</v>
      </c>
      <c r="Q815">
        <v>4</v>
      </c>
      <c r="R815">
        <v>2.4750000000000001E-2</v>
      </c>
      <c r="T815" t="s">
        <v>2554</v>
      </c>
    </row>
    <row r="816" spans="1:20" x14ac:dyDescent="0.2">
      <c r="A816" t="s">
        <v>2556</v>
      </c>
      <c r="B816" t="s">
        <v>2022</v>
      </c>
      <c r="C816" t="s">
        <v>2028</v>
      </c>
      <c r="D816" t="s">
        <v>2024</v>
      </c>
      <c r="E816" t="s">
        <v>2557</v>
      </c>
      <c r="F816" t="s">
        <v>2558</v>
      </c>
      <c r="G816">
        <v>1</v>
      </c>
      <c r="H816">
        <v>650</v>
      </c>
      <c r="I816">
        <v>1</v>
      </c>
      <c r="J816">
        <v>0.35</v>
      </c>
      <c r="K816">
        <v>1</v>
      </c>
      <c r="L816">
        <v>4.0000000000000001E-3</v>
      </c>
      <c r="M816">
        <v>5</v>
      </c>
      <c r="N816">
        <v>500</v>
      </c>
      <c r="O816">
        <v>2</v>
      </c>
      <c r="P816">
        <v>0.45</v>
      </c>
      <c r="Q816">
        <v>2</v>
      </c>
      <c r="R816">
        <v>7.7499999999999999E-3</v>
      </c>
      <c r="T816" t="s">
        <v>2557</v>
      </c>
    </row>
    <row r="817" spans="1:20" x14ac:dyDescent="0.2">
      <c r="A817" t="s">
        <v>2559</v>
      </c>
      <c r="B817" t="s">
        <v>2022</v>
      </c>
      <c r="C817" t="s">
        <v>2053</v>
      </c>
      <c r="D817" t="s">
        <v>2024</v>
      </c>
      <c r="E817" t="s">
        <v>2560</v>
      </c>
      <c r="F817" t="s">
        <v>447</v>
      </c>
      <c r="G817">
        <v>3</v>
      </c>
      <c r="H817">
        <v>1700</v>
      </c>
      <c r="I817">
        <v>3</v>
      </c>
      <c r="J817">
        <v>6.55</v>
      </c>
      <c r="K817">
        <v>2</v>
      </c>
      <c r="L817">
        <v>8.5000000000000006E-2</v>
      </c>
      <c r="M817">
        <v>2</v>
      </c>
      <c r="N817">
        <v>83</v>
      </c>
      <c r="O817">
        <v>3</v>
      </c>
      <c r="P817">
        <v>0.375</v>
      </c>
      <c r="Q817">
        <v>2</v>
      </c>
      <c r="R817">
        <v>5.1999999999999998E-3</v>
      </c>
      <c r="T817" t="s">
        <v>2560</v>
      </c>
    </row>
    <row r="818" spans="1:20" x14ac:dyDescent="0.2">
      <c r="A818" t="s">
        <v>2561</v>
      </c>
      <c r="B818" t="s">
        <v>2022</v>
      </c>
      <c r="C818" t="s">
        <v>2222</v>
      </c>
      <c r="D818" t="s">
        <v>2024</v>
      </c>
      <c r="E818" t="s">
        <v>2562</v>
      </c>
      <c r="F818" t="s">
        <v>2563</v>
      </c>
      <c r="G818">
        <v>3</v>
      </c>
      <c r="H818">
        <v>1650</v>
      </c>
      <c r="I818">
        <v>2</v>
      </c>
      <c r="J818">
        <v>3.9</v>
      </c>
      <c r="K818">
        <v>2</v>
      </c>
      <c r="L818">
        <v>5.5E-2</v>
      </c>
      <c r="M818">
        <v>4</v>
      </c>
      <c r="N818">
        <v>71</v>
      </c>
      <c r="O818">
        <v>2</v>
      </c>
      <c r="P818">
        <v>0.15</v>
      </c>
      <c r="Q818">
        <v>2</v>
      </c>
      <c r="R818">
        <v>2.3E-3</v>
      </c>
      <c r="T818" t="s">
        <v>2562</v>
      </c>
    </row>
    <row r="819" spans="1:20" x14ac:dyDescent="0.2">
      <c r="A819" t="s">
        <v>2564</v>
      </c>
      <c r="B819" t="s">
        <v>2022</v>
      </c>
      <c r="C819" t="s">
        <v>2036</v>
      </c>
      <c r="D819" t="s">
        <v>2024</v>
      </c>
      <c r="E819" t="s">
        <v>2565</v>
      </c>
      <c r="F819" t="s">
        <v>2566</v>
      </c>
      <c r="G819">
        <v>2</v>
      </c>
      <c r="H819">
        <v>1640</v>
      </c>
      <c r="I819">
        <v>5</v>
      </c>
      <c r="J819">
        <v>7</v>
      </c>
      <c r="K819">
        <v>5</v>
      </c>
      <c r="L819">
        <v>0.17499999999999999</v>
      </c>
      <c r="M819">
        <v>1</v>
      </c>
      <c r="N819">
        <v>76</v>
      </c>
      <c r="O819">
        <v>5</v>
      </c>
      <c r="P819">
        <v>0.53500000000000003</v>
      </c>
      <c r="Q819">
        <v>5</v>
      </c>
      <c r="R819">
        <v>1.2E-2</v>
      </c>
      <c r="T819" t="s">
        <v>2565</v>
      </c>
    </row>
    <row r="820" spans="1:20" x14ac:dyDescent="0.2">
      <c r="A820" t="s">
        <v>2567</v>
      </c>
      <c r="B820" t="s">
        <v>2022</v>
      </c>
      <c r="C820" t="s">
        <v>2023</v>
      </c>
      <c r="D820" t="s">
        <v>2024</v>
      </c>
      <c r="E820" t="s">
        <v>2568</v>
      </c>
      <c r="F820" t="s">
        <v>2569</v>
      </c>
      <c r="G820">
        <v>5</v>
      </c>
      <c r="H820">
        <v>1800</v>
      </c>
      <c r="I820">
        <v>5</v>
      </c>
      <c r="J820">
        <v>10.9</v>
      </c>
      <c r="K820">
        <v>5</v>
      </c>
      <c r="L820">
        <v>8.5999999999999993E-2</v>
      </c>
      <c r="M820">
        <v>2</v>
      </c>
      <c r="N820">
        <v>84</v>
      </c>
      <c r="O820">
        <v>5</v>
      </c>
      <c r="P820">
        <v>0.67500000000000004</v>
      </c>
      <c r="Q820">
        <v>5</v>
      </c>
      <c r="R820">
        <v>8.0000000000000002E-3</v>
      </c>
      <c r="T820" t="s">
        <v>2568</v>
      </c>
    </row>
    <row r="821" spans="1:20" x14ac:dyDescent="0.2">
      <c r="A821" t="s">
        <v>2570</v>
      </c>
      <c r="B821" t="s">
        <v>2022</v>
      </c>
      <c r="C821" t="s">
        <v>2101</v>
      </c>
      <c r="D821" t="s">
        <v>2024</v>
      </c>
      <c r="E821" t="s">
        <v>231</v>
      </c>
      <c r="F821" t="s">
        <v>2571</v>
      </c>
      <c r="G821">
        <v>2</v>
      </c>
      <c r="H821">
        <v>1670</v>
      </c>
      <c r="I821">
        <v>5</v>
      </c>
      <c r="J821">
        <v>14</v>
      </c>
      <c r="K821">
        <v>4</v>
      </c>
      <c r="L821">
        <v>0.39050000000000001</v>
      </c>
      <c r="M821">
        <v>2</v>
      </c>
      <c r="N821">
        <v>74</v>
      </c>
      <c r="O821">
        <v>4</v>
      </c>
      <c r="P821">
        <v>0.52500000000000002</v>
      </c>
      <c r="Q821">
        <v>4</v>
      </c>
      <c r="R821">
        <v>1.8499999999999999E-2</v>
      </c>
      <c r="T821" t="s">
        <v>231</v>
      </c>
    </row>
    <row r="822" spans="1:20" x14ac:dyDescent="0.2">
      <c r="A822" t="s">
        <v>2572</v>
      </c>
      <c r="B822" t="s">
        <v>2022</v>
      </c>
      <c r="C822" t="s">
        <v>2053</v>
      </c>
      <c r="D822" t="s">
        <v>2024</v>
      </c>
      <c r="E822" t="s">
        <v>2573</v>
      </c>
      <c r="F822" t="s">
        <v>2574</v>
      </c>
      <c r="G822">
        <v>4</v>
      </c>
      <c r="H822">
        <v>1800</v>
      </c>
      <c r="I822">
        <v>5</v>
      </c>
      <c r="J822">
        <v>11.55</v>
      </c>
      <c r="K822">
        <v>3</v>
      </c>
      <c r="L822">
        <v>0.19500000000000001</v>
      </c>
      <c r="M822">
        <v>2</v>
      </c>
      <c r="N822">
        <v>83</v>
      </c>
      <c r="O822">
        <v>5</v>
      </c>
      <c r="P822">
        <v>0.67500000000000004</v>
      </c>
      <c r="Q822">
        <v>3</v>
      </c>
      <c r="R822">
        <v>1.2200000000000001E-2</v>
      </c>
      <c r="T822" t="s">
        <v>2573</v>
      </c>
    </row>
    <row r="823" spans="1:20" x14ac:dyDescent="0.2">
      <c r="A823" t="s">
        <v>2575</v>
      </c>
      <c r="B823" t="s">
        <v>2022</v>
      </c>
      <c r="C823" t="s">
        <v>2053</v>
      </c>
      <c r="D823" t="s">
        <v>2024</v>
      </c>
      <c r="E823" t="s">
        <v>2576</v>
      </c>
      <c r="F823" t="s">
        <v>2577</v>
      </c>
      <c r="G823">
        <v>4</v>
      </c>
      <c r="H823">
        <v>1800</v>
      </c>
      <c r="I823">
        <v>2</v>
      </c>
      <c r="J823">
        <v>4.05</v>
      </c>
      <c r="K823">
        <v>1</v>
      </c>
      <c r="L823">
        <v>1.4999999999999999E-2</v>
      </c>
      <c r="M823">
        <v>1</v>
      </c>
      <c r="N823">
        <v>73</v>
      </c>
      <c r="O823">
        <v>1</v>
      </c>
      <c r="P823">
        <v>7.4999999999999997E-2</v>
      </c>
      <c r="Q823">
        <v>1</v>
      </c>
      <c r="R823">
        <v>8.4999999999999995E-4</v>
      </c>
      <c r="T823" t="s">
        <v>2576</v>
      </c>
    </row>
    <row r="824" spans="1:20" x14ac:dyDescent="0.2">
      <c r="A824" t="s">
        <v>2578</v>
      </c>
      <c r="B824" t="s">
        <v>2022</v>
      </c>
      <c r="C824" t="s">
        <v>2023</v>
      </c>
      <c r="D824" t="s">
        <v>2024</v>
      </c>
      <c r="E824" t="s">
        <v>2579</v>
      </c>
      <c r="F824" t="s">
        <v>2580</v>
      </c>
      <c r="G824">
        <v>2</v>
      </c>
      <c r="H824">
        <v>1560</v>
      </c>
      <c r="I824">
        <v>2</v>
      </c>
      <c r="J824">
        <v>3.4</v>
      </c>
      <c r="K824">
        <v>2</v>
      </c>
      <c r="L824">
        <v>2.5999999999999999E-2</v>
      </c>
      <c r="M824">
        <v>1</v>
      </c>
      <c r="N824">
        <v>74</v>
      </c>
      <c r="O824">
        <v>2</v>
      </c>
      <c r="P824">
        <v>0.22500000000000001</v>
      </c>
      <c r="Q824">
        <v>2</v>
      </c>
      <c r="R824">
        <v>2E-3</v>
      </c>
      <c r="T824" t="s">
        <v>2579</v>
      </c>
    </row>
    <row r="825" spans="1:20" x14ac:dyDescent="0.2">
      <c r="A825" t="s">
        <v>2581</v>
      </c>
      <c r="B825" t="s">
        <v>2022</v>
      </c>
      <c r="C825" t="s">
        <v>2023</v>
      </c>
      <c r="D825" t="s">
        <v>2024</v>
      </c>
      <c r="E825" t="s">
        <v>2582</v>
      </c>
      <c r="F825" t="s">
        <v>2583</v>
      </c>
      <c r="G825">
        <v>3</v>
      </c>
      <c r="H825">
        <v>1640</v>
      </c>
      <c r="I825">
        <v>5</v>
      </c>
      <c r="J825">
        <v>10.9</v>
      </c>
      <c r="K825">
        <v>5</v>
      </c>
      <c r="L825">
        <v>8.5999999999999993E-2</v>
      </c>
      <c r="M825">
        <v>4</v>
      </c>
      <c r="N825">
        <v>104</v>
      </c>
      <c r="O825">
        <v>5</v>
      </c>
      <c r="P825">
        <v>0.67500000000000004</v>
      </c>
      <c r="Q825">
        <v>5</v>
      </c>
      <c r="R825">
        <v>8.0000000000000002E-3</v>
      </c>
      <c r="T825" t="s">
        <v>2582</v>
      </c>
    </row>
    <row r="826" spans="1:20" x14ac:dyDescent="0.2">
      <c r="A826" t="s">
        <v>2584</v>
      </c>
      <c r="B826" t="s">
        <v>2022</v>
      </c>
      <c r="C826" t="s">
        <v>2173</v>
      </c>
      <c r="D826" t="s">
        <v>2024</v>
      </c>
      <c r="E826" t="s">
        <v>2585</v>
      </c>
      <c r="F826" t="s">
        <v>2586</v>
      </c>
      <c r="G826">
        <v>4</v>
      </c>
      <c r="H826">
        <v>2107.5</v>
      </c>
      <c r="I826">
        <v>3</v>
      </c>
      <c r="J826">
        <v>9.0500000000000007</v>
      </c>
      <c r="K826">
        <v>3</v>
      </c>
      <c r="L826">
        <v>0.21</v>
      </c>
      <c r="M826">
        <v>3</v>
      </c>
      <c r="N826">
        <v>118.5</v>
      </c>
      <c r="O826">
        <v>3</v>
      </c>
      <c r="P826">
        <v>0.51</v>
      </c>
      <c r="Q826">
        <v>3</v>
      </c>
      <c r="R826">
        <v>1.18E-2</v>
      </c>
      <c r="T826" t="s">
        <v>2585</v>
      </c>
    </row>
    <row r="827" spans="1:20" x14ac:dyDescent="0.2">
      <c r="A827" t="s">
        <v>2587</v>
      </c>
      <c r="B827" t="s">
        <v>2022</v>
      </c>
      <c r="C827" t="s">
        <v>2173</v>
      </c>
      <c r="D827" t="s">
        <v>2024</v>
      </c>
      <c r="E827" t="s">
        <v>2588</v>
      </c>
      <c r="F827" t="s">
        <v>2589</v>
      </c>
      <c r="G827">
        <v>2</v>
      </c>
      <c r="H827">
        <v>1957.5</v>
      </c>
      <c r="I827">
        <v>5</v>
      </c>
      <c r="J827">
        <v>14.45</v>
      </c>
      <c r="K827">
        <v>5</v>
      </c>
      <c r="L827">
        <v>0.45</v>
      </c>
      <c r="M827">
        <v>3</v>
      </c>
      <c r="N827">
        <v>118.5</v>
      </c>
      <c r="O827">
        <v>5</v>
      </c>
      <c r="P827">
        <v>0.87</v>
      </c>
      <c r="Q827">
        <v>5</v>
      </c>
      <c r="R827">
        <v>2.58E-2</v>
      </c>
      <c r="T827" t="s">
        <v>2588</v>
      </c>
    </row>
    <row r="828" spans="1:20" x14ac:dyDescent="0.2">
      <c r="A828" t="s">
        <v>2590</v>
      </c>
      <c r="B828" t="s">
        <v>2022</v>
      </c>
      <c r="C828" t="s">
        <v>2023</v>
      </c>
      <c r="D828" t="s">
        <v>2024</v>
      </c>
      <c r="E828" t="s">
        <v>2591</v>
      </c>
      <c r="F828" t="s">
        <v>447</v>
      </c>
      <c r="G828">
        <v>1</v>
      </c>
      <c r="H828">
        <v>1480</v>
      </c>
      <c r="I828">
        <v>3</v>
      </c>
      <c r="J828">
        <v>5.9</v>
      </c>
      <c r="K828">
        <v>5</v>
      </c>
      <c r="L828">
        <v>8.5999999999999993E-2</v>
      </c>
      <c r="M828">
        <v>2</v>
      </c>
      <c r="N828">
        <v>84</v>
      </c>
      <c r="O828">
        <v>3</v>
      </c>
      <c r="P828">
        <v>0.375</v>
      </c>
      <c r="Q828">
        <v>5</v>
      </c>
      <c r="R828">
        <v>8.0000000000000002E-3</v>
      </c>
      <c r="T828" t="s">
        <v>2591</v>
      </c>
    </row>
    <row r="829" spans="1:20" x14ac:dyDescent="0.2">
      <c r="A829" t="s">
        <v>2592</v>
      </c>
      <c r="B829" t="s">
        <v>2022</v>
      </c>
      <c r="C829" t="s">
        <v>2023</v>
      </c>
      <c r="D829" t="s">
        <v>2024</v>
      </c>
      <c r="E829" t="s">
        <v>2593</v>
      </c>
      <c r="F829" t="s">
        <v>2594</v>
      </c>
      <c r="G829">
        <v>5</v>
      </c>
      <c r="H829">
        <v>1800</v>
      </c>
      <c r="I829">
        <v>5</v>
      </c>
      <c r="J829">
        <v>10.9</v>
      </c>
      <c r="K829">
        <v>5</v>
      </c>
      <c r="L829">
        <v>8.5999999999999993E-2</v>
      </c>
      <c r="M829">
        <v>2</v>
      </c>
      <c r="N829">
        <v>84</v>
      </c>
      <c r="O829">
        <v>4</v>
      </c>
      <c r="P829">
        <v>0.52500000000000002</v>
      </c>
      <c r="Q829">
        <v>5</v>
      </c>
      <c r="R829">
        <v>8.0000000000000002E-3</v>
      </c>
      <c r="T829" t="s">
        <v>2593</v>
      </c>
    </row>
    <row r="830" spans="1:20" x14ac:dyDescent="0.2">
      <c r="A830" t="s">
        <v>2595</v>
      </c>
      <c r="B830" t="s">
        <v>2022</v>
      </c>
      <c r="C830" t="s">
        <v>2053</v>
      </c>
      <c r="D830" t="s">
        <v>2024</v>
      </c>
      <c r="E830" t="s">
        <v>2596</v>
      </c>
      <c r="F830" t="s">
        <v>2597</v>
      </c>
      <c r="G830">
        <v>4</v>
      </c>
      <c r="H830">
        <v>1800</v>
      </c>
      <c r="I830">
        <v>4</v>
      </c>
      <c r="J830">
        <v>9.0500000000000007</v>
      </c>
      <c r="K830">
        <v>4</v>
      </c>
      <c r="L830">
        <v>0.30499999999999999</v>
      </c>
      <c r="M830">
        <v>2</v>
      </c>
      <c r="N830">
        <v>83</v>
      </c>
      <c r="O830">
        <v>3</v>
      </c>
      <c r="P830">
        <v>0.375</v>
      </c>
      <c r="Q830">
        <v>3</v>
      </c>
      <c r="R830">
        <v>1.2200000000000001E-2</v>
      </c>
      <c r="T830" t="s">
        <v>2596</v>
      </c>
    </row>
    <row r="831" spans="1:20" x14ac:dyDescent="0.2">
      <c r="A831" t="s">
        <v>40</v>
      </c>
      <c r="B831" t="s">
        <v>2022</v>
      </c>
      <c r="C831" t="s">
        <v>2053</v>
      </c>
      <c r="D831" t="s">
        <v>2024</v>
      </c>
      <c r="E831" t="s">
        <v>230</v>
      </c>
      <c r="F831" t="s">
        <v>2598</v>
      </c>
      <c r="G831">
        <v>2</v>
      </c>
      <c r="H831">
        <v>1600</v>
      </c>
      <c r="I831">
        <v>1</v>
      </c>
      <c r="J831">
        <v>1.55</v>
      </c>
      <c r="K831">
        <v>2</v>
      </c>
      <c r="L831">
        <v>8.5000000000000006E-2</v>
      </c>
      <c r="M831">
        <v>4</v>
      </c>
      <c r="N831">
        <v>103</v>
      </c>
      <c r="O831">
        <v>1</v>
      </c>
      <c r="P831">
        <v>7.4999999999999997E-2</v>
      </c>
      <c r="Q831">
        <v>2</v>
      </c>
      <c r="R831">
        <v>5.1999999999999998E-3</v>
      </c>
      <c r="T831" t="s">
        <v>230</v>
      </c>
    </row>
    <row r="832" spans="1:20" x14ac:dyDescent="0.2">
      <c r="A832" t="s">
        <v>2599</v>
      </c>
      <c r="B832" t="s">
        <v>2022</v>
      </c>
      <c r="C832" t="s">
        <v>2257</v>
      </c>
      <c r="D832" t="s">
        <v>2024</v>
      </c>
      <c r="E832" t="s">
        <v>357</v>
      </c>
      <c r="F832" t="s">
        <v>2600</v>
      </c>
      <c r="G832">
        <v>2</v>
      </c>
      <c r="H832">
        <v>1000</v>
      </c>
      <c r="I832">
        <v>2</v>
      </c>
      <c r="J832">
        <v>1.75</v>
      </c>
      <c r="K832">
        <v>2</v>
      </c>
      <c r="L832">
        <v>3.6999999999999998E-2</v>
      </c>
      <c r="M832">
        <v>5</v>
      </c>
      <c r="N832">
        <v>1100</v>
      </c>
      <c r="O832">
        <v>5</v>
      </c>
      <c r="P832">
        <v>2.7</v>
      </c>
      <c r="Q832">
        <v>2</v>
      </c>
      <c r="R832">
        <v>1.4999999999999999E-2</v>
      </c>
      <c r="T832" t="s">
        <v>357</v>
      </c>
    </row>
    <row r="833" spans="1:20" x14ac:dyDescent="0.2">
      <c r="A833" t="s">
        <v>2601</v>
      </c>
      <c r="B833" t="s">
        <v>2022</v>
      </c>
      <c r="C833" t="s">
        <v>2023</v>
      </c>
      <c r="D833" t="s">
        <v>2024</v>
      </c>
      <c r="E833" t="s">
        <v>2602</v>
      </c>
      <c r="F833" t="s">
        <v>447</v>
      </c>
      <c r="G833">
        <v>4</v>
      </c>
      <c r="H833">
        <v>1720</v>
      </c>
      <c r="I833">
        <v>2</v>
      </c>
      <c r="J833">
        <v>3.4</v>
      </c>
      <c r="K833">
        <v>2</v>
      </c>
      <c r="L833">
        <v>2.5999999999999999E-2</v>
      </c>
      <c r="M833">
        <v>3</v>
      </c>
      <c r="N833">
        <v>94</v>
      </c>
      <c r="O833">
        <v>2</v>
      </c>
      <c r="P833">
        <v>0.22500000000000001</v>
      </c>
      <c r="Q833">
        <v>1</v>
      </c>
      <c r="R833">
        <v>5.0000000000000001E-4</v>
      </c>
      <c r="T833" t="s">
        <v>2602</v>
      </c>
    </row>
    <row r="834" spans="1:20" x14ac:dyDescent="0.2">
      <c r="A834" t="s">
        <v>2603</v>
      </c>
      <c r="B834" t="s">
        <v>2022</v>
      </c>
      <c r="C834" t="s">
        <v>2101</v>
      </c>
      <c r="D834" t="s">
        <v>2024</v>
      </c>
      <c r="E834" t="s">
        <v>2604</v>
      </c>
      <c r="F834" t="s">
        <v>2605</v>
      </c>
      <c r="G834">
        <v>2</v>
      </c>
      <c r="H834">
        <v>1670</v>
      </c>
      <c r="I834">
        <v>2</v>
      </c>
      <c r="J834">
        <v>5</v>
      </c>
      <c r="K834">
        <v>2</v>
      </c>
      <c r="L834">
        <v>9.6500000000000002E-2</v>
      </c>
      <c r="M834">
        <v>3</v>
      </c>
      <c r="N834">
        <v>82</v>
      </c>
      <c r="O834">
        <v>2</v>
      </c>
      <c r="P834">
        <v>0.22500000000000001</v>
      </c>
      <c r="Q834">
        <v>2</v>
      </c>
      <c r="R834">
        <v>4.4999999999999997E-3</v>
      </c>
      <c r="T834" t="s">
        <v>2604</v>
      </c>
    </row>
    <row r="835" spans="1:20" x14ac:dyDescent="0.2">
      <c r="A835" t="s">
        <v>2606</v>
      </c>
      <c r="B835" t="s">
        <v>2022</v>
      </c>
      <c r="C835" t="s">
        <v>2049</v>
      </c>
      <c r="D835" t="s">
        <v>2136</v>
      </c>
      <c r="E835" t="s">
        <v>357</v>
      </c>
      <c r="F835" t="s">
        <v>2607</v>
      </c>
      <c r="G835">
        <v>1</v>
      </c>
      <c r="H835">
        <v>1350</v>
      </c>
      <c r="I835">
        <v>1</v>
      </c>
      <c r="J835">
        <v>1.4</v>
      </c>
      <c r="K835">
        <v>1</v>
      </c>
      <c r="L835">
        <v>0.01</v>
      </c>
      <c r="M835">
        <v>5</v>
      </c>
      <c r="N835">
        <v>166</v>
      </c>
      <c r="O835">
        <v>5</v>
      </c>
      <c r="P835">
        <v>0.86</v>
      </c>
      <c r="Q835">
        <v>2</v>
      </c>
      <c r="R835">
        <v>6.1999999999999998E-3</v>
      </c>
      <c r="T835" t="s">
        <v>357</v>
      </c>
    </row>
    <row r="836" spans="1:20" x14ac:dyDescent="0.2">
      <c r="A836" t="s">
        <v>2608</v>
      </c>
      <c r="B836" t="s">
        <v>2022</v>
      </c>
      <c r="C836" t="s">
        <v>2023</v>
      </c>
      <c r="D836" t="s">
        <v>2024</v>
      </c>
      <c r="E836" t="s">
        <v>2609</v>
      </c>
      <c r="F836" t="s">
        <v>2610</v>
      </c>
      <c r="G836">
        <v>3</v>
      </c>
      <c r="H836">
        <v>1640</v>
      </c>
      <c r="I836">
        <v>5</v>
      </c>
      <c r="J836">
        <v>10.9</v>
      </c>
      <c r="K836">
        <v>5</v>
      </c>
      <c r="L836">
        <v>8.5999999999999993E-2</v>
      </c>
      <c r="M836">
        <v>3</v>
      </c>
      <c r="N836">
        <v>94</v>
      </c>
      <c r="O836">
        <v>5</v>
      </c>
      <c r="P836">
        <v>0.67500000000000004</v>
      </c>
      <c r="Q836">
        <v>5</v>
      </c>
      <c r="R836">
        <v>8.0000000000000002E-3</v>
      </c>
      <c r="T836" t="s">
        <v>2609</v>
      </c>
    </row>
    <row r="837" spans="1:20" x14ac:dyDescent="0.2">
      <c r="A837" t="s">
        <v>2611</v>
      </c>
      <c r="B837" t="s">
        <v>2022</v>
      </c>
      <c r="C837" t="s">
        <v>2023</v>
      </c>
      <c r="D837" t="s">
        <v>2024</v>
      </c>
      <c r="E837" t="s">
        <v>2612</v>
      </c>
      <c r="F837" t="s">
        <v>2613</v>
      </c>
      <c r="G837">
        <v>4</v>
      </c>
      <c r="H837">
        <v>1720</v>
      </c>
      <c r="I837">
        <v>3</v>
      </c>
      <c r="J837">
        <v>5.9</v>
      </c>
      <c r="K837">
        <v>5</v>
      </c>
      <c r="L837">
        <v>8.5999999999999993E-2</v>
      </c>
      <c r="M837">
        <v>3</v>
      </c>
      <c r="N837">
        <v>94</v>
      </c>
      <c r="O837">
        <v>3</v>
      </c>
      <c r="P837">
        <v>0.375</v>
      </c>
      <c r="Q837">
        <v>5</v>
      </c>
      <c r="R837">
        <v>8.0000000000000002E-3</v>
      </c>
      <c r="T837" t="s">
        <v>2612</v>
      </c>
    </row>
    <row r="838" spans="1:20" x14ac:dyDescent="0.2">
      <c r="A838" t="s">
        <v>2614</v>
      </c>
      <c r="B838" t="s">
        <v>2022</v>
      </c>
      <c r="C838" t="s">
        <v>2036</v>
      </c>
      <c r="D838" t="s">
        <v>2024</v>
      </c>
      <c r="E838" t="s">
        <v>2615</v>
      </c>
      <c r="F838" t="s">
        <v>2616</v>
      </c>
      <c r="G838">
        <v>2</v>
      </c>
      <c r="H838">
        <v>1640</v>
      </c>
      <c r="I838">
        <v>2</v>
      </c>
      <c r="J838">
        <v>3.4</v>
      </c>
      <c r="K838">
        <v>2</v>
      </c>
      <c r="L838">
        <v>8.5000000000000006E-2</v>
      </c>
      <c r="M838">
        <v>1</v>
      </c>
      <c r="N838">
        <v>76</v>
      </c>
      <c r="O838">
        <v>1</v>
      </c>
      <c r="P838">
        <v>9.5000000000000001E-2</v>
      </c>
      <c r="Q838">
        <v>2</v>
      </c>
      <c r="R838">
        <v>4.2500000000000003E-3</v>
      </c>
      <c r="T838" t="s">
        <v>2615</v>
      </c>
    </row>
    <row r="839" spans="1:20" x14ac:dyDescent="0.2">
      <c r="A839" t="s">
        <v>2617</v>
      </c>
      <c r="B839" t="s">
        <v>2022</v>
      </c>
      <c r="C839" t="s">
        <v>2049</v>
      </c>
      <c r="D839" t="s">
        <v>2024</v>
      </c>
      <c r="E839" t="s">
        <v>2618</v>
      </c>
      <c r="F839" t="s">
        <v>2619</v>
      </c>
      <c r="G839">
        <v>3</v>
      </c>
      <c r="H839">
        <v>1550</v>
      </c>
      <c r="I839">
        <v>1</v>
      </c>
      <c r="J839">
        <v>1.4</v>
      </c>
      <c r="K839">
        <v>1</v>
      </c>
      <c r="L839">
        <v>0.01</v>
      </c>
      <c r="M839">
        <v>5</v>
      </c>
      <c r="N839">
        <v>166</v>
      </c>
      <c r="O839">
        <v>1</v>
      </c>
      <c r="P839">
        <v>0.06</v>
      </c>
      <c r="Q839">
        <v>1</v>
      </c>
      <c r="R839">
        <v>8.4999999999999995E-4</v>
      </c>
      <c r="T839" t="s">
        <v>2618</v>
      </c>
    </row>
    <row r="840" spans="1:20" x14ac:dyDescent="0.2">
      <c r="A840" t="s">
        <v>2620</v>
      </c>
      <c r="B840" t="s">
        <v>2022</v>
      </c>
      <c r="C840" t="s">
        <v>2053</v>
      </c>
      <c r="D840" t="s">
        <v>2024</v>
      </c>
      <c r="E840" t="s">
        <v>2621</v>
      </c>
      <c r="F840" t="s">
        <v>2622</v>
      </c>
      <c r="G840">
        <v>2</v>
      </c>
      <c r="H840">
        <v>1600</v>
      </c>
      <c r="I840">
        <v>3</v>
      </c>
      <c r="J840">
        <v>6.55</v>
      </c>
      <c r="K840">
        <v>2</v>
      </c>
      <c r="L840">
        <v>8.5000000000000006E-2</v>
      </c>
      <c r="M840">
        <v>2</v>
      </c>
      <c r="N840">
        <v>83</v>
      </c>
      <c r="O840">
        <v>3</v>
      </c>
      <c r="P840">
        <v>0.375</v>
      </c>
      <c r="Q840">
        <v>2</v>
      </c>
      <c r="R840">
        <v>5.1999999999999998E-3</v>
      </c>
      <c r="T840" t="s">
        <v>2621</v>
      </c>
    </row>
    <row r="841" spans="1:20" x14ac:dyDescent="0.2">
      <c r="A841" t="s">
        <v>2623</v>
      </c>
      <c r="B841" t="s">
        <v>2022</v>
      </c>
      <c r="C841" t="s">
        <v>2023</v>
      </c>
      <c r="D841" t="s">
        <v>2154</v>
      </c>
      <c r="E841" t="s">
        <v>2624</v>
      </c>
      <c r="F841" t="s">
        <v>2625</v>
      </c>
      <c r="G841">
        <v>3</v>
      </c>
      <c r="H841">
        <v>1640</v>
      </c>
      <c r="I841">
        <v>5</v>
      </c>
      <c r="J841">
        <v>10.9</v>
      </c>
      <c r="K841">
        <v>5</v>
      </c>
      <c r="L841">
        <v>8.5999999999999993E-2</v>
      </c>
      <c r="M841">
        <v>1</v>
      </c>
      <c r="N841">
        <v>74</v>
      </c>
      <c r="O841">
        <v>5</v>
      </c>
      <c r="P841">
        <v>0.67500000000000004</v>
      </c>
      <c r="Q841">
        <v>5</v>
      </c>
      <c r="R841">
        <v>8.0000000000000002E-3</v>
      </c>
      <c r="T841" t="s">
        <v>2624</v>
      </c>
    </row>
    <row r="842" spans="1:20" x14ac:dyDescent="0.2">
      <c r="A842" t="s">
        <v>2626</v>
      </c>
      <c r="B842" t="s">
        <v>2022</v>
      </c>
      <c r="C842" t="s">
        <v>2222</v>
      </c>
      <c r="D842" t="s">
        <v>2024</v>
      </c>
      <c r="E842" t="s">
        <v>2627</v>
      </c>
      <c r="F842" t="s">
        <v>2628</v>
      </c>
      <c r="G842">
        <v>4</v>
      </c>
      <c r="H842">
        <v>1750</v>
      </c>
      <c r="I842">
        <v>2</v>
      </c>
      <c r="J842">
        <v>3.9</v>
      </c>
      <c r="K842">
        <v>2</v>
      </c>
      <c r="L842">
        <v>5.5E-2</v>
      </c>
      <c r="M842">
        <v>3</v>
      </c>
      <c r="N842">
        <v>67</v>
      </c>
      <c r="O842">
        <v>2</v>
      </c>
      <c r="P842">
        <v>0.15</v>
      </c>
      <c r="Q842">
        <v>2</v>
      </c>
      <c r="R842">
        <v>2.3E-3</v>
      </c>
      <c r="T842" t="s">
        <v>2627</v>
      </c>
    </row>
    <row r="843" spans="1:20" x14ac:dyDescent="0.2">
      <c r="A843" t="s">
        <v>2629</v>
      </c>
      <c r="B843" t="s">
        <v>2022</v>
      </c>
      <c r="C843" t="s">
        <v>2023</v>
      </c>
      <c r="D843" t="s">
        <v>2024</v>
      </c>
      <c r="E843" t="s">
        <v>2627</v>
      </c>
      <c r="F843" t="s">
        <v>2628</v>
      </c>
      <c r="G843">
        <v>4</v>
      </c>
      <c r="H843">
        <v>1720</v>
      </c>
      <c r="I843">
        <v>5</v>
      </c>
      <c r="J843">
        <v>10.9</v>
      </c>
      <c r="K843">
        <v>5</v>
      </c>
      <c r="L843">
        <v>8.5999999999999993E-2</v>
      </c>
      <c r="M843">
        <v>1</v>
      </c>
      <c r="N843">
        <v>74</v>
      </c>
      <c r="O843">
        <v>4</v>
      </c>
      <c r="P843">
        <v>0.52500000000000002</v>
      </c>
      <c r="Q843">
        <v>5</v>
      </c>
      <c r="R843">
        <v>8.0000000000000002E-3</v>
      </c>
      <c r="T843" t="s">
        <v>2627</v>
      </c>
    </row>
    <row r="844" spans="1:20" x14ac:dyDescent="0.2">
      <c r="A844" t="s">
        <v>2630</v>
      </c>
      <c r="B844" t="s">
        <v>2022</v>
      </c>
      <c r="C844" t="s">
        <v>2023</v>
      </c>
      <c r="D844" t="s">
        <v>2024</v>
      </c>
      <c r="E844" t="s">
        <v>2631</v>
      </c>
      <c r="F844" t="s">
        <v>2632</v>
      </c>
      <c r="G844">
        <v>5</v>
      </c>
      <c r="H844">
        <v>1800</v>
      </c>
      <c r="I844">
        <v>2</v>
      </c>
      <c r="J844">
        <v>3.4</v>
      </c>
      <c r="K844">
        <v>2</v>
      </c>
      <c r="L844">
        <v>2.5999999999999999E-2</v>
      </c>
      <c r="M844">
        <v>2</v>
      </c>
      <c r="N844">
        <v>84</v>
      </c>
      <c r="O844">
        <v>1</v>
      </c>
      <c r="P844">
        <v>7.4999999999999997E-2</v>
      </c>
      <c r="Q844">
        <v>1</v>
      </c>
      <c r="R844">
        <v>5.0000000000000001E-4</v>
      </c>
      <c r="T844" t="s">
        <v>2631</v>
      </c>
    </row>
    <row r="845" spans="1:20" x14ac:dyDescent="0.2">
      <c r="A845" t="s">
        <v>2633</v>
      </c>
      <c r="B845" t="s">
        <v>2022</v>
      </c>
      <c r="C845" t="s">
        <v>2023</v>
      </c>
      <c r="D845" t="s">
        <v>2024</v>
      </c>
      <c r="E845" t="s">
        <v>651</v>
      </c>
      <c r="F845" t="s">
        <v>2634</v>
      </c>
      <c r="G845">
        <v>2</v>
      </c>
      <c r="H845">
        <v>1560</v>
      </c>
      <c r="I845">
        <v>3</v>
      </c>
      <c r="J845">
        <v>5.9</v>
      </c>
      <c r="K845">
        <v>2</v>
      </c>
      <c r="L845">
        <v>2.5999999999999999E-2</v>
      </c>
      <c r="M845">
        <v>1</v>
      </c>
      <c r="N845">
        <v>74</v>
      </c>
      <c r="O845">
        <v>3</v>
      </c>
      <c r="P845">
        <v>0.375</v>
      </c>
      <c r="Q845">
        <v>1</v>
      </c>
      <c r="R845">
        <v>5.0000000000000001E-4</v>
      </c>
      <c r="T845" t="s">
        <v>651</v>
      </c>
    </row>
    <row r="846" spans="1:20" x14ac:dyDescent="0.2">
      <c r="A846" t="s">
        <v>2635</v>
      </c>
      <c r="B846" t="s">
        <v>2022</v>
      </c>
      <c r="C846" t="s">
        <v>2023</v>
      </c>
      <c r="D846" t="s">
        <v>2024</v>
      </c>
      <c r="E846" t="s">
        <v>2636</v>
      </c>
      <c r="F846" t="s">
        <v>2637</v>
      </c>
      <c r="G846">
        <v>3</v>
      </c>
      <c r="H846">
        <v>1640</v>
      </c>
      <c r="I846">
        <v>5</v>
      </c>
      <c r="J846">
        <v>10.9</v>
      </c>
      <c r="K846">
        <v>5</v>
      </c>
      <c r="L846">
        <v>8.5999999999999993E-2</v>
      </c>
      <c r="M846">
        <v>3</v>
      </c>
      <c r="N846">
        <v>94</v>
      </c>
      <c r="O846">
        <v>5</v>
      </c>
      <c r="P846">
        <v>0.67500000000000004</v>
      </c>
      <c r="Q846">
        <v>5</v>
      </c>
      <c r="R846">
        <v>8.0000000000000002E-3</v>
      </c>
      <c r="T846" t="s">
        <v>2636</v>
      </c>
    </row>
    <row r="847" spans="1:20" x14ac:dyDescent="0.2">
      <c r="A847" t="s">
        <v>2638</v>
      </c>
      <c r="B847" t="s">
        <v>2022</v>
      </c>
      <c r="C847" t="s">
        <v>2023</v>
      </c>
      <c r="D847" t="s">
        <v>2024</v>
      </c>
      <c r="E847" t="s">
        <v>2639</v>
      </c>
      <c r="F847" t="s">
        <v>2640</v>
      </c>
      <c r="G847">
        <v>3</v>
      </c>
      <c r="H847">
        <v>1640</v>
      </c>
      <c r="I847">
        <v>3</v>
      </c>
      <c r="J847">
        <v>5.9</v>
      </c>
      <c r="K847">
        <v>5</v>
      </c>
      <c r="L847">
        <v>8.5999999999999993E-2</v>
      </c>
      <c r="M847">
        <v>2</v>
      </c>
      <c r="N847">
        <v>84</v>
      </c>
      <c r="O847">
        <v>3</v>
      </c>
      <c r="P847">
        <v>0.375</v>
      </c>
      <c r="Q847">
        <v>4</v>
      </c>
      <c r="R847">
        <v>6.0000000000000001E-3</v>
      </c>
      <c r="T847" t="s">
        <v>2639</v>
      </c>
    </row>
    <row r="848" spans="1:20" x14ac:dyDescent="0.2">
      <c r="A848" t="s">
        <v>2641</v>
      </c>
      <c r="B848" t="s">
        <v>2022</v>
      </c>
      <c r="C848" t="s">
        <v>2023</v>
      </c>
      <c r="D848" t="s">
        <v>2024</v>
      </c>
      <c r="E848" t="s">
        <v>2642</v>
      </c>
      <c r="F848" t="s">
        <v>2643</v>
      </c>
      <c r="G848">
        <v>2</v>
      </c>
      <c r="H848">
        <v>1560</v>
      </c>
      <c r="I848">
        <v>2</v>
      </c>
      <c r="J848">
        <v>3.4</v>
      </c>
      <c r="K848">
        <v>5</v>
      </c>
      <c r="L848">
        <v>8.5999999999999993E-2</v>
      </c>
      <c r="M848">
        <v>5</v>
      </c>
      <c r="N848">
        <v>114</v>
      </c>
      <c r="O848">
        <v>2</v>
      </c>
      <c r="P848">
        <v>0.22500000000000001</v>
      </c>
      <c r="Q848">
        <v>5</v>
      </c>
      <c r="R848">
        <v>8.0000000000000002E-3</v>
      </c>
      <c r="T848" t="s">
        <v>2642</v>
      </c>
    </row>
    <row r="849" spans="1:20" x14ac:dyDescent="0.2">
      <c r="A849" t="s">
        <v>2644</v>
      </c>
      <c r="B849" t="s">
        <v>2022</v>
      </c>
      <c r="C849" t="s">
        <v>2101</v>
      </c>
      <c r="D849" t="s">
        <v>2024</v>
      </c>
      <c r="E849" t="s">
        <v>2645</v>
      </c>
      <c r="F849" t="s">
        <v>2646</v>
      </c>
      <c r="G849">
        <v>1</v>
      </c>
      <c r="H849">
        <v>1570</v>
      </c>
      <c r="I849">
        <v>2</v>
      </c>
      <c r="J849">
        <v>5</v>
      </c>
      <c r="K849">
        <v>2</v>
      </c>
      <c r="L849">
        <v>9.6500000000000002E-2</v>
      </c>
      <c r="M849">
        <v>1</v>
      </c>
      <c r="N849">
        <v>66</v>
      </c>
      <c r="O849">
        <v>2</v>
      </c>
      <c r="P849">
        <v>0.22500000000000001</v>
      </c>
      <c r="Q849">
        <v>2</v>
      </c>
      <c r="R849">
        <v>4.4999999999999997E-3</v>
      </c>
      <c r="T849" t="s">
        <v>2645</v>
      </c>
    </row>
    <row r="850" spans="1:20" x14ac:dyDescent="0.2">
      <c r="A850" t="s">
        <v>2647</v>
      </c>
      <c r="B850" t="s">
        <v>2022</v>
      </c>
      <c r="C850" t="s">
        <v>2023</v>
      </c>
      <c r="D850" t="s">
        <v>2024</v>
      </c>
      <c r="E850" t="s">
        <v>2648</v>
      </c>
      <c r="F850" t="s">
        <v>2649</v>
      </c>
      <c r="G850">
        <v>2</v>
      </c>
      <c r="H850">
        <v>1560</v>
      </c>
      <c r="I850">
        <v>2</v>
      </c>
      <c r="J850">
        <v>3.4</v>
      </c>
      <c r="K850">
        <v>2</v>
      </c>
      <c r="L850">
        <v>2.5999999999999999E-2</v>
      </c>
      <c r="M850">
        <v>1</v>
      </c>
      <c r="N850">
        <v>74</v>
      </c>
      <c r="O850">
        <v>1</v>
      </c>
      <c r="P850">
        <v>7.4999999999999997E-2</v>
      </c>
      <c r="Q850">
        <v>2</v>
      </c>
      <c r="R850">
        <v>2E-3</v>
      </c>
      <c r="T850" t="s">
        <v>2648</v>
      </c>
    </row>
    <row r="851" spans="1:20" x14ac:dyDescent="0.2">
      <c r="A851" t="s">
        <v>2650</v>
      </c>
      <c r="B851" t="s">
        <v>2022</v>
      </c>
      <c r="C851" t="s">
        <v>2036</v>
      </c>
      <c r="D851" t="s">
        <v>2024</v>
      </c>
      <c r="E851" t="s">
        <v>2651</v>
      </c>
      <c r="F851" t="s">
        <v>2652</v>
      </c>
      <c r="G851">
        <v>3</v>
      </c>
      <c r="H851">
        <v>1740</v>
      </c>
      <c r="I851">
        <v>3</v>
      </c>
      <c r="J851">
        <v>4.5999999999999996</v>
      </c>
      <c r="K851">
        <v>2</v>
      </c>
      <c r="L851">
        <v>8.5000000000000006E-2</v>
      </c>
      <c r="M851">
        <v>2</v>
      </c>
      <c r="N851">
        <v>82</v>
      </c>
      <c r="O851">
        <v>2</v>
      </c>
      <c r="P851">
        <v>0.20499999999999999</v>
      </c>
      <c r="Q851">
        <v>2</v>
      </c>
      <c r="R851">
        <v>4.2500000000000003E-3</v>
      </c>
      <c r="T851" t="s">
        <v>2651</v>
      </c>
    </row>
    <row r="852" spans="1:20" x14ac:dyDescent="0.2">
      <c r="A852" t="s">
        <v>2653</v>
      </c>
      <c r="B852" t="s">
        <v>2022</v>
      </c>
      <c r="C852" t="s">
        <v>2023</v>
      </c>
      <c r="D852" t="s">
        <v>2024</v>
      </c>
      <c r="E852" t="s">
        <v>2654</v>
      </c>
      <c r="F852" t="s">
        <v>2655</v>
      </c>
      <c r="G852">
        <v>3</v>
      </c>
      <c r="H852">
        <v>1640</v>
      </c>
      <c r="I852">
        <v>3</v>
      </c>
      <c r="J852">
        <v>5.9</v>
      </c>
      <c r="K852">
        <v>5</v>
      </c>
      <c r="L852">
        <v>8.5999999999999993E-2</v>
      </c>
      <c r="M852">
        <v>2</v>
      </c>
      <c r="N852">
        <v>84</v>
      </c>
      <c r="O852">
        <v>2</v>
      </c>
      <c r="P852">
        <v>0.22500000000000001</v>
      </c>
      <c r="Q852">
        <v>4</v>
      </c>
      <c r="R852">
        <v>6.0000000000000001E-3</v>
      </c>
      <c r="T852" t="s">
        <v>2654</v>
      </c>
    </row>
    <row r="853" spans="1:20" x14ac:dyDescent="0.2">
      <c r="A853" t="s">
        <v>2656</v>
      </c>
      <c r="B853" t="s">
        <v>2022</v>
      </c>
      <c r="C853" t="s">
        <v>2023</v>
      </c>
      <c r="D853" t="s">
        <v>2024</v>
      </c>
      <c r="E853" t="s">
        <v>2657</v>
      </c>
      <c r="F853" t="s">
        <v>2658</v>
      </c>
      <c r="G853">
        <v>2</v>
      </c>
      <c r="H853">
        <v>1560</v>
      </c>
      <c r="I853">
        <v>3</v>
      </c>
      <c r="J853">
        <v>5.9</v>
      </c>
      <c r="K853">
        <v>2</v>
      </c>
      <c r="L853">
        <v>2.5999999999999999E-2</v>
      </c>
      <c r="M853">
        <v>3</v>
      </c>
      <c r="N853">
        <v>94</v>
      </c>
      <c r="O853">
        <v>3</v>
      </c>
      <c r="P853">
        <v>0.375</v>
      </c>
      <c r="Q853">
        <v>2</v>
      </c>
      <c r="R853">
        <v>2E-3</v>
      </c>
      <c r="T853" t="s">
        <v>2657</v>
      </c>
    </row>
    <row r="854" spans="1:20" x14ac:dyDescent="0.2">
      <c r="A854" t="s">
        <v>2659</v>
      </c>
      <c r="B854" t="s">
        <v>2022</v>
      </c>
      <c r="C854" t="s">
        <v>2053</v>
      </c>
      <c r="D854" t="s">
        <v>2024</v>
      </c>
      <c r="E854" t="s">
        <v>2660</v>
      </c>
      <c r="F854" t="s">
        <v>2661</v>
      </c>
      <c r="G854">
        <v>5</v>
      </c>
      <c r="H854">
        <v>1900</v>
      </c>
      <c r="I854">
        <v>5</v>
      </c>
      <c r="J854">
        <v>11.55</v>
      </c>
      <c r="K854">
        <v>3</v>
      </c>
      <c r="L854">
        <v>0.19500000000000001</v>
      </c>
      <c r="M854">
        <v>5</v>
      </c>
      <c r="N854">
        <v>113</v>
      </c>
      <c r="O854">
        <v>5</v>
      </c>
      <c r="P854">
        <v>0.67500000000000004</v>
      </c>
      <c r="Q854">
        <v>3</v>
      </c>
      <c r="R854">
        <v>1.2200000000000001E-2</v>
      </c>
      <c r="T854" t="s">
        <v>2660</v>
      </c>
    </row>
    <row r="855" spans="1:20" x14ac:dyDescent="0.2">
      <c r="A855" t="s">
        <v>2662</v>
      </c>
      <c r="B855" t="s">
        <v>2022</v>
      </c>
      <c r="C855" t="s">
        <v>2095</v>
      </c>
      <c r="D855" t="s">
        <v>2024</v>
      </c>
      <c r="E855" t="s">
        <v>2663</v>
      </c>
      <c r="F855" t="s">
        <v>2664</v>
      </c>
      <c r="G855">
        <v>5</v>
      </c>
      <c r="H855">
        <v>1925</v>
      </c>
      <c r="I855">
        <v>5</v>
      </c>
      <c r="J855">
        <v>16.5</v>
      </c>
      <c r="K855">
        <v>2</v>
      </c>
      <c r="L855">
        <v>0.13</v>
      </c>
      <c r="M855">
        <v>5</v>
      </c>
      <c r="N855">
        <v>98</v>
      </c>
      <c r="O855">
        <v>4</v>
      </c>
      <c r="P855">
        <v>0.75</v>
      </c>
      <c r="Q855">
        <v>2</v>
      </c>
      <c r="R855">
        <v>5.8999999999999999E-3</v>
      </c>
      <c r="T855" t="s">
        <v>2663</v>
      </c>
    </row>
    <row r="856" spans="1:20" x14ac:dyDescent="0.2">
      <c r="A856" t="s">
        <v>2665</v>
      </c>
      <c r="B856" t="s">
        <v>2022</v>
      </c>
      <c r="C856" t="s">
        <v>2023</v>
      </c>
      <c r="D856" t="s">
        <v>2024</v>
      </c>
      <c r="E856" t="s">
        <v>2663</v>
      </c>
      <c r="F856" t="s">
        <v>2664</v>
      </c>
      <c r="G856">
        <v>5</v>
      </c>
      <c r="H856">
        <v>1800</v>
      </c>
      <c r="I856">
        <v>3</v>
      </c>
      <c r="J856">
        <v>5.9</v>
      </c>
      <c r="K856">
        <v>2</v>
      </c>
      <c r="L856">
        <v>2.5999999999999999E-2</v>
      </c>
      <c r="M856">
        <v>5</v>
      </c>
      <c r="N856">
        <v>114</v>
      </c>
      <c r="O856">
        <v>3</v>
      </c>
      <c r="P856">
        <v>0.375</v>
      </c>
      <c r="Q856">
        <v>2</v>
      </c>
      <c r="R856">
        <v>2E-3</v>
      </c>
      <c r="T856" t="s">
        <v>2663</v>
      </c>
    </row>
    <row r="857" spans="1:20" x14ac:dyDescent="0.2">
      <c r="A857" t="s">
        <v>2666</v>
      </c>
      <c r="B857" t="s">
        <v>2022</v>
      </c>
      <c r="C857" t="s">
        <v>2101</v>
      </c>
      <c r="D857" t="s">
        <v>2024</v>
      </c>
      <c r="E857" t="s">
        <v>2667</v>
      </c>
      <c r="F857" t="s">
        <v>2668</v>
      </c>
      <c r="G857">
        <v>5</v>
      </c>
      <c r="H857">
        <v>1970</v>
      </c>
      <c r="I857">
        <v>3</v>
      </c>
      <c r="J857">
        <v>8</v>
      </c>
      <c r="K857">
        <v>3</v>
      </c>
      <c r="L857">
        <v>0.24349999999999999</v>
      </c>
      <c r="M857">
        <v>4</v>
      </c>
      <c r="N857">
        <v>90</v>
      </c>
      <c r="O857">
        <v>3</v>
      </c>
      <c r="P857">
        <v>0.375</v>
      </c>
      <c r="Q857">
        <v>3</v>
      </c>
      <c r="R857">
        <v>1.15E-2</v>
      </c>
      <c r="T857" t="s">
        <v>2667</v>
      </c>
    </row>
    <row r="858" spans="1:20" x14ac:dyDescent="0.2">
      <c r="A858" t="s">
        <v>2669</v>
      </c>
      <c r="B858" t="s">
        <v>2022</v>
      </c>
      <c r="C858" t="s">
        <v>2106</v>
      </c>
      <c r="D858" t="s">
        <v>2024</v>
      </c>
      <c r="E858" t="s">
        <v>2667</v>
      </c>
      <c r="F858" t="s">
        <v>2668</v>
      </c>
      <c r="G858">
        <v>5</v>
      </c>
      <c r="H858">
        <v>2275</v>
      </c>
      <c r="I858">
        <v>2</v>
      </c>
      <c r="J858">
        <v>5.75</v>
      </c>
      <c r="K858">
        <v>3</v>
      </c>
      <c r="L858">
        <v>0.14000000000000001</v>
      </c>
      <c r="M858">
        <v>5</v>
      </c>
      <c r="N858">
        <v>89.5</v>
      </c>
      <c r="O858">
        <v>2</v>
      </c>
      <c r="P858">
        <v>0.15</v>
      </c>
      <c r="Q858">
        <v>3</v>
      </c>
      <c r="R858">
        <v>4.4999999999999997E-3</v>
      </c>
      <c r="T858" t="s">
        <v>2667</v>
      </c>
    </row>
    <row r="859" spans="1:20" x14ac:dyDescent="0.2">
      <c r="A859" t="s">
        <v>2670</v>
      </c>
      <c r="B859" t="s">
        <v>2022</v>
      </c>
      <c r="C859" t="s">
        <v>2036</v>
      </c>
      <c r="D859" t="s">
        <v>2024</v>
      </c>
      <c r="E859" t="s">
        <v>2671</v>
      </c>
      <c r="F859" t="s">
        <v>2672</v>
      </c>
      <c r="G859">
        <v>2</v>
      </c>
      <c r="H859">
        <v>1640</v>
      </c>
      <c r="I859">
        <v>2</v>
      </c>
      <c r="J859">
        <v>3.4</v>
      </c>
      <c r="K859">
        <v>2</v>
      </c>
      <c r="L859">
        <v>8.5000000000000006E-2</v>
      </c>
      <c r="M859">
        <v>2</v>
      </c>
      <c r="N859">
        <v>82</v>
      </c>
      <c r="O859">
        <v>2</v>
      </c>
      <c r="P859">
        <v>0.20499999999999999</v>
      </c>
      <c r="Q859">
        <v>2</v>
      </c>
      <c r="R859">
        <v>4.2500000000000003E-3</v>
      </c>
      <c r="T859" t="s">
        <v>2671</v>
      </c>
    </row>
    <row r="860" spans="1:20" x14ac:dyDescent="0.2">
      <c r="A860" t="s">
        <v>2673</v>
      </c>
      <c r="B860" t="s">
        <v>2022</v>
      </c>
      <c r="C860" t="s">
        <v>2023</v>
      </c>
      <c r="D860" t="s">
        <v>2024</v>
      </c>
      <c r="E860" t="s">
        <v>2674</v>
      </c>
      <c r="F860" t="s">
        <v>2675</v>
      </c>
      <c r="G860">
        <v>5</v>
      </c>
      <c r="H860">
        <v>1800</v>
      </c>
      <c r="I860">
        <v>3</v>
      </c>
      <c r="J860">
        <v>5.9</v>
      </c>
      <c r="K860">
        <v>2</v>
      </c>
      <c r="L860">
        <v>2.5999999999999999E-2</v>
      </c>
      <c r="M860">
        <v>4</v>
      </c>
      <c r="N860">
        <v>104</v>
      </c>
      <c r="O860">
        <v>3</v>
      </c>
      <c r="P860">
        <v>0.375</v>
      </c>
      <c r="Q860">
        <v>2</v>
      </c>
      <c r="R860">
        <v>2E-3</v>
      </c>
      <c r="T860" t="s">
        <v>2674</v>
      </c>
    </row>
    <row r="861" spans="1:20" x14ac:dyDescent="0.2">
      <c r="A861" t="s">
        <v>2676</v>
      </c>
      <c r="B861" t="s">
        <v>2022</v>
      </c>
      <c r="C861" t="s">
        <v>2023</v>
      </c>
      <c r="D861" t="s">
        <v>2024</v>
      </c>
      <c r="E861" t="s">
        <v>2677</v>
      </c>
      <c r="F861" t="s">
        <v>2678</v>
      </c>
      <c r="G861">
        <v>1</v>
      </c>
      <c r="H861">
        <v>1480</v>
      </c>
      <c r="I861">
        <v>2</v>
      </c>
      <c r="J861">
        <v>3.4</v>
      </c>
      <c r="K861">
        <v>2</v>
      </c>
      <c r="L861">
        <v>2.5999999999999999E-2</v>
      </c>
      <c r="M861">
        <v>3</v>
      </c>
      <c r="N861">
        <v>94</v>
      </c>
      <c r="O861">
        <v>2</v>
      </c>
      <c r="P861">
        <v>0.22500000000000001</v>
      </c>
      <c r="Q861">
        <v>2</v>
      </c>
      <c r="R861">
        <v>2E-3</v>
      </c>
      <c r="T861" t="s">
        <v>2677</v>
      </c>
    </row>
    <row r="862" spans="1:20" x14ac:dyDescent="0.2">
      <c r="A862" t="s">
        <v>2679</v>
      </c>
      <c r="B862" t="s">
        <v>2022</v>
      </c>
      <c r="C862" t="s">
        <v>2028</v>
      </c>
      <c r="D862" t="s">
        <v>2024</v>
      </c>
      <c r="E862" t="s">
        <v>2680</v>
      </c>
      <c r="F862" t="s">
        <v>2681</v>
      </c>
      <c r="G862">
        <v>4</v>
      </c>
      <c r="H862">
        <v>1250</v>
      </c>
      <c r="I862">
        <v>3</v>
      </c>
      <c r="J862">
        <v>3.25</v>
      </c>
      <c r="K862">
        <v>3</v>
      </c>
      <c r="L862">
        <v>0.11899999999999999</v>
      </c>
      <c r="M862">
        <v>2</v>
      </c>
      <c r="N862">
        <v>200</v>
      </c>
      <c r="O862">
        <v>3</v>
      </c>
      <c r="P862">
        <v>0.75</v>
      </c>
      <c r="Q862">
        <v>4</v>
      </c>
      <c r="R862">
        <v>2.4750000000000001E-2</v>
      </c>
      <c r="T862" t="s">
        <v>2680</v>
      </c>
    </row>
    <row r="863" spans="1:20" x14ac:dyDescent="0.2">
      <c r="A863" t="s">
        <v>2682</v>
      </c>
      <c r="B863" t="s">
        <v>2022</v>
      </c>
      <c r="C863" t="s">
        <v>2508</v>
      </c>
      <c r="D863" t="s">
        <v>2136</v>
      </c>
      <c r="E863" t="s">
        <v>2683</v>
      </c>
      <c r="F863" t="s">
        <v>2684</v>
      </c>
      <c r="G863">
        <v>5</v>
      </c>
      <c r="H863">
        <v>1650</v>
      </c>
      <c r="I863">
        <v>2</v>
      </c>
      <c r="J863">
        <v>5</v>
      </c>
      <c r="K863">
        <v>2</v>
      </c>
      <c r="L863">
        <v>0.1</v>
      </c>
      <c r="M863">
        <v>5</v>
      </c>
      <c r="N863">
        <v>352.5</v>
      </c>
      <c r="O863">
        <v>2</v>
      </c>
      <c r="P863">
        <v>0.75</v>
      </c>
      <c r="Q863">
        <v>2</v>
      </c>
      <c r="R863">
        <v>2.4E-2</v>
      </c>
      <c r="T863" t="s">
        <v>2683</v>
      </c>
    </row>
    <row r="864" spans="1:20" x14ac:dyDescent="0.2">
      <c r="A864" t="s">
        <v>2685</v>
      </c>
      <c r="B864" t="s">
        <v>2022</v>
      </c>
      <c r="C864" t="s">
        <v>2257</v>
      </c>
      <c r="D864" t="s">
        <v>2136</v>
      </c>
      <c r="E864" t="s">
        <v>2686</v>
      </c>
      <c r="F864" t="s">
        <v>447</v>
      </c>
      <c r="G864">
        <v>4</v>
      </c>
      <c r="H864">
        <v>1200</v>
      </c>
      <c r="I864">
        <v>1</v>
      </c>
      <c r="J864">
        <v>0.45</v>
      </c>
      <c r="K864">
        <v>1</v>
      </c>
      <c r="L864">
        <v>6.0000000000000001E-3</v>
      </c>
      <c r="M864">
        <v>1</v>
      </c>
      <c r="N864">
        <v>300</v>
      </c>
      <c r="O864">
        <v>1</v>
      </c>
      <c r="P864">
        <v>0.3</v>
      </c>
      <c r="Q864">
        <v>1</v>
      </c>
      <c r="R864">
        <v>2E-3</v>
      </c>
      <c r="T864" t="s">
        <v>2686</v>
      </c>
    </row>
    <row r="865" spans="1:20" x14ac:dyDescent="0.2">
      <c r="A865" t="s">
        <v>2687</v>
      </c>
      <c r="B865" t="s">
        <v>2022</v>
      </c>
      <c r="C865" t="s">
        <v>2053</v>
      </c>
      <c r="D865" t="s">
        <v>2024</v>
      </c>
      <c r="E865" t="s">
        <v>2688</v>
      </c>
      <c r="F865" t="s">
        <v>2689</v>
      </c>
      <c r="G865">
        <v>1</v>
      </c>
      <c r="H865">
        <v>1500</v>
      </c>
      <c r="I865">
        <v>1</v>
      </c>
      <c r="J865">
        <v>1.55</v>
      </c>
      <c r="K865">
        <v>2</v>
      </c>
      <c r="L865">
        <v>8.5000000000000006E-2</v>
      </c>
      <c r="M865">
        <v>1</v>
      </c>
      <c r="N865">
        <v>73</v>
      </c>
      <c r="O865">
        <v>1</v>
      </c>
      <c r="P865">
        <v>7.4999999999999997E-2</v>
      </c>
      <c r="Q865">
        <v>2</v>
      </c>
      <c r="R865">
        <v>5.1999999999999998E-3</v>
      </c>
      <c r="T865" t="s">
        <v>2688</v>
      </c>
    </row>
    <row r="866" spans="1:20" x14ac:dyDescent="0.2">
      <c r="A866" t="s">
        <v>2690</v>
      </c>
      <c r="B866" t="s">
        <v>2022</v>
      </c>
      <c r="C866" t="s">
        <v>2023</v>
      </c>
      <c r="D866" t="s">
        <v>2024</v>
      </c>
      <c r="E866" t="s">
        <v>2691</v>
      </c>
      <c r="F866" t="s">
        <v>2692</v>
      </c>
      <c r="G866">
        <v>5</v>
      </c>
      <c r="H866">
        <v>1800</v>
      </c>
      <c r="I866">
        <v>3</v>
      </c>
      <c r="J866">
        <v>5.9</v>
      </c>
      <c r="K866">
        <v>5</v>
      </c>
      <c r="L866">
        <v>8.5999999999999993E-2</v>
      </c>
      <c r="M866">
        <v>3</v>
      </c>
      <c r="N866">
        <v>94</v>
      </c>
      <c r="O866">
        <v>2</v>
      </c>
      <c r="P866">
        <v>0.22500000000000001</v>
      </c>
      <c r="Q866">
        <v>3</v>
      </c>
      <c r="R866">
        <v>4.0000000000000001E-3</v>
      </c>
      <c r="T866" t="s">
        <v>2691</v>
      </c>
    </row>
    <row r="867" spans="1:20" x14ac:dyDescent="0.2">
      <c r="A867" t="s">
        <v>2693</v>
      </c>
      <c r="B867" t="s">
        <v>2022</v>
      </c>
      <c r="C867" t="s">
        <v>2095</v>
      </c>
      <c r="D867" t="s">
        <v>2024</v>
      </c>
      <c r="E867" t="s">
        <v>2694</v>
      </c>
      <c r="F867" t="s">
        <v>2695</v>
      </c>
      <c r="G867">
        <v>4</v>
      </c>
      <c r="H867">
        <v>1835</v>
      </c>
      <c r="I867">
        <v>2</v>
      </c>
      <c r="J867">
        <v>7.5</v>
      </c>
      <c r="K867">
        <v>3</v>
      </c>
      <c r="L867">
        <v>0.33</v>
      </c>
      <c r="M867">
        <v>5</v>
      </c>
      <c r="N867">
        <v>98</v>
      </c>
      <c r="O867">
        <v>3</v>
      </c>
      <c r="P867">
        <v>0.55000000000000004</v>
      </c>
      <c r="Q867">
        <v>3</v>
      </c>
      <c r="R867">
        <v>1.49E-2</v>
      </c>
      <c r="T867" t="s">
        <v>2694</v>
      </c>
    </row>
    <row r="868" spans="1:20" x14ac:dyDescent="0.2">
      <c r="A868" t="s">
        <v>2696</v>
      </c>
      <c r="B868" t="s">
        <v>2022</v>
      </c>
      <c r="C868" t="s">
        <v>2036</v>
      </c>
      <c r="D868" t="s">
        <v>2024</v>
      </c>
      <c r="E868" t="s">
        <v>2697</v>
      </c>
      <c r="F868" t="s">
        <v>2698</v>
      </c>
      <c r="G868">
        <v>4</v>
      </c>
      <c r="H868">
        <v>1840</v>
      </c>
      <c r="I868">
        <v>5</v>
      </c>
      <c r="J868">
        <v>7</v>
      </c>
      <c r="K868">
        <v>2</v>
      </c>
      <c r="L868">
        <v>8.5000000000000006E-2</v>
      </c>
      <c r="M868">
        <v>3</v>
      </c>
      <c r="N868">
        <v>88</v>
      </c>
      <c r="O868">
        <v>4</v>
      </c>
      <c r="P868">
        <v>0.42499999999999999</v>
      </c>
      <c r="Q868">
        <v>2</v>
      </c>
      <c r="R868">
        <v>4.2500000000000003E-3</v>
      </c>
      <c r="T868" t="s">
        <v>2697</v>
      </c>
    </row>
    <row r="869" spans="1:20" x14ac:dyDescent="0.2">
      <c r="A869" t="s">
        <v>2699</v>
      </c>
      <c r="B869" t="s">
        <v>2022</v>
      </c>
      <c r="C869" t="s">
        <v>2053</v>
      </c>
      <c r="D869" t="s">
        <v>2024</v>
      </c>
      <c r="E869" t="s">
        <v>2700</v>
      </c>
      <c r="F869" t="s">
        <v>2701</v>
      </c>
      <c r="G869">
        <v>3</v>
      </c>
      <c r="H869">
        <v>1700</v>
      </c>
      <c r="I869">
        <v>2</v>
      </c>
      <c r="J869">
        <v>4.05</v>
      </c>
      <c r="K869">
        <v>1</v>
      </c>
      <c r="L869">
        <v>1.4999999999999999E-2</v>
      </c>
      <c r="M869">
        <v>5</v>
      </c>
      <c r="N869">
        <v>113</v>
      </c>
      <c r="O869">
        <v>3</v>
      </c>
      <c r="P869">
        <v>0.375</v>
      </c>
      <c r="Q869">
        <v>2</v>
      </c>
      <c r="R869">
        <v>5.1999999999999998E-3</v>
      </c>
      <c r="T869" t="s">
        <v>2700</v>
      </c>
    </row>
    <row r="870" spans="1:20" x14ac:dyDescent="0.2">
      <c r="A870" t="s">
        <v>2702</v>
      </c>
      <c r="B870" t="s">
        <v>2022</v>
      </c>
      <c r="C870" t="s">
        <v>2023</v>
      </c>
      <c r="D870" t="s">
        <v>2024</v>
      </c>
      <c r="E870" t="s">
        <v>2703</v>
      </c>
      <c r="F870" t="s">
        <v>2704</v>
      </c>
      <c r="G870">
        <v>3</v>
      </c>
      <c r="H870">
        <v>1640</v>
      </c>
      <c r="I870">
        <v>1</v>
      </c>
      <c r="J870">
        <v>0.9</v>
      </c>
      <c r="K870">
        <v>2</v>
      </c>
      <c r="L870">
        <v>2.5999999999999999E-2</v>
      </c>
      <c r="M870">
        <v>1</v>
      </c>
      <c r="N870">
        <v>74</v>
      </c>
      <c r="O870">
        <v>1</v>
      </c>
      <c r="P870">
        <v>7.4999999999999997E-2</v>
      </c>
      <c r="Q870">
        <v>1</v>
      </c>
      <c r="R870">
        <v>5.0000000000000001E-4</v>
      </c>
      <c r="T870" t="s">
        <v>2703</v>
      </c>
    </row>
    <row r="871" spans="1:20" x14ac:dyDescent="0.2">
      <c r="A871" t="s">
        <v>2705</v>
      </c>
      <c r="B871" t="s">
        <v>2022</v>
      </c>
      <c r="C871" t="s">
        <v>2023</v>
      </c>
      <c r="D871" t="s">
        <v>2024</v>
      </c>
      <c r="E871" t="s">
        <v>2706</v>
      </c>
      <c r="F871" t="s">
        <v>2707</v>
      </c>
      <c r="G871">
        <v>1</v>
      </c>
      <c r="H871">
        <v>1480</v>
      </c>
      <c r="I871">
        <v>3</v>
      </c>
      <c r="J871">
        <v>5.9</v>
      </c>
      <c r="K871">
        <v>5</v>
      </c>
      <c r="L871">
        <v>8.5999999999999993E-2</v>
      </c>
      <c r="M871">
        <v>1</v>
      </c>
      <c r="N871">
        <v>74</v>
      </c>
      <c r="O871">
        <v>2</v>
      </c>
      <c r="P871">
        <v>0.22500000000000001</v>
      </c>
      <c r="Q871">
        <v>4</v>
      </c>
      <c r="R871">
        <v>6.0000000000000001E-3</v>
      </c>
      <c r="T871" t="s">
        <v>2706</v>
      </c>
    </row>
    <row r="872" spans="1:20" x14ac:dyDescent="0.2">
      <c r="A872" t="s">
        <v>2708</v>
      </c>
      <c r="B872" t="s">
        <v>2022</v>
      </c>
      <c r="C872" t="s">
        <v>2023</v>
      </c>
      <c r="D872" t="s">
        <v>2024</v>
      </c>
      <c r="E872" t="s">
        <v>2709</v>
      </c>
      <c r="F872" t="s">
        <v>2710</v>
      </c>
      <c r="G872">
        <v>1</v>
      </c>
      <c r="H872">
        <v>1480</v>
      </c>
      <c r="I872">
        <v>1</v>
      </c>
      <c r="J872">
        <v>0.9</v>
      </c>
      <c r="K872">
        <v>2</v>
      </c>
      <c r="L872">
        <v>2.5999999999999999E-2</v>
      </c>
      <c r="M872">
        <v>5</v>
      </c>
      <c r="N872">
        <v>114</v>
      </c>
      <c r="O872">
        <v>2</v>
      </c>
      <c r="P872">
        <v>0.22500000000000001</v>
      </c>
      <c r="Q872">
        <v>2</v>
      </c>
      <c r="R872">
        <v>2E-3</v>
      </c>
      <c r="T872" t="s">
        <v>2709</v>
      </c>
    </row>
    <row r="873" spans="1:20" x14ac:dyDescent="0.2">
      <c r="A873" t="s">
        <v>2711</v>
      </c>
      <c r="B873" t="s">
        <v>2022</v>
      </c>
      <c r="C873" t="s">
        <v>2023</v>
      </c>
      <c r="D873" t="s">
        <v>2024</v>
      </c>
      <c r="E873" t="s">
        <v>2712</v>
      </c>
      <c r="F873" t="s">
        <v>2713</v>
      </c>
      <c r="G873">
        <v>1</v>
      </c>
      <c r="H873">
        <v>1480</v>
      </c>
      <c r="I873">
        <v>2</v>
      </c>
      <c r="J873">
        <v>3.4</v>
      </c>
      <c r="K873">
        <v>2</v>
      </c>
      <c r="L873">
        <v>2.5999999999999999E-2</v>
      </c>
      <c r="M873">
        <v>2</v>
      </c>
      <c r="N873">
        <v>84</v>
      </c>
      <c r="O873">
        <v>2</v>
      </c>
      <c r="P873">
        <v>0.22500000000000001</v>
      </c>
      <c r="Q873">
        <v>1</v>
      </c>
      <c r="R873">
        <v>5.0000000000000001E-4</v>
      </c>
      <c r="T873" t="s">
        <v>2712</v>
      </c>
    </row>
    <row r="874" spans="1:20" x14ac:dyDescent="0.2">
      <c r="A874" t="s">
        <v>2714</v>
      </c>
      <c r="B874" t="s">
        <v>2022</v>
      </c>
      <c r="C874" t="s">
        <v>2053</v>
      </c>
      <c r="D874" t="s">
        <v>2024</v>
      </c>
      <c r="E874" t="s">
        <v>2715</v>
      </c>
      <c r="F874" t="s">
        <v>2716</v>
      </c>
      <c r="G874">
        <v>1</v>
      </c>
      <c r="H874">
        <v>1500</v>
      </c>
      <c r="I874">
        <v>2</v>
      </c>
      <c r="J874">
        <v>4.05</v>
      </c>
      <c r="K874">
        <v>2</v>
      </c>
      <c r="L874">
        <v>8.5000000000000006E-2</v>
      </c>
      <c r="M874">
        <v>3</v>
      </c>
      <c r="N874">
        <v>93</v>
      </c>
      <c r="O874">
        <v>3</v>
      </c>
      <c r="P874">
        <v>0.375</v>
      </c>
      <c r="Q874">
        <v>2</v>
      </c>
      <c r="R874">
        <v>5.1999999999999998E-3</v>
      </c>
      <c r="T874" t="s">
        <v>2715</v>
      </c>
    </row>
    <row r="875" spans="1:20" x14ac:dyDescent="0.2">
      <c r="A875" t="s">
        <v>2717</v>
      </c>
      <c r="B875" t="s">
        <v>2022</v>
      </c>
      <c r="C875" t="s">
        <v>2023</v>
      </c>
      <c r="D875" t="s">
        <v>2024</v>
      </c>
      <c r="E875" t="s">
        <v>2718</v>
      </c>
      <c r="F875" t="s">
        <v>2719</v>
      </c>
      <c r="G875">
        <v>3</v>
      </c>
      <c r="H875">
        <v>1640</v>
      </c>
      <c r="I875">
        <v>3</v>
      </c>
      <c r="J875">
        <v>5.9</v>
      </c>
      <c r="K875">
        <v>2</v>
      </c>
      <c r="L875">
        <v>2.5999999999999999E-2</v>
      </c>
      <c r="M875">
        <v>1</v>
      </c>
      <c r="N875">
        <v>74</v>
      </c>
      <c r="O875">
        <v>2</v>
      </c>
      <c r="P875">
        <v>0.22500000000000001</v>
      </c>
      <c r="Q875">
        <v>2</v>
      </c>
      <c r="R875">
        <v>2E-3</v>
      </c>
      <c r="T875" t="s">
        <v>2718</v>
      </c>
    </row>
    <row r="876" spans="1:20" x14ac:dyDescent="0.2">
      <c r="A876" t="s">
        <v>2720</v>
      </c>
      <c r="B876" t="s">
        <v>2022</v>
      </c>
      <c r="C876" t="s">
        <v>2036</v>
      </c>
      <c r="D876" t="s">
        <v>2024</v>
      </c>
      <c r="E876" t="s">
        <v>2721</v>
      </c>
      <c r="F876" t="s">
        <v>2722</v>
      </c>
      <c r="G876">
        <v>1</v>
      </c>
      <c r="H876">
        <v>1540</v>
      </c>
      <c r="I876">
        <v>2</v>
      </c>
      <c r="J876">
        <v>3.4</v>
      </c>
      <c r="K876">
        <v>2</v>
      </c>
      <c r="L876">
        <v>8.5000000000000006E-2</v>
      </c>
      <c r="M876">
        <v>1</v>
      </c>
      <c r="N876">
        <v>76</v>
      </c>
      <c r="O876">
        <v>1</v>
      </c>
      <c r="P876">
        <v>9.5000000000000001E-2</v>
      </c>
      <c r="Q876">
        <v>2</v>
      </c>
      <c r="R876">
        <v>4.2500000000000003E-3</v>
      </c>
      <c r="T876" t="s">
        <v>2721</v>
      </c>
    </row>
    <row r="877" spans="1:20" x14ac:dyDescent="0.2">
      <c r="A877" t="s">
        <v>2723</v>
      </c>
      <c r="B877" t="s">
        <v>2022</v>
      </c>
      <c r="C877" t="s">
        <v>2023</v>
      </c>
      <c r="D877" t="s">
        <v>2024</v>
      </c>
      <c r="E877" t="s">
        <v>2724</v>
      </c>
      <c r="F877" t="s">
        <v>2725</v>
      </c>
      <c r="G877">
        <v>3</v>
      </c>
      <c r="H877">
        <v>1640</v>
      </c>
      <c r="I877">
        <v>2</v>
      </c>
      <c r="J877">
        <v>3.4</v>
      </c>
      <c r="K877">
        <v>3</v>
      </c>
      <c r="L877">
        <v>4.5999999999999999E-2</v>
      </c>
      <c r="M877">
        <v>1</v>
      </c>
      <c r="N877">
        <v>74</v>
      </c>
      <c r="O877">
        <v>2</v>
      </c>
      <c r="P877">
        <v>0.22500000000000001</v>
      </c>
      <c r="Q877">
        <v>2</v>
      </c>
      <c r="R877">
        <v>2E-3</v>
      </c>
      <c r="T877" t="s">
        <v>2724</v>
      </c>
    </row>
    <row r="878" spans="1:20" x14ac:dyDescent="0.2">
      <c r="A878" t="s">
        <v>2726</v>
      </c>
      <c r="B878" t="s">
        <v>2022</v>
      </c>
      <c r="C878" t="s">
        <v>2023</v>
      </c>
      <c r="D878" t="s">
        <v>2024</v>
      </c>
      <c r="E878" t="s">
        <v>2727</v>
      </c>
      <c r="F878" t="s">
        <v>2728</v>
      </c>
      <c r="G878">
        <v>5</v>
      </c>
      <c r="H878">
        <v>1800</v>
      </c>
      <c r="I878">
        <v>3</v>
      </c>
      <c r="J878">
        <v>5.9</v>
      </c>
      <c r="K878">
        <v>5</v>
      </c>
      <c r="L878">
        <v>8.5999999999999993E-2</v>
      </c>
      <c r="M878">
        <v>3</v>
      </c>
      <c r="N878">
        <v>94</v>
      </c>
      <c r="O878">
        <v>3</v>
      </c>
      <c r="P878">
        <v>0.375</v>
      </c>
      <c r="Q878">
        <v>5</v>
      </c>
      <c r="R878">
        <v>8.0000000000000002E-3</v>
      </c>
      <c r="T878" t="s">
        <v>2727</v>
      </c>
    </row>
    <row r="879" spans="1:20" x14ac:dyDescent="0.2">
      <c r="A879" t="s">
        <v>2729</v>
      </c>
      <c r="B879" t="s">
        <v>2022</v>
      </c>
      <c r="C879" t="s">
        <v>2053</v>
      </c>
      <c r="D879" t="s">
        <v>2024</v>
      </c>
      <c r="E879" t="s">
        <v>2730</v>
      </c>
      <c r="F879" t="s">
        <v>2731</v>
      </c>
      <c r="G879">
        <v>1</v>
      </c>
      <c r="H879">
        <v>1500</v>
      </c>
      <c r="I879">
        <v>5</v>
      </c>
      <c r="J879">
        <v>11.55</v>
      </c>
      <c r="K879">
        <v>5</v>
      </c>
      <c r="L879">
        <v>0.41499999999999998</v>
      </c>
      <c r="M879">
        <v>5</v>
      </c>
      <c r="N879">
        <v>113</v>
      </c>
      <c r="O879">
        <v>5</v>
      </c>
      <c r="P879">
        <v>0.67500000000000004</v>
      </c>
      <c r="Q879">
        <v>5</v>
      </c>
      <c r="R879">
        <v>2.6200000000000001E-2</v>
      </c>
      <c r="T879" t="s">
        <v>2730</v>
      </c>
    </row>
    <row r="880" spans="1:20" x14ac:dyDescent="0.2">
      <c r="A880" t="s">
        <v>2732</v>
      </c>
      <c r="B880" t="s">
        <v>2022</v>
      </c>
      <c r="C880" t="s">
        <v>2053</v>
      </c>
      <c r="D880" t="s">
        <v>2024</v>
      </c>
      <c r="E880" t="s">
        <v>2733</v>
      </c>
      <c r="F880" t="s">
        <v>2734</v>
      </c>
      <c r="G880">
        <v>5</v>
      </c>
      <c r="H880">
        <v>1900</v>
      </c>
      <c r="I880">
        <v>5</v>
      </c>
      <c r="J880">
        <v>11.55</v>
      </c>
      <c r="K880">
        <v>5</v>
      </c>
      <c r="L880">
        <v>0.41499999999999998</v>
      </c>
      <c r="M880">
        <v>2</v>
      </c>
      <c r="N880">
        <v>83</v>
      </c>
      <c r="O880">
        <v>5</v>
      </c>
      <c r="P880">
        <v>0.67500000000000004</v>
      </c>
      <c r="Q880">
        <v>5</v>
      </c>
      <c r="R880">
        <v>2.6200000000000001E-2</v>
      </c>
      <c r="T880" t="s">
        <v>2733</v>
      </c>
    </row>
    <row r="881" spans="1:20" x14ac:dyDescent="0.2">
      <c r="A881" t="s">
        <v>2735</v>
      </c>
      <c r="B881" t="s">
        <v>2022</v>
      </c>
      <c r="C881" t="s">
        <v>2053</v>
      </c>
      <c r="D881" t="s">
        <v>2024</v>
      </c>
      <c r="E881" t="s">
        <v>2736</v>
      </c>
      <c r="F881" t="s">
        <v>447</v>
      </c>
      <c r="G881">
        <v>5</v>
      </c>
      <c r="H881">
        <v>1900</v>
      </c>
      <c r="I881">
        <v>4</v>
      </c>
      <c r="J881">
        <v>9.0500000000000007</v>
      </c>
      <c r="K881">
        <v>2</v>
      </c>
      <c r="L881">
        <v>8.5000000000000006E-2</v>
      </c>
      <c r="M881">
        <v>1</v>
      </c>
      <c r="N881">
        <v>73</v>
      </c>
      <c r="O881">
        <v>2</v>
      </c>
      <c r="P881">
        <v>0.22500000000000001</v>
      </c>
      <c r="Q881">
        <v>2</v>
      </c>
      <c r="R881">
        <v>5.1999999999999998E-3</v>
      </c>
      <c r="T881" t="s">
        <v>2736</v>
      </c>
    </row>
    <row r="882" spans="1:20" x14ac:dyDescent="0.2">
      <c r="A882" t="s">
        <v>2737</v>
      </c>
      <c r="B882" t="s">
        <v>2022</v>
      </c>
      <c r="C882" t="s">
        <v>2036</v>
      </c>
      <c r="D882" t="s">
        <v>2024</v>
      </c>
      <c r="E882" t="s">
        <v>2738</v>
      </c>
      <c r="F882" t="s">
        <v>2739</v>
      </c>
      <c r="G882">
        <v>2</v>
      </c>
      <c r="H882">
        <v>1640</v>
      </c>
      <c r="I882">
        <v>2</v>
      </c>
      <c r="J882">
        <v>3.4</v>
      </c>
      <c r="K882">
        <v>2</v>
      </c>
      <c r="L882">
        <v>8.5000000000000006E-2</v>
      </c>
      <c r="M882">
        <v>2</v>
      </c>
      <c r="N882">
        <v>82</v>
      </c>
      <c r="O882">
        <v>2</v>
      </c>
      <c r="P882">
        <v>0.20499999999999999</v>
      </c>
      <c r="Q882">
        <v>2</v>
      </c>
      <c r="R882">
        <v>4.2500000000000003E-3</v>
      </c>
      <c r="T882" t="s">
        <v>2738</v>
      </c>
    </row>
    <row r="883" spans="1:20" x14ac:dyDescent="0.2">
      <c r="A883" t="s">
        <v>2740</v>
      </c>
      <c r="B883" t="s">
        <v>2022</v>
      </c>
      <c r="C883" t="s">
        <v>2023</v>
      </c>
      <c r="D883" t="s">
        <v>2024</v>
      </c>
      <c r="E883" t="s">
        <v>2741</v>
      </c>
      <c r="F883" t="s">
        <v>2742</v>
      </c>
      <c r="G883">
        <v>2</v>
      </c>
      <c r="H883">
        <v>1560</v>
      </c>
      <c r="I883">
        <v>2</v>
      </c>
      <c r="J883">
        <v>3.4</v>
      </c>
      <c r="K883">
        <v>2</v>
      </c>
      <c r="L883">
        <v>2.5999999999999999E-2</v>
      </c>
      <c r="M883">
        <v>3</v>
      </c>
      <c r="N883">
        <v>94</v>
      </c>
      <c r="O883">
        <v>2</v>
      </c>
      <c r="P883">
        <v>0.22500000000000001</v>
      </c>
      <c r="Q883">
        <v>2</v>
      </c>
      <c r="R883">
        <v>2E-3</v>
      </c>
      <c r="T883" t="s">
        <v>2741</v>
      </c>
    </row>
    <row r="884" spans="1:20" x14ac:dyDescent="0.2">
      <c r="A884" t="s">
        <v>2743</v>
      </c>
      <c r="B884" t="s">
        <v>2022</v>
      </c>
      <c r="C884" t="s">
        <v>2036</v>
      </c>
      <c r="D884" t="s">
        <v>2024</v>
      </c>
      <c r="E884" t="s">
        <v>2744</v>
      </c>
      <c r="F884" t="s">
        <v>2745</v>
      </c>
      <c r="G884">
        <v>4</v>
      </c>
      <c r="H884">
        <v>1840</v>
      </c>
      <c r="I884">
        <v>3</v>
      </c>
      <c r="J884">
        <v>4.5999999999999996</v>
      </c>
      <c r="K884">
        <v>5</v>
      </c>
      <c r="L884">
        <v>0.17499999999999999</v>
      </c>
      <c r="M884">
        <v>4</v>
      </c>
      <c r="N884">
        <v>94</v>
      </c>
      <c r="O884">
        <v>2</v>
      </c>
      <c r="P884">
        <v>0.20499999999999999</v>
      </c>
      <c r="Q884">
        <v>4</v>
      </c>
      <c r="R884">
        <v>9.2499999999999995E-3</v>
      </c>
      <c r="T884" t="s">
        <v>2744</v>
      </c>
    </row>
    <row r="885" spans="1:20" x14ac:dyDescent="0.2">
      <c r="A885" t="s">
        <v>2746</v>
      </c>
      <c r="B885" t="s">
        <v>2022</v>
      </c>
      <c r="C885" t="s">
        <v>2023</v>
      </c>
      <c r="D885" t="s">
        <v>2024</v>
      </c>
      <c r="E885" t="s">
        <v>2747</v>
      </c>
      <c r="F885" t="s">
        <v>2748</v>
      </c>
      <c r="G885">
        <v>5</v>
      </c>
      <c r="H885">
        <v>1800</v>
      </c>
      <c r="I885">
        <v>5</v>
      </c>
      <c r="J885">
        <v>10.9</v>
      </c>
      <c r="K885">
        <v>5</v>
      </c>
      <c r="L885">
        <v>8.5999999999999993E-2</v>
      </c>
      <c r="M885">
        <v>3</v>
      </c>
      <c r="N885">
        <v>94</v>
      </c>
      <c r="O885">
        <v>4</v>
      </c>
      <c r="P885">
        <v>0.52500000000000002</v>
      </c>
      <c r="Q885">
        <v>5</v>
      </c>
      <c r="R885">
        <v>8.0000000000000002E-3</v>
      </c>
      <c r="T885" t="s">
        <v>2747</v>
      </c>
    </row>
    <row r="886" spans="1:20" x14ac:dyDescent="0.2">
      <c r="A886" t="s">
        <v>2749</v>
      </c>
      <c r="B886" t="s">
        <v>2022</v>
      </c>
      <c r="C886" t="s">
        <v>2101</v>
      </c>
      <c r="D886" t="s">
        <v>2024</v>
      </c>
      <c r="E886" t="s">
        <v>2750</v>
      </c>
      <c r="F886" t="s">
        <v>2751</v>
      </c>
      <c r="G886">
        <v>5</v>
      </c>
      <c r="H886">
        <v>1970</v>
      </c>
      <c r="I886">
        <v>2</v>
      </c>
      <c r="J886">
        <v>5</v>
      </c>
      <c r="K886">
        <v>3</v>
      </c>
      <c r="L886">
        <v>0.24349999999999999</v>
      </c>
      <c r="M886">
        <v>5</v>
      </c>
      <c r="N886">
        <v>98</v>
      </c>
      <c r="O886">
        <v>2</v>
      </c>
      <c r="P886">
        <v>0.22500000000000001</v>
      </c>
      <c r="Q886">
        <v>2</v>
      </c>
      <c r="R886">
        <v>4.4999999999999997E-3</v>
      </c>
      <c r="T886" t="s">
        <v>2750</v>
      </c>
    </row>
    <row r="887" spans="1:20" x14ac:dyDescent="0.2">
      <c r="A887" t="s">
        <v>2752</v>
      </c>
      <c r="B887" t="s">
        <v>2022</v>
      </c>
      <c r="C887" t="s">
        <v>2023</v>
      </c>
      <c r="D887" t="s">
        <v>2024</v>
      </c>
      <c r="E887" t="s">
        <v>2753</v>
      </c>
      <c r="F887" t="s">
        <v>2754</v>
      </c>
      <c r="G887">
        <v>4</v>
      </c>
      <c r="H887">
        <v>1720</v>
      </c>
      <c r="I887">
        <v>3</v>
      </c>
      <c r="J887">
        <v>5.9</v>
      </c>
      <c r="K887">
        <v>2</v>
      </c>
      <c r="L887">
        <v>2.5999999999999999E-2</v>
      </c>
      <c r="M887">
        <v>3</v>
      </c>
      <c r="N887">
        <v>94</v>
      </c>
      <c r="O887">
        <v>2</v>
      </c>
      <c r="P887">
        <v>0.22500000000000001</v>
      </c>
      <c r="Q887">
        <v>2</v>
      </c>
      <c r="R887">
        <v>2E-3</v>
      </c>
      <c r="T887" t="s">
        <v>2753</v>
      </c>
    </row>
    <row r="888" spans="1:20" x14ac:dyDescent="0.2">
      <c r="A888" t="s">
        <v>2755</v>
      </c>
      <c r="B888" t="s">
        <v>2022</v>
      </c>
      <c r="C888" t="s">
        <v>2053</v>
      </c>
      <c r="D888" t="s">
        <v>2136</v>
      </c>
      <c r="E888" t="s">
        <v>2756</v>
      </c>
      <c r="F888" t="s">
        <v>2757</v>
      </c>
      <c r="G888">
        <v>2</v>
      </c>
      <c r="H888">
        <v>1600</v>
      </c>
      <c r="I888">
        <v>1</v>
      </c>
      <c r="J888">
        <v>1.55</v>
      </c>
      <c r="K888">
        <v>1</v>
      </c>
      <c r="L888">
        <v>1.4999999999999999E-2</v>
      </c>
      <c r="M888">
        <v>4</v>
      </c>
      <c r="N888">
        <v>103</v>
      </c>
      <c r="O888">
        <v>1</v>
      </c>
      <c r="P888">
        <v>7.4999999999999997E-2</v>
      </c>
      <c r="Q888">
        <v>1</v>
      </c>
      <c r="R888">
        <v>8.4999999999999995E-4</v>
      </c>
      <c r="T888" t="s">
        <v>2756</v>
      </c>
    </row>
    <row r="889" spans="1:20" x14ac:dyDescent="0.2">
      <c r="A889" t="s">
        <v>2758</v>
      </c>
      <c r="B889" t="s">
        <v>2022</v>
      </c>
      <c r="C889" t="s">
        <v>2101</v>
      </c>
      <c r="D889" t="s">
        <v>2024</v>
      </c>
      <c r="E889" t="s">
        <v>286</v>
      </c>
      <c r="F889" t="s">
        <v>2759</v>
      </c>
      <c r="G889">
        <v>2</v>
      </c>
      <c r="H889">
        <v>1670</v>
      </c>
      <c r="I889">
        <v>2</v>
      </c>
      <c r="J889">
        <v>5</v>
      </c>
      <c r="K889">
        <v>2</v>
      </c>
      <c r="L889">
        <v>9.6500000000000002E-2</v>
      </c>
      <c r="M889">
        <v>4</v>
      </c>
      <c r="N889">
        <v>90</v>
      </c>
      <c r="O889">
        <v>3</v>
      </c>
      <c r="P889">
        <v>0.375</v>
      </c>
      <c r="Q889">
        <v>2</v>
      </c>
      <c r="R889">
        <v>4.4999999999999997E-3</v>
      </c>
      <c r="T889" t="s">
        <v>286</v>
      </c>
    </row>
    <row r="890" spans="1:20" x14ac:dyDescent="0.2">
      <c r="A890" t="s">
        <v>2760</v>
      </c>
      <c r="B890" t="s">
        <v>2022</v>
      </c>
      <c r="C890" t="s">
        <v>2036</v>
      </c>
      <c r="D890" t="s">
        <v>2024</v>
      </c>
      <c r="E890" t="s">
        <v>2761</v>
      </c>
      <c r="F890" t="s">
        <v>2762</v>
      </c>
      <c r="G890">
        <v>1</v>
      </c>
      <c r="H890">
        <v>1540</v>
      </c>
      <c r="I890">
        <v>1</v>
      </c>
      <c r="J890">
        <v>2.2000000000000002</v>
      </c>
      <c r="K890">
        <v>1</v>
      </c>
      <c r="L890">
        <v>5.5E-2</v>
      </c>
      <c r="M890">
        <v>1</v>
      </c>
      <c r="N890">
        <v>76</v>
      </c>
      <c r="O890">
        <v>1</v>
      </c>
      <c r="P890">
        <v>9.5000000000000001E-2</v>
      </c>
      <c r="Q890">
        <v>1</v>
      </c>
      <c r="R890">
        <v>1.5E-3</v>
      </c>
      <c r="T890" t="s">
        <v>2761</v>
      </c>
    </row>
    <row r="891" spans="1:20" x14ac:dyDescent="0.2">
      <c r="A891" t="s">
        <v>2763</v>
      </c>
      <c r="B891" t="s">
        <v>2022</v>
      </c>
      <c r="C891" t="s">
        <v>2023</v>
      </c>
      <c r="D891" t="s">
        <v>2024</v>
      </c>
      <c r="E891" t="s">
        <v>2764</v>
      </c>
      <c r="F891" t="s">
        <v>2765</v>
      </c>
      <c r="G891">
        <v>3</v>
      </c>
      <c r="H891">
        <v>1640</v>
      </c>
      <c r="I891">
        <v>1</v>
      </c>
      <c r="J891">
        <v>0.9</v>
      </c>
      <c r="K891">
        <v>2</v>
      </c>
      <c r="L891">
        <v>2.5999999999999999E-2</v>
      </c>
      <c r="M891">
        <v>2</v>
      </c>
      <c r="N891">
        <v>84</v>
      </c>
      <c r="O891">
        <v>1</v>
      </c>
      <c r="P891">
        <v>7.4999999999999997E-2</v>
      </c>
      <c r="Q891">
        <v>2</v>
      </c>
      <c r="R891">
        <v>2E-3</v>
      </c>
      <c r="T891" t="s">
        <v>2764</v>
      </c>
    </row>
    <row r="892" spans="1:20" x14ac:dyDescent="0.2">
      <c r="A892" t="s">
        <v>2766</v>
      </c>
      <c r="B892" t="s">
        <v>2022</v>
      </c>
      <c r="C892" t="s">
        <v>2053</v>
      </c>
      <c r="D892" t="s">
        <v>2024</v>
      </c>
      <c r="E892" t="s">
        <v>2767</v>
      </c>
      <c r="F892" t="s">
        <v>2768</v>
      </c>
      <c r="G892">
        <v>4</v>
      </c>
      <c r="H892">
        <v>1800</v>
      </c>
      <c r="I892">
        <v>4</v>
      </c>
      <c r="J892">
        <v>9.0500000000000007</v>
      </c>
      <c r="K892">
        <v>4</v>
      </c>
      <c r="L892">
        <v>0.30499999999999999</v>
      </c>
      <c r="M892">
        <v>3</v>
      </c>
      <c r="N892">
        <v>93</v>
      </c>
      <c r="O892">
        <v>4</v>
      </c>
      <c r="P892">
        <v>0.52500000000000002</v>
      </c>
      <c r="Q892">
        <v>3</v>
      </c>
      <c r="R892">
        <v>1.2200000000000001E-2</v>
      </c>
      <c r="T892" t="s">
        <v>2767</v>
      </c>
    </row>
    <row r="893" spans="1:20" x14ac:dyDescent="0.2">
      <c r="A893" t="s">
        <v>2769</v>
      </c>
      <c r="B893" t="s">
        <v>2022</v>
      </c>
      <c r="C893" t="s">
        <v>2036</v>
      </c>
      <c r="D893" t="s">
        <v>2024</v>
      </c>
      <c r="E893" t="s">
        <v>2770</v>
      </c>
      <c r="F893" t="s">
        <v>2771</v>
      </c>
      <c r="G893">
        <v>1</v>
      </c>
      <c r="H893">
        <v>1540</v>
      </c>
      <c r="I893">
        <v>1</v>
      </c>
      <c r="J893">
        <v>2.2000000000000002</v>
      </c>
      <c r="K893">
        <v>1</v>
      </c>
      <c r="L893">
        <v>5.5E-2</v>
      </c>
      <c r="M893">
        <v>4</v>
      </c>
      <c r="N893">
        <v>94</v>
      </c>
      <c r="O893">
        <v>1</v>
      </c>
      <c r="P893">
        <v>9.5000000000000001E-2</v>
      </c>
      <c r="Q893">
        <v>2</v>
      </c>
      <c r="R893">
        <v>4.2500000000000003E-3</v>
      </c>
      <c r="T893" t="s">
        <v>2770</v>
      </c>
    </row>
    <row r="894" spans="1:20" x14ac:dyDescent="0.2">
      <c r="A894" t="s">
        <v>2772</v>
      </c>
      <c r="B894" t="s">
        <v>2022</v>
      </c>
      <c r="C894" t="s">
        <v>2023</v>
      </c>
      <c r="D894" t="s">
        <v>2024</v>
      </c>
      <c r="E894" t="s">
        <v>2773</v>
      </c>
      <c r="F894" t="s">
        <v>2774</v>
      </c>
      <c r="G894">
        <v>3</v>
      </c>
      <c r="H894">
        <v>1640</v>
      </c>
      <c r="I894">
        <v>2</v>
      </c>
      <c r="J894">
        <v>3.4</v>
      </c>
      <c r="K894">
        <v>5</v>
      </c>
      <c r="L894">
        <v>8.5999999999999993E-2</v>
      </c>
      <c r="M894">
        <v>3</v>
      </c>
      <c r="N894">
        <v>94</v>
      </c>
      <c r="O894">
        <v>2</v>
      </c>
      <c r="P894">
        <v>0.22500000000000001</v>
      </c>
      <c r="Q894">
        <v>5</v>
      </c>
      <c r="R894">
        <v>8.0000000000000002E-3</v>
      </c>
      <c r="T894" t="s">
        <v>2773</v>
      </c>
    </row>
    <row r="895" spans="1:20" x14ac:dyDescent="0.2">
      <c r="A895" t="s">
        <v>2775</v>
      </c>
      <c r="B895" t="s">
        <v>2022</v>
      </c>
      <c r="C895" t="s">
        <v>2023</v>
      </c>
      <c r="D895" t="s">
        <v>2024</v>
      </c>
      <c r="E895" t="s">
        <v>2776</v>
      </c>
      <c r="F895" t="s">
        <v>2777</v>
      </c>
      <c r="G895">
        <v>2</v>
      </c>
      <c r="H895">
        <v>1560</v>
      </c>
      <c r="I895">
        <v>2</v>
      </c>
      <c r="J895">
        <v>3.4</v>
      </c>
      <c r="K895">
        <v>5</v>
      </c>
      <c r="L895">
        <v>8.5999999999999993E-2</v>
      </c>
      <c r="M895">
        <v>4</v>
      </c>
      <c r="N895">
        <v>104</v>
      </c>
      <c r="O895">
        <v>2</v>
      </c>
      <c r="P895">
        <v>0.22500000000000001</v>
      </c>
      <c r="Q895">
        <v>5</v>
      </c>
      <c r="R895">
        <v>8.0000000000000002E-3</v>
      </c>
      <c r="T895" t="s">
        <v>2776</v>
      </c>
    </row>
    <row r="896" spans="1:20" x14ac:dyDescent="0.2">
      <c r="A896" t="s">
        <v>2778</v>
      </c>
      <c r="B896" t="s">
        <v>2022</v>
      </c>
      <c r="C896" t="s">
        <v>2101</v>
      </c>
      <c r="D896" t="s">
        <v>2024</v>
      </c>
      <c r="E896" t="s">
        <v>2779</v>
      </c>
      <c r="F896" t="s">
        <v>2780</v>
      </c>
      <c r="G896">
        <v>2</v>
      </c>
      <c r="H896">
        <v>1670</v>
      </c>
      <c r="I896">
        <v>1</v>
      </c>
      <c r="J896">
        <v>2</v>
      </c>
      <c r="K896">
        <v>1</v>
      </c>
      <c r="L896">
        <v>1.15E-2</v>
      </c>
      <c r="M896">
        <v>2</v>
      </c>
      <c r="N896">
        <v>74</v>
      </c>
      <c r="O896">
        <v>1</v>
      </c>
      <c r="P896">
        <v>7.4999999999999997E-2</v>
      </c>
      <c r="Q896">
        <v>1</v>
      </c>
      <c r="R896">
        <v>5.0000000000000001E-4</v>
      </c>
      <c r="T896" t="s">
        <v>2779</v>
      </c>
    </row>
    <row r="897" spans="1:20" x14ac:dyDescent="0.2">
      <c r="A897" t="s">
        <v>2781</v>
      </c>
      <c r="B897" t="s">
        <v>2022</v>
      </c>
      <c r="C897" t="s">
        <v>2095</v>
      </c>
      <c r="D897" t="s">
        <v>2024</v>
      </c>
      <c r="E897" t="s">
        <v>2782</v>
      </c>
      <c r="F897" t="s">
        <v>2783</v>
      </c>
      <c r="G897">
        <v>5</v>
      </c>
      <c r="H897">
        <v>1925</v>
      </c>
      <c r="I897">
        <v>2</v>
      </c>
      <c r="J897">
        <v>7.5</v>
      </c>
      <c r="K897">
        <v>1</v>
      </c>
      <c r="L897">
        <v>1.4999999999999999E-2</v>
      </c>
      <c r="M897">
        <v>3</v>
      </c>
      <c r="N897">
        <v>86</v>
      </c>
      <c r="O897">
        <v>2</v>
      </c>
      <c r="P897">
        <v>0.35</v>
      </c>
      <c r="Q897">
        <v>1</v>
      </c>
      <c r="R897">
        <v>6.9999999999999999E-4</v>
      </c>
      <c r="T897" t="s">
        <v>2782</v>
      </c>
    </row>
    <row r="898" spans="1:20" x14ac:dyDescent="0.2">
      <c r="A898" t="s">
        <v>2784</v>
      </c>
      <c r="B898" t="s">
        <v>2022</v>
      </c>
      <c r="C898" t="s">
        <v>2023</v>
      </c>
      <c r="D898" t="s">
        <v>2024</v>
      </c>
      <c r="E898" t="s">
        <v>2785</v>
      </c>
      <c r="F898" t="s">
        <v>2786</v>
      </c>
      <c r="G898">
        <v>2</v>
      </c>
      <c r="H898">
        <v>1560</v>
      </c>
      <c r="I898">
        <v>4</v>
      </c>
      <c r="J898">
        <v>8.4</v>
      </c>
      <c r="K898">
        <v>5</v>
      </c>
      <c r="L898">
        <v>8.5999999999999993E-2</v>
      </c>
      <c r="M898">
        <v>3</v>
      </c>
      <c r="N898">
        <v>94</v>
      </c>
      <c r="O898">
        <v>4</v>
      </c>
      <c r="P898">
        <v>0.52500000000000002</v>
      </c>
      <c r="Q898">
        <v>5</v>
      </c>
      <c r="R898">
        <v>8.0000000000000002E-3</v>
      </c>
      <c r="T898" t="s">
        <v>2785</v>
      </c>
    </row>
    <row r="899" spans="1:20" x14ac:dyDescent="0.2">
      <c r="A899" t="s">
        <v>2787</v>
      </c>
      <c r="B899" t="s">
        <v>2022</v>
      </c>
      <c r="C899" t="s">
        <v>2023</v>
      </c>
      <c r="D899" t="s">
        <v>2024</v>
      </c>
      <c r="E899" t="s">
        <v>2788</v>
      </c>
      <c r="F899" t="s">
        <v>2789</v>
      </c>
      <c r="G899">
        <v>3</v>
      </c>
      <c r="H899">
        <v>1640</v>
      </c>
      <c r="I899">
        <v>4</v>
      </c>
      <c r="J899">
        <v>8.4</v>
      </c>
      <c r="K899">
        <v>5</v>
      </c>
      <c r="L899">
        <v>8.5999999999999993E-2</v>
      </c>
      <c r="M899">
        <v>2</v>
      </c>
      <c r="N899">
        <v>84</v>
      </c>
      <c r="O899">
        <v>3</v>
      </c>
      <c r="P899">
        <v>0.375</v>
      </c>
      <c r="Q899">
        <v>5</v>
      </c>
      <c r="R899">
        <v>8.0000000000000002E-3</v>
      </c>
      <c r="T899" t="s">
        <v>2788</v>
      </c>
    </row>
    <row r="900" spans="1:20" x14ac:dyDescent="0.2">
      <c r="A900" t="s">
        <v>2790</v>
      </c>
      <c r="B900" t="s">
        <v>2022</v>
      </c>
      <c r="C900" t="s">
        <v>2023</v>
      </c>
      <c r="D900" t="s">
        <v>2024</v>
      </c>
      <c r="E900" t="s">
        <v>2791</v>
      </c>
      <c r="F900" t="s">
        <v>2792</v>
      </c>
      <c r="G900">
        <v>5</v>
      </c>
      <c r="H900">
        <v>1800</v>
      </c>
      <c r="I900">
        <v>3</v>
      </c>
      <c r="J900">
        <v>5.9</v>
      </c>
      <c r="K900">
        <v>5</v>
      </c>
      <c r="L900">
        <v>8.5999999999999993E-2</v>
      </c>
      <c r="M900">
        <v>3</v>
      </c>
      <c r="N900">
        <v>94</v>
      </c>
      <c r="O900">
        <v>3</v>
      </c>
      <c r="P900">
        <v>0.375</v>
      </c>
      <c r="Q900">
        <v>5</v>
      </c>
      <c r="R900">
        <v>8.0000000000000002E-3</v>
      </c>
      <c r="T900" t="s">
        <v>2791</v>
      </c>
    </row>
    <row r="901" spans="1:20" x14ac:dyDescent="0.2">
      <c r="A901" t="s">
        <v>2793</v>
      </c>
      <c r="B901" t="s">
        <v>2022</v>
      </c>
      <c r="C901" t="s">
        <v>2023</v>
      </c>
      <c r="D901" t="s">
        <v>2024</v>
      </c>
      <c r="E901" t="s">
        <v>595</v>
      </c>
      <c r="F901" t="s">
        <v>2794</v>
      </c>
      <c r="G901">
        <v>5</v>
      </c>
      <c r="H901">
        <v>1800</v>
      </c>
      <c r="I901">
        <v>2</v>
      </c>
      <c r="J901">
        <v>3.4</v>
      </c>
      <c r="K901">
        <v>3</v>
      </c>
      <c r="L901">
        <v>4.5999999999999999E-2</v>
      </c>
      <c r="M901">
        <v>2</v>
      </c>
      <c r="N901">
        <v>84</v>
      </c>
      <c r="O901">
        <v>2</v>
      </c>
      <c r="P901">
        <v>0.22500000000000001</v>
      </c>
      <c r="Q901">
        <v>2</v>
      </c>
      <c r="R901">
        <v>2E-3</v>
      </c>
      <c r="T901" t="s">
        <v>595</v>
      </c>
    </row>
    <row r="902" spans="1:20" x14ac:dyDescent="0.2">
      <c r="A902" t="s">
        <v>2795</v>
      </c>
      <c r="B902" t="s">
        <v>2022</v>
      </c>
      <c r="C902" t="s">
        <v>2053</v>
      </c>
      <c r="D902" t="s">
        <v>2136</v>
      </c>
      <c r="E902" t="s">
        <v>357</v>
      </c>
      <c r="F902" t="s">
        <v>447</v>
      </c>
      <c r="G902">
        <v>4</v>
      </c>
      <c r="H902">
        <v>1800</v>
      </c>
      <c r="I902">
        <v>5</v>
      </c>
      <c r="J902">
        <v>11.55</v>
      </c>
      <c r="K902">
        <v>4</v>
      </c>
      <c r="L902">
        <v>0.30499999999999999</v>
      </c>
      <c r="M902">
        <v>3</v>
      </c>
      <c r="N902">
        <v>93</v>
      </c>
      <c r="O902">
        <v>5</v>
      </c>
      <c r="P902">
        <v>0.67500000000000004</v>
      </c>
      <c r="Q902">
        <v>4</v>
      </c>
      <c r="R902">
        <v>1.9199999999999998E-2</v>
      </c>
      <c r="T902" t="s">
        <v>357</v>
      </c>
    </row>
    <row r="903" spans="1:20" x14ac:dyDescent="0.2">
      <c r="A903" t="s">
        <v>2796</v>
      </c>
      <c r="B903" t="s">
        <v>2022</v>
      </c>
      <c r="C903" t="s">
        <v>2023</v>
      </c>
      <c r="D903" t="s">
        <v>2024</v>
      </c>
      <c r="E903" t="s">
        <v>2797</v>
      </c>
      <c r="F903" t="s">
        <v>2798</v>
      </c>
      <c r="G903">
        <v>2</v>
      </c>
      <c r="H903">
        <v>1560</v>
      </c>
      <c r="I903">
        <v>2</v>
      </c>
      <c r="J903">
        <v>3.4</v>
      </c>
      <c r="K903">
        <v>3</v>
      </c>
      <c r="L903">
        <v>4.5999999999999999E-2</v>
      </c>
      <c r="M903">
        <v>1</v>
      </c>
      <c r="N903">
        <v>74</v>
      </c>
      <c r="O903">
        <v>2</v>
      </c>
      <c r="P903">
        <v>0.22500000000000001</v>
      </c>
      <c r="Q903">
        <v>2</v>
      </c>
      <c r="R903">
        <v>2E-3</v>
      </c>
      <c r="T903" t="s">
        <v>2797</v>
      </c>
    </row>
    <row r="904" spans="1:20" x14ac:dyDescent="0.2">
      <c r="A904" t="s">
        <v>2799</v>
      </c>
      <c r="B904" t="s">
        <v>2022</v>
      </c>
      <c r="C904" t="s">
        <v>2053</v>
      </c>
      <c r="D904" t="s">
        <v>2024</v>
      </c>
      <c r="E904" t="s">
        <v>2800</v>
      </c>
      <c r="F904" t="s">
        <v>2801</v>
      </c>
      <c r="G904">
        <v>3</v>
      </c>
      <c r="H904">
        <v>1700</v>
      </c>
      <c r="I904">
        <v>1</v>
      </c>
      <c r="J904">
        <v>1.55</v>
      </c>
      <c r="K904">
        <v>2</v>
      </c>
      <c r="L904">
        <v>8.5000000000000006E-2</v>
      </c>
      <c r="M904">
        <v>2</v>
      </c>
      <c r="N904">
        <v>83</v>
      </c>
      <c r="O904">
        <v>1</v>
      </c>
      <c r="P904">
        <v>7.4999999999999997E-2</v>
      </c>
      <c r="Q904">
        <v>2</v>
      </c>
      <c r="R904">
        <v>5.1999999999999998E-3</v>
      </c>
      <c r="T904" t="s">
        <v>2800</v>
      </c>
    </row>
    <row r="905" spans="1:20" x14ac:dyDescent="0.2">
      <c r="A905" t="s">
        <v>2802</v>
      </c>
      <c r="B905" t="s">
        <v>2022</v>
      </c>
      <c r="C905" t="s">
        <v>2023</v>
      </c>
      <c r="D905" t="s">
        <v>2024</v>
      </c>
      <c r="E905" t="s">
        <v>2803</v>
      </c>
      <c r="F905" t="s">
        <v>2804</v>
      </c>
      <c r="G905">
        <v>3</v>
      </c>
      <c r="H905">
        <v>1640</v>
      </c>
      <c r="I905">
        <v>1</v>
      </c>
      <c r="J905">
        <v>0.9</v>
      </c>
      <c r="K905">
        <v>2</v>
      </c>
      <c r="L905">
        <v>2.5999999999999999E-2</v>
      </c>
      <c r="M905">
        <v>4</v>
      </c>
      <c r="N905">
        <v>104</v>
      </c>
      <c r="O905">
        <v>1</v>
      </c>
      <c r="P905">
        <v>7.4999999999999997E-2</v>
      </c>
      <c r="Q905">
        <v>2</v>
      </c>
      <c r="R905">
        <v>2E-3</v>
      </c>
      <c r="T905" t="s">
        <v>2803</v>
      </c>
    </row>
    <row r="906" spans="1:20" x14ac:dyDescent="0.2">
      <c r="A906" t="s">
        <v>2805</v>
      </c>
      <c r="B906" t="s">
        <v>2022</v>
      </c>
      <c r="C906" t="s">
        <v>2095</v>
      </c>
      <c r="D906" t="s">
        <v>2154</v>
      </c>
      <c r="E906" t="s">
        <v>2806</v>
      </c>
      <c r="F906" t="s">
        <v>2807</v>
      </c>
      <c r="G906">
        <v>2</v>
      </c>
      <c r="H906">
        <v>1655</v>
      </c>
      <c r="I906">
        <v>2</v>
      </c>
      <c r="J906">
        <v>7.5</v>
      </c>
      <c r="K906">
        <v>1</v>
      </c>
      <c r="L906">
        <v>1.4999999999999999E-2</v>
      </c>
      <c r="M906">
        <v>2</v>
      </c>
      <c r="N906">
        <v>80</v>
      </c>
      <c r="O906">
        <v>2</v>
      </c>
      <c r="P906">
        <v>0.35</v>
      </c>
      <c r="Q906">
        <v>1</v>
      </c>
      <c r="R906">
        <v>6.9999999999999999E-4</v>
      </c>
      <c r="T906" t="s">
        <v>2806</v>
      </c>
    </row>
    <row r="907" spans="1:20" x14ac:dyDescent="0.2">
      <c r="A907" t="s">
        <v>2808</v>
      </c>
      <c r="B907" t="s">
        <v>2022</v>
      </c>
      <c r="C907" t="s">
        <v>2023</v>
      </c>
      <c r="D907" t="s">
        <v>2154</v>
      </c>
      <c r="E907" t="s">
        <v>2806</v>
      </c>
      <c r="F907" t="s">
        <v>2807</v>
      </c>
      <c r="G907">
        <v>4</v>
      </c>
      <c r="H907">
        <v>1720</v>
      </c>
      <c r="I907">
        <v>3</v>
      </c>
      <c r="J907">
        <v>5.9</v>
      </c>
      <c r="K907">
        <v>2</v>
      </c>
      <c r="L907">
        <v>2.5999999999999999E-2</v>
      </c>
      <c r="M907">
        <v>2</v>
      </c>
      <c r="N907">
        <v>84</v>
      </c>
      <c r="O907">
        <v>2</v>
      </c>
      <c r="P907">
        <v>0.22500000000000001</v>
      </c>
      <c r="Q907">
        <v>1</v>
      </c>
      <c r="R907">
        <v>5.0000000000000001E-4</v>
      </c>
      <c r="T907" t="s">
        <v>2806</v>
      </c>
    </row>
    <row r="908" spans="1:20" x14ac:dyDescent="0.2">
      <c r="A908" t="s">
        <v>2809</v>
      </c>
      <c r="B908" t="s">
        <v>2022</v>
      </c>
      <c r="C908" t="s">
        <v>2049</v>
      </c>
      <c r="D908" t="s">
        <v>2024</v>
      </c>
      <c r="E908" t="s">
        <v>357</v>
      </c>
      <c r="F908" t="s">
        <v>2810</v>
      </c>
      <c r="G908">
        <v>2</v>
      </c>
      <c r="H908">
        <v>1450</v>
      </c>
      <c r="I908">
        <v>2</v>
      </c>
      <c r="J908">
        <v>3.2</v>
      </c>
      <c r="K908">
        <v>5</v>
      </c>
      <c r="L908">
        <v>0.3</v>
      </c>
      <c r="M908">
        <v>5</v>
      </c>
      <c r="N908">
        <v>166</v>
      </c>
      <c r="O908">
        <v>5</v>
      </c>
      <c r="P908">
        <v>0.86</v>
      </c>
      <c r="Q908">
        <v>5</v>
      </c>
      <c r="R908">
        <v>3.32E-2</v>
      </c>
      <c r="T908" t="s">
        <v>357</v>
      </c>
    </row>
    <row r="909" spans="1:20" x14ac:dyDescent="0.2">
      <c r="A909" t="s">
        <v>2811</v>
      </c>
      <c r="B909" t="s">
        <v>2022</v>
      </c>
      <c r="C909" t="s">
        <v>2101</v>
      </c>
      <c r="D909" t="s">
        <v>2024</v>
      </c>
      <c r="E909" t="s">
        <v>2812</v>
      </c>
      <c r="F909" t="s">
        <v>2813</v>
      </c>
      <c r="G909">
        <v>3</v>
      </c>
      <c r="H909">
        <v>1770</v>
      </c>
      <c r="I909">
        <v>5</v>
      </c>
      <c r="J909">
        <v>14</v>
      </c>
      <c r="K909">
        <v>5</v>
      </c>
      <c r="L909">
        <v>0.53749999999999998</v>
      </c>
      <c r="M909">
        <v>2</v>
      </c>
      <c r="N909">
        <v>74</v>
      </c>
      <c r="O909">
        <v>5</v>
      </c>
      <c r="P909">
        <v>0.67500000000000004</v>
      </c>
      <c r="Q909">
        <v>5</v>
      </c>
      <c r="R909">
        <v>2.5499999999999998E-2</v>
      </c>
      <c r="T909" t="s">
        <v>2812</v>
      </c>
    </row>
    <row r="910" spans="1:20" x14ac:dyDescent="0.2">
      <c r="A910" t="s">
        <v>2814</v>
      </c>
      <c r="B910" t="s">
        <v>2022</v>
      </c>
      <c r="C910" t="s">
        <v>2036</v>
      </c>
      <c r="D910" t="s">
        <v>2024</v>
      </c>
      <c r="E910" t="s">
        <v>2815</v>
      </c>
      <c r="F910" t="s">
        <v>2816</v>
      </c>
      <c r="G910">
        <v>1</v>
      </c>
      <c r="H910">
        <v>1540</v>
      </c>
      <c r="I910">
        <v>1</v>
      </c>
      <c r="J910">
        <v>2.2000000000000002</v>
      </c>
      <c r="K910">
        <v>1</v>
      </c>
      <c r="L910">
        <v>5.5E-2</v>
      </c>
      <c r="M910">
        <v>1</v>
      </c>
      <c r="N910">
        <v>76</v>
      </c>
      <c r="O910">
        <v>1</v>
      </c>
      <c r="P910">
        <v>9.5000000000000001E-2</v>
      </c>
      <c r="Q910">
        <v>1</v>
      </c>
      <c r="R910">
        <v>1.5E-3</v>
      </c>
      <c r="T910" t="s">
        <v>2815</v>
      </c>
    </row>
    <row r="911" spans="1:20" x14ac:dyDescent="0.2">
      <c r="A911" t="s">
        <v>2817</v>
      </c>
      <c r="B911" t="s">
        <v>2022</v>
      </c>
      <c r="C911" t="s">
        <v>2036</v>
      </c>
      <c r="D911" t="s">
        <v>2024</v>
      </c>
      <c r="E911" t="s">
        <v>2818</v>
      </c>
      <c r="F911" t="s">
        <v>2819</v>
      </c>
      <c r="G911">
        <v>4</v>
      </c>
      <c r="H911">
        <v>1840</v>
      </c>
      <c r="I911">
        <v>3</v>
      </c>
      <c r="J911">
        <v>4.5999999999999996</v>
      </c>
      <c r="K911">
        <v>1</v>
      </c>
      <c r="L911">
        <v>5.5E-2</v>
      </c>
      <c r="M911">
        <v>3</v>
      </c>
      <c r="N911">
        <v>88</v>
      </c>
      <c r="O911">
        <v>2</v>
      </c>
      <c r="P911">
        <v>0.20499999999999999</v>
      </c>
      <c r="Q911">
        <v>1</v>
      </c>
      <c r="R911">
        <v>1.5E-3</v>
      </c>
      <c r="T911" t="s">
        <v>2818</v>
      </c>
    </row>
    <row r="912" spans="1:20" x14ac:dyDescent="0.2">
      <c r="A912" t="s">
        <v>2820</v>
      </c>
      <c r="B912" t="s">
        <v>2022</v>
      </c>
      <c r="C912" t="s">
        <v>2053</v>
      </c>
      <c r="D912" t="s">
        <v>2024</v>
      </c>
      <c r="E912" t="s">
        <v>2821</v>
      </c>
      <c r="F912" t="s">
        <v>2822</v>
      </c>
      <c r="G912">
        <v>5</v>
      </c>
      <c r="H912">
        <v>1900</v>
      </c>
      <c r="I912">
        <v>4</v>
      </c>
      <c r="J912">
        <v>9.0500000000000007</v>
      </c>
      <c r="K912">
        <v>3</v>
      </c>
      <c r="L912">
        <v>0.19500000000000001</v>
      </c>
      <c r="M912">
        <v>1</v>
      </c>
      <c r="N912">
        <v>73</v>
      </c>
      <c r="O912">
        <v>2</v>
      </c>
      <c r="P912">
        <v>0.22500000000000001</v>
      </c>
      <c r="Q912">
        <v>2</v>
      </c>
      <c r="R912">
        <v>5.1999999999999998E-3</v>
      </c>
      <c r="T912" t="s">
        <v>2821</v>
      </c>
    </row>
    <row r="913" spans="1:20" x14ac:dyDescent="0.2">
      <c r="A913" t="s">
        <v>2823</v>
      </c>
      <c r="B913" t="s">
        <v>2022</v>
      </c>
      <c r="C913" t="s">
        <v>2023</v>
      </c>
      <c r="D913" t="s">
        <v>2024</v>
      </c>
      <c r="E913" t="s">
        <v>357</v>
      </c>
      <c r="F913" t="s">
        <v>2824</v>
      </c>
      <c r="G913">
        <v>3</v>
      </c>
      <c r="H913">
        <v>1640</v>
      </c>
      <c r="I913">
        <v>5</v>
      </c>
      <c r="J913">
        <v>10.9</v>
      </c>
      <c r="K913">
        <v>5</v>
      </c>
      <c r="L913">
        <v>8.5999999999999993E-2</v>
      </c>
      <c r="M913">
        <v>4</v>
      </c>
      <c r="N913">
        <v>104</v>
      </c>
      <c r="O913">
        <v>5</v>
      </c>
      <c r="P913">
        <v>0.67500000000000004</v>
      </c>
      <c r="Q913">
        <v>5</v>
      </c>
      <c r="R913">
        <v>8.0000000000000002E-3</v>
      </c>
      <c r="T913" t="s">
        <v>357</v>
      </c>
    </row>
    <row r="914" spans="1:20" x14ac:dyDescent="0.2">
      <c r="A914" t="s">
        <v>2825</v>
      </c>
      <c r="B914" t="s">
        <v>2022</v>
      </c>
      <c r="C914" t="s">
        <v>2023</v>
      </c>
      <c r="D914" t="s">
        <v>2136</v>
      </c>
      <c r="E914" t="s">
        <v>357</v>
      </c>
      <c r="F914" t="s">
        <v>2826</v>
      </c>
      <c r="G914">
        <v>1</v>
      </c>
      <c r="H914">
        <v>1480</v>
      </c>
      <c r="I914">
        <v>2</v>
      </c>
      <c r="J914">
        <v>3.4</v>
      </c>
      <c r="K914">
        <v>5</v>
      </c>
      <c r="L914">
        <v>8.5999999999999993E-2</v>
      </c>
      <c r="M914">
        <v>5</v>
      </c>
      <c r="N914">
        <v>114</v>
      </c>
      <c r="O914">
        <v>4</v>
      </c>
      <c r="P914">
        <v>0.52500000000000002</v>
      </c>
      <c r="Q914">
        <v>5</v>
      </c>
      <c r="R914">
        <v>8.0000000000000002E-3</v>
      </c>
      <c r="T914" t="s">
        <v>357</v>
      </c>
    </row>
    <row r="915" spans="1:20" x14ac:dyDescent="0.2">
      <c r="A915" t="s">
        <v>2827</v>
      </c>
      <c r="B915" t="s">
        <v>2022</v>
      </c>
      <c r="C915" t="s">
        <v>2036</v>
      </c>
      <c r="D915" t="s">
        <v>2024</v>
      </c>
      <c r="E915" t="s">
        <v>2828</v>
      </c>
      <c r="F915" t="s">
        <v>447</v>
      </c>
      <c r="G915">
        <v>1</v>
      </c>
      <c r="H915">
        <v>1540</v>
      </c>
      <c r="I915">
        <v>3</v>
      </c>
      <c r="J915">
        <v>4.5999999999999996</v>
      </c>
      <c r="K915">
        <v>4</v>
      </c>
      <c r="L915">
        <v>0.14499999999999999</v>
      </c>
      <c r="M915">
        <v>1</v>
      </c>
      <c r="N915">
        <v>76</v>
      </c>
      <c r="O915">
        <v>2</v>
      </c>
      <c r="P915">
        <v>0.20499999999999999</v>
      </c>
      <c r="Q915">
        <v>3</v>
      </c>
      <c r="R915">
        <v>6.7499999999999999E-3</v>
      </c>
      <c r="T915" t="s">
        <v>2828</v>
      </c>
    </row>
    <row r="916" spans="1:20" x14ac:dyDescent="0.2">
      <c r="A916" t="s">
        <v>2829</v>
      </c>
      <c r="B916" t="s">
        <v>2022</v>
      </c>
      <c r="C916" t="s">
        <v>2023</v>
      </c>
      <c r="D916" t="s">
        <v>2024</v>
      </c>
      <c r="E916" t="s">
        <v>2830</v>
      </c>
      <c r="F916" t="s">
        <v>2831</v>
      </c>
      <c r="G916">
        <v>5</v>
      </c>
      <c r="H916">
        <v>1800</v>
      </c>
      <c r="I916">
        <v>5</v>
      </c>
      <c r="J916">
        <v>10.9</v>
      </c>
      <c r="K916">
        <v>5</v>
      </c>
      <c r="L916">
        <v>8.5999999999999993E-2</v>
      </c>
      <c r="M916">
        <v>4</v>
      </c>
      <c r="N916">
        <v>104</v>
      </c>
      <c r="O916">
        <v>5</v>
      </c>
      <c r="P916">
        <v>0.67500000000000004</v>
      </c>
      <c r="Q916">
        <v>5</v>
      </c>
      <c r="R916">
        <v>8.0000000000000002E-3</v>
      </c>
      <c r="T916" t="s">
        <v>2830</v>
      </c>
    </row>
    <row r="917" spans="1:20" x14ac:dyDescent="0.2">
      <c r="A917" t="s">
        <v>2832</v>
      </c>
      <c r="B917" t="s">
        <v>2022</v>
      </c>
      <c r="C917" t="s">
        <v>2023</v>
      </c>
      <c r="D917" t="s">
        <v>2024</v>
      </c>
      <c r="E917" t="s">
        <v>307</v>
      </c>
      <c r="F917" t="s">
        <v>447</v>
      </c>
      <c r="G917">
        <v>1</v>
      </c>
      <c r="H917">
        <v>1480</v>
      </c>
      <c r="I917">
        <v>1</v>
      </c>
      <c r="J917">
        <v>0.9</v>
      </c>
      <c r="K917">
        <v>2</v>
      </c>
      <c r="L917">
        <v>2.5999999999999999E-2</v>
      </c>
      <c r="M917">
        <v>1</v>
      </c>
      <c r="N917">
        <v>74</v>
      </c>
      <c r="O917">
        <v>1</v>
      </c>
      <c r="P917">
        <v>7.4999999999999997E-2</v>
      </c>
      <c r="Q917">
        <v>1</v>
      </c>
      <c r="R917">
        <v>5.0000000000000001E-4</v>
      </c>
      <c r="T917" t="s">
        <v>307</v>
      </c>
    </row>
    <row r="918" spans="1:20" x14ac:dyDescent="0.2">
      <c r="A918" t="s">
        <v>2833</v>
      </c>
      <c r="B918" t="s">
        <v>2022</v>
      </c>
      <c r="C918" t="s">
        <v>2036</v>
      </c>
      <c r="D918" t="s">
        <v>2024</v>
      </c>
      <c r="E918" t="s">
        <v>307</v>
      </c>
      <c r="F918" t="s">
        <v>447</v>
      </c>
      <c r="G918">
        <v>2</v>
      </c>
      <c r="H918">
        <v>1640</v>
      </c>
      <c r="I918">
        <v>2</v>
      </c>
      <c r="J918">
        <v>3.4</v>
      </c>
      <c r="K918">
        <v>3</v>
      </c>
      <c r="L918">
        <v>0.115</v>
      </c>
      <c r="M918">
        <v>1</v>
      </c>
      <c r="N918">
        <v>76</v>
      </c>
      <c r="O918">
        <v>1</v>
      </c>
      <c r="P918">
        <v>9.5000000000000001E-2</v>
      </c>
      <c r="Q918">
        <v>2</v>
      </c>
      <c r="R918">
        <v>4.2500000000000003E-3</v>
      </c>
      <c r="T918" t="s">
        <v>307</v>
      </c>
    </row>
    <row r="919" spans="1:20" x14ac:dyDescent="0.2">
      <c r="A919" t="s">
        <v>2834</v>
      </c>
      <c r="B919" t="s">
        <v>2022</v>
      </c>
      <c r="C919" t="s">
        <v>2053</v>
      </c>
      <c r="D919" t="s">
        <v>2024</v>
      </c>
      <c r="E919" t="s">
        <v>2835</v>
      </c>
      <c r="F919" t="s">
        <v>2836</v>
      </c>
      <c r="G919">
        <v>5</v>
      </c>
      <c r="H919">
        <v>1900</v>
      </c>
      <c r="I919">
        <v>5</v>
      </c>
      <c r="J919">
        <v>11.55</v>
      </c>
      <c r="K919">
        <v>5</v>
      </c>
      <c r="L919">
        <v>0.41499999999999998</v>
      </c>
      <c r="M919">
        <v>5</v>
      </c>
      <c r="N919">
        <v>113</v>
      </c>
      <c r="O919">
        <v>5</v>
      </c>
      <c r="P919">
        <v>0.67500000000000004</v>
      </c>
      <c r="Q919">
        <v>5</v>
      </c>
      <c r="R919">
        <v>2.6200000000000001E-2</v>
      </c>
      <c r="T919" t="s">
        <v>2835</v>
      </c>
    </row>
    <row r="920" spans="1:20" x14ac:dyDescent="0.2">
      <c r="A920" t="s">
        <v>2837</v>
      </c>
      <c r="B920" t="s">
        <v>2022</v>
      </c>
      <c r="C920" t="s">
        <v>2053</v>
      </c>
      <c r="D920" t="s">
        <v>2024</v>
      </c>
      <c r="E920" t="s">
        <v>2838</v>
      </c>
      <c r="F920" t="s">
        <v>2839</v>
      </c>
      <c r="G920">
        <v>2</v>
      </c>
      <c r="H920">
        <v>1600</v>
      </c>
      <c r="I920">
        <v>2</v>
      </c>
      <c r="J920">
        <v>4.05</v>
      </c>
      <c r="K920">
        <v>2</v>
      </c>
      <c r="L920">
        <v>8.5000000000000006E-2</v>
      </c>
      <c r="M920">
        <v>2</v>
      </c>
      <c r="N920">
        <v>83</v>
      </c>
      <c r="O920">
        <v>2</v>
      </c>
      <c r="P920">
        <v>0.22500000000000001</v>
      </c>
      <c r="Q920">
        <v>2</v>
      </c>
      <c r="R920">
        <v>5.1999999999999998E-3</v>
      </c>
      <c r="T920" t="s">
        <v>2838</v>
      </c>
    </row>
    <row r="921" spans="1:20" x14ac:dyDescent="0.2">
      <c r="A921" t="s">
        <v>2840</v>
      </c>
      <c r="B921" t="s">
        <v>2022</v>
      </c>
      <c r="C921" t="s">
        <v>2053</v>
      </c>
      <c r="D921" t="s">
        <v>2154</v>
      </c>
      <c r="E921" t="s">
        <v>357</v>
      </c>
      <c r="F921" t="s">
        <v>2841</v>
      </c>
      <c r="G921">
        <v>1</v>
      </c>
      <c r="H921">
        <v>1500</v>
      </c>
      <c r="I921">
        <v>1</v>
      </c>
      <c r="J921">
        <v>1.55</v>
      </c>
      <c r="K921">
        <v>1</v>
      </c>
      <c r="L921">
        <v>1.4999999999999999E-2</v>
      </c>
      <c r="M921">
        <v>3</v>
      </c>
      <c r="N921">
        <v>93</v>
      </c>
      <c r="O921">
        <v>1</v>
      </c>
      <c r="P921">
        <v>7.4999999999999997E-2</v>
      </c>
      <c r="Q921">
        <v>1</v>
      </c>
      <c r="R921">
        <v>8.4999999999999995E-4</v>
      </c>
      <c r="T921" t="s">
        <v>357</v>
      </c>
    </row>
    <row r="922" spans="1:20" x14ac:dyDescent="0.2">
      <c r="A922" t="s">
        <v>2842</v>
      </c>
      <c r="B922" t="s">
        <v>2022</v>
      </c>
      <c r="C922" t="s">
        <v>2023</v>
      </c>
      <c r="D922" t="s">
        <v>2154</v>
      </c>
      <c r="E922" t="s">
        <v>2843</v>
      </c>
      <c r="F922" t="s">
        <v>2844</v>
      </c>
      <c r="G922">
        <v>2</v>
      </c>
      <c r="H922">
        <v>1560</v>
      </c>
      <c r="I922">
        <v>2</v>
      </c>
      <c r="J922">
        <v>3.4</v>
      </c>
      <c r="K922">
        <v>2</v>
      </c>
      <c r="L922">
        <v>2.5999999999999999E-2</v>
      </c>
      <c r="M922">
        <v>2</v>
      </c>
      <c r="N922">
        <v>84</v>
      </c>
      <c r="O922">
        <v>2</v>
      </c>
      <c r="P922">
        <v>0.22500000000000001</v>
      </c>
      <c r="Q922">
        <v>2</v>
      </c>
      <c r="R922">
        <v>2E-3</v>
      </c>
      <c r="T922" t="s">
        <v>2843</v>
      </c>
    </row>
    <row r="923" spans="1:20" x14ac:dyDescent="0.2">
      <c r="A923" t="s">
        <v>2845</v>
      </c>
      <c r="B923" t="s">
        <v>2022</v>
      </c>
      <c r="C923" t="s">
        <v>2095</v>
      </c>
      <c r="D923" t="s">
        <v>2024</v>
      </c>
      <c r="E923" t="s">
        <v>2846</v>
      </c>
      <c r="F923" t="s">
        <v>2847</v>
      </c>
      <c r="G923">
        <v>3</v>
      </c>
      <c r="H923">
        <v>1745</v>
      </c>
      <c r="I923">
        <v>5</v>
      </c>
      <c r="J923">
        <v>16.5</v>
      </c>
      <c r="K923">
        <v>5</v>
      </c>
      <c r="L923">
        <v>0.73</v>
      </c>
      <c r="M923">
        <v>5</v>
      </c>
      <c r="N923">
        <v>98</v>
      </c>
      <c r="O923">
        <v>5</v>
      </c>
      <c r="P923">
        <v>0.95</v>
      </c>
      <c r="Q923">
        <v>5</v>
      </c>
      <c r="R923">
        <v>3.2899999999999999E-2</v>
      </c>
      <c r="T923" t="s">
        <v>2846</v>
      </c>
    </row>
    <row r="924" spans="1:20" x14ac:dyDescent="0.2">
      <c r="A924" t="s">
        <v>2848</v>
      </c>
      <c r="B924" t="s">
        <v>2022</v>
      </c>
      <c r="C924" t="s">
        <v>2049</v>
      </c>
      <c r="D924" t="s">
        <v>2024</v>
      </c>
      <c r="E924" t="s">
        <v>2849</v>
      </c>
      <c r="F924" t="s">
        <v>2850</v>
      </c>
      <c r="G924">
        <v>1</v>
      </c>
      <c r="H924">
        <v>1350</v>
      </c>
      <c r="I924">
        <v>1</v>
      </c>
      <c r="J924">
        <v>1.4</v>
      </c>
      <c r="K924">
        <v>1</v>
      </c>
      <c r="L924">
        <v>0.01</v>
      </c>
      <c r="M924">
        <v>5</v>
      </c>
      <c r="N924">
        <v>166</v>
      </c>
      <c r="O924">
        <v>2</v>
      </c>
      <c r="P924">
        <v>0.26</v>
      </c>
      <c r="Q924">
        <v>2</v>
      </c>
      <c r="R924">
        <v>6.1999999999999998E-3</v>
      </c>
      <c r="T924" t="s">
        <v>2849</v>
      </c>
    </row>
    <row r="925" spans="1:20" x14ac:dyDescent="0.2">
      <c r="A925" t="s">
        <v>2851</v>
      </c>
      <c r="B925" t="s">
        <v>2022</v>
      </c>
      <c r="C925" t="s">
        <v>2036</v>
      </c>
      <c r="D925" t="s">
        <v>2024</v>
      </c>
      <c r="E925" t="s">
        <v>2852</v>
      </c>
      <c r="F925" t="s">
        <v>2853</v>
      </c>
      <c r="G925">
        <v>1</v>
      </c>
      <c r="H925">
        <v>1540</v>
      </c>
      <c r="I925">
        <v>1</v>
      </c>
      <c r="J925">
        <v>2.2000000000000002</v>
      </c>
      <c r="K925">
        <v>1</v>
      </c>
      <c r="L925">
        <v>5.5E-2</v>
      </c>
      <c r="M925">
        <v>1</v>
      </c>
      <c r="N925">
        <v>76</v>
      </c>
      <c r="O925">
        <v>1</v>
      </c>
      <c r="P925">
        <v>9.5000000000000001E-2</v>
      </c>
      <c r="Q925">
        <v>1</v>
      </c>
      <c r="R925">
        <v>1.5E-3</v>
      </c>
      <c r="T925" t="s">
        <v>2852</v>
      </c>
    </row>
    <row r="926" spans="1:20" x14ac:dyDescent="0.2">
      <c r="A926" t="s">
        <v>2854</v>
      </c>
      <c r="B926" t="s">
        <v>2022</v>
      </c>
      <c r="C926" t="s">
        <v>2036</v>
      </c>
      <c r="D926" t="s">
        <v>2136</v>
      </c>
      <c r="E926" t="s">
        <v>2855</v>
      </c>
      <c r="F926" t="s">
        <v>2856</v>
      </c>
      <c r="G926">
        <v>1</v>
      </c>
      <c r="H926">
        <v>1540</v>
      </c>
      <c r="I926">
        <v>3</v>
      </c>
      <c r="J926">
        <v>4.5999999999999996</v>
      </c>
      <c r="K926">
        <v>3</v>
      </c>
      <c r="L926">
        <v>0.115</v>
      </c>
      <c r="M926">
        <v>2</v>
      </c>
      <c r="N926">
        <v>82</v>
      </c>
      <c r="O926">
        <v>2</v>
      </c>
      <c r="P926">
        <v>0.20499999999999999</v>
      </c>
      <c r="Q926">
        <v>3</v>
      </c>
      <c r="R926">
        <v>6.7499999999999999E-3</v>
      </c>
      <c r="T926" t="s">
        <v>2855</v>
      </c>
    </row>
    <row r="927" spans="1:20" x14ac:dyDescent="0.2">
      <c r="A927" t="s">
        <v>2857</v>
      </c>
      <c r="B927" t="s">
        <v>2022</v>
      </c>
      <c r="C927" t="s">
        <v>2053</v>
      </c>
      <c r="D927" t="s">
        <v>2024</v>
      </c>
      <c r="E927" t="s">
        <v>2858</v>
      </c>
      <c r="F927" t="s">
        <v>2859</v>
      </c>
      <c r="G927">
        <v>1</v>
      </c>
      <c r="H927">
        <v>1500</v>
      </c>
      <c r="I927">
        <v>1</v>
      </c>
      <c r="J927">
        <v>1.55</v>
      </c>
      <c r="K927">
        <v>1</v>
      </c>
      <c r="L927">
        <v>1.4999999999999999E-2</v>
      </c>
      <c r="M927">
        <v>5</v>
      </c>
      <c r="N927">
        <v>113</v>
      </c>
      <c r="O927">
        <v>2</v>
      </c>
      <c r="P927">
        <v>0.22500000000000001</v>
      </c>
      <c r="Q927">
        <v>2</v>
      </c>
      <c r="R927">
        <v>5.1999999999999998E-3</v>
      </c>
      <c r="T927" t="s">
        <v>2858</v>
      </c>
    </row>
    <row r="928" spans="1:20" x14ac:dyDescent="0.2">
      <c r="A928" t="s">
        <v>2860</v>
      </c>
      <c r="B928" t="s">
        <v>2022</v>
      </c>
      <c r="C928" t="s">
        <v>2036</v>
      </c>
      <c r="D928" t="s">
        <v>2024</v>
      </c>
      <c r="E928" t="s">
        <v>2861</v>
      </c>
      <c r="F928" t="s">
        <v>2862</v>
      </c>
      <c r="G928">
        <v>1</v>
      </c>
      <c r="H928">
        <v>1540</v>
      </c>
      <c r="I928">
        <v>1</v>
      </c>
      <c r="J928">
        <v>2.2000000000000002</v>
      </c>
      <c r="K928">
        <v>1</v>
      </c>
      <c r="L928">
        <v>5.5E-2</v>
      </c>
      <c r="M928">
        <v>2</v>
      </c>
      <c r="N928">
        <v>82</v>
      </c>
      <c r="O928">
        <v>1</v>
      </c>
      <c r="P928">
        <v>9.5000000000000001E-2</v>
      </c>
      <c r="Q928">
        <v>1</v>
      </c>
      <c r="R928">
        <v>1.5E-3</v>
      </c>
      <c r="T928" t="s">
        <v>2861</v>
      </c>
    </row>
    <row r="929" spans="1:20" x14ac:dyDescent="0.2">
      <c r="A929" t="s">
        <v>2863</v>
      </c>
      <c r="B929" t="s">
        <v>2022</v>
      </c>
      <c r="C929" t="s">
        <v>2023</v>
      </c>
      <c r="D929" t="s">
        <v>2024</v>
      </c>
      <c r="E929" t="s">
        <v>2864</v>
      </c>
      <c r="F929" t="s">
        <v>2865</v>
      </c>
      <c r="G929">
        <v>3</v>
      </c>
      <c r="H929">
        <v>1640</v>
      </c>
      <c r="I929">
        <v>5</v>
      </c>
      <c r="J929">
        <v>10.9</v>
      </c>
      <c r="K929">
        <v>5</v>
      </c>
      <c r="L929">
        <v>8.5999999999999993E-2</v>
      </c>
      <c r="M929">
        <v>2</v>
      </c>
      <c r="N929">
        <v>84</v>
      </c>
      <c r="O929">
        <v>4</v>
      </c>
      <c r="P929">
        <v>0.52500000000000002</v>
      </c>
      <c r="Q929">
        <v>5</v>
      </c>
      <c r="R929">
        <v>8.0000000000000002E-3</v>
      </c>
      <c r="T929" t="s">
        <v>2864</v>
      </c>
    </row>
    <row r="930" spans="1:20" x14ac:dyDescent="0.2">
      <c r="A930" t="s">
        <v>2866</v>
      </c>
      <c r="B930" t="s">
        <v>2022</v>
      </c>
      <c r="C930" t="s">
        <v>2023</v>
      </c>
      <c r="D930" t="s">
        <v>2024</v>
      </c>
      <c r="E930" t="s">
        <v>2867</v>
      </c>
      <c r="F930" t="s">
        <v>2868</v>
      </c>
      <c r="G930">
        <v>3</v>
      </c>
      <c r="H930">
        <v>1640</v>
      </c>
      <c r="I930">
        <v>5</v>
      </c>
      <c r="J930">
        <v>10.9</v>
      </c>
      <c r="K930">
        <v>5</v>
      </c>
      <c r="L930">
        <v>8.5999999999999993E-2</v>
      </c>
      <c r="M930">
        <v>3</v>
      </c>
      <c r="N930">
        <v>94</v>
      </c>
      <c r="O930">
        <v>5</v>
      </c>
      <c r="P930">
        <v>0.67500000000000004</v>
      </c>
      <c r="Q930">
        <v>5</v>
      </c>
      <c r="R930">
        <v>8.0000000000000002E-3</v>
      </c>
      <c r="T930" t="s">
        <v>2867</v>
      </c>
    </row>
    <row r="931" spans="1:20" x14ac:dyDescent="0.2">
      <c r="A931" t="s">
        <v>2869</v>
      </c>
      <c r="B931" t="s">
        <v>2022</v>
      </c>
      <c r="C931" t="s">
        <v>2023</v>
      </c>
      <c r="D931" t="s">
        <v>2024</v>
      </c>
      <c r="E931" t="s">
        <v>2870</v>
      </c>
      <c r="F931" t="s">
        <v>2871</v>
      </c>
      <c r="G931">
        <v>2</v>
      </c>
      <c r="H931">
        <v>1560</v>
      </c>
      <c r="I931">
        <v>2</v>
      </c>
      <c r="J931">
        <v>3.4</v>
      </c>
      <c r="K931">
        <v>2</v>
      </c>
      <c r="L931">
        <v>2.5999999999999999E-2</v>
      </c>
      <c r="M931">
        <v>2</v>
      </c>
      <c r="N931">
        <v>84</v>
      </c>
      <c r="O931">
        <v>2</v>
      </c>
      <c r="P931">
        <v>0.22500000000000001</v>
      </c>
      <c r="Q931">
        <v>1</v>
      </c>
      <c r="R931">
        <v>5.0000000000000001E-4</v>
      </c>
      <c r="T931" t="s">
        <v>2870</v>
      </c>
    </row>
    <row r="932" spans="1:20" x14ac:dyDescent="0.2">
      <c r="A932" t="s">
        <v>2872</v>
      </c>
      <c r="B932" t="s">
        <v>2022</v>
      </c>
      <c r="C932" t="s">
        <v>2101</v>
      </c>
      <c r="D932" t="s">
        <v>2136</v>
      </c>
      <c r="E932" t="s">
        <v>2873</v>
      </c>
      <c r="F932" t="s">
        <v>2874</v>
      </c>
      <c r="G932">
        <v>2</v>
      </c>
      <c r="H932">
        <v>1670</v>
      </c>
      <c r="I932">
        <v>4</v>
      </c>
      <c r="J932">
        <v>11</v>
      </c>
      <c r="K932">
        <v>5</v>
      </c>
      <c r="L932">
        <v>0.53749999999999998</v>
      </c>
      <c r="M932">
        <v>4</v>
      </c>
      <c r="N932">
        <v>90</v>
      </c>
      <c r="O932">
        <v>5</v>
      </c>
      <c r="P932">
        <v>0.67500000000000004</v>
      </c>
      <c r="Q932">
        <v>5</v>
      </c>
      <c r="R932">
        <v>2.5499999999999998E-2</v>
      </c>
      <c r="T932" t="s">
        <v>2873</v>
      </c>
    </row>
    <row r="933" spans="1:20" x14ac:dyDescent="0.2">
      <c r="A933" t="s">
        <v>2875</v>
      </c>
      <c r="B933" t="s">
        <v>2022</v>
      </c>
      <c r="C933" t="s">
        <v>2023</v>
      </c>
      <c r="D933" t="s">
        <v>2024</v>
      </c>
      <c r="E933" t="s">
        <v>2876</v>
      </c>
      <c r="F933" t="s">
        <v>2877</v>
      </c>
      <c r="G933">
        <v>5</v>
      </c>
      <c r="H933">
        <v>1800</v>
      </c>
      <c r="I933">
        <v>4</v>
      </c>
      <c r="J933">
        <v>8.4</v>
      </c>
      <c r="K933">
        <v>2</v>
      </c>
      <c r="L933">
        <v>2.5999999999999999E-2</v>
      </c>
      <c r="M933">
        <v>3</v>
      </c>
      <c r="N933">
        <v>94</v>
      </c>
      <c r="O933">
        <v>4</v>
      </c>
      <c r="P933">
        <v>0.52500000000000002</v>
      </c>
      <c r="Q933">
        <v>2</v>
      </c>
      <c r="R933">
        <v>2E-3</v>
      </c>
      <c r="T933" t="s">
        <v>2876</v>
      </c>
    </row>
    <row r="934" spans="1:20" x14ac:dyDescent="0.2">
      <c r="A934" t="s">
        <v>2878</v>
      </c>
      <c r="B934" t="s">
        <v>2022</v>
      </c>
      <c r="C934" t="s">
        <v>2023</v>
      </c>
      <c r="D934" t="s">
        <v>2024</v>
      </c>
      <c r="E934" t="s">
        <v>2879</v>
      </c>
      <c r="F934" t="s">
        <v>2880</v>
      </c>
      <c r="G934">
        <v>1</v>
      </c>
      <c r="H934">
        <v>1480</v>
      </c>
      <c r="I934">
        <v>2</v>
      </c>
      <c r="J934">
        <v>3.4</v>
      </c>
      <c r="K934">
        <v>4</v>
      </c>
      <c r="L934">
        <v>6.6000000000000003E-2</v>
      </c>
      <c r="M934">
        <v>3</v>
      </c>
      <c r="N934">
        <v>94</v>
      </c>
      <c r="O934">
        <v>2</v>
      </c>
      <c r="P934">
        <v>0.22500000000000001</v>
      </c>
      <c r="Q934">
        <v>3</v>
      </c>
      <c r="R934">
        <v>4.0000000000000001E-3</v>
      </c>
      <c r="T934" t="s">
        <v>2879</v>
      </c>
    </row>
    <row r="935" spans="1:20" x14ac:dyDescent="0.2">
      <c r="A935" t="s">
        <v>2881</v>
      </c>
      <c r="B935" t="s">
        <v>2022</v>
      </c>
      <c r="C935" t="s">
        <v>2036</v>
      </c>
      <c r="D935" t="s">
        <v>2024</v>
      </c>
      <c r="E935" t="s">
        <v>2882</v>
      </c>
      <c r="F935" t="s">
        <v>2883</v>
      </c>
      <c r="G935">
        <v>3</v>
      </c>
      <c r="H935">
        <v>1740</v>
      </c>
      <c r="I935">
        <v>4</v>
      </c>
      <c r="J935">
        <v>5.8</v>
      </c>
      <c r="K935">
        <v>5</v>
      </c>
      <c r="L935">
        <v>0.17499999999999999</v>
      </c>
      <c r="M935">
        <v>4</v>
      </c>
      <c r="N935">
        <v>94</v>
      </c>
      <c r="O935">
        <v>3</v>
      </c>
      <c r="P935">
        <v>0.315</v>
      </c>
      <c r="Q935">
        <v>4</v>
      </c>
      <c r="R935">
        <v>9.2499999999999995E-3</v>
      </c>
      <c r="T935" t="s">
        <v>2882</v>
      </c>
    </row>
    <row r="936" spans="1:20" x14ac:dyDescent="0.2">
      <c r="A936" t="s">
        <v>2884</v>
      </c>
      <c r="B936" t="s">
        <v>2022</v>
      </c>
      <c r="C936" t="s">
        <v>2036</v>
      </c>
      <c r="D936" t="s">
        <v>2024</v>
      </c>
      <c r="E936" t="s">
        <v>2885</v>
      </c>
      <c r="F936" t="s">
        <v>2886</v>
      </c>
      <c r="G936">
        <v>3</v>
      </c>
      <c r="H936">
        <v>1740</v>
      </c>
      <c r="I936">
        <v>5</v>
      </c>
      <c r="J936">
        <v>7</v>
      </c>
      <c r="K936">
        <v>5</v>
      </c>
      <c r="L936">
        <v>0.17499999999999999</v>
      </c>
      <c r="M936">
        <v>2</v>
      </c>
      <c r="N936">
        <v>82</v>
      </c>
      <c r="O936">
        <v>3</v>
      </c>
      <c r="P936">
        <v>0.315</v>
      </c>
      <c r="Q936">
        <v>5</v>
      </c>
      <c r="R936">
        <v>1.2E-2</v>
      </c>
      <c r="T936" t="s">
        <v>2885</v>
      </c>
    </row>
    <row r="937" spans="1:20" x14ac:dyDescent="0.2">
      <c r="A937" t="s">
        <v>2887</v>
      </c>
      <c r="B937" t="s">
        <v>2022</v>
      </c>
      <c r="C937" t="s">
        <v>2023</v>
      </c>
      <c r="D937" t="s">
        <v>2136</v>
      </c>
      <c r="E937" t="s">
        <v>357</v>
      </c>
      <c r="F937" t="s">
        <v>2888</v>
      </c>
      <c r="G937">
        <v>1</v>
      </c>
      <c r="H937">
        <v>1480</v>
      </c>
      <c r="I937">
        <v>2</v>
      </c>
      <c r="J937">
        <v>3.4</v>
      </c>
      <c r="K937">
        <v>5</v>
      </c>
      <c r="L937">
        <v>8.5999999999999993E-2</v>
      </c>
      <c r="M937">
        <v>5</v>
      </c>
      <c r="N937">
        <v>114</v>
      </c>
      <c r="O937">
        <v>5</v>
      </c>
      <c r="P937">
        <v>0.67500000000000004</v>
      </c>
      <c r="Q937">
        <v>5</v>
      </c>
      <c r="R937">
        <v>8.0000000000000002E-3</v>
      </c>
      <c r="T937" t="s">
        <v>357</v>
      </c>
    </row>
    <row r="938" spans="1:20" x14ac:dyDescent="0.2">
      <c r="A938" t="s">
        <v>2889</v>
      </c>
      <c r="B938" t="s">
        <v>2022</v>
      </c>
      <c r="C938" t="s">
        <v>2036</v>
      </c>
      <c r="D938" t="s">
        <v>2024</v>
      </c>
      <c r="E938" t="s">
        <v>2890</v>
      </c>
      <c r="F938" t="s">
        <v>2891</v>
      </c>
      <c r="G938">
        <v>5</v>
      </c>
      <c r="H938">
        <v>1940</v>
      </c>
      <c r="I938">
        <v>2</v>
      </c>
      <c r="J938">
        <v>3.4</v>
      </c>
      <c r="K938">
        <v>1</v>
      </c>
      <c r="L938">
        <v>5.5E-2</v>
      </c>
      <c r="M938">
        <v>5</v>
      </c>
      <c r="N938">
        <v>100</v>
      </c>
      <c r="O938">
        <v>2</v>
      </c>
      <c r="P938">
        <v>0.20499999999999999</v>
      </c>
      <c r="Q938">
        <v>2</v>
      </c>
      <c r="R938">
        <v>4.2500000000000003E-3</v>
      </c>
      <c r="T938" t="s">
        <v>2890</v>
      </c>
    </row>
    <row r="939" spans="1:20" x14ac:dyDescent="0.2">
      <c r="A939" t="s">
        <v>2892</v>
      </c>
      <c r="B939" t="s">
        <v>2022</v>
      </c>
      <c r="C939" t="s">
        <v>2257</v>
      </c>
      <c r="D939" t="s">
        <v>2024</v>
      </c>
      <c r="E939" t="s">
        <v>357</v>
      </c>
      <c r="F939" t="s">
        <v>2893</v>
      </c>
      <c r="G939">
        <v>5</v>
      </c>
      <c r="H939">
        <v>1300</v>
      </c>
      <c r="I939">
        <v>1</v>
      </c>
      <c r="J939">
        <v>0.45</v>
      </c>
      <c r="K939">
        <v>1</v>
      </c>
      <c r="L939">
        <v>6.0000000000000001E-3</v>
      </c>
      <c r="M939">
        <v>5</v>
      </c>
      <c r="N939">
        <v>1100</v>
      </c>
      <c r="O939">
        <v>1</v>
      </c>
      <c r="P939">
        <v>0.3</v>
      </c>
      <c r="Q939">
        <v>1</v>
      </c>
      <c r="R939">
        <v>2E-3</v>
      </c>
      <c r="T939" t="s">
        <v>357</v>
      </c>
    </row>
    <row r="940" spans="1:20" x14ac:dyDescent="0.2">
      <c r="A940" t="s">
        <v>2894</v>
      </c>
      <c r="B940" t="s">
        <v>2022</v>
      </c>
      <c r="C940" t="s">
        <v>2023</v>
      </c>
      <c r="D940" t="s">
        <v>2024</v>
      </c>
      <c r="E940" t="s">
        <v>2895</v>
      </c>
      <c r="F940" t="s">
        <v>2896</v>
      </c>
      <c r="G940">
        <v>5</v>
      </c>
      <c r="H940">
        <v>1800</v>
      </c>
      <c r="I940">
        <v>2</v>
      </c>
      <c r="J940">
        <v>3.4</v>
      </c>
      <c r="K940">
        <v>3</v>
      </c>
      <c r="L940">
        <v>4.5999999999999999E-2</v>
      </c>
      <c r="M940">
        <v>5</v>
      </c>
      <c r="N940">
        <v>114</v>
      </c>
      <c r="O940">
        <v>2</v>
      </c>
      <c r="P940">
        <v>0.22500000000000001</v>
      </c>
      <c r="Q940">
        <v>2</v>
      </c>
      <c r="R940">
        <v>2E-3</v>
      </c>
      <c r="T940" t="s">
        <v>2895</v>
      </c>
    </row>
    <row r="941" spans="1:20" x14ac:dyDescent="0.2">
      <c r="A941" t="s">
        <v>2897</v>
      </c>
      <c r="B941" t="s">
        <v>2022</v>
      </c>
      <c r="C941" t="s">
        <v>2104</v>
      </c>
      <c r="D941" t="s">
        <v>2024</v>
      </c>
      <c r="E941" t="s">
        <v>2895</v>
      </c>
      <c r="F941" t="s">
        <v>2896</v>
      </c>
      <c r="G941">
        <v>5</v>
      </c>
      <c r="H941">
        <v>2237.5</v>
      </c>
      <c r="I941">
        <v>3</v>
      </c>
      <c r="J941">
        <v>5.55</v>
      </c>
      <c r="K941">
        <v>2</v>
      </c>
      <c r="L941">
        <v>4.1000000000000002E-2</v>
      </c>
      <c r="M941">
        <v>4</v>
      </c>
      <c r="N941">
        <v>81</v>
      </c>
      <c r="P941">
        <v>0</v>
      </c>
      <c r="Q941">
        <v>2</v>
      </c>
      <c r="R941">
        <v>3.2000000000000002E-3</v>
      </c>
      <c r="T941" t="s">
        <v>2895</v>
      </c>
    </row>
    <row r="942" spans="1:20" x14ac:dyDescent="0.2">
      <c r="A942" t="s">
        <v>2898</v>
      </c>
      <c r="B942" t="s">
        <v>2022</v>
      </c>
      <c r="C942" t="s">
        <v>2104</v>
      </c>
      <c r="D942" t="s">
        <v>2024</v>
      </c>
      <c r="E942" t="s">
        <v>2895</v>
      </c>
      <c r="F942" t="s">
        <v>2896</v>
      </c>
      <c r="G942">
        <v>5</v>
      </c>
      <c r="H942">
        <v>2237.5</v>
      </c>
      <c r="I942">
        <v>4</v>
      </c>
      <c r="J942">
        <v>7.85</v>
      </c>
      <c r="K942">
        <v>5</v>
      </c>
      <c r="L942">
        <v>0.191</v>
      </c>
      <c r="M942">
        <v>5</v>
      </c>
      <c r="N942">
        <v>89</v>
      </c>
      <c r="P942">
        <v>0</v>
      </c>
      <c r="Q942">
        <v>3</v>
      </c>
      <c r="R942">
        <v>8.2000000000000007E-3</v>
      </c>
      <c r="T942" t="s">
        <v>2895</v>
      </c>
    </row>
    <row r="943" spans="1:20" x14ac:dyDescent="0.2">
      <c r="A943" t="s">
        <v>2899</v>
      </c>
      <c r="B943" t="s">
        <v>2022</v>
      </c>
      <c r="C943" t="s">
        <v>2053</v>
      </c>
      <c r="D943" t="s">
        <v>2024</v>
      </c>
      <c r="E943" t="s">
        <v>2900</v>
      </c>
      <c r="F943" t="s">
        <v>2901</v>
      </c>
      <c r="G943">
        <v>3</v>
      </c>
      <c r="H943">
        <v>1700</v>
      </c>
      <c r="I943">
        <v>2</v>
      </c>
      <c r="J943">
        <v>4.05</v>
      </c>
      <c r="K943">
        <v>1</v>
      </c>
      <c r="L943">
        <v>1.4999999999999999E-2</v>
      </c>
      <c r="M943">
        <v>3</v>
      </c>
      <c r="N943">
        <v>93</v>
      </c>
      <c r="O943">
        <v>2</v>
      </c>
      <c r="P943">
        <v>0.22500000000000001</v>
      </c>
      <c r="Q943">
        <v>1</v>
      </c>
      <c r="R943">
        <v>8.4999999999999995E-4</v>
      </c>
      <c r="T943" t="s">
        <v>2900</v>
      </c>
    </row>
    <row r="944" spans="1:20" x14ac:dyDescent="0.2">
      <c r="A944" t="s">
        <v>2902</v>
      </c>
      <c r="B944" t="s">
        <v>2022</v>
      </c>
      <c r="C944" t="s">
        <v>2053</v>
      </c>
      <c r="D944" t="s">
        <v>2024</v>
      </c>
      <c r="E944" t="s">
        <v>2903</v>
      </c>
      <c r="F944" t="s">
        <v>2904</v>
      </c>
      <c r="G944">
        <v>2</v>
      </c>
      <c r="H944">
        <v>1600</v>
      </c>
      <c r="I944">
        <v>3</v>
      </c>
      <c r="J944">
        <v>6.55</v>
      </c>
      <c r="K944">
        <v>3</v>
      </c>
      <c r="L944">
        <v>0.19500000000000001</v>
      </c>
      <c r="M944">
        <v>5</v>
      </c>
      <c r="N944">
        <v>113</v>
      </c>
      <c r="O944">
        <v>5</v>
      </c>
      <c r="P944">
        <v>0.67500000000000004</v>
      </c>
      <c r="Q944">
        <v>3</v>
      </c>
      <c r="R944">
        <v>1.2200000000000001E-2</v>
      </c>
      <c r="T944" t="s">
        <v>2903</v>
      </c>
    </row>
    <row r="945" spans="1:20" x14ac:dyDescent="0.2">
      <c r="A945" t="s">
        <v>2905</v>
      </c>
      <c r="B945" t="s">
        <v>2022</v>
      </c>
      <c r="C945" t="s">
        <v>2023</v>
      </c>
      <c r="D945" t="s">
        <v>2024</v>
      </c>
      <c r="E945" t="s">
        <v>2906</v>
      </c>
      <c r="F945" t="s">
        <v>2907</v>
      </c>
      <c r="G945">
        <v>2</v>
      </c>
      <c r="H945">
        <v>1560</v>
      </c>
      <c r="I945">
        <v>2</v>
      </c>
      <c r="J945">
        <v>3.4</v>
      </c>
      <c r="K945">
        <v>2</v>
      </c>
      <c r="L945">
        <v>2.5999999999999999E-2</v>
      </c>
      <c r="M945">
        <v>1</v>
      </c>
      <c r="N945">
        <v>74</v>
      </c>
      <c r="O945">
        <v>1</v>
      </c>
      <c r="P945">
        <v>7.4999999999999997E-2</v>
      </c>
      <c r="Q945">
        <v>1</v>
      </c>
      <c r="R945">
        <v>5.0000000000000001E-4</v>
      </c>
      <c r="T945" t="s">
        <v>2906</v>
      </c>
    </row>
    <row r="946" spans="1:20" x14ac:dyDescent="0.2">
      <c r="A946" t="s">
        <v>2908</v>
      </c>
      <c r="B946" t="s">
        <v>2022</v>
      </c>
      <c r="C946" t="s">
        <v>2023</v>
      </c>
      <c r="D946" t="s">
        <v>2024</v>
      </c>
      <c r="E946" t="s">
        <v>2909</v>
      </c>
      <c r="F946" t="s">
        <v>2910</v>
      </c>
      <c r="G946">
        <v>3</v>
      </c>
      <c r="H946">
        <v>1640</v>
      </c>
      <c r="I946">
        <v>5</v>
      </c>
      <c r="J946">
        <v>10.9</v>
      </c>
      <c r="K946">
        <v>5</v>
      </c>
      <c r="L946">
        <v>8.5999999999999993E-2</v>
      </c>
      <c r="M946">
        <v>1</v>
      </c>
      <c r="N946">
        <v>74</v>
      </c>
      <c r="O946">
        <v>4</v>
      </c>
      <c r="P946">
        <v>0.52500000000000002</v>
      </c>
      <c r="Q946">
        <v>5</v>
      </c>
      <c r="R946">
        <v>8.0000000000000002E-3</v>
      </c>
      <c r="T946" t="s">
        <v>2909</v>
      </c>
    </row>
    <row r="947" spans="1:20" x14ac:dyDescent="0.2">
      <c r="A947" t="s">
        <v>2911</v>
      </c>
      <c r="B947" t="s">
        <v>2022</v>
      </c>
      <c r="C947" t="s">
        <v>2036</v>
      </c>
      <c r="D947" t="s">
        <v>2024</v>
      </c>
      <c r="E947" t="s">
        <v>337</v>
      </c>
      <c r="F947" t="s">
        <v>2912</v>
      </c>
      <c r="G947">
        <v>5</v>
      </c>
      <c r="H947">
        <v>1940</v>
      </c>
      <c r="I947">
        <v>1</v>
      </c>
      <c r="J947">
        <v>2.2000000000000002</v>
      </c>
      <c r="K947">
        <v>2</v>
      </c>
      <c r="L947">
        <v>8.5000000000000006E-2</v>
      </c>
      <c r="M947">
        <v>5</v>
      </c>
      <c r="N947">
        <v>100</v>
      </c>
      <c r="O947">
        <v>1</v>
      </c>
      <c r="P947">
        <v>9.5000000000000001E-2</v>
      </c>
      <c r="Q947">
        <v>2</v>
      </c>
      <c r="R947">
        <v>4.2500000000000003E-3</v>
      </c>
      <c r="T947" t="s">
        <v>337</v>
      </c>
    </row>
    <row r="948" spans="1:20" x14ac:dyDescent="0.2">
      <c r="A948" t="s">
        <v>2913</v>
      </c>
      <c r="B948" t="s">
        <v>2022</v>
      </c>
      <c r="C948" t="s">
        <v>2023</v>
      </c>
      <c r="D948" t="s">
        <v>2024</v>
      </c>
      <c r="E948" t="s">
        <v>2914</v>
      </c>
      <c r="F948" t="s">
        <v>2915</v>
      </c>
      <c r="G948">
        <v>5</v>
      </c>
      <c r="H948">
        <v>1800</v>
      </c>
      <c r="I948">
        <v>5</v>
      </c>
      <c r="J948">
        <v>10.9</v>
      </c>
      <c r="K948">
        <v>5</v>
      </c>
      <c r="L948">
        <v>8.5999999999999993E-2</v>
      </c>
      <c r="M948">
        <v>3</v>
      </c>
      <c r="N948">
        <v>94</v>
      </c>
      <c r="O948">
        <v>4</v>
      </c>
      <c r="P948">
        <v>0.52500000000000002</v>
      </c>
      <c r="Q948">
        <v>5</v>
      </c>
      <c r="R948">
        <v>8.0000000000000002E-3</v>
      </c>
      <c r="T948" t="s">
        <v>2914</v>
      </c>
    </row>
    <row r="949" spans="1:20" x14ac:dyDescent="0.2">
      <c r="A949" t="s">
        <v>2916</v>
      </c>
      <c r="B949" t="s">
        <v>2022</v>
      </c>
      <c r="C949" t="s">
        <v>2023</v>
      </c>
      <c r="D949" t="s">
        <v>2024</v>
      </c>
      <c r="E949" t="s">
        <v>2917</v>
      </c>
      <c r="F949" t="s">
        <v>2918</v>
      </c>
      <c r="G949">
        <v>4</v>
      </c>
      <c r="H949">
        <v>1720</v>
      </c>
      <c r="I949">
        <v>5</v>
      </c>
      <c r="J949">
        <v>10.9</v>
      </c>
      <c r="K949">
        <v>5</v>
      </c>
      <c r="L949">
        <v>8.5999999999999993E-2</v>
      </c>
      <c r="M949">
        <v>3</v>
      </c>
      <c r="N949">
        <v>94</v>
      </c>
      <c r="O949">
        <v>5</v>
      </c>
      <c r="P949">
        <v>0.67500000000000004</v>
      </c>
      <c r="Q949">
        <v>5</v>
      </c>
      <c r="R949">
        <v>8.0000000000000002E-3</v>
      </c>
      <c r="T949" t="s">
        <v>2917</v>
      </c>
    </row>
    <row r="950" spans="1:20" x14ac:dyDescent="0.2">
      <c r="A950" t="s">
        <v>2919</v>
      </c>
      <c r="B950" t="s">
        <v>2022</v>
      </c>
      <c r="C950" t="s">
        <v>2101</v>
      </c>
      <c r="D950" t="s">
        <v>2024</v>
      </c>
      <c r="E950" t="s">
        <v>2920</v>
      </c>
      <c r="F950" t="s">
        <v>2921</v>
      </c>
      <c r="G950">
        <v>4</v>
      </c>
      <c r="H950">
        <v>1870</v>
      </c>
      <c r="I950">
        <v>1</v>
      </c>
      <c r="J950">
        <v>2</v>
      </c>
      <c r="K950">
        <v>1</v>
      </c>
      <c r="L950">
        <v>1.15E-2</v>
      </c>
      <c r="M950">
        <v>3</v>
      </c>
      <c r="N950">
        <v>82</v>
      </c>
      <c r="O950">
        <v>1</v>
      </c>
      <c r="P950">
        <v>7.4999999999999997E-2</v>
      </c>
      <c r="Q950">
        <v>1</v>
      </c>
      <c r="R950">
        <v>5.0000000000000001E-4</v>
      </c>
      <c r="T950" t="s">
        <v>2920</v>
      </c>
    </row>
    <row r="951" spans="1:20" x14ac:dyDescent="0.2">
      <c r="A951" t="s">
        <v>2922</v>
      </c>
      <c r="B951" t="s">
        <v>2022</v>
      </c>
      <c r="C951" t="s">
        <v>2101</v>
      </c>
      <c r="D951" t="s">
        <v>2024</v>
      </c>
      <c r="E951" t="s">
        <v>2923</v>
      </c>
      <c r="F951" t="s">
        <v>2924</v>
      </c>
      <c r="G951">
        <v>1</v>
      </c>
      <c r="H951">
        <v>1570</v>
      </c>
      <c r="I951">
        <v>1</v>
      </c>
      <c r="J951">
        <v>2</v>
      </c>
      <c r="K951">
        <v>1</v>
      </c>
      <c r="L951">
        <v>1.15E-2</v>
      </c>
      <c r="M951">
        <v>2</v>
      </c>
      <c r="N951">
        <v>74</v>
      </c>
      <c r="O951">
        <v>1</v>
      </c>
      <c r="P951">
        <v>7.4999999999999997E-2</v>
      </c>
      <c r="Q951">
        <v>1</v>
      </c>
      <c r="R951">
        <v>5.0000000000000001E-4</v>
      </c>
      <c r="T951" t="s">
        <v>2923</v>
      </c>
    </row>
    <row r="952" spans="1:20" x14ac:dyDescent="0.2">
      <c r="A952" t="s">
        <v>2925</v>
      </c>
      <c r="B952" t="s">
        <v>2022</v>
      </c>
      <c r="C952" t="s">
        <v>2053</v>
      </c>
      <c r="D952" t="s">
        <v>2024</v>
      </c>
      <c r="E952" t="s">
        <v>2926</v>
      </c>
      <c r="F952" t="s">
        <v>2927</v>
      </c>
      <c r="G952">
        <v>2</v>
      </c>
      <c r="H952">
        <v>1600</v>
      </c>
      <c r="I952">
        <v>3</v>
      </c>
      <c r="J952">
        <v>6.55</v>
      </c>
      <c r="K952">
        <v>2</v>
      </c>
      <c r="L952">
        <v>8.5000000000000006E-2</v>
      </c>
      <c r="M952">
        <v>2</v>
      </c>
      <c r="N952">
        <v>83</v>
      </c>
      <c r="O952">
        <v>2</v>
      </c>
      <c r="P952">
        <v>0.22500000000000001</v>
      </c>
      <c r="Q952">
        <v>2</v>
      </c>
      <c r="R952">
        <v>5.1999999999999998E-3</v>
      </c>
      <c r="T952" t="s">
        <v>2926</v>
      </c>
    </row>
    <row r="953" spans="1:20" x14ac:dyDescent="0.2">
      <c r="A953" t="s">
        <v>2928</v>
      </c>
      <c r="B953" t="s">
        <v>2022</v>
      </c>
      <c r="C953" t="s">
        <v>2053</v>
      </c>
      <c r="D953" t="s">
        <v>2024</v>
      </c>
      <c r="E953" t="s">
        <v>2929</v>
      </c>
      <c r="F953" t="s">
        <v>2930</v>
      </c>
      <c r="G953">
        <v>1</v>
      </c>
      <c r="H953">
        <v>1500</v>
      </c>
      <c r="I953">
        <v>2</v>
      </c>
      <c r="J953">
        <v>4.05</v>
      </c>
      <c r="K953">
        <v>2</v>
      </c>
      <c r="L953">
        <v>8.5000000000000006E-2</v>
      </c>
      <c r="M953">
        <v>1</v>
      </c>
      <c r="N953">
        <v>73</v>
      </c>
      <c r="O953">
        <v>1</v>
      </c>
      <c r="P953">
        <v>7.4999999999999997E-2</v>
      </c>
      <c r="Q953">
        <v>2</v>
      </c>
      <c r="R953">
        <v>5.1999999999999998E-3</v>
      </c>
      <c r="T953" t="s">
        <v>2929</v>
      </c>
    </row>
    <row r="954" spans="1:20" x14ac:dyDescent="0.2">
      <c r="A954" t="s">
        <v>2931</v>
      </c>
      <c r="B954" t="s">
        <v>2022</v>
      </c>
      <c r="C954" t="s">
        <v>2053</v>
      </c>
      <c r="D954" t="s">
        <v>2024</v>
      </c>
      <c r="E954" t="s">
        <v>2932</v>
      </c>
      <c r="F954" t="s">
        <v>2933</v>
      </c>
      <c r="G954">
        <v>4</v>
      </c>
      <c r="H954">
        <v>1800</v>
      </c>
      <c r="I954">
        <v>5</v>
      </c>
      <c r="J954">
        <v>11.55</v>
      </c>
      <c r="K954">
        <v>5</v>
      </c>
      <c r="L954">
        <v>0.41499999999999998</v>
      </c>
      <c r="M954">
        <v>4</v>
      </c>
      <c r="N954">
        <v>103</v>
      </c>
      <c r="O954">
        <v>5</v>
      </c>
      <c r="P954">
        <v>0.67500000000000004</v>
      </c>
      <c r="Q954">
        <v>5</v>
      </c>
      <c r="R954">
        <v>2.6200000000000001E-2</v>
      </c>
      <c r="T954" t="s">
        <v>2932</v>
      </c>
    </row>
    <row r="955" spans="1:20" x14ac:dyDescent="0.2">
      <c r="A955" t="s">
        <v>2934</v>
      </c>
      <c r="B955" t="s">
        <v>2022</v>
      </c>
      <c r="C955" t="s">
        <v>2095</v>
      </c>
      <c r="D955" t="s">
        <v>2024</v>
      </c>
      <c r="E955" t="s">
        <v>2935</v>
      </c>
      <c r="F955" t="s">
        <v>2936</v>
      </c>
      <c r="G955">
        <v>3</v>
      </c>
      <c r="H955">
        <v>1745</v>
      </c>
      <c r="I955">
        <v>1</v>
      </c>
      <c r="J955">
        <v>4.5</v>
      </c>
      <c r="K955">
        <v>2</v>
      </c>
      <c r="L955">
        <v>0.13</v>
      </c>
      <c r="M955">
        <v>5</v>
      </c>
      <c r="N955">
        <v>98</v>
      </c>
      <c r="O955">
        <v>2</v>
      </c>
      <c r="P955">
        <v>0.35</v>
      </c>
      <c r="Q955">
        <v>2</v>
      </c>
      <c r="R955">
        <v>5.8999999999999999E-3</v>
      </c>
      <c r="T955" t="s">
        <v>2935</v>
      </c>
    </row>
    <row r="956" spans="1:20" x14ac:dyDescent="0.2">
      <c r="A956" t="s">
        <v>2937</v>
      </c>
      <c r="B956" t="s">
        <v>2022</v>
      </c>
      <c r="C956" t="s">
        <v>2036</v>
      </c>
      <c r="D956" t="s">
        <v>2024</v>
      </c>
      <c r="E956" t="s">
        <v>2938</v>
      </c>
      <c r="F956" t="s">
        <v>2939</v>
      </c>
      <c r="G956">
        <v>1</v>
      </c>
      <c r="H956">
        <v>1540</v>
      </c>
      <c r="I956">
        <v>2</v>
      </c>
      <c r="J956">
        <v>3.4</v>
      </c>
      <c r="K956">
        <v>2</v>
      </c>
      <c r="L956">
        <v>8.5000000000000006E-2</v>
      </c>
      <c r="M956">
        <v>3</v>
      </c>
      <c r="N956">
        <v>88</v>
      </c>
      <c r="O956">
        <v>2</v>
      </c>
      <c r="P956">
        <v>0.20499999999999999</v>
      </c>
      <c r="Q956">
        <v>2</v>
      </c>
      <c r="R956">
        <v>4.2500000000000003E-3</v>
      </c>
      <c r="T956" t="s">
        <v>2938</v>
      </c>
    </row>
    <row r="957" spans="1:20" x14ac:dyDescent="0.2">
      <c r="A957" t="s">
        <v>2940</v>
      </c>
      <c r="B957" t="s">
        <v>2022</v>
      </c>
      <c r="C957" t="s">
        <v>2049</v>
      </c>
      <c r="D957" t="s">
        <v>2024</v>
      </c>
      <c r="E957" t="s">
        <v>2941</v>
      </c>
      <c r="F957" t="s">
        <v>2942</v>
      </c>
      <c r="G957">
        <v>3</v>
      </c>
      <c r="H957">
        <v>1550</v>
      </c>
      <c r="I957">
        <v>3</v>
      </c>
      <c r="J957">
        <v>5</v>
      </c>
      <c r="K957">
        <v>3</v>
      </c>
      <c r="L957">
        <v>0.14000000000000001</v>
      </c>
      <c r="M957">
        <v>3</v>
      </c>
      <c r="N957">
        <v>126</v>
      </c>
      <c r="O957">
        <v>3</v>
      </c>
      <c r="P957">
        <v>0.46</v>
      </c>
      <c r="Q957">
        <v>2</v>
      </c>
      <c r="R957">
        <v>6.1999999999999998E-3</v>
      </c>
      <c r="T957" t="s">
        <v>2941</v>
      </c>
    </row>
    <row r="958" spans="1:20" x14ac:dyDescent="0.2">
      <c r="A958" t="s">
        <v>2943</v>
      </c>
      <c r="B958" t="s">
        <v>2022</v>
      </c>
      <c r="C958" t="s">
        <v>2049</v>
      </c>
      <c r="D958" t="s">
        <v>2024</v>
      </c>
      <c r="E958" t="s">
        <v>2944</v>
      </c>
      <c r="F958" t="s">
        <v>2945</v>
      </c>
      <c r="G958">
        <v>1</v>
      </c>
      <c r="H958">
        <v>1350</v>
      </c>
      <c r="I958">
        <v>1</v>
      </c>
      <c r="J958">
        <v>1.4</v>
      </c>
      <c r="K958">
        <v>1</v>
      </c>
      <c r="L958">
        <v>0.01</v>
      </c>
      <c r="M958">
        <v>5</v>
      </c>
      <c r="N958">
        <v>166</v>
      </c>
      <c r="O958">
        <v>2</v>
      </c>
      <c r="P958">
        <v>0.26</v>
      </c>
      <c r="Q958">
        <v>2</v>
      </c>
      <c r="R958">
        <v>6.1999999999999998E-3</v>
      </c>
      <c r="T958" t="s">
        <v>2944</v>
      </c>
    </row>
    <row r="959" spans="1:20" x14ac:dyDescent="0.2">
      <c r="A959" t="s">
        <v>2946</v>
      </c>
      <c r="B959" t="s">
        <v>2022</v>
      </c>
      <c r="C959" t="s">
        <v>2036</v>
      </c>
      <c r="D959" t="s">
        <v>2136</v>
      </c>
      <c r="E959" t="s">
        <v>2947</v>
      </c>
      <c r="F959" t="s">
        <v>2948</v>
      </c>
      <c r="G959">
        <v>3</v>
      </c>
      <c r="H959">
        <v>1740</v>
      </c>
      <c r="I959">
        <v>3</v>
      </c>
      <c r="J959">
        <v>4.5999999999999996</v>
      </c>
      <c r="K959">
        <v>3</v>
      </c>
      <c r="L959">
        <v>0.115</v>
      </c>
      <c r="M959">
        <v>3</v>
      </c>
      <c r="N959">
        <v>88</v>
      </c>
      <c r="O959">
        <v>2</v>
      </c>
      <c r="P959">
        <v>0.20499999999999999</v>
      </c>
      <c r="Q959">
        <v>2</v>
      </c>
      <c r="R959">
        <v>4.2500000000000003E-3</v>
      </c>
      <c r="T959" t="s">
        <v>2947</v>
      </c>
    </row>
    <row r="960" spans="1:20" x14ac:dyDescent="0.2">
      <c r="A960" t="s">
        <v>2949</v>
      </c>
      <c r="B960" t="s">
        <v>2022</v>
      </c>
      <c r="C960" t="s">
        <v>2036</v>
      </c>
      <c r="D960" t="s">
        <v>2024</v>
      </c>
      <c r="E960" t="s">
        <v>2950</v>
      </c>
      <c r="F960" t="s">
        <v>2951</v>
      </c>
      <c r="G960">
        <v>2</v>
      </c>
      <c r="H960">
        <v>1640</v>
      </c>
      <c r="I960">
        <v>2</v>
      </c>
      <c r="J960">
        <v>3.4</v>
      </c>
      <c r="K960">
        <v>3</v>
      </c>
      <c r="L960">
        <v>0.115</v>
      </c>
      <c r="M960">
        <v>2</v>
      </c>
      <c r="N960">
        <v>82</v>
      </c>
      <c r="O960">
        <v>2</v>
      </c>
      <c r="P960">
        <v>0.20499999999999999</v>
      </c>
      <c r="Q960">
        <v>2</v>
      </c>
      <c r="R960">
        <v>4.2500000000000003E-3</v>
      </c>
      <c r="T960" t="s">
        <v>2950</v>
      </c>
    </row>
    <row r="961" spans="1:20" x14ac:dyDescent="0.2">
      <c r="A961" t="s">
        <v>2952</v>
      </c>
      <c r="B961" t="s">
        <v>2022</v>
      </c>
      <c r="C961" t="s">
        <v>2053</v>
      </c>
      <c r="D961" t="s">
        <v>2024</v>
      </c>
      <c r="E961" t="s">
        <v>2953</v>
      </c>
      <c r="F961" t="s">
        <v>2954</v>
      </c>
      <c r="G961">
        <v>1</v>
      </c>
      <c r="H961">
        <v>1500</v>
      </c>
      <c r="I961">
        <v>2</v>
      </c>
      <c r="J961">
        <v>4.05</v>
      </c>
      <c r="K961">
        <v>2</v>
      </c>
      <c r="L961">
        <v>8.5000000000000006E-2</v>
      </c>
      <c r="M961">
        <v>1</v>
      </c>
      <c r="N961">
        <v>73</v>
      </c>
      <c r="O961">
        <v>1</v>
      </c>
      <c r="P961">
        <v>7.4999999999999997E-2</v>
      </c>
      <c r="Q961">
        <v>2</v>
      </c>
      <c r="R961">
        <v>5.1999999999999998E-3</v>
      </c>
      <c r="T961" t="s">
        <v>2953</v>
      </c>
    </row>
    <row r="962" spans="1:20" x14ac:dyDescent="0.2">
      <c r="A962" t="s">
        <v>2955</v>
      </c>
      <c r="B962" t="s">
        <v>2022</v>
      </c>
      <c r="C962" t="s">
        <v>2049</v>
      </c>
      <c r="D962" t="s">
        <v>2136</v>
      </c>
      <c r="E962" t="s">
        <v>2956</v>
      </c>
      <c r="F962" t="s">
        <v>2957</v>
      </c>
      <c r="G962">
        <v>2</v>
      </c>
      <c r="H962">
        <v>1450</v>
      </c>
      <c r="I962">
        <v>2</v>
      </c>
      <c r="J962">
        <v>3.2</v>
      </c>
      <c r="K962">
        <v>2</v>
      </c>
      <c r="L962">
        <v>0.06</v>
      </c>
      <c r="M962">
        <v>3</v>
      </c>
      <c r="N962">
        <v>126</v>
      </c>
      <c r="O962">
        <v>2</v>
      </c>
      <c r="P962">
        <v>0.26</v>
      </c>
      <c r="Q962">
        <v>2</v>
      </c>
      <c r="R962">
        <v>6.1999999999999998E-3</v>
      </c>
      <c r="T962" t="s">
        <v>2956</v>
      </c>
    </row>
    <row r="963" spans="1:20" x14ac:dyDescent="0.2">
      <c r="A963" t="s">
        <v>2958</v>
      </c>
      <c r="B963" t="s">
        <v>2022</v>
      </c>
      <c r="C963" t="s">
        <v>2023</v>
      </c>
      <c r="D963" t="s">
        <v>2024</v>
      </c>
      <c r="E963" t="s">
        <v>2959</v>
      </c>
      <c r="F963" t="s">
        <v>2960</v>
      </c>
      <c r="G963">
        <v>4</v>
      </c>
      <c r="H963">
        <v>1720</v>
      </c>
      <c r="I963">
        <v>5</v>
      </c>
      <c r="J963">
        <v>10.9</v>
      </c>
      <c r="K963">
        <v>5</v>
      </c>
      <c r="L963">
        <v>8.5999999999999993E-2</v>
      </c>
      <c r="M963">
        <v>1</v>
      </c>
      <c r="N963">
        <v>74</v>
      </c>
      <c r="O963">
        <v>4</v>
      </c>
      <c r="P963">
        <v>0.52500000000000002</v>
      </c>
      <c r="Q963">
        <v>4</v>
      </c>
      <c r="R963">
        <v>6.0000000000000001E-3</v>
      </c>
      <c r="T963" t="s">
        <v>2959</v>
      </c>
    </row>
    <row r="964" spans="1:20" x14ac:dyDescent="0.2">
      <c r="A964" t="s">
        <v>2961</v>
      </c>
      <c r="B964" t="s">
        <v>2022</v>
      </c>
      <c r="C964" t="s">
        <v>2053</v>
      </c>
      <c r="D964" t="s">
        <v>2024</v>
      </c>
      <c r="E964" t="s">
        <v>2962</v>
      </c>
      <c r="F964" t="s">
        <v>2963</v>
      </c>
      <c r="G964">
        <v>1</v>
      </c>
      <c r="H964">
        <v>1500</v>
      </c>
      <c r="I964">
        <v>2</v>
      </c>
      <c r="J964">
        <v>4.05</v>
      </c>
      <c r="K964">
        <v>2</v>
      </c>
      <c r="L964">
        <v>8.5000000000000006E-2</v>
      </c>
      <c r="M964">
        <v>1</v>
      </c>
      <c r="N964">
        <v>73</v>
      </c>
      <c r="O964">
        <v>2</v>
      </c>
      <c r="P964">
        <v>0.22500000000000001</v>
      </c>
      <c r="Q964">
        <v>2</v>
      </c>
      <c r="R964">
        <v>5.1999999999999998E-3</v>
      </c>
      <c r="T964" t="s">
        <v>2962</v>
      </c>
    </row>
    <row r="965" spans="1:20" x14ac:dyDescent="0.2">
      <c r="A965" t="s">
        <v>2964</v>
      </c>
      <c r="B965" t="s">
        <v>2022</v>
      </c>
      <c r="C965" t="s">
        <v>2101</v>
      </c>
      <c r="D965" t="s">
        <v>2024</v>
      </c>
      <c r="E965" t="s">
        <v>2965</v>
      </c>
      <c r="F965" t="s">
        <v>2966</v>
      </c>
      <c r="G965">
        <v>3</v>
      </c>
      <c r="H965">
        <v>1770</v>
      </c>
      <c r="I965">
        <v>3</v>
      </c>
      <c r="J965">
        <v>8</v>
      </c>
      <c r="K965">
        <v>3</v>
      </c>
      <c r="L965">
        <v>0.24349999999999999</v>
      </c>
      <c r="M965">
        <v>2</v>
      </c>
      <c r="N965">
        <v>74</v>
      </c>
      <c r="O965">
        <v>3</v>
      </c>
      <c r="P965">
        <v>0.375</v>
      </c>
      <c r="Q965">
        <v>3</v>
      </c>
      <c r="R965">
        <v>1.15E-2</v>
      </c>
      <c r="T965" t="s">
        <v>2965</v>
      </c>
    </row>
    <row r="966" spans="1:20" x14ac:dyDescent="0.2">
      <c r="A966" t="s">
        <v>2967</v>
      </c>
      <c r="B966" t="s">
        <v>2022</v>
      </c>
      <c r="C966" t="s">
        <v>2036</v>
      </c>
      <c r="D966" t="s">
        <v>2154</v>
      </c>
      <c r="E966" t="s">
        <v>2968</v>
      </c>
      <c r="F966" t="s">
        <v>2969</v>
      </c>
      <c r="G966">
        <v>4</v>
      </c>
      <c r="H966">
        <v>1840</v>
      </c>
      <c r="I966">
        <v>4</v>
      </c>
      <c r="J966">
        <v>5.8</v>
      </c>
      <c r="K966">
        <v>5</v>
      </c>
      <c r="L966">
        <v>0.17499999999999999</v>
      </c>
      <c r="M966">
        <v>3</v>
      </c>
      <c r="N966">
        <v>88</v>
      </c>
      <c r="O966">
        <v>3</v>
      </c>
      <c r="P966">
        <v>0.315</v>
      </c>
      <c r="Q966">
        <v>5</v>
      </c>
      <c r="R966">
        <v>1.2E-2</v>
      </c>
      <c r="T966" t="s">
        <v>2968</v>
      </c>
    </row>
    <row r="967" spans="1:20" x14ac:dyDescent="0.2">
      <c r="A967" t="s">
        <v>2970</v>
      </c>
      <c r="B967" t="s">
        <v>2022</v>
      </c>
      <c r="C967" t="s">
        <v>2053</v>
      </c>
      <c r="D967" t="s">
        <v>2024</v>
      </c>
      <c r="E967" t="s">
        <v>2971</v>
      </c>
      <c r="F967" t="s">
        <v>2972</v>
      </c>
      <c r="G967">
        <v>5</v>
      </c>
      <c r="H967">
        <v>1900</v>
      </c>
      <c r="I967">
        <v>4</v>
      </c>
      <c r="J967">
        <v>9.0500000000000007</v>
      </c>
      <c r="K967">
        <v>5</v>
      </c>
      <c r="L967">
        <v>0.41499999999999998</v>
      </c>
      <c r="M967">
        <v>3</v>
      </c>
      <c r="N967">
        <v>93</v>
      </c>
      <c r="O967">
        <v>3</v>
      </c>
      <c r="P967">
        <v>0.375</v>
      </c>
      <c r="Q967">
        <v>4</v>
      </c>
      <c r="R967">
        <v>1.9199999999999998E-2</v>
      </c>
      <c r="T967" t="s">
        <v>2971</v>
      </c>
    </row>
    <row r="968" spans="1:20" x14ac:dyDescent="0.2">
      <c r="A968" t="s">
        <v>2973</v>
      </c>
      <c r="B968" t="s">
        <v>2022</v>
      </c>
      <c r="C968" t="s">
        <v>2023</v>
      </c>
      <c r="D968" t="s">
        <v>2024</v>
      </c>
      <c r="E968" t="s">
        <v>2971</v>
      </c>
      <c r="F968" t="s">
        <v>2972</v>
      </c>
      <c r="G968">
        <v>4</v>
      </c>
      <c r="H968">
        <v>1720</v>
      </c>
      <c r="I968">
        <v>3</v>
      </c>
      <c r="J968">
        <v>5.9</v>
      </c>
      <c r="K968">
        <v>5</v>
      </c>
      <c r="L968">
        <v>8.5999999999999993E-2</v>
      </c>
      <c r="M968">
        <v>3</v>
      </c>
      <c r="N968">
        <v>94</v>
      </c>
      <c r="O968">
        <v>3</v>
      </c>
      <c r="P968">
        <v>0.375</v>
      </c>
      <c r="Q968">
        <v>4</v>
      </c>
      <c r="R968">
        <v>6.0000000000000001E-3</v>
      </c>
      <c r="T968" t="s">
        <v>2971</v>
      </c>
    </row>
    <row r="969" spans="1:20" x14ac:dyDescent="0.2">
      <c r="A969" t="s">
        <v>2974</v>
      </c>
      <c r="B969" t="s">
        <v>2022</v>
      </c>
      <c r="C969" t="s">
        <v>2053</v>
      </c>
      <c r="D969" t="s">
        <v>2136</v>
      </c>
      <c r="E969" t="s">
        <v>2975</v>
      </c>
      <c r="F969" t="s">
        <v>2976</v>
      </c>
      <c r="G969">
        <v>1</v>
      </c>
      <c r="H969">
        <v>1500</v>
      </c>
      <c r="I969">
        <v>2</v>
      </c>
      <c r="J969">
        <v>4.05</v>
      </c>
      <c r="K969">
        <v>2</v>
      </c>
      <c r="L969">
        <v>8.5000000000000006E-2</v>
      </c>
      <c r="M969">
        <v>1</v>
      </c>
      <c r="N969">
        <v>73</v>
      </c>
      <c r="O969">
        <v>1</v>
      </c>
      <c r="P969">
        <v>7.4999999999999997E-2</v>
      </c>
      <c r="Q969">
        <v>2</v>
      </c>
      <c r="R969">
        <v>5.1999999999999998E-3</v>
      </c>
      <c r="T969" t="s">
        <v>2975</v>
      </c>
    </row>
    <row r="970" spans="1:20" x14ac:dyDescent="0.2">
      <c r="A970" t="s">
        <v>2977</v>
      </c>
      <c r="B970" t="s">
        <v>2022</v>
      </c>
      <c r="C970" t="s">
        <v>2036</v>
      </c>
      <c r="D970" t="s">
        <v>2024</v>
      </c>
      <c r="E970" t="s">
        <v>317</v>
      </c>
      <c r="F970" t="s">
        <v>2978</v>
      </c>
      <c r="G970">
        <v>1</v>
      </c>
      <c r="H970">
        <v>1540</v>
      </c>
      <c r="I970">
        <v>3</v>
      </c>
      <c r="J970">
        <v>4.5999999999999996</v>
      </c>
      <c r="K970">
        <v>2</v>
      </c>
      <c r="L970">
        <v>8.5000000000000006E-2</v>
      </c>
      <c r="M970">
        <v>1</v>
      </c>
      <c r="N970">
        <v>76</v>
      </c>
      <c r="O970">
        <v>2</v>
      </c>
      <c r="P970">
        <v>0.20499999999999999</v>
      </c>
      <c r="Q970">
        <v>2</v>
      </c>
      <c r="R970">
        <v>4.2500000000000003E-3</v>
      </c>
      <c r="T970" t="s">
        <v>317</v>
      </c>
    </row>
    <row r="971" spans="1:20" x14ac:dyDescent="0.2">
      <c r="A971" t="s">
        <v>2979</v>
      </c>
      <c r="B971" t="s">
        <v>2022</v>
      </c>
      <c r="C971" t="s">
        <v>2023</v>
      </c>
      <c r="D971" t="s">
        <v>2154</v>
      </c>
      <c r="E971" t="s">
        <v>2980</v>
      </c>
      <c r="F971" t="s">
        <v>2981</v>
      </c>
      <c r="G971">
        <v>2</v>
      </c>
      <c r="H971">
        <v>1560</v>
      </c>
      <c r="I971">
        <v>2</v>
      </c>
      <c r="J971">
        <v>3.4</v>
      </c>
      <c r="K971">
        <v>3</v>
      </c>
      <c r="L971">
        <v>4.5999999999999999E-2</v>
      </c>
      <c r="M971">
        <v>4</v>
      </c>
      <c r="N971">
        <v>104</v>
      </c>
      <c r="O971">
        <v>1</v>
      </c>
      <c r="P971">
        <v>7.4999999999999997E-2</v>
      </c>
      <c r="Q971">
        <v>3</v>
      </c>
      <c r="R971">
        <v>4.0000000000000001E-3</v>
      </c>
      <c r="T971" t="s">
        <v>2980</v>
      </c>
    </row>
    <row r="972" spans="1:20" x14ac:dyDescent="0.2">
      <c r="A972" t="s">
        <v>2982</v>
      </c>
      <c r="B972" t="s">
        <v>2022</v>
      </c>
      <c r="C972" t="s">
        <v>2023</v>
      </c>
      <c r="D972" t="s">
        <v>2024</v>
      </c>
      <c r="E972" t="s">
        <v>2983</v>
      </c>
      <c r="F972" t="s">
        <v>2984</v>
      </c>
      <c r="G972">
        <v>3</v>
      </c>
      <c r="H972">
        <v>1640</v>
      </c>
      <c r="I972">
        <v>3</v>
      </c>
      <c r="J972">
        <v>5.9</v>
      </c>
      <c r="K972">
        <v>5</v>
      </c>
      <c r="L972">
        <v>8.5999999999999993E-2</v>
      </c>
      <c r="M972">
        <v>4</v>
      </c>
      <c r="N972">
        <v>104</v>
      </c>
      <c r="O972">
        <v>4</v>
      </c>
      <c r="P972">
        <v>0.52500000000000002</v>
      </c>
      <c r="Q972">
        <v>5</v>
      </c>
      <c r="R972">
        <v>8.0000000000000002E-3</v>
      </c>
      <c r="T972" t="s">
        <v>2983</v>
      </c>
    </row>
    <row r="973" spans="1:20" x14ac:dyDescent="0.2">
      <c r="A973" t="s">
        <v>2985</v>
      </c>
      <c r="B973" t="s">
        <v>2022</v>
      </c>
      <c r="C973" t="s">
        <v>2036</v>
      </c>
      <c r="D973" t="s">
        <v>2024</v>
      </c>
      <c r="E973" t="s">
        <v>2986</v>
      </c>
      <c r="F973" t="s">
        <v>2987</v>
      </c>
      <c r="G973">
        <v>3</v>
      </c>
      <c r="H973">
        <v>1740</v>
      </c>
      <c r="I973">
        <v>5</v>
      </c>
      <c r="J973">
        <v>7</v>
      </c>
      <c r="K973">
        <v>5</v>
      </c>
      <c r="L973">
        <v>0.17499999999999999</v>
      </c>
      <c r="M973">
        <v>3</v>
      </c>
      <c r="N973">
        <v>88</v>
      </c>
      <c r="O973">
        <v>4</v>
      </c>
      <c r="P973">
        <v>0.42499999999999999</v>
      </c>
      <c r="Q973">
        <v>5</v>
      </c>
      <c r="R973">
        <v>1.2E-2</v>
      </c>
      <c r="T973" t="s">
        <v>2986</v>
      </c>
    </row>
    <row r="974" spans="1:20" x14ac:dyDescent="0.2">
      <c r="A974" t="s">
        <v>2988</v>
      </c>
      <c r="B974" t="s">
        <v>2022</v>
      </c>
      <c r="C974" t="s">
        <v>2053</v>
      </c>
      <c r="D974" t="s">
        <v>2024</v>
      </c>
      <c r="E974" t="s">
        <v>2989</v>
      </c>
      <c r="F974" t="s">
        <v>447</v>
      </c>
      <c r="G974">
        <v>2</v>
      </c>
      <c r="H974">
        <v>1600</v>
      </c>
      <c r="I974">
        <v>4</v>
      </c>
      <c r="J974">
        <v>9.0500000000000007</v>
      </c>
      <c r="K974">
        <v>3</v>
      </c>
      <c r="L974">
        <v>0.19500000000000001</v>
      </c>
      <c r="M974">
        <v>3</v>
      </c>
      <c r="N974">
        <v>93</v>
      </c>
      <c r="O974">
        <v>4</v>
      </c>
      <c r="P974">
        <v>0.52500000000000002</v>
      </c>
      <c r="Q974">
        <v>3</v>
      </c>
      <c r="R974">
        <v>1.2200000000000001E-2</v>
      </c>
      <c r="T974" t="s">
        <v>2989</v>
      </c>
    </row>
    <row r="975" spans="1:20" x14ac:dyDescent="0.2">
      <c r="A975" t="s">
        <v>2990</v>
      </c>
      <c r="B975" t="s">
        <v>2022</v>
      </c>
      <c r="C975" t="s">
        <v>2023</v>
      </c>
      <c r="D975" t="s">
        <v>2024</v>
      </c>
      <c r="E975" t="s">
        <v>2991</v>
      </c>
      <c r="F975" t="s">
        <v>2992</v>
      </c>
      <c r="G975">
        <v>4</v>
      </c>
      <c r="H975">
        <v>1720</v>
      </c>
      <c r="I975">
        <v>5</v>
      </c>
      <c r="J975">
        <v>10.9</v>
      </c>
      <c r="K975">
        <v>5</v>
      </c>
      <c r="L975">
        <v>8.5999999999999993E-2</v>
      </c>
      <c r="M975">
        <v>3</v>
      </c>
      <c r="N975">
        <v>94</v>
      </c>
      <c r="O975">
        <v>5</v>
      </c>
      <c r="P975">
        <v>0.67500000000000004</v>
      </c>
      <c r="Q975">
        <v>5</v>
      </c>
      <c r="R975">
        <v>8.0000000000000002E-3</v>
      </c>
      <c r="T975" t="s">
        <v>2991</v>
      </c>
    </row>
    <row r="976" spans="1:20" x14ac:dyDescent="0.2">
      <c r="A976" t="s">
        <v>2993</v>
      </c>
      <c r="B976" t="s">
        <v>2022</v>
      </c>
      <c r="C976" t="s">
        <v>2049</v>
      </c>
      <c r="D976" t="s">
        <v>2024</v>
      </c>
      <c r="E976" t="s">
        <v>2994</v>
      </c>
      <c r="F976" t="s">
        <v>2995</v>
      </c>
      <c r="G976">
        <v>4</v>
      </c>
      <c r="H976">
        <v>1650</v>
      </c>
      <c r="I976">
        <v>1</v>
      </c>
      <c r="J976">
        <v>1.4</v>
      </c>
      <c r="K976">
        <v>1</v>
      </c>
      <c r="L976">
        <v>0.01</v>
      </c>
      <c r="M976">
        <v>4</v>
      </c>
      <c r="N976">
        <v>146</v>
      </c>
      <c r="O976">
        <v>1</v>
      </c>
      <c r="P976">
        <v>0.06</v>
      </c>
      <c r="Q976">
        <v>1</v>
      </c>
      <c r="R976">
        <v>8.4999999999999995E-4</v>
      </c>
      <c r="T976" t="s">
        <v>2994</v>
      </c>
    </row>
    <row r="977" spans="1:20" x14ac:dyDescent="0.2">
      <c r="A977" t="s">
        <v>2996</v>
      </c>
      <c r="B977" t="s">
        <v>2022</v>
      </c>
      <c r="C977" t="s">
        <v>2036</v>
      </c>
      <c r="D977" t="s">
        <v>2024</v>
      </c>
      <c r="E977" t="s">
        <v>2997</v>
      </c>
      <c r="F977" t="s">
        <v>447</v>
      </c>
      <c r="G977">
        <v>3</v>
      </c>
      <c r="H977">
        <v>1740</v>
      </c>
      <c r="I977">
        <v>1</v>
      </c>
      <c r="J977">
        <v>2.2000000000000002</v>
      </c>
      <c r="K977">
        <v>1</v>
      </c>
      <c r="L977">
        <v>5.5E-2</v>
      </c>
      <c r="M977">
        <v>3</v>
      </c>
      <c r="N977">
        <v>88</v>
      </c>
      <c r="O977">
        <v>1</v>
      </c>
      <c r="P977">
        <v>9.5000000000000001E-2</v>
      </c>
      <c r="Q977">
        <v>1</v>
      </c>
      <c r="R977">
        <v>1.5E-3</v>
      </c>
      <c r="T977" t="s">
        <v>2997</v>
      </c>
    </row>
    <row r="978" spans="1:20" x14ac:dyDescent="0.2">
      <c r="A978" t="s">
        <v>2998</v>
      </c>
      <c r="B978" t="s">
        <v>2022</v>
      </c>
      <c r="C978" t="s">
        <v>2053</v>
      </c>
      <c r="D978" t="s">
        <v>2024</v>
      </c>
      <c r="E978" t="s">
        <v>2999</v>
      </c>
      <c r="F978" t="s">
        <v>3000</v>
      </c>
      <c r="G978">
        <v>4</v>
      </c>
      <c r="H978">
        <v>1800</v>
      </c>
      <c r="I978">
        <v>3</v>
      </c>
      <c r="J978">
        <v>6.55</v>
      </c>
      <c r="K978">
        <v>3</v>
      </c>
      <c r="L978">
        <v>0.19500000000000001</v>
      </c>
      <c r="M978">
        <v>2</v>
      </c>
      <c r="N978">
        <v>83</v>
      </c>
      <c r="O978">
        <v>3</v>
      </c>
      <c r="P978">
        <v>0.375</v>
      </c>
      <c r="Q978">
        <v>2</v>
      </c>
      <c r="R978">
        <v>5.1999999999999998E-3</v>
      </c>
      <c r="T978" t="s">
        <v>2999</v>
      </c>
    </row>
    <row r="979" spans="1:20" x14ac:dyDescent="0.2">
      <c r="A979" t="s">
        <v>3001</v>
      </c>
      <c r="B979" t="s">
        <v>2022</v>
      </c>
      <c r="C979" t="s">
        <v>2053</v>
      </c>
      <c r="D979" t="s">
        <v>2024</v>
      </c>
      <c r="E979" t="s">
        <v>3002</v>
      </c>
      <c r="F979" t="s">
        <v>3003</v>
      </c>
      <c r="G979">
        <v>2</v>
      </c>
      <c r="H979">
        <v>1600</v>
      </c>
      <c r="I979">
        <v>4</v>
      </c>
      <c r="J979">
        <v>9.0500000000000007</v>
      </c>
      <c r="K979">
        <v>4</v>
      </c>
      <c r="L979">
        <v>0.30499999999999999</v>
      </c>
      <c r="M979">
        <v>5</v>
      </c>
      <c r="N979">
        <v>113</v>
      </c>
      <c r="O979">
        <v>5</v>
      </c>
      <c r="P979">
        <v>0.67500000000000004</v>
      </c>
      <c r="Q979">
        <v>5</v>
      </c>
      <c r="R979">
        <v>2.6200000000000001E-2</v>
      </c>
      <c r="T979" t="s">
        <v>3002</v>
      </c>
    </row>
    <row r="980" spans="1:20" x14ac:dyDescent="0.2">
      <c r="A980" t="s">
        <v>3004</v>
      </c>
      <c r="B980" t="s">
        <v>2022</v>
      </c>
      <c r="C980" t="s">
        <v>2023</v>
      </c>
      <c r="D980" t="s">
        <v>2024</v>
      </c>
      <c r="E980" t="s">
        <v>3005</v>
      </c>
      <c r="F980" t="s">
        <v>3006</v>
      </c>
      <c r="G980">
        <v>4</v>
      </c>
      <c r="H980">
        <v>1720</v>
      </c>
      <c r="I980">
        <v>5</v>
      </c>
      <c r="J980">
        <v>10.9</v>
      </c>
      <c r="K980">
        <v>5</v>
      </c>
      <c r="L980">
        <v>8.5999999999999993E-2</v>
      </c>
      <c r="M980">
        <v>3</v>
      </c>
      <c r="N980">
        <v>94</v>
      </c>
      <c r="O980">
        <v>5</v>
      </c>
      <c r="P980">
        <v>0.67500000000000004</v>
      </c>
      <c r="Q980">
        <v>5</v>
      </c>
      <c r="R980">
        <v>8.0000000000000002E-3</v>
      </c>
      <c r="T980" t="s">
        <v>3005</v>
      </c>
    </row>
    <row r="981" spans="1:20" x14ac:dyDescent="0.2">
      <c r="A981" t="s">
        <v>3007</v>
      </c>
      <c r="B981" t="s">
        <v>2022</v>
      </c>
      <c r="C981" t="s">
        <v>2222</v>
      </c>
      <c r="D981" t="s">
        <v>2024</v>
      </c>
      <c r="E981" t="s">
        <v>3008</v>
      </c>
      <c r="F981" t="s">
        <v>3009</v>
      </c>
      <c r="G981">
        <v>2</v>
      </c>
      <c r="H981">
        <v>1550</v>
      </c>
      <c r="I981">
        <v>3</v>
      </c>
      <c r="J981">
        <v>5.5</v>
      </c>
      <c r="K981">
        <v>2</v>
      </c>
      <c r="L981">
        <v>5.5E-2</v>
      </c>
      <c r="M981">
        <v>2</v>
      </c>
      <c r="N981">
        <v>63</v>
      </c>
      <c r="O981">
        <v>3</v>
      </c>
      <c r="P981">
        <v>0.23</v>
      </c>
      <c r="Q981">
        <v>2</v>
      </c>
      <c r="R981">
        <v>2.3E-3</v>
      </c>
      <c r="T981" t="s">
        <v>3008</v>
      </c>
    </row>
    <row r="982" spans="1:20" x14ac:dyDescent="0.2">
      <c r="A982" t="s">
        <v>3010</v>
      </c>
      <c r="B982" t="s">
        <v>2022</v>
      </c>
      <c r="C982" t="s">
        <v>2101</v>
      </c>
      <c r="D982" t="s">
        <v>2024</v>
      </c>
      <c r="E982" t="s">
        <v>3011</v>
      </c>
      <c r="F982" t="s">
        <v>3012</v>
      </c>
      <c r="G982">
        <v>5</v>
      </c>
      <c r="H982">
        <v>1970</v>
      </c>
      <c r="I982">
        <v>2</v>
      </c>
      <c r="J982">
        <v>5</v>
      </c>
      <c r="K982">
        <v>2</v>
      </c>
      <c r="L982">
        <v>9.6500000000000002E-2</v>
      </c>
      <c r="M982">
        <v>4</v>
      </c>
      <c r="N982">
        <v>90</v>
      </c>
      <c r="O982">
        <v>2</v>
      </c>
      <c r="P982">
        <v>0.22500000000000001</v>
      </c>
      <c r="Q982">
        <v>2</v>
      </c>
      <c r="R982">
        <v>4.4999999999999997E-3</v>
      </c>
      <c r="T982" t="s">
        <v>3011</v>
      </c>
    </row>
    <row r="983" spans="1:20" x14ac:dyDescent="0.2">
      <c r="A983" t="s">
        <v>3013</v>
      </c>
      <c r="B983" t="s">
        <v>2022</v>
      </c>
      <c r="C983" t="s">
        <v>2023</v>
      </c>
      <c r="D983" t="s">
        <v>2024</v>
      </c>
      <c r="E983" t="s">
        <v>3011</v>
      </c>
      <c r="F983" t="s">
        <v>3012</v>
      </c>
      <c r="G983">
        <v>5</v>
      </c>
      <c r="H983">
        <v>1800</v>
      </c>
      <c r="I983">
        <v>3</v>
      </c>
      <c r="J983">
        <v>5.9</v>
      </c>
      <c r="K983">
        <v>3</v>
      </c>
      <c r="L983">
        <v>4.5999999999999999E-2</v>
      </c>
      <c r="M983">
        <v>4</v>
      </c>
      <c r="N983">
        <v>104</v>
      </c>
      <c r="O983">
        <v>2</v>
      </c>
      <c r="P983">
        <v>0.22500000000000001</v>
      </c>
      <c r="Q983">
        <v>2</v>
      </c>
      <c r="R983">
        <v>2E-3</v>
      </c>
      <c r="T983" t="s">
        <v>3011</v>
      </c>
    </row>
    <row r="984" spans="1:20" x14ac:dyDescent="0.2">
      <c r="A984" t="s">
        <v>3014</v>
      </c>
      <c r="B984" t="s">
        <v>2022</v>
      </c>
      <c r="C984" t="s">
        <v>2053</v>
      </c>
      <c r="D984" t="s">
        <v>2024</v>
      </c>
      <c r="E984" t="s">
        <v>3015</v>
      </c>
      <c r="F984" t="s">
        <v>3016</v>
      </c>
      <c r="G984">
        <v>5</v>
      </c>
      <c r="H984">
        <v>1900</v>
      </c>
      <c r="I984">
        <v>5</v>
      </c>
      <c r="J984">
        <v>11.55</v>
      </c>
      <c r="K984">
        <v>5</v>
      </c>
      <c r="L984">
        <v>0.41499999999999998</v>
      </c>
      <c r="M984">
        <v>2</v>
      </c>
      <c r="N984">
        <v>83</v>
      </c>
      <c r="O984">
        <v>5</v>
      </c>
      <c r="P984">
        <v>0.67500000000000004</v>
      </c>
      <c r="Q984">
        <v>4</v>
      </c>
      <c r="R984">
        <v>1.9199999999999998E-2</v>
      </c>
      <c r="T984" t="s">
        <v>3015</v>
      </c>
    </row>
    <row r="985" spans="1:20" x14ac:dyDescent="0.2">
      <c r="A985" t="s">
        <v>3017</v>
      </c>
      <c r="B985" t="s">
        <v>2022</v>
      </c>
      <c r="C985" t="s">
        <v>2222</v>
      </c>
      <c r="D985" t="s">
        <v>2024</v>
      </c>
      <c r="E985" t="s">
        <v>3018</v>
      </c>
      <c r="F985" t="s">
        <v>3019</v>
      </c>
      <c r="G985">
        <v>3</v>
      </c>
      <c r="H985">
        <v>1650</v>
      </c>
      <c r="I985">
        <v>1</v>
      </c>
      <c r="J985">
        <v>2.2999999999999998</v>
      </c>
      <c r="K985">
        <v>1</v>
      </c>
      <c r="L985">
        <v>0.01</v>
      </c>
      <c r="M985">
        <v>2</v>
      </c>
      <c r="N985">
        <v>63</v>
      </c>
      <c r="O985">
        <v>1</v>
      </c>
      <c r="P985">
        <v>7.0000000000000007E-2</v>
      </c>
      <c r="Q985">
        <v>1</v>
      </c>
      <c r="R985">
        <v>4.0000000000000002E-4</v>
      </c>
      <c r="T985" t="s">
        <v>3018</v>
      </c>
    </row>
    <row r="986" spans="1:20" x14ac:dyDescent="0.2">
      <c r="A986" t="s">
        <v>3020</v>
      </c>
      <c r="B986" t="s">
        <v>2022</v>
      </c>
      <c r="C986" t="s">
        <v>2106</v>
      </c>
      <c r="D986" t="s">
        <v>2024</v>
      </c>
      <c r="E986" t="s">
        <v>3021</v>
      </c>
      <c r="F986" t="s">
        <v>3022</v>
      </c>
      <c r="G986">
        <v>2</v>
      </c>
      <c r="H986">
        <v>1825</v>
      </c>
      <c r="I986">
        <v>1</v>
      </c>
      <c r="J986">
        <v>3.25</v>
      </c>
      <c r="K986">
        <v>3</v>
      </c>
      <c r="L986">
        <v>0.14000000000000001</v>
      </c>
      <c r="M986">
        <v>1</v>
      </c>
      <c r="N986">
        <v>61.5</v>
      </c>
      <c r="O986">
        <v>2</v>
      </c>
      <c r="P986">
        <v>0.15</v>
      </c>
      <c r="Q986">
        <v>3</v>
      </c>
      <c r="R986">
        <v>4.4999999999999997E-3</v>
      </c>
      <c r="T986" t="s">
        <v>3021</v>
      </c>
    </row>
    <row r="987" spans="1:20" x14ac:dyDescent="0.2">
      <c r="A987" t="s">
        <v>3023</v>
      </c>
      <c r="B987" t="s">
        <v>2022</v>
      </c>
      <c r="C987" t="s">
        <v>2104</v>
      </c>
      <c r="D987" t="s">
        <v>2024</v>
      </c>
      <c r="E987" t="s">
        <v>3024</v>
      </c>
      <c r="F987" t="s">
        <v>3025</v>
      </c>
      <c r="G987">
        <v>3</v>
      </c>
      <c r="H987">
        <v>1887.5</v>
      </c>
      <c r="I987">
        <v>3</v>
      </c>
      <c r="J987">
        <v>5.55</v>
      </c>
      <c r="K987">
        <v>5</v>
      </c>
      <c r="L987">
        <v>0.191</v>
      </c>
      <c r="M987">
        <v>3</v>
      </c>
      <c r="N987">
        <v>73</v>
      </c>
      <c r="P987">
        <v>0</v>
      </c>
      <c r="Q987">
        <v>3</v>
      </c>
      <c r="R987">
        <v>8.2000000000000007E-3</v>
      </c>
      <c r="T987" t="s">
        <v>3024</v>
      </c>
    </row>
    <row r="988" spans="1:20" x14ac:dyDescent="0.2">
      <c r="A988" t="s">
        <v>3026</v>
      </c>
      <c r="B988" t="s">
        <v>2022</v>
      </c>
      <c r="C988" t="s">
        <v>2053</v>
      </c>
      <c r="D988" t="s">
        <v>2024</v>
      </c>
      <c r="E988" t="s">
        <v>3027</v>
      </c>
      <c r="F988" t="s">
        <v>3028</v>
      </c>
      <c r="G988">
        <v>5</v>
      </c>
      <c r="H988">
        <v>1900</v>
      </c>
      <c r="I988">
        <v>4</v>
      </c>
      <c r="J988">
        <v>9.0500000000000007</v>
      </c>
      <c r="K988">
        <v>3</v>
      </c>
      <c r="L988">
        <v>0.19500000000000001</v>
      </c>
      <c r="M988">
        <v>2</v>
      </c>
      <c r="N988">
        <v>83</v>
      </c>
      <c r="O988">
        <v>3</v>
      </c>
      <c r="P988">
        <v>0.375</v>
      </c>
      <c r="Q988">
        <v>2</v>
      </c>
      <c r="R988">
        <v>5.1999999999999998E-3</v>
      </c>
      <c r="T988" t="s">
        <v>3027</v>
      </c>
    </row>
    <row r="989" spans="1:20" x14ac:dyDescent="0.2">
      <c r="A989" t="s">
        <v>3029</v>
      </c>
      <c r="B989" t="s">
        <v>2022</v>
      </c>
      <c r="C989" t="s">
        <v>2053</v>
      </c>
      <c r="D989" t="s">
        <v>2024</v>
      </c>
      <c r="E989" t="s">
        <v>3030</v>
      </c>
      <c r="F989" t="s">
        <v>3031</v>
      </c>
      <c r="G989">
        <v>5</v>
      </c>
      <c r="H989">
        <v>1900</v>
      </c>
      <c r="I989">
        <v>2</v>
      </c>
      <c r="J989">
        <v>4.05</v>
      </c>
      <c r="K989">
        <v>2</v>
      </c>
      <c r="L989">
        <v>8.5000000000000006E-2</v>
      </c>
      <c r="M989">
        <v>2</v>
      </c>
      <c r="N989">
        <v>83</v>
      </c>
      <c r="O989">
        <v>1</v>
      </c>
      <c r="P989">
        <v>7.4999999999999997E-2</v>
      </c>
      <c r="Q989">
        <v>1</v>
      </c>
      <c r="R989">
        <v>8.4999999999999995E-4</v>
      </c>
      <c r="T989" t="s">
        <v>3030</v>
      </c>
    </row>
    <row r="990" spans="1:20" x14ac:dyDescent="0.2">
      <c r="A990" t="s">
        <v>3032</v>
      </c>
      <c r="B990" t="s">
        <v>2022</v>
      </c>
      <c r="C990" t="s">
        <v>2036</v>
      </c>
      <c r="D990" t="s">
        <v>2024</v>
      </c>
      <c r="E990" t="s">
        <v>3033</v>
      </c>
      <c r="F990" t="s">
        <v>3034</v>
      </c>
      <c r="G990">
        <v>1</v>
      </c>
      <c r="H990">
        <v>1540</v>
      </c>
      <c r="I990">
        <v>1</v>
      </c>
      <c r="J990">
        <v>2.2000000000000002</v>
      </c>
      <c r="K990">
        <v>1</v>
      </c>
      <c r="L990">
        <v>5.5E-2</v>
      </c>
      <c r="M990">
        <v>1</v>
      </c>
      <c r="N990">
        <v>76</v>
      </c>
      <c r="O990">
        <v>1</v>
      </c>
      <c r="P990">
        <v>9.5000000000000001E-2</v>
      </c>
      <c r="Q990">
        <v>1</v>
      </c>
      <c r="R990">
        <v>1.5E-3</v>
      </c>
      <c r="T990" t="s">
        <v>3033</v>
      </c>
    </row>
    <row r="991" spans="1:20" x14ac:dyDescent="0.2">
      <c r="A991" t="s">
        <v>3035</v>
      </c>
      <c r="B991" t="s">
        <v>2022</v>
      </c>
      <c r="C991" t="s">
        <v>2036</v>
      </c>
      <c r="D991" t="s">
        <v>2024</v>
      </c>
      <c r="E991" t="s">
        <v>3036</v>
      </c>
      <c r="F991" t="s">
        <v>3037</v>
      </c>
      <c r="G991">
        <v>5</v>
      </c>
      <c r="H991">
        <v>1940</v>
      </c>
      <c r="I991">
        <v>5</v>
      </c>
      <c r="J991">
        <v>7</v>
      </c>
      <c r="K991">
        <v>5</v>
      </c>
      <c r="L991">
        <v>0.17499999999999999</v>
      </c>
      <c r="M991">
        <v>5</v>
      </c>
      <c r="N991">
        <v>100</v>
      </c>
      <c r="O991">
        <v>5</v>
      </c>
      <c r="P991">
        <v>0.53500000000000003</v>
      </c>
      <c r="Q991">
        <v>5</v>
      </c>
      <c r="R991">
        <v>1.2E-2</v>
      </c>
      <c r="T991" t="s">
        <v>3036</v>
      </c>
    </row>
    <row r="992" spans="1:20" x14ac:dyDescent="0.2">
      <c r="A992" t="s">
        <v>3038</v>
      </c>
      <c r="B992" t="s">
        <v>2022</v>
      </c>
      <c r="C992" t="s">
        <v>2222</v>
      </c>
      <c r="D992" t="s">
        <v>2024</v>
      </c>
      <c r="E992" t="s">
        <v>3039</v>
      </c>
      <c r="F992" t="s">
        <v>3040</v>
      </c>
      <c r="G992">
        <v>2</v>
      </c>
      <c r="H992">
        <v>1550</v>
      </c>
      <c r="I992">
        <v>1</v>
      </c>
      <c r="J992">
        <v>2.2999999999999998</v>
      </c>
      <c r="K992">
        <v>1</v>
      </c>
      <c r="L992">
        <v>0.01</v>
      </c>
      <c r="M992">
        <v>2</v>
      </c>
      <c r="N992">
        <v>63</v>
      </c>
      <c r="O992">
        <v>1</v>
      </c>
      <c r="P992">
        <v>7.0000000000000007E-2</v>
      </c>
      <c r="Q992">
        <v>1</v>
      </c>
      <c r="R992">
        <v>4.0000000000000002E-4</v>
      </c>
      <c r="T992" t="s">
        <v>3039</v>
      </c>
    </row>
    <row r="993" spans="1:20" x14ac:dyDescent="0.2">
      <c r="A993" t="s">
        <v>3041</v>
      </c>
      <c r="B993" t="s">
        <v>2022</v>
      </c>
      <c r="C993" t="s">
        <v>2036</v>
      </c>
      <c r="D993" t="s">
        <v>2024</v>
      </c>
      <c r="E993" t="s">
        <v>3042</v>
      </c>
      <c r="F993" t="s">
        <v>3043</v>
      </c>
      <c r="G993">
        <v>5</v>
      </c>
      <c r="H993">
        <v>1940</v>
      </c>
      <c r="I993">
        <v>5</v>
      </c>
      <c r="J993">
        <v>7</v>
      </c>
      <c r="K993">
        <v>5</v>
      </c>
      <c r="L993">
        <v>0.17499999999999999</v>
      </c>
      <c r="M993">
        <v>5</v>
      </c>
      <c r="N993">
        <v>100</v>
      </c>
      <c r="O993">
        <v>5</v>
      </c>
      <c r="P993">
        <v>0.53500000000000003</v>
      </c>
      <c r="Q993">
        <v>5</v>
      </c>
      <c r="R993">
        <v>1.2E-2</v>
      </c>
      <c r="T993" t="s">
        <v>3042</v>
      </c>
    </row>
    <row r="994" spans="1:20" x14ac:dyDescent="0.2">
      <c r="A994" t="s">
        <v>3044</v>
      </c>
      <c r="B994" t="s">
        <v>2022</v>
      </c>
      <c r="C994" t="s">
        <v>2023</v>
      </c>
      <c r="D994" t="s">
        <v>2024</v>
      </c>
      <c r="E994" t="s">
        <v>357</v>
      </c>
      <c r="F994" t="s">
        <v>447</v>
      </c>
      <c r="G994">
        <v>1</v>
      </c>
      <c r="H994">
        <v>1480</v>
      </c>
      <c r="I994">
        <v>1</v>
      </c>
      <c r="J994">
        <v>0.9</v>
      </c>
      <c r="K994">
        <v>1</v>
      </c>
      <c r="L994">
        <v>6.0000000000000001E-3</v>
      </c>
      <c r="M994">
        <v>5</v>
      </c>
      <c r="N994">
        <v>114</v>
      </c>
      <c r="O994">
        <v>5</v>
      </c>
      <c r="P994">
        <v>0.67500000000000004</v>
      </c>
      <c r="Q994">
        <v>5</v>
      </c>
      <c r="R994">
        <v>8.0000000000000002E-3</v>
      </c>
      <c r="T994" t="s">
        <v>357</v>
      </c>
    </row>
    <row r="995" spans="1:20" x14ac:dyDescent="0.2">
      <c r="A995" t="s">
        <v>3045</v>
      </c>
      <c r="B995" t="s">
        <v>2022</v>
      </c>
      <c r="C995" t="s">
        <v>2023</v>
      </c>
      <c r="D995" t="s">
        <v>2024</v>
      </c>
      <c r="E995" t="s">
        <v>3046</v>
      </c>
      <c r="F995" t="s">
        <v>3047</v>
      </c>
      <c r="G995">
        <v>5</v>
      </c>
      <c r="H995">
        <v>1800</v>
      </c>
      <c r="I995">
        <v>5</v>
      </c>
      <c r="J995">
        <v>10.9</v>
      </c>
      <c r="K995">
        <v>5</v>
      </c>
      <c r="L995">
        <v>8.5999999999999993E-2</v>
      </c>
      <c r="M995">
        <v>2</v>
      </c>
      <c r="N995">
        <v>84</v>
      </c>
      <c r="O995">
        <v>4</v>
      </c>
      <c r="P995">
        <v>0.52500000000000002</v>
      </c>
      <c r="Q995">
        <v>5</v>
      </c>
      <c r="R995">
        <v>8.0000000000000002E-3</v>
      </c>
      <c r="T995" t="s">
        <v>3046</v>
      </c>
    </row>
    <row r="996" spans="1:20" x14ac:dyDescent="0.2">
      <c r="A996" t="s">
        <v>3048</v>
      </c>
      <c r="B996" t="s">
        <v>2022</v>
      </c>
      <c r="C996" t="s">
        <v>2023</v>
      </c>
      <c r="D996" t="s">
        <v>2024</v>
      </c>
      <c r="E996" t="s">
        <v>357</v>
      </c>
      <c r="F996" t="s">
        <v>447</v>
      </c>
      <c r="G996">
        <v>1</v>
      </c>
      <c r="H996">
        <v>1480</v>
      </c>
      <c r="I996">
        <v>4</v>
      </c>
      <c r="J996">
        <v>8.4</v>
      </c>
      <c r="K996">
        <v>5</v>
      </c>
      <c r="L996">
        <v>8.5999999999999993E-2</v>
      </c>
      <c r="M996">
        <v>5</v>
      </c>
      <c r="N996">
        <v>114</v>
      </c>
      <c r="O996">
        <v>5</v>
      </c>
      <c r="P996">
        <v>0.67500000000000004</v>
      </c>
      <c r="Q996">
        <v>5</v>
      </c>
      <c r="R996">
        <v>8.0000000000000002E-3</v>
      </c>
      <c r="T996" t="s">
        <v>357</v>
      </c>
    </row>
    <row r="997" spans="1:20" x14ac:dyDescent="0.2">
      <c r="A997" t="s">
        <v>3049</v>
      </c>
      <c r="B997" t="s">
        <v>2022</v>
      </c>
      <c r="C997" t="s">
        <v>2036</v>
      </c>
      <c r="D997" t="s">
        <v>2024</v>
      </c>
      <c r="E997" t="s">
        <v>3050</v>
      </c>
      <c r="F997" t="s">
        <v>447</v>
      </c>
      <c r="G997">
        <v>1</v>
      </c>
      <c r="H997">
        <v>1540</v>
      </c>
      <c r="I997">
        <v>5</v>
      </c>
      <c r="J997">
        <v>7</v>
      </c>
      <c r="K997">
        <v>5</v>
      </c>
      <c r="L997">
        <v>0.17499999999999999</v>
      </c>
      <c r="M997">
        <v>1</v>
      </c>
      <c r="N997">
        <v>76</v>
      </c>
      <c r="O997">
        <v>4</v>
      </c>
      <c r="P997">
        <v>0.42499999999999999</v>
      </c>
      <c r="Q997">
        <v>5</v>
      </c>
      <c r="R997">
        <v>1.2E-2</v>
      </c>
      <c r="T997" t="s">
        <v>3050</v>
      </c>
    </row>
    <row r="998" spans="1:20" x14ac:dyDescent="0.2">
      <c r="A998" t="s">
        <v>3051</v>
      </c>
      <c r="B998" t="s">
        <v>2022</v>
      </c>
      <c r="C998" t="s">
        <v>2053</v>
      </c>
      <c r="D998" t="s">
        <v>2024</v>
      </c>
      <c r="E998" t="s">
        <v>3052</v>
      </c>
      <c r="F998" t="s">
        <v>3053</v>
      </c>
      <c r="G998">
        <v>3</v>
      </c>
      <c r="H998">
        <v>1700</v>
      </c>
      <c r="I998">
        <v>3</v>
      </c>
      <c r="J998">
        <v>6.55</v>
      </c>
      <c r="K998">
        <v>1</v>
      </c>
      <c r="L998">
        <v>1.4999999999999999E-2</v>
      </c>
      <c r="M998">
        <v>3</v>
      </c>
      <c r="N998">
        <v>93</v>
      </c>
      <c r="O998">
        <v>3</v>
      </c>
      <c r="P998">
        <v>0.375</v>
      </c>
      <c r="Q998">
        <v>1</v>
      </c>
      <c r="R998">
        <v>8.4999999999999995E-4</v>
      </c>
      <c r="T998" t="s">
        <v>3052</v>
      </c>
    </row>
    <row r="999" spans="1:20" x14ac:dyDescent="0.2">
      <c r="A999" t="s">
        <v>3054</v>
      </c>
      <c r="B999" t="s">
        <v>2022</v>
      </c>
      <c r="C999" t="s">
        <v>2023</v>
      </c>
      <c r="D999" t="s">
        <v>2024</v>
      </c>
      <c r="E999" t="s">
        <v>3055</v>
      </c>
      <c r="F999" t="s">
        <v>3056</v>
      </c>
      <c r="G999">
        <v>5</v>
      </c>
      <c r="H999">
        <v>1800</v>
      </c>
      <c r="I999">
        <v>3</v>
      </c>
      <c r="J999">
        <v>5.9</v>
      </c>
      <c r="K999">
        <v>5</v>
      </c>
      <c r="L999">
        <v>8.5999999999999993E-2</v>
      </c>
      <c r="M999">
        <v>2</v>
      </c>
      <c r="N999">
        <v>84</v>
      </c>
      <c r="O999">
        <v>2</v>
      </c>
      <c r="P999">
        <v>0.22500000000000001</v>
      </c>
      <c r="Q999">
        <v>3</v>
      </c>
      <c r="R999">
        <v>4.0000000000000001E-3</v>
      </c>
      <c r="T999" t="s">
        <v>3055</v>
      </c>
    </row>
    <row r="1000" spans="1:20" x14ac:dyDescent="0.2">
      <c r="A1000" t="s">
        <v>3057</v>
      </c>
      <c r="B1000" t="s">
        <v>2022</v>
      </c>
      <c r="C1000" t="s">
        <v>2036</v>
      </c>
      <c r="D1000" t="s">
        <v>2024</v>
      </c>
      <c r="E1000" t="s">
        <v>3058</v>
      </c>
      <c r="F1000" t="s">
        <v>3059</v>
      </c>
      <c r="G1000">
        <v>2</v>
      </c>
      <c r="H1000">
        <v>1640</v>
      </c>
      <c r="I1000">
        <v>2</v>
      </c>
      <c r="J1000">
        <v>3.4</v>
      </c>
      <c r="K1000">
        <v>3</v>
      </c>
      <c r="L1000">
        <v>0.115</v>
      </c>
      <c r="M1000">
        <v>2</v>
      </c>
      <c r="N1000">
        <v>82</v>
      </c>
      <c r="O1000">
        <v>2</v>
      </c>
      <c r="P1000">
        <v>0.20499999999999999</v>
      </c>
      <c r="Q1000">
        <v>3</v>
      </c>
      <c r="R1000">
        <v>6.7499999999999999E-3</v>
      </c>
      <c r="T1000" t="s">
        <v>3058</v>
      </c>
    </row>
    <row r="1001" spans="1:20" x14ac:dyDescent="0.2">
      <c r="A1001" t="s">
        <v>3060</v>
      </c>
      <c r="B1001" t="s">
        <v>2022</v>
      </c>
      <c r="C1001" t="s">
        <v>2095</v>
      </c>
      <c r="D1001" t="s">
        <v>2024</v>
      </c>
      <c r="E1001" t="s">
        <v>3061</v>
      </c>
      <c r="F1001" t="s">
        <v>3062</v>
      </c>
      <c r="G1001">
        <v>2</v>
      </c>
      <c r="H1001">
        <v>1655</v>
      </c>
      <c r="I1001">
        <v>5</v>
      </c>
      <c r="J1001">
        <v>16.5</v>
      </c>
      <c r="K1001">
        <v>5</v>
      </c>
      <c r="L1001">
        <v>0.73</v>
      </c>
      <c r="M1001">
        <v>1</v>
      </c>
      <c r="N1001">
        <v>74</v>
      </c>
      <c r="O1001">
        <v>4</v>
      </c>
      <c r="P1001">
        <v>0.75</v>
      </c>
      <c r="Q1001">
        <v>5</v>
      </c>
      <c r="R1001">
        <v>3.2899999999999999E-2</v>
      </c>
      <c r="T1001" t="s">
        <v>3061</v>
      </c>
    </row>
    <row r="1002" spans="1:20" x14ac:dyDescent="0.2">
      <c r="A1002" t="s">
        <v>3063</v>
      </c>
      <c r="B1002" t="s">
        <v>2022</v>
      </c>
      <c r="C1002" t="s">
        <v>2036</v>
      </c>
      <c r="D1002" t="s">
        <v>2024</v>
      </c>
      <c r="E1002" t="s">
        <v>3064</v>
      </c>
      <c r="F1002" t="s">
        <v>3065</v>
      </c>
      <c r="G1002">
        <v>2</v>
      </c>
      <c r="H1002">
        <v>1640</v>
      </c>
      <c r="I1002">
        <v>5</v>
      </c>
      <c r="J1002">
        <v>7</v>
      </c>
      <c r="K1002">
        <v>5</v>
      </c>
      <c r="L1002">
        <v>0.17499999999999999</v>
      </c>
      <c r="M1002">
        <v>4</v>
      </c>
      <c r="N1002">
        <v>94</v>
      </c>
      <c r="O1002">
        <v>5</v>
      </c>
      <c r="P1002">
        <v>0.53500000000000003</v>
      </c>
      <c r="Q1002">
        <v>5</v>
      </c>
      <c r="R1002">
        <v>1.2E-2</v>
      </c>
      <c r="T1002" t="s">
        <v>3064</v>
      </c>
    </row>
    <row r="1003" spans="1:20" x14ac:dyDescent="0.2">
      <c r="A1003" t="s">
        <v>3066</v>
      </c>
      <c r="B1003" t="s">
        <v>2022</v>
      </c>
      <c r="C1003" t="s">
        <v>2036</v>
      </c>
      <c r="D1003" t="s">
        <v>2024</v>
      </c>
      <c r="E1003" t="s">
        <v>3067</v>
      </c>
      <c r="F1003" t="s">
        <v>3068</v>
      </c>
      <c r="G1003">
        <v>2</v>
      </c>
      <c r="H1003">
        <v>1640</v>
      </c>
      <c r="I1003">
        <v>1</v>
      </c>
      <c r="J1003">
        <v>2.2000000000000002</v>
      </c>
      <c r="K1003">
        <v>1</v>
      </c>
      <c r="L1003">
        <v>5.5E-2</v>
      </c>
      <c r="M1003">
        <v>2</v>
      </c>
      <c r="N1003">
        <v>82</v>
      </c>
      <c r="O1003">
        <v>1</v>
      </c>
      <c r="P1003">
        <v>9.5000000000000001E-2</v>
      </c>
      <c r="Q1003">
        <v>2</v>
      </c>
      <c r="R1003">
        <v>4.2500000000000003E-3</v>
      </c>
      <c r="T1003" t="s">
        <v>3067</v>
      </c>
    </row>
    <row r="1004" spans="1:20" x14ac:dyDescent="0.2">
      <c r="A1004" t="s">
        <v>3069</v>
      </c>
      <c r="B1004" t="s">
        <v>2022</v>
      </c>
      <c r="C1004" t="s">
        <v>2173</v>
      </c>
      <c r="D1004" t="s">
        <v>2024</v>
      </c>
      <c r="E1004" t="s">
        <v>3070</v>
      </c>
      <c r="F1004" t="s">
        <v>3071</v>
      </c>
      <c r="G1004">
        <v>3</v>
      </c>
      <c r="H1004">
        <v>2032.5</v>
      </c>
      <c r="I1004">
        <v>1</v>
      </c>
      <c r="J1004">
        <v>3.65</v>
      </c>
      <c r="K1004">
        <v>1</v>
      </c>
      <c r="L1004">
        <v>1.4999999999999999E-2</v>
      </c>
      <c r="M1004">
        <v>1</v>
      </c>
      <c r="N1004">
        <v>96.5</v>
      </c>
      <c r="O1004">
        <v>1</v>
      </c>
      <c r="P1004">
        <v>0.15</v>
      </c>
      <c r="Q1004">
        <v>1</v>
      </c>
      <c r="R1004">
        <v>6.4999999999999997E-4</v>
      </c>
      <c r="T1004" t="s">
        <v>3070</v>
      </c>
    </row>
    <row r="1005" spans="1:20" x14ac:dyDescent="0.2">
      <c r="A1005" t="s">
        <v>3072</v>
      </c>
      <c r="B1005" t="s">
        <v>2022</v>
      </c>
      <c r="C1005" t="s">
        <v>2023</v>
      </c>
      <c r="D1005" t="s">
        <v>2136</v>
      </c>
      <c r="E1005" t="s">
        <v>2296</v>
      </c>
      <c r="F1005" t="s">
        <v>2297</v>
      </c>
      <c r="G1005">
        <v>2</v>
      </c>
      <c r="H1005">
        <v>1560</v>
      </c>
      <c r="I1005">
        <v>1</v>
      </c>
      <c r="J1005">
        <v>0.9</v>
      </c>
      <c r="K1005">
        <v>1</v>
      </c>
      <c r="L1005">
        <v>6.0000000000000001E-3</v>
      </c>
      <c r="M1005">
        <v>1</v>
      </c>
      <c r="N1005">
        <v>74</v>
      </c>
      <c r="O1005">
        <v>1</v>
      </c>
      <c r="P1005">
        <v>7.4999999999999997E-2</v>
      </c>
      <c r="Q1005">
        <v>1</v>
      </c>
      <c r="R1005">
        <v>5.0000000000000001E-4</v>
      </c>
      <c r="T1005" t="s">
        <v>2296</v>
      </c>
    </row>
    <row r="1006" spans="1:20" x14ac:dyDescent="0.2">
      <c r="A1006" t="s">
        <v>3073</v>
      </c>
      <c r="B1006" t="s">
        <v>2022</v>
      </c>
      <c r="C1006" t="s">
        <v>2101</v>
      </c>
      <c r="D1006" t="s">
        <v>2024</v>
      </c>
      <c r="E1006" t="s">
        <v>3074</v>
      </c>
      <c r="F1006" t="s">
        <v>3075</v>
      </c>
      <c r="G1006">
        <v>3</v>
      </c>
      <c r="H1006">
        <v>1770</v>
      </c>
      <c r="I1006">
        <v>2</v>
      </c>
      <c r="J1006">
        <v>5</v>
      </c>
      <c r="K1006">
        <v>1</v>
      </c>
      <c r="L1006">
        <v>1.15E-2</v>
      </c>
      <c r="M1006">
        <v>4</v>
      </c>
      <c r="N1006">
        <v>90</v>
      </c>
      <c r="O1006">
        <v>2</v>
      </c>
      <c r="P1006">
        <v>0.22500000000000001</v>
      </c>
      <c r="Q1006">
        <v>1</v>
      </c>
      <c r="R1006">
        <v>5.0000000000000001E-4</v>
      </c>
      <c r="T1006" t="s">
        <v>3074</v>
      </c>
    </row>
    <row r="1007" spans="1:20" x14ac:dyDescent="0.2">
      <c r="A1007" t="s">
        <v>3076</v>
      </c>
      <c r="B1007" t="s">
        <v>2022</v>
      </c>
      <c r="C1007" t="s">
        <v>2023</v>
      </c>
      <c r="D1007" t="s">
        <v>2024</v>
      </c>
      <c r="E1007" t="s">
        <v>3077</v>
      </c>
      <c r="F1007" t="s">
        <v>3078</v>
      </c>
      <c r="G1007">
        <v>5</v>
      </c>
      <c r="H1007">
        <v>1800</v>
      </c>
      <c r="I1007">
        <v>5</v>
      </c>
      <c r="J1007">
        <v>10.9</v>
      </c>
      <c r="K1007">
        <v>5</v>
      </c>
      <c r="L1007">
        <v>8.5999999999999993E-2</v>
      </c>
      <c r="M1007">
        <v>2</v>
      </c>
      <c r="N1007">
        <v>84</v>
      </c>
      <c r="O1007">
        <v>5</v>
      </c>
      <c r="P1007">
        <v>0.67500000000000004</v>
      </c>
      <c r="Q1007">
        <v>5</v>
      </c>
      <c r="R1007">
        <v>8.0000000000000002E-3</v>
      </c>
      <c r="T1007" t="s">
        <v>3077</v>
      </c>
    </row>
    <row r="1008" spans="1:20" x14ac:dyDescent="0.2">
      <c r="A1008" t="s">
        <v>3079</v>
      </c>
      <c r="B1008" t="s">
        <v>2022</v>
      </c>
      <c r="C1008" t="s">
        <v>2023</v>
      </c>
      <c r="D1008" t="s">
        <v>2024</v>
      </c>
      <c r="E1008" t="s">
        <v>3080</v>
      </c>
      <c r="F1008" t="s">
        <v>3081</v>
      </c>
      <c r="G1008">
        <v>5</v>
      </c>
      <c r="H1008">
        <v>1800</v>
      </c>
      <c r="I1008">
        <v>5</v>
      </c>
      <c r="J1008">
        <v>10.9</v>
      </c>
      <c r="K1008">
        <v>3</v>
      </c>
      <c r="L1008">
        <v>4.5999999999999999E-2</v>
      </c>
      <c r="M1008">
        <v>2</v>
      </c>
      <c r="N1008">
        <v>84</v>
      </c>
      <c r="O1008">
        <v>5</v>
      </c>
      <c r="P1008">
        <v>0.67500000000000004</v>
      </c>
      <c r="Q1008">
        <v>2</v>
      </c>
      <c r="R1008">
        <v>2E-3</v>
      </c>
      <c r="T1008" t="s">
        <v>3080</v>
      </c>
    </row>
    <row r="1009" spans="1:20" x14ac:dyDescent="0.2">
      <c r="A1009" t="s">
        <v>3082</v>
      </c>
      <c r="B1009" t="s">
        <v>2022</v>
      </c>
      <c r="C1009" t="s">
        <v>2036</v>
      </c>
      <c r="E1009" t="s">
        <v>3083</v>
      </c>
      <c r="F1009" t="s">
        <v>1990</v>
      </c>
      <c r="G1009">
        <v>1</v>
      </c>
      <c r="H1009">
        <v>1540</v>
      </c>
      <c r="I1009">
        <v>2</v>
      </c>
      <c r="J1009">
        <v>4</v>
      </c>
      <c r="K1009">
        <v>2</v>
      </c>
      <c r="L1009">
        <v>0.105</v>
      </c>
      <c r="M1009">
        <v>2</v>
      </c>
      <c r="N1009">
        <v>82</v>
      </c>
      <c r="O1009">
        <v>2</v>
      </c>
      <c r="P1009">
        <v>0.20499999999999999</v>
      </c>
      <c r="Q1009">
        <v>2</v>
      </c>
      <c r="R1009">
        <v>5.3E-3</v>
      </c>
      <c r="T1009" t="s">
        <v>3083</v>
      </c>
    </row>
    <row r="1010" spans="1:20" x14ac:dyDescent="0.2">
      <c r="A1010" t="s">
        <v>3084</v>
      </c>
      <c r="B1010" t="s">
        <v>2022</v>
      </c>
      <c r="C1010" t="s">
        <v>2023</v>
      </c>
      <c r="D1010" t="s">
        <v>2024</v>
      </c>
      <c r="E1010" t="s">
        <v>3085</v>
      </c>
      <c r="F1010" t="s">
        <v>3086</v>
      </c>
      <c r="G1010">
        <v>5</v>
      </c>
      <c r="H1010">
        <v>1800</v>
      </c>
      <c r="I1010">
        <v>2</v>
      </c>
      <c r="J1010">
        <v>3.4</v>
      </c>
      <c r="K1010">
        <v>2</v>
      </c>
      <c r="L1010">
        <v>2.5999999999999999E-2</v>
      </c>
      <c r="M1010">
        <v>3</v>
      </c>
      <c r="N1010">
        <v>94</v>
      </c>
      <c r="O1010">
        <v>2</v>
      </c>
      <c r="P1010">
        <v>0.22500000000000001</v>
      </c>
      <c r="Q1010">
        <v>2</v>
      </c>
      <c r="R1010">
        <v>2E-3</v>
      </c>
      <c r="T1010" t="s">
        <v>3085</v>
      </c>
    </row>
    <row r="1011" spans="1:20" x14ac:dyDescent="0.2">
      <c r="A1011" t="s">
        <v>3087</v>
      </c>
      <c r="B1011" t="s">
        <v>2022</v>
      </c>
      <c r="C1011" t="s">
        <v>2023</v>
      </c>
      <c r="D1011" t="s">
        <v>2024</v>
      </c>
      <c r="E1011" t="s">
        <v>3088</v>
      </c>
      <c r="F1011" t="s">
        <v>3089</v>
      </c>
      <c r="G1011">
        <v>1</v>
      </c>
      <c r="H1011">
        <v>1480</v>
      </c>
      <c r="I1011">
        <v>1</v>
      </c>
      <c r="J1011">
        <v>0.9</v>
      </c>
      <c r="K1011">
        <v>1</v>
      </c>
      <c r="L1011">
        <v>6.0000000000000001E-3</v>
      </c>
      <c r="M1011">
        <v>2</v>
      </c>
      <c r="N1011">
        <v>84</v>
      </c>
      <c r="O1011">
        <v>1</v>
      </c>
      <c r="P1011">
        <v>7.4999999999999997E-2</v>
      </c>
      <c r="Q1011">
        <v>1</v>
      </c>
      <c r="R1011">
        <v>5.0000000000000001E-4</v>
      </c>
      <c r="T1011" t="s">
        <v>3088</v>
      </c>
    </row>
    <row r="1012" spans="1:20" x14ac:dyDescent="0.2">
      <c r="A1012" t="s">
        <v>3090</v>
      </c>
      <c r="B1012" t="s">
        <v>2022</v>
      </c>
      <c r="C1012" t="s">
        <v>2036</v>
      </c>
      <c r="D1012" t="s">
        <v>2024</v>
      </c>
      <c r="E1012" t="s">
        <v>357</v>
      </c>
      <c r="F1012" t="s">
        <v>3091</v>
      </c>
      <c r="G1012">
        <v>4</v>
      </c>
      <c r="H1012">
        <v>1840</v>
      </c>
      <c r="I1012">
        <v>5</v>
      </c>
      <c r="J1012">
        <v>7</v>
      </c>
      <c r="K1012">
        <v>5</v>
      </c>
      <c r="L1012">
        <v>0.17499999999999999</v>
      </c>
      <c r="M1012">
        <v>2</v>
      </c>
      <c r="N1012">
        <v>82</v>
      </c>
      <c r="O1012">
        <v>3</v>
      </c>
      <c r="P1012">
        <v>0.315</v>
      </c>
      <c r="Q1012">
        <v>4</v>
      </c>
      <c r="R1012">
        <v>9.2499999999999995E-3</v>
      </c>
      <c r="T1012" t="s">
        <v>357</v>
      </c>
    </row>
    <row r="1013" spans="1:20" x14ac:dyDescent="0.2">
      <c r="A1013" t="s">
        <v>3092</v>
      </c>
      <c r="B1013" t="s">
        <v>2022</v>
      </c>
      <c r="C1013" t="s">
        <v>2023</v>
      </c>
      <c r="D1013" t="s">
        <v>2136</v>
      </c>
      <c r="E1013" t="s">
        <v>3093</v>
      </c>
      <c r="F1013" t="s">
        <v>3094</v>
      </c>
      <c r="G1013">
        <v>1</v>
      </c>
      <c r="H1013">
        <v>1480</v>
      </c>
      <c r="I1013">
        <v>1</v>
      </c>
      <c r="J1013">
        <v>0.9</v>
      </c>
      <c r="K1013">
        <v>1</v>
      </c>
      <c r="L1013">
        <v>6.0000000000000001E-3</v>
      </c>
      <c r="M1013">
        <v>3</v>
      </c>
      <c r="N1013">
        <v>94</v>
      </c>
      <c r="O1013">
        <v>1</v>
      </c>
      <c r="P1013">
        <v>7.4999999999999997E-2</v>
      </c>
      <c r="Q1013">
        <v>1</v>
      </c>
      <c r="R1013">
        <v>5.0000000000000001E-4</v>
      </c>
      <c r="T1013" t="s">
        <v>3093</v>
      </c>
    </row>
    <row r="1014" spans="1:20" x14ac:dyDescent="0.2">
      <c r="A1014" t="s">
        <v>3095</v>
      </c>
      <c r="B1014" t="s">
        <v>2022</v>
      </c>
      <c r="C1014" t="s">
        <v>2222</v>
      </c>
      <c r="D1014" t="s">
        <v>2024</v>
      </c>
      <c r="E1014" t="s">
        <v>3096</v>
      </c>
      <c r="F1014" t="s">
        <v>3097</v>
      </c>
      <c r="G1014">
        <v>2</v>
      </c>
      <c r="H1014">
        <v>1550</v>
      </c>
      <c r="I1014">
        <v>1</v>
      </c>
      <c r="J1014">
        <v>2.2999999999999998</v>
      </c>
      <c r="K1014">
        <v>2</v>
      </c>
      <c r="L1014">
        <v>5.5E-2</v>
      </c>
      <c r="M1014">
        <v>3</v>
      </c>
      <c r="N1014">
        <v>67</v>
      </c>
      <c r="O1014">
        <v>1</v>
      </c>
      <c r="P1014">
        <v>7.0000000000000007E-2</v>
      </c>
      <c r="Q1014">
        <v>2</v>
      </c>
      <c r="R1014">
        <v>2.3E-3</v>
      </c>
      <c r="T1014" t="s">
        <v>3096</v>
      </c>
    </row>
    <row r="1015" spans="1:20" x14ac:dyDescent="0.2">
      <c r="A1015" t="s">
        <v>3098</v>
      </c>
      <c r="B1015" t="s">
        <v>2022</v>
      </c>
      <c r="C1015" t="s">
        <v>2053</v>
      </c>
      <c r="D1015" t="s">
        <v>2024</v>
      </c>
      <c r="E1015" t="s">
        <v>3099</v>
      </c>
      <c r="F1015" t="s">
        <v>3100</v>
      </c>
      <c r="G1015">
        <v>4</v>
      </c>
      <c r="H1015">
        <v>1800</v>
      </c>
      <c r="I1015">
        <v>2</v>
      </c>
      <c r="J1015">
        <v>4.05</v>
      </c>
      <c r="K1015">
        <v>2</v>
      </c>
      <c r="L1015">
        <v>8.5000000000000006E-2</v>
      </c>
      <c r="M1015">
        <v>3</v>
      </c>
      <c r="N1015">
        <v>93</v>
      </c>
      <c r="O1015">
        <v>2</v>
      </c>
      <c r="P1015">
        <v>0.22500000000000001</v>
      </c>
      <c r="Q1015">
        <v>2</v>
      </c>
      <c r="R1015">
        <v>5.1999999999999998E-3</v>
      </c>
      <c r="T1015" t="s">
        <v>3099</v>
      </c>
    </row>
    <row r="1016" spans="1:20" x14ac:dyDescent="0.2">
      <c r="A1016" t="s">
        <v>3101</v>
      </c>
      <c r="B1016" t="s">
        <v>2022</v>
      </c>
      <c r="C1016" t="s">
        <v>2095</v>
      </c>
      <c r="D1016" t="s">
        <v>2024</v>
      </c>
      <c r="E1016" t="s">
        <v>310</v>
      </c>
      <c r="F1016" t="s">
        <v>3102</v>
      </c>
      <c r="G1016">
        <v>1</v>
      </c>
      <c r="H1016">
        <v>1565</v>
      </c>
      <c r="I1016">
        <v>5</v>
      </c>
      <c r="J1016">
        <v>16.5</v>
      </c>
      <c r="K1016">
        <v>5</v>
      </c>
      <c r="L1016">
        <v>0.73</v>
      </c>
      <c r="M1016">
        <v>1</v>
      </c>
      <c r="N1016">
        <v>74</v>
      </c>
      <c r="O1016">
        <v>5</v>
      </c>
      <c r="P1016">
        <v>0.95</v>
      </c>
      <c r="Q1016">
        <v>5</v>
      </c>
      <c r="R1016">
        <v>3.2899999999999999E-2</v>
      </c>
      <c r="T1016" t="s">
        <v>310</v>
      </c>
    </row>
    <row r="1017" spans="1:20" x14ac:dyDescent="0.2">
      <c r="A1017" t="s">
        <v>3103</v>
      </c>
      <c r="B1017" t="s">
        <v>2022</v>
      </c>
      <c r="C1017" t="s">
        <v>2053</v>
      </c>
      <c r="D1017" t="s">
        <v>2024</v>
      </c>
      <c r="E1017" t="s">
        <v>3104</v>
      </c>
      <c r="F1017" t="s">
        <v>3105</v>
      </c>
      <c r="G1017">
        <v>4</v>
      </c>
      <c r="H1017">
        <v>1800</v>
      </c>
      <c r="I1017">
        <v>5</v>
      </c>
      <c r="J1017">
        <v>11.55</v>
      </c>
      <c r="K1017">
        <v>4</v>
      </c>
      <c r="L1017">
        <v>0.30499999999999999</v>
      </c>
      <c r="M1017">
        <v>3</v>
      </c>
      <c r="N1017">
        <v>93</v>
      </c>
      <c r="O1017">
        <v>5</v>
      </c>
      <c r="P1017">
        <v>0.67500000000000004</v>
      </c>
      <c r="Q1017">
        <v>3</v>
      </c>
      <c r="R1017">
        <v>1.2200000000000001E-2</v>
      </c>
      <c r="T1017" t="s">
        <v>3104</v>
      </c>
    </row>
    <row r="1018" spans="1:20" x14ac:dyDescent="0.2">
      <c r="A1018" t="s">
        <v>3106</v>
      </c>
      <c r="B1018" t="s">
        <v>2022</v>
      </c>
      <c r="C1018" t="s">
        <v>2036</v>
      </c>
      <c r="D1018" t="s">
        <v>2024</v>
      </c>
      <c r="E1018" t="s">
        <v>3107</v>
      </c>
      <c r="F1018" t="s">
        <v>3108</v>
      </c>
      <c r="G1018">
        <v>4</v>
      </c>
      <c r="H1018">
        <v>1840</v>
      </c>
      <c r="I1018">
        <v>5</v>
      </c>
      <c r="J1018">
        <v>7</v>
      </c>
      <c r="K1018">
        <v>5</v>
      </c>
      <c r="L1018">
        <v>0.17499999999999999</v>
      </c>
      <c r="M1018">
        <v>3</v>
      </c>
      <c r="N1018">
        <v>88</v>
      </c>
      <c r="O1018">
        <v>3</v>
      </c>
      <c r="P1018">
        <v>0.315</v>
      </c>
      <c r="Q1018">
        <v>4</v>
      </c>
      <c r="R1018">
        <v>9.2499999999999995E-3</v>
      </c>
      <c r="T1018" t="s">
        <v>3107</v>
      </c>
    </row>
    <row r="1019" spans="1:20" x14ac:dyDescent="0.2">
      <c r="A1019" t="s">
        <v>3109</v>
      </c>
      <c r="B1019" t="s">
        <v>2022</v>
      </c>
      <c r="C1019" t="s">
        <v>2053</v>
      </c>
      <c r="D1019" t="s">
        <v>2024</v>
      </c>
      <c r="E1019" t="s">
        <v>3110</v>
      </c>
      <c r="F1019" t="s">
        <v>447</v>
      </c>
      <c r="G1019">
        <v>3</v>
      </c>
      <c r="H1019">
        <v>1700</v>
      </c>
      <c r="I1019">
        <v>2</v>
      </c>
      <c r="J1019">
        <v>4.05</v>
      </c>
      <c r="K1019">
        <v>1</v>
      </c>
      <c r="L1019">
        <v>1.4999999999999999E-2</v>
      </c>
      <c r="M1019">
        <v>2</v>
      </c>
      <c r="N1019">
        <v>83</v>
      </c>
      <c r="O1019">
        <v>2</v>
      </c>
      <c r="P1019">
        <v>0.22500000000000001</v>
      </c>
      <c r="Q1019">
        <v>1</v>
      </c>
      <c r="R1019">
        <v>8.4999999999999995E-4</v>
      </c>
      <c r="T1019" t="s">
        <v>3110</v>
      </c>
    </row>
    <row r="1020" spans="1:20" x14ac:dyDescent="0.2">
      <c r="A1020" t="s">
        <v>3111</v>
      </c>
      <c r="B1020" t="s">
        <v>2022</v>
      </c>
      <c r="C1020" t="s">
        <v>2053</v>
      </c>
      <c r="D1020" t="s">
        <v>2024</v>
      </c>
      <c r="E1020" t="s">
        <v>3112</v>
      </c>
      <c r="F1020" t="s">
        <v>447</v>
      </c>
      <c r="G1020">
        <v>1</v>
      </c>
      <c r="H1020">
        <v>1500</v>
      </c>
      <c r="I1020">
        <v>2</v>
      </c>
      <c r="J1020">
        <v>4.05</v>
      </c>
      <c r="K1020">
        <v>2</v>
      </c>
      <c r="L1020">
        <v>8.5000000000000006E-2</v>
      </c>
      <c r="M1020">
        <v>2</v>
      </c>
      <c r="N1020">
        <v>83</v>
      </c>
      <c r="O1020">
        <v>2</v>
      </c>
      <c r="P1020">
        <v>0.22500000000000001</v>
      </c>
      <c r="Q1020">
        <v>2</v>
      </c>
      <c r="R1020">
        <v>5.1999999999999998E-3</v>
      </c>
      <c r="T1020" t="s">
        <v>3112</v>
      </c>
    </row>
    <row r="1021" spans="1:20" x14ac:dyDescent="0.2">
      <c r="A1021" t="s">
        <v>3113</v>
      </c>
      <c r="B1021" t="s">
        <v>2022</v>
      </c>
      <c r="C1021" t="s">
        <v>2049</v>
      </c>
      <c r="D1021" t="s">
        <v>2024</v>
      </c>
      <c r="E1021" t="s">
        <v>3114</v>
      </c>
      <c r="F1021" t="s">
        <v>3115</v>
      </c>
      <c r="G1021">
        <v>3</v>
      </c>
      <c r="H1021">
        <v>1550</v>
      </c>
      <c r="I1021">
        <v>5</v>
      </c>
      <c r="J1021">
        <v>8.6</v>
      </c>
      <c r="K1021">
        <v>5</v>
      </c>
      <c r="L1021">
        <v>0.3</v>
      </c>
      <c r="M1021">
        <v>3</v>
      </c>
      <c r="N1021">
        <v>126</v>
      </c>
      <c r="O1021">
        <v>5</v>
      </c>
      <c r="P1021">
        <v>0.86</v>
      </c>
      <c r="Q1021">
        <v>5</v>
      </c>
      <c r="R1021">
        <v>3.32E-2</v>
      </c>
      <c r="T1021" t="s">
        <v>3114</v>
      </c>
    </row>
    <row r="1022" spans="1:20" x14ac:dyDescent="0.2">
      <c r="A1022" t="s">
        <v>3116</v>
      </c>
      <c r="B1022" t="s">
        <v>2022</v>
      </c>
      <c r="C1022" t="s">
        <v>2101</v>
      </c>
      <c r="D1022" t="s">
        <v>2024</v>
      </c>
      <c r="E1022" t="s">
        <v>3117</v>
      </c>
      <c r="F1022" t="s">
        <v>3118</v>
      </c>
      <c r="G1022">
        <v>5</v>
      </c>
      <c r="H1022">
        <v>1970</v>
      </c>
      <c r="I1022">
        <v>1</v>
      </c>
      <c r="J1022">
        <v>2</v>
      </c>
      <c r="K1022">
        <v>1</v>
      </c>
      <c r="L1022">
        <v>1.15E-2</v>
      </c>
      <c r="M1022">
        <v>5</v>
      </c>
      <c r="N1022">
        <v>98</v>
      </c>
      <c r="O1022">
        <v>1</v>
      </c>
      <c r="P1022">
        <v>7.4999999999999997E-2</v>
      </c>
      <c r="Q1022">
        <v>1</v>
      </c>
      <c r="R1022">
        <v>5.0000000000000001E-4</v>
      </c>
      <c r="T1022" t="s">
        <v>3117</v>
      </c>
    </row>
    <row r="1023" spans="1:20" x14ac:dyDescent="0.2">
      <c r="A1023" t="s">
        <v>3119</v>
      </c>
      <c r="B1023" t="s">
        <v>2022</v>
      </c>
      <c r="C1023" t="s">
        <v>2053</v>
      </c>
      <c r="D1023" t="s">
        <v>2024</v>
      </c>
      <c r="E1023" t="s">
        <v>260</v>
      </c>
      <c r="F1023" t="s">
        <v>3120</v>
      </c>
      <c r="G1023">
        <v>5</v>
      </c>
      <c r="H1023">
        <v>1900</v>
      </c>
      <c r="I1023">
        <v>3</v>
      </c>
      <c r="J1023">
        <v>6.55</v>
      </c>
      <c r="K1023">
        <v>3</v>
      </c>
      <c r="L1023">
        <v>0.19500000000000001</v>
      </c>
      <c r="M1023">
        <v>5</v>
      </c>
      <c r="N1023">
        <v>113</v>
      </c>
      <c r="O1023">
        <v>3</v>
      </c>
      <c r="P1023">
        <v>0.375</v>
      </c>
      <c r="Q1023">
        <v>3</v>
      </c>
      <c r="R1023">
        <v>1.2200000000000001E-2</v>
      </c>
      <c r="T1023" t="s">
        <v>260</v>
      </c>
    </row>
    <row r="1024" spans="1:20" x14ac:dyDescent="0.2">
      <c r="A1024" t="s">
        <v>3121</v>
      </c>
      <c r="B1024" t="s">
        <v>2022</v>
      </c>
      <c r="C1024" t="s">
        <v>2036</v>
      </c>
      <c r="D1024" t="s">
        <v>2024</v>
      </c>
      <c r="E1024" t="s">
        <v>3122</v>
      </c>
      <c r="F1024" t="s">
        <v>3123</v>
      </c>
      <c r="G1024">
        <v>3</v>
      </c>
      <c r="H1024">
        <v>1740</v>
      </c>
      <c r="I1024">
        <v>2</v>
      </c>
      <c r="J1024">
        <v>3.4</v>
      </c>
      <c r="K1024">
        <v>1</v>
      </c>
      <c r="L1024">
        <v>5.5E-2</v>
      </c>
      <c r="M1024">
        <v>3</v>
      </c>
      <c r="N1024">
        <v>88</v>
      </c>
      <c r="O1024">
        <v>2</v>
      </c>
      <c r="P1024">
        <v>0.20499999999999999</v>
      </c>
      <c r="Q1024">
        <v>2</v>
      </c>
      <c r="R1024">
        <v>4.2500000000000003E-3</v>
      </c>
      <c r="T1024" t="s">
        <v>3122</v>
      </c>
    </row>
    <row r="1025" spans="1:20" x14ac:dyDescent="0.2">
      <c r="A1025" t="s">
        <v>3124</v>
      </c>
      <c r="B1025" t="s">
        <v>2022</v>
      </c>
      <c r="C1025" t="s">
        <v>2049</v>
      </c>
      <c r="D1025" t="s">
        <v>2024</v>
      </c>
      <c r="E1025" t="s">
        <v>3125</v>
      </c>
      <c r="F1025" t="s">
        <v>447</v>
      </c>
      <c r="G1025">
        <v>5</v>
      </c>
      <c r="H1025">
        <v>1750</v>
      </c>
      <c r="I1025">
        <v>2</v>
      </c>
      <c r="J1025">
        <v>3.2</v>
      </c>
      <c r="K1025">
        <v>2</v>
      </c>
      <c r="L1025">
        <v>0.06</v>
      </c>
      <c r="M1025">
        <v>3</v>
      </c>
      <c r="N1025">
        <v>126</v>
      </c>
      <c r="O1025">
        <v>2</v>
      </c>
      <c r="P1025">
        <v>0.26</v>
      </c>
      <c r="Q1025">
        <v>2</v>
      </c>
      <c r="R1025">
        <v>6.1999999999999998E-3</v>
      </c>
      <c r="T1025" t="s">
        <v>3125</v>
      </c>
    </row>
    <row r="1026" spans="1:20" x14ac:dyDescent="0.2">
      <c r="A1026" t="s">
        <v>3126</v>
      </c>
      <c r="B1026" t="s">
        <v>2022</v>
      </c>
      <c r="C1026" t="s">
        <v>2023</v>
      </c>
      <c r="D1026" t="s">
        <v>2024</v>
      </c>
      <c r="E1026" t="s">
        <v>3127</v>
      </c>
      <c r="F1026" t="s">
        <v>3128</v>
      </c>
      <c r="G1026">
        <v>5</v>
      </c>
      <c r="H1026">
        <v>1800</v>
      </c>
      <c r="I1026">
        <v>3</v>
      </c>
      <c r="J1026">
        <v>5.9</v>
      </c>
      <c r="K1026">
        <v>3</v>
      </c>
      <c r="L1026">
        <v>4.5999999999999999E-2</v>
      </c>
      <c r="M1026">
        <v>1</v>
      </c>
      <c r="N1026">
        <v>74</v>
      </c>
      <c r="O1026">
        <v>2</v>
      </c>
      <c r="P1026">
        <v>0.22500000000000001</v>
      </c>
      <c r="Q1026">
        <v>2</v>
      </c>
      <c r="R1026">
        <v>2E-3</v>
      </c>
      <c r="T1026" t="s">
        <v>3127</v>
      </c>
    </row>
    <row r="1027" spans="1:20" x14ac:dyDescent="0.2">
      <c r="A1027" t="s">
        <v>3129</v>
      </c>
      <c r="B1027" t="s">
        <v>2022</v>
      </c>
      <c r="C1027" t="s">
        <v>2095</v>
      </c>
      <c r="D1027" t="s">
        <v>2024</v>
      </c>
      <c r="E1027" t="s">
        <v>3130</v>
      </c>
      <c r="F1027" t="s">
        <v>3131</v>
      </c>
      <c r="G1027">
        <v>2</v>
      </c>
      <c r="H1027">
        <v>1655</v>
      </c>
      <c r="I1027">
        <v>5</v>
      </c>
      <c r="J1027">
        <v>16.5</v>
      </c>
      <c r="K1027">
        <v>5</v>
      </c>
      <c r="L1027">
        <v>0.73</v>
      </c>
      <c r="M1027">
        <v>1</v>
      </c>
      <c r="N1027">
        <v>74</v>
      </c>
      <c r="O1027">
        <v>5</v>
      </c>
      <c r="P1027">
        <v>0.95</v>
      </c>
      <c r="Q1027">
        <v>5</v>
      </c>
      <c r="R1027">
        <v>3.2899999999999999E-2</v>
      </c>
      <c r="T1027" t="s">
        <v>3130</v>
      </c>
    </row>
    <row r="1028" spans="1:20" x14ac:dyDescent="0.2">
      <c r="A1028" t="s">
        <v>3132</v>
      </c>
      <c r="B1028" t="s">
        <v>2022</v>
      </c>
      <c r="C1028" t="s">
        <v>2023</v>
      </c>
      <c r="D1028" t="s">
        <v>2024</v>
      </c>
      <c r="E1028" t="s">
        <v>3130</v>
      </c>
      <c r="F1028" t="s">
        <v>3131</v>
      </c>
      <c r="G1028">
        <v>3</v>
      </c>
      <c r="H1028">
        <v>1640</v>
      </c>
      <c r="I1028">
        <v>5</v>
      </c>
      <c r="J1028">
        <v>10.9</v>
      </c>
      <c r="K1028">
        <v>5</v>
      </c>
      <c r="L1028">
        <v>8.5999999999999993E-2</v>
      </c>
      <c r="M1028">
        <v>2</v>
      </c>
      <c r="N1028">
        <v>84</v>
      </c>
      <c r="O1028">
        <v>5</v>
      </c>
      <c r="P1028">
        <v>0.67500000000000004</v>
      </c>
      <c r="Q1028">
        <v>5</v>
      </c>
      <c r="R1028">
        <v>8.0000000000000002E-3</v>
      </c>
      <c r="T1028" t="s">
        <v>3130</v>
      </c>
    </row>
    <row r="1029" spans="1:20" x14ac:dyDescent="0.2">
      <c r="A1029" t="s">
        <v>3133</v>
      </c>
      <c r="B1029" t="s">
        <v>2022</v>
      </c>
      <c r="C1029" t="s">
        <v>2053</v>
      </c>
      <c r="D1029" t="s">
        <v>2024</v>
      </c>
      <c r="E1029" t="s">
        <v>3134</v>
      </c>
      <c r="F1029" t="s">
        <v>3135</v>
      </c>
      <c r="G1029">
        <v>2</v>
      </c>
      <c r="H1029">
        <v>1600</v>
      </c>
      <c r="I1029">
        <v>3</v>
      </c>
      <c r="J1029">
        <v>6.55</v>
      </c>
      <c r="K1029">
        <v>3</v>
      </c>
      <c r="L1029">
        <v>0.19500000000000001</v>
      </c>
      <c r="M1029">
        <v>3</v>
      </c>
      <c r="N1029">
        <v>93</v>
      </c>
      <c r="O1029">
        <v>3</v>
      </c>
      <c r="P1029">
        <v>0.375</v>
      </c>
      <c r="Q1029">
        <v>2</v>
      </c>
      <c r="R1029">
        <v>5.1999999999999998E-3</v>
      </c>
      <c r="T1029" t="s">
        <v>3134</v>
      </c>
    </row>
    <row r="1030" spans="1:20" x14ac:dyDescent="0.2">
      <c r="A1030" t="s">
        <v>3136</v>
      </c>
      <c r="B1030" t="s">
        <v>2022</v>
      </c>
      <c r="C1030" t="s">
        <v>2049</v>
      </c>
      <c r="D1030" t="s">
        <v>2024</v>
      </c>
      <c r="E1030" t="s">
        <v>3137</v>
      </c>
      <c r="F1030" t="s">
        <v>447</v>
      </c>
      <c r="G1030">
        <v>4</v>
      </c>
      <c r="H1030">
        <v>1650</v>
      </c>
      <c r="I1030">
        <v>5</v>
      </c>
      <c r="J1030">
        <v>8.6</v>
      </c>
      <c r="K1030">
        <v>5</v>
      </c>
      <c r="L1030">
        <v>0.3</v>
      </c>
      <c r="M1030">
        <v>4</v>
      </c>
      <c r="N1030">
        <v>146</v>
      </c>
      <c r="O1030">
        <v>5</v>
      </c>
      <c r="P1030">
        <v>0.86</v>
      </c>
      <c r="Q1030">
        <v>4</v>
      </c>
      <c r="R1030">
        <v>2.4199999999999999E-2</v>
      </c>
      <c r="T1030" t="s">
        <v>3137</v>
      </c>
    </row>
    <row r="1031" spans="1:20" x14ac:dyDescent="0.2">
      <c r="A1031" t="s">
        <v>3138</v>
      </c>
      <c r="B1031" t="s">
        <v>2022</v>
      </c>
      <c r="C1031" t="s">
        <v>2053</v>
      </c>
      <c r="D1031" t="s">
        <v>2024</v>
      </c>
      <c r="E1031" t="s">
        <v>3139</v>
      </c>
      <c r="F1031" t="s">
        <v>3140</v>
      </c>
      <c r="G1031">
        <v>4</v>
      </c>
      <c r="H1031">
        <v>1800</v>
      </c>
      <c r="I1031">
        <v>1</v>
      </c>
      <c r="J1031">
        <v>1.55</v>
      </c>
      <c r="K1031">
        <v>1</v>
      </c>
      <c r="L1031">
        <v>1.4999999999999999E-2</v>
      </c>
      <c r="M1031">
        <v>5</v>
      </c>
      <c r="N1031">
        <v>113</v>
      </c>
      <c r="O1031">
        <v>2</v>
      </c>
      <c r="P1031">
        <v>0.22500000000000001</v>
      </c>
      <c r="Q1031">
        <v>1</v>
      </c>
      <c r="R1031">
        <v>8.4999999999999995E-4</v>
      </c>
      <c r="T1031" t="s">
        <v>3139</v>
      </c>
    </row>
    <row r="1032" spans="1:20" x14ac:dyDescent="0.2">
      <c r="A1032" t="s">
        <v>3141</v>
      </c>
      <c r="B1032" t="s">
        <v>2022</v>
      </c>
      <c r="C1032" t="s">
        <v>2023</v>
      </c>
      <c r="D1032" t="s">
        <v>2024</v>
      </c>
      <c r="E1032" t="s">
        <v>3142</v>
      </c>
      <c r="F1032" t="s">
        <v>3143</v>
      </c>
      <c r="G1032">
        <v>3</v>
      </c>
      <c r="H1032">
        <v>1640</v>
      </c>
      <c r="I1032">
        <v>4</v>
      </c>
      <c r="J1032">
        <v>8.4</v>
      </c>
      <c r="K1032">
        <v>5</v>
      </c>
      <c r="L1032">
        <v>8.5999999999999993E-2</v>
      </c>
      <c r="M1032">
        <v>4</v>
      </c>
      <c r="N1032">
        <v>104</v>
      </c>
      <c r="O1032">
        <v>4</v>
      </c>
      <c r="P1032">
        <v>0.52500000000000002</v>
      </c>
      <c r="Q1032">
        <v>5</v>
      </c>
      <c r="R1032">
        <v>8.0000000000000002E-3</v>
      </c>
      <c r="T1032" t="s">
        <v>3142</v>
      </c>
    </row>
    <row r="1033" spans="1:20" x14ac:dyDescent="0.2">
      <c r="A1033" t="s">
        <v>3144</v>
      </c>
      <c r="B1033" t="s">
        <v>2022</v>
      </c>
      <c r="C1033" t="s">
        <v>2053</v>
      </c>
      <c r="D1033" t="s">
        <v>2024</v>
      </c>
      <c r="E1033" t="s">
        <v>3145</v>
      </c>
      <c r="F1033" t="s">
        <v>3146</v>
      </c>
      <c r="G1033">
        <v>1</v>
      </c>
      <c r="H1033">
        <v>1500</v>
      </c>
      <c r="I1033">
        <v>1</v>
      </c>
      <c r="J1033">
        <v>1.55</v>
      </c>
      <c r="K1033">
        <v>1</v>
      </c>
      <c r="L1033">
        <v>1.4999999999999999E-2</v>
      </c>
      <c r="M1033">
        <v>5</v>
      </c>
      <c r="N1033">
        <v>113</v>
      </c>
      <c r="O1033">
        <v>4</v>
      </c>
      <c r="P1033">
        <v>0.52500000000000002</v>
      </c>
      <c r="Q1033">
        <v>3</v>
      </c>
      <c r="R1033">
        <v>1.2200000000000001E-2</v>
      </c>
      <c r="T1033" t="s">
        <v>3145</v>
      </c>
    </row>
    <row r="1034" spans="1:20" x14ac:dyDescent="0.2">
      <c r="A1034" t="s">
        <v>3147</v>
      </c>
      <c r="B1034" t="s">
        <v>2022</v>
      </c>
      <c r="C1034" t="s">
        <v>2023</v>
      </c>
      <c r="D1034" t="s">
        <v>2024</v>
      </c>
      <c r="E1034" t="s">
        <v>3148</v>
      </c>
      <c r="F1034" t="s">
        <v>3149</v>
      </c>
      <c r="G1034">
        <v>4</v>
      </c>
      <c r="H1034">
        <v>1720</v>
      </c>
      <c r="I1034">
        <v>2</v>
      </c>
      <c r="J1034">
        <v>3.4</v>
      </c>
      <c r="K1034">
        <v>2</v>
      </c>
      <c r="L1034">
        <v>2.5999999999999999E-2</v>
      </c>
      <c r="M1034">
        <v>3</v>
      </c>
      <c r="N1034">
        <v>94</v>
      </c>
      <c r="O1034">
        <v>2</v>
      </c>
      <c r="P1034">
        <v>0.22500000000000001</v>
      </c>
      <c r="Q1034">
        <v>2</v>
      </c>
      <c r="R1034">
        <v>2E-3</v>
      </c>
      <c r="T1034" t="s">
        <v>3148</v>
      </c>
    </row>
    <row r="1035" spans="1:20" x14ac:dyDescent="0.2">
      <c r="A1035" t="s">
        <v>3150</v>
      </c>
      <c r="B1035" t="s">
        <v>2022</v>
      </c>
      <c r="C1035" t="s">
        <v>2036</v>
      </c>
      <c r="D1035" t="s">
        <v>2024</v>
      </c>
      <c r="E1035" t="s">
        <v>3151</v>
      </c>
      <c r="F1035" t="s">
        <v>3152</v>
      </c>
      <c r="G1035">
        <v>4</v>
      </c>
      <c r="H1035">
        <v>1840</v>
      </c>
      <c r="I1035">
        <v>1</v>
      </c>
      <c r="J1035">
        <v>2.2000000000000002</v>
      </c>
      <c r="K1035">
        <v>1</v>
      </c>
      <c r="L1035">
        <v>5.5E-2</v>
      </c>
      <c r="M1035">
        <v>5</v>
      </c>
      <c r="N1035">
        <v>100</v>
      </c>
      <c r="O1035">
        <v>1</v>
      </c>
      <c r="P1035">
        <v>9.5000000000000001E-2</v>
      </c>
      <c r="Q1035">
        <v>1</v>
      </c>
      <c r="R1035">
        <v>1.5E-3</v>
      </c>
      <c r="T1035" t="s">
        <v>3151</v>
      </c>
    </row>
    <row r="1036" spans="1:20" x14ac:dyDescent="0.2">
      <c r="A1036" t="s">
        <v>3153</v>
      </c>
      <c r="B1036" t="s">
        <v>2022</v>
      </c>
      <c r="C1036" t="s">
        <v>2023</v>
      </c>
      <c r="D1036" t="s">
        <v>2024</v>
      </c>
      <c r="E1036" t="s">
        <v>3154</v>
      </c>
      <c r="F1036" t="s">
        <v>447</v>
      </c>
      <c r="G1036">
        <v>2</v>
      </c>
      <c r="H1036">
        <v>1560</v>
      </c>
      <c r="I1036">
        <v>2</v>
      </c>
      <c r="J1036">
        <v>3.4</v>
      </c>
      <c r="K1036">
        <v>5</v>
      </c>
      <c r="L1036">
        <v>8.5999999999999993E-2</v>
      </c>
      <c r="M1036">
        <v>2</v>
      </c>
      <c r="N1036">
        <v>84</v>
      </c>
      <c r="O1036">
        <v>2</v>
      </c>
      <c r="P1036">
        <v>0.22500000000000001</v>
      </c>
      <c r="Q1036">
        <v>4</v>
      </c>
      <c r="R1036">
        <v>6.0000000000000001E-3</v>
      </c>
      <c r="T1036" t="s">
        <v>3154</v>
      </c>
    </row>
    <row r="1037" spans="1:20" x14ac:dyDescent="0.2">
      <c r="A1037" t="s">
        <v>3155</v>
      </c>
      <c r="B1037" t="s">
        <v>2022</v>
      </c>
      <c r="C1037" t="s">
        <v>2028</v>
      </c>
      <c r="D1037" t="s">
        <v>2024</v>
      </c>
      <c r="E1037" t="s">
        <v>3156</v>
      </c>
      <c r="F1037" t="s">
        <v>3157</v>
      </c>
      <c r="G1037">
        <v>4</v>
      </c>
      <c r="H1037">
        <v>1250</v>
      </c>
      <c r="I1037">
        <v>2</v>
      </c>
      <c r="J1037">
        <v>1.55</v>
      </c>
      <c r="K1037">
        <v>2</v>
      </c>
      <c r="L1037">
        <v>4.4999999999999998E-2</v>
      </c>
      <c r="M1037">
        <v>3</v>
      </c>
      <c r="N1037">
        <v>300</v>
      </c>
      <c r="O1037">
        <v>1</v>
      </c>
      <c r="P1037">
        <v>0.15</v>
      </c>
      <c r="Q1037">
        <v>2</v>
      </c>
      <c r="R1037">
        <v>7.7499999999999999E-3</v>
      </c>
      <c r="T1037" t="s">
        <v>3156</v>
      </c>
    </row>
    <row r="1038" spans="1:20" x14ac:dyDescent="0.2">
      <c r="A1038" t="s">
        <v>3158</v>
      </c>
      <c r="B1038" t="s">
        <v>2022</v>
      </c>
      <c r="C1038" t="s">
        <v>2023</v>
      </c>
      <c r="D1038" t="s">
        <v>2136</v>
      </c>
      <c r="E1038" t="s">
        <v>273</v>
      </c>
      <c r="F1038" t="s">
        <v>3159</v>
      </c>
      <c r="G1038">
        <v>1</v>
      </c>
      <c r="H1038">
        <v>1480</v>
      </c>
      <c r="I1038">
        <v>2</v>
      </c>
      <c r="J1038">
        <v>3.4</v>
      </c>
      <c r="K1038">
        <v>5</v>
      </c>
      <c r="L1038">
        <v>8.5999999999999993E-2</v>
      </c>
      <c r="M1038">
        <v>1</v>
      </c>
      <c r="N1038">
        <v>74</v>
      </c>
      <c r="O1038">
        <v>2</v>
      </c>
      <c r="P1038">
        <v>0.22500000000000001</v>
      </c>
      <c r="Q1038">
        <v>5</v>
      </c>
      <c r="R1038">
        <v>8.0000000000000002E-3</v>
      </c>
      <c r="T1038" t="s">
        <v>273</v>
      </c>
    </row>
    <row r="1039" spans="1:20" x14ac:dyDescent="0.2">
      <c r="A1039" t="s">
        <v>3160</v>
      </c>
      <c r="B1039" t="s">
        <v>2022</v>
      </c>
      <c r="C1039" t="s">
        <v>2028</v>
      </c>
      <c r="D1039" t="s">
        <v>2136</v>
      </c>
      <c r="E1039" t="s">
        <v>357</v>
      </c>
      <c r="F1039" t="s">
        <v>447</v>
      </c>
      <c r="G1039">
        <v>5</v>
      </c>
      <c r="H1039">
        <v>1450</v>
      </c>
      <c r="I1039">
        <v>2</v>
      </c>
      <c r="J1039">
        <v>1.55</v>
      </c>
      <c r="K1039">
        <v>2</v>
      </c>
      <c r="L1039">
        <v>4.4999999999999998E-2</v>
      </c>
      <c r="M1039">
        <v>1</v>
      </c>
      <c r="N1039">
        <v>100</v>
      </c>
      <c r="O1039">
        <v>1</v>
      </c>
      <c r="P1039">
        <v>0.15</v>
      </c>
      <c r="Q1039">
        <v>1</v>
      </c>
      <c r="R1039">
        <v>1.75E-3</v>
      </c>
      <c r="T1039" t="s">
        <v>357</v>
      </c>
    </row>
    <row r="1040" spans="1:20" x14ac:dyDescent="0.2">
      <c r="A1040" t="s">
        <v>3161</v>
      </c>
      <c r="B1040" t="s">
        <v>2022</v>
      </c>
      <c r="C1040" t="s">
        <v>2023</v>
      </c>
      <c r="D1040" t="s">
        <v>2154</v>
      </c>
      <c r="E1040" t="s">
        <v>3162</v>
      </c>
      <c r="F1040" t="s">
        <v>3163</v>
      </c>
      <c r="G1040">
        <v>2</v>
      </c>
      <c r="H1040">
        <v>1560</v>
      </c>
      <c r="I1040">
        <v>2</v>
      </c>
      <c r="J1040">
        <v>3.4</v>
      </c>
      <c r="K1040">
        <v>5</v>
      </c>
      <c r="L1040">
        <v>8.5999999999999993E-2</v>
      </c>
      <c r="M1040">
        <v>1</v>
      </c>
      <c r="N1040">
        <v>74</v>
      </c>
      <c r="O1040">
        <v>1</v>
      </c>
      <c r="P1040">
        <v>7.4999999999999997E-2</v>
      </c>
      <c r="Q1040">
        <v>3</v>
      </c>
      <c r="R1040">
        <v>4.0000000000000001E-3</v>
      </c>
      <c r="T1040" t="s">
        <v>3162</v>
      </c>
    </row>
    <row r="1041" spans="1:20" x14ac:dyDescent="0.2">
      <c r="A1041" t="s">
        <v>3164</v>
      </c>
      <c r="B1041" t="s">
        <v>2022</v>
      </c>
      <c r="C1041" t="s">
        <v>2101</v>
      </c>
      <c r="D1041" t="s">
        <v>2024</v>
      </c>
      <c r="E1041" t="s">
        <v>3165</v>
      </c>
      <c r="F1041" t="s">
        <v>3166</v>
      </c>
      <c r="G1041">
        <v>3</v>
      </c>
      <c r="H1041">
        <v>1770</v>
      </c>
      <c r="I1041">
        <v>5</v>
      </c>
      <c r="J1041">
        <v>14</v>
      </c>
      <c r="K1041">
        <v>5</v>
      </c>
      <c r="L1041">
        <v>0.53749999999999998</v>
      </c>
      <c r="M1041">
        <v>2</v>
      </c>
      <c r="N1041">
        <v>74</v>
      </c>
      <c r="O1041">
        <v>5</v>
      </c>
      <c r="P1041">
        <v>0.67500000000000004</v>
      </c>
      <c r="Q1041">
        <v>5</v>
      </c>
      <c r="R1041">
        <v>2.5499999999999998E-2</v>
      </c>
      <c r="T1041" t="s">
        <v>3165</v>
      </c>
    </row>
    <row r="1042" spans="1:20" x14ac:dyDescent="0.2">
      <c r="A1042" t="s">
        <v>3167</v>
      </c>
      <c r="B1042" t="s">
        <v>2022</v>
      </c>
      <c r="C1042" t="s">
        <v>2053</v>
      </c>
      <c r="D1042" t="s">
        <v>2024</v>
      </c>
      <c r="E1042" t="s">
        <v>3168</v>
      </c>
      <c r="F1042" t="s">
        <v>447</v>
      </c>
      <c r="G1042">
        <v>1</v>
      </c>
      <c r="H1042">
        <v>1500</v>
      </c>
      <c r="I1042">
        <v>2</v>
      </c>
      <c r="J1042">
        <v>4.05</v>
      </c>
      <c r="K1042">
        <v>2</v>
      </c>
      <c r="L1042">
        <v>8.5000000000000006E-2</v>
      </c>
      <c r="M1042">
        <v>2</v>
      </c>
      <c r="N1042">
        <v>83</v>
      </c>
      <c r="O1042">
        <v>3</v>
      </c>
      <c r="P1042">
        <v>0.375</v>
      </c>
      <c r="Q1042">
        <v>2</v>
      </c>
      <c r="R1042">
        <v>5.1999999999999998E-3</v>
      </c>
      <c r="T1042" t="s">
        <v>3168</v>
      </c>
    </row>
    <row r="1043" spans="1:20" x14ac:dyDescent="0.2">
      <c r="A1043" t="s">
        <v>3169</v>
      </c>
      <c r="B1043" t="s">
        <v>2022</v>
      </c>
      <c r="C1043" t="s">
        <v>2023</v>
      </c>
      <c r="D1043" t="s">
        <v>2024</v>
      </c>
      <c r="E1043" t="s">
        <v>3170</v>
      </c>
      <c r="F1043" t="s">
        <v>3171</v>
      </c>
      <c r="G1043">
        <v>1</v>
      </c>
      <c r="H1043">
        <v>1480</v>
      </c>
      <c r="I1043">
        <v>3</v>
      </c>
      <c r="J1043">
        <v>5.9</v>
      </c>
      <c r="K1043">
        <v>5</v>
      </c>
      <c r="L1043">
        <v>8.5999999999999993E-2</v>
      </c>
      <c r="M1043">
        <v>1</v>
      </c>
      <c r="N1043">
        <v>74</v>
      </c>
      <c r="O1043">
        <v>3</v>
      </c>
      <c r="P1043">
        <v>0.375</v>
      </c>
      <c r="Q1043">
        <v>5</v>
      </c>
      <c r="R1043">
        <v>8.0000000000000002E-3</v>
      </c>
      <c r="T1043" t="s">
        <v>3170</v>
      </c>
    </row>
    <row r="1044" spans="1:20" x14ac:dyDescent="0.2">
      <c r="A1044" t="s">
        <v>3172</v>
      </c>
      <c r="B1044" t="s">
        <v>2022</v>
      </c>
      <c r="C1044" t="s">
        <v>2023</v>
      </c>
      <c r="D1044" t="s">
        <v>2024</v>
      </c>
      <c r="E1044" t="s">
        <v>3173</v>
      </c>
      <c r="F1044" t="s">
        <v>3174</v>
      </c>
      <c r="G1044">
        <v>1</v>
      </c>
      <c r="H1044">
        <v>1480</v>
      </c>
      <c r="I1044">
        <v>1</v>
      </c>
      <c r="J1044">
        <v>0.9</v>
      </c>
      <c r="K1044">
        <v>1</v>
      </c>
      <c r="L1044">
        <v>6.0000000000000001E-3</v>
      </c>
      <c r="M1044">
        <v>2</v>
      </c>
      <c r="N1044">
        <v>84</v>
      </c>
      <c r="O1044">
        <v>1</v>
      </c>
      <c r="P1044">
        <v>7.4999999999999997E-2</v>
      </c>
      <c r="Q1044">
        <v>1</v>
      </c>
      <c r="R1044">
        <v>5.0000000000000001E-4</v>
      </c>
      <c r="T1044" t="s">
        <v>3173</v>
      </c>
    </row>
    <row r="1045" spans="1:20" x14ac:dyDescent="0.2">
      <c r="A1045" t="s">
        <v>3175</v>
      </c>
      <c r="B1045" t="s">
        <v>2022</v>
      </c>
      <c r="C1045" t="s">
        <v>2104</v>
      </c>
      <c r="D1045" t="s">
        <v>2024</v>
      </c>
      <c r="E1045" t="s">
        <v>3176</v>
      </c>
      <c r="F1045" t="s">
        <v>3177</v>
      </c>
      <c r="G1045">
        <v>2</v>
      </c>
      <c r="H1045">
        <v>1712.5</v>
      </c>
      <c r="I1045">
        <v>1</v>
      </c>
      <c r="J1045">
        <v>0.95</v>
      </c>
      <c r="K1045">
        <v>2</v>
      </c>
      <c r="L1045">
        <v>4.1000000000000002E-2</v>
      </c>
      <c r="M1045">
        <v>2</v>
      </c>
      <c r="N1045">
        <v>65</v>
      </c>
      <c r="P1045">
        <v>0</v>
      </c>
      <c r="Q1045">
        <v>1</v>
      </c>
      <c r="R1045">
        <v>3.5E-4</v>
      </c>
      <c r="T1045" t="s">
        <v>3176</v>
      </c>
    </row>
    <row r="1046" spans="1:20" x14ac:dyDescent="0.2">
      <c r="A1046" t="s">
        <v>3178</v>
      </c>
      <c r="B1046" t="s">
        <v>2022</v>
      </c>
      <c r="C1046" t="s">
        <v>2023</v>
      </c>
      <c r="D1046" t="s">
        <v>2024</v>
      </c>
      <c r="E1046" t="s">
        <v>3179</v>
      </c>
      <c r="F1046" t="s">
        <v>3180</v>
      </c>
      <c r="G1046">
        <v>4</v>
      </c>
      <c r="H1046">
        <v>1720</v>
      </c>
      <c r="I1046">
        <v>2</v>
      </c>
      <c r="J1046">
        <v>3.4</v>
      </c>
      <c r="K1046">
        <v>5</v>
      </c>
      <c r="L1046">
        <v>8.5999999999999993E-2</v>
      </c>
      <c r="M1046">
        <v>3</v>
      </c>
      <c r="N1046">
        <v>94</v>
      </c>
      <c r="O1046">
        <v>2</v>
      </c>
      <c r="P1046">
        <v>0.22500000000000001</v>
      </c>
      <c r="Q1046">
        <v>5</v>
      </c>
      <c r="R1046">
        <v>8.0000000000000002E-3</v>
      </c>
      <c r="T1046" t="s">
        <v>3179</v>
      </c>
    </row>
    <row r="1047" spans="1:20" x14ac:dyDescent="0.2">
      <c r="A1047" t="s">
        <v>3181</v>
      </c>
      <c r="B1047" t="s">
        <v>2022</v>
      </c>
      <c r="C1047" t="s">
        <v>2023</v>
      </c>
      <c r="D1047" t="s">
        <v>2024</v>
      </c>
      <c r="E1047" t="s">
        <v>3182</v>
      </c>
      <c r="F1047" t="s">
        <v>3183</v>
      </c>
      <c r="G1047">
        <v>3</v>
      </c>
      <c r="H1047">
        <v>1640</v>
      </c>
      <c r="I1047">
        <v>1</v>
      </c>
      <c r="J1047">
        <v>0.9</v>
      </c>
      <c r="K1047">
        <v>1</v>
      </c>
      <c r="L1047">
        <v>6.0000000000000001E-3</v>
      </c>
      <c r="M1047">
        <v>1</v>
      </c>
      <c r="N1047">
        <v>74</v>
      </c>
      <c r="O1047">
        <v>1</v>
      </c>
      <c r="P1047">
        <v>7.4999999999999997E-2</v>
      </c>
      <c r="Q1047">
        <v>1</v>
      </c>
      <c r="R1047">
        <v>5.0000000000000001E-4</v>
      </c>
      <c r="T1047" t="s">
        <v>3182</v>
      </c>
    </row>
    <row r="1048" spans="1:20" x14ac:dyDescent="0.2">
      <c r="A1048" t="s">
        <v>3184</v>
      </c>
      <c r="B1048" t="s">
        <v>2022</v>
      </c>
      <c r="C1048" t="s">
        <v>2023</v>
      </c>
      <c r="D1048" t="s">
        <v>2024</v>
      </c>
      <c r="E1048" t="s">
        <v>3185</v>
      </c>
      <c r="F1048" t="s">
        <v>3186</v>
      </c>
      <c r="G1048">
        <v>1</v>
      </c>
      <c r="H1048">
        <v>1480</v>
      </c>
      <c r="I1048">
        <v>1</v>
      </c>
      <c r="J1048">
        <v>0.9</v>
      </c>
      <c r="K1048">
        <v>1</v>
      </c>
      <c r="L1048">
        <v>6.0000000000000001E-3</v>
      </c>
      <c r="M1048">
        <v>3</v>
      </c>
      <c r="N1048">
        <v>94</v>
      </c>
      <c r="O1048">
        <v>1</v>
      </c>
      <c r="P1048">
        <v>7.4999999999999997E-2</v>
      </c>
      <c r="Q1048">
        <v>1</v>
      </c>
      <c r="R1048">
        <v>5.0000000000000001E-4</v>
      </c>
      <c r="T1048" t="s">
        <v>3185</v>
      </c>
    </row>
    <row r="1049" spans="1:20" x14ac:dyDescent="0.2">
      <c r="A1049" t="s">
        <v>3187</v>
      </c>
      <c r="B1049" t="s">
        <v>2022</v>
      </c>
      <c r="C1049" t="s">
        <v>2036</v>
      </c>
      <c r="D1049" t="s">
        <v>2024</v>
      </c>
      <c r="E1049" t="s">
        <v>3188</v>
      </c>
      <c r="F1049" t="s">
        <v>3189</v>
      </c>
      <c r="G1049">
        <v>2</v>
      </c>
      <c r="H1049">
        <v>1640</v>
      </c>
      <c r="I1049">
        <v>2</v>
      </c>
      <c r="J1049">
        <v>3.4</v>
      </c>
      <c r="K1049">
        <v>1</v>
      </c>
      <c r="L1049">
        <v>5.5E-2</v>
      </c>
      <c r="M1049">
        <v>2</v>
      </c>
      <c r="N1049">
        <v>82</v>
      </c>
      <c r="O1049">
        <v>1</v>
      </c>
      <c r="P1049">
        <v>9.5000000000000001E-2</v>
      </c>
      <c r="Q1049">
        <v>1</v>
      </c>
      <c r="R1049">
        <v>1.5E-3</v>
      </c>
      <c r="T1049" t="s">
        <v>3188</v>
      </c>
    </row>
    <row r="1050" spans="1:20" x14ac:dyDescent="0.2">
      <c r="A1050" t="s">
        <v>3190</v>
      </c>
      <c r="B1050" t="s">
        <v>2022</v>
      </c>
      <c r="C1050" t="s">
        <v>2036</v>
      </c>
      <c r="D1050" t="s">
        <v>2024</v>
      </c>
      <c r="E1050" t="s">
        <v>3191</v>
      </c>
      <c r="F1050" t="s">
        <v>3192</v>
      </c>
      <c r="G1050">
        <v>1</v>
      </c>
      <c r="H1050">
        <v>1540</v>
      </c>
      <c r="I1050">
        <v>1</v>
      </c>
      <c r="J1050">
        <v>2.2000000000000002</v>
      </c>
      <c r="K1050">
        <v>1</v>
      </c>
      <c r="L1050">
        <v>5.5E-2</v>
      </c>
      <c r="M1050">
        <v>2</v>
      </c>
      <c r="N1050">
        <v>82</v>
      </c>
      <c r="O1050">
        <v>1</v>
      </c>
      <c r="P1050">
        <v>9.5000000000000001E-2</v>
      </c>
      <c r="Q1050">
        <v>1</v>
      </c>
      <c r="R1050">
        <v>1.5E-3</v>
      </c>
      <c r="T1050" t="s">
        <v>3191</v>
      </c>
    </row>
    <row r="1051" spans="1:20" x14ac:dyDescent="0.2">
      <c r="A1051" t="s">
        <v>3193</v>
      </c>
      <c r="B1051" t="s">
        <v>2022</v>
      </c>
      <c r="C1051" t="s">
        <v>2036</v>
      </c>
      <c r="D1051" t="s">
        <v>2024</v>
      </c>
      <c r="E1051" t="s">
        <v>3194</v>
      </c>
      <c r="F1051" t="s">
        <v>3195</v>
      </c>
      <c r="G1051">
        <v>3</v>
      </c>
      <c r="H1051">
        <v>1740</v>
      </c>
      <c r="I1051">
        <v>1</v>
      </c>
      <c r="J1051">
        <v>2.2000000000000002</v>
      </c>
      <c r="K1051">
        <v>2</v>
      </c>
      <c r="L1051">
        <v>8.5000000000000006E-2</v>
      </c>
      <c r="M1051">
        <v>4</v>
      </c>
      <c r="N1051">
        <v>94</v>
      </c>
      <c r="O1051">
        <v>1</v>
      </c>
      <c r="P1051">
        <v>9.5000000000000001E-2</v>
      </c>
      <c r="Q1051">
        <v>2</v>
      </c>
      <c r="R1051">
        <v>4.2500000000000003E-3</v>
      </c>
      <c r="T1051" t="s">
        <v>3194</v>
      </c>
    </row>
    <row r="1052" spans="1:20" x14ac:dyDescent="0.2">
      <c r="A1052" t="s">
        <v>3196</v>
      </c>
      <c r="B1052" t="s">
        <v>2022</v>
      </c>
      <c r="C1052" t="s">
        <v>2101</v>
      </c>
      <c r="D1052" t="s">
        <v>2024</v>
      </c>
      <c r="E1052" t="s">
        <v>3197</v>
      </c>
      <c r="F1052" t="s">
        <v>3198</v>
      </c>
      <c r="G1052">
        <v>1</v>
      </c>
      <c r="H1052">
        <v>1570</v>
      </c>
      <c r="I1052">
        <v>1</v>
      </c>
      <c r="J1052">
        <v>2</v>
      </c>
      <c r="K1052">
        <v>1</v>
      </c>
      <c r="L1052">
        <v>1.15E-2</v>
      </c>
      <c r="M1052">
        <v>2</v>
      </c>
      <c r="N1052">
        <v>74</v>
      </c>
      <c r="O1052">
        <v>1</v>
      </c>
      <c r="P1052">
        <v>7.4999999999999997E-2</v>
      </c>
      <c r="Q1052">
        <v>1</v>
      </c>
      <c r="R1052">
        <v>5.0000000000000001E-4</v>
      </c>
      <c r="T1052" t="s">
        <v>3197</v>
      </c>
    </row>
    <row r="1053" spans="1:20" x14ac:dyDescent="0.2">
      <c r="A1053" t="s">
        <v>3199</v>
      </c>
      <c r="B1053" t="s">
        <v>2022</v>
      </c>
      <c r="C1053" t="s">
        <v>2023</v>
      </c>
      <c r="D1053" t="s">
        <v>2024</v>
      </c>
      <c r="E1053" t="s">
        <v>3200</v>
      </c>
      <c r="F1053" t="s">
        <v>3201</v>
      </c>
      <c r="G1053">
        <v>1</v>
      </c>
      <c r="H1053">
        <v>1480</v>
      </c>
      <c r="I1053">
        <v>2</v>
      </c>
      <c r="J1053">
        <v>3.4</v>
      </c>
      <c r="K1053">
        <v>2</v>
      </c>
      <c r="L1053">
        <v>2.5999999999999999E-2</v>
      </c>
      <c r="M1053">
        <v>2</v>
      </c>
      <c r="N1053">
        <v>84</v>
      </c>
      <c r="O1053">
        <v>2</v>
      </c>
      <c r="P1053">
        <v>0.22500000000000001</v>
      </c>
      <c r="Q1053">
        <v>1</v>
      </c>
      <c r="R1053">
        <v>5.0000000000000001E-4</v>
      </c>
      <c r="T1053" t="s">
        <v>3200</v>
      </c>
    </row>
    <row r="1054" spans="1:20" x14ac:dyDescent="0.2">
      <c r="A1054" t="s">
        <v>3202</v>
      </c>
      <c r="B1054" t="s">
        <v>2022</v>
      </c>
      <c r="C1054" t="s">
        <v>2036</v>
      </c>
      <c r="D1054" t="s">
        <v>2136</v>
      </c>
      <c r="E1054" t="s">
        <v>3203</v>
      </c>
      <c r="F1054" t="s">
        <v>3204</v>
      </c>
      <c r="G1054">
        <v>3</v>
      </c>
      <c r="H1054">
        <v>1740</v>
      </c>
      <c r="I1054">
        <v>1</v>
      </c>
      <c r="J1054">
        <v>2.2000000000000002</v>
      </c>
      <c r="K1054">
        <v>1</v>
      </c>
      <c r="L1054">
        <v>5.5E-2</v>
      </c>
      <c r="M1054">
        <v>3</v>
      </c>
      <c r="N1054">
        <v>88</v>
      </c>
      <c r="O1054">
        <v>1</v>
      </c>
      <c r="P1054">
        <v>9.5000000000000001E-2</v>
      </c>
      <c r="Q1054">
        <v>1</v>
      </c>
      <c r="R1054">
        <v>1.5E-3</v>
      </c>
      <c r="T1054" t="s">
        <v>3203</v>
      </c>
    </row>
    <row r="1055" spans="1:20" x14ac:dyDescent="0.2">
      <c r="A1055" t="s">
        <v>3205</v>
      </c>
      <c r="B1055" t="s">
        <v>2022</v>
      </c>
      <c r="C1055" t="s">
        <v>2053</v>
      </c>
      <c r="D1055" t="s">
        <v>2024</v>
      </c>
      <c r="E1055" t="s">
        <v>3206</v>
      </c>
      <c r="F1055" t="s">
        <v>3207</v>
      </c>
      <c r="G1055">
        <v>1</v>
      </c>
      <c r="H1055">
        <v>1500</v>
      </c>
      <c r="I1055">
        <v>2</v>
      </c>
      <c r="J1055">
        <v>4.05</v>
      </c>
      <c r="K1055">
        <v>1</v>
      </c>
      <c r="L1055">
        <v>1.4999999999999999E-2</v>
      </c>
      <c r="M1055">
        <v>1</v>
      </c>
      <c r="N1055">
        <v>73</v>
      </c>
      <c r="O1055">
        <v>1</v>
      </c>
      <c r="P1055">
        <v>7.4999999999999997E-2</v>
      </c>
      <c r="Q1055">
        <v>1</v>
      </c>
      <c r="R1055">
        <v>8.4999999999999995E-4</v>
      </c>
      <c r="T1055" t="s">
        <v>3206</v>
      </c>
    </row>
    <row r="1056" spans="1:20" x14ac:dyDescent="0.2">
      <c r="A1056" t="s">
        <v>3208</v>
      </c>
      <c r="B1056" t="s">
        <v>2022</v>
      </c>
      <c r="C1056" t="s">
        <v>2106</v>
      </c>
      <c r="D1056" t="s">
        <v>2024</v>
      </c>
      <c r="E1056" t="s">
        <v>3209</v>
      </c>
      <c r="F1056" t="s">
        <v>447</v>
      </c>
      <c r="G1056">
        <v>5</v>
      </c>
      <c r="H1056">
        <v>2275</v>
      </c>
      <c r="I1056">
        <v>3</v>
      </c>
      <c r="J1056">
        <v>8.25</v>
      </c>
      <c r="K1056">
        <v>5</v>
      </c>
      <c r="L1056">
        <v>0.3</v>
      </c>
      <c r="M1056">
        <v>1</v>
      </c>
      <c r="N1056">
        <v>61.5</v>
      </c>
      <c r="O1056">
        <v>2</v>
      </c>
      <c r="P1056">
        <v>0.15</v>
      </c>
      <c r="Q1056">
        <v>4</v>
      </c>
      <c r="R1056">
        <v>6.4999999999999997E-3</v>
      </c>
      <c r="T1056" t="s">
        <v>3209</v>
      </c>
    </row>
    <row r="1057" spans="1:20" x14ac:dyDescent="0.2">
      <c r="A1057" t="s">
        <v>3210</v>
      </c>
      <c r="B1057" t="s">
        <v>2022</v>
      </c>
      <c r="C1057" t="s">
        <v>2036</v>
      </c>
      <c r="D1057" t="s">
        <v>2024</v>
      </c>
      <c r="E1057" t="s">
        <v>3211</v>
      </c>
      <c r="F1057" t="s">
        <v>3212</v>
      </c>
      <c r="G1057">
        <v>5</v>
      </c>
      <c r="H1057">
        <v>1940</v>
      </c>
      <c r="I1057">
        <v>4</v>
      </c>
      <c r="J1057">
        <v>5.8</v>
      </c>
      <c r="K1057">
        <v>5</v>
      </c>
      <c r="L1057">
        <v>0.17499999999999999</v>
      </c>
      <c r="M1057">
        <v>5</v>
      </c>
      <c r="N1057">
        <v>100</v>
      </c>
      <c r="O1057">
        <v>4</v>
      </c>
      <c r="P1057">
        <v>0.42499999999999999</v>
      </c>
      <c r="Q1057">
        <v>5</v>
      </c>
      <c r="R1057">
        <v>1.2E-2</v>
      </c>
      <c r="T1057" t="s">
        <v>3211</v>
      </c>
    </row>
    <row r="1058" spans="1:20" x14ac:dyDescent="0.2">
      <c r="A1058" t="s">
        <v>3213</v>
      </c>
      <c r="B1058" t="s">
        <v>2022</v>
      </c>
      <c r="C1058" t="s">
        <v>2173</v>
      </c>
      <c r="D1058" t="s">
        <v>2024</v>
      </c>
      <c r="E1058" t="s">
        <v>312</v>
      </c>
      <c r="F1058" t="s">
        <v>447</v>
      </c>
      <c r="G1058">
        <v>2</v>
      </c>
      <c r="H1058">
        <v>1957.5</v>
      </c>
      <c r="I1058">
        <v>5</v>
      </c>
      <c r="J1058">
        <v>14.45</v>
      </c>
      <c r="K1058">
        <v>5</v>
      </c>
      <c r="L1058">
        <v>0.45</v>
      </c>
      <c r="M1058">
        <v>3</v>
      </c>
      <c r="N1058">
        <v>118.5</v>
      </c>
      <c r="O1058">
        <v>5</v>
      </c>
      <c r="P1058">
        <v>0.87</v>
      </c>
      <c r="Q1058">
        <v>5</v>
      </c>
      <c r="R1058">
        <v>2.58E-2</v>
      </c>
      <c r="T1058" t="s">
        <v>312</v>
      </c>
    </row>
    <row r="1059" spans="1:20" x14ac:dyDescent="0.2">
      <c r="A1059" t="s">
        <v>3214</v>
      </c>
      <c r="B1059" t="s">
        <v>2022</v>
      </c>
      <c r="C1059" t="s">
        <v>2053</v>
      </c>
      <c r="D1059" t="s">
        <v>2024</v>
      </c>
      <c r="E1059" t="s">
        <v>3215</v>
      </c>
      <c r="F1059" t="s">
        <v>3216</v>
      </c>
      <c r="G1059">
        <v>2</v>
      </c>
      <c r="H1059">
        <v>1600</v>
      </c>
      <c r="I1059">
        <v>2</v>
      </c>
      <c r="J1059">
        <v>4.05</v>
      </c>
      <c r="K1059">
        <v>1</v>
      </c>
      <c r="L1059">
        <v>1.4999999999999999E-2</v>
      </c>
      <c r="M1059">
        <v>1</v>
      </c>
      <c r="N1059">
        <v>73</v>
      </c>
      <c r="O1059">
        <v>2</v>
      </c>
      <c r="P1059">
        <v>0.22500000000000001</v>
      </c>
      <c r="Q1059">
        <v>1</v>
      </c>
      <c r="R1059">
        <v>8.4999999999999995E-4</v>
      </c>
      <c r="T1059" t="s">
        <v>3215</v>
      </c>
    </row>
    <row r="1060" spans="1:20" x14ac:dyDescent="0.2">
      <c r="A1060" t="s">
        <v>3217</v>
      </c>
      <c r="B1060" t="s">
        <v>2022</v>
      </c>
      <c r="C1060" t="s">
        <v>2023</v>
      </c>
      <c r="D1060" t="s">
        <v>2024</v>
      </c>
      <c r="E1060" t="s">
        <v>3218</v>
      </c>
      <c r="F1060" t="s">
        <v>3219</v>
      </c>
      <c r="G1060">
        <v>4</v>
      </c>
      <c r="H1060">
        <v>1720</v>
      </c>
      <c r="I1060">
        <v>4</v>
      </c>
      <c r="J1060">
        <v>8.4</v>
      </c>
      <c r="K1060">
        <v>5</v>
      </c>
      <c r="L1060">
        <v>8.5999999999999993E-2</v>
      </c>
      <c r="M1060">
        <v>3</v>
      </c>
      <c r="N1060">
        <v>94</v>
      </c>
      <c r="O1060">
        <v>3</v>
      </c>
      <c r="P1060">
        <v>0.375</v>
      </c>
      <c r="Q1060">
        <v>5</v>
      </c>
      <c r="R1060">
        <v>8.0000000000000002E-3</v>
      </c>
      <c r="T1060" t="s">
        <v>3218</v>
      </c>
    </row>
    <row r="1061" spans="1:20" x14ac:dyDescent="0.2">
      <c r="A1061" t="s">
        <v>3220</v>
      </c>
      <c r="B1061" t="s">
        <v>2022</v>
      </c>
      <c r="C1061" t="s">
        <v>2173</v>
      </c>
      <c r="D1061" t="s">
        <v>2024</v>
      </c>
      <c r="E1061" t="s">
        <v>3221</v>
      </c>
      <c r="F1061" t="s">
        <v>3222</v>
      </c>
      <c r="G1061">
        <v>3</v>
      </c>
      <c r="H1061">
        <v>2032.5</v>
      </c>
      <c r="I1061">
        <v>2</v>
      </c>
      <c r="J1061">
        <v>6.35</v>
      </c>
      <c r="K1061">
        <v>2</v>
      </c>
      <c r="L1061">
        <v>0.09</v>
      </c>
      <c r="M1061">
        <v>4</v>
      </c>
      <c r="N1061">
        <v>129.5</v>
      </c>
      <c r="O1061">
        <v>2</v>
      </c>
      <c r="P1061">
        <v>0.33</v>
      </c>
      <c r="Q1061">
        <v>2</v>
      </c>
      <c r="R1061">
        <v>4.7999999999999996E-3</v>
      </c>
      <c r="T1061" t="s">
        <v>3221</v>
      </c>
    </row>
    <row r="1062" spans="1:20" x14ac:dyDescent="0.2">
      <c r="A1062" t="s">
        <v>3223</v>
      </c>
      <c r="B1062" t="s">
        <v>2022</v>
      </c>
      <c r="C1062" t="s">
        <v>2023</v>
      </c>
      <c r="D1062" t="s">
        <v>2024</v>
      </c>
      <c r="E1062" t="s">
        <v>3224</v>
      </c>
      <c r="F1062" t="s">
        <v>3225</v>
      </c>
      <c r="G1062">
        <v>5</v>
      </c>
      <c r="H1062">
        <v>1800</v>
      </c>
      <c r="I1062">
        <v>3</v>
      </c>
      <c r="J1062">
        <v>5.9</v>
      </c>
      <c r="K1062">
        <v>2</v>
      </c>
      <c r="L1062">
        <v>2.5999999999999999E-2</v>
      </c>
      <c r="M1062">
        <v>2</v>
      </c>
      <c r="N1062">
        <v>84</v>
      </c>
      <c r="O1062">
        <v>3</v>
      </c>
      <c r="P1062">
        <v>0.375</v>
      </c>
      <c r="Q1062">
        <v>1</v>
      </c>
      <c r="R1062">
        <v>5.0000000000000001E-4</v>
      </c>
      <c r="T1062" t="s">
        <v>3224</v>
      </c>
    </row>
    <row r="1063" spans="1:20" x14ac:dyDescent="0.2">
      <c r="A1063" t="s">
        <v>3226</v>
      </c>
      <c r="B1063" t="s">
        <v>2022</v>
      </c>
      <c r="C1063" t="s">
        <v>2023</v>
      </c>
      <c r="D1063" t="s">
        <v>2024</v>
      </c>
      <c r="E1063" t="s">
        <v>3227</v>
      </c>
      <c r="F1063" t="s">
        <v>3228</v>
      </c>
      <c r="G1063">
        <v>3</v>
      </c>
      <c r="H1063">
        <v>1640</v>
      </c>
      <c r="I1063">
        <v>2</v>
      </c>
      <c r="J1063">
        <v>3.4</v>
      </c>
      <c r="K1063">
        <v>5</v>
      </c>
      <c r="L1063">
        <v>8.5999999999999993E-2</v>
      </c>
      <c r="M1063">
        <v>1</v>
      </c>
      <c r="N1063">
        <v>74</v>
      </c>
      <c r="O1063">
        <v>2</v>
      </c>
      <c r="P1063">
        <v>0.22500000000000001</v>
      </c>
      <c r="Q1063">
        <v>3</v>
      </c>
      <c r="R1063">
        <v>4.0000000000000001E-3</v>
      </c>
      <c r="T1063" t="s">
        <v>3227</v>
      </c>
    </row>
    <row r="1064" spans="1:20" x14ac:dyDescent="0.2">
      <c r="A1064" t="s">
        <v>3229</v>
      </c>
      <c r="B1064" t="s">
        <v>2022</v>
      </c>
      <c r="C1064" t="s">
        <v>2095</v>
      </c>
      <c r="D1064" t="s">
        <v>2024</v>
      </c>
      <c r="E1064" t="s">
        <v>3230</v>
      </c>
      <c r="F1064" t="s">
        <v>447</v>
      </c>
      <c r="G1064">
        <v>1</v>
      </c>
      <c r="H1064">
        <v>1565</v>
      </c>
      <c r="I1064">
        <v>1</v>
      </c>
      <c r="J1064">
        <v>4.5</v>
      </c>
      <c r="K1064">
        <v>1</v>
      </c>
      <c r="L1064">
        <v>1.4999999999999999E-2</v>
      </c>
      <c r="M1064">
        <v>1</v>
      </c>
      <c r="N1064">
        <v>74</v>
      </c>
      <c r="O1064">
        <v>1</v>
      </c>
      <c r="P1064">
        <v>0.15</v>
      </c>
      <c r="Q1064">
        <v>1</v>
      </c>
      <c r="R1064">
        <v>6.9999999999999999E-4</v>
      </c>
      <c r="T1064" t="s">
        <v>3230</v>
      </c>
    </row>
    <row r="1065" spans="1:20" x14ac:dyDescent="0.2">
      <c r="A1065" t="s">
        <v>3231</v>
      </c>
      <c r="B1065" t="s">
        <v>2022</v>
      </c>
      <c r="C1065" t="s">
        <v>2036</v>
      </c>
      <c r="D1065" t="s">
        <v>2024</v>
      </c>
      <c r="E1065" t="s">
        <v>3232</v>
      </c>
      <c r="F1065" t="s">
        <v>3233</v>
      </c>
      <c r="G1065">
        <v>5</v>
      </c>
      <c r="H1065">
        <v>1940</v>
      </c>
      <c r="I1065">
        <v>5</v>
      </c>
      <c r="J1065">
        <v>7</v>
      </c>
      <c r="K1065">
        <v>5</v>
      </c>
      <c r="L1065">
        <v>0.17499999999999999</v>
      </c>
      <c r="M1065">
        <v>5</v>
      </c>
      <c r="N1065">
        <v>100</v>
      </c>
      <c r="O1065">
        <v>4</v>
      </c>
      <c r="P1065">
        <v>0.42499999999999999</v>
      </c>
      <c r="Q1065">
        <v>5</v>
      </c>
      <c r="R1065">
        <v>1.2E-2</v>
      </c>
      <c r="T1065" t="s">
        <v>3232</v>
      </c>
    </row>
    <row r="1066" spans="1:20" x14ac:dyDescent="0.2">
      <c r="A1066" t="s">
        <v>3234</v>
      </c>
      <c r="B1066" t="s">
        <v>2022</v>
      </c>
      <c r="C1066" t="s">
        <v>2036</v>
      </c>
      <c r="D1066" t="s">
        <v>2024</v>
      </c>
      <c r="E1066" t="s">
        <v>3235</v>
      </c>
      <c r="F1066" t="s">
        <v>3236</v>
      </c>
      <c r="G1066">
        <v>2</v>
      </c>
      <c r="H1066">
        <v>1640</v>
      </c>
      <c r="I1066">
        <v>2</v>
      </c>
      <c r="J1066">
        <v>3.4</v>
      </c>
      <c r="K1066">
        <v>3</v>
      </c>
      <c r="L1066">
        <v>0.115</v>
      </c>
      <c r="M1066">
        <v>2</v>
      </c>
      <c r="N1066">
        <v>82</v>
      </c>
      <c r="O1066">
        <v>2</v>
      </c>
      <c r="P1066">
        <v>0.20499999999999999</v>
      </c>
      <c r="Q1066">
        <v>2</v>
      </c>
      <c r="R1066">
        <v>4.2500000000000003E-3</v>
      </c>
      <c r="T1066" t="s">
        <v>3235</v>
      </c>
    </row>
    <row r="1067" spans="1:20" x14ac:dyDescent="0.2">
      <c r="A1067" t="s">
        <v>3237</v>
      </c>
      <c r="B1067" t="s">
        <v>2022</v>
      </c>
      <c r="C1067" t="s">
        <v>2023</v>
      </c>
      <c r="D1067" t="s">
        <v>2024</v>
      </c>
      <c r="E1067" t="s">
        <v>3238</v>
      </c>
      <c r="F1067" t="s">
        <v>3239</v>
      </c>
      <c r="G1067">
        <v>1</v>
      </c>
      <c r="H1067">
        <v>1480</v>
      </c>
      <c r="I1067">
        <v>2</v>
      </c>
      <c r="J1067">
        <v>3.4</v>
      </c>
      <c r="K1067">
        <v>2</v>
      </c>
      <c r="L1067">
        <v>2.5999999999999999E-2</v>
      </c>
      <c r="M1067">
        <v>1</v>
      </c>
      <c r="N1067">
        <v>74</v>
      </c>
      <c r="O1067">
        <v>1</v>
      </c>
      <c r="P1067">
        <v>7.4999999999999997E-2</v>
      </c>
      <c r="Q1067">
        <v>2</v>
      </c>
      <c r="R1067">
        <v>2E-3</v>
      </c>
      <c r="T1067" t="s">
        <v>3238</v>
      </c>
    </row>
    <row r="1068" spans="1:20" x14ac:dyDescent="0.2">
      <c r="A1068" t="s">
        <v>3240</v>
      </c>
      <c r="B1068" t="s">
        <v>2022</v>
      </c>
      <c r="C1068" t="s">
        <v>2023</v>
      </c>
      <c r="D1068" t="s">
        <v>2024</v>
      </c>
      <c r="E1068" t="s">
        <v>3241</v>
      </c>
      <c r="F1068" t="s">
        <v>3242</v>
      </c>
      <c r="G1068">
        <v>5</v>
      </c>
      <c r="H1068">
        <v>1800</v>
      </c>
      <c r="I1068">
        <v>5</v>
      </c>
      <c r="J1068">
        <v>10.9</v>
      </c>
      <c r="K1068">
        <v>5</v>
      </c>
      <c r="L1068">
        <v>8.5999999999999993E-2</v>
      </c>
      <c r="M1068">
        <v>3</v>
      </c>
      <c r="N1068">
        <v>94</v>
      </c>
      <c r="O1068">
        <v>5</v>
      </c>
      <c r="P1068">
        <v>0.67500000000000004</v>
      </c>
      <c r="Q1068">
        <v>5</v>
      </c>
      <c r="R1068">
        <v>8.0000000000000002E-3</v>
      </c>
      <c r="T1068" t="s">
        <v>3241</v>
      </c>
    </row>
    <row r="1069" spans="1:20" x14ac:dyDescent="0.2">
      <c r="A1069" t="s">
        <v>3243</v>
      </c>
      <c r="B1069" t="s">
        <v>2022</v>
      </c>
      <c r="C1069" t="s">
        <v>2023</v>
      </c>
      <c r="D1069" t="s">
        <v>2024</v>
      </c>
      <c r="E1069" t="s">
        <v>3244</v>
      </c>
      <c r="F1069" t="s">
        <v>3245</v>
      </c>
      <c r="G1069">
        <v>2</v>
      </c>
      <c r="H1069">
        <v>1560</v>
      </c>
      <c r="I1069">
        <v>1</v>
      </c>
      <c r="J1069">
        <v>0.9</v>
      </c>
      <c r="K1069">
        <v>1</v>
      </c>
      <c r="L1069">
        <v>6.0000000000000001E-3</v>
      </c>
      <c r="M1069">
        <v>3</v>
      </c>
      <c r="N1069">
        <v>94</v>
      </c>
      <c r="O1069">
        <v>1</v>
      </c>
      <c r="P1069">
        <v>7.4999999999999997E-2</v>
      </c>
      <c r="Q1069">
        <v>1</v>
      </c>
      <c r="R1069">
        <v>5.0000000000000001E-4</v>
      </c>
      <c r="T1069" t="s">
        <v>3244</v>
      </c>
    </row>
    <row r="1070" spans="1:20" x14ac:dyDescent="0.2">
      <c r="A1070" t="s">
        <v>3246</v>
      </c>
      <c r="B1070" t="s">
        <v>2022</v>
      </c>
      <c r="C1070" t="s">
        <v>2036</v>
      </c>
      <c r="D1070" t="s">
        <v>2024</v>
      </c>
      <c r="E1070" t="s">
        <v>3247</v>
      </c>
      <c r="F1070" t="s">
        <v>3248</v>
      </c>
      <c r="G1070">
        <v>2</v>
      </c>
      <c r="H1070">
        <v>1640</v>
      </c>
      <c r="I1070">
        <v>2</v>
      </c>
      <c r="J1070">
        <v>3.4</v>
      </c>
      <c r="K1070">
        <v>3</v>
      </c>
      <c r="L1070">
        <v>0.115</v>
      </c>
      <c r="M1070">
        <v>2</v>
      </c>
      <c r="N1070">
        <v>82</v>
      </c>
      <c r="O1070">
        <v>1</v>
      </c>
      <c r="P1070">
        <v>9.5000000000000001E-2</v>
      </c>
      <c r="Q1070">
        <v>3</v>
      </c>
      <c r="R1070">
        <v>6.7499999999999999E-3</v>
      </c>
      <c r="T1070" t="s">
        <v>3247</v>
      </c>
    </row>
    <row r="1071" spans="1:20" x14ac:dyDescent="0.2">
      <c r="A1071" t="s">
        <v>3249</v>
      </c>
      <c r="B1071" t="s">
        <v>2022</v>
      </c>
      <c r="C1071" t="s">
        <v>2049</v>
      </c>
      <c r="D1071" t="s">
        <v>2024</v>
      </c>
      <c r="E1071" t="s">
        <v>3250</v>
      </c>
      <c r="F1071" t="s">
        <v>3251</v>
      </c>
      <c r="G1071">
        <v>2</v>
      </c>
      <c r="H1071">
        <v>1450</v>
      </c>
      <c r="I1071">
        <v>3</v>
      </c>
      <c r="J1071">
        <v>5</v>
      </c>
      <c r="K1071">
        <v>2</v>
      </c>
      <c r="L1071">
        <v>0.06</v>
      </c>
      <c r="M1071">
        <v>1</v>
      </c>
      <c r="N1071">
        <v>86</v>
      </c>
      <c r="O1071">
        <v>2</v>
      </c>
      <c r="P1071">
        <v>0.26</v>
      </c>
      <c r="Q1071">
        <v>1</v>
      </c>
      <c r="R1071">
        <v>8.4999999999999995E-4</v>
      </c>
      <c r="T1071" t="s">
        <v>3250</v>
      </c>
    </row>
    <row r="1072" spans="1:20" x14ac:dyDescent="0.2">
      <c r="A1072" t="s">
        <v>3252</v>
      </c>
      <c r="B1072" t="s">
        <v>2022</v>
      </c>
      <c r="C1072" t="s">
        <v>2101</v>
      </c>
      <c r="D1072" t="s">
        <v>2024</v>
      </c>
      <c r="E1072" t="s">
        <v>3253</v>
      </c>
      <c r="F1072" t="s">
        <v>3254</v>
      </c>
      <c r="G1072">
        <v>4</v>
      </c>
      <c r="H1072">
        <v>1870</v>
      </c>
      <c r="I1072">
        <v>5</v>
      </c>
      <c r="J1072">
        <v>14</v>
      </c>
      <c r="K1072">
        <v>4</v>
      </c>
      <c r="L1072">
        <v>0.39050000000000001</v>
      </c>
      <c r="M1072">
        <v>3</v>
      </c>
      <c r="N1072">
        <v>82</v>
      </c>
      <c r="O1072">
        <v>5</v>
      </c>
      <c r="P1072">
        <v>0.67500000000000004</v>
      </c>
      <c r="Q1072">
        <v>4</v>
      </c>
      <c r="R1072">
        <v>1.8499999999999999E-2</v>
      </c>
      <c r="T1072" t="s">
        <v>3253</v>
      </c>
    </row>
    <row r="1073" spans="1:20" x14ac:dyDescent="0.2">
      <c r="A1073" t="s">
        <v>3255</v>
      </c>
      <c r="B1073" t="s">
        <v>2022</v>
      </c>
      <c r="C1073" t="s">
        <v>2101</v>
      </c>
      <c r="D1073" t="s">
        <v>2024</v>
      </c>
      <c r="E1073" t="s">
        <v>3256</v>
      </c>
      <c r="F1073" t="s">
        <v>3257</v>
      </c>
      <c r="G1073">
        <v>2</v>
      </c>
      <c r="H1073">
        <v>1670</v>
      </c>
      <c r="I1073">
        <v>1</v>
      </c>
      <c r="J1073">
        <v>2</v>
      </c>
      <c r="K1073">
        <v>1</v>
      </c>
      <c r="L1073">
        <v>1.15E-2</v>
      </c>
      <c r="M1073">
        <v>2</v>
      </c>
      <c r="N1073">
        <v>74</v>
      </c>
      <c r="O1073">
        <v>1</v>
      </c>
      <c r="P1073">
        <v>7.4999999999999997E-2</v>
      </c>
      <c r="Q1073">
        <v>1</v>
      </c>
      <c r="R1073">
        <v>5.0000000000000001E-4</v>
      </c>
      <c r="T1073" t="s">
        <v>3256</v>
      </c>
    </row>
    <row r="1074" spans="1:20" x14ac:dyDescent="0.2">
      <c r="A1074" t="s">
        <v>3258</v>
      </c>
      <c r="B1074" t="s">
        <v>2022</v>
      </c>
      <c r="C1074" t="s">
        <v>2023</v>
      </c>
      <c r="D1074" t="s">
        <v>2024</v>
      </c>
      <c r="E1074" t="s">
        <v>3259</v>
      </c>
      <c r="F1074" t="s">
        <v>3260</v>
      </c>
      <c r="G1074">
        <v>3</v>
      </c>
      <c r="H1074">
        <v>1640</v>
      </c>
      <c r="I1074">
        <v>3</v>
      </c>
      <c r="J1074">
        <v>5.9</v>
      </c>
      <c r="K1074">
        <v>5</v>
      </c>
      <c r="L1074">
        <v>8.5999999999999993E-2</v>
      </c>
      <c r="M1074">
        <v>5</v>
      </c>
      <c r="N1074">
        <v>114</v>
      </c>
      <c r="O1074">
        <v>3</v>
      </c>
      <c r="P1074">
        <v>0.375</v>
      </c>
      <c r="Q1074">
        <v>5</v>
      </c>
      <c r="R1074">
        <v>8.0000000000000002E-3</v>
      </c>
      <c r="T1074" t="s">
        <v>3259</v>
      </c>
    </row>
    <row r="1075" spans="1:20" x14ac:dyDescent="0.2">
      <c r="A1075" t="s">
        <v>3261</v>
      </c>
      <c r="B1075" t="s">
        <v>2022</v>
      </c>
      <c r="C1075" t="s">
        <v>2023</v>
      </c>
      <c r="D1075" t="s">
        <v>2024</v>
      </c>
      <c r="E1075" t="s">
        <v>3262</v>
      </c>
      <c r="F1075" t="s">
        <v>3263</v>
      </c>
      <c r="G1075">
        <v>4</v>
      </c>
      <c r="H1075">
        <v>1720</v>
      </c>
      <c r="I1075">
        <v>1</v>
      </c>
      <c r="J1075">
        <v>0.9</v>
      </c>
      <c r="K1075">
        <v>1</v>
      </c>
      <c r="L1075">
        <v>6.0000000000000001E-3</v>
      </c>
      <c r="M1075">
        <v>4</v>
      </c>
      <c r="N1075">
        <v>104</v>
      </c>
      <c r="O1075">
        <v>1</v>
      </c>
      <c r="P1075">
        <v>7.4999999999999997E-2</v>
      </c>
      <c r="Q1075">
        <v>1</v>
      </c>
      <c r="R1075">
        <v>5.0000000000000001E-4</v>
      </c>
      <c r="T1075" t="s">
        <v>3262</v>
      </c>
    </row>
    <row r="1076" spans="1:20" x14ac:dyDescent="0.2">
      <c r="A1076" t="s">
        <v>3264</v>
      </c>
      <c r="B1076" t="s">
        <v>2022</v>
      </c>
      <c r="C1076" t="s">
        <v>2049</v>
      </c>
      <c r="D1076" t="s">
        <v>2024</v>
      </c>
      <c r="E1076" t="s">
        <v>3265</v>
      </c>
      <c r="F1076" t="s">
        <v>3266</v>
      </c>
      <c r="G1076">
        <v>5</v>
      </c>
      <c r="H1076">
        <v>1750</v>
      </c>
      <c r="I1076">
        <v>2</v>
      </c>
      <c r="J1076">
        <v>3.2</v>
      </c>
      <c r="K1076">
        <v>2</v>
      </c>
      <c r="L1076">
        <v>0.06</v>
      </c>
      <c r="M1076">
        <v>5</v>
      </c>
      <c r="N1076">
        <v>166</v>
      </c>
      <c r="O1076">
        <v>2</v>
      </c>
      <c r="P1076">
        <v>0.26</v>
      </c>
      <c r="Q1076">
        <v>2</v>
      </c>
      <c r="R1076">
        <v>6.1999999999999998E-3</v>
      </c>
      <c r="T1076" t="s">
        <v>3265</v>
      </c>
    </row>
    <row r="1077" spans="1:20" x14ac:dyDescent="0.2">
      <c r="A1077" t="s">
        <v>3267</v>
      </c>
      <c r="B1077" t="s">
        <v>2022</v>
      </c>
      <c r="C1077" t="s">
        <v>2036</v>
      </c>
      <c r="D1077" t="s">
        <v>2024</v>
      </c>
      <c r="E1077" t="s">
        <v>3268</v>
      </c>
      <c r="F1077" t="s">
        <v>3269</v>
      </c>
      <c r="G1077">
        <v>1</v>
      </c>
      <c r="H1077">
        <v>1540</v>
      </c>
      <c r="I1077">
        <v>1</v>
      </c>
      <c r="J1077">
        <v>2.2000000000000002</v>
      </c>
      <c r="K1077">
        <v>1</v>
      </c>
      <c r="L1077">
        <v>5.5E-2</v>
      </c>
      <c r="M1077">
        <v>1</v>
      </c>
      <c r="N1077">
        <v>76</v>
      </c>
      <c r="O1077">
        <v>1</v>
      </c>
      <c r="P1077">
        <v>9.5000000000000001E-2</v>
      </c>
      <c r="Q1077">
        <v>2</v>
      </c>
      <c r="R1077">
        <v>4.2500000000000003E-3</v>
      </c>
      <c r="T1077" t="s">
        <v>3268</v>
      </c>
    </row>
    <row r="1078" spans="1:20" x14ac:dyDescent="0.2">
      <c r="A1078" t="s">
        <v>3270</v>
      </c>
      <c r="B1078" t="s">
        <v>2022</v>
      </c>
      <c r="C1078" t="s">
        <v>2173</v>
      </c>
      <c r="D1078" t="s">
        <v>2024</v>
      </c>
      <c r="E1078" t="s">
        <v>3271</v>
      </c>
      <c r="F1078" t="s">
        <v>3272</v>
      </c>
      <c r="G1078">
        <v>3</v>
      </c>
      <c r="H1078">
        <v>2032.5</v>
      </c>
      <c r="I1078">
        <v>3</v>
      </c>
      <c r="J1078">
        <v>9.0500000000000007</v>
      </c>
      <c r="K1078">
        <v>3</v>
      </c>
      <c r="L1078">
        <v>0.21</v>
      </c>
      <c r="M1078">
        <v>2</v>
      </c>
      <c r="N1078">
        <v>107.5</v>
      </c>
      <c r="O1078">
        <v>3</v>
      </c>
      <c r="P1078">
        <v>0.51</v>
      </c>
      <c r="Q1078">
        <v>3</v>
      </c>
      <c r="R1078">
        <v>1.18E-2</v>
      </c>
      <c r="T1078" t="s">
        <v>3271</v>
      </c>
    </row>
    <row r="1079" spans="1:20" x14ac:dyDescent="0.2">
      <c r="A1079" t="s">
        <v>3273</v>
      </c>
      <c r="B1079" t="s">
        <v>2022</v>
      </c>
      <c r="C1079" t="s">
        <v>2053</v>
      </c>
      <c r="D1079" t="s">
        <v>2024</v>
      </c>
      <c r="E1079" t="s">
        <v>3274</v>
      </c>
      <c r="F1079" t="s">
        <v>3275</v>
      </c>
      <c r="G1079">
        <v>2</v>
      </c>
      <c r="H1079">
        <v>1600</v>
      </c>
      <c r="I1079">
        <v>2</v>
      </c>
      <c r="J1079">
        <v>4.05</v>
      </c>
      <c r="K1079">
        <v>3</v>
      </c>
      <c r="L1079">
        <v>0.19500000000000001</v>
      </c>
      <c r="M1079">
        <v>2</v>
      </c>
      <c r="N1079">
        <v>83</v>
      </c>
      <c r="O1079">
        <v>2</v>
      </c>
      <c r="P1079">
        <v>0.22500000000000001</v>
      </c>
      <c r="Q1079">
        <v>2</v>
      </c>
      <c r="R1079">
        <v>5.1999999999999998E-3</v>
      </c>
      <c r="T1079" t="s">
        <v>3274</v>
      </c>
    </row>
    <row r="1080" spans="1:20" x14ac:dyDescent="0.2">
      <c r="A1080" t="s">
        <v>3276</v>
      </c>
      <c r="B1080" t="s">
        <v>2022</v>
      </c>
      <c r="C1080" t="s">
        <v>2036</v>
      </c>
      <c r="D1080" t="s">
        <v>2024</v>
      </c>
      <c r="E1080" t="s">
        <v>3277</v>
      </c>
      <c r="F1080" t="s">
        <v>3278</v>
      </c>
      <c r="G1080">
        <v>2</v>
      </c>
      <c r="H1080">
        <v>1640</v>
      </c>
      <c r="I1080">
        <v>4</v>
      </c>
      <c r="J1080">
        <v>5.8</v>
      </c>
      <c r="K1080">
        <v>4</v>
      </c>
      <c r="L1080">
        <v>0.14499999999999999</v>
      </c>
      <c r="M1080">
        <v>2</v>
      </c>
      <c r="N1080">
        <v>82</v>
      </c>
      <c r="O1080">
        <v>3</v>
      </c>
      <c r="P1080">
        <v>0.315</v>
      </c>
      <c r="Q1080">
        <v>3</v>
      </c>
      <c r="R1080">
        <v>6.7499999999999999E-3</v>
      </c>
      <c r="T1080" t="s">
        <v>3277</v>
      </c>
    </row>
    <row r="1081" spans="1:20" x14ac:dyDescent="0.2">
      <c r="A1081" t="s">
        <v>3279</v>
      </c>
      <c r="B1081" t="s">
        <v>2022</v>
      </c>
      <c r="C1081" t="s">
        <v>2023</v>
      </c>
      <c r="D1081" t="s">
        <v>2154</v>
      </c>
      <c r="E1081" t="s">
        <v>3280</v>
      </c>
      <c r="F1081" t="s">
        <v>3281</v>
      </c>
      <c r="G1081">
        <v>2</v>
      </c>
      <c r="H1081">
        <v>1560</v>
      </c>
      <c r="I1081">
        <v>1</v>
      </c>
      <c r="J1081">
        <v>0.9</v>
      </c>
      <c r="K1081">
        <v>2</v>
      </c>
      <c r="L1081">
        <v>2.5999999999999999E-2</v>
      </c>
      <c r="M1081">
        <v>4</v>
      </c>
      <c r="N1081">
        <v>104</v>
      </c>
      <c r="O1081">
        <v>1</v>
      </c>
      <c r="P1081">
        <v>7.4999999999999997E-2</v>
      </c>
      <c r="Q1081">
        <v>2</v>
      </c>
      <c r="R1081">
        <v>2E-3</v>
      </c>
      <c r="T1081" t="s">
        <v>3280</v>
      </c>
    </row>
    <row r="1082" spans="1:20" x14ac:dyDescent="0.2">
      <c r="A1082" t="s">
        <v>3282</v>
      </c>
      <c r="B1082" t="s">
        <v>2022</v>
      </c>
      <c r="C1082" t="s">
        <v>2053</v>
      </c>
      <c r="D1082" t="s">
        <v>2024</v>
      </c>
      <c r="E1082" t="s">
        <v>266</v>
      </c>
      <c r="F1082" t="s">
        <v>3283</v>
      </c>
      <c r="G1082">
        <v>2</v>
      </c>
      <c r="H1082">
        <v>1600</v>
      </c>
      <c r="I1082">
        <v>1</v>
      </c>
      <c r="J1082">
        <v>1.55</v>
      </c>
      <c r="K1082">
        <v>1</v>
      </c>
      <c r="L1082">
        <v>1.4999999999999999E-2</v>
      </c>
      <c r="M1082">
        <v>2</v>
      </c>
      <c r="N1082">
        <v>83</v>
      </c>
      <c r="O1082">
        <v>1</v>
      </c>
      <c r="P1082">
        <v>7.4999999999999997E-2</v>
      </c>
      <c r="Q1082">
        <v>1</v>
      </c>
      <c r="R1082">
        <v>8.4999999999999995E-4</v>
      </c>
      <c r="T1082" t="s">
        <v>266</v>
      </c>
    </row>
    <row r="1083" spans="1:20" x14ac:dyDescent="0.2">
      <c r="A1083" t="s">
        <v>3284</v>
      </c>
      <c r="B1083" t="s">
        <v>2022</v>
      </c>
      <c r="C1083" t="s">
        <v>2104</v>
      </c>
      <c r="D1083" t="s">
        <v>2024</v>
      </c>
      <c r="E1083" t="s">
        <v>3285</v>
      </c>
      <c r="F1083" t="s">
        <v>3286</v>
      </c>
      <c r="G1083">
        <v>4</v>
      </c>
      <c r="H1083">
        <v>2062.5</v>
      </c>
      <c r="I1083">
        <v>1</v>
      </c>
      <c r="J1083">
        <v>0.95</v>
      </c>
      <c r="K1083">
        <v>2</v>
      </c>
      <c r="L1083">
        <v>4.1000000000000002E-2</v>
      </c>
      <c r="M1083">
        <v>4</v>
      </c>
      <c r="N1083">
        <v>81</v>
      </c>
      <c r="P1083">
        <v>0</v>
      </c>
      <c r="Q1083">
        <v>2</v>
      </c>
      <c r="R1083">
        <v>3.2000000000000002E-3</v>
      </c>
      <c r="T1083" t="s">
        <v>3285</v>
      </c>
    </row>
    <row r="1084" spans="1:20" x14ac:dyDescent="0.2">
      <c r="A1084" t="s">
        <v>3287</v>
      </c>
      <c r="B1084" t="s">
        <v>2022</v>
      </c>
      <c r="C1084" t="s">
        <v>2101</v>
      </c>
      <c r="D1084" t="s">
        <v>2024</v>
      </c>
      <c r="E1084" t="s">
        <v>3285</v>
      </c>
      <c r="F1084" t="s">
        <v>3286</v>
      </c>
      <c r="G1084">
        <v>3</v>
      </c>
      <c r="H1084">
        <v>1770</v>
      </c>
      <c r="I1084">
        <v>1</v>
      </c>
      <c r="J1084">
        <v>2</v>
      </c>
      <c r="K1084">
        <v>1</v>
      </c>
      <c r="L1084">
        <v>1.15E-2</v>
      </c>
      <c r="M1084">
        <v>2</v>
      </c>
      <c r="N1084">
        <v>74</v>
      </c>
      <c r="O1084">
        <v>1</v>
      </c>
      <c r="P1084">
        <v>7.4999999999999997E-2</v>
      </c>
      <c r="Q1084">
        <v>1</v>
      </c>
      <c r="R1084">
        <v>5.0000000000000001E-4</v>
      </c>
      <c r="T1084" t="s">
        <v>3285</v>
      </c>
    </row>
    <row r="1085" spans="1:20" x14ac:dyDescent="0.2">
      <c r="A1085" t="s">
        <v>3288</v>
      </c>
      <c r="B1085" t="s">
        <v>2022</v>
      </c>
      <c r="C1085" t="s">
        <v>2023</v>
      </c>
      <c r="D1085" t="s">
        <v>2024</v>
      </c>
      <c r="E1085" t="s">
        <v>3285</v>
      </c>
      <c r="F1085" t="s">
        <v>3286</v>
      </c>
      <c r="G1085">
        <v>1</v>
      </c>
      <c r="H1085">
        <v>1480</v>
      </c>
      <c r="I1085">
        <v>1</v>
      </c>
      <c r="J1085">
        <v>0.9</v>
      </c>
      <c r="K1085">
        <v>2</v>
      </c>
      <c r="L1085">
        <v>2.5999999999999999E-2</v>
      </c>
      <c r="M1085">
        <v>1</v>
      </c>
      <c r="N1085">
        <v>74</v>
      </c>
      <c r="O1085">
        <v>1</v>
      </c>
      <c r="P1085">
        <v>7.4999999999999997E-2</v>
      </c>
      <c r="Q1085">
        <v>2</v>
      </c>
      <c r="R1085">
        <v>2E-3</v>
      </c>
      <c r="T1085" t="s">
        <v>3285</v>
      </c>
    </row>
    <row r="1086" spans="1:20" x14ac:dyDescent="0.2">
      <c r="A1086" t="s">
        <v>3289</v>
      </c>
      <c r="B1086" t="s">
        <v>2022</v>
      </c>
      <c r="C1086" t="s">
        <v>2173</v>
      </c>
      <c r="D1086" t="s">
        <v>2024</v>
      </c>
      <c r="E1086" t="s">
        <v>3290</v>
      </c>
      <c r="F1086" t="s">
        <v>3291</v>
      </c>
      <c r="G1086">
        <v>5</v>
      </c>
      <c r="H1086">
        <v>2182.5</v>
      </c>
      <c r="I1086">
        <v>4</v>
      </c>
      <c r="J1086">
        <v>11.75</v>
      </c>
      <c r="K1086">
        <v>4</v>
      </c>
      <c r="L1086">
        <v>0.33</v>
      </c>
      <c r="M1086">
        <v>5</v>
      </c>
      <c r="N1086">
        <v>140.5</v>
      </c>
      <c r="O1086">
        <v>4</v>
      </c>
      <c r="P1086">
        <v>0.69</v>
      </c>
      <c r="Q1086">
        <v>4</v>
      </c>
      <c r="R1086">
        <v>1.8800000000000001E-2</v>
      </c>
      <c r="T1086" t="s">
        <v>3290</v>
      </c>
    </row>
    <row r="1087" spans="1:20" x14ac:dyDescent="0.2">
      <c r="A1087" t="s">
        <v>3292</v>
      </c>
      <c r="B1087" t="s">
        <v>2022</v>
      </c>
      <c r="C1087" t="s">
        <v>2053</v>
      </c>
      <c r="D1087" t="s">
        <v>2024</v>
      </c>
      <c r="E1087" t="s">
        <v>3293</v>
      </c>
      <c r="F1087" t="s">
        <v>3294</v>
      </c>
      <c r="G1087">
        <v>5</v>
      </c>
      <c r="H1087">
        <v>1900</v>
      </c>
      <c r="I1087">
        <v>5</v>
      </c>
      <c r="J1087">
        <v>11.55</v>
      </c>
      <c r="K1087">
        <v>5</v>
      </c>
      <c r="L1087">
        <v>0.41499999999999998</v>
      </c>
      <c r="M1087">
        <v>4</v>
      </c>
      <c r="N1087">
        <v>103</v>
      </c>
      <c r="O1087">
        <v>5</v>
      </c>
      <c r="P1087">
        <v>0.67500000000000004</v>
      </c>
      <c r="Q1087">
        <v>5</v>
      </c>
      <c r="R1087">
        <v>2.6200000000000001E-2</v>
      </c>
      <c r="T1087" t="s">
        <v>3293</v>
      </c>
    </row>
    <row r="1088" spans="1:20" x14ac:dyDescent="0.2">
      <c r="A1088" t="s">
        <v>3295</v>
      </c>
      <c r="B1088" t="s">
        <v>2022</v>
      </c>
      <c r="C1088" t="s">
        <v>2023</v>
      </c>
      <c r="D1088" t="s">
        <v>2154</v>
      </c>
      <c r="E1088" t="s">
        <v>3296</v>
      </c>
      <c r="F1088" t="s">
        <v>3297</v>
      </c>
      <c r="G1088">
        <v>2</v>
      </c>
      <c r="H1088">
        <v>1560</v>
      </c>
      <c r="I1088">
        <v>2</v>
      </c>
      <c r="J1088">
        <v>3.4</v>
      </c>
      <c r="K1088">
        <v>2</v>
      </c>
      <c r="L1088">
        <v>2.5999999999999999E-2</v>
      </c>
      <c r="M1088">
        <v>1</v>
      </c>
      <c r="N1088">
        <v>74</v>
      </c>
      <c r="O1088">
        <v>2</v>
      </c>
      <c r="P1088">
        <v>0.22500000000000001</v>
      </c>
      <c r="Q1088">
        <v>1</v>
      </c>
      <c r="R1088">
        <v>5.0000000000000001E-4</v>
      </c>
      <c r="T1088" t="s">
        <v>3296</v>
      </c>
    </row>
    <row r="1089" spans="1:20" x14ac:dyDescent="0.2">
      <c r="A1089" t="s">
        <v>3298</v>
      </c>
      <c r="B1089" t="s">
        <v>2022</v>
      </c>
      <c r="C1089" t="s">
        <v>2036</v>
      </c>
      <c r="D1089" t="s">
        <v>2024</v>
      </c>
      <c r="E1089" t="s">
        <v>3299</v>
      </c>
      <c r="F1089" t="s">
        <v>3300</v>
      </c>
      <c r="G1089">
        <v>4</v>
      </c>
      <c r="H1089">
        <v>1840</v>
      </c>
      <c r="I1089">
        <v>5</v>
      </c>
      <c r="J1089">
        <v>7</v>
      </c>
      <c r="K1089">
        <v>5</v>
      </c>
      <c r="L1089">
        <v>0.17499999999999999</v>
      </c>
      <c r="M1089">
        <v>3</v>
      </c>
      <c r="N1089">
        <v>88</v>
      </c>
      <c r="O1089">
        <v>5</v>
      </c>
      <c r="P1089">
        <v>0.53500000000000003</v>
      </c>
      <c r="Q1089">
        <v>5</v>
      </c>
      <c r="R1089">
        <v>1.2E-2</v>
      </c>
      <c r="T1089" t="s">
        <v>3299</v>
      </c>
    </row>
    <row r="1090" spans="1:20" x14ac:dyDescent="0.2">
      <c r="A1090" t="s">
        <v>3301</v>
      </c>
      <c r="B1090" t="s">
        <v>2022</v>
      </c>
      <c r="C1090" t="s">
        <v>2023</v>
      </c>
      <c r="D1090" t="s">
        <v>2154</v>
      </c>
      <c r="E1090" t="s">
        <v>3302</v>
      </c>
      <c r="F1090" t="s">
        <v>3303</v>
      </c>
      <c r="G1090">
        <v>3</v>
      </c>
      <c r="H1090">
        <v>1640</v>
      </c>
      <c r="I1090">
        <v>3</v>
      </c>
      <c r="J1090">
        <v>5.9</v>
      </c>
      <c r="K1090">
        <v>2</v>
      </c>
      <c r="L1090">
        <v>2.5999999999999999E-2</v>
      </c>
      <c r="M1090">
        <v>2</v>
      </c>
      <c r="N1090">
        <v>84</v>
      </c>
      <c r="O1090">
        <v>3</v>
      </c>
      <c r="P1090">
        <v>0.375</v>
      </c>
      <c r="Q1090">
        <v>1</v>
      </c>
      <c r="R1090">
        <v>5.0000000000000001E-4</v>
      </c>
      <c r="T1090" t="s">
        <v>3302</v>
      </c>
    </row>
    <row r="1091" spans="1:20" x14ac:dyDescent="0.2">
      <c r="A1091" t="s">
        <v>3304</v>
      </c>
      <c r="B1091" t="s">
        <v>2022</v>
      </c>
      <c r="C1091" t="s">
        <v>2023</v>
      </c>
      <c r="D1091" t="s">
        <v>2154</v>
      </c>
      <c r="E1091" t="s">
        <v>3305</v>
      </c>
      <c r="F1091" t="s">
        <v>3306</v>
      </c>
      <c r="G1091">
        <v>3</v>
      </c>
      <c r="H1091">
        <v>1640</v>
      </c>
      <c r="I1091">
        <v>4</v>
      </c>
      <c r="J1091">
        <v>8.4</v>
      </c>
      <c r="K1091">
        <v>2</v>
      </c>
      <c r="L1091">
        <v>2.5999999999999999E-2</v>
      </c>
      <c r="M1091">
        <v>2</v>
      </c>
      <c r="N1091">
        <v>84</v>
      </c>
      <c r="O1091">
        <v>3</v>
      </c>
      <c r="P1091">
        <v>0.375</v>
      </c>
      <c r="Q1091">
        <v>2</v>
      </c>
      <c r="R1091">
        <v>2E-3</v>
      </c>
      <c r="T1091" t="s">
        <v>3305</v>
      </c>
    </row>
    <row r="1092" spans="1:20" x14ac:dyDescent="0.2">
      <c r="A1092" t="s">
        <v>3307</v>
      </c>
      <c r="B1092" t="s">
        <v>2022</v>
      </c>
      <c r="C1092" t="s">
        <v>2036</v>
      </c>
      <c r="D1092" t="s">
        <v>2024</v>
      </c>
      <c r="E1092" t="s">
        <v>3308</v>
      </c>
      <c r="F1092" t="s">
        <v>3309</v>
      </c>
      <c r="G1092">
        <v>5</v>
      </c>
      <c r="H1092">
        <v>1940</v>
      </c>
      <c r="I1092">
        <v>1</v>
      </c>
      <c r="J1092">
        <v>2.2000000000000002</v>
      </c>
      <c r="K1092">
        <v>2</v>
      </c>
      <c r="L1092">
        <v>8.5000000000000006E-2</v>
      </c>
      <c r="M1092">
        <v>4</v>
      </c>
      <c r="N1092">
        <v>94</v>
      </c>
      <c r="O1092">
        <v>1</v>
      </c>
      <c r="P1092">
        <v>9.5000000000000001E-2</v>
      </c>
      <c r="Q1092">
        <v>2</v>
      </c>
      <c r="R1092">
        <v>4.2500000000000003E-3</v>
      </c>
      <c r="T1092" t="s">
        <v>3308</v>
      </c>
    </row>
    <row r="1093" spans="1:20" x14ac:dyDescent="0.2">
      <c r="A1093" t="s">
        <v>3310</v>
      </c>
      <c r="B1093" t="s">
        <v>2022</v>
      </c>
      <c r="C1093" t="s">
        <v>2023</v>
      </c>
      <c r="D1093" t="s">
        <v>2024</v>
      </c>
      <c r="E1093" t="s">
        <v>357</v>
      </c>
      <c r="F1093" t="s">
        <v>3311</v>
      </c>
      <c r="G1093">
        <v>2</v>
      </c>
      <c r="H1093">
        <v>1560</v>
      </c>
      <c r="I1093">
        <v>2</v>
      </c>
      <c r="J1093">
        <v>3.4</v>
      </c>
      <c r="K1093">
        <v>2</v>
      </c>
      <c r="L1093">
        <v>2.5999999999999999E-2</v>
      </c>
      <c r="M1093">
        <v>1</v>
      </c>
      <c r="N1093">
        <v>74</v>
      </c>
      <c r="O1093">
        <v>1</v>
      </c>
      <c r="P1093">
        <v>7.4999999999999997E-2</v>
      </c>
      <c r="Q1093">
        <v>1</v>
      </c>
      <c r="R1093">
        <v>5.0000000000000001E-4</v>
      </c>
      <c r="T1093" t="s">
        <v>357</v>
      </c>
    </row>
    <row r="1094" spans="1:20" x14ac:dyDescent="0.2">
      <c r="A1094" t="s">
        <v>3312</v>
      </c>
      <c r="B1094" t="s">
        <v>2022</v>
      </c>
      <c r="C1094" t="s">
        <v>2053</v>
      </c>
      <c r="D1094" t="s">
        <v>2024</v>
      </c>
      <c r="E1094" t="s">
        <v>3313</v>
      </c>
      <c r="F1094" t="s">
        <v>3314</v>
      </c>
      <c r="G1094">
        <v>2</v>
      </c>
      <c r="H1094">
        <v>1600</v>
      </c>
      <c r="I1094">
        <v>1</v>
      </c>
      <c r="J1094">
        <v>1.55</v>
      </c>
      <c r="K1094">
        <v>1</v>
      </c>
      <c r="L1094">
        <v>1.4999999999999999E-2</v>
      </c>
      <c r="M1094">
        <v>3</v>
      </c>
      <c r="N1094">
        <v>93</v>
      </c>
      <c r="O1094">
        <v>1</v>
      </c>
      <c r="P1094">
        <v>7.4999999999999997E-2</v>
      </c>
      <c r="Q1094">
        <v>1</v>
      </c>
      <c r="R1094">
        <v>8.4999999999999995E-4</v>
      </c>
      <c r="T1094" t="s">
        <v>3313</v>
      </c>
    </row>
    <row r="1095" spans="1:20" x14ac:dyDescent="0.2">
      <c r="A1095" t="s">
        <v>3315</v>
      </c>
      <c r="B1095" t="s">
        <v>2022</v>
      </c>
      <c r="C1095" t="s">
        <v>2023</v>
      </c>
      <c r="D1095" t="s">
        <v>2024</v>
      </c>
      <c r="E1095" t="s">
        <v>357</v>
      </c>
      <c r="F1095" t="s">
        <v>447</v>
      </c>
      <c r="G1095">
        <v>1</v>
      </c>
      <c r="H1095">
        <v>1480</v>
      </c>
      <c r="I1095">
        <v>3</v>
      </c>
      <c r="J1095">
        <v>5.9</v>
      </c>
      <c r="K1095">
        <v>2</v>
      </c>
      <c r="L1095">
        <v>2.5999999999999999E-2</v>
      </c>
      <c r="M1095">
        <v>5</v>
      </c>
      <c r="N1095">
        <v>114</v>
      </c>
      <c r="O1095">
        <v>5</v>
      </c>
      <c r="P1095">
        <v>0.67500000000000004</v>
      </c>
      <c r="Q1095">
        <v>5</v>
      </c>
      <c r="R1095">
        <v>8.0000000000000002E-3</v>
      </c>
      <c r="T1095" t="s">
        <v>357</v>
      </c>
    </row>
    <row r="1096" spans="1:20" x14ac:dyDescent="0.2">
      <c r="A1096" t="s">
        <v>3316</v>
      </c>
      <c r="B1096" t="s">
        <v>2022</v>
      </c>
      <c r="C1096" t="s">
        <v>2053</v>
      </c>
      <c r="D1096" t="s">
        <v>2024</v>
      </c>
      <c r="E1096" t="s">
        <v>3317</v>
      </c>
      <c r="F1096" t="s">
        <v>3318</v>
      </c>
      <c r="G1096">
        <v>3</v>
      </c>
      <c r="H1096">
        <v>1700</v>
      </c>
      <c r="I1096">
        <v>1</v>
      </c>
      <c r="J1096">
        <v>1.55</v>
      </c>
      <c r="K1096">
        <v>2</v>
      </c>
      <c r="L1096">
        <v>8.5000000000000006E-2</v>
      </c>
      <c r="M1096">
        <v>1</v>
      </c>
      <c r="N1096">
        <v>73</v>
      </c>
      <c r="O1096">
        <v>1</v>
      </c>
      <c r="P1096">
        <v>7.4999999999999997E-2</v>
      </c>
      <c r="Q1096">
        <v>1</v>
      </c>
      <c r="R1096">
        <v>8.4999999999999995E-4</v>
      </c>
      <c r="T1096" t="s">
        <v>3317</v>
      </c>
    </row>
    <row r="1097" spans="1:20" x14ac:dyDescent="0.2">
      <c r="A1097" t="s">
        <v>3319</v>
      </c>
      <c r="B1097" t="s">
        <v>2022</v>
      </c>
      <c r="C1097" t="s">
        <v>2023</v>
      </c>
      <c r="D1097" t="s">
        <v>2024</v>
      </c>
      <c r="E1097" t="s">
        <v>3320</v>
      </c>
      <c r="G1097">
        <v>4</v>
      </c>
      <c r="H1097">
        <v>1720</v>
      </c>
      <c r="I1097">
        <v>3</v>
      </c>
      <c r="J1097">
        <v>5.9</v>
      </c>
      <c r="K1097">
        <v>5</v>
      </c>
      <c r="L1097">
        <v>8.5999999999999993E-2</v>
      </c>
      <c r="M1097">
        <v>4</v>
      </c>
      <c r="N1097">
        <v>104</v>
      </c>
      <c r="O1097">
        <v>3</v>
      </c>
      <c r="P1097">
        <v>0.375</v>
      </c>
      <c r="Q1097">
        <v>5</v>
      </c>
      <c r="R1097">
        <v>8.0000000000000002E-3</v>
      </c>
      <c r="T1097" t="s">
        <v>3320</v>
      </c>
    </row>
    <row r="1098" spans="1:20" x14ac:dyDescent="0.2">
      <c r="A1098" t="s">
        <v>3321</v>
      </c>
      <c r="B1098" t="s">
        <v>2022</v>
      </c>
      <c r="C1098" t="s">
        <v>2023</v>
      </c>
      <c r="D1098" t="s">
        <v>2024</v>
      </c>
      <c r="E1098" t="s">
        <v>3322</v>
      </c>
      <c r="F1098" t="s">
        <v>3323</v>
      </c>
      <c r="G1098">
        <v>2</v>
      </c>
      <c r="H1098">
        <v>1560</v>
      </c>
      <c r="I1098">
        <v>2</v>
      </c>
      <c r="J1098">
        <v>3.4</v>
      </c>
      <c r="K1098">
        <v>1</v>
      </c>
      <c r="L1098">
        <v>6.0000000000000001E-3</v>
      </c>
      <c r="M1098">
        <v>2</v>
      </c>
      <c r="N1098">
        <v>84</v>
      </c>
      <c r="O1098">
        <v>1</v>
      </c>
      <c r="P1098">
        <v>7.4999999999999997E-2</v>
      </c>
      <c r="Q1098">
        <v>1</v>
      </c>
      <c r="R1098">
        <v>5.0000000000000001E-4</v>
      </c>
      <c r="T1098" t="s">
        <v>3322</v>
      </c>
    </row>
    <row r="1099" spans="1:20" x14ac:dyDescent="0.2">
      <c r="A1099" t="s">
        <v>3324</v>
      </c>
      <c r="B1099" t="s">
        <v>2022</v>
      </c>
      <c r="C1099" t="s">
        <v>2023</v>
      </c>
      <c r="D1099" t="s">
        <v>2024</v>
      </c>
      <c r="E1099" t="s">
        <v>3325</v>
      </c>
      <c r="F1099" t="s">
        <v>3326</v>
      </c>
      <c r="G1099">
        <v>2</v>
      </c>
      <c r="H1099">
        <v>1560</v>
      </c>
      <c r="I1099">
        <v>2</v>
      </c>
      <c r="J1099">
        <v>3.4</v>
      </c>
      <c r="K1099">
        <v>2</v>
      </c>
      <c r="L1099">
        <v>2.5999999999999999E-2</v>
      </c>
      <c r="M1099">
        <v>4</v>
      </c>
      <c r="N1099">
        <v>104</v>
      </c>
      <c r="O1099">
        <v>2</v>
      </c>
      <c r="P1099">
        <v>0.22500000000000001</v>
      </c>
      <c r="Q1099">
        <v>2</v>
      </c>
      <c r="R1099">
        <v>2E-3</v>
      </c>
      <c r="T1099" t="s">
        <v>3325</v>
      </c>
    </row>
    <row r="1100" spans="1:20" x14ac:dyDescent="0.2">
      <c r="A1100" t="s">
        <v>3327</v>
      </c>
      <c r="B1100" t="s">
        <v>2022</v>
      </c>
      <c r="C1100" t="s">
        <v>2023</v>
      </c>
      <c r="D1100" t="s">
        <v>2024</v>
      </c>
      <c r="E1100" t="s">
        <v>3328</v>
      </c>
      <c r="F1100" t="s">
        <v>3329</v>
      </c>
      <c r="G1100">
        <v>5</v>
      </c>
      <c r="H1100">
        <v>1800</v>
      </c>
      <c r="I1100">
        <v>4</v>
      </c>
      <c r="J1100">
        <v>8.4</v>
      </c>
      <c r="K1100">
        <v>5</v>
      </c>
      <c r="L1100">
        <v>8.5999999999999993E-2</v>
      </c>
      <c r="M1100">
        <v>3</v>
      </c>
      <c r="N1100">
        <v>94</v>
      </c>
      <c r="O1100">
        <v>3</v>
      </c>
      <c r="P1100">
        <v>0.375</v>
      </c>
      <c r="Q1100">
        <v>5</v>
      </c>
      <c r="R1100">
        <v>8.0000000000000002E-3</v>
      </c>
      <c r="T1100" t="s">
        <v>3328</v>
      </c>
    </row>
    <row r="1101" spans="1:20" x14ac:dyDescent="0.2">
      <c r="A1101" t="s">
        <v>3330</v>
      </c>
      <c r="B1101" t="s">
        <v>2022</v>
      </c>
      <c r="C1101" t="s">
        <v>2053</v>
      </c>
      <c r="D1101" t="s">
        <v>2024</v>
      </c>
      <c r="E1101" t="s">
        <v>3331</v>
      </c>
      <c r="F1101" t="s">
        <v>3332</v>
      </c>
      <c r="G1101">
        <v>1</v>
      </c>
      <c r="H1101">
        <v>1500</v>
      </c>
      <c r="I1101">
        <v>2</v>
      </c>
      <c r="J1101">
        <v>4.05</v>
      </c>
      <c r="K1101">
        <v>2</v>
      </c>
      <c r="L1101">
        <v>8.5000000000000006E-2</v>
      </c>
      <c r="M1101">
        <v>1</v>
      </c>
      <c r="N1101">
        <v>73</v>
      </c>
      <c r="O1101">
        <v>2</v>
      </c>
      <c r="P1101">
        <v>0.22500000000000001</v>
      </c>
      <c r="Q1101">
        <v>2</v>
      </c>
      <c r="R1101">
        <v>5.1999999999999998E-3</v>
      </c>
      <c r="T1101" t="s">
        <v>3331</v>
      </c>
    </row>
    <row r="1102" spans="1:20" x14ac:dyDescent="0.2">
      <c r="A1102" t="s">
        <v>3333</v>
      </c>
      <c r="B1102" t="s">
        <v>2022</v>
      </c>
      <c r="C1102" t="s">
        <v>2036</v>
      </c>
      <c r="D1102" t="s">
        <v>2024</v>
      </c>
      <c r="E1102" t="s">
        <v>3334</v>
      </c>
      <c r="F1102" t="s">
        <v>3335</v>
      </c>
      <c r="G1102">
        <v>4</v>
      </c>
      <c r="H1102">
        <v>1840</v>
      </c>
      <c r="I1102">
        <v>5</v>
      </c>
      <c r="J1102">
        <v>7</v>
      </c>
      <c r="K1102">
        <v>5</v>
      </c>
      <c r="L1102">
        <v>0.17499999999999999</v>
      </c>
      <c r="M1102">
        <v>5</v>
      </c>
      <c r="N1102">
        <v>100</v>
      </c>
      <c r="O1102">
        <v>5</v>
      </c>
      <c r="P1102">
        <v>0.53500000000000003</v>
      </c>
      <c r="Q1102">
        <v>5</v>
      </c>
      <c r="R1102">
        <v>1.2E-2</v>
      </c>
      <c r="T1102" t="s">
        <v>3334</v>
      </c>
    </row>
    <row r="1103" spans="1:20" x14ac:dyDescent="0.2">
      <c r="A1103" t="s">
        <v>3336</v>
      </c>
      <c r="B1103" t="s">
        <v>2022</v>
      </c>
      <c r="C1103" t="s">
        <v>2023</v>
      </c>
      <c r="D1103" t="s">
        <v>2024</v>
      </c>
      <c r="E1103" t="s">
        <v>3337</v>
      </c>
      <c r="F1103" t="s">
        <v>3338</v>
      </c>
      <c r="G1103">
        <v>1</v>
      </c>
      <c r="H1103">
        <v>1480</v>
      </c>
      <c r="I1103">
        <v>2</v>
      </c>
      <c r="J1103">
        <v>3.4</v>
      </c>
      <c r="K1103">
        <v>3</v>
      </c>
      <c r="L1103">
        <v>4.5999999999999999E-2</v>
      </c>
      <c r="M1103">
        <v>1</v>
      </c>
      <c r="N1103">
        <v>74</v>
      </c>
      <c r="O1103">
        <v>1</v>
      </c>
      <c r="P1103">
        <v>7.4999999999999997E-2</v>
      </c>
      <c r="Q1103">
        <v>2</v>
      </c>
      <c r="R1103">
        <v>2E-3</v>
      </c>
      <c r="T1103" t="s">
        <v>3337</v>
      </c>
    </row>
    <row r="1104" spans="1:20" x14ac:dyDescent="0.2">
      <c r="A1104" t="s">
        <v>3339</v>
      </c>
      <c r="B1104" t="s">
        <v>2022</v>
      </c>
      <c r="C1104" t="s">
        <v>2023</v>
      </c>
      <c r="D1104" t="s">
        <v>2024</v>
      </c>
      <c r="E1104" t="s">
        <v>3340</v>
      </c>
      <c r="F1104" t="s">
        <v>3341</v>
      </c>
      <c r="G1104">
        <v>1</v>
      </c>
      <c r="H1104">
        <v>1480</v>
      </c>
      <c r="I1104">
        <v>3</v>
      </c>
      <c r="J1104">
        <v>5.9</v>
      </c>
      <c r="K1104">
        <v>5</v>
      </c>
      <c r="L1104">
        <v>8.5999999999999993E-2</v>
      </c>
      <c r="M1104">
        <v>2</v>
      </c>
      <c r="N1104">
        <v>84</v>
      </c>
      <c r="O1104">
        <v>2</v>
      </c>
      <c r="P1104">
        <v>0.22500000000000001</v>
      </c>
      <c r="Q1104">
        <v>3</v>
      </c>
      <c r="R1104">
        <v>4.0000000000000001E-3</v>
      </c>
      <c r="T1104" t="s">
        <v>3340</v>
      </c>
    </row>
    <row r="1105" spans="1:20" x14ac:dyDescent="0.2">
      <c r="A1105" t="s">
        <v>3342</v>
      </c>
      <c r="B1105" t="s">
        <v>2022</v>
      </c>
      <c r="C1105" t="s">
        <v>2023</v>
      </c>
      <c r="D1105" t="s">
        <v>2024</v>
      </c>
      <c r="E1105" t="s">
        <v>3343</v>
      </c>
      <c r="F1105" t="s">
        <v>3344</v>
      </c>
      <c r="G1105">
        <v>2</v>
      </c>
      <c r="H1105">
        <v>1560</v>
      </c>
      <c r="I1105">
        <v>5</v>
      </c>
      <c r="J1105">
        <v>10.9</v>
      </c>
      <c r="K1105">
        <v>5</v>
      </c>
      <c r="L1105">
        <v>8.5999999999999993E-2</v>
      </c>
      <c r="M1105">
        <v>5</v>
      </c>
      <c r="N1105">
        <v>114</v>
      </c>
      <c r="O1105">
        <v>5</v>
      </c>
      <c r="P1105">
        <v>0.67500000000000004</v>
      </c>
      <c r="Q1105">
        <v>5</v>
      </c>
      <c r="R1105">
        <v>8.0000000000000002E-3</v>
      </c>
      <c r="T1105" t="s">
        <v>3343</v>
      </c>
    </row>
    <row r="1106" spans="1:20" x14ac:dyDescent="0.2">
      <c r="A1106" t="s">
        <v>3345</v>
      </c>
      <c r="B1106" t="s">
        <v>2022</v>
      </c>
      <c r="C1106" t="s">
        <v>2053</v>
      </c>
      <c r="D1106" t="s">
        <v>2024</v>
      </c>
      <c r="E1106" t="s">
        <v>3346</v>
      </c>
      <c r="F1106" t="s">
        <v>3347</v>
      </c>
      <c r="G1106">
        <v>4</v>
      </c>
      <c r="H1106">
        <v>1800</v>
      </c>
      <c r="I1106">
        <v>4</v>
      </c>
      <c r="J1106">
        <v>9.0500000000000007</v>
      </c>
      <c r="K1106">
        <v>3</v>
      </c>
      <c r="L1106">
        <v>0.19500000000000001</v>
      </c>
      <c r="M1106">
        <v>2</v>
      </c>
      <c r="N1106">
        <v>83</v>
      </c>
      <c r="O1106">
        <v>4</v>
      </c>
      <c r="P1106">
        <v>0.52500000000000002</v>
      </c>
      <c r="Q1106">
        <v>3</v>
      </c>
      <c r="R1106">
        <v>1.2200000000000001E-2</v>
      </c>
      <c r="T1106" t="s">
        <v>3346</v>
      </c>
    </row>
    <row r="1107" spans="1:20" x14ac:dyDescent="0.2">
      <c r="A1107" t="s">
        <v>3348</v>
      </c>
      <c r="B1107" t="s">
        <v>2022</v>
      </c>
      <c r="C1107" t="s">
        <v>2053</v>
      </c>
      <c r="D1107" t="s">
        <v>2024</v>
      </c>
      <c r="E1107" t="s">
        <v>3349</v>
      </c>
      <c r="F1107" t="s">
        <v>3350</v>
      </c>
      <c r="G1107">
        <v>1</v>
      </c>
      <c r="H1107">
        <v>1500</v>
      </c>
      <c r="I1107">
        <v>5</v>
      </c>
      <c r="J1107">
        <v>11.55</v>
      </c>
      <c r="K1107">
        <v>4</v>
      </c>
      <c r="L1107">
        <v>0.30499999999999999</v>
      </c>
      <c r="M1107">
        <v>1</v>
      </c>
      <c r="N1107">
        <v>73</v>
      </c>
      <c r="O1107">
        <v>5</v>
      </c>
      <c r="P1107">
        <v>0.67500000000000004</v>
      </c>
      <c r="Q1107">
        <v>4</v>
      </c>
      <c r="R1107">
        <v>1.9199999999999998E-2</v>
      </c>
      <c r="T1107" t="s">
        <v>3349</v>
      </c>
    </row>
    <row r="1108" spans="1:20" x14ac:dyDescent="0.2">
      <c r="A1108" t="s">
        <v>3351</v>
      </c>
      <c r="B1108" t="s">
        <v>2022</v>
      </c>
      <c r="C1108" t="s">
        <v>2023</v>
      </c>
      <c r="D1108" t="s">
        <v>2024</v>
      </c>
      <c r="E1108" t="s">
        <v>3352</v>
      </c>
      <c r="F1108" t="s">
        <v>3353</v>
      </c>
      <c r="G1108">
        <v>5</v>
      </c>
      <c r="H1108">
        <v>1800</v>
      </c>
      <c r="I1108">
        <v>5</v>
      </c>
      <c r="J1108">
        <v>10.9</v>
      </c>
      <c r="K1108">
        <v>5</v>
      </c>
      <c r="L1108">
        <v>8.5999999999999993E-2</v>
      </c>
      <c r="M1108">
        <v>4</v>
      </c>
      <c r="N1108">
        <v>104</v>
      </c>
      <c r="O1108">
        <v>4</v>
      </c>
      <c r="P1108">
        <v>0.52500000000000002</v>
      </c>
      <c r="Q1108">
        <v>5</v>
      </c>
      <c r="R1108">
        <v>8.0000000000000002E-3</v>
      </c>
      <c r="T1108" t="s">
        <v>3352</v>
      </c>
    </row>
    <row r="1109" spans="1:20" x14ac:dyDescent="0.2">
      <c r="A1109" t="s">
        <v>3354</v>
      </c>
      <c r="B1109" t="s">
        <v>2022</v>
      </c>
      <c r="C1109" t="s">
        <v>2053</v>
      </c>
      <c r="D1109" t="s">
        <v>2024</v>
      </c>
      <c r="E1109" t="s">
        <v>3355</v>
      </c>
      <c r="F1109" t="s">
        <v>3356</v>
      </c>
      <c r="G1109">
        <v>5</v>
      </c>
      <c r="H1109">
        <v>1900</v>
      </c>
      <c r="I1109">
        <v>3</v>
      </c>
      <c r="J1109">
        <v>6.55</v>
      </c>
      <c r="K1109">
        <v>2</v>
      </c>
      <c r="L1109">
        <v>8.5000000000000006E-2</v>
      </c>
      <c r="M1109">
        <v>5</v>
      </c>
      <c r="N1109">
        <v>113</v>
      </c>
      <c r="O1109">
        <v>3</v>
      </c>
      <c r="P1109">
        <v>0.375</v>
      </c>
      <c r="Q1109">
        <v>2</v>
      </c>
      <c r="R1109">
        <v>5.1999999999999998E-3</v>
      </c>
      <c r="T1109" t="s">
        <v>3355</v>
      </c>
    </row>
    <row r="1110" spans="1:20" x14ac:dyDescent="0.2">
      <c r="A1110" t="s">
        <v>3357</v>
      </c>
      <c r="B1110" t="s">
        <v>2022</v>
      </c>
      <c r="C1110" t="s">
        <v>2036</v>
      </c>
      <c r="D1110" t="s">
        <v>2136</v>
      </c>
      <c r="E1110" t="s">
        <v>3358</v>
      </c>
      <c r="F1110" t="s">
        <v>3359</v>
      </c>
      <c r="G1110">
        <v>3</v>
      </c>
      <c r="H1110">
        <v>1740</v>
      </c>
      <c r="I1110">
        <v>5</v>
      </c>
      <c r="J1110">
        <v>7</v>
      </c>
      <c r="K1110">
        <v>1</v>
      </c>
      <c r="L1110">
        <v>5.5E-2</v>
      </c>
      <c r="M1110">
        <v>3</v>
      </c>
      <c r="N1110">
        <v>88</v>
      </c>
      <c r="O1110">
        <v>3</v>
      </c>
      <c r="P1110">
        <v>0.315</v>
      </c>
      <c r="Q1110">
        <v>1</v>
      </c>
      <c r="R1110">
        <v>1.5E-3</v>
      </c>
      <c r="T1110" t="s">
        <v>3358</v>
      </c>
    </row>
    <row r="1111" spans="1:20" x14ac:dyDescent="0.2">
      <c r="A1111" t="s">
        <v>3360</v>
      </c>
      <c r="B1111" t="s">
        <v>2022</v>
      </c>
      <c r="C1111" t="s">
        <v>2023</v>
      </c>
      <c r="D1111" t="s">
        <v>2024</v>
      </c>
      <c r="E1111" t="s">
        <v>3361</v>
      </c>
      <c r="F1111" t="s">
        <v>3362</v>
      </c>
      <c r="G1111">
        <v>1</v>
      </c>
      <c r="H1111">
        <v>1480</v>
      </c>
      <c r="I1111">
        <v>3</v>
      </c>
      <c r="J1111">
        <v>5.9</v>
      </c>
      <c r="K1111">
        <v>5</v>
      </c>
      <c r="L1111">
        <v>8.5999999999999993E-2</v>
      </c>
      <c r="M1111">
        <v>3</v>
      </c>
      <c r="N1111">
        <v>94</v>
      </c>
      <c r="O1111">
        <v>3</v>
      </c>
      <c r="P1111">
        <v>0.375</v>
      </c>
      <c r="Q1111">
        <v>5</v>
      </c>
      <c r="R1111">
        <v>8.0000000000000002E-3</v>
      </c>
      <c r="T1111" t="s">
        <v>3361</v>
      </c>
    </row>
    <row r="1112" spans="1:20" x14ac:dyDescent="0.2">
      <c r="A1112" t="s">
        <v>3363</v>
      </c>
      <c r="B1112" t="s">
        <v>2022</v>
      </c>
      <c r="C1112" t="s">
        <v>2508</v>
      </c>
      <c r="D1112" t="s">
        <v>2024</v>
      </c>
      <c r="E1112" t="s">
        <v>3364</v>
      </c>
      <c r="F1112" t="s">
        <v>3365</v>
      </c>
      <c r="G1112">
        <v>4</v>
      </c>
      <c r="H1112">
        <v>1550</v>
      </c>
      <c r="I1112">
        <v>3</v>
      </c>
      <c r="J1112">
        <v>9</v>
      </c>
      <c r="K1112">
        <v>3</v>
      </c>
      <c r="L1112">
        <v>0.26</v>
      </c>
      <c r="M1112">
        <v>3</v>
      </c>
      <c r="N1112">
        <v>222.5</v>
      </c>
      <c r="O1112">
        <v>3</v>
      </c>
      <c r="P1112">
        <v>1.05</v>
      </c>
      <c r="Q1112">
        <v>3</v>
      </c>
      <c r="R1112">
        <v>3.5999999999999997E-2</v>
      </c>
      <c r="T1112" t="s">
        <v>3364</v>
      </c>
    </row>
    <row r="1113" spans="1:20" x14ac:dyDescent="0.2">
      <c r="A1113" t="s">
        <v>3366</v>
      </c>
      <c r="B1113" t="s">
        <v>2022</v>
      </c>
      <c r="C1113" t="s">
        <v>2036</v>
      </c>
      <c r="D1113" t="s">
        <v>2024</v>
      </c>
      <c r="E1113" t="s">
        <v>3367</v>
      </c>
      <c r="F1113" t="s">
        <v>3368</v>
      </c>
      <c r="G1113">
        <v>5</v>
      </c>
      <c r="H1113">
        <v>1940</v>
      </c>
      <c r="I1113">
        <v>5</v>
      </c>
      <c r="J1113">
        <v>7</v>
      </c>
      <c r="K1113">
        <v>5</v>
      </c>
      <c r="L1113">
        <v>0.17499999999999999</v>
      </c>
      <c r="M1113">
        <v>5</v>
      </c>
      <c r="N1113">
        <v>100</v>
      </c>
      <c r="O1113">
        <v>5</v>
      </c>
      <c r="P1113">
        <v>0.53500000000000003</v>
      </c>
      <c r="Q1113">
        <v>5</v>
      </c>
      <c r="R1113">
        <v>1.2E-2</v>
      </c>
      <c r="T1113" t="s">
        <v>3367</v>
      </c>
    </row>
    <row r="1114" spans="1:20" x14ac:dyDescent="0.2">
      <c r="A1114" t="s">
        <v>3369</v>
      </c>
      <c r="B1114" t="s">
        <v>2022</v>
      </c>
      <c r="C1114" t="s">
        <v>2023</v>
      </c>
      <c r="D1114" t="s">
        <v>2024</v>
      </c>
      <c r="E1114" t="s">
        <v>3370</v>
      </c>
      <c r="F1114" t="s">
        <v>3371</v>
      </c>
      <c r="G1114">
        <v>3</v>
      </c>
      <c r="H1114">
        <v>1640</v>
      </c>
      <c r="I1114">
        <v>4</v>
      </c>
      <c r="J1114">
        <v>8.4</v>
      </c>
      <c r="K1114">
        <v>5</v>
      </c>
      <c r="L1114">
        <v>8.5999999999999993E-2</v>
      </c>
      <c r="M1114">
        <v>3</v>
      </c>
      <c r="N1114">
        <v>94</v>
      </c>
      <c r="O1114">
        <v>3</v>
      </c>
      <c r="P1114">
        <v>0.375</v>
      </c>
      <c r="Q1114">
        <v>5</v>
      </c>
      <c r="R1114">
        <v>8.0000000000000002E-3</v>
      </c>
      <c r="T1114" t="s">
        <v>3370</v>
      </c>
    </row>
    <row r="1115" spans="1:20" x14ac:dyDescent="0.2">
      <c r="A1115" t="s">
        <v>3372</v>
      </c>
      <c r="B1115" t="s">
        <v>2022</v>
      </c>
      <c r="C1115" t="s">
        <v>2053</v>
      </c>
      <c r="D1115" t="s">
        <v>2024</v>
      </c>
      <c r="E1115" t="s">
        <v>3373</v>
      </c>
      <c r="F1115" t="s">
        <v>3374</v>
      </c>
      <c r="G1115">
        <v>4</v>
      </c>
      <c r="H1115">
        <v>1800</v>
      </c>
      <c r="I1115">
        <v>1</v>
      </c>
      <c r="J1115">
        <v>1.55</v>
      </c>
      <c r="K1115">
        <v>2</v>
      </c>
      <c r="L1115">
        <v>8.5000000000000006E-2</v>
      </c>
      <c r="M1115">
        <v>2</v>
      </c>
      <c r="N1115">
        <v>83</v>
      </c>
      <c r="O1115">
        <v>1</v>
      </c>
      <c r="P1115">
        <v>7.4999999999999997E-2</v>
      </c>
      <c r="Q1115">
        <v>2</v>
      </c>
      <c r="R1115">
        <v>5.1999999999999998E-3</v>
      </c>
      <c r="T1115" t="s">
        <v>3373</v>
      </c>
    </row>
    <row r="1116" spans="1:20" x14ac:dyDescent="0.2">
      <c r="A1116" t="s">
        <v>3375</v>
      </c>
      <c r="B1116" t="s">
        <v>2022</v>
      </c>
      <c r="C1116" t="s">
        <v>2036</v>
      </c>
      <c r="D1116" t="s">
        <v>2024</v>
      </c>
      <c r="E1116" t="s">
        <v>3376</v>
      </c>
      <c r="F1116" t="s">
        <v>3377</v>
      </c>
      <c r="G1116">
        <v>2</v>
      </c>
      <c r="H1116">
        <v>1640</v>
      </c>
      <c r="I1116">
        <v>5</v>
      </c>
      <c r="J1116">
        <v>7</v>
      </c>
      <c r="K1116">
        <v>5</v>
      </c>
      <c r="L1116">
        <v>0.17499999999999999</v>
      </c>
      <c r="M1116">
        <v>2</v>
      </c>
      <c r="N1116">
        <v>82</v>
      </c>
      <c r="O1116">
        <v>3</v>
      </c>
      <c r="P1116">
        <v>0.315</v>
      </c>
      <c r="Q1116">
        <v>5</v>
      </c>
      <c r="R1116">
        <v>1.2E-2</v>
      </c>
      <c r="T1116" t="s">
        <v>3376</v>
      </c>
    </row>
    <row r="1117" spans="1:20" x14ac:dyDescent="0.2">
      <c r="A1117" t="s">
        <v>3378</v>
      </c>
      <c r="B1117" t="s">
        <v>2022</v>
      </c>
      <c r="C1117" t="s">
        <v>2095</v>
      </c>
      <c r="D1117" t="s">
        <v>2024</v>
      </c>
      <c r="E1117" t="s">
        <v>3379</v>
      </c>
      <c r="F1117" t="s">
        <v>3380</v>
      </c>
      <c r="G1117">
        <v>1</v>
      </c>
      <c r="H1117">
        <v>1565</v>
      </c>
      <c r="I1117">
        <v>3</v>
      </c>
      <c r="J1117">
        <v>10.5</v>
      </c>
      <c r="K1117">
        <v>3</v>
      </c>
      <c r="L1117">
        <v>0.33</v>
      </c>
      <c r="M1117">
        <v>3</v>
      </c>
      <c r="N1117">
        <v>86</v>
      </c>
      <c r="O1117">
        <v>3</v>
      </c>
      <c r="P1117">
        <v>0.55000000000000004</v>
      </c>
      <c r="Q1117">
        <v>3</v>
      </c>
      <c r="R1117">
        <v>1.49E-2</v>
      </c>
      <c r="T1117" t="s">
        <v>3379</v>
      </c>
    </row>
    <row r="1118" spans="1:20" x14ac:dyDescent="0.2">
      <c r="A1118" t="s">
        <v>3381</v>
      </c>
      <c r="B1118" t="s">
        <v>2022</v>
      </c>
      <c r="C1118" t="s">
        <v>2053</v>
      </c>
      <c r="D1118" t="s">
        <v>2024</v>
      </c>
      <c r="E1118" t="s">
        <v>3382</v>
      </c>
      <c r="F1118" t="s">
        <v>3383</v>
      </c>
      <c r="G1118">
        <v>2</v>
      </c>
      <c r="H1118">
        <v>1600</v>
      </c>
      <c r="I1118">
        <v>3</v>
      </c>
      <c r="J1118">
        <v>6.55</v>
      </c>
      <c r="K1118">
        <v>3</v>
      </c>
      <c r="L1118">
        <v>0.19500000000000001</v>
      </c>
      <c r="M1118">
        <v>1</v>
      </c>
      <c r="N1118">
        <v>73</v>
      </c>
      <c r="O1118">
        <v>3</v>
      </c>
      <c r="P1118">
        <v>0.375</v>
      </c>
      <c r="Q1118">
        <v>2</v>
      </c>
      <c r="R1118">
        <v>5.1999999999999998E-3</v>
      </c>
      <c r="T1118" t="s">
        <v>3382</v>
      </c>
    </row>
    <row r="1119" spans="1:20" x14ac:dyDescent="0.2">
      <c r="A1119" t="s">
        <v>3384</v>
      </c>
      <c r="B1119" t="s">
        <v>2022</v>
      </c>
      <c r="C1119" t="s">
        <v>2104</v>
      </c>
      <c r="D1119" t="s">
        <v>2024</v>
      </c>
      <c r="E1119" t="s">
        <v>3385</v>
      </c>
      <c r="F1119" t="s">
        <v>3386</v>
      </c>
      <c r="G1119">
        <v>3</v>
      </c>
      <c r="H1119">
        <v>1887.5</v>
      </c>
      <c r="I1119">
        <v>1</v>
      </c>
      <c r="J1119">
        <v>0.95</v>
      </c>
      <c r="K1119">
        <v>2</v>
      </c>
      <c r="L1119">
        <v>4.1000000000000002E-2</v>
      </c>
      <c r="M1119">
        <v>3</v>
      </c>
      <c r="N1119">
        <v>73</v>
      </c>
      <c r="P1119">
        <v>0</v>
      </c>
      <c r="Q1119">
        <v>1</v>
      </c>
      <c r="R1119">
        <v>3.5E-4</v>
      </c>
      <c r="T1119" t="s">
        <v>3385</v>
      </c>
    </row>
    <row r="1120" spans="1:20" x14ac:dyDescent="0.2">
      <c r="A1120" t="s">
        <v>3387</v>
      </c>
      <c r="B1120" t="s">
        <v>2022</v>
      </c>
      <c r="C1120" t="s">
        <v>2222</v>
      </c>
      <c r="D1120" t="s">
        <v>2024</v>
      </c>
      <c r="E1120" t="s">
        <v>3385</v>
      </c>
      <c r="F1120" t="s">
        <v>3386</v>
      </c>
      <c r="G1120">
        <v>1</v>
      </c>
      <c r="H1120">
        <v>1450</v>
      </c>
      <c r="I1120">
        <v>1</v>
      </c>
      <c r="J1120">
        <v>2.2999999999999998</v>
      </c>
      <c r="K1120">
        <v>1</v>
      </c>
      <c r="L1120">
        <v>0.01</v>
      </c>
      <c r="M1120">
        <v>1</v>
      </c>
      <c r="N1120">
        <v>59</v>
      </c>
      <c r="O1120">
        <v>1</v>
      </c>
      <c r="P1120">
        <v>7.0000000000000007E-2</v>
      </c>
      <c r="Q1120">
        <v>1</v>
      </c>
      <c r="R1120">
        <v>4.0000000000000002E-4</v>
      </c>
      <c r="T1120" t="s">
        <v>3385</v>
      </c>
    </row>
    <row r="1121" spans="1:20" x14ac:dyDescent="0.2">
      <c r="A1121" t="s">
        <v>3388</v>
      </c>
      <c r="B1121" t="s">
        <v>2022</v>
      </c>
      <c r="C1121" t="s">
        <v>2036</v>
      </c>
      <c r="D1121" t="s">
        <v>2024</v>
      </c>
      <c r="E1121" t="s">
        <v>3385</v>
      </c>
      <c r="F1121" t="s">
        <v>3386</v>
      </c>
      <c r="G1121">
        <v>4</v>
      </c>
      <c r="H1121">
        <v>1840</v>
      </c>
      <c r="I1121">
        <v>2</v>
      </c>
      <c r="J1121">
        <v>3.4</v>
      </c>
      <c r="K1121">
        <v>1</v>
      </c>
      <c r="L1121">
        <v>5.5E-2</v>
      </c>
      <c r="M1121">
        <v>3</v>
      </c>
      <c r="N1121">
        <v>88</v>
      </c>
      <c r="O1121">
        <v>2</v>
      </c>
      <c r="P1121">
        <v>0.20499999999999999</v>
      </c>
      <c r="Q1121">
        <v>1</v>
      </c>
      <c r="R1121">
        <v>1.5E-3</v>
      </c>
      <c r="T1121" t="s">
        <v>3385</v>
      </c>
    </row>
    <row r="1122" spans="1:20" x14ac:dyDescent="0.2">
      <c r="A1122" t="s">
        <v>3389</v>
      </c>
      <c r="B1122" t="s">
        <v>2022</v>
      </c>
      <c r="C1122" t="s">
        <v>2222</v>
      </c>
      <c r="D1122" t="s">
        <v>2024</v>
      </c>
      <c r="E1122" t="s">
        <v>3385</v>
      </c>
      <c r="F1122" t="s">
        <v>3386</v>
      </c>
      <c r="G1122">
        <v>3</v>
      </c>
      <c r="H1122">
        <v>1650</v>
      </c>
      <c r="I1122">
        <v>2</v>
      </c>
      <c r="J1122">
        <v>3.9</v>
      </c>
      <c r="K1122">
        <v>2</v>
      </c>
      <c r="L1122">
        <v>5.5E-2</v>
      </c>
      <c r="M1122">
        <v>3</v>
      </c>
      <c r="N1122">
        <v>67</v>
      </c>
      <c r="O1122">
        <v>2</v>
      </c>
      <c r="P1122">
        <v>0.15</v>
      </c>
      <c r="Q1122">
        <v>2</v>
      </c>
      <c r="R1122">
        <v>2.3E-3</v>
      </c>
      <c r="T1122" t="s">
        <v>3385</v>
      </c>
    </row>
    <row r="1123" spans="1:20" x14ac:dyDescent="0.2">
      <c r="A1123" t="s">
        <v>3390</v>
      </c>
      <c r="B1123" t="s">
        <v>2022</v>
      </c>
      <c r="C1123" t="s">
        <v>2053</v>
      </c>
      <c r="D1123" t="s">
        <v>2024</v>
      </c>
      <c r="E1123" t="s">
        <v>3391</v>
      </c>
      <c r="F1123" t="s">
        <v>3392</v>
      </c>
      <c r="G1123">
        <v>3</v>
      </c>
      <c r="H1123">
        <v>1700</v>
      </c>
      <c r="I1123">
        <v>1</v>
      </c>
      <c r="J1123">
        <v>1.55</v>
      </c>
      <c r="K1123">
        <v>2</v>
      </c>
      <c r="L1123">
        <v>8.5000000000000006E-2</v>
      </c>
      <c r="M1123">
        <v>3</v>
      </c>
      <c r="N1123">
        <v>93</v>
      </c>
      <c r="O1123">
        <v>1</v>
      </c>
      <c r="P1123">
        <v>7.4999999999999997E-2</v>
      </c>
      <c r="Q1123">
        <v>2</v>
      </c>
      <c r="R1123">
        <v>5.1999999999999998E-3</v>
      </c>
      <c r="T1123" t="s">
        <v>3391</v>
      </c>
    </row>
    <row r="1124" spans="1:20" x14ac:dyDescent="0.2">
      <c r="A1124" t="s">
        <v>3393</v>
      </c>
      <c r="B1124" t="s">
        <v>2022</v>
      </c>
      <c r="C1124" t="s">
        <v>2023</v>
      </c>
      <c r="D1124" t="s">
        <v>2136</v>
      </c>
      <c r="E1124" t="s">
        <v>3394</v>
      </c>
      <c r="F1124" t="s">
        <v>3395</v>
      </c>
      <c r="G1124">
        <v>5</v>
      </c>
      <c r="H1124">
        <v>1800</v>
      </c>
      <c r="I1124">
        <v>4</v>
      </c>
      <c r="J1124">
        <v>8.4</v>
      </c>
      <c r="K1124">
        <v>5</v>
      </c>
      <c r="L1124">
        <v>8.5999999999999993E-2</v>
      </c>
      <c r="M1124">
        <v>1</v>
      </c>
      <c r="N1124">
        <v>74</v>
      </c>
      <c r="O1124">
        <v>2</v>
      </c>
      <c r="P1124">
        <v>0.22500000000000001</v>
      </c>
      <c r="Q1124">
        <v>4</v>
      </c>
      <c r="R1124">
        <v>6.0000000000000001E-3</v>
      </c>
      <c r="T1124" t="s">
        <v>3394</v>
      </c>
    </row>
    <row r="1125" spans="1:20" x14ac:dyDescent="0.2">
      <c r="A1125" t="s">
        <v>3396</v>
      </c>
      <c r="B1125" t="s">
        <v>2022</v>
      </c>
      <c r="C1125" t="s">
        <v>2049</v>
      </c>
      <c r="D1125" t="s">
        <v>2136</v>
      </c>
      <c r="E1125" t="s">
        <v>3397</v>
      </c>
      <c r="F1125" t="s">
        <v>447</v>
      </c>
      <c r="G1125">
        <v>1</v>
      </c>
      <c r="H1125">
        <v>1350</v>
      </c>
      <c r="I1125">
        <v>1</v>
      </c>
      <c r="J1125">
        <v>1.4</v>
      </c>
      <c r="K1125">
        <v>1</v>
      </c>
      <c r="L1125">
        <v>0.01</v>
      </c>
      <c r="M1125">
        <v>5</v>
      </c>
      <c r="N1125">
        <v>166</v>
      </c>
      <c r="O1125">
        <v>2</v>
      </c>
      <c r="P1125">
        <v>0.26</v>
      </c>
      <c r="Q1125">
        <v>2</v>
      </c>
      <c r="R1125">
        <v>6.1999999999999998E-3</v>
      </c>
      <c r="T1125" t="s">
        <v>3397</v>
      </c>
    </row>
    <row r="1126" spans="1:20" x14ac:dyDescent="0.2">
      <c r="A1126" t="s">
        <v>3398</v>
      </c>
      <c r="B1126" t="s">
        <v>2022</v>
      </c>
      <c r="C1126" t="s">
        <v>2053</v>
      </c>
      <c r="D1126" t="s">
        <v>2024</v>
      </c>
      <c r="E1126" t="s">
        <v>3399</v>
      </c>
      <c r="F1126" t="s">
        <v>3400</v>
      </c>
      <c r="G1126">
        <v>2</v>
      </c>
      <c r="H1126">
        <v>1600</v>
      </c>
      <c r="I1126">
        <v>1</v>
      </c>
      <c r="J1126">
        <v>1.55</v>
      </c>
      <c r="K1126">
        <v>1</v>
      </c>
      <c r="L1126">
        <v>1.4999999999999999E-2</v>
      </c>
      <c r="M1126">
        <v>4</v>
      </c>
      <c r="N1126">
        <v>103</v>
      </c>
      <c r="O1126">
        <v>1</v>
      </c>
      <c r="P1126">
        <v>7.4999999999999997E-2</v>
      </c>
      <c r="Q1126">
        <v>1</v>
      </c>
      <c r="R1126">
        <v>8.4999999999999995E-4</v>
      </c>
      <c r="T1126" t="s">
        <v>3399</v>
      </c>
    </row>
    <row r="1127" spans="1:20" x14ac:dyDescent="0.2">
      <c r="A1127" t="s">
        <v>3401</v>
      </c>
      <c r="B1127" t="s">
        <v>2022</v>
      </c>
      <c r="C1127" t="s">
        <v>2023</v>
      </c>
      <c r="D1127" t="s">
        <v>2024</v>
      </c>
      <c r="E1127" t="s">
        <v>3402</v>
      </c>
      <c r="F1127" t="s">
        <v>3403</v>
      </c>
      <c r="G1127">
        <v>3</v>
      </c>
      <c r="H1127">
        <v>1640</v>
      </c>
      <c r="I1127">
        <v>5</v>
      </c>
      <c r="J1127">
        <v>10.9</v>
      </c>
      <c r="K1127">
        <v>5</v>
      </c>
      <c r="L1127">
        <v>8.5999999999999993E-2</v>
      </c>
      <c r="M1127">
        <v>4</v>
      </c>
      <c r="N1127">
        <v>104</v>
      </c>
      <c r="O1127">
        <v>5</v>
      </c>
      <c r="P1127">
        <v>0.67500000000000004</v>
      </c>
      <c r="Q1127">
        <v>5</v>
      </c>
      <c r="R1127">
        <v>8.0000000000000002E-3</v>
      </c>
      <c r="T1127" t="s">
        <v>3402</v>
      </c>
    </row>
    <row r="1128" spans="1:20" x14ac:dyDescent="0.2">
      <c r="A1128" t="s">
        <v>3404</v>
      </c>
      <c r="B1128" t="s">
        <v>2022</v>
      </c>
      <c r="C1128" t="s">
        <v>2036</v>
      </c>
      <c r="D1128" t="s">
        <v>2024</v>
      </c>
      <c r="E1128" t="s">
        <v>3405</v>
      </c>
      <c r="F1128" t="s">
        <v>3406</v>
      </c>
      <c r="G1128">
        <v>5</v>
      </c>
      <c r="H1128">
        <v>1940</v>
      </c>
      <c r="I1128">
        <v>5</v>
      </c>
      <c r="J1128">
        <v>7</v>
      </c>
      <c r="K1128">
        <v>5</v>
      </c>
      <c r="L1128">
        <v>0.17499999999999999</v>
      </c>
      <c r="M1128">
        <v>5</v>
      </c>
      <c r="N1128">
        <v>100</v>
      </c>
      <c r="O1128">
        <v>5</v>
      </c>
      <c r="P1128">
        <v>0.53500000000000003</v>
      </c>
      <c r="Q1128">
        <v>5</v>
      </c>
      <c r="R1128">
        <v>1.2E-2</v>
      </c>
      <c r="T1128" t="s">
        <v>3405</v>
      </c>
    </row>
    <row r="1129" spans="1:20" x14ac:dyDescent="0.2">
      <c r="A1129" t="s">
        <v>3407</v>
      </c>
      <c r="B1129" t="s">
        <v>2022</v>
      </c>
      <c r="C1129" t="s">
        <v>2023</v>
      </c>
      <c r="D1129" t="s">
        <v>2024</v>
      </c>
      <c r="E1129" t="s">
        <v>3408</v>
      </c>
      <c r="F1129" t="s">
        <v>3409</v>
      </c>
      <c r="G1129">
        <v>2</v>
      </c>
      <c r="H1129">
        <v>1560</v>
      </c>
      <c r="I1129">
        <v>4</v>
      </c>
      <c r="J1129">
        <v>8.4</v>
      </c>
      <c r="K1129">
        <v>5</v>
      </c>
      <c r="L1129">
        <v>8.5999999999999993E-2</v>
      </c>
      <c r="M1129">
        <v>2</v>
      </c>
      <c r="N1129">
        <v>84</v>
      </c>
      <c r="O1129">
        <v>3</v>
      </c>
      <c r="P1129">
        <v>0.375</v>
      </c>
      <c r="Q1129">
        <v>5</v>
      </c>
      <c r="R1129">
        <v>8.0000000000000002E-3</v>
      </c>
      <c r="T1129" t="s">
        <v>3408</v>
      </c>
    </row>
    <row r="1130" spans="1:20" x14ac:dyDescent="0.2">
      <c r="A1130" t="s">
        <v>3410</v>
      </c>
      <c r="B1130" t="s">
        <v>2022</v>
      </c>
      <c r="C1130" t="s">
        <v>2023</v>
      </c>
      <c r="D1130" t="s">
        <v>2024</v>
      </c>
      <c r="E1130" t="s">
        <v>3411</v>
      </c>
      <c r="F1130" t="s">
        <v>3412</v>
      </c>
      <c r="G1130">
        <v>5</v>
      </c>
      <c r="H1130">
        <v>1800</v>
      </c>
      <c r="I1130">
        <v>5</v>
      </c>
      <c r="J1130">
        <v>10.9</v>
      </c>
      <c r="K1130">
        <v>5</v>
      </c>
      <c r="L1130">
        <v>8.5999999999999993E-2</v>
      </c>
      <c r="M1130">
        <v>4</v>
      </c>
      <c r="N1130">
        <v>104</v>
      </c>
      <c r="O1130">
        <v>5</v>
      </c>
      <c r="P1130">
        <v>0.67500000000000004</v>
      </c>
      <c r="Q1130">
        <v>5</v>
      </c>
      <c r="R1130">
        <v>8.0000000000000002E-3</v>
      </c>
      <c r="T1130" t="s">
        <v>3411</v>
      </c>
    </row>
    <row r="1131" spans="1:20" x14ac:dyDescent="0.2">
      <c r="A1131" t="s">
        <v>3413</v>
      </c>
      <c r="B1131" t="s">
        <v>2022</v>
      </c>
      <c r="C1131" t="s">
        <v>2023</v>
      </c>
      <c r="D1131" t="s">
        <v>2136</v>
      </c>
      <c r="E1131" t="s">
        <v>3414</v>
      </c>
      <c r="F1131" t="s">
        <v>447</v>
      </c>
      <c r="G1131">
        <v>1</v>
      </c>
      <c r="H1131">
        <v>1480</v>
      </c>
      <c r="I1131">
        <v>2</v>
      </c>
      <c r="J1131">
        <v>3.4</v>
      </c>
      <c r="K1131">
        <v>2</v>
      </c>
      <c r="L1131">
        <v>2.5999999999999999E-2</v>
      </c>
      <c r="M1131">
        <v>1</v>
      </c>
      <c r="N1131">
        <v>74</v>
      </c>
      <c r="O1131">
        <v>2</v>
      </c>
      <c r="P1131">
        <v>0.22500000000000001</v>
      </c>
      <c r="Q1131">
        <v>1</v>
      </c>
      <c r="R1131">
        <v>5.0000000000000001E-4</v>
      </c>
      <c r="T1131" t="s">
        <v>3414</v>
      </c>
    </row>
    <row r="1132" spans="1:20" x14ac:dyDescent="0.2">
      <c r="A1132" t="s">
        <v>3415</v>
      </c>
      <c r="B1132" t="s">
        <v>2022</v>
      </c>
      <c r="C1132" t="s">
        <v>2036</v>
      </c>
      <c r="D1132" t="s">
        <v>2024</v>
      </c>
      <c r="E1132" t="s">
        <v>3416</v>
      </c>
      <c r="F1132" t="s">
        <v>3417</v>
      </c>
      <c r="G1132">
        <v>1</v>
      </c>
      <c r="H1132">
        <v>1540</v>
      </c>
      <c r="I1132">
        <v>3</v>
      </c>
      <c r="J1132">
        <v>4.5999999999999996</v>
      </c>
      <c r="K1132">
        <v>2</v>
      </c>
      <c r="L1132">
        <v>8.5000000000000006E-2</v>
      </c>
      <c r="M1132">
        <v>1</v>
      </c>
      <c r="N1132">
        <v>76</v>
      </c>
      <c r="O1132">
        <v>2</v>
      </c>
      <c r="P1132">
        <v>0.20499999999999999</v>
      </c>
      <c r="Q1132">
        <v>2</v>
      </c>
      <c r="R1132">
        <v>4.2500000000000003E-3</v>
      </c>
      <c r="T1132" t="s">
        <v>3416</v>
      </c>
    </row>
    <row r="1133" spans="1:20" x14ac:dyDescent="0.2">
      <c r="A1133" t="s">
        <v>3418</v>
      </c>
      <c r="B1133" t="s">
        <v>2022</v>
      </c>
      <c r="C1133" t="s">
        <v>2036</v>
      </c>
      <c r="D1133" t="s">
        <v>2024</v>
      </c>
      <c r="E1133" t="s">
        <v>3419</v>
      </c>
      <c r="F1133" t="s">
        <v>3420</v>
      </c>
      <c r="G1133">
        <v>3</v>
      </c>
      <c r="H1133">
        <v>1740</v>
      </c>
      <c r="I1133">
        <v>1</v>
      </c>
      <c r="J1133">
        <v>2.2000000000000002</v>
      </c>
      <c r="K1133">
        <v>2</v>
      </c>
      <c r="L1133">
        <v>8.5000000000000006E-2</v>
      </c>
      <c r="M1133">
        <v>1</v>
      </c>
      <c r="N1133">
        <v>76</v>
      </c>
      <c r="O1133">
        <v>1</v>
      </c>
      <c r="P1133">
        <v>9.5000000000000001E-2</v>
      </c>
      <c r="Q1133">
        <v>2</v>
      </c>
      <c r="R1133">
        <v>4.2500000000000003E-3</v>
      </c>
      <c r="T1133" t="s">
        <v>3419</v>
      </c>
    </row>
    <row r="1134" spans="1:20" x14ac:dyDescent="0.2">
      <c r="A1134" t="s">
        <v>3421</v>
      </c>
      <c r="B1134" t="s">
        <v>2022</v>
      </c>
      <c r="C1134" t="s">
        <v>2023</v>
      </c>
      <c r="D1134" t="s">
        <v>2136</v>
      </c>
      <c r="E1134" t="s">
        <v>357</v>
      </c>
      <c r="F1134" t="s">
        <v>3422</v>
      </c>
      <c r="G1134">
        <v>1</v>
      </c>
      <c r="H1134">
        <v>1480</v>
      </c>
      <c r="I1134">
        <v>1</v>
      </c>
      <c r="J1134">
        <v>0.9</v>
      </c>
      <c r="K1134">
        <v>1</v>
      </c>
      <c r="L1134">
        <v>6.0000000000000001E-3</v>
      </c>
      <c r="M1134">
        <v>5</v>
      </c>
      <c r="N1134">
        <v>114</v>
      </c>
      <c r="O1134">
        <v>2</v>
      </c>
      <c r="P1134">
        <v>0.22500000000000001</v>
      </c>
      <c r="Q1134">
        <v>2</v>
      </c>
      <c r="R1134">
        <v>2E-3</v>
      </c>
      <c r="T1134" t="s">
        <v>357</v>
      </c>
    </row>
    <row r="1135" spans="1:20" x14ac:dyDescent="0.2">
      <c r="A1135" t="s">
        <v>3423</v>
      </c>
      <c r="B1135" t="s">
        <v>2022</v>
      </c>
      <c r="C1135" t="s">
        <v>2028</v>
      </c>
      <c r="D1135" t="s">
        <v>2024</v>
      </c>
      <c r="E1135" t="s">
        <v>3424</v>
      </c>
      <c r="F1135" t="s">
        <v>3425</v>
      </c>
      <c r="G1135">
        <v>3</v>
      </c>
      <c r="H1135">
        <v>1050</v>
      </c>
      <c r="I1135">
        <v>4</v>
      </c>
      <c r="J1135">
        <v>4.95</v>
      </c>
      <c r="K1135">
        <v>2</v>
      </c>
      <c r="L1135">
        <v>4.4999999999999998E-2</v>
      </c>
      <c r="M1135">
        <v>5</v>
      </c>
      <c r="N1135">
        <v>500</v>
      </c>
      <c r="O1135">
        <v>5</v>
      </c>
      <c r="P1135">
        <v>1.35</v>
      </c>
      <c r="Q1135">
        <v>5</v>
      </c>
      <c r="R1135">
        <v>3.3500000000000002E-2</v>
      </c>
      <c r="T1135" t="s">
        <v>3424</v>
      </c>
    </row>
    <row r="1136" spans="1:20" x14ac:dyDescent="0.2">
      <c r="A1136" t="s">
        <v>3426</v>
      </c>
      <c r="B1136" t="s">
        <v>2022</v>
      </c>
      <c r="C1136" t="s">
        <v>2036</v>
      </c>
      <c r="D1136" t="s">
        <v>2024</v>
      </c>
      <c r="E1136" t="s">
        <v>3427</v>
      </c>
      <c r="F1136" t="s">
        <v>3428</v>
      </c>
      <c r="G1136">
        <v>3</v>
      </c>
      <c r="H1136">
        <v>1740</v>
      </c>
      <c r="I1136">
        <v>5</v>
      </c>
      <c r="J1136">
        <v>7</v>
      </c>
      <c r="K1136">
        <v>5</v>
      </c>
      <c r="L1136">
        <v>0.17499999999999999</v>
      </c>
      <c r="M1136">
        <v>3</v>
      </c>
      <c r="N1136">
        <v>88</v>
      </c>
      <c r="O1136">
        <v>5</v>
      </c>
      <c r="P1136">
        <v>0.53500000000000003</v>
      </c>
      <c r="Q1136">
        <v>5</v>
      </c>
      <c r="R1136">
        <v>1.2E-2</v>
      </c>
      <c r="T1136" t="s">
        <v>3427</v>
      </c>
    </row>
    <row r="1137" spans="1:20" x14ac:dyDescent="0.2">
      <c r="A1137" t="s">
        <v>3429</v>
      </c>
      <c r="B1137" t="s">
        <v>2022</v>
      </c>
      <c r="C1137" t="s">
        <v>2036</v>
      </c>
      <c r="D1137" t="s">
        <v>2024</v>
      </c>
      <c r="E1137" t="s">
        <v>3430</v>
      </c>
      <c r="F1137" t="s">
        <v>3431</v>
      </c>
      <c r="G1137">
        <v>2</v>
      </c>
      <c r="H1137">
        <v>1640</v>
      </c>
      <c r="I1137">
        <v>1</v>
      </c>
      <c r="J1137">
        <v>2.2000000000000002</v>
      </c>
      <c r="K1137">
        <v>1</v>
      </c>
      <c r="L1137">
        <v>5.5E-2</v>
      </c>
      <c r="M1137">
        <v>1</v>
      </c>
      <c r="N1137">
        <v>76</v>
      </c>
      <c r="O1137">
        <v>1</v>
      </c>
      <c r="P1137">
        <v>9.5000000000000001E-2</v>
      </c>
      <c r="Q1137">
        <v>1</v>
      </c>
      <c r="R1137">
        <v>1.5E-3</v>
      </c>
      <c r="T1137" t="s">
        <v>3430</v>
      </c>
    </row>
    <row r="1138" spans="1:20" x14ac:dyDescent="0.2">
      <c r="A1138" t="s">
        <v>3432</v>
      </c>
      <c r="B1138" t="s">
        <v>2022</v>
      </c>
      <c r="C1138" t="s">
        <v>2053</v>
      </c>
      <c r="D1138" t="s">
        <v>2024</v>
      </c>
      <c r="E1138" t="s">
        <v>3433</v>
      </c>
      <c r="F1138" t="s">
        <v>3434</v>
      </c>
      <c r="G1138">
        <v>5</v>
      </c>
      <c r="H1138">
        <v>1900</v>
      </c>
      <c r="I1138">
        <v>2</v>
      </c>
      <c r="J1138">
        <v>4.05</v>
      </c>
      <c r="K1138">
        <v>2</v>
      </c>
      <c r="L1138">
        <v>8.5000000000000006E-2</v>
      </c>
      <c r="M1138">
        <v>2</v>
      </c>
      <c r="N1138">
        <v>83</v>
      </c>
      <c r="O1138">
        <v>2</v>
      </c>
      <c r="P1138">
        <v>0.22500000000000001</v>
      </c>
      <c r="Q1138">
        <v>2</v>
      </c>
      <c r="R1138">
        <v>5.1999999999999998E-3</v>
      </c>
      <c r="T1138" t="s">
        <v>3433</v>
      </c>
    </row>
    <row r="1139" spans="1:20" x14ac:dyDescent="0.2">
      <c r="A1139" t="s">
        <v>3435</v>
      </c>
      <c r="B1139" t="s">
        <v>2022</v>
      </c>
      <c r="C1139" t="s">
        <v>2036</v>
      </c>
      <c r="D1139" t="s">
        <v>2024</v>
      </c>
      <c r="E1139" t="s">
        <v>3436</v>
      </c>
      <c r="F1139" t="s">
        <v>3437</v>
      </c>
      <c r="G1139">
        <v>2</v>
      </c>
      <c r="H1139">
        <v>1640</v>
      </c>
      <c r="I1139">
        <v>5</v>
      </c>
      <c r="J1139">
        <v>7</v>
      </c>
      <c r="K1139">
        <v>5</v>
      </c>
      <c r="L1139">
        <v>0.17499999999999999</v>
      </c>
      <c r="M1139">
        <v>4</v>
      </c>
      <c r="N1139">
        <v>94</v>
      </c>
      <c r="O1139">
        <v>5</v>
      </c>
      <c r="P1139">
        <v>0.53500000000000003</v>
      </c>
      <c r="Q1139">
        <v>5</v>
      </c>
      <c r="R1139">
        <v>1.2E-2</v>
      </c>
      <c r="T1139" t="s">
        <v>3436</v>
      </c>
    </row>
    <row r="1140" spans="1:20" x14ac:dyDescent="0.2">
      <c r="A1140" t="s">
        <v>3438</v>
      </c>
      <c r="B1140" t="s">
        <v>2022</v>
      </c>
      <c r="C1140" t="s">
        <v>2036</v>
      </c>
      <c r="D1140" t="s">
        <v>2024</v>
      </c>
      <c r="E1140" t="s">
        <v>3439</v>
      </c>
      <c r="F1140" t="s">
        <v>3440</v>
      </c>
      <c r="G1140">
        <v>3</v>
      </c>
      <c r="H1140">
        <v>1740</v>
      </c>
      <c r="I1140">
        <v>3</v>
      </c>
      <c r="J1140">
        <v>4.5999999999999996</v>
      </c>
      <c r="K1140">
        <v>3</v>
      </c>
      <c r="L1140">
        <v>0.115</v>
      </c>
      <c r="M1140">
        <v>2</v>
      </c>
      <c r="N1140">
        <v>82</v>
      </c>
      <c r="O1140">
        <v>2</v>
      </c>
      <c r="P1140">
        <v>0.20499999999999999</v>
      </c>
      <c r="Q1140">
        <v>3</v>
      </c>
      <c r="R1140">
        <v>6.7499999999999999E-3</v>
      </c>
      <c r="T1140" t="s">
        <v>3439</v>
      </c>
    </row>
    <row r="1141" spans="1:20" x14ac:dyDescent="0.2">
      <c r="A1141" t="s">
        <v>3441</v>
      </c>
      <c r="B1141" t="s">
        <v>2022</v>
      </c>
      <c r="C1141" t="s">
        <v>2036</v>
      </c>
      <c r="D1141" t="s">
        <v>2024</v>
      </c>
      <c r="E1141" t="s">
        <v>3442</v>
      </c>
      <c r="F1141" t="s">
        <v>3443</v>
      </c>
      <c r="G1141">
        <v>5</v>
      </c>
      <c r="H1141">
        <v>1940</v>
      </c>
      <c r="I1141">
        <v>4</v>
      </c>
      <c r="J1141">
        <v>5.8</v>
      </c>
      <c r="K1141">
        <v>5</v>
      </c>
      <c r="L1141">
        <v>0.17499999999999999</v>
      </c>
      <c r="M1141">
        <v>5</v>
      </c>
      <c r="N1141">
        <v>100</v>
      </c>
      <c r="O1141">
        <v>3</v>
      </c>
      <c r="P1141">
        <v>0.315</v>
      </c>
      <c r="Q1141">
        <v>4</v>
      </c>
      <c r="R1141">
        <v>9.2499999999999995E-3</v>
      </c>
      <c r="T1141" t="s">
        <v>3442</v>
      </c>
    </row>
    <row r="1142" spans="1:20" x14ac:dyDescent="0.2">
      <c r="A1142" t="s">
        <v>3444</v>
      </c>
      <c r="B1142" t="s">
        <v>2022</v>
      </c>
      <c r="C1142" t="s">
        <v>2036</v>
      </c>
      <c r="D1142" t="s">
        <v>2024</v>
      </c>
      <c r="E1142" t="s">
        <v>3445</v>
      </c>
      <c r="F1142" t="s">
        <v>3446</v>
      </c>
      <c r="G1142">
        <v>2</v>
      </c>
      <c r="H1142">
        <v>1640</v>
      </c>
      <c r="I1142">
        <v>3</v>
      </c>
      <c r="J1142">
        <v>4.5999999999999996</v>
      </c>
      <c r="K1142">
        <v>3</v>
      </c>
      <c r="L1142">
        <v>0.115</v>
      </c>
      <c r="M1142">
        <v>1</v>
      </c>
      <c r="N1142">
        <v>76</v>
      </c>
      <c r="O1142">
        <v>2</v>
      </c>
      <c r="P1142">
        <v>0.20499999999999999</v>
      </c>
      <c r="Q1142">
        <v>2</v>
      </c>
      <c r="R1142">
        <v>4.2500000000000003E-3</v>
      </c>
      <c r="T1142" t="s">
        <v>3445</v>
      </c>
    </row>
    <row r="1143" spans="1:20" x14ac:dyDescent="0.2">
      <c r="A1143" t="s">
        <v>3447</v>
      </c>
      <c r="B1143" t="s">
        <v>2022</v>
      </c>
      <c r="C1143" t="s">
        <v>2101</v>
      </c>
      <c r="D1143" t="s">
        <v>2024</v>
      </c>
      <c r="E1143" t="s">
        <v>3448</v>
      </c>
      <c r="F1143" t="s">
        <v>3449</v>
      </c>
      <c r="G1143">
        <v>1</v>
      </c>
      <c r="H1143">
        <v>1570</v>
      </c>
      <c r="I1143">
        <v>2</v>
      </c>
      <c r="J1143">
        <v>5</v>
      </c>
      <c r="K1143">
        <v>1</v>
      </c>
      <c r="L1143">
        <v>1.15E-2</v>
      </c>
      <c r="M1143">
        <v>2</v>
      </c>
      <c r="N1143">
        <v>74</v>
      </c>
      <c r="O1143">
        <v>2</v>
      </c>
      <c r="P1143">
        <v>0.22500000000000001</v>
      </c>
      <c r="Q1143">
        <v>1</v>
      </c>
      <c r="R1143">
        <v>5.0000000000000001E-4</v>
      </c>
      <c r="T1143" t="s">
        <v>3448</v>
      </c>
    </row>
    <row r="1144" spans="1:20" x14ac:dyDescent="0.2">
      <c r="A1144" t="s">
        <v>3450</v>
      </c>
      <c r="B1144" t="s">
        <v>2022</v>
      </c>
      <c r="C1144" t="s">
        <v>2023</v>
      </c>
      <c r="D1144" t="s">
        <v>2024</v>
      </c>
      <c r="E1144" t="s">
        <v>3451</v>
      </c>
      <c r="F1144" t="s">
        <v>3452</v>
      </c>
      <c r="G1144">
        <v>5</v>
      </c>
      <c r="H1144">
        <v>1800</v>
      </c>
      <c r="I1144">
        <v>5</v>
      </c>
      <c r="J1144">
        <v>10.9</v>
      </c>
      <c r="K1144">
        <v>5</v>
      </c>
      <c r="L1144">
        <v>8.5999999999999993E-2</v>
      </c>
      <c r="M1144">
        <v>3</v>
      </c>
      <c r="N1144">
        <v>94</v>
      </c>
      <c r="O1144">
        <v>5</v>
      </c>
      <c r="P1144">
        <v>0.67500000000000004</v>
      </c>
      <c r="Q1144">
        <v>5</v>
      </c>
      <c r="R1144">
        <v>8.0000000000000002E-3</v>
      </c>
      <c r="T1144" t="s">
        <v>3451</v>
      </c>
    </row>
    <row r="1145" spans="1:20" x14ac:dyDescent="0.2">
      <c r="A1145" t="s">
        <v>3453</v>
      </c>
      <c r="B1145" t="s">
        <v>2022</v>
      </c>
      <c r="C1145" t="s">
        <v>2036</v>
      </c>
      <c r="D1145" t="s">
        <v>2024</v>
      </c>
      <c r="E1145" t="s">
        <v>3454</v>
      </c>
      <c r="F1145" t="s">
        <v>3455</v>
      </c>
      <c r="G1145">
        <v>2</v>
      </c>
      <c r="H1145">
        <v>1640</v>
      </c>
      <c r="I1145">
        <v>1</v>
      </c>
      <c r="J1145">
        <v>2.2000000000000002</v>
      </c>
      <c r="K1145">
        <v>1</v>
      </c>
      <c r="L1145">
        <v>5.5E-2</v>
      </c>
      <c r="M1145">
        <v>2</v>
      </c>
      <c r="N1145">
        <v>82</v>
      </c>
      <c r="O1145">
        <v>1</v>
      </c>
      <c r="P1145">
        <v>9.5000000000000001E-2</v>
      </c>
      <c r="Q1145">
        <v>1</v>
      </c>
      <c r="R1145">
        <v>1.5E-3</v>
      </c>
      <c r="T1145" t="s">
        <v>3454</v>
      </c>
    </row>
    <row r="1146" spans="1:20" x14ac:dyDescent="0.2">
      <c r="A1146" t="s">
        <v>3456</v>
      </c>
      <c r="B1146" t="s">
        <v>2022</v>
      </c>
      <c r="C1146" t="s">
        <v>2053</v>
      </c>
      <c r="D1146" t="s">
        <v>2024</v>
      </c>
      <c r="E1146" t="s">
        <v>3457</v>
      </c>
      <c r="F1146" t="s">
        <v>3458</v>
      </c>
      <c r="G1146">
        <v>5</v>
      </c>
      <c r="H1146">
        <v>1900</v>
      </c>
      <c r="I1146">
        <v>5</v>
      </c>
      <c r="J1146">
        <v>11.55</v>
      </c>
      <c r="K1146">
        <v>5</v>
      </c>
      <c r="L1146">
        <v>0.41499999999999998</v>
      </c>
      <c r="M1146">
        <v>4</v>
      </c>
      <c r="N1146">
        <v>103</v>
      </c>
      <c r="O1146">
        <v>5</v>
      </c>
      <c r="P1146">
        <v>0.67500000000000004</v>
      </c>
      <c r="Q1146">
        <v>5</v>
      </c>
      <c r="R1146">
        <v>2.6200000000000001E-2</v>
      </c>
      <c r="T1146" t="s">
        <v>3457</v>
      </c>
    </row>
    <row r="1147" spans="1:20" x14ac:dyDescent="0.2">
      <c r="A1147" t="s">
        <v>3459</v>
      </c>
      <c r="B1147" t="s">
        <v>2022</v>
      </c>
      <c r="C1147" t="s">
        <v>2036</v>
      </c>
      <c r="D1147" t="s">
        <v>2024</v>
      </c>
      <c r="E1147" t="s">
        <v>3460</v>
      </c>
      <c r="F1147" t="s">
        <v>3461</v>
      </c>
      <c r="G1147">
        <v>3</v>
      </c>
      <c r="H1147">
        <v>1740</v>
      </c>
      <c r="I1147">
        <v>2</v>
      </c>
      <c r="J1147">
        <v>3.4</v>
      </c>
      <c r="K1147">
        <v>1</v>
      </c>
      <c r="L1147">
        <v>5.5E-2</v>
      </c>
      <c r="M1147">
        <v>3</v>
      </c>
      <c r="N1147">
        <v>88</v>
      </c>
      <c r="O1147">
        <v>2</v>
      </c>
      <c r="P1147">
        <v>0.20499999999999999</v>
      </c>
      <c r="Q1147">
        <v>2</v>
      </c>
      <c r="R1147">
        <v>4.2500000000000003E-3</v>
      </c>
      <c r="T1147" t="s">
        <v>3460</v>
      </c>
    </row>
    <row r="1148" spans="1:20" x14ac:dyDescent="0.2">
      <c r="A1148" t="s">
        <v>3462</v>
      </c>
      <c r="B1148" t="s">
        <v>2022</v>
      </c>
      <c r="C1148" t="s">
        <v>2023</v>
      </c>
      <c r="D1148" t="s">
        <v>2024</v>
      </c>
      <c r="E1148" t="s">
        <v>3463</v>
      </c>
      <c r="F1148" t="s">
        <v>3464</v>
      </c>
      <c r="G1148">
        <v>1</v>
      </c>
      <c r="H1148">
        <v>1480</v>
      </c>
      <c r="I1148">
        <v>2</v>
      </c>
      <c r="J1148">
        <v>3.4</v>
      </c>
      <c r="K1148">
        <v>2</v>
      </c>
      <c r="L1148">
        <v>2.5999999999999999E-2</v>
      </c>
      <c r="M1148">
        <v>1</v>
      </c>
      <c r="N1148">
        <v>74</v>
      </c>
      <c r="O1148">
        <v>2</v>
      </c>
      <c r="P1148">
        <v>0.22500000000000001</v>
      </c>
      <c r="Q1148">
        <v>1</v>
      </c>
      <c r="R1148">
        <v>5.0000000000000001E-4</v>
      </c>
      <c r="T1148" t="s">
        <v>3463</v>
      </c>
    </row>
    <row r="1149" spans="1:20" x14ac:dyDescent="0.2">
      <c r="A1149" t="s">
        <v>3465</v>
      </c>
      <c r="B1149" t="s">
        <v>2022</v>
      </c>
      <c r="C1149" t="s">
        <v>2023</v>
      </c>
      <c r="D1149" t="s">
        <v>2024</v>
      </c>
      <c r="E1149" t="s">
        <v>3466</v>
      </c>
      <c r="F1149" t="s">
        <v>3467</v>
      </c>
      <c r="G1149">
        <v>5</v>
      </c>
      <c r="H1149">
        <v>1800</v>
      </c>
      <c r="I1149">
        <v>1</v>
      </c>
      <c r="J1149">
        <v>0.9</v>
      </c>
      <c r="K1149">
        <v>1</v>
      </c>
      <c r="L1149">
        <v>6.0000000000000001E-3</v>
      </c>
      <c r="M1149">
        <v>5</v>
      </c>
      <c r="N1149">
        <v>114</v>
      </c>
      <c r="O1149">
        <v>1</v>
      </c>
      <c r="P1149">
        <v>7.4999999999999997E-2</v>
      </c>
      <c r="Q1149">
        <v>1</v>
      </c>
      <c r="R1149">
        <v>5.0000000000000001E-4</v>
      </c>
      <c r="T1149" t="s">
        <v>3466</v>
      </c>
    </row>
    <row r="1150" spans="1:20" x14ac:dyDescent="0.2">
      <c r="A1150" t="s">
        <v>3468</v>
      </c>
      <c r="B1150" t="s">
        <v>2022</v>
      </c>
      <c r="C1150" t="s">
        <v>2028</v>
      </c>
      <c r="D1150" t="s">
        <v>2024</v>
      </c>
      <c r="E1150" t="s">
        <v>3469</v>
      </c>
      <c r="F1150" t="s">
        <v>3470</v>
      </c>
      <c r="G1150">
        <v>5</v>
      </c>
      <c r="H1150">
        <v>1450</v>
      </c>
      <c r="I1150">
        <v>5</v>
      </c>
      <c r="J1150">
        <v>6.65</v>
      </c>
      <c r="K1150">
        <v>5</v>
      </c>
      <c r="L1150">
        <v>0.26700000000000002</v>
      </c>
      <c r="M1150">
        <v>4</v>
      </c>
      <c r="N1150">
        <v>400</v>
      </c>
      <c r="O1150">
        <v>5</v>
      </c>
      <c r="P1150">
        <v>1.35</v>
      </c>
      <c r="Q1150">
        <v>5</v>
      </c>
      <c r="R1150">
        <v>3.3500000000000002E-2</v>
      </c>
      <c r="T1150" t="s">
        <v>3469</v>
      </c>
    </row>
    <row r="1151" spans="1:20" x14ac:dyDescent="0.2">
      <c r="A1151" t="s">
        <v>3471</v>
      </c>
      <c r="B1151" t="s">
        <v>2022</v>
      </c>
      <c r="C1151" t="s">
        <v>2257</v>
      </c>
      <c r="D1151" t="s">
        <v>2136</v>
      </c>
      <c r="E1151" t="s">
        <v>3472</v>
      </c>
      <c r="F1151" t="s">
        <v>3473</v>
      </c>
      <c r="G1151">
        <v>1</v>
      </c>
      <c r="H1151">
        <v>900</v>
      </c>
      <c r="I1151">
        <v>5</v>
      </c>
      <c r="J1151">
        <v>5.65</v>
      </c>
      <c r="K1151">
        <v>5</v>
      </c>
      <c r="L1151">
        <v>0.187</v>
      </c>
      <c r="M1151">
        <v>2</v>
      </c>
      <c r="N1151">
        <v>500</v>
      </c>
      <c r="O1151">
        <v>5</v>
      </c>
      <c r="P1151">
        <v>2.7</v>
      </c>
      <c r="Q1151">
        <v>5</v>
      </c>
      <c r="R1151">
        <v>8.1000000000000003E-2</v>
      </c>
      <c r="T1151" t="s">
        <v>3472</v>
      </c>
    </row>
    <row r="1152" spans="1:20" x14ac:dyDescent="0.2">
      <c r="A1152" t="s">
        <v>3474</v>
      </c>
      <c r="B1152" t="s">
        <v>2022</v>
      </c>
      <c r="C1152" t="s">
        <v>2222</v>
      </c>
      <c r="D1152" t="s">
        <v>2024</v>
      </c>
      <c r="E1152" t="s">
        <v>3475</v>
      </c>
      <c r="F1152" t="s">
        <v>3476</v>
      </c>
      <c r="G1152">
        <v>3</v>
      </c>
      <c r="H1152">
        <v>1650</v>
      </c>
      <c r="I1152">
        <v>5</v>
      </c>
      <c r="J1152">
        <v>8.6999999999999993</v>
      </c>
      <c r="K1152">
        <v>5</v>
      </c>
      <c r="L1152">
        <v>0.26500000000000001</v>
      </c>
      <c r="M1152">
        <v>1</v>
      </c>
      <c r="N1152">
        <v>59</v>
      </c>
      <c r="O1152">
        <v>4</v>
      </c>
      <c r="P1152">
        <v>0.31</v>
      </c>
      <c r="Q1152">
        <v>5</v>
      </c>
      <c r="R1152">
        <v>1.1299999999999999E-2</v>
      </c>
      <c r="T1152" t="s">
        <v>3475</v>
      </c>
    </row>
    <row r="1153" spans="1:20" x14ac:dyDescent="0.2">
      <c r="A1153" t="s">
        <v>3477</v>
      </c>
      <c r="B1153" t="s">
        <v>2022</v>
      </c>
      <c r="C1153" t="s">
        <v>2036</v>
      </c>
      <c r="D1153" t="s">
        <v>2024</v>
      </c>
      <c r="E1153" t="s">
        <v>3478</v>
      </c>
      <c r="F1153" t="s">
        <v>3479</v>
      </c>
      <c r="G1153">
        <v>4</v>
      </c>
      <c r="H1153">
        <v>1840</v>
      </c>
      <c r="I1153">
        <v>3</v>
      </c>
      <c r="J1153">
        <v>4.5999999999999996</v>
      </c>
      <c r="K1153">
        <v>4</v>
      </c>
      <c r="L1153">
        <v>0.14499999999999999</v>
      </c>
      <c r="M1153">
        <v>5</v>
      </c>
      <c r="N1153">
        <v>100</v>
      </c>
      <c r="O1153">
        <v>2</v>
      </c>
      <c r="P1153">
        <v>0.20499999999999999</v>
      </c>
      <c r="Q1153">
        <v>4</v>
      </c>
      <c r="R1153">
        <v>9.2499999999999995E-3</v>
      </c>
      <c r="T1153" t="s">
        <v>3478</v>
      </c>
    </row>
    <row r="1154" spans="1:20" x14ac:dyDescent="0.2">
      <c r="A1154" t="s">
        <v>3480</v>
      </c>
      <c r="B1154" t="s">
        <v>2022</v>
      </c>
      <c r="C1154" t="s">
        <v>2095</v>
      </c>
      <c r="D1154" t="s">
        <v>2024</v>
      </c>
      <c r="E1154" t="s">
        <v>3481</v>
      </c>
      <c r="F1154" t="s">
        <v>3482</v>
      </c>
      <c r="G1154">
        <v>2</v>
      </c>
      <c r="H1154">
        <v>1655</v>
      </c>
      <c r="I1154">
        <v>1</v>
      </c>
      <c r="J1154">
        <v>4.5</v>
      </c>
      <c r="K1154">
        <v>1</v>
      </c>
      <c r="L1154">
        <v>1.4999999999999999E-2</v>
      </c>
      <c r="M1154">
        <v>1</v>
      </c>
      <c r="N1154">
        <v>74</v>
      </c>
      <c r="O1154">
        <v>1</v>
      </c>
      <c r="P1154">
        <v>0.15</v>
      </c>
      <c r="Q1154">
        <v>1</v>
      </c>
      <c r="R1154">
        <v>6.9999999999999999E-4</v>
      </c>
      <c r="T1154" t="s">
        <v>3481</v>
      </c>
    </row>
    <row r="1155" spans="1:20" x14ac:dyDescent="0.2">
      <c r="A1155" t="s">
        <v>3483</v>
      </c>
      <c r="B1155" t="s">
        <v>2022</v>
      </c>
      <c r="C1155" t="s">
        <v>2101</v>
      </c>
      <c r="D1155" t="s">
        <v>2024</v>
      </c>
      <c r="E1155" t="s">
        <v>3484</v>
      </c>
      <c r="F1155" t="s">
        <v>3485</v>
      </c>
      <c r="G1155">
        <v>2</v>
      </c>
      <c r="H1155">
        <v>1670</v>
      </c>
      <c r="I1155">
        <v>2</v>
      </c>
      <c r="J1155">
        <v>5</v>
      </c>
      <c r="K1155">
        <v>2</v>
      </c>
      <c r="L1155">
        <v>9.6500000000000002E-2</v>
      </c>
      <c r="M1155">
        <v>1</v>
      </c>
      <c r="N1155">
        <v>66</v>
      </c>
      <c r="O1155">
        <v>2</v>
      </c>
      <c r="P1155">
        <v>0.22500000000000001</v>
      </c>
      <c r="Q1155">
        <v>1</v>
      </c>
      <c r="R1155">
        <v>5.0000000000000001E-4</v>
      </c>
      <c r="T1155" t="s">
        <v>3484</v>
      </c>
    </row>
    <row r="1156" spans="1:20" x14ac:dyDescent="0.2">
      <c r="A1156" t="s">
        <v>3486</v>
      </c>
      <c r="B1156" t="s">
        <v>2022</v>
      </c>
      <c r="C1156" t="s">
        <v>2095</v>
      </c>
      <c r="D1156" t="s">
        <v>2024</v>
      </c>
      <c r="E1156" t="s">
        <v>3487</v>
      </c>
      <c r="F1156" t="s">
        <v>3488</v>
      </c>
      <c r="G1156">
        <v>1</v>
      </c>
      <c r="H1156">
        <v>1565</v>
      </c>
      <c r="I1156">
        <v>1</v>
      </c>
      <c r="J1156">
        <v>4.5</v>
      </c>
      <c r="K1156">
        <v>1</v>
      </c>
      <c r="L1156">
        <v>1.4999999999999999E-2</v>
      </c>
      <c r="M1156">
        <v>1</v>
      </c>
      <c r="N1156">
        <v>74</v>
      </c>
      <c r="O1156">
        <v>2</v>
      </c>
      <c r="P1156">
        <v>0.35</v>
      </c>
      <c r="Q1156">
        <v>1</v>
      </c>
      <c r="R1156">
        <v>6.9999999999999999E-4</v>
      </c>
      <c r="T1156" t="s">
        <v>3487</v>
      </c>
    </row>
    <row r="1157" spans="1:20" x14ac:dyDescent="0.2">
      <c r="A1157" t="s">
        <v>3489</v>
      </c>
      <c r="B1157" t="s">
        <v>2022</v>
      </c>
      <c r="C1157" t="s">
        <v>2028</v>
      </c>
      <c r="D1157" t="s">
        <v>2024</v>
      </c>
      <c r="E1157" t="s">
        <v>3490</v>
      </c>
      <c r="F1157" t="s">
        <v>3491</v>
      </c>
      <c r="G1157">
        <v>5</v>
      </c>
      <c r="H1157">
        <v>1450</v>
      </c>
      <c r="I1157">
        <v>4</v>
      </c>
      <c r="J1157">
        <v>4.95</v>
      </c>
      <c r="K1157">
        <v>4</v>
      </c>
      <c r="L1157">
        <v>0.193</v>
      </c>
      <c r="M1157">
        <v>1</v>
      </c>
      <c r="N1157">
        <v>100</v>
      </c>
      <c r="O1157">
        <v>2</v>
      </c>
      <c r="P1157">
        <v>0.45</v>
      </c>
      <c r="Q1157">
        <v>2</v>
      </c>
      <c r="R1157">
        <v>7.7499999999999999E-3</v>
      </c>
      <c r="T1157" t="s">
        <v>3490</v>
      </c>
    </row>
    <row r="1158" spans="1:20" x14ac:dyDescent="0.2">
      <c r="A1158" t="s">
        <v>3492</v>
      </c>
      <c r="B1158" t="s">
        <v>2022</v>
      </c>
      <c r="C1158" t="s">
        <v>2036</v>
      </c>
      <c r="D1158" t="s">
        <v>2024</v>
      </c>
      <c r="E1158" t="s">
        <v>3493</v>
      </c>
      <c r="F1158" t="s">
        <v>3494</v>
      </c>
      <c r="G1158">
        <v>1</v>
      </c>
      <c r="H1158">
        <v>1540</v>
      </c>
      <c r="I1158">
        <v>3</v>
      </c>
      <c r="J1158">
        <v>4.5999999999999996</v>
      </c>
      <c r="K1158">
        <v>3</v>
      </c>
      <c r="L1158">
        <v>0.115</v>
      </c>
      <c r="M1158">
        <v>1</v>
      </c>
      <c r="N1158">
        <v>76</v>
      </c>
      <c r="O1158">
        <v>2</v>
      </c>
      <c r="P1158">
        <v>0.20499999999999999</v>
      </c>
      <c r="Q1158">
        <v>3</v>
      </c>
      <c r="R1158">
        <v>6.7499999999999999E-3</v>
      </c>
      <c r="T1158" t="s">
        <v>3493</v>
      </c>
    </row>
    <row r="1159" spans="1:20" x14ac:dyDescent="0.2">
      <c r="A1159" t="s">
        <v>3495</v>
      </c>
      <c r="B1159" t="s">
        <v>2022</v>
      </c>
      <c r="C1159" t="s">
        <v>2023</v>
      </c>
      <c r="D1159" t="s">
        <v>2024</v>
      </c>
      <c r="E1159" t="s">
        <v>3496</v>
      </c>
      <c r="F1159" t="s">
        <v>3497</v>
      </c>
      <c r="G1159">
        <v>5</v>
      </c>
      <c r="H1159">
        <v>1800</v>
      </c>
      <c r="I1159">
        <v>5</v>
      </c>
      <c r="J1159">
        <v>10.9</v>
      </c>
      <c r="K1159">
        <v>5</v>
      </c>
      <c r="L1159">
        <v>8.5999999999999993E-2</v>
      </c>
      <c r="M1159">
        <v>5</v>
      </c>
      <c r="N1159">
        <v>114</v>
      </c>
      <c r="O1159">
        <v>5</v>
      </c>
      <c r="P1159">
        <v>0.67500000000000004</v>
      </c>
      <c r="Q1159">
        <v>5</v>
      </c>
      <c r="R1159">
        <v>8.0000000000000002E-3</v>
      </c>
      <c r="T1159" t="s">
        <v>3496</v>
      </c>
    </row>
    <row r="1160" spans="1:20" x14ac:dyDescent="0.2">
      <c r="A1160" t="s">
        <v>3498</v>
      </c>
      <c r="B1160" t="s">
        <v>2022</v>
      </c>
      <c r="C1160" t="s">
        <v>2023</v>
      </c>
      <c r="D1160" t="s">
        <v>2024</v>
      </c>
      <c r="E1160" t="s">
        <v>3499</v>
      </c>
      <c r="F1160" t="s">
        <v>3500</v>
      </c>
      <c r="G1160">
        <v>2</v>
      </c>
      <c r="H1160">
        <v>1560</v>
      </c>
      <c r="I1160">
        <v>2</v>
      </c>
      <c r="J1160">
        <v>3.4</v>
      </c>
      <c r="K1160">
        <v>2</v>
      </c>
      <c r="L1160">
        <v>2.5999999999999999E-2</v>
      </c>
      <c r="M1160">
        <v>3</v>
      </c>
      <c r="N1160">
        <v>94</v>
      </c>
      <c r="O1160">
        <v>2</v>
      </c>
      <c r="P1160">
        <v>0.22500000000000001</v>
      </c>
      <c r="Q1160">
        <v>2</v>
      </c>
      <c r="R1160">
        <v>2E-3</v>
      </c>
      <c r="T1160" t="s">
        <v>3499</v>
      </c>
    </row>
    <row r="1161" spans="1:20" x14ac:dyDescent="0.2">
      <c r="A1161" t="s">
        <v>3501</v>
      </c>
      <c r="B1161" t="s">
        <v>2022</v>
      </c>
      <c r="C1161" t="s">
        <v>2053</v>
      </c>
      <c r="D1161" t="s">
        <v>2136</v>
      </c>
      <c r="E1161" t="s">
        <v>3502</v>
      </c>
      <c r="F1161" t="s">
        <v>3503</v>
      </c>
      <c r="G1161">
        <v>1</v>
      </c>
      <c r="H1161">
        <v>1500</v>
      </c>
      <c r="I1161">
        <v>1</v>
      </c>
      <c r="J1161">
        <v>1.55</v>
      </c>
      <c r="K1161">
        <v>1</v>
      </c>
      <c r="L1161">
        <v>1.4999999999999999E-2</v>
      </c>
      <c r="M1161">
        <v>1</v>
      </c>
      <c r="N1161">
        <v>73</v>
      </c>
      <c r="O1161">
        <v>1</v>
      </c>
      <c r="P1161">
        <v>7.4999999999999997E-2</v>
      </c>
      <c r="Q1161">
        <v>1</v>
      </c>
      <c r="R1161">
        <v>8.4999999999999995E-4</v>
      </c>
      <c r="T1161" t="s">
        <v>3502</v>
      </c>
    </row>
    <row r="1162" spans="1:20" x14ac:dyDescent="0.2">
      <c r="A1162" t="s">
        <v>3504</v>
      </c>
      <c r="B1162" t="s">
        <v>2022</v>
      </c>
      <c r="C1162" t="s">
        <v>2101</v>
      </c>
      <c r="D1162" t="s">
        <v>2024</v>
      </c>
      <c r="E1162" t="s">
        <v>261</v>
      </c>
      <c r="F1162" t="s">
        <v>447</v>
      </c>
      <c r="G1162">
        <v>5</v>
      </c>
      <c r="H1162">
        <v>1970</v>
      </c>
      <c r="I1162">
        <v>2</v>
      </c>
      <c r="J1162">
        <v>5</v>
      </c>
      <c r="K1162">
        <v>2</v>
      </c>
      <c r="L1162">
        <v>9.6500000000000002E-2</v>
      </c>
      <c r="M1162">
        <v>3</v>
      </c>
      <c r="N1162">
        <v>82</v>
      </c>
      <c r="O1162">
        <v>2</v>
      </c>
      <c r="P1162">
        <v>0.22500000000000001</v>
      </c>
      <c r="Q1162">
        <v>2</v>
      </c>
      <c r="R1162">
        <v>4.4999999999999997E-3</v>
      </c>
      <c r="T1162" t="s">
        <v>261</v>
      </c>
    </row>
    <row r="1163" spans="1:20" x14ac:dyDescent="0.2">
      <c r="A1163" t="s">
        <v>3505</v>
      </c>
      <c r="B1163" t="s">
        <v>2022</v>
      </c>
      <c r="C1163" t="s">
        <v>2101</v>
      </c>
      <c r="D1163" t="s">
        <v>2024</v>
      </c>
      <c r="E1163" t="s">
        <v>3506</v>
      </c>
      <c r="F1163" t="s">
        <v>447</v>
      </c>
      <c r="G1163">
        <v>5</v>
      </c>
      <c r="H1163">
        <v>1970</v>
      </c>
      <c r="I1163">
        <v>2</v>
      </c>
      <c r="J1163">
        <v>5</v>
      </c>
      <c r="K1163">
        <v>2</v>
      </c>
      <c r="L1163">
        <v>9.6500000000000002E-2</v>
      </c>
      <c r="M1163">
        <v>1</v>
      </c>
      <c r="N1163">
        <v>66</v>
      </c>
      <c r="O1163">
        <v>1</v>
      </c>
      <c r="P1163">
        <v>7.4999999999999997E-2</v>
      </c>
      <c r="Q1163">
        <v>2</v>
      </c>
      <c r="R1163">
        <v>4.4999999999999997E-3</v>
      </c>
      <c r="T1163" t="s">
        <v>3506</v>
      </c>
    </row>
    <row r="1164" spans="1:20" x14ac:dyDescent="0.2">
      <c r="A1164" t="s">
        <v>3507</v>
      </c>
      <c r="B1164" t="s">
        <v>2022</v>
      </c>
      <c r="C1164" t="s">
        <v>2106</v>
      </c>
      <c r="D1164" t="s">
        <v>2024</v>
      </c>
      <c r="E1164" t="s">
        <v>3508</v>
      </c>
      <c r="F1164" t="s">
        <v>447</v>
      </c>
      <c r="G1164">
        <v>5</v>
      </c>
      <c r="H1164">
        <v>2275</v>
      </c>
      <c r="I1164">
        <v>1</v>
      </c>
      <c r="J1164">
        <v>3.25</v>
      </c>
      <c r="K1164">
        <v>2</v>
      </c>
      <c r="L1164">
        <v>0.06</v>
      </c>
      <c r="M1164">
        <v>4</v>
      </c>
      <c r="N1164">
        <v>82.5</v>
      </c>
      <c r="O1164">
        <v>2</v>
      </c>
      <c r="P1164">
        <v>0.15</v>
      </c>
      <c r="Q1164">
        <v>2</v>
      </c>
      <c r="R1164">
        <v>2.5000000000000001E-3</v>
      </c>
      <c r="T1164" t="s">
        <v>3508</v>
      </c>
    </row>
    <row r="1165" spans="1:20" x14ac:dyDescent="0.2">
      <c r="A1165" t="s">
        <v>3509</v>
      </c>
      <c r="B1165" t="s">
        <v>2022</v>
      </c>
      <c r="C1165" t="s">
        <v>2023</v>
      </c>
      <c r="D1165" t="s">
        <v>2024</v>
      </c>
      <c r="E1165" t="s">
        <v>3510</v>
      </c>
      <c r="F1165" t="s">
        <v>447</v>
      </c>
      <c r="G1165">
        <v>3</v>
      </c>
      <c r="H1165">
        <v>1640</v>
      </c>
      <c r="I1165">
        <v>2</v>
      </c>
      <c r="J1165">
        <v>3.4</v>
      </c>
      <c r="K1165">
        <v>4</v>
      </c>
      <c r="L1165">
        <v>6.6000000000000003E-2</v>
      </c>
      <c r="M1165">
        <v>2</v>
      </c>
      <c r="N1165">
        <v>84</v>
      </c>
      <c r="O1165">
        <v>1</v>
      </c>
      <c r="P1165">
        <v>7.4999999999999997E-2</v>
      </c>
      <c r="Q1165">
        <v>3</v>
      </c>
      <c r="R1165">
        <v>4.0000000000000001E-3</v>
      </c>
      <c r="T1165" t="s">
        <v>3510</v>
      </c>
    </row>
    <row r="1166" spans="1:20" x14ac:dyDescent="0.2">
      <c r="A1166" t="s">
        <v>3511</v>
      </c>
      <c r="B1166" t="s">
        <v>2022</v>
      </c>
      <c r="C1166" t="s">
        <v>2053</v>
      </c>
      <c r="D1166" t="s">
        <v>2024</v>
      </c>
      <c r="E1166" t="s">
        <v>3512</v>
      </c>
      <c r="F1166" t="s">
        <v>447</v>
      </c>
      <c r="G1166">
        <v>5</v>
      </c>
      <c r="H1166">
        <v>1900</v>
      </c>
      <c r="I1166">
        <v>2</v>
      </c>
      <c r="J1166">
        <v>4.05</v>
      </c>
      <c r="K1166">
        <v>2</v>
      </c>
      <c r="L1166">
        <v>8.5000000000000006E-2</v>
      </c>
      <c r="M1166">
        <v>1</v>
      </c>
      <c r="N1166">
        <v>73</v>
      </c>
      <c r="O1166">
        <v>1</v>
      </c>
      <c r="P1166">
        <v>7.4999999999999997E-2</v>
      </c>
      <c r="Q1166">
        <v>2</v>
      </c>
      <c r="R1166">
        <v>5.1999999999999998E-3</v>
      </c>
      <c r="T1166" t="s">
        <v>3512</v>
      </c>
    </row>
    <row r="1167" spans="1:20" x14ac:dyDescent="0.2">
      <c r="A1167" t="s">
        <v>3513</v>
      </c>
      <c r="B1167" t="s">
        <v>2022</v>
      </c>
      <c r="C1167" t="s">
        <v>2036</v>
      </c>
      <c r="D1167" t="s">
        <v>2024</v>
      </c>
      <c r="E1167" t="s">
        <v>3514</v>
      </c>
      <c r="F1167" t="s">
        <v>447</v>
      </c>
      <c r="G1167">
        <v>1</v>
      </c>
      <c r="H1167">
        <v>1540</v>
      </c>
      <c r="I1167">
        <v>3</v>
      </c>
      <c r="J1167">
        <v>4.5999999999999996</v>
      </c>
      <c r="K1167">
        <v>5</v>
      </c>
      <c r="L1167">
        <v>0.17499999999999999</v>
      </c>
      <c r="M1167">
        <v>1</v>
      </c>
      <c r="N1167">
        <v>76</v>
      </c>
      <c r="O1167">
        <v>2</v>
      </c>
      <c r="P1167">
        <v>0.20499999999999999</v>
      </c>
      <c r="Q1167">
        <v>3</v>
      </c>
      <c r="R1167">
        <v>6.7499999999999999E-3</v>
      </c>
      <c r="T1167" t="s">
        <v>3514</v>
      </c>
    </row>
    <row r="1168" spans="1:20" x14ac:dyDescent="0.2">
      <c r="A1168" t="s">
        <v>3515</v>
      </c>
      <c r="B1168" t="s">
        <v>2022</v>
      </c>
      <c r="C1168" t="s">
        <v>2023</v>
      </c>
      <c r="D1168" t="s">
        <v>2024</v>
      </c>
      <c r="E1168" t="s">
        <v>3516</v>
      </c>
      <c r="F1168" t="s">
        <v>3517</v>
      </c>
      <c r="G1168">
        <v>3</v>
      </c>
      <c r="H1168">
        <v>1640</v>
      </c>
      <c r="I1168">
        <v>3</v>
      </c>
      <c r="J1168">
        <v>5.9</v>
      </c>
      <c r="K1168">
        <v>2</v>
      </c>
      <c r="L1168">
        <v>2.5999999999999999E-2</v>
      </c>
      <c r="M1168">
        <v>1</v>
      </c>
      <c r="N1168">
        <v>74</v>
      </c>
      <c r="O1168">
        <v>2</v>
      </c>
      <c r="P1168">
        <v>0.22500000000000001</v>
      </c>
      <c r="Q1168">
        <v>1</v>
      </c>
      <c r="R1168">
        <v>5.0000000000000001E-4</v>
      </c>
      <c r="T1168" t="s">
        <v>3516</v>
      </c>
    </row>
    <row r="1169" spans="1:20" x14ac:dyDescent="0.2">
      <c r="A1169" t="s">
        <v>3518</v>
      </c>
      <c r="B1169" t="s">
        <v>2022</v>
      </c>
      <c r="C1169" t="s">
        <v>2053</v>
      </c>
      <c r="D1169" t="s">
        <v>2024</v>
      </c>
      <c r="E1169" t="s">
        <v>3519</v>
      </c>
      <c r="F1169" t="s">
        <v>3520</v>
      </c>
      <c r="G1169">
        <v>1</v>
      </c>
      <c r="H1169">
        <v>1500</v>
      </c>
      <c r="I1169">
        <v>1</v>
      </c>
      <c r="J1169">
        <v>1.55</v>
      </c>
      <c r="K1169">
        <v>1</v>
      </c>
      <c r="L1169">
        <v>1.4999999999999999E-2</v>
      </c>
      <c r="M1169">
        <v>1</v>
      </c>
      <c r="N1169">
        <v>73</v>
      </c>
      <c r="O1169">
        <v>1</v>
      </c>
      <c r="P1169">
        <v>7.4999999999999997E-2</v>
      </c>
      <c r="Q1169">
        <v>1</v>
      </c>
      <c r="R1169">
        <v>8.4999999999999995E-4</v>
      </c>
      <c r="T1169" t="s">
        <v>3519</v>
      </c>
    </row>
    <row r="1170" spans="1:20" x14ac:dyDescent="0.2">
      <c r="A1170" t="s">
        <v>3521</v>
      </c>
      <c r="B1170" t="s">
        <v>2022</v>
      </c>
      <c r="C1170" t="s">
        <v>2023</v>
      </c>
      <c r="D1170" t="s">
        <v>2024</v>
      </c>
      <c r="E1170" t="s">
        <v>3522</v>
      </c>
      <c r="F1170" t="s">
        <v>3523</v>
      </c>
      <c r="G1170">
        <v>1</v>
      </c>
      <c r="H1170">
        <v>1480</v>
      </c>
      <c r="I1170">
        <v>1</v>
      </c>
      <c r="J1170">
        <v>0.9</v>
      </c>
      <c r="K1170">
        <v>1</v>
      </c>
      <c r="L1170">
        <v>6.0000000000000001E-3</v>
      </c>
      <c r="M1170">
        <v>2</v>
      </c>
      <c r="N1170">
        <v>84</v>
      </c>
      <c r="O1170">
        <v>1</v>
      </c>
      <c r="P1170">
        <v>7.4999999999999997E-2</v>
      </c>
      <c r="Q1170">
        <v>1</v>
      </c>
      <c r="R1170">
        <v>5.0000000000000001E-4</v>
      </c>
      <c r="T1170" t="s">
        <v>3522</v>
      </c>
    </row>
    <row r="1171" spans="1:20" x14ac:dyDescent="0.2">
      <c r="A1171" t="s">
        <v>3524</v>
      </c>
      <c r="B1171" t="s">
        <v>2022</v>
      </c>
      <c r="C1171" t="s">
        <v>2036</v>
      </c>
      <c r="D1171" t="s">
        <v>2024</v>
      </c>
      <c r="E1171" t="s">
        <v>3525</v>
      </c>
      <c r="F1171" t="s">
        <v>3526</v>
      </c>
      <c r="G1171">
        <v>4</v>
      </c>
      <c r="H1171">
        <v>1840</v>
      </c>
      <c r="I1171">
        <v>5</v>
      </c>
      <c r="J1171">
        <v>7</v>
      </c>
      <c r="K1171">
        <v>4</v>
      </c>
      <c r="L1171">
        <v>0.14499999999999999</v>
      </c>
      <c r="M1171">
        <v>4</v>
      </c>
      <c r="N1171">
        <v>94</v>
      </c>
      <c r="O1171">
        <v>5</v>
      </c>
      <c r="P1171">
        <v>0.53500000000000003</v>
      </c>
      <c r="Q1171">
        <v>3</v>
      </c>
      <c r="R1171">
        <v>6.7499999999999999E-3</v>
      </c>
      <c r="T1171" t="s">
        <v>3525</v>
      </c>
    </row>
    <row r="1172" spans="1:20" x14ac:dyDescent="0.2">
      <c r="A1172" t="s">
        <v>3527</v>
      </c>
      <c r="B1172" t="s">
        <v>2022</v>
      </c>
      <c r="C1172" t="s">
        <v>2023</v>
      </c>
      <c r="D1172" t="s">
        <v>2024</v>
      </c>
      <c r="E1172" t="s">
        <v>3528</v>
      </c>
      <c r="F1172" t="s">
        <v>3529</v>
      </c>
      <c r="G1172">
        <v>1</v>
      </c>
      <c r="H1172">
        <v>1480</v>
      </c>
      <c r="I1172">
        <v>1</v>
      </c>
      <c r="J1172">
        <v>0.9</v>
      </c>
      <c r="K1172">
        <v>1</v>
      </c>
      <c r="L1172">
        <v>6.0000000000000001E-3</v>
      </c>
      <c r="M1172">
        <v>1</v>
      </c>
      <c r="N1172">
        <v>74</v>
      </c>
      <c r="O1172">
        <v>1</v>
      </c>
      <c r="P1172">
        <v>7.4999999999999997E-2</v>
      </c>
      <c r="Q1172">
        <v>1</v>
      </c>
      <c r="R1172">
        <v>5.0000000000000001E-4</v>
      </c>
      <c r="T1172" t="s">
        <v>3528</v>
      </c>
    </row>
    <row r="1173" spans="1:20" x14ac:dyDescent="0.2">
      <c r="A1173" t="s">
        <v>3530</v>
      </c>
      <c r="B1173" t="s">
        <v>2022</v>
      </c>
      <c r="C1173" t="s">
        <v>2053</v>
      </c>
      <c r="D1173" t="s">
        <v>2024</v>
      </c>
      <c r="E1173" t="s">
        <v>3531</v>
      </c>
      <c r="F1173" t="s">
        <v>3532</v>
      </c>
      <c r="G1173">
        <v>3</v>
      </c>
      <c r="H1173">
        <v>1700</v>
      </c>
      <c r="I1173">
        <v>5</v>
      </c>
      <c r="J1173">
        <v>11.55</v>
      </c>
      <c r="K1173">
        <v>5</v>
      </c>
      <c r="L1173">
        <v>0.41499999999999998</v>
      </c>
      <c r="M1173">
        <v>2</v>
      </c>
      <c r="N1173">
        <v>83</v>
      </c>
      <c r="O1173">
        <v>5</v>
      </c>
      <c r="P1173">
        <v>0.67500000000000004</v>
      </c>
      <c r="Q1173">
        <v>5</v>
      </c>
      <c r="R1173">
        <v>2.6200000000000001E-2</v>
      </c>
      <c r="T1173" t="s">
        <v>3531</v>
      </c>
    </row>
    <row r="1174" spans="1:20" x14ac:dyDescent="0.2">
      <c r="A1174" t="s">
        <v>3533</v>
      </c>
      <c r="B1174" t="s">
        <v>2022</v>
      </c>
      <c r="C1174" t="s">
        <v>2023</v>
      </c>
      <c r="D1174" t="s">
        <v>2024</v>
      </c>
      <c r="E1174" t="s">
        <v>3534</v>
      </c>
      <c r="F1174" t="s">
        <v>3535</v>
      </c>
      <c r="G1174">
        <v>5</v>
      </c>
      <c r="H1174">
        <v>1800</v>
      </c>
      <c r="I1174">
        <v>2</v>
      </c>
      <c r="J1174">
        <v>3.4</v>
      </c>
      <c r="K1174">
        <v>5</v>
      </c>
      <c r="L1174">
        <v>8.5999999999999993E-2</v>
      </c>
      <c r="M1174">
        <v>3</v>
      </c>
      <c r="N1174">
        <v>94</v>
      </c>
      <c r="O1174">
        <v>2</v>
      </c>
      <c r="P1174">
        <v>0.22500000000000001</v>
      </c>
      <c r="Q1174">
        <v>3</v>
      </c>
      <c r="R1174">
        <v>4.0000000000000001E-3</v>
      </c>
      <c r="T1174" t="s">
        <v>3534</v>
      </c>
    </row>
    <row r="1175" spans="1:20" x14ac:dyDescent="0.2">
      <c r="A1175" t="s">
        <v>3536</v>
      </c>
      <c r="B1175" t="s">
        <v>2022</v>
      </c>
      <c r="C1175" t="s">
        <v>2023</v>
      </c>
      <c r="D1175" t="s">
        <v>2024</v>
      </c>
      <c r="E1175" t="s">
        <v>3537</v>
      </c>
      <c r="F1175" t="s">
        <v>3538</v>
      </c>
      <c r="G1175">
        <v>4</v>
      </c>
      <c r="H1175">
        <v>1720</v>
      </c>
      <c r="I1175">
        <v>2</v>
      </c>
      <c r="J1175">
        <v>3.4</v>
      </c>
      <c r="K1175">
        <v>2</v>
      </c>
      <c r="L1175">
        <v>2.5999999999999999E-2</v>
      </c>
      <c r="M1175">
        <v>4</v>
      </c>
      <c r="N1175">
        <v>104</v>
      </c>
      <c r="O1175">
        <v>1</v>
      </c>
      <c r="P1175">
        <v>7.4999999999999997E-2</v>
      </c>
      <c r="Q1175">
        <v>2</v>
      </c>
      <c r="R1175">
        <v>2E-3</v>
      </c>
      <c r="T1175" t="s">
        <v>3537</v>
      </c>
    </row>
    <row r="1176" spans="1:20" x14ac:dyDescent="0.2">
      <c r="A1176" t="s">
        <v>3539</v>
      </c>
      <c r="B1176" t="s">
        <v>2022</v>
      </c>
      <c r="C1176" t="s">
        <v>2101</v>
      </c>
      <c r="D1176" t="s">
        <v>2024</v>
      </c>
      <c r="E1176" t="s">
        <v>3540</v>
      </c>
      <c r="F1176" t="s">
        <v>3541</v>
      </c>
      <c r="G1176">
        <v>2</v>
      </c>
      <c r="H1176">
        <v>1670</v>
      </c>
      <c r="I1176">
        <v>1</v>
      </c>
      <c r="J1176">
        <v>2</v>
      </c>
      <c r="K1176">
        <v>1</v>
      </c>
      <c r="L1176">
        <v>1.15E-2</v>
      </c>
      <c r="M1176">
        <v>2</v>
      </c>
      <c r="N1176">
        <v>74</v>
      </c>
      <c r="O1176">
        <v>1</v>
      </c>
      <c r="P1176">
        <v>7.4999999999999997E-2</v>
      </c>
      <c r="Q1176">
        <v>1</v>
      </c>
      <c r="R1176">
        <v>5.0000000000000001E-4</v>
      </c>
      <c r="T1176" t="s">
        <v>3540</v>
      </c>
    </row>
    <row r="1177" spans="1:20" x14ac:dyDescent="0.2">
      <c r="A1177" t="s">
        <v>3542</v>
      </c>
      <c r="B1177" t="s">
        <v>2022</v>
      </c>
      <c r="C1177" t="s">
        <v>2036</v>
      </c>
      <c r="D1177" t="s">
        <v>2024</v>
      </c>
      <c r="E1177" t="s">
        <v>3540</v>
      </c>
      <c r="F1177" t="s">
        <v>3541</v>
      </c>
      <c r="G1177">
        <v>2</v>
      </c>
      <c r="H1177">
        <v>1640</v>
      </c>
      <c r="I1177">
        <v>2</v>
      </c>
      <c r="J1177">
        <v>3.4</v>
      </c>
      <c r="K1177">
        <v>2</v>
      </c>
      <c r="L1177">
        <v>8.5000000000000006E-2</v>
      </c>
      <c r="M1177">
        <v>2</v>
      </c>
      <c r="N1177">
        <v>82</v>
      </c>
      <c r="O1177">
        <v>1</v>
      </c>
      <c r="P1177">
        <v>9.5000000000000001E-2</v>
      </c>
      <c r="Q1177">
        <v>2</v>
      </c>
      <c r="R1177">
        <v>4.2500000000000003E-3</v>
      </c>
      <c r="T1177" t="s">
        <v>3540</v>
      </c>
    </row>
    <row r="1178" spans="1:20" x14ac:dyDescent="0.2">
      <c r="A1178" t="s">
        <v>3543</v>
      </c>
      <c r="B1178" t="s">
        <v>2022</v>
      </c>
      <c r="C1178" t="s">
        <v>2023</v>
      </c>
      <c r="D1178" t="s">
        <v>2024</v>
      </c>
      <c r="E1178" t="s">
        <v>3544</v>
      </c>
      <c r="F1178" t="s">
        <v>3545</v>
      </c>
      <c r="G1178">
        <v>1</v>
      </c>
      <c r="H1178">
        <v>1480</v>
      </c>
      <c r="I1178">
        <v>2</v>
      </c>
      <c r="J1178">
        <v>3.4</v>
      </c>
      <c r="K1178">
        <v>2</v>
      </c>
      <c r="L1178">
        <v>2.5999999999999999E-2</v>
      </c>
      <c r="M1178">
        <v>1</v>
      </c>
      <c r="N1178">
        <v>74</v>
      </c>
      <c r="O1178">
        <v>1</v>
      </c>
      <c r="P1178">
        <v>7.4999999999999997E-2</v>
      </c>
      <c r="Q1178">
        <v>1</v>
      </c>
      <c r="R1178">
        <v>5.0000000000000001E-4</v>
      </c>
      <c r="T1178" t="s">
        <v>3544</v>
      </c>
    </row>
    <row r="1179" spans="1:20" x14ac:dyDescent="0.2">
      <c r="A1179" t="s">
        <v>3546</v>
      </c>
      <c r="B1179" t="s">
        <v>2022</v>
      </c>
      <c r="C1179" t="s">
        <v>2023</v>
      </c>
      <c r="D1179" t="s">
        <v>2024</v>
      </c>
      <c r="E1179" t="s">
        <v>3547</v>
      </c>
      <c r="F1179" t="s">
        <v>3548</v>
      </c>
      <c r="G1179">
        <v>3</v>
      </c>
      <c r="H1179">
        <v>1640</v>
      </c>
      <c r="I1179">
        <v>2</v>
      </c>
      <c r="J1179">
        <v>3.4</v>
      </c>
      <c r="K1179">
        <v>2</v>
      </c>
      <c r="L1179">
        <v>2.5999999999999999E-2</v>
      </c>
      <c r="M1179">
        <v>2</v>
      </c>
      <c r="N1179">
        <v>84</v>
      </c>
      <c r="O1179">
        <v>2</v>
      </c>
      <c r="P1179">
        <v>0.22500000000000001</v>
      </c>
      <c r="Q1179">
        <v>2</v>
      </c>
      <c r="R1179">
        <v>2E-3</v>
      </c>
      <c r="T1179" t="s">
        <v>3547</v>
      </c>
    </row>
    <row r="1180" spans="1:20" x14ac:dyDescent="0.2">
      <c r="A1180" t="s">
        <v>3549</v>
      </c>
      <c r="B1180" t="s">
        <v>2022</v>
      </c>
      <c r="C1180" t="s">
        <v>2023</v>
      </c>
      <c r="D1180" t="s">
        <v>2024</v>
      </c>
      <c r="E1180" t="s">
        <v>3550</v>
      </c>
      <c r="F1180" t="s">
        <v>3551</v>
      </c>
      <c r="G1180">
        <v>3</v>
      </c>
      <c r="H1180">
        <v>1640</v>
      </c>
      <c r="I1180">
        <v>2</v>
      </c>
      <c r="J1180">
        <v>3.4</v>
      </c>
      <c r="K1180">
        <v>2</v>
      </c>
      <c r="L1180">
        <v>2.5999999999999999E-2</v>
      </c>
      <c r="M1180">
        <v>2</v>
      </c>
      <c r="N1180">
        <v>84</v>
      </c>
      <c r="O1180">
        <v>1</v>
      </c>
      <c r="P1180">
        <v>7.4999999999999997E-2</v>
      </c>
      <c r="Q1180">
        <v>2</v>
      </c>
      <c r="R1180">
        <v>2E-3</v>
      </c>
      <c r="T1180" t="s">
        <v>3550</v>
      </c>
    </row>
    <row r="1181" spans="1:20" x14ac:dyDescent="0.2">
      <c r="A1181" t="s">
        <v>3552</v>
      </c>
      <c r="B1181" t="s">
        <v>2022</v>
      </c>
      <c r="C1181" t="s">
        <v>2257</v>
      </c>
      <c r="D1181" t="s">
        <v>2024</v>
      </c>
      <c r="E1181" t="s">
        <v>3553</v>
      </c>
      <c r="F1181" t="s">
        <v>3554</v>
      </c>
      <c r="G1181">
        <v>1</v>
      </c>
      <c r="H1181">
        <v>900</v>
      </c>
      <c r="I1181">
        <v>3</v>
      </c>
      <c r="J1181">
        <v>3.05</v>
      </c>
      <c r="K1181">
        <v>4</v>
      </c>
      <c r="L1181">
        <v>0.13700000000000001</v>
      </c>
      <c r="M1181">
        <v>2</v>
      </c>
      <c r="N1181">
        <v>500</v>
      </c>
      <c r="O1181">
        <v>4</v>
      </c>
      <c r="P1181">
        <v>2.1</v>
      </c>
      <c r="Q1181">
        <v>5</v>
      </c>
      <c r="R1181">
        <v>8.1000000000000003E-2</v>
      </c>
      <c r="T1181" t="s">
        <v>3553</v>
      </c>
    </row>
    <row r="1182" spans="1:20" x14ac:dyDescent="0.2">
      <c r="A1182" t="s">
        <v>3555</v>
      </c>
      <c r="B1182" t="s">
        <v>2022</v>
      </c>
      <c r="C1182" t="s">
        <v>2101</v>
      </c>
      <c r="D1182" t="s">
        <v>2024</v>
      </c>
      <c r="E1182" t="s">
        <v>3556</v>
      </c>
      <c r="F1182" t="s">
        <v>3557</v>
      </c>
      <c r="G1182">
        <v>5</v>
      </c>
      <c r="H1182">
        <v>1970</v>
      </c>
      <c r="I1182">
        <v>3</v>
      </c>
      <c r="J1182">
        <v>8</v>
      </c>
      <c r="K1182">
        <v>3</v>
      </c>
      <c r="L1182">
        <v>0.24349999999999999</v>
      </c>
      <c r="M1182">
        <v>3</v>
      </c>
      <c r="N1182">
        <v>82</v>
      </c>
      <c r="O1182">
        <v>3</v>
      </c>
      <c r="P1182">
        <v>0.375</v>
      </c>
      <c r="Q1182">
        <v>3</v>
      </c>
      <c r="R1182">
        <v>1.15E-2</v>
      </c>
      <c r="T1182" t="s">
        <v>3556</v>
      </c>
    </row>
    <row r="1183" spans="1:20" x14ac:dyDescent="0.2">
      <c r="A1183" t="s">
        <v>3558</v>
      </c>
      <c r="B1183" t="s">
        <v>2022</v>
      </c>
      <c r="C1183" t="s">
        <v>2053</v>
      </c>
      <c r="D1183" t="s">
        <v>2024</v>
      </c>
      <c r="E1183" t="s">
        <v>3559</v>
      </c>
      <c r="F1183" t="s">
        <v>447</v>
      </c>
      <c r="G1183">
        <v>1</v>
      </c>
      <c r="H1183">
        <v>1500</v>
      </c>
      <c r="I1183">
        <v>2</v>
      </c>
      <c r="J1183">
        <v>4.05</v>
      </c>
      <c r="K1183">
        <v>2</v>
      </c>
      <c r="L1183">
        <v>8.5000000000000006E-2</v>
      </c>
      <c r="M1183">
        <v>1</v>
      </c>
      <c r="N1183">
        <v>73</v>
      </c>
      <c r="O1183">
        <v>2</v>
      </c>
      <c r="P1183">
        <v>0.22500000000000001</v>
      </c>
      <c r="Q1183">
        <v>2</v>
      </c>
      <c r="R1183">
        <v>5.1999999999999998E-3</v>
      </c>
      <c r="T1183" t="s">
        <v>3559</v>
      </c>
    </row>
    <row r="1184" spans="1:20" x14ac:dyDescent="0.2">
      <c r="A1184" t="s">
        <v>3560</v>
      </c>
      <c r="B1184" t="s">
        <v>2022</v>
      </c>
      <c r="C1184" t="s">
        <v>2023</v>
      </c>
      <c r="D1184" t="s">
        <v>2024</v>
      </c>
      <c r="E1184" t="s">
        <v>3561</v>
      </c>
      <c r="F1184" t="s">
        <v>3562</v>
      </c>
      <c r="G1184">
        <v>1</v>
      </c>
      <c r="H1184">
        <v>1480</v>
      </c>
      <c r="I1184">
        <v>1</v>
      </c>
      <c r="J1184">
        <v>0.9</v>
      </c>
      <c r="K1184">
        <v>2</v>
      </c>
      <c r="L1184">
        <v>2.5999999999999999E-2</v>
      </c>
      <c r="M1184">
        <v>2</v>
      </c>
      <c r="N1184">
        <v>84</v>
      </c>
      <c r="O1184">
        <v>1</v>
      </c>
      <c r="P1184">
        <v>7.4999999999999997E-2</v>
      </c>
      <c r="Q1184">
        <v>2</v>
      </c>
      <c r="R1184">
        <v>2E-3</v>
      </c>
      <c r="T1184" t="s">
        <v>3561</v>
      </c>
    </row>
    <row r="1185" spans="1:20" x14ac:dyDescent="0.2">
      <c r="A1185" t="s">
        <v>3563</v>
      </c>
      <c r="B1185" t="s">
        <v>2022</v>
      </c>
      <c r="C1185" t="s">
        <v>2036</v>
      </c>
      <c r="D1185" t="s">
        <v>2024</v>
      </c>
      <c r="E1185" t="s">
        <v>3564</v>
      </c>
      <c r="F1185" t="s">
        <v>3565</v>
      </c>
      <c r="G1185">
        <v>2</v>
      </c>
      <c r="H1185">
        <v>1640</v>
      </c>
      <c r="I1185">
        <v>2</v>
      </c>
      <c r="J1185">
        <v>3.4</v>
      </c>
      <c r="K1185">
        <v>2</v>
      </c>
      <c r="L1185">
        <v>8.5000000000000006E-2</v>
      </c>
      <c r="M1185">
        <v>2</v>
      </c>
      <c r="N1185">
        <v>82</v>
      </c>
      <c r="O1185">
        <v>1</v>
      </c>
      <c r="P1185">
        <v>9.5000000000000001E-2</v>
      </c>
      <c r="Q1185">
        <v>2</v>
      </c>
      <c r="R1185">
        <v>4.2500000000000003E-3</v>
      </c>
      <c r="T1185" t="s">
        <v>3564</v>
      </c>
    </row>
    <row r="1186" spans="1:20" x14ac:dyDescent="0.2">
      <c r="A1186" t="s">
        <v>3566</v>
      </c>
      <c r="B1186" t="s">
        <v>2022</v>
      </c>
      <c r="C1186" t="s">
        <v>2173</v>
      </c>
      <c r="D1186" t="s">
        <v>2024</v>
      </c>
      <c r="E1186" t="s">
        <v>3567</v>
      </c>
      <c r="F1186" t="s">
        <v>3568</v>
      </c>
      <c r="G1186">
        <v>5</v>
      </c>
      <c r="H1186">
        <v>2182.5</v>
      </c>
      <c r="I1186">
        <v>2</v>
      </c>
      <c r="J1186">
        <v>6.35</v>
      </c>
      <c r="K1186">
        <v>2</v>
      </c>
      <c r="L1186">
        <v>0.09</v>
      </c>
      <c r="M1186">
        <v>2</v>
      </c>
      <c r="N1186">
        <v>107.5</v>
      </c>
      <c r="O1186">
        <v>2</v>
      </c>
      <c r="P1186">
        <v>0.33</v>
      </c>
      <c r="Q1186">
        <v>2</v>
      </c>
      <c r="R1186">
        <v>4.7999999999999996E-3</v>
      </c>
      <c r="T1186" t="s">
        <v>3567</v>
      </c>
    </row>
    <row r="1187" spans="1:20" x14ac:dyDescent="0.2">
      <c r="A1187" t="s">
        <v>3569</v>
      </c>
      <c r="B1187" t="s">
        <v>2022</v>
      </c>
      <c r="C1187" t="s">
        <v>2023</v>
      </c>
      <c r="D1187" t="s">
        <v>2024</v>
      </c>
      <c r="E1187" t="s">
        <v>290</v>
      </c>
      <c r="F1187" t="s">
        <v>3570</v>
      </c>
      <c r="G1187">
        <v>2</v>
      </c>
      <c r="H1187">
        <v>1560</v>
      </c>
      <c r="I1187">
        <v>1</v>
      </c>
      <c r="J1187">
        <v>0.9</v>
      </c>
      <c r="K1187">
        <v>1</v>
      </c>
      <c r="L1187">
        <v>6.0000000000000001E-3</v>
      </c>
      <c r="M1187">
        <v>1</v>
      </c>
      <c r="N1187">
        <v>74</v>
      </c>
      <c r="O1187">
        <v>1</v>
      </c>
      <c r="P1187">
        <v>7.4999999999999997E-2</v>
      </c>
      <c r="Q1187">
        <v>1</v>
      </c>
      <c r="R1187">
        <v>5.0000000000000001E-4</v>
      </c>
      <c r="T1187" t="s">
        <v>290</v>
      </c>
    </row>
    <row r="1188" spans="1:20" x14ac:dyDescent="0.2">
      <c r="A1188" t="s">
        <v>3571</v>
      </c>
      <c r="B1188" t="s">
        <v>2022</v>
      </c>
      <c r="C1188" t="s">
        <v>2053</v>
      </c>
      <c r="D1188" t="s">
        <v>2154</v>
      </c>
      <c r="E1188" t="s">
        <v>3572</v>
      </c>
      <c r="F1188" t="s">
        <v>3573</v>
      </c>
      <c r="G1188">
        <v>1</v>
      </c>
      <c r="H1188">
        <v>1500</v>
      </c>
      <c r="I1188">
        <v>2</v>
      </c>
      <c r="J1188">
        <v>4.05</v>
      </c>
      <c r="K1188">
        <v>3</v>
      </c>
      <c r="L1188">
        <v>0.19500000000000001</v>
      </c>
      <c r="M1188">
        <v>5</v>
      </c>
      <c r="N1188">
        <v>113</v>
      </c>
      <c r="O1188">
        <v>5</v>
      </c>
      <c r="P1188">
        <v>0.67500000000000004</v>
      </c>
      <c r="Q1188">
        <v>5</v>
      </c>
      <c r="R1188">
        <v>2.6200000000000001E-2</v>
      </c>
      <c r="T1188" t="s">
        <v>3572</v>
      </c>
    </row>
    <row r="1189" spans="1:20" x14ac:dyDescent="0.2">
      <c r="A1189" t="s">
        <v>3574</v>
      </c>
      <c r="B1189" t="s">
        <v>2022</v>
      </c>
      <c r="C1189" t="s">
        <v>2023</v>
      </c>
      <c r="D1189" t="s">
        <v>2024</v>
      </c>
      <c r="E1189" t="s">
        <v>3575</v>
      </c>
      <c r="F1189" t="s">
        <v>3576</v>
      </c>
      <c r="G1189">
        <v>3</v>
      </c>
      <c r="H1189">
        <v>1640</v>
      </c>
      <c r="I1189">
        <v>3</v>
      </c>
      <c r="J1189">
        <v>5.9</v>
      </c>
      <c r="K1189">
        <v>5</v>
      </c>
      <c r="L1189">
        <v>8.5999999999999993E-2</v>
      </c>
      <c r="M1189">
        <v>2</v>
      </c>
      <c r="N1189">
        <v>84</v>
      </c>
      <c r="O1189">
        <v>3</v>
      </c>
      <c r="P1189">
        <v>0.375</v>
      </c>
      <c r="Q1189">
        <v>5</v>
      </c>
      <c r="R1189">
        <v>8.0000000000000002E-3</v>
      </c>
      <c r="T1189" t="s">
        <v>3575</v>
      </c>
    </row>
    <row r="1190" spans="1:20" x14ac:dyDescent="0.2">
      <c r="A1190" t="s">
        <v>3577</v>
      </c>
      <c r="B1190" t="s">
        <v>2022</v>
      </c>
      <c r="C1190" t="s">
        <v>2023</v>
      </c>
      <c r="D1190" t="s">
        <v>2024</v>
      </c>
      <c r="E1190" t="s">
        <v>3575</v>
      </c>
      <c r="F1190" t="s">
        <v>3576</v>
      </c>
      <c r="G1190">
        <v>5</v>
      </c>
      <c r="H1190">
        <v>1800</v>
      </c>
      <c r="I1190">
        <v>5</v>
      </c>
      <c r="J1190">
        <v>10.9</v>
      </c>
      <c r="K1190">
        <v>5</v>
      </c>
      <c r="L1190">
        <v>8.5999999999999993E-2</v>
      </c>
      <c r="M1190">
        <v>3</v>
      </c>
      <c r="N1190">
        <v>94</v>
      </c>
      <c r="O1190">
        <v>5</v>
      </c>
      <c r="P1190">
        <v>0.67500000000000004</v>
      </c>
      <c r="Q1190">
        <v>5</v>
      </c>
      <c r="R1190">
        <v>8.0000000000000002E-3</v>
      </c>
      <c r="T1190" t="s">
        <v>3575</v>
      </c>
    </row>
    <row r="1191" spans="1:20" x14ac:dyDescent="0.2">
      <c r="A1191" t="s">
        <v>3578</v>
      </c>
      <c r="B1191" t="s">
        <v>2022</v>
      </c>
      <c r="C1191" t="s">
        <v>2023</v>
      </c>
      <c r="D1191" t="s">
        <v>2024</v>
      </c>
      <c r="E1191" t="s">
        <v>3579</v>
      </c>
      <c r="F1191" t="s">
        <v>3580</v>
      </c>
      <c r="G1191">
        <v>1</v>
      </c>
      <c r="H1191">
        <v>1480</v>
      </c>
      <c r="I1191">
        <v>1</v>
      </c>
      <c r="J1191">
        <v>0.9</v>
      </c>
      <c r="K1191">
        <v>1</v>
      </c>
      <c r="L1191">
        <v>6.0000000000000001E-3</v>
      </c>
      <c r="M1191">
        <v>4</v>
      </c>
      <c r="N1191">
        <v>104</v>
      </c>
      <c r="O1191">
        <v>2</v>
      </c>
      <c r="P1191">
        <v>0.22500000000000001</v>
      </c>
      <c r="Q1191">
        <v>1</v>
      </c>
      <c r="R1191">
        <v>5.0000000000000001E-4</v>
      </c>
      <c r="T1191" t="s">
        <v>3579</v>
      </c>
    </row>
    <row r="1192" spans="1:20" x14ac:dyDescent="0.2">
      <c r="A1192" t="s">
        <v>3581</v>
      </c>
      <c r="B1192" t="s">
        <v>2022</v>
      </c>
      <c r="C1192" t="s">
        <v>2023</v>
      </c>
      <c r="D1192" t="s">
        <v>2024</v>
      </c>
      <c r="E1192" t="s">
        <v>3582</v>
      </c>
      <c r="F1192" t="s">
        <v>3583</v>
      </c>
      <c r="G1192">
        <v>2</v>
      </c>
      <c r="H1192">
        <v>1560</v>
      </c>
      <c r="I1192">
        <v>3</v>
      </c>
      <c r="J1192">
        <v>5.9</v>
      </c>
      <c r="K1192">
        <v>5</v>
      </c>
      <c r="L1192">
        <v>8.5999999999999993E-2</v>
      </c>
      <c r="M1192">
        <v>3</v>
      </c>
      <c r="N1192">
        <v>94</v>
      </c>
      <c r="O1192">
        <v>3</v>
      </c>
      <c r="P1192">
        <v>0.375</v>
      </c>
      <c r="Q1192">
        <v>4</v>
      </c>
      <c r="R1192">
        <v>6.0000000000000001E-3</v>
      </c>
      <c r="T1192" t="s">
        <v>3582</v>
      </c>
    </row>
    <row r="1193" spans="1:20" x14ac:dyDescent="0.2">
      <c r="A1193" t="s">
        <v>3584</v>
      </c>
      <c r="B1193" t="s">
        <v>2022</v>
      </c>
      <c r="C1193" t="s">
        <v>2023</v>
      </c>
      <c r="D1193" t="s">
        <v>2136</v>
      </c>
      <c r="E1193" t="s">
        <v>3585</v>
      </c>
      <c r="F1193" t="s">
        <v>3586</v>
      </c>
      <c r="G1193">
        <v>3</v>
      </c>
      <c r="H1193">
        <v>1640</v>
      </c>
      <c r="I1193">
        <v>5</v>
      </c>
      <c r="J1193">
        <v>10.9</v>
      </c>
      <c r="K1193">
        <v>5</v>
      </c>
      <c r="L1193">
        <v>8.5999999999999993E-2</v>
      </c>
      <c r="M1193">
        <v>3</v>
      </c>
      <c r="N1193">
        <v>94</v>
      </c>
      <c r="O1193">
        <v>5</v>
      </c>
      <c r="P1193">
        <v>0.67500000000000004</v>
      </c>
      <c r="Q1193">
        <v>5</v>
      </c>
      <c r="R1193">
        <v>8.0000000000000002E-3</v>
      </c>
      <c r="T1193" t="s">
        <v>3585</v>
      </c>
    </row>
    <row r="1194" spans="1:20" x14ac:dyDescent="0.2">
      <c r="A1194" t="s">
        <v>3587</v>
      </c>
      <c r="B1194" t="s">
        <v>2022</v>
      </c>
      <c r="C1194" t="s">
        <v>2023</v>
      </c>
      <c r="D1194" t="s">
        <v>2136</v>
      </c>
      <c r="E1194" t="s">
        <v>3585</v>
      </c>
      <c r="F1194" t="s">
        <v>3586</v>
      </c>
      <c r="G1194">
        <v>5</v>
      </c>
      <c r="H1194">
        <v>1800</v>
      </c>
      <c r="I1194">
        <v>5</v>
      </c>
      <c r="J1194">
        <v>10.9</v>
      </c>
      <c r="K1194">
        <v>5</v>
      </c>
      <c r="L1194">
        <v>8.5999999999999993E-2</v>
      </c>
      <c r="M1194">
        <v>3</v>
      </c>
      <c r="N1194">
        <v>94</v>
      </c>
      <c r="O1194">
        <v>4</v>
      </c>
      <c r="P1194">
        <v>0.52500000000000002</v>
      </c>
      <c r="Q1194">
        <v>5</v>
      </c>
      <c r="R1194">
        <v>8.0000000000000002E-3</v>
      </c>
      <c r="T1194" t="s">
        <v>3585</v>
      </c>
    </row>
    <row r="1195" spans="1:20" x14ac:dyDescent="0.2">
      <c r="A1195" t="s">
        <v>3588</v>
      </c>
      <c r="B1195" t="s">
        <v>2022</v>
      </c>
      <c r="C1195" t="s">
        <v>2023</v>
      </c>
      <c r="D1195" t="s">
        <v>2136</v>
      </c>
      <c r="E1195" t="s">
        <v>3585</v>
      </c>
      <c r="F1195" t="s">
        <v>3586</v>
      </c>
      <c r="G1195">
        <v>4</v>
      </c>
      <c r="H1195">
        <v>1720</v>
      </c>
      <c r="I1195">
        <v>4</v>
      </c>
      <c r="J1195">
        <v>8.4</v>
      </c>
      <c r="K1195">
        <v>2</v>
      </c>
      <c r="L1195">
        <v>2.5999999999999999E-2</v>
      </c>
      <c r="M1195">
        <v>3</v>
      </c>
      <c r="N1195">
        <v>94</v>
      </c>
      <c r="O1195">
        <v>3</v>
      </c>
      <c r="P1195">
        <v>0.375</v>
      </c>
      <c r="Q1195">
        <v>2</v>
      </c>
      <c r="R1195">
        <v>2E-3</v>
      </c>
      <c r="T1195" t="s">
        <v>3585</v>
      </c>
    </row>
    <row r="1196" spans="1:20" x14ac:dyDescent="0.2">
      <c r="A1196" t="s">
        <v>3589</v>
      </c>
      <c r="B1196" t="s">
        <v>2022</v>
      </c>
      <c r="C1196" t="s">
        <v>2023</v>
      </c>
      <c r="D1196" t="s">
        <v>2136</v>
      </c>
      <c r="E1196" t="s">
        <v>3585</v>
      </c>
      <c r="F1196" t="s">
        <v>3586</v>
      </c>
      <c r="G1196">
        <v>5</v>
      </c>
      <c r="H1196">
        <v>1800</v>
      </c>
      <c r="I1196">
        <v>5</v>
      </c>
      <c r="J1196">
        <v>10.9</v>
      </c>
      <c r="K1196">
        <v>2</v>
      </c>
      <c r="L1196">
        <v>2.5999999999999999E-2</v>
      </c>
      <c r="M1196">
        <v>4</v>
      </c>
      <c r="N1196">
        <v>104</v>
      </c>
      <c r="O1196">
        <v>5</v>
      </c>
      <c r="P1196">
        <v>0.67500000000000004</v>
      </c>
      <c r="Q1196">
        <v>2</v>
      </c>
      <c r="R1196">
        <v>2E-3</v>
      </c>
      <c r="T1196" t="s">
        <v>3585</v>
      </c>
    </row>
    <row r="1197" spans="1:20" x14ac:dyDescent="0.2">
      <c r="A1197" t="s">
        <v>3590</v>
      </c>
      <c r="B1197" t="s">
        <v>2022</v>
      </c>
      <c r="C1197" t="s">
        <v>2023</v>
      </c>
      <c r="D1197" t="s">
        <v>2136</v>
      </c>
      <c r="E1197" t="s">
        <v>3591</v>
      </c>
      <c r="F1197" t="s">
        <v>3592</v>
      </c>
      <c r="G1197">
        <v>1</v>
      </c>
      <c r="H1197">
        <v>1480</v>
      </c>
      <c r="I1197">
        <v>2</v>
      </c>
      <c r="J1197">
        <v>3.4</v>
      </c>
      <c r="K1197">
        <v>5</v>
      </c>
      <c r="L1197">
        <v>8.5999999999999993E-2</v>
      </c>
      <c r="M1197">
        <v>2</v>
      </c>
      <c r="N1197">
        <v>84</v>
      </c>
      <c r="O1197">
        <v>2</v>
      </c>
      <c r="P1197">
        <v>0.22500000000000001</v>
      </c>
      <c r="Q1197">
        <v>4</v>
      </c>
      <c r="R1197">
        <v>6.0000000000000001E-3</v>
      </c>
      <c r="T1197" t="s">
        <v>3591</v>
      </c>
    </row>
    <row r="1198" spans="1:20" x14ac:dyDescent="0.2">
      <c r="A1198" t="s">
        <v>3593</v>
      </c>
      <c r="B1198" t="s">
        <v>2022</v>
      </c>
      <c r="C1198" t="s">
        <v>2023</v>
      </c>
      <c r="D1198" t="s">
        <v>2024</v>
      </c>
      <c r="E1198" t="s">
        <v>3594</v>
      </c>
      <c r="F1198" t="s">
        <v>3595</v>
      </c>
      <c r="G1198">
        <v>1</v>
      </c>
      <c r="H1198">
        <v>1480</v>
      </c>
      <c r="I1198">
        <v>3</v>
      </c>
      <c r="J1198">
        <v>5.9</v>
      </c>
      <c r="K1198">
        <v>5</v>
      </c>
      <c r="L1198">
        <v>8.5999999999999993E-2</v>
      </c>
      <c r="M1198">
        <v>1</v>
      </c>
      <c r="N1198">
        <v>74</v>
      </c>
      <c r="O1198">
        <v>3</v>
      </c>
      <c r="P1198">
        <v>0.375</v>
      </c>
      <c r="Q1198">
        <v>5</v>
      </c>
      <c r="R1198">
        <v>8.0000000000000002E-3</v>
      </c>
      <c r="T1198" t="s">
        <v>3594</v>
      </c>
    </row>
    <row r="1199" spans="1:20" x14ac:dyDescent="0.2">
      <c r="A1199" t="s">
        <v>3596</v>
      </c>
      <c r="B1199" t="s">
        <v>2022</v>
      </c>
      <c r="C1199" t="s">
        <v>2023</v>
      </c>
      <c r="D1199" t="s">
        <v>2024</v>
      </c>
      <c r="E1199" t="s">
        <v>226</v>
      </c>
      <c r="F1199" t="s">
        <v>3597</v>
      </c>
      <c r="G1199">
        <v>1</v>
      </c>
      <c r="H1199">
        <v>1480</v>
      </c>
      <c r="I1199">
        <v>2</v>
      </c>
      <c r="J1199">
        <v>3.4</v>
      </c>
      <c r="K1199">
        <v>1</v>
      </c>
      <c r="L1199">
        <v>6.0000000000000001E-3</v>
      </c>
      <c r="M1199">
        <v>2</v>
      </c>
      <c r="N1199">
        <v>84</v>
      </c>
      <c r="O1199">
        <v>1</v>
      </c>
      <c r="P1199">
        <v>7.4999999999999997E-2</v>
      </c>
      <c r="Q1199">
        <v>1</v>
      </c>
      <c r="R1199">
        <v>5.0000000000000001E-4</v>
      </c>
      <c r="T1199" t="s">
        <v>226</v>
      </c>
    </row>
    <row r="1200" spans="1:20" x14ac:dyDescent="0.2">
      <c r="A1200" t="s">
        <v>3598</v>
      </c>
      <c r="B1200" t="s">
        <v>2022</v>
      </c>
      <c r="C1200" t="s">
        <v>2101</v>
      </c>
      <c r="D1200" t="s">
        <v>2024</v>
      </c>
      <c r="E1200" t="s">
        <v>3599</v>
      </c>
      <c r="F1200" t="s">
        <v>3600</v>
      </c>
      <c r="G1200">
        <v>2</v>
      </c>
      <c r="H1200">
        <v>1670</v>
      </c>
      <c r="I1200">
        <v>1</v>
      </c>
      <c r="J1200">
        <v>2</v>
      </c>
      <c r="K1200">
        <v>2</v>
      </c>
      <c r="L1200">
        <v>9.6500000000000002E-2</v>
      </c>
      <c r="M1200">
        <v>5</v>
      </c>
      <c r="N1200">
        <v>98</v>
      </c>
      <c r="O1200">
        <v>2</v>
      </c>
      <c r="P1200">
        <v>0.22500000000000001</v>
      </c>
      <c r="Q1200">
        <v>2</v>
      </c>
      <c r="R1200">
        <v>4.4999999999999997E-3</v>
      </c>
      <c r="T1200" t="s">
        <v>3599</v>
      </c>
    </row>
    <row r="1201" spans="1:20" x14ac:dyDescent="0.2">
      <c r="A1201" t="s">
        <v>3601</v>
      </c>
      <c r="B1201" t="s">
        <v>2022</v>
      </c>
      <c r="C1201" t="s">
        <v>2036</v>
      </c>
      <c r="D1201" t="s">
        <v>2024</v>
      </c>
      <c r="E1201" t="s">
        <v>3602</v>
      </c>
      <c r="F1201" t="s">
        <v>3603</v>
      </c>
      <c r="G1201">
        <v>2</v>
      </c>
      <c r="H1201">
        <v>1640</v>
      </c>
      <c r="I1201">
        <v>2</v>
      </c>
      <c r="J1201">
        <v>3.4</v>
      </c>
      <c r="K1201">
        <v>2</v>
      </c>
      <c r="L1201">
        <v>8.5000000000000006E-2</v>
      </c>
      <c r="M1201">
        <v>4</v>
      </c>
      <c r="N1201">
        <v>94</v>
      </c>
      <c r="O1201">
        <v>2</v>
      </c>
      <c r="P1201">
        <v>0.20499999999999999</v>
      </c>
      <c r="Q1201">
        <v>2</v>
      </c>
      <c r="R1201">
        <v>4.2500000000000003E-3</v>
      </c>
      <c r="T1201" t="s">
        <v>3602</v>
      </c>
    </row>
    <row r="1202" spans="1:20" x14ac:dyDescent="0.2">
      <c r="A1202" t="s">
        <v>3604</v>
      </c>
      <c r="B1202" t="s">
        <v>2022</v>
      </c>
      <c r="C1202" t="s">
        <v>2023</v>
      </c>
      <c r="D1202" t="s">
        <v>2024</v>
      </c>
      <c r="E1202" t="s">
        <v>3605</v>
      </c>
      <c r="F1202" t="s">
        <v>3606</v>
      </c>
      <c r="G1202">
        <v>5</v>
      </c>
      <c r="H1202">
        <v>1800</v>
      </c>
      <c r="I1202">
        <v>3</v>
      </c>
      <c r="J1202">
        <v>5.9</v>
      </c>
      <c r="K1202">
        <v>4</v>
      </c>
      <c r="L1202">
        <v>6.6000000000000003E-2</v>
      </c>
      <c r="M1202">
        <v>5</v>
      </c>
      <c r="N1202">
        <v>114</v>
      </c>
      <c r="O1202">
        <v>3</v>
      </c>
      <c r="P1202">
        <v>0.375</v>
      </c>
      <c r="Q1202">
        <v>3</v>
      </c>
      <c r="R1202">
        <v>4.0000000000000001E-3</v>
      </c>
      <c r="T1202" t="s">
        <v>3605</v>
      </c>
    </row>
    <row r="1203" spans="1:20" x14ac:dyDescent="0.2">
      <c r="A1203" t="s">
        <v>3607</v>
      </c>
      <c r="B1203" t="s">
        <v>2022</v>
      </c>
      <c r="C1203" t="s">
        <v>2053</v>
      </c>
      <c r="D1203" t="s">
        <v>2024</v>
      </c>
      <c r="E1203" t="s">
        <v>3608</v>
      </c>
      <c r="F1203" t="s">
        <v>3609</v>
      </c>
      <c r="G1203">
        <v>3</v>
      </c>
      <c r="H1203">
        <v>1700</v>
      </c>
      <c r="I1203">
        <v>3</v>
      </c>
      <c r="J1203">
        <v>6.55</v>
      </c>
      <c r="K1203">
        <v>3</v>
      </c>
      <c r="L1203">
        <v>0.19500000000000001</v>
      </c>
      <c r="M1203">
        <v>5</v>
      </c>
      <c r="N1203">
        <v>113</v>
      </c>
      <c r="O1203">
        <v>4</v>
      </c>
      <c r="P1203">
        <v>0.52500000000000002</v>
      </c>
      <c r="Q1203">
        <v>4</v>
      </c>
      <c r="R1203">
        <v>1.9199999999999998E-2</v>
      </c>
      <c r="T1203" t="s">
        <v>3608</v>
      </c>
    </row>
    <row r="1204" spans="1:20" x14ac:dyDescent="0.2">
      <c r="A1204" t="s">
        <v>3610</v>
      </c>
      <c r="B1204" t="s">
        <v>2022</v>
      </c>
      <c r="C1204" t="s">
        <v>2095</v>
      </c>
      <c r="D1204" t="s">
        <v>2024</v>
      </c>
      <c r="E1204" t="s">
        <v>3611</v>
      </c>
      <c r="F1204" t="s">
        <v>3612</v>
      </c>
      <c r="G1204">
        <v>5</v>
      </c>
      <c r="H1204">
        <v>1925</v>
      </c>
      <c r="I1204">
        <v>5</v>
      </c>
      <c r="J1204">
        <v>16.5</v>
      </c>
      <c r="K1204">
        <v>4</v>
      </c>
      <c r="L1204">
        <v>0.53</v>
      </c>
      <c r="M1204">
        <v>4</v>
      </c>
      <c r="N1204">
        <v>92</v>
      </c>
      <c r="O1204">
        <v>4</v>
      </c>
      <c r="P1204">
        <v>0.75</v>
      </c>
      <c r="Q1204">
        <v>4</v>
      </c>
      <c r="R1204">
        <v>2.3900000000000001E-2</v>
      </c>
      <c r="T1204" t="s">
        <v>3611</v>
      </c>
    </row>
    <row r="1205" spans="1:20" x14ac:dyDescent="0.2">
      <c r="A1205" t="s">
        <v>3613</v>
      </c>
      <c r="B1205" t="s">
        <v>2022</v>
      </c>
      <c r="C1205" t="s">
        <v>2095</v>
      </c>
      <c r="D1205" t="s">
        <v>2024</v>
      </c>
      <c r="E1205" t="s">
        <v>3614</v>
      </c>
      <c r="F1205" t="s">
        <v>3615</v>
      </c>
      <c r="G1205">
        <v>4</v>
      </c>
      <c r="H1205">
        <v>1835</v>
      </c>
      <c r="I1205">
        <v>1</v>
      </c>
      <c r="J1205">
        <v>4.5</v>
      </c>
      <c r="K1205">
        <v>1</v>
      </c>
      <c r="L1205">
        <v>1.4999999999999999E-2</v>
      </c>
      <c r="M1205">
        <v>5</v>
      </c>
      <c r="N1205">
        <v>98</v>
      </c>
      <c r="O1205">
        <v>1</v>
      </c>
      <c r="P1205">
        <v>0.15</v>
      </c>
      <c r="Q1205">
        <v>1</v>
      </c>
      <c r="R1205">
        <v>6.9999999999999999E-4</v>
      </c>
      <c r="T1205" t="s">
        <v>3614</v>
      </c>
    </row>
    <row r="1206" spans="1:20" x14ac:dyDescent="0.2">
      <c r="A1206" t="s">
        <v>3616</v>
      </c>
      <c r="B1206" t="s">
        <v>2022</v>
      </c>
      <c r="C1206" t="s">
        <v>2173</v>
      </c>
      <c r="D1206" t="s">
        <v>2024</v>
      </c>
      <c r="E1206" t="s">
        <v>3617</v>
      </c>
      <c r="F1206" t="s">
        <v>3618</v>
      </c>
      <c r="G1206">
        <v>4</v>
      </c>
      <c r="H1206">
        <v>2107.5</v>
      </c>
      <c r="I1206">
        <v>5</v>
      </c>
      <c r="J1206">
        <v>14.45</v>
      </c>
      <c r="K1206">
        <v>4</v>
      </c>
      <c r="L1206">
        <v>0.33</v>
      </c>
      <c r="M1206">
        <v>4</v>
      </c>
      <c r="N1206">
        <v>129.5</v>
      </c>
      <c r="O1206">
        <v>5</v>
      </c>
      <c r="P1206">
        <v>0.87</v>
      </c>
      <c r="Q1206">
        <v>5</v>
      </c>
      <c r="R1206">
        <v>2.58E-2</v>
      </c>
      <c r="T1206" t="s">
        <v>3617</v>
      </c>
    </row>
    <row r="1207" spans="1:20" x14ac:dyDescent="0.2">
      <c r="A1207" t="s">
        <v>3619</v>
      </c>
      <c r="B1207" t="s">
        <v>2022</v>
      </c>
      <c r="C1207" t="s">
        <v>2023</v>
      </c>
      <c r="D1207" t="s">
        <v>2024</v>
      </c>
      <c r="E1207" t="s">
        <v>3620</v>
      </c>
      <c r="F1207" t="s">
        <v>3621</v>
      </c>
      <c r="G1207">
        <v>2</v>
      </c>
      <c r="H1207">
        <v>1560</v>
      </c>
      <c r="I1207">
        <v>4</v>
      </c>
      <c r="J1207">
        <v>8.4</v>
      </c>
      <c r="K1207">
        <v>5</v>
      </c>
      <c r="L1207">
        <v>8.5999999999999993E-2</v>
      </c>
      <c r="M1207">
        <v>2</v>
      </c>
      <c r="N1207">
        <v>84</v>
      </c>
      <c r="O1207">
        <v>3</v>
      </c>
      <c r="P1207">
        <v>0.375</v>
      </c>
      <c r="Q1207">
        <v>5</v>
      </c>
      <c r="R1207">
        <v>8.0000000000000002E-3</v>
      </c>
      <c r="T1207" t="s">
        <v>3620</v>
      </c>
    </row>
    <row r="1208" spans="1:20" x14ac:dyDescent="0.2">
      <c r="A1208" t="s">
        <v>3622</v>
      </c>
      <c r="B1208" t="s">
        <v>2022</v>
      </c>
      <c r="C1208" t="s">
        <v>2053</v>
      </c>
      <c r="D1208" t="s">
        <v>2024</v>
      </c>
      <c r="E1208" t="s">
        <v>235</v>
      </c>
      <c r="F1208" t="s">
        <v>3623</v>
      </c>
      <c r="G1208">
        <v>1</v>
      </c>
      <c r="H1208">
        <v>1500</v>
      </c>
      <c r="I1208">
        <v>1</v>
      </c>
      <c r="J1208">
        <v>1.55</v>
      </c>
      <c r="K1208">
        <v>1</v>
      </c>
      <c r="L1208">
        <v>1.4999999999999999E-2</v>
      </c>
      <c r="M1208">
        <v>1</v>
      </c>
      <c r="N1208">
        <v>73</v>
      </c>
      <c r="O1208">
        <v>1</v>
      </c>
      <c r="P1208">
        <v>7.4999999999999997E-2</v>
      </c>
      <c r="Q1208">
        <v>1</v>
      </c>
      <c r="R1208">
        <v>8.4999999999999995E-4</v>
      </c>
      <c r="T1208" t="s">
        <v>235</v>
      </c>
    </row>
    <row r="1209" spans="1:20" x14ac:dyDescent="0.2">
      <c r="A1209" t="s">
        <v>3624</v>
      </c>
      <c r="B1209" t="s">
        <v>2022</v>
      </c>
      <c r="C1209" t="s">
        <v>2023</v>
      </c>
      <c r="D1209" t="s">
        <v>2024</v>
      </c>
      <c r="E1209" t="s">
        <v>3625</v>
      </c>
      <c r="F1209" t="s">
        <v>3626</v>
      </c>
      <c r="G1209">
        <v>1</v>
      </c>
      <c r="H1209">
        <v>1480</v>
      </c>
      <c r="I1209">
        <v>1</v>
      </c>
      <c r="J1209">
        <v>0.9</v>
      </c>
      <c r="K1209">
        <v>1</v>
      </c>
      <c r="L1209">
        <v>6.0000000000000001E-3</v>
      </c>
      <c r="M1209">
        <v>1</v>
      </c>
      <c r="N1209">
        <v>74</v>
      </c>
      <c r="O1209">
        <v>1</v>
      </c>
      <c r="P1209">
        <v>7.4999999999999997E-2</v>
      </c>
      <c r="Q1209">
        <v>1</v>
      </c>
      <c r="R1209">
        <v>5.0000000000000001E-4</v>
      </c>
      <c r="T1209" t="s">
        <v>3625</v>
      </c>
    </row>
    <row r="1210" spans="1:20" x14ac:dyDescent="0.2">
      <c r="A1210" t="s">
        <v>3627</v>
      </c>
      <c r="B1210" t="s">
        <v>2022</v>
      </c>
      <c r="C1210" t="s">
        <v>2049</v>
      </c>
      <c r="D1210" t="s">
        <v>2024</v>
      </c>
      <c r="E1210" t="s">
        <v>3628</v>
      </c>
      <c r="F1210" t="s">
        <v>3629</v>
      </c>
      <c r="G1210">
        <v>2</v>
      </c>
      <c r="H1210">
        <v>1450</v>
      </c>
      <c r="I1210">
        <v>5</v>
      </c>
      <c r="J1210">
        <v>8.6</v>
      </c>
      <c r="K1210">
        <v>4</v>
      </c>
      <c r="L1210">
        <v>0.22</v>
      </c>
      <c r="M1210">
        <v>1</v>
      </c>
      <c r="N1210">
        <v>86</v>
      </c>
      <c r="O1210">
        <v>3</v>
      </c>
      <c r="P1210">
        <v>0.46</v>
      </c>
      <c r="Q1210">
        <v>3</v>
      </c>
      <c r="R1210">
        <v>1.52E-2</v>
      </c>
      <c r="T1210" t="s">
        <v>3628</v>
      </c>
    </row>
    <row r="1211" spans="1:20" x14ac:dyDescent="0.2">
      <c r="A1211" t="s">
        <v>3630</v>
      </c>
      <c r="B1211" t="s">
        <v>2022</v>
      </c>
      <c r="C1211" t="s">
        <v>2023</v>
      </c>
      <c r="D1211" t="s">
        <v>2024</v>
      </c>
      <c r="E1211" t="s">
        <v>3631</v>
      </c>
      <c r="F1211" t="s">
        <v>3632</v>
      </c>
      <c r="G1211">
        <v>1</v>
      </c>
      <c r="H1211">
        <v>1480</v>
      </c>
      <c r="I1211">
        <v>4</v>
      </c>
      <c r="J1211">
        <v>8.4</v>
      </c>
      <c r="K1211">
        <v>5</v>
      </c>
      <c r="L1211">
        <v>8.5999999999999993E-2</v>
      </c>
      <c r="M1211">
        <v>5</v>
      </c>
      <c r="N1211">
        <v>114</v>
      </c>
      <c r="O1211">
        <v>4</v>
      </c>
      <c r="P1211">
        <v>0.52500000000000002</v>
      </c>
      <c r="Q1211">
        <v>5</v>
      </c>
      <c r="R1211">
        <v>8.0000000000000002E-3</v>
      </c>
      <c r="T1211" t="s">
        <v>3631</v>
      </c>
    </row>
    <row r="1212" spans="1:20" x14ac:dyDescent="0.2">
      <c r="A1212" t="s">
        <v>3633</v>
      </c>
      <c r="B1212" t="s">
        <v>2022</v>
      </c>
      <c r="C1212" t="s">
        <v>2053</v>
      </c>
      <c r="D1212" t="s">
        <v>2024</v>
      </c>
      <c r="E1212" t="s">
        <v>3634</v>
      </c>
      <c r="F1212" t="s">
        <v>3635</v>
      </c>
      <c r="G1212">
        <v>3</v>
      </c>
      <c r="H1212">
        <v>1700</v>
      </c>
      <c r="I1212">
        <v>3</v>
      </c>
      <c r="J1212">
        <v>6.55</v>
      </c>
      <c r="K1212">
        <v>3</v>
      </c>
      <c r="L1212">
        <v>0.19500000000000001</v>
      </c>
      <c r="M1212">
        <v>1</v>
      </c>
      <c r="N1212">
        <v>73</v>
      </c>
      <c r="O1212">
        <v>3</v>
      </c>
      <c r="P1212">
        <v>0.375</v>
      </c>
      <c r="Q1212">
        <v>3</v>
      </c>
      <c r="R1212">
        <v>1.2200000000000001E-2</v>
      </c>
      <c r="T1212" t="s">
        <v>3634</v>
      </c>
    </row>
    <row r="1213" spans="1:20" x14ac:dyDescent="0.2">
      <c r="A1213" t="s">
        <v>3636</v>
      </c>
      <c r="B1213" t="s">
        <v>2022</v>
      </c>
      <c r="C1213" t="s">
        <v>2106</v>
      </c>
      <c r="D1213" t="s">
        <v>2136</v>
      </c>
      <c r="E1213" t="s">
        <v>3634</v>
      </c>
      <c r="F1213" t="s">
        <v>3635</v>
      </c>
      <c r="G1213">
        <v>1</v>
      </c>
      <c r="H1213">
        <v>1675</v>
      </c>
      <c r="I1213">
        <v>5</v>
      </c>
      <c r="J1213">
        <v>13.25</v>
      </c>
      <c r="K1213">
        <v>5</v>
      </c>
      <c r="L1213">
        <v>0.3</v>
      </c>
      <c r="M1213">
        <v>2</v>
      </c>
      <c r="N1213">
        <v>68.5</v>
      </c>
      <c r="O1213">
        <v>5</v>
      </c>
      <c r="P1213">
        <v>0.45</v>
      </c>
      <c r="Q1213">
        <v>5</v>
      </c>
      <c r="R1213">
        <v>8.5000000000000006E-3</v>
      </c>
      <c r="T1213" t="s">
        <v>3634</v>
      </c>
    </row>
    <row r="1214" spans="1:20" x14ac:dyDescent="0.2">
      <c r="A1214" t="s">
        <v>3637</v>
      </c>
      <c r="B1214" t="s">
        <v>2022</v>
      </c>
      <c r="C1214" t="s">
        <v>2036</v>
      </c>
      <c r="D1214" t="s">
        <v>2024</v>
      </c>
      <c r="E1214" t="s">
        <v>3638</v>
      </c>
      <c r="F1214" t="s">
        <v>3639</v>
      </c>
      <c r="G1214">
        <v>3</v>
      </c>
      <c r="H1214">
        <v>1740</v>
      </c>
      <c r="I1214">
        <v>5</v>
      </c>
      <c r="J1214">
        <v>7</v>
      </c>
      <c r="K1214">
        <v>2</v>
      </c>
      <c r="L1214">
        <v>8.5000000000000006E-2</v>
      </c>
      <c r="M1214">
        <v>2</v>
      </c>
      <c r="N1214">
        <v>82</v>
      </c>
      <c r="O1214">
        <v>4</v>
      </c>
      <c r="P1214">
        <v>0.42499999999999999</v>
      </c>
      <c r="Q1214">
        <v>2</v>
      </c>
      <c r="R1214">
        <v>4.2500000000000003E-3</v>
      </c>
      <c r="T1214" t="s">
        <v>3638</v>
      </c>
    </row>
    <row r="1215" spans="1:20" x14ac:dyDescent="0.2">
      <c r="A1215" t="s">
        <v>3640</v>
      </c>
      <c r="B1215" t="s">
        <v>2022</v>
      </c>
      <c r="C1215" t="s">
        <v>2101</v>
      </c>
      <c r="D1215" t="s">
        <v>2024</v>
      </c>
      <c r="E1215" t="s">
        <v>3641</v>
      </c>
      <c r="F1215" t="s">
        <v>3642</v>
      </c>
      <c r="G1215">
        <v>2</v>
      </c>
      <c r="H1215">
        <v>1670</v>
      </c>
      <c r="I1215">
        <v>1</v>
      </c>
      <c r="J1215">
        <v>2</v>
      </c>
      <c r="K1215">
        <v>1</v>
      </c>
      <c r="L1215">
        <v>1.15E-2</v>
      </c>
      <c r="M1215">
        <v>1</v>
      </c>
      <c r="N1215">
        <v>66</v>
      </c>
      <c r="O1215">
        <v>1</v>
      </c>
      <c r="P1215">
        <v>7.4999999999999997E-2</v>
      </c>
      <c r="Q1215">
        <v>1</v>
      </c>
      <c r="R1215">
        <v>5.0000000000000001E-4</v>
      </c>
      <c r="T1215" t="s">
        <v>3641</v>
      </c>
    </row>
    <row r="1216" spans="1:20" x14ac:dyDescent="0.2">
      <c r="A1216" t="s">
        <v>3643</v>
      </c>
      <c r="B1216" t="s">
        <v>2022</v>
      </c>
      <c r="C1216" t="s">
        <v>2023</v>
      </c>
      <c r="D1216" t="s">
        <v>2024</v>
      </c>
      <c r="E1216" t="s">
        <v>3644</v>
      </c>
      <c r="F1216" t="s">
        <v>3645</v>
      </c>
      <c r="G1216">
        <v>5</v>
      </c>
      <c r="H1216">
        <v>1800</v>
      </c>
      <c r="I1216">
        <v>5</v>
      </c>
      <c r="J1216">
        <v>10.9</v>
      </c>
      <c r="K1216">
        <v>5</v>
      </c>
      <c r="L1216">
        <v>8.5999999999999993E-2</v>
      </c>
      <c r="M1216">
        <v>5</v>
      </c>
      <c r="N1216">
        <v>114</v>
      </c>
      <c r="O1216">
        <v>5</v>
      </c>
      <c r="P1216">
        <v>0.67500000000000004</v>
      </c>
      <c r="Q1216">
        <v>5</v>
      </c>
      <c r="R1216">
        <v>8.0000000000000002E-3</v>
      </c>
      <c r="T1216" t="s">
        <v>3644</v>
      </c>
    </row>
    <row r="1217" spans="1:20" x14ac:dyDescent="0.2">
      <c r="A1217" t="s">
        <v>3646</v>
      </c>
      <c r="B1217" t="s">
        <v>2022</v>
      </c>
      <c r="C1217" t="s">
        <v>2053</v>
      </c>
      <c r="D1217" t="s">
        <v>2024</v>
      </c>
      <c r="E1217" t="s">
        <v>3647</v>
      </c>
      <c r="F1217" t="s">
        <v>3648</v>
      </c>
      <c r="G1217">
        <v>5</v>
      </c>
      <c r="H1217">
        <v>1900</v>
      </c>
      <c r="I1217">
        <v>3</v>
      </c>
      <c r="J1217">
        <v>6.55</v>
      </c>
      <c r="K1217">
        <v>2</v>
      </c>
      <c r="L1217">
        <v>8.5000000000000006E-2</v>
      </c>
      <c r="M1217">
        <v>2</v>
      </c>
      <c r="N1217">
        <v>83</v>
      </c>
      <c r="O1217">
        <v>2</v>
      </c>
      <c r="P1217">
        <v>0.22500000000000001</v>
      </c>
      <c r="Q1217">
        <v>2</v>
      </c>
      <c r="R1217">
        <v>5.1999999999999998E-3</v>
      </c>
      <c r="T1217" t="s">
        <v>3647</v>
      </c>
    </row>
    <row r="1218" spans="1:20" x14ac:dyDescent="0.2">
      <c r="A1218" t="s">
        <v>3649</v>
      </c>
      <c r="B1218" t="s">
        <v>2022</v>
      </c>
      <c r="C1218" t="s">
        <v>2023</v>
      </c>
      <c r="D1218" t="s">
        <v>2024</v>
      </c>
      <c r="E1218" t="s">
        <v>3650</v>
      </c>
      <c r="F1218" t="s">
        <v>3651</v>
      </c>
      <c r="G1218">
        <v>3</v>
      </c>
      <c r="H1218">
        <v>1640</v>
      </c>
      <c r="I1218">
        <v>4</v>
      </c>
      <c r="J1218">
        <v>8.4</v>
      </c>
      <c r="K1218">
        <v>3</v>
      </c>
      <c r="L1218">
        <v>4.5999999999999999E-2</v>
      </c>
      <c r="M1218">
        <v>1</v>
      </c>
      <c r="N1218">
        <v>74</v>
      </c>
      <c r="O1218">
        <v>3</v>
      </c>
      <c r="P1218">
        <v>0.375</v>
      </c>
      <c r="Q1218">
        <v>2</v>
      </c>
      <c r="R1218">
        <v>2E-3</v>
      </c>
      <c r="T1218" t="s">
        <v>3650</v>
      </c>
    </row>
    <row r="1219" spans="1:20" x14ac:dyDescent="0.2">
      <c r="A1219" t="s">
        <v>3652</v>
      </c>
      <c r="B1219" t="s">
        <v>2022</v>
      </c>
      <c r="C1219" t="s">
        <v>2023</v>
      </c>
      <c r="D1219" t="s">
        <v>2024</v>
      </c>
      <c r="E1219" t="s">
        <v>3653</v>
      </c>
      <c r="F1219" t="s">
        <v>3654</v>
      </c>
      <c r="G1219">
        <v>4</v>
      </c>
      <c r="H1219">
        <v>1720</v>
      </c>
      <c r="I1219">
        <v>5</v>
      </c>
      <c r="J1219">
        <v>10.9</v>
      </c>
      <c r="K1219">
        <v>5</v>
      </c>
      <c r="L1219">
        <v>8.5999999999999993E-2</v>
      </c>
      <c r="M1219">
        <v>3</v>
      </c>
      <c r="N1219">
        <v>94</v>
      </c>
      <c r="O1219">
        <v>5</v>
      </c>
      <c r="P1219">
        <v>0.67500000000000004</v>
      </c>
      <c r="Q1219">
        <v>5</v>
      </c>
      <c r="R1219">
        <v>8.0000000000000002E-3</v>
      </c>
      <c r="T1219" t="s">
        <v>3653</v>
      </c>
    </row>
    <row r="1220" spans="1:20" x14ac:dyDescent="0.2">
      <c r="A1220" t="s">
        <v>3655</v>
      </c>
      <c r="B1220" t="s">
        <v>2022</v>
      </c>
      <c r="C1220" t="s">
        <v>2023</v>
      </c>
      <c r="D1220" t="s">
        <v>2024</v>
      </c>
      <c r="E1220" t="s">
        <v>3656</v>
      </c>
      <c r="F1220" t="s">
        <v>3657</v>
      </c>
      <c r="G1220">
        <v>1</v>
      </c>
      <c r="H1220">
        <v>1480</v>
      </c>
      <c r="I1220">
        <v>1</v>
      </c>
      <c r="J1220">
        <v>0.9</v>
      </c>
      <c r="K1220">
        <v>1</v>
      </c>
      <c r="L1220">
        <v>6.0000000000000001E-3</v>
      </c>
      <c r="M1220">
        <v>1</v>
      </c>
      <c r="N1220">
        <v>74</v>
      </c>
      <c r="O1220">
        <v>1</v>
      </c>
      <c r="P1220">
        <v>7.4999999999999997E-2</v>
      </c>
      <c r="Q1220">
        <v>1</v>
      </c>
      <c r="R1220">
        <v>5.0000000000000001E-4</v>
      </c>
      <c r="T1220" t="s">
        <v>3656</v>
      </c>
    </row>
    <row r="1221" spans="1:20" x14ac:dyDescent="0.2">
      <c r="A1221" t="s">
        <v>3658</v>
      </c>
      <c r="B1221" t="s">
        <v>2022</v>
      </c>
      <c r="C1221" t="s">
        <v>2053</v>
      </c>
      <c r="D1221" t="s">
        <v>2024</v>
      </c>
      <c r="E1221" t="s">
        <v>357</v>
      </c>
      <c r="F1221" t="s">
        <v>3659</v>
      </c>
      <c r="G1221">
        <v>1</v>
      </c>
      <c r="H1221">
        <v>1500</v>
      </c>
      <c r="I1221">
        <v>2</v>
      </c>
      <c r="J1221">
        <v>4.05</v>
      </c>
      <c r="K1221">
        <v>2</v>
      </c>
      <c r="L1221">
        <v>8.5000000000000006E-2</v>
      </c>
      <c r="M1221">
        <v>5</v>
      </c>
      <c r="N1221">
        <v>113</v>
      </c>
      <c r="O1221">
        <v>5</v>
      </c>
      <c r="P1221">
        <v>0.67500000000000004</v>
      </c>
      <c r="Q1221">
        <v>3</v>
      </c>
      <c r="R1221">
        <v>1.2200000000000001E-2</v>
      </c>
      <c r="T1221" t="s">
        <v>357</v>
      </c>
    </row>
    <row r="1222" spans="1:20" x14ac:dyDescent="0.2">
      <c r="A1222" t="s">
        <v>3660</v>
      </c>
      <c r="B1222" t="s">
        <v>2022</v>
      </c>
      <c r="C1222" t="s">
        <v>2101</v>
      </c>
      <c r="D1222" t="s">
        <v>2024</v>
      </c>
      <c r="E1222" t="s">
        <v>3661</v>
      </c>
      <c r="F1222" t="s">
        <v>3662</v>
      </c>
      <c r="G1222">
        <v>2</v>
      </c>
      <c r="H1222">
        <v>1670</v>
      </c>
      <c r="I1222">
        <v>3</v>
      </c>
      <c r="J1222">
        <v>8</v>
      </c>
      <c r="K1222">
        <v>4</v>
      </c>
      <c r="L1222">
        <v>0.39050000000000001</v>
      </c>
      <c r="M1222">
        <v>1</v>
      </c>
      <c r="N1222">
        <v>66</v>
      </c>
      <c r="O1222">
        <v>3</v>
      </c>
      <c r="P1222">
        <v>0.375</v>
      </c>
      <c r="Q1222">
        <v>3</v>
      </c>
      <c r="R1222">
        <v>1.15E-2</v>
      </c>
      <c r="T1222" t="s">
        <v>3661</v>
      </c>
    </row>
    <row r="1223" spans="1:20" x14ac:dyDescent="0.2">
      <c r="A1223" t="s">
        <v>3663</v>
      </c>
      <c r="B1223" t="s">
        <v>2022</v>
      </c>
      <c r="C1223" t="s">
        <v>2101</v>
      </c>
      <c r="D1223" t="s">
        <v>2024</v>
      </c>
      <c r="E1223" t="s">
        <v>357</v>
      </c>
      <c r="F1223" t="s">
        <v>447</v>
      </c>
      <c r="G1223">
        <v>5</v>
      </c>
      <c r="H1223">
        <v>1970</v>
      </c>
      <c r="I1223">
        <v>3</v>
      </c>
      <c r="J1223">
        <v>8</v>
      </c>
      <c r="K1223">
        <v>2</v>
      </c>
      <c r="L1223">
        <v>9.6500000000000002E-2</v>
      </c>
      <c r="M1223">
        <v>5</v>
      </c>
      <c r="N1223">
        <v>98</v>
      </c>
      <c r="O1223">
        <v>2</v>
      </c>
      <c r="P1223">
        <v>0.22500000000000001</v>
      </c>
      <c r="Q1223">
        <v>2</v>
      </c>
      <c r="R1223">
        <v>4.4999999999999997E-3</v>
      </c>
      <c r="T1223" t="s">
        <v>357</v>
      </c>
    </row>
    <row r="1224" spans="1:20" x14ac:dyDescent="0.2">
      <c r="A1224" t="s">
        <v>3664</v>
      </c>
      <c r="B1224" t="s">
        <v>2022</v>
      </c>
      <c r="C1224" t="s">
        <v>2101</v>
      </c>
      <c r="D1224" t="s">
        <v>2024</v>
      </c>
      <c r="E1224" t="s">
        <v>3665</v>
      </c>
      <c r="F1224" t="s">
        <v>3666</v>
      </c>
      <c r="G1224">
        <v>4</v>
      </c>
      <c r="H1224">
        <v>1870</v>
      </c>
      <c r="I1224">
        <v>4</v>
      </c>
      <c r="J1224">
        <v>11</v>
      </c>
      <c r="K1224">
        <v>3</v>
      </c>
      <c r="L1224">
        <v>0.24349999999999999</v>
      </c>
      <c r="M1224">
        <v>3</v>
      </c>
      <c r="N1224">
        <v>82</v>
      </c>
      <c r="O1224">
        <v>3</v>
      </c>
      <c r="P1224">
        <v>0.375</v>
      </c>
      <c r="Q1224">
        <v>3</v>
      </c>
      <c r="R1224">
        <v>1.15E-2</v>
      </c>
      <c r="T1224" t="s">
        <v>3665</v>
      </c>
    </row>
    <row r="1225" spans="1:20" x14ac:dyDescent="0.2">
      <c r="A1225" t="s">
        <v>3667</v>
      </c>
      <c r="B1225" t="s">
        <v>2022</v>
      </c>
      <c r="C1225" t="s">
        <v>2036</v>
      </c>
      <c r="D1225" t="s">
        <v>2024</v>
      </c>
      <c r="E1225" t="s">
        <v>3668</v>
      </c>
      <c r="F1225" t="s">
        <v>3669</v>
      </c>
      <c r="G1225">
        <v>1</v>
      </c>
      <c r="H1225">
        <v>1540</v>
      </c>
      <c r="I1225">
        <v>1</v>
      </c>
      <c r="J1225">
        <v>2.2000000000000002</v>
      </c>
      <c r="K1225">
        <v>2</v>
      </c>
      <c r="L1225">
        <v>8.5000000000000006E-2</v>
      </c>
      <c r="M1225">
        <v>1</v>
      </c>
      <c r="N1225">
        <v>76</v>
      </c>
      <c r="O1225">
        <v>1</v>
      </c>
      <c r="P1225">
        <v>9.5000000000000001E-2</v>
      </c>
      <c r="Q1225">
        <v>2</v>
      </c>
      <c r="R1225">
        <v>4.2500000000000003E-3</v>
      </c>
      <c r="T1225" t="s">
        <v>3668</v>
      </c>
    </row>
    <row r="1226" spans="1:20" x14ac:dyDescent="0.2">
      <c r="A1226" t="s">
        <v>3670</v>
      </c>
      <c r="B1226" t="s">
        <v>2022</v>
      </c>
      <c r="C1226" t="s">
        <v>2036</v>
      </c>
      <c r="D1226" t="s">
        <v>2024</v>
      </c>
      <c r="E1226" t="s">
        <v>3671</v>
      </c>
      <c r="F1226" t="s">
        <v>3672</v>
      </c>
      <c r="G1226">
        <v>2</v>
      </c>
      <c r="H1226">
        <v>1640</v>
      </c>
      <c r="I1226">
        <v>3</v>
      </c>
      <c r="J1226">
        <v>4.5999999999999996</v>
      </c>
      <c r="K1226">
        <v>2</v>
      </c>
      <c r="L1226">
        <v>8.5000000000000006E-2</v>
      </c>
      <c r="M1226">
        <v>1</v>
      </c>
      <c r="N1226">
        <v>76</v>
      </c>
      <c r="O1226">
        <v>2</v>
      </c>
      <c r="P1226">
        <v>0.20499999999999999</v>
      </c>
      <c r="Q1226">
        <v>2</v>
      </c>
      <c r="R1226">
        <v>4.2500000000000003E-3</v>
      </c>
      <c r="T1226" t="s">
        <v>3671</v>
      </c>
    </row>
    <row r="1227" spans="1:20" x14ac:dyDescent="0.2">
      <c r="A1227" t="s">
        <v>3673</v>
      </c>
      <c r="B1227" t="s">
        <v>2022</v>
      </c>
      <c r="C1227" t="s">
        <v>2023</v>
      </c>
      <c r="D1227" t="s">
        <v>2024</v>
      </c>
      <c r="E1227" t="s">
        <v>3674</v>
      </c>
      <c r="F1227" t="s">
        <v>3675</v>
      </c>
      <c r="G1227">
        <v>3</v>
      </c>
      <c r="H1227">
        <v>1640</v>
      </c>
      <c r="I1227">
        <v>4</v>
      </c>
      <c r="J1227">
        <v>8.4</v>
      </c>
      <c r="K1227">
        <v>5</v>
      </c>
      <c r="L1227">
        <v>8.5999999999999993E-2</v>
      </c>
      <c r="M1227">
        <v>1</v>
      </c>
      <c r="N1227">
        <v>74</v>
      </c>
      <c r="O1227">
        <v>3</v>
      </c>
      <c r="P1227">
        <v>0.375</v>
      </c>
      <c r="Q1227">
        <v>5</v>
      </c>
      <c r="R1227">
        <v>8.0000000000000002E-3</v>
      </c>
      <c r="T1227" t="s">
        <v>3674</v>
      </c>
    </row>
    <row r="1228" spans="1:20" x14ac:dyDescent="0.2">
      <c r="A1228" t="s">
        <v>3676</v>
      </c>
      <c r="B1228" t="s">
        <v>2022</v>
      </c>
      <c r="C1228" t="s">
        <v>2036</v>
      </c>
      <c r="D1228" t="s">
        <v>2024</v>
      </c>
      <c r="E1228" t="s">
        <v>3677</v>
      </c>
      <c r="F1228" t="s">
        <v>3678</v>
      </c>
      <c r="G1228">
        <v>3</v>
      </c>
      <c r="H1228">
        <v>1740</v>
      </c>
      <c r="I1228">
        <v>5</v>
      </c>
      <c r="J1228">
        <v>7</v>
      </c>
      <c r="K1228">
        <v>5</v>
      </c>
      <c r="L1228">
        <v>0.17499999999999999</v>
      </c>
      <c r="M1228">
        <v>3</v>
      </c>
      <c r="N1228">
        <v>88</v>
      </c>
      <c r="O1228">
        <v>4</v>
      </c>
      <c r="P1228">
        <v>0.42499999999999999</v>
      </c>
      <c r="Q1228">
        <v>5</v>
      </c>
      <c r="R1228">
        <v>1.2E-2</v>
      </c>
      <c r="T1228" t="s">
        <v>3677</v>
      </c>
    </row>
    <row r="1229" spans="1:20" x14ac:dyDescent="0.2">
      <c r="A1229" t="s">
        <v>3679</v>
      </c>
      <c r="B1229" t="s">
        <v>2022</v>
      </c>
      <c r="C1229" t="s">
        <v>2023</v>
      </c>
      <c r="D1229" t="s">
        <v>2024</v>
      </c>
      <c r="E1229" t="s">
        <v>3680</v>
      </c>
      <c r="F1229" t="s">
        <v>3681</v>
      </c>
      <c r="G1229">
        <v>2</v>
      </c>
      <c r="H1229">
        <v>1560</v>
      </c>
      <c r="I1229">
        <v>5</v>
      </c>
      <c r="J1229">
        <v>10.9</v>
      </c>
      <c r="K1229">
        <v>5</v>
      </c>
      <c r="L1229">
        <v>8.5999999999999993E-2</v>
      </c>
      <c r="M1229">
        <v>2</v>
      </c>
      <c r="N1229">
        <v>84</v>
      </c>
      <c r="O1229">
        <v>4</v>
      </c>
      <c r="P1229">
        <v>0.52500000000000002</v>
      </c>
      <c r="Q1229">
        <v>5</v>
      </c>
      <c r="R1229">
        <v>8.0000000000000002E-3</v>
      </c>
      <c r="T1229" t="s">
        <v>3680</v>
      </c>
    </row>
    <row r="1230" spans="1:20" x14ac:dyDescent="0.2">
      <c r="A1230" t="s">
        <v>3682</v>
      </c>
      <c r="B1230" t="s">
        <v>2022</v>
      </c>
      <c r="C1230" t="s">
        <v>2023</v>
      </c>
      <c r="D1230" t="s">
        <v>2024</v>
      </c>
      <c r="E1230" t="s">
        <v>3683</v>
      </c>
      <c r="F1230" t="s">
        <v>3684</v>
      </c>
      <c r="G1230">
        <v>1</v>
      </c>
      <c r="H1230">
        <v>1480</v>
      </c>
      <c r="I1230">
        <v>1</v>
      </c>
      <c r="J1230">
        <v>0.9</v>
      </c>
      <c r="K1230">
        <v>1</v>
      </c>
      <c r="L1230">
        <v>6.0000000000000001E-3</v>
      </c>
      <c r="M1230">
        <v>1</v>
      </c>
      <c r="N1230">
        <v>74</v>
      </c>
      <c r="O1230">
        <v>1</v>
      </c>
      <c r="P1230">
        <v>7.4999999999999997E-2</v>
      </c>
      <c r="Q1230">
        <v>1</v>
      </c>
      <c r="R1230">
        <v>5.0000000000000001E-4</v>
      </c>
      <c r="T1230" t="s">
        <v>3683</v>
      </c>
    </row>
    <row r="1231" spans="1:20" x14ac:dyDescent="0.2">
      <c r="A1231" t="s">
        <v>3685</v>
      </c>
      <c r="B1231" t="s">
        <v>2022</v>
      </c>
      <c r="C1231" t="s">
        <v>2053</v>
      </c>
      <c r="D1231" t="s">
        <v>2024</v>
      </c>
      <c r="E1231" t="s">
        <v>3686</v>
      </c>
      <c r="F1231" t="s">
        <v>3687</v>
      </c>
      <c r="G1231">
        <v>5</v>
      </c>
      <c r="H1231">
        <v>1900</v>
      </c>
      <c r="I1231">
        <v>2</v>
      </c>
      <c r="J1231">
        <v>4.05</v>
      </c>
      <c r="K1231">
        <v>1</v>
      </c>
      <c r="L1231">
        <v>1.4999999999999999E-2</v>
      </c>
      <c r="M1231">
        <v>2</v>
      </c>
      <c r="N1231">
        <v>83</v>
      </c>
      <c r="O1231">
        <v>1</v>
      </c>
      <c r="P1231">
        <v>7.4999999999999997E-2</v>
      </c>
      <c r="Q1231">
        <v>1</v>
      </c>
      <c r="R1231">
        <v>8.4999999999999995E-4</v>
      </c>
      <c r="T1231" t="s">
        <v>3686</v>
      </c>
    </row>
    <row r="1232" spans="1:20" x14ac:dyDescent="0.2">
      <c r="A1232" t="s">
        <v>3688</v>
      </c>
      <c r="B1232" t="s">
        <v>2022</v>
      </c>
      <c r="C1232" t="s">
        <v>2053</v>
      </c>
      <c r="D1232" t="s">
        <v>2024</v>
      </c>
      <c r="E1232" t="s">
        <v>3686</v>
      </c>
      <c r="F1232" t="s">
        <v>3687</v>
      </c>
      <c r="G1232">
        <v>5</v>
      </c>
      <c r="H1232">
        <v>1900</v>
      </c>
      <c r="I1232">
        <v>1</v>
      </c>
      <c r="J1232">
        <v>1.55</v>
      </c>
      <c r="K1232">
        <v>1</v>
      </c>
      <c r="L1232">
        <v>1.4999999999999999E-2</v>
      </c>
      <c r="M1232">
        <v>3</v>
      </c>
      <c r="N1232">
        <v>93</v>
      </c>
      <c r="O1232">
        <v>1</v>
      </c>
      <c r="P1232">
        <v>7.4999999999999997E-2</v>
      </c>
      <c r="Q1232">
        <v>1</v>
      </c>
      <c r="R1232">
        <v>8.4999999999999995E-4</v>
      </c>
      <c r="T1232" t="s">
        <v>3686</v>
      </c>
    </row>
    <row r="1233" spans="1:20" x14ac:dyDescent="0.2">
      <c r="A1233" t="s">
        <v>3689</v>
      </c>
      <c r="B1233" t="s">
        <v>2022</v>
      </c>
      <c r="C1233" t="s">
        <v>2053</v>
      </c>
      <c r="D1233" t="s">
        <v>2024</v>
      </c>
      <c r="E1233" t="s">
        <v>357</v>
      </c>
      <c r="F1233" t="s">
        <v>3690</v>
      </c>
      <c r="G1233">
        <v>5</v>
      </c>
      <c r="H1233">
        <v>1900</v>
      </c>
      <c r="I1233">
        <v>3</v>
      </c>
      <c r="J1233">
        <v>6.55</v>
      </c>
      <c r="K1233">
        <v>2</v>
      </c>
      <c r="L1233">
        <v>8.5000000000000006E-2</v>
      </c>
      <c r="M1233">
        <v>4</v>
      </c>
      <c r="N1233">
        <v>103</v>
      </c>
      <c r="O1233">
        <v>3</v>
      </c>
      <c r="P1233">
        <v>0.375</v>
      </c>
      <c r="Q1233">
        <v>2</v>
      </c>
      <c r="R1233">
        <v>5.1999999999999998E-3</v>
      </c>
      <c r="T1233" t="s">
        <v>357</v>
      </c>
    </row>
    <row r="1234" spans="1:20" x14ac:dyDescent="0.2">
      <c r="A1234" t="s">
        <v>3691</v>
      </c>
      <c r="B1234" t="s">
        <v>2022</v>
      </c>
      <c r="C1234" t="s">
        <v>2023</v>
      </c>
      <c r="D1234" t="s">
        <v>2024</v>
      </c>
      <c r="E1234" t="s">
        <v>3692</v>
      </c>
      <c r="F1234" t="s">
        <v>3693</v>
      </c>
      <c r="G1234">
        <v>5</v>
      </c>
      <c r="H1234">
        <v>1800</v>
      </c>
      <c r="I1234">
        <v>3</v>
      </c>
      <c r="J1234">
        <v>5.9</v>
      </c>
      <c r="K1234">
        <v>5</v>
      </c>
      <c r="L1234">
        <v>8.5999999999999993E-2</v>
      </c>
      <c r="M1234">
        <v>4</v>
      </c>
      <c r="N1234">
        <v>104</v>
      </c>
      <c r="O1234">
        <v>3</v>
      </c>
      <c r="P1234">
        <v>0.375</v>
      </c>
      <c r="Q1234">
        <v>3</v>
      </c>
      <c r="R1234">
        <v>4.0000000000000001E-3</v>
      </c>
      <c r="T1234" t="s">
        <v>3692</v>
      </c>
    </row>
    <row r="1235" spans="1:20" x14ac:dyDescent="0.2">
      <c r="A1235" t="s">
        <v>3694</v>
      </c>
      <c r="B1235" t="s">
        <v>2022</v>
      </c>
      <c r="C1235" t="s">
        <v>2023</v>
      </c>
      <c r="D1235" t="s">
        <v>2024</v>
      </c>
      <c r="E1235" t="s">
        <v>3695</v>
      </c>
      <c r="F1235" t="s">
        <v>3696</v>
      </c>
      <c r="G1235">
        <v>5</v>
      </c>
      <c r="H1235">
        <v>1800</v>
      </c>
      <c r="I1235">
        <v>5</v>
      </c>
      <c r="J1235">
        <v>10.9</v>
      </c>
      <c r="K1235">
        <v>5</v>
      </c>
      <c r="L1235">
        <v>8.5999999999999993E-2</v>
      </c>
      <c r="M1235">
        <v>3</v>
      </c>
      <c r="N1235">
        <v>94</v>
      </c>
      <c r="O1235">
        <v>5</v>
      </c>
      <c r="P1235">
        <v>0.67500000000000004</v>
      </c>
      <c r="Q1235">
        <v>5</v>
      </c>
      <c r="R1235">
        <v>8.0000000000000002E-3</v>
      </c>
      <c r="T1235" t="s">
        <v>3695</v>
      </c>
    </row>
    <row r="1236" spans="1:20" x14ac:dyDescent="0.2">
      <c r="A1236" t="s">
        <v>3697</v>
      </c>
      <c r="B1236" t="s">
        <v>2022</v>
      </c>
      <c r="C1236" t="s">
        <v>2023</v>
      </c>
      <c r="D1236" t="s">
        <v>2024</v>
      </c>
      <c r="E1236" t="s">
        <v>3698</v>
      </c>
      <c r="F1236" t="s">
        <v>3699</v>
      </c>
      <c r="G1236">
        <v>1</v>
      </c>
      <c r="H1236">
        <v>1480</v>
      </c>
      <c r="I1236">
        <v>1</v>
      </c>
      <c r="J1236">
        <v>0.9</v>
      </c>
      <c r="K1236">
        <v>2</v>
      </c>
      <c r="L1236">
        <v>2.5999999999999999E-2</v>
      </c>
      <c r="M1236">
        <v>4</v>
      </c>
      <c r="N1236">
        <v>104</v>
      </c>
      <c r="O1236">
        <v>1</v>
      </c>
      <c r="P1236">
        <v>7.4999999999999997E-2</v>
      </c>
      <c r="Q1236">
        <v>2</v>
      </c>
      <c r="R1236">
        <v>2E-3</v>
      </c>
      <c r="T1236" t="s">
        <v>3698</v>
      </c>
    </row>
    <row r="1237" spans="1:20" x14ac:dyDescent="0.2">
      <c r="A1237" t="s">
        <v>3700</v>
      </c>
      <c r="B1237" t="s">
        <v>2022</v>
      </c>
      <c r="C1237" t="s">
        <v>2023</v>
      </c>
      <c r="D1237" t="s">
        <v>2136</v>
      </c>
      <c r="E1237" t="s">
        <v>3701</v>
      </c>
      <c r="F1237" t="s">
        <v>3702</v>
      </c>
      <c r="G1237">
        <v>3</v>
      </c>
      <c r="H1237">
        <v>1640</v>
      </c>
      <c r="I1237">
        <v>1</v>
      </c>
      <c r="J1237">
        <v>0.9</v>
      </c>
      <c r="K1237">
        <v>2</v>
      </c>
      <c r="L1237">
        <v>2.5999999999999999E-2</v>
      </c>
      <c r="M1237">
        <v>5</v>
      </c>
      <c r="N1237">
        <v>114</v>
      </c>
      <c r="O1237">
        <v>2</v>
      </c>
      <c r="P1237">
        <v>0.22500000000000001</v>
      </c>
      <c r="Q1237">
        <v>2</v>
      </c>
      <c r="R1237">
        <v>2E-3</v>
      </c>
      <c r="T1237" t="s">
        <v>3701</v>
      </c>
    </row>
    <row r="1238" spans="1:20" x14ac:dyDescent="0.2">
      <c r="A1238" t="s">
        <v>3703</v>
      </c>
      <c r="B1238" t="s">
        <v>2022</v>
      </c>
      <c r="C1238" t="s">
        <v>2053</v>
      </c>
      <c r="D1238" t="s">
        <v>2154</v>
      </c>
      <c r="E1238" t="s">
        <v>3704</v>
      </c>
      <c r="F1238" t="s">
        <v>3705</v>
      </c>
      <c r="G1238">
        <v>5</v>
      </c>
      <c r="H1238">
        <v>1900</v>
      </c>
      <c r="I1238">
        <v>5</v>
      </c>
      <c r="J1238">
        <v>11.55</v>
      </c>
      <c r="K1238">
        <v>5</v>
      </c>
      <c r="L1238">
        <v>0.41499999999999998</v>
      </c>
      <c r="M1238">
        <v>4</v>
      </c>
      <c r="N1238">
        <v>103</v>
      </c>
      <c r="O1238">
        <v>5</v>
      </c>
      <c r="P1238">
        <v>0.67500000000000004</v>
      </c>
      <c r="Q1238">
        <v>5</v>
      </c>
      <c r="R1238">
        <v>2.6200000000000001E-2</v>
      </c>
      <c r="T1238" t="s">
        <v>3704</v>
      </c>
    </row>
    <row r="1239" spans="1:20" x14ac:dyDescent="0.2">
      <c r="A1239" t="s">
        <v>3706</v>
      </c>
      <c r="B1239" t="s">
        <v>2022</v>
      </c>
      <c r="C1239" t="s">
        <v>2023</v>
      </c>
      <c r="D1239" t="s">
        <v>2024</v>
      </c>
      <c r="E1239" t="s">
        <v>3707</v>
      </c>
      <c r="F1239" t="s">
        <v>3708</v>
      </c>
      <c r="G1239">
        <v>1</v>
      </c>
      <c r="H1239">
        <v>1480</v>
      </c>
      <c r="I1239">
        <v>3</v>
      </c>
      <c r="J1239">
        <v>5.9</v>
      </c>
      <c r="K1239">
        <v>5</v>
      </c>
      <c r="L1239">
        <v>8.5999999999999993E-2</v>
      </c>
      <c r="M1239">
        <v>4</v>
      </c>
      <c r="N1239">
        <v>104</v>
      </c>
      <c r="O1239">
        <v>3</v>
      </c>
      <c r="P1239">
        <v>0.375</v>
      </c>
      <c r="Q1239">
        <v>4</v>
      </c>
      <c r="R1239">
        <v>6.0000000000000001E-3</v>
      </c>
      <c r="T1239" t="s">
        <v>3707</v>
      </c>
    </row>
    <row r="1240" spans="1:20" x14ac:dyDescent="0.2">
      <c r="A1240" t="s">
        <v>3709</v>
      </c>
      <c r="B1240" t="s">
        <v>2022</v>
      </c>
      <c r="C1240" t="s">
        <v>2023</v>
      </c>
      <c r="D1240" t="s">
        <v>2024</v>
      </c>
      <c r="E1240" t="s">
        <v>3710</v>
      </c>
      <c r="F1240" t="s">
        <v>3711</v>
      </c>
      <c r="G1240">
        <v>2</v>
      </c>
      <c r="H1240">
        <v>1560</v>
      </c>
      <c r="I1240">
        <v>4</v>
      </c>
      <c r="J1240">
        <v>8.4</v>
      </c>
      <c r="K1240">
        <v>5</v>
      </c>
      <c r="L1240">
        <v>8.5999999999999993E-2</v>
      </c>
      <c r="M1240">
        <v>1</v>
      </c>
      <c r="N1240">
        <v>74</v>
      </c>
      <c r="O1240">
        <v>3</v>
      </c>
      <c r="P1240">
        <v>0.375</v>
      </c>
      <c r="Q1240">
        <v>5</v>
      </c>
      <c r="R1240">
        <v>8.0000000000000002E-3</v>
      </c>
      <c r="T1240" t="s">
        <v>3710</v>
      </c>
    </row>
    <row r="1241" spans="1:20" x14ac:dyDescent="0.2">
      <c r="A1241" t="s">
        <v>3712</v>
      </c>
      <c r="B1241" t="s">
        <v>2022</v>
      </c>
      <c r="C1241" t="s">
        <v>2104</v>
      </c>
      <c r="D1241" t="s">
        <v>2024</v>
      </c>
      <c r="E1241" t="s">
        <v>3713</v>
      </c>
      <c r="F1241" t="s">
        <v>3714</v>
      </c>
      <c r="G1241">
        <v>5</v>
      </c>
      <c r="H1241">
        <v>2237.5</v>
      </c>
      <c r="I1241">
        <v>5</v>
      </c>
      <c r="J1241">
        <v>10.15</v>
      </c>
      <c r="K1241">
        <v>5</v>
      </c>
      <c r="L1241">
        <v>0.191</v>
      </c>
      <c r="M1241">
        <v>5</v>
      </c>
      <c r="N1241">
        <v>89</v>
      </c>
      <c r="P1241">
        <v>0</v>
      </c>
      <c r="Q1241">
        <v>5</v>
      </c>
      <c r="R1241">
        <v>1.8200000000000001E-2</v>
      </c>
      <c r="T1241" t="s">
        <v>3713</v>
      </c>
    </row>
    <row r="1242" spans="1:20" x14ac:dyDescent="0.2">
      <c r="A1242" t="s">
        <v>3715</v>
      </c>
      <c r="B1242" t="s">
        <v>2022</v>
      </c>
      <c r="C1242" t="s">
        <v>2036</v>
      </c>
      <c r="D1242" t="s">
        <v>2024</v>
      </c>
      <c r="E1242" t="s">
        <v>3716</v>
      </c>
      <c r="F1242" t="s">
        <v>3717</v>
      </c>
      <c r="G1242">
        <v>2</v>
      </c>
      <c r="H1242">
        <v>1640</v>
      </c>
      <c r="I1242">
        <v>4</v>
      </c>
      <c r="J1242">
        <v>5.8</v>
      </c>
      <c r="K1242">
        <v>1</v>
      </c>
      <c r="L1242">
        <v>5.5E-2</v>
      </c>
      <c r="M1242">
        <v>1</v>
      </c>
      <c r="N1242">
        <v>76</v>
      </c>
      <c r="O1242">
        <v>2</v>
      </c>
      <c r="P1242">
        <v>0.20499999999999999</v>
      </c>
      <c r="Q1242">
        <v>1</v>
      </c>
      <c r="R1242">
        <v>1.5E-3</v>
      </c>
      <c r="T1242" t="s">
        <v>3716</v>
      </c>
    </row>
    <row r="1243" spans="1:20" x14ac:dyDescent="0.2">
      <c r="A1243" t="s">
        <v>3718</v>
      </c>
      <c r="B1243" t="s">
        <v>2022</v>
      </c>
      <c r="C1243" t="s">
        <v>2053</v>
      </c>
      <c r="D1243" t="s">
        <v>2024</v>
      </c>
      <c r="E1243" t="s">
        <v>3719</v>
      </c>
      <c r="F1243" t="s">
        <v>3720</v>
      </c>
      <c r="G1243">
        <v>4</v>
      </c>
      <c r="H1243">
        <v>1800</v>
      </c>
      <c r="I1243">
        <v>5</v>
      </c>
      <c r="J1243">
        <v>11.55</v>
      </c>
      <c r="K1243">
        <v>5</v>
      </c>
      <c r="L1243">
        <v>0.41499999999999998</v>
      </c>
      <c r="M1243">
        <v>4</v>
      </c>
      <c r="N1243">
        <v>103</v>
      </c>
      <c r="O1243">
        <v>5</v>
      </c>
      <c r="P1243">
        <v>0.67500000000000004</v>
      </c>
      <c r="Q1243">
        <v>5</v>
      </c>
      <c r="R1243">
        <v>2.6200000000000001E-2</v>
      </c>
      <c r="T1243" t="s">
        <v>3719</v>
      </c>
    </row>
    <row r="1244" spans="1:20" x14ac:dyDescent="0.2">
      <c r="A1244" t="s">
        <v>3721</v>
      </c>
      <c r="B1244" t="s">
        <v>2022</v>
      </c>
      <c r="C1244" t="s">
        <v>2036</v>
      </c>
      <c r="D1244" t="s">
        <v>2024</v>
      </c>
      <c r="E1244" t="s">
        <v>357</v>
      </c>
      <c r="F1244" t="s">
        <v>447</v>
      </c>
      <c r="G1244">
        <v>4</v>
      </c>
      <c r="H1244">
        <v>1840</v>
      </c>
      <c r="I1244">
        <v>5</v>
      </c>
      <c r="J1244">
        <v>7</v>
      </c>
      <c r="K1244">
        <v>5</v>
      </c>
      <c r="L1244">
        <v>0.17499999999999999</v>
      </c>
      <c r="M1244">
        <v>2</v>
      </c>
      <c r="N1244">
        <v>82</v>
      </c>
      <c r="O1244">
        <v>5</v>
      </c>
      <c r="P1244">
        <v>0.53500000000000003</v>
      </c>
      <c r="Q1244">
        <v>5</v>
      </c>
      <c r="R1244">
        <v>1.2E-2</v>
      </c>
      <c r="T1244" t="s">
        <v>357</v>
      </c>
    </row>
    <row r="1245" spans="1:20" x14ac:dyDescent="0.2">
      <c r="A1245" t="s">
        <v>3722</v>
      </c>
      <c r="B1245" t="s">
        <v>2022</v>
      </c>
      <c r="C1245" t="s">
        <v>2023</v>
      </c>
      <c r="D1245" t="s">
        <v>2024</v>
      </c>
      <c r="E1245" t="s">
        <v>3723</v>
      </c>
      <c r="F1245" t="s">
        <v>3724</v>
      </c>
      <c r="G1245">
        <v>2</v>
      </c>
      <c r="H1245">
        <v>1560</v>
      </c>
      <c r="I1245">
        <v>1</v>
      </c>
      <c r="J1245">
        <v>0.9</v>
      </c>
      <c r="K1245">
        <v>1</v>
      </c>
      <c r="L1245">
        <v>6.0000000000000001E-3</v>
      </c>
      <c r="M1245">
        <v>1</v>
      </c>
      <c r="N1245">
        <v>74</v>
      </c>
      <c r="O1245">
        <v>1</v>
      </c>
      <c r="P1245">
        <v>7.4999999999999997E-2</v>
      </c>
      <c r="Q1245">
        <v>1</v>
      </c>
      <c r="R1245">
        <v>5.0000000000000001E-4</v>
      </c>
      <c r="T1245" t="s">
        <v>3723</v>
      </c>
    </row>
    <row r="1246" spans="1:20" x14ac:dyDescent="0.2">
      <c r="A1246" t="s">
        <v>3725</v>
      </c>
      <c r="B1246" t="s">
        <v>2022</v>
      </c>
      <c r="C1246" t="s">
        <v>2023</v>
      </c>
      <c r="D1246" t="s">
        <v>2024</v>
      </c>
      <c r="E1246" t="s">
        <v>3726</v>
      </c>
      <c r="F1246" t="s">
        <v>3727</v>
      </c>
      <c r="G1246">
        <v>4</v>
      </c>
      <c r="H1246">
        <v>1720</v>
      </c>
      <c r="I1246">
        <v>2</v>
      </c>
      <c r="J1246">
        <v>3.4</v>
      </c>
      <c r="K1246">
        <v>2</v>
      </c>
      <c r="L1246">
        <v>2.5999999999999999E-2</v>
      </c>
      <c r="M1246">
        <v>5</v>
      </c>
      <c r="N1246">
        <v>114</v>
      </c>
      <c r="O1246">
        <v>2</v>
      </c>
      <c r="P1246">
        <v>0.22500000000000001</v>
      </c>
      <c r="Q1246">
        <v>2</v>
      </c>
      <c r="R1246">
        <v>2E-3</v>
      </c>
      <c r="T1246" t="s">
        <v>3726</v>
      </c>
    </row>
    <row r="1247" spans="1:20" x14ac:dyDescent="0.2">
      <c r="A1247" t="s">
        <v>3728</v>
      </c>
      <c r="B1247" t="s">
        <v>2022</v>
      </c>
      <c r="C1247" t="s">
        <v>2023</v>
      </c>
      <c r="D1247" t="s">
        <v>2024</v>
      </c>
      <c r="E1247" t="s">
        <v>3729</v>
      </c>
      <c r="F1247" t="s">
        <v>3730</v>
      </c>
      <c r="G1247">
        <v>2</v>
      </c>
      <c r="H1247">
        <v>1560</v>
      </c>
      <c r="I1247">
        <v>2</v>
      </c>
      <c r="J1247">
        <v>3.4</v>
      </c>
      <c r="K1247">
        <v>2</v>
      </c>
      <c r="L1247">
        <v>2.5999999999999999E-2</v>
      </c>
      <c r="M1247">
        <v>2</v>
      </c>
      <c r="N1247">
        <v>84</v>
      </c>
      <c r="O1247">
        <v>2</v>
      </c>
      <c r="P1247">
        <v>0.22500000000000001</v>
      </c>
      <c r="Q1247">
        <v>1</v>
      </c>
      <c r="R1247">
        <v>5.0000000000000001E-4</v>
      </c>
      <c r="T1247" t="s">
        <v>3729</v>
      </c>
    </row>
    <row r="1248" spans="1:20" x14ac:dyDescent="0.2">
      <c r="A1248" t="s">
        <v>3731</v>
      </c>
      <c r="B1248" t="s">
        <v>2022</v>
      </c>
      <c r="C1248" t="s">
        <v>2101</v>
      </c>
      <c r="D1248" t="s">
        <v>2024</v>
      </c>
      <c r="E1248" t="s">
        <v>3732</v>
      </c>
      <c r="F1248" t="s">
        <v>3733</v>
      </c>
      <c r="G1248">
        <v>1</v>
      </c>
      <c r="H1248">
        <v>1570</v>
      </c>
      <c r="I1248">
        <v>5</v>
      </c>
      <c r="J1248">
        <v>14</v>
      </c>
      <c r="K1248">
        <v>4</v>
      </c>
      <c r="L1248">
        <v>0.39050000000000001</v>
      </c>
      <c r="M1248">
        <v>2</v>
      </c>
      <c r="N1248">
        <v>74</v>
      </c>
      <c r="O1248">
        <v>4</v>
      </c>
      <c r="P1248">
        <v>0.52500000000000002</v>
      </c>
      <c r="Q1248">
        <v>4</v>
      </c>
      <c r="R1248">
        <v>1.8499999999999999E-2</v>
      </c>
      <c r="T1248" t="s">
        <v>3732</v>
      </c>
    </row>
    <row r="1249" spans="1:20" x14ac:dyDescent="0.2">
      <c r="A1249" t="s">
        <v>3734</v>
      </c>
      <c r="B1249" t="s">
        <v>2022</v>
      </c>
      <c r="C1249" t="s">
        <v>2023</v>
      </c>
      <c r="D1249" t="s">
        <v>2024</v>
      </c>
      <c r="E1249" t="s">
        <v>3735</v>
      </c>
      <c r="F1249" t="s">
        <v>3736</v>
      </c>
      <c r="G1249">
        <v>2</v>
      </c>
      <c r="H1249">
        <v>1560</v>
      </c>
      <c r="I1249">
        <v>2</v>
      </c>
      <c r="J1249">
        <v>3.4</v>
      </c>
      <c r="K1249">
        <v>2</v>
      </c>
      <c r="L1249">
        <v>2.5999999999999999E-2</v>
      </c>
      <c r="M1249">
        <v>2</v>
      </c>
      <c r="N1249">
        <v>84</v>
      </c>
      <c r="O1249">
        <v>2</v>
      </c>
      <c r="P1249">
        <v>0.22500000000000001</v>
      </c>
      <c r="Q1249">
        <v>2</v>
      </c>
      <c r="R1249">
        <v>2E-3</v>
      </c>
      <c r="T1249" t="s">
        <v>3735</v>
      </c>
    </row>
    <row r="1250" spans="1:20" x14ac:dyDescent="0.2">
      <c r="A1250" t="s">
        <v>3737</v>
      </c>
      <c r="B1250" t="s">
        <v>2022</v>
      </c>
      <c r="C1250" t="s">
        <v>2053</v>
      </c>
      <c r="D1250" t="s">
        <v>2154</v>
      </c>
      <c r="E1250" t="s">
        <v>3738</v>
      </c>
      <c r="F1250" t="s">
        <v>3739</v>
      </c>
      <c r="G1250">
        <v>4</v>
      </c>
      <c r="H1250">
        <v>1800</v>
      </c>
      <c r="I1250">
        <v>5</v>
      </c>
      <c r="J1250">
        <v>11.55</v>
      </c>
      <c r="K1250">
        <v>5</v>
      </c>
      <c r="L1250">
        <v>0.41499999999999998</v>
      </c>
      <c r="M1250">
        <v>1</v>
      </c>
      <c r="N1250">
        <v>73</v>
      </c>
      <c r="O1250">
        <v>5</v>
      </c>
      <c r="P1250">
        <v>0.67500000000000004</v>
      </c>
      <c r="Q1250">
        <v>5</v>
      </c>
      <c r="R1250">
        <v>2.6200000000000001E-2</v>
      </c>
      <c r="T1250" t="s">
        <v>3738</v>
      </c>
    </row>
    <row r="1251" spans="1:20" x14ac:dyDescent="0.2">
      <c r="A1251" t="s">
        <v>3740</v>
      </c>
      <c r="B1251" t="s">
        <v>2022</v>
      </c>
      <c r="C1251" t="s">
        <v>2101</v>
      </c>
      <c r="D1251" t="s">
        <v>2024</v>
      </c>
      <c r="E1251" t="s">
        <v>3741</v>
      </c>
      <c r="F1251" t="s">
        <v>3742</v>
      </c>
      <c r="G1251">
        <v>3</v>
      </c>
      <c r="H1251">
        <v>1770</v>
      </c>
      <c r="I1251">
        <v>1</v>
      </c>
      <c r="J1251">
        <v>2</v>
      </c>
      <c r="K1251">
        <v>2</v>
      </c>
      <c r="L1251">
        <v>9.6500000000000002E-2</v>
      </c>
      <c r="M1251">
        <v>2</v>
      </c>
      <c r="N1251">
        <v>74</v>
      </c>
      <c r="O1251">
        <v>1</v>
      </c>
      <c r="P1251">
        <v>7.4999999999999997E-2</v>
      </c>
      <c r="Q1251">
        <v>1</v>
      </c>
      <c r="R1251">
        <v>5.0000000000000001E-4</v>
      </c>
      <c r="T1251" t="s">
        <v>3741</v>
      </c>
    </row>
    <row r="1252" spans="1:20" x14ac:dyDescent="0.2">
      <c r="A1252" t="s">
        <v>3743</v>
      </c>
      <c r="B1252" t="s">
        <v>2022</v>
      </c>
      <c r="C1252" t="s">
        <v>2023</v>
      </c>
      <c r="D1252" t="s">
        <v>2024</v>
      </c>
      <c r="E1252" t="s">
        <v>3744</v>
      </c>
      <c r="F1252" t="s">
        <v>3745</v>
      </c>
      <c r="G1252">
        <v>4</v>
      </c>
      <c r="H1252">
        <v>1720</v>
      </c>
      <c r="I1252">
        <v>3</v>
      </c>
      <c r="J1252">
        <v>5.9</v>
      </c>
      <c r="K1252">
        <v>2</v>
      </c>
      <c r="L1252">
        <v>2.5999999999999999E-2</v>
      </c>
      <c r="M1252">
        <v>2</v>
      </c>
      <c r="N1252">
        <v>84</v>
      </c>
      <c r="O1252">
        <v>3</v>
      </c>
      <c r="P1252">
        <v>0.375</v>
      </c>
      <c r="Q1252">
        <v>2</v>
      </c>
      <c r="R1252">
        <v>2E-3</v>
      </c>
      <c r="T1252" t="s">
        <v>3744</v>
      </c>
    </row>
    <row r="1253" spans="1:20" x14ac:dyDescent="0.2">
      <c r="A1253" t="s">
        <v>3746</v>
      </c>
      <c r="B1253" t="s">
        <v>2022</v>
      </c>
      <c r="C1253" t="s">
        <v>2036</v>
      </c>
      <c r="D1253" t="s">
        <v>2024</v>
      </c>
      <c r="E1253" t="s">
        <v>3747</v>
      </c>
      <c r="F1253" t="s">
        <v>3748</v>
      </c>
      <c r="G1253">
        <v>3</v>
      </c>
      <c r="H1253">
        <v>1740</v>
      </c>
      <c r="I1253">
        <v>2</v>
      </c>
      <c r="J1253">
        <v>3.4</v>
      </c>
      <c r="K1253">
        <v>1</v>
      </c>
      <c r="L1253">
        <v>5.5E-2</v>
      </c>
      <c r="M1253">
        <v>4</v>
      </c>
      <c r="N1253">
        <v>94</v>
      </c>
      <c r="O1253">
        <v>2</v>
      </c>
      <c r="P1253">
        <v>0.20499999999999999</v>
      </c>
      <c r="Q1253">
        <v>2</v>
      </c>
      <c r="R1253">
        <v>4.2500000000000003E-3</v>
      </c>
      <c r="T1253" t="s">
        <v>3747</v>
      </c>
    </row>
    <row r="1254" spans="1:20" x14ac:dyDescent="0.2">
      <c r="A1254" t="s">
        <v>3749</v>
      </c>
      <c r="B1254" t="s">
        <v>2022</v>
      </c>
      <c r="C1254" t="s">
        <v>2036</v>
      </c>
      <c r="D1254" t="s">
        <v>2024</v>
      </c>
      <c r="E1254" t="s">
        <v>3750</v>
      </c>
      <c r="F1254" t="s">
        <v>3751</v>
      </c>
      <c r="G1254">
        <v>1</v>
      </c>
      <c r="H1254">
        <v>1540</v>
      </c>
      <c r="I1254">
        <v>1</v>
      </c>
      <c r="J1254">
        <v>2.2000000000000002</v>
      </c>
      <c r="K1254">
        <v>2</v>
      </c>
      <c r="L1254">
        <v>8.5000000000000006E-2</v>
      </c>
      <c r="M1254">
        <v>1</v>
      </c>
      <c r="N1254">
        <v>76</v>
      </c>
      <c r="O1254">
        <v>1</v>
      </c>
      <c r="P1254">
        <v>9.5000000000000001E-2</v>
      </c>
      <c r="Q1254">
        <v>2</v>
      </c>
      <c r="R1254">
        <v>4.2500000000000003E-3</v>
      </c>
      <c r="T1254" t="s">
        <v>3750</v>
      </c>
    </row>
    <row r="1255" spans="1:20" x14ac:dyDescent="0.2">
      <c r="A1255" t="s">
        <v>3752</v>
      </c>
      <c r="B1255" t="s">
        <v>2022</v>
      </c>
      <c r="C1255" t="s">
        <v>2101</v>
      </c>
      <c r="D1255" t="s">
        <v>2024</v>
      </c>
      <c r="E1255" t="s">
        <v>3753</v>
      </c>
      <c r="F1255" t="s">
        <v>3754</v>
      </c>
      <c r="G1255">
        <v>5</v>
      </c>
      <c r="H1255">
        <v>1970</v>
      </c>
      <c r="I1255">
        <v>2</v>
      </c>
      <c r="J1255">
        <v>5</v>
      </c>
      <c r="K1255">
        <v>2</v>
      </c>
      <c r="L1255">
        <v>9.6500000000000002E-2</v>
      </c>
      <c r="M1255">
        <v>2</v>
      </c>
      <c r="N1255">
        <v>74</v>
      </c>
      <c r="O1255">
        <v>2</v>
      </c>
      <c r="P1255">
        <v>0.22500000000000001</v>
      </c>
      <c r="Q1255">
        <v>2</v>
      </c>
      <c r="R1255">
        <v>4.4999999999999997E-3</v>
      </c>
      <c r="T1255" t="s">
        <v>3753</v>
      </c>
    </row>
    <row r="1256" spans="1:20" x14ac:dyDescent="0.2">
      <c r="A1256" t="s">
        <v>3755</v>
      </c>
      <c r="B1256" t="s">
        <v>2022</v>
      </c>
      <c r="C1256" t="s">
        <v>2023</v>
      </c>
      <c r="D1256" t="s">
        <v>2024</v>
      </c>
      <c r="E1256" t="s">
        <v>3756</v>
      </c>
      <c r="F1256" t="s">
        <v>3757</v>
      </c>
      <c r="G1256">
        <v>2</v>
      </c>
      <c r="H1256">
        <v>1560</v>
      </c>
      <c r="I1256">
        <v>4</v>
      </c>
      <c r="J1256">
        <v>8.4</v>
      </c>
      <c r="K1256">
        <v>5</v>
      </c>
      <c r="L1256">
        <v>8.5999999999999993E-2</v>
      </c>
      <c r="M1256">
        <v>3</v>
      </c>
      <c r="N1256">
        <v>94</v>
      </c>
      <c r="O1256">
        <v>4</v>
      </c>
      <c r="P1256">
        <v>0.52500000000000002</v>
      </c>
      <c r="Q1256">
        <v>5</v>
      </c>
      <c r="R1256">
        <v>8.0000000000000002E-3</v>
      </c>
      <c r="T1256" t="s">
        <v>3756</v>
      </c>
    </row>
    <row r="1257" spans="1:20" x14ac:dyDescent="0.2">
      <c r="A1257" t="s">
        <v>3758</v>
      </c>
      <c r="B1257" t="s">
        <v>2022</v>
      </c>
      <c r="C1257" t="s">
        <v>2036</v>
      </c>
      <c r="D1257" t="s">
        <v>2024</v>
      </c>
      <c r="E1257" t="s">
        <v>3759</v>
      </c>
      <c r="F1257" t="s">
        <v>3760</v>
      </c>
      <c r="G1257">
        <v>3</v>
      </c>
      <c r="H1257">
        <v>1740</v>
      </c>
      <c r="I1257">
        <v>2</v>
      </c>
      <c r="J1257">
        <v>3.4</v>
      </c>
      <c r="K1257">
        <v>3</v>
      </c>
      <c r="L1257">
        <v>0.115</v>
      </c>
      <c r="M1257">
        <v>2</v>
      </c>
      <c r="N1257">
        <v>82</v>
      </c>
      <c r="O1257">
        <v>2</v>
      </c>
      <c r="P1257">
        <v>0.20499999999999999</v>
      </c>
      <c r="Q1257">
        <v>3</v>
      </c>
      <c r="R1257">
        <v>6.7499999999999999E-3</v>
      </c>
      <c r="T1257" t="s">
        <v>3759</v>
      </c>
    </row>
    <row r="1258" spans="1:20" x14ac:dyDescent="0.2">
      <c r="A1258" t="s">
        <v>3761</v>
      </c>
      <c r="B1258" t="s">
        <v>2022</v>
      </c>
      <c r="C1258" t="s">
        <v>2023</v>
      </c>
      <c r="D1258" t="s">
        <v>2024</v>
      </c>
      <c r="E1258" t="s">
        <v>3762</v>
      </c>
      <c r="F1258" t="s">
        <v>3763</v>
      </c>
      <c r="G1258">
        <v>1</v>
      </c>
      <c r="H1258">
        <v>1480</v>
      </c>
      <c r="I1258">
        <v>2</v>
      </c>
      <c r="J1258">
        <v>3.4</v>
      </c>
      <c r="K1258">
        <v>2</v>
      </c>
      <c r="L1258">
        <v>2.5999999999999999E-2</v>
      </c>
      <c r="M1258">
        <v>3</v>
      </c>
      <c r="N1258">
        <v>94</v>
      </c>
      <c r="O1258">
        <v>1</v>
      </c>
      <c r="P1258">
        <v>7.4999999999999997E-2</v>
      </c>
      <c r="Q1258">
        <v>2</v>
      </c>
      <c r="R1258">
        <v>2E-3</v>
      </c>
      <c r="T1258" t="s">
        <v>3762</v>
      </c>
    </row>
    <row r="1259" spans="1:20" x14ac:dyDescent="0.2">
      <c r="A1259" t="s">
        <v>3764</v>
      </c>
      <c r="B1259" t="s">
        <v>2022</v>
      </c>
      <c r="C1259" t="s">
        <v>2053</v>
      </c>
      <c r="D1259" t="s">
        <v>2024</v>
      </c>
      <c r="E1259" t="s">
        <v>3765</v>
      </c>
      <c r="F1259" t="s">
        <v>3766</v>
      </c>
      <c r="G1259">
        <v>1</v>
      </c>
      <c r="H1259">
        <v>1500</v>
      </c>
      <c r="I1259">
        <v>1</v>
      </c>
      <c r="J1259">
        <v>1.55</v>
      </c>
      <c r="K1259">
        <v>1</v>
      </c>
      <c r="L1259">
        <v>1.4999999999999999E-2</v>
      </c>
      <c r="M1259">
        <v>5</v>
      </c>
      <c r="N1259">
        <v>113</v>
      </c>
      <c r="O1259">
        <v>2</v>
      </c>
      <c r="P1259">
        <v>0.22500000000000001</v>
      </c>
      <c r="Q1259">
        <v>2</v>
      </c>
      <c r="R1259">
        <v>5.1999999999999998E-3</v>
      </c>
      <c r="T1259" t="s">
        <v>3765</v>
      </c>
    </row>
    <row r="1260" spans="1:20" x14ac:dyDescent="0.2">
      <c r="A1260" t="s">
        <v>3767</v>
      </c>
      <c r="B1260" t="s">
        <v>2022</v>
      </c>
      <c r="C1260" t="s">
        <v>2053</v>
      </c>
      <c r="D1260" t="s">
        <v>2024</v>
      </c>
      <c r="E1260" t="s">
        <v>3768</v>
      </c>
      <c r="F1260" t="s">
        <v>3769</v>
      </c>
      <c r="G1260">
        <v>3</v>
      </c>
      <c r="H1260">
        <v>1700</v>
      </c>
      <c r="I1260">
        <v>2</v>
      </c>
      <c r="J1260">
        <v>4.05</v>
      </c>
      <c r="K1260">
        <v>2</v>
      </c>
      <c r="L1260">
        <v>8.5000000000000006E-2</v>
      </c>
      <c r="M1260">
        <v>3</v>
      </c>
      <c r="N1260">
        <v>93</v>
      </c>
      <c r="O1260">
        <v>2</v>
      </c>
      <c r="P1260">
        <v>0.22500000000000001</v>
      </c>
      <c r="Q1260">
        <v>2</v>
      </c>
      <c r="R1260">
        <v>5.1999999999999998E-3</v>
      </c>
      <c r="T1260" t="s">
        <v>3768</v>
      </c>
    </row>
    <row r="1261" spans="1:20" x14ac:dyDescent="0.2">
      <c r="A1261" t="s">
        <v>3770</v>
      </c>
      <c r="B1261" t="s">
        <v>2022</v>
      </c>
      <c r="C1261" t="s">
        <v>2049</v>
      </c>
      <c r="D1261" t="s">
        <v>2024</v>
      </c>
      <c r="E1261" t="s">
        <v>284</v>
      </c>
      <c r="F1261" t="s">
        <v>3771</v>
      </c>
      <c r="G1261">
        <v>4</v>
      </c>
      <c r="H1261">
        <v>1650</v>
      </c>
      <c r="I1261">
        <v>3</v>
      </c>
      <c r="J1261">
        <v>5</v>
      </c>
      <c r="K1261">
        <v>3</v>
      </c>
      <c r="L1261">
        <v>0.14000000000000001</v>
      </c>
      <c r="M1261">
        <v>2</v>
      </c>
      <c r="N1261">
        <v>106</v>
      </c>
      <c r="O1261">
        <v>2</v>
      </c>
      <c r="P1261">
        <v>0.26</v>
      </c>
      <c r="Q1261">
        <v>2</v>
      </c>
      <c r="R1261">
        <v>6.1999999999999998E-3</v>
      </c>
      <c r="T1261" t="s">
        <v>284</v>
      </c>
    </row>
    <row r="1262" spans="1:20" x14ac:dyDescent="0.2">
      <c r="A1262" t="s">
        <v>3772</v>
      </c>
      <c r="B1262" t="s">
        <v>2022</v>
      </c>
      <c r="C1262" t="s">
        <v>2023</v>
      </c>
      <c r="D1262" t="s">
        <v>2024</v>
      </c>
      <c r="E1262" t="s">
        <v>3773</v>
      </c>
      <c r="F1262" t="s">
        <v>447</v>
      </c>
      <c r="G1262">
        <v>4</v>
      </c>
      <c r="H1262">
        <v>1720</v>
      </c>
      <c r="I1262">
        <v>2</v>
      </c>
      <c r="J1262">
        <v>3.4</v>
      </c>
      <c r="K1262">
        <v>2</v>
      </c>
      <c r="L1262">
        <v>2.5999999999999999E-2</v>
      </c>
      <c r="M1262">
        <v>2</v>
      </c>
      <c r="N1262">
        <v>84</v>
      </c>
      <c r="O1262">
        <v>2</v>
      </c>
      <c r="P1262">
        <v>0.22500000000000001</v>
      </c>
      <c r="Q1262">
        <v>1</v>
      </c>
      <c r="R1262">
        <v>5.0000000000000001E-4</v>
      </c>
      <c r="T1262" t="s">
        <v>3773</v>
      </c>
    </row>
    <row r="1263" spans="1:20" x14ac:dyDescent="0.2">
      <c r="A1263" t="s">
        <v>3774</v>
      </c>
      <c r="B1263" t="s">
        <v>2022</v>
      </c>
      <c r="C1263" t="s">
        <v>2023</v>
      </c>
      <c r="D1263" t="s">
        <v>2024</v>
      </c>
      <c r="E1263" t="s">
        <v>3775</v>
      </c>
      <c r="F1263" t="s">
        <v>3776</v>
      </c>
      <c r="G1263">
        <v>2</v>
      </c>
      <c r="H1263">
        <v>1560</v>
      </c>
      <c r="I1263">
        <v>3</v>
      </c>
      <c r="J1263">
        <v>5.9</v>
      </c>
      <c r="K1263">
        <v>4</v>
      </c>
      <c r="L1263">
        <v>6.6000000000000003E-2</v>
      </c>
      <c r="M1263">
        <v>2</v>
      </c>
      <c r="N1263">
        <v>84</v>
      </c>
      <c r="O1263">
        <v>3</v>
      </c>
      <c r="P1263">
        <v>0.375</v>
      </c>
      <c r="Q1263">
        <v>3</v>
      </c>
      <c r="R1263">
        <v>4.0000000000000001E-3</v>
      </c>
      <c r="T1263" t="s">
        <v>3775</v>
      </c>
    </row>
    <row r="1264" spans="1:20" x14ac:dyDescent="0.2">
      <c r="A1264" t="s">
        <v>3777</v>
      </c>
      <c r="B1264" t="s">
        <v>2022</v>
      </c>
      <c r="C1264" t="s">
        <v>2095</v>
      </c>
      <c r="D1264" t="s">
        <v>2024</v>
      </c>
      <c r="E1264" t="s">
        <v>3778</v>
      </c>
      <c r="F1264" t="s">
        <v>3779</v>
      </c>
      <c r="G1264">
        <v>2</v>
      </c>
      <c r="H1264">
        <v>1655</v>
      </c>
      <c r="I1264">
        <v>5</v>
      </c>
      <c r="J1264">
        <v>16.5</v>
      </c>
      <c r="K1264">
        <v>5</v>
      </c>
      <c r="L1264">
        <v>0.73</v>
      </c>
      <c r="M1264">
        <v>2</v>
      </c>
      <c r="N1264">
        <v>80</v>
      </c>
      <c r="O1264">
        <v>5</v>
      </c>
      <c r="P1264">
        <v>0.95</v>
      </c>
      <c r="Q1264">
        <v>5</v>
      </c>
      <c r="R1264">
        <v>3.2899999999999999E-2</v>
      </c>
      <c r="T1264" t="s">
        <v>3778</v>
      </c>
    </row>
    <row r="1265" spans="1:20" x14ac:dyDescent="0.2">
      <c r="A1265" t="s">
        <v>3780</v>
      </c>
      <c r="B1265" t="s">
        <v>2022</v>
      </c>
      <c r="C1265" t="s">
        <v>2023</v>
      </c>
      <c r="D1265" t="s">
        <v>2024</v>
      </c>
      <c r="E1265" t="s">
        <v>3778</v>
      </c>
      <c r="F1265" t="s">
        <v>3779</v>
      </c>
      <c r="G1265">
        <v>3</v>
      </c>
      <c r="H1265">
        <v>1640</v>
      </c>
      <c r="I1265">
        <v>3</v>
      </c>
      <c r="J1265">
        <v>5.9</v>
      </c>
      <c r="K1265">
        <v>5</v>
      </c>
      <c r="L1265">
        <v>8.5999999999999993E-2</v>
      </c>
      <c r="M1265">
        <v>2</v>
      </c>
      <c r="N1265">
        <v>84</v>
      </c>
      <c r="O1265">
        <v>3</v>
      </c>
      <c r="P1265">
        <v>0.375</v>
      </c>
      <c r="Q1265">
        <v>3</v>
      </c>
      <c r="R1265">
        <v>4.0000000000000001E-3</v>
      </c>
      <c r="T1265" t="s">
        <v>3778</v>
      </c>
    </row>
    <row r="1266" spans="1:20" x14ac:dyDescent="0.2">
      <c r="A1266" t="s">
        <v>3781</v>
      </c>
      <c r="B1266" t="s">
        <v>2022</v>
      </c>
      <c r="C1266" t="s">
        <v>2053</v>
      </c>
      <c r="D1266" t="s">
        <v>2024</v>
      </c>
      <c r="E1266" t="s">
        <v>3782</v>
      </c>
      <c r="F1266" t="s">
        <v>3783</v>
      </c>
      <c r="G1266">
        <v>1</v>
      </c>
      <c r="H1266">
        <v>1500</v>
      </c>
      <c r="I1266">
        <v>1</v>
      </c>
      <c r="J1266">
        <v>1.55</v>
      </c>
      <c r="K1266">
        <v>2</v>
      </c>
      <c r="L1266">
        <v>8.5000000000000006E-2</v>
      </c>
      <c r="M1266">
        <v>5</v>
      </c>
      <c r="N1266">
        <v>113</v>
      </c>
      <c r="O1266">
        <v>2</v>
      </c>
      <c r="P1266">
        <v>0.22500000000000001</v>
      </c>
      <c r="Q1266">
        <v>2</v>
      </c>
      <c r="R1266">
        <v>5.1999999999999998E-3</v>
      </c>
      <c r="T1266" t="s">
        <v>3782</v>
      </c>
    </row>
    <row r="1267" spans="1:20" x14ac:dyDescent="0.2">
      <c r="A1267" t="s">
        <v>3784</v>
      </c>
      <c r="B1267" t="s">
        <v>2022</v>
      </c>
      <c r="C1267" t="s">
        <v>2023</v>
      </c>
      <c r="D1267" t="s">
        <v>2024</v>
      </c>
      <c r="E1267" t="s">
        <v>3785</v>
      </c>
      <c r="F1267" t="s">
        <v>3786</v>
      </c>
      <c r="G1267">
        <v>2</v>
      </c>
      <c r="H1267">
        <v>1560</v>
      </c>
      <c r="I1267">
        <v>2</v>
      </c>
      <c r="J1267">
        <v>3.4</v>
      </c>
      <c r="K1267">
        <v>5</v>
      </c>
      <c r="L1267">
        <v>8.5999999999999993E-2</v>
      </c>
      <c r="M1267">
        <v>2</v>
      </c>
      <c r="N1267">
        <v>84</v>
      </c>
      <c r="O1267">
        <v>2</v>
      </c>
      <c r="P1267">
        <v>0.22500000000000001</v>
      </c>
      <c r="Q1267">
        <v>5</v>
      </c>
      <c r="R1267">
        <v>8.0000000000000002E-3</v>
      </c>
      <c r="T1267" t="s">
        <v>3785</v>
      </c>
    </row>
    <row r="1268" spans="1:20" x14ac:dyDescent="0.2">
      <c r="A1268" t="s">
        <v>3787</v>
      </c>
      <c r="B1268" t="s">
        <v>2022</v>
      </c>
      <c r="C1268" t="s">
        <v>2053</v>
      </c>
      <c r="D1268" t="s">
        <v>2024</v>
      </c>
      <c r="E1268" t="s">
        <v>3788</v>
      </c>
      <c r="F1268" t="s">
        <v>3789</v>
      </c>
      <c r="G1268">
        <v>4</v>
      </c>
      <c r="H1268">
        <v>1800</v>
      </c>
      <c r="I1268">
        <v>5</v>
      </c>
      <c r="J1268">
        <v>11.55</v>
      </c>
      <c r="K1268">
        <v>5</v>
      </c>
      <c r="L1268">
        <v>0.41499999999999998</v>
      </c>
      <c r="M1268">
        <v>2</v>
      </c>
      <c r="N1268">
        <v>83</v>
      </c>
      <c r="O1268">
        <v>5</v>
      </c>
      <c r="P1268">
        <v>0.67500000000000004</v>
      </c>
      <c r="Q1268">
        <v>4</v>
      </c>
      <c r="R1268">
        <v>1.9199999999999998E-2</v>
      </c>
      <c r="T1268" t="s">
        <v>3788</v>
      </c>
    </row>
    <row r="1269" spans="1:20" x14ac:dyDescent="0.2">
      <c r="A1269" t="s">
        <v>3790</v>
      </c>
      <c r="B1269" t="s">
        <v>2022</v>
      </c>
      <c r="C1269" t="s">
        <v>2101</v>
      </c>
      <c r="D1269" t="s">
        <v>2024</v>
      </c>
      <c r="E1269" t="s">
        <v>3791</v>
      </c>
      <c r="F1269" t="s">
        <v>3792</v>
      </c>
      <c r="G1269">
        <v>1</v>
      </c>
      <c r="H1269">
        <v>1570</v>
      </c>
      <c r="I1269">
        <v>2</v>
      </c>
      <c r="J1269">
        <v>5</v>
      </c>
      <c r="K1269">
        <v>2</v>
      </c>
      <c r="L1269">
        <v>9.6500000000000002E-2</v>
      </c>
      <c r="M1269">
        <v>2</v>
      </c>
      <c r="N1269">
        <v>74</v>
      </c>
      <c r="O1269">
        <v>2</v>
      </c>
      <c r="P1269">
        <v>0.22500000000000001</v>
      </c>
      <c r="Q1269">
        <v>2</v>
      </c>
      <c r="R1269">
        <v>4.4999999999999997E-3</v>
      </c>
      <c r="T1269" t="s">
        <v>3791</v>
      </c>
    </row>
    <row r="1270" spans="1:20" x14ac:dyDescent="0.2">
      <c r="A1270" t="s">
        <v>3793</v>
      </c>
      <c r="B1270" t="s">
        <v>2022</v>
      </c>
      <c r="C1270" t="s">
        <v>2036</v>
      </c>
      <c r="D1270" t="s">
        <v>2024</v>
      </c>
      <c r="E1270" t="s">
        <v>3791</v>
      </c>
      <c r="F1270" t="s">
        <v>3792</v>
      </c>
      <c r="G1270">
        <v>1</v>
      </c>
      <c r="H1270">
        <v>1540</v>
      </c>
      <c r="I1270">
        <v>3</v>
      </c>
      <c r="J1270">
        <v>4.5999999999999996</v>
      </c>
      <c r="K1270">
        <v>3</v>
      </c>
      <c r="L1270">
        <v>0.115</v>
      </c>
      <c r="M1270">
        <v>3</v>
      </c>
      <c r="N1270">
        <v>88</v>
      </c>
      <c r="O1270">
        <v>2</v>
      </c>
      <c r="P1270">
        <v>0.20499999999999999</v>
      </c>
      <c r="Q1270">
        <v>3</v>
      </c>
      <c r="R1270">
        <v>6.7499999999999999E-3</v>
      </c>
      <c r="T1270" t="s">
        <v>3791</v>
      </c>
    </row>
    <row r="1271" spans="1:20" x14ac:dyDescent="0.2">
      <c r="A1271" t="s">
        <v>3794</v>
      </c>
      <c r="B1271" t="s">
        <v>2022</v>
      </c>
      <c r="C1271" t="s">
        <v>2053</v>
      </c>
      <c r="D1271" t="s">
        <v>2024</v>
      </c>
      <c r="E1271" t="s">
        <v>357</v>
      </c>
      <c r="F1271" t="s">
        <v>3795</v>
      </c>
      <c r="G1271">
        <v>1</v>
      </c>
      <c r="H1271">
        <v>1500</v>
      </c>
      <c r="I1271">
        <v>3</v>
      </c>
      <c r="J1271">
        <v>6.55</v>
      </c>
      <c r="K1271">
        <v>2</v>
      </c>
      <c r="L1271">
        <v>8.5000000000000006E-2</v>
      </c>
      <c r="M1271">
        <v>2</v>
      </c>
      <c r="N1271">
        <v>83</v>
      </c>
      <c r="O1271">
        <v>3</v>
      </c>
      <c r="P1271">
        <v>0.375</v>
      </c>
      <c r="Q1271">
        <v>2</v>
      </c>
      <c r="R1271">
        <v>5.1999999999999998E-3</v>
      </c>
      <c r="T1271" t="s">
        <v>357</v>
      </c>
    </row>
    <row r="1272" spans="1:20" x14ac:dyDescent="0.2">
      <c r="A1272" t="s">
        <v>3796</v>
      </c>
      <c r="B1272" t="s">
        <v>2022</v>
      </c>
      <c r="C1272" t="s">
        <v>2053</v>
      </c>
      <c r="D1272" t="s">
        <v>2024</v>
      </c>
      <c r="E1272" t="s">
        <v>3797</v>
      </c>
      <c r="F1272" t="s">
        <v>3798</v>
      </c>
      <c r="G1272">
        <v>1</v>
      </c>
      <c r="H1272">
        <v>1500</v>
      </c>
      <c r="I1272">
        <v>3</v>
      </c>
      <c r="J1272">
        <v>6.55</v>
      </c>
      <c r="K1272">
        <v>2</v>
      </c>
      <c r="L1272">
        <v>8.5000000000000006E-2</v>
      </c>
      <c r="M1272">
        <v>1</v>
      </c>
      <c r="N1272">
        <v>73</v>
      </c>
      <c r="O1272">
        <v>3</v>
      </c>
      <c r="P1272">
        <v>0.375</v>
      </c>
      <c r="Q1272">
        <v>1</v>
      </c>
      <c r="R1272">
        <v>8.4999999999999995E-4</v>
      </c>
      <c r="T1272" t="s">
        <v>3797</v>
      </c>
    </row>
    <row r="1273" spans="1:20" x14ac:dyDescent="0.2">
      <c r="A1273" t="s">
        <v>3799</v>
      </c>
      <c r="B1273" t="s">
        <v>2022</v>
      </c>
      <c r="C1273" t="s">
        <v>2023</v>
      </c>
      <c r="D1273" t="s">
        <v>2024</v>
      </c>
      <c r="E1273" t="s">
        <v>3800</v>
      </c>
      <c r="F1273" t="s">
        <v>3801</v>
      </c>
      <c r="G1273">
        <v>1</v>
      </c>
      <c r="H1273">
        <v>1480</v>
      </c>
      <c r="I1273">
        <v>2</v>
      </c>
      <c r="J1273">
        <v>3.4</v>
      </c>
      <c r="K1273">
        <v>4</v>
      </c>
      <c r="L1273">
        <v>6.6000000000000003E-2</v>
      </c>
      <c r="M1273">
        <v>1</v>
      </c>
      <c r="N1273">
        <v>74</v>
      </c>
      <c r="O1273">
        <v>2</v>
      </c>
      <c r="P1273">
        <v>0.22500000000000001</v>
      </c>
      <c r="Q1273">
        <v>3</v>
      </c>
      <c r="R1273">
        <v>4.0000000000000001E-3</v>
      </c>
      <c r="T1273" t="s">
        <v>3800</v>
      </c>
    </row>
    <row r="1274" spans="1:20" x14ac:dyDescent="0.2">
      <c r="A1274" t="s">
        <v>3802</v>
      </c>
      <c r="B1274" t="s">
        <v>2022</v>
      </c>
      <c r="C1274" t="s">
        <v>2023</v>
      </c>
      <c r="D1274" t="s">
        <v>2024</v>
      </c>
      <c r="E1274" t="s">
        <v>3803</v>
      </c>
      <c r="F1274" t="s">
        <v>3804</v>
      </c>
      <c r="G1274">
        <v>1</v>
      </c>
      <c r="H1274">
        <v>1480</v>
      </c>
      <c r="I1274">
        <v>1</v>
      </c>
      <c r="J1274">
        <v>0.9</v>
      </c>
      <c r="K1274">
        <v>1</v>
      </c>
      <c r="L1274">
        <v>6.0000000000000001E-3</v>
      </c>
      <c r="M1274">
        <v>5</v>
      </c>
      <c r="N1274">
        <v>114</v>
      </c>
      <c r="O1274">
        <v>1</v>
      </c>
      <c r="P1274">
        <v>7.4999999999999997E-2</v>
      </c>
      <c r="Q1274">
        <v>2</v>
      </c>
      <c r="R1274">
        <v>2E-3</v>
      </c>
      <c r="T1274" t="s">
        <v>3803</v>
      </c>
    </row>
    <row r="1275" spans="1:20" x14ac:dyDescent="0.2">
      <c r="A1275" t="s">
        <v>3805</v>
      </c>
      <c r="B1275" t="s">
        <v>2022</v>
      </c>
      <c r="C1275" t="s">
        <v>2023</v>
      </c>
      <c r="D1275" t="s">
        <v>2024</v>
      </c>
      <c r="E1275" t="s">
        <v>3806</v>
      </c>
      <c r="F1275" t="s">
        <v>3807</v>
      </c>
      <c r="G1275">
        <v>1</v>
      </c>
      <c r="H1275">
        <v>1480</v>
      </c>
      <c r="I1275">
        <v>2</v>
      </c>
      <c r="J1275">
        <v>3.4</v>
      </c>
      <c r="K1275">
        <v>3</v>
      </c>
      <c r="L1275">
        <v>4.5999999999999999E-2</v>
      </c>
      <c r="M1275">
        <v>1</v>
      </c>
      <c r="N1275">
        <v>74</v>
      </c>
      <c r="O1275">
        <v>2</v>
      </c>
      <c r="P1275">
        <v>0.22500000000000001</v>
      </c>
      <c r="Q1275">
        <v>2</v>
      </c>
      <c r="R1275">
        <v>2E-3</v>
      </c>
      <c r="T1275" t="s">
        <v>3806</v>
      </c>
    </row>
    <row r="1276" spans="1:20" x14ac:dyDescent="0.2">
      <c r="A1276" t="s">
        <v>3808</v>
      </c>
      <c r="B1276" t="s">
        <v>2022</v>
      </c>
      <c r="C1276" t="s">
        <v>2023</v>
      </c>
      <c r="D1276" t="s">
        <v>2024</v>
      </c>
      <c r="E1276" t="s">
        <v>3809</v>
      </c>
      <c r="F1276" t="s">
        <v>3810</v>
      </c>
      <c r="G1276">
        <v>1</v>
      </c>
      <c r="H1276">
        <v>1480</v>
      </c>
      <c r="I1276">
        <v>1</v>
      </c>
      <c r="J1276">
        <v>0.9</v>
      </c>
      <c r="K1276">
        <v>2</v>
      </c>
      <c r="L1276">
        <v>2.5999999999999999E-2</v>
      </c>
      <c r="M1276">
        <v>2</v>
      </c>
      <c r="N1276">
        <v>84</v>
      </c>
      <c r="O1276">
        <v>1</v>
      </c>
      <c r="P1276">
        <v>7.4999999999999997E-2</v>
      </c>
      <c r="Q1276">
        <v>1</v>
      </c>
      <c r="R1276">
        <v>5.0000000000000001E-4</v>
      </c>
      <c r="T1276" t="s">
        <v>3809</v>
      </c>
    </row>
    <row r="1277" spans="1:20" x14ac:dyDescent="0.2">
      <c r="A1277" t="s">
        <v>3811</v>
      </c>
      <c r="B1277" t="s">
        <v>2022</v>
      </c>
      <c r="C1277" t="s">
        <v>2023</v>
      </c>
      <c r="D1277" t="s">
        <v>2154</v>
      </c>
      <c r="E1277" t="s">
        <v>3812</v>
      </c>
      <c r="F1277" t="s">
        <v>3813</v>
      </c>
      <c r="G1277">
        <v>2</v>
      </c>
      <c r="H1277">
        <v>1560</v>
      </c>
      <c r="I1277">
        <v>1</v>
      </c>
      <c r="J1277">
        <v>0.9</v>
      </c>
      <c r="K1277">
        <v>1</v>
      </c>
      <c r="L1277">
        <v>6.0000000000000001E-3</v>
      </c>
      <c r="M1277">
        <v>1</v>
      </c>
      <c r="N1277">
        <v>74</v>
      </c>
      <c r="O1277">
        <v>1</v>
      </c>
      <c r="P1277">
        <v>7.4999999999999997E-2</v>
      </c>
      <c r="Q1277">
        <v>1</v>
      </c>
      <c r="R1277">
        <v>5.0000000000000001E-4</v>
      </c>
      <c r="T1277" t="s">
        <v>3812</v>
      </c>
    </row>
    <row r="1278" spans="1:20" x14ac:dyDescent="0.2">
      <c r="A1278" t="s">
        <v>3814</v>
      </c>
      <c r="B1278" t="s">
        <v>2022</v>
      </c>
      <c r="C1278" t="s">
        <v>2053</v>
      </c>
      <c r="D1278" t="s">
        <v>2154</v>
      </c>
      <c r="E1278" t="s">
        <v>3812</v>
      </c>
      <c r="F1278" t="s">
        <v>3813</v>
      </c>
      <c r="G1278">
        <v>1</v>
      </c>
      <c r="H1278">
        <v>1500</v>
      </c>
      <c r="I1278">
        <v>1</v>
      </c>
      <c r="J1278">
        <v>1.55</v>
      </c>
      <c r="K1278">
        <v>2</v>
      </c>
      <c r="L1278">
        <v>8.5000000000000006E-2</v>
      </c>
      <c r="M1278">
        <v>4</v>
      </c>
      <c r="N1278">
        <v>103</v>
      </c>
      <c r="O1278">
        <v>1</v>
      </c>
      <c r="P1278">
        <v>7.4999999999999997E-2</v>
      </c>
      <c r="Q1278">
        <v>2</v>
      </c>
      <c r="R1278">
        <v>5.1999999999999998E-3</v>
      </c>
      <c r="T1278" t="s">
        <v>3812</v>
      </c>
    </row>
    <row r="1279" spans="1:20" x14ac:dyDescent="0.2">
      <c r="A1279" t="s">
        <v>3815</v>
      </c>
      <c r="B1279" t="s">
        <v>2022</v>
      </c>
      <c r="C1279" t="s">
        <v>2222</v>
      </c>
      <c r="D1279" t="s">
        <v>2154</v>
      </c>
      <c r="E1279" t="s">
        <v>3812</v>
      </c>
      <c r="F1279" t="s">
        <v>3813</v>
      </c>
      <c r="G1279">
        <v>2</v>
      </c>
      <c r="H1279">
        <v>1550</v>
      </c>
      <c r="I1279">
        <v>3</v>
      </c>
      <c r="J1279">
        <v>5.5</v>
      </c>
      <c r="K1279">
        <v>5</v>
      </c>
      <c r="L1279">
        <v>0.26500000000000001</v>
      </c>
      <c r="M1279">
        <v>2</v>
      </c>
      <c r="N1279">
        <v>63</v>
      </c>
      <c r="O1279">
        <v>3</v>
      </c>
      <c r="P1279">
        <v>0.23</v>
      </c>
      <c r="Q1279">
        <v>5</v>
      </c>
      <c r="R1279">
        <v>1.1299999999999999E-2</v>
      </c>
      <c r="T1279" t="s">
        <v>3812</v>
      </c>
    </row>
    <row r="1280" spans="1:20" x14ac:dyDescent="0.2">
      <c r="A1280" t="s">
        <v>3816</v>
      </c>
      <c r="B1280" t="s">
        <v>2022</v>
      </c>
      <c r="C1280" t="s">
        <v>2023</v>
      </c>
      <c r="D1280" t="s">
        <v>2024</v>
      </c>
      <c r="E1280" t="s">
        <v>3817</v>
      </c>
      <c r="F1280" t="s">
        <v>3818</v>
      </c>
      <c r="G1280">
        <v>1</v>
      </c>
      <c r="H1280">
        <v>1480</v>
      </c>
      <c r="I1280">
        <v>2</v>
      </c>
      <c r="J1280">
        <v>3.4</v>
      </c>
      <c r="K1280">
        <v>2</v>
      </c>
      <c r="L1280">
        <v>2.5999999999999999E-2</v>
      </c>
      <c r="M1280">
        <v>2</v>
      </c>
      <c r="N1280">
        <v>84</v>
      </c>
      <c r="O1280">
        <v>2</v>
      </c>
      <c r="P1280">
        <v>0.22500000000000001</v>
      </c>
      <c r="Q1280">
        <v>1</v>
      </c>
      <c r="R1280">
        <v>5.0000000000000001E-4</v>
      </c>
      <c r="T1280" t="s">
        <v>3817</v>
      </c>
    </row>
    <row r="1281" spans="1:20" x14ac:dyDescent="0.2">
      <c r="A1281" t="s">
        <v>3819</v>
      </c>
      <c r="B1281" t="s">
        <v>2022</v>
      </c>
      <c r="C1281" t="s">
        <v>2023</v>
      </c>
      <c r="D1281" t="s">
        <v>2024</v>
      </c>
      <c r="E1281" t="s">
        <v>3820</v>
      </c>
      <c r="F1281" t="s">
        <v>3821</v>
      </c>
      <c r="G1281">
        <v>4</v>
      </c>
      <c r="H1281">
        <v>1720</v>
      </c>
      <c r="I1281">
        <v>3</v>
      </c>
      <c r="J1281">
        <v>5.9</v>
      </c>
      <c r="K1281">
        <v>5</v>
      </c>
      <c r="L1281">
        <v>8.5999999999999993E-2</v>
      </c>
      <c r="M1281">
        <v>3</v>
      </c>
      <c r="N1281">
        <v>94</v>
      </c>
      <c r="O1281">
        <v>2</v>
      </c>
      <c r="P1281">
        <v>0.22500000000000001</v>
      </c>
      <c r="Q1281">
        <v>5</v>
      </c>
      <c r="R1281">
        <v>8.0000000000000002E-3</v>
      </c>
      <c r="T1281" t="s">
        <v>3820</v>
      </c>
    </row>
    <row r="1282" spans="1:20" x14ac:dyDescent="0.2">
      <c r="A1282" t="s">
        <v>3822</v>
      </c>
      <c r="B1282" t="s">
        <v>2022</v>
      </c>
      <c r="C1282" t="s">
        <v>2053</v>
      </c>
      <c r="D1282" t="s">
        <v>2024</v>
      </c>
      <c r="E1282" t="s">
        <v>3823</v>
      </c>
      <c r="F1282" t="s">
        <v>3824</v>
      </c>
      <c r="G1282">
        <v>5</v>
      </c>
      <c r="H1282">
        <v>1900</v>
      </c>
      <c r="I1282">
        <v>2</v>
      </c>
      <c r="J1282">
        <v>4.05</v>
      </c>
      <c r="K1282">
        <v>3</v>
      </c>
      <c r="L1282">
        <v>0.19500000000000001</v>
      </c>
      <c r="M1282">
        <v>3</v>
      </c>
      <c r="N1282">
        <v>93</v>
      </c>
      <c r="O1282">
        <v>2</v>
      </c>
      <c r="P1282">
        <v>0.22500000000000001</v>
      </c>
      <c r="Q1282">
        <v>2</v>
      </c>
      <c r="R1282">
        <v>5.1999999999999998E-3</v>
      </c>
      <c r="T1282" t="s">
        <v>3823</v>
      </c>
    </row>
    <row r="1283" spans="1:20" x14ac:dyDescent="0.2">
      <c r="A1283" t="s">
        <v>3825</v>
      </c>
      <c r="B1283" t="s">
        <v>2022</v>
      </c>
      <c r="C1283" t="s">
        <v>2053</v>
      </c>
      <c r="D1283" t="s">
        <v>2024</v>
      </c>
      <c r="E1283" t="s">
        <v>3826</v>
      </c>
      <c r="F1283" t="s">
        <v>3827</v>
      </c>
      <c r="G1283">
        <v>5</v>
      </c>
      <c r="H1283">
        <v>1900</v>
      </c>
      <c r="I1283">
        <v>2</v>
      </c>
      <c r="J1283">
        <v>4.05</v>
      </c>
      <c r="K1283">
        <v>2</v>
      </c>
      <c r="L1283">
        <v>8.5000000000000006E-2</v>
      </c>
      <c r="M1283">
        <v>3</v>
      </c>
      <c r="N1283">
        <v>93</v>
      </c>
      <c r="O1283">
        <v>2</v>
      </c>
      <c r="P1283">
        <v>0.22500000000000001</v>
      </c>
      <c r="Q1283">
        <v>2</v>
      </c>
      <c r="R1283">
        <v>5.1999999999999998E-3</v>
      </c>
      <c r="T1283" t="s">
        <v>3826</v>
      </c>
    </row>
    <row r="1284" spans="1:20" x14ac:dyDescent="0.2">
      <c r="A1284" t="s">
        <v>3828</v>
      </c>
      <c r="B1284" t="s">
        <v>2022</v>
      </c>
      <c r="C1284" t="s">
        <v>2106</v>
      </c>
      <c r="D1284" t="s">
        <v>2024</v>
      </c>
      <c r="E1284" t="s">
        <v>3829</v>
      </c>
      <c r="F1284" t="s">
        <v>3830</v>
      </c>
      <c r="G1284">
        <v>5</v>
      </c>
      <c r="H1284">
        <v>2275</v>
      </c>
      <c r="I1284">
        <v>1</v>
      </c>
      <c r="J1284">
        <v>3.25</v>
      </c>
      <c r="K1284">
        <v>1</v>
      </c>
      <c r="L1284">
        <v>0.01</v>
      </c>
      <c r="M1284">
        <v>5</v>
      </c>
      <c r="N1284">
        <v>89.5</v>
      </c>
      <c r="O1284">
        <v>1</v>
      </c>
      <c r="P1284">
        <v>0.05</v>
      </c>
      <c r="Q1284">
        <v>1</v>
      </c>
      <c r="R1284">
        <v>5.0000000000000001E-4</v>
      </c>
      <c r="T1284" t="s">
        <v>3829</v>
      </c>
    </row>
    <row r="1285" spans="1:20" x14ac:dyDescent="0.2">
      <c r="A1285" t="s">
        <v>3831</v>
      </c>
      <c r="B1285" t="s">
        <v>2022</v>
      </c>
      <c r="C1285" t="s">
        <v>2023</v>
      </c>
      <c r="D1285" t="s">
        <v>2136</v>
      </c>
      <c r="E1285" t="s">
        <v>3832</v>
      </c>
      <c r="F1285" t="s">
        <v>3833</v>
      </c>
      <c r="G1285">
        <v>2</v>
      </c>
      <c r="H1285">
        <v>1560</v>
      </c>
      <c r="I1285">
        <v>2</v>
      </c>
      <c r="J1285">
        <v>3.4</v>
      </c>
      <c r="K1285">
        <v>2</v>
      </c>
      <c r="L1285">
        <v>2.5999999999999999E-2</v>
      </c>
      <c r="M1285">
        <v>4</v>
      </c>
      <c r="N1285">
        <v>104</v>
      </c>
      <c r="O1285">
        <v>2</v>
      </c>
      <c r="P1285">
        <v>0.22500000000000001</v>
      </c>
      <c r="Q1285">
        <v>1</v>
      </c>
      <c r="R1285">
        <v>5.0000000000000001E-4</v>
      </c>
      <c r="T1285" t="s">
        <v>3832</v>
      </c>
    </row>
    <row r="1286" spans="1:20" x14ac:dyDescent="0.2">
      <c r="A1286" t="s">
        <v>3834</v>
      </c>
      <c r="B1286" t="s">
        <v>2022</v>
      </c>
      <c r="C1286" t="s">
        <v>2053</v>
      </c>
      <c r="D1286" t="s">
        <v>2136</v>
      </c>
      <c r="E1286" t="s">
        <v>3835</v>
      </c>
      <c r="F1286" t="s">
        <v>3836</v>
      </c>
      <c r="G1286">
        <v>3</v>
      </c>
      <c r="H1286">
        <v>1700</v>
      </c>
      <c r="I1286">
        <v>2</v>
      </c>
      <c r="J1286">
        <v>4.05</v>
      </c>
      <c r="K1286">
        <v>2</v>
      </c>
      <c r="L1286">
        <v>8.5000000000000006E-2</v>
      </c>
      <c r="M1286">
        <v>4</v>
      </c>
      <c r="N1286">
        <v>103</v>
      </c>
      <c r="O1286">
        <v>2</v>
      </c>
      <c r="P1286">
        <v>0.22500000000000001</v>
      </c>
      <c r="Q1286">
        <v>2</v>
      </c>
      <c r="R1286">
        <v>5.1999999999999998E-3</v>
      </c>
      <c r="T1286" t="s">
        <v>3835</v>
      </c>
    </row>
    <row r="1287" spans="1:20" x14ac:dyDescent="0.2">
      <c r="A1287" t="s">
        <v>3837</v>
      </c>
      <c r="B1287" t="s">
        <v>2022</v>
      </c>
      <c r="C1287" t="s">
        <v>2173</v>
      </c>
      <c r="D1287" t="s">
        <v>2024</v>
      </c>
      <c r="E1287" t="s">
        <v>3838</v>
      </c>
      <c r="F1287" t="s">
        <v>3839</v>
      </c>
      <c r="G1287">
        <v>2</v>
      </c>
      <c r="H1287">
        <v>1957.5</v>
      </c>
      <c r="I1287">
        <v>2</v>
      </c>
      <c r="J1287">
        <v>6.35</v>
      </c>
      <c r="K1287">
        <v>1</v>
      </c>
      <c r="L1287">
        <v>1.4999999999999999E-2</v>
      </c>
      <c r="M1287">
        <v>2</v>
      </c>
      <c r="N1287">
        <v>107.5</v>
      </c>
      <c r="O1287">
        <v>2</v>
      </c>
      <c r="P1287">
        <v>0.33</v>
      </c>
      <c r="Q1287">
        <v>2</v>
      </c>
      <c r="R1287">
        <v>4.7999999999999996E-3</v>
      </c>
      <c r="T1287" t="s">
        <v>3838</v>
      </c>
    </row>
    <row r="1288" spans="1:20" x14ac:dyDescent="0.2">
      <c r="A1288" t="s">
        <v>3840</v>
      </c>
      <c r="B1288" t="s">
        <v>2022</v>
      </c>
      <c r="C1288" t="s">
        <v>2106</v>
      </c>
      <c r="D1288" t="s">
        <v>2024</v>
      </c>
      <c r="E1288" t="s">
        <v>3841</v>
      </c>
      <c r="F1288" t="s">
        <v>3842</v>
      </c>
      <c r="G1288">
        <v>4</v>
      </c>
      <c r="H1288">
        <v>2125</v>
      </c>
      <c r="I1288">
        <v>4</v>
      </c>
      <c r="J1288">
        <v>10.75</v>
      </c>
      <c r="K1288">
        <v>4</v>
      </c>
      <c r="L1288">
        <v>0.22</v>
      </c>
      <c r="M1288">
        <v>4</v>
      </c>
      <c r="N1288">
        <v>82.5</v>
      </c>
      <c r="O1288">
        <v>4</v>
      </c>
      <c r="P1288">
        <v>0.35</v>
      </c>
      <c r="Q1288">
        <v>5</v>
      </c>
      <c r="R1288">
        <v>8.5000000000000006E-3</v>
      </c>
      <c r="T1288" t="s">
        <v>3841</v>
      </c>
    </row>
    <row r="1289" spans="1:20" x14ac:dyDescent="0.2">
      <c r="A1289" t="s">
        <v>3843</v>
      </c>
      <c r="B1289" t="s">
        <v>2022</v>
      </c>
      <c r="C1289" t="s">
        <v>2023</v>
      </c>
      <c r="D1289" t="s">
        <v>2024</v>
      </c>
      <c r="E1289" t="s">
        <v>3844</v>
      </c>
      <c r="F1289" t="s">
        <v>3845</v>
      </c>
      <c r="G1289">
        <v>3</v>
      </c>
      <c r="H1289">
        <v>1640</v>
      </c>
      <c r="I1289">
        <v>1</v>
      </c>
      <c r="J1289">
        <v>0.9</v>
      </c>
      <c r="K1289">
        <v>1</v>
      </c>
      <c r="L1289">
        <v>6.0000000000000001E-3</v>
      </c>
      <c r="M1289">
        <v>3</v>
      </c>
      <c r="N1289">
        <v>94</v>
      </c>
      <c r="O1289">
        <v>1</v>
      </c>
      <c r="P1289">
        <v>7.4999999999999997E-2</v>
      </c>
      <c r="Q1289">
        <v>1</v>
      </c>
      <c r="R1289">
        <v>5.0000000000000001E-4</v>
      </c>
      <c r="T1289" t="s">
        <v>3844</v>
      </c>
    </row>
    <row r="1290" spans="1:20" x14ac:dyDescent="0.2">
      <c r="A1290" t="s">
        <v>3846</v>
      </c>
      <c r="B1290" t="s">
        <v>2022</v>
      </c>
      <c r="C1290" t="s">
        <v>2036</v>
      </c>
      <c r="D1290" t="s">
        <v>2024</v>
      </c>
      <c r="E1290" t="s">
        <v>3847</v>
      </c>
      <c r="F1290" t="s">
        <v>3848</v>
      </c>
      <c r="G1290">
        <v>1</v>
      </c>
      <c r="H1290">
        <v>1540</v>
      </c>
      <c r="I1290">
        <v>3</v>
      </c>
      <c r="J1290">
        <v>4.5999999999999996</v>
      </c>
      <c r="K1290">
        <v>2</v>
      </c>
      <c r="L1290">
        <v>8.5000000000000006E-2</v>
      </c>
      <c r="M1290">
        <v>1</v>
      </c>
      <c r="N1290">
        <v>76</v>
      </c>
      <c r="O1290">
        <v>2</v>
      </c>
      <c r="P1290">
        <v>0.20499999999999999</v>
      </c>
      <c r="Q1290">
        <v>2</v>
      </c>
      <c r="R1290">
        <v>4.2500000000000003E-3</v>
      </c>
      <c r="T1290" t="s">
        <v>3847</v>
      </c>
    </row>
    <row r="1291" spans="1:20" x14ac:dyDescent="0.2">
      <c r="A1291" t="s">
        <v>3849</v>
      </c>
      <c r="B1291" t="s">
        <v>2022</v>
      </c>
      <c r="C1291" t="s">
        <v>2036</v>
      </c>
      <c r="D1291" t="s">
        <v>2024</v>
      </c>
      <c r="E1291" t="s">
        <v>3850</v>
      </c>
      <c r="F1291" t="s">
        <v>3851</v>
      </c>
      <c r="G1291">
        <v>2</v>
      </c>
      <c r="H1291">
        <v>1640</v>
      </c>
      <c r="I1291">
        <v>4</v>
      </c>
      <c r="J1291">
        <v>5.8</v>
      </c>
      <c r="K1291">
        <v>3</v>
      </c>
      <c r="L1291">
        <v>0.115</v>
      </c>
      <c r="M1291">
        <v>2</v>
      </c>
      <c r="N1291">
        <v>82</v>
      </c>
      <c r="O1291">
        <v>3</v>
      </c>
      <c r="P1291">
        <v>0.315</v>
      </c>
      <c r="Q1291">
        <v>3</v>
      </c>
      <c r="R1291">
        <v>6.7499999999999999E-3</v>
      </c>
      <c r="T1291" t="s">
        <v>3850</v>
      </c>
    </row>
    <row r="1292" spans="1:20" x14ac:dyDescent="0.2">
      <c r="A1292" t="s">
        <v>3852</v>
      </c>
      <c r="B1292" t="s">
        <v>2022</v>
      </c>
      <c r="C1292" t="s">
        <v>2095</v>
      </c>
      <c r="D1292" t="s">
        <v>2024</v>
      </c>
      <c r="E1292" t="s">
        <v>3853</v>
      </c>
      <c r="F1292" t="s">
        <v>3854</v>
      </c>
      <c r="G1292">
        <v>2</v>
      </c>
      <c r="H1292">
        <v>1655</v>
      </c>
      <c r="I1292">
        <v>2</v>
      </c>
      <c r="J1292">
        <v>7.5</v>
      </c>
      <c r="K1292">
        <v>3</v>
      </c>
      <c r="L1292">
        <v>0.33</v>
      </c>
      <c r="M1292">
        <v>1</v>
      </c>
      <c r="N1292">
        <v>74</v>
      </c>
      <c r="O1292">
        <v>2</v>
      </c>
      <c r="P1292">
        <v>0.35</v>
      </c>
      <c r="Q1292">
        <v>3</v>
      </c>
      <c r="R1292">
        <v>1.49E-2</v>
      </c>
      <c r="T1292" t="s">
        <v>3853</v>
      </c>
    </row>
    <row r="1293" spans="1:20" x14ac:dyDescent="0.2">
      <c r="A1293" t="s">
        <v>3855</v>
      </c>
      <c r="B1293" t="s">
        <v>2022</v>
      </c>
      <c r="C1293" t="s">
        <v>2257</v>
      </c>
      <c r="D1293" t="s">
        <v>2136</v>
      </c>
      <c r="E1293" t="s">
        <v>357</v>
      </c>
      <c r="F1293" t="s">
        <v>447</v>
      </c>
      <c r="G1293">
        <v>2</v>
      </c>
      <c r="H1293">
        <v>1000</v>
      </c>
      <c r="I1293">
        <v>4</v>
      </c>
      <c r="J1293">
        <v>4.3499999999999996</v>
      </c>
      <c r="K1293">
        <v>2</v>
      </c>
      <c r="L1293">
        <v>3.6999999999999998E-2</v>
      </c>
      <c r="M1293">
        <v>5</v>
      </c>
      <c r="N1293">
        <v>1100</v>
      </c>
      <c r="O1293">
        <v>5</v>
      </c>
      <c r="P1293">
        <v>2.7</v>
      </c>
      <c r="Q1293">
        <v>5</v>
      </c>
      <c r="R1293">
        <v>8.1000000000000003E-2</v>
      </c>
      <c r="T1293" t="s">
        <v>357</v>
      </c>
    </row>
    <row r="1294" spans="1:20" x14ac:dyDescent="0.2">
      <c r="A1294" t="s">
        <v>3856</v>
      </c>
      <c r="B1294" t="s">
        <v>2022</v>
      </c>
      <c r="C1294" t="s">
        <v>2053</v>
      </c>
      <c r="D1294" t="s">
        <v>2024</v>
      </c>
      <c r="E1294" t="s">
        <v>3857</v>
      </c>
      <c r="F1294" t="s">
        <v>447</v>
      </c>
      <c r="G1294">
        <v>5</v>
      </c>
      <c r="H1294">
        <v>1900</v>
      </c>
      <c r="I1294">
        <v>4</v>
      </c>
      <c r="J1294">
        <v>9.0500000000000007</v>
      </c>
      <c r="K1294">
        <v>3</v>
      </c>
      <c r="L1294">
        <v>0.19500000000000001</v>
      </c>
      <c r="M1294">
        <v>5</v>
      </c>
      <c r="N1294">
        <v>113</v>
      </c>
      <c r="O1294">
        <v>4</v>
      </c>
      <c r="P1294">
        <v>0.52500000000000002</v>
      </c>
      <c r="Q1294">
        <v>3</v>
      </c>
      <c r="R1294">
        <v>1.2200000000000001E-2</v>
      </c>
      <c r="T1294" t="s">
        <v>3857</v>
      </c>
    </row>
    <row r="1295" spans="1:20" x14ac:dyDescent="0.2">
      <c r="A1295" t="s">
        <v>3858</v>
      </c>
      <c r="B1295" t="s">
        <v>2022</v>
      </c>
      <c r="C1295" t="s">
        <v>2053</v>
      </c>
      <c r="D1295" t="s">
        <v>2024</v>
      </c>
      <c r="E1295" t="s">
        <v>3859</v>
      </c>
      <c r="F1295" t="s">
        <v>447</v>
      </c>
      <c r="G1295">
        <v>5</v>
      </c>
      <c r="H1295">
        <v>1900</v>
      </c>
      <c r="I1295">
        <v>5</v>
      </c>
      <c r="J1295">
        <v>11.55</v>
      </c>
      <c r="K1295">
        <v>5</v>
      </c>
      <c r="L1295">
        <v>0.41499999999999998</v>
      </c>
      <c r="M1295">
        <v>5</v>
      </c>
      <c r="N1295">
        <v>113</v>
      </c>
      <c r="O1295">
        <v>5</v>
      </c>
      <c r="P1295">
        <v>0.67500000000000004</v>
      </c>
      <c r="Q1295">
        <v>5</v>
      </c>
      <c r="R1295">
        <v>2.6200000000000001E-2</v>
      </c>
      <c r="T1295" t="s">
        <v>3859</v>
      </c>
    </row>
    <row r="1296" spans="1:20" x14ac:dyDescent="0.2">
      <c r="A1296" t="s">
        <v>3860</v>
      </c>
      <c r="B1296" t="s">
        <v>2022</v>
      </c>
      <c r="C1296" t="s">
        <v>2053</v>
      </c>
      <c r="D1296" t="s">
        <v>2024</v>
      </c>
      <c r="E1296" t="s">
        <v>3861</v>
      </c>
      <c r="F1296" t="s">
        <v>3862</v>
      </c>
      <c r="G1296">
        <v>1</v>
      </c>
      <c r="H1296">
        <v>1500</v>
      </c>
      <c r="I1296">
        <v>2</v>
      </c>
      <c r="J1296">
        <v>4.05</v>
      </c>
      <c r="K1296">
        <v>1</v>
      </c>
      <c r="L1296">
        <v>1.4999999999999999E-2</v>
      </c>
      <c r="M1296">
        <v>1</v>
      </c>
      <c r="N1296">
        <v>73</v>
      </c>
      <c r="O1296">
        <v>1</v>
      </c>
      <c r="P1296">
        <v>7.4999999999999997E-2</v>
      </c>
      <c r="Q1296">
        <v>1</v>
      </c>
      <c r="R1296">
        <v>8.4999999999999995E-4</v>
      </c>
      <c r="T1296" t="s">
        <v>3861</v>
      </c>
    </row>
    <row r="1297" spans="1:20" x14ac:dyDescent="0.2">
      <c r="A1297" t="s">
        <v>3863</v>
      </c>
      <c r="B1297" t="s">
        <v>2022</v>
      </c>
      <c r="C1297" t="s">
        <v>2023</v>
      </c>
      <c r="D1297" t="s">
        <v>2024</v>
      </c>
      <c r="E1297" t="s">
        <v>3864</v>
      </c>
      <c r="F1297" t="s">
        <v>3865</v>
      </c>
      <c r="G1297">
        <v>3</v>
      </c>
      <c r="H1297">
        <v>1640</v>
      </c>
      <c r="I1297">
        <v>3</v>
      </c>
      <c r="J1297">
        <v>5.9</v>
      </c>
      <c r="K1297">
        <v>5</v>
      </c>
      <c r="L1297">
        <v>8.5999999999999993E-2</v>
      </c>
      <c r="M1297">
        <v>3</v>
      </c>
      <c r="N1297">
        <v>94</v>
      </c>
      <c r="O1297">
        <v>3</v>
      </c>
      <c r="P1297">
        <v>0.375</v>
      </c>
      <c r="Q1297">
        <v>5</v>
      </c>
      <c r="R1297">
        <v>8.0000000000000002E-3</v>
      </c>
      <c r="T1297" t="s">
        <v>3864</v>
      </c>
    </row>
    <row r="1298" spans="1:20" x14ac:dyDescent="0.2">
      <c r="A1298" t="s">
        <v>3866</v>
      </c>
      <c r="B1298" t="s">
        <v>2022</v>
      </c>
      <c r="C1298" t="s">
        <v>2053</v>
      </c>
      <c r="D1298" t="s">
        <v>2024</v>
      </c>
      <c r="E1298" t="s">
        <v>3867</v>
      </c>
      <c r="F1298" t="s">
        <v>3868</v>
      </c>
      <c r="G1298">
        <v>3</v>
      </c>
      <c r="H1298">
        <v>1700</v>
      </c>
      <c r="I1298">
        <v>2</v>
      </c>
      <c r="J1298">
        <v>4.05</v>
      </c>
      <c r="K1298">
        <v>2</v>
      </c>
      <c r="L1298">
        <v>8.5000000000000006E-2</v>
      </c>
      <c r="M1298">
        <v>2</v>
      </c>
      <c r="N1298">
        <v>83</v>
      </c>
      <c r="O1298">
        <v>2</v>
      </c>
      <c r="P1298">
        <v>0.22500000000000001</v>
      </c>
      <c r="Q1298">
        <v>2</v>
      </c>
      <c r="R1298">
        <v>5.1999999999999998E-3</v>
      </c>
      <c r="T1298" t="s">
        <v>3867</v>
      </c>
    </row>
    <row r="1299" spans="1:20" x14ac:dyDescent="0.2">
      <c r="A1299" t="s">
        <v>3869</v>
      </c>
      <c r="B1299" t="s">
        <v>2022</v>
      </c>
      <c r="C1299" t="s">
        <v>2036</v>
      </c>
      <c r="D1299" t="s">
        <v>2024</v>
      </c>
      <c r="E1299" t="s">
        <v>3870</v>
      </c>
      <c r="F1299" t="s">
        <v>3871</v>
      </c>
      <c r="G1299">
        <v>1</v>
      </c>
      <c r="H1299">
        <v>1540</v>
      </c>
      <c r="I1299">
        <v>3</v>
      </c>
      <c r="J1299">
        <v>4.5999999999999996</v>
      </c>
      <c r="K1299">
        <v>3</v>
      </c>
      <c r="L1299">
        <v>0.115</v>
      </c>
      <c r="M1299">
        <v>1</v>
      </c>
      <c r="N1299">
        <v>76</v>
      </c>
      <c r="O1299">
        <v>2</v>
      </c>
      <c r="P1299">
        <v>0.20499999999999999</v>
      </c>
      <c r="Q1299">
        <v>3</v>
      </c>
      <c r="R1299">
        <v>6.7499999999999999E-3</v>
      </c>
      <c r="T1299" t="s">
        <v>3870</v>
      </c>
    </row>
    <row r="1300" spans="1:20" x14ac:dyDescent="0.2">
      <c r="A1300" t="s">
        <v>3872</v>
      </c>
      <c r="B1300" t="s">
        <v>2022</v>
      </c>
      <c r="C1300" t="s">
        <v>2023</v>
      </c>
      <c r="D1300" t="s">
        <v>2024</v>
      </c>
      <c r="E1300" t="s">
        <v>3873</v>
      </c>
      <c r="F1300" t="s">
        <v>3874</v>
      </c>
      <c r="G1300">
        <v>4</v>
      </c>
      <c r="H1300">
        <v>1720</v>
      </c>
      <c r="I1300">
        <v>2</v>
      </c>
      <c r="J1300">
        <v>3.4</v>
      </c>
      <c r="K1300">
        <v>2</v>
      </c>
      <c r="L1300">
        <v>2.5999999999999999E-2</v>
      </c>
      <c r="M1300">
        <v>2</v>
      </c>
      <c r="N1300">
        <v>84</v>
      </c>
      <c r="O1300">
        <v>2</v>
      </c>
      <c r="P1300">
        <v>0.22500000000000001</v>
      </c>
      <c r="Q1300">
        <v>2</v>
      </c>
      <c r="R1300">
        <v>2E-3</v>
      </c>
      <c r="T1300" t="s">
        <v>3873</v>
      </c>
    </row>
    <row r="1301" spans="1:20" x14ac:dyDescent="0.2">
      <c r="A1301" t="s">
        <v>3875</v>
      </c>
      <c r="B1301" t="s">
        <v>2022</v>
      </c>
      <c r="C1301" t="s">
        <v>2036</v>
      </c>
      <c r="D1301" t="s">
        <v>2024</v>
      </c>
      <c r="E1301" t="s">
        <v>3876</v>
      </c>
      <c r="F1301" t="s">
        <v>3877</v>
      </c>
      <c r="G1301">
        <v>5</v>
      </c>
      <c r="H1301">
        <v>1940</v>
      </c>
      <c r="I1301">
        <v>4</v>
      </c>
      <c r="J1301">
        <v>5.8</v>
      </c>
      <c r="K1301">
        <v>5</v>
      </c>
      <c r="L1301">
        <v>0.17499999999999999</v>
      </c>
      <c r="M1301">
        <v>4</v>
      </c>
      <c r="N1301">
        <v>94</v>
      </c>
      <c r="O1301">
        <v>3</v>
      </c>
      <c r="P1301">
        <v>0.315</v>
      </c>
      <c r="Q1301">
        <v>4</v>
      </c>
      <c r="R1301">
        <v>9.2499999999999995E-3</v>
      </c>
      <c r="T1301" t="s">
        <v>3876</v>
      </c>
    </row>
    <row r="1302" spans="1:20" x14ac:dyDescent="0.2">
      <c r="A1302" t="s">
        <v>3878</v>
      </c>
      <c r="B1302" t="s">
        <v>2022</v>
      </c>
      <c r="C1302" t="s">
        <v>2257</v>
      </c>
      <c r="D1302" t="s">
        <v>2024</v>
      </c>
      <c r="E1302" t="s">
        <v>357</v>
      </c>
      <c r="F1302" t="s">
        <v>3879</v>
      </c>
      <c r="G1302">
        <v>1</v>
      </c>
      <c r="H1302">
        <v>900</v>
      </c>
      <c r="I1302">
        <v>2</v>
      </c>
      <c r="J1302">
        <v>1.75</v>
      </c>
      <c r="K1302">
        <v>2</v>
      </c>
      <c r="L1302">
        <v>3.6999999999999998E-2</v>
      </c>
      <c r="M1302">
        <v>2</v>
      </c>
      <c r="N1302">
        <v>500</v>
      </c>
      <c r="O1302">
        <v>2</v>
      </c>
      <c r="P1302">
        <v>0.9</v>
      </c>
      <c r="Q1302">
        <v>2</v>
      </c>
      <c r="R1302">
        <v>1.4999999999999999E-2</v>
      </c>
      <c r="T1302" t="s">
        <v>357</v>
      </c>
    </row>
    <row r="1303" spans="1:20" x14ac:dyDescent="0.2">
      <c r="A1303" t="s">
        <v>3880</v>
      </c>
      <c r="B1303" t="s">
        <v>2022</v>
      </c>
      <c r="C1303" t="s">
        <v>2053</v>
      </c>
      <c r="D1303" t="s">
        <v>2136</v>
      </c>
      <c r="E1303" t="s">
        <v>357</v>
      </c>
      <c r="F1303" t="s">
        <v>447</v>
      </c>
      <c r="G1303">
        <v>1</v>
      </c>
      <c r="H1303">
        <v>1500</v>
      </c>
      <c r="I1303">
        <v>5</v>
      </c>
      <c r="J1303">
        <v>11.55</v>
      </c>
      <c r="K1303">
        <v>5</v>
      </c>
      <c r="L1303">
        <v>0.41499999999999998</v>
      </c>
      <c r="M1303">
        <v>4</v>
      </c>
      <c r="N1303">
        <v>103</v>
      </c>
      <c r="O1303">
        <v>5</v>
      </c>
      <c r="P1303">
        <v>0.67500000000000004</v>
      </c>
      <c r="Q1303">
        <v>5</v>
      </c>
      <c r="R1303">
        <v>2.6200000000000001E-2</v>
      </c>
      <c r="T1303" t="s">
        <v>357</v>
      </c>
    </row>
    <row r="1304" spans="1:20" x14ac:dyDescent="0.2">
      <c r="A1304" t="s">
        <v>3881</v>
      </c>
      <c r="B1304" t="s">
        <v>2022</v>
      </c>
      <c r="C1304" t="s">
        <v>2053</v>
      </c>
      <c r="D1304" t="s">
        <v>2024</v>
      </c>
      <c r="E1304" t="s">
        <v>3882</v>
      </c>
      <c r="F1304" t="s">
        <v>3883</v>
      </c>
      <c r="G1304">
        <v>3</v>
      </c>
      <c r="H1304">
        <v>1700</v>
      </c>
      <c r="I1304">
        <v>1</v>
      </c>
      <c r="J1304">
        <v>1.55</v>
      </c>
      <c r="K1304">
        <v>1</v>
      </c>
      <c r="L1304">
        <v>1.4999999999999999E-2</v>
      </c>
      <c r="M1304">
        <v>5</v>
      </c>
      <c r="N1304">
        <v>113</v>
      </c>
      <c r="O1304">
        <v>1</v>
      </c>
      <c r="P1304">
        <v>7.4999999999999997E-2</v>
      </c>
      <c r="Q1304">
        <v>1</v>
      </c>
      <c r="R1304">
        <v>8.4999999999999995E-4</v>
      </c>
      <c r="T1304" t="s">
        <v>3882</v>
      </c>
    </row>
    <row r="1305" spans="1:20" x14ac:dyDescent="0.2">
      <c r="A1305" t="s">
        <v>3884</v>
      </c>
      <c r="B1305" t="s">
        <v>2022</v>
      </c>
      <c r="C1305" t="s">
        <v>2053</v>
      </c>
      <c r="D1305" t="s">
        <v>2024</v>
      </c>
      <c r="E1305" t="s">
        <v>3859</v>
      </c>
      <c r="F1305" t="s">
        <v>3885</v>
      </c>
      <c r="G1305">
        <v>5</v>
      </c>
      <c r="H1305">
        <v>1900</v>
      </c>
      <c r="I1305">
        <v>5</v>
      </c>
      <c r="J1305">
        <v>11.55</v>
      </c>
      <c r="K1305">
        <v>5</v>
      </c>
      <c r="L1305">
        <v>0.41499999999999998</v>
      </c>
      <c r="M1305">
        <v>5</v>
      </c>
      <c r="N1305">
        <v>113</v>
      </c>
      <c r="O1305">
        <v>5</v>
      </c>
      <c r="P1305">
        <v>0.67500000000000004</v>
      </c>
      <c r="Q1305">
        <v>5</v>
      </c>
      <c r="R1305">
        <v>2.6200000000000001E-2</v>
      </c>
      <c r="T1305" t="s">
        <v>3859</v>
      </c>
    </row>
    <row r="1306" spans="1:20" x14ac:dyDescent="0.2">
      <c r="A1306" t="s">
        <v>3886</v>
      </c>
      <c r="B1306" t="s">
        <v>2022</v>
      </c>
      <c r="C1306" t="s">
        <v>2023</v>
      </c>
      <c r="D1306" t="s">
        <v>2024</v>
      </c>
      <c r="E1306" t="s">
        <v>357</v>
      </c>
      <c r="F1306" t="s">
        <v>447</v>
      </c>
      <c r="G1306">
        <v>2</v>
      </c>
      <c r="H1306">
        <v>1560</v>
      </c>
      <c r="I1306">
        <v>2</v>
      </c>
      <c r="J1306">
        <v>3.4</v>
      </c>
      <c r="K1306">
        <v>2</v>
      </c>
      <c r="L1306">
        <v>2.5999999999999999E-2</v>
      </c>
      <c r="M1306">
        <v>5</v>
      </c>
      <c r="N1306">
        <v>114</v>
      </c>
      <c r="O1306">
        <v>5</v>
      </c>
      <c r="P1306">
        <v>0.67500000000000004</v>
      </c>
      <c r="Q1306">
        <v>5</v>
      </c>
      <c r="R1306">
        <v>8.0000000000000002E-3</v>
      </c>
      <c r="T1306" t="s">
        <v>357</v>
      </c>
    </row>
    <row r="1307" spans="1:20" x14ac:dyDescent="0.2">
      <c r="A1307" t="s">
        <v>3887</v>
      </c>
      <c r="B1307" t="s">
        <v>2022</v>
      </c>
      <c r="C1307" t="s">
        <v>2036</v>
      </c>
      <c r="D1307" t="s">
        <v>2024</v>
      </c>
      <c r="E1307" t="s">
        <v>3888</v>
      </c>
      <c r="F1307" t="s">
        <v>3889</v>
      </c>
      <c r="G1307">
        <v>2</v>
      </c>
      <c r="H1307">
        <v>1640</v>
      </c>
      <c r="I1307">
        <v>5</v>
      </c>
      <c r="J1307">
        <v>7</v>
      </c>
      <c r="K1307">
        <v>2</v>
      </c>
      <c r="L1307">
        <v>8.5000000000000006E-2</v>
      </c>
      <c r="M1307">
        <v>2</v>
      </c>
      <c r="N1307">
        <v>82</v>
      </c>
      <c r="O1307">
        <v>3</v>
      </c>
      <c r="P1307">
        <v>0.315</v>
      </c>
      <c r="Q1307">
        <v>2</v>
      </c>
      <c r="R1307">
        <v>4.2500000000000003E-3</v>
      </c>
      <c r="T1307" t="s">
        <v>3888</v>
      </c>
    </row>
    <row r="1308" spans="1:20" x14ac:dyDescent="0.2">
      <c r="A1308" t="s">
        <v>3890</v>
      </c>
      <c r="B1308" t="s">
        <v>2022</v>
      </c>
      <c r="C1308" t="s">
        <v>2104</v>
      </c>
      <c r="D1308" t="s">
        <v>2024</v>
      </c>
      <c r="E1308" t="s">
        <v>3891</v>
      </c>
      <c r="F1308" t="s">
        <v>3892</v>
      </c>
      <c r="G1308">
        <v>5</v>
      </c>
      <c r="H1308">
        <v>2237.5</v>
      </c>
      <c r="I1308">
        <v>5</v>
      </c>
      <c r="J1308">
        <v>10.15</v>
      </c>
      <c r="K1308">
        <v>5</v>
      </c>
      <c r="L1308">
        <v>0.191</v>
      </c>
      <c r="M1308">
        <v>2</v>
      </c>
      <c r="N1308">
        <v>65</v>
      </c>
      <c r="P1308">
        <v>0</v>
      </c>
      <c r="Q1308">
        <v>5</v>
      </c>
      <c r="R1308">
        <v>1.8200000000000001E-2</v>
      </c>
      <c r="T1308" t="s">
        <v>3891</v>
      </c>
    </row>
    <row r="1309" spans="1:20" x14ac:dyDescent="0.2">
      <c r="A1309" t="s">
        <v>3893</v>
      </c>
      <c r="B1309" t="s">
        <v>2022</v>
      </c>
      <c r="C1309" t="s">
        <v>2222</v>
      </c>
      <c r="D1309" t="s">
        <v>2024</v>
      </c>
      <c r="E1309" t="s">
        <v>3894</v>
      </c>
      <c r="F1309" t="s">
        <v>3895</v>
      </c>
      <c r="G1309">
        <v>1</v>
      </c>
      <c r="H1309">
        <v>1450</v>
      </c>
      <c r="I1309">
        <v>1</v>
      </c>
      <c r="J1309">
        <v>2.2999999999999998</v>
      </c>
      <c r="K1309">
        <v>2</v>
      </c>
      <c r="L1309">
        <v>5.5E-2</v>
      </c>
      <c r="M1309">
        <v>4</v>
      </c>
      <c r="N1309">
        <v>71</v>
      </c>
      <c r="O1309">
        <v>1</v>
      </c>
      <c r="P1309">
        <v>7.0000000000000007E-2</v>
      </c>
      <c r="Q1309">
        <v>2</v>
      </c>
      <c r="R1309">
        <v>2.3E-3</v>
      </c>
      <c r="T1309" t="s">
        <v>3894</v>
      </c>
    </row>
    <row r="1310" spans="1:20" x14ac:dyDescent="0.2">
      <c r="A1310" t="s">
        <v>3896</v>
      </c>
      <c r="B1310" t="s">
        <v>2022</v>
      </c>
      <c r="C1310" t="s">
        <v>2023</v>
      </c>
      <c r="D1310" t="s">
        <v>2136</v>
      </c>
      <c r="E1310" t="s">
        <v>3897</v>
      </c>
      <c r="F1310" t="s">
        <v>3898</v>
      </c>
      <c r="G1310">
        <v>4</v>
      </c>
      <c r="H1310">
        <v>1720</v>
      </c>
      <c r="I1310">
        <v>2</v>
      </c>
      <c r="J1310">
        <v>3.4</v>
      </c>
      <c r="K1310">
        <v>2</v>
      </c>
      <c r="L1310">
        <v>2.5999999999999999E-2</v>
      </c>
      <c r="M1310">
        <v>2</v>
      </c>
      <c r="N1310">
        <v>84</v>
      </c>
      <c r="O1310">
        <v>2</v>
      </c>
      <c r="P1310">
        <v>0.22500000000000001</v>
      </c>
      <c r="Q1310">
        <v>1</v>
      </c>
      <c r="R1310">
        <v>5.0000000000000001E-4</v>
      </c>
      <c r="T1310" t="s">
        <v>3897</v>
      </c>
    </row>
    <row r="1311" spans="1:20" x14ac:dyDescent="0.2">
      <c r="A1311" t="s">
        <v>3899</v>
      </c>
      <c r="B1311" t="s">
        <v>2022</v>
      </c>
      <c r="C1311" t="s">
        <v>2023</v>
      </c>
      <c r="D1311" t="s">
        <v>2024</v>
      </c>
      <c r="E1311" t="s">
        <v>3900</v>
      </c>
      <c r="F1311" t="s">
        <v>3901</v>
      </c>
      <c r="G1311">
        <v>2</v>
      </c>
      <c r="H1311">
        <v>1560</v>
      </c>
      <c r="I1311">
        <v>2</v>
      </c>
      <c r="J1311">
        <v>3.4</v>
      </c>
      <c r="K1311">
        <v>2</v>
      </c>
      <c r="L1311">
        <v>2.5999999999999999E-2</v>
      </c>
      <c r="M1311">
        <v>2</v>
      </c>
      <c r="N1311">
        <v>84</v>
      </c>
      <c r="O1311">
        <v>2</v>
      </c>
      <c r="P1311">
        <v>0.22500000000000001</v>
      </c>
      <c r="Q1311">
        <v>1</v>
      </c>
      <c r="R1311">
        <v>5.0000000000000001E-4</v>
      </c>
      <c r="T1311" t="s">
        <v>3900</v>
      </c>
    </row>
    <row r="1312" spans="1:20" x14ac:dyDescent="0.2">
      <c r="A1312" t="s">
        <v>3902</v>
      </c>
      <c r="B1312" t="s">
        <v>2022</v>
      </c>
      <c r="C1312" t="s">
        <v>2104</v>
      </c>
      <c r="D1312" t="s">
        <v>2136</v>
      </c>
      <c r="E1312" t="s">
        <v>357</v>
      </c>
      <c r="F1312" t="s">
        <v>447</v>
      </c>
      <c r="G1312">
        <v>1</v>
      </c>
      <c r="H1312">
        <v>1537.5</v>
      </c>
      <c r="I1312">
        <v>1</v>
      </c>
      <c r="J1312">
        <v>0.95</v>
      </c>
      <c r="K1312">
        <v>1</v>
      </c>
      <c r="L1312">
        <v>8.0000000000000002E-3</v>
      </c>
      <c r="M1312">
        <v>5</v>
      </c>
      <c r="N1312">
        <v>89</v>
      </c>
      <c r="P1312">
        <v>0</v>
      </c>
      <c r="Q1312">
        <v>3</v>
      </c>
      <c r="R1312">
        <v>8.2000000000000007E-3</v>
      </c>
      <c r="T1312" t="s">
        <v>357</v>
      </c>
    </row>
    <row r="1313" spans="1:20" x14ac:dyDescent="0.2">
      <c r="A1313" t="s">
        <v>3903</v>
      </c>
      <c r="B1313" t="s">
        <v>2022</v>
      </c>
      <c r="C1313" t="s">
        <v>2049</v>
      </c>
      <c r="D1313" t="s">
        <v>2136</v>
      </c>
      <c r="E1313" t="s">
        <v>3904</v>
      </c>
      <c r="F1313" t="s">
        <v>3905</v>
      </c>
      <c r="G1313">
        <v>5</v>
      </c>
      <c r="H1313">
        <v>1750</v>
      </c>
      <c r="I1313">
        <v>1</v>
      </c>
      <c r="J1313">
        <v>1.4</v>
      </c>
      <c r="K1313">
        <v>2</v>
      </c>
      <c r="L1313">
        <v>0.06</v>
      </c>
      <c r="M1313">
        <v>4</v>
      </c>
      <c r="N1313">
        <v>146</v>
      </c>
      <c r="O1313">
        <v>1</v>
      </c>
      <c r="P1313">
        <v>0.06</v>
      </c>
      <c r="Q1313">
        <v>2</v>
      </c>
      <c r="R1313">
        <v>6.1999999999999998E-3</v>
      </c>
      <c r="T1313" t="s">
        <v>3904</v>
      </c>
    </row>
    <row r="1314" spans="1:20" x14ac:dyDescent="0.2">
      <c r="A1314" t="s">
        <v>3906</v>
      </c>
      <c r="B1314" t="s">
        <v>2022</v>
      </c>
      <c r="C1314" t="s">
        <v>2053</v>
      </c>
      <c r="D1314" t="s">
        <v>2024</v>
      </c>
      <c r="E1314" t="s">
        <v>3907</v>
      </c>
      <c r="F1314" t="s">
        <v>3908</v>
      </c>
      <c r="G1314">
        <v>2</v>
      </c>
      <c r="H1314">
        <v>1600</v>
      </c>
      <c r="I1314">
        <v>2</v>
      </c>
      <c r="J1314">
        <v>4.05</v>
      </c>
      <c r="K1314">
        <v>1</v>
      </c>
      <c r="L1314">
        <v>1.4999999999999999E-2</v>
      </c>
      <c r="M1314">
        <v>3</v>
      </c>
      <c r="N1314">
        <v>93</v>
      </c>
      <c r="O1314">
        <v>2</v>
      </c>
      <c r="P1314">
        <v>0.22500000000000001</v>
      </c>
      <c r="Q1314">
        <v>1</v>
      </c>
      <c r="R1314">
        <v>8.4999999999999995E-4</v>
      </c>
      <c r="T1314" t="s">
        <v>3907</v>
      </c>
    </row>
    <row r="1315" spans="1:20" x14ac:dyDescent="0.2">
      <c r="A1315" t="s">
        <v>3909</v>
      </c>
      <c r="B1315" t="s">
        <v>2022</v>
      </c>
      <c r="C1315" t="s">
        <v>2036</v>
      </c>
      <c r="D1315" t="s">
        <v>2024</v>
      </c>
      <c r="E1315" t="s">
        <v>824</v>
      </c>
      <c r="F1315" t="s">
        <v>825</v>
      </c>
      <c r="G1315">
        <v>2</v>
      </c>
      <c r="H1315">
        <v>1640</v>
      </c>
      <c r="I1315">
        <v>5</v>
      </c>
      <c r="J1315">
        <v>7</v>
      </c>
      <c r="K1315">
        <v>5</v>
      </c>
      <c r="L1315">
        <v>0.17499999999999999</v>
      </c>
      <c r="M1315">
        <v>4</v>
      </c>
      <c r="N1315">
        <v>94</v>
      </c>
      <c r="O1315">
        <v>5</v>
      </c>
      <c r="P1315">
        <v>0.53500000000000003</v>
      </c>
      <c r="Q1315">
        <v>5</v>
      </c>
      <c r="R1315">
        <v>1.2E-2</v>
      </c>
      <c r="T1315" t="s">
        <v>824</v>
      </c>
    </row>
    <row r="1316" spans="1:20" x14ac:dyDescent="0.2">
      <c r="A1316" t="s">
        <v>3910</v>
      </c>
      <c r="B1316" t="s">
        <v>2022</v>
      </c>
      <c r="C1316" t="s">
        <v>2023</v>
      </c>
      <c r="D1316" t="s">
        <v>2024</v>
      </c>
      <c r="E1316" t="s">
        <v>3911</v>
      </c>
      <c r="F1316" t="s">
        <v>3912</v>
      </c>
      <c r="G1316">
        <v>5</v>
      </c>
      <c r="H1316">
        <v>1800</v>
      </c>
      <c r="I1316">
        <v>5</v>
      </c>
      <c r="J1316">
        <v>10.9</v>
      </c>
      <c r="K1316">
        <v>5</v>
      </c>
      <c r="L1316">
        <v>8.5999999999999993E-2</v>
      </c>
      <c r="M1316">
        <v>5</v>
      </c>
      <c r="N1316">
        <v>114</v>
      </c>
      <c r="O1316">
        <v>5</v>
      </c>
      <c r="P1316">
        <v>0.67500000000000004</v>
      </c>
      <c r="Q1316">
        <v>5</v>
      </c>
      <c r="R1316">
        <v>8.0000000000000002E-3</v>
      </c>
      <c r="T1316" t="s">
        <v>3911</v>
      </c>
    </row>
    <row r="1317" spans="1:20" x14ac:dyDescent="0.2">
      <c r="A1317" t="s">
        <v>3913</v>
      </c>
      <c r="B1317" t="s">
        <v>2022</v>
      </c>
      <c r="C1317" t="s">
        <v>2222</v>
      </c>
      <c r="D1317" t="s">
        <v>2024</v>
      </c>
      <c r="E1317" t="s">
        <v>3914</v>
      </c>
      <c r="F1317" t="s">
        <v>3915</v>
      </c>
      <c r="G1317">
        <v>3</v>
      </c>
      <c r="H1317">
        <v>1650</v>
      </c>
      <c r="I1317">
        <v>2</v>
      </c>
      <c r="J1317">
        <v>3.9</v>
      </c>
      <c r="K1317">
        <v>1</v>
      </c>
      <c r="L1317">
        <v>0.01</v>
      </c>
      <c r="M1317">
        <v>2</v>
      </c>
      <c r="N1317">
        <v>63</v>
      </c>
      <c r="O1317">
        <v>2</v>
      </c>
      <c r="P1317">
        <v>0.15</v>
      </c>
      <c r="Q1317">
        <v>1</v>
      </c>
      <c r="R1317">
        <v>4.0000000000000002E-4</v>
      </c>
      <c r="T1317" t="s">
        <v>3914</v>
      </c>
    </row>
    <row r="1318" spans="1:20" x14ac:dyDescent="0.2">
      <c r="A1318" t="s">
        <v>3916</v>
      </c>
      <c r="B1318" t="s">
        <v>2022</v>
      </c>
      <c r="C1318" t="s">
        <v>2023</v>
      </c>
      <c r="D1318" t="s">
        <v>2024</v>
      </c>
      <c r="E1318" t="s">
        <v>3917</v>
      </c>
      <c r="F1318" t="s">
        <v>3918</v>
      </c>
      <c r="G1318">
        <v>1</v>
      </c>
      <c r="H1318">
        <v>1480</v>
      </c>
      <c r="I1318">
        <v>2</v>
      </c>
      <c r="J1318">
        <v>3.4</v>
      </c>
      <c r="K1318">
        <v>5</v>
      </c>
      <c r="L1318">
        <v>8.5999999999999993E-2</v>
      </c>
      <c r="M1318">
        <v>1</v>
      </c>
      <c r="N1318">
        <v>74</v>
      </c>
      <c r="O1318">
        <v>2</v>
      </c>
      <c r="P1318">
        <v>0.22500000000000001</v>
      </c>
      <c r="Q1318">
        <v>4</v>
      </c>
      <c r="R1318">
        <v>6.0000000000000001E-3</v>
      </c>
      <c r="T1318" t="s">
        <v>3917</v>
      </c>
    </row>
    <row r="1319" spans="1:20" x14ac:dyDescent="0.2">
      <c r="A1319" t="s">
        <v>3919</v>
      </c>
      <c r="B1319" t="s">
        <v>2022</v>
      </c>
      <c r="C1319" t="s">
        <v>2023</v>
      </c>
      <c r="D1319" t="s">
        <v>2024</v>
      </c>
      <c r="E1319" t="s">
        <v>3920</v>
      </c>
      <c r="F1319" t="s">
        <v>3921</v>
      </c>
      <c r="G1319">
        <v>3</v>
      </c>
      <c r="H1319">
        <v>1640</v>
      </c>
      <c r="I1319">
        <v>3</v>
      </c>
      <c r="J1319">
        <v>5.9</v>
      </c>
      <c r="K1319">
        <v>5</v>
      </c>
      <c r="L1319">
        <v>8.5999999999999993E-2</v>
      </c>
      <c r="M1319">
        <v>4</v>
      </c>
      <c r="N1319">
        <v>104</v>
      </c>
      <c r="O1319">
        <v>3</v>
      </c>
      <c r="P1319">
        <v>0.375</v>
      </c>
      <c r="Q1319">
        <v>4</v>
      </c>
      <c r="R1319">
        <v>6.0000000000000001E-3</v>
      </c>
      <c r="T1319" t="s">
        <v>3920</v>
      </c>
    </row>
    <row r="1320" spans="1:20" x14ac:dyDescent="0.2">
      <c r="A1320" t="s">
        <v>3922</v>
      </c>
      <c r="B1320" t="s">
        <v>2022</v>
      </c>
      <c r="C1320" t="s">
        <v>2023</v>
      </c>
      <c r="D1320" t="s">
        <v>2024</v>
      </c>
      <c r="E1320" t="s">
        <v>3923</v>
      </c>
      <c r="F1320" t="s">
        <v>3924</v>
      </c>
      <c r="G1320">
        <v>3</v>
      </c>
      <c r="H1320">
        <v>1640</v>
      </c>
      <c r="I1320">
        <v>3</v>
      </c>
      <c r="J1320">
        <v>5.9</v>
      </c>
      <c r="K1320">
        <v>2</v>
      </c>
      <c r="L1320">
        <v>2.5999999999999999E-2</v>
      </c>
      <c r="M1320">
        <v>2</v>
      </c>
      <c r="N1320">
        <v>84</v>
      </c>
      <c r="O1320">
        <v>2</v>
      </c>
      <c r="P1320">
        <v>0.22500000000000001</v>
      </c>
      <c r="Q1320">
        <v>2</v>
      </c>
      <c r="R1320">
        <v>2E-3</v>
      </c>
      <c r="T1320" t="s">
        <v>3923</v>
      </c>
    </row>
    <row r="1321" spans="1:20" x14ac:dyDescent="0.2">
      <c r="A1321" t="s">
        <v>3925</v>
      </c>
      <c r="B1321" t="s">
        <v>2022</v>
      </c>
      <c r="C1321" t="s">
        <v>2023</v>
      </c>
      <c r="D1321" t="s">
        <v>2024</v>
      </c>
      <c r="E1321" t="s">
        <v>3926</v>
      </c>
      <c r="F1321" t="s">
        <v>3927</v>
      </c>
      <c r="G1321">
        <v>4</v>
      </c>
      <c r="H1321">
        <v>1720</v>
      </c>
      <c r="I1321">
        <v>5</v>
      </c>
      <c r="J1321">
        <v>10.9</v>
      </c>
      <c r="K1321">
        <v>5</v>
      </c>
      <c r="L1321">
        <v>8.5999999999999993E-2</v>
      </c>
      <c r="M1321">
        <v>2</v>
      </c>
      <c r="N1321">
        <v>84</v>
      </c>
      <c r="O1321">
        <v>5</v>
      </c>
      <c r="P1321">
        <v>0.67500000000000004</v>
      </c>
      <c r="Q1321">
        <v>5</v>
      </c>
      <c r="R1321">
        <v>8.0000000000000002E-3</v>
      </c>
      <c r="T1321" t="s">
        <v>3926</v>
      </c>
    </row>
    <row r="1322" spans="1:20" x14ac:dyDescent="0.2">
      <c r="A1322" t="s">
        <v>3928</v>
      </c>
      <c r="B1322" t="s">
        <v>2022</v>
      </c>
      <c r="C1322" t="s">
        <v>2053</v>
      </c>
      <c r="D1322" t="s">
        <v>2024</v>
      </c>
      <c r="E1322" t="s">
        <v>3929</v>
      </c>
      <c r="F1322" t="s">
        <v>3930</v>
      </c>
      <c r="G1322">
        <v>2</v>
      </c>
      <c r="H1322">
        <v>1600</v>
      </c>
      <c r="I1322">
        <v>4</v>
      </c>
      <c r="J1322">
        <v>9.0500000000000007</v>
      </c>
      <c r="K1322">
        <v>4</v>
      </c>
      <c r="L1322">
        <v>0.30499999999999999</v>
      </c>
      <c r="M1322">
        <v>3</v>
      </c>
      <c r="N1322">
        <v>93</v>
      </c>
      <c r="O1322">
        <v>4</v>
      </c>
      <c r="P1322">
        <v>0.52500000000000002</v>
      </c>
      <c r="Q1322">
        <v>4</v>
      </c>
      <c r="R1322">
        <v>1.9199999999999998E-2</v>
      </c>
      <c r="T1322" t="s">
        <v>3929</v>
      </c>
    </row>
    <row r="1323" spans="1:20" x14ac:dyDescent="0.2">
      <c r="A1323" t="s">
        <v>3931</v>
      </c>
      <c r="B1323" t="s">
        <v>2022</v>
      </c>
      <c r="C1323" t="s">
        <v>2023</v>
      </c>
      <c r="D1323" t="s">
        <v>2024</v>
      </c>
      <c r="E1323" t="s">
        <v>3932</v>
      </c>
      <c r="F1323" t="s">
        <v>3933</v>
      </c>
      <c r="G1323">
        <v>4</v>
      </c>
      <c r="H1323">
        <v>1720</v>
      </c>
      <c r="I1323">
        <v>3</v>
      </c>
      <c r="J1323">
        <v>5.9</v>
      </c>
      <c r="K1323">
        <v>3</v>
      </c>
      <c r="L1323">
        <v>4.5999999999999999E-2</v>
      </c>
      <c r="M1323">
        <v>2</v>
      </c>
      <c r="N1323">
        <v>84</v>
      </c>
      <c r="O1323">
        <v>2</v>
      </c>
      <c r="P1323">
        <v>0.22500000000000001</v>
      </c>
      <c r="Q1323">
        <v>2</v>
      </c>
      <c r="R1323">
        <v>2E-3</v>
      </c>
      <c r="T1323" t="s">
        <v>3932</v>
      </c>
    </row>
    <row r="1324" spans="1:20" x14ac:dyDescent="0.2">
      <c r="A1324" t="s">
        <v>3934</v>
      </c>
      <c r="B1324" t="s">
        <v>2022</v>
      </c>
      <c r="C1324" t="s">
        <v>2053</v>
      </c>
      <c r="D1324" t="s">
        <v>2024</v>
      </c>
      <c r="E1324" t="s">
        <v>3935</v>
      </c>
      <c r="F1324" t="s">
        <v>3936</v>
      </c>
      <c r="G1324">
        <v>2</v>
      </c>
      <c r="H1324">
        <v>1600</v>
      </c>
      <c r="I1324">
        <v>5</v>
      </c>
      <c r="J1324">
        <v>11.55</v>
      </c>
      <c r="K1324">
        <v>4</v>
      </c>
      <c r="L1324">
        <v>0.30499999999999999</v>
      </c>
      <c r="M1324">
        <v>2</v>
      </c>
      <c r="N1324">
        <v>83</v>
      </c>
      <c r="O1324">
        <v>5</v>
      </c>
      <c r="P1324">
        <v>0.67500000000000004</v>
      </c>
      <c r="Q1324">
        <v>4</v>
      </c>
      <c r="R1324">
        <v>1.9199999999999998E-2</v>
      </c>
      <c r="T1324" t="s">
        <v>3935</v>
      </c>
    </row>
    <row r="1325" spans="1:20" x14ac:dyDescent="0.2">
      <c r="A1325" t="s">
        <v>3937</v>
      </c>
      <c r="B1325" t="s">
        <v>2022</v>
      </c>
      <c r="C1325" t="s">
        <v>2053</v>
      </c>
      <c r="D1325" t="s">
        <v>2024</v>
      </c>
      <c r="E1325" t="s">
        <v>3938</v>
      </c>
      <c r="F1325" t="s">
        <v>3939</v>
      </c>
      <c r="G1325">
        <v>4</v>
      </c>
      <c r="H1325">
        <v>1800</v>
      </c>
      <c r="I1325">
        <v>1</v>
      </c>
      <c r="J1325">
        <v>1.55</v>
      </c>
      <c r="K1325">
        <v>2</v>
      </c>
      <c r="L1325">
        <v>8.5000000000000006E-2</v>
      </c>
      <c r="M1325">
        <v>3</v>
      </c>
      <c r="N1325">
        <v>93</v>
      </c>
      <c r="O1325">
        <v>2</v>
      </c>
      <c r="P1325">
        <v>0.22500000000000001</v>
      </c>
      <c r="Q1325">
        <v>2</v>
      </c>
      <c r="R1325">
        <v>5.1999999999999998E-3</v>
      </c>
      <c r="T1325" t="s">
        <v>3938</v>
      </c>
    </row>
    <row r="1326" spans="1:20" x14ac:dyDescent="0.2">
      <c r="A1326" t="s">
        <v>3940</v>
      </c>
      <c r="B1326" t="s">
        <v>2022</v>
      </c>
      <c r="C1326" t="s">
        <v>2023</v>
      </c>
      <c r="D1326" t="s">
        <v>2024</v>
      </c>
      <c r="E1326" t="s">
        <v>3941</v>
      </c>
      <c r="F1326" t="s">
        <v>3942</v>
      </c>
      <c r="G1326">
        <v>2</v>
      </c>
      <c r="H1326">
        <v>1560</v>
      </c>
      <c r="I1326">
        <v>1</v>
      </c>
      <c r="J1326">
        <v>0.9</v>
      </c>
      <c r="K1326">
        <v>2</v>
      </c>
      <c r="L1326">
        <v>2.5999999999999999E-2</v>
      </c>
      <c r="M1326">
        <v>2</v>
      </c>
      <c r="N1326">
        <v>84</v>
      </c>
      <c r="O1326">
        <v>1</v>
      </c>
      <c r="P1326">
        <v>7.4999999999999997E-2</v>
      </c>
      <c r="Q1326">
        <v>1</v>
      </c>
      <c r="R1326">
        <v>5.0000000000000001E-4</v>
      </c>
      <c r="T1326" t="s">
        <v>3941</v>
      </c>
    </row>
    <row r="1327" spans="1:20" x14ac:dyDescent="0.2">
      <c r="A1327" t="s">
        <v>3943</v>
      </c>
      <c r="B1327" t="s">
        <v>2022</v>
      </c>
      <c r="C1327" t="s">
        <v>2023</v>
      </c>
      <c r="D1327" t="s">
        <v>2024</v>
      </c>
      <c r="E1327" t="s">
        <v>3944</v>
      </c>
      <c r="F1327" t="s">
        <v>3945</v>
      </c>
      <c r="G1327">
        <v>1</v>
      </c>
      <c r="H1327">
        <v>1480</v>
      </c>
      <c r="I1327">
        <v>1</v>
      </c>
      <c r="J1327">
        <v>0.9</v>
      </c>
      <c r="K1327">
        <v>2</v>
      </c>
      <c r="L1327">
        <v>2.5999999999999999E-2</v>
      </c>
      <c r="M1327">
        <v>2</v>
      </c>
      <c r="N1327">
        <v>84</v>
      </c>
      <c r="O1327">
        <v>1</v>
      </c>
      <c r="P1327">
        <v>7.4999999999999997E-2</v>
      </c>
      <c r="Q1327">
        <v>2</v>
      </c>
      <c r="R1327">
        <v>2E-3</v>
      </c>
      <c r="T1327" t="s">
        <v>3944</v>
      </c>
    </row>
    <row r="1328" spans="1:20" x14ac:dyDescent="0.2">
      <c r="A1328" t="s">
        <v>3946</v>
      </c>
      <c r="B1328" t="s">
        <v>2022</v>
      </c>
      <c r="C1328" t="s">
        <v>2173</v>
      </c>
      <c r="D1328" t="s">
        <v>2024</v>
      </c>
      <c r="E1328" t="s">
        <v>3947</v>
      </c>
      <c r="F1328" t="s">
        <v>3948</v>
      </c>
      <c r="G1328">
        <v>2</v>
      </c>
      <c r="H1328">
        <v>1957.5</v>
      </c>
      <c r="I1328">
        <v>1</v>
      </c>
      <c r="J1328">
        <v>3.65</v>
      </c>
      <c r="K1328">
        <v>1</v>
      </c>
      <c r="L1328">
        <v>1.4999999999999999E-2</v>
      </c>
      <c r="M1328">
        <v>1</v>
      </c>
      <c r="N1328">
        <v>96.5</v>
      </c>
      <c r="O1328">
        <v>1</v>
      </c>
      <c r="P1328">
        <v>0.15</v>
      </c>
      <c r="Q1328">
        <v>1</v>
      </c>
      <c r="R1328">
        <v>6.4999999999999997E-4</v>
      </c>
      <c r="T1328" t="s">
        <v>3947</v>
      </c>
    </row>
    <row r="1329" spans="1:20" x14ac:dyDescent="0.2">
      <c r="A1329" t="s">
        <v>3949</v>
      </c>
      <c r="B1329" t="s">
        <v>2022</v>
      </c>
      <c r="C1329" t="s">
        <v>2222</v>
      </c>
      <c r="D1329" t="s">
        <v>2136</v>
      </c>
      <c r="E1329" t="s">
        <v>3950</v>
      </c>
      <c r="F1329" t="s">
        <v>447</v>
      </c>
      <c r="G1329">
        <v>3</v>
      </c>
      <c r="H1329">
        <v>1650</v>
      </c>
      <c r="I1329">
        <v>2</v>
      </c>
      <c r="J1329">
        <v>3.9</v>
      </c>
      <c r="K1329">
        <v>2</v>
      </c>
      <c r="L1329">
        <v>5.5E-2</v>
      </c>
      <c r="M1329">
        <v>5</v>
      </c>
      <c r="N1329">
        <v>75</v>
      </c>
      <c r="O1329">
        <v>3</v>
      </c>
      <c r="P1329">
        <v>0.23</v>
      </c>
      <c r="Q1329">
        <v>2</v>
      </c>
      <c r="R1329">
        <v>2.3E-3</v>
      </c>
      <c r="T1329" t="s">
        <v>3950</v>
      </c>
    </row>
    <row r="1330" spans="1:20" x14ac:dyDescent="0.2">
      <c r="A1330" t="s">
        <v>3951</v>
      </c>
      <c r="B1330" t="s">
        <v>2022</v>
      </c>
      <c r="C1330" t="s">
        <v>2036</v>
      </c>
      <c r="D1330" t="s">
        <v>2024</v>
      </c>
      <c r="E1330" t="s">
        <v>3952</v>
      </c>
      <c r="F1330" t="s">
        <v>3953</v>
      </c>
      <c r="G1330">
        <v>1</v>
      </c>
      <c r="H1330">
        <v>1540</v>
      </c>
      <c r="I1330">
        <v>3</v>
      </c>
      <c r="J1330">
        <v>4.5999999999999996</v>
      </c>
      <c r="K1330">
        <v>4</v>
      </c>
      <c r="L1330">
        <v>0.14499999999999999</v>
      </c>
      <c r="M1330">
        <v>1</v>
      </c>
      <c r="N1330">
        <v>76</v>
      </c>
      <c r="O1330">
        <v>2</v>
      </c>
      <c r="P1330">
        <v>0.20499999999999999</v>
      </c>
      <c r="Q1330">
        <v>3</v>
      </c>
      <c r="R1330">
        <v>6.7499999999999999E-3</v>
      </c>
      <c r="T1330" t="s">
        <v>3952</v>
      </c>
    </row>
    <row r="1331" spans="1:20" x14ac:dyDescent="0.2">
      <c r="A1331" t="s">
        <v>3954</v>
      </c>
      <c r="B1331" t="s">
        <v>2022</v>
      </c>
      <c r="C1331" t="s">
        <v>2036</v>
      </c>
      <c r="D1331" t="s">
        <v>2024</v>
      </c>
      <c r="E1331" t="s">
        <v>3955</v>
      </c>
      <c r="F1331" t="s">
        <v>3956</v>
      </c>
      <c r="G1331">
        <v>2</v>
      </c>
      <c r="H1331">
        <v>1640</v>
      </c>
      <c r="I1331">
        <v>2</v>
      </c>
      <c r="J1331">
        <v>3.4</v>
      </c>
      <c r="K1331">
        <v>1</v>
      </c>
      <c r="L1331">
        <v>5.5E-2</v>
      </c>
      <c r="M1331">
        <v>4</v>
      </c>
      <c r="N1331">
        <v>94</v>
      </c>
      <c r="O1331">
        <v>2</v>
      </c>
      <c r="P1331">
        <v>0.20499999999999999</v>
      </c>
      <c r="Q1331">
        <v>2</v>
      </c>
      <c r="R1331">
        <v>4.2500000000000003E-3</v>
      </c>
      <c r="T1331" t="s">
        <v>3955</v>
      </c>
    </row>
    <row r="1332" spans="1:20" x14ac:dyDescent="0.2">
      <c r="A1332" t="s">
        <v>3957</v>
      </c>
      <c r="B1332" t="s">
        <v>2022</v>
      </c>
      <c r="C1332" t="s">
        <v>2173</v>
      </c>
      <c r="D1332" t="s">
        <v>2024</v>
      </c>
      <c r="E1332" t="s">
        <v>3958</v>
      </c>
      <c r="F1332" t="s">
        <v>3959</v>
      </c>
      <c r="G1332">
        <v>5</v>
      </c>
      <c r="H1332">
        <v>2182.5</v>
      </c>
      <c r="I1332">
        <v>4</v>
      </c>
      <c r="J1332">
        <v>11.75</v>
      </c>
      <c r="K1332">
        <v>4</v>
      </c>
      <c r="L1332">
        <v>0.33</v>
      </c>
      <c r="M1332">
        <v>3</v>
      </c>
      <c r="N1332">
        <v>118.5</v>
      </c>
      <c r="O1332">
        <v>4</v>
      </c>
      <c r="P1332">
        <v>0.69</v>
      </c>
      <c r="Q1332">
        <v>4</v>
      </c>
      <c r="R1332">
        <v>1.8800000000000001E-2</v>
      </c>
      <c r="T1332" t="s">
        <v>3958</v>
      </c>
    </row>
    <row r="1333" spans="1:20" x14ac:dyDescent="0.2">
      <c r="A1333" t="s">
        <v>3960</v>
      </c>
      <c r="B1333" t="s">
        <v>2022</v>
      </c>
      <c r="C1333" t="s">
        <v>2257</v>
      </c>
      <c r="D1333" t="s">
        <v>2154</v>
      </c>
      <c r="E1333" t="s">
        <v>357</v>
      </c>
      <c r="F1333" t="s">
        <v>447</v>
      </c>
      <c r="G1333">
        <v>4</v>
      </c>
      <c r="H1333">
        <v>1200</v>
      </c>
      <c r="I1333">
        <v>5</v>
      </c>
      <c r="J1333">
        <v>5.65</v>
      </c>
      <c r="K1333">
        <v>5</v>
      </c>
      <c r="L1333">
        <v>0.187</v>
      </c>
      <c r="M1333">
        <v>3</v>
      </c>
      <c r="N1333">
        <v>700</v>
      </c>
      <c r="O1333">
        <v>5</v>
      </c>
      <c r="P1333">
        <v>2.7</v>
      </c>
      <c r="Q1333">
        <v>5</v>
      </c>
      <c r="R1333">
        <v>8.1000000000000003E-2</v>
      </c>
      <c r="T1333" t="s">
        <v>357</v>
      </c>
    </row>
    <row r="1334" spans="1:20" x14ac:dyDescent="0.2">
      <c r="A1334" t="s">
        <v>3961</v>
      </c>
      <c r="B1334" t="s">
        <v>2022</v>
      </c>
      <c r="C1334" t="s">
        <v>2095</v>
      </c>
      <c r="D1334" t="s">
        <v>2154</v>
      </c>
      <c r="E1334" t="s">
        <v>3962</v>
      </c>
      <c r="F1334" t="s">
        <v>3963</v>
      </c>
      <c r="G1334">
        <v>2</v>
      </c>
      <c r="H1334">
        <v>1655</v>
      </c>
      <c r="I1334">
        <v>1</v>
      </c>
      <c r="J1334">
        <v>4.5</v>
      </c>
      <c r="K1334">
        <v>1</v>
      </c>
      <c r="L1334">
        <v>1.4999999999999999E-2</v>
      </c>
      <c r="M1334">
        <v>1</v>
      </c>
      <c r="N1334">
        <v>74</v>
      </c>
      <c r="O1334">
        <v>1</v>
      </c>
      <c r="P1334">
        <v>0.15</v>
      </c>
      <c r="Q1334">
        <v>1</v>
      </c>
      <c r="R1334">
        <v>6.9999999999999999E-4</v>
      </c>
      <c r="T1334" t="s">
        <v>3962</v>
      </c>
    </row>
    <row r="1335" spans="1:20" x14ac:dyDescent="0.2">
      <c r="A1335" t="s">
        <v>3964</v>
      </c>
      <c r="B1335" t="s">
        <v>2022</v>
      </c>
      <c r="C1335" t="s">
        <v>2036</v>
      </c>
      <c r="D1335" t="s">
        <v>2024</v>
      </c>
      <c r="E1335" t="s">
        <v>3965</v>
      </c>
      <c r="F1335" t="s">
        <v>3966</v>
      </c>
      <c r="G1335">
        <v>2</v>
      </c>
      <c r="H1335">
        <v>1640</v>
      </c>
      <c r="I1335">
        <v>1</v>
      </c>
      <c r="J1335">
        <v>2.2000000000000002</v>
      </c>
      <c r="K1335">
        <v>1</v>
      </c>
      <c r="L1335">
        <v>5.5E-2</v>
      </c>
      <c r="M1335">
        <v>2</v>
      </c>
      <c r="N1335">
        <v>82</v>
      </c>
      <c r="O1335">
        <v>1</v>
      </c>
      <c r="P1335">
        <v>9.5000000000000001E-2</v>
      </c>
      <c r="Q1335">
        <v>1</v>
      </c>
      <c r="R1335">
        <v>1.5E-3</v>
      </c>
      <c r="T1335" t="s">
        <v>3965</v>
      </c>
    </row>
    <row r="1336" spans="1:20" x14ac:dyDescent="0.2">
      <c r="A1336" t="s">
        <v>3967</v>
      </c>
      <c r="B1336" t="s">
        <v>2022</v>
      </c>
      <c r="C1336" t="s">
        <v>2508</v>
      </c>
      <c r="D1336" t="s">
        <v>2024</v>
      </c>
      <c r="E1336" t="s">
        <v>3968</v>
      </c>
      <c r="F1336" t="s">
        <v>3969</v>
      </c>
      <c r="G1336">
        <v>1</v>
      </c>
      <c r="H1336">
        <v>1250</v>
      </c>
      <c r="I1336">
        <v>1</v>
      </c>
      <c r="J1336">
        <v>1</v>
      </c>
      <c r="K1336">
        <v>1</v>
      </c>
      <c r="L1336">
        <v>0.01</v>
      </c>
      <c r="M1336">
        <v>5</v>
      </c>
      <c r="N1336">
        <v>352.5</v>
      </c>
      <c r="O1336">
        <v>2</v>
      </c>
      <c r="P1336">
        <v>0.75</v>
      </c>
      <c r="Q1336">
        <v>1</v>
      </c>
      <c r="R1336">
        <v>1.2E-2</v>
      </c>
      <c r="T1336" t="s">
        <v>3968</v>
      </c>
    </row>
    <row r="1337" spans="1:20" x14ac:dyDescent="0.2">
      <c r="A1337" t="s">
        <v>3970</v>
      </c>
      <c r="B1337" t="s">
        <v>2022</v>
      </c>
      <c r="C1337" t="s">
        <v>2053</v>
      </c>
      <c r="D1337" t="s">
        <v>2024</v>
      </c>
      <c r="E1337" t="s">
        <v>3971</v>
      </c>
      <c r="F1337" t="s">
        <v>3972</v>
      </c>
      <c r="G1337">
        <v>3</v>
      </c>
      <c r="H1337">
        <v>1700</v>
      </c>
      <c r="I1337">
        <v>5</v>
      </c>
      <c r="J1337">
        <v>11.55</v>
      </c>
      <c r="K1337">
        <v>4</v>
      </c>
      <c r="L1337">
        <v>0.30499999999999999</v>
      </c>
      <c r="M1337">
        <v>1</v>
      </c>
      <c r="N1337">
        <v>73</v>
      </c>
      <c r="O1337">
        <v>4</v>
      </c>
      <c r="P1337">
        <v>0.52500000000000002</v>
      </c>
      <c r="Q1337">
        <v>3</v>
      </c>
      <c r="R1337">
        <v>1.2200000000000001E-2</v>
      </c>
      <c r="T1337" t="s">
        <v>3971</v>
      </c>
    </row>
    <row r="1338" spans="1:20" x14ac:dyDescent="0.2">
      <c r="A1338" t="s">
        <v>3973</v>
      </c>
      <c r="B1338" t="s">
        <v>2022</v>
      </c>
      <c r="C1338" t="s">
        <v>2028</v>
      </c>
      <c r="D1338" t="s">
        <v>2024</v>
      </c>
      <c r="E1338" t="s">
        <v>3974</v>
      </c>
      <c r="F1338" t="s">
        <v>3975</v>
      </c>
      <c r="G1338">
        <v>3</v>
      </c>
      <c r="H1338">
        <v>1050</v>
      </c>
      <c r="I1338">
        <v>4</v>
      </c>
      <c r="J1338">
        <v>4.95</v>
      </c>
      <c r="K1338">
        <v>4</v>
      </c>
      <c r="L1338">
        <v>0.193</v>
      </c>
      <c r="M1338">
        <v>3</v>
      </c>
      <c r="N1338">
        <v>300</v>
      </c>
      <c r="O1338">
        <v>5</v>
      </c>
      <c r="P1338">
        <v>1.35</v>
      </c>
      <c r="Q1338">
        <v>5</v>
      </c>
      <c r="R1338">
        <v>3.3500000000000002E-2</v>
      </c>
      <c r="T1338" t="s">
        <v>3974</v>
      </c>
    </row>
    <row r="1339" spans="1:20" x14ac:dyDescent="0.2">
      <c r="A1339" t="s">
        <v>3976</v>
      </c>
      <c r="B1339" t="s">
        <v>2022</v>
      </c>
      <c r="C1339" t="s">
        <v>2053</v>
      </c>
      <c r="D1339" t="s">
        <v>2024</v>
      </c>
      <c r="E1339" t="s">
        <v>3977</v>
      </c>
      <c r="F1339" t="s">
        <v>3978</v>
      </c>
      <c r="G1339">
        <v>4</v>
      </c>
      <c r="H1339">
        <v>1800</v>
      </c>
      <c r="I1339">
        <v>4</v>
      </c>
      <c r="J1339">
        <v>9.0500000000000007</v>
      </c>
      <c r="K1339">
        <v>4</v>
      </c>
      <c r="L1339">
        <v>0.30499999999999999</v>
      </c>
      <c r="M1339">
        <v>2</v>
      </c>
      <c r="N1339">
        <v>83</v>
      </c>
      <c r="O1339">
        <v>3</v>
      </c>
      <c r="P1339">
        <v>0.375</v>
      </c>
      <c r="Q1339">
        <v>3</v>
      </c>
      <c r="R1339">
        <v>1.2200000000000001E-2</v>
      </c>
      <c r="T1339" t="s">
        <v>3977</v>
      </c>
    </row>
    <row r="1340" spans="1:20" x14ac:dyDescent="0.2">
      <c r="A1340" t="s">
        <v>3979</v>
      </c>
      <c r="B1340" t="s">
        <v>2022</v>
      </c>
      <c r="C1340" t="s">
        <v>2095</v>
      </c>
      <c r="D1340" t="s">
        <v>2024</v>
      </c>
      <c r="E1340" t="s">
        <v>3980</v>
      </c>
      <c r="F1340" t="s">
        <v>3981</v>
      </c>
      <c r="G1340">
        <v>4</v>
      </c>
      <c r="H1340">
        <v>1835</v>
      </c>
      <c r="I1340">
        <v>2</v>
      </c>
      <c r="J1340">
        <v>7.5</v>
      </c>
      <c r="K1340">
        <v>3</v>
      </c>
      <c r="L1340">
        <v>0.33</v>
      </c>
      <c r="M1340">
        <v>5</v>
      </c>
      <c r="N1340">
        <v>98</v>
      </c>
      <c r="O1340">
        <v>4</v>
      </c>
      <c r="P1340">
        <v>0.75</v>
      </c>
      <c r="Q1340">
        <v>4</v>
      </c>
      <c r="R1340">
        <v>2.3900000000000001E-2</v>
      </c>
      <c r="T1340" t="s">
        <v>3980</v>
      </c>
    </row>
    <row r="1341" spans="1:20" x14ac:dyDescent="0.2">
      <c r="A1341" t="s">
        <v>3982</v>
      </c>
      <c r="B1341" t="s">
        <v>2022</v>
      </c>
      <c r="C1341" t="s">
        <v>2053</v>
      </c>
      <c r="D1341" t="s">
        <v>2024</v>
      </c>
      <c r="E1341" t="s">
        <v>3983</v>
      </c>
      <c r="F1341" t="s">
        <v>3984</v>
      </c>
      <c r="G1341">
        <v>5</v>
      </c>
      <c r="H1341">
        <v>1900</v>
      </c>
      <c r="I1341">
        <v>4</v>
      </c>
      <c r="J1341">
        <v>9.0500000000000007</v>
      </c>
      <c r="K1341">
        <v>2</v>
      </c>
      <c r="L1341">
        <v>8.5000000000000006E-2</v>
      </c>
      <c r="M1341">
        <v>5</v>
      </c>
      <c r="N1341">
        <v>113</v>
      </c>
      <c r="O1341">
        <v>4</v>
      </c>
      <c r="P1341">
        <v>0.52500000000000002</v>
      </c>
      <c r="Q1341">
        <v>2</v>
      </c>
      <c r="R1341">
        <v>5.1999999999999998E-3</v>
      </c>
      <c r="T1341" t="s">
        <v>3983</v>
      </c>
    </row>
    <row r="1342" spans="1:20" x14ac:dyDescent="0.2">
      <c r="A1342" t="s">
        <v>3985</v>
      </c>
      <c r="B1342" t="s">
        <v>2022</v>
      </c>
      <c r="C1342" t="s">
        <v>2049</v>
      </c>
      <c r="D1342" t="s">
        <v>2024</v>
      </c>
      <c r="E1342" t="s">
        <v>3986</v>
      </c>
      <c r="F1342" t="s">
        <v>3987</v>
      </c>
      <c r="G1342">
        <v>4</v>
      </c>
      <c r="H1342">
        <v>1650</v>
      </c>
      <c r="I1342">
        <v>5</v>
      </c>
      <c r="J1342">
        <v>8.6</v>
      </c>
      <c r="K1342">
        <v>5</v>
      </c>
      <c r="L1342">
        <v>0.3</v>
      </c>
      <c r="M1342">
        <v>2</v>
      </c>
      <c r="N1342">
        <v>106</v>
      </c>
      <c r="O1342">
        <v>3</v>
      </c>
      <c r="P1342">
        <v>0.46</v>
      </c>
      <c r="Q1342">
        <v>4</v>
      </c>
      <c r="R1342">
        <v>2.4199999999999999E-2</v>
      </c>
      <c r="T1342" t="s">
        <v>3986</v>
      </c>
    </row>
    <row r="1343" spans="1:20" x14ac:dyDescent="0.2">
      <c r="A1343" t="s">
        <v>3988</v>
      </c>
      <c r="B1343" t="s">
        <v>2022</v>
      </c>
      <c r="C1343" t="s">
        <v>2023</v>
      </c>
      <c r="D1343" t="s">
        <v>2024</v>
      </c>
      <c r="E1343" t="s">
        <v>3989</v>
      </c>
      <c r="F1343" t="s">
        <v>3990</v>
      </c>
      <c r="G1343">
        <v>5</v>
      </c>
      <c r="H1343">
        <v>1800</v>
      </c>
      <c r="I1343">
        <v>1</v>
      </c>
      <c r="J1343">
        <v>0.9</v>
      </c>
      <c r="K1343">
        <v>1</v>
      </c>
      <c r="L1343">
        <v>6.0000000000000001E-3</v>
      </c>
      <c r="M1343">
        <v>2</v>
      </c>
      <c r="N1343">
        <v>84</v>
      </c>
      <c r="O1343">
        <v>1</v>
      </c>
      <c r="P1343">
        <v>7.4999999999999997E-2</v>
      </c>
      <c r="Q1343">
        <v>1</v>
      </c>
      <c r="R1343">
        <v>5.0000000000000001E-4</v>
      </c>
      <c r="T1343" t="s">
        <v>3989</v>
      </c>
    </row>
    <row r="1344" spans="1:20" x14ac:dyDescent="0.2">
      <c r="A1344" t="s">
        <v>3991</v>
      </c>
      <c r="B1344" t="s">
        <v>2022</v>
      </c>
      <c r="C1344" t="s">
        <v>2053</v>
      </c>
      <c r="D1344" t="s">
        <v>2024</v>
      </c>
      <c r="E1344" t="s">
        <v>3992</v>
      </c>
      <c r="F1344" t="s">
        <v>3993</v>
      </c>
      <c r="G1344">
        <v>5</v>
      </c>
      <c r="H1344">
        <v>1900</v>
      </c>
      <c r="I1344">
        <v>4</v>
      </c>
      <c r="J1344">
        <v>9.0500000000000007</v>
      </c>
      <c r="K1344">
        <v>4</v>
      </c>
      <c r="L1344">
        <v>0.30499999999999999</v>
      </c>
      <c r="M1344">
        <v>4</v>
      </c>
      <c r="N1344">
        <v>103</v>
      </c>
      <c r="O1344">
        <v>4</v>
      </c>
      <c r="P1344">
        <v>0.52500000000000002</v>
      </c>
      <c r="Q1344">
        <v>4</v>
      </c>
      <c r="R1344">
        <v>1.9199999999999998E-2</v>
      </c>
      <c r="T1344" t="s">
        <v>3992</v>
      </c>
    </row>
    <row r="1345" spans="1:20" x14ac:dyDescent="0.2">
      <c r="A1345" t="s">
        <v>3994</v>
      </c>
      <c r="B1345" t="s">
        <v>2022</v>
      </c>
      <c r="C1345" t="s">
        <v>2023</v>
      </c>
      <c r="D1345" t="s">
        <v>2154</v>
      </c>
      <c r="E1345" t="s">
        <v>3995</v>
      </c>
      <c r="F1345" t="s">
        <v>3996</v>
      </c>
      <c r="G1345">
        <v>1</v>
      </c>
      <c r="H1345">
        <v>1480</v>
      </c>
      <c r="I1345">
        <v>2</v>
      </c>
      <c r="J1345">
        <v>3.4</v>
      </c>
      <c r="K1345">
        <v>2</v>
      </c>
      <c r="L1345">
        <v>2.5999999999999999E-2</v>
      </c>
      <c r="M1345">
        <v>3</v>
      </c>
      <c r="N1345">
        <v>94</v>
      </c>
      <c r="O1345">
        <v>2</v>
      </c>
      <c r="P1345">
        <v>0.22500000000000001</v>
      </c>
      <c r="Q1345">
        <v>2</v>
      </c>
      <c r="R1345">
        <v>2E-3</v>
      </c>
      <c r="T1345" t="s">
        <v>3995</v>
      </c>
    </row>
    <row r="1346" spans="1:20" x14ac:dyDescent="0.2">
      <c r="A1346" t="s">
        <v>3997</v>
      </c>
      <c r="B1346" t="s">
        <v>2022</v>
      </c>
      <c r="C1346" t="s">
        <v>2036</v>
      </c>
      <c r="D1346" t="s">
        <v>2136</v>
      </c>
      <c r="E1346" t="s">
        <v>3998</v>
      </c>
      <c r="F1346" t="s">
        <v>3999</v>
      </c>
      <c r="G1346">
        <v>2</v>
      </c>
      <c r="H1346">
        <v>1640</v>
      </c>
      <c r="I1346">
        <v>1</v>
      </c>
      <c r="J1346">
        <v>2.2000000000000002</v>
      </c>
      <c r="K1346">
        <v>1</v>
      </c>
      <c r="L1346">
        <v>5.5E-2</v>
      </c>
      <c r="M1346">
        <v>5</v>
      </c>
      <c r="N1346">
        <v>100</v>
      </c>
      <c r="O1346">
        <v>1</v>
      </c>
      <c r="P1346">
        <v>9.5000000000000001E-2</v>
      </c>
      <c r="Q1346">
        <v>1</v>
      </c>
      <c r="R1346">
        <v>1.5E-3</v>
      </c>
      <c r="T1346" t="s">
        <v>3998</v>
      </c>
    </row>
    <row r="1347" spans="1:20" x14ac:dyDescent="0.2">
      <c r="A1347" t="s">
        <v>4000</v>
      </c>
      <c r="B1347" t="s">
        <v>2022</v>
      </c>
      <c r="C1347" t="s">
        <v>2023</v>
      </c>
      <c r="D1347" t="s">
        <v>2024</v>
      </c>
      <c r="E1347" t="s">
        <v>4001</v>
      </c>
      <c r="F1347" t="s">
        <v>4002</v>
      </c>
      <c r="G1347">
        <v>1</v>
      </c>
      <c r="H1347">
        <v>1480</v>
      </c>
      <c r="I1347">
        <v>3</v>
      </c>
      <c r="J1347">
        <v>5.9</v>
      </c>
      <c r="K1347">
        <v>4</v>
      </c>
      <c r="L1347">
        <v>6.6000000000000003E-2</v>
      </c>
      <c r="M1347">
        <v>2</v>
      </c>
      <c r="N1347">
        <v>84</v>
      </c>
      <c r="O1347">
        <v>2</v>
      </c>
      <c r="P1347">
        <v>0.22500000000000001</v>
      </c>
      <c r="Q1347">
        <v>3</v>
      </c>
      <c r="R1347">
        <v>4.0000000000000001E-3</v>
      </c>
      <c r="T1347" t="s">
        <v>4001</v>
      </c>
    </row>
    <row r="1348" spans="1:20" x14ac:dyDescent="0.2">
      <c r="A1348" t="s">
        <v>4003</v>
      </c>
      <c r="B1348" t="s">
        <v>2022</v>
      </c>
      <c r="C1348" t="s">
        <v>2053</v>
      </c>
      <c r="D1348" t="s">
        <v>2024</v>
      </c>
      <c r="E1348" t="s">
        <v>4004</v>
      </c>
      <c r="F1348" t="s">
        <v>4005</v>
      </c>
      <c r="G1348">
        <v>4</v>
      </c>
      <c r="H1348">
        <v>1800</v>
      </c>
      <c r="I1348">
        <v>5</v>
      </c>
      <c r="J1348">
        <v>11.55</v>
      </c>
      <c r="K1348">
        <v>5</v>
      </c>
      <c r="L1348">
        <v>0.41499999999999998</v>
      </c>
      <c r="M1348">
        <v>2</v>
      </c>
      <c r="N1348">
        <v>83</v>
      </c>
      <c r="O1348">
        <v>5</v>
      </c>
      <c r="P1348">
        <v>0.67500000000000004</v>
      </c>
      <c r="Q1348">
        <v>5</v>
      </c>
      <c r="R1348">
        <v>2.6200000000000001E-2</v>
      </c>
      <c r="T1348" t="s">
        <v>4004</v>
      </c>
    </row>
    <row r="1349" spans="1:20" x14ac:dyDescent="0.2">
      <c r="A1349" t="s">
        <v>4006</v>
      </c>
      <c r="B1349" t="s">
        <v>2022</v>
      </c>
      <c r="C1349" t="s">
        <v>2023</v>
      </c>
      <c r="D1349" t="s">
        <v>2024</v>
      </c>
      <c r="E1349" t="s">
        <v>4007</v>
      </c>
      <c r="F1349" t="s">
        <v>4008</v>
      </c>
      <c r="G1349">
        <v>3</v>
      </c>
      <c r="H1349">
        <v>1640</v>
      </c>
      <c r="I1349">
        <v>2</v>
      </c>
      <c r="J1349">
        <v>3.4</v>
      </c>
      <c r="K1349">
        <v>4</v>
      </c>
      <c r="L1349">
        <v>6.6000000000000003E-2</v>
      </c>
      <c r="M1349">
        <v>1</v>
      </c>
      <c r="N1349">
        <v>74</v>
      </c>
      <c r="O1349">
        <v>2</v>
      </c>
      <c r="P1349">
        <v>0.22500000000000001</v>
      </c>
      <c r="Q1349">
        <v>3</v>
      </c>
      <c r="R1349">
        <v>4.0000000000000001E-3</v>
      </c>
      <c r="T1349" t="s">
        <v>4007</v>
      </c>
    </row>
    <row r="1350" spans="1:20" x14ac:dyDescent="0.2">
      <c r="A1350" t="s">
        <v>4009</v>
      </c>
      <c r="B1350" t="s">
        <v>2022</v>
      </c>
      <c r="C1350" t="s">
        <v>2023</v>
      </c>
      <c r="D1350" t="s">
        <v>2024</v>
      </c>
      <c r="E1350" t="s">
        <v>4010</v>
      </c>
      <c r="F1350" t="s">
        <v>4011</v>
      </c>
      <c r="G1350">
        <v>1</v>
      </c>
      <c r="H1350">
        <v>1480</v>
      </c>
      <c r="I1350">
        <v>2</v>
      </c>
      <c r="J1350">
        <v>3.4</v>
      </c>
      <c r="K1350">
        <v>5</v>
      </c>
      <c r="L1350">
        <v>8.5999999999999993E-2</v>
      </c>
      <c r="M1350">
        <v>2</v>
      </c>
      <c r="N1350">
        <v>84</v>
      </c>
      <c r="O1350">
        <v>2</v>
      </c>
      <c r="P1350">
        <v>0.22500000000000001</v>
      </c>
      <c r="Q1350">
        <v>3</v>
      </c>
      <c r="R1350">
        <v>4.0000000000000001E-3</v>
      </c>
      <c r="T1350" t="s">
        <v>4010</v>
      </c>
    </row>
    <row r="1351" spans="1:20" x14ac:dyDescent="0.2">
      <c r="A1351" t="s">
        <v>4012</v>
      </c>
      <c r="B1351" t="s">
        <v>2022</v>
      </c>
      <c r="C1351" t="s">
        <v>2023</v>
      </c>
      <c r="D1351" t="s">
        <v>2136</v>
      </c>
      <c r="E1351" t="s">
        <v>4013</v>
      </c>
      <c r="F1351" t="s">
        <v>447</v>
      </c>
      <c r="G1351">
        <v>2</v>
      </c>
      <c r="H1351">
        <v>1560</v>
      </c>
      <c r="I1351">
        <v>2</v>
      </c>
      <c r="J1351">
        <v>3.4</v>
      </c>
      <c r="K1351">
        <v>1</v>
      </c>
      <c r="L1351">
        <v>6.0000000000000001E-3</v>
      </c>
      <c r="M1351">
        <v>4</v>
      </c>
      <c r="N1351">
        <v>104</v>
      </c>
      <c r="O1351">
        <v>2</v>
      </c>
      <c r="P1351">
        <v>0.22500000000000001</v>
      </c>
      <c r="Q1351">
        <v>1</v>
      </c>
      <c r="R1351">
        <v>5.0000000000000001E-4</v>
      </c>
      <c r="T1351" t="s">
        <v>4013</v>
      </c>
    </row>
    <row r="1352" spans="1:20" x14ac:dyDescent="0.2">
      <c r="A1352" t="s">
        <v>4014</v>
      </c>
      <c r="B1352" t="s">
        <v>2022</v>
      </c>
      <c r="C1352" t="s">
        <v>2036</v>
      </c>
      <c r="D1352" t="s">
        <v>2024</v>
      </c>
      <c r="E1352" t="s">
        <v>4015</v>
      </c>
      <c r="F1352" t="s">
        <v>4016</v>
      </c>
      <c r="G1352">
        <v>1</v>
      </c>
      <c r="H1352">
        <v>1540</v>
      </c>
      <c r="I1352">
        <v>3</v>
      </c>
      <c r="J1352">
        <v>4.5999999999999996</v>
      </c>
      <c r="K1352">
        <v>3</v>
      </c>
      <c r="L1352">
        <v>0.115</v>
      </c>
      <c r="M1352">
        <v>2</v>
      </c>
      <c r="N1352">
        <v>82</v>
      </c>
      <c r="O1352">
        <v>2</v>
      </c>
      <c r="P1352">
        <v>0.20499999999999999</v>
      </c>
      <c r="Q1352">
        <v>3</v>
      </c>
      <c r="R1352">
        <v>6.7499999999999999E-3</v>
      </c>
      <c r="T1352" t="s">
        <v>4015</v>
      </c>
    </row>
    <row r="1353" spans="1:20" x14ac:dyDescent="0.2">
      <c r="A1353" t="s">
        <v>4017</v>
      </c>
      <c r="B1353" t="s">
        <v>2022</v>
      </c>
      <c r="C1353" t="s">
        <v>2101</v>
      </c>
      <c r="D1353" t="s">
        <v>2024</v>
      </c>
      <c r="E1353" t="s">
        <v>4018</v>
      </c>
      <c r="F1353" t="s">
        <v>4019</v>
      </c>
      <c r="G1353">
        <v>2</v>
      </c>
      <c r="H1353">
        <v>1670</v>
      </c>
      <c r="I1353">
        <v>1</v>
      </c>
      <c r="J1353">
        <v>2</v>
      </c>
      <c r="K1353">
        <v>1</v>
      </c>
      <c r="L1353">
        <v>1.15E-2</v>
      </c>
      <c r="M1353">
        <v>1</v>
      </c>
      <c r="N1353">
        <v>66</v>
      </c>
      <c r="O1353">
        <v>1</v>
      </c>
      <c r="P1353">
        <v>7.4999999999999997E-2</v>
      </c>
      <c r="Q1353">
        <v>1</v>
      </c>
      <c r="R1353">
        <v>5.0000000000000001E-4</v>
      </c>
      <c r="T1353" t="s">
        <v>4018</v>
      </c>
    </row>
    <row r="1354" spans="1:20" x14ac:dyDescent="0.2">
      <c r="A1354" t="s">
        <v>4020</v>
      </c>
      <c r="B1354" t="s">
        <v>2022</v>
      </c>
      <c r="C1354" t="s">
        <v>2101</v>
      </c>
      <c r="D1354" t="s">
        <v>2024</v>
      </c>
      <c r="E1354" t="s">
        <v>4018</v>
      </c>
      <c r="F1354" t="s">
        <v>4019</v>
      </c>
      <c r="G1354">
        <v>3</v>
      </c>
      <c r="H1354">
        <v>1770</v>
      </c>
      <c r="I1354">
        <v>1</v>
      </c>
      <c r="J1354">
        <v>2</v>
      </c>
      <c r="K1354">
        <v>1</v>
      </c>
      <c r="L1354">
        <v>1.15E-2</v>
      </c>
      <c r="M1354">
        <v>1</v>
      </c>
      <c r="N1354">
        <v>66</v>
      </c>
      <c r="O1354">
        <v>1</v>
      </c>
      <c r="P1354">
        <v>7.4999999999999997E-2</v>
      </c>
      <c r="Q1354">
        <v>1</v>
      </c>
      <c r="R1354">
        <v>5.0000000000000001E-4</v>
      </c>
      <c r="T1354" t="s">
        <v>4018</v>
      </c>
    </row>
    <row r="1355" spans="1:20" x14ac:dyDescent="0.2">
      <c r="A1355" t="s">
        <v>4021</v>
      </c>
      <c r="B1355" t="s">
        <v>2022</v>
      </c>
      <c r="C1355" t="s">
        <v>2106</v>
      </c>
      <c r="D1355" t="s">
        <v>2024</v>
      </c>
      <c r="E1355" t="s">
        <v>4018</v>
      </c>
      <c r="F1355" t="s">
        <v>4019</v>
      </c>
      <c r="G1355">
        <v>3</v>
      </c>
      <c r="H1355">
        <v>1975</v>
      </c>
      <c r="I1355">
        <v>1</v>
      </c>
      <c r="J1355">
        <v>3.25</v>
      </c>
      <c r="K1355">
        <v>1</v>
      </c>
      <c r="L1355">
        <v>0.01</v>
      </c>
      <c r="M1355">
        <v>1</v>
      </c>
      <c r="N1355">
        <v>61.5</v>
      </c>
      <c r="O1355">
        <v>1</v>
      </c>
      <c r="P1355">
        <v>0.05</v>
      </c>
      <c r="Q1355">
        <v>1</v>
      </c>
      <c r="R1355">
        <v>5.0000000000000001E-4</v>
      </c>
      <c r="T1355" t="s">
        <v>4018</v>
      </c>
    </row>
    <row r="1356" spans="1:20" x14ac:dyDescent="0.2">
      <c r="A1356" t="s">
        <v>4022</v>
      </c>
      <c r="B1356" t="s">
        <v>2022</v>
      </c>
      <c r="C1356" t="s">
        <v>2106</v>
      </c>
      <c r="D1356" t="s">
        <v>2024</v>
      </c>
      <c r="E1356" t="s">
        <v>4018</v>
      </c>
      <c r="F1356" t="s">
        <v>4019</v>
      </c>
      <c r="G1356">
        <v>2</v>
      </c>
      <c r="H1356">
        <v>1825</v>
      </c>
      <c r="I1356">
        <v>1</v>
      </c>
      <c r="J1356">
        <v>3.25</v>
      </c>
      <c r="K1356">
        <v>1</v>
      </c>
      <c r="L1356">
        <v>0.01</v>
      </c>
      <c r="M1356">
        <v>1</v>
      </c>
      <c r="N1356">
        <v>61.5</v>
      </c>
      <c r="O1356">
        <v>1</v>
      </c>
      <c r="P1356">
        <v>0.05</v>
      </c>
      <c r="Q1356">
        <v>1</v>
      </c>
      <c r="R1356">
        <v>5.0000000000000001E-4</v>
      </c>
      <c r="T1356" t="s">
        <v>4018</v>
      </c>
    </row>
    <row r="1357" spans="1:20" x14ac:dyDescent="0.2">
      <c r="A1357" t="s">
        <v>4023</v>
      </c>
      <c r="B1357" t="s">
        <v>2022</v>
      </c>
      <c r="C1357" t="s">
        <v>2036</v>
      </c>
      <c r="D1357" t="s">
        <v>2024</v>
      </c>
      <c r="E1357" t="s">
        <v>4018</v>
      </c>
      <c r="F1357" t="s">
        <v>4019</v>
      </c>
      <c r="G1357">
        <v>1</v>
      </c>
      <c r="H1357">
        <v>1540</v>
      </c>
      <c r="I1357">
        <v>2</v>
      </c>
      <c r="J1357">
        <v>3.4</v>
      </c>
      <c r="K1357">
        <v>1</v>
      </c>
      <c r="L1357">
        <v>5.5E-2</v>
      </c>
      <c r="M1357">
        <v>1</v>
      </c>
      <c r="N1357">
        <v>76</v>
      </c>
      <c r="O1357">
        <v>1</v>
      </c>
      <c r="P1357">
        <v>9.5000000000000001E-2</v>
      </c>
      <c r="Q1357">
        <v>1</v>
      </c>
      <c r="R1357">
        <v>1.5E-3</v>
      </c>
      <c r="T1357" t="s">
        <v>4018</v>
      </c>
    </row>
    <row r="1358" spans="1:20" x14ac:dyDescent="0.2">
      <c r="A1358" t="s">
        <v>4024</v>
      </c>
      <c r="B1358" t="s">
        <v>2022</v>
      </c>
      <c r="C1358" t="s">
        <v>2036</v>
      </c>
      <c r="D1358" t="s">
        <v>2024</v>
      </c>
      <c r="E1358" t="s">
        <v>4018</v>
      </c>
      <c r="F1358" t="s">
        <v>4019</v>
      </c>
      <c r="G1358">
        <v>3</v>
      </c>
      <c r="H1358">
        <v>1740</v>
      </c>
      <c r="I1358">
        <v>1</v>
      </c>
      <c r="J1358">
        <v>2.2000000000000002</v>
      </c>
      <c r="K1358">
        <v>1</v>
      </c>
      <c r="L1358">
        <v>5.5E-2</v>
      </c>
      <c r="M1358">
        <v>1</v>
      </c>
      <c r="N1358">
        <v>76</v>
      </c>
      <c r="O1358">
        <v>1</v>
      </c>
      <c r="P1358">
        <v>9.5000000000000001E-2</v>
      </c>
      <c r="Q1358">
        <v>1</v>
      </c>
      <c r="R1358">
        <v>1.5E-3</v>
      </c>
      <c r="T1358" t="s">
        <v>4018</v>
      </c>
    </row>
    <row r="1359" spans="1:20" x14ac:dyDescent="0.2">
      <c r="A1359" t="s">
        <v>4025</v>
      </c>
      <c r="B1359" t="s">
        <v>2022</v>
      </c>
      <c r="C1359" t="s">
        <v>2053</v>
      </c>
      <c r="D1359" t="s">
        <v>2024</v>
      </c>
      <c r="E1359" t="s">
        <v>4026</v>
      </c>
      <c r="F1359" t="s">
        <v>4027</v>
      </c>
      <c r="G1359">
        <v>2</v>
      </c>
      <c r="H1359">
        <v>1600</v>
      </c>
      <c r="I1359">
        <v>3</v>
      </c>
      <c r="J1359">
        <v>6.55</v>
      </c>
      <c r="K1359">
        <v>2</v>
      </c>
      <c r="L1359">
        <v>8.5000000000000006E-2</v>
      </c>
      <c r="M1359">
        <v>2</v>
      </c>
      <c r="N1359">
        <v>83</v>
      </c>
      <c r="O1359">
        <v>2</v>
      </c>
      <c r="P1359">
        <v>0.22500000000000001</v>
      </c>
      <c r="Q1359">
        <v>2</v>
      </c>
      <c r="R1359">
        <v>5.1999999999999998E-3</v>
      </c>
      <c r="T1359" t="s">
        <v>4026</v>
      </c>
    </row>
    <row r="1360" spans="1:20" x14ac:dyDescent="0.2">
      <c r="A1360" t="s">
        <v>4028</v>
      </c>
      <c r="B1360" t="s">
        <v>2022</v>
      </c>
      <c r="C1360" t="s">
        <v>2053</v>
      </c>
      <c r="D1360" t="s">
        <v>2024</v>
      </c>
      <c r="E1360" t="s">
        <v>4029</v>
      </c>
      <c r="F1360" t="s">
        <v>447</v>
      </c>
      <c r="G1360">
        <v>2</v>
      </c>
      <c r="H1360">
        <v>1600</v>
      </c>
      <c r="I1360">
        <v>1</v>
      </c>
      <c r="J1360">
        <v>1.55</v>
      </c>
      <c r="K1360">
        <v>2</v>
      </c>
      <c r="L1360">
        <v>8.5000000000000006E-2</v>
      </c>
      <c r="M1360">
        <v>3</v>
      </c>
      <c r="N1360">
        <v>93</v>
      </c>
      <c r="O1360">
        <v>1</v>
      </c>
      <c r="P1360">
        <v>7.4999999999999997E-2</v>
      </c>
      <c r="Q1360">
        <v>2</v>
      </c>
      <c r="R1360">
        <v>5.1999999999999998E-3</v>
      </c>
      <c r="T1360" t="s">
        <v>4029</v>
      </c>
    </row>
    <row r="1361" spans="1:20" x14ac:dyDescent="0.2">
      <c r="A1361" t="s">
        <v>4030</v>
      </c>
      <c r="B1361" t="s">
        <v>2022</v>
      </c>
      <c r="C1361" t="s">
        <v>2036</v>
      </c>
      <c r="D1361" t="s">
        <v>2024</v>
      </c>
      <c r="E1361" t="s">
        <v>4031</v>
      </c>
      <c r="F1361" t="s">
        <v>4032</v>
      </c>
      <c r="G1361">
        <v>3</v>
      </c>
      <c r="H1361">
        <v>1740</v>
      </c>
      <c r="I1361">
        <v>2</v>
      </c>
      <c r="J1361">
        <v>3.4</v>
      </c>
      <c r="K1361">
        <v>1</v>
      </c>
      <c r="L1361">
        <v>5.5E-2</v>
      </c>
      <c r="M1361">
        <v>2</v>
      </c>
      <c r="N1361">
        <v>82</v>
      </c>
      <c r="O1361">
        <v>2</v>
      </c>
      <c r="P1361">
        <v>0.20499999999999999</v>
      </c>
      <c r="Q1361">
        <v>1</v>
      </c>
      <c r="R1361">
        <v>1.5E-3</v>
      </c>
      <c r="T1361" t="s">
        <v>4031</v>
      </c>
    </row>
    <row r="1362" spans="1:20" x14ac:dyDescent="0.2">
      <c r="A1362" t="s">
        <v>4033</v>
      </c>
      <c r="B1362" t="s">
        <v>2022</v>
      </c>
      <c r="C1362" t="s">
        <v>2104</v>
      </c>
      <c r="D1362" t="s">
        <v>2024</v>
      </c>
      <c r="E1362" t="s">
        <v>4034</v>
      </c>
      <c r="F1362" t="s">
        <v>4035</v>
      </c>
      <c r="G1362">
        <v>2</v>
      </c>
      <c r="H1362">
        <v>1712.5</v>
      </c>
      <c r="I1362">
        <v>3</v>
      </c>
      <c r="J1362">
        <v>5.55</v>
      </c>
      <c r="K1362">
        <v>2</v>
      </c>
      <c r="L1362">
        <v>4.1000000000000002E-2</v>
      </c>
      <c r="M1362">
        <v>3</v>
      </c>
      <c r="N1362">
        <v>73</v>
      </c>
      <c r="P1362">
        <v>0</v>
      </c>
      <c r="Q1362">
        <v>2</v>
      </c>
      <c r="R1362">
        <v>3.2000000000000002E-3</v>
      </c>
      <c r="T1362" t="s">
        <v>4034</v>
      </c>
    </row>
    <row r="1363" spans="1:20" x14ac:dyDescent="0.2">
      <c r="A1363" t="s">
        <v>4036</v>
      </c>
      <c r="B1363" t="s">
        <v>2022</v>
      </c>
      <c r="C1363" t="s">
        <v>2053</v>
      </c>
      <c r="D1363" t="s">
        <v>2024</v>
      </c>
      <c r="E1363" t="s">
        <v>4037</v>
      </c>
      <c r="F1363" t="s">
        <v>4038</v>
      </c>
      <c r="G1363">
        <v>4</v>
      </c>
      <c r="H1363">
        <v>1800</v>
      </c>
      <c r="I1363">
        <v>4</v>
      </c>
      <c r="J1363">
        <v>9.0500000000000007</v>
      </c>
      <c r="K1363">
        <v>3</v>
      </c>
      <c r="L1363">
        <v>0.19500000000000001</v>
      </c>
      <c r="M1363">
        <v>2</v>
      </c>
      <c r="N1363">
        <v>83</v>
      </c>
      <c r="O1363">
        <v>3</v>
      </c>
      <c r="P1363">
        <v>0.375</v>
      </c>
      <c r="Q1363">
        <v>3</v>
      </c>
      <c r="R1363">
        <v>1.2200000000000001E-2</v>
      </c>
      <c r="T1363" t="s">
        <v>4037</v>
      </c>
    </row>
    <row r="1364" spans="1:20" x14ac:dyDescent="0.2">
      <c r="A1364" t="s">
        <v>4039</v>
      </c>
      <c r="B1364" t="s">
        <v>2022</v>
      </c>
      <c r="C1364" t="s">
        <v>2036</v>
      </c>
      <c r="D1364" t="s">
        <v>2024</v>
      </c>
      <c r="E1364" t="s">
        <v>4040</v>
      </c>
      <c r="F1364" t="s">
        <v>4041</v>
      </c>
      <c r="G1364">
        <v>4</v>
      </c>
      <c r="H1364">
        <v>1840</v>
      </c>
      <c r="I1364">
        <v>2</v>
      </c>
      <c r="J1364">
        <v>3.4</v>
      </c>
      <c r="K1364">
        <v>1</v>
      </c>
      <c r="L1364">
        <v>5.5E-2</v>
      </c>
      <c r="M1364">
        <v>5</v>
      </c>
      <c r="N1364">
        <v>100</v>
      </c>
      <c r="O1364">
        <v>2</v>
      </c>
      <c r="P1364">
        <v>0.20499999999999999</v>
      </c>
      <c r="Q1364">
        <v>1</v>
      </c>
      <c r="R1364">
        <v>1.5E-3</v>
      </c>
      <c r="T1364" t="s">
        <v>4040</v>
      </c>
    </row>
    <row r="1365" spans="1:20" x14ac:dyDescent="0.2">
      <c r="A1365" t="s">
        <v>4042</v>
      </c>
      <c r="B1365" t="s">
        <v>2022</v>
      </c>
      <c r="C1365" t="s">
        <v>2023</v>
      </c>
      <c r="D1365" t="s">
        <v>2024</v>
      </c>
      <c r="E1365" t="s">
        <v>357</v>
      </c>
      <c r="F1365" t="s">
        <v>4043</v>
      </c>
      <c r="G1365">
        <v>4</v>
      </c>
      <c r="H1365">
        <v>1720</v>
      </c>
      <c r="I1365">
        <v>1</v>
      </c>
      <c r="J1365">
        <v>0.9</v>
      </c>
      <c r="K1365">
        <v>2</v>
      </c>
      <c r="L1365">
        <v>2.5999999999999999E-2</v>
      </c>
      <c r="M1365">
        <v>5</v>
      </c>
      <c r="N1365">
        <v>114</v>
      </c>
      <c r="O1365">
        <v>1</v>
      </c>
      <c r="P1365">
        <v>7.4999999999999997E-2</v>
      </c>
      <c r="Q1365">
        <v>2</v>
      </c>
      <c r="R1365">
        <v>2E-3</v>
      </c>
      <c r="T1365" t="s">
        <v>357</v>
      </c>
    </row>
    <row r="1366" spans="1:20" x14ac:dyDescent="0.2">
      <c r="A1366" t="s">
        <v>4044</v>
      </c>
      <c r="B1366" t="s">
        <v>2022</v>
      </c>
      <c r="C1366" t="s">
        <v>2023</v>
      </c>
      <c r="D1366" t="s">
        <v>2024</v>
      </c>
      <c r="E1366" t="s">
        <v>4045</v>
      </c>
      <c r="F1366" t="s">
        <v>447</v>
      </c>
      <c r="G1366">
        <v>2</v>
      </c>
      <c r="H1366">
        <v>1560</v>
      </c>
      <c r="I1366">
        <v>1</v>
      </c>
      <c r="J1366">
        <v>0.9</v>
      </c>
      <c r="K1366">
        <v>2</v>
      </c>
      <c r="L1366">
        <v>2.5999999999999999E-2</v>
      </c>
      <c r="M1366">
        <v>3</v>
      </c>
      <c r="N1366">
        <v>94</v>
      </c>
      <c r="O1366">
        <v>1</v>
      </c>
      <c r="P1366">
        <v>7.4999999999999997E-2</v>
      </c>
      <c r="Q1366">
        <v>2</v>
      </c>
      <c r="R1366">
        <v>2E-3</v>
      </c>
      <c r="T1366" t="s">
        <v>4045</v>
      </c>
    </row>
    <row r="1367" spans="1:20" x14ac:dyDescent="0.2">
      <c r="A1367" t="s">
        <v>4046</v>
      </c>
      <c r="B1367" t="s">
        <v>2022</v>
      </c>
      <c r="C1367" t="s">
        <v>2023</v>
      </c>
      <c r="D1367" t="s">
        <v>2024</v>
      </c>
      <c r="E1367" t="s">
        <v>4047</v>
      </c>
      <c r="F1367" t="s">
        <v>447</v>
      </c>
      <c r="G1367">
        <v>3</v>
      </c>
      <c r="H1367">
        <v>1640</v>
      </c>
      <c r="I1367">
        <v>1</v>
      </c>
      <c r="J1367">
        <v>0.9</v>
      </c>
      <c r="K1367">
        <v>1</v>
      </c>
      <c r="L1367">
        <v>6.0000000000000001E-3</v>
      </c>
      <c r="M1367">
        <v>3</v>
      </c>
      <c r="N1367">
        <v>94</v>
      </c>
      <c r="O1367">
        <v>1</v>
      </c>
      <c r="P1367">
        <v>7.4999999999999997E-2</v>
      </c>
      <c r="Q1367">
        <v>1</v>
      </c>
      <c r="R1367">
        <v>5.0000000000000001E-4</v>
      </c>
      <c r="T1367" t="s">
        <v>4047</v>
      </c>
    </row>
    <row r="1368" spans="1:20" x14ac:dyDescent="0.2">
      <c r="A1368" t="s">
        <v>4048</v>
      </c>
      <c r="B1368" t="s">
        <v>2022</v>
      </c>
      <c r="C1368" t="s">
        <v>2053</v>
      </c>
      <c r="D1368" t="s">
        <v>2024</v>
      </c>
      <c r="E1368" t="s">
        <v>4049</v>
      </c>
      <c r="F1368" t="s">
        <v>4050</v>
      </c>
      <c r="G1368">
        <v>3</v>
      </c>
      <c r="H1368">
        <v>1700</v>
      </c>
      <c r="I1368">
        <v>5</v>
      </c>
      <c r="J1368">
        <v>11.55</v>
      </c>
      <c r="K1368">
        <v>5</v>
      </c>
      <c r="L1368">
        <v>0.41499999999999998</v>
      </c>
      <c r="M1368">
        <v>4</v>
      </c>
      <c r="N1368">
        <v>103</v>
      </c>
      <c r="O1368">
        <v>5</v>
      </c>
      <c r="P1368">
        <v>0.67500000000000004</v>
      </c>
      <c r="Q1368">
        <v>5</v>
      </c>
      <c r="R1368">
        <v>2.6200000000000001E-2</v>
      </c>
      <c r="T1368" t="s">
        <v>4049</v>
      </c>
    </row>
    <row r="1369" spans="1:20" x14ac:dyDescent="0.2">
      <c r="A1369" t="s">
        <v>4051</v>
      </c>
      <c r="B1369" t="s">
        <v>2022</v>
      </c>
      <c r="C1369" t="s">
        <v>2053</v>
      </c>
      <c r="D1369" t="s">
        <v>2024</v>
      </c>
      <c r="E1369" t="s">
        <v>4052</v>
      </c>
      <c r="F1369" t="s">
        <v>4053</v>
      </c>
      <c r="G1369">
        <v>5</v>
      </c>
      <c r="H1369">
        <v>1900</v>
      </c>
      <c r="I1369">
        <v>5</v>
      </c>
      <c r="J1369">
        <v>11.55</v>
      </c>
      <c r="K1369">
        <v>5</v>
      </c>
      <c r="L1369">
        <v>0.41499999999999998</v>
      </c>
      <c r="M1369">
        <v>3</v>
      </c>
      <c r="N1369">
        <v>93</v>
      </c>
      <c r="O1369">
        <v>5</v>
      </c>
      <c r="P1369">
        <v>0.67500000000000004</v>
      </c>
      <c r="Q1369">
        <v>4</v>
      </c>
      <c r="R1369">
        <v>1.9199999999999998E-2</v>
      </c>
      <c r="T1369" t="s">
        <v>4052</v>
      </c>
    </row>
    <row r="1370" spans="1:20" x14ac:dyDescent="0.2">
      <c r="A1370" t="s">
        <v>4054</v>
      </c>
      <c r="B1370" t="s">
        <v>2022</v>
      </c>
      <c r="C1370" t="s">
        <v>2023</v>
      </c>
      <c r="D1370" t="s">
        <v>2024</v>
      </c>
      <c r="E1370" t="s">
        <v>839</v>
      </c>
      <c r="F1370" t="s">
        <v>4055</v>
      </c>
      <c r="G1370">
        <v>5</v>
      </c>
      <c r="H1370">
        <v>1800</v>
      </c>
      <c r="I1370">
        <v>1</v>
      </c>
      <c r="J1370">
        <v>0.9</v>
      </c>
      <c r="K1370">
        <v>2</v>
      </c>
      <c r="L1370">
        <v>2.5999999999999999E-2</v>
      </c>
      <c r="M1370">
        <v>5</v>
      </c>
      <c r="N1370">
        <v>114</v>
      </c>
      <c r="O1370">
        <v>1</v>
      </c>
      <c r="P1370">
        <v>7.4999999999999997E-2</v>
      </c>
      <c r="Q1370">
        <v>2</v>
      </c>
      <c r="R1370">
        <v>2E-3</v>
      </c>
      <c r="T1370" t="s">
        <v>839</v>
      </c>
    </row>
    <row r="1371" spans="1:20" x14ac:dyDescent="0.2">
      <c r="A1371" t="s">
        <v>4056</v>
      </c>
      <c r="B1371" t="s">
        <v>2022</v>
      </c>
      <c r="C1371" t="s">
        <v>2036</v>
      </c>
      <c r="D1371" t="s">
        <v>2154</v>
      </c>
      <c r="E1371" t="s">
        <v>4057</v>
      </c>
      <c r="F1371" t="s">
        <v>4058</v>
      </c>
      <c r="G1371">
        <v>2</v>
      </c>
      <c r="H1371">
        <v>1640</v>
      </c>
      <c r="I1371">
        <v>1</v>
      </c>
      <c r="J1371">
        <v>2.2000000000000002</v>
      </c>
      <c r="K1371">
        <v>1</v>
      </c>
      <c r="L1371">
        <v>5.5E-2</v>
      </c>
      <c r="M1371">
        <v>2</v>
      </c>
      <c r="N1371">
        <v>82</v>
      </c>
      <c r="O1371">
        <v>1</v>
      </c>
      <c r="P1371">
        <v>9.5000000000000001E-2</v>
      </c>
      <c r="Q1371">
        <v>1</v>
      </c>
      <c r="R1371">
        <v>1.5E-3</v>
      </c>
      <c r="T1371" t="s">
        <v>4057</v>
      </c>
    </row>
    <row r="1372" spans="1:20" x14ac:dyDescent="0.2">
      <c r="A1372" t="s">
        <v>4059</v>
      </c>
      <c r="B1372" t="s">
        <v>2022</v>
      </c>
      <c r="C1372" t="s">
        <v>2036</v>
      </c>
      <c r="D1372" t="s">
        <v>2024</v>
      </c>
      <c r="E1372" t="s">
        <v>4060</v>
      </c>
      <c r="F1372" t="s">
        <v>4061</v>
      </c>
      <c r="G1372">
        <v>2</v>
      </c>
      <c r="H1372">
        <v>1640</v>
      </c>
      <c r="I1372">
        <v>5</v>
      </c>
      <c r="J1372">
        <v>7</v>
      </c>
      <c r="K1372">
        <v>5</v>
      </c>
      <c r="L1372">
        <v>0.17499999999999999</v>
      </c>
      <c r="M1372">
        <v>2</v>
      </c>
      <c r="N1372">
        <v>82</v>
      </c>
      <c r="O1372">
        <v>4</v>
      </c>
      <c r="P1372">
        <v>0.42499999999999999</v>
      </c>
      <c r="Q1372">
        <v>5</v>
      </c>
      <c r="R1372">
        <v>1.2E-2</v>
      </c>
      <c r="T1372" t="s">
        <v>4060</v>
      </c>
    </row>
    <row r="1373" spans="1:20" x14ac:dyDescent="0.2">
      <c r="A1373" t="s">
        <v>4062</v>
      </c>
      <c r="B1373" t="s">
        <v>2022</v>
      </c>
      <c r="C1373" t="s">
        <v>2023</v>
      </c>
      <c r="D1373" t="s">
        <v>2024</v>
      </c>
      <c r="E1373" t="s">
        <v>4063</v>
      </c>
      <c r="F1373" t="s">
        <v>4064</v>
      </c>
      <c r="G1373">
        <v>1</v>
      </c>
      <c r="H1373">
        <v>1480</v>
      </c>
      <c r="I1373">
        <v>4</v>
      </c>
      <c r="J1373">
        <v>8.4</v>
      </c>
      <c r="K1373">
        <v>5</v>
      </c>
      <c r="L1373">
        <v>8.5999999999999993E-2</v>
      </c>
      <c r="M1373">
        <v>2</v>
      </c>
      <c r="N1373">
        <v>84</v>
      </c>
      <c r="O1373">
        <v>5</v>
      </c>
      <c r="P1373">
        <v>0.67500000000000004</v>
      </c>
      <c r="Q1373">
        <v>5</v>
      </c>
      <c r="R1373">
        <v>8.0000000000000002E-3</v>
      </c>
      <c r="T1373" t="s">
        <v>4063</v>
      </c>
    </row>
    <row r="1374" spans="1:20" x14ac:dyDescent="0.2">
      <c r="A1374" t="s">
        <v>4065</v>
      </c>
      <c r="B1374" t="s">
        <v>2022</v>
      </c>
      <c r="C1374" t="s">
        <v>2023</v>
      </c>
      <c r="D1374" t="s">
        <v>2024</v>
      </c>
      <c r="E1374" t="s">
        <v>4063</v>
      </c>
      <c r="F1374" t="s">
        <v>4064</v>
      </c>
      <c r="G1374">
        <v>2</v>
      </c>
      <c r="H1374">
        <v>1560</v>
      </c>
      <c r="I1374">
        <v>2</v>
      </c>
      <c r="J1374">
        <v>3.4</v>
      </c>
      <c r="K1374">
        <v>2</v>
      </c>
      <c r="L1374">
        <v>2.5999999999999999E-2</v>
      </c>
      <c r="M1374">
        <v>2</v>
      </c>
      <c r="N1374">
        <v>84</v>
      </c>
      <c r="O1374">
        <v>1</v>
      </c>
      <c r="P1374">
        <v>7.4999999999999997E-2</v>
      </c>
      <c r="Q1374">
        <v>2</v>
      </c>
      <c r="R1374">
        <v>2E-3</v>
      </c>
      <c r="T1374" t="s">
        <v>4063</v>
      </c>
    </row>
    <row r="1375" spans="1:20" x14ac:dyDescent="0.2">
      <c r="A1375" t="s">
        <v>4066</v>
      </c>
      <c r="B1375" t="s">
        <v>2022</v>
      </c>
      <c r="C1375" t="s">
        <v>2036</v>
      </c>
      <c r="D1375" t="s">
        <v>2024</v>
      </c>
      <c r="E1375" t="s">
        <v>4067</v>
      </c>
      <c r="F1375" t="s">
        <v>4068</v>
      </c>
      <c r="G1375">
        <v>3</v>
      </c>
      <c r="H1375">
        <v>1740</v>
      </c>
      <c r="I1375">
        <v>3</v>
      </c>
      <c r="J1375">
        <v>4.5999999999999996</v>
      </c>
      <c r="K1375">
        <v>2</v>
      </c>
      <c r="L1375">
        <v>8.5000000000000006E-2</v>
      </c>
      <c r="M1375">
        <v>5</v>
      </c>
      <c r="N1375">
        <v>100</v>
      </c>
      <c r="O1375">
        <v>3</v>
      </c>
      <c r="P1375">
        <v>0.315</v>
      </c>
      <c r="Q1375">
        <v>2</v>
      </c>
      <c r="R1375">
        <v>4.2500000000000003E-3</v>
      </c>
      <c r="T1375" t="s">
        <v>4067</v>
      </c>
    </row>
    <row r="1376" spans="1:20" x14ac:dyDescent="0.2">
      <c r="A1376" t="s">
        <v>4069</v>
      </c>
      <c r="B1376" t="s">
        <v>2022</v>
      </c>
      <c r="C1376" t="s">
        <v>2095</v>
      </c>
      <c r="D1376" t="s">
        <v>2024</v>
      </c>
      <c r="E1376" t="s">
        <v>4070</v>
      </c>
      <c r="F1376" t="s">
        <v>4071</v>
      </c>
      <c r="G1376">
        <v>4</v>
      </c>
      <c r="H1376">
        <v>1835</v>
      </c>
      <c r="I1376">
        <v>5</v>
      </c>
      <c r="J1376">
        <v>16.5</v>
      </c>
      <c r="K1376">
        <v>5</v>
      </c>
      <c r="L1376">
        <v>0.73</v>
      </c>
      <c r="M1376">
        <v>5</v>
      </c>
      <c r="N1376">
        <v>98</v>
      </c>
      <c r="O1376">
        <v>5</v>
      </c>
      <c r="P1376">
        <v>0.95</v>
      </c>
      <c r="Q1376">
        <v>5</v>
      </c>
      <c r="R1376">
        <v>3.2899999999999999E-2</v>
      </c>
      <c r="T1376" t="s">
        <v>4070</v>
      </c>
    </row>
    <row r="1377" spans="1:20" x14ac:dyDescent="0.2">
      <c r="A1377" t="s">
        <v>4072</v>
      </c>
      <c r="B1377" t="s">
        <v>2022</v>
      </c>
      <c r="C1377" t="s">
        <v>2095</v>
      </c>
      <c r="D1377" t="s">
        <v>2024</v>
      </c>
      <c r="E1377" t="s">
        <v>4073</v>
      </c>
      <c r="F1377" t="s">
        <v>4074</v>
      </c>
      <c r="G1377">
        <v>5</v>
      </c>
      <c r="H1377">
        <v>1925</v>
      </c>
      <c r="I1377">
        <v>5</v>
      </c>
      <c r="J1377">
        <v>16.5</v>
      </c>
      <c r="K1377">
        <v>5</v>
      </c>
      <c r="L1377">
        <v>0.73</v>
      </c>
      <c r="M1377">
        <v>5</v>
      </c>
      <c r="N1377">
        <v>98</v>
      </c>
      <c r="O1377">
        <v>5</v>
      </c>
      <c r="P1377">
        <v>0.95</v>
      </c>
      <c r="Q1377">
        <v>5</v>
      </c>
      <c r="R1377">
        <v>3.2899999999999999E-2</v>
      </c>
      <c r="T1377" t="s">
        <v>4073</v>
      </c>
    </row>
    <row r="1378" spans="1:20" x14ac:dyDescent="0.2">
      <c r="A1378" t="s">
        <v>4075</v>
      </c>
      <c r="B1378" t="s">
        <v>2022</v>
      </c>
      <c r="C1378" t="s">
        <v>2095</v>
      </c>
      <c r="D1378" t="s">
        <v>2024</v>
      </c>
      <c r="E1378" t="s">
        <v>4076</v>
      </c>
      <c r="F1378" t="s">
        <v>4077</v>
      </c>
      <c r="G1378">
        <v>1</v>
      </c>
      <c r="H1378">
        <v>1565</v>
      </c>
      <c r="I1378">
        <v>1</v>
      </c>
      <c r="J1378">
        <v>4.5</v>
      </c>
      <c r="K1378">
        <v>1</v>
      </c>
      <c r="L1378">
        <v>1.4999999999999999E-2</v>
      </c>
      <c r="M1378">
        <v>1</v>
      </c>
      <c r="N1378">
        <v>74</v>
      </c>
      <c r="O1378">
        <v>1</v>
      </c>
      <c r="P1378">
        <v>0.15</v>
      </c>
      <c r="Q1378">
        <v>1</v>
      </c>
      <c r="R1378">
        <v>6.9999999999999999E-4</v>
      </c>
      <c r="T1378" t="s">
        <v>4076</v>
      </c>
    </row>
    <row r="1379" spans="1:20" x14ac:dyDescent="0.2">
      <c r="A1379" t="s">
        <v>4078</v>
      </c>
      <c r="B1379" t="s">
        <v>2022</v>
      </c>
      <c r="C1379" t="s">
        <v>2053</v>
      </c>
      <c r="D1379" t="s">
        <v>2024</v>
      </c>
      <c r="E1379" t="s">
        <v>4079</v>
      </c>
      <c r="F1379" t="s">
        <v>4080</v>
      </c>
      <c r="G1379">
        <v>2</v>
      </c>
      <c r="H1379">
        <v>1600</v>
      </c>
      <c r="I1379">
        <v>2</v>
      </c>
      <c r="J1379">
        <v>4.05</v>
      </c>
      <c r="K1379">
        <v>2</v>
      </c>
      <c r="L1379">
        <v>8.5000000000000006E-2</v>
      </c>
      <c r="M1379">
        <v>4</v>
      </c>
      <c r="N1379">
        <v>103</v>
      </c>
      <c r="O1379">
        <v>3</v>
      </c>
      <c r="P1379">
        <v>0.375</v>
      </c>
      <c r="Q1379">
        <v>2</v>
      </c>
      <c r="R1379">
        <v>5.1999999999999998E-3</v>
      </c>
      <c r="T1379" t="s">
        <v>4079</v>
      </c>
    </row>
    <row r="1380" spans="1:20" x14ac:dyDescent="0.2">
      <c r="A1380" t="s">
        <v>4081</v>
      </c>
      <c r="B1380" t="s">
        <v>2022</v>
      </c>
      <c r="C1380" t="s">
        <v>2222</v>
      </c>
      <c r="D1380" t="s">
        <v>2024</v>
      </c>
      <c r="E1380" t="s">
        <v>4079</v>
      </c>
      <c r="F1380" t="s">
        <v>4080</v>
      </c>
      <c r="G1380">
        <v>2</v>
      </c>
      <c r="H1380">
        <v>1550</v>
      </c>
      <c r="I1380">
        <v>1</v>
      </c>
      <c r="J1380">
        <v>2.2999999999999998</v>
      </c>
      <c r="K1380">
        <v>1</v>
      </c>
      <c r="L1380">
        <v>0.01</v>
      </c>
      <c r="M1380">
        <v>3</v>
      </c>
      <c r="N1380">
        <v>67</v>
      </c>
      <c r="O1380">
        <v>2</v>
      </c>
      <c r="P1380">
        <v>0.15</v>
      </c>
      <c r="Q1380">
        <v>1</v>
      </c>
      <c r="R1380">
        <v>4.0000000000000002E-4</v>
      </c>
      <c r="T1380" t="s">
        <v>4079</v>
      </c>
    </row>
    <row r="1381" spans="1:20" x14ac:dyDescent="0.2">
      <c r="A1381" t="s">
        <v>4082</v>
      </c>
      <c r="B1381" t="s">
        <v>2022</v>
      </c>
      <c r="C1381" t="s">
        <v>2222</v>
      </c>
      <c r="D1381" t="s">
        <v>2024</v>
      </c>
      <c r="E1381" t="s">
        <v>4079</v>
      </c>
      <c r="F1381" t="s">
        <v>4080</v>
      </c>
      <c r="G1381">
        <v>4</v>
      </c>
      <c r="H1381">
        <v>1750</v>
      </c>
      <c r="I1381">
        <v>2</v>
      </c>
      <c r="J1381">
        <v>3.9</v>
      </c>
      <c r="K1381">
        <v>1</v>
      </c>
      <c r="L1381">
        <v>0.01</v>
      </c>
      <c r="M1381">
        <v>5</v>
      </c>
      <c r="N1381">
        <v>75</v>
      </c>
      <c r="O1381">
        <v>2</v>
      </c>
      <c r="P1381">
        <v>0.15</v>
      </c>
      <c r="Q1381">
        <v>1</v>
      </c>
      <c r="R1381">
        <v>4.0000000000000002E-4</v>
      </c>
      <c r="T1381" t="s">
        <v>4079</v>
      </c>
    </row>
    <row r="1382" spans="1:20" x14ac:dyDescent="0.2">
      <c r="A1382" t="s">
        <v>4083</v>
      </c>
      <c r="B1382" t="s">
        <v>2022</v>
      </c>
      <c r="C1382" t="s">
        <v>2053</v>
      </c>
      <c r="D1382" t="s">
        <v>2024</v>
      </c>
      <c r="E1382" t="s">
        <v>4084</v>
      </c>
      <c r="F1382" t="s">
        <v>4085</v>
      </c>
      <c r="G1382">
        <v>4</v>
      </c>
      <c r="H1382">
        <v>1800</v>
      </c>
      <c r="I1382">
        <v>2</v>
      </c>
      <c r="J1382">
        <v>4.05</v>
      </c>
      <c r="K1382">
        <v>1</v>
      </c>
      <c r="L1382">
        <v>1.4999999999999999E-2</v>
      </c>
      <c r="M1382">
        <v>5</v>
      </c>
      <c r="N1382">
        <v>113</v>
      </c>
      <c r="O1382">
        <v>2</v>
      </c>
      <c r="P1382">
        <v>0.22500000000000001</v>
      </c>
      <c r="Q1382">
        <v>1</v>
      </c>
      <c r="R1382">
        <v>8.4999999999999995E-4</v>
      </c>
      <c r="T1382" t="s">
        <v>4084</v>
      </c>
    </row>
    <row r="1383" spans="1:20" x14ac:dyDescent="0.2">
      <c r="A1383" t="s">
        <v>4086</v>
      </c>
      <c r="B1383" t="s">
        <v>2022</v>
      </c>
      <c r="C1383" t="s">
        <v>2036</v>
      </c>
      <c r="D1383" t="s">
        <v>2024</v>
      </c>
      <c r="E1383" t="s">
        <v>4087</v>
      </c>
      <c r="F1383" t="s">
        <v>4088</v>
      </c>
      <c r="G1383">
        <v>2</v>
      </c>
      <c r="H1383">
        <v>1640</v>
      </c>
      <c r="I1383">
        <v>2</v>
      </c>
      <c r="J1383">
        <v>3.4</v>
      </c>
      <c r="K1383">
        <v>3</v>
      </c>
      <c r="L1383">
        <v>0.115</v>
      </c>
      <c r="M1383">
        <v>1</v>
      </c>
      <c r="N1383">
        <v>76</v>
      </c>
      <c r="O1383">
        <v>2</v>
      </c>
      <c r="P1383">
        <v>0.20499999999999999</v>
      </c>
      <c r="Q1383">
        <v>2</v>
      </c>
      <c r="R1383">
        <v>4.2500000000000003E-3</v>
      </c>
      <c r="T1383" t="s">
        <v>4087</v>
      </c>
    </row>
    <row r="1384" spans="1:20" x14ac:dyDescent="0.2">
      <c r="A1384" t="s">
        <v>4089</v>
      </c>
      <c r="B1384" t="s">
        <v>2022</v>
      </c>
      <c r="C1384" t="s">
        <v>2023</v>
      </c>
      <c r="D1384" t="s">
        <v>2024</v>
      </c>
      <c r="E1384" t="s">
        <v>4090</v>
      </c>
      <c r="F1384" t="s">
        <v>4091</v>
      </c>
      <c r="G1384">
        <v>3</v>
      </c>
      <c r="H1384">
        <v>1640</v>
      </c>
      <c r="I1384">
        <v>1</v>
      </c>
      <c r="J1384">
        <v>0.9</v>
      </c>
      <c r="K1384">
        <v>1</v>
      </c>
      <c r="L1384">
        <v>6.0000000000000001E-3</v>
      </c>
      <c r="M1384">
        <v>5</v>
      </c>
      <c r="N1384">
        <v>114</v>
      </c>
      <c r="O1384">
        <v>1</v>
      </c>
      <c r="P1384">
        <v>7.4999999999999997E-2</v>
      </c>
      <c r="Q1384">
        <v>1</v>
      </c>
      <c r="R1384">
        <v>5.0000000000000001E-4</v>
      </c>
      <c r="T1384" t="s">
        <v>4090</v>
      </c>
    </row>
    <row r="1385" spans="1:20" x14ac:dyDescent="0.2">
      <c r="A1385" t="s">
        <v>4092</v>
      </c>
      <c r="B1385" t="s">
        <v>2022</v>
      </c>
      <c r="C1385" t="s">
        <v>2036</v>
      </c>
      <c r="D1385" t="s">
        <v>2024</v>
      </c>
      <c r="E1385" t="s">
        <v>4093</v>
      </c>
      <c r="F1385" t="s">
        <v>4094</v>
      </c>
      <c r="G1385">
        <v>2</v>
      </c>
      <c r="H1385">
        <v>1640</v>
      </c>
      <c r="I1385">
        <v>3</v>
      </c>
      <c r="J1385">
        <v>4.5999999999999996</v>
      </c>
      <c r="K1385">
        <v>3</v>
      </c>
      <c r="L1385">
        <v>0.115</v>
      </c>
      <c r="M1385">
        <v>1</v>
      </c>
      <c r="N1385">
        <v>76</v>
      </c>
      <c r="O1385">
        <v>2</v>
      </c>
      <c r="P1385">
        <v>0.20499999999999999</v>
      </c>
      <c r="Q1385">
        <v>2</v>
      </c>
      <c r="R1385">
        <v>4.2500000000000003E-3</v>
      </c>
      <c r="T1385" t="s">
        <v>4093</v>
      </c>
    </row>
    <row r="1386" spans="1:20" x14ac:dyDescent="0.2">
      <c r="A1386" t="s">
        <v>4095</v>
      </c>
      <c r="B1386" t="s">
        <v>2022</v>
      </c>
      <c r="C1386" t="s">
        <v>2023</v>
      </c>
      <c r="D1386" t="s">
        <v>2024</v>
      </c>
      <c r="E1386" t="s">
        <v>4096</v>
      </c>
      <c r="F1386" t="s">
        <v>4097</v>
      </c>
      <c r="G1386">
        <v>4</v>
      </c>
      <c r="H1386">
        <v>1720</v>
      </c>
      <c r="I1386">
        <v>4</v>
      </c>
      <c r="J1386">
        <v>8.4</v>
      </c>
      <c r="K1386">
        <v>5</v>
      </c>
      <c r="L1386">
        <v>8.5999999999999993E-2</v>
      </c>
      <c r="M1386">
        <v>2</v>
      </c>
      <c r="N1386">
        <v>84</v>
      </c>
      <c r="O1386">
        <v>3</v>
      </c>
      <c r="P1386">
        <v>0.375</v>
      </c>
      <c r="Q1386">
        <v>5</v>
      </c>
      <c r="R1386">
        <v>8.0000000000000002E-3</v>
      </c>
      <c r="T1386" t="s">
        <v>4096</v>
      </c>
    </row>
    <row r="1387" spans="1:20" x14ac:dyDescent="0.2">
      <c r="A1387" t="s">
        <v>4098</v>
      </c>
      <c r="B1387" t="s">
        <v>2022</v>
      </c>
      <c r="C1387" t="s">
        <v>2023</v>
      </c>
      <c r="D1387" t="s">
        <v>2024</v>
      </c>
      <c r="E1387" t="s">
        <v>4099</v>
      </c>
      <c r="F1387" t="s">
        <v>4100</v>
      </c>
      <c r="G1387">
        <v>5</v>
      </c>
      <c r="H1387">
        <v>1800</v>
      </c>
      <c r="I1387">
        <v>4</v>
      </c>
      <c r="J1387">
        <v>8.4</v>
      </c>
      <c r="K1387">
        <v>5</v>
      </c>
      <c r="L1387">
        <v>8.5999999999999993E-2</v>
      </c>
      <c r="M1387">
        <v>5</v>
      </c>
      <c r="N1387">
        <v>114</v>
      </c>
      <c r="O1387">
        <v>4</v>
      </c>
      <c r="P1387">
        <v>0.52500000000000002</v>
      </c>
      <c r="Q1387">
        <v>5</v>
      </c>
      <c r="R1387">
        <v>8.0000000000000002E-3</v>
      </c>
      <c r="T1387" t="s">
        <v>4099</v>
      </c>
    </row>
    <row r="1388" spans="1:20" x14ac:dyDescent="0.2">
      <c r="A1388" t="s">
        <v>4101</v>
      </c>
      <c r="B1388" t="s">
        <v>2022</v>
      </c>
      <c r="C1388" t="s">
        <v>2036</v>
      </c>
      <c r="D1388" t="s">
        <v>2024</v>
      </c>
      <c r="E1388" t="s">
        <v>357</v>
      </c>
      <c r="F1388" t="s">
        <v>4102</v>
      </c>
      <c r="G1388">
        <v>5</v>
      </c>
      <c r="H1388">
        <v>1940</v>
      </c>
      <c r="I1388">
        <v>5</v>
      </c>
      <c r="J1388">
        <v>7</v>
      </c>
      <c r="K1388">
        <v>5</v>
      </c>
      <c r="L1388">
        <v>0.17499999999999999</v>
      </c>
      <c r="M1388">
        <v>5</v>
      </c>
      <c r="N1388">
        <v>100</v>
      </c>
      <c r="O1388">
        <v>5</v>
      </c>
      <c r="P1388">
        <v>0.53500000000000003</v>
      </c>
      <c r="Q1388">
        <v>5</v>
      </c>
      <c r="R1388">
        <v>1.2E-2</v>
      </c>
      <c r="T1388" t="s">
        <v>357</v>
      </c>
    </row>
    <row r="1389" spans="1:20" x14ac:dyDescent="0.2">
      <c r="A1389" t="s">
        <v>4103</v>
      </c>
      <c r="B1389" t="s">
        <v>2022</v>
      </c>
      <c r="C1389" t="s">
        <v>2023</v>
      </c>
      <c r="D1389" t="s">
        <v>2024</v>
      </c>
      <c r="E1389" t="s">
        <v>4104</v>
      </c>
      <c r="F1389" t="s">
        <v>4105</v>
      </c>
      <c r="G1389">
        <v>1</v>
      </c>
      <c r="H1389">
        <v>1480</v>
      </c>
      <c r="I1389">
        <v>5</v>
      </c>
      <c r="J1389">
        <v>10.9</v>
      </c>
      <c r="K1389">
        <v>5</v>
      </c>
      <c r="L1389">
        <v>8.5999999999999993E-2</v>
      </c>
      <c r="M1389">
        <v>4</v>
      </c>
      <c r="N1389">
        <v>104</v>
      </c>
      <c r="O1389">
        <v>5</v>
      </c>
      <c r="P1389">
        <v>0.67500000000000004</v>
      </c>
      <c r="Q1389">
        <v>5</v>
      </c>
      <c r="R1389">
        <v>8.0000000000000002E-3</v>
      </c>
      <c r="T1389" t="s">
        <v>4104</v>
      </c>
    </row>
    <row r="1390" spans="1:20" x14ac:dyDescent="0.2">
      <c r="A1390" t="s">
        <v>4106</v>
      </c>
      <c r="B1390" t="s">
        <v>2022</v>
      </c>
      <c r="C1390" t="s">
        <v>2053</v>
      </c>
      <c r="D1390" t="s">
        <v>2024</v>
      </c>
      <c r="E1390" t="s">
        <v>4107</v>
      </c>
      <c r="F1390" t="s">
        <v>4108</v>
      </c>
      <c r="G1390">
        <v>4</v>
      </c>
      <c r="H1390">
        <v>1800</v>
      </c>
      <c r="I1390">
        <v>2</v>
      </c>
      <c r="J1390">
        <v>4.05</v>
      </c>
      <c r="K1390">
        <v>2</v>
      </c>
      <c r="L1390">
        <v>8.5000000000000006E-2</v>
      </c>
      <c r="M1390">
        <v>1</v>
      </c>
      <c r="N1390">
        <v>73</v>
      </c>
      <c r="O1390">
        <v>2</v>
      </c>
      <c r="P1390">
        <v>0.22500000000000001</v>
      </c>
      <c r="Q1390">
        <v>1</v>
      </c>
      <c r="R1390">
        <v>8.4999999999999995E-4</v>
      </c>
      <c r="T1390" t="s">
        <v>4107</v>
      </c>
    </row>
    <row r="1391" spans="1:20" x14ac:dyDescent="0.2">
      <c r="A1391" t="s">
        <v>4109</v>
      </c>
      <c r="B1391" t="s">
        <v>2022</v>
      </c>
      <c r="C1391" t="s">
        <v>2023</v>
      </c>
      <c r="D1391" t="s">
        <v>2024</v>
      </c>
      <c r="E1391" t="s">
        <v>4110</v>
      </c>
      <c r="F1391" t="s">
        <v>4111</v>
      </c>
      <c r="G1391">
        <v>4</v>
      </c>
      <c r="H1391">
        <v>1720</v>
      </c>
      <c r="I1391">
        <v>3</v>
      </c>
      <c r="J1391">
        <v>5.9</v>
      </c>
      <c r="K1391">
        <v>5</v>
      </c>
      <c r="L1391">
        <v>8.5999999999999993E-2</v>
      </c>
      <c r="M1391">
        <v>2</v>
      </c>
      <c r="N1391">
        <v>84</v>
      </c>
      <c r="O1391">
        <v>2</v>
      </c>
      <c r="P1391">
        <v>0.22500000000000001</v>
      </c>
      <c r="Q1391">
        <v>4</v>
      </c>
      <c r="R1391">
        <v>6.0000000000000001E-3</v>
      </c>
      <c r="T1391" t="s">
        <v>4110</v>
      </c>
    </row>
    <row r="1392" spans="1:20" x14ac:dyDescent="0.2">
      <c r="A1392" t="s">
        <v>4112</v>
      </c>
      <c r="B1392" t="s">
        <v>2022</v>
      </c>
      <c r="C1392" t="s">
        <v>2023</v>
      </c>
      <c r="D1392" t="s">
        <v>2024</v>
      </c>
      <c r="E1392" t="s">
        <v>4113</v>
      </c>
      <c r="F1392" t="s">
        <v>4114</v>
      </c>
      <c r="G1392">
        <v>2</v>
      </c>
      <c r="H1392">
        <v>1560</v>
      </c>
      <c r="I1392">
        <v>5</v>
      </c>
      <c r="J1392">
        <v>10.9</v>
      </c>
      <c r="K1392">
        <v>5</v>
      </c>
      <c r="L1392">
        <v>8.5999999999999993E-2</v>
      </c>
      <c r="M1392">
        <v>2</v>
      </c>
      <c r="N1392">
        <v>84</v>
      </c>
      <c r="O1392">
        <v>4</v>
      </c>
      <c r="P1392">
        <v>0.52500000000000002</v>
      </c>
      <c r="Q1392">
        <v>5</v>
      </c>
      <c r="R1392">
        <v>8.0000000000000002E-3</v>
      </c>
      <c r="T1392" t="s">
        <v>4113</v>
      </c>
    </row>
    <row r="1393" spans="1:20" x14ac:dyDescent="0.2">
      <c r="A1393" t="s">
        <v>4115</v>
      </c>
      <c r="B1393" t="s">
        <v>2022</v>
      </c>
      <c r="C1393" t="s">
        <v>2053</v>
      </c>
      <c r="D1393" t="s">
        <v>2024</v>
      </c>
      <c r="E1393" t="s">
        <v>4116</v>
      </c>
      <c r="F1393" t="s">
        <v>4114</v>
      </c>
      <c r="G1393">
        <v>2</v>
      </c>
      <c r="H1393">
        <v>1600</v>
      </c>
      <c r="I1393">
        <v>4</v>
      </c>
      <c r="J1393">
        <v>9.0500000000000007</v>
      </c>
      <c r="K1393">
        <v>4</v>
      </c>
      <c r="L1393">
        <v>0.30499999999999999</v>
      </c>
      <c r="M1393">
        <v>3</v>
      </c>
      <c r="N1393">
        <v>93</v>
      </c>
      <c r="O1393">
        <v>4</v>
      </c>
      <c r="P1393">
        <v>0.52500000000000002</v>
      </c>
      <c r="Q1393">
        <v>4</v>
      </c>
      <c r="R1393">
        <v>1.9199999999999998E-2</v>
      </c>
      <c r="T1393" t="s">
        <v>4116</v>
      </c>
    </row>
    <row r="1394" spans="1:20" x14ac:dyDescent="0.2">
      <c r="A1394" t="s">
        <v>4117</v>
      </c>
      <c r="B1394" t="s">
        <v>2022</v>
      </c>
      <c r="C1394" t="s">
        <v>2222</v>
      </c>
      <c r="D1394" t="s">
        <v>2024</v>
      </c>
      <c r="E1394" t="s">
        <v>4118</v>
      </c>
      <c r="F1394" t="s">
        <v>4119</v>
      </c>
      <c r="G1394">
        <v>1</v>
      </c>
      <c r="H1394">
        <v>1450</v>
      </c>
      <c r="I1394">
        <v>1</v>
      </c>
      <c r="J1394">
        <v>2.2999999999999998</v>
      </c>
      <c r="K1394">
        <v>1</v>
      </c>
      <c r="L1394">
        <v>0.01</v>
      </c>
      <c r="M1394">
        <v>1</v>
      </c>
      <c r="N1394">
        <v>59</v>
      </c>
      <c r="O1394">
        <v>1</v>
      </c>
      <c r="P1394">
        <v>7.0000000000000007E-2</v>
      </c>
      <c r="Q1394">
        <v>1</v>
      </c>
      <c r="R1394">
        <v>4.0000000000000002E-4</v>
      </c>
      <c r="T1394" t="s">
        <v>4118</v>
      </c>
    </row>
    <row r="1395" spans="1:20" x14ac:dyDescent="0.2">
      <c r="A1395" t="s">
        <v>4120</v>
      </c>
      <c r="B1395" t="s">
        <v>2022</v>
      </c>
      <c r="C1395" t="s">
        <v>2053</v>
      </c>
      <c r="D1395" t="s">
        <v>2024</v>
      </c>
      <c r="E1395" t="s">
        <v>4121</v>
      </c>
      <c r="F1395" t="s">
        <v>4122</v>
      </c>
      <c r="G1395">
        <v>3</v>
      </c>
      <c r="H1395">
        <v>1700</v>
      </c>
      <c r="I1395">
        <v>5</v>
      </c>
      <c r="J1395">
        <v>11.55</v>
      </c>
      <c r="K1395">
        <v>5</v>
      </c>
      <c r="L1395">
        <v>0.41499999999999998</v>
      </c>
      <c r="M1395">
        <v>2</v>
      </c>
      <c r="N1395">
        <v>83</v>
      </c>
      <c r="O1395">
        <v>5</v>
      </c>
      <c r="P1395">
        <v>0.67500000000000004</v>
      </c>
      <c r="Q1395">
        <v>5</v>
      </c>
      <c r="R1395">
        <v>2.6200000000000001E-2</v>
      </c>
      <c r="T1395" t="s">
        <v>4121</v>
      </c>
    </row>
    <row r="1396" spans="1:20" x14ac:dyDescent="0.2">
      <c r="A1396" t="s">
        <v>4123</v>
      </c>
      <c r="B1396" t="s">
        <v>2022</v>
      </c>
      <c r="C1396" t="s">
        <v>2036</v>
      </c>
      <c r="D1396" t="s">
        <v>2024</v>
      </c>
      <c r="E1396" t="s">
        <v>4124</v>
      </c>
      <c r="F1396" t="s">
        <v>4125</v>
      </c>
      <c r="G1396">
        <v>1</v>
      </c>
      <c r="H1396">
        <v>1540</v>
      </c>
      <c r="I1396">
        <v>3</v>
      </c>
      <c r="J1396">
        <v>4.5999999999999996</v>
      </c>
      <c r="K1396">
        <v>1</v>
      </c>
      <c r="L1396">
        <v>5.5E-2</v>
      </c>
      <c r="M1396">
        <v>1</v>
      </c>
      <c r="N1396">
        <v>76</v>
      </c>
      <c r="O1396">
        <v>2</v>
      </c>
      <c r="P1396">
        <v>0.20499999999999999</v>
      </c>
      <c r="Q1396">
        <v>2</v>
      </c>
      <c r="R1396">
        <v>4.2500000000000003E-3</v>
      </c>
      <c r="T1396" t="s">
        <v>4124</v>
      </c>
    </row>
    <row r="1397" spans="1:20" x14ac:dyDescent="0.2">
      <c r="A1397" t="s">
        <v>4126</v>
      </c>
      <c r="B1397" t="s">
        <v>2022</v>
      </c>
      <c r="C1397" t="s">
        <v>2053</v>
      </c>
      <c r="D1397" t="s">
        <v>2024</v>
      </c>
      <c r="E1397" t="s">
        <v>4127</v>
      </c>
      <c r="F1397" t="s">
        <v>4128</v>
      </c>
      <c r="G1397">
        <v>5</v>
      </c>
      <c r="H1397">
        <v>1900</v>
      </c>
      <c r="I1397">
        <v>3</v>
      </c>
      <c r="J1397">
        <v>6.55</v>
      </c>
      <c r="K1397">
        <v>3</v>
      </c>
      <c r="L1397">
        <v>0.19500000000000001</v>
      </c>
      <c r="M1397">
        <v>2</v>
      </c>
      <c r="N1397">
        <v>83</v>
      </c>
      <c r="O1397">
        <v>2</v>
      </c>
      <c r="P1397">
        <v>0.22500000000000001</v>
      </c>
      <c r="Q1397">
        <v>2</v>
      </c>
      <c r="R1397">
        <v>5.1999999999999998E-3</v>
      </c>
      <c r="T1397" t="s">
        <v>4127</v>
      </c>
    </row>
    <row r="1398" spans="1:20" x14ac:dyDescent="0.2">
      <c r="A1398" t="s">
        <v>4129</v>
      </c>
      <c r="B1398" t="s">
        <v>2022</v>
      </c>
      <c r="C1398" t="s">
        <v>2053</v>
      </c>
      <c r="D1398" t="s">
        <v>2024</v>
      </c>
      <c r="E1398" t="s">
        <v>4130</v>
      </c>
      <c r="F1398" t="s">
        <v>4131</v>
      </c>
      <c r="G1398">
        <v>4</v>
      </c>
      <c r="H1398">
        <v>1800</v>
      </c>
      <c r="I1398">
        <v>4</v>
      </c>
      <c r="J1398">
        <v>9.0500000000000007</v>
      </c>
      <c r="K1398">
        <v>2</v>
      </c>
      <c r="L1398">
        <v>8.5000000000000006E-2</v>
      </c>
      <c r="M1398">
        <v>2</v>
      </c>
      <c r="N1398">
        <v>83</v>
      </c>
      <c r="O1398">
        <v>3</v>
      </c>
      <c r="P1398">
        <v>0.375</v>
      </c>
      <c r="Q1398">
        <v>2</v>
      </c>
      <c r="R1398">
        <v>5.1999999999999998E-3</v>
      </c>
      <c r="T1398" t="s">
        <v>4130</v>
      </c>
    </row>
    <row r="1399" spans="1:20" x14ac:dyDescent="0.2">
      <c r="A1399" t="s">
        <v>4132</v>
      </c>
      <c r="B1399" t="s">
        <v>2022</v>
      </c>
      <c r="C1399" t="s">
        <v>2036</v>
      </c>
      <c r="D1399" t="s">
        <v>2136</v>
      </c>
      <c r="E1399" t="s">
        <v>337</v>
      </c>
      <c r="F1399" t="s">
        <v>4133</v>
      </c>
      <c r="G1399">
        <v>3</v>
      </c>
      <c r="H1399">
        <v>1740</v>
      </c>
      <c r="I1399">
        <v>3</v>
      </c>
      <c r="J1399">
        <v>4.5999999999999996</v>
      </c>
      <c r="K1399">
        <v>5</v>
      </c>
      <c r="L1399">
        <v>0.17499999999999999</v>
      </c>
      <c r="M1399">
        <v>4</v>
      </c>
      <c r="N1399">
        <v>94</v>
      </c>
      <c r="O1399">
        <v>3</v>
      </c>
      <c r="P1399">
        <v>0.315</v>
      </c>
      <c r="Q1399">
        <v>5</v>
      </c>
      <c r="R1399">
        <v>1.2E-2</v>
      </c>
      <c r="T1399" t="s">
        <v>337</v>
      </c>
    </row>
    <row r="1400" spans="1:20" x14ac:dyDescent="0.2">
      <c r="A1400" t="s">
        <v>4134</v>
      </c>
      <c r="B1400" t="s">
        <v>2022</v>
      </c>
      <c r="C1400" t="s">
        <v>2049</v>
      </c>
      <c r="D1400" t="s">
        <v>2024</v>
      </c>
      <c r="E1400" t="s">
        <v>4135</v>
      </c>
      <c r="F1400" t="s">
        <v>4136</v>
      </c>
      <c r="G1400">
        <v>5</v>
      </c>
      <c r="H1400">
        <v>1750</v>
      </c>
      <c r="I1400">
        <v>5</v>
      </c>
      <c r="J1400">
        <v>8.6</v>
      </c>
      <c r="K1400">
        <v>3</v>
      </c>
      <c r="L1400">
        <v>0.14000000000000001</v>
      </c>
      <c r="M1400">
        <v>4</v>
      </c>
      <c r="N1400">
        <v>146</v>
      </c>
      <c r="O1400">
        <v>4</v>
      </c>
      <c r="P1400">
        <v>0.66</v>
      </c>
      <c r="Q1400">
        <v>3</v>
      </c>
      <c r="R1400">
        <v>1.52E-2</v>
      </c>
      <c r="T1400" t="s">
        <v>4135</v>
      </c>
    </row>
    <row r="1401" spans="1:20" x14ac:dyDescent="0.2">
      <c r="A1401" t="s">
        <v>4137</v>
      </c>
      <c r="B1401" t="s">
        <v>2022</v>
      </c>
      <c r="C1401" t="s">
        <v>2036</v>
      </c>
      <c r="D1401" t="s">
        <v>2024</v>
      </c>
      <c r="E1401" t="s">
        <v>4138</v>
      </c>
      <c r="F1401" t="s">
        <v>4139</v>
      </c>
      <c r="G1401">
        <v>3</v>
      </c>
      <c r="H1401">
        <v>1740</v>
      </c>
      <c r="I1401">
        <v>2</v>
      </c>
      <c r="J1401">
        <v>3.4</v>
      </c>
      <c r="K1401">
        <v>4</v>
      </c>
      <c r="L1401">
        <v>0.14499999999999999</v>
      </c>
      <c r="M1401">
        <v>1</v>
      </c>
      <c r="N1401">
        <v>76</v>
      </c>
      <c r="O1401">
        <v>2</v>
      </c>
      <c r="P1401">
        <v>0.20499999999999999</v>
      </c>
      <c r="Q1401">
        <v>3</v>
      </c>
      <c r="R1401">
        <v>6.7499999999999999E-3</v>
      </c>
      <c r="T1401" t="s">
        <v>4138</v>
      </c>
    </row>
    <row r="1402" spans="1:20" x14ac:dyDescent="0.2">
      <c r="A1402" t="s">
        <v>4140</v>
      </c>
      <c r="B1402" t="s">
        <v>2022</v>
      </c>
      <c r="C1402" t="s">
        <v>2036</v>
      </c>
      <c r="D1402" t="s">
        <v>2024</v>
      </c>
      <c r="E1402" t="s">
        <v>4141</v>
      </c>
      <c r="F1402" t="s">
        <v>4142</v>
      </c>
      <c r="G1402">
        <v>2</v>
      </c>
      <c r="H1402">
        <v>1640</v>
      </c>
      <c r="I1402">
        <v>2</v>
      </c>
      <c r="J1402">
        <v>3.4</v>
      </c>
      <c r="K1402">
        <v>2</v>
      </c>
      <c r="L1402">
        <v>8.5000000000000006E-2</v>
      </c>
      <c r="M1402">
        <v>2</v>
      </c>
      <c r="N1402">
        <v>82</v>
      </c>
      <c r="O1402">
        <v>2</v>
      </c>
      <c r="P1402">
        <v>0.20499999999999999</v>
      </c>
      <c r="Q1402">
        <v>2</v>
      </c>
      <c r="R1402">
        <v>4.2500000000000003E-3</v>
      </c>
      <c r="T1402" t="s">
        <v>4141</v>
      </c>
    </row>
    <row r="1403" spans="1:20" x14ac:dyDescent="0.2">
      <c r="A1403" t="s">
        <v>4143</v>
      </c>
      <c r="B1403" t="s">
        <v>2022</v>
      </c>
      <c r="C1403" t="s">
        <v>2053</v>
      </c>
      <c r="D1403" t="s">
        <v>2024</v>
      </c>
      <c r="E1403" t="s">
        <v>4144</v>
      </c>
      <c r="F1403" t="s">
        <v>447</v>
      </c>
      <c r="G1403">
        <v>3</v>
      </c>
      <c r="H1403">
        <v>1700</v>
      </c>
      <c r="I1403">
        <v>2</v>
      </c>
      <c r="J1403">
        <v>4.05</v>
      </c>
      <c r="K1403">
        <v>2</v>
      </c>
      <c r="L1403">
        <v>8.5000000000000006E-2</v>
      </c>
      <c r="M1403">
        <v>2</v>
      </c>
      <c r="N1403">
        <v>83</v>
      </c>
      <c r="O1403">
        <v>2</v>
      </c>
      <c r="P1403">
        <v>0.22500000000000001</v>
      </c>
      <c r="Q1403">
        <v>2</v>
      </c>
      <c r="R1403">
        <v>5.1999999999999998E-3</v>
      </c>
      <c r="T1403" t="s">
        <v>4144</v>
      </c>
    </row>
    <row r="1404" spans="1:20" x14ac:dyDescent="0.2">
      <c r="A1404" t="s">
        <v>4145</v>
      </c>
      <c r="B1404" t="s">
        <v>2022</v>
      </c>
      <c r="C1404" t="s">
        <v>2023</v>
      </c>
      <c r="D1404" t="s">
        <v>2024</v>
      </c>
      <c r="E1404" t="s">
        <v>4146</v>
      </c>
      <c r="F1404" t="s">
        <v>4147</v>
      </c>
      <c r="G1404">
        <v>5</v>
      </c>
      <c r="H1404">
        <v>1800</v>
      </c>
      <c r="I1404">
        <v>5</v>
      </c>
      <c r="J1404">
        <v>10.9</v>
      </c>
      <c r="K1404">
        <v>5</v>
      </c>
      <c r="L1404">
        <v>8.5999999999999993E-2</v>
      </c>
      <c r="M1404">
        <v>3</v>
      </c>
      <c r="N1404">
        <v>94</v>
      </c>
      <c r="O1404">
        <v>5</v>
      </c>
      <c r="P1404">
        <v>0.67500000000000004</v>
      </c>
      <c r="Q1404">
        <v>5</v>
      </c>
      <c r="R1404">
        <v>8.0000000000000002E-3</v>
      </c>
      <c r="T1404" t="s">
        <v>4146</v>
      </c>
    </row>
    <row r="1405" spans="1:20" x14ac:dyDescent="0.2">
      <c r="A1405" t="s">
        <v>4148</v>
      </c>
      <c r="B1405" t="s">
        <v>2022</v>
      </c>
      <c r="C1405" t="s">
        <v>2023</v>
      </c>
      <c r="D1405" t="s">
        <v>2024</v>
      </c>
      <c r="E1405" t="s">
        <v>4149</v>
      </c>
      <c r="F1405" t="s">
        <v>4150</v>
      </c>
      <c r="G1405">
        <v>4</v>
      </c>
      <c r="H1405">
        <v>1720</v>
      </c>
      <c r="I1405">
        <v>2</v>
      </c>
      <c r="J1405">
        <v>3.4</v>
      </c>
      <c r="K1405">
        <v>4</v>
      </c>
      <c r="L1405">
        <v>6.6000000000000003E-2</v>
      </c>
      <c r="M1405">
        <v>3</v>
      </c>
      <c r="N1405">
        <v>94</v>
      </c>
      <c r="O1405">
        <v>1</v>
      </c>
      <c r="P1405">
        <v>7.4999999999999997E-2</v>
      </c>
      <c r="Q1405">
        <v>3</v>
      </c>
      <c r="R1405">
        <v>4.0000000000000001E-3</v>
      </c>
      <c r="T1405" t="s">
        <v>4149</v>
      </c>
    </row>
    <row r="1406" spans="1:20" x14ac:dyDescent="0.2">
      <c r="A1406" t="s">
        <v>4151</v>
      </c>
      <c r="B1406" t="s">
        <v>2022</v>
      </c>
      <c r="C1406" t="s">
        <v>2023</v>
      </c>
      <c r="D1406" t="s">
        <v>2024</v>
      </c>
      <c r="E1406" t="s">
        <v>4152</v>
      </c>
      <c r="F1406" t="s">
        <v>4153</v>
      </c>
      <c r="G1406">
        <v>1</v>
      </c>
      <c r="H1406">
        <v>1480</v>
      </c>
      <c r="I1406">
        <v>3</v>
      </c>
      <c r="J1406">
        <v>5.9</v>
      </c>
      <c r="K1406">
        <v>5</v>
      </c>
      <c r="L1406">
        <v>8.5999999999999993E-2</v>
      </c>
      <c r="M1406">
        <v>3</v>
      </c>
      <c r="N1406">
        <v>94</v>
      </c>
      <c r="O1406">
        <v>3</v>
      </c>
      <c r="P1406">
        <v>0.375</v>
      </c>
      <c r="Q1406">
        <v>4</v>
      </c>
      <c r="R1406">
        <v>6.0000000000000001E-3</v>
      </c>
      <c r="T1406" t="s">
        <v>4152</v>
      </c>
    </row>
    <row r="1407" spans="1:20" x14ac:dyDescent="0.2">
      <c r="A1407" t="s">
        <v>4154</v>
      </c>
      <c r="B1407" t="s">
        <v>2022</v>
      </c>
      <c r="C1407" t="s">
        <v>2023</v>
      </c>
      <c r="D1407" t="s">
        <v>2024</v>
      </c>
      <c r="E1407" t="s">
        <v>4155</v>
      </c>
      <c r="F1407" t="s">
        <v>4156</v>
      </c>
      <c r="G1407">
        <v>4</v>
      </c>
      <c r="H1407">
        <v>1720</v>
      </c>
      <c r="I1407">
        <v>3</v>
      </c>
      <c r="J1407">
        <v>5.9</v>
      </c>
      <c r="K1407">
        <v>3</v>
      </c>
      <c r="L1407">
        <v>4.5999999999999999E-2</v>
      </c>
      <c r="M1407">
        <v>2</v>
      </c>
      <c r="N1407">
        <v>84</v>
      </c>
      <c r="O1407">
        <v>2</v>
      </c>
      <c r="P1407">
        <v>0.22500000000000001</v>
      </c>
      <c r="Q1407">
        <v>2</v>
      </c>
      <c r="R1407">
        <v>2E-3</v>
      </c>
      <c r="T1407" t="s">
        <v>4155</v>
      </c>
    </row>
    <row r="1408" spans="1:20" x14ac:dyDescent="0.2">
      <c r="A1408" t="s">
        <v>4157</v>
      </c>
      <c r="B1408" t="s">
        <v>2022</v>
      </c>
      <c r="C1408" t="s">
        <v>2023</v>
      </c>
      <c r="D1408" t="s">
        <v>2024</v>
      </c>
      <c r="E1408" t="s">
        <v>4158</v>
      </c>
      <c r="F1408" t="s">
        <v>4159</v>
      </c>
      <c r="G1408">
        <v>5</v>
      </c>
      <c r="H1408">
        <v>1800</v>
      </c>
      <c r="I1408">
        <v>2</v>
      </c>
      <c r="J1408">
        <v>3.4</v>
      </c>
      <c r="K1408">
        <v>2</v>
      </c>
      <c r="L1408">
        <v>2.5999999999999999E-2</v>
      </c>
      <c r="M1408">
        <v>2</v>
      </c>
      <c r="N1408">
        <v>84</v>
      </c>
      <c r="O1408">
        <v>1</v>
      </c>
      <c r="P1408">
        <v>7.4999999999999997E-2</v>
      </c>
      <c r="Q1408">
        <v>1</v>
      </c>
      <c r="R1408">
        <v>5.0000000000000001E-4</v>
      </c>
      <c r="T1408" t="s">
        <v>4158</v>
      </c>
    </row>
    <row r="1409" spans="1:20" x14ac:dyDescent="0.2">
      <c r="A1409" t="s">
        <v>4160</v>
      </c>
      <c r="B1409" t="s">
        <v>2022</v>
      </c>
      <c r="C1409" t="s">
        <v>2049</v>
      </c>
      <c r="D1409" t="s">
        <v>2024</v>
      </c>
      <c r="E1409" t="s">
        <v>4158</v>
      </c>
      <c r="F1409" t="s">
        <v>4159</v>
      </c>
      <c r="G1409">
        <v>1</v>
      </c>
      <c r="H1409">
        <v>1350</v>
      </c>
      <c r="I1409">
        <v>1</v>
      </c>
      <c r="J1409">
        <v>1.4</v>
      </c>
      <c r="K1409">
        <v>1</v>
      </c>
      <c r="L1409">
        <v>0.01</v>
      </c>
      <c r="M1409">
        <v>5</v>
      </c>
      <c r="N1409">
        <v>166</v>
      </c>
      <c r="O1409">
        <v>2</v>
      </c>
      <c r="P1409">
        <v>0.26</v>
      </c>
      <c r="Q1409">
        <v>2</v>
      </c>
      <c r="R1409">
        <v>6.1999999999999998E-3</v>
      </c>
      <c r="T1409" t="s">
        <v>4158</v>
      </c>
    </row>
    <row r="1410" spans="1:20" x14ac:dyDescent="0.2">
      <c r="A1410" t="s">
        <v>4161</v>
      </c>
      <c r="B1410" t="s">
        <v>2022</v>
      </c>
      <c r="C1410" t="s">
        <v>2101</v>
      </c>
      <c r="D1410" t="s">
        <v>2024</v>
      </c>
      <c r="E1410" t="s">
        <v>4162</v>
      </c>
      <c r="F1410" t="s">
        <v>4163</v>
      </c>
      <c r="G1410">
        <v>4</v>
      </c>
      <c r="H1410">
        <v>1870</v>
      </c>
      <c r="I1410">
        <v>5</v>
      </c>
      <c r="J1410">
        <v>14</v>
      </c>
      <c r="K1410">
        <v>5</v>
      </c>
      <c r="L1410">
        <v>0.53749999999999998</v>
      </c>
      <c r="M1410">
        <v>4</v>
      </c>
      <c r="N1410">
        <v>90</v>
      </c>
      <c r="O1410">
        <v>5</v>
      </c>
      <c r="P1410">
        <v>0.67500000000000004</v>
      </c>
      <c r="Q1410">
        <v>5</v>
      </c>
      <c r="R1410">
        <v>2.5499999999999998E-2</v>
      </c>
      <c r="T1410" t="s">
        <v>4162</v>
      </c>
    </row>
    <row r="1411" spans="1:20" x14ac:dyDescent="0.2">
      <c r="A1411" t="s">
        <v>4164</v>
      </c>
      <c r="B1411" t="s">
        <v>2022</v>
      </c>
      <c r="C1411" t="s">
        <v>2053</v>
      </c>
      <c r="D1411" t="s">
        <v>2136</v>
      </c>
      <c r="E1411" t="s">
        <v>4165</v>
      </c>
      <c r="F1411" t="s">
        <v>4166</v>
      </c>
      <c r="G1411">
        <v>1</v>
      </c>
      <c r="H1411">
        <v>1500</v>
      </c>
      <c r="I1411">
        <v>1</v>
      </c>
      <c r="J1411">
        <v>1.55</v>
      </c>
      <c r="K1411">
        <v>2</v>
      </c>
      <c r="L1411">
        <v>8.5000000000000006E-2</v>
      </c>
      <c r="M1411">
        <v>1</v>
      </c>
      <c r="N1411">
        <v>73</v>
      </c>
      <c r="O1411">
        <v>1</v>
      </c>
      <c r="P1411">
        <v>7.4999999999999997E-2</v>
      </c>
      <c r="Q1411">
        <v>2</v>
      </c>
      <c r="R1411">
        <v>5.1999999999999998E-3</v>
      </c>
      <c r="T1411" t="s">
        <v>4165</v>
      </c>
    </row>
    <row r="1412" spans="1:20" x14ac:dyDescent="0.2">
      <c r="A1412" t="s">
        <v>4167</v>
      </c>
      <c r="B1412" t="s">
        <v>2022</v>
      </c>
      <c r="C1412" t="s">
        <v>2023</v>
      </c>
      <c r="D1412" t="s">
        <v>2154</v>
      </c>
      <c r="E1412" t="s">
        <v>4168</v>
      </c>
      <c r="F1412" t="s">
        <v>4169</v>
      </c>
      <c r="G1412">
        <v>3</v>
      </c>
      <c r="H1412">
        <v>1640</v>
      </c>
      <c r="I1412">
        <v>5</v>
      </c>
      <c r="J1412">
        <v>10.9</v>
      </c>
      <c r="K1412">
        <v>5</v>
      </c>
      <c r="L1412">
        <v>8.5999999999999993E-2</v>
      </c>
      <c r="M1412">
        <v>4</v>
      </c>
      <c r="N1412">
        <v>104</v>
      </c>
      <c r="O1412">
        <v>5</v>
      </c>
      <c r="P1412">
        <v>0.67500000000000004</v>
      </c>
      <c r="Q1412">
        <v>5</v>
      </c>
      <c r="R1412">
        <v>8.0000000000000002E-3</v>
      </c>
      <c r="T1412" t="s">
        <v>4168</v>
      </c>
    </row>
    <row r="1413" spans="1:20" x14ac:dyDescent="0.2">
      <c r="A1413" t="s">
        <v>4170</v>
      </c>
      <c r="B1413" t="s">
        <v>2022</v>
      </c>
      <c r="C1413" t="s">
        <v>2036</v>
      </c>
      <c r="D1413" t="s">
        <v>2024</v>
      </c>
      <c r="E1413" t="s">
        <v>4171</v>
      </c>
      <c r="F1413" t="s">
        <v>4172</v>
      </c>
      <c r="G1413">
        <v>4</v>
      </c>
      <c r="H1413">
        <v>1840</v>
      </c>
      <c r="I1413">
        <v>5</v>
      </c>
      <c r="J1413">
        <v>7</v>
      </c>
      <c r="K1413">
        <v>5</v>
      </c>
      <c r="L1413">
        <v>0.17499999999999999</v>
      </c>
      <c r="M1413">
        <v>4</v>
      </c>
      <c r="N1413">
        <v>94</v>
      </c>
      <c r="O1413">
        <v>5</v>
      </c>
      <c r="P1413">
        <v>0.53500000000000003</v>
      </c>
      <c r="Q1413">
        <v>5</v>
      </c>
      <c r="R1413">
        <v>1.2E-2</v>
      </c>
      <c r="T1413" t="s">
        <v>4171</v>
      </c>
    </row>
    <row r="1414" spans="1:20" x14ac:dyDescent="0.2">
      <c r="A1414" t="s">
        <v>4173</v>
      </c>
      <c r="B1414" t="s">
        <v>2022</v>
      </c>
      <c r="C1414" t="s">
        <v>2036</v>
      </c>
      <c r="D1414" t="s">
        <v>2024</v>
      </c>
      <c r="E1414" t="s">
        <v>4174</v>
      </c>
      <c r="F1414" t="s">
        <v>4175</v>
      </c>
      <c r="G1414">
        <v>1</v>
      </c>
      <c r="H1414">
        <v>1540</v>
      </c>
      <c r="I1414">
        <v>2</v>
      </c>
      <c r="J1414">
        <v>3.4</v>
      </c>
      <c r="K1414">
        <v>3</v>
      </c>
      <c r="L1414">
        <v>0.115</v>
      </c>
      <c r="M1414">
        <v>1</v>
      </c>
      <c r="N1414">
        <v>76</v>
      </c>
      <c r="O1414">
        <v>2</v>
      </c>
      <c r="P1414">
        <v>0.20499999999999999</v>
      </c>
      <c r="Q1414">
        <v>2</v>
      </c>
      <c r="R1414">
        <v>4.2500000000000003E-3</v>
      </c>
      <c r="T1414" t="s">
        <v>4174</v>
      </c>
    </row>
    <row r="1415" spans="1:20" x14ac:dyDescent="0.2">
      <c r="A1415" t="s">
        <v>4176</v>
      </c>
      <c r="B1415" t="s">
        <v>2022</v>
      </c>
      <c r="C1415" t="s">
        <v>2023</v>
      </c>
      <c r="D1415" t="s">
        <v>2024</v>
      </c>
      <c r="E1415" t="s">
        <v>4174</v>
      </c>
      <c r="F1415" t="s">
        <v>4175</v>
      </c>
      <c r="G1415">
        <v>1</v>
      </c>
      <c r="H1415">
        <v>1480</v>
      </c>
      <c r="I1415">
        <v>2</v>
      </c>
      <c r="J1415">
        <v>3.4</v>
      </c>
      <c r="K1415">
        <v>3</v>
      </c>
      <c r="L1415">
        <v>4.5999999999999999E-2</v>
      </c>
      <c r="M1415">
        <v>1</v>
      </c>
      <c r="N1415">
        <v>74</v>
      </c>
      <c r="O1415">
        <v>1</v>
      </c>
      <c r="P1415">
        <v>7.4999999999999997E-2</v>
      </c>
      <c r="Q1415">
        <v>2</v>
      </c>
      <c r="R1415">
        <v>2E-3</v>
      </c>
      <c r="T1415" t="s">
        <v>4174</v>
      </c>
    </row>
    <row r="1416" spans="1:20" x14ac:dyDescent="0.2">
      <c r="A1416" t="s">
        <v>4177</v>
      </c>
      <c r="B1416" t="s">
        <v>2022</v>
      </c>
      <c r="C1416" t="s">
        <v>2036</v>
      </c>
      <c r="D1416" t="s">
        <v>2024</v>
      </c>
      <c r="E1416" t="s">
        <v>4178</v>
      </c>
      <c r="F1416" t="s">
        <v>4179</v>
      </c>
      <c r="G1416">
        <v>2</v>
      </c>
      <c r="H1416">
        <v>1640</v>
      </c>
      <c r="I1416">
        <v>3</v>
      </c>
      <c r="J1416">
        <v>4.5999999999999996</v>
      </c>
      <c r="K1416">
        <v>2</v>
      </c>
      <c r="L1416">
        <v>8.5000000000000006E-2</v>
      </c>
      <c r="M1416">
        <v>2</v>
      </c>
      <c r="N1416">
        <v>82</v>
      </c>
      <c r="O1416">
        <v>2</v>
      </c>
      <c r="P1416">
        <v>0.20499999999999999</v>
      </c>
      <c r="Q1416">
        <v>2</v>
      </c>
      <c r="R1416">
        <v>4.2500000000000003E-3</v>
      </c>
      <c r="T1416" t="s">
        <v>4178</v>
      </c>
    </row>
    <row r="1417" spans="1:20" x14ac:dyDescent="0.2">
      <c r="A1417" t="s">
        <v>4180</v>
      </c>
      <c r="B1417" t="s">
        <v>2022</v>
      </c>
      <c r="C1417" t="s">
        <v>2023</v>
      </c>
      <c r="D1417" t="s">
        <v>2024</v>
      </c>
      <c r="E1417" t="s">
        <v>4181</v>
      </c>
      <c r="F1417" t="s">
        <v>4182</v>
      </c>
      <c r="G1417">
        <v>3</v>
      </c>
      <c r="H1417">
        <v>1640</v>
      </c>
      <c r="I1417">
        <v>3</v>
      </c>
      <c r="J1417">
        <v>5.9</v>
      </c>
      <c r="K1417">
        <v>4</v>
      </c>
      <c r="L1417">
        <v>6.6000000000000003E-2</v>
      </c>
      <c r="M1417">
        <v>2</v>
      </c>
      <c r="N1417">
        <v>84</v>
      </c>
      <c r="O1417">
        <v>2</v>
      </c>
      <c r="P1417">
        <v>0.22500000000000001</v>
      </c>
      <c r="Q1417">
        <v>3</v>
      </c>
      <c r="R1417">
        <v>4.0000000000000001E-3</v>
      </c>
      <c r="T1417" t="s">
        <v>4181</v>
      </c>
    </row>
    <row r="1418" spans="1:20" x14ac:dyDescent="0.2">
      <c r="A1418" t="s">
        <v>4183</v>
      </c>
      <c r="B1418" t="s">
        <v>2022</v>
      </c>
      <c r="C1418" t="s">
        <v>2036</v>
      </c>
      <c r="D1418" t="s">
        <v>2024</v>
      </c>
      <c r="E1418" t="s">
        <v>4184</v>
      </c>
      <c r="F1418" t="s">
        <v>4185</v>
      </c>
      <c r="G1418">
        <v>2</v>
      </c>
      <c r="H1418">
        <v>1640</v>
      </c>
      <c r="I1418">
        <v>3</v>
      </c>
      <c r="J1418">
        <v>4.5999999999999996</v>
      </c>
      <c r="K1418">
        <v>3</v>
      </c>
      <c r="L1418">
        <v>0.115</v>
      </c>
      <c r="M1418">
        <v>1</v>
      </c>
      <c r="N1418">
        <v>76</v>
      </c>
      <c r="O1418">
        <v>2</v>
      </c>
      <c r="P1418">
        <v>0.20499999999999999</v>
      </c>
      <c r="Q1418">
        <v>3</v>
      </c>
      <c r="R1418">
        <v>6.7499999999999999E-3</v>
      </c>
      <c r="T1418" t="s">
        <v>4184</v>
      </c>
    </row>
    <row r="1419" spans="1:20" x14ac:dyDescent="0.2">
      <c r="A1419" t="s">
        <v>4186</v>
      </c>
      <c r="B1419" t="s">
        <v>2022</v>
      </c>
      <c r="C1419" t="s">
        <v>2053</v>
      </c>
      <c r="D1419" t="s">
        <v>2024</v>
      </c>
      <c r="E1419" t="s">
        <v>4187</v>
      </c>
      <c r="F1419" t="s">
        <v>4188</v>
      </c>
      <c r="G1419">
        <v>4</v>
      </c>
      <c r="H1419">
        <v>1800</v>
      </c>
      <c r="I1419">
        <v>5</v>
      </c>
      <c r="J1419">
        <v>11.55</v>
      </c>
      <c r="K1419">
        <v>4</v>
      </c>
      <c r="L1419">
        <v>0.30499999999999999</v>
      </c>
      <c r="M1419">
        <v>3</v>
      </c>
      <c r="N1419">
        <v>93</v>
      </c>
      <c r="O1419">
        <v>4</v>
      </c>
      <c r="P1419">
        <v>0.52500000000000002</v>
      </c>
      <c r="Q1419">
        <v>3</v>
      </c>
      <c r="R1419">
        <v>1.2200000000000001E-2</v>
      </c>
      <c r="T1419" t="s">
        <v>4187</v>
      </c>
    </row>
    <row r="1420" spans="1:20" x14ac:dyDescent="0.2">
      <c r="A1420" t="s">
        <v>4189</v>
      </c>
      <c r="B1420" t="s">
        <v>2022</v>
      </c>
      <c r="C1420" t="s">
        <v>2023</v>
      </c>
      <c r="D1420" t="s">
        <v>2024</v>
      </c>
      <c r="E1420" t="s">
        <v>4190</v>
      </c>
      <c r="F1420" t="s">
        <v>4191</v>
      </c>
      <c r="G1420">
        <v>3</v>
      </c>
      <c r="H1420">
        <v>1640</v>
      </c>
      <c r="I1420">
        <v>3</v>
      </c>
      <c r="J1420">
        <v>5.9</v>
      </c>
      <c r="K1420">
        <v>5</v>
      </c>
      <c r="L1420">
        <v>8.5999999999999993E-2</v>
      </c>
      <c r="M1420">
        <v>5</v>
      </c>
      <c r="N1420">
        <v>114</v>
      </c>
      <c r="O1420">
        <v>3</v>
      </c>
      <c r="P1420">
        <v>0.375</v>
      </c>
      <c r="Q1420">
        <v>5</v>
      </c>
      <c r="R1420">
        <v>8.0000000000000002E-3</v>
      </c>
      <c r="T1420" t="s">
        <v>4190</v>
      </c>
    </row>
    <row r="1421" spans="1:20" x14ac:dyDescent="0.2">
      <c r="A1421" t="s">
        <v>4192</v>
      </c>
      <c r="B1421" t="s">
        <v>2022</v>
      </c>
      <c r="C1421" t="s">
        <v>2023</v>
      </c>
      <c r="D1421" t="s">
        <v>2024</v>
      </c>
      <c r="E1421" t="s">
        <v>4193</v>
      </c>
      <c r="F1421" t="s">
        <v>447</v>
      </c>
      <c r="G1421">
        <v>2</v>
      </c>
      <c r="H1421">
        <v>1560</v>
      </c>
      <c r="I1421">
        <v>4</v>
      </c>
      <c r="J1421">
        <v>8.4</v>
      </c>
      <c r="K1421">
        <v>5</v>
      </c>
      <c r="L1421">
        <v>8.5999999999999993E-2</v>
      </c>
      <c r="M1421">
        <v>1</v>
      </c>
      <c r="N1421">
        <v>74</v>
      </c>
      <c r="O1421">
        <v>3</v>
      </c>
      <c r="P1421">
        <v>0.375</v>
      </c>
      <c r="Q1421">
        <v>5</v>
      </c>
      <c r="R1421">
        <v>8.0000000000000002E-3</v>
      </c>
      <c r="T1421" t="s">
        <v>4193</v>
      </c>
    </row>
    <row r="1422" spans="1:20" x14ac:dyDescent="0.2">
      <c r="A1422" t="s">
        <v>4194</v>
      </c>
      <c r="B1422" t="s">
        <v>2022</v>
      </c>
      <c r="C1422" t="s">
        <v>2053</v>
      </c>
      <c r="D1422" t="s">
        <v>2024</v>
      </c>
      <c r="E1422" t="s">
        <v>4195</v>
      </c>
      <c r="F1422" t="s">
        <v>4196</v>
      </c>
      <c r="G1422">
        <v>4</v>
      </c>
      <c r="H1422">
        <v>1800</v>
      </c>
      <c r="I1422">
        <v>5</v>
      </c>
      <c r="J1422">
        <v>11.55</v>
      </c>
      <c r="K1422">
        <v>4</v>
      </c>
      <c r="L1422">
        <v>0.30499999999999999</v>
      </c>
      <c r="M1422">
        <v>5</v>
      </c>
      <c r="N1422">
        <v>113</v>
      </c>
      <c r="O1422">
        <v>5</v>
      </c>
      <c r="P1422">
        <v>0.67500000000000004</v>
      </c>
      <c r="Q1422">
        <v>4</v>
      </c>
      <c r="R1422">
        <v>1.9199999999999998E-2</v>
      </c>
      <c r="T1422" t="s">
        <v>4195</v>
      </c>
    </row>
    <row r="1423" spans="1:20" x14ac:dyDescent="0.2">
      <c r="A1423" t="s">
        <v>4197</v>
      </c>
      <c r="B1423" t="s">
        <v>2022</v>
      </c>
      <c r="C1423" t="s">
        <v>2023</v>
      </c>
      <c r="D1423" t="s">
        <v>2024</v>
      </c>
      <c r="E1423" t="s">
        <v>4198</v>
      </c>
      <c r="F1423" t="s">
        <v>4199</v>
      </c>
      <c r="G1423">
        <v>2</v>
      </c>
      <c r="H1423">
        <v>1560</v>
      </c>
      <c r="I1423">
        <v>1</v>
      </c>
      <c r="J1423">
        <v>0.9</v>
      </c>
      <c r="K1423">
        <v>1</v>
      </c>
      <c r="L1423">
        <v>6.0000000000000001E-3</v>
      </c>
      <c r="M1423">
        <v>2</v>
      </c>
      <c r="N1423">
        <v>84</v>
      </c>
      <c r="O1423">
        <v>1</v>
      </c>
      <c r="P1423">
        <v>7.4999999999999997E-2</v>
      </c>
      <c r="Q1423">
        <v>1</v>
      </c>
      <c r="R1423">
        <v>5.0000000000000001E-4</v>
      </c>
      <c r="T1423" t="s">
        <v>4198</v>
      </c>
    </row>
    <row r="1424" spans="1:20" x14ac:dyDescent="0.2">
      <c r="A1424" t="s">
        <v>4200</v>
      </c>
      <c r="B1424" t="s">
        <v>2022</v>
      </c>
      <c r="C1424" t="s">
        <v>2023</v>
      </c>
      <c r="D1424" t="s">
        <v>2024</v>
      </c>
      <c r="E1424" t="s">
        <v>4201</v>
      </c>
      <c r="F1424" t="s">
        <v>4202</v>
      </c>
      <c r="G1424">
        <v>2</v>
      </c>
      <c r="H1424">
        <v>1560</v>
      </c>
      <c r="I1424">
        <v>2</v>
      </c>
      <c r="J1424">
        <v>3.4</v>
      </c>
      <c r="K1424">
        <v>4</v>
      </c>
      <c r="L1424">
        <v>6.6000000000000003E-2</v>
      </c>
      <c r="M1424">
        <v>1</v>
      </c>
      <c r="N1424">
        <v>74</v>
      </c>
      <c r="O1424">
        <v>1</v>
      </c>
      <c r="P1424">
        <v>7.4999999999999997E-2</v>
      </c>
      <c r="Q1424">
        <v>3</v>
      </c>
      <c r="R1424">
        <v>4.0000000000000001E-3</v>
      </c>
      <c r="T1424" t="s">
        <v>4201</v>
      </c>
    </row>
    <row r="1425" spans="1:20" x14ac:dyDescent="0.2">
      <c r="A1425" t="s">
        <v>4203</v>
      </c>
      <c r="B1425" t="s">
        <v>2022</v>
      </c>
      <c r="C1425" t="s">
        <v>2023</v>
      </c>
      <c r="D1425" t="s">
        <v>2024</v>
      </c>
      <c r="E1425" t="s">
        <v>4204</v>
      </c>
      <c r="F1425" t="s">
        <v>4205</v>
      </c>
      <c r="G1425">
        <v>3</v>
      </c>
      <c r="H1425">
        <v>1640</v>
      </c>
      <c r="I1425">
        <v>2</v>
      </c>
      <c r="J1425">
        <v>3.4</v>
      </c>
      <c r="K1425">
        <v>2</v>
      </c>
      <c r="L1425">
        <v>2.5999999999999999E-2</v>
      </c>
      <c r="M1425">
        <v>1</v>
      </c>
      <c r="N1425">
        <v>74</v>
      </c>
      <c r="O1425">
        <v>2</v>
      </c>
      <c r="P1425">
        <v>0.22500000000000001</v>
      </c>
      <c r="Q1425">
        <v>1</v>
      </c>
      <c r="R1425">
        <v>5.0000000000000001E-4</v>
      </c>
      <c r="T1425" t="s">
        <v>4204</v>
      </c>
    </row>
    <row r="1426" spans="1:20" x14ac:dyDescent="0.2">
      <c r="A1426" t="s">
        <v>4206</v>
      </c>
      <c r="B1426" t="s">
        <v>2022</v>
      </c>
      <c r="C1426" t="s">
        <v>2053</v>
      </c>
      <c r="D1426" t="s">
        <v>2024</v>
      </c>
      <c r="E1426" t="s">
        <v>4207</v>
      </c>
      <c r="F1426" t="s">
        <v>4208</v>
      </c>
      <c r="G1426">
        <v>3</v>
      </c>
      <c r="H1426">
        <v>1700</v>
      </c>
      <c r="I1426">
        <v>5</v>
      </c>
      <c r="J1426">
        <v>11.55</v>
      </c>
      <c r="K1426">
        <v>5</v>
      </c>
      <c r="L1426">
        <v>0.41499999999999998</v>
      </c>
      <c r="M1426">
        <v>2</v>
      </c>
      <c r="N1426">
        <v>83</v>
      </c>
      <c r="O1426">
        <v>4</v>
      </c>
      <c r="P1426">
        <v>0.52500000000000002</v>
      </c>
      <c r="Q1426">
        <v>4</v>
      </c>
      <c r="R1426">
        <v>1.9199999999999998E-2</v>
      </c>
      <c r="T1426" t="s">
        <v>4207</v>
      </c>
    </row>
    <row r="1427" spans="1:20" x14ac:dyDescent="0.2">
      <c r="A1427" t="s">
        <v>4209</v>
      </c>
      <c r="B1427" t="s">
        <v>2022</v>
      </c>
      <c r="C1427" t="s">
        <v>2036</v>
      </c>
      <c r="D1427" t="s">
        <v>2024</v>
      </c>
      <c r="E1427" t="s">
        <v>4210</v>
      </c>
      <c r="F1427" t="s">
        <v>4211</v>
      </c>
      <c r="G1427">
        <v>3</v>
      </c>
      <c r="H1427">
        <v>1740</v>
      </c>
      <c r="I1427">
        <v>5</v>
      </c>
      <c r="J1427">
        <v>7</v>
      </c>
      <c r="K1427">
        <v>5</v>
      </c>
      <c r="L1427">
        <v>0.17499999999999999</v>
      </c>
      <c r="M1427">
        <v>3</v>
      </c>
      <c r="N1427">
        <v>88</v>
      </c>
      <c r="O1427">
        <v>5</v>
      </c>
      <c r="P1427">
        <v>0.53500000000000003</v>
      </c>
      <c r="Q1427">
        <v>5</v>
      </c>
      <c r="R1427">
        <v>1.2E-2</v>
      </c>
      <c r="T1427" t="s">
        <v>4210</v>
      </c>
    </row>
    <row r="1428" spans="1:20" x14ac:dyDescent="0.2">
      <c r="A1428" t="s">
        <v>4212</v>
      </c>
      <c r="B1428" t="s">
        <v>2022</v>
      </c>
      <c r="C1428" t="s">
        <v>2222</v>
      </c>
      <c r="D1428" t="s">
        <v>2024</v>
      </c>
      <c r="E1428" t="s">
        <v>4213</v>
      </c>
      <c r="F1428" t="s">
        <v>4214</v>
      </c>
      <c r="G1428">
        <v>5</v>
      </c>
      <c r="H1428">
        <v>1850</v>
      </c>
      <c r="I1428">
        <v>5</v>
      </c>
      <c r="J1428">
        <v>8.6999999999999993</v>
      </c>
      <c r="K1428">
        <v>3</v>
      </c>
      <c r="L1428">
        <v>0.125</v>
      </c>
      <c r="M1428">
        <v>5</v>
      </c>
      <c r="N1428">
        <v>75</v>
      </c>
      <c r="O1428">
        <v>4</v>
      </c>
      <c r="P1428">
        <v>0.31</v>
      </c>
      <c r="Q1428">
        <v>2</v>
      </c>
      <c r="R1428">
        <v>2.3E-3</v>
      </c>
      <c r="T1428" t="s">
        <v>4213</v>
      </c>
    </row>
    <row r="1429" spans="1:20" x14ac:dyDescent="0.2">
      <c r="A1429" t="s">
        <v>4215</v>
      </c>
      <c r="B1429" t="s">
        <v>2022</v>
      </c>
      <c r="C1429" t="s">
        <v>2104</v>
      </c>
      <c r="D1429" t="s">
        <v>2024</v>
      </c>
      <c r="E1429" t="s">
        <v>357</v>
      </c>
      <c r="F1429" t="s">
        <v>447</v>
      </c>
      <c r="G1429">
        <v>5</v>
      </c>
      <c r="H1429">
        <v>2237.5</v>
      </c>
      <c r="I1429">
        <v>3</v>
      </c>
      <c r="J1429">
        <v>5.55</v>
      </c>
      <c r="K1429">
        <v>2</v>
      </c>
      <c r="L1429">
        <v>4.1000000000000002E-2</v>
      </c>
      <c r="M1429">
        <v>4</v>
      </c>
      <c r="N1429">
        <v>81</v>
      </c>
      <c r="P1429">
        <v>0</v>
      </c>
      <c r="Q1429">
        <v>1</v>
      </c>
      <c r="R1429">
        <v>3.5E-4</v>
      </c>
      <c r="T1429" t="s">
        <v>357</v>
      </c>
    </row>
    <row r="1430" spans="1:20" x14ac:dyDescent="0.2">
      <c r="A1430" t="s">
        <v>4216</v>
      </c>
      <c r="B1430" t="s">
        <v>2022</v>
      </c>
      <c r="C1430" t="s">
        <v>2023</v>
      </c>
      <c r="D1430" t="s">
        <v>2024</v>
      </c>
      <c r="E1430" t="s">
        <v>4217</v>
      </c>
      <c r="F1430" t="s">
        <v>4218</v>
      </c>
      <c r="G1430">
        <v>1</v>
      </c>
      <c r="H1430">
        <v>1480</v>
      </c>
      <c r="I1430">
        <v>1</v>
      </c>
      <c r="J1430">
        <v>0.9</v>
      </c>
      <c r="K1430">
        <v>1</v>
      </c>
      <c r="L1430">
        <v>6.0000000000000001E-3</v>
      </c>
      <c r="M1430">
        <v>1</v>
      </c>
      <c r="N1430">
        <v>74</v>
      </c>
      <c r="O1430">
        <v>1</v>
      </c>
      <c r="P1430">
        <v>7.4999999999999997E-2</v>
      </c>
      <c r="Q1430">
        <v>1</v>
      </c>
      <c r="R1430">
        <v>5.0000000000000001E-4</v>
      </c>
      <c r="T1430" t="s">
        <v>4217</v>
      </c>
    </row>
    <row r="1431" spans="1:20" x14ac:dyDescent="0.2">
      <c r="A1431" t="s">
        <v>4219</v>
      </c>
      <c r="B1431" t="s">
        <v>2022</v>
      </c>
      <c r="C1431" t="s">
        <v>2036</v>
      </c>
      <c r="D1431" t="s">
        <v>2024</v>
      </c>
      <c r="E1431" t="s">
        <v>4220</v>
      </c>
      <c r="F1431" t="s">
        <v>4221</v>
      </c>
      <c r="G1431">
        <v>1</v>
      </c>
      <c r="H1431">
        <v>1540</v>
      </c>
      <c r="I1431">
        <v>1</v>
      </c>
      <c r="J1431">
        <v>2.2000000000000002</v>
      </c>
      <c r="K1431">
        <v>1</v>
      </c>
      <c r="L1431">
        <v>5.5E-2</v>
      </c>
      <c r="M1431">
        <v>1</v>
      </c>
      <c r="N1431">
        <v>76</v>
      </c>
      <c r="O1431">
        <v>1</v>
      </c>
      <c r="P1431">
        <v>9.5000000000000001E-2</v>
      </c>
      <c r="Q1431">
        <v>1</v>
      </c>
      <c r="R1431">
        <v>1.5E-3</v>
      </c>
      <c r="T1431" t="s">
        <v>4220</v>
      </c>
    </row>
    <row r="1432" spans="1:20" x14ac:dyDescent="0.2">
      <c r="A1432" t="s">
        <v>4222</v>
      </c>
      <c r="B1432" t="s">
        <v>2022</v>
      </c>
      <c r="C1432" t="s">
        <v>2036</v>
      </c>
      <c r="D1432" t="s">
        <v>2024</v>
      </c>
      <c r="E1432" t="s">
        <v>357</v>
      </c>
      <c r="F1432" t="s">
        <v>4223</v>
      </c>
      <c r="G1432">
        <v>5</v>
      </c>
      <c r="H1432">
        <v>1940</v>
      </c>
      <c r="I1432">
        <v>5</v>
      </c>
      <c r="J1432">
        <v>7</v>
      </c>
      <c r="K1432">
        <v>1</v>
      </c>
      <c r="L1432">
        <v>5.5E-2</v>
      </c>
      <c r="M1432">
        <v>5</v>
      </c>
      <c r="N1432">
        <v>100</v>
      </c>
      <c r="O1432">
        <v>5</v>
      </c>
      <c r="P1432">
        <v>0.53500000000000003</v>
      </c>
      <c r="Q1432">
        <v>2</v>
      </c>
      <c r="R1432">
        <v>4.2500000000000003E-3</v>
      </c>
      <c r="T1432" t="s">
        <v>357</v>
      </c>
    </row>
    <row r="1433" spans="1:20" x14ac:dyDescent="0.2">
      <c r="A1433" t="s">
        <v>4224</v>
      </c>
      <c r="B1433" t="s">
        <v>2022</v>
      </c>
      <c r="C1433" t="s">
        <v>2036</v>
      </c>
      <c r="D1433" t="s">
        <v>2024</v>
      </c>
      <c r="E1433" t="s">
        <v>4225</v>
      </c>
      <c r="F1433" t="s">
        <v>4226</v>
      </c>
      <c r="G1433">
        <v>4</v>
      </c>
      <c r="H1433">
        <v>1840</v>
      </c>
      <c r="I1433">
        <v>5</v>
      </c>
      <c r="J1433">
        <v>7</v>
      </c>
      <c r="K1433">
        <v>5</v>
      </c>
      <c r="L1433">
        <v>0.17499999999999999</v>
      </c>
      <c r="M1433">
        <v>4</v>
      </c>
      <c r="N1433">
        <v>94</v>
      </c>
      <c r="O1433">
        <v>5</v>
      </c>
      <c r="P1433">
        <v>0.53500000000000003</v>
      </c>
      <c r="Q1433">
        <v>5</v>
      </c>
      <c r="R1433">
        <v>1.2E-2</v>
      </c>
      <c r="T1433" t="s">
        <v>4225</v>
      </c>
    </row>
    <row r="1434" spans="1:20" x14ac:dyDescent="0.2">
      <c r="A1434" t="s">
        <v>4227</v>
      </c>
      <c r="B1434" t="s">
        <v>2022</v>
      </c>
      <c r="C1434" t="s">
        <v>2101</v>
      </c>
      <c r="D1434" t="s">
        <v>2024</v>
      </c>
      <c r="E1434" t="s">
        <v>4228</v>
      </c>
      <c r="F1434" t="s">
        <v>4229</v>
      </c>
      <c r="G1434">
        <v>2</v>
      </c>
      <c r="H1434">
        <v>1670</v>
      </c>
      <c r="I1434">
        <v>5</v>
      </c>
      <c r="J1434">
        <v>14</v>
      </c>
      <c r="K1434">
        <v>5</v>
      </c>
      <c r="L1434">
        <v>0.53749999999999998</v>
      </c>
      <c r="M1434">
        <v>2</v>
      </c>
      <c r="N1434">
        <v>74</v>
      </c>
      <c r="O1434">
        <v>5</v>
      </c>
      <c r="P1434">
        <v>0.67500000000000004</v>
      </c>
      <c r="Q1434">
        <v>5</v>
      </c>
      <c r="R1434">
        <v>2.5499999999999998E-2</v>
      </c>
      <c r="T1434" t="s">
        <v>4228</v>
      </c>
    </row>
    <row r="1435" spans="1:20" x14ac:dyDescent="0.2">
      <c r="A1435" t="s">
        <v>4230</v>
      </c>
      <c r="B1435" t="s">
        <v>2022</v>
      </c>
      <c r="C1435" t="s">
        <v>2053</v>
      </c>
      <c r="D1435" t="s">
        <v>2024</v>
      </c>
      <c r="E1435" t="s">
        <v>4231</v>
      </c>
      <c r="F1435" t="s">
        <v>4232</v>
      </c>
      <c r="G1435">
        <v>5</v>
      </c>
      <c r="H1435">
        <v>1900</v>
      </c>
      <c r="I1435">
        <v>4</v>
      </c>
      <c r="J1435">
        <v>9.0500000000000007</v>
      </c>
      <c r="K1435">
        <v>4</v>
      </c>
      <c r="L1435">
        <v>0.30499999999999999</v>
      </c>
      <c r="M1435">
        <v>4</v>
      </c>
      <c r="N1435">
        <v>103</v>
      </c>
      <c r="O1435">
        <v>4</v>
      </c>
      <c r="P1435">
        <v>0.52500000000000002</v>
      </c>
      <c r="Q1435">
        <v>4</v>
      </c>
      <c r="R1435">
        <v>1.9199999999999998E-2</v>
      </c>
      <c r="T1435" t="s">
        <v>4231</v>
      </c>
    </row>
    <row r="1436" spans="1:20" x14ac:dyDescent="0.2">
      <c r="A1436" t="s">
        <v>4233</v>
      </c>
      <c r="B1436" t="s">
        <v>2022</v>
      </c>
      <c r="C1436" t="s">
        <v>2036</v>
      </c>
      <c r="D1436" t="s">
        <v>2024</v>
      </c>
      <c r="E1436" t="s">
        <v>4234</v>
      </c>
      <c r="F1436" t="s">
        <v>4235</v>
      </c>
      <c r="G1436">
        <v>3</v>
      </c>
      <c r="H1436">
        <v>1740</v>
      </c>
      <c r="I1436">
        <v>3</v>
      </c>
      <c r="J1436">
        <v>4.5999999999999996</v>
      </c>
      <c r="K1436">
        <v>4</v>
      </c>
      <c r="L1436">
        <v>0.14499999999999999</v>
      </c>
      <c r="M1436">
        <v>4</v>
      </c>
      <c r="N1436">
        <v>94</v>
      </c>
      <c r="O1436">
        <v>2</v>
      </c>
      <c r="P1436">
        <v>0.20499999999999999</v>
      </c>
      <c r="Q1436">
        <v>3</v>
      </c>
      <c r="R1436">
        <v>6.7499999999999999E-3</v>
      </c>
      <c r="T1436" t="s">
        <v>4234</v>
      </c>
    </row>
    <row r="1437" spans="1:20" x14ac:dyDescent="0.2">
      <c r="A1437" t="s">
        <v>4236</v>
      </c>
      <c r="B1437" t="s">
        <v>2022</v>
      </c>
      <c r="C1437" t="s">
        <v>2023</v>
      </c>
      <c r="D1437" t="s">
        <v>2024</v>
      </c>
      <c r="E1437" t="s">
        <v>283</v>
      </c>
      <c r="F1437" t="s">
        <v>4237</v>
      </c>
      <c r="G1437">
        <v>1</v>
      </c>
      <c r="H1437">
        <v>1480</v>
      </c>
      <c r="I1437">
        <v>2</v>
      </c>
      <c r="J1437">
        <v>3.4</v>
      </c>
      <c r="K1437">
        <v>3</v>
      </c>
      <c r="L1437">
        <v>4.5999999999999999E-2</v>
      </c>
      <c r="M1437">
        <v>2</v>
      </c>
      <c r="N1437">
        <v>84</v>
      </c>
      <c r="O1437">
        <v>2</v>
      </c>
      <c r="P1437">
        <v>0.22500000000000001</v>
      </c>
      <c r="Q1437">
        <v>2</v>
      </c>
      <c r="R1437">
        <v>2E-3</v>
      </c>
      <c r="T1437" t="s">
        <v>283</v>
      </c>
    </row>
    <row r="1438" spans="1:20" x14ac:dyDescent="0.2">
      <c r="A1438" t="s">
        <v>4238</v>
      </c>
      <c r="B1438" t="s">
        <v>2022</v>
      </c>
      <c r="C1438" t="s">
        <v>2053</v>
      </c>
      <c r="D1438" t="s">
        <v>2024</v>
      </c>
      <c r="E1438" t="s">
        <v>4239</v>
      </c>
      <c r="F1438" t="s">
        <v>447</v>
      </c>
      <c r="G1438">
        <v>5</v>
      </c>
      <c r="H1438">
        <v>1900</v>
      </c>
      <c r="I1438">
        <v>5</v>
      </c>
      <c r="J1438">
        <v>11.55</v>
      </c>
      <c r="K1438">
        <v>5</v>
      </c>
      <c r="L1438">
        <v>0.41499999999999998</v>
      </c>
      <c r="M1438">
        <v>1</v>
      </c>
      <c r="N1438">
        <v>73</v>
      </c>
      <c r="O1438">
        <v>2</v>
      </c>
      <c r="P1438">
        <v>0.22500000000000001</v>
      </c>
      <c r="Q1438">
        <v>3</v>
      </c>
      <c r="R1438">
        <v>1.2200000000000001E-2</v>
      </c>
      <c r="T1438" t="s">
        <v>4239</v>
      </c>
    </row>
    <row r="1439" spans="1:20" x14ac:dyDescent="0.2">
      <c r="A1439" t="s">
        <v>4240</v>
      </c>
      <c r="B1439" t="s">
        <v>2022</v>
      </c>
      <c r="C1439" t="s">
        <v>2023</v>
      </c>
      <c r="D1439" t="s">
        <v>2024</v>
      </c>
      <c r="E1439" t="s">
        <v>4241</v>
      </c>
      <c r="F1439" t="s">
        <v>4242</v>
      </c>
      <c r="G1439">
        <v>3</v>
      </c>
      <c r="H1439">
        <v>1640</v>
      </c>
      <c r="I1439">
        <v>5</v>
      </c>
      <c r="J1439">
        <v>10.9</v>
      </c>
      <c r="K1439">
        <v>5</v>
      </c>
      <c r="L1439">
        <v>8.5999999999999993E-2</v>
      </c>
      <c r="M1439">
        <v>1</v>
      </c>
      <c r="N1439">
        <v>74</v>
      </c>
      <c r="O1439">
        <v>4</v>
      </c>
      <c r="P1439">
        <v>0.52500000000000002</v>
      </c>
      <c r="Q1439">
        <v>5</v>
      </c>
      <c r="R1439">
        <v>8.0000000000000002E-3</v>
      </c>
      <c r="T1439" t="s">
        <v>4241</v>
      </c>
    </row>
    <row r="1440" spans="1:20" x14ac:dyDescent="0.2">
      <c r="A1440" t="s">
        <v>4243</v>
      </c>
      <c r="B1440" t="s">
        <v>2022</v>
      </c>
      <c r="C1440" t="s">
        <v>2036</v>
      </c>
      <c r="D1440" t="s">
        <v>2024</v>
      </c>
      <c r="E1440" t="s">
        <v>4244</v>
      </c>
      <c r="F1440" t="s">
        <v>4245</v>
      </c>
      <c r="G1440">
        <v>1</v>
      </c>
      <c r="H1440">
        <v>1540</v>
      </c>
      <c r="I1440">
        <v>5</v>
      </c>
      <c r="J1440">
        <v>7</v>
      </c>
      <c r="K1440">
        <v>5</v>
      </c>
      <c r="L1440">
        <v>0.17499999999999999</v>
      </c>
      <c r="M1440">
        <v>1</v>
      </c>
      <c r="N1440">
        <v>76</v>
      </c>
      <c r="O1440">
        <v>4</v>
      </c>
      <c r="P1440">
        <v>0.42499999999999999</v>
      </c>
      <c r="Q1440">
        <v>5</v>
      </c>
      <c r="R1440">
        <v>1.2E-2</v>
      </c>
      <c r="T1440" t="s">
        <v>4244</v>
      </c>
    </row>
    <row r="1441" spans="1:20" x14ac:dyDescent="0.2">
      <c r="A1441" t="s">
        <v>4246</v>
      </c>
      <c r="B1441" t="s">
        <v>2022</v>
      </c>
      <c r="C1441" t="s">
        <v>2036</v>
      </c>
      <c r="D1441" t="s">
        <v>2024</v>
      </c>
      <c r="E1441" t="s">
        <v>4247</v>
      </c>
      <c r="F1441" t="s">
        <v>4248</v>
      </c>
      <c r="G1441">
        <v>1</v>
      </c>
      <c r="H1441">
        <v>1540</v>
      </c>
      <c r="I1441">
        <v>5</v>
      </c>
      <c r="J1441">
        <v>7</v>
      </c>
      <c r="K1441">
        <v>5</v>
      </c>
      <c r="L1441">
        <v>0.17499999999999999</v>
      </c>
      <c r="M1441">
        <v>2</v>
      </c>
      <c r="N1441">
        <v>82</v>
      </c>
      <c r="O1441">
        <v>5</v>
      </c>
      <c r="P1441">
        <v>0.53500000000000003</v>
      </c>
      <c r="Q1441">
        <v>5</v>
      </c>
      <c r="R1441">
        <v>1.2E-2</v>
      </c>
      <c r="T1441" t="s">
        <v>4247</v>
      </c>
    </row>
    <row r="1442" spans="1:20" x14ac:dyDescent="0.2">
      <c r="A1442" t="s">
        <v>4249</v>
      </c>
      <c r="B1442" t="s">
        <v>2022</v>
      </c>
      <c r="C1442" t="s">
        <v>2023</v>
      </c>
      <c r="D1442" t="s">
        <v>2024</v>
      </c>
      <c r="E1442" t="s">
        <v>4250</v>
      </c>
      <c r="F1442" t="s">
        <v>4251</v>
      </c>
      <c r="G1442">
        <v>5</v>
      </c>
      <c r="H1442">
        <v>1800</v>
      </c>
      <c r="I1442">
        <v>2</v>
      </c>
      <c r="J1442">
        <v>3.4</v>
      </c>
      <c r="K1442">
        <v>5</v>
      </c>
      <c r="L1442">
        <v>8.5999999999999993E-2</v>
      </c>
      <c r="M1442">
        <v>3</v>
      </c>
      <c r="N1442">
        <v>94</v>
      </c>
      <c r="O1442">
        <v>2</v>
      </c>
      <c r="P1442">
        <v>0.22500000000000001</v>
      </c>
      <c r="Q1442">
        <v>4</v>
      </c>
      <c r="R1442">
        <v>6.0000000000000001E-3</v>
      </c>
      <c r="T1442" t="s">
        <v>4250</v>
      </c>
    </row>
    <row r="1443" spans="1:20" x14ac:dyDescent="0.2">
      <c r="A1443" t="s">
        <v>4252</v>
      </c>
      <c r="B1443" t="s">
        <v>2022</v>
      </c>
      <c r="C1443" t="s">
        <v>2053</v>
      </c>
      <c r="D1443" t="s">
        <v>2024</v>
      </c>
      <c r="E1443" t="s">
        <v>4253</v>
      </c>
      <c r="F1443" t="s">
        <v>447</v>
      </c>
      <c r="G1443">
        <v>4</v>
      </c>
      <c r="H1443">
        <v>1800</v>
      </c>
      <c r="I1443">
        <v>3</v>
      </c>
      <c r="J1443">
        <v>6.55</v>
      </c>
      <c r="K1443">
        <v>3</v>
      </c>
      <c r="L1443">
        <v>0.19500000000000001</v>
      </c>
      <c r="M1443">
        <v>3</v>
      </c>
      <c r="N1443">
        <v>93</v>
      </c>
      <c r="O1443">
        <v>3</v>
      </c>
      <c r="P1443">
        <v>0.375</v>
      </c>
      <c r="Q1443">
        <v>2</v>
      </c>
      <c r="R1443">
        <v>5.1999999999999998E-3</v>
      </c>
      <c r="T1443" t="s">
        <v>4253</v>
      </c>
    </row>
    <row r="1444" spans="1:20" x14ac:dyDescent="0.2">
      <c r="A1444" t="s">
        <v>4254</v>
      </c>
      <c r="B1444" t="s">
        <v>2022</v>
      </c>
      <c r="C1444" t="s">
        <v>2049</v>
      </c>
      <c r="D1444" t="s">
        <v>2136</v>
      </c>
      <c r="E1444" t="s">
        <v>4255</v>
      </c>
      <c r="F1444" t="s">
        <v>4256</v>
      </c>
      <c r="G1444">
        <v>3</v>
      </c>
      <c r="H1444">
        <v>1550</v>
      </c>
      <c r="I1444">
        <v>1</v>
      </c>
      <c r="J1444">
        <v>1.4</v>
      </c>
      <c r="K1444">
        <v>1</v>
      </c>
      <c r="L1444">
        <v>0.01</v>
      </c>
      <c r="M1444">
        <v>5</v>
      </c>
      <c r="N1444">
        <v>166</v>
      </c>
      <c r="O1444">
        <v>1</v>
      </c>
      <c r="P1444">
        <v>0.06</v>
      </c>
      <c r="Q1444">
        <v>1</v>
      </c>
      <c r="R1444">
        <v>8.4999999999999995E-4</v>
      </c>
      <c r="T1444" t="s">
        <v>4255</v>
      </c>
    </row>
    <row r="1445" spans="1:20" x14ac:dyDescent="0.2">
      <c r="A1445" t="s">
        <v>4257</v>
      </c>
      <c r="B1445" t="s">
        <v>2022</v>
      </c>
      <c r="C1445" t="s">
        <v>2023</v>
      </c>
      <c r="D1445" t="s">
        <v>2024</v>
      </c>
      <c r="E1445" t="s">
        <v>4258</v>
      </c>
      <c r="F1445" t="s">
        <v>4259</v>
      </c>
      <c r="G1445">
        <v>2</v>
      </c>
      <c r="H1445">
        <v>1560</v>
      </c>
      <c r="I1445">
        <v>2</v>
      </c>
      <c r="J1445">
        <v>3.4</v>
      </c>
      <c r="K1445">
        <v>2</v>
      </c>
      <c r="L1445">
        <v>2.5999999999999999E-2</v>
      </c>
      <c r="M1445">
        <v>2</v>
      </c>
      <c r="N1445">
        <v>84</v>
      </c>
      <c r="O1445">
        <v>2</v>
      </c>
      <c r="P1445">
        <v>0.22500000000000001</v>
      </c>
      <c r="Q1445">
        <v>2</v>
      </c>
      <c r="R1445">
        <v>2E-3</v>
      </c>
      <c r="T1445" t="s">
        <v>4258</v>
      </c>
    </row>
    <row r="1446" spans="1:20" x14ac:dyDescent="0.2">
      <c r="A1446" t="s">
        <v>4260</v>
      </c>
      <c r="B1446" t="s">
        <v>2022</v>
      </c>
      <c r="C1446" t="s">
        <v>2023</v>
      </c>
      <c r="D1446" t="s">
        <v>2154</v>
      </c>
      <c r="E1446" t="s">
        <v>4261</v>
      </c>
      <c r="F1446" t="s">
        <v>4262</v>
      </c>
      <c r="G1446">
        <v>2</v>
      </c>
      <c r="H1446">
        <v>1560</v>
      </c>
      <c r="I1446">
        <v>2</v>
      </c>
      <c r="J1446">
        <v>3.4</v>
      </c>
      <c r="K1446">
        <v>4</v>
      </c>
      <c r="L1446">
        <v>6.6000000000000003E-2</v>
      </c>
      <c r="M1446">
        <v>1</v>
      </c>
      <c r="N1446">
        <v>74</v>
      </c>
      <c r="O1446">
        <v>1</v>
      </c>
      <c r="P1446">
        <v>7.4999999999999997E-2</v>
      </c>
      <c r="Q1446">
        <v>2</v>
      </c>
      <c r="R1446">
        <v>2E-3</v>
      </c>
      <c r="T1446" t="s">
        <v>4261</v>
      </c>
    </row>
    <row r="1447" spans="1:20" x14ac:dyDescent="0.2">
      <c r="A1447" t="s">
        <v>4263</v>
      </c>
      <c r="B1447" t="s">
        <v>2022</v>
      </c>
      <c r="C1447" t="s">
        <v>2053</v>
      </c>
      <c r="D1447" t="s">
        <v>2024</v>
      </c>
      <c r="E1447" t="s">
        <v>221</v>
      </c>
      <c r="F1447" t="s">
        <v>4264</v>
      </c>
      <c r="G1447">
        <v>2</v>
      </c>
      <c r="H1447">
        <v>1600</v>
      </c>
      <c r="I1447">
        <v>3</v>
      </c>
      <c r="J1447">
        <v>6.55</v>
      </c>
      <c r="K1447">
        <v>3</v>
      </c>
      <c r="L1447">
        <v>0.19500000000000001</v>
      </c>
      <c r="M1447">
        <v>3</v>
      </c>
      <c r="N1447">
        <v>93</v>
      </c>
      <c r="O1447">
        <v>3</v>
      </c>
      <c r="P1447">
        <v>0.375</v>
      </c>
      <c r="Q1447">
        <v>3</v>
      </c>
      <c r="R1447">
        <v>1.2200000000000001E-2</v>
      </c>
      <c r="T1447" t="s">
        <v>221</v>
      </c>
    </row>
    <row r="1448" spans="1:20" x14ac:dyDescent="0.2">
      <c r="A1448" t="s">
        <v>4265</v>
      </c>
      <c r="B1448" t="s">
        <v>2022</v>
      </c>
      <c r="C1448" t="s">
        <v>2053</v>
      </c>
      <c r="D1448" t="s">
        <v>2024</v>
      </c>
      <c r="E1448" t="s">
        <v>4266</v>
      </c>
      <c r="F1448" t="s">
        <v>4267</v>
      </c>
      <c r="G1448">
        <v>3</v>
      </c>
      <c r="H1448">
        <v>1700</v>
      </c>
      <c r="I1448">
        <v>2</v>
      </c>
      <c r="J1448">
        <v>4.05</v>
      </c>
      <c r="K1448">
        <v>3</v>
      </c>
      <c r="L1448">
        <v>0.19500000000000001</v>
      </c>
      <c r="M1448">
        <v>3</v>
      </c>
      <c r="N1448">
        <v>93</v>
      </c>
      <c r="O1448">
        <v>2</v>
      </c>
      <c r="P1448">
        <v>0.22500000000000001</v>
      </c>
      <c r="Q1448">
        <v>3</v>
      </c>
      <c r="R1448">
        <v>1.2200000000000001E-2</v>
      </c>
      <c r="T1448" t="s">
        <v>4266</v>
      </c>
    </row>
    <row r="1449" spans="1:20" x14ac:dyDescent="0.2">
      <c r="A1449" t="s">
        <v>4268</v>
      </c>
      <c r="B1449" t="s">
        <v>2022</v>
      </c>
      <c r="C1449" t="s">
        <v>2036</v>
      </c>
      <c r="D1449" t="s">
        <v>2024</v>
      </c>
      <c r="E1449" t="s">
        <v>4269</v>
      </c>
      <c r="F1449" t="s">
        <v>4270</v>
      </c>
      <c r="G1449">
        <v>2</v>
      </c>
      <c r="H1449">
        <v>1640</v>
      </c>
      <c r="I1449">
        <v>5</v>
      </c>
      <c r="J1449">
        <v>7</v>
      </c>
      <c r="K1449">
        <v>5</v>
      </c>
      <c r="L1449">
        <v>0.17499999999999999</v>
      </c>
      <c r="M1449">
        <v>2</v>
      </c>
      <c r="N1449">
        <v>82</v>
      </c>
      <c r="O1449">
        <v>4</v>
      </c>
      <c r="P1449">
        <v>0.42499999999999999</v>
      </c>
      <c r="Q1449">
        <v>4</v>
      </c>
      <c r="R1449">
        <v>9.2499999999999995E-3</v>
      </c>
      <c r="T1449" t="s">
        <v>4269</v>
      </c>
    </row>
    <row r="1450" spans="1:20" x14ac:dyDescent="0.2">
      <c r="A1450" t="s">
        <v>4271</v>
      </c>
      <c r="B1450" t="s">
        <v>2022</v>
      </c>
      <c r="C1450" t="s">
        <v>2095</v>
      </c>
      <c r="D1450" t="s">
        <v>2024</v>
      </c>
      <c r="E1450" t="s">
        <v>4272</v>
      </c>
      <c r="F1450" t="s">
        <v>4273</v>
      </c>
      <c r="G1450">
        <v>2</v>
      </c>
      <c r="H1450">
        <v>1655</v>
      </c>
      <c r="I1450">
        <v>4</v>
      </c>
      <c r="J1450">
        <v>13.5</v>
      </c>
      <c r="K1450">
        <v>4</v>
      </c>
      <c r="L1450">
        <v>0.53</v>
      </c>
      <c r="M1450">
        <v>2</v>
      </c>
      <c r="N1450">
        <v>80</v>
      </c>
      <c r="O1450">
        <v>4</v>
      </c>
      <c r="P1450">
        <v>0.75</v>
      </c>
      <c r="Q1450">
        <v>4</v>
      </c>
      <c r="R1450">
        <v>2.3900000000000001E-2</v>
      </c>
      <c r="T1450" t="s">
        <v>4272</v>
      </c>
    </row>
    <row r="1451" spans="1:20" x14ac:dyDescent="0.2">
      <c r="A1451" t="s">
        <v>4274</v>
      </c>
      <c r="B1451" t="s">
        <v>2022</v>
      </c>
      <c r="C1451" t="s">
        <v>2095</v>
      </c>
      <c r="D1451" t="s">
        <v>2024</v>
      </c>
      <c r="E1451" t="s">
        <v>4275</v>
      </c>
      <c r="F1451" t="s">
        <v>4276</v>
      </c>
      <c r="G1451">
        <v>4</v>
      </c>
      <c r="H1451">
        <v>1835</v>
      </c>
      <c r="I1451">
        <v>5</v>
      </c>
      <c r="J1451">
        <v>16.5</v>
      </c>
      <c r="K1451">
        <v>4</v>
      </c>
      <c r="L1451">
        <v>0.53</v>
      </c>
      <c r="M1451">
        <v>3</v>
      </c>
      <c r="N1451">
        <v>86</v>
      </c>
      <c r="O1451">
        <v>4</v>
      </c>
      <c r="P1451">
        <v>0.75</v>
      </c>
      <c r="Q1451">
        <v>5</v>
      </c>
      <c r="R1451">
        <v>3.2899999999999999E-2</v>
      </c>
      <c r="T1451" t="s">
        <v>4275</v>
      </c>
    </row>
    <row r="1452" spans="1:20" x14ac:dyDescent="0.2">
      <c r="A1452" t="s">
        <v>4277</v>
      </c>
      <c r="B1452" t="s">
        <v>2022</v>
      </c>
      <c r="C1452" t="s">
        <v>2095</v>
      </c>
      <c r="D1452" t="s">
        <v>2024</v>
      </c>
      <c r="E1452" t="s">
        <v>4278</v>
      </c>
      <c r="F1452" t="s">
        <v>4279</v>
      </c>
      <c r="G1452">
        <v>4</v>
      </c>
      <c r="H1452">
        <v>1835</v>
      </c>
      <c r="I1452">
        <v>4</v>
      </c>
      <c r="J1452">
        <v>13.5</v>
      </c>
      <c r="K1452">
        <v>4</v>
      </c>
      <c r="L1452">
        <v>0.53</v>
      </c>
      <c r="M1452">
        <v>2</v>
      </c>
      <c r="N1452">
        <v>80</v>
      </c>
      <c r="O1452">
        <v>3</v>
      </c>
      <c r="P1452">
        <v>0.55000000000000004</v>
      </c>
      <c r="Q1452">
        <v>4</v>
      </c>
      <c r="R1452">
        <v>2.3900000000000001E-2</v>
      </c>
      <c r="T1452" t="s">
        <v>4278</v>
      </c>
    </row>
    <row r="1453" spans="1:20" x14ac:dyDescent="0.2">
      <c r="A1453" t="s">
        <v>4280</v>
      </c>
      <c r="B1453" t="s">
        <v>2022</v>
      </c>
      <c r="C1453" t="s">
        <v>2023</v>
      </c>
      <c r="D1453" t="s">
        <v>2154</v>
      </c>
      <c r="E1453" t="s">
        <v>4281</v>
      </c>
      <c r="F1453" t="s">
        <v>4282</v>
      </c>
      <c r="G1453">
        <v>5</v>
      </c>
      <c r="H1453">
        <v>1800</v>
      </c>
      <c r="I1453">
        <v>5</v>
      </c>
      <c r="J1453">
        <v>10.9</v>
      </c>
      <c r="K1453">
        <v>5</v>
      </c>
      <c r="L1453">
        <v>8.5999999999999993E-2</v>
      </c>
      <c r="M1453">
        <v>5</v>
      </c>
      <c r="N1453">
        <v>114</v>
      </c>
      <c r="O1453">
        <v>5</v>
      </c>
      <c r="P1453">
        <v>0.67500000000000004</v>
      </c>
      <c r="Q1453">
        <v>5</v>
      </c>
      <c r="R1453">
        <v>8.0000000000000002E-3</v>
      </c>
      <c r="T1453" t="s">
        <v>4281</v>
      </c>
    </row>
    <row r="1454" spans="1:20" x14ac:dyDescent="0.2">
      <c r="A1454" t="s">
        <v>4283</v>
      </c>
      <c r="B1454" t="s">
        <v>2022</v>
      </c>
      <c r="C1454" t="s">
        <v>2036</v>
      </c>
      <c r="D1454" t="s">
        <v>2024</v>
      </c>
      <c r="E1454" t="s">
        <v>4284</v>
      </c>
      <c r="F1454" t="s">
        <v>4285</v>
      </c>
      <c r="G1454">
        <v>5</v>
      </c>
      <c r="H1454">
        <v>1940</v>
      </c>
      <c r="I1454">
        <v>5</v>
      </c>
      <c r="J1454">
        <v>7</v>
      </c>
      <c r="K1454">
        <v>5</v>
      </c>
      <c r="L1454">
        <v>0.17499999999999999</v>
      </c>
      <c r="M1454">
        <v>3</v>
      </c>
      <c r="N1454">
        <v>88</v>
      </c>
      <c r="O1454">
        <v>3</v>
      </c>
      <c r="P1454">
        <v>0.315</v>
      </c>
      <c r="Q1454">
        <v>4</v>
      </c>
      <c r="R1454">
        <v>9.2499999999999995E-3</v>
      </c>
      <c r="T1454" t="s">
        <v>4284</v>
      </c>
    </row>
    <row r="1455" spans="1:20" x14ac:dyDescent="0.2">
      <c r="A1455" t="s">
        <v>4286</v>
      </c>
      <c r="B1455" t="s">
        <v>2022</v>
      </c>
      <c r="C1455" t="s">
        <v>2036</v>
      </c>
      <c r="D1455" t="s">
        <v>2024</v>
      </c>
      <c r="E1455" t="s">
        <v>4287</v>
      </c>
      <c r="F1455" t="s">
        <v>4288</v>
      </c>
      <c r="G1455">
        <v>1</v>
      </c>
      <c r="H1455">
        <v>1540</v>
      </c>
      <c r="I1455">
        <v>3</v>
      </c>
      <c r="J1455">
        <v>4.5999999999999996</v>
      </c>
      <c r="K1455">
        <v>2</v>
      </c>
      <c r="L1455">
        <v>8.5000000000000006E-2</v>
      </c>
      <c r="M1455">
        <v>3</v>
      </c>
      <c r="N1455">
        <v>88</v>
      </c>
      <c r="O1455">
        <v>2</v>
      </c>
      <c r="P1455">
        <v>0.20499999999999999</v>
      </c>
      <c r="Q1455">
        <v>2</v>
      </c>
      <c r="R1455">
        <v>4.2500000000000003E-3</v>
      </c>
      <c r="T1455" t="s">
        <v>4287</v>
      </c>
    </row>
    <row r="1456" spans="1:20" x14ac:dyDescent="0.2">
      <c r="A1456" t="s">
        <v>4289</v>
      </c>
      <c r="B1456" t="s">
        <v>2022</v>
      </c>
      <c r="C1456" t="s">
        <v>2036</v>
      </c>
      <c r="D1456" t="s">
        <v>2024</v>
      </c>
      <c r="E1456" t="s">
        <v>4290</v>
      </c>
      <c r="F1456" t="s">
        <v>4291</v>
      </c>
      <c r="G1456">
        <v>5</v>
      </c>
      <c r="H1456">
        <v>1940</v>
      </c>
      <c r="I1456">
        <v>2</v>
      </c>
      <c r="J1456">
        <v>3.4</v>
      </c>
      <c r="K1456">
        <v>4</v>
      </c>
      <c r="L1456">
        <v>0.14499999999999999</v>
      </c>
      <c r="M1456">
        <v>4</v>
      </c>
      <c r="N1456">
        <v>94</v>
      </c>
      <c r="O1456">
        <v>2</v>
      </c>
      <c r="P1456">
        <v>0.20499999999999999</v>
      </c>
      <c r="Q1456">
        <v>3</v>
      </c>
      <c r="R1456">
        <v>6.7499999999999999E-3</v>
      </c>
      <c r="T1456" t="s">
        <v>4290</v>
      </c>
    </row>
    <row r="1457" spans="1:20" x14ac:dyDescent="0.2">
      <c r="A1457" t="s">
        <v>4292</v>
      </c>
      <c r="B1457" t="s">
        <v>2022</v>
      </c>
      <c r="C1457" t="s">
        <v>2101</v>
      </c>
      <c r="D1457" t="s">
        <v>2024</v>
      </c>
      <c r="E1457" t="s">
        <v>4293</v>
      </c>
      <c r="F1457" t="s">
        <v>4294</v>
      </c>
      <c r="G1457">
        <v>1</v>
      </c>
      <c r="H1457">
        <v>1570</v>
      </c>
      <c r="I1457">
        <v>3</v>
      </c>
      <c r="J1457">
        <v>8</v>
      </c>
      <c r="K1457">
        <v>3</v>
      </c>
      <c r="L1457">
        <v>0.24349999999999999</v>
      </c>
      <c r="M1457">
        <v>2</v>
      </c>
      <c r="N1457">
        <v>74</v>
      </c>
      <c r="O1457">
        <v>3</v>
      </c>
      <c r="P1457">
        <v>0.375</v>
      </c>
      <c r="Q1457">
        <v>3</v>
      </c>
      <c r="R1457">
        <v>1.15E-2</v>
      </c>
      <c r="T1457" t="s">
        <v>4293</v>
      </c>
    </row>
    <row r="1458" spans="1:20" x14ac:dyDescent="0.2">
      <c r="A1458" t="s">
        <v>4295</v>
      </c>
      <c r="B1458" t="s">
        <v>2022</v>
      </c>
      <c r="C1458" t="s">
        <v>2104</v>
      </c>
      <c r="D1458" t="s">
        <v>2024</v>
      </c>
      <c r="E1458" t="s">
        <v>4296</v>
      </c>
      <c r="F1458" t="s">
        <v>4297</v>
      </c>
      <c r="G1458">
        <v>4</v>
      </c>
      <c r="H1458">
        <v>2062.5</v>
      </c>
      <c r="I1458">
        <v>2</v>
      </c>
      <c r="J1458">
        <v>3.25</v>
      </c>
      <c r="K1458">
        <v>3</v>
      </c>
      <c r="L1458">
        <v>9.0999999999999998E-2</v>
      </c>
      <c r="M1458">
        <v>4</v>
      </c>
      <c r="N1458">
        <v>81</v>
      </c>
      <c r="P1458">
        <v>0</v>
      </c>
      <c r="Q1458">
        <v>2</v>
      </c>
      <c r="R1458">
        <v>3.2000000000000002E-3</v>
      </c>
      <c r="T1458" t="s">
        <v>4296</v>
      </c>
    </row>
    <row r="1459" spans="1:20" x14ac:dyDescent="0.2">
      <c r="A1459" t="s">
        <v>4298</v>
      </c>
      <c r="B1459" t="s">
        <v>2022</v>
      </c>
      <c r="C1459" t="s">
        <v>2023</v>
      </c>
      <c r="D1459" t="s">
        <v>2024</v>
      </c>
      <c r="E1459" t="s">
        <v>4299</v>
      </c>
      <c r="F1459" t="s">
        <v>4300</v>
      </c>
      <c r="G1459">
        <v>2</v>
      </c>
      <c r="H1459">
        <v>1560</v>
      </c>
      <c r="I1459">
        <v>2</v>
      </c>
      <c r="J1459">
        <v>3.4</v>
      </c>
      <c r="K1459">
        <v>1</v>
      </c>
      <c r="L1459">
        <v>6.0000000000000001E-3</v>
      </c>
      <c r="M1459">
        <v>2</v>
      </c>
      <c r="N1459">
        <v>84</v>
      </c>
      <c r="O1459">
        <v>1</v>
      </c>
      <c r="P1459">
        <v>7.4999999999999997E-2</v>
      </c>
      <c r="Q1459">
        <v>1</v>
      </c>
      <c r="R1459">
        <v>5.0000000000000001E-4</v>
      </c>
      <c r="T1459" t="s">
        <v>4299</v>
      </c>
    </row>
    <row r="1460" spans="1:20" x14ac:dyDescent="0.2">
      <c r="A1460" t="s">
        <v>4301</v>
      </c>
      <c r="B1460" t="s">
        <v>2022</v>
      </c>
      <c r="C1460" t="s">
        <v>2101</v>
      </c>
      <c r="D1460" t="s">
        <v>2024</v>
      </c>
      <c r="E1460" t="s">
        <v>4302</v>
      </c>
      <c r="F1460" t="s">
        <v>4303</v>
      </c>
      <c r="G1460">
        <v>2</v>
      </c>
      <c r="H1460">
        <v>1670</v>
      </c>
      <c r="I1460">
        <v>1</v>
      </c>
      <c r="J1460">
        <v>2</v>
      </c>
      <c r="K1460">
        <v>1</v>
      </c>
      <c r="L1460">
        <v>1.15E-2</v>
      </c>
      <c r="M1460">
        <v>2</v>
      </c>
      <c r="N1460">
        <v>74</v>
      </c>
      <c r="O1460">
        <v>1</v>
      </c>
      <c r="P1460">
        <v>7.4999999999999997E-2</v>
      </c>
      <c r="Q1460">
        <v>1</v>
      </c>
      <c r="R1460">
        <v>5.0000000000000001E-4</v>
      </c>
      <c r="T1460" t="s">
        <v>4302</v>
      </c>
    </row>
    <row r="1461" spans="1:20" x14ac:dyDescent="0.2">
      <c r="A1461" t="s">
        <v>4304</v>
      </c>
      <c r="B1461" t="s">
        <v>2022</v>
      </c>
      <c r="C1461" t="s">
        <v>2095</v>
      </c>
      <c r="D1461" t="s">
        <v>2024</v>
      </c>
      <c r="E1461" t="s">
        <v>4305</v>
      </c>
      <c r="F1461" t="s">
        <v>4306</v>
      </c>
      <c r="G1461">
        <v>2</v>
      </c>
      <c r="H1461">
        <v>1655</v>
      </c>
      <c r="I1461">
        <v>5</v>
      </c>
      <c r="J1461">
        <v>16.5</v>
      </c>
      <c r="K1461">
        <v>5</v>
      </c>
      <c r="L1461">
        <v>0.73</v>
      </c>
      <c r="M1461">
        <v>2</v>
      </c>
      <c r="N1461">
        <v>80</v>
      </c>
      <c r="O1461">
        <v>4</v>
      </c>
      <c r="P1461">
        <v>0.75</v>
      </c>
      <c r="Q1461">
        <v>5</v>
      </c>
      <c r="R1461">
        <v>3.2899999999999999E-2</v>
      </c>
      <c r="T1461" t="s">
        <v>4305</v>
      </c>
    </row>
    <row r="1462" spans="1:20" x14ac:dyDescent="0.2">
      <c r="A1462" t="s">
        <v>4307</v>
      </c>
      <c r="B1462" t="s">
        <v>2022</v>
      </c>
      <c r="C1462" t="s">
        <v>2257</v>
      </c>
      <c r="D1462" t="s">
        <v>2024</v>
      </c>
      <c r="E1462" t="s">
        <v>4308</v>
      </c>
      <c r="F1462" t="s">
        <v>4309</v>
      </c>
      <c r="G1462">
        <v>3</v>
      </c>
      <c r="H1462">
        <v>1100</v>
      </c>
      <c r="I1462">
        <v>1</v>
      </c>
      <c r="J1462">
        <v>0.45</v>
      </c>
      <c r="K1462">
        <v>1</v>
      </c>
      <c r="L1462">
        <v>6.0000000000000001E-3</v>
      </c>
      <c r="M1462">
        <v>1</v>
      </c>
      <c r="N1462">
        <v>300</v>
      </c>
      <c r="O1462">
        <v>1</v>
      </c>
      <c r="P1462">
        <v>0.3</v>
      </c>
      <c r="Q1462">
        <v>1</v>
      </c>
      <c r="R1462">
        <v>2E-3</v>
      </c>
      <c r="T1462" t="s">
        <v>4308</v>
      </c>
    </row>
    <row r="1463" spans="1:20" x14ac:dyDescent="0.2">
      <c r="A1463" t="s">
        <v>4310</v>
      </c>
      <c r="B1463" t="s">
        <v>2022</v>
      </c>
      <c r="C1463" t="s">
        <v>2023</v>
      </c>
      <c r="D1463" t="s">
        <v>2024</v>
      </c>
      <c r="E1463" t="s">
        <v>4311</v>
      </c>
      <c r="F1463" t="s">
        <v>4312</v>
      </c>
      <c r="G1463">
        <v>1</v>
      </c>
      <c r="H1463">
        <v>1480</v>
      </c>
      <c r="I1463">
        <v>2</v>
      </c>
      <c r="J1463">
        <v>3.4</v>
      </c>
      <c r="K1463">
        <v>1</v>
      </c>
      <c r="L1463">
        <v>6.0000000000000001E-3</v>
      </c>
      <c r="M1463">
        <v>5</v>
      </c>
      <c r="N1463">
        <v>114</v>
      </c>
      <c r="O1463">
        <v>2</v>
      </c>
      <c r="P1463">
        <v>0.22500000000000001</v>
      </c>
      <c r="Q1463">
        <v>2</v>
      </c>
      <c r="R1463">
        <v>2E-3</v>
      </c>
      <c r="T1463" t="s">
        <v>4311</v>
      </c>
    </row>
    <row r="1464" spans="1:20" x14ac:dyDescent="0.2">
      <c r="A1464" t="s">
        <v>9451</v>
      </c>
      <c r="B1464" t="s">
        <v>2022</v>
      </c>
      <c r="C1464" t="s">
        <v>2023</v>
      </c>
      <c r="D1464" t="s">
        <v>2154</v>
      </c>
      <c r="E1464" t="s">
        <v>4314</v>
      </c>
      <c r="F1464" t="s">
        <v>4315</v>
      </c>
      <c r="G1464">
        <v>1</v>
      </c>
      <c r="H1464">
        <v>1480</v>
      </c>
      <c r="I1464">
        <v>1</v>
      </c>
      <c r="J1464">
        <v>0.9</v>
      </c>
      <c r="K1464">
        <v>1</v>
      </c>
      <c r="L1464">
        <v>6.0000000000000001E-3</v>
      </c>
      <c r="M1464">
        <v>5</v>
      </c>
      <c r="N1464">
        <v>114</v>
      </c>
      <c r="O1464">
        <v>1</v>
      </c>
      <c r="P1464">
        <v>7.4999999999999997E-2</v>
      </c>
      <c r="Q1464">
        <v>2</v>
      </c>
      <c r="R1464">
        <v>2E-3</v>
      </c>
      <c r="T1464" t="s">
        <v>4314</v>
      </c>
    </row>
    <row r="1465" spans="1:20" x14ac:dyDescent="0.2">
      <c r="A1465" t="s">
        <v>4316</v>
      </c>
      <c r="B1465" t="s">
        <v>2022</v>
      </c>
      <c r="C1465" t="s">
        <v>2028</v>
      </c>
      <c r="D1465" t="s">
        <v>2154</v>
      </c>
      <c r="E1465" t="s">
        <v>4317</v>
      </c>
      <c r="F1465" t="s">
        <v>4318</v>
      </c>
      <c r="G1465">
        <v>1</v>
      </c>
      <c r="H1465">
        <v>650</v>
      </c>
      <c r="I1465">
        <v>1</v>
      </c>
      <c r="J1465">
        <v>0.35</v>
      </c>
      <c r="K1465">
        <v>1</v>
      </c>
      <c r="L1465">
        <v>4.0000000000000001E-3</v>
      </c>
      <c r="M1465">
        <v>5</v>
      </c>
      <c r="N1465">
        <v>500</v>
      </c>
      <c r="O1465">
        <v>4</v>
      </c>
      <c r="P1465">
        <v>1.05</v>
      </c>
      <c r="Q1465">
        <v>3</v>
      </c>
      <c r="R1465">
        <v>1.6250000000000001E-2</v>
      </c>
      <c r="T1465" t="s">
        <v>4317</v>
      </c>
    </row>
    <row r="1466" spans="1:20" x14ac:dyDescent="0.2">
      <c r="A1466" t="s">
        <v>4319</v>
      </c>
      <c r="B1466" t="s">
        <v>2022</v>
      </c>
      <c r="C1466" t="s">
        <v>2049</v>
      </c>
      <c r="D1466" t="s">
        <v>2024</v>
      </c>
      <c r="E1466" t="s">
        <v>4320</v>
      </c>
      <c r="F1466" t="s">
        <v>4321</v>
      </c>
      <c r="G1466">
        <v>1</v>
      </c>
      <c r="H1466">
        <v>1350</v>
      </c>
      <c r="I1466">
        <v>1</v>
      </c>
      <c r="J1466">
        <v>1.4</v>
      </c>
      <c r="K1466">
        <v>1</v>
      </c>
      <c r="L1466">
        <v>0.01</v>
      </c>
      <c r="M1466">
        <v>2</v>
      </c>
      <c r="N1466">
        <v>106</v>
      </c>
      <c r="O1466">
        <v>1</v>
      </c>
      <c r="P1466">
        <v>0.06</v>
      </c>
      <c r="Q1466">
        <v>1</v>
      </c>
      <c r="R1466">
        <v>8.4999999999999995E-4</v>
      </c>
      <c r="T1466" t="s">
        <v>4320</v>
      </c>
    </row>
    <row r="1467" spans="1:20" x14ac:dyDescent="0.2">
      <c r="A1467" t="s">
        <v>4322</v>
      </c>
      <c r="B1467" t="s">
        <v>2022</v>
      </c>
      <c r="C1467" t="s">
        <v>2053</v>
      </c>
      <c r="D1467" t="s">
        <v>2024</v>
      </c>
      <c r="E1467" t="s">
        <v>4323</v>
      </c>
      <c r="F1467" t="s">
        <v>4324</v>
      </c>
      <c r="G1467">
        <v>3</v>
      </c>
      <c r="H1467">
        <v>1700</v>
      </c>
      <c r="I1467">
        <v>4</v>
      </c>
      <c r="J1467">
        <v>9.0500000000000007</v>
      </c>
      <c r="K1467">
        <v>4</v>
      </c>
      <c r="L1467">
        <v>0.30499999999999999</v>
      </c>
      <c r="M1467">
        <v>5</v>
      </c>
      <c r="N1467">
        <v>113</v>
      </c>
      <c r="O1467">
        <v>4</v>
      </c>
      <c r="P1467">
        <v>0.52500000000000002</v>
      </c>
      <c r="Q1467">
        <v>4</v>
      </c>
      <c r="R1467">
        <v>1.9199999999999998E-2</v>
      </c>
      <c r="T1467" t="s">
        <v>4323</v>
      </c>
    </row>
    <row r="1468" spans="1:20" x14ac:dyDescent="0.2">
      <c r="A1468" t="s">
        <v>4325</v>
      </c>
      <c r="B1468" t="s">
        <v>2022</v>
      </c>
      <c r="C1468" t="s">
        <v>2023</v>
      </c>
      <c r="D1468" t="s">
        <v>2024</v>
      </c>
      <c r="E1468" t="s">
        <v>4326</v>
      </c>
      <c r="F1468" t="s">
        <v>4327</v>
      </c>
      <c r="G1468">
        <v>2</v>
      </c>
      <c r="H1468">
        <v>1560</v>
      </c>
      <c r="I1468">
        <v>2</v>
      </c>
      <c r="J1468">
        <v>3.4</v>
      </c>
      <c r="K1468">
        <v>1</v>
      </c>
      <c r="L1468">
        <v>6.0000000000000001E-3</v>
      </c>
      <c r="M1468">
        <v>4</v>
      </c>
      <c r="N1468">
        <v>104</v>
      </c>
      <c r="O1468">
        <v>2</v>
      </c>
      <c r="P1468">
        <v>0.22500000000000001</v>
      </c>
      <c r="Q1468">
        <v>1</v>
      </c>
      <c r="R1468">
        <v>5.0000000000000001E-4</v>
      </c>
      <c r="T1468" t="s">
        <v>4326</v>
      </c>
    </row>
    <row r="1469" spans="1:20" x14ac:dyDescent="0.2">
      <c r="A1469" t="s">
        <v>4328</v>
      </c>
      <c r="B1469" t="s">
        <v>2022</v>
      </c>
      <c r="C1469" t="s">
        <v>2036</v>
      </c>
      <c r="D1469" t="s">
        <v>2024</v>
      </c>
      <c r="E1469" t="s">
        <v>4326</v>
      </c>
      <c r="F1469" t="s">
        <v>4327</v>
      </c>
      <c r="G1469">
        <v>2</v>
      </c>
      <c r="H1469">
        <v>1640</v>
      </c>
      <c r="I1469">
        <v>3</v>
      </c>
      <c r="J1469">
        <v>4.5999999999999996</v>
      </c>
      <c r="K1469">
        <v>1</v>
      </c>
      <c r="L1469">
        <v>5.5E-2</v>
      </c>
      <c r="M1469">
        <v>3</v>
      </c>
      <c r="N1469">
        <v>88</v>
      </c>
      <c r="O1469">
        <v>2</v>
      </c>
      <c r="P1469">
        <v>0.20499999999999999</v>
      </c>
      <c r="Q1469">
        <v>1</v>
      </c>
      <c r="R1469">
        <v>1.5E-3</v>
      </c>
      <c r="T1469" t="s">
        <v>4326</v>
      </c>
    </row>
    <row r="1470" spans="1:20" x14ac:dyDescent="0.2">
      <c r="A1470" t="s">
        <v>4329</v>
      </c>
      <c r="B1470" t="s">
        <v>2022</v>
      </c>
      <c r="C1470" t="s">
        <v>2028</v>
      </c>
      <c r="D1470" t="s">
        <v>2024</v>
      </c>
      <c r="E1470" t="s">
        <v>4330</v>
      </c>
      <c r="F1470" t="s">
        <v>4331</v>
      </c>
      <c r="G1470">
        <v>1</v>
      </c>
      <c r="H1470">
        <v>650</v>
      </c>
      <c r="I1470">
        <v>2</v>
      </c>
      <c r="J1470">
        <v>1.55</v>
      </c>
      <c r="K1470">
        <v>2</v>
      </c>
      <c r="L1470">
        <v>4.4999999999999998E-2</v>
      </c>
      <c r="M1470">
        <v>5</v>
      </c>
      <c r="N1470">
        <v>500</v>
      </c>
      <c r="O1470">
        <v>4</v>
      </c>
      <c r="P1470">
        <v>1.05</v>
      </c>
      <c r="Q1470">
        <v>4</v>
      </c>
      <c r="R1470">
        <v>2.4750000000000001E-2</v>
      </c>
      <c r="T1470" t="s">
        <v>4330</v>
      </c>
    </row>
    <row r="1471" spans="1:20" x14ac:dyDescent="0.2">
      <c r="A1471" t="s">
        <v>4332</v>
      </c>
      <c r="B1471" t="s">
        <v>2022</v>
      </c>
      <c r="C1471" t="s">
        <v>2053</v>
      </c>
      <c r="D1471" t="s">
        <v>2136</v>
      </c>
      <c r="E1471" t="s">
        <v>4333</v>
      </c>
      <c r="F1471" t="s">
        <v>4334</v>
      </c>
      <c r="G1471">
        <v>1</v>
      </c>
      <c r="H1471">
        <v>1500</v>
      </c>
      <c r="I1471">
        <v>4</v>
      </c>
      <c r="J1471">
        <v>9.0500000000000007</v>
      </c>
      <c r="K1471">
        <v>4</v>
      </c>
      <c r="L1471">
        <v>0.30499999999999999</v>
      </c>
      <c r="M1471">
        <v>1</v>
      </c>
      <c r="N1471">
        <v>73</v>
      </c>
      <c r="O1471">
        <v>3</v>
      </c>
      <c r="P1471">
        <v>0.375</v>
      </c>
      <c r="Q1471">
        <v>3</v>
      </c>
      <c r="R1471">
        <v>1.2200000000000001E-2</v>
      </c>
      <c r="T1471" t="s">
        <v>4333</v>
      </c>
    </row>
    <row r="1472" spans="1:20" x14ac:dyDescent="0.2">
      <c r="A1472" t="s">
        <v>4335</v>
      </c>
      <c r="B1472" t="s">
        <v>2022</v>
      </c>
      <c r="C1472" t="s">
        <v>2053</v>
      </c>
      <c r="D1472" t="s">
        <v>2024</v>
      </c>
      <c r="E1472" t="s">
        <v>4336</v>
      </c>
      <c r="F1472" t="s">
        <v>4337</v>
      </c>
      <c r="G1472">
        <v>1</v>
      </c>
      <c r="H1472">
        <v>1500</v>
      </c>
      <c r="I1472">
        <v>1</v>
      </c>
      <c r="J1472">
        <v>1.55</v>
      </c>
      <c r="K1472">
        <v>1</v>
      </c>
      <c r="L1472">
        <v>1.4999999999999999E-2</v>
      </c>
      <c r="M1472">
        <v>4</v>
      </c>
      <c r="N1472">
        <v>103</v>
      </c>
      <c r="O1472">
        <v>1</v>
      </c>
      <c r="P1472">
        <v>7.4999999999999997E-2</v>
      </c>
      <c r="Q1472">
        <v>1</v>
      </c>
      <c r="R1472">
        <v>8.4999999999999995E-4</v>
      </c>
      <c r="T1472" t="s">
        <v>4336</v>
      </c>
    </row>
    <row r="1473" spans="1:20" x14ac:dyDescent="0.2">
      <c r="A1473" t="s">
        <v>4338</v>
      </c>
      <c r="B1473" t="s">
        <v>2022</v>
      </c>
      <c r="C1473" t="s">
        <v>2023</v>
      </c>
      <c r="D1473" t="s">
        <v>2024</v>
      </c>
      <c r="E1473" t="s">
        <v>4339</v>
      </c>
      <c r="F1473" t="s">
        <v>4340</v>
      </c>
      <c r="G1473">
        <v>1</v>
      </c>
      <c r="H1473">
        <v>1480</v>
      </c>
      <c r="I1473">
        <v>1</v>
      </c>
      <c r="J1473">
        <v>0.9</v>
      </c>
      <c r="K1473">
        <v>1</v>
      </c>
      <c r="L1473">
        <v>6.0000000000000001E-3</v>
      </c>
      <c r="M1473">
        <v>3</v>
      </c>
      <c r="N1473">
        <v>94</v>
      </c>
      <c r="O1473">
        <v>1</v>
      </c>
      <c r="P1473">
        <v>7.4999999999999997E-2</v>
      </c>
      <c r="Q1473">
        <v>1</v>
      </c>
      <c r="R1473">
        <v>5.0000000000000001E-4</v>
      </c>
      <c r="T1473" t="s">
        <v>4339</v>
      </c>
    </row>
    <row r="1474" spans="1:20" x14ac:dyDescent="0.2">
      <c r="A1474" t="s">
        <v>4341</v>
      </c>
      <c r="B1474" t="s">
        <v>2022</v>
      </c>
      <c r="C1474" t="s">
        <v>2173</v>
      </c>
      <c r="D1474" t="s">
        <v>2024</v>
      </c>
      <c r="E1474" t="s">
        <v>4342</v>
      </c>
      <c r="F1474" t="s">
        <v>4343</v>
      </c>
      <c r="G1474">
        <v>5</v>
      </c>
      <c r="H1474">
        <v>2182.5</v>
      </c>
      <c r="I1474">
        <v>1</v>
      </c>
      <c r="J1474">
        <v>3.65</v>
      </c>
      <c r="K1474">
        <v>1</v>
      </c>
      <c r="L1474">
        <v>1.4999999999999999E-2</v>
      </c>
      <c r="M1474">
        <v>3</v>
      </c>
      <c r="N1474">
        <v>118.5</v>
      </c>
      <c r="O1474">
        <v>1</v>
      </c>
      <c r="P1474">
        <v>0.15</v>
      </c>
      <c r="Q1474">
        <v>1</v>
      </c>
      <c r="R1474">
        <v>6.4999999999999997E-4</v>
      </c>
      <c r="T1474" t="s">
        <v>4342</v>
      </c>
    </row>
    <row r="1475" spans="1:20" x14ac:dyDescent="0.2">
      <c r="A1475" t="s">
        <v>4344</v>
      </c>
      <c r="B1475" t="s">
        <v>2022</v>
      </c>
      <c r="C1475" t="s">
        <v>2023</v>
      </c>
      <c r="D1475" t="s">
        <v>2024</v>
      </c>
      <c r="E1475" t="s">
        <v>4345</v>
      </c>
      <c r="F1475" t="s">
        <v>4346</v>
      </c>
      <c r="G1475">
        <v>1</v>
      </c>
      <c r="H1475">
        <v>1480</v>
      </c>
      <c r="I1475">
        <v>4</v>
      </c>
      <c r="J1475">
        <v>8.4</v>
      </c>
      <c r="K1475">
        <v>5</v>
      </c>
      <c r="L1475">
        <v>8.5999999999999993E-2</v>
      </c>
      <c r="M1475">
        <v>3</v>
      </c>
      <c r="N1475">
        <v>94</v>
      </c>
      <c r="O1475">
        <v>4</v>
      </c>
      <c r="P1475">
        <v>0.52500000000000002</v>
      </c>
      <c r="Q1475">
        <v>5</v>
      </c>
      <c r="R1475">
        <v>8.0000000000000002E-3</v>
      </c>
      <c r="T1475" t="s">
        <v>4345</v>
      </c>
    </row>
    <row r="1476" spans="1:20" x14ac:dyDescent="0.2">
      <c r="A1476" t="s">
        <v>4347</v>
      </c>
      <c r="B1476" t="s">
        <v>2022</v>
      </c>
      <c r="C1476" t="s">
        <v>2257</v>
      </c>
      <c r="D1476" t="s">
        <v>2024</v>
      </c>
      <c r="E1476" t="s">
        <v>357</v>
      </c>
      <c r="F1476" t="s">
        <v>4348</v>
      </c>
      <c r="G1476">
        <v>5</v>
      </c>
      <c r="H1476">
        <v>1300</v>
      </c>
      <c r="I1476">
        <v>4</v>
      </c>
      <c r="J1476">
        <v>4.3499999999999996</v>
      </c>
      <c r="K1476">
        <v>5</v>
      </c>
      <c r="L1476">
        <v>0.187</v>
      </c>
      <c r="M1476">
        <v>5</v>
      </c>
      <c r="N1476">
        <v>1100</v>
      </c>
      <c r="O1476">
        <v>5</v>
      </c>
      <c r="P1476">
        <v>2.7</v>
      </c>
      <c r="Q1476">
        <v>5</v>
      </c>
      <c r="R1476">
        <v>8.1000000000000003E-2</v>
      </c>
      <c r="T1476" t="s">
        <v>357</v>
      </c>
    </row>
    <row r="1477" spans="1:20" x14ac:dyDescent="0.2">
      <c r="A1477" t="s">
        <v>4349</v>
      </c>
      <c r="B1477" t="s">
        <v>2022</v>
      </c>
      <c r="C1477" t="s">
        <v>2036</v>
      </c>
      <c r="D1477" t="s">
        <v>2154</v>
      </c>
      <c r="E1477" t="s">
        <v>4350</v>
      </c>
      <c r="F1477" t="s">
        <v>4351</v>
      </c>
      <c r="G1477">
        <v>1</v>
      </c>
      <c r="H1477">
        <v>1540</v>
      </c>
      <c r="I1477">
        <v>1</v>
      </c>
      <c r="J1477">
        <v>2.2000000000000002</v>
      </c>
      <c r="K1477">
        <v>1</v>
      </c>
      <c r="L1477">
        <v>5.5E-2</v>
      </c>
      <c r="M1477">
        <v>5</v>
      </c>
      <c r="N1477">
        <v>100</v>
      </c>
      <c r="O1477">
        <v>1</v>
      </c>
      <c r="P1477">
        <v>9.5000000000000001E-2</v>
      </c>
      <c r="Q1477">
        <v>1</v>
      </c>
      <c r="R1477">
        <v>1.5E-3</v>
      </c>
      <c r="T1477" t="s">
        <v>4350</v>
      </c>
    </row>
    <row r="1478" spans="1:20" x14ac:dyDescent="0.2">
      <c r="A1478" t="s">
        <v>4352</v>
      </c>
      <c r="B1478" t="s">
        <v>2022</v>
      </c>
      <c r="C1478" t="s">
        <v>2036</v>
      </c>
      <c r="D1478" t="s">
        <v>2024</v>
      </c>
      <c r="E1478" t="s">
        <v>4353</v>
      </c>
      <c r="F1478" t="s">
        <v>4354</v>
      </c>
      <c r="G1478">
        <v>1</v>
      </c>
      <c r="H1478">
        <v>1540</v>
      </c>
      <c r="I1478">
        <v>1</v>
      </c>
      <c r="J1478">
        <v>2.2000000000000002</v>
      </c>
      <c r="K1478">
        <v>1</v>
      </c>
      <c r="L1478">
        <v>5.5E-2</v>
      </c>
      <c r="M1478">
        <v>1</v>
      </c>
      <c r="N1478">
        <v>76</v>
      </c>
      <c r="O1478">
        <v>1</v>
      </c>
      <c r="P1478">
        <v>9.5000000000000001E-2</v>
      </c>
      <c r="Q1478">
        <v>1</v>
      </c>
      <c r="R1478">
        <v>1.5E-3</v>
      </c>
      <c r="T1478" t="s">
        <v>4353</v>
      </c>
    </row>
    <row r="1479" spans="1:20" x14ac:dyDescent="0.2">
      <c r="A1479" t="s">
        <v>4355</v>
      </c>
      <c r="B1479" t="s">
        <v>2022</v>
      </c>
      <c r="C1479" t="s">
        <v>2049</v>
      </c>
      <c r="D1479" t="s">
        <v>2024</v>
      </c>
      <c r="E1479" t="s">
        <v>4356</v>
      </c>
      <c r="F1479" t="s">
        <v>4357</v>
      </c>
      <c r="G1479">
        <v>2</v>
      </c>
      <c r="H1479">
        <v>1450</v>
      </c>
      <c r="I1479">
        <v>3</v>
      </c>
      <c r="J1479">
        <v>5</v>
      </c>
      <c r="K1479">
        <v>3</v>
      </c>
      <c r="L1479">
        <v>0.14000000000000001</v>
      </c>
      <c r="M1479">
        <v>1</v>
      </c>
      <c r="N1479">
        <v>86</v>
      </c>
      <c r="O1479">
        <v>2</v>
      </c>
      <c r="P1479">
        <v>0.26</v>
      </c>
      <c r="Q1479">
        <v>2</v>
      </c>
      <c r="R1479">
        <v>6.1999999999999998E-3</v>
      </c>
      <c r="T1479" t="s">
        <v>4356</v>
      </c>
    </row>
    <row r="1480" spans="1:20" x14ac:dyDescent="0.2">
      <c r="A1480" t="s">
        <v>4358</v>
      </c>
      <c r="B1480" t="s">
        <v>2022</v>
      </c>
      <c r="C1480" t="s">
        <v>2023</v>
      </c>
      <c r="D1480" t="s">
        <v>2024</v>
      </c>
      <c r="E1480" t="s">
        <v>4359</v>
      </c>
      <c r="F1480" t="s">
        <v>4360</v>
      </c>
      <c r="G1480">
        <v>2</v>
      </c>
      <c r="H1480">
        <v>1560</v>
      </c>
      <c r="I1480">
        <v>2</v>
      </c>
      <c r="J1480">
        <v>3.4</v>
      </c>
      <c r="K1480">
        <v>1</v>
      </c>
      <c r="L1480">
        <v>6.0000000000000001E-3</v>
      </c>
      <c r="M1480">
        <v>3</v>
      </c>
      <c r="N1480">
        <v>94</v>
      </c>
      <c r="O1480">
        <v>2</v>
      </c>
      <c r="P1480">
        <v>0.22500000000000001</v>
      </c>
      <c r="Q1480">
        <v>1</v>
      </c>
      <c r="R1480">
        <v>5.0000000000000001E-4</v>
      </c>
      <c r="T1480" t="s">
        <v>4359</v>
      </c>
    </row>
    <row r="1481" spans="1:20" x14ac:dyDescent="0.2">
      <c r="A1481" t="s">
        <v>4361</v>
      </c>
      <c r="B1481" t="s">
        <v>2022</v>
      </c>
      <c r="C1481" t="s">
        <v>2023</v>
      </c>
      <c r="D1481" t="s">
        <v>2024</v>
      </c>
      <c r="E1481" t="s">
        <v>4362</v>
      </c>
      <c r="F1481" t="s">
        <v>4363</v>
      </c>
      <c r="G1481">
        <v>5</v>
      </c>
      <c r="H1481">
        <v>1800</v>
      </c>
      <c r="I1481">
        <v>3</v>
      </c>
      <c r="J1481">
        <v>5.9</v>
      </c>
      <c r="K1481">
        <v>5</v>
      </c>
      <c r="L1481">
        <v>8.5999999999999993E-2</v>
      </c>
      <c r="M1481">
        <v>2</v>
      </c>
      <c r="N1481">
        <v>84</v>
      </c>
      <c r="O1481">
        <v>3</v>
      </c>
      <c r="P1481">
        <v>0.375</v>
      </c>
      <c r="Q1481">
        <v>4</v>
      </c>
      <c r="R1481">
        <v>6.0000000000000001E-3</v>
      </c>
      <c r="T1481" t="s">
        <v>4362</v>
      </c>
    </row>
    <row r="1482" spans="1:20" x14ac:dyDescent="0.2">
      <c r="A1482" t="s">
        <v>4364</v>
      </c>
      <c r="B1482" t="s">
        <v>2022</v>
      </c>
      <c r="C1482" t="s">
        <v>2036</v>
      </c>
      <c r="D1482" t="s">
        <v>2024</v>
      </c>
      <c r="E1482" t="s">
        <v>4365</v>
      </c>
      <c r="F1482" t="s">
        <v>4366</v>
      </c>
      <c r="G1482">
        <v>3</v>
      </c>
      <c r="H1482">
        <v>1740</v>
      </c>
      <c r="I1482">
        <v>5</v>
      </c>
      <c r="J1482">
        <v>7</v>
      </c>
      <c r="K1482">
        <v>5</v>
      </c>
      <c r="L1482">
        <v>0.17499999999999999</v>
      </c>
      <c r="M1482">
        <v>5</v>
      </c>
      <c r="N1482">
        <v>100</v>
      </c>
      <c r="O1482">
        <v>5</v>
      </c>
      <c r="P1482">
        <v>0.53500000000000003</v>
      </c>
      <c r="Q1482">
        <v>5</v>
      </c>
      <c r="R1482">
        <v>1.2E-2</v>
      </c>
      <c r="T1482" t="s">
        <v>4365</v>
      </c>
    </row>
    <row r="1483" spans="1:20" x14ac:dyDescent="0.2">
      <c r="A1483" t="s">
        <v>4367</v>
      </c>
      <c r="B1483" t="s">
        <v>2022</v>
      </c>
      <c r="C1483" t="s">
        <v>2023</v>
      </c>
      <c r="D1483" t="s">
        <v>2024</v>
      </c>
      <c r="E1483" t="s">
        <v>4368</v>
      </c>
      <c r="F1483" t="s">
        <v>4369</v>
      </c>
      <c r="G1483">
        <v>5</v>
      </c>
      <c r="H1483">
        <v>1800</v>
      </c>
      <c r="I1483">
        <v>2</v>
      </c>
      <c r="J1483">
        <v>3.4</v>
      </c>
      <c r="K1483">
        <v>2</v>
      </c>
      <c r="L1483">
        <v>2.5999999999999999E-2</v>
      </c>
      <c r="M1483">
        <v>2</v>
      </c>
      <c r="N1483">
        <v>84</v>
      </c>
      <c r="O1483">
        <v>2</v>
      </c>
      <c r="P1483">
        <v>0.22500000000000001</v>
      </c>
      <c r="Q1483">
        <v>1</v>
      </c>
      <c r="R1483">
        <v>5.0000000000000001E-4</v>
      </c>
      <c r="T1483" t="s">
        <v>4368</v>
      </c>
    </row>
    <row r="1484" spans="1:20" x14ac:dyDescent="0.2">
      <c r="A1484" t="s">
        <v>4370</v>
      </c>
      <c r="B1484" t="s">
        <v>2022</v>
      </c>
      <c r="C1484" t="s">
        <v>2023</v>
      </c>
      <c r="D1484" t="s">
        <v>2024</v>
      </c>
      <c r="E1484" t="s">
        <v>4371</v>
      </c>
      <c r="F1484" t="s">
        <v>4372</v>
      </c>
      <c r="G1484">
        <v>4</v>
      </c>
      <c r="H1484">
        <v>1720</v>
      </c>
      <c r="I1484">
        <v>1</v>
      </c>
      <c r="J1484">
        <v>0.9</v>
      </c>
      <c r="K1484">
        <v>2</v>
      </c>
      <c r="L1484">
        <v>2.5999999999999999E-2</v>
      </c>
      <c r="M1484">
        <v>3</v>
      </c>
      <c r="N1484">
        <v>94</v>
      </c>
      <c r="O1484">
        <v>1</v>
      </c>
      <c r="P1484">
        <v>7.4999999999999997E-2</v>
      </c>
      <c r="Q1484">
        <v>2</v>
      </c>
      <c r="R1484">
        <v>2E-3</v>
      </c>
      <c r="T1484" t="s">
        <v>4371</v>
      </c>
    </row>
    <row r="1485" spans="1:20" x14ac:dyDescent="0.2">
      <c r="A1485" t="s">
        <v>4373</v>
      </c>
      <c r="B1485" t="s">
        <v>2022</v>
      </c>
      <c r="C1485" t="s">
        <v>2036</v>
      </c>
      <c r="D1485" t="s">
        <v>2024</v>
      </c>
      <c r="E1485" t="s">
        <v>4374</v>
      </c>
      <c r="F1485" t="s">
        <v>4375</v>
      </c>
      <c r="G1485">
        <v>2</v>
      </c>
      <c r="H1485">
        <v>1640</v>
      </c>
      <c r="I1485">
        <v>3</v>
      </c>
      <c r="J1485">
        <v>4.5999999999999996</v>
      </c>
      <c r="K1485">
        <v>3</v>
      </c>
      <c r="L1485">
        <v>0.115</v>
      </c>
      <c r="M1485">
        <v>4</v>
      </c>
      <c r="N1485">
        <v>94</v>
      </c>
      <c r="O1485">
        <v>2</v>
      </c>
      <c r="P1485">
        <v>0.20499999999999999</v>
      </c>
      <c r="Q1485">
        <v>3</v>
      </c>
      <c r="R1485">
        <v>6.7499999999999999E-3</v>
      </c>
      <c r="T1485" t="s">
        <v>4374</v>
      </c>
    </row>
    <row r="1486" spans="1:20" x14ac:dyDescent="0.2">
      <c r="A1486" t="s">
        <v>4376</v>
      </c>
      <c r="B1486" t="s">
        <v>2022</v>
      </c>
      <c r="C1486" t="s">
        <v>2023</v>
      </c>
      <c r="D1486" t="s">
        <v>2136</v>
      </c>
      <c r="E1486" t="s">
        <v>4377</v>
      </c>
      <c r="F1486" t="s">
        <v>4378</v>
      </c>
      <c r="G1486">
        <v>5</v>
      </c>
      <c r="H1486">
        <v>1800</v>
      </c>
      <c r="I1486">
        <v>2</v>
      </c>
      <c r="J1486">
        <v>3.4</v>
      </c>
      <c r="K1486">
        <v>5</v>
      </c>
      <c r="L1486">
        <v>8.5999999999999993E-2</v>
      </c>
      <c r="M1486">
        <v>5</v>
      </c>
      <c r="N1486">
        <v>114</v>
      </c>
      <c r="O1486">
        <v>2</v>
      </c>
      <c r="P1486">
        <v>0.22500000000000001</v>
      </c>
      <c r="Q1486">
        <v>5</v>
      </c>
      <c r="R1486">
        <v>8.0000000000000002E-3</v>
      </c>
      <c r="T1486" t="s">
        <v>4377</v>
      </c>
    </row>
    <row r="1487" spans="1:20" x14ac:dyDescent="0.2">
      <c r="A1487" t="s">
        <v>4379</v>
      </c>
      <c r="B1487" t="s">
        <v>2022</v>
      </c>
      <c r="C1487" t="s">
        <v>2053</v>
      </c>
      <c r="D1487" t="s">
        <v>2024</v>
      </c>
      <c r="E1487" t="s">
        <v>4380</v>
      </c>
      <c r="F1487" t="s">
        <v>4381</v>
      </c>
      <c r="G1487">
        <v>5</v>
      </c>
      <c r="H1487">
        <v>1900</v>
      </c>
      <c r="I1487">
        <v>5</v>
      </c>
      <c r="J1487">
        <v>11.55</v>
      </c>
      <c r="K1487">
        <v>5</v>
      </c>
      <c r="L1487">
        <v>0.41499999999999998</v>
      </c>
      <c r="M1487">
        <v>3</v>
      </c>
      <c r="N1487">
        <v>93</v>
      </c>
      <c r="O1487">
        <v>5</v>
      </c>
      <c r="P1487">
        <v>0.67500000000000004</v>
      </c>
      <c r="Q1487">
        <v>4</v>
      </c>
      <c r="R1487">
        <v>1.9199999999999998E-2</v>
      </c>
      <c r="T1487" t="s">
        <v>4380</v>
      </c>
    </row>
    <row r="1488" spans="1:20" x14ac:dyDescent="0.2">
      <c r="A1488" t="s">
        <v>4382</v>
      </c>
      <c r="B1488" t="s">
        <v>2022</v>
      </c>
      <c r="C1488" t="s">
        <v>2036</v>
      </c>
      <c r="D1488" t="s">
        <v>2024</v>
      </c>
      <c r="E1488" t="s">
        <v>4383</v>
      </c>
      <c r="F1488" t="s">
        <v>4384</v>
      </c>
      <c r="G1488">
        <v>5</v>
      </c>
      <c r="H1488">
        <v>1940</v>
      </c>
      <c r="I1488">
        <v>5</v>
      </c>
      <c r="J1488">
        <v>7</v>
      </c>
      <c r="K1488">
        <v>5</v>
      </c>
      <c r="L1488">
        <v>0.17499999999999999</v>
      </c>
      <c r="M1488">
        <v>5</v>
      </c>
      <c r="N1488">
        <v>100</v>
      </c>
      <c r="O1488">
        <v>5</v>
      </c>
      <c r="P1488">
        <v>0.53500000000000003</v>
      </c>
      <c r="Q1488">
        <v>5</v>
      </c>
      <c r="R1488">
        <v>1.2E-2</v>
      </c>
      <c r="T1488" t="s">
        <v>4383</v>
      </c>
    </row>
    <row r="1489" spans="1:20" x14ac:dyDescent="0.2">
      <c r="A1489" t="s">
        <v>4385</v>
      </c>
      <c r="B1489" t="s">
        <v>2022</v>
      </c>
      <c r="C1489" t="s">
        <v>2095</v>
      </c>
      <c r="D1489" t="s">
        <v>2024</v>
      </c>
      <c r="E1489" t="s">
        <v>357</v>
      </c>
      <c r="F1489" t="s">
        <v>4386</v>
      </c>
      <c r="G1489">
        <v>1</v>
      </c>
      <c r="H1489">
        <v>1565</v>
      </c>
      <c r="I1489">
        <v>5</v>
      </c>
      <c r="J1489">
        <v>16.5</v>
      </c>
      <c r="K1489">
        <v>4</v>
      </c>
      <c r="L1489">
        <v>0.53</v>
      </c>
      <c r="M1489">
        <v>3</v>
      </c>
      <c r="N1489">
        <v>86</v>
      </c>
      <c r="O1489">
        <v>5</v>
      </c>
      <c r="P1489">
        <v>0.95</v>
      </c>
      <c r="Q1489">
        <v>5</v>
      </c>
      <c r="R1489">
        <v>3.2899999999999999E-2</v>
      </c>
      <c r="T1489" t="s">
        <v>357</v>
      </c>
    </row>
    <row r="1490" spans="1:20" x14ac:dyDescent="0.2">
      <c r="A1490" t="s">
        <v>4387</v>
      </c>
      <c r="B1490" t="s">
        <v>2022</v>
      </c>
      <c r="C1490" t="s">
        <v>2028</v>
      </c>
      <c r="D1490" t="s">
        <v>2024</v>
      </c>
      <c r="E1490" t="s">
        <v>4388</v>
      </c>
      <c r="F1490" t="s">
        <v>4389</v>
      </c>
      <c r="G1490">
        <v>2</v>
      </c>
      <c r="H1490">
        <v>850</v>
      </c>
      <c r="I1490">
        <v>2</v>
      </c>
      <c r="J1490">
        <v>1.55</v>
      </c>
      <c r="K1490">
        <v>2</v>
      </c>
      <c r="L1490">
        <v>4.4999999999999998E-2</v>
      </c>
      <c r="M1490">
        <v>5</v>
      </c>
      <c r="N1490">
        <v>500</v>
      </c>
      <c r="O1490">
        <v>2</v>
      </c>
      <c r="P1490">
        <v>0.45</v>
      </c>
      <c r="Q1490">
        <v>2</v>
      </c>
      <c r="R1490">
        <v>7.7499999999999999E-3</v>
      </c>
      <c r="T1490" t="s">
        <v>4388</v>
      </c>
    </row>
    <row r="1491" spans="1:20" x14ac:dyDescent="0.2">
      <c r="A1491" t="s">
        <v>4390</v>
      </c>
      <c r="B1491" t="s">
        <v>2022</v>
      </c>
      <c r="C1491" t="s">
        <v>2173</v>
      </c>
      <c r="D1491" t="s">
        <v>2136</v>
      </c>
      <c r="E1491" t="s">
        <v>4391</v>
      </c>
      <c r="F1491" t="s">
        <v>447</v>
      </c>
      <c r="G1491">
        <v>1</v>
      </c>
      <c r="H1491">
        <v>1882.5</v>
      </c>
      <c r="I1491">
        <v>1</v>
      </c>
      <c r="J1491">
        <v>3.65</v>
      </c>
      <c r="K1491">
        <v>1</v>
      </c>
      <c r="L1491">
        <v>1.4999999999999999E-2</v>
      </c>
      <c r="M1491">
        <v>1</v>
      </c>
      <c r="N1491">
        <v>96.5</v>
      </c>
      <c r="O1491">
        <v>1</v>
      </c>
      <c r="P1491">
        <v>0.15</v>
      </c>
      <c r="Q1491">
        <v>1</v>
      </c>
      <c r="R1491">
        <v>6.4999999999999997E-4</v>
      </c>
      <c r="T1491" t="s">
        <v>4391</v>
      </c>
    </row>
    <row r="1492" spans="1:20" x14ac:dyDescent="0.2">
      <c r="A1492" t="s">
        <v>4392</v>
      </c>
      <c r="B1492" t="s">
        <v>2022</v>
      </c>
      <c r="C1492" t="s">
        <v>2023</v>
      </c>
      <c r="D1492" t="s">
        <v>2136</v>
      </c>
      <c r="E1492" t="s">
        <v>4393</v>
      </c>
      <c r="F1492" t="s">
        <v>4394</v>
      </c>
      <c r="G1492">
        <v>2</v>
      </c>
      <c r="H1492">
        <v>1560</v>
      </c>
      <c r="I1492">
        <v>2</v>
      </c>
      <c r="J1492">
        <v>3.4</v>
      </c>
      <c r="K1492">
        <v>2</v>
      </c>
      <c r="L1492">
        <v>2.5999999999999999E-2</v>
      </c>
      <c r="M1492">
        <v>2</v>
      </c>
      <c r="N1492">
        <v>84</v>
      </c>
      <c r="O1492">
        <v>1</v>
      </c>
      <c r="P1492">
        <v>7.4999999999999997E-2</v>
      </c>
      <c r="Q1492">
        <v>2</v>
      </c>
      <c r="R1492">
        <v>2E-3</v>
      </c>
      <c r="T1492" t="s">
        <v>4393</v>
      </c>
    </row>
    <row r="1493" spans="1:20" x14ac:dyDescent="0.2">
      <c r="A1493" t="s">
        <v>4395</v>
      </c>
      <c r="B1493" t="s">
        <v>2022</v>
      </c>
      <c r="C1493" t="s">
        <v>2023</v>
      </c>
      <c r="D1493" t="s">
        <v>2024</v>
      </c>
      <c r="E1493" t="s">
        <v>4396</v>
      </c>
      <c r="F1493" t="s">
        <v>4397</v>
      </c>
      <c r="G1493">
        <v>3</v>
      </c>
      <c r="H1493">
        <v>1640</v>
      </c>
      <c r="I1493">
        <v>5</v>
      </c>
      <c r="J1493">
        <v>10.9</v>
      </c>
      <c r="K1493">
        <v>5</v>
      </c>
      <c r="L1493">
        <v>8.5999999999999993E-2</v>
      </c>
      <c r="M1493">
        <v>4</v>
      </c>
      <c r="N1493">
        <v>104</v>
      </c>
      <c r="O1493">
        <v>5</v>
      </c>
      <c r="P1493">
        <v>0.67500000000000004</v>
      </c>
      <c r="Q1493">
        <v>5</v>
      </c>
      <c r="R1493">
        <v>8.0000000000000002E-3</v>
      </c>
      <c r="T1493" t="s">
        <v>4396</v>
      </c>
    </row>
    <row r="1494" spans="1:20" x14ac:dyDescent="0.2">
      <c r="A1494" t="s">
        <v>4398</v>
      </c>
      <c r="B1494" t="s">
        <v>2022</v>
      </c>
      <c r="C1494" t="s">
        <v>2222</v>
      </c>
      <c r="D1494" t="s">
        <v>2136</v>
      </c>
      <c r="E1494" t="s">
        <v>357</v>
      </c>
      <c r="F1494" t="s">
        <v>447</v>
      </c>
      <c r="G1494">
        <v>5</v>
      </c>
      <c r="H1494">
        <v>1850</v>
      </c>
      <c r="I1494">
        <v>1</v>
      </c>
      <c r="J1494">
        <v>2.2999999999999998</v>
      </c>
      <c r="K1494">
        <v>2</v>
      </c>
      <c r="L1494">
        <v>5.5E-2</v>
      </c>
      <c r="M1494">
        <v>1</v>
      </c>
      <c r="N1494">
        <v>59</v>
      </c>
      <c r="O1494">
        <v>1</v>
      </c>
      <c r="P1494">
        <v>7.0000000000000007E-2</v>
      </c>
      <c r="Q1494">
        <v>1</v>
      </c>
      <c r="R1494">
        <v>4.0000000000000002E-4</v>
      </c>
      <c r="T1494" t="s">
        <v>357</v>
      </c>
    </row>
    <row r="1495" spans="1:20" x14ac:dyDescent="0.2">
      <c r="A1495" t="s">
        <v>4399</v>
      </c>
      <c r="B1495" t="s">
        <v>2022</v>
      </c>
      <c r="C1495" t="s">
        <v>2053</v>
      </c>
      <c r="D1495" t="s">
        <v>2024</v>
      </c>
      <c r="E1495" t="s">
        <v>4400</v>
      </c>
      <c r="F1495" t="s">
        <v>4401</v>
      </c>
      <c r="G1495">
        <v>1</v>
      </c>
      <c r="H1495">
        <v>1500</v>
      </c>
      <c r="I1495">
        <v>2</v>
      </c>
      <c r="J1495">
        <v>4.05</v>
      </c>
      <c r="K1495">
        <v>3</v>
      </c>
      <c r="L1495">
        <v>0.19500000000000001</v>
      </c>
      <c r="M1495">
        <v>5</v>
      </c>
      <c r="N1495">
        <v>113</v>
      </c>
      <c r="O1495">
        <v>3</v>
      </c>
      <c r="P1495">
        <v>0.375</v>
      </c>
      <c r="Q1495">
        <v>3</v>
      </c>
      <c r="R1495">
        <v>1.2200000000000001E-2</v>
      </c>
      <c r="T1495" t="s">
        <v>4400</v>
      </c>
    </row>
    <row r="1496" spans="1:20" x14ac:dyDescent="0.2">
      <c r="A1496" t="s">
        <v>4402</v>
      </c>
      <c r="B1496" t="s">
        <v>2022</v>
      </c>
      <c r="C1496" t="s">
        <v>2257</v>
      </c>
      <c r="D1496" t="s">
        <v>2024</v>
      </c>
      <c r="E1496" t="s">
        <v>4403</v>
      </c>
      <c r="F1496" t="s">
        <v>4404</v>
      </c>
      <c r="G1496">
        <v>1</v>
      </c>
      <c r="H1496">
        <v>900</v>
      </c>
      <c r="I1496">
        <v>4</v>
      </c>
      <c r="J1496">
        <v>4.3499999999999996</v>
      </c>
      <c r="K1496">
        <v>4</v>
      </c>
      <c r="L1496">
        <v>0.13700000000000001</v>
      </c>
      <c r="M1496">
        <v>1</v>
      </c>
      <c r="N1496">
        <v>300</v>
      </c>
      <c r="O1496">
        <v>3</v>
      </c>
      <c r="P1496">
        <v>1.5</v>
      </c>
      <c r="Q1496">
        <v>4</v>
      </c>
      <c r="R1496">
        <v>5.8999999999999997E-2</v>
      </c>
      <c r="T1496" t="s">
        <v>4403</v>
      </c>
    </row>
    <row r="1497" spans="1:20" x14ac:dyDescent="0.2">
      <c r="A1497" t="s">
        <v>4405</v>
      </c>
      <c r="B1497" t="s">
        <v>2022</v>
      </c>
      <c r="C1497" t="s">
        <v>2049</v>
      </c>
      <c r="D1497" t="s">
        <v>2024</v>
      </c>
      <c r="E1497" t="s">
        <v>4406</v>
      </c>
      <c r="F1497" t="s">
        <v>4407</v>
      </c>
      <c r="G1497">
        <v>4</v>
      </c>
      <c r="H1497">
        <v>1650</v>
      </c>
      <c r="I1497">
        <v>3</v>
      </c>
      <c r="J1497">
        <v>5</v>
      </c>
      <c r="K1497">
        <v>4</v>
      </c>
      <c r="L1497">
        <v>0.22</v>
      </c>
      <c r="M1497">
        <v>5</v>
      </c>
      <c r="N1497">
        <v>166</v>
      </c>
      <c r="O1497">
        <v>4</v>
      </c>
      <c r="P1497">
        <v>0.66</v>
      </c>
      <c r="Q1497">
        <v>5</v>
      </c>
      <c r="R1497">
        <v>3.32E-2</v>
      </c>
      <c r="T1497" t="s">
        <v>4406</v>
      </c>
    </row>
    <row r="1498" spans="1:20" x14ac:dyDescent="0.2">
      <c r="A1498" t="s">
        <v>4408</v>
      </c>
      <c r="B1498" t="s">
        <v>2022</v>
      </c>
      <c r="C1498" t="s">
        <v>2023</v>
      </c>
      <c r="D1498" t="s">
        <v>2154</v>
      </c>
      <c r="E1498" t="s">
        <v>4409</v>
      </c>
      <c r="F1498" t="s">
        <v>4410</v>
      </c>
      <c r="G1498">
        <v>1</v>
      </c>
      <c r="H1498">
        <v>1480</v>
      </c>
      <c r="I1498">
        <v>5</v>
      </c>
      <c r="J1498">
        <v>10.9</v>
      </c>
      <c r="K1498">
        <v>5</v>
      </c>
      <c r="L1498">
        <v>8.5999999999999993E-2</v>
      </c>
      <c r="M1498">
        <v>1</v>
      </c>
      <c r="N1498">
        <v>74</v>
      </c>
      <c r="O1498">
        <v>5</v>
      </c>
      <c r="P1498">
        <v>0.67500000000000004</v>
      </c>
      <c r="Q1498">
        <v>5</v>
      </c>
      <c r="R1498">
        <v>8.0000000000000002E-3</v>
      </c>
      <c r="T1498" t="s">
        <v>4409</v>
      </c>
    </row>
    <row r="1499" spans="1:20" x14ac:dyDescent="0.2">
      <c r="A1499" t="s">
        <v>4411</v>
      </c>
      <c r="B1499" t="s">
        <v>2022</v>
      </c>
      <c r="C1499" t="s">
        <v>2023</v>
      </c>
      <c r="D1499" t="s">
        <v>2024</v>
      </c>
      <c r="E1499" t="s">
        <v>4412</v>
      </c>
      <c r="F1499" t="s">
        <v>4413</v>
      </c>
      <c r="G1499">
        <v>5</v>
      </c>
      <c r="H1499">
        <v>1800</v>
      </c>
      <c r="I1499">
        <v>4</v>
      </c>
      <c r="J1499">
        <v>8.4</v>
      </c>
      <c r="K1499">
        <v>5</v>
      </c>
      <c r="L1499">
        <v>8.5999999999999993E-2</v>
      </c>
      <c r="M1499">
        <v>3</v>
      </c>
      <c r="N1499">
        <v>94</v>
      </c>
      <c r="O1499">
        <v>3</v>
      </c>
      <c r="P1499">
        <v>0.375</v>
      </c>
      <c r="Q1499">
        <v>5</v>
      </c>
      <c r="R1499">
        <v>8.0000000000000002E-3</v>
      </c>
      <c r="T1499" t="s">
        <v>4412</v>
      </c>
    </row>
    <row r="1500" spans="1:20" x14ac:dyDescent="0.2">
      <c r="A1500" t="s">
        <v>4414</v>
      </c>
      <c r="B1500" t="s">
        <v>2022</v>
      </c>
      <c r="C1500" t="s">
        <v>2023</v>
      </c>
      <c r="D1500" t="s">
        <v>2024</v>
      </c>
      <c r="E1500" t="s">
        <v>4412</v>
      </c>
      <c r="F1500" t="s">
        <v>4413</v>
      </c>
      <c r="G1500">
        <v>3</v>
      </c>
      <c r="H1500">
        <v>1640</v>
      </c>
      <c r="I1500">
        <v>4</v>
      </c>
      <c r="J1500">
        <v>8.4</v>
      </c>
      <c r="K1500">
        <v>5</v>
      </c>
      <c r="L1500">
        <v>8.5999999999999993E-2</v>
      </c>
      <c r="M1500">
        <v>2</v>
      </c>
      <c r="N1500">
        <v>84</v>
      </c>
      <c r="O1500">
        <v>4</v>
      </c>
      <c r="P1500">
        <v>0.52500000000000002</v>
      </c>
      <c r="Q1500">
        <v>5</v>
      </c>
      <c r="R1500">
        <v>8.0000000000000002E-3</v>
      </c>
      <c r="T1500" t="s">
        <v>4412</v>
      </c>
    </row>
    <row r="1501" spans="1:20" x14ac:dyDescent="0.2">
      <c r="A1501" t="s">
        <v>4415</v>
      </c>
      <c r="B1501" t="s">
        <v>2022</v>
      </c>
      <c r="C1501" t="s">
        <v>2049</v>
      </c>
      <c r="D1501" t="s">
        <v>2024</v>
      </c>
      <c r="E1501" t="s">
        <v>4416</v>
      </c>
      <c r="F1501" t="s">
        <v>447</v>
      </c>
      <c r="G1501">
        <v>5</v>
      </c>
      <c r="H1501">
        <v>1750</v>
      </c>
      <c r="I1501">
        <v>5</v>
      </c>
      <c r="J1501">
        <v>8.6</v>
      </c>
      <c r="K1501">
        <v>5</v>
      </c>
      <c r="L1501">
        <v>0.3</v>
      </c>
      <c r="M1501">
        <v>2</v>
      </c>
      <c r="N1501">
        <v>106</v>
      </c>
      <c r="O1501">
        <v>3</v>
      </c>
      <c r="P1501">
        <v>0.46</v>
      </c>
      <c r="Q1501">
        <v>3</v>
      </c>
      <c r="R1501">
        <v>1.52E-2</v>
      </c>
      <c r="T1501" t="s">
        <v>4416</v>
      </c>
    </row>
    <row r="1502" spans="1:20" x14ac:dyDescent="0.2">
      <c r="A1502" t="s">
        <v>4417</v>
      </c>
      <c r="B1502" t="s">
        <v>2022</v>
      </c>
      <c r="C1502" t="s">
        <v>2023</v>
      </c>
      <c r="D1502" t="s">
        <v>2154</v>
      </c>
      <c r="E1502" t="s">
        <v>4418</v>
      </c>
      <c r="F1502" t="s">
        <v>4419</v>
      </c>
      <c r="G1502">
        <v>2</v>
      </c>
      <c r="H1502">
        <v>1560</v>
      </c>
      <c r="I1502">
        <v>3</v>
      </c>
      <c r="J1502">
        <v>5.9</v>
      </c>
      <c r="K1502">
        <v>4</v>
      </c>
      <c r="L1502">
        <v>6.6000000000000003E-2</v>
      </c>
      <c r="M1502">
        <v>2</v>
      </c>
      <c r="N1502">
        <v>84</v>
      </c>
      <c r="O1502">
        <v>2</v>
      </c>
      <c r="P1502">
        <v>0.22500000000000001</v>
      </c>
      <c r="Q1502">
        <v>3</v>
      </c>
      <c r="R1502">
        <v>4.0000000000000001E-3</v>
      </c>
      <c r="T1502" t="s">
        <v>4418</v>
      </c>
    </row>
    <row r="1503" spans="1:20" x14ac:dyDescent="0.2">
      <c r="A1503" t="s">
        <v>4420</v>
      </c>
      <c r="B1503" t="s">
        <v>2022</v>
      </c>
      <c r="C1503" t="s">
        <v>2053</v>
      </c>
      <c r="D1503" t="s">
        <v>2024</v>
      </c>
      <c r="E1503" t="s">
        <v>4421</v>
      </c>
      <c r="F1503" t="s">
        <v>4422</v>
      </c>
      <c r="G1503">
        <v>2</v>
      </c>
      <c r="H1503">
        <v>1600</v>
      </c>
      <c r="I1503">
        <v>4</v>
      </c>
      <c r="J1503">
        <v>9.0500000000000007</v>
      </c>
      <c r="K1503">
        <v>1</v>
      </c>
      <c r="L1503">
        <v>1.4999999999999999E-2</v>
      </c>
      <c r="M1503">
        <v>4</v>
      </c>
      <c r="N1503">
        <v>103</v>
      </c>
      <c r="O1503">
        <v>4</v>
      </c>
      <c r="P1503">
        <v>0.52500000000000002</v>
      </c>
      <c r="Q1503">
        <v>2</v>
      </c>
      <c r="R1503">
        <v>5.1999999999999998E-3</v>
      </c>
      <c r="T1503" t="s">
        <v>4421</v>
      </c>
    </row>
    <row r="1504" spans="1:20" x14ac:dyDescent="0.2">
      <c r="A1504" t="s">
        <v>4423</v>
      </c>
      <c r="B1504" t="s">
        <v>2022</v>
      </c>
      <c r="C1504" t="s">
        <v>2023</v>
      </c>
      <c r="D1504" t="s">
        <v>2024</v>
      </c>
      <c r="E1504" t="s">
        <v>4424</v>
      </c>
      <c r="F1504" t="s">
        <v>4425</v>
      </c>
      <c r="G1504">
        <v>5</v>
      </c>
      <c r="H1504">
        <v>1800</v>
      </c>
      <c r="I1504">
        <v>1</v>
      </c>
      <c r="J1504">
        <v>0.9</v>
      </c>
      <c r="K1504">
        <v>1</v>
      </c>
      <c r="L1504">
        <v>6.0000000000000001E-3</v>
      </c>
      <c r="M1504">
        <v>2</v>
      </c>
      <c r="N1504">
        <v>84</v>
      </c>
      <c r="O1504">
        <v>1</v>
      </c>
      <c r="P1504">
        <v>7.4999999999999997E-2</v>
      </c>
      <c r="Q1504">
        <v>1</v>
      </c>
      <c r="R1504">
        <v>5.0000000000000001E-4</v>
      </c>
      <c r="T1504" t="s">
        <v>4424</v>
      </c>
    </row>
    <row r="1505" spans="1:20" x14ac:dyDescent="0.2">
      <c r="A1505" t="s">
        <v>4426</v>
      </c>
      <c r="B1505" t="s">
        <v>2022</v>
      </c>
      <c r="C1505" t="s">
        <v>2023</v>
      </c>
      <c r="D1505" t="s">
        <v>2024</v>
      </c>
      <c r="E1505" t="s">
        <v>4427</v>
      </c>
      <c r="F1505" t="s">
        <v>4428</v>
      </c>
      <c r="G1505">
        <v>5</v>
      </c>
      <c r="H1505">
        <v>1800</v>
      </c>
      <c r="I1505">
        <v>4</v>
      </c>
      <c r="J1505">
        <v>8.4</v>
      </c>
      <c r="K1505">
        <v>3</v>
      </c>
      <c r="L1505">
        <v>4.5999999999999999E-2</v>
      </c>
      <c r="M1505">
        <v>4</v>
      </c>
      <c r="N1505">
        <v>104</v>
      </c>
      <c r="O1505">
        <v>3</v>
      </c>
      <c r="P1505">
        <v>0.375</v>
      </c>
      <c r="Q1505">
        <v>2</v>
      </c>
      <c r="R1505">
        <v>2E-3</v>
      </c>
      <c r="T1505" t="s">
        <v>4427</v>
      </c>
    </row>
    <row r="1506" spans="1:20" x14ac:dyDescent="0.2">
      <c r="A1506" t="s">
        <v>4429</v>
      </c>
      <c r="B1506" t="s">
        <v>2022</v>
      </c>
      <c r="C1506" t="s">
        <v>2023</v>
      </c>
      <c r="D1506" t="s">
        <v>2024</v>
      </c>
      <c r="E1506" t="s">
        <v>4430</v>
      </c>
      <c r="F1506" t="s">
        <v>4431</v>
      </c>
      <c r="G1506">
        <v>2</v>
      </c>
      <c r="H1506">
        <v>1560</v>
      </c>
      <c r="I1506">
        <v>1</v>
      </c>
      <c r="J1506">
        <v>0.9</v>
      </c>
      <c r="K1506">
        <v>2</v>
      </c>
      <c r="L1506">
        <v>2.5999999999999999E-2</v>
      </c>
      <c r="M1506">
        <v>1</v>
      </c>
      <c r="N1506">
        <v>74</v>
      </c>
      <c r="O1506">
        <v>1</v>
      </c>
      <c r="P1506">
        <v>7.4999999999999997E-2</v>
      </c>
      <c r="Q1506">
        <v>1</v>
      </c>
      <c r="R1506">
        <v>5.0000000000000001E-4</v>
      </c>
      <c r="T1506" t="s">
        <v>4430</v>
      </c>
    </row>
    <row r="1507" spans="1:20" x14ac:dyDescent="0.2">
      <c r="A1507" t="s">
        <v>4432</v>
      </c>
      <c r="B1507" t="s">
        <v>2022</v>
      </c>
      <c r="C1507" t="s">
        <v>2023</v>
      </c>
      <c r="D1507" t="s">
        <v>2024</v>
      </c>
      <c r="E1507" t="s">
        <v>4433</v>
      </c>
      <c r="F1507" t="s">
        <v>4434</v>
      </c>
      <c r="G1507">
        <v>1</v>
      </c>
      <c r="H1507">
        <v>1480</v>
      </c>
      <c r="I1507">
        <v>2</v>
      </c>
      <c r="J1507">
        <v>3.4</v>
      </c>
      <c r="K1507">
        <v>2</v>
      </c>
      <c r="L1507">
        <v>2.5999999999999999E-2</v>
      </c>
      <c r="M1507">
        <v>2</v>
      </c>
      <c r="N1507">
        <v>84</v>
      </c>
      <c r="O1507">
        <v>1</v>
      </c>
      <c r="P1507">
        <v>7.4999999999999997E-2</v>
      </c>
      <c r="Q1507">
        <v>2</v>
      </c>
      <c r="R1507">
        <v>2E-3</v>
      </c>
      <c r="T1507" t="s">
        <v>4433</v>
      </c>
    </row>
    <row r="1508" spans="1:20" x14ac:dyDescent="0.2">
      <c r="A1508" t="s">
        <v>4435</v>
      </c>
      <c r="B1508" t="s">
        <v>2022</v>
      </c>
      <c r="C1508" t="s">
        <v>2023</v>
      </c>
      <c r="D1508" t="s">
        <v>2024</v>
      </c>
      <c r="E1508" t="s">
        <v>4436</v>
      </c>
      <c r="F1508" t="s">
        <v>4437</v>
      </c>
      <c r="G1508">
        <v>2</v>
      </c>
      <c r="H1508">
        <v>1560</v>
      </c>
      <c r="I1508">
        <v>2</v>
      </c>
      <c r="J1508">
        <v>3.4</v>
      </c>
      <c r="K1508">
        <v>1</v>
      </c>
      <c r="L1508">
        <v>6.0000000000000001E-3</v>
      </c>
      <c r="M1508">
        <v>4</v>
      </c>
      <c r="N1508">
        <v>104</v>
      </c>
      <c r="O1508">
        <v>2</v>
      </c>
      <c r="P1508">
        <v>0.22500000000000001</v>
      </c>
      <c r="Q1508">
        <v>1</v>
      </c>
      <c r="R1508">
        <v>5.0000000000000001E-4</v>
      </c>
      <c r="T1508" t="s">
        <v>4436</v>
      </c>
    </row>
    <row r="1509" spans="1:20" x14ac:dyDescent="0.2">
      <c r="A1509" t="s">
        <v>4438</v>
      </c>
      <c r="B1509" t="s">
        <v>2022</v>
      </c>
      <c r="C1509" t="s">
        <v>2053</v>
      </c>
      <c r="D1509" t="s">
        <v>2024</v>
      </c>
      <c r="E1509" t="s">
        <v>4439</v>
      </c>
      <c r="F1509" t="s">
        <v>4440</v>
      </c>
      <c r="G1509">
        <v>1</v>
      </c>
      <c r="H1509">
        <v>1500</v>
      </c>
      <c r="I1509">
        <v>1</v>
      </c>
      <c r="J1509">
        <v>1.55</v>
      </c>
      <c r="K1509">
        <v>1</v>
      </c>
      <c r="L1509">
        <v>1.4999999999999999E-2</v>
      </c>
      <c r="M1509">
        <v>4</v>
      </c>
      <c r="N1509">
        <v>103</v>
      </c>
      <c r="O1509">
        <v>1</v>
      </c>
      <c r="P1509">
        <v>7.4999999999999997E-2</v>
      </c>
      <c r="Q1509">
        <v>1</v>
      </c>
      <c r="R1509">
        <v>8.4999999999999995E-4</v>
      </c>
      <c r="T1509" t="s">
        <v>4439</v>
      </c>
    </row>
    <row r="1510" spans="1:20" x14ac:dyDescent="0.2">
      <c r="A1510" t="s">
        <v>4441</v>
      </c>
      <c r="B1510" t="s">
        <v>2022</v>
      </c>
      <c r="C1510" t="s">
        <v>2053</v>
      </c>
      <c r="D1510" t="s">
        <v>2024</v>
      </c>
      <c r="E1510" t="s">
        <v>357</v>
      </c>
      <c r="F1510" t="s">
        <v>4442</v>
      </c>
      <c r="G1510">
        <v>5</v>
      </c>
      <c r="H1510">
        <v>1900</v>
      </c>
      <c r="I1510">
        <v>4</v>
      </c>
      <c r="J1510">
        <v>9.0500000000000007</v>
      </c>
      <c r="K1510">
        <v>4</v>
      </c>
      <c r="L1510">
        <v>0.30499999999999999</v>
      </c>
      <c r="M1510">
        <v>4</v>
      </c>
      <c r="N1510">
        <v>103</v>
      </c>
      <c r="O1510">
        <v>4</v>
      </c>
      <c r="P1510">
        <v>0.52500000000000002</v>
      </c>
      <c r="Q1510">
        <v>3</v>
      </c>
      <c r="R1510">
        <v>1.2200000000000001E-2</v>
      </c>
      <c r="T1510" t="s">
        <v>357</v>
      </c>
    </row>
    <row r="1511" spans="1:20" x14ac:dyDescent="0.2">
      <c r="A1511" t="s">
        <v>4443</v>
      </c>
      <c r="B1511" t="s">
        <v>2022</v>
      </c>
      <c r="C1511" t="s">
        <v>2173</v>
      </c>
      <c r="D1511" t="s">
        <v>2024</v>
      </c>
      <c r="E1511" t="s">
        <v>4444</v>
      </c>
      <c r="F1511" t="s">
        <v>4445</v>
      </c>
      <c r="G1511">
        <v>3</v>
      </c>
      <c r="H1511">
        <v>2032.5</v>
      </c>
      <c r="I1511">
        <v>5</v>
      </c>
      <c r="J1511">
        <v>14.45</v>
      </c>
      <c r="K1511">
        <v>3</v>
      </c>
      <c r="L1511">
        <v>0.21</v>
      </c>
      <c r="M1511">
        <v>4</v>
      </c>
      <c r="N1511">
        <v>129.5</v>
      </c>
      <c r="O1511">
        <v>5</v>
      </c>
      <c r="P1511">
        <v>0.87</v>
      </c>
      <c r="Q1511">
        <v>3</v>
      </c>
      <c r="R1511">
        <v>1.18E-2</v>
      </c>
      <c r="T1511" t="s">
        <v>4444</v>
      </c>
    </row>
    <row r="1512" spans="1:20" x14ac:dyDescent="0.2">
      <c r="A1512" t="s">
        <v>4446</v>
      </c>
      <c r="B1512" t="s">
        <v>2022</v>
      </c>
      <c r="C1512" t="s">
        <v>2023</v>
      </c>
      <c r="D1512" t="s">
        <v>2024</v>
      </c>
      <c r="E1512" t="s">
        <v>4447</v>
      </c>
      <c r="F1512" t="s">
        <v>4448</v>
      </c>
      <c r="G1512">
        <v>1</v>
      </c>
      <c r="H1512">
        <v>1480</v>
      </c>
      <c r="I1512">
        <v>2</v>
      </c>
      <c r="J1512">
        <v>3.4</v>
      </c>
      <c r="K1512">
        <v>3</v>
      </c>
      <c r="L1512">
        <v>4.5999999999999999E-2</v>
      </c>
      <c r="M1512">
        <v>5</v>
      </c>
      <c r="N1512">
        <v>114</v>
      </c>
      <c r="O1512">
        <v>2</v>
      </c>
      <c r="P1512">
        <v>0.22500000000000001</v>
      </c>
      <c r="Q1512">
        <v>3</v>
      </c>
      <c r="R1512">
        <v>4.0000000000000001E-3</v>
      </c>
      <c r="T1512" t="s">
        <v>4447</v>
      </c>
    </row>
    <row r="1513" spans="1:20" x14ac:dyDescent="0.2">
      <c r="A1513" t="s">
        <v>4449</v>
      </c>
      <c r="B1513" t="s">
        <v>2022</v>
      </c>
      <c r="C1513" t="s">
        <v>2104</v>
      </c>
      <c r="D1513" t="s">
        <v>2024</v>
      </c>
      <c r="E1513" t="s">
        <v>4450</v>
      </c>
      <c r="F1513" t="s">
        <v>4451</v>
      </c>
      <c r="G1513">
        <v>1</v>
      </c>
      <c r="H1513">
        <v>1537.5</v>
      </c>
      <c r="I1513">
        <v>1</v>
      </c>
      <c r="J1513">
        <v>0.95</v>
      </c>
      <c r="K1513">
        <v>1</v>
      </c>
      <c r="L1513">
        <v>8.0000000000000002E-3</v>
      </c>
      <c r="M1513">
        <v>5</v>
      </c>
      <c r="N1513">
        <v>89</v>
      </c>
      <c r="P1513">
        <v>0</v>
      </c>
      <c r="Q1513">
        <v>2</v>
      </c>
      <c r="R1513">
        <v>3.2000000000000002E-3</v>
      </c>
      <c r="T1513" t="s">
        <v>4450</v>
      </c>
    </row>
    <row r="1514" spans="1:20" x14ac:dyDescent="0.2">
      <c r="A1514" t="s">
        <v>4452</v>
      </c>
      <c r="B1514" t="s">
        <v>2022</v>
      </c>
      <c r="C1514" t="s">
        <v>2053</v>
      </c>
      <c r="D1514" t="s">
        <v>2024</v>
      </c>
      <c r="E1514" t="s">
        <v>4453</v>
      </c>
      <c r="F1514" t="s">
        <v>4454</v>
      </c>
      <c r="G1514">
        <v>3</v>
      </c>
      <c r="H1514">
        <v>1700</v>
      </c>
      <c r="I1514">
        <v>2</v>
      </c>
      <c r="J1514">
        <v>4.05</v>
      </c>
      <c r="K1514">
        <v>2</v>
      </c>
      <c r="L1514">
        <v>8.5000000000000006E-2</v>
      </c>
      <c r="M1514">
        <v>2</v>
      </c>
      <c r="N1514">
        <v>83</v>
      </c>
      <c r="O1514">
        <v>2</v>
      </c>
      <c r="P1514">
        <v>0.22500000000000001</v>
      </c>
      <c r="Q1514">
        <v>2</v>
      </c>
      <c r="R1514">
        <v>5.1999999999999998E-3</v>
      </c>
      <c r="T1514" t="s">
        <v>4453</v>
      </c>
    </row>
    <row r="1515" spans="1:20" x14ac:dyDescent="0.2">
      <c r="A1515" t="s">
        <v>4455</v>
      </c>
      <c r="B1515" t="s">
        <v>2022</v>
      </c>
      <c r="C1515" t="s">
        <v>2023</v>
      </c>
      <c r="D1515" t="s">
        <v>2024</v>
      </c>
      <c r="E1515" t="s">
        <v>4456</v>
      </c>
      <c r="F1515" t="s">
        <v>4457</v>
      </c>
      <c r="G1515">
        <v>5</v>
      </c>
      <c r="H1515">
        <v>1800</v>
      </c>
      <c r="I1515">
        <v>5</v>
      </c>
      <c r="J1515">
        <v>10.9</v>
      </c>
      <c r="K1515">
        <v>5</v>
      </c>
      <c r="L1515">
        <v>8.5999999999999993E-2</v>
      </c>
      <c r="M1515">
        <v>3</v>
      </c>
      <c r="N1515">
        <v>94</v>
      </c>
      <c r="O1515">
        <v>5</v>
      </c>
      <c r="P1515">
        <v>0.67500000000000004</v>
      </c>
      <c r="Q1515">
        <v>5</v>
      </c>
      <c r="R1515">
        <v>8.0000000000000002E-3</v>
      </c>
      <c r="T1515" t="s">
        <v>4456</v>
      </c>
    </row>
    <row r="1516" spans="1:20" x14ac:dyDescent="0.2">
      <c r="A1516" t="s">
        <v>4458</v>
      </c>
      <c r="B1516" t="s">
        <v>2022</v>
      </c>
      <c r="C1516" t="s">
        <v>2023</v>
      </c>
      <c r="D1516" t="s">
        <v>2024</v>
      </c>
      <c r="E1516" t="s">
        <v>4459</v>
      </c>
      <c r="F1516" t="s">
        <v>4460</v>
      </c>
      <c r="G1516">
        <v>5</v>
      </c>
      <c r="H1516">
        <v>1800</v>
      </c>
      <c r="I1516">
        <v>4</v>
      </c>
      <c r="J1516">
        <v>8.4</v>
      </c>
      <c r="K1516">
        <v>5</v>
      </c>
      <c r="L1516">
        <v>8.5999999999999993E-2</v>
      </c>
      <c r="M1516">
        <v>2</v>
      </c>
      <c r="N1516">
        <v>84</v>
      </c>
      <c r="O1516">
        <v>3</v>
      </c>
      <c r="P1516">
        <v>0.375</v>
      </c>
      <c r="Q1516">
        <v>5</v>
      </c>
      <c r="R1516">
        <v>8.0000000000000002E-3</v>
      </c>
      <c r="T1516" t="s">
        <v>4459</v>
      </c>
    </row>
    <row r="1517" spans="1:20" x14ac:dyDescent="0.2">
      <c r="A1517" t="s">
        <v>4461</v>
      </c>
      <c r="B1517" t="s">
        <v>2022</v>
      </c>
      <c r="C1517" t="s">
        <v>2023</v>
      </c>
      <c r="D1517" t="s">
        <v>2024</v>
      </c>
      <c r="E1517" t="s">
        <v>4462</v>
      </c>
      <c r="F1517" t="s">
        <v>4463</v>
      </c>
      <c r="G1517">
        <v>5</v>
      </c>
      <c r="H1517">
        <v>1800</v>
      </c>
      <c r="I1517">
        <v>5</v>
      </c>
      <c r="J1517">
        <v>10.9</v>
      </c>
      <c r="K1517">
        <v>5</v>
      </c>
      <c r="L1517">
        <v>8.5999999999999993E-2</v>
      </c>
      <c r="M1517">
        <v>4</v>
      </c>
      <c r="N1517">
        <v>104</v>
      </c>
      <c r="O1517">
        <v>5</v>
      </c>
      <c r="P1517">
        <v>0.67500000000000004</v>
      </c>
      <c r="Q1517">
        <v>5</v>
      </c>
      <c r="R1517">
        <v>8.0000000000000002E-3</v>
      </c>
      <c r="T1517" t="s">
        <v>4462</v>
      </c>
    </row>
    <row r="1518" spans="1:20" x14ac:dyDescent="0.2">
      <c r="A1518" t="s">
        <v>4464</v>
      </c>
      <c r="B1518" t="s">
        <v>2022</v>
      </c>
      <c r="C1518" t="s">
        <v>2036</v>
      </c>
      <c r="D1518" t="s">
        <v>2024</v>
      </c>
      <c r="E1518" t="s">
        <v>4465</v>
      </c>
      <c r="F1518" t="s">
        <v>4466</v>
      </c>
      <c r="G1518">
        <v>5</v>
      </c>
      <c r="H1518">
        <v>1940</v>
      </c>
      <c r="I1518">
        <v>5</v>
      </c>
      <c r="J1518">
        <v>7</v>
      </c>
      <c r="K1518">
        <v>5</v>
      </c>
      <c r="L1518">
        <v>0.17499999999999999</v>
      </c>
      <c r="M1518">
        <v>5</v>
      </c>
      <c r="N1518">
        <v>100</v>
      </c>
      <c r="O1518">
        <v>5</v>
      </c>
      <c r="P1518">
        <v>0.53500000000000003</v>
      </c>
      <c r="Q1518">
        <v>5</v>
      </c>
      <c r="R1518">
        <v>1.2E-2</v>
      </c>
      <c r="T1518" t="s">
        <v>4465</v>
      </c>
    </row>
    <row r="1519" spans="1:20" x14ac:dyDescent="0.2">
      <c r="A1519" t="s">
        <v>4467</v>
      </c>
      <c r="B1519" t="s">
        <v>2022</v>
      </c>
      <c r="C1519" t="s">
        <v>2036</v>
      </c>
      <c r="D1519" t="s">
        <v>2024</v>
      </c>
      <c r="E1519" t="s">
        <v>4468</v>
      </c>
      <c r="F1519" t="s">
        <v>4469</v>
      </c>
      <c r="G1519">
        <v>4</v>
      </c>
      <c r="H1519">
        <v>1840</v>
      </c>
      <c r="I1519">
        <v>1</v>
      </c>
      <c r="J1519">
        <v>2.2000000000000002</v>
      </c>
      <c r="K1519">
        <v>1</v>
      </c>
      <c r="L1519">
        <v>5.5E-2</v>
      </c>
      <c r="M1519">
        <v>5</v>
      </c>
      <c r="N1519">
        <v>100</v>
      </c>
      <c r="O1519">
        <v>1</v>
      </c>
      <c r="P1519">
        <v>9.5000000000000001E-2</v>
      </c>
      <c r="Q1519">
        <v>2</v>
      </c>
      <c r="R1519">
        <v>4.2500000000000003E-3</v>
      </c>
      <c r="T1519" t="s">
        <v>4468</v>
      </c>
    </row>
    <row r="1520" spans="1:20" x14ac:dyDescent="0.2">
      <c r="A1520" t="s">
        <v>4470</v>
      </c>
      <c r="B1520" t="s">
        <v>2022</v>
      </c>
      <c r="C1520" t="s">
        <v>2036</v>
      </c>
      <c r="D1520" t="s">
        <v>2024</v>
      </c>
      <c r="E1520" t="s">
        <v>4471</v>
      </c>
      <c r="F1520" t="s">
        <v>4472</v>
      </c>
      <c r="G1520">
        <v>2</v>
      </c>
      <c r="H1520">
        <v>1640</v>
      </c>
      <c r="I1520">
        <v>3</v>
      </c>
      <c r="J1520">
        <v>4.5999999999999996</v>
      </c>
      <c r="K1520">
        <v>2</v>
      </c>
      <c r="L1520">
        <v>8.5000000000000006E-2</v>
      </c>
      <c r="M1520">
        <v>2</v>
      </c>
      <c r="N1520">
        <v>82</v>
      </c>
      <c r="O1520">
        <v>2</v>
      </c>
      <c r="P1520">
        <v>0.20499999999999999</v>
      </c>
      <c r="Q1520">
        <v>2</v>
      </c>
      <c r="R1520">
        <v>4.2500000000000003E-3</v>
      </c>
      <c r="T1520" t="s">
        <v>4471</v>
      </c>
    </row>
    <row r="1521" spans="1:20" x14ac:dyDescent="0.2">
      <c r="A1521" t="s">
        <v>4473</v>
      </c>
      <c r="B1521" t="s">
        <v>2022</v>
      </c>
      <c r="C1521" t="s">
        <v>2049</v>
      </c>
      <c r="D1521" t="s">
        <v>2136</v>
      </c>
      <c r="E1521" t="s">
        <v>357</v>
      </c>
      <c r="F1521" t="s">
        <v>4474</v>
      </c>
      <c r="G1521">
        <v>2</v>
      </c>
      <c r="H1521">
        <v>1450</v>
      </c>
      <c r="I1521">
        <v>2</v>
      </c>
      <c r="J1521">
        <v>3.2</v>
      </c>
      <c r="K1521">
        <v>1</v>
      </c>
      <c r="L1521">
        <v>0.01</v>
      </c>
      <c r="M1521">
        <v>1</v>
      </c>
      <c r="N1521">
        <v>86</v>
      </c>
      <c r="O1521">
        <v>2</v>
      </c>
      <c r="P1521">
        <v>0.26</v>
      </c>
      <c r="Q1521">
        <v>1</v>
      </c>
      <c r="R1521">
        <v>8.4999999999999995E-4</v>
      </c>
      <c r="T1521" t="s">
        <v>357</v>
      </c>
    </row>
    <row r="1522" spans="1:20" x14ac:dyDescent="0.2">
      <c r="A1522" t="s">
        <v>4475</v>
      </c>
      <c r="B1522" t="s">
        <v>2022</v>
      </c>
      <c r="C1522" t="s">
        <v>2053</v>
      </c>
      <c r="D1522" t="s">
        <v>2024</v>
      </c>
      <c r="E1522" t="s">
        <v>4476</v>
      </c>
      <c r="F1522" t="s">
        <v>906</v>
      </c>
      <c r="G1522">
        <v>5</v>
      </c>
      <c r="H1522">
        <v>1900</v>
      </c>
      <c r="I1522">
        <v>2</v>
      </c>
      <c r="J1522">
        <v>4.05</v>
      </c>
      <c r="K1522">
        <v>2</v>
      </c>
      <c r="L1522">
        <v>8.5000000000000006E-2</v>
      </c>
      <c r="M1522">
        <v>5</v>
      </c>
      <c r="N1522">
        <v>113</v>
      </c>
      <c r="O1522">
        <v>2</v>
      </c>
      <c r="P1522">
        <v>0.22500000000000001</v>
      </c>
      <c r="Q1522">
        <v>2</v>
      </c>
      <c r="R1522">
        <v>5.1999999999999998E-3</v>
      </c>
      <c r="T1522" t="s">
        <v>4476</v>
      </c>
    </row>
    <row r="1523" spans="1:20" x14ac:dyDescent="0.2">
      <c r="A1523" t="s">
        <v>4477</v>
      </c>
      <c r="B1523" t="s">
        <v>2022</v>
      </c>
      <c r="C1523" t="s">
        <v>2053</v>
      </c>
      <c r="D1523" t="s">
        <v>2024</v>
      </c>
      <c r="E1523" t="s">
        <v>4478</v>
      </c>
      <c r="F1523" t="s">
        <v>4479</v>
      </c>
      <c r="G1523">
        <v>3</v>
      </c>
      <c r="H1523">
        <v>1700</v>
      </c>
      <c r="I1523">
        <v>3</v>
      </c>
      <c r="J1523">
        <v>6.55</v>
      </c>
      <c r="K1523">
        <v>3</v>
      </c>
      <c r="L1523">
        <v>0.19500000000000001</v>
      </c>
      <c r="M1523">
        <v>2</v>
      </c>
      <c r="N1523">
        <v>83</v>
      </c>
      <c r="O1523">
        <v>3</v>
      </c>
      <c r="P1523">
        <v>0.375</v>
      </c>
      <c r="Q1523">
        <v>3</v>
      </c>
      <c r="R1523">
        <v>1.2200000000000001E-2</v>
      </c>
      <c r="T1523" t="s">
        <v>4478</v>
      </c>
    </row>
    <row r="1524" spans="1:20" x14ac:dyDescent="0.2">
      <c r="A1524" t="s">
        <v>4480</v>
      </c>
      <c r="B1524" t="s">
        <v>2022</v>
      </c>
      <c r="C1524" t="s">
        <v>2222</v>
      </c>
      <c r="D1524" t="s">
        <v>2024</v>
      </c>
      <c r="E1524" t="s">
        <v>4481</v>
      </c>
      <c r="F1524" t="s">
        <v>4482</v>
      </c>
      <c r="G1524">
        <v>2</v>
      </c>
      <c r="H1524">
        <v>1550</v>
      </c>
      <c r="I1524">
        <v>2</v>
      </c>
      <c r="J1524">
        <v>3.9</v>
      </c>
      <c r="K1524">
        <v>2</v>
      </c>
      <c r="L1524">
        <v>5.5E-2</v>
      </c>
      <c r="M1524">
        <v>2</v>
      </c>
      <c r="N1524">
        <v>63</v>
      </c>
      <c r="O1524">
        <v>2</v>
      </c>
      <c r="P1524">
        <v>0.15</v>
      </c>
      <c r="Q1524">
        <v>2</v>
      </c>
      <c r="R1524">
        <v>2.3E-3</v>
      </c>
      <c r="T1524" t="s">
        <v>4481</v>
      </c>
    </row>
    <row r="1525" spans="1:20" x14ac:dyDescent="0.2">
      <c r="A1525" t="s">
        <v>4483</v>
      </c>
      <c r="B1525" t="s">
        <v>2022</v>
      </c>
      <c r="C1525" t="s">
        <v>2095</v>
      </c>
      <c r="D1525" t="s">
        <v>2024</v>
      </c>
      <c r="E1525" t="s">
        <v>4484</v>
      </c>
      <c r="F1525" t="s">
        <v>4485</v>
      </c>
      <c r="G1525">
        <v>4</v>
      </c>
      <c r="H1525">
        <v>1835</v>
      </c>
      <c r="I1525">
        <v>4</v>
      </c>
      <c r="J1525">
        <v>13.5</v>
      </c>
      <c r="K1525">
        <v>4</v>
      </c>
      <c r="L1525">
        <v>0.53</v>
      </c>
      <c r="M1525">
        <v>1</v>
      </c>
      <c r="N1525">
        <v>74</v>
      </c>
      <c r="O1525">
        <v>3</v>
      </c>
      <c r="P1525">
        <v>0.55000000000000004</v>
      </c>
      <c r="Q1525">
        <v>4</v>
      </c>
      <c r="R1525">
        <v>2.3900000000000001E-2</v>
      </c>
      <c r="T1525" t="s">
        <v>4484</v>
      </c>
    </row>
    <row r="1526" spans="1:20" x14ac:dyDescent="0.2">
      <c r="A1526" t="s">
        <v>4486</v>
      </c>
      <c r="B1526" t="s">
        <v>2022</v>
      </c>
      <c r="C1526" t="s">
        <v>2104</v>
      </c>
      <c r="D1526" t="s">
        <v>2024</v>
      </c>
      <c r="E1526" t="s">
        <v>272</v>
      </c>
      <c r="F1526" t="s">
        <v>4487</v>
      </c>
      <c r="G1526">
        <v>3</v>
      </c>
      <c r="H1526">
        <v>1887.5</v>
      </c>
      <c r="I1526">
        <v>2</v>
      </c>
      <c r="J1526">
        <v>3.25</v>
      </c>
      <c r="K1526">
        <v>2</v>
      </c>
      <c r="L1526">
        <v>4.1000000000000002E-2</v>
      </c>
      <c r="M1526">
        <v>3</v>
      </c>
      <c r="N1526">
        <v>73</v>
      </c>
      <c r="P1526">
        <v>0</v>
      </c>
      <c r="Q1526">
        <v>2</v>
      </c>
      <c r="R1526">
        <v>3.2000000000000002E-3</v>
      </c>
      <c r="T1526" t="s">
        <v>272</v>
      </c>
    </row>
    <row r="1527" spans="1:20" x14ac:dyDescent="0.2">
      <c r="A1527" t="s">
        <v>4488</v>
      </c>
      <c r="B1527" t="s">
        <v>2022</v>
      </c>
      <c r="C1527" t="s">
        <v>2023</v>
      </c>
      <c r="D1527" t="s">
        <v>2024</v>
      </c>
      <c r="E1527" t="s">
        <v>4489</v>
      </c>
      <c r="F1527" t="s">
        <v>4490</v>
      </c>
      <c r="G1527">
        <v>1</v>
      </c>
      <c r="H1527">
        <v>1480</v>
      </c>
      <c r="I1527">
        <v>1</v>
      </c>
      <c r="J1527">
        <v>0.9</v>
      </c>
      <c r="K1527">
        <v>2</v>
      </c>
      <c r="L1527">
        <v>2.5999999999999999E-2</v>
      </c>
      <c r="M1527">
        <v>1</v>
      </c>
      <c r="N1527">
        <v>74</v>
      </c>
      <c r="O1527">
        <v>1</v>
      </c>
      <c r="P1527">
        <v>7.4999999999999997E-2</v>
      </c>
      <c r="Q1527">
        <v>2</v>
      </c>
      <c r="R1527">
        <v>2E-3</v>
      </c>
      <c r="T1527" t="s">
        <v>4489</v>
      </c>
    </row>
    <row r="1528" spans="1:20" x14ac:dyDescent="0.2">
      <c r="A1528" t="s">
        <v>4491</v>
      </c>
      <c r="B1528" t="s">
        <v>2022</v>
      </c>
      <c r="C1528" t="s">
        <v>2023</v>
      </c>
      <c r="D1528" t="s">
        <v>2024</v>
      </c>
      <c r="E1528" t="s">
        <v>4492</v>
      </c>
      <c r="F1528" t="s">
        <v>4493</v>
      </c>
      <c r="G1528">
        <v>2</v>
      </c>
      <c r="H1528">
        <v>1560</v>
      </c>
      <c r="I1528">
        <v>1</v>
      </c>
      <c r="J1528">
        <v>0.9</v>
      </c>
      <c r="K1528">
        <v>2</v>
      </c>
      <c r="L1528">
        <v>2.5999999999999999E-2</v>
      </c>
      <c r="M1528">
        <v>5</v>
      </c>
      <c r="N1528">
        <v>114</v>
      </c>
      <c r="O1528">
        <v>2</v>
      </c>
      <c r="P1528">
        <v>0.22500000000000001</v>
      </c>
      <c r="Q1528">
        <v>3</v>
      </c>
      <c r="R1528">
        <v>4.0000000000000001E-3</v>
      </c>
      <c r="T1528" t="s">
        <v>4492</v>
      </c>
    </row>
    <row r="1529" spans="1:20" x14ac:dyDescent="0.2">
      <c r="A1529" t="s">
        <v>4494</v>
      </c>
      <c r="B1529" t="s">
        <v>2022</v>
      </c>
      <c r="C1529" t="s">
        <v>2036</v>
      </c>
      <c r="D1529" t="s">
        <v>2024</v>
      </c>
      <c r="E1529" t="s">
        <v>4495</v>
      </c>
      <c r="F1529" t="s">
        <v>4496</v>
      </c>
      <c r="G1529">
        <v>1</v>
      </c>
      <c r="H1529">
        <v>1540</v>
      </c>
      <c r="I1529">
        <v>1</v>
      </c>
      <c r="J1529">
        <v>2.2000000000000002</v>
      </c>
      <c r="K1529">
        <v>1</v>
      </c>
      <c r="L1529">
        <v>5.5E-2</v>
      </c>
      <c r="M1529">
        <v>1</v>
      </c>
      <c r="N1529">
        <v>76</v>
      </c>
      <c r="O1529">
        <v>1</v>
      </c>
      <c r="P1529">
        <v>9.5000000000000001E-2</v>
      </c>
      <c r="Q1529">
        <v>1</v>
      </c>
      <c r="R1529">
        <v>1.5E-3</v>
      </c>
      <c r="T1529" t="s">
        <v>4495</v>
      </c>
    </row>
    <row r="1530" spans="1:20" x14ac:dyDescent="0.2">
      <c r="A1530" t="s">
        <v>4497</v>
      </c>
      <c r="B1530" t="s">
        <v>2022</v>
      </c>
      <c r="C1530" t="s">
        <v>2095</v>
      </c>
      <c r="D1530" t="s">
        <v>2024</v>
      </c>
      <c r="E1530" t="s">
        <v>4498</v>
      </c>
      <c r="F1530" t="s">
        <v>4499</v>
      </c>
      <c r="G1530">
        <v>1</v>
      </c>
      <c r="H1530">
        <v>1565</v>
      </c>
      <c r="I1530">
        <v>1</v>
      </c>
      <c r="J1530">
        <v>4.5</v>
      </c>
      <c r="K1530">
        <v>1</v>
      </c>
      <c r="L1530">
        <v>1.4999999999999999E-2</v>
      </c>
      <c r="M1530">
        <v>1</v>
      </c>
      <c r="N1530">
        <v>74</v>
      </c>
      <c r="O1530">
        <v>1</v>
      </c>
      <c r="P1530">
        <v>0.15</v>
      </c>
      <c r="Q1530">
        <v>1</v>
      </c>
      <c r="R1530">
        <v>6.9999999999999999E-4</v>
      </c>
      <c r="T1530" t="s">
        <v>4498</v>
      </c>
    </row>
    <row r="1531" spans="1:20" x14ac:dyDescent="0.2">
      <c r="A1531" t="s">
        <v>4500</v>
      </c>
      <c r="B1531" t="s">
        <v>2022</v>
      </c>
      <c r="C1531" t="s">
        <v>2053</v>
      </c>
      <c r="D1531" t="s">
        <v>2024</v>
      </c>
      <c r="E1531" t="s">
        <v>255</v>
      </c>
      <c r="F1531" t="s">
        <v>4501</v>
      </c>
      <c r="G1531">
        <v>2</v>
      </c>
      <c r="H1531">
        <v>1600</v>
      </c>
      <c r="I1531">
        <v>3</v>
      </c>
      <c r="J1531">
        <v>6.55</v>
      </c>
      <c r="K1531">
        <v>3</v>
      </c>
      <c r="L1531">
        <v>0.19500000000000001</v>
      </c>
      <c r="M1531">
        <v>2</v>
      </c>
      <c r="N1531">
        <v>83</v>
      </c>
      <c r="O1531">
        <v>3</v>
      </c>
      <c r="P1531">
        <v>0.375</v>
      </c>
      <c r="Q1531">
        <v>2</v>
      </c>
      <c r="R1531">
        <v>5.1999999999999998E-3</v>
      </c>
      <c r="T1531" t="s">
        <v>255</v>
      </c>
    </row>
    <row r="1532" spans="1:20" x14ac:dyDescent="0.2">
      <c r="A1532" t="s">
        <v>4502</v>
      </c>
      <c r="B1532" t="s">
        <v>2022</v>
      </c>
      <c r="C1532" t="s">
        <v>2053</v>
      </c>
      <c r="D1532" t="s">
        <v>2024</v>
      </c>
      <c r="E1532" t="s">
        <v>4503</v>
      </c>
      <c r="F1532" t="s">
        <v>4504</v>
      </c>
      <c r="G1532">
        <v>2</v>
      </c>
      <c r="H1532">
        <v>1600</v>
      </c>
      <c r="I1532">
        <v>2</v>
      </c>
      <c r="J1532">
        <v>4.05</v>
      </c>
      <c r="K1532">
        <v>3</v>
      </c>
      <c r="L1532">
        <v>0.19500000000000001</v>
      </c>
      <c r="M1532">
        <v>5</v>
      </c>
      <c r="N1532">
        <v>113</v>
      </c>
      <c r="O1532">
        <v>3</v>
      </c>
      <c r="P1532">
        <v>0.375</v>
      </c>
      <c r="Q1532">
        <v>3</v>
      </c>
      <c r="R1532">
        <v>1.2200000000000001E-2</v>
      </c>
      <c r="T1532" t="s">
        <v>4503</v>
      </c>
    </row>
    <row r="1533" spans="1:20" x14ac:dyDescent="0.2">
      <c r="A1533" t="s">
        <v>4505</v>
      </c>
      <c r="B1533" t="s">
        <v>2022</v>
      </c>
      <c r="C1533" t="s">
        <v>2036</v>
      </c>
      <c r="D1533" t="s">
        <v>2024</v>
      </c>
      <c r="E1533" t="s">
        <v>4506</v>
      </c>
      <c r="F1533" t="s">
        <v>4507</v>
      </c>
      <c r="G1533">
        <v>2</v>
      </c>
      <c r="H1533">
        <v>1640</v>
      </c>
      <c r="I1533">
        <v>2</v>
      </c>
      <c r="J1533">
        <v>3.4</v>
      </c>
      <c r="K1533">
        <v>3</v>
      </c>
      <c r="L1533">
        <v>0.115</v>
      </c>
      <c r="M1533">
        <v>2</v>
      </c>
      <c r="N1533">
        <v>82</v>
      </c>
      <c r="O1533">
        <v>2</v>
      </c>
      <c r="P1533">
        <v>0.20499999999999999</v>
      </c>
      <c r="Q1533">
        <v>3</v>
      </c>
      <c r="R1533">
        <v>6.7499999999999999E-3</v>
      </c>
      <c r="T1533" t="s">
        <v>4506</v>
      </c>
    </row>
    <row r="1534" spans="1:20" x14ac:dyDescent="0.2">
      <c r="A1534" t="s">
        <v>4508</v>
      </c>
      <c r="B1534" t="s">
        <v>2022</v>
      </c>
      <c r="C1534" t="s">
        <v>2036</v>
      </c>
      <c r="D1534" t="s">
        <v>2136</v>
      </c>
      <c r="E1534" t="s">
        <v>4509</v>
      </c>
      <c r="F1534" t="s">
        <v>4510</v>
      </c>
      <c r="G1534">
        <v>3</v>
      </c>
      <c r="H1534">
        <v>1740</v>
      </c>
      <c r="I1534">
        <v>4</v>
      </c>
      <c r="J1534">
        <v>5.8</v>
      </c>
      <c r="K1534">
        <v>3</v>
      </c>
      <c r="L1534">
        <v>0.115</v>
      </c>
      <c r="M1534">
        <v>3</v>
      </c>
      <c r="N1534">
        <v>88</v>
      </c>
      <c r="O1534">
        <v>3</v>
      </c>
      <c r="P1534">
        <v>0.315</v>
      </c>
      <c r="Q1534">
        <v>2</v>
      </c>
      <c r="R1534">
        <v>4.2500000000000003E-3</v>
      </c>
      <c r="T1534" t="s">
        <v>4509</v>
      </c>
    </row>
    <row r="1535" spans="1:20" x14ac:dyDescent="0.2">
      <c r="A1535" t="s">
        <v>4511</v>
      </c>
      <c r="B1535" t="s">
        <v>2022</v>
      </c>
      <c r="C1535" t="s">
        <v>2101</v>
      </c>
      <c r="D1535" t="s">
        <v>2024</v>
      </c>
      <c r="E1535" t="s">
        <v>4512</v>
      </c>
      <c r="F1535" t="s">
        <v>4513</v>
      </c>
      <c r="G1535">
        <v>2</v>
      </c>
      <c r="H1535">
        <v>1670</v>
      </c>
      <c r="I1535">
        <v>4</v>
      </c>
      <c r="J1535">
        <v>11</v>
      </c>
      <c r="K1535">
        <v>4</v>
      </c>
      <c r="L1535">
        <v>0.39050000000000001</v>
      </c>
      <c r="M1535">
        <v>1</v>
      </c>
      <c r="N1535">
        <v>66</v>
      </c>
      <c r="O1535">
        <v>3</v>
      </c>
      <c r="P1535">
        <v>0.375</v>
      </c>
      <c r="Q1535">
        <v>3</v>
      </c>
      <c r="R1535">
        <v>1.15E-2</v>
      </c>
      <c r="T1535" t="s">
        <v>4512</v>
      </c>
    </row>
    <row r="1536" spans="1:20" x14ac:dyDescent="0.2">
      <c r="A1536" t="s">
        <v>4514</v>
      </c>
      <c r="B1536" t="s">
        <v>2022</v>
      </c>
      <c r="C1536" t="s">
        <v>2023</v>
      </c>
      <c r="D1536" t="s">
        <v>2024</v>
      </c>
      <c r="E1536" t="s">
        <v>4515</v>
      </c>
      <c r="F1536" t="s">
        <v>4516</v>
      </c>
      <c r="G1536">
        <v>2</v>
      </c>
      <c r="H1536">
        <v>1560</v>
      </c>
      <c r="I1536">
        <v>4</v>
      </c>
      <c r="J1536">
        <v>8.4</v>
      </c>
      <c r="K1536">
        <v>5</v>
      </c>
      <c r="L1536">
        <v>8.5999999999999993E-2</v>
      </c>
      <c r="M1536">
        <v>3</v>
      </c>
      <c r="N1536">
        <v>94</v>
      </c>
      <c r="O1536">
        <v>4</v>
      </c>
      <c r="P1536">
        <v>0.52500000000000002</v>
      </c>
      <c r="Q1536">
        <v>5</v>
      </c>
      <c r="R1536">
        <v>8.0000000000000002E-3</v>
      </c>
      <c r="T1536" t="s">
        <v>4515</v>
      </c>
    </row>
    <row r="1537" spans="1:20" x14ac:dyDescent="0.2">
      <c r="A1537" t="s">
        <v>4517</v>
      </c>
      <c r="B1537" t="s">
        <v>2022</v>
      </c>
      <c r="C1537" t="s">
        <v>2053</v>
      </c>
      <c r="D1537" t="s">
        <v>2024</v>
      </c>
      <c r="E1537" t="s">
        <v>4518</v>
      </c>
      <c r="F1537" t="s">
        <v>4519</v>
      </c>
      <c r="G1537">
        <v>2</v>
      </c>
      <c r="H1537">
        <v>1600</v>
      </c>
      <c r="I1537">
        <v>3</v>
      </c>
      <c r="J1537">
        <v>6.55</v>
      </c>
      <c r="K1537">
        <v>2</v>
      </c>
      <c r="L1537">
        <v>8.5000000000000006E-2</v>
      </c>
      <c r="M1537">
        <v>1</v>
      </c>
      <c r="N1537">
        <v>73</v>
      </c>
      <c r="O1537">
        <v>3</v>
      </c>
      <c r="P1537">
        <v>0.375</v>
      </c>
      <c r="Q1537">
        <v>2</v>
      </c>
      <c r="R1537">
        <v>5.1999999999999998E-3</v>
      </c>
      <c r="T1537" t="s">
        <v>4518</v>
      </c>
    </row>
    <row r="1538" spans="1:20" x14ac:dyDescent="0.2">
      <c r="A1538" t="s">
        <v>4520</v>
      </c>
      <c r="B1538" t="s">
        <v>2022</v>
      </c>
      <c r="C1538" t="s">
        <v>2036</v>
      </c>
      <c r="D1538" t="s">
        <v>2024</v>
      </c>
      <c r="E1538" t="s">
        <v>4521</v>
      </c>
      <c r="F1538" t="s">
        <v>4522</v>
      </c>
      <c r="G1538">
        <v>4</v>
      </c>
      <c r="H1538">
        <v>1840</v>
      </c>
      <c r="I1538">
        <v>2</v>
      </c>
      <c r="J1538">
        <v>3.4</v>
      </c>
      <c r="K1538">
        <v>4</v>
      </c>
      <c r="L1538">
        <v>0.14499999999999999</v>
      </c>
      <c r="M1538">
        <v>4</v>
      </c>
      <c r="N1538">
        <v>94</v>
      </c>
      <c r="O1538">
        <v>2</v>
      </c>
      <c r="P1538">
        <v>0.20499999999999999</v>
      </c>
      <c r="Q1538">
        <v>3</v>
      </c>
      <c r="R1538">
        <v>6.7499999999999999E-3</v>
      </c>
      <c r="T1538" t="s">
        <v>4521</v>
      </c>
    </row>
    <row r="1539" spans="1:20" x14ac:dyDescent="0.2">
      <c r="A1539" t="s">
        <v>4523</v>
      </c>
      <c r="B1539" t="s">
        <v>2022</v>
      </c>
      <c r="C1539" t="s">
        <v>2023</v>
      </c>
      <c r="D1539" t="s">
        <v>2024</v>
      </c>
      <c r="E1539" t="s">
        <v>4524</v>
      </c>
      <c r="F1539" t="s">
        <v>4525</v>
      </c>
      <c r="G1539">
        <v>4</v>
      </c>
      <c r="H1539">
        <v>1720</v>
      </c>
      <c r="I1539">
        <v>3</v>
      </c>
      <c r="J1539">
        <v>5.9</v>
      </c>
      <c r="K1539">
        <v>4</v>
      </c>
      <c r="L1539">
        <v>6.6000000000000003E-2</v>
      </c>
      <c r="M1539">
        <v>2</v>
      </c>
      <c r="N1539">
        <v>84</v>
      </c>
      <c r="O1539">
        <v>3</v>
      </c>
      <c r="P1539">
        <v>0.375</v>
      </c>
      <c r="Q1539">
        <v>3</v>
      </c>
      <c r="R1539">
        <v>4.0000000000000001E-3</v>
      </c>
      <c r="T1539" t="s">
        <v>4524</v>
      </c>
    </row>
    <row r="1540" spans="1:20" x14ac:dyDescent="0.2">
      <c r="A1540" t="s">
        <v>4526</v>
      </c>
      <c r="B1540" t="s">
        <v>2022</v>
      </c>
      <c r="C1540" t="s">
        <v>2023</v>
      </c>
      <c r="D1540" t="s">
        <v>2024</v>
      </c>
      <c r="E1540" t="s">
        <v>4527</v>
      </c>
      <c r="F1540" t="s">
        <v>4528</v>
      </c>
      <c r="G1540">
        <v>3</v>
      </c>
      <c r="H1540">
        <v>1640</v>
      </c>
      <c r="I1540">
        <v>4</v>
      </c>
      <c r="J1540">
        <v>8.4</v>
      </c>
      <c r="K1540">
        <v>5</v>
      </c>
      <c r="L1540">
        <v>8.5999999999999993E-2</v>
      </c>
      <c r="M1540">
        <v>4</v>
      </c>
      <c r="N1540">
        <v>104</v>
      </c>
      <c r="O1540">
        <v>4</v>
      </c>
      <c r="P1540">
        <v>0.52500000000000002</v>
      </c>
      <c r="Q1540">
        <v>5</v>
      </c>
      <c r="R1540">
        <v>8.0000000000000002E-3</v>
      </c>
      <c r="T1540" t="s">
        <v>4527</v>
      </c>
    </row>
    <row r="1541" spans="1:20" x14ac:dyDescent="0.2">
      <c r="A1541" t="s">
        <v>4529</v>
      </c>
      <c r="B1541" t="s">
        <v>2022</v>
      </c>
      <c r="C1541" t="s">
        <v>2023</v>
      </c>
      <c r="D1541" t="s">
        <v>2024</v>
      </c>
      <c r="E1541" t="s">
        <v>4530</v>
      </c>
      <c r="F1541" t="s">
        <v>4531</v>
      </c>
      <c r="G1541">
        <v>3</v>
      </c>
      <c r="H1541">
        <v>1640</v>
      </c>
      <c r="I1541">
        <v>2</v>
      </c>
      <c r="J1541">
        <v>3.4</v>
      </c>
      <c r="K1541">
        <v>2</v>
      </c>
      <c r="L1541">
        <v>2.5999999999999999E-2</v>
      </c>
      <c r="M1541">
        <v>2</v>
      </c>
      <c r="N1541">
        <v>84</v>
      </c>
      <c r="O1541">
        <v>2</v>
      </c>
      <c r="P1541">
        <v>0.22500000000000001</v>
      </c>
      <c r="Q1541">
        <v>1</v>
      </c>
      <c r="R1541">
        <v>5.0000000000000001E-4</v>
      </c>
      <c r="T1541" t="s">
        <v>4530</v>
      </c>
    </row>
    <row r="1542" spans="1:20" x14ac:dyDescent="0.2">
      <c r="A1542" t="s">
        <v>4532</v>
      </c>
      <c r="B1542" t="s">
        <v>2022</v>
      </c>
      <c r="C1542" t="s">
        <v>2023</v>
      </c>
      <c r="D1542" t="s">
        <v>2024</v>
      </c>
      <c r="E1542" t="s">
        <v>4533</v>
      </c>
      <c r="F1542" t="s">
        <v>4534</v>
      </c>
      <c r="G1542">
        <v>4</v>
      </c>
      <c r="H1542">
        <v>1720</v>
      </c>
      <c r="I1542">
        <v>3</v>
      </c>
      <c r="J1542">
        <v>5.9</v>
      </c>
      <c r="K1542">
        <v>2</v>
      </c>
      <c r="L1542">
        <v>2.5999999999999999E-2</v>
      </c>
      <c r="M1542">
        <v>2</v>
      </c>
      <c r="N1542">
        <v>84</v>
      </c>
      <c r="O1542">
        <v>2</v>
      </c>
      <c r="P1542">
        <v>0.22500000000000001</v>
      </c>
      <c r="Q1542">
        <v>2</v>
      </c>
      <c r="R1542">
        <v>2E-3</v>
      </c>
      <c r="T1542" t="s">
        <v>4533</v>
      </c>
    </row>
    <row r="1543" spans="1:20" x14ac:dyDescent="0.2">
      <c r="A1543" t="s">
        <v>4535</v>
      </c>
      <c r="B1543" t="s">
        <v>2022</v>
      </c>
      <c r="C1543" t="s">
        <v>2049</v>
      </c>
      <c r="D1543" t="s">
        <v>2136</v>
      </c>
      <c r="E1543" t="s">
        <v>4536</v>
      </c>
      <c r="F1543" t="s">
        <v>4537</v>
      </c>
      <c r="G1543">
        <v>1</v>
      </c>
      <c r="H1543">
        <v>1350</v>
      </c>
      <c r="I1543">
        <v>1</v>
      </c>
      <c r="J1543">
        <v>1.4</v>
      </c>
      <c r="K1543">
        <v>2</v>
      </c>
      <c r="L1543">
        <v>0.06</v>
      </c>
      <c r="M1543">
        <v>5</v>
      </c>
      <c r="N1543">
        <v>166</v>
      </c>
      <c r="O1543">
        <v>2</v>
      </c>
      <c r="P1543">
        <v>0.26</v>
      </c>
      <c r="Q1543">
        <v>2</v>
      </c>
      <c r="R1543">
        <v>6.1999999999999998E-3</v>
      </c>
      <c r="T1543" t="s">
        <v>4536</v>
      </c>
    </row>
    <row r="1544" spans="1:20" x14ac:dyDescent="0.2">
      <c r="A1544" t="s">
        <v>4538</v>
      </c>
      <c r="B1544" t="s">
        <v>2022</v>
      </c>
      <c r="C1544" t="s">
        <v>2036</v>
      </c>
      <c r="D1544" t="s">
        <v>2024</v>
      </c>
      <c r="E1544" t="s">
        <v>4539</v>
      </c>
      <c r="F1544" t="s">
        <v>4540</v>
      </c>
      <c r="G1544">
        <v>2</v>
      </c>
      <c r="H1544">
        <v>1640</v>
      </c>
      <c r="I1544">
        <v>1</v>
      </c>
      <c r="J1544">
        <v>2.2000000000000002</v>
      </c>
      <c r="K1544">
        <v>1</v>
      </c>
      <c r="L1544">
        <v>5.5E-2</v>
      </c>
      <c r="M1544">
        <v>2</v>
      </c>
      <c r="N1544">
        <v>82</v>
      </c>
      <c r="O1544">
        <v>1</v>
      </c>
      <c r="P1544">
        <v>9.5000000000000001E-2</v>
      </c>
      <c r="Q1544">
        <v>1</v>
      </c>
      <c r="R1544">
        <v>1.5E-3</v>
      </c>
      <c r="T1544" t="s">
        <v>4539</v>
      </c>
    </row>
    <row r="1545" spans="1:20" x14ac:dyDescent="0.2">
      <c r="A1545" t="s">
        <v>4541</v>
      </c>
      <c r="B1545" t="s">
        <v>2022</v>
      </c>
      <c r="C1545" t="s">
        <v>2101</v>
      </c>
      <c r="D1545" t="s">
        <v>2024</v>
      </c>
      <c r="E1545" t="s">
        <v>4542</v>
      </c>
      <c r="F1545" t="s">
        <v>4543</v>
      </c>
      <c r="G1545">
        <v>4</v>
      </c>
      <c r="H1545">
        <v>1870</v>
      </c>
      <c r="I1545">
        <v>1</v>
      </c>
      <c r="J1545">
        <v>2</v>
      </c>
      <c r="K1545">
        <v>2</v>
      </c>
      <c r="L1545">
        <v>9.6500000000000002E-2</v>
      </c>
      <c r="M1545">
        <v>5</v>
      </c>
      <c r="N1545">
        <v>98</v>
      </c>
      <c r="O1545">
        <v>2</v>
      </c>
      <c r="P1545">
        <v>0.22500000000000001</v>
      </c>
      <c r="Q1545">
        <v>2</v>
      </c>
      <c r="R1545">
        <v>4.4999999999999997E-3</v>
      </c>
      <c r="T1545" t="s">
        <v>4542</v>
      </c>
    </row>
    <row r="1546" spans="1:20" x14ac:dyDescent="0.2">
      <c r="A1546" t="s">
        <v>4544</v>
      </c>
      <c r="B1546" t="s">
        <v>2022</v>
      </c>
      <c r="C1546" t="s">
        <v>2023</v>
      </c>
      <c r="D1546" t="s">
        <v>2024</v>
      </c>
      <c r="E1546" t="s">
        <v>4542</v>
      </c>
      <c r="F1546" t="s">
        <v>4543</v>
      </c>
      <c r="G1546">
        <v>3</v>
      </c>
      <c r="H1546">
        <v>1640</v>
      </c>
      <c r="I1546">
        <v>2</v>
      </c>
      <c r="J1546">
        <v>3.4</v>
      </c>
      <c r="K1546">
        <v>5</v>
      </c>
      <c r="L1546">
        <v>8.5999999999999993E-2</v>
      </c>
      <c r="M1546">
        <v>1</v>
      </c>
      <c r="N1546">
        <v>74</v>
      </c>
      <c r="O1546">
        <v>2</v>
      </c>
      <c r="P1546">
        <v>0.22500000000000001</v>
      </c>
      <c r="Q1546">
        <v>3</v>
      </c>
      <c r="R1546">
        <v>4.0000000000000001E-3</v>
      </c>
      <c r="T1546" t="s">
        <v>4542</v>
      </c>
    </row>
    <row r="1547" spans="1:20" x14ac:dyDescent="0.2">
      <c r="A1547" t="s">
        <v>4545</v>
      </c>
      <c r="B1547" t="s">
        <v>2022</v>
      </c>
      <c r="C1547" t="s">
        <v>2023</v>
      </c>
      <c r="D1547" t="s">
        <v>2024</v>
      </c>
      <c r="E1547" t="s">
        <v>4546</v>
      </c>
      <c r="F1547" t="s">
        <v>4547</v>
      </c>
      <c r="G1547">
        <v>3</v>
      </c>
      <c r="H1547">
        <v>1640</v>
      </c>
      <c r="I1547">
        <v>3</v>
      </c>
      <c r="J1547">
        <v>5.9</v>
      </c>
      <c r="K1547">
        <v>5</v>
      </c>
      <c r="L1547">
        <v>8.5999999999999993E-2</v>
      </c>
      <c r="M1547">
        <v>2</v>
      </c>
      <c r="N1547">
        <v>84</v>
      </c>
      <c r="O1547">
        <v>3</v>
      </c>
      <c r="P1547">
        <v>0.375</v>
      </c>
      <c r="Q1547">
        <v>4</v>
      </c>
      <c r="R1547">
        <v>6.0000000000000001E-3</v>
      </c>
      <c r="T1547" t="s">
        <v>4546</v>
      </c>
    </row>
    <row r="1548" spans="1:20" x14ac:dyDescent="0.2">
      <c r="A1548" t="s">
        <v>4548</v>
      </c>
      <c r="B1548" t="s">
        <v>2022</v>
      </c>
      <c r="C1548" t="s">
        <v>2036</v>
      </c>
      <c r="D1548" t="s">
        <v>2024</v>
      </c>
      <c r="E1548" t="s">
        <v>4549</v>
      </c>
      <c r="F1548" t="s">
        <v>4550</v>
      </c>
      <c r="G1548">
        <v>1</v>
      </c>
      <c r="H1548">
        <v>1540</v>
      </c>
      <c r="I1548">
        <v>1</v>
      </c>
      <c r="J1548">
        <v>2.2000000000000002</v>
      </c>
      <c r="K1548">
        <v>2</v>
      </c>
      <c r="L1548">
        <v>8.5000000000000006E-2</v>
      </c>
      <c r="M1548">
        <v>1</v>
      </c>
      <c r="N1548">
        <v>76</v>
      </c>
      <c r="O1548">
        <v>1</v>
      </c>
      <c r="P1548">
        <v>9.5000000000000001E-2</v>
      </c>
      <c r="Q1548">
        <v>2</v>
      </c>
      <c r="R1548">
        <v>4.2500000000000003E-3</v>
      </c>
      <c r="T1548" t="s">
        <v>4549</v>
      </c>
    </row>
    <row r="1549" spans="1:20" x14ac:dyDescent="0.2">
      <c r="A1549" t="s">
        <v>4551</v>
      </c>
      <c r="B1549" t="s">
        <v>2022</v>
      </c>
      <c r="C1549" t="s">
        <v>2036</v>
      </c>
      <c r="D1549" t="s">
        <v>2024</v>
      </c>
      <c r="E1549" t="s">
        <v>4552</v>
      </c>
      <c r="F1549" t="s">
        <v>4553</v>
      </c>
      <c r="G1549">
        <v>4</v>
      </c>
      <c r="H1549">
        <v>1840</v>
      </c>
      <c r="I1549">
        <v>2</v>
      </c>
      <c r="J1549">
        <v>3.4</v>
      </c>
      <c r="K1549">
        <v>1</v>
      </c>
      <c r="L1549">
        <v>5.5E-2</v>
      </c>
      <c r="M1549">
        <v>3</v>
      </c>
      <c r="N1549">
        <v>88</v>
      </c>
      <c r="O1549">
        <v>2</v>
      </c>
      <c r="P1549">
        <v>0.20499999999999999</v>
      </c>
      <c r="Q1549">
        <v>1</v>
      </c>
      <c r="R1549">
        <v>1.5E-3</v>
      </c>
      <c r="T1549" t="s">
        <v>4552</v>
      </c>
    </row>
    <row r="1550" spans="1:20" x14ac:dyDescent="0.2">
      <c r="A1550" t="s">
        <v>4554</v>
      </c>
      <c r="B1550" t="s">
        <v>2022</v>
      </c>
      <c r="C1550" t="s">
        <v>2049</v>
      </c>
      <c r="D1550" t="s">
        <v>2136</v>
      </c>
      <c r="E1550" t="s">
        <v>357</v>
      </c>
      <c r="F1550" t="s">
        <v>447</v>
      </c>
      <c r="G1550">
        <v>1</v>
      </c>
      <c r="H1550">
        <v>1350</v>
      </c>
      <c r="I1550">
        <v>3</v>
      </c>
      <c r="J1550">
        <v>5</v>
      </c>
      <c r="K1550">
        <v>4</v>
      </c>
      <c r="L1550">
        <v>0.22</v>
      </c>
      <c r="M1550">
        <v>5</v>
      </c>
      <c r="N1550">
        <v>166</v>
      </c>
      <c r="O1550">
        <v>5</v>
      </c>
      <c r="P1550">
        <v>0.86</v>
      </c>
      <c r="Q1550">
        <v>5</v>
      </c>
      <c r="R1550">
        <v>3.32E-2</v>
      </c>
      <c r="T1550" t="s">
        <v>357</v>
      </c>
    </row>
    <row r="1551" spans="1:20" x14ac:dyDescent="0.2">
      <c r="A1551" t="s">
        <v>4555</v>
      </c>
      <c r="B1551" t="s">
        <v>2022</v>
      </c>
      <c r="C1551" t="s">
        <v>2023</v>
      </c>
      <c r="D1551" t="s">
        <v>2136</v>
      </c>
      <c r="E1551" t="s">
        <v>357</v>
      </c>
      <c r="F1551" t="s">
        <v>447</v>
      </c>
      <c r="G1551">
        <v>1</v>
      </c>
      <c r="H1551">
        <v>1480</v>
      </c>
      <c r="I1551">
        <v>2</v>
      </c>
      <c r="J1551">
        <v>3.4</v>
      </c>
      <c r="K1551">
        <v>2</v>
      </c>
      <c r="L1551">
        <v>2.5999999999999999E-2</v>
      </c>
      <c r="M1551">
        <v>5</v>
      </c>
      <c r="N1551">
        <v>114</v>
      </c>
      <c r="O1551">
        <v>4</v>
      </c>
      <c r="P1551">
        <v>0.52500000000000002</v>
      </c>
      <c r="Q1551">
        <v>4</v>
      </c>
      <c r="R1551">
        <v>6.0000000000000001E-3</v>
      </c>
      <c r="T1551" t="s">
        <v>357</v>
      </c>
    </row>
    <row r="1552" spans="1:20" x14ac:dyDescent="0.2">
      <c r="A1552" t="s">
        <v>4556</v>
      </c>
      <c r="B1552" t="s">
        <v>2022</v>
      </c>
      <c r="C1552" t="s">
        <v>2053</v>
      </c>
      <c r="D1552" t="s">
        <v>2024</v>
      </c>
      <c r="E1552" t="s">
        <v>4557</v>
      </c>
      <c r="F1552" t="s">
        <v>4558</v>
      </c>
      <c r="G1552">
        <v>2</v>
      </c>
      <c r="H1552">
        <v>1600</v>
      </c>
      <c r="I1552">
        <v>5</v>
      </c>
      <c r="J1552">
        <v>11.55</v>
      </c>
      <c r="K1552">
        <v>5</v>
      </c>
      <c r="L1552">
        <v>0.41499999999999998</v>
      </c>
      <c r="M1552">
        <v>2</v>
      </c>
      <c r="N1552">
        <v>83</v>
      </c>
      <c r="O1552">
        <v>5</v>
      </c>
      <c r="P1552">
        <v>0.67500000000000004</v>
      </c>
      <c r="Q1552">
        <v>4</v>
      </c>
      <c r="R1552">
        <v>1.9199999999999998E-2</v>
      </c>
      <c r="T1552" t="s">
        <v>4557</v>
      </c>
    </row>
    <row r="1553" spans="1:20" x14ac:dyDescent="0.2">
      <c r="A1553" t="s">
        <v>4559</v>
      </c>
      <c r="B1553" t="s">
        <v>2022</v>
      </c>
      <c r="C1553" t="s">
        <v>2053</v>
      </c>
      <c r="D1553" t="s">
        <v>2024</v>
      </c>
      <c r="E1553" t="s">
        <v>4560</v>
      </c>
      <c r="F1553" t="s">
        <v>4561</v>
      </c>
      <c r="G1553">
        <v>2</v>
      </c>
      <c r="H1553">
        <v>1600</v>
      </c>
      <c r="I1553">
        <v>5</v>
      </c>
      <c r="J1553">
        <v>11.55</v>
      </c>
      <c r="K1553">
        <v>5</v>
      </c>
      <c r="L1553">
        <v>0.41499999999999998</v>
      </c>
      <c r="M1553">
        <v>1</v>
      </c>
      <c r="N1553">
        <v>73</v>
      </c>
      <c r="O1553">
        <v>5</v>
      </c>
      <c r="P1553">
        <v>0.67500000000000004</v>
      </c>
      <c r="Q1553">
        <v>5</v>
      </c>
      <c r="R1553">
        <v>2.6200000000000001E-2</v>
      </c>
      <c r="T1553" t="s">
        <v>4560</v>
      </c>
    </row>
    <row r="1554" spans="1:20" x14ac:dyDescent="0.2">
      <c r="A1554" t="s">
        <v>4562</v>
      </c>
      <c r="B1554" t="s">
        <v>2022</v>
      </c>
      <c r="C1554" t="s">
        <v>2023</v>
      </c>
      <c r="D1554" t="s">
        <v>2024</v>
      </c>
      <c r="E1554" t="s">
        <v>4563</v>
      </c>
      <c r="F1554" t="s">
        <v>4564</v>
      </c>
      <c r="G1554">
        <v>5</v>
      </c>
      <c r="H1554">
        <v>1800</v>
      </c>
      <c r="I1554">
        <v>4</v>
      </c>
      <c r="J1554">
        <v>8.4</v>
      </c>
      <c r="K1554">
        <v>5</v>
      </c>
      <c r="L1554">
        <v>8.5999999999999993E-2</v>
      </c>
      <c r="M1554">
        <v>5</v>
      </c>
      <c r="N1554">
        <v>114</v>
      </c>
      <c r="O1554">
        <v>4</v>
      </c>
      <c r="P1554">
        <v>0.52500000000000002</v>
      </c>
      <c r="Q1554">
        <v>5</v>
      </c>
      <c r="R1554">
        <v>8.0000000000000002E-3</v>
      </c>
      <c r="T1554" t="s">
        <v>4563</v>
      </c>
    </row>
    <row r="1555" spans="1:20" x14ac:dyDescent="0.2">
      <c r="A1555" t="s">
        <v>4565</v>
      </c>
      <c r="B1555" t="s">
        <v>2022</v>
      </c>
      <c r="C1555" t="s">
        <v>2053</v>
      </c>
      <c r="D1555" t="s">
        <v>2024</v>
      </c>
      <c r="E1555" t="s">
        <v>4566</v>
      </c>
      <c r="F1555" t="s">
        <v>4567</v>
      </c>
      <c r="G1555">
        <v>3</v>
      </c>
      <c r="H1555">
        <v>1700</v>
      </c>
      <c r="I1555">
        <v>2</v>
      </c>
      <c r="J1555">
        <v>4.05</v>
      </c>
      <c r="K1555">
        <v>2</v>
      </c>
      <c r="L1555">
        <v>8.5000000000000006E-2</v>
      </c>
      <c r="M1555">
        <v>3</v>
      </c>
      <c r="N1555">
        <v>93</v>
      </c>
      <c r="O1555">
        <v>2</v>
      </c>
      <c r="P1555">
        <v>0.22500000000000001</v>
      </c>
      <c r="Q1555">
        <v>2</v>
      </c>
      <c r="R1555">
        <v>5.1999999999999998E-3</v>
      </c>
      <c r="T1555" t="s">
        <v>4566</v>
      </c>
    </row>
    <row r="1556" spans="1:20" x14ac:dyDescent="0.2">
      <c r="A1556" t="s">
        <v>4568</v>
      </c>
      <c r="B1556" t="s">
        <v>2022</v>
      </c>
      <c r="C1556" t="s">
        <v>2036</v>
      </c>
      <c r="D1556" t="s">
        <v>2024</v>
      </c>
      <c r="E1556" t="s">
        <v>259</v>
      </c>
      <c r="F1556" t="s">
        <v>4569</v>
      </c>
      <c r="G1556">
        <v>1</v>
      </c>
      <c r="H1556">
        <v>1540</v>
      </c>
      <c r="I1556">
        <v>3</v>
      </c>
      <c r="J1556">
        <v>4.5999999999999996</v>
      </c>
      <c r="K1556">
        <v>3</v>
      </c>
      <c r="L1556">
        <v>0.115</v>
      </c>
      <c r="M1556">
        <v>1</v>
      </c>
      <c r="N1556">
        <v>76</v>
      </c>
      <c r="O1556">
        <v>2</v>
      </c>
      <c r="P1556">
        <v>0.20499999999999999</v>
      </c>
      <c r="Q1556">
        <v>2</v>
      </c>
      <c r="R1556">
        <v>4.2500000000000003E-3</v>
      </c>
      <c r="T1556" t="s">
        <v>259</v>
      </c>
    </row>
    <row r="1557" spans="1:20" x14ac:dyDescent="0.2">
      <c r="A1557" t="s">
        <v>4570</v>
      </c>
      <c r="B1557" t="s">
        <v>2022</v>
      </c>
      <c r="C1557" t="s">
        <v>2036</v>
      </c>
      <c r="D1557" t="s">
        <v>2024</v>
      </c>
      <c r="E1557" t="s">
        <v>4571</v>
      </c>
      <c r="F1557" t="s">
        <v>4572</v>
      </c>
      <c r="G1557">
        <v>3</v>
      </c>
      <c r="H1557">
        <v>1740</v>
      </c>
      <c r="I1557">
        <v>5</v>
      </c>
      <c r="J1557">
        <v>7</v>
      </c>
      <c r="K1557">
        <v>4</v>
      </c>
      <c r="L1557">
        <v>0.14499999999999999</v>
      </c>
      <c r="M1557">
        <v>4</v>
      </c>
      <c r="N1557">
        <v>94</v>
      </c>
      <c r="O1557">
        <v>4</v>
      </c>
      <c r="P1557">
        <v>0.42499999999999999</v>
      </c>
      <c r="Q1557">
        <v>3</v>
      </c>
      <c r="R1557">
        <v>6.7499999999999999E-3</v>
      </c>
      <c r="T1557" t="s">
        <v>4571</v>
      </c>
    </row>
    <row r="1558" spans="1:20" x14ac:dyDescent="0.2">
      <c r="A1558" t="s">
        <v>4573</v>
      </c>
      <c r="B1558" t="s">
        <v>2022</v>
      </c>
      <c r="C1558" t="s">
        <v>2023</v>
      </c>
      <c r="D1558" t="s">
        <v>2154</v>
      </c>
      <c r="E1558" t="s">
        <v>4574</v>
      </c>
      <c r="F1558" t="s">
        <v>4575</v>
      </c>
      <c r="G1558">
        <v>4</v>
      </c>
      <c r="H1558">
        <v>1720</v>
      </c>
      <c r="I1558">
        <v>5</v>
      </c>
      <c r="J1558">
        <v>10.9</v>
      </c>
      <c r="K1558">
        <v>5</v>
      </c>
      <c r="L1558">
        <v>8.5999999999999993E-2</v>
      </c>
      <c r="M1558">
        <v>3</v>
      </c>
      <c r="N1558">
        <v>94</v>
      </c>
      <c r="O1558">
        <v>5</v>
      </c>
      <c r="P1558">
        <v>0.67500000000000004</v>
      </c>
      <c r="Q1558">
        <v>5</v>
      </c>
      <c r="R1558">
        <v>8.0000000000000002E-3</v>
      </c>
      <c r="T1558" t="s">
        <v>4574</v>
      </c>
    </row>
    <row r="1559" spans="1:20" x14ac:dyDescent="0.2">
      <c r="A1559" t="s">
        <v>4576</v>
      </c>
      <c r="B1559" t="s">
        <v>2022</v>
      </c>
      <c r="C1559" t="s">
        <v>2023</v>
      </c>
      <c r="D1559" t="s">
        <v>2024</v>
      </c>
      <c r="E1559" t="s">
        <v>4577</v>
      </c>
      <c r="F1559" t="s">
        <v>4578</v>
      </c>
      <c r="G1559">
        <v>1</v>
      </c>
      <c r="H1559">
        <v>1480</v>
      </c>
      <c r="I1559">
        <v>2</v>
      </c>
      <c r="J1559">
        <v>3.4</v>
      </c>
      <c r="K1559">
        <v>3</v>
      </c>
      <c r="L1559">
        <v>4.5999999999999999E-2</v>
      </c>
      <c r="M1559">
        <v>2</v>
      </c>
      <c r="N1559">
        <v>84</v>
      </c>
      <c r="O1559">
        <v>1</v>
      </c>
      <c r="P1559">
        <v>7.4999999999999997E-2</v>
      </c>
      <c r="Q1559">
        <v>2</v>
      </c>
      <c r="R1559">
        <v>2E-3</v>
      </c>
      <c r="T1559" t="s">
        <v>4577</v>
      </c>
    </row>
    <row r="1560" spans="1:20" x14ac:dyDescent="0.2">
      <c r="A1560" t="s">
        <v>4579</v>
      </c>
      <c r="B1560" t="s">
        <v>2022</v>
      </c>
      <c r="C1560" t="s">
        <v>2023</v>
      </c>
      <c r="D1560" t="s">
        <v>2024</v>
      </c>
      <c r="E1560" t="s">
        <v>4580</v>
      </c>
      <c r="F1560" t="s">
        <v>4581</v>
      </c>
      <c r="G1560">
        <v>3</v>
      </c>
      <c r="H1560">
        <v>1640</v>
      </c>
      <c r="I1560">
        <v>5</v>
      </c>
      <c r="J1560">
        <v>10.9</v>
      </c>
      <c r="K1560">
        <v>5</v>
      </c>
      <c r="L1560">
        <v>8.5999999999999993E-2</v>
      </c>
      <c r="M1560">
        <v>5</v>
      </c>
      <c r="N1560">
        <v>114</v>
      </c>
      <c r="O1560">
        <v>5</v>
      </c>
      <c r="P1560">
        <v>0.67500000000000004</v>
      </c>
      <c r="Q1560">
        <v>5</v>
      </c>
      <c r="R1560">
        <v>8.0000000000000002E-3</v>
      </c>
      <c r="T1560" t="s">
        <v>4580</v>
      </c>
    </row>
    <row r="1561" spans="1:20" x14ac:dyDescent="0.2">
      <c r="A1561" t="s">
        <v>4582</v>
      </c>
      <c r="B1561" t="s">
        <v>2022</v>
      </c>
      <c r="C1561" t="s">
        <v>2053</v>
      </c>
      <c r="D1561" t="s">
        <v>2024</v>
      </c>
      <c r="E1561" t="s">
        <v>4583</v>
      </c>
      <c r="F1561" t="s">
        <v>4584</v>
      </c>
      <c r="G1561">
        <v>4</v>
      </c>
      <c r="H1561">
        <v>1800</v>
      </c>
      <c r="I1561">
        <v>4</v>
      </c>
      <c r="J1561">
        <v>9.0500000000000007</v>
      </c>
      <c r="K1561">
        <v>3</v>
      </c>
      <c r="L1561">
        <v>0.19500000000000001</v>
      </c>
      <c r="M1561">
        <v>5</v>
      </c>
      <c r="N1561">
        <v>113</v>
      </c>
      <c r="O1561">
        <v>4</v>
      </c>
      <c r="P1561">
        <v>0.52500000000000002</v>
      </c>
      <c r="Q1561">
        <v>3</v>
      </c>
      <c r="R1561">
        <v>1.2200000000000001E-2</v>
      </c>
      <c r="T1561" t="s">
        <v>4583</v>
      </c>
    </row>
    <row r="1562" spans="1:20" x14ac:dyDescent="0.2">
      <c r="A1562" t="s">
        <v>4585</v>
      </c>
      <c r="B1562" t="s">
        <v>2022</v>
      </c>
      <c r="C1562" t="s">
        <v>2023</v>
      </c>
      <c r="D1562" t="s">
        <v>2024</v>
      </c>
      <c r="E1562" t="s">
        <v>4586</v>
      </c>
      <c r="F1562" t="s">
        <v>447</v>
      </c>
      <c r="G1562">
        <v>3</v>
      </c>
      <c r="H1562">
        <v>1640</v>
      </c>
      <c r="I1562">
        <v>2</v>
      </c>
      <c r="J1562">
        <v>3.4</v>
      </c>
      <c r="K1562">
        <v>2</v>
      </c>
      <c r="L1562">
        <v>2.5999999999999999E-2</v>
      </c>
      <c r="M1562">
        <v>1</v>
      </c>
      <c r="N1562">
        <v>74</v>
      </c>
      <c r="O1562">
        <v>2</v>
      </c>
      <c r="P1562">
        <v>0.22500000000000001</v>
      </c>
      <c r="Q1562">
        <v>2</v>
      </c>
      <c r="R1562">
        <v>2E-3</v>
      </c>
      <c r="T1562" t="s">
        <v>4586</v>
      </c>
    </row>
    <row r="1563" spans="1:20" x14ac:dyDescent="0.2">
      <c r="A1563" t="s">
        <v>4587</v>
      </c>
      <c r="B1563" t="s">
        <v>2022</v>
      </c>
      <c r="C1563" t="s">
        <v>2023</v>
      </c>
      <c r="D1563" t="s">
        <v>2136</v>
      </c>
      <c r="E1563" t="s">
        <v>960</v>
      </c>
      <c r="F1563" t="s">
        <v>4588</v>
      </c>
      <c r="G1563">
        <v>2</v>
      </c>
      <c r="H1563">
        <v>1560</v>
      </c>
      <c r="I1563">
        <v>2</v>
      </c>
      <c r="J1563">
        <v>3.4</v>
      </c>
      <c r="K1563">
        <v>2</v>
      </c>
      <c r="L1563">
        <v>2.5999999999999999E-2</v>
      </c>
      <c r="M1563">
        <v>3</v>
      </c>
      <c r="N1563">
        <v>94</v>
      </c>
      <c r="O1563">
        <v>2</v>
      </c>
      <c r="P1563">
        <v>0.22500000000000001</v>
      </c>
      <c r="Q1563">
        <v>2</v>
      </c>
      <c r="R1563">
        <v>2E-3</v>
      </c>
      <c r="T1563" t="s">
        <v>960</v>
      </c>
    </row>
    <row r="1564" spans="1:20" x14ac:dyDescent="0.2">
      <c r="A1564" t="s">
        <v>4589</v>
      </c>
      <c r="B1564" t="s">
        <v>2022</v>
      </c>
      <c r="C1564" t="s">
        <v>2028</v>
      </c>
      <c r="D1564" t="s">
        <v>2024</v>
      </c>
      <c r="E1564" t="s">
        <v>4590</v>
      </c>
      <c r="F1564" t="s">
        <v>4591</v>
      </c>
      <c r="G1564">
        <v>5</v>
      </c>
      <c r="H1564">
        <v>1450</v>
      </c>
      <c r="I1564">
        <v>5</v>
      </c>
      <c r="J1564">
        <v>6.65</v>
      </c>
      <c r="K1564">
        <v>4</v>
      </c>
      <c r="L1564">
        <v>0.193</v>
      </c>
      <c r="M1564">
        <v>2</v>
      </c>
      <c r="N1564">
        <v>200</v>
      </c>
      <c r="O1564">
        <v>3</v>
      </c>
      <c r="P1564">
        <v>0.75</v>
      </c>
      <c r="Q1564">
        <v>4</v>
      </c>
      <c r="R1564">
        <v>2.4750000000000001E-2</v>
      </c>
      <c r="T1564" t="s">
        <v>4590</v>
      </c>
    </row>
    <row r="1565" spans="1:20" x14ac:dyDescent="0.2">
      <c r="A1565" t="s">
        <v>4592</v>
      </c>
      <c r="B1565" t="s">
        <v>2022</v>
      </c>
      <c r="C1565" t="s">
        <v>2023</v>
      </c>
      <c r="D1565" t="s">
        <v>2024</v>
      </c>
      <c r="E1565" t="s">
        <v>4593</v>
      </c>
      <c r="F1565" t="s">
        <v>4594</v>
      </c>
      <c r="G1565">
        <v>5</v>
      </c>
      <c r="H1565">
        <v>1800</v>
      </c>
      <c r="I1565">
        <v>5</v>
      </c>
      <c r="J1565">
        <v>10.9</v>
      </c>
      <c r="K1565">
        <v>5</v>
      </c>
      <c r="L1565">
        <v>8.5999999999999993E-2</v>
      </c>
      <c r="M1565">
        <v>2</v>
      </c>
      <c r="N1565">
        <v>84</v>
      </c>
      <c r="O1565">
        <v>4</v>
      </c>
      <c r="P1565">
        <v>0.52500000000000002</v>
      </c>
      <c r="Q1565">
        <v>5</v>
      </c>
      <c r="R1565">
        <v>8.0000000000000002E-3</v>
      </c>
      <c r="T1565" t="s">
        <v>4593</v>
      </c>
    </row>
    <row r="1566" spans="1:20" x14ac:dyDescent="0.2">
      <c r="A1566" t="s">
        <v>4595</v>
      </c>
      <c r="B1566" t="s">
        <v>2022</v>
      </c>
      <c r="C1566" t="s">
        <v>2023</v>
      </c>
      <c r="D1566" t="s">
        <v>2024</v>
      </c>
      <c r="E1566" t="s">
        <v>4593</v>
      </c>
      <c r="F1566" t="s">
        <v>4594</v>
      </c>
      <c r="G1566">
        <v>3</v>
      </c>
      <c r="H1566">
        <v>1640</v>
      </c>
      <c r="I1566">
        <v>3</v>
      </c>
      <c r="J1566">
        <v>5.9</v>
      </c>
      <c r="K1566">
        <v>5</v>
      </c>
      <c r="L1566">
        <v>8.5999999999999993E-2</v>
      </c>
      <c r="M1566">
        <v>3</v>
      </c>
      <c r="N1566">
        <v>94</v>
      </c>
      <c r="O1566">
        <v>2</v>
      </c>
      <c r="P1566">
        <v>0.22500000000000001</v>
      </c>
      <c r="Q1566">
        <v>3</v>
      </c>
      <c r="R1566">
        <v>4.0000000000000001E-3</v>
      </c>
      <c r="T1566" t="s">
        <v>4593</v>
      </c>
    </row>
    <row r="1567" spans="1:20" x14ac:dyDescent="0.2">
      <c r="A1567" t="s">
        <v>4596</v>
      </c>
      <c r="B1567" t="s">
        <v>2022</v>
      </c>
      <c r="C1567" t="s">
        <v>2023</v>
      </c>
      <c r="D1567" t="s">
        <v>2024</v>
      </c>
      <c r="E1567" t="s">
        <v>357</v>
      </c>
      <c r="F1567" t="s">
        <v>4597</v>
      </c>
      <c r="G1567">
        <v>4</v>
      </c>
      <c r="H1567">
        <v>1720</v>
      </c>
      <c r="I1567">
        <v>5</v>
      </c>
      <c r="J1567">
        <v>10.9</v>
      </c>
      <c r="K1567">
        <v>5</v>
      </c>
      <c r="L1567">
        <v>8.5999999999999993E-2</v>
      </c>
      <c r="M1567">
        <v>3</v>
      </c>
      <c r="N1567">
        <v>94</v>
      </c>
      <c r="O1567">
        <v>5</v>
      </c>
      <c r="P1567">
        <v>0.67500000000000004</v>
      </c>
      <c r="Q1567">
        <v>5</v>
      </c>
      <c r="R1567">
        <v>8.0000000000000002E-3</v>
      </c>
      <c r="T1567" t="s">
        <v>357</v>
      </c>
    </row>
    <row r="1568" spans="1:20" x14ac:dyDescent="0.2">
      <c r="A1568" t="s">
        <v>4598</v>
      </c>
      <c r="B1568" t="s">
        <v>2022</v>
      </c>
      <c r="C1568" t="s">
        <v>2023</v>
      </c>
      <c r="D1568" t="s">
        <v>2024</v>
      </c>
      <c r="E1568" t="s">
        <v>4599</v>
      </c>
      <c r="F1568" t="s">
        <v>447</v>
      </c>
      <c r="G1568">
        <v>1</v>
      </c>
      <c r="H1568">
        <v>1480</v>
      </c>
      <c r="I1568">
        <v>4</v>
      </c>
      <c r="J1568">
        <v>8.4</v>
      </c>
      <c r="K1568">
        <v>3</v>
      </c>
      <c r="L1568">
        <v>4.5999999999999999E-2</v>
      </c>
      <c r="M1568">
        <v>5</v>
      </c>
      <c r="N1568">
        <v>114</v>
      </c>
      <c r="O1568">
        <v>5</v>
      </c>
      <c r="P1568">
        <v>0.67500000000000004</v>
      </c>
      <c r="Q1568">
        <v>5</v>
      </c>
      <c r="R1568">
        <v>8.0000000000000002E-3</v>
      </c>
      <c r="T1568" t="s">
        <v>4599</v>
      </c>
    </row>
    <row r="1569" spans="1:20" x14ac:dyDescent="0.2">
      <c r="A1569" t="s">
        <v>4600</v>
      </c>
      <c r="B1569" t="s">
        <v>2022</v>
      </c>
      <c r="C1569" t="s">
        <v>2053</v>
      </c>
      <c r="D1569" t="s">
        <v>2024</v>
      </c>
      <c r="E1569" t="s">
        <v>4601</v>
      </c>
      <c r="F1569" t="s">
        <v>4602</v>
      </c>
      <c r="G1569">
        <v>2</v>
      </c>
      <c r="H1569">
        <v>1600</v>
      </c>
      <c r="I1569">
        <v>3</v>
      </c>
      <c r="J1569">
        <v>6.55</v>
      </c>
      <c r="K1569">
        <v>3</v>
      </c>
      <c r="L1569">
        <v>0.19500000000000001</v>
      </c>
      <c r="M1569">
        <v>2</v>
      </c>
      <c r="N1569">
        <v>83</v>
      </c>
      <c r="O1569">
        <v>3</v>
      </c>
      <c r="P1569">
        <v>0.375</v>
      </c>
      <c r="Q1569">
        <v>2</v>
      </c>
      <c r="R1569">
        <v>5.1999999999999998E-3</v>
      </c>
      <c r="T1569" t="s">
        <v>4601</v>
      </c>
    </row>
    <row r="1570" spans="1:20" x14ac:dyDescent="0.2">
      <c r="A1570" t="s">
        <v>4603</v>
      </c>
      <c r="B1570" t="s">
        <v>2022</v>
      </c>
      <c r="C1570" t="s">
        <v>2023</v>
      </c>
      <c r="D1570" t="s">
        <v>2024</v>
      </c>
      <c r="E1570" t="s">
        <v>4604</v>
      </c>
      <c r="F1570" t="s">
        <v>4605</v>
      </c>
      <c r="G1570">
        <v>3</v>
      </c>
      <c r="H1570">
        <v>1640</v>
      </c>
      <c r="I1570">
        <v>4</v>
      </c>
      <c r="J1570">
        <v>8.4</v>
      </c>
      <c r="K1570">
        <v>5</v>
      </c>
      <c r="L1570">
        <v>8.5999999999999993E-2</v>
      </c>
      <c r="M1570">
        <v>5</v>
      </c>
      <c r="N1570">
        <v>114</v>
      </c>
      <c r="O1570">
        <v>5</v>
      </c>
      <c r="P1570">
        <v>0.67500000000000004</v>
      </c>
      <c r="Q1570">
        <v>5</v>
      </c>
      <c r="R1570">
        <v>8.0000000000000002E-3</v>
      </c>
      <c r="T1570" t="s">
        <v>4604</v>
      </c>
    </row>
    <row r="1571" spans="1:20" x14ac:dyDescent="0.2">
      <c r="A1571" t="s">
        <v>4606</v>
      </c>
      <c r="B1571" t="s">
        <v>2022</v>
      </c>
      <c r="C1571" t="s">
        <v>2023</v>
      </c>
      <c r="D1571" t="s">
        <v>2024</v>
      </c>
      <c r="E1571" t="s">
        <v>4607</v>
      </c>
      <c r="F1571" t="s">
        <v>4608</v>
      </c>
      <c r="G1571">
        <v>2</v>
      </c>
      <c r="H1571">
        <v>1560</v>
      </c>
      <c r="I1571">
        <v>2</v>
      </c>
      <c r="J1571">
        <v>3.4</v>
      </c>
      <c r="K1571">
        <v>3</v>
      </c>
      <c r="L1571">
        <v>4.5999999999999999E-2</v>
      </c>
      <c r="M1571">
        <v>2</v>
      </c>
      <c r="N1571">
        <v>84</v>
      </c>
      <c r="O1571">
        <v>2</v>
      </c>
      <c r="P1571">
        <v>0.22500000000000001</v>
      </c>
      <c r="Q1571">
        <v>2</v>
      </c>
      <c r="R1571">
        <v>2E-3</v>
      </c>
      <c r="T1571" t="s">
        <v>4607</v>
      </c>
    </row>
    <row r="1572" spans="1:20" x14ac:dyDescent="0.2">
      <c r="A1572" t="s">
        <v>4609</v>
      </c>
      <c r="B1572" t="s">
        <v>2022</v>
      </c>
      <c r="C1572" t="s">
        <v>2053</v>
      </c>
      <c r="D1572" t="s">
        <v>2024</v>
      </c>
      <c r="E1572" t="s">
        <v>4610</v>
      </c>
      <c r="F1572" t="s">
        <v>4611</v>
      </c>
      <c r="G1572">
        <v>5</v>
      </c>
      <c r="H1572">
        <v>1900</v>
      </c>
      <c r="I1572">
        <v>5</v>
      </c>
      <c r="J1572">
        <v>11.55</v>
      </c>
      <c r="K1572">
        <v>5</v>
      </c>
      <c r="L1572">
        <v>0.41499999999999998</v>
      </c>
      <c r="M1572">
        <v>2</v>
      </c>
      <c r="N1572">
        <v>83</v>
      </c>
      <c r="O1572">
        <v>4</v>
      </c>
      <c r="P1572">
        <v>0.52500000000000002</v>
      </c>
      <c r="Q1572">
        <v>4</v>
      </c>
      <c r="R1572">
        <v>1.9199999999999998E-2</v>
      </c>
      <c r="T1572" t="s">
        <v>4610</v>
      </c>
    </row>
    <row r="1573" spans="1:20" x14ac:dyDescent="0.2">
      <c r="A1573" t="s">
        <v>4612</v>
      </c>
      <c r="B1573" t="s">
        <v>2022</v>
      </c>
      <c r="C1573" t="s">
        <v>2101</v>
      </c>
      <c r="D1573" t="s">
        <v>2024</v>
      </c>
      <c r="E1573" t="s">
        <v>4613</v>
      </c>
      <c r="F1573" t="s">
        <v>4614</v>
      </c>
      <c r="G1573">
        <v>2</v>
      </c>
      <c r="H1573">
        <v>1670</v>
      </c>
      <c r="I1573">
        <v>5</v>
      </c>
      <c r="J1573">
        <v>14</v>
      </c>
      <c r="K1573">
        <v>5</v>
      </c>
      <c r="L1573">
        <v>0.53749999999999998</v>
      </c>
      <c r="M1573">
        <v>2</v>
      </c>
      <c r="N1573">
        <v>74</v>
      </c>
      <c r="O1573">
        <v>4</v>
      </c>
      <c r="P1573">
        <v>0.52500000000000002</v>
      </c>
      <c r="Q1573">
        <v>5</v>
      </c>
      <c r="R1573">
        <v>2.5499999999999998E-2</v>
      </c>
      <c r="T1573" t="s">
        <v>4613</v>
      </c>
    </row>
    <row r="1574" spans="1:20" x14ac:dyDescent="0.2">
      <c r="A1574" t="s">
        <v>4615</v>
      </c>
      <c r="B1574" t="s">
        <v>2022</v>
      </c>
      <c r="C1574" t="s">
        <v>2023</v>
      </c>
      <c r="D1574" t="s">
        <v>2024</v>
      </c>
      <c r="E1574" t="s">
        <v>4616</v>
      </c>
      <c r="F1574" t="s">
        <v>4617</v>
      </c>
      <c r="G1574">
        <v>4</v>
      </c>
      <c r="H1574">
        <v>1720</v>
      </c>
      <c r="I1574">
        <v>5</v>
      </c>
      <c r="J1574">
        <v>10.9</v>
      </c>
      <c r="K1574">
        <v>5</v>
      </c>
      <c r="L1574">
        <v>8.5999999999999993E-2</v>
      </c>
      <c r="M1574">
        <v>2</v>
      </c>
      <c r="N1574">
        <v>84</v>
      </c>
      <c r="O1574">
        <v>5</v>
      </c>
      <c r="P1574">
        <v>0.67500000000000004</v>
      </c>
      <c r="Q1574">
        <v>5</v>
      </c>
      <c r="R1574">
        <v>8.0000000000000002E-3</v>
      </c>
      <c r="T1574" t="s">
        <v>4616</v>
      </c>
    </row>
    <row r="1575" spans="1:20" x14ac:dyDescent="0.2">
      <c r="A1575" t="s">
        <v>4618</v>
      </c>
      <c r="B1575" t="s">
        <v>2022</v>
      </c>
      <c r="C1575" t="s">
        <v>2053</v>
      </c>
      <c r="D1575" t="s">
        <v>2024</v>
      </c>
      <c r="E1575" t="s">
        <v>4619</v>
      </c>
      <c r="F1575" t="s">
        <v>4620</v>
      </c>
      <c r="G1575">
        <v>4</v>
      </c>
      <c r="H1575">
        <v>1800</v>
      </c>
      <c r="I1575">
        <v>5</v>
      </c>
      <c r="J1575">
        <v>11.55</v>
      </c>
      <c r="K1575">
        <v>5</v>
      </c>
      <c r="L1575">
        <v>0.41499999999999998</v>
      </c>
      <c r="M1575">
        <v>2</v>
      </c>
      <c r="N1575">
        <v>83</v>
      </c>
      <c r="O1575">
        <v>5</v>
      </c>
      <c r="P1575">
        <v>0.67500000000000004</v>
      </c>
      <c r="Q1575">
        <v>5</v>
      </c>
      <c r="R1575">
        <v>2.6200000000000001E-2</v>
      </c>
      <c r="T1575" t="s">
        <v>4619</v>
      </c>
    </row>
    <row r="1576" spans="1:20" x14ac:dyDescent="0.2">
      <c r="A1576" t="s">
        <v>4621</v>
      </c>
      <c r="B1576" t="s">
        <v>2022</v>
      </c>
      <c r="C1576" t="s">
        <v>2023</v>
      </c>
      <c r="D1576" t="s">
        <v>2024</v>
      </c>
      <c r="E1576" t="s">
        <v>4622</v>
      </c>
      <c r="F1576" t="s">
        <v>447</v>
      </c>
      <c r="G1576">
        <v>2</v>
      </c>
      <c r="H1576">
        <v>1560</v>
      </c>
      <c r="I1576">
        <v>5</v>
      </c>
      <c r="J1576">
        <v>10.9</v>
      </c>
      <c r="K1576">
        <v>5</v>
      </c>
      <c r="L1576">
        <v>8.5999999999999993E-2</v>
      </c>
      <c r="M1576">
        <v>4</v>
      </c>
      <c r="N1576">
        <v>104</v>
      </c>
      <c r="O1576">
        <v>5</v>
      </c>
      <c r="P1576">
        <v>0.67500000000000004</v>
      </c>
      <c r="Q1576">
        <v>5</v>
      </c>
      <c r="R1576">
        <v>8.0000000000000002E-3</v>
      </c>
      <c r="T1576" t="s">
        <v>4622</v>
      </c>
    </row>
    <row r="1577" spans="1:20" x14ac:dyDescent="0.2">
      <c r="A1577" t="s">
        <v>4623</v>
      </c>
      <c r="B1577" t="s">
        <v>2022</v>
      </c>
      <c r="C1577" t="s">
        <v>2023</v>
      </c>
      <c r="D1577" t="s">
        <v>2154</v>
      </c>
      <c r="E1577" t="s">
        <v>4624</v>
      </c>
      <c r="F1577" t="s">
        <v>2297</v>
      </c>
      <c r="G1577">
        <v>4</v>
      </c>
      <c r="H1577">
        <v>1720</v>
      </c>
      <c r="I1577">
        <v>2</v>
      </c>
      <c r="J1577">
        <v>3.4</v>
      </c>
      <c r="K1577">
        <v>2</v>
      </c>
      <c r="L1577">
        <v>2.5999999999999999E-2</v>
      </c>
      <c r="M1577">
        <v>1</v>
      </c>
      <c r="N1577">
        <v>74</v>
      </c>
      <c r="O1577">
        <v>1</v>
      </c>
      <c r="P1577">
        <v>7.4999999999999997E-2</v>
      </c>
      <c r="Q1577">
        <v>2</v>
      </c>
      <c r="R1577">
        <v>2E-3</v>
      </c>
      <c r="T1577" t="s">
        <v>4624</v>
      </c>
    </row>
    <row r="1578" spans="1:20" x14ac:dyDescent="0.2">
      <c r="A1578" t="s">
        <v>4625</v>
      </c>
      <c r="B1578" t="s">
        <v>2022</v>
      </c>
      <c r="C1578" t="s">
        <v>2036</v>
      </c>
      <c r="D1578" t="s">
        <v>2024</v>
      </c>
      <c r="E1578" t="s">
        <v>4626</v>
      </c>
      <c r="F1578" t="s">
        <v>4627</v>
      </c>
      <c r="G1578">
        <v>2</v>
      </c>
      <c r="H1578">
        <v>1640</v>
      </c>
      <c r="I1578">
        <v>3</v>
      </c>
      <c r="J1578">
        <v>4.5999999999999996</v>
      </c>
      <c r="K1578">
        <v>2</v>
      </c>
      <c r="L1578">
        <v>8.5000000000000006E-2</v>
      </c>
      <c r="M1578">
        <v>1</v>
      </c>
      <c r="N1578">
        <v>76</v>
      </c>
      <c r="O1578">
        <v>2</v>
      </c>
      <c r="P1578">
        <v>0.20499999999999999</v>
      </c>
      <c r="Q1578">
        <v>2</v>
      </c>
      <c r="R1578">
        <v>4.2500000000000003E-3</v>
      </c>
      <c r="T1578" t="s">
        <v>4626</v>
      </c>
    </row>
    <row r="1579" spans="1:20" x14ac:dyDescent="0.2">
      <c r="A1579" t="s">
        <v>4628</v>
      </c>
      <c r="B1579" t="s">
        <v>2022</v>
      </c>
      <c r="C1579" t="s">
        <v>2036</v>
      </c>
      <c r="D1579" t="s">
        <v>2024</v>
      </c>
      <c r="E1579" t="s">
        <v>4629</v>
      </c>
      <c r="F1579" t="s">
        <v>4630</v>
      </c>
      <c r="G1579">
        <v>4</v>
      </c>
      <c r="H1579">
        <v>1840</v>
      </c>
      <c r="I1579">
        <v>4</v>
      </c>
      <c r="J1579">
        <v>5.8</v>
      </c>
      <c r="K1579">
        <v>4</v>
      </c>
      <c r="L1579">
        <v>0.14499999999999999</v>
      </c>
      <c r="M1579">
        <v>4</v>
      </c>
      <c r="N1579">
        <v>94</v>
      </c>
      <c r="O1579">
        <v>3</v>
      </c>
      <c r="P1579">
        <v>0.315</v>
      </c>
      <c r="Q1579">
        <v>3</v>
      </c>
      <c r="R1579">
        <v>6.7499999999999999E-3</v>
      </c>
      <c r="T1579" t="s">
        <v>4629</v>
      </c>
    </row>
    <row r="1580" spans="1:20" x14ac:dyDescent="0.2">
      <c r="A1580" t="s">
        <v>4631</v>
      </c>
      <c r="B1580" t="s">
        <v>2022</v>
      </c>
      <c r="C1580" t="s">
        <v>2036</v>
      </c>
      <c r="D1580" t="s">
        <v>2024</v>
      </c>
      <c r="E1580" t="s">
        <v>4632</v>
      </c>
      <c r="F1580" t="s">
        <v>4633</v>
      </c>
      <c r="G1580">
        <v>4</v>
      </c>
      <c r="H1580">
        <v>1840</v>
      </c>
      <c r="I1580">
        <v>5</v>
      </c>
      <c r="J1580">
        <v>7</v>
      </c>
      <c r="K1580">
        <v>5</v>
      </c>
      <c r="L1580">
        <v>0.17499999999999999</v>
      </c>
      <c r="M1580">
        <v>4</v>
      </c>
      <c r="N1580">
        <v>94</v>
      </c>
      <c r="O1580">
        <v>5</v>
      </c>
      <c r="P1580">
        <v>0.53500000000000003</v>
      </c>
      <c r="Q1580">
        <v>4</v>
      </c>
      <c r="R1580">
        <v>9.2499999999999995E-3</v>
      </c>
      <c r="T1580" t="s">
        <v>4632</v>
      </c>
    </row>
    <row r="1581" spans="1:20" x14ac:dyDescent="0.2">
      <c r="A1581" t="s">
        <v>4634</v>
      </c>
      <c r="B1581" t="s">
        <v>2022</v>
      </c>
      <c r="C1581" t="s">
        <v>2023</v>
      </c>
      <c r="D1581" t="s">
        <v>2024</v>
      </c>
      <c r="E1581" t="s">
        <v>4635</v>
      </c>
      <c r="F1581" t="s">
        <v>4636</v>
      </c>
      <c r="G1581">
        <v>2</v>
      </c>
      <c r="H1581">
        <v>1560</v>
      </c>
      <c r="I1581">
        <v>3</v>
      </c>
      <c r="J1581">
        <v>5.9</v>
      </c>
      <c r="K1581">
        <v>5</v>
      </c>
      <c r="L1581">
        <v>8.5999999999999993E-2</v>
      </c>
      <c r="M1581">
        <v>1</v>
      </c>
      <c r="N1581">
        <v>74</v>
      </c>
      <c r="O1581">
        <v>2</v>
      </c>
      <c r="P1581">
        <v>0.22500000000000001</v>
      </c>
      <c r="Q1581">
        <v>5</v>
      </c>
      <c r="R1581">
        <v>8.0000000000000002E-3</v>
      </c>
      <c r="T1581" t="s">
        <v>4635</v>
      </c>
    </row>
    <row r="1582" spans="1:20" x14ac:dyDescent="0.2">
      <c r="A1582" t="s">
        <v>4637</v>
      </c>
      <c r="B1582" t="s">
        <v>2022</v>
      </c>
      <c r="C1582" t="s">
        <v>2023</v>
      </c>
      <c r="D1582" t="s">
        <v>2024</v>
      </c>
      <c r="E1582" t="s">
        <v>4638</v>
      </c>
      <c r="F1582" t="s">
        <v>447</v>
      </c>
      <c r="G1582">
        <v>1</v>
      </c>
      <c r="H1582">
        <v>1480</v>
      </c>
      <c r="I1582">
        <v>1</v>
      </c>
      <c r="J1582">
        <v>0.9</v>
      </c>
      <c r="K1582">
        <v>2</v>
      </c>
      <c r="L1582">
        <v>2.5999999999999999E-2</v>
      </c>
      <c r="M1582">
        <v>2</v>
      </c>
      <c r="N1582">
        <v>84</v>
      </c>
      <c r="O1582">
        <v>1</v>
      </c>
      <c r="P1582">
        <v>7.4999999999999997E-2</v>
      </c>
      <c r="Q1582">
        <v>2</v>
      </c>
      <c r="R1582">
        <v>2E-3</v>
      </c>
      <c r="T1582" t="s">
        <v>4638</v>
      </c>
    </row>
    <row r="1583" spans="1:20" x14ac:dyDescent="0.2">
      <c r="A1583" t="s">
        <v>4639</v>
      </c>
      <c r="B1583" t="s">
        <v>2022</v>
      </c>
      <c r="C1583" t="s">
        <v>2023</v>
      </c>
      <c r="D1583" t="s">
        <v>2024</v>
      </c>
      <c r="E1583" t="s">
        <v>4640</v>
      </c>
      <c r="F1583" t="s">
        <v>4641</v>
      </c>
      <c r="G1583">
        <v>5</v>
      </c>
      <c r="H1583">
        <v>1800</v>
      </c>
      <c r="I1583">
        <v>3</v>
      </c>
      <c r="J1583">
        <v>5.9</v>
      </c>
      <c r="K1583">
        <v>2</v>
      </c>
      <c r="L1583">
        <v>2.5999999999999999E-2</v>
      </c>
      <c r="M1583">
        <v>5</v>
      </c>
      <c r="N1583">
        <v>114</v>
      </c>
      <c r="O1583">
        <v>3</v>
      </c>
      <c r="P1583">
        <v>0.375</v>
      </c>
      <c r="Q1583">
        <v>2</v>
      </c>
      <c r="R1583">
        <v>2E-3</v>
      </c>
      <c r="T1583" t="s">
        <v>4640</v>
      </c>
    </row>
    <row r="1584" spans="1:20" x14ac:dyDescent="0.2">
      <c r="A1584" t="s">
        <v>4642</v>
      </c>
      <c r="B1584" t="s">
        <v>2022</v>
      </c>
      <c r="C1584" t="s">
        <v>2023</v>
      </c>
      <c r="D1584" t="s">
        <v>2024</v>
      </c>
      <c r="E1584" t="s">
        <v>4643</v>
      </c>
      <c r="F1584" t="s">
        <v>4644</v>
      </c>
      <c r="G1584">
        <v>5</v>
      </c>
      <c r="H1584">
        <v>1800</v>
      </c>
      <c r="I1584">
        <v>5</v>
      </c>
      <c r="J1584">
        <v>10.9</v>
      </c>
      <c r="K1584">
        <v>5</v>
      </c>
      <c r="L1584">
        <v>8.5999999999999993E-2</v>
      </c>
      <c r="M1584">
        <v>5</v>
      </c>
      <c r="N1584">
        <v>114</v>
      </c>
      <c r="O1584">
        <v>4</v>
      </c>
      <c r="P1584">
        <v>0.52500000000000002</v>
      </c>
      <c r="Q1584">
        <v>5</v>
      </c>
      <c r="R1584">
        <v>8.0000000000000002E-3</v>
      </c>
      <c r="T1584" t="s">
        <v>4643</v>
      </c>
    </row>
    <row r="1585" spans="1:20" x14ac:dyDescent="0.2">
      <c r="A1585" t="s">
        <v>4645</v>
      </c>
      <c r="B1585" t="s">
        <v>2022</v>
      </c>
      <c r="C1585" t="s">
        <v>2036</v>
      </c>
      <c r="D1585" t="s">
        <v>2024</v>
      </c>
      <c r="E1585" t="s">
        <v>4646</v>
      </c>
      <c r="F1585" t="s">
        <v>4647</v>
      </c>
      <c r="G1585">
        <v>5</v>
      </c>
      <c r="H1585">
        <v>1940</v>
      </c>
      <c r="I1585">
        <v>4</v>
      </c>
      <c r="J1585">
        <v>5.8</v>
      </c>
      <c r="K1585">
        <v>2</v>
      </c>
      <c r="L1585">
        <v>8.5000000000000006E-2</v>
      </c>
      <c r="M1585">
        <v>4</v>
      </c>
      <c r="N1585">
        <v>94</v>
      </c>
      <c r="O1585">
        <v>3</v>
      </c>
      <c r="P1585">
        <v>0.315</v>
      </c>
      <c r="Q1585">
        <v>2</v>
      </c>
      <c r="R1585">
        <v>4.2500000000000003E-3</v>
      </c>
      <c r="T1585" t="s">
        <v>4646</v>
      </c>
    </row>
    <row r="1586" spans="1:20" x14ac:dyDescent="0.2">
      <c r="A1586" t="s">
        <v>4648</v>
      </c>
      <c r="B1586" t="s">
        <v>2022</v>
      </c>
      <c r="C1586" t="s">
        <v>2036</v>
      </c>
      <c r="D1586" t="s">
        <v>2024</v>
      </c>
      <c r="E1586" t="s">
        <v>4649</v>
      </c>
      <c r="F1586" t="s">
        <v>4650</v>
      </c>
      <c r="G1586">
        <v>5</v>
      </c>
      <c r="H1586">
        <v>1940</v>
      </c>
      <c r="I1586">
        <v>1</v>
      </c>
      <c r="J1586">
        <v>2.2000000000000002</v>
      </c>
      <c r="K1586">
        <v>1</v>
      </c>
      <c r="L1586">
        <v>5.5E-2</v>
      </c>
      <c r="M1586">
        <v>5</v>
      </c>
      <c r="N1586">
        <v>100</v>
      </c>
      <c r="O1586">
        <v>1</v>
      </c>
      <c r="P1586">
        <v>9.5000000000000001E-2</v>
      </c>
      <c r="Q1586">
        <v>1</v>
      </c>
      <c r="R1586">
        <v>1.5E-3</v>
      </c>
      <c r="T1586" t="s">
        <v>4649</v>
      </c>
    </row>
    <row r="1587" spans="1:20" x14ac:dyDescent="0.2">
      <c r="A1587" t="s">
        <v>4651</v>
      </c>
      <c r="B1587" t="s">
        <v>2022</v>
      </c>
      <c r="C1587" t="s">
        <v>2023</v>
      </c>
      <c r="D1587" t="s">
        <v>2024</v>
      </c>
      <c r="E1587" t="s">
        <v>4652</v>
      </c>
      <c r="F1587" t="s">
        <v>4653</v>
      </c>
      <c r="G1587">
        <v>4</v>
      </c>
      <c r="H1587">
        <v>1720</v>
      </c>
      <c r="I1587">
        <v>1</v>
      </c>
      <c r="J1587">
        <v>0.9</v>
      </c>
      <c r="K1587">
        <v>1</v>
      </c>
      <c r="L1587">
        <v>6.0000000000000001E-3</v>
      </c>
      <c r="M1587">
        <v>3</v>
      </c>
      <c r="N1587">
        <v>94</v>
      </c>
      <c r="O1587">
        <v>1</v>
      </c>
      <c r="P1587">
        <v>7.4999999999999997E-2</v>
      </c>
      <c r="Q1587">
        <v>1</v>
      </c>
      <c r="R1587">
        <v>5.0000000000000001E-4</v>
      </c>
      <c r="T1587" t="s">
        <v>4652</v>
      </c>
    </row>
    <row r="1588" spans="1:20" x14ac:dyDescent="0.2">
      <c r="A1588" t="s">
        <v>4654</v>
      </c>
      <c r="B1588" t="s">
        <v>2022</v>
      </c>
      <c r="C1588" t="s">
        <v>2023</v>
      </c>
      <c r="D1588" t="s">
        <v>2024</v>
      </c>
      <c r="E1588" t="s">
        <v>4655</v>
      </c>
      <c r="F1588" t="s">
        <v>4656</v>
      </c>
      <c r="G1588">
        <v>1</v>
      </c>
      <c r="H1588">
        <v>1480</v>
      </c>
      <c r="I1588">
        <v>1</v>
      </c>
      <c r="J1588">
        <v>0.9</v>
      </c>
      <c r="K1588">
        <v>1</v>
      </c>
      <c r="L1588">
        <v>6.0000000000000001E-3</v>
      </c>
      <c r="M1588">
        <v>1</v>
      </c>
      <c r="N1588">
        <v>74</v>
      </c>
      <c r="O1588">
        <v>1</v>
      </c>
      <c r="P1588">
        <v>7.4999999999999997E-2</v>
      </c>
      <c r="Q1588">
        <v>1</v>
      </c>
      <c r="R1588">
        <v>5.0000000000000001E-4</v>
      </c>
      <c r="T1588" t="s">
        <v>4655</v>
      </c>
    </row>
    <row r="1589" spans="1:20" x14ac:dyDescent="0.2">
      <c r="A1589" t="s">
        <v>4657</v>
      </c>
      <c r="B1589" t="s">
        <v>2022</v>
      </c>
      <c r="C1589" t="s">
        <v>2023</v>
      </c>
      <c r="D1589" t="s">
        <v>2024</v>
      </c>
      <c r="E1589" t="s">
        <v>4658</v>
      </c>
      <c r="F1589" t="s">
        <v>4659</v>
      </c>
      <c r="G1589">
        <v>1</v>
      </c>
      <c r="H1589">
        <v>1480</v>
      </c>
      <c r="I1589">
        <v>4</v>
      </c>
      <c r="J1589">
        <v>8.4</v>
      </c>
      <c r="K1589">
        <v>5</v>
      </c>
      <c r="L1589">
        <v>8.5999999999999993E-2</v>
      </c>
      <c r="M1589">
        <v>3</v>
      </c>
      <c r="N1589">
        <v>94</v>
      </c>
      <c r="O1589">
        <v>4</v>
      </c>
      <c r="P1589">
        <v>0.52500000000000002</v>
      </c>
      <c r="Q1589">
        <v>5</v>
      </c>
      <c r="R1589">
        <v>8.0000000000000002E-3</v>
      </c>
      <c r="T1589" t="s">
        <v>4658</v>
      </c>
    </row>
    <row r="1590" spans="1:20" x14ac:dyDescent="0.2">
      <c r="A1590" t="s">
        <v>4660</v>
      </c>
      <c r="B1590" t="s">
        <v>2022</v>
      </c>
      <c r="C1590" t="s">
        <v>2036</v>
      </c>
      <c r="D1590" t="s">
        <v>2024</v>
      </c>
      <c r="E1590" t="s">
        <v>4661</v>
      </c>
      <c r="F1590" t="s">
        <v>4662</v>
      </c>
      <c r="G1590">
        <v>2</v>
      </c>
      <c r="H1590">
        <v>1640</v>
      </c>
      <c r="I1590">
        <v>2</v>
      </c>
      <c r="J1590">
        <v>3.4</v>
      </c>
      <c r="K1590">
        <v>3</v>
      </c>
      <c r="L1590">
        <v>0.115</v>
      </c>
      <c r="M1590">
        <v>3</v>
      </c>
      <c r="N1590">
        <v>88</v>
      </c>
      <c r="O1590">
        <v>2</v>
      </c>
      <c r="P1590">
        <v>0.20499999999999999</v>
      </c>
      <c r="Q1590">
        <v>3</v>
      </c>
      <c r="R1590">
        <v>6.7499999999999999E-3</v>
      </c>
      <c r="T1590" t="s">
        <v>4661</v>
      </c>
    </row>
    <row r="1591" spans="1:20" x14ac:dyDescent="0.2">
      <c r="A1591" t="s">
        <v>4663</v>
      </c>
      <c r="B1591" t="s">
        <v>2022</v>
      </c>
      <c r="C1591" t="s">
        <v>2023</v>
      </c>
      <c r="D1591" t="s">
        <v>2024</v>
      </c>
      <c r="E1591" t="s">
        <v>4664</v>
      </c>
      <c r="F1591" t="s">
        <v>4665</v>
      </c>
      <c r="G1591">
        <v>5</v>
      </c>
      <c r="H1591">
        <v>1800</v>
      </c>
      <c r="I1591">
        <v>3</v>
      </c>
      <c r="J1591">
        <v>5.9</v>
      </c>
      <c r="K1591">
        <v>5</v>
      </c>
      <c r="L1591">
        <v>8.5999999999999993E-2</v>
      </c>
      <c r="M1591">
        <v>5</v>
      </c>
      <c r="N1591">
        <v>114</v>
      </c>
      <c r="O1591">
        <v>3</v>
      </c>
      <c r="P1591">
        <v>0.375</v>
      </c>
      <c r="Q1591">
        <v>4</v>
      </c>
      <c r="R1591">
        <v>6.0000000000000001E-3</v>
      </c>
      <c r="T1591" t="s">
        <v>4664</v>
      </c>
    </row>
    <row r="1592" spans="1:20" x14ac:dyDescent="0.2">
      <c r="A1592" t="s">
        <v>4666</v>
      </c>
      <c r="B1592" t="s">
        <v>2022</v>
      </c>
      <c r="C1592" t="s">
        <v>2023</v>
      </c>
      <c r="D1592" t="s">
        <v>2024</v>
      </c>
      <c r="E1592" t="s">
        <v>4667</v>
      </c>
      <c r="F1592" t="s">
        <v>4668</v>
      </c>
      <c r="G1592">
        <v>4</v>
      </c>
      <c r="H1592">
        <v>1720</v>
      </c>
      <c r="I1592">
        <v>4</v>
      </c>
      <c r="J1592">
        <v>8.4</v>
      </c>
      <c r="K1592">
        <v>5</v>
      </c>
      <c r="L1592">
        <v>8.5999999999999993E-2</v>
      </c>
      <c r="M1592">
        <v>2</v>
      </c>
      <c r="N1592">
        <v>84</v>
      </c>
      <c r="O1592">
        <v>3</v>
      </c>
      <c r="P1592">
        <v>0.375</v>
      </c>
      <c r="Q1592">
        <v>5</v>
      </c>
      <c r="R1592">
        <v>8.0000000000000002E-3</v>
      </c>
      <c r="T1592" t="s">
        <v>4667</v>
      </c>
    </row>
    <row r="1593" spans="1:20" x14ac:dyDescent="0.2">
      <c r="A1593" t="s">
        <v>4669</v>
      </c>
      <c r="B1593" t="s">
        <v>2022</v>
      </c>
      <c r="C1593" t="s">
        <v>2023</v>
      </c>
      <c r="D1593" t="s">
        <v>2024</v>
      </c>
      <c r="E1593" t="s">
        <v>4670</v>
      </c>
      <c r="F1593" t="s">
        <v>4671</v>
      </c>
      <c r="G1593">
        <v>3</v>
      </c>
      <c r="H1593">
        <v>1640</v>
      </c>
      <c r="I1593">
        <v>5</v>
      </c>
      <c r="J1593">
        <v>10.9</v>
      </c>
      <c r="K1593">
        <v>5</v>
      </c>
      <c r="L1593">
        <v>8.5999999999999993E-2</v>
      </c>
      <c r="M1593">
        <v>1</v>
      </c>
      <c r="N1593">
        <v>74</v>
      </c>
      <c r="O1593">
        <v>5</v>
      </c>
      <c r="P1593">
        <v>0.67500000000000004</v>
      </c>
      <c r="Q1593">
        <v>5</v>
      </c>
      <c r="R1593">
        <v>8.0000000000000002E-3</v>
      </c>
      <c r="T1593" t="s">
        <v>4670</v>
      </c>
    </row>
    <row r="1594" spans="1:20" x14ac:dyDescent="0.2">
      <c r="A1594" t="s">
        <v>4672</v>
      </c>
      <c r="B1594" t="s">
        <v>2022</v>
      </c>
      <c r="C1594" t="s">
        <v>2036</v>
      </c>
      <c r="D1594" t="s">
        <v>2024</v>
      </c>
      <c r="E1594" t="s">
        <v>4673</v>
      </c>
      <c r="F1594" t="s">
        <v>4674</v>
      </c>
      <c r="G1594">
        <v>4</v>
      </c>
      <c r="H1594">
        <v>1840</v>
      </c>
      <c r="I1594">
        <v>3</v>
      </c>
      <c r="J1594">
        <v>4.5999999999999996</v>
      </c>
      <c r="K1594">
        <v>2</v>
      </c>
      <c r="L1594">
        <v>8.5000000000000006E-2</v>
      </c>
      <c r="M1594">
        <v>4</v>
      </c>
      <c r="N1594">
        <v>94</v>
      </c>
      <c r="O1594">
        <v>2</v>
      </c>
      <c r="P1594">
        <v>0.20499999999999999</v>
      </c>
      <c r="Q1594">
        <v>2</v>
      </c>
      <c r="R1594">
        <v>4.2500000000000003E-3</v>
      </c>
      <c r="T1594" t="s">
        <v>4673</v>
      </c>
    </row>
    <row r="1595" spans="1:20" x14ac:dyDescent="0.2">
      <c r="A1595" t="s">
        <v>4675</v>
      </c>
      <c r="B1595" t="s">
        <v>2022</v>
      </c>
      <c r="C1595" t="s">
        <v>2028</v>
      </c>
      <c r="D1595" t="s">
        <v>2024</v>
      </c>
      <c r="E1595" t="s">
        <v>4676</v>
      </c>
      <c r="F1595" t="s">
        <v>4677</v>
      </c>
      <c r="G1595">
        <v>1</v>
      </c>
      <c r="H1595">
        <v>650</v>
      </c>
      <c r="I1595">
        <v>2</v>
      </c>
      <c r="J1595">
        <v>1.55</v>
      </c>
      <c r="K1595">
        <v>2</v>
      </c>
      <c r="L1595">
        <v>4.4999999999999998E-2</v>
      </c>
      <c r="M1595">
        <v>5</v>
      </c>
      <c r="N1595">
        <v>500</v>
      </c>
      <c r="O1595">
        <v>5</v>
      </c>
      <c r="P1595">
        <v>1.35</v>
      </c>
      <c r="Q1595">
        <v>5</v>
      </c>
      <c r="R1595">
        <v>3.3500000000000002E-2</v>
      </c>
      <c r="T1595" t="s">
        <v>4676</v>
      </c>
    </row>
    <row r="1596" spans="1:20" x14ac:dyDescent="0.2">
      <c r="A1596" t="s">
        <v>4678</v>
      </c>
      <c r="B1596" t="s">
        <v>2022</v>
      </c>
      <c r="C1596" t="s">
        <v>2053</v>
      </c>
      <c r="D1596" t="s">
        <v>2024</v>
      </c>
      <c r="E1596" t="s">
        <v>4679</v>
      </c>
      <c r="F1596" t="s">
        <v>4680</v>
      </c>
      <c r="G1596">
        <v>3</v>
      </c>
      <c r="H1596">
        <v>1700</v>
      </c>
      <c r="I1596">
        <v>2</v>
      </c>
      <c r="J1596">
        <v>4.05</v>
      </c>
      <c r="K1596">
        <v>2</v>
      </c>
      <c r="L1596">
        <v>8.5000000000000006E-2</v>
      </c>
      <c r="M1596">
        <v>5</v>
      </c>
      <c r="N1596">
        <v>113</v>
      </c>
      <c r="O1596">
        <v>5</v>
      </c>
      <c r="P1596">
        <v>0.67500000000000004</v>
      </c>
      <c r="Q1596">
        <v>3</v>
      </c>
      <c r="R1596">
        <v>1.2200000000000001E-2</v>
      </c>
      <c r="T1596" t="s">
        <v>4679</v>
      </c>
    </row>
    <row r="1597" spans="1:20" x14ac:dyDescent="0.2">
      <c r="A1597" t="s">
        <v>4681</v>
      </c>
      <c r="B1597" t="s">
        <v>2022</v>
      </c>
      <c r="C1597" t="s">
        <v>2101</v>
      </c>
      <c r="D1597" t="s">
        <v>2154</v>
      </c>
      <c r="E1597" t="s">
        <v>4682</v>
      </c>
      <c r="F1597" t="s">
        <v>4683</v>
      </c>
      <c r="G1597">
        <v>1</v>
      </c>
      <c r="H1597">
        <v>1570</v>
      </c>
      <c r="I1597">
        <v>1</v>
      </c>
      <c r="J1597">
        <v>2</v>
      </c>
      <c r="K1597">
        <v>1</v>
      </c>
      <c r="L1597">
        <v>1.15E-2</v>
      </c>
      <c r="M1597">
        <v>1</v>
      </c>
      <c r="N1597">
        <v>66</v>
      </c>
      <c r="O1597">
        <v>1</v>
      </c>
      <c r="P1597">
        <v>7.4999999999999997E-2</v>
      </c>
      <c r="Q1597">
        <v>1</v>
      </c>
      <c r="R1597">
        <v>5.0000000000000001E-4</v>
      </c>
      <c r="T1597" t="s">
        <v>4682</v>
      </c>
    </row>
    <row r="1598" spans="1:20" x14ac:dyDescent="0.2">
      <c r="A1598" t="s">
        <v>4684</v>
      </c>
      <c r="B1598" t="s">
        <v>2022</v>
      </c>
      <c r="C1598" t="s">
        <v>2023</v>
      </c>
      <c r="D1598" t="s">
        <v>2154</v>
      </c>
      <c r="E1598" t="s">
        <v>4682</v>
      </c>
      <c r="F1598" t="s">
        <v>4683</v>
      </c>
      <c r="G1598">
        <v>1</v>
      </c>
      <c r="H1598">
        <v>1480</v>
      </c>
      <c r="I1598">
        <v>1</v>
      </c>
      <c r="J1598">
        <v>0.9</v>
      </c>
      <c r="K1598">
        <v>2</v>
      </c>
      <c r="L1598">
        <v>2.5999999999999999E-2</v>
      </c>
      <c r="M1598">
        <v>5</v>
      </c>
      <c r="N1598">
        <v>114</v>
      </c>
      <c r="O1598">
        <v>2</v>
      </c>
      <c r="P1598">
        <v>0.22500000000000001</v>
      </c>
      <c r="Q1598">
        <v>2</v>
      </c>
      <c r="R1598">
        <v>2E-3</v>
      </c>
      <c r="T1598" t="s">
        <v>4682</v>
      </c>
    </row>
    <row r="1599" spans="1:20" x14ac:dyDescent="0.2">
      <c r="A1599" t="s">
        <v>4685</v>
      </c>
      <c r="B1599" t="s">
        <v>2022</v>
      </c>
      <c r="C1599" t="s">
        <v>2023</v>
      </c>
      <c r="D1599" t="s">
        <v>2024</v>
      </c>
      <c r="E1599" t="s">
        <v>4686</v>
      </c>
      <c r="F1599" t="s">
        <v>4687</v>
      </c>
      <c r="G1599">
        <v>3</v>
      </c>
      <c r="H1599">
        <v>1640</v>
      </c>
      <c r="I1599">
        <v>3</v>
      </c>
      <c r="J1599">
        <v>5.9</v>
      </c>
      <c r="K1599">
        <v>5</v>
      </c>
      <c r="L1599">
        <v>8.5999999999999993E-2</v>
      </c>
      <c r="M1599">
        <v>5</v>
      </c>
      <c r="N1599">
        <v>114</v>
      </c>
      <c r="O1599">
        <v>4</v>
      </c>
      <c r="P1599">
        <v>0.52500000000000002</v>
      </c>
      <c r="Q1599">
        <v>5</v>
      </c>
      <c r="R1599">
        <v>8.0000000000000002E-3</v>
      </c>
      <c r="T1599" t="s">
        <v>4686</v>
      </c>
    </row>
    <row r="1600" spans="1:20" x14ac:dyDescent="0.2">
      <c r="A1600" t="s">
        <v>4688</v>
      </c>
      <c r="B1600" t="s">
        <v>2022</v>
      </c>
      <c r="C1600" t="s">
        <v>2028</v>
      </c>
      <c r="D1600" t="s">
        <v>2024</v>
      </c>
      <c r="E1600" t="s">
        <v>4689</v>
      </c>
      <c r="F1600" t="s">
        <v>4690</v>
      </c>
      <c r="G1600">
        <v>5</v>
      </c>
      <c r="H1600">
        <v>1450</v>
      </c>
      <c r="I1600">
        <v>5</v>
      </c>
      <c r="J1600">
        <v>6.65</v>
      </c>
      <c r="K1600">
        <v>5</v>
      </c>
      <c r="L1600">
        <v>0.26700000000000002</v>
      </c>
      <c r="M1600">
        <v>1</v>
      </c>
      <c r="N1600">
        <v>100</v>
      </c>
      <c r="O1600">
        <v>2</v>
      </c>
      <c r="P1600">
        <v>0.45</v>
      </c>
      <c r="Q1600">
        <v>5</v>
      </c>
      <c r="R1600">
        <v>3.3500000000000002E-2</v>
      </c>
      <c r="T1600" t="s">
        <v>4689</v>
      </c>
    </row>
    <row r="1601" spans="1:20" x14ac:dyDescent="0.2">
      <c r="A1601" t="s">
        <v>4691</v>
      </c>
      <c r="B1601" t="s">
        <v>2022</v>
      </c>
      <c r="C1601" t="s">
        <v>2053</v>
      </c>
      <c r="D1601" t="s">
        <v>2024</v>
      </c>
      <c r="E1601" t="s">
        <v>4692</v>
      </c>
      <c r="F1601" t="s">
        <v>447</v>
      </c>
      <c r="G1601">
        <v>1</v>
      </c>
      <c r="H1601">
        <v>1500</v>
      </c>
      <c r="I1601">
        <v>4</v>
      </c>
      <c r="J1601">
        <v>9.0500000000000007</v>
      </c>
      <c r="K1601">
        <v>5</v>
      </c>
      <c r="L1601">
        <v>0.41499999999999998</v>
      </c>
      <c r="M1601">
        <v>1</v>
      </c>
      <c r="N1601">
        <v>73</v>
      </c>
      <c r="O1601">
        <v>4</v>
      </c>
      <c r="P1601">
        <v>0.52500000000000002</v>
      </c>
      <c r="Q1601">
        <v>4</v>
      </c>
      <c r="R1601">
        <v>1.9199999999999998E-2</v>
      </c>
      <c r="T1601" t="s">
        <v>4692</v>
      </c>
    </row>
    <row r="1602" spans="1:20" x14ac:dyDescent="0.2">
      <c r="A1602" t="s">
        <v>4693</v>
      </c>
      <c r="B1602" t="s">
        <v>2022</v>
      </c>
      <c r="C1602" t="s">
        <v>2095</v>
      </c>
      <c r="D1602" t="s">
        <v>2024</v>
      </c>
      <c r="E1602" t="s">
        <v>4694</v>
      </c>
      <c r="F1602" t="s">
        <v>4695</v>
      </c>
      <c r="G1602">
        <v>3</v>
      </c>
      <c r="H1602">
        <v>1745</v>
      </c>
      <c r="I1602">
        <v>4</v>
      </c>
      <c r="J1602">
        <v>13.5</v>
      </c>
      <c r="K1602">
        <v>3</v>
      </c>
      <c r="L1602">
        <v>0.33</v>
      </c>
      <c r="M1602">
        <v>2</v>
      </c>
      <c r="N1602">
        <v>80</v>
      </c>
      <c r="O1602">
        <v>4</v>
      </c>
      <c r="P1602">
        <v>0.75</v>
      </c>
      <c r="Q1602">
        <v>3</v>
      </c>
      <c r="R1602">
        <v>1.49E-2</v>
      </c>
      <c r="T1602" t="s">
        <v>4694</v>
      </c>
    </row>
    <row r="1603" spans="1:20" x14ac:dyDescent="0.2">
      <c r="A1603" t="s">
        <v>4696</v>
      </c>
      <c r="B1603" t="s">
        <v>2022</v>
      </c>
      <c r="C1603" t="s">
        <v>2101</v>
      </c>
      <c r="D1603" t="s">
        <v>2024</v>
      </c>
      <c r="E1603" t="s">
        <v>4697</v>
      </c>
      <c r="F1603" t="s">
        <v>4698</v>
      </c>
      <c r="G1603">
        <v>2</v>
      </c>
      <c r="H1603">
        <v>1670</v>
      </c>
      <c r="I1603">
        <v>3</v>
      </c>
      <c r="J1603">
        <v>8</v>
      </c>
      <c r="K1603">
        <v>2</v>
      </c>
      <c r="L1603">
        <v>9.6500000000000002E-2</v>
      </c>
      <c r="M1603">
        <v>1</v>
      </c>
      <c r="N1603">
        <v>66</v>
      </c>
      <c r="O1603">
        <v>3</v>
      </c>
      <c r="P1603">
        <v>0.375</v>
      </c>
      <c r="Q1603">
        <v>2</v>
      </c>
      <c r="R1603">
        <v>4.4999999999999997E-3</v>
      </c>
      <c r="T1603" t="s">
        <v>4697</v>
      </c>
    </row>
    <row r="1604" spans="1:20" x14ac:dyDescent="0.2">
      <c r="A1604" t="s">
        <v>4699</v>
      </c>
      <c r="B1604" t="s">
        <v>2022</v>
      </c>
      <c r="C1604" t="s">
        <v>2101</v>
      </c>
      <c r="D1604" t="s">
        <v>2024</v>
      </c>
      <c r="E1604" t="s">
        <v>4700</v>
      </c>
      <c r="F1604" t="s">
        <v>4701</v>
      </c>
      <c r="G1604">
        <v>2</v>
      </c>
      <c r="H1604">
        <v>1670</v>
      </c>
      <c r="I1604">
        <v>4</v>
      </c>
      <c r="J1604">
        <v>11</v>
      </c>
      <c r="K1604">
        <v>3</v>
      </c>
      <c r="L1604">
        <v>0.24349999999999999</v>
      </c>
      <c r="M1604">
        <v>1</v>
      </c>
      <c r="N1604">
        <v>66</v>
      </c>
      <c r="O1604">
        <v>3</v>
      </c>
      <c r="P1604">
        <v>0.375</v>
      </c>
      <c r="Q1604">
        <v>2</v>
      </c>
      <c r="R1604">
        <v>4.4999999999999997E-3</v>
      </c>
      <c r="T1604" t="s">
        <v>4700</v>
      </c>
    </row>
    <row r="1605" spans="1:20" x14ac:dyDescent="0.2">
      <c r="A1605" t="s">
        <v>4702</v>
      </c>
      <c r="B1605" t="s">
        <v>2022</v>
      </c>
      <c r="C1605" t="s">
        <v>2104</v>
      </c>
      <c r="D1605" t="s">
        <v>2024</v>
      </c>
      <c r="E1605" t="s">
        <v>4703</v>
      </c>
      <c r="F1605" t="s">
        <v>4704</v>
      </c>
      <c r="G1605">
        <v>5</v>
      </c>
      <c r="H1605">
        <v>2237.5</v>
      </c>
      <c r="I1605">
        <v>5</v>
      </c>
      <c r="J1605">
        <v>10.15</v>
      </c>
      <c r="K1605">
        <v>5</v>
      </c>
      <c r="L1605">
        <v>0.191</v>
      </c>
      <c r="M1605">
        <v>4</v>
      </c>
      <c r="N1605">
        <v>81</v>
      </c>
      <c r="P1605">
        <v>0</v>
      </c>
      <c r="Q1605">
        <v>4</v>
      </c>
      <c r="R1605">
        <v>1.32E-2</v>
      </c>
      <c r="T1605" t="s">
        <v>4703</v>
      </c>
    </row>
    <row r="1606" spans="1:20" x14ac:dyDescent="0.2">
      <c r="A1606" t="s">
        <v>4705</v>
      </c>
      <c r="B1606" t="s">
        <v>2022</v>
      </c>
      <c r="C1606" t="s">
        <v>2036</v>
      </c>
      <c r="D1606" t="s">
        <v>2136</v>
      </c>
      <c r="E1606" t="s">
        <v>357</v>
      </c>
      <c r="F1606" t="s">
        <v>4706</v>
      </c>
      <c r="G1606">
        <v>2</v>
      </c>
      <c r="H1606">
        <v>1640</v>
      </c>
      <c r="I1606">
        <v>3</v>
      </c>
      <c r="J1606">
        <v>4.5999999999999996</v>
      </c>
      <c r="K1606">
        <v>4</v>
      </c>
      <c r="L1606">
        <v>0.14499999999999999</v>
      </c>
      <c r="M1606">
        <v>5</v>
      </c>
      <c r="N1606">
        <v>100</v>
      </c>
      <c r="O1606">
        <v>3</v>
      </c>
      <c r="P1606">
        <v>0.315</v>
      </c>
      <c r="Q1606">
        <v>4</v>
      </c>
      <c r="R1606">
        <v>9.2499999999999995E-3</v>
      </c>
      <c r="T1606" t="s">
        <v>357</v>
      </c>
    </row>
    <row r="1607" spans="1:20" x14ac:dyDescent="0.2">
      <c r="A1607" t="s">
        <v>4707</v>
      </c>
      <c r="B1607" t="s">
        <v>2022</v>
      </c>
      <c r="C1607" t="s">
        <v>2095</v>
      </c>
      <c r="D1607" t="s">
        <v>2024</v>
      </c>
      <c r="E1607" t="s">
        <v>4708</v>
      </c>
      <c r="F1607" t="s">
        <v>4709</v>
      </c>
      <c r="G1607">
        <v>1</v>
      </c>
      <c r="H1607">
        <v>1565</v>
      </c>
      <c r="I1607">
        <v>2</v>
      </c>
      <c r="J1607">
        <v>7.5</v>
      </c>
      <c r="K1607">
        <v>3</v>
      </c>
      <c r="L1607">
        <v>0.33</v>
      </c>
      <c r="M1607">
        <v>2</v>
      </c>
      <c r="N1607">
        <v>80</v>
      </c>
      <c r="O1607">
        <v>3</v>
      </c>
      <c r="P1607">
        <v>0.55000000000000004</v>
      </c>
      <c r="Q1607">
        <v>3</v>
      </c>
      <c r="R1607">
        <v>1.49E-2</v>
      </c>
      <c r="T1607" t="s">
        <v>4708</v>
      </c>
    </row>
    <row r="1608" spans="1:20" x14ac:dyDescent="0.2">
      <c r="A1608" t="s">
        <v>4710</v>
      </c>
      <c r="B1608" t="s">
        <v>2022</v>
      </c>
      <c r="C1608" t="s">
        <v>2023</v>
      </c>
      <c r="D1608" t="s">
        <v>2024</v>
      </c>
      <c r="E1608" t="s">
        <v>4711</v>
      </c>
      <c r="F1608" t="s">
        <v>4712</v>
      </c>
      <c r="G1608">
        <v>3</v>
      </c>
      <c r="H1608">
        <v>1640</v>
      </c>
      <c r="I1608">
        <v>3</v>
      </c>
      <c r="J1608">
        <v>5.9</v>
      </c>
      <c r="K1608">
        <v>2</v>
      </c>
      <c r="L1608">
        <v>2.5999999999999999E-2</v>
      </c>
      <c r="M1608">
        <v>4</v>
      </c>
      <c r="N1608">
        <v>104</v>
      </c>
      <c r="O1608">
        <v>3</v>
      </c>
      <c r="P1608">
        <v>0.375</v>
      </c>
      <c r="Q1608">
        <v>2</v>
      </c>
      <c r="R1608">
        <v>2E-3</v>
      </c>
      <c r="T1608" t="s">
        <v>4711</v>
      </c>
    </row>
    <row r="1609" spans="1:20" x14ac:dyDescent="0.2">
      <c r="A1609" t="s">
        <v>4713</v>
      </c>
      <c r="B1609" t="s">
        <v>2022</v>
      </c>
      <c r="C1609" t="s">
        <v>2095</v>
      </c>
      <c r="D1609" t="s">
        <v>2024</v>
      </c>
      <c r="E1609" t="s">
        <v>4714</v>
      </c>
      <c r="F1609" t="s">
        <v>4715</v>
      </c>
      <c r="G1609">
        <v>1</v>
      </c>
      <c r="H1609">
        <v>1565</v>
      </c>
      <c r="I1609">
        <v>2</v>
      </c>
      <c r="J1609">
        <v>7.5</v>
      </c>
      <c r="K1609">
        <v>2</v>
      </c>
      <c r="L1609">
        <v>0.13</v>
      </c>
      <c r="M1609">
        <v>1</v>
      </c>
      <c r="N1609">
        <v>74</v>
      </c>
      <c r="O1609">
        <v>2</v>
      </c>
      <c r="P1609">
        <v>0.35</v>
      </c>
      <c r="Q1609">
        <v>2</v>
      </c>
      <c r="R1609">
        <v>5.8999999999999999E-3</v>
      </c>
      <c r="T1609" t="s">
        <v>4714</v>
      </c>
    </row>
    <row r="1610" spans="1:20" x14ac:dyDescent="0.2">
      <c r="A1610" t="s">
        <v>4716</v>
      </c>
      <c r="B1610" t="s">
        <v>2022</v>
      </c>
      <c r="C1610" t="s">
        <v>2023</v>
      </c>
      <c r="D1610" t="s">
        <v>2024</v>
      </c>
      <c r="E1610" t="s">
        <v>4717</v>
      </c>
      <c r="F1610" t="s">
        <v>4718</v>
      </c>
      <c r="G1610">
        <v>3</v>
      </c>
      <c r="H1610">
        <v>1640</v>
      </c>
      <c r="I1610">
        <v>4</v>
      </c>
      <c r="J1610">
        <v>8.4</v>
      </c>
      <c r="K1610">
        <v>5</v>
      </c>
      <c r="L1610">
        <v>8.5999999999999993E-2</v>
      </c>
      <c r="M1610">
        <v>3</v>
      </c>
      <c r="N1610">
        <v>94</v>
      </c>
      <c r="O1610">
        <v>3</v>
      </c>
      <c r="P1610">
        <v>0.375</v>
      </c>
      <c r="Q1610">
        <v>5</v>
      </c>
      <c r="R1610">
        <v>8.0000000000000002E-3</v>
      </c>
      <c r="T1610" t="s">
        <v>4717</v>
      </c>
    </row>
    <row r="1611" spans="1:20" x14ac:dyDescent="0.2">
      <c r="A1611" t="s">
        <v>4719</v>
      </c>
      <c r="B1611" t="s">
        <v>2022</v>
      </c>
      <c r="C1611" t="s">
        <v>2023</v>
      </c>
      <c r="D1611" t="s">
        <v>2024</v>
      </c>
      <c r="E1611" t="s">
        <v>4720</v>
      </c>
      <c r="F1611" t="s">
        <v>4721</v>
      </c>
      <c r="G1611">
        <v>5</v>
      </c>
      <c r="H1611">
        <v>1800</v>
      </c>
      <c r="I1611">
        <v>5</v>
      </c>
      <c r="J1611">
        <v>10.9</v>
      </c>
      <c r="K1611">
        <v>5</v>
      </c>
      <c r="L1611">
        <v>8.5999999999999993E-2</v>
      </c>
      <c r="M1611">
        <v>2</v>
      </c>
      <c r="N1611">
        <v>84</v>
      </c>
      <c r="O1611">
        <v>5</v>
      </c>
      <c r="P1611">
        <v>0.67500000000000004</v>
      </c>
      <c r="Q1611">
        <v>5</v>
      </c>
      <c r="R1611">
        <v>8.0000000000000002E-3</v>
      </c>
      <c r="T1611" t="s">
        <v>4720</v>
      </c>
    </row>
    <row r="1612" spans="1:20" x14ac:dyDescent="0.2">
      <c r="A1612" t="s">
        <v>4722</v>
      </c>
      <c r="B1612" t="s">
        <v>2022</v>
      </c>
      <c r="C1612" t="s">
        <v>2036</v>
      </c>
      <c r="D1612" t="s">
        <v>2136</v>
      </c>
      <c r="E1612" t="s">
        <v>357</v>
      </c>
      <c r="F1612" t="s">
        <v>4723</v>
      </c>
      <c r="G1612">
        <v>1</v>
      </c>
      <c r="H1612">
        <v>1540</v>
      </c>
      <c r="I1612">
        <v>1</v>
      </c>
      <c r="J1612">
        <v>2.2000000000000002</v>
      </c>
      <c r="K1612">
        <v>2</v>
      </c>
      <c r="L1612">
        <v>8.5000000000000006E-2</v>
      </c>
      <c r="M1612">
        <v>3</v>
      </c>
      <c r="N1612">
        <v>88</v>
      </c>
      <c r="O1612">
        <v>1</v>
      </c>
      <c r="P1612">
        <v>9.5000000000000001E-2</v>
      </c>
      <c r="Q1612">
        <v>2</v>
      </c>
      <c r="R1612">
        <v>4.2500000000000003E-3</v>
      </c>
      <c r="T1612" t="s">
        <v>357</v>
      </c>
    </row>
    <row r="1613" spans="1:20" x14ac:dyDescent="0.2">
      <c r="A1613" t="s">
        <v>4724</v>
      </c>
      <c r="B1613" t="s">
        <v>2022</v>
      </c>
      <c r="C1613" t="s">
        <v>2053</v>
      </c>
      <c r="D1613" t="s">
        <v>2136</v>
      </c>
      <c r="E1613" t="s">
        <v>4725</v>
      </c>
      <c r="F1613" t="s">
        <v>4726</v>
      </c>
      <c r="G1613">
        <v>5</v>
      </c>
      <c r="H1613">
        <v>1900</v>
      </c>
      <c r="I1613">
        <v>2</v>
      </c>
      <c r="J1613">
        <v>4.05</v>
      </c>
      <c r="K1613">
        <v>2</v>
      </c>
      <c r="L1613">
        <v>8.5000000000000006E-2</v>
      </c>
      <c r="M1613">
        <v>5</v>
      </c>
      <c r="N1613">
        <v>113</v>
      </c>
      <c r="O1613">
        <v>3</v>
      </c>
      <c r="P1613">
        <v>0.375</v>
      </c>
      <c r="Q1613">
        <v>2</v>
      </c>
      <c r="R1613">
        <v>5.1999999999999998E-3</v>
      </c>
      <c r="T1613" t="s">
        <v>4725</v>
      </c>
    </row>
    <row r="1614" spans="1:20" x14ac:dyDescent="0.2">
      <c r="A1614" t="s">
        <v>4727</v>
      </c>
      <c r="B1614" t="s">
        <v>2022</v>
      </c>
      <c r="C1614" t="s">
        <v>2053</v>
      </c>
      <c r="D1614" t="s">
        <v>2136</v>
      </c>
      <c r="E1614" t="s">
        <v>357</v>
      </c>
      <c r="F1614" t="s">
        <v>4728</v>
      </c>
      <c r="G1614">
        <v>1</v>
      </c>
      <c r="H1614">
        <v>1500</v>
      </c>
      <c r="I1614">
        <v>1</v>
      </c>
      <c r="J1614">
        <v>1.55</v>
      </c>
      <c r="K1614">
        <v>2</v>
      </c>
      <c r="L1614">
        <v>8.5000000000000006E-2</v>
      </c>
      <c r="M1614">
        <v>2</v>
      </c>
      <c r="N1614">
        <v>83</v>
      </c>
      <c r="O1614">
        <v>1</v>
      </c>
      <c r="P1614">
        <v>7.4999999999999997E-2</v>
      </c>
      <c r="Q1614">
        <v>2</v>
      </c>
      <c r="R1614">
        <v>5.1999999999999998E-3</v>
      </c>
      <c r="T1614" t="s">
        <v>357</v>
      </c>
    </row>
    <row r="1615" spans="1:20" x14ac:dyDescent="0.2">
      <c r="A1615" t="s">
        <v>4729</v>
      </c>
      <c r="B1615" t="s">
        <v>2022</v>
      </c>
      <c r="C1615" t="s">
        <v>2023</v>
      </c>
      <c r="D1615" t="s">
        <v>2024</v>
      </c>
      <c r="E1615" t="s">
        <v>4730</v>
      </c>
      <c r="F1615" t="s">
        <v>4731</v>
      </c>
      <c r="G1615">
        <v>5</v>
      </c>
      <c r="H1615">
        <v>1800</v>
      </c>
      <c r="I1615">
        <v>3</v>
      </c>
      <c r="J1615">
        <v>5.9</v>
      </c>
      <c r="K1615">
        <v>5</v>
      </c>
      <c r="L1615">
        <v>8.5999999999999993E-2</v>
      </c>
      <c r="M1615">
        <v>5</v>
      </c>
      <c r="N1615">
        <v>114</v>
      </c>
      <c r="O1615">
        <v>3</v>
      </c>
      <c r="P1615">
        <v>0.375</v>
      </c>
      <c r="Q1615">
        <v>4</v>
      </c>
      <c r="R1615">
        <v>6.0000000000000001E-3</v>
      </c>
      <c r="T1615" t="s">
        <v>4730</v>
      </c>
    </row>
    <row r="1616" spans="1:20" x14ac:dyDescent="0.2">
      <c r="A1616" t="s">
        <v>4732</v>
      </c>
      <c r="B1616" t="s">
        <v>2022</v>
      </c>
      <c r="C1616" t="s">
        <v>2023</v>
      </c>
      <c r="D1616" t="s">
        <v>2024</v>
      </c>
      <c r="E1616" t="s">
        <v>4733</v>
      </c>
      <c r="F1616" t="s">
        <v>4734</v>
      </c>
      <c r="G1616">
        <v>1</v>
      </c>
      <c r="H1616">
        <v>1480</v>
      </c>
      <c r="I1616">
        <v>5</v>
      </c>
      <c r="J1616">
        <v>10.9</v>
      </c>
      <c r="K1616">
        <v>5</v>
      </c>
      <c r="L1616">
        <v>8.5999999999999993E-2</v>
      </c>
      <c r="M1616">
        <v>5</v>
      </c>
      <c r="N1616">
        <v>114</v>
      </c>
      <c r="O1616">
        <v>5</v>
      </c>
      <c r="P1616">
        <v>0.67500000000000004</v>
      </c>
      <c r="Q1616">
        <v>5</v>
      </c>
      <c r="R1616">
        <v>8.0000000000000002E-3</v>
      </c>
      <c r="T1616" t="s">
        <v>4733</v>
      </c>
    </row>
    <row r="1617" spans="1:20" x14ac:dyDescent="0.2">
      <c r="A1617" t="s">
        <v>4735</v>
      </c>
      <c r="B1617" t="s">
        <v>2022</v>
      </c>
      <c r="C1617" t="s">
        <v>2095</v>
      </c>
      <c r="D1617" t="s">
        <v>2024</v>
      </c>
      <c r="E1617" t="s">
        <v>4736</v>
      </c>
      <c r="F1617" t="s">
        <v>4737</v>
      </c>
      <c r="G1617">
        <v>4</v>
      </c>
      <c r="H1617">
        <v>1835</v>
      </c>
      <c r="I1617">
        <v>3</v>
      </c>
      <c r="J1617">
        <v>10.5</v>
      </c>
      <c r="K1617">
        <v>3</v>
      </c>
      <c r="L1617">
        <v>0.33</v>
      </c>
      <c r="M1617">
        <v>5</v>
      </c>
      <c r="N1617">
        <v>98</v>
      </c>
      <c r="O1617">
        <v>3</v>
      </c>
      <c r="P1617">
        <v>0.55000000000000004</v>
      </c>
      <c r="Q1617">
        <v>3</v>
      </c>
      <c r="R1617">
        <v>1.49E-2</v>
      </c>
      <c r="T1617" t="s">
        <v>4736</v>
      </c>
    </row>
    <row r="1618" spans="1:20" x14ac:dyDescent="0.2">
      <c r="A1618" t="s">
        <v>4738</v>
      </c>
      <c r="B1618" t="s">
        <v>2022</v>
      </c>
      <c r="C1618" t="s">
        <v>2036</v>
      </c>
      <c r="D1618" t="s">
        <v>2024</v>
      </c>
      <c r="E1618" t="s">
        <v>4739</v>
      </c>
      <c r="F1618" t="s">
        <v>447</v>
      </c>
      <c r="G1618">
        <v>4</v>
      </c>
      <c r="H1618">
        <v>1840</v>
      </c>
      <c r="I1618">
        <v>5</v>
      </c>
      <c r="J1618">
        <v>7</v>
      </c>
      <c r="K1618">
        <v>5</v>
      </c>
      <c r="L1618">
        <v>0.17499999999999999</v>
      </c>
      <c r="M1618">
        <v>3</v>
      </c>
      <c r="N1618">
        <v>88</v>
      </c>
      <c r="O1618">
        <v>5</v>
      </c>
      <c r="P1618">
        <v>0.53500000000000003</v>
      </c>
      <c r="Q1618">
        <v>5</v>
      </c>
      <c r="R1618">
        <v>1.2E-2</v>
      </c>
      <c r="T1618" t="s">
        <v>4739</v>
      </c>
    </row>
    <row r="1619" spans="1:20" x14ac:dyDescent="0.2">
      <c r="A1619" t="s">
        <v>4740</v>
      </c>
      <c r="B1619" t="s">
        <v>2022</v>
      </c>
      <c r="C1619" t="s">
        <v>2053</v>
      </c>
      <c r="D1619" t="s">
        <v>2024</v>
      </c>
      <c r="E1619" t="s">
        <v>4741</v>
      </c>
      <c r="F1619" t="s">
        <v>4742</v>
      </c>
      <c r="G1619">
        <v>5</v>
      </c>
      <c r="H1619">
        <v>1900</v>
      </c>
      <c r="I1619">
        <v>2</v>
      </c>
      <c r="J1619">
        <v>4.05</v>
      </c>
      <c r="K1619">
        <v>1</v>
      </c>
      <c r="L1619">
        <v>1.4999999999999999E-2</v>
      </c>
      <c r="M1619">
        <v>2</v>
      </c>
      <c r="N1619">
        <v>83</v>
      </c>
      <c r="O1619">
        <v>2</v>
      </c>
      <c r="P1619">
        <v>0.22500000000000001</v>
      </c>
      <c r="Q1619">
        <v>1</v>
      </c>
      <c r="R1619">
        <v>8.4999999999999995E-4</v>
      </c>
      <c r="T1619" t="s">
        <v>4741</v>
      </c>
    </row>
    <row r="1620" spans="1:20" x14ac:dyDescent="0.2">
      <c r="A1620" t="s">
        <v>4743</v>
      </c>
      <c r="B1620" t="s">
        <v>2022</v>
      </c>
      <c r="C1620" t="s">
        <v>2053</v>
      </c>
      <c r="D1620" t="s">
        <v>2024</v>
      </c>
      <c r="E1620" t="s">
        <v>4744</v>
      </c>
      <c r="F1620" t="s">
        <v>4745</v>
      </c>
      <c r="G1620">
        <v>3</v>
      </c>
      <c r="H1620">
        <v>1700</v>
      </c>
      <c r="I1620">
        <v>4</v>
      </c>
      <c r="J1620">
        <v>9.0500000000000007</v>
      </c>
      <c r="K1620">
        <v>4</v>
      </c>
      <c r="L1620">
        <v>0.30499999999999999</v>
      </c>
      <c r="M1620">
        <v>4</v>
      </c>
      <c r="N1620">
        <v>103</v>
      </c>
      <c r="O1620">
        <v>5</v>
      </c>
      <c r="P1620">
        <v>0.67500000000000004</v>
      </c>
      <c r="Q1620">
        <v>4</v>
      </c>
      <c r="R1620">
        <v>1.9199999999999998E-2</v>
      </c>
      <c r="T1620" t="s">
        <v>4744</v>
      </c>
    </row>
    <row r="1621" spans="1:20" x14ac:dyDescent="0.2">
      <c r="A1621" t="s">
        <v>4746</v>
      </c>
      <c r="B1621" t="s">
        <v>2022</v>
      </c>
      <c r="C1621" t="s">
        <v>2053</v>
      </c>
      <c r="D1621" t="s">
        <v>2024</v>
      </c>
      <c r="E1621" t="s">
        <v>4747</v>
      </c>
      <c r="F1621" t="s">
        <v>4748</v>
      </c>
      <c r="G1621">
        <v>5</v>
      </c>
      <c r="H1621">
        <v>1900</v>
      </c>
      <c r="I1621">
        <v>5</v>
      </c>
      <c r="J1621">
        <v>11.55</v>
      </c>
      <c r="K1621">
        <v>4</v>
      </c>
      <c r="L1621">
        <v>0.30499999999999999</v>
      </c>
      <c r="M1621">
        <v>4</v>
      </c>
      <c r="N1621">
        <v>103</v>
      </c>
      <c r="O1621">
        <v>4</v>
      </c>
      <c r="P1621">
        <v>0.52500000000000002</v>
      </c>
      <c r="Q1621">
        <v>4</v>
      </c>
      <c r="R1621">
        <v>1.9199999999999998E-2</v>
      </c>
      <c r="T1621" t="s">
        <v>4747</v>
      </c>
    </row>
    <row r="1622" spans="1:20" x14ac:dyDescent="0.2">
      <c r="A1622" t="s">
        <v>4749</v>
      </c>
      <c r="B1622" t="s">
        <v>2022</v>
      </c>
      <c r="C1622" t="s">
        <v>2053</v>
      </c>
      <c r="D1622" t="s">
        <v>2024</v>
      </c>
      <c r="E1622" t="s">
        <v>357</v>
      </c>
      <c r="F1622" t="s">
        <v>4750</v>
      </c>
      <c r="G1622">
        <v>5</v>
      </c>
      <c r="H1622">
        <v>1900</v>
      </c>
      <c r="I1622">
        <v>2</v>
      </c>
      <c r="J1622">
        <v>4.05</v>
      </c>
      <c r="K1622">
        <v>2</v>
      </c>
      <c r="L1622">
        <v>8.5000000000000006E-2</v>
      </c>
      <c r="M1622">
        <v>5</v>
      </c>
      <c r="N1622">
        <v>113</v>
      </c>
      <c r="O1622">
        <v>3</v>
      </c>
      <c r="P1622">
        <v>0.375</v>
      </c>
      <c r="Q1622">
        <v>2</v>
      </c>
      <c r="R1622">
        <v>5.1999999999999998E-3</v>
      </c>
      <c r="T1622" t="s">
        <v>357</v>
      </c>
    </row>
    <row r="1623" spans="1:20" x14ac:dyDescent="0.2">
      <c r="A1623" t="s">
        <v>4751</v>
      </c>
      <c r="B1623" t="s">
        <v>2022</v>
      </c>
      <c r="C1623" t="s">
        <v>2049</v>
      </c>
      <c r="D1623" t="s">
        <v>2024</v>
      </c>
      <c r="E1623" t="s">
        <v>4752</v>
      </c>
      <c r="F1623" t="s">
        <v>4753</v>
      </c>
      <c r="G1623">
        <v>2</v>
      </c>
      <c r="H1623">
        <v>1450</v>
      </c>
      <c r="I1623">
        <v>2</v>
      </c>
      <c r="J1623">
        <v>3.2</v>
      </c>
      <c r="K1623">
        <v>1</v>
      </c>
      <c r="L1623">
        <v>0.01</v>
      </c>
      <c r="M1623">
        <v>2</v>
      </c>
      <c r="N1623">
        <v>106</v>
      </c>
      <c r="O1623">
        <v>2</v>
      </c>
      <c r="P1623">
        <v>0.26</v>
      </c>
      <c r="Q1623">
        <v>1</v>
      </c>
      <c r="R1623">
        <v>8.4999999999999995E-4</v>
      </c>
      <c r="T1623" t="s">
        <v>4752</v>
      </c>
    </row>
    <row r="1624" spans="1:20" x14ac:dyDescent="0.2">
      <c r="A1624" t="s">
        <v>4754</v>
      </c>
      <c r="B1624" t="s">
        <v>2022</v>
      </c>
      <c r="C1624" t="s">
        <v>2023</v>
      </c>
      <c r="D1624" t="s">
        <v>2024</v>
      </c>
      <c r="E1624" t="s">
        <v>4755</v>
      </c>
      <c r="F1624" t="s">
        <v>4756</v>
      </c>
      <c r="G1624">
        <v>3</v>
      </c>
      <c r="H1624">
        <v>1640</v>
      </c>
      <c r="I1624">
        <v>3</v>
      </c>
      <c r="J1624">
        <v>5.9</v>
      </c>
      <c r="K1624">
        <v>2</v>
      </c>
      <c r="L1624">
        <v>2.5999999999999999E-2</v>
      </c>
      <c r="M1624">
        <v>3</v>
      </c>
      <c r="N1624">
        <v>94</v>
      </c>
      <c r="O1624">
        <v>2</v>
      </c>
      <c r="P1624">
        <v>0.22500000000000001</v>
      </c>
      <c r="Q1624">
        <v>2</v>
      </c>
      <c r="R1624">
        <v>2E-3</v>
      </c>
      <c r="T1624" t="s">
        <v>4755</v>
      </c>
    </row>
    <row r="1625" spans="1:20" x14ac:dyDescent="0.2">
      <c r="A1625" t="s">
        <v>4757</v>
      </c>
      <c r="B1625" t="s">
        <v>2022</v>
      </c>
      <c r="C1625" t="s">
        <v>2023</v>
      </c>
      <c r="D1625" t="s">
        <v>2024</v>
      </c>
      <c r="E1625" t="s">
        <v>4758</v>
      </c>
      <c r="F1625" t="s">
        <v>447</v>
      </c>
      <c r="G1625">
        <v>5</v>
      </c>
      <c r="H1625">
        <v>1800</v>
      </c>
      <c r="I1625">
        <v>4</v>
      </c>
      <c r="J1625">
        <v>8.4</v>
      </c>
      <c r="K1625">
        <v>2</v>
      </c>
      <c r="L1625">
        <v>2.5999999999999999E-2</v>
      </c>
      <c r="M1625">
        <v>2</v>
      </c>
      <c r="N1625">
        <v>84</v>
      </c>
      <c r="O1625">
        <v>3</v>
      </c>
      <c r="P1625">
        <v>0.375</v>
      </c>
      <c r="Q1625">
        <v>1</v>
      </c>
      <c r="R1625">
        <v>5.0000000000000001E-4</v>
      </c>
      <c r="T1625" t="s">
        <v>4758</v>
      </c>
    </row>
    <row r="1626" spans="1:20" x14ac:dyDescent="0.2">
      <c r="A1626" t="s">
        <v>4759</v>
      </c>
      <c r="B1626" t="s">
        <v>2022</v>
      </c>
      <c r="C1626" t="s">
        <v>2101</v>
      </c>
      <c r="D1626" t="s">
        <v>2024</v>
      </c>
      <c r="E1626" t="s">
        <v>4760</v>
      </c>
      <c r="F1626" t="s">
        <v>4761</v>
      </c>
      <c r="G1626">
        <v>5</v>
      </c>
      <c r="H1626">
        <v>1970</v>
      </c>
      <c r="I1626">
        <v>3</v>
      </c>
      <c r="J1626">
        <v>8</v>
      </c>
      <c r="K1626">
        <v>3</v>
      </c>
      <c r="L1626">
        <v>0.24349999999999999</v>
      </c>
      <c r="M1626">
        <v>5</v>
      </c>
      <c r="N1626">
        <v>98</v>
      </c>
      <c r="O1626">
        <v>4</v>
      </c>
      <c r="P1626">
        <v>0.52500000000000002</v>
      </c>
      <c r="Q1626">
        <v>3</v>
      </c>
      <c r="R1626">
        <v>1.15E-2</v>
      </c>
      <c r="T1626" t="s">
        <v>4760</v>
      </c>
    </row>
    <row r="1627" spans="1:20" x14ac:dyDescent="0.2">
      <c r="A1627" t="s">
        <v>4762</v>
      </c>
      <c r="B1627" t="s">
        <v>2022</v>
      </c>
      <c r="C1627" t="s">
        <v>2053</v>
      </c>
      <c r="D1627" t="s">
        <v>2024</v>
      </c>
      <c r="E1627" t="s">
        <v>4763</v>
      </c>
      <c r="F1627" t="s">
        <v>4764</v>
      </c>
      <c r="G1627">
        <v>3</v>
      </c>
      <c r="H1627">
        <v>1700</v>
      </c>
      <c r="I1627">
        <v>4</v>
      </c>
      <c r="J1627">
        <v>9.0500000000000007</v>
      </c>
      <c r="K1627">
        <v>3</v>
      </c>
      <c r="L1627">
        <v>0.19500000000000001</v>
      </c>
      <c r="M1627">
        <v>3</v>
      </c>
      <c r="N1627">
        <v>93</v>
      </c>
      <c r="O1627">
        <v>3</v>
      </c>
      <c r="P1627">
        <v>0.375</v>
      </c>
      <c r="Q1627">
        <v>2</v>
      </c>
      <c r="R1627">
        <v>5.1999999999999998E-3</v>
      </c>
      <c r="T1627" t="s">
        <v>4763</v>
      </c>
    </row>
    <row r="1628" spans="1:20" x14ac:dyDescent="0.2">
      <c r="A1628" t="s">
        <v>4765</v>
      </c>
      <c r="B1628" t="s">
        <v>2022</v>
      </c>
      <c r="C1628" t="s">
        <v>2023</v>
      </c>
      <c r="D1628" t="s">
        <v>2024</v>
      </c>
      <c r="E1628" t="s">
        <v>4766</v>
      </c>
      <c r="F1628" t="s">
        <v>4767</v>
      </c>
      <c r="G1628">
        <v>5</v>
      </c>
      <c r="H1628">
        <v>1800</v>
      </c>
      <c r="I1628">
        <v>4</v>
      </c>
      <c r="J1628">
        <v>8.4</v>
      </c>
      <c r="K1628">
        <v>5</v>
      </c>
      <c r="L1628">
        <v>8.5999999999999993E-2</v>
      </c>
      <c r="M1628">
        <v>3</v>
      </c>
      <c r="N1628">
        <v>94</v>
      </c>
      <c r="O1628">
        <v>4</v>
      </c>
      <c r="P1628">
        <v>0.52500000000000002</v>
      </c>
      <c r="Q1628">
        <v>5</v>
      </c>
      <c r="R1628">
        <v>8.0000000000000002E-3</v>
      </c>
      <c r="T1628" t="s">
        <v>4766</v>
      </c>
    </row>
    <row r="1629" spans="1:20" x14ac:dyDescent="0.2">
      <c r="A1629" t="s">
        <v>4768</v>
      </c>
      <c r="B1629" t="s">
        <v>2022</v>
      </c>
      <c r="C1629" t="s">
        <v>2023</v>
      </c>
      <c r="D1629" t="s">
        <v>2024</v>
      </c>
      <c r="E1629" t="s">
        <v>4769</v>
      </c>
      <c r="F1629" t="s">
        <v>4770</v>
      </c>
      <c r="G1629">
        <v>2</v>
      </c>
      <c r="H1629">
        <v>1560</v>
      </c>
      <c r="I1629">
        <v>2</v>
      </c>
      <c r="J1629">
        <v>3.4</v>
      </c>
      <c r="K1629">
        <v>2</v>
      </c>
      <c r="L1629">
        <v>2.5999999999999999E-2</v>
      </c>
      <c r="M1629">
        <v>2</v>
      </c>
      <c r="N1629">
        <v>84</v>
      </c>
      <c r="O1629">
        <v>2</v>
      </c>
      <c r="P1629">
        <v>0.22500000000000001</v>
      </c>
      <c r="Q1629">
        <v>2</v>
      </c>
      <c r="R1629">
        <v>2E-3</v>
      </c>
      <c r="T1629" t="s">
        <v>4769</v>
      </c>
    </row>
    <row r="1630" spans="1:20" x14ac:dyDescent="0.2">
      <c r="A1630" t="s">
        <v>4771</v>
      </c>
      <c r="B1630" t="s">
        <v>2022</v>
      </c>
      <c r="C1630" t="s">
        <v>2053</v>
      </c>
      <c r="D1630" t="s">
        <v>2154</v>
      </c>
      <c r="E1630" t="s">
        <v>4772</v>
      </c>
      <c r="F1630" t="s">
        <v>4773</v>
      </c>
      <c r="G1630">
        <v>5</v>
      </c>
      <c r="H1630">
        <v>1900</v>
      </c>
      <c r="I1630">
        <v>4</v>
      </c>
      <c r="J1630">
        <v>9.0500000000000007</v>
      </c>
      <c r="K1630">
        <v>4</v>
      </c>
      <c r="L1630">
        <v>0.30499999999999999</v>
      </c>
      <c r="M1630">
        <v>5</v>
      </c>
      <c r="N1630">
        <v>113</v>
      </c>
      <c r="O1630">
        <v>4</v>
      </c>
      <c r="P1630">
        <v>0.52500000000000002</v>
      </c>
      <c r="Q1630">
        <v>3</v>
      </c>
      <c r="R1630">
        <v>1.2200000000000001E-2</v>
      </c>
      <c r="T1630" t="s">
        <v>4772</v>
      </c>
    </row>
    <row r="1631" spans="1:20" x14ac:dyDescent="0.2">
      <c r="A1631" t="s">
        <v>4774</v>
      </c>
      <c r="B1631" t="s">
        <v>2022</v>
      </c>
      <c r="C1631" t="s">
        <v>2036</v>
      </c>
      <c r="D1631" t="s">
        <v>2136</v>
      </c>
      <c r="E1631" t="s">
        <v>4775</v>
      </c>
      <c r="F1631" t="s">
        <v>4776</v>
      </c>
      <c r="G1631">
        <v>2</v>
      </c>
      <c r="H1631">
        <v>1640</v>
      </c>
      <c r="I1631">
        <v>4</v>
      </c>
      <c r="J1631">
        <v>5.8</v>
      </c>
      <c r="K1631">
        <v>5</v>
      </c>
      <c r="L1631">
        <v>0.17499999999999999</v>
      </c>
      <c r="M1631">
        <v>1</v>
      </c>
      <c r="N1631">
        <v>76</v>
      </c>
      <c r="O1631">
        <v>2</v>
      </c>
      <c r="P1631">
        <v>0.20499999999999999</v>
      </c>
      <c r="Q1631">
        <v>4</v>
      </c>
      <c r="R1631">
        <v>9.2499999999999995E-3</v>
      </c>
      <c r="T1631" t="s">
        <v>4775</v>
      </c>
    </row>
    <row r="1632" spans="1:20" x14ac:dyDescent="0.2">
      <c r="A1632" t="s">
        <v>4777</v>
      </c>
      <c r="B1632" t="s">
        <v>2022</v>
      </c>
      <c r="C1632" t="s">
        <v>2023</v>
      </c>
      <c r="D1632" t="s">
        <v>2136</v>
      </c>
      <c r="E1632" t="s">
        <v>267</v>
      </c>
      <c r="F1632" t="s">
        <v>4778</v>
      </c>
      <c r="G1632">
        <v>3</v>
      </c>
      <c r="H1632">
        <v>1640</v>
      </c>
      <c r="I1632">
        <v>1</v>
      </c>
      <c r="J1632">
        <v>0.9</v>
      </c>
      <c r="K1632">
        <v>2</v>
      </c>
      <c r="L1632">
        <v>2.5999999999999999E-2</v>
      </c>
      <c r="M1632">
        <v>1</v>
      </c>
      <c r="N1632">
        <v>74</v>
      </c>
      <c r="O1632">
        <v>1</v>
      </c>
      <c r="P1632">
        <v>7.4999999999999997E-2</v>
      </c>
      <c r="Q1632">
        <v>1</v>
      </c>
      <c r="R1632">
        <v>5.0000000000000001E-4</v>
      </c>
      <c r="T1632" t="s">
        <v>267</v>
      </c>
    </row>
    <row r="1633" spans="1:20" x14ac:dyDescent="0.2">
      <c r="A1633" t="s">
        <v>4779</v>
      </c>
      <c r="B1633" t="s">
        <v>2022</v>
      </c>
      <c r="C1633" t="s">
        <v>2023</v>
      </c>
      <c r="D1633" t="s">
        <v>2154</v>
      </c>
      <c r="E1633" t="s">
        <v>267</v>
      </c>
      <c r="F1633" t="s">
        <v>4778</v>
      </c>
      <c r="G1633">
        <v>1</v>
      </c>
      <c r="H1633">
        <v>1480</v>
      </c>
      <c r="I1633">
        <v>1</v>
      </c>
      <c r="J1633">
        <v>0.9</v>
      </c>
      <c r="K1633">
        <v>2</v>
      </c>
      <c r="L1633">
        <v>2.5999999999999999E-2</v>
      </c>
      <c r="M1633">
        <v>1</v>
      </c>
      <c r="N1633">
        <v>74</v>
      </c>
      <c r="O1633">
        <v>1</v>
      </c>
      <c r="P1633">
        <v>7.4999999999999997E-2</v>
      </c>
      <c r="Q1633">
        <v>2</v>
      </c>
      <c r="R1633">
        <v>2E-3</v>
      </c>
      <c r="T1633" t="s">
        <v>267</v>
      </c>
    </row>
    <row r="1634" spans="1:20" x14ac:dyDescent="0.2">
      <c r="A1634" t="s">
        <v>4780</v>
      </c>
      <c r="B1634" t="s">
        <v>2022</v>
      </c>
      <c r="C1634" t="s">
        <v>2023</v>
      </c>
      <c r="D1634" t="s">
        <v>2136</v>
      </c>
      <c r="E1634" t="s">
        <v>267</v>
      </c>
      <c r="F1634" t="s">
        <v>4778</v>
      </c>
      <c r="G1634">
        <v>1</v>
      </c>
      <c r="H1634">
        <v>1480</v>
      </c>
      <c r="I1634">
        <v>1</v>
      </c>
      <c r="J1634">
        <v>0.9</v>
      </c>
      <c r="K1634">
        <v>3</v>
      </c>
      <c r="L1634">
        <v>4.5999999999999999E-2</v>
      </c>
      <c r="M1634">
        <v>2</v>
      </c>
      <c r="N1634">
        <v>84</v>
      </c>
      <c r="O1634">
        <v>1</v>
      </c>
      <c r="P1634">
        <v>7.4999999999999997E-2</v>
      </c>
      <c r="Q1634">
        <v>2</v>
      </c>
      <c r="R1634">
        <v>2E-3</v>
      </c>
      <c r="T1634" t="s">
        <v>267</v>
      </c>
    </row>
    <row r="1635" spans="1:20" x14ac:dyDescent="0.2">
      <c r="A1635" t="s">
        <v>4781</v>
      </c>
      <c r="B1635" t="s">
        <v>2022</v>
      </c>
      <c r="C1635" t="s">
        <v>2023</v>
      </c>
      <c r="D1635" t="s">
        <v>2024</v>
      </c>
      <c r="E1635" t="s">
        <v>4782</v>
      </c>
      <c r="F1635" t="s">
        <v>4783</v>
      </c>
      <c r="G1635">
        <v>5</v>
      </c>
      <c r="H1635">
        <v>1800</v>
      </c>
      <c r="I1635">
        <v>3</v>
      </c>
      <c r="J1635">
        <v>5.9</v>
      </c>
      <c r="K1635">
        <v>5</v>
      </c>
      <c r="L1635">
        <v>8.5999999999999993E-2</v>
      </c>
      <c r="M1635">
        <v>3</v>
      </c>
      <c r="N1635">
        <v>94</v>
      </c>
      <c r="O1635">
        <v>3</v>
      </c>
      <c r="P1635">
        <v>0.375</v>
      </c>
      <c r="Q1635">
        <v>5</v>
      </c>
      <c r="R1635">
        <v>8.0000000000000002E-3</v>
      </c>
      <c r="T1635" t="s">
        <v>4782</v>
      </c>
    </row>
    <row r="1636" spans="1:20" x14ac:dyDescent="0.2">
      <c r="A1636" t="s">
        <v>4784</v>
      </c>
      <c r="B1636" t="s">
        <v>2022</v>
      </c>
      <c r="C1636" t="s">
        <v>2222</v>
      </c>
      <c r="D1636" t="s">
        <v>2024</v>
      </c>
      <c r="E1636" t="s">
        <v>4785</v>
      </c>
      <c r="F1636" t="s">
        <v>4786</v>
      </c>
      <c r="G1636">
        <v>3</v>
      </c>
      <c r="H1636">
        <v>1650</v>
      </c>
      <c r="I1636">
        <v>3</v>
      </c>
      <c r="J1636">
        <v>5.5</v>
      </c>
      <c r="K1636">
        <v>3</v>
      </c>
      <c r="L1636">
        <v>0.125</v>
      </c>
      <c r="M1636">
        <v>5</v>
      </c>
      <c r="N1636">
        <v>75</v>
      </c>
      <c r="O1636">
        <v>3</v>
      </c>
      <c r="P1636">
        <v>0.23</v>
      </c>
      <c r="Q1636">
        <v>3</v>
      </c>
      <c r="R1636">
        <v>5.3E-3</v>
      </c>
      <c r="T1636" t="s">
        <v>4785</v>
      </c>
    </row>
    <row r="1637" spans="1:20" x14ac:dyDescent="0.2">
      <c r="A1637" t="s">
        <v>4787</v>
      </c>
      <c r="B1637" t="s">
        <v>2022</v>
      </c>
      <c r="C1637" t="s">
        <v>2023</v>
      </c>
      <c r="D1637" t="s">
        <v>2024</v>
      </c>
      <c r="E1637" t="s">
        <v>4788</v>
      </c>
      <c r="F1637" t="s">
        <v>4789</v>
      </c>
      <c r="G1637">
        <v>2</v>
      </c>
      <c r="H1637">
        <v>1560</v>
      </c>
      <c r="I1637">
        <v>2</v>
      </c>
      <c r="J1637">
        <v>3.4</v>
      </c>
      <c r="K1637">
        <v>3</v>
      </c>
      <c r="L1637">
        <v>4.5999999999999999E-2</v>
      </c>
      <c r="M1637">
        <v>2</v>
      </c>
      <c r="N1637">
        <v>84</v>
      </c>
      <c r="O1637">
        <v>2</v>
      </c>
      <c r="P1637">
        <v>0.22500000000000001</v>
      </c>
      <c r="Q1637">
        <v>2</v>
      </c>
      <c r="R1637">
        <v>2E-3</v>
      </c>
      <c r="T1637" t="s">
        <v>4788</v>
      </c>
    </row>
    <row r="1638" spans="1:20" x14ac:dyDescent="0.2">
      <c r="A1638" t="s">
        <v>4790</v>
      </c>
      <c r="B1638" t="s">
        <v>2022</v>
      </c>
      <c r="C1638" t="s">
        <v>2053</v>
      </c>
      <c r="D1638" t="s">
        <v>2024</v>
      </c>
      <c r="E1638" t="s">
        <v>4791</v>
      </c>
      <c r="F1638" t="s">
        <v>4792</v>
      </c>
      <c r="G1638">
        <v>1</v>
      </c>
      <c r="H1638">
        <v>1500</v>
      </c>
      <c r="I1638">
        <v>1</v>
      </c>
      <c r="J1638">
        <v>1.55</v>
      </c>
      <c r="K1638">
        <v>1</v>
      </c>
      <c r="L1638">
        <v>1.4999999999999999E-2</v>
      </c>
      <c r="M1638">
        <v>1</v>
      </c>
      <c r="N1638">
        <v>73</v>
      </c>
      <c r="O1638">
        <v>1</v>
      </c>
      <c r="P1638">
        <v>7.4999999999999997E-2</v>
      </c>
      <c r="Q1638">
        <v>1</v>
      </c>
      <c r="R1638">
        <v>8.4999999999999995E-4</v>
      </c>
      <c r="T1638" t="s">
        <v>4791</v>
      </c>
    </row>
    <row r="1639" spans="1:20" x14ac:dyDescent="0.2">
      <c r="A1639" t="s">
        <v>4793</v>
      </c>
      <c r="B1639" t="s">
        <v>2022</v>
      </c>
      <c r="C1639" t="s">
        <v>2036</v>
      </c>
      <c r="D1639" t="s">
        <v>2024</v>
      </c>
      <c r="E1639" t="s">
        <v>4794</v>
      </c>
      <c r="F1639" t="s">
        <v>4795</v>
      </c>
      <c r="G1639">
        <v>5</v>
      </c>
      <c r="H1639">
        <v>1940</v>
      </c>
      <c r="I1639">
        <v>5</v>
      </c>
      <c r="J1639">
        <v>7</v>
      </c>
      <c r="K1639">
        <v>5</v>
      </c>
      <c r="L1639">
        <v>0.17499999999999999</v>
      </c>
      <c r="M1639">
        <v>5</v>
      </c>
      <c r="N1639">
        <v>100</v>
      </c>
      <c r="O1639">
        <v>5</v>
      </c>
      <c r="P1639">
        <v>0.53500000000000003</v>
      </c>
      <c r="Q1639">
        <v>5</v>
      </c>
      <c r="R1639">
        <v>1.2E-2</v>
      </c>
      <c r="T1639" t="s">
        <v>4794</v>
      </c>
    </row>
    <row r="1640" spans="1:20" x14ac:dyDescent="0.2">
      <c r="A1640" t="s">
        <v>4796</v>
      </c>
      <c r="B1640" t="s">
        <v>2022</v>
      </c>
      <c r="C1640" t="s">
        <v>2222</v>
      </c>
      <c r="D1640" t="s">
        <v>2024</v>
      </c>
      <c r="E1640" t="s">
        <v>4797</v>
      </c>
      <c r="F1640" t="s">
        <v>4798</v>
      </c>
      <c r="G1640">
        <v>2</v>
      </c>
      <c r="H1640">
        <v>1550</v>
      </c>
      <c r="I1640">
        <v>1</v>
      </c>
      <c r="J1640">
        <v>2.2999999999999998</v>
      </c>
      <c r="K1640">
        <v>1</v>
      </c>
      <c r="L1640">
        <v>0.01</v>
      </c>
      <c r="M1640">
        <v>3</v>
      </c>
      <c r="N1640">
        <v>67</v>
      </c>
      <c r="O1640">
        <v>2</v>
      </c>
      <c r="P1640">
        <v>0.15</v>
      </c>
      <c r="Q1640">
        <v>1</v>
      </c>
      <c r="R1640">
        <v>4.0000000000000002E-4</v>
      </c>
      <c r="T1640" t="s">
        <v>4797</v>
      </c>
    </row>
    <row r="1641" spans="1:20" x14ac:dyDescent="0.2">
      <c r="A1641" t="s">
        <v>4799</v>
      </c>
      <c r="B1641" t="s">
        <v>2022</v>
      </c>
      <c r="C1641" t="s">
        <v>2222</v>
      </c>
      <c r="D1641" t="s">
        <v>2024</v>
      </c>
      <c r="E1641" t="s">
        <v>4800</v>
      </c>
      <c r="F1641" t="s">
        <v>4801</v>
      </c>
      <c r="G1641">
        <v>2</v>
      </c>
      <c r="H1641">
        <v>1550</v>
      </c>
      <c r="I1641">
        <v>1</v>
      </c>
      <c r="J1641">
        <v>2.2999999999999998</v>
      </c>
      <c r="K1641">
        <v>1</v>
      </c>
      <c r="L1641">
        <v>0.01</v>
      </c>
      <c r="M1641">
        <v>2</v>
      </c>
      <c r="N1641">
        <v>63</v>
      </c>
      <c r="O1641">
        <v>1</v>
      </c>
      <c r="P1641">
        <v>7.0000000000000007E-2</v>
      </c>
      <c r="Q1641">
        <v>1</v>
      </c>
      <c r="R1641">
        <v>4.0000000000000002E-4</v>
      </c>
      <c r="T1641" t="s">
        <v>4800</v>
      </c>
    </row>
    <row r="1642" spans="1:20" x14ac:dyDescent="0.2">
      <c r="A1642" t="s">
        <v>4802</v>
      </c>
      <c r="B1642" t="s">
        <v>2022</v>
      </c>
      <c r="C1642" t="s">
        <v>2028</v>
      </c>
      <c r="D1642" t="s">
        <v>2024</v>
      </c>
      <c r="E1642" t="s">
        <v>4803</v>
      </c>
      <c r="F1642" t="s">
        <v>4804</v>
      </c>
      <c r="G1642">
        <v>3</v>
      </c>
      <c r="H1642">
        <v>1050</v>
      </c>
      <c r="I1642">
        <v>5</v>
      </c>
      <c r="J1642">
        <v>6.65</v>
      </c>
      <c r="K1642">
        <v>5</v>
      </c>
      <c r="L1642">
        <v>0.26700000000000002</v>
      </c>
      <c r="M1642">
        <v>5</v>
      </c>
      <c r="N1642">
        <v>500</v>
      </c>
      <c r="O1642">
        <v>5</v>
      </c>
      <c r="P1642">
        <v>1.35</v>
      </c>
      <c r="Q1642">
        <v>5</v>
      </c>
      <c r="R1642">
        <v>3.3500000000000002E-2</v>
      </c>
      <c r="T1642" t="s">
        <v>4803</v>
      </c>
    </row>
    <row r="1643" spans="1:20" x14ac:dyDescent="0.2">
      <c r="A1643" t="s">
        <v>4805</v>
      </c>
      <c r="B1643" t="s">
        <v>2022</v>
      </c>
      <c r="C1643" t="s">
        <v>2036</v>
      </c>
      <c r="D1643" t="s">
        <v>2024</v>
      </c>
      <c r="E1643" t="s">
        <v>4806</v>
      </c>
      <c r="F1643" t="s">
        <v>4807</v>
      </c>
      <c r="G1643">
        <v>3</v>
      </c>
      <c r="H1643">
        <v>1740</v>
      </c>
      <c r="I1643">
        <v>3</v>
      </c>
      <c r="J1643">
        <v>4.5999999999999996</v>
      </c>
      <c r="K1643">
        <v>3</v>
      </c>
      <c r="L1643">
        <v>0.115</v>
      </c>
      <c r="M1643">
        <v>4</v>
      </c>
      <c r="N1643">
        <v>94</v>
      </c>
      <c r="O1643">
        <v>2</v>
      </c>
      <c r="P1643">
        <v>0.20499999999999999</v>
      </c>
      <c r="Q1643">
        <v>3</v>
      </c>
      <c r="R1643">
        <v>6.7499999999999999E-3</v>
      </c>
      <c r="T1643" t="s">
        <v>4806</v>
      </c>
    </row>
    <row r="1644" spans="1:20" x14ac:dyDescent="0.2">
      <c r="A1644" t="s">
        <v>4808</v>
      </c>
      <c r="B1644" t="s">
        <v>2022</v>
      </c>
      <c r="C1644" t="s">
        <v>2023</v>
      </c>
      <c r="D1644" t="s">
        <v>2024</v>
      </c>
      <c r="E1644" t="s">
        <v>4809</v>
      </c>
      <c r="F1644" t="s">
        <v>4810</v>
      </c>
      <c r="G1644">
        <v>1</v>
      </c>
      <c r="H1644">
        <v>1480</v>
      </c>
      <c r="I1644">
        <v>1</v>
      </c>
      <c r="J1644">
        <v>0.9</v>
      </c>
      <c r="K1644">
        <v>1</v>
      </c>
      <c r="L1644">
        <v>6.0000000000000001E-3</v>
      </c>
      <c r="M1644">
        <v>1</v>
      </c>
      <c r="N1644">
        <v>74</v>
      </c>
      <c r="O1644">
        <v>1</v>
      </c>
      <c r="P1644">
        <v>7.4999999999999997E-2</v>
      </c>
      <c r="Q1644">
        <v>1</v>
      </c>
      <c r="R1644">
        <v>5.0000000000000001E-4</v>
      </c>
      <c r="T1644" t="s">
        <v>4809</v>
      </c>
    </row>
    <row r="1645" spans="1:20" x14ac:dyDescent="0.2">
      <c r="A1645" t="s">
        <v>4811</v>
      </c>
      <c r="B1645" t="s">
        <v>2022</v>
      </c>
      <c r="C1645" t="s">
        <v>2036</v>
      </c>
      <c r="D1645" t="s">
        <v>2024</v>
      </c>
      <c r="E1645" t="s">
        <v>4812</v>
      </c>
      <c r="F1645" t="s">
        <v>4813</v>
      </c>
      <c r="G1645">
        <v>5</v>
      </c>
      <c r="H1645">
        <v>1940</v>
      </c>
      <c r="I1645">
        <v>5</v>
      </c>
      <c r="J1645">
        <v>7</v>
      </c>
      <c r="K1645">
        <v>5</v>
      </c>
      <c r="L1645">
        <v>0.17499999999999999</v>
      </c>
      <c r="M1645">
        <v>5</v>
      </c>
      <c r="N1645">
        <v>100</v>
      </c>
      <c r="O1645">
        <v>5</v>
      </c>
      <c r="P1645">
        <v>0.53500000000000003</v>
      </c>
      <c r="Q1645">
        <v>5</v>
      </c>
      <c r="R1645">
        <v>1.2E-2</v>
      </c>
      <c r="T1645" t="s">
        <v>4812</v>
      </c>
    </row>
    <row r="1646" spans="1:20" x14ac:dyDescent="0.2">
      <c r="A1646" t="s">
        <v>4814</v>
      </c>
      <c r="B1646" t="s">
        <v>2022</v>
      </c>
      <c r="C1646" t="s">
        <v>2036</v>
      </c>
      <c r="D1646" t="s">
        <v>2024</v>
      </c>
      <c r="E1646" t="s">
        <v>4815</v>
      </c>
      <c r="F1646" t="s">
        <v>4816</v>
      </c>
      <c r="G1646">
        <v>2</v>
      </c>
      <c r="H1646">
        <v>1640</v>
      </c>
      <c r="I1646">
        <v>5</v>
      </c>
      <c r="J1646">
        <v>7</v>
      </c>
      <c r="K1646">
        <v>4</v>
      </c>
      <c r="L1646">
        <v>0.14499999999999999</v>
      </c>
      <c r="M1646">
        <v>2</v>
      </c>
      <c r="N1646">
        <v>82</v>
      </c>
      <c r="O1646">
        <v>3</v>
      </c>
      <c r="P1646">
        <v>0.315</v>
      </c>
      <c r="Q1646">
        <v>3</v>
      </c>
      <c r="R1646">
        <v>6.7499999999999999E-3</v>
      </c>
      <c r="T1646" t="s">
        <v>4815</v>
      </c>
    </row>
    <row r="1647" spans="1:20" x14ac:dyDescent="0.2">
      <c r="A1647" t="s">
        <v>4817</v>
      </c>
      <c r="B1647" t="s">
        <v>2022</v>
      </c>
      <c r="C1647" t="s">
        <v>2023</v>
      </c>
      <c r="D1647" t="s">
        <v>2024</v>
      </c>
      <c r="E1647" t="s">
        <v>4818</v>
      </c>
      <c r="F1647" t="s">
        <v>4819</v>
      </c>
      <c r="G1647">
        <v>2</v>
      </c>
      <c r="H1647">
        <v>1560</v>
      </c>
      <c r="I1647">
        <v>4</v>
      </c>
      <c r="J1647">
        <v>8.4</v>
      </c>
      <c r="K1647">
        <v>5</v>
      </c>
      <c r="L1647">
        <v>8.5999999999999993E-2</v>
      </c>
      <c r="M1647">
        <v>4</v>
      </c>
      <c r="N1647">
        <v>104</v>
      </c>
      <c r="O1647">
        <v>4</v>
      </c>
      <c r="P1647">
        <v>0.52500000000000002</v>
      </c>
      <c r="Q1647">
        <v>5</v>
      </c>
      <c r="R1647">
        <v>8.0000000000000002E-3</v>
      </c>
      <c r="T1647" t="s">
        <v>4818</v>
      </c>
    </row>
    <row r="1648" spans="1:20" x14ac:dyDescent="0.2">
      <c r="A1648" t="s">
        <v>4820</v>
      </c>
      <c r="B1648" t="s">
        <v>2022</v>
      </c>
      <c r="C1648" t="s">
        <v>2023</v>
      </c>
      <c r="D1648" t="s">
        <v>2024</v>
      </c>
      <c r="E1648" t="s">
        <v>4821</v>
      </c>
      <c r="F1648" t="s">
        <v>4822</v>
      </c>
      <c r="G1648">
        <v>5</v>
      </c>
      <c r="H1648">
        <v>1800</v>
      </c>
      <c r="I1648">
        <v>5</v>
      </c>
      <c r="J1648">
        <v>10.9</v>
      </c>
      <c r="K1648">
        <v>5</v>
      </c>
      <c r="L1648">
        <v>8.5999999999999993E-2</v>
      </c>
      <c r="M1648">
        <v>3</v>
      </c>
      <c r="N1648">
        <v>94</v>
      </c>
      <c r="O1648">
        <v>5</v>
      </c>
      <c r="P1648">
        <v>0.67500000000000004</v>
      </c>
      <c r="Q1648">
        <v>5</v>
      </c>
      <c r="R1648">
        <v>8.0000000000000002E-3</v>
      </c>
      <c r="T1648" t="s">
        <v>4821</v>
      </c>
    </row>
    <row r="1649" spans="1:20" x14ac:dyDescent="0.2">
      <c r="A1649" t="s">
        <v>4823</v>
      </c>
      <c r="B1649" t="s">
        <v>2022</v>
      </c>
      <c r="C1649" t="s">
        <v>2036</v>
      </c>
      <c r="D1649" t="s">
        <v>2024</v>
      </c>
      <c r="E1649" t="s">
        <v>4824</v>
      </c>
      <c r="F1649" t="s">
        <v>4825</v>
      </c>
      <c r="G1649">
        <v>3</v>
      </c>
      <c r="H1649">
        <v>1740</v>
      </c>
      <c r="I1649">
        <v>3</v>
      </c>
      <c r="J1649">
        <v>4.5999999999999996</v>
      </c>
      <c r="K1649">
        <v>2</v>
      </c>
      <c r="L1649">
        <v>8.5000000000000006E-2</v>
      </c>
      <c r="M1649">
        <v>3</v>
      </c>
      <c r="N1649">
        <v>88</v>
      </c>
      <c r="O1649">
        <v>2</v>
      </c>
      <c r="P1649">
        <v>0.20499999999999999</v>
      </c>
      <c r="Q1649">
        <v>2</v>
      </c>
      <c r="R1649">
        <v>4.2500000000000003E-3</v>
      </c>
      <c r="T1649" t="s">
        <v>4824</v>
      </c>
    </row>
    <row r="1650" spans="1:20" x14ac:dyDescent="0.2">
      <c r="A1650" t="s">
        <v>4826</v>
      </c>
      <c r="B1650" t="s">
        <v>2022</v>
      </c>
      <c r="C1650" t="s">
        <v>2053</v>
      </c>
      <c r="D1650" t="s">
        <v>2024</v>
      </c>
      <c r="E1650" t="s">
        <v>4827</v>
      </c>
      <c r="F1650" t="s">
        <v>4828</v>
      </c>
      <c r="G1650">
        <v>5</v>
      </c>
      <c r="H1650">
        <v>1900</v>
      </c>
      <c r="I1650">
        <v>5</v>
      </c>
      <c r="J1650">
        <v>11.55</v>
      </c>
      <c r="K1650">
        <v>5</v>
      </c>
      <c r="L1650">
        <v>0.41499999999999998</v>
      </c>
      <c r="M1650">
        <v>5</v>
      </c>
      <c r="N1650">
        <v>113</v>
      </c>
      <c r="O1650">
        <v>5</v>
      </c>
      <c r="P1650">
        <v>0.67500000000000004</v>
      </c>
      <c r="Q1650">
        <v>5</v>
      </c>
      <c r="R1650">
        <v>2.6200000000000001E-2</v>
      </c>
      <c r="T1650" t="s">
        <v>4827</v>
      </c>
    </row>
    <row r="1651" spans="1:20" x14ac:dyDescent="0.2">
      <c r="A1651" t="s">
        <v>4829</v>
      </c>
      <c r="B1651" t="s">
        <v>2022</v>
      </c>
      <c r="C1651" t="s">
        <v>2036</v>
      </c>
      <c r="D1651" t="s">
        <v>2024</v>
      </c>
      <c r="E1651" t="s">
        <v>4830</v>
      </c>
      <c r="F1651" t="s">
        <v>4831</v>
      </c>
      <c r="G1651">
        <v>2</v>
      </c>
      <c r="H1651">
        <v>1640</v>
      </c>
      <c r="I1651">
        <v>1</v>
      </c>
      <c r="J1651">
        <v>2.2000000000000002</v>
      </c>
      <c r="K1651">
        <v>2</v>
      </c>
      <c r="L1651">
        <v>8.5000000000000006E-2</v>
      </c>
      <c r="M1651">
        <v>2</v>
      </c>
      <c r="N1651">
        <v>82</v>
      </c>
      <c r="O1651">
        <v>1</v>
      </c>
      <c r="P1651">
        <v>9.5000000000000001E-2</v>
      </c>
      <c r="Q1651">
        <v>2</v>
      </c>
      <c r="R1651">
        <v>4.2500000000000003E-3</v>
      </c>
      <c r="T1651" t="s">
        <v>4830</v>
      </c>
    </row>
    <row r="1652" spans="1:20" x14ac:dyDescent="0.2">
      <c r="A1652" t="s">
        <v>4832</v>
      </c>
      <c r="B1652" t="s">
        <v>2022</v>
      </c>
      <c r="C1652" t="s">
        <v>2023</v>
      </c>
      <c r="D1652" t="s">
        <v>2024</v>
      </c>
      <c r="E1652" t="s">
        <v>4833</v>
      </c>
      <c r="F1652" t="s">
        <v>4834</v>
      </c>
      <c r="G1652">
        <v>4</v>
      </c>
      <c r="H1652">
        <v>1720</v>
      </c>
      <c r="I1652">
        <v>4</v>
      </c>
      <c r="J1652">
        <v>8.4</v>
      </c>
      <c r="K1652">
        <v>5</v>
      </c>
      <c r="L1652">
        <v>8.5999999999999993E-2</v>
      </c>
      <c r="M1652">
        <v>3</v>
      </c>
      <c r="N1652">
        <v>94</v>
      </c>
      <c r="O1652">
        <v>4</v>
      </c>
      <c r="P1652">
        <v>0.52500000000000002</v>
      </c>
      <c r="Q1652">
        <v>5</v>
      </c>
      <c r="R1652">
        <v>8.0000000000000002E-3</v>
      </c>
      <c r="T1652" t="s">
        <v>4833</v>
      </c>
    </row>
    <row r="1653" spans="1:20" x14ac:dyDescent="0.2">
      <c r="A1653" t="s">
        <v>4835</v>
      </c>
      <c r="B1653" t="s">
        <v>2022</v>
      </c>
      <c r="C1653" t="s">
        <v>2036</v>
      </c>
      <c r="D1653" t="s">
        <v>2024</v>
      </c>
      <c r="E1653" t="s">
        <v>4836</v>
      </c>
      <c r="F1653" t="s">
        <v>4837</v>
      </c>
      <c r="G1653">
        <v>2</v>
      </c>
      <c r="H1653">
        <v>1640</v>
      </c>
      <c r="I1653">
        <v>3</v>
      </c>
      <c r="J1653">
        <v>4.5999999999999996</v>
      </c>
      <c r="K1653">
        <v>1</v>
      </c>
      <c r="L1653">
        <v>5.5E-2</v>
      </c>
      <c r="M1653">
        <v>2</v>
      </c>
      <c r="N1653">
        <v>82</v>
      </c>
      <c r="O1653">
        <v>2</v>
      </c>
      <c r="P1653">
        <v>0.20499999999999999</v>
      </c>
      <c r="Q1653">
        <v>1</v>
      </c>
      <c r="R1653">
        <v>1.5E-3</v>
      </c>
      <c r="T1653" t="s">
        <v>4836</v>
      </c>
    </row>
    <row r="1654" spans="1:20" x14ac:dyDescent="0.2">
      <c r="A1654" t="s">
        <v>4838</v>
      </c>
      <c r="B1654" t="s">
        <v>2022</v>
      </c>
      <c r="C1654" t="s">
        <v>2036</v>
      </c>
      <c r="D1654" t="s">
        <v>2024</v>
      </c>
      <c r="E1654" t="s">
        <v>4839</v>
      </c>
      <c r="F1654" t="s">
        <v>4840</v>
      </c>
      <c r="G1654">
        <v>1</v>
      </c>
      <c r="H1654">
        <v>1540</v>
      </c>
      <c r="I1654">
        <v>1</v>
      </c>
      <c r="J1654">
        <v>2.2000000000000002</v>
      </c>
      <c r="K1654">
        <v>1</v>
      </c>
      <c r="L1654">
        <v>5.5E-2</v>
      </c>
      <c r="M1654">
        <v>1</v>
      </c>
      <c r="N1654">
        <v>76</v>
      </c>
      <c r="O1654">
        <v>1</v>
      </c>
      <c r="P1654">
        <v>9.5000000000000001E-2</v>
      </c>
      <c r="Q1654">
        <v>2</v>
      </c>
      <c r="R1654">
        <v>4.2500000000000003E-3</v>
      </c>
      <c r="T1654" t="s">
        <v>4839</v>
      </c>
    </row>
    <row r="1655" spans="1:20" x14ac:dyDescent="0.2">
      <c r="A1655" t="s">
        <v>4841</v>
      </c>
      <c r="B1655" t="s">
        <v>2022</v>
      </c>
      <c r="C1655" t="s">
        <v>2023</v>
      </c>
      <c r="D1655" t="s">
        <v>2024</v>
      </c>
      <c r="E1655" t="s">
        <v>4842</v>
      </c>
      <c r="F1655" t="s">
        <v>4843</v>
      </c>
      <c r="G1655">
        <v>5</v>
      </c>
      <c r="H1655">
        <v>1800</v>
      </c>
      <c r="I1655">
        <v>4</v>
      </c>
      <c r="J1655">
        <v>8.4</v>
      </c>
      <c r="K1655">
        <v>5</v>
      </c>
      <c r="L1655">
        <v>8.5999999999999993E-2</v>
      </c>
      <c r="M1655">
        <v>3</v>
      </c>
      <c r="N1655">
        <v>94</v>
      </c>
      <c r="O1655">
        <v>3</v>
      </c>
      <c r="P1655">
        <v>0.375</v>
      </c>
      <c r="Q1655">
        <v>5</v>
      </c>
      <c r="R1655">
        <v>8.0000000000000002E-3</v>
      </c>
      <c r="T1655" t="s">
        <v>4842</v>
      </c>
    </row>
    <row r="1656" spans="1:20" x14ac:dyDescent="0.2">
      <c r="A1656" t="s">
        <v>4844</v>
      </c>
      <c r="B1656" t="s">
        <v>2022</v>
      </c>
      <c r="C1656" t="s">
        <v>2053</v>
      </c>
      <c r="D1656" t="s">
        <v>2024</v>
      </c>
      <c r="E1656" t="s">
        <v>224</v>
      </c>
      <c r="F1656" t="s">
        <v>4845</v>
      </c>
      <c r="G1656">
        <v>2</v>
      </c>
      <c r="H1656">
        <v>1600</v>
      </c>
      <c r="I1656">
        <v>4</v>
      </c>
      <c r="J1656">
        <v>9.0500000000000007</v>
      </c>
      <c r="K1656">
        <v>3</v>
      </c>
      <c r="L1656">
        <v>0.19500000000000001</v>
      </c>
      <c r="M1656">
        <v>1</v>
      </c>
      <c r="N1656">
        <v>73</v>
      </c>
      <c r="O1656">
        <v>3</v>
      </c>
      <c r="P1656">
        <v>0.375</v>
      </c>
      <c r="Q1656">
        <v>3</v>
      </c>
      <c r="R1656">
        <v>1.2200000000000001E-2</v>
      </c>
      <c r="T1656" t="s">
        <v>224</v>
      </c>
    </row>
    <row r="1657" spans="1:20" x14ac:dyDescent="0.2">
      <c r="A1657" t="s">
        <v>4846</v>
      </c>
      <c r="B1657" t="s">
        <v>2022</v>
      </c>
      <c r="C1657" t="s">
        <v>2053</v>
      </c>
      <c r="D1657" t="s">
        <v>2024</v>
      </c>
      <c r="E1657" t="s">
        <v>4847</v>
      </c>
      <c r="F1657" t="s">
        <v>4848</v>
      </c>
      <c r="G1657">
        <v>2</v>
      </c>
      <c r="H1657">
        <v>1600</v>
      </c>
      <c r="I1657">
        <v>4</v>
      </c>
      <c r="J1657">
        <v>9.0500000000000007</v>
      </c>
      <c r="K1657">
        <v>4</v>
      </c>
      <c r="L1657">
        <v>0.30499999999999999</v>
      </c>
      <c r="M1657">
        <v>1</v>
      </c>
      <c r="N1657">
        <v>73</v>
      </c>
      <c r="O1657">
        <v>3</v>
      </c>
      <c r="P1657">
        <v>0.375</v>
      </c>
      <c r="Q1657">
        <v>3</v>
      </c>
      <c r="R1657">
        <v>1.2200000000000001E-2</v>
      </c>
      <c r="T1657" t="s">
        <v>4847</v>
      </c>
    </row>
    <row r="1658" spans="1:20" x14ac:dyDescent="0.2">
      <c r="A1658" t="s">
        <v>4849</v>
      </c>
      <c r="B1658" t="s">
        <v>2022</v>
      </c>
      <c r="C1658" t="s">
        <v>2053</v>
      </c>
      <c r="D1658" t="s">
        <v>2024</v>
      </c>
      <c r="E1658" t="s">
        <v>4850</v>
      </c>
      <c r="F1658" t="s">
        <v>4851</v>
      </c>
      <c r="G1658">
        <v>2</v>
      </c>
      <c r="H1658">
        <v>1600</v>
      </c>
      <c r="I1658">
        <v>5</v>
      </c>
      <c r="J1658">
        <v>11.55</v>
      </c>
      <c r="K1658">
        <v>5</v>
      </c>
      <c r="L1658">
        <v>0.41499999999999998</v>
      </c>
      <c r="M1658">
        <v>1</v>
      </c>
      <c r="N1658">
        <v>73</v>
      </c>
      <c r="O1658">
        <v>4</v>
      </c>
      <c r="P1658">
        <v>0.52500000000000002</v>
      </c>
      <c r="Q1658">
        <v>4</v>
      </c>
      <c r="R1658">
        <v>1.9199999999999998E-2</v>
      </c>
      <c r="T1658" t="s">
        <v>4850</v>
      </c>
    </row>
    <row r="1659" spans="1:20" x14ac:dyDescent="0.2">
      <c r="A1659" t="s">
        <v>4852</v>
      </c>
      <c r="B1659" t="s">
        <v>2022</v>
      </c>
      <c r="C1659" t="s">
        <v>2101</v>
      </c>
      <c r="D1659" t="s">
        <v>2024</v>
      </c>
      <c r="E1659" t="s">
        <v>4853</v>
      </c>
      <c r="F1659" t="s">
        <v>4854</v>
      </c>
      <c r="G1659">
        <v>1</v>
      </c>
      <c r="H1659">
        <v>1570</v>
      </c>
      <c r="I1659">
        <v>4</v>
      </c>
      <c r="J1659">
        <v>11</v>
      </c>
      <c r="K1659">
        <v>4</v>
      </c>
      <c r="L1659">
        <v>0.39050000000000001</v>
      </c>
      <c r="M1659">
        <v>1</v>
      </c>
      <c r="N1659">
        <v>66</v>
      </c>
      <c r="O1659">
        <v>4</v>
      </c>
      <c r="P1659">
        <v>0.52500000000000002</v>
      </c>
      <c r="Q1659">
        <v>4</v>
      </c>
      <c r="R1659">
        <v>1.8499999999999999E-2</v>
      </c>
      <c r="T1659" t="s">
        <v>4853</v>
      </c>
    </row>
    <row r="1660" spans="1:20" x14ac:dyDescent="0.2">
      <c r="A1660" t="s">
        <v>4855</v>
      </c>
      <c r="B1660" t="s">
        <v>2022</v>
      </c>
      <c r="C1660" t="s">
        <v>2053</v>
      </c>
      <c r="D1660" t="s">
        <v>2024</v>
      </c>
      <c r="E1660" t="s">
        <v>4856</v>
      </c>
      <c r="F1660" t="s">
        <v>4857</v>
      </c>
      <c r="G1660">
        <v>3</v>
      </c>
      <c r="H1660">
        <v>1700</v>
      </c>
      <c r="I1660">
        <v>3</v>
      </c>
      <c r="J1660">
        <v>6.55</v>
      </c>
      <c r="K1660">
        <v>2</v>
      </c>
      <c r="L1660">
        <v>8.5000000000000006E-2</v>
      </c>
      <c r="M1660">
        <v>1</v>
      </c>
      <c r="N1660">
        <v>73</v>
      </c>
      <c r="O1660">
        <v>2</v>
      </c>
      <c r="P1660">
        <v>0.22500000000000001</v>
      </c>
      <c r="Q1660">
        <v>2</v>
      </c>
      <c r="R1660">
        <v>5.1999999999999998E-3</v>
      </c>
      <c r="T1660" t="s">
        <v>4856</v>
      </c>
    </row>
    <row r="1661" spans="1:20" x14ac:dyDescent="0.2">
      <c r="A1661" t="s">
        <v>4858</v>
      </c>
      <c r="B1661" t="s">
        <v>2022</v>
      </c>
      <c r="C1661" t="s">
        <v>2101</v>
      </c>
      <c r="D1661" t="s">
        <v>2024</v>
      </c>
      <c r="E1661" t="s">
        <v>4859</v>
      </c>
      <c r="F1661" t="s">
        <v>4860</v>
      </c>
      <c r="G1661">
        <v>4</v>
      </c>
      <c r="H1661">
        <v>1870</v>
      </c>
      <c r="I1661">
        <v>3</v>
      </c>
      <c r="J1661">
        <v>8</v>
      </c>
      <c r="K1661">
        <v>2</v>
      </c>
      <c r="L1661">
        <v>9.6500000000000002E-2</v>
      </c>
      <c r="M1661">
        <v>2</v>
      </c>
      <c r="N1661">
        <v>74</v>
      </c>
      <c r="O1661">
        <v>2</v>
      </c>
      <c r="P1661">
        <v>0.22500000000000001</v>
      </c>
      <c r="Q1661">
        <v>2</v>
      </c>
      <c r="R1661">
        <v>4.4999999999999997E-3</v>
      </c>
      <c r="T1661" t="s">
        <v>4859</v>
      </c>
    </row>
    <row r="1662" spans="1:20" x14ac:dyDescent="0.2">
      <c r="A1662" t="s">
        <v>4861</v>
      </c>
      <c r="B1662" t="s">
        <v>2022</v>
      </c>
      <c r="C1662" t="s">
        <v>2036</v>
      </c>
      <c r="D1662" t="s">
        <v>2024</v>
      </c>
      <c r="E1662" t="s">
        <v>4862</v>
      </c>
      <c r="F1662" t="s">
        <v>4863</v>
      </c>
      <c r="G1662">
        <v>1</v>
      </c>
      <c r="H1662">
        <v>1540</v>
      </c>
      <c r="I1662">
        <v>5</v>
      </c>
      <c r="J1662">
        <v>7</v>
      </c>
      <c r="K1662">
        <v>3</v>
      </c>
      <c r="L1662">
        <v>0.115</v>
      </c>
      <c r="M1662">
        <v>1</v>
      </c>
      <c r="N1662">
        <v>76</v>
      </c>
      <c r="O1662">
        <v>3</v>
      </c>
      <c r="P1662">
        <v>0.315</v>
      </c>
      <c r="Q1662">
        <v>3</v>
      </c>
      <c r="R1662">
        <v>6.7499999999999999E-3</v>
      </c>
      <c r="T1662" t="s">
        <v>4862</v>
      </c>
    </row>
    <row r="1663" spans="1:20" x14ac:dyDescent="0.2">
      <c r="A1663" t="s">
        <v>4864</v>
      </c>
      <c r="B1663" t="s">
        <v>2022</v>
      </c>
      <c r="C1663" t="s">
        <v>2023</v>
      </c>
      <c r="D1663" t="s">
        <v>2024</v>
      </c>
      <c r="E1663" t="s">
        <v>4865</v>
      </c>
      <c r="F1663" t="s">
        <v>4866</v>
      </c>
      <c r="G1663">
        <v>2</v>
      </c>
      <c r="H1663">
        <v>1560</v>
      </c>
      <c r="I1663">
        <v>2</v>
      </c>
      <c r="J1663">
        <v>3.4</v>
      </c>
      <c r="K1663">
        <v>2</v>
      </c>
      <c r="L1663">
        <v>2.5999999999999999E-2</v>
      </c>
      <c r="M1663">
        <v>3</v>
      </c>
      <c r="N1663">
        <v>94</v>
      </c>
      <c r="O1663">
        <v>2</v>
      </c>
      <c r="P1663">
        <v>0.22500000000000001</v>
      </c>
      <c r="Q1663">
        <v>2</v>
      </c>
      <c r="R1663">
        <v>2E-3</v>
      </c>
      <c r="T1663" t="s">
        <v>4865</v>
      </c>
    </row>
    <row r="1664" spans="1:20" x14ac:dyDescent="0.2">
      <c r="A1664" t="s">
        <v>4867</v>
      </c>
      <c r="B1664" t="s">
        <v>2022</v>
      </c>
      <c r="C1664" t="s">
        <v>2023</v>
      </c>
      <c r="D1664" t="s">
        <v>2024</v>
      </c>
      <c r="E1664" t="s">
        <v>4868</v>
      </c>
      <c r="F1664" t="s">
        <v>4869</v>
      </c>
      <c r="G1664">
        <v>3</v>
      </c>
      <c r="H1664">
        <v>1640</v>
      </c>
      <c r="I1664">
        <v>3</v>
      </c>
      <c r="J1664">
        <v>5.9</v>
      </c>
      <c r="K1664">
        <v>2</v>
      </c>
      <c r="L1664">
        <v>2.5999999999999999E-2</v>
      </c>
      <c r="M1664">
        <v>2</v>
      </c>
      <c r="N1664">
        <v>84</v>
      </c>
      <c r="O1664">
        <v>3</v>
      </c>
      <c r="P1664">
        <v>0.375</v>
      </c>
      <c r="Q1664">
        <v>2</v>
      </c>
      <c r="R1664">
        <v>2E-3</v>
      </c>
      <c r="T1664" t="s">
        <v>4868</v>
      </c>
    </row>
    <row r="1665" spans="1:20" x14ac:dyDescent="0.2">
      <c r="A1665" t="s">
        <v>4870</v>
      </c>
      <c r="B1665" t="s">
        <v>2022</v>
      </c>
      <c r="C1665" t="s">
        <v>2053</v>
      </c>
      <c r="D1665" t="s">
        <v>2024</v>
      </c>
      <c r="E1665" t="s">
        <v>4871</v>
      </c>
      <c r="F1665" t="s">
        <v>4872</v>
      </c>
      <c r="G1665">
        <v>3</v>
      </c>
      <c r="H1665">
        <v>1700</v>
      </c>
      <c r="I1665">
        <v>5</v>
      </c>
      <c r="J1665">
        <v>11.55</v>
      </c>
      <c r="K1665">
        <v>4</v>
      </c>
      <c r="L1665">
        <v>0.30499999999999999</v>
      </c>
      <c r="M1665">
        <v>2</v>
      </c>
      <c r="N1665">
        <v>83</v>
      </c>
      <c r="O1665">
        <v>4</v>
      </c>
      <c r="P1665">
        <v>0.52500000000000002</v>
      </c>
      <c r="Q1665">
        <v>3</v>
      </c>
      <c r="R1665">
        <v>1.2200000000000001E-2</v>
      </c>
      <c r="T1665" t="s">
        <v>4871</v>
      </c>
    </row>
    <row r="1666" spans="1:20" x14ac:dyDescent="0.2">
      <c r="A1666" t="s">
        <v>4873</v>
      </c>
      <c r="B1666" t="s">
        <v>2022</v>
      </c>
      <c r="C1666" t="s">
        <v>2023</v>
      </c>
      <c r="D1666" t="s">
        <v>2024</v>
      </c>
      <c r="E1666" t="s">
        <v>4874</v>
      </c>
      <c r="F1666" t="s">
        <v>4875</v>
      </c>
      <c r="G1666">
        <v>5</v>
      </c>
      <c r="H1666">
        <v>1800</v>
      </c>
      <c r="I1666">
        <v>3</v>
      </c>
      <c r="J1666">
        <v>5.9</v>
      </c>
      <c r="K1666">
        <v>5</v>
      </c>
      <c r="L1666">
        <v>8.5999999999999993E-2</v>
      </c>
      <c r="M1666">
        <v>4</v>
      </c>
      <c r="N1666">
        <v>104</v>
      </c>
      <c r="O1666">
        <v>3</v>
      </c>
      <c r="P1666">
        <v>0.375</v>
      </c>
      <c r="Q1666">
        <v>3</v>
      </c>
      <c r="R1666">
        <v>4.0000000000000001E-3</v>
      </c>
      <c r="T1666" t="s">
        <v>4874</v>
      </c>
    </row>
    <row r="1667" spans="1:20" x14ac:dyDescent="0.2">
      <c r="A1667" t="s">
        <v>4876</v>
      </c>
      <c r="B1667" t="s">
        <v>2022</v>
      </c>
      <c r="C1667" t="s">
        <v>2053</v>
      </c>
      <c r="D1667" t="s">
        <v>2024</v>
      </c>
      <c r="E1667" t="s">
        <v>357</v>
      </c>
      <c r="F1667" t="s">
        <v>447</v>
      </c>
      <c r="G1667">
        <v>5</v>
      </c>
      <c r="H1667">
        <v>1900</v>
      </c>
      <c r="I1667">
        <v>3</v>
      </c>
      <c r="J1667">
        <v>6.55</v>
      </c>
      <c r="K1667">
        <v>4</v>
      </c>
      <c r="L1667">
        <v>0.30499999999999999</v>
      </c>
      <c r="M1667">
        <v>5</v>
      </c>
      <c r="N1667">
        <v>113</v>
      </c>
      <c r="O1667">
        <v>3</v>
      </c>
      <c r="P1667">
        <v>0.375</v>
      </c>
      <c r="Q1667">
        <v>3</v>
      </c>
      <c r="R1667">
        <v>1.2200000000000001E-2</v>
      </c>
      <c r="T1667" t="s">
        <v>357</v>
      </c>
    </row>
    <row r="1668" spans="1:20" x14ac:dyDescent="0.2">
      <c r="A1668" t="s">
        <v>4877</v>
      </c>
      <c r="B1668" t="s">
        <v>2022</v>
      </c>
      <c r="C1668" t="s">
        <v>2053</v>
      </c>
      <c r="D1668" t="s">
        <v>2024</v>
      </c>
      <c r="E1668" t="s">
        <v>4878</v>
      </c>
      <c r="F1668" t="s">
        <v>4879</v>
      </c>
      <c r="G1668">
        <v>1</v>
      </c>
      <c r="H1668">
        <v>1500</v>
      </c>
      <c r="I1668">
        <v>3</v>
      </c>
      <c r="J1668">
        <v>6.55</v>
      </c>
      <c r="K1668">
        <v>3</v>
      </c>
      <c r="L1668">
        <v>0.19500000000000001</v>
      </c>
      <c r="M1668">
        <v>2</v>
      </c>
      <c r="N1668">
        <v>83</v>
      </c>
      <c r="O1668">
        <v>3</v>
      </c>
      <c r="P1668">
        <v>0.375</v>
      </c>
      <c r="Q1668">
        <v>3</v>
      </c>
      <c r="R1668">
        <v>1.2200000000000001E-2</v>
      </c>
      <c r="T1668" t="s">
        <v>4878</v>
      </c>
    </row>
    <row r="1669" spans="1:20" x14ac:dyDescent="0.2">
      <c r="A1669" t="s">
        <v>4880</v>
      </c>
      <c r="B1669" t="s">
        <v>2022</v>
      </c>
      <c r="C1669" t="s">
        <v>2023</v>
      </c>
      <c r="D1669" t="s">
        <v>2136</v>
      </c>
      <c r="E1669" t="s">
        <v>4881</v>
      </c>
      <c r="F1669" t="s">
        <v>4882</v>
      </c>
      <c r="G1669">
        <v>1</v>
      </c>
      <c r="H1669">
        <v>1480</v>
      </c>
      <c r="I1669">
        <v>2</v>
      </c>
      <c r="J1669">
        <v>3.4</v>
      </c>
      <c r="K1669">
        <v>2</v>
      </c>
      <c r="L1669">
        <v>2.5999999999999999E-2</v>
      </c>
      <c r="M1669">
        <v>3</v>
      </c>
      <c r="N1669">
        <v>94</v>
      </c>
      <c r="O1669">
        <v>2</v>
      </c>
      <c r="P1669">
        <v>0.22500000000000001</v>
      </c>
      <c r="Q1669">
        <v>2</v>
      </c>
      <c r="R1669">
        <v>2E-3</v>
      </c>
      <c r="T1669" t="s">
        <v>4881</v>
      </c>
    </row>
    <row r="1670" spans="1:20" x14ac:dyDescent="0.2">
      <c r="A1670" t="s">
        <v>4883</v>
      </c>
      <c r="B1670" t="s">
        <v>2022</v>
      </c>
      <c r="C1670" t="s">
        <v>2023</v>
      </c>
      <c r="D1670" t="s">
        <v>2136</v>
      </c>
      <c r="E1670" t="s">
        <v>4881</v>
      </c>
      <c r="F1670" t="s">
        <v>4882</v>
      </c>
      <c r="G1670">
        <v>1</v>
      </c>
      <c r="H1670">
        <v>1480</v>
      </c>
      <c r="I1670">
        <v>2</v>
      </c>
      <c r="J1670">
        <v>3.4</v>
      </c>
      <c r="K1670">
        <v>2</v>
      </c>
      <c r="L1670">
        <v>2.5999999999999999E-2</v>
      </c>
      <c r="M1670">
        <v>3</v>
      </c>
      <c r="N1670">
        <v>94</v>
      </c>
      <c r="O1670">
        <v>2</v>
      </c>
      <c r="P1670">
        <v>0.22500000000000001</v>
      </c>
      <c r="Q1670">
        <v>2</v>
      </c>
      <c r="R1670">
        <v>2E-3</v>
      </c>
      <c r="T1670" t="s">
        <v>4881</v>
      </c>
    </row>
    <row r="1671" spans="1:20" x14ac:dyDescent="0.2">
      <c r="A1671" t="s">
        <v>4884</v>
      </c>
      <c r="B1671" t="s">
        <v>2022</v>
      </c>
      <c r="C1671" t="s">
        <v>2023</v>
      </c>
      <c r="D1671" t="s">
        <v>2024</v>
      </c>
      <c r="E1671" t="s">
        <v>4885</v>
      </c>
      <c r="F1671" t="s">
        <v>4886</v>
      </c>
      <c r="G1671">
        <v>4</v>
      </c>
      <c r="H1671">
        <v>1720</v>
      </c>
      <c r="I1671">
        <v>1</v>
      </c>
      <c r="J1671">
        <v>0.9</v>
      </c>
      <c r="K1671">
        <v>1</v>
      </c>
      <c r="L1671">
        <v>6.0000000000000001E-3</v>
      </c>
      <c r="M1671">
        <v>3</v>
      </c>
      <c r="N1671">
        <v>94</v>
      </c>
      <c r="O1671">
        <v>1</v>
      </c>
      <c r="P1671">
        <v>7.4999999999999997E-2</v>
      </c>
      <c r="Q1671">
        <v>1</v>
      </c>
      <c r="R1671">
        <v>5.0000000000000001E-4</v>
      </c>
      <c r="T1671" t="s">
        <v>4885</v>
      </c>
    </row>
    <row r="1672" spans="1:20" x14ac:dyDescent="0.2">
      <c r="A1672" t="s">
        <v>4887</v>
      </c>
      <c r="B1672" t="s">
        <v>2022</v>
      </c>
      <c r="C1672" t="s">
        <v>2095</v>
      </c>
      <c r="D1672" t="s">
        <v>2024</v>
      </c>
      <c r="E1672" t="s">
        <v>4888</v>
      </c>
      <c r="F1672" t="s">
        <v>4889</v>
      </c>
      <c r="G1672">
        <v>5</v>
      </c>
      <c r="H1672">
        <v>1925</v>
      </c>
      <c r="I1672">
        <v>2</v>
      </c>
      <c r="J1672">
        <v>7.5</v>
      </c>
      <c r="K1672">
        <v>2</v>
      </c>
      <c r="L1672">
        <v>0.13</v>
      </c>
      <c r="M1672">
        <v>4</v>
      </c>
      <c r="N1672">
        <v>92</v>
      </c>
      <c r="O1672">
        <v>2</v>
      </c>
      <c r="P1672">
        <v>0.35</v>
      </c>
      <c r="Q1672">
        <v>2</v>
      </c>
      <c r="R1672">
        <v>5.8999999999999999E-3</v>
      </c>
      <c r="T1672" t="s">
        <v>4888</v>
      </c>
    </row>
    <row r="1673" spans="1:20" x14ac:dyDescent="0.2">
      <c r="A1673" t="s">
        <v>4890</v>
      </c>
      <c r="B1673" t="s">
        <v>2022</v>
      </c>
      <c r="C1673" t="s">
        <v>2049</v>
      </c>
      <c r="D1673" t="s">
        <v>2024</v>
      </c>
      <c r="E1673" t="s">
        <v>4891</v>
      </c>
      <c r="F1673" t="s">
        <v>4892</v>
      </c>
      <c r="G1673">
        <v>4</v>
      </c>
      <c r="H1673">
        <v>1650</v>
      </c>
      <c r="I1673">
        <v>1</v>
      </c>
      <c r="J1673">
        <v>1.4</v>
      </c>
      <c r="K1673">
        <v>1</v>
      </c>
      <c r="L1673">
        <v>0.01</v>
      </c>
      <c r="M1673">
        <v>5</v>
      </c>
      <c r="N1673">
        <v>166</v>
      </c>
      <c r="O1673">
        <v>1</v>
      </c>
      <c r="P1673">
        <v>0.06</v>
      </c>
      <c r="Q1673">
        <v>1</v>
      </c>
      <c r="R1673">
        <v>8.4999999999999995E-4</v>
      </c>
      <c r="T1673" t="s">
        <v>4891</v>
      </c>
    </row>
    <row r="1674" spans="1:20" x14ac:dyDescent="0.2">
      <c r="A1674" t="s">
        <v>4893</v>
      </c>
      <c r="B1674" t="s">
        <v>2022</v>
      </c>
      <c r="C1674" t="s">
        <v>2023</v>
      </c>
      <c r="D1674" t="s">
        <v>2024</v>
      </c>
      <c r="E1674" t="s">
        <v>4894</v>
      </c>
      <c r="F1674" t="s">
        <v>4895</v>
      </c>
      <c r="G1674">
        <v>4</v>
      </c>
      <c r="H1674">
        <v>1720</v>
      </c>
      <c r="I1674">
        <v>5</v>
      </c>
      <c r="J1674">
        <v>10.9</v>
      </c>
      <c r="K1674">
        <v>5</v>
      </c>
      <c r="L1674">
        <v>8.5999999999999993E-2</v>
      </c>
      <c r="M1674">
        <v>2</v>
      </c>
      <c r="N1674">
        <v>84</v>
      </c>
      <c r="O1674">
        <v>5</v>
      </c>
      <c r="P1674">
        <v>0.67500000000000004</v>
      </c>
      <c r="Q1674">
        <v>5</v>
      </c>
      <c r="R1674">
        <v>8.0000000000000002E-3</v>
      </c>
      <c r="T1674" t="s">
        <v>4894</v>
      </c>
    </row>
    <row r="1675" spans="1:20" x14ac:dyDescent="0.2">
      <c r="A1675" t="s">
        <v>4896</v>
      </c>
      <c r="B1675" t="s">
        <v>2022</v>
      </c>
      <c r="C1675" t="s">
        <v>2053</v>
      </c>
      <c r="E1675" t="s">
        <v>357</v>
      </c>
      <c r="F1675" t="s">
        <v>447</v>
      </c>
      <c r="G1675">
        <v>3</v>
      </c>
      <c r="H1675">
        <v>1700</v>
      </c>
      <c r="I1675">
        <v>2</v>
      </c>
      <c r="J1675">
        <v>4.05</v>
      </c>
      <c r="K1675">
        <v>2</v>
      </c>
      <c r="L1675">
        <v>8.5000000000000006E-2</v>
      </c>
      <c r="M1675">
        <v>1</v>
      </c>
      <c r="N1675">
        <v>73</v>
      </c>
      <c r="O1675">
        <v>2</v>
      </c>
      <c r="P1675">
        <v>0.22500000000000001</v>
      </c>
      <c r="Q1675">
        <v>2</v>
      </c>
      <c r="R1675">
        <v>5.1999999999999998E-3</v>
      </c>
      <c r="T1675" t="s">
        <v>357</v>
      </c>
    </row>
    <row r="1676" spans="1:20" x14ac:dyDescent="0.2">
      <c r="A1676" t="s">
        <v>4897</v>
      </c>
      <c r="B1676" t="s">
        <v>2022</v>
      </c>
      <c r="C1676" t="s">
        <v>2053</v>
      </c>
      <c r="E1676" t="s">
        <v>4898</v>
      </c>
      <c r="F1676" t="s">
        <v>4899</v>
      </c>
      <c r="G1676">
        <v>3</v>
      </c>
      <c r="H1676">
        <v>1700</v>
      </c>
      <c r="I1676">
        <v>2</v>
      </c>
      <c r="J1676">
        <v>4.05</v>
      </c>
      <c r="K1676">
        <v>2</v>
      </c>
      <c r="L1676">
        <v>8.5000000000000006E-2</v>
      </c>
      <c r="M1676">
        <v>1</v>
      </c>
      <c r="N1676">
        <v>73</v>
      </c>
      <c r="O1676">
        <v>2</v>
      </c>
      <c r="P1676">
        <v>0.22500000000000001</v>
      </c>
      <c r="Q1676">
        <v>2</v>
      </c>
      <c r="R1676">
        <v>5.1999999999999998E-3</v>
      </c>
      <c r="T1676" t="s">
        <v>4898</v>
      </c>
    </row>
    <row r="1677" spans="1:20" x14ac:dyDescent="0.2">
      <c r="A1677" t="s">
        <v>4900</v>
      </c>
      <c r="B1677" t="s">
        <v>2022</v>
      </c>
      <c r="C1677" t="s">
        <v>2053</v>
      </c>
      <c r="E1677" t="s">
        <v>4901</v>
      </c>
      <c r="F1677" t="s">
        <v>4902</v>
      </c>
      <c r="G1677">
        <v>3</v>
      </c>
      <c r="H1677">
        <v>1700</v>
      </c>
      <c r="I1677">
        <v>2</v>
      </c>
      <c r="J1677">
        <v>4.05</v>
      </c>
      <c r="K1677">
        <v>2</v>
      </c>
      <c r="L1677">
        <v>8.5000000000000006E-2</v>
      </c>
      <c r="M1677">
        <v>1</v>
      </c>
      <c r="N1677">
        <v>73</v>
      </c>
      <c r="O1677">
        <v>2</v>
      </c>
      <c r="P1677">
        <v>0.22500000000000001</v>
      </c>
      <c r="Q1677">
        <v>2</v>
      </c>
      <c r="R1677">
        <v>5.1999999999999998E-3</v>
      </c>
      <c r="T1677" t="s">
        <v>4901</v>
      </c>
    </row>
    <row r="1678" spans="1:20" x14ac:dyDescent="0.2">
      <c r="A1678" t="s">
        <v>4903</v>
      </c>
      <c r="B1678" t="s">
        <v>2022</v>
      </c>
      <c r="C1678" t="s">
        <v>2095</v>
      </c>
      <c r="D1678" t="s">
        <v>2024</v>
      </c>
      <c r="E1678" t="s">
        <v>4904</v>
      </c>
      <c r="F1678" t="s">
        <v>4905</v>
      </c>
      <c r="G1678">
        <v>4</v>
      </c>
      <c r="H1678">
        <v>1835</v>
      </c>
      <c r="I1678">
        <v>5</v>
      </c>
      <c r="J1678">
        <v>16.5</v>
      </c>
      <c r="K1678">
        <v>4</v>
      </c>
      <c r="L1678">
        <v>0.53</v>
      </c>
      <c r="M1678">
        <v>3</v>
      </c>
      <c r="N1678">
        <v>86</v>
      </c>
      <c r="O1678">
        <v>5</v>
      </c>
      <c r="P1678">
        <v>0.95</v>
      </c>
      <c r="Q1678">
        <v>4</v>
      </c>
      <c r="R1678">
        <v>2.3900000000000001E-2</v>
      </c>
      <c r="T1678" t="s">
        <v>4904</v>
      </c>
    </row>
    <row r="1679" spans="1:20" x14ac:dyDescent="0.2">
      <c r="A1679" t="s">
        <v>4906</v>
      </c>
      <c r="B1679" t="s">
        <v>2022</v>
      </c>
      <c r="C1679" t="s">
        <v>2023</v>
      </c>
      <c r="D1679" t="s">
        <v>2024</v>
      </c>
      <c r="E1679" t="s">
        <v>4907</v>
      </c>
      <c r="F1679" t="s">
        <v>4908</v>
      </c>
      <c r="G1679">
        <v>4</v>
      </c>
      <c r="H1679">
        <v>1720</v>
      </c>
      <c r="I1679">
        <v>5</v>
      </c>
      <c r="J1679">
        <v>10.9</v>
      </c>
      <c r="K1679">
        <v>5</v>
      </c>
      <c r="L1679">
        <v>8.5999999999999993E-2</v>
      </c>
      <c r="M1679">
        <v>3</v>
      </c>
      <c r="N1679">
        <v>94</v>
      </c>
      <c r="O1679">
        <v>5</v>
      </c>
      <c r="P1679">
        <v>0.67500000000000004</v>
      </c>
      <c r="Q1679">
        <v>5</v>
      </c>
      <c r="R1679">
        <v>8.0000000000000002E-3</v>
      </c>
      <c r="T1679" t="s">
        <v>4907</v>
      </c>
    </row>
    <row r="1680" spans="1:20" x14ac:dyDescent="0.2">
      <c r="A1680" t="s">
        <v>4909</v>
      </c>
      <c r="B1680" t="s">
        <v>2022</v>
      </c>
      <c r="C1680" t="s">
        <v>2023</v>
      </c>
      <c r="D1680" t="s">
        <v>2024</v>
      </c>
      <c r="E1680" t="s">
        <v>4910</v>
      </c>
      <c r="F1680" t="s">
        <v>4911</v>
      </c>
      <c r="G1680">
        <v>5</v>
      </c>
      <c r="H1680">
        <v>1800</v>
      </c>
      <c r="I1680">
        <v>5</v>
      </c>
      <c r="J1680">
        <v>10.9</v>
      </c>
      <c r="K1680">
        <v>5</v>
      </c>
      <c r="L1680">
        <v>8.5999999999999993E-2</v>
      </c>
      <c r="M1680">
        <v>5</v>
      </c>
      <c r="N1680">
        <v>114</v>
      </c>
      <c r="O1680">
        <v>5</v>
      </c>
      <c r="P1680">
        <v>0.67500000000000004</v>
      </c>
      <c r="Q1680">
        <v>5</v>
      </c>
      <c r="R1680">
        <v>8.0000000000000002E-3</v>
      </c>
      <c r="T1680" t="s">
        <v>4910</v>
      </c>
    </row>
    <row r="1681" spans="1:20" x14ac:dyDescent="0.2">
      <c r="A1681" t="s">
        <v>4912</v>
      </c>
      <c r="B1681" t="s">
        <v>2022</v>
      </c>
      <c r="C1681" t="s">
        <v>2053</v>
      </c>
      <c r="D1681" t="s">
        <v>2024</v>
      </c>
      <c r="E1681" t="s">
        <v>4913</v>
      </c>
      <c r="F1681" t="s">
        <v>4914</v>
      </c>
      <c r="G1681">
        <v>4</v>
      </c>
      <c r="H1681">
        <v>1800</v>
      </c>
      <c r="I1681">
        <v>4</v>
      </c>
      <c r="J1681">
        <v>9.0500000000000007</v>
      </c>
      <c r="K1681">
        <v>3</v>
      </c>
      <c r="L1681">
        <v>0.19500000000000001</v>
      </c>
      <c r="M1681">
        <v>3</v>
      </c>
      <c r="N1681">
        <v>93</v>
      </c>
      <c r="O1681">
        <v>4</v>
      </c>
      <c r="P1681">
        <v>0.52500000000000002</v>
      </c>
      <c r="Q1681">
        <v>3</v>
      </c>
      <c r="R1681">
        <v>1.2200000000000001E-2</v>
      </c>
      <c r="T1681" t="s">
        <v>4913</v>
      </c>
    </row>
    <row r="1682" spans="1:20" x14ac:dyDescent="0.2">
      <c r="A1682" t="s">
        <v>4915</v>
      </c>
      <c r="B1682" t="s">
        <v>2022</v>
      </c>
      <c r="C1682" t="s">
        <v>2023</v>
      </c>
      <c r="D1682" t="s">
        <v>2024</v>
      </c>
      <c r="E1682" t="s">
        <v>4916</v>
      </c>
      <c r="F1682" t="s">
        <v>4917</v>
      </c>
      <c r="G1682">
        <v>5</v>
      </c>
      <c r="H1682">
        <v>1800</v>
      </c>
      <c r="I1682">
        <v>2</v>
      </c>
      <c r="J1682">
        <v>3.4</v>
      </c>
      <c r="K1682">
        <v>2</v>
      </c>
      <c r="L1682">
        <v>2.5999999999999999E-2</v>
      </c>
      <c r="M1682">
        <v>5</v>
      </c>
      <c r="N1682">
        <v>114</v>
      </c>
      <c r="O1682">
        <v>2</v>
      </c>
      <c r="P1682">
        <v>0.22500000000000001</v>
      </c>
      <c r="Q1682">
        <v>2</v>
      </c>
      <c r="R1682">
        <v>2E-3</v>
      </c>
      <c r="T1682" t="s">
        <v>4916</v>
      </c>
    </row>
    <row r="1683" spans="1:20" x14ac:dyDescent="0.2">
      <c r="A1683" t="s">
        <v>4918</v>
      </c>
      <c r="B1683" t="s">
        <v>2022</v>
      </c>
      <c r="C1683" t="s">
        <v>2095</v>
      </c>
      <c r="D1683" t="s">
        <v>2024</v>
      </c>
      <c r="E1683" t="s">
        <v>4919</v>
      </c>
      <c r="F1683" t="s">
        <v>4920</v>
      </c>
      <c r="G1683">
        <v>2</v>
      </c>
      <c r="H1683">
        <v>1655</v>
      </c>
      <c r="I1683">
        <v>5</v>
      </c>
      <c r="J1683">
        <v>16.5</v>
      </c>
      <c r="K1683">
        <v>4</v>
      </c>
      <c r="L1683">
        <v>0.53</v>
      </c>
      <c r="M1683">
        <v>1</v>
      </c>
      <c r="N1683">
        <v>74</v>
      </c>
      <c r="O1683">
        <v>4</v>
      </c>
      <c r="P1683">
        <v>0.75</v>
      </c>
      <c r="Q1683">
        <v>4</v>
      </c>
      <c r="R1683">
        <v>2.3900000000000001E-2</v>
      </c>
      <c r="T1683" t="s">
        <v>4919</v>
      </c>
    </row>
    <row r="1684" spans="1:20" x14ac:dyDescent="0.2">
      <c r="A1684" t="s">
        <v>4921</v>
      </c>
      <c r="B1684" t="s">
        <v>2022</v>
      </c>
      <c r="C1684" t="s">
        <v>2036</v>
      </c>
      <c r="D1684" t="s">
        <v>2024</v>
      </c>
      <c r="E1684" t="s">
        <v>4922</v>
      </c>
      <c r="F1684" t="s">
        <v>4923</v>
      </c>
      <c r="G1684">
        <v>2</v>
      </c>
      <c r="H1684">
        <v>1640</v>
      </c>
      <c r="I1684">
        <v>3</v>
      </c>
      <c r="J1684">
        <v>4.5999999999999996</v>
      </c>
      <c r="K1684">
        <v>3</v>
      </c>
      <c r="L1684">
        <v>0.115</v>
      </c>
      <c r="M1684">
        <v>2</v>
      </c>
      <c r="N1684">
        <v>82</v>
      </c>
      <c r="O1684">
        <v>2</v>
      </c>
      <c r="P1684">
        <v>0.20499999999999999</v>
      </c>
      <c r="Q1684">
        <v>2</v>
      </c>
      <c r="R1684">
        <v>4.2500000000000003E-3</v>
      </c>
      <c r="T1684" t="s">
        <v>4922</v>
      </c>
    </row>
    <row r="1685" spans="1:20" x14ac:dyDescent="0.2">
      <c r="A1685" t="s">
        <v>4924</v>
      </c>
      <c r="B1685" t="s">
        <v>2022</v>
      </c>
      <c r="C1685" t="s">
        <v>2036</v>
      </c>
      <c r="D1685" t="s">
        <v>2024</v>
      </c>
      <c r="E1685" t="s">
        <v>4925</v>
      </c>
      <c r="F1685" t="s">
        <v>4926</v>
      </c>
      <c r="G1685">
        <v>3</v>
      </c>
      <c r="H1685">
        <v>1740</v>
      </c>
      <c r="I1685">
        <v>4</v>
      </c>
      <c r="J1685">
        <v>5.8</v>
      </c>
      <c r="K1685">
        <v>4</v>
      </c>
      <c r="L1685">
        <v>0.14499999999999999</v>
      </c>
      <c r="M1685">
        <v>3</v>
      </c>
      <c r="N1685">
        <v>88</v>
      </c>
      <c r="O1685">
        <v>3</v>
      </c>
      <c r="P1685">
        <v>0.315</v>
      </c>
      <c r="Q1685">
        <v>3</v>
      </c>
      <c r="R1685">
        <v>6.7499999999999999E-3</v>
      </c>
      <c r="T1685" t="s">
        <v>4925</v>
      </c>
    </row>
    <row r="1686" spans="1:20" x14ac:dyDescent="0.2">
      <c r="A1686" t="s">
        <v>4927</v>
      </c>
      <c r="B1686" t="s">
        <v>2022</v>
      </c>
      <c r="C1686" t="s">
        <v>2023</v>
      </c>
      <c r="D1686" t="s">
        <v>2024</v>
      </c>
      <c r="E1686" t="s">
        <v>4928</v>
      </c>
      <c r="F1686" t="s">
        <v>4929</v>
      </c>
      <c r="G1686">
        <v>3</v>
      </c>
      <c r="H1686">
        <v>1640</v>
      </c>
      <c r="I1686">
        <v>2</v>
      </c>
      <c r="J1686">
        <v>3.4</v>
      </c>
      <c r="K1686">
        <v>3</v>
      </c>
      <c r="L1686">
        <v>4.5999999999999999E-2</v>
      </c>
      <c r="M1686">
        <v>5</v>
      </c>
      <c r="N1686">
        <v>114</v>
      </c>
      <c r="O1686">
        <v>2</v>
      </c>
      <c r="P1686">
        <v>0.22500000000000001</v>
      </c>
      <c r="Q1686">
        <v>3</v>
      </c>
      <c r="R1686">
        <v>4.0000000000000001E-3</v>
      </c>
      <c r="T1686" t="s">
        <v>4928</v>
      </c>
    </row>
    <row r="1687" spans="1:20" x14ac:dyDescent="0.2">
      <c r="A1687" t="s">
        <v>4930</v>
      </c>
      <c r="B1687" t="s">
        <v>2022</v>
      </c>
      <c r="C1687" t="s">
        <v>2053</v>
      </c>
      <c r="D1687" t="s">
        <v>2024</v>
      </c>
      <c r="E1687" t="s">
        <v>4931</v>
      </c>
      <c r="F1687" t="s">
        <v>4932</v>
      </c>
      <c r="G1687">
        <v>1</v>
      </c>
      <c r="H1687">
        <v>1500</v>
      </c>
      <c r="I1687">
        <v>2</v>
      </c>
      <c r="J1687">
        <v>4.05</v>
      </c>
      <c r="K1687">
        <v>2</v>
      </c>
      <c r="L1687">
        <v>8.5000000000000006E-2</v>
      </c>
      <c r="M1687">
        <v>1</v>
      </c>
      <c r="N1687">
        <v>73</v>
      </c>
      <c r="O1687">
        <v>2</v>
      </c>
      <c r="P1687">
        <v>0.22500000000000001</v>
      </c>
      <c r="Q1687">
        <v>2</v>
      </c>
      <c r="R1687">
        <v>5.1999999999999998E-3</v>
      </c>
      <c r="T1687" t="s">
        <v>4931</v>
      </c>
    </row>
    <row r="1688" spans="1:20" x14ac:dyDescent="0.2">
      <c r="A1688" t="s">
        <v>4933</v>
      </c>
      <c r="B1688" t="s">
        <v>2022</v>
      </c>
      <c r="C1688" t="s">
        <v>2053</v>
      </c>
      <c r="D1688" t="s">
        <v>2024</v>
      </c>
      <c r="E1688" t="s">
        <v>4934</v>
      </c>
      <c r="F1688" t="s">
        <v>4935</v>
      </c>
      <c r="G1688">
        <v>2</v>
      </c>
      <c r="H1688">
        <v>1600</v>
      </c>
      <c r="I1688">
        <v>2</v>
      </c>
      <c r="J1688">
        <v>4.05</v>
      </c>
      <c r="K1688">
        <v>2</v>
      </c>
      <c r="L1688">
        <v>8.5000000000000006E-2</v>
      </c>
      <c r="M1688">
        <v>1</v>
      </c>
      <c r="N1688">
        <v>73</v>
      </c>
      <c r="O1688">
        <v>1</v>
      </c>
      <c r="P1688">
        <v>7.4999999999999997E-2</v>
      </c>
      <c r="Q1688">
        <v>2</v>
      </c>
      <c r="R1688">
        <v>5.1999999999999998E-3</v>
      </c>
      <c r="T1688" t="s">
        <v>4934</v>
      </c>
    </row>
    <row r="1689" spans="1:20" x14ac:dyDescent="0.2">
      <c r="A1689" t="s">
        <v>4936</v>
      </c>
      <c r="B1689" t="s">
        <v>2022</v>
      </c>
      <c r="C1689" t="s">
        <v>2053</v>
      </c>
      <c r="D1689" t="s">
        <v>2024</v>
      </c>
      <c r="E1689" t="s">
        <v>4937</v>
      </c>
      <c r="F1689" t="s">
        <v>4938</v>
      </c>
      <c r="G1689">
        <v>2</v>
      </c>
      <c r="H1689">
        <v>1600</v>
      </c>
      <c r="I1689">
        <v>2</v>
      </c>
      <c r="J1689">
        <v>4.05</v>
      </c>
      <c r="K1689">
        <v>2</v>
      </c>
      <c r="L1689">
        <v>8.5000000000000006E-2</v>
      </c>
      <c r="M1689">
        <v>1</v>
      </c>
      <c r="N1689">
        <v>73</v>
      </c>
      <c r="O1689">
        <v>1</v>
      </c>
      <c r="P1689">
        <v>7.4999999999999997E-2</v>
      </c>
      <c r="Q1689">
        <v>2</v>
      </c>
      <c r="R1689">
        <v>5.1999999999999998E-3</v>
      </c>
      <c r="T1689" t="s">
        <v>4937</v>
      </c>
    </row>
    <row r="1690" spans="1:20" x14ac:dyDescent="0.2">
      <c r="A1690" t="s">
        <v>4939</v>
      </c>
      <c r="B1690" t="s">
        <v>2022</v>
      </c>
      <c r="C1690" t="s">
        <v>2101</v>
      </c>
      <c r="D1690" t="s">
        <v>2024</v>
      </c>
      <c r="E1690" t="s">
        <v>4940</v>
      </c>
      <c r="F1690" t="s">
        <v>4941</v>
      </c>
      <c r="G1690">
        <v>3</v>
      </c>
      <c r="H1690">
        <v>1770</v>
      </c>
      <c r="I1690">
        <v>1</v>
      </c>
      <c r="J1690">
        <v>2</v>
      </c>
      <c r="K1690">
        <v>1</v>
      </c>
      <c r="L1690">
        <v>1.15E-2</v>
      </c>
      <c r="M1690">
        <v>2</v>
      </c>
      <c r="N1690">
        <v>74</v>
      </c>
      <c r="O1690">
        <v>1</v>
      </c>
      <c r="P1690">
        <v>7.4999999999999997E-2</v>
      </c>
      <c r="Q1690">
        <v>1</v>
      </c>
      <c r="R1690">
        <v>5.0000000000000001E-4</v>
      </c>
      <c r="T1690" t="s">
        <v>4940</v>
      </c>
    </row>
    <row r="1691" spans="1:20" x14ac:dyDescent="0.2">
      <c r="A1691" t="s">
        <v>4942</v>
      </c>
      <c r="B1691" t="s">
        <v>2022</v>
      </c>
      <c r="C1691" t="s">
        <v>2036</v>
      </c>
      <c r="D1691" t="s">
        <v>2136</v>
      </c>
      <c r="E1691" t="s">
        <v>4943</v>
      </c>
      <c r="F1691" t="s">
        <v>4944</v>
      </c>
      <c r="G1691">
        <v>2</v>
      </c>
      <c r="H1691">
        <v>1640</v>
      </c>
      <c r="I1691">
        <v>3</v>
      </c>
      <c r="J1691">
        <v>4.5999999999999996</v>
      </c>
      <c r="K1691">
        <v>4</v>
      </c>
      <c r="L1691">
        <v>0.14499999999999999</v>
      </c>
      <c r="M1691">
        <v>4</v>
      </c>
      <c r="N1691">
        <v>94</v>
      </c>
      <c r="O1691">
        <v>3</v>
      </c>
      <c r="P1691">
        <v>0.315</v>
      </c>
      <c r="Q1691">
        <v>3</v>
      </c>
      <c r="R1691">
        <v>6.7499999999999999E-3</v>
      </c>
      <c r="T1691" t="s">
        <v>4943</v>
      </c>
    </row>
    <row r="1692" spans="1:20" x14ac:dyDescent="0.2">
      <c r="A1692" t="s">
        <v>4945</v>
      </c>
      <c r="B1692" t="s">
        <v>2022</v>
      </c>
      <c r="C1692" t="s">
        <v>2036</v>
      </c>
      <c r="D1692" t="s">
        <v>2024</v>
      </c>
      <c r="E1692" t="s">
        <v>4946</v>
      </c>
      <c r="F1692" t="s">
        <v>4947</v>
      </c>
      <c r="G1692">
        <v>2</v>
      </c>
      <c r="H1692">
        <v>1640</v>
      </c>
      <c r="I1692">
        <v>1</v>
      </c>
      <c r="J1692">
        <v>2.2000000000000002</v>
      </c>
      <c r="K1692">
        <v>1</v>
      </c>
      <c r="L1692">
        <v>5.5E-2</v>
      </c>
      <c r="M1692">
        <v>2</v>
      </c>
      <c r="N1692">
        <v>82</v>
      </c>
      <c r="O1692">
        <v>1</v>
      </c>
      <c r="P1692">
        <v>9.5000000000000001E-2</v>
      </c>
      <c r="Q1692">
        <v>1</v>
      </c>
      <c r="R1692">
        <v>1.5E-3</v>
      </c>
      <c r="T1692" t="s">
        <v>4946</v>
      </c>
    </row>
    <row r="1693" spans="1:20" x14ac:dyDescent="0.2">
      <c r="A1693" t="s">
        <v>4948</v>
      </c>
      <c r="B1693" t="s">
        <v>2022</v>
      </c>
      <c r="C1693" t="s">
        <v>2053</v>
      </c>
      <c r="D1693" t="s">
        <v>2136</v>
      </c>
      <c r="E1693" t="s">
        <v>357</v>
      </c>
      <c r="F1693" t="s">
        <v>447</v>
      </c>
      <c r="G1693">
        <v>2</v>
      </c>
      <c r="H1693">
        <v>1600</v>
      </c>
      <c r="I1693">
        <v>1</v>
      </c>
      <c r="J1693">
        <v>1.55</v>
      </c>
      <c r="K1693">
        <v>1</v>
      </c>
      <c r="L1693">
        <v>1.4999999999999999E-2</v>
      </c>
      <c r="M1693">
        <v>1</v>
      </c>
      <c r="N1693">
        <v>73</v>
      </c>
      <c r="O1693">
        <v>1</v>
      </c>
      <c r="P1693">
        <v>7.4999999999999997E-2</v>
      </c>
      <c r="Q1693">
        <v>1</v>
      </c>
      <c r="R1693">
        <v>8.4999999999999995E-4</v>
      </c>
      <c r="T1693" t="s">
        <v>357</v>
      </c>
    </row>
    <row r="1694" spans="1:20" x14ac:dyDescent="0.2">
      <c r="A1694" t="s">
        <v>4949</v>
      </c>
      <c r="B1694" t="s">
        <v>2022</v>
      </c>
      <c r="C1694" t="s">
        <v>2036</v>
      </c>
      <c r="D1694" t="s">
        <v>2024</v>
      </c>
      <c r="E1694" t="s">
        <v>4950</v>
      </c>
      <c r="F1694" t="s">
        <v>4951</v>
      </c>
      <c r="G1694">
        <v>5</v>
      </c>
      <c r="H1694">
        <v>1940</v>
      </c>
      <c r="I1694">
        <v>5</v>
      </c>
      <c r="J1694">
        <v>7</v>
      </c>
      <c r="K1694">
        <v>5</v>
      </c>
      <c r="L1694">
        <v>0.17499999999999999</v>
      </c>
      <c r="M1694">
        <v>5</v>
      </c>
      <c r="N1694">
        <v>100</v>
      </c>
      <c r="O1694">
        <v>4</v>
      </c>
      <c r="P1694">
        <v>0.42499999999999999</v>
      </c>
      <c r="Q1694">
        <v>5</v>
      </c>
      <c r="R1694">
        <v>1.2E-2</v>
      </c>
      <c r="T1694" t="s">
        <v>4950</v>
      </c>
    </row>
    <row r="1695" spans="1:20" x14ac:dyDescent="0.2">
      <c r="A1695" t="s">
        <v>4952</v>
      </c>
      <c r="B1695" t="s">
        <v>2022</v>
      </c>
      <c r="C1695" t="s">
        <v>2053</v>
      </c>
      <c r="D1695" t="s">
        <v>2136</v>
      </c>
      <c r="E1695" t="s">
        <v>4953</v>
      </c>
      <c r="F1695" t="s">
        <v>4954</v>
      </c>
      <c r="G1695">
        <v>1</v>
      </c>
      <c r="H1695">
        <v>1500</v>
      </c>
      <c r="I1695">
        <v>2</v>
      </c>
      <c r="J1695">
        <v>4.05</v>
      </c>
      <c r="K1695">
        <v>2</v>
      </c>
      <c r="L1695">
        <v>8.5000000000000006E-2</v>
      </c>
      <c r="M1695">
        <v>1</v>
      </c>
      <c r="N1695">
        <v>73</v>
      </c>
      <c r="O1695">
        <v>1</v>
      </c>
      <c r="P1695">
        <v>7.4999999999999997E-2</v>
      </c>
      <c r="Q1695">
        <v>2</v>
      </c>
      <c r="R1695">
        <v>5.1999999999999998E-3</v>
      </c>
      <c r="T1695" t="s">
        <v>4953</v>
      </c>
    </row>
    <row r="1696" spans="1:20" x14ac:dyDescent="0.2">
      <c r="A1696" t="s">
        <v>4955</v>
      </c>
      <c r="B1696" t="s">
        <v>2022</v>
      </c>
      <c r="C1696" t="s">
        <v>2023</v>
      </c>
      <c r="D1696" t="s">
        <v>2024</v>
      </c>
      <c r="E1696" t="s">
        <v>4956</v>
      </c>
      <c r="F1696" t="s">
        <v>4957</v>
      </c>
      <c r="G1696">
        <v>1</v>
      </c>
      <c r="H1696">
        <v>1480</v>
      </c>
      <c r="I1696">
        <v>1</v>
      </c>
      <c r="J1696">
        <v>0.9</v>
      </c>
      <c r="K1696">
        <v>2</v>
      </c>
      <c r="L1696">
        <v>2.5999999999999999E-2</v>
      </c>
      <c r="M1696">
        <v>1</v>
      </c>
      <c r="N1696">
        <v>74</v>
      </c>
      <c r="O1696">
        <v>1</v>
      </c>
      <c r="P1696">
        <v>7.4999999999999997E-2</v>
      </c>
      <c r="Q1696">
        <v>1</v>
      </c>
      <c r="R1696">
        <v>5.0000000000000001E-4</v>
      </c>
      <c r="T1696" t="s">
        <v>4956</v>
      </c>
    </row>
    <row r="1697" spans="1:20" x14ac:dyDescent="0.2">
      <c r="A1697" t="s">
        <v>4958</v>
      </c>
      <c r="B1697" t="s">
        <v>2022</v>
      </c>
      <c r="C1697" t="s">
        <v>2222</v>
      </c>
      <c r="D1697" t="s">
        <v>2024</v>
      </c>
      <c r="E1697" t="s">
        <v>4959</v>
      </c>
      <c r="F1697" t="s">
        <v>4960</v>
      </c>
      <c r="G1697">
        <v>3</v>
      </c>
      <c r="H1697">
        <v>1650</v>
      </c>
      <c r="I1697">
        <v>3</v>
      </c>
      <c r="J1697">
        <v>5.5</v>
      </c>
      <c r="K1697">
        <v>2</v>
      </c>
      <c r="L1697">
        <v>5.5E-2</v>
      </c>
      <c r="M1697">
        <v>3</v>
      </c>
      <c r="N1697">
        <v>67</v>
      </c>
      <c r="O1697">
        <v>3</v>
      </c>
      <c r="P1697">
        <v>0.23</v>
      </c>
      <c r="Q1697">
        <v>2</v>
      </c>
      <c r="R1697">
        <v>2.3E-3</v>
      </c>
      <c r="T1697" t="s">
        <v>4959</v>
      </c>
    </row>
    <row r="1698" spans="1:20" x14ac:dyDescent="0.2">
      <c r="A1698" t="s">
        <v>4961</v>
      </c>
      <c r="B1698" t="s">
        <v>2022</v>
      </c>
      <c r="C1698" t="s">
        <v>2036</v>
      </c>
      <c r="D1698" t="s">
        <v>2024</v>
      </c>
      <c r="E1698" t="s">
        <v>4962</v>
      </c>
      <c r="F1698" t="s">
        <v>4963</v>
      </c>
      <c r="G1698">
        <v>2</v>
      </c>
      <c r="H1698">
        <v>1640</v>
      </c>
      <c r="I1698">
        <v>1</v>
      </c>
      <c r="J1698">
        <v>2.2000000000000002</v>
      </c>
      <c r="K1698">
        <v>1</v>
      </c>
      <c r="L1698">
        <v>5.5E-2</v>
      </c>
      <c r="M1698">
        <v>2</v>
      </c>
      <c r="N1698">
        <v>82</v>
      </c>
      <c r="O1698">
        <v>1</v>
      </c>
      <c r="P1698">
        <v>9.5000000000000001E-2</v>
      </c>
      <c r="Q1698">
        <v>1</v>
      </c>
      <c r="R1698">
        <v>1.5E-3</v>
      </c>
      <c r="T1698" t="s">
        <v>4962</v>
      </c>
    </row>
    <row r="1699" spans="1:20" x14ac:dyDescent="0.2">
      <c r="A1699" t="s">
        <v>4964</v>
      </c>
      <c r="B1699" t="s">
        <v>2022</v>
      </c>
      <c r="C1699" t="s">
        <v>2036</v>
      </c>
      <c r="D1699" t="s">
        <v>2024</v>
      </c>
      <c r="E1699" t="s">
        <v>4965</v>
      </c>
      <c r="F1699" t="s">
        <v>4966</v>
      </c>
      <c r="G1699">
        <v>5</v>
      </c>
      <c r="H1699">
        <v>1940</v>
      </c>
      <c r="I1699">
        <v>3</v>
      </c>
      <c r="J1699">
        <v>4.5999999999999996</v>
      </c>
      <c r="K1699">
        <v>2</v>
      </c>
      <c r="L1699">
        <v>8.5000000000000006E-2</v>
      </c>
      <c r="M1699">
        <v>2</v>
      </c>
      <c r="N1699">
        <v>82</v>
      </c>
      <c r="O1699">
        <v>2</v>
      </c>
      <c r="P1699">
        <v>0.20499999999999999</v>
      </c>
      <c r="Q1699">
        <v>2</v>
      </c>
      <c r="R1699">
        <v>4.2500000000000003E-3</v>
      </c>
      <c r="T1699" t="s">
        <v>4965</v>
      </c>
    </row>
    <row r="1700" spans="1:20" x14ac:dyDescent="0.2">
      <c r="A1700" t="s">
        <v>4967</v>
      </c>
      <c r="B1700" t="s">
        <v>2022</v>
      </c>
      <c r="C1700" t="s">
        <v>2023</v>
      </c>
      <c r="D1700" t="s">
        <v>2136</v>
      </c>
      <c r="E1700" t="s">
        <v>4968</v>
      </c>
      <c r="F1700" t="s">
        <v>4969</v>
      </c>
      <c r="G1700">
        <v>1</v>
      </c>
      <c r="H1700">
        <v>1480</v>
      </c>
      <c r="I1700">
        <v>1</v>
      </c>
      <c r="J1700">
        <v>0.9</v>
      </c>
      <c r="K1700">
        <v>2</v>
      </c>
      <c r="L1700">
        <v>2.5999999999999999E-2</v>
      </c>
      <c r="M1700">
        <v>4</v>
      </c>
      <c r="N1700">
        <v>104</v>
      </c>
      <c r="O1700">
        <v>1</v>
      </c>
      <c r="P1700">
        <v>7.4999999999999997E-2</v>
      </c>
      <c r="Q1700">
        <v>2</v>
      </c>
      <c r="R1700">
        <v>2E-3</v>
      </c>
      <c r="T1700" t="s">
        <v>4968</v>
      </c>
    </row>
    <row r="1701" spans="1:20" x14ac:dyDescent="0.2">
      <c r="A1701" t="s">
        <v>4970</v>
      </c>
      <c r="B1701" t="s">
        <v>2022</v>
      </c>
      <c r="C1701" t="s">
        <v>2023</v>
      </c>
      <c r="D1701" t="s">
        <v>2136</v>
      </c>
      <c r="E1701" t="s">
        <v>4971</v>
      </c>
      <c r="F1701" t="s">
        <v>4972</v>
      </c>
      <c r="G1701">
        <v>2</v>
      </c>
      <c r="H1701">
        <v>1560</v>
      </c>
      <c r="I1701">
        <v>3</v>
      </c>
      <c r="J1701">
        <v>5.9</v>
      </c>
      <c r="K1701">
        <v>5</v>
      </c>
      <c r="L1701">
        <v>8.5999999999999993E-2</v>
      </c>
      <c r="M1701">
        <v>3</v>
      </c>
      <c r="N1701">
        <v>94</v>
      </c>
      <c r="O1701">
        <v>3</v>
      </c>
      <c r="P1701">
        <v>0.375</v>
      </c>
      <c r="Q1701">
        <v>4</v>
      </c>
      <c r="R1701">
        <v>6.0000000000000001E-3</v>
      </c>
      <c r="T1701" t="s">
        <v>4971</v>
      </c>
    </row>
    <row r="1702" spans="1:20" x14ac:dyDescent="0.2">
      <c r="A1702" t="s">
        <v>4973</v>
      </c>
      <c r="B1702" t="s">
        <v>2022</v>
      </c>
      <c r="C1702" t="s">
        <v>2036</v>
      </c>
      <c r="D1702" t="s">
        <v>2024</v>
      </c>
      <c r="E1702" t="s">
        <v>4974</v>
      </c>
      <c r="F1702" t="s">
        <v>4975</v>
      </c>
      <c r="G1702">
        <v>4</v>
      </c>
      <c r="H1702">
        <v>1840</v>
      </c>
      <c r="I1702">
        <v>5</v>
      </c>
      <c r="J1702">
        <v>7</v>
      </c>
      <c r="K1702">
        <v>5</v>
      </c>
      <c r="L1702">
        <v>0.17499999999999999</v>
      </c>
      <c r="M1702">
        <v>3</v>
      </c>
      <c r="N1702">
        <v>88</v>
      </c>
      <c r="O1702">
        <v>3</v>
      </c>
      <c r="P1702">
        <v>0.315</v>
      </c>
      <c r="Q1702">
        <v>4</v>
      </c>
      <c r="R1702">
        <v>9.2499999999999995E-3</v>
      </c>
      <c r="T1702" t="s">
        <v>4974</v>
      </c>
    </row>
    <row r="1703" spans="1:20" x14ac:dyDescent="0.2">
      <c r="A1703" t="s">
        <v>4976</v>
      </c>
      <c r="B1703" t="s">
        <v>2022</v>
      </c>
      <c r="C1703" t="s">
        <v>2023</v>
      </c>
      <c r="D1703" t="s">
        <v>2024</v>
      </c>
      <c r="E1703" t="s">
        <v>4977</v>
      </c>
      <c r="F1703" t="s">
        <v>4978</v>
      </c>
      <c r="G1703">
        <v>5</v>
      </c>
      <c r="H1703">
        <v>1800</v>
      </c>
      <c r="I1703">
        <v>5</v>
      </c>
      <c r="J1703">
        <v>10.9</v>
      </c>
      <c r="K1703">
        <v>5</v>
      </c>
      <c r="L1703">
        <v>8.5999999999999993E-2</v>
      </c>
      <c r="M1703">
        <v>5</v>
      </c>
      <c r="N1703">
        <v>114</v>
      </c>
      <c r="O1703">
        <v>5</v>
      </c>
      <c r="P1703">
        <v>0.67500000000000004</v>
      </c>
      <c r="Q1703">
        <v>5</v>
      </c>
      <c r="R1703">
        <v>8.0000000000000002E-3</v>
      </c>
      <c r="T1703" t="s">
        <v>4977</v>
      </c>
    </row>
    <row r="1704" spans="1:20" x14ac:dyDescent="0.2">
      <c r="A1704" t="s">
        <v>4979</v>
      </c>
      <c r="B1704" t="s">
        <v>2022</v>
      </c>
      <c r="C1704" t="s">
        <v>2036</v>
      </c>
      <c r="D1704" t="s">
        <v>2024</v>
      </c>
      <c r="E1704" t="s">
        <v>4980</v>
      </c>
      <c r="F1704" t="s">
        <v>4981</v>
      </c>
      <c r="G1704">
        <v>2</v>
      </c>
      <c r="H1704">
        <v>1640</v>
      </c>
      <c r="I1704">
        <v>3</v>
      </c>
      <c r="J1704">
        <v>4.5999999999999996</v>
      </c>
      <c r="K1704">
        <v>1</v>
      </c>
      <c r="L1704">
        <v>5.5E-2</v>
      </c>
      <c r="M1704">
        <v>2</v>
      </c>
      <c r="N1704">
        <v>82</v>
      </c>
      <c r="O1704">
        <v>2</v>
      </c>
      <c r="P1704">
        <v>0.20499999999999999</v>
      </c>
      <c r="Q1704">
        <v>2</v>
      </c>
      <c r="R1704">
        <v>4.2500000000000003E-3</v>
      </c>
      <c r="T1704" t="s">
        <v>4980</v>
      </c>
    </row>
    <row r="1705" spans="1:20" x14ac:dyDescent="0.2">
      <c r="A1705" t="s">
        <v>4982</v>
      </c>
      <c r="B1705" t="s">
        <v>2022</v>
      </c>
      <c r="C1705" t="s">
        <v>2036</v>
      </c>
      <c r="D1705" t="s">
        <v>2024</v>
      </c>
      <c r="E1705" t="s">
        <v>4983</v>
      </c>
      <c r="F1705" t="s">
        <v>4984</v>
      </c>
      <c r="G1705">
        <v>2</v>
      </c>
      <c r="H1705">
        <v>1640</v>
      </c>
      <c r="I1705">
        <v>5</v>
      </c>
      <c r="J1705">
        <v>7</v>
      </c>
      <c r="K1705">
        <v>5</v>
      </c>
      <c r="L1705">
        <v>0.17499999999999999</v>
      </c>
      <c r="M1705">
        <v>4</v>
      </c>
      <c r="N1705">
        <v>94</v>
      </c>
      <c r="O1705">
        <v>5</v>
      </c>
      <c r="P1705">
        <v>0.53500000000000003</v>
      </c>
      <c r="Q1705">
        <v>5</v>
      </c>
      <c r="R1705">
        <v>1.2E-2</v>
      </c>
      <c r="T1705" t="s">
        <v>4983</v>
      </c>
    </row>
    <row r="1706" spans="1:20" x14ac:dyDescent="0.2">
      <c r="A1706" t="s">
        <v>4985</v>
      </c>
      <c r="B1706" t="s">
        <v>2022</v>
      </c>
      <c r="C1706" t="s">
        <v>2101</v>
      </c>
      <c r="D1706" t="s">
        <v>2024</v>
      </c>
      <c r="E1706" t="s">
        <v>4986</v>
      </c>
      <c r="F1706" t="s">
        <v>4987</v>
      </c>
      <c r="G1706">
        <v>1</v>
      </c>
      <c r="H1706">
        <v>1570</v>
      </c>
      <c r="I1706">
        <v>1</v>
      </c>
      <c r="J1706">
        <v>2</v>
      </c>
      <c r="K1706">
        <v>1</v>
      </c>
      <c r="L1706">
        <v>1.15E-2</v>
      </c>
      <c r="M1706">
        <v>1</v>
      </c>
      <c r="N1706">
        <v>66</v>
      </c>
      <c r="O1706">
        <v>1</v>
      </c>
      <c r="P1706">
        <v>7.4999999999999997E-2</v>
      </c>
      <c r="Q1706">
        <v>1</v>
      </c>
      <c r="R1706">
        <v>5.0000000000000001E-4</v>
      </c>
      <c r="T1706" t="s">
        <v>4986</v>
      </c>
    </row>
    <row r="1707" spans="1:20" x14ac:dyDescent="0.2">
      <c r="A1707" t="s">
        <v>4988</v>
      </c>
      <c r="B1707" t="s">
        <v>2022</v>
      </c>
      <c r="C1707" t="s">
        <v>2036</v>
      </c>
      <c r="D1707" t="s">
        <v>2024</v>
      </c>
      <c r="E1707" t="s">
        <v>4986</v>
      </c>
      <c r="F1707" t="s">
        <v>4987</v>
      </c>
      <c r="G1707">
        <v>1</v>
      </c>
      <c r="H1707">
        <v>1540</v>
      </c>
      <c r="I1707">
        <v>1</v>
      </c>
      <c r="J1707">
        <v>2.2000000000000002</v>
      </c>
      <c r="K1707">
        <v>1</v>
      </c>
      <c r="L1707">
        <v>5.5E-2</v>
      </c>
      <c r="M1707">
        <v>1</v>
      </c>
      <c r="N1707">
        <v>76</v>
      </c>
      <c r="O1707">
        <v>1</v>
      </c>
      <c r="P1707">
        <v>9.5000000000000001E-2</v>
      </c>
      <c r="Q1707">
        <v>1</v>
      </c>
      <c r="R1707">
        <v>1.5E-3</v>
      </c>
      <c r="T1707" t="s">
        <v>4986</v>
      </c>
    </row>
    <row r="1708" spans="1:20" x14ac:dyDescent="0.2">
      <c r="A1708" t="s">
        <v>4989</v>
      </c>
      <c r="B1708" t="s">
        <v>2022</v>
      </c>
      <c r="C1708" t="s">
        <v>2023</v>
      </c>
      <c r="D1708" t="s">
        <v>2024</v>
      </c>
      <c r="E1708" t="s">
        <v>4986</v>
      </c>
      <c r="F1708" t="s">
        <v>4987</v>
      </c>
      <c r="G1708">
        <v>1</v>
      </c>
      <c r="H1708">
        <v>1480</v>
      </c>
      <c r="I1708">
        <v>1</v>
      </c>
      <c r="J1708">
        <v>0.9</v>
      </c>
      <c r="K1708">
        <v>1</v>
      </c>
      <c r="L1708">
        <v>6.0000000000000001E-3</v>
      </c>
      <c r="M1708">
        <v>1</v>
      </c>
      <c r="N1708">
        <v>74</v>
      </c>
      <c r="O1708">
        <v>1</v>
      </c>
      <c r="P1708">
        <v>7.4999999999999997E-2</v>
      </c>
      <c r="Q1708">
        <v>1</v>
      </c>
      <c r="R1708">
        <v>5.0000000000000001E-4</v>
      </c>
      <c r="T1708" t="s">
        <v>4986</v>
      </c>
    </row>
    <row r="1709" spans="1:20" x14ac:dyDescent="0.2">
      <c r="A1709" t="s">
        <v>4990</v>
      </c>
      <c r="B1709" t="s">
        <v>2022</v>
      </c>
      <c r="C1709" t="s">
        <v>2036</v>
      </c>
      <c r="D1709" t="s">
        <v>2024</v>
      </c>
      <c r="E1709" t="s">
        <v>4991</v>
      </c>
      <c r="F1709" t="s">
        <v>4992</v>
      </c>
      <c r="G1709">
        <v>3</v>
      </c>
      <c r="H1709">
        <v>1740</v>
      </c>
      <c r="I1709">
        <v>2</v>
      </c>
      <c r="J1709">
        <v>3.4</v>
      </c>
      <c r="K1709">
        <v>1</v>
      </c>
      <c r="L1709">
        <v>5.5E-2</v>
      </c>
      <c r="M1709">
        <v>5</v>
      </c>
      <c r="N1709">
        <v>100</v>
      </c>
      <c r="O1709">
        <v>2</v>
      </c>
      <c r="P1709">
        <v>0.20499999999999999</v>
      </c>
      <c r="Q1709">
        <v>1</v>
      </c>
      <c r="R1709">
        <v>1.5E-3</v>
      </c>
      <c r="T1709" t="s">
        <v>4991</v>
      </c>
    </row>
    <row r="1710" spans="1:20" x14ac:dyDescent="0.2">
      <c r="A1710" t="s">
        <v>4993</v>
      </c>
      <c r="B1710" t="s">
        <v>2022</v>
      </c>
      <c r="C1710" t="s">
        <v>2036</v>
      </c>
      <c r="D1710" t="s">
        <v>2024</v>
      </c>
      <c r="E1710" t="s">
        <v>4994</v>
      </c>
      <c r="F1710" t="s">
        <v>4995</v>
      </c>
      <c r="G1710">
        <v>4</v>
      </c>
      <c r="H1710">
        <v>1840</v>
      </c>
      <c r="I1710">
        <v>5</v>
      </c>
      <c r="J1710">
        <v>7</v>
      </c>
      <c r="K1710">
        <v>5</v>
      </c>
      <c r="L1710">
        <v>0.17499999999999999</v>
      </c>
      <c r="M1710">
        <v>2</v>
      </c>
      <c r="N1710">
        <v>82</v>
      </c>
      <c r="O1710">
        <v>5</v>
      </c>
      <c r="P1710">
        <v>0.53500000000000003</v>
      </c>
      <c r="Q1710">
        <v>5</v>
      </c>
      <c r="R1710">
        <v>1.2E-2</v>
      </c>
      <c r="T1710" t="s">
        <v>4994</v>
      </c>
    </row>
    <row r="1711" spans="1:20" x14ac:dyDescent="0.2">
      <c r="A1711" t="s">
        <v>4996</v>
      </c>
      <c r="B1711" t="s">
        <v>2022</v>
      </c>
      <c r="C1711" t="s">
        <v>2036</v>
      </c>
      <c r="D1711" t="s">
        <v>2024</v>
      </c>
      <c r="E1711" t="s">
        <v>4997</v>
      </c>
      <c r="F1711" t="s">
        <v>4998</v>
      </c>
      <c r="G1711">
        <v>1</v>
      </c>
      <c r="H1711">
        <v>1540</v>
      </c>
      <c r="I1711">
        <v>4</v>
      </c>
      <c r="J1711">
        <v>5.8</v>
      </c>
      <c r="K1711">
        <v>4</v>
      </c>
      <c r="L1711">
        <v>0.14499999999999999</v>
      </c>
      <c r="M1711">
        <v>1</v>
      </c>
      <c r="N1711">
        <v>76</v>
      </c>
      <c r="O1711">
        <v>3</v>
      </c>
      <c r="P1711">
        <v>0.315</v>
      </c>
      <c r="Q1711">
        <v>3</v>
      </c>
      <c r="R1711">
        <v>6.7499999999999999E-3</v>
      </c>
      <c r="T1711" t="s">
        <v>4997</v>
      </c>
    </row>
    <row r="1712" spans="1:20" x14ac:dyDescent="0.2">
      <c r="A1712" t="s">
        <v>4999</v>
      </c>
      <c r="B1712" t="s">
        <v>2022</v>
      </c>
      <c r="C1712" t="s">
        <v>2023</v>
      </c>
      <c r="D1712" t="s">
        <v>2024</v>
      </c>
      <c r="E1712" t="s">
        <v>5000</v>
      </c>
      <c r="F1712" t="s">
        <v>5001</v>
      </c>
      <c r="G1712">
        <v>2</v>
      </c>
      <c r="H1712">
        <v>1560</v>
      </c>
      <c r="I1712">
        <v>5</v>
      </c>
      <c r="J1712">
        <v>10.9</v>
      </c>
      <c r="K1712">
        <v>3</v>
      </c>
      <c r="L1712">
        <v>4.5999999999999999E-2</v>
      </c>
      <c r="M1712">
        <v>2</v>
      </c>
      <c r="N1712">
        <v>84</v>
      </c>
      <c r="O1712">
        <v>5</v>
      </c>
      <c r="P1712">
        <v>0.67500000000000004</v>
      </c>
      <c r="Q1712">
        <v>2</v>
      </c>
      <c r="R1712">
        <v>2E-3</v>
      </c>
      <c r="T1712" t="s">
        <v>5000</v>
      </c>
    </row>
    <row r="1713" spans="1:20" x14ac:dyDescent="0.2">
      <c r="A1713" t="s">
        <v>5002</v>
      </c>
      <c r="B1713" t="s">
        <v>2022</v>
      </c>
      <c r="C1713" t="s">
        <v>2023</v>
      </c>
      <c r="D1713" t="s">
        <v>2024</v>
      </c>
      <c r="E1713" t="s">
        <v>5003</v>
      </c>
      <c r="F1713" t="s">
        <v>5004</v>
      </c>
      <c r="G1713">
        <v>5</v>
      </c>
      <c r="H1713">
        <v>1800</v>
      </c>
      <c r="I1713">
        <v>5</v>
      </c>
      <c r="J1713">
        <v>10.9</v>
      </c>
      <c r="K1713">
        <v>5</v>
      </c>
      <c r="L1713">
        <v>8.5999999999999993E-2</v>
      </c>
      <c r="M1713">
        <v>3</v>
      </c>
      <c r="N1713">
        <v>94</v>
      </c>
      <c r="O1713">
        <v>4</v>
      </c>
      <c r="P1713">
        <v>0.52500000000000002</v>
      </c>
      <c r="Q1713">
        <v>5</v>
      </c>
      <c r="R1713">
        <v>8.0000000000000002E-3</v>
      </c>
      <c r="T1713" t="s">
        <v>5003</v>
      </c>
    </row>
    <row r="1714" spans="1:20" x14ac:dyDescent="0.2">
      <c r="A1714" t="s">
        <v>5005</v>
      </c>
      <c r="B1714" t="s">
        <v>2022</v>
      </c>
      <c r="C1714" t="s">
        <v>2023</v>
      </c>
      <c r="D1714" t="s">
        <v>2024</v>
      </c>
      <c r="E1714" t="s">
        <v>5006</v>
      </c>
      <c r="F1714" t="s">
        <v>447</v>
      </c>
      <c r="G1714">
        <v>1</v>
      </c>
      <c r="H1714">
        <v>1480</v>
      </c>
      <c r="I1714">
        <v>3</v>
      </c>
      <c r="J1714">
        <v>5.9</v>
      </c>
      <c r="K1714">
        <v>2</v>
      </c>
      <c r="L1714">
        <v>2.5999999999999999E-2</v>
      </c>
      <c r="M1714">
        <v>2</v>
      </c>
      <c r="N1714">
        <v>84</v>
      </c>
      <c r="O1714">
        <v>3</v>
      </c>
      <c r="P1714">
        <v>0.375</v>
      </c>
      <c r="Q1714">
        <v>2</v>
      </c>
      <c r="R1714">
        <v>2E-3</v>
      </c>
      <c r="T1714" t="s">
        <v>5006</v>
      </c>
    </row>
    <row r="1715" spans="1:20" x14ac:dyDescent="0.2">
      <c r="A1715" t="s">
        <v>5007</v>
      </c>
      <c r="B1715" t="s">
        <v>2022</v>
      </c>
      <c r="C1715" t="s">
        <v>2101</v>
      </c>
      <c r="D1715" t="s">
        <v>2024</v>
      </c>
      <c r="E1715" t="s">
        <v>5008</v>
      </c>
      <c r="F1715" t="s">
        <v>5009</v>
      </c>
      <c r="G1715">
        <v>2</v>
      </c>
      <c r="H1715">
        <v>1670</v>
      </c>
      <c r="I1715">
        <v>2</v>
      </c>
      <c r="J1715">
        <v>5</v>
      </c>
      <c r="K1715">
        <v>2</v>
      </c>
      <c r="L1715">
        <v>9.6500000000000002E-2</v>
      </c>
      <c r="M1715">
        <v>1</v>
      </c>
      <c r="N1715">
        <v>66</v>
      </c>
      <c r="O1715">
        <v>2</v>
      </c>
      <c r="P1715">
        <v>0.22500000000000001</v>
      </c>
      <c r="Q1715">
        <v>2</v>
      </c>
      <c r="R1715">
        <v>4.4999999999999997E-3</v>
      </c>
      <c r="T1715" t="s">
        <v>5008</v>
      </c>
    </row>
    <row r="1716" spans="1:20" x14ac:dyDescent="0.2">
      <c r="A1716" t="s">
        <v>5010</v>
      </c>
      <c r="B1716" t="s">
        <v>2022</v>
      </c>
      <c r="C1716" t="s">
        <v>2173</v>
      </c>
      <c r="D1716" t="s">
        <v>2024</v>
      </c>
      <c r="E1716" t="s">
        <v>5011</v>
      </c>
      <c r="F1716" t="s">
        <v>5012</v>
      </c>
      <c r="G1716">
        <v>3</v>
      </c>
      <c r="H1716">
        <v>2032.5</v>
      </c>
      <c r="I1716">
        <v>2</v>
      </c>
      <c r="J1716">
        <v>6.35</v>
      </c>
      <c r="K1716">
        <v>3</v>
      </c>
      <c r="L1716">
        <v>0.21</v>
      </c>
      <c r="M1716">
        <v>2</v>
      </c>
      <c r="N1716">
        <v>107.5</v>
      </c>
      <c r="O1716">
        <v>2</v>
      </c>
      <c r="P1716">
        <v>0.33</v>
      </c>
      <c r="Q1716">
        <v>3</v>
      </c>
      <c r="R1716">
        <v>1.18E-2</v>
      </c>
      <c r="T1716" t="s">
        <v>5011</v>
      </c>
    </row>
    <row r="1717" spans="1:20" x14ac:dyDescent="0.2">
      <c r="A1717" t="s">
        <v>5013</v>
      </c>
      <c r="B1717" t="s">
        <v>2022</v>
      </c>
      <c r="C1717" t="s">
        <v>2036</v>
      </c>
      <c r="D1717" t="s">
        <v>2024</v>
      </c>
      <c r="E1717" t="s">
        <v>5014</v>
      </c>
      <c r="F1717" t="s">
        <v>5015</v>
      </c>
      <c r="G1717">
        <v>1</v>
      </c>
      <c r="H1717">
        <v>1540</v>
      </c>
      <c r="I1717">
        <v>2</v>
      </c>
      <c r="J1717">
        <v>3.4</v>
      </c>
      <c r="K1717">
        <v>1</v>
      </c>
      <c r="L1717">
        <v>5.5E-2</v>
      </c>
      <c r="M1717">
        <v>2</v>
      </c>
      <c r="N1717">
        <v>82</v>
      </c>
      <c r="O1717">
        <v>2</v>
      </c>
      <c r="P1717">
        <v>0.20499999999999999</v>
      </c>
      <c r="Q1717">
        <v>2</v>
      </c>
      <c r="R1717">
        <v>4.2500000000000003E-3</v>
      </c>
      <c r="T1717" t="s">
        <v>5014</v>
      </c>
    </row>
    <row r="1718" spans="1:20" x14ac:dyDescent="0.2">
      <c r="A1718" t="s">
        <v>5016</v>
      </c>
      <c r="B1718" t="s">
        <v>2022</v>
      </c>
      <c r="C1718" t="s">
        <v>2053</v>
      </c>
      <c r="D1718" t="s">
        <v>2024</v>
      </c>
      <c r="E1718" t="s">
        <v>5017</v>
      </c>
      <c r="F1718" t="s">
        <v>5018</v>
      </c>
      <c r="G1718">
        <v>5</v>
      </c>
      <c r="H1718">
        <v>1900</v>
      </c>
      <c r="I1718">
        <v>5</v>
      </c>
      <c r="J1718">
        <v>11.55</v>
      </c>
      <c r="K1718">
        <v>4</v>
      </c>
      <c r="L1718">
        <v>0.30499999999999999</v>
      </c>
      <c r="M1718">
        <v>2</v>
      </c>
      <c r="N1718">
        <v>83</v>
      </c>
      <c r="O1718">
        <v>4</v>
      </c>
      <c r="P1718">
        <v>0.52500000000000002</v>
      </c>
      <c r="Q1718">
        <v>3</v>
      </c>
      <c r="R1718">
        <v>1.2200000000000001E-2</v>
      </c>
      <c r="T1718" t="s">
        <v>5017</v>
      </c>
    </row>
    <row r="1719" spans="1:20" x14ac:dyDescent="0.2">
      <c r="A1719" t="s">
        <v>5019</v>
      </c>
      <c r="B1719" t="s">
        <v>2022</v>
      </c>
      <c r="C1719" t="s">
        <v>2036</v>
      </c>
      <c r="D1719" t="s">
        <v>2024</v>
      </c>
      <c r="E1719" t="s">
        <v>5020</v>
      </c>
      <c r="F1719" t="s">
        <v>5021</v>
      </c>
      <c r="G1719">
        <v>1</v>
      </c>
      <c r="H1719">
        <v>1540</v>
      </c>
      <c r="I1719">
        <v>1</v>
      </c>
      <c r="J1719">
        <v>2.2000000000000002</v>
      </c>
      <c r="K1719">
        <v>1</v>
      </c>
      <c r="L1719">
        <v>5.5E-2</v>
      </c>
      <c r="M1719">
        <v>1</v>
      </c>
      <c r="N1719">
        <v>76</v>
      </c>
      <c r="O1719">
        <v>1</v>
      </c>
      <c r="P1719">
        <v>9.5000000000000001E-2</v>
      </c>
      <c r="Q1719">
        <v>2</v>
      </c>
      <c r="R1719">
        <v>4.2500000000000003E-3</v>
      </c>
      <c r="T1719" t="s">
        <v>5020</v>
      </c>
    </row>
    <row r="1720" spans="1:20" x14ac:dyDescent="0.2">
      <c r="A1720" t="s">
        <v>5022</v>
      </c>
      <c r="B1720" t="s">
        <v>2022</v>
      </c>
      <c r="C1720" t="s">
        <v>2023</v>
      </c>
      <c r="D1720" t="s">
        <v>2024</v>
      </c>
      <c r="E1720" t="s">
        <v>5023</v>
      </c>
      <c r="F1720" t="s">
        <v>5024</v>
      </c>
      <c r="G1720">
        <v>2</v>
      </c>
      <c r="H1720">
        <v>1560</v>
      </c>
      <c r="I1720">
        <v>2</v>
      </c>
      <c r="J1720">
        <v>3.4</v>
      </c>
      <c r="K1720">
        <v>3</v>
      </c>
      <c r="L1720">
        <v>4.5999999999999999E-2</v>
      </c>
      <c r="M1720">
        <v>1</v>
      </c>
      <c r="N1720">
        <v>74</v>
      </c>
      <c r="O1720">
        <v>1</v>
      </c>
      <c r="P1720">
        <v>7.4999999999999997E-2</v>
      </c>
      <c r="Q1720">
        <v>2</v>
      </c>
      <c r="R1720">
        <v>2E-3</v>
      </c>
      <c r="T1720" t="s">
        <v>5023</v>
      </c>
    </row>
    <row r="1721" spans="1:20" x14ac:dyDescent="0.2">
      <c r="A1721" t="s">
        <v>5025</v>
      </c>
      <c r="B1721" t="s">
        <v>2022</v>
      </c>
      <c r="C1721" t="s">
        <v>2036</v>
      </c>
      <c r="D1721" t="s">
        <v>2024</v>
      </c>
      <c r="E1721" t="s">
        <v>5026</v>
      </c>
      <c r="F1721" t="s">
        <v>5027</v>
      </c>
      <c r="G1721">
        <v>2</v>
      </c>
      <c r="H1721">
        <v>1640</v>
      </c>
      <c r="I1721">
        <v>1</v>
      </c>
      <c r="J1721">
        <v>2.2000000000000002</v>
      </c>
      <c r="K1721">
        <v>2</v>
      </c>
      <c r="L1721">
        <v>8.5000000000000006E-2</v>
      </c>
      <c r="M1721">
        <v>2</v>
      </c>
      <c r="N1721">
        <v>82</v>
      </c>
      <c r="O1721">
        <v>1</v>
      </c>
      <c r="P1721">
        <v>9.5000000000000001E-2</v>
      </c>
      <c r="Q1721">
        <v>2</v>
      </c>
      <c r="R1721">
        <v>4.2500000000000003E-3</v>
      </c>
      <c r="T1721" t="s">
        <v>5026</v>
      </c>
    </row>
    <row r="1722" spans="1:20" x14ac:dyDescent="0.2">
      <c r="A1722" t="s">
        <v>5028</v>
      </c>
      <c r="B1722" t="s">
        <v>2022</v>
      </c>
      <c r="C1722" t="s">
        <v>2053</v>
      </c>
      <c r="D1722" t="s">
        <v>2024</v>
      </c>
      <c r="E1722" t="s">
        <v>5029</v>
      </c>
      <c r="F1722" t="s">
        <v>5030</v>
      </c>
      <c r="G1722">
        <v>4</v>
      </c>
      <c r="H1722">
        <v>1800</v>
      </c>
      <c r="I1722">
        <v>5</v>
      </c>
      <c r="J1722">
        <v>11.55</v>
      </c>
      <c r="K1722">
        <v>5</v>
      </c>
      <c r="L1722">
        <v>0.41499999999999998</v>
      </c>
      <c r="M1722">
        <v>3</v>
      </c>
      <c r="N1722">
        <v>93</v>
      </c>
      <c r="O1722">
        <v>5</v>
      </c>
      <c r="P1722">
        <v>0.67500000000000004</v>
      </c>
      <c r="Q1722">
        <v>5</v>
      </c>
      <c r="R1722">
        <v>2.6200000000000001E-2</v>
      </c>
      <c r="T1722" t="s">
        <v>5029</v>
      </c>
    </row>
    <row r="1723" spans="1:20" x14ac:dyDescent="0.2">
      <c r="A1723" t="s">
        <v>5031</v>
      </c>
      <c r="B1723" t="s">
        <v>2022</v>
      </c>
      <c r="C1723" t="s">
        <v>2023</v>
      </c>
      <c r="D1723" t="s">
        <v>2024</v>
      </c>
      <c r="E1723" t="s">
        <v>5032</v>
      </c>
      <c r="F1723" t="s">
        <v>5033</v>
      </c>
      <c r="G1723">
        <v>3</v>
      </c>
      <c r="H1723">
        <v>1640</v>
      </c>
      <c r="I1723">
        <v>1</v>
      </c>
      <c r="J1723">
        <v>0.9</v>
      </c>
      <c r="K1723">
        <v>1</v>
      </c>
      <c r="L1723">
        <v>6.0000000000000001E-3</v>
      </c>
      <c r="M1723">
        <v>1</v>
      </c>
      <c r="N1723">
        <v>74</v>
      </c>
      <c r="O1723">
        <v>1</v>
      </c>
      <c r="P1723">
        <v>7.4999999999999997E-2</v>
      </c>
      <c r="Q1723">
        <v>1</v>
      </c>
      <c r="R1723">
        <v>5.0000000000000001E-4</v>
      </c>
      <c r="T1723" t="s">
        <v>5032</v>
      </c>
    </row>
    <row r="1724" spans="1:20" x14ac:dyDescent="0.2">
      <c r="A1724" t="s">
        <v>5034</v>
      </c>
      <c r="B1724" t="s">
        <v>2022</v>
      </c>
      <c r="C1724" t="s">
        <v>2053</v>
      </c>
      <c r="D1724" t="s">
        <v>2136</v>
      </c>
      <c r="E1724" t="s">
        <v>357</v>
      </c>
      <c r="F1724" t="s">
        <v>5035</v>
      </c>
      <c r="G1724">
        <v>1</v>
      </c>
      <c r="H1724">
        <v>1500</v>
      </c>
      <c r="I1724">
        <v>3</v>
      </c>
      <c r="J1724">
        <v>6.55</v>
      </c>
      <c r="K1724">
        <v>4</v>
      </c>
      <c r="L1724">
        <v>0.30499999999999999</v>
      </c>
      <c r="M1724">
        <v>5</v>
      </c>
      <c r="N1724">
        <v>113</v>
      </c>
      <c r="O1724">
        <v>4</v>
      </c>
      <c r="P1724">
        <v>0.52500000000000002</v>
      </c>
      <c r="Q1724">
        <v>5</v>
      </c>
      <c r="R1724">
        <v>2.6200000000000001E-2</v>
      </c>
      <c r="T1724" t="s">
        <v>357</v>
      </c>
    </row>
    <row r="1725" spans="1:20" x14ac:dyDescent="0.2">
      <c r="A1725" t="s">
        <v>5036</v>
      </c>
      <c r="B1725" t="s">
        <v>2022</v>
      </c>
      <c r="C1725" t="s">
        <v>2053</v>
      </c>
      <c r="D1725" t="s">
        <v>2136</v>
      </c>
      <c r="E1725" t="s">
        <v>1050</v>
      </c>
      <c r="F1725" t="s">
        <v>1051</v>
      </c>
      <c r="G1725">
        <v>1</v>
      </c>
      <c r="H1725">
        <v>1500</v>
      </c>
      <c r="I1725">
        <v>2</v>
      </c>
      <c r="J1725">
        <v>4.05</v>
      </c>
      <c r="K1725">
        <v>2</v>
      </c>
      <c r="L1725">
        <v>8.5000000000000006E-2</v>
      </c>
      <c r="M1725">
        <v>5</v>
      </c>
      <c r="N1725">
        <v>113</v>
      </c>
      <c r="O1725">
        <v>3</v>
      </c>
      <c r="P1725">
        <v>0.375</v>
      </c>
      <c r="Q1725">
        <v>3</v>
      </c>
      <c r="R1725">
        <v>1.2200000000000001E-2</v>
      </c>
      <c r="T1725" t="s">
        <v>1050</v>
      </c>
    </row>
    <row r="1726" spans="1:20" x14ac:dyDescent="0.2">
      <c r="A1726" t="s">
        <v>5037</v>
      </c>
      <c r="B1726" t="s">
        <v>2022</v>
      </c>
      <c r="C1726" t="s">
        <v>2053</v>
      </c>
      <c r="D1726" t="s">
        <v>2024</v>
      </c>
      <c r="E1726" t="s">
        <v>357</v>
      </c>
      <c r="F1726" t="s">
        <v>5038</v>
      </c>
      <c r="G1726">
        <v>4</v>
      </c>
      <c r="H1726">
        <v>1800</v>
      </c>
      <c r="I1726">
        <v>5</v>
      </c>
      <c r="J1726">
        <v>11.55</v>
      </c>
      <c r="K1726">
        <v>5</v>
      </c>
      <c r="L1726">
        <v>0.41499999999999998</v>
      </c>
      <c r="M1726">
        <v>5</v>
      </c>
      <c r="N1726">
        <v>113</v>
      </c>
      <c r="O1726">
        <v>5</v>
      </c>
      <c r="P1726">
        <v>0.67500000000000004</v>
      </c>
      <c r="Q1726">
        <v>5</v>
      </c>
      <c r="R1726">
        <v>2.6200000000000001E-2</v>
      </c>
      <c r="T1726" t="s">
        <v>357</v>
      </c>
    </row>
    <row r="1727" spans="1:20" x14ac:dyDescent="0.2">
      <c r="A1727" t="s">
        <v>5039</v>
      </c>
      <c r="B1727" t="s">
        <v>2022</v>
      </c>
      <c r="C1727" t="s">
        <v>2036</v>
      </c>
      <c r="D1727" t="s">
        <v>2024</v>
      </c>
      <c r="E1727" t="s">
        <v>5040</v>
      </c>
      <c r="F1727" t="s">
        <v>5041</v>
      </c>
      <c r="G1727">
        <v>4</v>
      </c>
      <c r="H1727">
        <v>1840</v>
      </c>
      <c r="I1727">
        <v>5</v>
      </c>
      <c r="J1727">
        <v>7</v>
      </c>
      <c r="K1727">
        <v>5</v>
      </c>
      <c r="L1727">
        <v>0.17499999999999999</v>
      </c>
      <c r="M1727">
        <v>3</v>
      </c>
      <c r="N1727">
        <v>88</v>
      </c>
      <c r="O1727">
        <v>4</v>
      </c>
      <c r="P1727">
        <v>0.42499999999999999</v>
      </c>
      <c r="Q1727">
        <v>5</v>
      </c>
      <c r="R1727">
        <v>1.2E-2</v>
      </c>
      <c r="T1727" t="s">
        <v>5040</v>
      </c>
    </row>
    <row r="1728" spans="1:20" x14ac:dyDescent="0.2">
      <c r="A1728" t="s">
        <v>5042</v>
      </c>
      <c r="B1728" t="s">
        <v>2022</v>
      </c>
      <c r="C1728" t="s">
        <v>2257</v>
      </c>
      <c r="D1728" t="s">
        <v>2024</v>
      </c>
      <c r="E1728" t="s">
        <v>5043</v>
      </c>
      <c r="F1728" t="s">
        <v>5044</v>
      </c>
      <c r="G1728">
        <v>2</v>
      </c>
      <c r="H1728">
        <v>1000</v>
      </c>
      <c r="I1728">
        <v>5</v>
      </c>
      <c r="J1728">
        <v>5.65</v>
      </c>
      <c r="K1728">
        <v>5</v>
      </c>
      <c r="L1728">
        <v>0.187</v>
      </c>
      <c r="M1728">
        <v>2</v>
      </c>
      <c r="N1728">
        <v>500</v>
      </c>
      <c r="O1728">
        <v>5</v>
      </c>
      <c r="P1728">
        <v>2.7</v>
      </c>
      <c r="Q1728">
        <v>5</v>
      </c>
      <c r="R1728">
        <v>8.1000000000000003E-2</v>
      </c>
      <c r="T1728" t="s">
        <v>5043</v>
      </c>
    </row>
    <row r="1729" spans="1:20" x14ac:dyDescent="0.2">
      <c r="A1729" t="s">
        <v>5045</v>
      </c>
      <c r="B1729" t="s">
        <v>2022</v>
      </c>
      <c r="C1729" t="s">
        <v>2023</v>
      </c>
      <c r="D1729" t="s">
        <v>2024</v>
      </c>
      <c r="E1729" t="s">
        <v>5046</v>
      </c>
      <c r="F1729" t="s">
        <v>5047</v>
      </c>
      <c r="G1729">
        <v>2</v>
      </c>
      <c r="H1729">
        <v>1560</v>
      </c>
      <c r="I1729">
        <v>5</v>
      </c>
      <c r="J1729">
        <v>10.9</v>
      </c>
      <c r="K1729">
        <v>5</v>
      </c>
      <c r="L1729">
        <v>8.5999999999999993E-2</v>
      </c>
      <c r="M1729">
        <v>2</v>
      </c>
      <c r="N1729">
        <v>84</v>
      </c>
      <c r="O1729">
        <v>5</v>
      </c>
      <c r="P1729">
        <v>0.67500000000000004</v>
      </c>
      <c r="Q1729">
        <v>5</v>
      </c>
      <c r="R1729">
        <v>8.0000000000000002E-3</v>
      </c>
      <c r="T1729" t="s">
        <v>5046</v>
      </c>
    </row>
    <row r="1730" spans="1:20" x14ac:dyDescent="0.2">
      <c r="A1730" t="s">
        <v>5048</v>
      </c>
      <c r="B1730" t="s">
        <v>2022</v>
      </c>
      <c r="C1730" t="s">
        <v>2053</v>
      </c>
      <c r="D1730" t="s">
        <v>2024</v>
      </c>
      <c r="E1730" t="s">
        <v>5049</v>
      </c>
      <c r="F1730" t="s">
        <v>5050</v>
      </c>
      <c r="G1730">
        <v>2</v>
      </c>
      <c r="H1730">
        <v>1600</v>
      </c>
      <c r="I1730">
        <v>1</v>
      </c>
      <c r="J1730">
        <v>1.55</v>
      </c>
      <c r="K1730">
        <v>1</v>
      </c>
      <c r="L1730">
        <v>1.4999999999999999E-2</v>
      </c>
      <c r="M1730">
        <v>1</v>
      </c>
      <c r="N1730">
        <v>73</v>
      </c>
      <c r="O1730">
        <v>1</v>
      </c>
      <c r="P1730">
        <v>7.4999999999999997E-2</v>
      </c>
      <c r="Q1730">
        <v>1</v>
      </c>
      <c r="R1730">
        <v>8.4999999999999995E-4</v>
      </c>
      <c r="T1730" t="s">
        <v>5049</v>
      </c>
    </row>
    <row r="1731" spans="1:20" x14ac:dyDescent="0.2">
      <c r="A1731" t="s">
        <v>5051</v>
      </c>
      <c r="B1731" t="s">
        <v>2022</v>
      </c>
      <c r="C1731" t="s">
        <v>2023</v>
      </c>
      <c r="D1731" t="s">
        <v>2024</v>
      </c>
      <c r="E1731" t="s">
        <v>5052</v>
      </c>
      <c r="F1731" t="s">
        <v>5053</v>
      </c>
      <c r="G1731">
        <v>1</v>
      </c>
      <c r="H1731">
        <v>1480</v>
      </c>
      <c r="I1731">
        <v>2</v>
      </c>
      <c r="J1731">
        <v>3.4</v>
      </c>
      <c r="K1731">
        <v>2</v>
      </c>
      <c r="L1731">
        <v>2.5999999999999999E-2</v>
      </c>
      <c r="M1731">
        <v>1</v>
      </c>
      <c r="N1731">
        <v>74</v>
      </c>
      <c r="O1731">
        <v>2</v>
      </c>
      <c r="P1731">
        <v>0.22500000000000001</v>
      </c>
      <c r="Q1731">
        <v>1</v>
      </c>
      <c r="R1731">
        <v>5.0000000000000001E-4</v>
      </c>
      <c r="T1731" t="s">
        <v>5052</v>
      </c>
    </row>
    <row r="1732" spans="1:20" x14ac:dyDescent="0.2">
      <c r="A1732" t="s">
        <v>5054</v>
      </c>
      <c r="B1732" t="s">
        <v>2022</v>
      </c>
      <c r="C1732" t="s">
        <v>2036</v>
      </c>
      <c r="D1732" t="s">
        <v>2024</v>
      </c>
      <c r="E1732" t="s">
        <v>5055</v>
      </c>
      <c r="F1732" t="s">
        <v>5056</v>
      </c>
      <c r="G1732">
        <v>2</v>
      </c>
      <c r="H1732">
        <v>1640</v>
      </c>
      <c r="I1732">
        <v>5</v>
      </c>
      <c r="J1732">
        <v>7</v>
      </c>
      <c r="K1732">
        <v>5</v>
      </c>
      <c r="L1732">
        <v>0.17499999999999999</v>
      </c>
      <c r="M1732">
        <v>2</v>
      </c>
      <c r="N1732">
        <v>82</v>
      </c>
      <c r="O1732">
        <v>5</v>
      </c>
      <c r="P1732">
        <v>0.53500000000000003</v>
      </c>
      <c r="Q1732">
        <v>5</v>
      </c>
      <c r="R1732">
        <v>1.2E-2</v>
      </c>
      <c r="T1732" t="s">
        <v>5055</v>
      </c>
    </row>
    <row r="1733" spans="1:20" x14ac:dyDescent="0.2">
      <c r="A1733" t="s">
        <v>5057</v>
      </c>
      <c r="B1733" t="s">
        <v>2022</v>
      </c>
      <c r="C1733" t="s">
        <v>2049</v>
      </c>
      <c r="D1733" t="s">
        <v>2154</v>
      </c>
      <c r="E1733" t="s">
        <v>5058</v>
      </c>
      <c r="F1733" t="s">
        <v>5059</v>
      </c>
      <c r="G1733">
        <v>4</v>
      </c>
      <c r="H1733">
        <v>1650</v>
      </c>
      <c r="I1733">
        <v>1</v>
      </c>
      <c r="J1733">
        <v>1.4</v>
      </c>
      <c r="K1733">
        <v>2</v>
      </c>
      <c r="L1733">
        <v>0.06</v>
      </c>
      <c r="M1733">
        <v>4</v>
      </c>
      <c r="N1733">
        <v>146</v>
      </c>
      <c r="O1733">
        <v>2</v>
      </c>
      <c r="P1733">
        <v>0.26</v>
      </c>
      <c r="Q1733">
        <v>2</v>
      </c>
      <c r="R1733">
        <v>6.1999999999999998E-3</v>
      </c>
      <c r="T1733" t="s">
        <v>5058</v>
      </c>
    </row>
    <row r="1734" spans="1:20" x14ac:dyDescent="0.2">
      <c r="A1734" t="s">
        <v>5060</v>
      </c>
      <c r="B1734" t="s">
        <v>2022</v>
      </c>
      <c r="C1734" t="s">
        <v>2053</v>
      </c>
      <c r="D1734" t="s">
        <v>2024</v>
      </c>
      <c r="E1734" t="s">
        <v>249</v>
      </c>
      <c r="F1734" t="s">
        <v>5061</v>
      </c>
      <c r="G1734">
        <v>2</v>
      </c>
      <c r="H1734">
        <v>1600</v>
      </c>
      <c r="I1734">
        <v>2</v>
      </c>
      <c r="J1734">
        <v>4.05</v>
      </c>
      <c r="K1734">
        <v>2</v>
      </c>
      <c r="L1734">
        <v>8.5000000000000006E-2</v>
      </c>
      <c r="M1734">
        <v>1</v>
      </c>
      <c r="N1734">
        <v>73</v>
      </c>
      <c r="O1734">
        <v>2</v>
      </c>
      <c r="P1734">
        <v>0.22500000000000001</v>
      </c>
      <c r="Q1734">
        <v>2</v>
      </c>
      <c r="R1734">
        <v>5.1999999999999998E-3</v>
      </c>
      <c r="T1734" t="s">
        <v>249</v>
      </c>
    </row>
    <row r="1735" spans="1:20" x14ac:dyDescent="0.2">
      <c r="A1735" t="s">
        <v>5062</v>
      </c>
      <c r="B1735" t="s">
        <v>2022</v>
      </c>
      <c r="C1735" t="s">
        <v>2023</v>
      </c>
      <c r="D1735" t="s">
        <v>2024</v>
      </c>
      <c r="E1735" t="s">
        <v>5063</v>
      </c>
      <c r="F1735" t="s">
        <v>5064</v>
      </c>
      <c r="G1735">
        <v>1</v>
      </c>
      <c r="H1735">
        <v>1480</v>
      </c>
      <c r="I1735">
        <v>2</v>
      </c>
      <c r="J1735">
        <v>3.4</v>
      </c>
      <c r="K1735">
        <v>1</v>
      </c>
      <c r="L1735">
        <v>6.0000000000000001E-3</v>
      </c>
      <c r="M1735">
        <v>2</v>
      </c>
      <c r="N1735">
        <v>84</v>
      </c>
      <c r="O1735">
        <v>1</v>
      </c>
      <c r="P1735">
        <v>7.4999999999999997E-2</v>
      </c>
      <c r="Q1735">
        <v>1</v>
      </c>
      <c r="R1735">
        <v>5.0000000000000001E-4</v>
      </c>
      <c r="T1735" t="s">
        <v>5063</v>
      </c>
    </row>
    <row r="1736" spans="1:20" x14ac:dyDescent="0.2">
      <c r="A1736" t="s">
        <v>5065</v>
      </c>
      <c r="B1736" t="s">
        <v>2022</v>
      </c>
      <c r="C1736" t="s">
        <v>2222</v>
      </c>
      <c r="D1736" t="s">
        <v>2154</v>
      </c>
      <c r="E1736" t="s">
        <v>357</v>
      </c>
      <c r="F1736" t="s">
        <v>447</v>
      </c>
      <c r="G1736">
        <v>4</v>
      </c>
      <c r="H1736">
        <v>1750</v>
      </c>
      <c r="I1736">
        <v>5</v>
      </c>
      <c r="J1736">
        <v>8.6999999999999993</v>
      </c>
      <c r="K1736">
        <v>4</v>
      </c>
      <c r="L1736">
        <v>0.19500000000000001</v>
      </c>
      <c r="M1736">
        <v>5</v>
      </c>
      <c r="N1736">
        <v>75</v>
      </c>
      <c r="O1736">
        <v>5</v>
      </c>
      <c r="P1736">
        <v>0.39</v>
      </c>
      <c r="Q1736">
        <v>5</v>
      </c>
      <c r="R1736">
        <v>1.1299999999999999E-2</v>
      </c>
      <c r="T1736" t="s">
        <v>357</v>
      </c>
    </row>
    <row r="1737" spans="1:20" x14ac:dyDescent="0.2">
      <c r="A1737" t="s">
        <v>5066</v>
      </c>
      <c r="B1737" t="s">
        <v>2022</v>
      </c>
      <c r="C1737" t="s">
        <v>2053</v>
      </c>
      <c r="D1737" t="s">
        <v>2024</v>
      </c>
      <c r="E1737" t="s">
        <v>5067</v>
      </c>
      <c r="F1737" t="s">
        <v>5068</v>
      </c>
      <c r="G1737">
        <v>2</v>
      </c>
      <c r="H1737">
        <v>1600</v>
      </c>
      <c r="I1737">
        <v>2</v>
      </c>
      <c r="J1737">
        <v>4.05</v>
      </c>
      <c r="K1737">
        <v>2</v>
      </c>
      <c r="L1737">
        <v>8.5000000000000006E-2</v>
      </c>
      <c r="M1737">
        <v>3</v>
      </c>
      <c r="N1737">
        <v>93</v>
      </c>
      <c r="O1737">
        <v>2</v>
      </c>
      <c r="P1737">
        <v>0.22500000000000001</v>
      </c>
      <c r="Q1737">
        <v>2</v>
      </c>
      <c r="R1737">
        <v>5.1999999999999998E-3</v>
      </c>
      <c r="T1737" t="s">
        <v>5067</v>
      </c>
    </row>
    <row r="1738" spans="1:20" x14ac:dyDescent="0.2">
      <c r="A1738" t="s">
        <v>5069</v>
      </c>
      <c r="B1738" t="s">
        <v>2022</v>
      </c>
      <c r="C1738" t="s">
        <v>2036</v>
      </c>
      <c r="D1738" t="s">
        <v>2024</v>
      </c>
      <c r="E1738" t="s">
        <v>5070</v>
      </c>
      <c r="F1738" t="s">
        <v>5071</v>
      </c>
      <c r="G1738">
        <v>3</v>
      </c>
      <c r="H1738">
        <v>1740</v>
      </c>
      <c r="I1738">
        <v>5</v>
      </c>
      <c r="J1738">
        <v>7</v>
      </c>
      <c r="K1738">
        <v>5</v>
      </c>
      <c r="L1738">
        <v>0.17499999999999999</v>
      </c>
      <c r="M1738">
        <v>2</v>
      </c>
      <c r="N1738">
        <v>82</v>
      </c>
      <c r="O1738">
        <v>5</v>
      </c>
      <c r="P1738">
        <v>0.53500000000000003</v>
      </c>
      <c r="Q1738">
        <v>5</v>
      </c>
      <c r="R1738">
        <v>1.2E-2</v>
      </c>
      <c r="T1738" t="s">
        <v>5070</v>
      </c>
    </row>
    <row r="1739" spans="1:20" x14ac:dyDescent="0.2">
      <c r="A1739" t="s">
        <v>5072</v>
      </c>
      <c r="B1739" t="s">
        <v>2022</v>
      </c>
      <c r="C1739" t="s">
        <v>2036</v>
      </c>
      <c r="D1739" t="s">
        <v>2024</v>
      </c>
      <c r="E1739" t="s">
        <v>5073</v>
      </c>
      <c r="F1739" t="s">
        <v>5074</v>
      </c>
      <c r="G1739">
        <v>3</v>
      </c>
      <c r="H1739">
        <v>1740</v>
      </c>
      <c r="I1739">
        <v>4</v>
      </c>
      <c r="J1739">
        <v>5.8</v>
      </c>
      <c r="K1739">
        <v>4</v>
      </c>
      <c r="L1739">
        <v>0.14499999999999999</v>
      </c>
      <c r="M1739">
        <v>3</v>
      </c>
      <c r="N1739">
        <v>88</v>
      </c>
      <c r="O1739">
        <v>3</v>
      </c>
      <c r="P1739">
        <v>0.315</v>
      </c>
      <c r="Q1739">
        <v>3</v>
      </c>
      <c r="R1739">
        <v>6.7499999999999999E-3</v>
      </c>
      <c r="T1739" t="s">
        <v>5073</v>
      </c>
    </row>
    <row r="1740" spans="1:20" x14ac:dyDescent="0.2">
      <c r="A1740" t="s">
        <v>5075</v>
      </c>
      <c r="B1740" t="s">
        <v>2022</v>
      </c>
      <c r="C1740" t="s">
        <v>2036</v>
      </c>
      <c r="D1740" t="s">
        <v>2024</v>
      </c>
      <c r="E1740" t="s">
        <v>5076</v>
      </c>
      <c r="F1740" t="s">
        <v>5077</v>
      </c>
      <c r="G1740">
        <v>3</v>
      </c>
      <c r="H1740">
        <v>1740</v>
      </c>
      <c r="I1740">
        <v>2</v>
      </c>
      <c r="J1740">
        <v>3.4</v>
      </c>
      <c r="K1740">
        <v>3</v>
      </c>
      <c r="L1740">
        <v>0.115</v>
      </c>
      <c r="M1740">
        <v>3</v>
      </c>
      <c r="N1740">
        <v>88</v>
      </c>
      <c r="O1740">
        <v>2</v>
      </c>
      <c r="P1740">
        <v>0.20499999999999999</v>
      </c>
      <c r="Q1740">
        <v>3</v>
      </c>
      <c r="R1740">
        <v>6.7499999999999999E-3</v>
      </c>
      <c r="T1740" t="s">
        <v>5076</v>
      </c>
    </row>
    <row r="1741" spans="1:20" x14ac:dyDescent="0.2">
      <c r="A1741" t="s">
        <v>5078</v>
      </c>
      <c r="B1741" t="s">
        <v>2022</v>
      </c>
      <c r="C1741" t="s">
        <v>2028</v>
      </c>
      <c r="D1741" t="s">
        <v>2154</v>
      </c>
      <c r="E1741" t="s">
        <v>5079</v>
      </c>
      <c r="F1741" t="s">
        <v>5080</v>
      </c>
      <c r="G1741">
        <v>5</v>
      </c>
      <c r="H1741">
        <v>1450</v>
      </c>
      <c r="I1741">
        <v>5</v>
      </c>
      <c r="J1741">
        <v>6.65</v>
      </c>
      <c r="K1741">
        <v>5</v>
      </c>
      <c r="L1741">
        <v>0.26700000000000002</v>
      </c>
      <c r="M1741">
        <v>1</v>
      </c>
      <c r="N1741">
        <v>100</v>
      </c>
      <c r="O1741">
        <v>4</v>
      </c>
      <c r="P1741">
        <v>1.05</v>
      </c>
      <c r="Q1741">
        <v>5</v>
      </c>
      <c r="R1741">
        <v>3.3500000000000002E-2</v>
      </c>
      <c r="T1741" t="s">
        <v>5079</v>
      </c>
    </row>
    <row r="1742" spans="1:20" x14ac:dyDescent="0.2">
      <c r="A1742" t="s">
        <v>5081</v>
      </c>
      <c r="B1742" t="s">
        <v>2022</v>
      </c>
      <c r="C1742" t="s">
        <v>2028</v>
      </c>
      <c r="D1742" t="s">
        <v>2154</v>
      </c>
      <c r="E1742" t="s">
        <v>5082</v>
      </c>
      <c r="F1742" t="s">
        <v>5083</v>
      </c>
      <c r="G1742">
        <v>5</v>
      </c>
      <c r="H1742">
        <v>1450</v>
      </c>
      <c r="I1742">
        <v>5</v>
      </c>
      <c r="J1742">
        <v>6.65</v>
      </c>
      <c r="K1742">
        <v>5</v>
      </c>
      <c r="L1742">
        <v>0.26700000000000002</v>
      </c>
      <c r="M1742">
        <v>1</v>
      </c>
      <c r="N1742">
        <v>100</v>
      </c>
      <c r="O1742">
        <v>5</v>
      </c>
      <c r="P1742">
        <v>1.35</v>
      </c>
      <c r="Q1742">
        <v>5</v>
      </c>
      <c r="R1742">
        <v>3.3500000000000002E-2</v>
      </c>
      <c r="T1742" t="s">
        <v>5082</v>
      </c>
    </row>
    <row r="1743" spans="1:20" x14ac:dyDescent="0.2">
      <c r="A1743" t="s">
        <v>5084</v>
      </c>
      <c r="B1743" t="s">
        <v>2022</v>
      </c>
      <c r="C1743" t="s">
        <v>2023</v>
      </c>
      <c r="D1743" t="s">
        <v>2024</v>
      </c>
      <c r="E1743" t="s">
        <v>5085</v>
      </c>
      <c r="F1743" t="s">
        <v>5086</v>
      </c>
      <c r="G1743">
        <v>2</v>
      </c>
      <c r="H1743">
        <v>1560</v>
      </c>
      <c r="I1743">
        <v>2</v>
      </c>
      <c r="J1743">
        <v>3.4</v>
      </c>
      <c r="K1743">
        <v>5</v>
      </c>
      <c r="L1743">
        <v>8.5999999999999993E-2</v>
      </c>
      <c r="M1743">
        <v>1</v>
      </c>
      <c r="N1743">
        <v>74</v>
      </c>
      <c r="O1743">
        <v>2</v>
      </c>
      <c r="P1743">
        <v>0.22500000000000001</v>
      </c>
      <c r="Q1743">
        <v>3</v>
      </c>
      <c r="R1743">
        <v>4.0000000000000001E-3</v>
      </c>
      <c r="T1743" t="s">
        <v>5085</v>
      </c>
    </row>
    <row r="1744" spans="1:20" x14ac:dyDescent="0.2">
      <c r="A1744" t="s">
        <v>5087</v>
      </c>
      <c r="B1744" t="s">
        <v>2022</v>
      </c>
      <c r="C1744" t="s">
        <v>2222</v>
      </c>
      <c r="D1744" t="s">
        <v>2136</v>
      </c>
      <c r="E1744" t="s">
        <v>5088</v>
      </c>
      <c r="F1744" t="s">
        <v>5089</v>
      </c>
      <c r="G1744">
        <v>2</v>
      </c>
      <c r="H1744">
        <v>1550</v>
      </c>
      <c r="I1744">
        <v>1</v>
      </c>
      <c r="J1744">
        <v>2.2999999999999998</v>
      </c>
      <c r="K1744">
        <v>2</v>
      </c>
      <c r="L1744">
        <v>5.5E-2</v>
      </c>
      <c r="M1744">
        <v>2</v>
      </c>
      <c r="N1744">
        <v>63</v>
      </c>
      <c r="O1744">
        <v>2</v>
      </c>
      <c r="P1744">
        <v>0.15</v>
      </c>
      <c r="Q1744">
        <v>2</v>
      </c>
      <c r="R1744">
        <v>2.3E-3</v>
      </c>
      <c r="T1744" t="s">
        <v>5088</v>
      </c>
    </row>
    <row r="1745" spans="1:20" x14ac:dyDescent="0.2">
      <c r="A1745" t="s">
        <v>5090</v>
      </c>
      <c r="B1745" t="s">
        <v>2022</v>
      </c>
      <c r="C1745" t="s">
        <v>2023</v>
      </c>
      <c r="D1745" t="s">
        <v>2024</v>
      </c>
      <c r="E1745" t="s">
        <v>357</v>
      </c>
      <c r="F1745" t="s">
        <v>5091</v>
      </c>
      <c r="G1745">
        <v>1</v>
      </c>
      <c r="H1745">
        <v>1480</v>
      </c>
      <c r="I1745">
        <v>1</v>
      </c>
      <c r="J1745">
        <v>0.9</v>
      </c>
      <c r="K1745">
        <v>1</v>
      </c>
      <c r="L1745">
        <v>6.0000000000000001E-3</v>
      </c>
      <c r="M1745">
        <v>5</v>
      </c>
      <c r="N1745">
        <v>114</v>
      </c>
      <c r="O1745">
        <v>5</v>
      </c>
      <c r="P1745">
        <v>0.67500000000000004</v>
      </c>
      <c r="Q1745">
        <v>5</v>
      </c>
      <c r="R1745">
        <v>8.0000000000000002E-3</v>
      </c>
      <c r="T1745" t="s">
        <v>357</v>
      </c>
    </row>
    <row r="1746" spans="1:20" x14ac:dyDescent="0.2">
      <c r="A1746" t="s">
        <v>5092</v>
      </c>
      <c r="B1746" t="s">
        <v>2022</v>
      </c>
      <c r="C1746" t="s">
        <v>2053</v>
      </c>
      <c r="D1746" t="s">
        <v>2024</v>
      </c>
      <c r="E1746" t="s">
        <v>5093</v>
      </c>
      <c r="F1746" t="s">
        <v>5094</v>
      </c>
      <c r="G1746">
        <v>3</v>
      </c>
      <c r="H1746">
        <v>1700</v>
      </c>
      <c r="I1746">
        <v>5</v>
      </c>
      <c r="J1746">
        <v>11.55</v>
      </c>
      <c r="K1746">
        <v>5</v>
      </c>
      <c r="L1746">
        <v>0.41499999999999998</v>
      </c>
      <c r="M1746">
        <v>5</v>
      </c>
      <c r="N1746">
        <v>113</v>
      </c>
      <c r="O1746">
        <v>5</v>
      </c>
      <c r="P1746">
        <v>0.67500000000000004</v>
      </c>
      <c r="Q1746">
        <v>5</v>
      </c>
      <c r="R1746">
        <v>2.6200000000000001E-2</v>
      </c>
      <c r="T1746" t="s">
        <v>5093</v>
      </c>
    </row>
    <row r="1747" spans="1:20" x14ac:dyDescent="0.2">
      <c r="A1747" t="s">
        <v>5095</v>
      </c>
      <c r="B1747" t="s">
        <v>2022</v>
      </c>
      <c r="C1747" t="s">
        <v>2053</v>
      </c>
      <c r="D1747" t="s">
        <v>2024</v>
      </c>
      <c r="E1747" t="s">
        <v>5096</v>
      </c>
      <c r="F1747" t="s">
        <v>5097</v>
      </c>
      <c r="G1747">
        <v>1</v>
      </c>
      <c r="H1747">
        <v>1500</v>
      </c>
      <c r="I1747">
        <v>5</v>
      </c>
      <c r="J1747">
        <v>11.55</v>
      </c>
      <c r="K1747">
        <v>5</v>
      </c>
      <c r="L1747">
        <v>0.41499999999999998</v>
      </c>
      <c r="M1747">
        <v>5</v>
      </c>
      <c r="N1747">
        <v>113</v>
      </c>
      <c r="O1747">
        <v>5</v>
      </c>
      <c r="P1747">
        <v>0.67500000000000004</v>
      </c>
      <c r="Q1747">
        <v>5</v>
      </c>
      <c r="R1747">
        <v>2.6200000000000001E-2</v>
      </c>
      <c r="T1747" t="s">
        <v>5096</v>
      </c>
    </row>
    <row r="1748" spans="1:20" x14ac:dyDescent="0.2">
      <c r="A1748" t="s">
        <v>5098</v>
      </c>
      <c r="B1748" t="s">
        <v>2022</v>
      </c>
      <c r="C1748" t="s">
        <v>2049</v>
      </c>
      <c r="D1748" t="s">
        <v>2024</v>
      </c>
      <c r="E1748" t="s">
        <v>5099</v>
      </c>
      <c r="F1748" t="s">
        <v>5100</v>
      </c>
      <c r="G1748">
        <v>5</v>
      </c>
      <c r="H1748">
        <v>1750</v>
      </c>
      <c r="I1748">
        <v>4</v>
      </c>
      <c r="J1748">
        <v>6.8</v>
      </c>
      <c r="K1748">
        <v>4</v>
      </c>
      <c r="L1748">
        <v>0.22</v>
      </c>
      <c r="M1748">
        <v>4</v>
      </c>
      <c r="N1748">
        <v>146</v>
      </c>
      <c r="O1748">
        <v>3</v>
      </c>
      <c r="P1748">
        <v>0.46</v>
      </c>
      <c r="Q1748">
        <v>3</v>
      </c>
      <c r="R1748">
        <v>1.52E-2</v>
      </c>
      <c r="T1748" t="s">
        <v>5099</v>
      </c>
    </row>
    <row r="1749" spans="1:20" x14ac:dyDescent="0.2">
      <c r="A1749" t="s">
        <v>5101</v>
      </c>
      <c r="B1749" t="s">
        <v>2022</v>
      </c>
      <c r="C1749" t="s">
        <v>2106</v>
      </c>
      <c r="D1749" t="s">
        <v>2024</v>
      </c>
      <c r="E1749" t="s">
        <v>5102</v>
      </c>
      <c r="F1749" t="s">
        <v>5103</v>
      </c>
      <c r="G1749">
        <v>2</v>
      </c>
      <c r="H1749">
        <v>1825</v>
      </c>
      <c r="I1749">
        <v>1</v>
      </c>
      <c r="J1749">
        <v>3.25</v>
      </c>
      <c r="K1749">
        <v>1</v>
      </c>
      <c r="L1749">
        <v>0.01</v>
      </c>
      <c r="M1749">
        <v>4</v>
      </c>
      <c r="N1749">
        <v>82.5</v>
      </c>
      <c r="O1749">
        <v>1</v>
      </c>
      <c r="P1749">
        <v>0.05</v>
      </c>
      <c r="Q1749">
        <v>1</v>
      </c>
      <c r="R1749">
        <v>5.0000000000000001E-4</v>
      </c>
      <c r="T1749" t="s">
        <v>5102</v>
      </c>
    </row>
    <row r="1750" spans="1:20" x14ac:dyDescent="0.2">
      <c r="A1750" t="s">
        <v>5104</v>
      </c>
      <c r="B1750" t="s">
        <v>2022</v>
      </c>
      <c r="C1750" t="s">
        <v>2106</v>
      </c>
      <c r="D1750" t="s">
        <v>2024</v>
      </c>
      <c r="E1750" t="s">
        <v>5102</v>
      </c>
      <c r="F1750" t="s">
        <v>5103</v>
      </c>
      <c r="G1750">
        <v>1</v>
      </c>
      <c r="H1750">
        <v>1675</v>
      </c>
      <c r="I1750">
        <v>1</v>
      </c>
      <c r="J1750">
        <v>3.25</v>
      </c>
      <c r="K1750">
        <v>2</v>
      </c>
      <c r="L1750">
        <v>0.06</v>
      </c>
      <c r="M1750">
        <v>4</v>
      </c>
      <c r="N1750">
        <v>82.5</v>
      </c>
      <c r="O1750">
        <v>1</v>
      </c>
      <c r="P1750">
        <v>0.05</v>
      </c>
      <c r="Q1750">
        <v>1</v>
      </c>
      <c r="R1750">
        <v>5.0000000000000001E-4</v>
      </c>
      <c r="T1750" t="s">
        <v>5102</v>
      </c>
    </row>
    <row r="1751" spans="1:20" x14ac:dyDescent="0.2">
      <c r="A1751" t="s">
        <v>5105</v>
      </c>
      <c r="B1751" t="s">
        <v>2022</v>
      </c>
      <c r="C1751" t="s">
        <v>2222</v>
      </c>
      <c r="D1751" t="s">
        <v>2024</v>
      </c>
      <c r="E1751" t="s">
        <v>5102</v>
      </c>
      <c r="F1751" t="s">
        <v>5103</v>
      </c>
      <c r="G1751">
        <v>3</v>
      </c>
      <c r="H1751">
        <v>1650</v>
      </c>
      <c r="I1751">
        <v>1</v>
      </c>
      <c r="J1751">
        <v>2.2999999999999998</v>
      </c>
      <c r="K1751">
        <v>1</v>
      </c>
      <c r="L1751">
        <v>0.01</v>
      </c>
      <c r="M1751">
        <v>5</v>
      </c>
      <c r="N1751">
        <v>75</v>
      </c>
      <c r="O1751">
        <v>1</v>
      </c>
      <c r="P1751">
        <v>7.0000000000000007E-2</v>
      </c>
      <c r="Q1751">
        <v>2</v>
      </c>
      <c r="R1751">
        <v>2.3E-3</v>
      </c>
      <c r="T1751" t="s">
        <v>5102</v>
      </c>
    </row>
    <row r="1752" spans="1:20" x14ac:dyDescent="0.2">
      <c r="A1752" t="s">
        <v>5106</v>
      </c>
      <c r="B1752" t="s">
        <v>2022</v>
      </c>
      <c r="C1752" t="s">
        <v>2049</v>
      </c>
      <c r="D1752" t="s">
        <v>2024</v>
      </c>
      <c r="E1752" t="s">
        <v>5102</v>
      </c>
      <c r="F1752" t="s">
        <v>5103</v>
      </c>
      <c r="G1752">
        <v>4</v>
      </c>
      <c r="H1752">
        <v>1650</v>
      </c>
      <c r="I1752">
        <v>1</v>
      </c>
      <c r="J1752">
        <v>1.4</v>
      </c>
      <c r="K1752">
        <v>2</v>
      </c>
      <c r="L1752">
        <v>0.06</v>
      </c>
      <c r="M1752">
        <v>1</v>
      </c>
      <c r="N1752">
        <v>86</v>
      </c>
      <c r="O1752">
        <v>1</v>
      </c>
      <c r="P1752">
        <v>0.06</v>
      </c>
      <c r="Q1752">
        <v>1</v>
      </c>
      <c r="R1752">
        <v>8.4999999999999995E-4</v>
      </c>
      <c r="T1752" t="s">
        <v>5102</v>
      </c>
    </row>
    <row r="1753" spans="1:20" x14ac:dyDescent="0.2">
      <c r="A1753" t="s">
        <v>5107</v>
      </c>
      <c r="B1753" t="s">
        <v>2022</v>
      </c>
      <c r="C1753" t="s">
        <v>2023</v>
      </c>
      <c r="D1753" t="s">
        <v>2024</v>
      </c>
      <c r="E1753" t="s">
        <v>5108</v>
      </c>
      <c r="F1753" t="s">
        <v>5109</v>
      </c>
      <c r="G1753">
        <v>5</v>
      </c>
      <c r="H1753">
        <v>1800</v>
      </c>
      <c r="I1753">
        <v>5</v>
      </c>
      <c r="J1753">
        <v>10.9</v>
      </c>
      <c r="K1753">
        <v>5</v>
      </c>
      <c r="L1753">
        <v>8.5999999999999993E-2</v>
      </c>
      <c r="M1753">
        <v>2</v>
      </c>
      <c r="N1753">
        <v>84</v>
      </c>
      <c r="O1753">
        <v>4</v>
      </c>
      <c r="P1753">
        <v>0.52500000000000002</v>
      </c>
      <c r="Q1753">
        <v>5</v>
      </c>
      <c r="R1753">
        <v>8.0000000000000002E-3</v>
      </c>
      <c r="T1753" t="s">
        <v>5108</v>
      </c>
    </row>
    <row r="1754" spans="1:20" x14ac:dyDescent="0.2">
      <c r="A1754" t="s">
        <v>5110</v>
      </c>
      <c r="B1754" t="s">
        <v>2022</v>
      </c>
      <c r="C1754" t="s">
        <v>2023</v>
      </c>
      <c r="D1754" t="s">
        <v>2024</v>
      </c>
      <c r="E1754" t="s">
        <v>357</v>
      </c>
      <c r="F1754" t="s">
        <v>5111</v>
      </c>
      <c r="G1754">
        <v>2</v>
      </c>
      <c r="H1754">
        <v>1560</v>
      </c>
      <c r="I1754">
        <v>1</v>
      </c>
      <c r="J1754">
        <v>0.9</v>
      </c>
      <c r="K1754">
        <v>1</v>
      </c>
      <c r="L1754">
        <v>6.0000000000000001E-3</v>
      </c>
      <c r="M1754">
        <v>5</v>
      </c>
      <c r="N1754">
        <v>114</v>
      </c>
      <c r="O1754">
        <v>1</v>
      </c>
      <c r="P1754">
        <v>7.4999999999999997E-2</v>
      </c>
      <c r="Q1754">
        <v>2</v>
      </c>
      <c r="R1754">
        <v>2E-3</v>
      </c>
      <c r="T1754" t="s">
        <v>357</v>
      </c>
    </row>
    <row r="1755" spans="1:20" x14ac:dyDescent="0.2">
      <c r="A1755" t="s">
        <v>5112</v>
      </c>
      <c r="B1755" t="s">
        <v>2022</v>
      </c>
      <c r="C1755" t="s">
        <v>2023</v>
      </c>
      <c r="D1755" t="s">
        <v>2024</v>
      </c>
      <c r="E1755" t="s">
        <v>5113</v>
      </c>
      <c r="F1755" t="s">
        <v>5114</v>
      </c>
      <c r="G1755">
        <v>5</v>
      </c>
      <c r="H1755">
        <v>1800</v>
      </c>
      <c r="I1755">
        <v>2</v>
      </c>
      <c r="J1755">
        <v>3.4</v>
      </c>
      <c r="K1755">
        <v>2</v>
      </c>
      <c r="L1755">
        <v>2.5999999999999999E-2</v>
      </c>
      <c r="M1755">
        <v>5</v>
      </c>
      <c r="N1755">
        <v>114</v>
      </c>
      <c r="O1755">
        <v>2</v>
      </c>
      <c r="P1755">
        <v>0.22500000000000001</v>
      </c>
      <c r="Q1755">
        <v>2</v>
      </c>
      <c r="R1755">
        <v>2E-3</v>
      </c>
      <c r="T1755" t="s">
        <v>5113</v>
      </c>
    </row>
    <row r="1756" spans="1:20" x14ac:dyDescent="0.2">
      <c r="A1756" t="s">
        <v>5115</v>
      </c>
      <c r="B1756" t="s">
        <v>2022</v>
      </c>
      <c r="C1756" t="s">
        <v>2036</v>
      </c>
      <c r="D1756" t="s">
        <v>2024</v>
      </c>
      <c r="E1756" t="s">
        <v>5116</v>
      </c>
      <c r="F1756" t="s">
        <v>5117</v>
      </c>
      <c r="G1756">
        <v>2</v>
      </c>
      <c r="H1756">
        <v>1640</v>
      </c>
      <c r="I1756">
        <v>5</v>
      </c>
      <c r="J1756">
        <v>7</v>
      </c>
      <c r="K1756">
        <v>5</v>
      </c>
      <c r="L1756">
        <v>0.17499999999999999</v>
      </c>
      <c r="M1756">
        <v>5</v>
      </c>
      <c r="N1756">
        <v>100</v>
      </c>
      <c r="O1756">
        <v>5</v>
      </c>
      <c r="P1756">
        <v>0.53500000000000003</v>
      </c>
      <c r="Q1756">
        <v>5</v>
      </c>
      <c r="R1756">
        <v>1.2E-2</v>
      </c>
      <c r="T1756" t="s">
        <v>5116</v>
      </c>
    </row>
    <row r="1757" spans="1:20" x14ac:dyDescent="0.2">
      <c r="A1757" t="s">
        <v>5118</v>
      </c>
      <c r="B1757" t="s">
        <v>2022</v>
      </c>
      <c r="C1757" t="s">
        <v>2036</v>
      </c>
      <c r="D1757" t="s">
        <v>2154</v>
      </c>
      <c r="E1757" t="s">
        <v>5119</v>
      </c>
      <c r="F1757" t="s">
        <v>5120</v>
      </c>
      <c r="G1757">
        <v>4</v>
      </c>
      <c r="H1757">
        <v>1840</v>
      </c>
      <c r="I1757">
        <v>3</v>
      </c>
      <c r="J1757">
        <v>4.5999999999999996</v>
      </c>
      <c r="K1757">
        <v>3</v>
      </c>
      <c r="L1757">
        <v>0.115</v>
      </c>
      <c r="M1757">
        <v>5</v>
      </c>
      <c r="N1757">
        <v>100</v>
      </c>
      <c r="O1757">
        <v>4</v>
      </c>
      <c r="P1757">
        <v>0.42499999999999999</v>
      </c>
      <c r="Q1757">
        <v>5</v>
      </c>
      <c r="R1757">
        <v>1.2E-2</v>
      </c>
      <c r="T1757" t="s">
        <v>5119</v>
      </c>
    </row>
    <row r="1758" spans="1:20" x14ac:dyDescent="0.2">
      <c r="A1758" t="s">
        <v>5121</v>
      </c>
      <c r="B1758" t="s">
        <v>2022</v>
      </c>
      <c r="C1758" t="s">
        <v>2036</v>
      </c>
      <c r="D1758" t="s">
        <v>2024</v>
      </c>
      <c r="E1758" t="s">
        <v>5119</v>
      </c>
      <c r="F1758" t="s">
        <v>5120</v>
      </c>
      <c r="G1758">
        <v>2</v>
      </c>
      <c r="H1758">
        <v>1640</v>
      </c>
      <c r="I1758">
        <v>4</v>
      </c>
      <c r="J1758">
        <v>5.8</v>
      </c>
      <c r="K1758">
        <v>2</v>
      </c>
      <c r="L1758">
        <v>8.5000000000000006E-2</v>
      </c>
      <c r="M1758">
        <v>3</v>
      </c>
      <c r="N1758">
        <v>88</v>
      </c>
      <c r="O1758">
        <v>3</v>
      </c>
      <c r="P1758">
        <v>0.315</v>
      </c>
      <c r="Q1758">
        <v>2</v>
      </c>
      <c r="R1758">
        <v>4.2500000000000003E-3</v>
      </c>
      <c r="T1758" t="s">
        <v>5119</v>
      </c>
    </row>
    <row r="1759" spans="1:20" x14ac:dyDescent="0.2">
      <c r="A1759" t="s">
        <v>5122</v>
      </c>
      <c r="B1759" t="s">
        <v>2022</v>
      </c>
      <c r="C1759" t="s">
        <v>2036</v>
      </c>
      <c r="D1759" t="s">
        <v>2024</v>
      </c>
      <c r="E1759" t="s">
        <v>5119</v>
      </c>
      <c r="F1759" t="s">
        <v>5120</v>
      </c>
      <c r="G1759">
        <v>1</v>
      </c>
      <c r="H1759">
        <v>1540</v>
      </c>
      <c r="I1759">
        <v>3</v>
      </c>
      <c r="J1759">
        <v>4.5999999999999996</v>
      </c>
      <c r="K1759">
        <v>2</v>
      </c>
      <c r="L1759">
        <v>8.5000000000000006E-2</v>
      </c>
      <c r="M1759">
        <v>2</v>
      </c>
      <c r="N1759">
        <v>82</v>
      </c>
      <c r="O1759">
        <v>2</v>
      </c>
      <c r="P1759">
        <v>0.20499999999999999</v>
      </c>
      <c r="Q1759">
        <v>2</v>
      </c>
      <c r="R1759">
        <v>4.2500000000000003E-3</v>
      </c>
      <c r="T1759" t="s">
        <v>5119</v>
      </c>
    </row>
    <row r="1760" spans="1:20" x14ac:dyDescent="0.2">
      <c r="A1760" t="s">
        <v>5123</v>
      </c>
      <c r="B1760" t="s">
        <v>2022</v>
      </c>
      <c r="C1760" t="s">
        <v>2036</v>
      </c>
      <c r="D1760" t="s">
        <v>2024</v>
      </c>
      <c r="E1760" t="s">
        <v>5119</v>
      </c>
      <c r="F1760" t="s">
        <v>5120</v>
      </c>
      <c r="G1760">
        <v>4</v>
      </c>
      <c r="H1760">
        <v>1840</v>
      </c>
      <c r="I1760">
        <v>4</v>
      </c>
      <c r="J1760">
        <v>5.8</v>
      </c>
      <c r="K1760">
        <v>3</v>
      </c>
      <c r="L1760">
        <v>0.115</v>
      </c>
      <c r="M1760">
        <v>4</v>
      </c>
      <c r="N1760">
        <v>94</v>
      </c>
      <c r="O1760">
        <v>3</v>
      </c>
      <c r="P1760">
        <v>0.315</v>
      </c>
      <c r="Q1760">
        <v>2</v>
      </c>
      <c r="R1760">
        <v>4.2500000000000003E-3</v>
      </c>
      <c r="T1760" t="s">
        <v>5119</v>
      </c>
    </row>
    <row r="1761" spans="1:20" x14ac:dyDescent="0.2">
      <c r="A1761" t="s">
        <v>5124</v>
      </c>
      <c r="B1761" t="s">
        <v>2022</v>
      </c>
      <c r="C1761" t="s">
        <v>2036</v>
      </c>
      <c r="D1761" t="s">
        <v>2024</v>
      </c>
      <c r="E1761" t="s">
        <v>5119</v>
      </c>
      <c r="F1761" t="s">
        <v>5120</v>
      </c>
      <c r="G1761">
        <v>2</v>
      </c>
      <c r="H1761">
        <v>1640</v>
      </c>
      <c r="I1761">
        <v>3</v>
      </c>
      <c r="J1761">
        <v>4.5999999999999996</v>
      </c>
      <c r="K1761">
        <v>3</v>
      </c>
      <c r="L1761">
        <v>0.115</v>
      </c>
      <c r="M1761">
        <v>2</v>
      </c>
      <c r="N1761">
        <v>82</v>
      </c>
      <c r="O1761">
        <v>2</v>
      </c>
      <c r="P1761">
        <v>0.20499999999999999</v>
      </c>
      <c r="Q1761">
        <v>3</v>
      </c>
      <c r="R1761">
        <v>6.7499999999999999E-3</v>
      </c>
      <c r="T1761" t="s">
        <v>5119</v>
      </c>
    </row>
    <row r="1762" spans="1:20" x14ac:dyDescent="0.2">
      <c r="A1762" t="s">
        <v>5125</v>
      </c>
      <c r="B1762" t="s">
        <v>2022</v>
      </c>
      <c r="C1762" t="s">
        <v>2049</v>
      </c>
      <c r="D1762" t="s">
        <v>2024</v>
      </c>
      <c r="E1762" t="s">
        <v>5126</v>
      </c>
      <c r="F1762" t="s">
        <v>447</v>
      </c>
      <c r="G1762">
        <v>4</v>
      </c>
      <c r="H1762">
        <v>1650</v>
      </c>
      <c r="I1762">
        <v>3</v>
      </c>
      <c r="J1762">
        <v>5</v>
      </c>
      <c r="K1762">
        <v>2</v>
      </c>
      <c r="L1762">
        <v>0.06</v>
      </c>
      <c r="M1762">
        <v>3</v>
      </c>
      <c r="N1762">
        <v>126</v>
      </c>
      <c r="O1762">
        <v>2</v>
      </c>
      <c r="P1762">
        <v>0.26</v>
      </c>
      <c r="Q1762">
        <v>2</v>
      </c>
      <c r="R1762">
        <v>6.1999999999999998E-3</v>
      </c>
      <c r="T1762" t="s">
        <v>5126</v>
      </c>
    </row>
    <row r="1763" spans="1:20" x14ac:dyDescent="0.2">
      <c r="A1763" t="s">
        <v>5127</v>
      </c>
      <c r="B1763" t="s">
        <v>2022</v>
      </c>
      <c r="C1763" t="s">
        <v>2023</v>
      </c>
      <c r="D1763" t="s">
        <v>2024</v>
      </c>
      <c r="E1763" t="s">
        <v>5128</v>
      </c>
      <c r="F1763" t="s">
        <v>5129</v>
      </c>
      <c r="G1763">
        <v>4</v>
      </c>
      <c r="H1763">
        <v>1720</v>
      </c>
      <c r="I1763">
        <v>3</v>
      </c>
      <c r="J1763">
        <v>5.9</v>
      </c>
      <c r="K1763">
        <v>5</v>
      </c>
      <c r="L1763">
        <v>8.5999999999999993E-2</v>
      </c>
      <c r="M1763">
        <v>2</v>
      </c>
      <c r="N1763">
        <v>84</v>
      </c>
      <c r="O1763">
        <v>3</v>
      </c>
      <c r="P1763">
        <v>0.375</v>
      </c>
      <c r="Q1763">
        <v>5</v>
      </c>
      <c r="R1763">
        <v>8.0000000000000002E-3</v>
      </c>
      <c r="T1763" t="s">
        <v>5128</v>
      </c>
    </row>
    <row r="1764" spans="1:20" x14ac:dyDescent="0.2">
      <c r="A1764" t="s">
        <v>5130</v>
      </c>
      <c r="B1764" t="s">
        <v>2022</v>
      </c>
      <c r="C1764" t="s">
        <v>2053</v>
      </c>
      <c r="D1764" t="s">
        <v>2024</v>
      </c>
      <c r="E1764" t="s">
        <v>5128</v>
      </c>
      <c r="F1764" t="s">
        <v>5129</v>
      </c>
      <c r="G1764">
        <v>3</v>
      </c>
      <c r="H1764">
        <v>1700</v>
      </c>
      <c r="I1764">
        <v>5</v>
      </c>
      <c r="J1764">
        <v>11.55</v>
      </c>
      <c r="K1764">
        <v>5</v>
      </c>
      <c r="L1764">
        <v>0.41499999999999998</v>
      </c>
      <c r="M1764">
        <v>2</v>
      </c>
      <c r="N1764">
        <v>83</v>
      </c>
      <c r="O1764">
        <v>5</v>
      </c>
      <c r="P1764">
        <v>0.67500000000000004</v>
      </c>
      <c r="Q1764">
        <v>5</v>
      </c>
      <c r="R1764">
        <v>2.6200000000000001E-2</v>
      </c>
      <c r="T1764" t="s">
        <v>5128</v>
      </c>
    </row>
    <row r="1765" spans="1:20" x14ac:dyDescent="0.2">
      <c r="A1765" t="s">
        <v>5131</v>
      </c>
      <c r="B1765" t="s">
        <v>2022</v>
      </c>
      <c r="C1765" t="s">
        <v>2023</v>
      </c>
      <c r="D1765" t="s">
        <v>2024</v>
      </c>
      <c r="E1765" t="s">
        <v>5132</v>
      </c>
      <c r="F1765" t="s">
        <v>5133</v>
      </c>
      <c r="G1765">
        <v>3</v>
      </c>
      <c r="H1765">
        <v>1640</v>
      </c>
      <c r="I1765">
        <v>1</v>
      </c>
      <c r="J1765">
        <v>0.9</v>
      </c>
      <c r="K1765">
        <v>2</v>
      </c>
      <c r="L1765">
        <v>2.5999999999999999E-2</v>
      </c>
      <c r="M1765">
        <v>1</v>
      </c>
      <c r="N1765">
        <v>74</v>
      </c>
      <c r="O1765">
        <v>1</v>
      </c>
      <c r="P1765">
        <v>7.4999999999999997E-2</v>
      </c>
      <c r="Q1765">
        <v>1</v>
      </c>
      <c r="R1765">
        <v>5.0000000000000001E-4</v>
      </c>
      <c r="T1765" t="s">
        <v>5132</v>
      </c>
    </row>
    <row r="1766" spans="1:20" x14ac:dyDescent="0.2">
      <c r="A1766" t="s">
        <v>5134</v>
      </c>
      <c r="B1766" t="s">
        <v>2022</v>
      </c>
      <c r="C1766" t="s">
        <v>2104</v>
      </c>
      <c r="D1766" t="s">
        <v>2024</v>
      </c>
      <c r="E1766" t="s">
        <v>5132</v>
      </c>
      <c r="F1766" t="s">
        <v>5133</v>
      </c>
      <c r="G1766">
        <v>1</v>
      </c>
      <c r="H1766">
        <v>1537.5</v>
      </c>
      <c r="I1766">
        <v>2</v>
      </c>
      <c r="J1766">
        <v>3.25</v>
      </c>
      <c r="K1766">
        <v>4</v>
      </c>
      <c r="L1766">
        <v>0.14099999999999999</v>
      </c>
      <c r="M1766">
        <v>1</v>
      </c>
      <c r="N1766">
        <v>57</v>
      </c>
      <c r="P1766">
        <v>0</v>
      </c>
      <c r="Q1766">
        <v>2</v>
      </c>
      <c r="R1766">
        <v>3.2000000000000002E-3</v>
      </c>
      <c r="T1766" t="s">
        <v>5132</v>
      </c>
    </row>
    <row r="1767" spans="1:20" x14ac:dyDescent="0.2">
      <c r="A1767" t="s">
        <v>5135</v>
      </c>
      <c r="B1767" t="s">
        <v>2022</v>
      </c>
      <c r="C1767" t="s">
        <v>2104</v>
      </c>
      <c r="D1767" t="s">
        <v>2024</v>
      </c>
      <c r="E1767" t="s">
        <v>5132</v>
      </c>
      <c r="F1767" t="s">
        <v>5133</v>
      </c>
      <c r="G1767">
        <v>2</v>
      </c>
      <c r="H1767">
        <v>1712.5</v>
      </c>
      <c r="I1767">
        <v>2</v>
      </c>
      <c r="J1767">
        <v>3.25</v>
      </c>
      <c r="K1767">
        <v>3</v>
      </c>
      <c r="L1767">
        <v>9.0999999999999998E-2</v>
      </c>
      <c r="M1767">
        <v>2</v>
      </c>
      <c r="N1767">
        <v>65</v>
      </c>
      <c r="P1767">
        <v>0</v>
      </c>
      <c r="Q1767">
        <v>2</v>
      </c>
      <c r="R1767">
        <v>3.2000000000000002E-3</v>
      </c>
      <c r="T1767" t="s">
        <v>5132</v>
      </c>
    </row>
    <row r="1768" spans="1:20" x14ac:dyDescent="0.2">
      <c r="A1768" t="s">
        <v>5136</v>
      </c>
      <c r="B1768" t="s">
        <v>2022</v>
      </c>
      <c r="C1768" t="s">
        <v>2023</v>
      </c>
      <c r="D1768" t="s">
        <v>2024</v>
      </c>
      <c r="E1768" t="s">
        <v>5137</v>
      </c>
      <c r="F1768" t="s">
        <v>5138</v>
      </c>
      <c r="G1768">
        <v>5</v>
      </c>
      <c r="H1768">
        <v>1800</v>
      </c>
      <c r="I1768">
        <v>2</v>
      </c>
      <c r="J1768">
        <v>3.4</v>
      </c>
      <c r="K1768">
        <v>5</v>
      </c>
      <c r="L1768">
        <v>8.5999999999999993E-2</v>
      </c>
      <c r="M1768">
        <v>2</v>
      </c>
      <c r="N1768">
        <v>84</v>
      </c>
      <c r="O1768">
        <v>2</v>
      </c>
      <c r="P1768">
        <v>0.22500000000000001</v>
      </c>
      <c r="Q1768">
        <v>3</v>
      </c>
      <c r="R1768">
        <v>4.0000000000000001E-3</v>
      </c>
      <c r="T1768" t="s">
        <v>5137</v>
      </c>
    </row>
    <row r="1769" spans="1:20" x14ac:dyDescent="0.2">
      <c r="A1769" t="s">
        <v>5139</v>
      </c>
      <c r="B1769" t="s">
        <v>2022</v>
      </c>
      <c r="C1769" t="s">
        <v>2053</v>
      </c>
      <c r="D1769" t="s">
        <v>2024</v>
      </c>
      <c r="E1769" t="s">
        <v>357</v>
      </c>
      <c r="F1769" t="s">
        <v>447</v>
      </c>
      <c r="G1769">
        <v>5</v>
      </c>
      <c r="H1769">
        <v>1900</v>
      </c>
      <c r="I1769">
        <v>1</v>
      </c>
      <c r="J1769">
        <v>1.55</v>
      </c>
      <c r="K1769">
        <v>1</v>
      </c>
      <c r="L1769">
        <v>1.4999999999999999E-2</v>
      </c>
      <c r="M1769">
        <v>3</v>
      </c>
      <c r="N1769">
        <v>93</v>
      </c>
      <c r="O1769">
        <v>1</v>
      </c>
      <c r="P1769">
        <v>7.4999999999999997E-2</v>
      </c>
      <c r="Q1769">
        <v>1</v>
      </c>
      <c r="R1769">
        <v>8.4999999999999995E-4</v>
      </c>
      <c r="T1769" t="s">
        <v>357</v>
      </c>
    </row>
    <row r="1770" spans="1:20" x14ac:dyDescent="0.2">
      <c r="A1770" t="s">
        <v>5140</v>
      </c>
      <c r="B1770" t="s">
        <v>2022</v>
      </c>
      <c r="C1770" t="s">
        <v>2222</v>
      </c>
      <c r="D1770" t="s">
        <v>2024</v>
      </c>
      <c r="E1770" t="s">
        <v>5141</v>
      </c>
      <c r="F1770" t="s">
        <v>5142</v>
      </c>
      <c r="G1770">
        <v>3</v>
      </c>
      <c r="H1770">
        <v>1650</v>
      </c>
      <c r="I1770">
        <v>5</v>
      </c>
      <c r="J1770">
        <v>8.6999999999999993</v>
      </c>
      <c r="K1770">
        <v>4</v>
      </c>
      <c r="L1770">
        <v>0.19500000000000001</v>
      </c>
      <c r="M1770">
        <v>4</v>
      </c>
      <c r="N1770">
        <v>71</v>
      </c>
      <c r="O1770">
        <v>5</v>
      </c>
      <c r="P1770">
        <v>0.39</v>
      </c>
      <c r="Q1770">
        <v>4</v>
      </c>
      <c r="R1770">
        <v>8.3000000000000001E-3</v>
      </c>
      <c r="T1770" t="s">
        <v>5141</v>
      </c>
    </row>
    <row r="1771" spans="1:20" x14ac:dyDescent="0.2">
      <c r="A1771" t="s">
        <v>5143</v>
      </c>
      <c r="B1771" t="s">
        <v>2022</v>
      </c>
      <c r="C1771" t="s">
        <v>2023</v>
      </c>
      <c r="D1771" t="s">
        <v>2136</v>
      </c>
      <c r="E1771" t="s">
        <v>5144</v>
      </c>
      <c r="F1771" t="s">
        <v>447</v>
      </c>
      <c r="G1771">
        <v>5</v>
      </c>
      <c r="H1771">
        <v>1800</v>
      </c>
      <c r="I1771">
        <v>5</v>
      </c>
      <c r="J1771">
        <v>10.9</v>
      </c>
      <c r="K1771">
        <v>5</v>
      </c>
      <c r="L1771">
        <v>8.5999999999999993E-2</v>
      </c>
      <c r="M1771">
        <v>3</v>
      </c>
      <c r="N1771">
        <v>94</v>
      </c>
      <c r="O1771">
        <v>5</v>
      </c>
      <c r="P1771">
        <v>0.67500000000000004</v>
      </c>
      <c r="Q1771">
        <v>5</v>
      </c>
      <c r="R1771">
        <v>8.0000000000000002E-3</v>
      </c>
      <c r="T1771" t="s">
        <v>5144</v>
      </c>
    </row>
    <row r="1772" spans="1:20" x14ac:dyDescent="0.2">
      <c r="A1772" t="s">
        <v>5145</v>
      </c>
      <c r="B1772" t="s">
        <v>2022</v>
      </c>
      <c r="C1772" t="s">
        <v>2053</v>
      </c>
      <c r="D1772" t="s">
        <v>2024</v>
      </c>
      <c r="E1772" t="s">
        <v>5146</v>
      </c>
      <c r="F1772" t="s">
        <v>5147</v>
      </c>
      <c r="G1772">
        <v>3</v>
      </c>
      <c r="H1772">
        <v>1700</v>
      </c>
      <c r="I1772">
        <v>1</v>
      </c>
      <c r="J1772">
        <v>1.55</v>
      </c>
      <c r="K1772">
        <v>2</v>
      </c>
      <c r="L1772">
        <v>8.5000000000000006E-2</v>
      </c>
      <c r="M1772">
        <v>3</v>
      </c>
      <c r="N1772">
        <v>93</v>
      </c>
      <c r="O1772">
        <v>1</v>
      </c>
      <c r="P1772">
        <v>7.4999999999999997E-2</v>
      </c>
      <c r="Q1772">
        <v>2</v>
      </c>
      <c r="R1772">
        <v>5.1999999999999998E-3</v>
      </c>
      <c r="T1772" t="s">
        <v>5146</v>
      </c>
    </row>
    <row r="1773" spans="1:20" x14ac:dyDescent="0.2">
      <c r="A1773" t="s">
        <v>5148</v>
      </c>
      <c r="B1773" t="s">
        <v>2022</v>
      </c>
      <c r="C1773" t="s">
        <v>2257</v>
      </c>
      <c r="D1773" t="s">
        <v>2136</v>
      </c>
      <c r="E1773" t="s">
        <v>357</v>
      </c>
      <c r="F1773" t="s">
        <v>447</v>
      </c>
      <c r="G1773">
        <v>4</v>
      </c>
      <c r="H1773">
        <v>1200</v>
      </c>
      <c r="I1773">
        <v>2</v>
      </c>
      <c r="J1773">
        <v>1.75</v>
      </c>
      <c r="K1773">
        <v>2</v>
      </c>
      <c r="L1773">
        <v>3.6999999999999998E-2</v>
      </c>
      <c r="M1773">
        <v>1</v>
      </c>
      <c r="N1773">
        <v>300</v>
      </c>
      <c r="O1773">
        <v>1</v>
      </c>
      <c r="P1773">
        <v>0.3</v>
      </c>
      <c r="Q1773">
        <v>1</v>
      </c>
      <c r="R1773">
        <v>2E-3</v>
      </c>
      <c r="T1773" t="s">
        <v>357</v>
      </c>
    </row>
    <row r="1774" spans="1:20" x14ac:dyDescent="0.2">
      <c r="A1774" t="s">
        <v>5149</v>
      </c>
      <c r="B1774" t="s">
        <v>2022</v>
      </c>
      <c r="C1774" t="s">
        <v>2053</v>
      </c>
      <c r="D1774" t="s">
        <v>2024</v>
      </c>
      <c r="E1774" t="s">
        <v>5150</v>
      </c>
      <c r="F1774" t="s">
        <v>5151</v>
      </c>
      <c r="G1774">
        <v>2</v>
      </c>
      <c r="H1774">
        <v>1600</v>
      </c>
      <c r="I1774">
        <v>1</v>
      </c>
      <c r="J1774">
        <v>1.55</v>
      </c>
      <c r="K1774">
        <v>1</v>
      </c>
      <c r="L1774">
        <v>1.4999999999999999E-2</v>
      </c>
      <c r="M1774">
        <v>1</v>
      </c>
      <c r="N1774">
        <v>73</v>
      </c>
      <c r="O1774">
        <v>1</v>
      </c>
      <c r="P1774">
        <v>7.4999999999999997E-2</v>
      </c>
      <c r="Q1774">
        <v>1</v>
      </c>
      <c r="R1774">
        <v>8.4999999999999995E-4</v>
      </c>
      <c r="T1774" t="s">
        <v>5150</v>
      </c>
    </row>
    <row r="1775" spans="1:20" x14ac:dyDescent="0.2">
      <c r="A1775" t="s">
        <v>5152</v>
      </c>
      <c r="B1775" t="s">
        <v>2022</v>
      </c>
      <c r="C1775" t="s">
        <v>2053</v>
      </c>
      <c r="D1775" t="s">
        <v>2024</v>
      </c>
      <c r="E1775" t="s">
        <v>5153</v>
      </c>
      <c r="F1775" t="s">
        <v>447</v>
      </c>
      <c r="G1775">
        <v>1</v>
      </c>
      <c r="H1775">
        <v>1500</v>
      </c>
      <c r="I1775">
        <v>1</v>
      </c>
      <c r="J1775">
        <v>1.55</v>
      </c>
      <c r="K1775">
        <v>1</v>
      </c>
      <c r="L1775">
        <v>1.4999999999999999E-2</v>
      </c>
      <c r="M1775">
        <v>5</v>
      </c>
      <c r="N1775">
        <v>113</v>
      </c>
      <c r="O1775">
        <v>1</v>
      </c>
      <c r="P1775">
        <v>7.4999999999999997E-2</v>
      </c>
      <c r="Q1775">
        <v>1</v>
      </c>
      <c r="R1775">
        <v>8.4999999999999995E-4</v>
      </c>
      <c r="T1775" t="s">
        <v>5153</v>
      </c>
    </row>
    <row r="1776" spans="1:20" x14ac:dyDescent="0.2">
      <c r="A1776" t="s">
        <v>5154</v>
      </c>
      <c r="B1776" t="s">
        <v>2022</v>
      </c>
      <c r="C1776" t="s">
        <v>2023</v>
      </c>
      <c r="D1776" t="s">
        <v>2024</v>
      </c>
      <c r="E1776" t="s">
        <v>5155</v>
      </c>
      <c r="F1776" t="s">
        <v>5156</v>
      </c>
      <c r="G1776">
        <v>5</v>
      </c>
      <c r="H1776">
        <v>1800</v>
      </c>
      <c r="I1776">
        <v>3</v>
      </c>
      <c r="J1776">
        <v>5.9</v>
      </c>
      <c r="K1776">
        <v>4</v>
      </c>
      <c r="L1776">
        <v>6.6000000000000003E-2</v>
      </c>
      <c r="M1776">
        <v>2</v>
      </c>
      <c r="N1776">
        <v>84</v>
      </c>
      <c r="O1776">
        <v>2</v>
      </c>
      <c r="P1776">
        <v>0.22500000000000001</v>
      </c>
      <c r="Q1776">
        <v>2</v>
      </c>
      <c r="R1776">
        <v>2E-3</v>
      </c>
      <c r="T1776" t="s">
        <v>5155</v>
      </c>
    </row>
    <row r="1777" spans="1:20" x14ac:dyDescent="0.2">
      <c r="A1777" t="s">
        <v>5157</v>
      </c>
      <c r="B1777" t="s">
        <v>2022</v>
      </c>
      <c r="C1777" t="s">
        <v>2053</v>
      </c>
      <c r="D1777" t="s">
        <v>2136</v>
      </c>
      <c r="E1777" t="s">
        <v>5158</v>
      </c>
      <c r="F1777" t="s">
        <v>5159</v>
      </c>
      <c r="G1777">
        <v>1</v>
      </c>
      <c r="H1777">
        <v>1500</v>
      </c>
      <c r="I1777">
        <v>1</v>
      </c>
      <c r="J1777">
        <v>1.55</v>
      </c>
      <c r="K1777">
        <v>1</v>
      </c>
      <c r="L1777">
        <v>1.4999999999999999E-2</v>
      </c>
      <c r="M1777">
        <v>5</v>
      </c>
      <c r="N1777">
        <v>113</v>
      </c>
      <c r="O1777">
        <v>1</v>
      </c>
      <c r="P1777">
        <v>7.4999999999999997E-2</v>
      </c>
      <c r="Q1777">
        <v>1</v>
      </c>
      <c r="R1777">
        <v>8.4999999999999995E-4</v>
      </c>
      <c r="T1777" t="s">
        <v>5158</v>
      </c>
    </row>
    <row r="1778" spans="1:20" x14ac:dyDescent="0.2">
      <c r="A1778" t="s">
        <v>5160</v>
      </c>
      <c r="B1778" t="s">
        <v>2022</v>
      </c>
      <c r="C1778" t="s">
        <v>2036</v>
      </c>
      <c r="D1778" t="s">
        <v>2024</v>
      </c>
      <c r="E1778" t="s">
        <v>5161</v>
      </c>
      <c r="F1778" t="s">
        <v>5162</v>
      </c>
      <c r="G1778">
        <v>1</v>
      </c>
      <c r="H1778">
        <v>1540</v>
      </c>
      <c r="I1778">
        <v>1</v>
      </c>
      <c r="J1778">
        <v>2.2000000000000002</v>
      </c>
      <c r="K1778">
        <v>1</v>
      </c>
      <c r="L1778">
        <v>5.5E-2</v>
      </c>
      <c r="M1778">
        <v>1</v>
      </c>
      <c r="N1778">
        <v>76</v>
      </c>
      <c r="O1778">
        <v>1</v>
      </c>
      <c r="P1778">
        <v>9.5000000000000001E-2</v>
      </c>
      <c r="Q1778">
        <v>2</v>
      </c>
      <c r="R1778">
        <v>4.2500000000000003E-3</v>
      </c>
      <c r="T1778" t="s">
        <v>5161</v>
      </c>
    </row>
    <row r="1779" spans="1:20" x14ac:dyDescent="0.2">
      <c r="A1779" t="s">
        <v>5163</v>
      </c>
      <c r="B1779" t="s">
        <v>2022</v>
      </c>
      <c r="C1779" t="s">
        <v>2023</v>
      </c>
      <c r="D1779" t="s">
        <v>2024</v>
      </c>
      <c r="E1779" t="s">
        <v>5164</v>
      </c>
      <c r="F1779" t="s">
        <v>5165</v>
      </c>
      <c r="G1779">
        <v>1</v>
      </c>
      <c r="H1779">
        <v>1480</v>
      </c>
      <c r="I1779">
        <v>2</v>
      </c>
      <c r="J1779">
        <v>3.4</v>
      </c>
      <c r="K1779">
        <v>5</v>
      </c>
      <c r="L1779">
        <v>8.5999999999999993E-2</v>
      </c>
      <c r="M1779">
        <v>3</v>
      </c>
      <c r="N1779">
        <v>94</v>
      </c>
      <c r="O1779">
        <v>2</v>
      </c>
      <c r="P1779">
        <v>0.22500000000000001</v>
      </c>
      <c r="Q1779">
        <v>5</v>
      </c>
      <c r="R1779">
        <v>8.0000000000000002E-3</v>
      </c>
      <c r="T1779" t="s">
        <v>5164</v>
      </c>
    </row>
    <row r="1780" spans="1:20" x14ac:dyDescent="0.2">
      <c r="A1780" t="s">
        <v>5166</v>
      </c>
      <c r="B1780" t="s">
        <v>2022</v>
      </c>
      <c r="C1780" t="s">
        <v>2101</v>
      </c>
      <c r="D1780" t="s">
        <v>2024</v>
      </c>
      <c r="E1780" t="s">
        <v>5167</v>
      </c>
      <c r="F1780" t="s">
        <v>5168</v>
      </c>
      <c r="G1780">
        <v>5</v>
      </c>
      <c r="H1780">
        <v>1970</v>
      </c>
      <c r="I1780">
        <v>4</v>
      </c>
      <c r="J1780">
        <v>11</v>
      </c>
      <c r="K1780">
        <v>5</v>
      </c>
      <c r="L1780">
        <v>0.53749999999999998</v>
      </c>
      <c r="M1780">
        <v>4</v>
      </c>
      <c r="N1780">
        <v>90</v>
      </c>
      <c r="O1780">
        <v>4</v>
      </c>
      <c r="P1780">
        <v>0.52500000000000002</v>
      </c>
      <c r="Q1780">
        <v>4</v>
      </c>
      <c r="R1780">
        <v>1.8499999999999999E-2</v>
      </c>
      <c r="T1780" t="s">
        <v>5167</v>
      </c>
    </row>
    <row r="1781" spans="1:20" x14ac:dyDescent="0.2">
      <c r="A1781" t="s">
        <v>5169</v>
      </c>
      <c r="B1781" t="s">
        <v>2022</v>
      </c>
      <c r="C1781" t="s">
        <v>2023</v>
      </c>
      <c r="D1781" t="s">
        <v>2136</v>
      </c>
      <c r="E1781" t="s">
        <v>5170</v>
      </c>
      <c r="F1781" t="s">
        <v>5171</v>
      </c>
      <c r="G1781">
        <v>1</v>
      </c>
      <c r="H1781">
        <v>1480</v>
      </c>
      <c r="I1781">
        <v>2</v>
      </c>
      <c r="J1781">
        <v>3.4</v>
      </c>
      <c r="K1781">
        <v>2</v>
      </c>
      <c r="L1781">
        <v>2.5999999999999999E-2</v>
      </c>
      <c r="M1781">
        <v>5</v>
      </c>
      <c r="N1781">
        <v>114</v>
      </c>
      <c r="O1781">
        <v>2</v>
      </c>
      <c r="P1781">
        <v>0.22500000000000001</v>
      </c>
      <c r="Q1781">
        <v>2</v>
      </c>
      <c r="R1781">
        <v>2E-3</v>
      </c>
      <c r="T1781" t="s">
        <v>5170</v>
      </c>
    </row>
    <row r="1782" spans="1:20" x14ac:dyDescent="0.2">
      <c r="A1782" t="s">
        <v>5172</v>
      </c>
      <c r="B1782" t="s">
        <v>2022</v>
      </c>
      <c r="C1782" t="s">
        <v>2023</v>
      </c>
      <c r="D1782" t="s">
        <v>2024</v>
      </c>
      <c r="E1782" t="s">
        <v>5173</v>
      </c>
      <c r="F1782" t="s">
        <v>5174</v>
      </c>
      <c r="G1782">
        <v>3</v>
      </c>
      <c r="H1782">
        <v>1640</v>
      </c>
      <c r="I1782">
        <v>3</v>
      </c>
      <c r="J1782">
        <v>5.9</v>
      </c>
      <c r="K1782">
        <v>5</v>
      </c>
      <c r="L1782">
        <v>8.5999999999999993E-2</v>
      </c>
      <c r="M1782">
        <v>4</v>
      </c>
      <c r="N1782">
        <v>104</v>
      </c>
      <c r="O1782">
        <v>2</v>
      </c>
      <c r="P1782">
        <v>0.22500000000000001</v>
      </c>
      <c r="Q1782">
        <v>5</v>
      </c>
      <c r="R1782">
        <v>8.0000000000000002E-3</v>
      </c>
      <c r="T1782" t="s">
        <v>5173</v>
      </c>
    </row>
    <row r="1783" spans="1:20" x14ac:dyDescent="0.2">
      <c r="A1783" t="s">
        <v>5175</v>
      </c>
      <c r="B1783" t="s">
        <v>2022</v>
      </c>
      <c r="C1783" t="s">
        <v>2053</v>
      </c>
      <c r="D1783" t="s">
        <v>2024</v>
      </c>
      <c r="E1783" t="s">
        <v>5176</v>
      </c>
      <c r="F1783" t="s">
        <v>5177</v>
      </c>
      <c r="G1783">
        <v>2</v>
      </c>
      <c r="H1783">
        <v>1600</v>
      </c>
      <c r="I1783">
        <v>2</v>
      </c>
      <c r="J1783">
        <v>4.05</v>
      </c>
      <c r="K1783">
        <v>2</v>
      </c>
      <c r="L1783">
        <v>8.5000000000000006E-2</v>
      </c>
      <c r="M1783">
        <v>2</v>
      </c>
      <c r="N1783">
        <v>83</v>
      </c>
      <c r="O1783">
        <v>2</v>
      </c>
      <c r="P1783">
        <v>0.22500000000000001</v>
      </c>
      <c r="Q1783">
        <v>2</v>
      </c>
      <c r="R1783">
        <v>5.1999999999999998E-3</v>
      </c>
      <c r="T1783" t="s">
        <v>5176</v>
      </c>
    </row>
    <row r="1784" spans="1:20" x14ac:dyDescent="0.2">
      <c r="A1784" t="s">
        <v>5178</v>
      </c>
      <c r="B1784" t="s">
        <v>2022</v>
      </c>
      <c r="C1784" t="s">
        <v>2053</v>
      </c>
      <c r="D1784" t="s">
        <v>2024</v>
      </c>
      <c r="E1784" t="s">
        <v>5179</v>
      </c>
      <c r="F1784" t="s">
        <v>5180</v>
      </c>
      <c r="G1784">
        <v>3</v>
      </c>
      <c r="H1784">
        <v>1700</v>
      </c>
      <c r="I1784">
        <v>3</v>
      </c>
      <c r="J1784">
        <v>6.55</v>
      </c>
      <c r="K1784">
        <v>2</v>
      </c>
      <c r="L1784">
        <v>8.5000000000000006E-2</v>
      </c>
      <c r="M1784">
        <v>1</v>
      </c>
      <c r="N1784">
        <v>73</v>
      </c>
      <c r="O1784">
        <v>2</v>
      </c>
      <c r="P1784">
        <v>0.22500000000000001</v>
      </c>
      <c r="Q1784">
        <v>2</v>
      </c>
      <c r="R1784">
        <v>5.1999999999999998E-3</v>
      </c>
      <c r="T1784" t="s">
        <v>5179</v>
      </c>
    </row>
    <row r="1785" spans="1:20" x14ac:dyDescent="0.2">
      <c r="A1785" t="s">
        <v>5181</v>
      </c>
      <c r="B1785" t="s">
        <v>2022</v>
      </c>
      <c r="C1785" t="s">
        <v>2053</v>
      </c>
      <c r="D1785" t="s">
        <v>2024</v>
      </c>
      <c r="E1785" t="s">
        <v>5182</v>
      </c>
      <c r="F1785" t="s">
        <v>5183</v>
      </c>
      <c r="G1785">
        <v>1</v>
      </c>
      <c r="H1785">
        <v>1500</v>
      </c>
      <c r="I1785">
        <v>2</v>
      </c>
      <c r="J1785">
        <v>4.05</v>
      </c>
      <c r="K1785">
        <v>1</v>
      </c>
      <c r="L1785">
        <v>1.4999999999999999E-2</v>
      </c>
      <c r="M1785">
        <v>1</v>
      </c>
      <c r="N1785">
        <v>73</v>
      </c>
      <c r="O1785">
        <v>1</v>
      </c>
      <c r="P1785">
        <v>7.4999999999999997E-2</v>
      </c>
      <c r="Q1785">
        <v>1</v>
      </c>
      <c r="R1785">
        <v>8.4999999999999995E-4</v>
      </c>
      <c r="T1785" t="s">
        <v>5182</v>
      </c>
    </row>
    <row r="1786" spans="1:20" x14ac:dyDescent="0.2">
      <c r="A1786" t="s">
        <v>5184</v>
      </c>
      <c r="B1786" t="s">
        <v>2022</v>
      </c>
      <c r="C1786" t="s">
        <v>2023</v>
      </c>
      <c r="D1786" t="s">
        <v>2024</v>
      </c>
      <c r="E1786" t="s">
        <v>5185</v>
      </c>
      <c r="F1786" t="s">
        <v>5186</v>
      </c>
      <c r="G1786">
        <v>1</v>
      </c>
      <c r="H1786">
        <v>1480</v>
      </c>
      <c r="I1786">
        <v>1</v>
      </c>
      <c r="J1786">
        <v>0.9</v>
      </c>
      <c r="K1786">
        <v>3</v>
      </c>
      <c r="L1786">
        <v>4.5999999999999999E-2</v>
      </c>
      <c r="M1786">
        <v>1</v>
      </c>
      <c r="N1786">
        <v>74</v>
      </c>
      <c r="O1786">
        <v>1</v>
      </c>
      <c r="P1786">
        <v>7.4999999999999997E-2</v>
      </c>
      <c r="Q1786">
        <v>2</v>
      </c>
      <c r="R1786">
        <v>2E-3</v>
      </c>
      <c r="T1786" t="s">
        <v>5185</v>
      </c>
    </row>
    <row r="1787" spans="1:20" x14ac:dyDescent="0.2">
      <c r="A1787" t="s">
        <v>5187</v>
      </c>
      <c r="B1787" t="s">
        <v>2022</v>
      </c>
      <c r="C1787" t="s">
        <v>2053</v>
      </c>
      <c r="D1787" t="s">
        <v>2024</v>
      </c>
      <c r="E1787" t="s">
        <v>5188</v>
      </c>
      <c r="F1787" t="s">
        <v>5189</v>
      </c>
      <c r="G1787">
        <v>2</v>
      </c>
      <c r="H1787">
        <v>1600</v>
      </c>
      <c r="I1787">
        <v>5</v>
      </c>
      <c r="J1787">
        <v>11.55</v>
      </c>
      <c r="K1787">
        <v>5</v>
      </c>
      <c r="L1787">
        <v>0.41499999999999998</v>
      </c>
      <c r="M1787">
        <v>3</v>
      </c>
      <c r="N1787">
        <v>93</v>
      </c>
      <c r="O1787">
        <v>5</v>
      </c>
      <c r="P1787">
        <v>0.67500000000000004</v>
      </c>
      <c r="Q1787">
        <v>5</v>
      </c>
      <c r="R1787">
        <v>2.6200000000000001E-2</v>
      </c>
      <c r="T1787" t="s">
        <v>5188</v>
      </c>
    </row>
    <row r="1788" spans="1:20" x14ac:dyDescent="0.2">
      <c r="A1788" t="s">
        <v>5190</v>
      </c>
      <c r="B1788" t="s">
        <v>2022</v>
      </c>
      <c r="C1788" t="s">
        <v>2053</v>
      </c>
      <c r="D1788" t="s">
        <v>2024</v>
      </c>
      <c r="E1788" t="s">
        <v>5191</v>
      </c>
      <c r="F1788" t="s">
        <v>5192</v>
      </c>
      <c r="G1788">
        <v>2</v>
      </c>
      <c r="H1788">
        <v>1600</v>
      </c>
      <c r="I1788">
        <v>2</v>
      </c>
      <c r="J1788">
        <v>4.05</v>
      </c>
      <c r="K1788">
        <v>2</v>
      </c>
      <c r="L1788">
        <v>8.5000000000000006E-2</v>
      </c>
      <c r="M1788">
        <v>1</v>
      </c>
      <c r="N1788">
        <v>73</v>
      </c>
      <c r="O1788">
        <v>1</v>
      </c>
      <c r="P1788">
        <v>7.4999999999999997E-2</v>
      </c>
      <c r="Q1788">
        <v>2</v>
      </c>
      <c r="R1788">
        <v>5.1999999999999998E-3</v>
      </c>
      <c r="T1788" t="s">
        <v>5191</v>
      </c>
    </row>
    <row r="1789" spans="1:20" x14ac:dyDescent="0.2">
      <c r="A1789" t="s">
        <v>5193</v>
      </c>
      <c r="B1789" t="s">
        <v>2022</v>
      </c>
      <c r="C1789" t="s">
        <v>2036</v>
      </c>
      <c r="D1789" t="s">
        <v>2024</v>
      </c>
      <c r="E1789" t="s">
        <v>5194</v>
      </c>
      <c r="F1789" t="s">
        <v>5195</v>
      </c>
      <c r="G1789">
        <v>1</v>
      </c>
      <c r="H1789">
        <v>1540</v>
      </c>
      <c r="I1789">
        <v>2</v>
      </c>
      <c r="J1789">
        <v>3.4</v>
      </c>
      <c r="K1789">
        <v>2</v>
      </c>
      <c r="L1789">
        <v>8.5000000000000006E-2</v>
      </c>
      <c r="M1789">
        <v>1</v>
      </c>
      <c r="N1789">
        <v>76</v>
      </c>
      <c r="O1789">
        <v>1</v>
      </c>
      <c r="P1789">
        <v>9.5000000000000001E-2</v>
      </c>
      <c r="Q1789">
        <v>2</v>
      </c>
      <c r="R1789">
        <v>4.2500000000000003E-3</v>
      </c>
      <c r="T1789" t="s">
        <v>5194</v>
      </c>
    </row>
    <row r="1790" spans="1:20" x14ac:dyDescent="0.2">
      <c r="A1790" t="s">
        <v>5196</v>
      </c>
      <c r="B1790" t="s">
        <v>2022</v>
      </c>
      <c r="C1790" t="s">
        <v>2036</v>
      </c>
      <c r="D1790" t="s">
        <v>2024</v>
      </c>
      <c r="E1790" t="s">
        <v>5197</v>
      </c>
      <c r="F1790" t="s">
        <v>5198</v>
      </c>
      <c r="G1790">
        <v>1</v>
      </c>
      <c r="H1790">
        <v>1540</v>
      </c>
      <c r="I1790">
        <v>1</v>
      </c>
      <c r="J1790">
        <v>2.2000000000000002</v>
      </c>
      <c r="K1790">
        <v>1</v>
      </c>
      <c r="L1790">
        <v>5.5E-2</v>
      </c>
      <c r="M1790">
        <v>1</v>
      </c>
      <c r="N1790">
        <v>76</v>
      </c>
      <c r="O1790">
        <v>1</v>
      </c>
      <c r="P1790">
        <v>9.5000000000000001E-2</v>
      </c>
      <c r="Q1790">
        <v>1</v>
      </c>
      <c r="R1790">
        <v>1.5E-3</v>
      </c>
      <c r="T1790" t="s">
        <v>5197</v>
      </c>
    </row>
    <row r="1791" spans="1:20" x14ac:dyDescent="0.2">
      <c r="A1791" t="s">
        <v>5199</v>
      </c>
      <c r="B1791" t="s">
        <v>2022</v>
      </c>
      <c r="C1791" t="s">
        <v>2023</v>
      </c>
      <c r="D1791" t="s">
        <v>2024</v>
      </c>
      <c r="E1791" t="s">
        <v>5200</v>
      </c>
      <c r="F1791" t="s">
        <v>5201</v>
      </c>
      <c r="G1791">
        <v>5</v>
      </c>
      <c r="H1791">
        <v>1800</v>
      </c>
      <c r="I1791">
        <v>5</v>
      </c>
      <c r="J1791">
        <v>10.9</v>
      </c>
      <c r="K1791">
        <v>5</v>
      </c>
      <c r="L1791">
        <v>8.5999999999999993E-2</v>
      </c>
      <c r="M1791">
        <v>5</v>
      </c>
      <c r="N1791">
        <v>114</v>
      </c>
      <c r="O1791">
        <v>5</v>
      </c>
      <c r="P1791">
        <v>0.67500000000000004</v>
      </c>
      <c r="Q1791">
        <v>5</v>
      </c>
      <c r="R1791">
        <v>8.0000000000000002E-3</v>
      </c>
      <c r="T1791" t="s">
        <v>5200</v>
      </c>
    </row>
    <row r="1792" spans="1:20" x14ac:dyDescent="0.2">
      <c r="A1792" t="s">
        <v>5202</v>
      </c>
      <c r="B1792" t="s">
        <v>2022</v>
      </c>
      <c r="C1792" t="s">
        <v>2049</v>
      </c>
      <c r="D1792" t="s">
        <v>2136</v>
      </c>
      <c r="E1792" t="s">
        <v>5203</v>
      </c>
      <c r="F1792" t="s">
        <v>5204</v>
      </c>
      <c r="G1792">
        <v>4</v>
      </c>
      <c r="H1792">
        <v>1650</v>
      </c>
      <c r="I1792">
        <v>5</v>
      </c>
      <c r="J1792">
        <v>8.6</v>
      </c>
      <c r="K1792">
        <v>4</v>
      </c>
      <c r="L1792">
        <v>0.22</v>
      </c>
      <c r="M1792">
        <v>3</v>
      </c>
      <c r="N1792">
        <v>126</v>
      </c>
      <c r="O1792">
        <v>5</v>
      </c>
      <c r="P1792">
        <v>0.86</v>
      </c>
      <c r="Q1792">
        <v>3</v>
      </c>
      <c r="R1792">
        <v>1.52E-2</v>
      </c>
      <c r="T1792" t="s">
        <v>5203</v>
      </c>
    </row>
    <row r="1793" spans="1:20" x14ac:dyDescent="0.2">
      <c r="A1793" t="s">
        <v>5205</v>
      </c>
      <c r="B1793" t="s">
        <v>2022</v>
      </c>
      <c r="C1793" t="s">
        <v>2023</v>
      </c>
      <c r="D1793" t="s">
        <v>2024</v>
      </c>
      <c r="E1793" t="s">
        <v>5206</v>
      </c>
      <c r="F1793" t="s">
        <v>5207</v>
      </c>
      <c r="G1793">
        <v>1</v>
      </c>
      <c r="H1793">
        <v>1480</v>
      </c>
      <c r="I1793">
        <v>1</v>
      </c>
      <c r="J1793">
        <v>0.9</v>
      </c>
      <c r="K1793">
        <v>1</v>
      </c>
      <c r="L1793">
        <v>6.0000000000000001E-3</v>
      </c>
      <c r="M1793">
        <v>2</v>
      </c>
      <c r="N1793">
        <v>84</v>
      </c>
      <c r="O1793">
        <v>1</v>
      </c>
      <c r="P1793">
        <v>7.4999999999999997E-2</v>
      </c>
      <c r="Q1793">
        <v>1</v>
      </c>
      <c r="R1793">
        <v>5.0000000000000001E-4</v>
      </c>
      <c r="T1793" t="s">
        <v>5206</v>
      </c>
    </row>
    <row r="1794" spans="1:20" x14ac:dyDescent="0.2">
      <c r="A1794" t="s">
        <v>5208</v>
      </c>
      <c r="B1794" t="s">
        <v>2022</v>
      </c>
      <c r="C1794" t="s">
        <v>2036</v>
      </c>
      <c r="D1794" t="s">
        <v>2024</v>
      </c>
      <c r="E1794" t="s">
        <v>5209</v>
      </c>
      <c r="F1794" t="s">
        <v>5210</v>
      </c>
      <c r="G1794">
        <v>1</v>
      </c>
      <c r="H1794">
        <v>1540</v>
      </c>
      <c r="I1794">
        <v>1</v>
      </c>
      <c r="J1794">
        <v>2.2000000000000002</v>
      </c>
      <c r="K1794">
        <v>1</v>
      </c>
      <c r="L1794">
        <v>5.5E-2</v>
      </c>
      <c r="M1794">
        <v>1</v>
      </c>
      <c r="N1794">
        <v>76</v>
      </c>
      <c r="O1794">
        <v>1</v>
      </c>
      <c r="P1794">
        <v>9.5000000000000001E-2</v>
      </c>
      <c r="Q1794">
        <v>1</v>
      </c>
      <c r="R1794">
        <v>1.5E-3</v>
      </c>
      <c r="T1794" t="s">
        <v>5209</v>
      </c>
    </row>
    <row r="1795" spans="1:20" x14ac:dyDescent="0.2">
      <c r="A1795" t="s">
        <v>5211</v>
      </c>
      <c r="B1795" t="s">
        <v>2022</v>
      </c>
      <c r="C1795" t="s">
        <v>2101</v>
      </c>
      <c r="D1795" t="s">
        <v>2024</v>
      </c>
      <c r="E1795" t="s">
        <v>5212</v>
      </c>
      <c r="F1795" t="s">
        <v>5213</v>
      </c>
      <c r="G1795">
        <v>2</v>
      </c>
      <c r="H1795">
        <v>1670</v>
      </c>
      <c r="I1795">
        <v>4</v>
      </c>
      <c r="J1795">
        <v>11</v>
      </c>
      <c r="K1795">
        <v>3</v>
      </c>
      <c r="L1795">
        <v>0.24349999999999999</v>
      </c>
      <c r="M1795">
        <v>2</v>
      </c>
      <c r="N1795">
        <v>74</v>
      </c>
      <c r="O1795">
        <v>4</v>
      </c>
      <c r="P1795">
        <v>0.52500000000000002</v>
      </c>
      <c r="Q1795">
        <v>3</v>
      </c>
      <c r="R1795">
        <v>1.15E-2</v>
      </c>
      <c r="T1795" t="s">
        <v>5212</v>
      </c>
    </row>
    <row r="1796" spans="1:20" x14ac:dyDescent="0.2">
      <c r="A1796" t="s">
        <v>5214</v>
      </c>
      <c r="B1796" t="s">
        <v>2022</v>
      </c>
      <c r="C1796" t="s">
        <v>2053</v>
      </c>
      <c r="D1796" t="s">
        <v>2024</v>
      </c>
      <c r="E1796" t="s">
        <v>5215</v>
      </c>
      <c r="F1796" t="s">
        <v>5216</v>
      </c>
      <c r="G1796">
        <v>3</v>
      </c>
      <c r="H1796">
        <v>1700</v>
      </c>
      <c r="I1796">
        <v>3</v>
      </c>
      <c r="J1796">
        <v>6.55</v>
      </c>
      <c r="K1796">
        <v>2</v>
      </c>
      <c r="L1796">
        <v>8.5000000000000006E-2</v>
      </c>
      <c r="M1796">
        <v>3</v>
      </c>
      <c r="N1796">
        <v>93</v>
      </c>
      <c r="O1796">
        <v>3</v>
      </c>
      <c r="P1796">
        <v>0.375</v>
      </c>
      <c r="Q1796">
        <v>2</v>
      </c>
      <c r="R1796">
        <v>5.1999999999999998E-3</v>
      </c>
      <c r="T1796" t="s">
        <v>5215</v>
      </c>
    </row>
    <row r="1797" spans="1:20" x14ac:dyDescent="0.2">
      <c r="A1797" t="s">
        <v>5217</v>
      </c>
      <c r="B1797" t="s">
        <v>2022</v>
      </c>
      <c r="C1797" t="s">
        <v>2036</v>
      </c>
      <c r="D1797" t="s">
        <v>2024</v>
      </c>
      <c r="E1797" t="s">
        <v>5218</v>
      </c>
      <c r="F1797" t="s">
        <v>5219</v>
      </c>
      <c r="G1797">
        <v>1</v>
      </c>
      <c r="H1797">
        <v>1540</v>
      </c>
      <c r="I1797">
        <v>2</v>
      </c>
      <c r="J1797">
        <v>3.4</v>
      </c>
      <c r="K1797">
        <v>1</v>
      </c>
      <c r="L1797">
        <v>5.5E-2</v>
      </c>
      <c r="M1797">
        <v>1</v>
      </c>
      <c r="N1797">
        <v>76</v>
      </c>
      <c r="O1797">
        <v>2</v>
      </c>
      <c r="P1797">
        <v>0.20499999999999999</v>
      </c>
      <c r="Q1797">
        <v>1</v>
      </c>
      <c r="R1797">
        <v>1.5E-3</v>
      </c>
      <c r="T1797" t="s">
        <v>5218</v>
      </c>
    </row>
    <row r="1798" spans="1:20" x14ac:dyDescent="0.2">
      <c r="A1798" t="s">
        <v>5220</v>
      </c>
      <c r="B1798" t="s">
        <v>2022</v>
      </c>
      <c r="C1798" t="s">
        <v>2036</v>
      </c>
      <c r="D1798" t="s">
        <v>2024</v>
      </c>
      <c r="E1798" t="s">
        <v>5221</v>
      </c>
      <c r="F1798" t="s">
        <v>447</v>
      </c>
      <c r="G1798">
        <v>4</v>
      </c>
      <c r="H1798">
        <v>1840</v>
      </c>
      <c r="I1798">
        <v>5</v>
      </c>
      <c r="J1798">
        <v>7</v>
      </c>
      <c r="K1798">
        <v>5</v>
      </c>
      <c r="L1798">
        <v>0.17499999999999999</v>
      </c>
      <c r="M1798">
        <v>2</v>
      </c>
      <c r="N1798">
        <v>82</v>
      </c>
      <c r="O1798">
        <v>3</v>
      </c>
      <c r="P1798">
        <v>0.315</v>
      </c>
      <c r="Q1798">
        <v>4</v>
      </c>
      <c r="R1798">
        <v>9.2499999999999995E-3</v>
      </c>
      <c r="T1798" t="s">
        <v>5221</v>
      </c>
    </row>
    <row r="1799" spans="1:20" x14ac:dyDescent="0.2">
      <c r="A1799" t="s">
        <v>5222</v>
      </c>
      <c r="B1799" t="s">
        <v>2022</v>
      </c>
      <c r="C1799" t="s">
        <v>2023</v>
      </c>
      <c r="D1799" t="s">
        <v>2024</v>
      </c>
      <c r="E1799" t="s">
        <v>5223</v>
      </c>
      <c r="F1799" t="s">
        <v>5224</v>
      </c>
      <c r="G1799">
        <v>4</v>
      </c>
      <c r="H1799">
        <v>1720</v>
      </c>
      <c r="I1799">
        <v>5</v>
      </c>
      <c r="J1799">
        <v>10.9</v>
      </c>
      <c r="K1799">
        <v>5</v>
      </c>
      <c r="L1799">
        <v>8.5999999999999993E-2</v>
      </c>
      <c r="M1799">
        <v>3</v>
      </c>
      <c r="N1799">
        <v>94</v>
      </c>
      <c r="O1799">
        <v>5</v>
      </c>
      <c r="P1799">
        <v>0.67500000000000004</v>
      </c>
      <c r="Q1799">
        <v>5</v>
      </c>
      <c r="R1799">
        <v>8.0000000000000002E-3</v>
      </c>
      <c r="T1799" t="s">
        <v>5223</v>
      </c>
    </row>
    <row r="1800" spans="1:20" x14ac:dyDescent="0.2">
      <c r="A1800" t="s">
        <v>5225</v>
      </c>
      <c r="B1800" t="s">
        <v>2022</v>
      </c>
      <c r="C1800" t="s">
        <v>2101</v>
      </c>
      <c r="D1800" t="s">
        <v>2024</v>
      </c>
      <c r="E1800" t="s">
        <v>5226</v>
      </c>
      <c r="F1800" t="s">
        <v>5227</v>
      </c>
      <c r="G1800">
        <v>4</v>
      </c>
      <c r="H1800">
        <v>1870</v>
      </c>
      <c r="I1800">
        <v>2</v>
      </c>
      <c r="J1800">
        <v>5</v>
      </c>
      <c r="K1800">
        <v>1</v>
      </c>
      <c r="L1800">
        <v>1.15E-2</v>
      </c>
      <c r="M1800">
        <v>3</v>
      </c>
      <c r="N1800">
        <v>82</v>
      </c>
      <c r="O1800">
        <v>2</v>
      </c>
      <c r="P1800">
        <v>0.22500000000000001</v>
      </c>
      <c r="Q1800">
        <v>1</v>
      </c>
      <c r="R1800">
        <v>5.0000000000000001E-4</v>
      </c>
      <c r="T1800" t="s">
        <v>5226</v>
      </c>
    </row>
    <row r="1801" spans="1:20" x14ac:dyDescent="0.2">
      <c r="A1801" t="s">
        <v>5228</v>
      </c>
      <c r="B1801" t="s">
        <v>2022</v>
      </c>
      <c r="C1801" t="s">
        <v>2036</v>
      </c>
      <c r="D1801" t="s">
        <v>2024</v>
      </c>
      <c r="E1801" t="s">
        <v>5229</v>
      </c>
      <c r="F1801" t="s">
        <v>5230</v>
      </c>
      <c r="G1801">
        <v>1</v>
      </c>
      <c r="H1801">
        <v>1540</v>
      </c>
      <c r="I1801">
        <v>1</v>
      </c>
      <c r="J1801">
        <v>2.2000000000000002</v>
      </c>
      <c r="K1801">
        <v>1</v>
      </c>
      <c r="L1801">
        <v>5.5E-2</v>
      </c>
      <c r="M1801">
        <v>5</v>
      </c>
      <c r="N1801">
        <v>100</v>
      </c>
      <c r="O1801">
        <v>2</v>
      </c>
      <c r="P1801">
        <v>0.20499999999999999</v>
      </c>
      <c r="Q1801">
        <v>1</v>
      </c>
      <c r="R1801">
        <v>1.5E-3</v>
      </c>
      <c r="T1801" t="s">
        <v>5229</v>
      </c>
    </row>
    <row r="1802" spans="1:20" x14ac:dyDescent="0.2">
      <c r="A1802" t="s">
        <v>5231</v>
      </c>
      <c r="B1802" t="s">
        <v>2022</v>
      </c>
      <c r="C1802" t="s">
        <v>2049</v>
      </c>
      <c r="D1802" t="s">
        <v>2024</v>
      </c>
      <c r="E1802" t="s">
        <v>5232</v>
      </c>
      <c r="F1802" t="s">
        <v>5233</v>
      </c>
      <c r="G1802">
        <v>3</v>
      </c>
      <c r="H1802">
        <v>1550</v>
      </c>
      <c r="I1802">
        <v>2</v>
      </c>
      <c r="J1802">
        <v>3.2</v>
      </c>
      <c r="K1802">
        <v>2</v>
      </c>
      <c r="L1802">
        <v>0.06</v>
      </c>
      <c r="M1802">
        <v>1</v>
      </c>
      <c r="N1802">
        <v>86</v>
      </c>
      <c r="O1802">
        <v>2</v>
      </c>
      <c r="P1802">
        <v>0.26</v>
      </c>
      <c r="Q1802">
        <v>2</v>
      </c>
      <c r="R1802">
        <v>6.1999999999999998E-3</v>
      </c>
      <c r="T1802" t="s">
        <v>5232</v>
      </c>
    </row>
    <row r="1803" spans="1:20" x14ac:dyDescent="0.2">
      <c r="A1803" t="s">
        <v>5234</v>
      </c>
      <c r="B1803" t="s">
        <v>2022</v>
      </c>
      <c r="C1803" t="s">
        <v>2023</v>
      </c>
      <c r="D1803" t="s">
        <v>2136</v>
      </c>
      <c r="E1803" t="s">
        <v>5235</v>
      </c>
      <c r="F1803" t="s">
        <v>5236</v>
      </c>
      <c r="G1803">
        <v>4</v>
      </c>
      <c r="H1803">
        <v>1720</v>
      </c>
      <c r="I1803">
        <v>5</v>
      </c>
      <c r="J1803">
        <v>10.9</v>
      </c>
      <c r="K1803">
        <v>5</v>
      </c>
      <c r="L1803">
        <v>8.5999999999999993E-2</v>
      </c>
      <c r="M1803">
        <v>4</v>
      </c>
      <c r="N1803">
        <v>104</v>
      </c>
      <c r="O1803">
        <v>4</v>
      </c>
      <c r="P1803">
        <v>0.52500000000000002</v>
      </c>
      <c r="Q1803">
        <v>5</v>
      </c>
      <c r="R1803">
        <v>8.0000000000000002E-3</v>
      </c>
      <c r="T1803" t="s">
        <v>5235</v>
      </c>
    </row>
    <row r="1804" spans="1:20" x14ac:dyDescent="0.2">
      <c r="A1804" t="s">
        <v>5237</v>
      </c>
      <c r="B1804" t="s">
        <v>2022</v>
      </c>
      <c r="C1804" t="s">
        <v>2036</v>
      </c>
      <c r="D1804" t="s">
        <v>2024</v>
      </c>
      <c r="E1804" t="s">
        <v>5238</v>
      </c>
      <c r="F1804" t="s">
        <v>5239</v>
      </c>
      <c r="G1804">
        <v>4</v>
      </c>
      <c r="H1804">
        <v>1840</v>
      </c>
      <c r="I1804">
        <v>3</v>
      </c>
      <c r="J1804">
        <v>4.5999999999999996</v>
      </c>
      <c r="K1804">
        <v>3</v>
      </c>
      <c r="L1804">
        <v>0.115</v>
      </c>
      <c r="M1804">
        <v>2</v>
      </c>
      <c r="N1804">
        <v>82</v>
      </c>
      <c r="O1804">
        <v>2</v>
      </c>
      <c r="P1804">
        <v>0.20499999999999999</v>
      </c>
      <c r="Q1804">
        <v>3</v>
      </c>
      <c r="R1804">
        <v>6.7499999999999999E-3</v>
      </c>
      <c r="T1804" t="s">
        <v>5238</v>
      </c>
    </row>
    <row r="1805" spans="1:20" x14ac:dyDescent="0.2">
      <c r="A1805" t="s">
        <v>5240</v>
      </c>
      <c r="B1805" t="s">
        <v>2022</v>
      </c>
      <c r="C1805" t="s">
        <v>2095</v>
      </c>
      <c r="D1805" t="s">
        <v>2024</v>
      </c>
      <c r="E1805" t="s">
        <v>5241</v>
      </c>
      <c r="F1805" t="s">
        <v>5242</v>
      </c>
      <c r="G1805">
        <v>2</v>
      </c>
      <c r="H1805">
        <v>1655</v>
      </c>
      <c r="I1805">
        <v>1</v>
      </c>
      <c r="J1805">
        <v>4.5</v>
      </c>
      <c r="K1805">
        <v>1</v>
      </c>
      <c r="L1805">
        <v>1.4999999999999999E-2</v>
      </c>
      <c r="M1805">
        <v>1</v>
      </c>
      <c r="N1805">
        <v>74</v>
      </c>
      <c r="O1805">
        <v>1</v>
      </c>
      <c r="P1805">
        <v>0.15</v>
      </c>
      <c r="Q1805">
        <v>1</v>
      </c>
      <c r="R1805">
        <v>6.9999999999999999E-4</v>
      </c>
      <c r="T1805" t="s">
        <v>5241</v>
      </c>
    </row>
    <row r="1806" spans="1:20" x14ac:dyDescent="0.2">
      <c r="A1806" t="s">
        <v>5243</v>
      </c>
      <c r="B1806" t="s">
        <v>2022</v>
      </c>
      <c r="C1806" t="s">
        <v>2101</v>
      </c>
      <c r="D1806" t="s">
        <v>2024</v>
      </c>
      <c r="E1806" t="s">
        <v>5244</v>
      </c>
      <c r="F1806" t="s">
        <v>5245</v>
      </c>
      <c r="G1806">
        <v>2</v>
      </c>
      <c r="H1806">
        <v>1670</v>
      </c>
      <c r="I1806">
        <v>3</v>
      </c>
      <c r="J1806">
        <v>8</v>
      </c>
      <c r="K1806">
        <v>3</v>
      </c>
      <c r="L1806">
        <v>0.24349999999999999</v>
      </c>
      <c r="M1806">
        <v>2</v>
      </c>
      <c r="N1806">
        <v>74</v>
      </c>
      <c r="O1806">
        <v>3</v>
      </c>
      <c r="P1806">
        <v>0.375</v>
      </c>
      <c r="Q1806">
        <v>3</v>
      </c>
      <c r="R1806">
        <v>1.15E-2</v>
      </c>
      <c r="T1806" t="s">
        <v>5244</v>
      </c>
    </row>
    <row r="1807" spans="1:20" x14ac:dyDescent="0.2">
      <c r="A1807" t="s">
        <v>5246</v>
      </c>
      <c r="B1807" t="s">
        <v>2022</v>
      </c>
      <c r="C1807" t="s">
        <v>2036</v>
      </c>
      <c r="D1807" t="s">
        <v>2024</v>
      </c>
      <c r="E1807" t="s">
        <v>5247</v>
      </c>
      <c r="F1807" t="s">
        <v>447</v>
      </c>
      <c r="G1807">
        <v>2</v>
      </c>
      <c r="H1807">
        <v>1640</v>
      </c>
      <c r="I1807">
        <v>2</v>
      </c>
      <c r="J1807">
        <v>3.4</v>
      </c>
      <c r="K1807">
        <v>4</v>
      </c>
      <c r="L1807">
        <v>0.14499999999999999</v>
      </c>
      <c r="M1807">
        <v>1</v>
      </c>
      <c r="N1807">
        <v>76</v>
      </c>
      <c r="O1807">
        <v>2</v>
      </c>
      <c r="P1807">
        <v>0.20499999999999999</v>
      </c>
      <c r="Q1807">
        <v>3</v>
      </c>
      <c r="R1807">
        <v>6.7499999999999999E-3</v>
      </c>
      <c r="T1807" t="s">
        <v>5247</v>
      </c>
    </row>
    <row r="1808" spans="1:20" x14ac:dyDescent="0.2">
      <c r="A1808" t="s">
        <v>5248</v>
      </c>
      <c r="B1808" t="s">
        <v>2022</v>
      </c>
      <c r="C1808" t="s">
        <v>2023</v>
      </c>
      <c r="D1808" t="s">
        <v>2024</v>
      </c>
      <c r="E1808" t="s">
        <v>5249</v>
      </c>
      <c r="F1808" t="s">
        <v>5250</v>
      </c>
      <c r="G1808">
        <v>3</v>
      </c>
      <c r="H1808">
        <v>1640</v>
      </c>
      <c r="I1808">
        <v>2</v>
      </c>
      <c r="J1808">
        <v>3.4</v>
      </c>
      <c r="K1808">
        <v>3</v>
      </c>
      <c r="L1808">
        <v>4.5999999999999999E-2</v>
      </c>
      <c r="M1808">
        <v>1</v>
      </c>
      <c r="N1808">
        <v>74</v>
      </c>
      <c r="O1808">
        <v>2</v>
      </c>
      <c r="P1808">
        <v>0.22500000000000001</v>
      </c>
      <c r="Q1808">
        <v>2</v>
      </c>
      <c r="R1808">
        <v>2E-3</v>
      </c>
      <c r="T1808" t="s">
        <v>5249</v>
      </c>
    </row>
    <row r="1809" spans="1:20" x14ac:dyDescent="0.2">
      <c r="A1809" t="s">
        <v>5251</v>
      </c>
      <c r="B1809" t="s">
        <v>2022</v>
      </c>
      <c r="C1809" t="s">
        <v>2036</v>
      </c>
      <c r="D1809" t="s">
        <v>2024</v>
      </c>
      <c r="E1809" t="s">
        <v>5252</v>
      </c>
      <c r="F1809" t="s">
        <v>5253</v>
      </c>
      <c r="G1809">
        <v>5</v>
      </c>
      <c r="H1809">
        <v>1940</v>
      </c>
      <c r="I1809">
        <v>5</v>
      </c>
      <c r="J1809">
        <v>7</v>
      </c>
      <c r="K1809">
        <v>5</v>
      </c>
      <c r="L1809">
        <v>0.17499999999999999</v>
      </c>
      <c r="M1809">
        <v>5</v>
      </c>
      <c r="N1809">
        <v>100</v>
      </c>
      <c r="O1809">
        <v>3</v>
      </c>
      <c r="P1809">
        <v>0.315</v>
      </c>
      <c r="Q1809">
        <v>5</v>
      </c>
      <c r="R1809">
        <v>1.2E-2</v>
      </c>
      <c r="T1809" t="s">
        <v>5252</v>
      </c>
    </row>
    <row r="1810" spans="1:20" x14ac:dyDescent="0.2">
      <c r="A1810" t="s">
        <v>5254</v>
      </c>
      <c r="B1810" t="s">
        <v>2022</v>
      </c>
      <c r="C1810" t="s">
        <v>2049</v>
      </c>
      <c r="D1810" t="s">
        <v>2024</v>
      </c>
      <c r="E1810" t="s">
        <v>5255</v>
      </c>
      <c r="F1810" t="s">
        <v>5256</v>
      </c>
      <c r="G1810">
        <v>2</v>
      </c>
      <c r="H1810">
        <v>1450</v>
      </c>
      <c r="I1810">
        <v>1</v>
      </c>
      <c r="J1810">
        <v>1.4</v>
      </c>
      <c r="K1810">
        <v>1</v>
      </c>
      <c r="L1810">
        <v>0.01</v>
      </c>
      <c r="M1810">
        <v>1</v>
      </c>
      <c r="N1810">
        <v>86</v>
      </c>
      <c r="O1810">
        <v>1</v>
      </c>
      <c r="P1810">
        <v>0.06</v>
      </c>
      <c r="Q1810">
        <v>1</v>
      </c>
      <c r="R1810">
        <v>8.4999999999999995E-4</v>
      </c>
      <c r="T1810" t="s">
        <v>5255</v>
      </c>
    </row>
    <row r="1811" spans="1:20" x14ac:dyDescent="0.2">
      <c r="A1811" t="s">
        <v>5257</v>
      </c>
      <c r="B1811" t="s">
        <v>2022</v>
      </c>
      <c r="C1811" t="s">
        <v>2036</v>
      </c>
      <c r="D1811" t="s">
        <v>2024</v>
      </c>
      <c r="E1811" t="s">
        <v>5258</v>
      </c>
      <c r="F1811" t="s">
        <v>5259</v>
      </c>
      <c r="G1811">
        <v>2</v>
      </c>
      <c r="H1811">
        <v>1640</v>
      </c>
      <c r="I1811">
        <v>1</v>
      </c>
      <c r="J1811">
        <v>2.2000000000000002</v>
      </c>
      <c r="K1811">
        <v>2</v>
      </c>
      <c r="L1811">
        <v>8.5000000000000006E-2</v>
      </c>
      <c r="M1811">
        <v>2</v>
      </c>
      <c r="N1811">
        <v>82</v>
      </c>
      <c r="O1811">
        <v>1</v>
      </c>
      <c r="P1811">
        <v>9.5000000000000001E-2</v>
      </c>
      <c r="Q1811">
        <v>2</v>
      </c>
      <c r="R1811">
        <v>4.2500000000000003E-3</v>
      </c>
      <c r="T1811" t="s">
        <v>5258</v>
      </c>
    </row>
    <row r="1812" spans="1:20" x14ac:dyDescent="0.2">
      <c r="A1812" t="s">
        <v>5260</v>
      </c>
      <c r="B1812" t="s">
        <v>2022</v>
      </c>
      <c r="C1812" t="s">
        <v>2036</v>
      </c>
      <c r="D1812" t="s">
        <v>2024</v>
      </c>
      <c r="E1812" t="s">
        <v>5261</v>
      </c>
      <c r="F1812" t="s">
        <v>5262</v>
      </c>
      <c r="G1812">
        <v>5</v>
      </c>
      <c r="H1812">
        <v>1940</v>
      </c>
      <c r="I1812">
        <v>5</v>
      </c>
      <c r="J1812">
        <v>7</v>
      </c>
      <c r="K1812">
        <v>5</v>
      </c>
      <c r="L1812">
        <v>0.17499999999999999</v>
      </c>
      <c r="M1812">
        <v>3</v>
      </c>
      <c r="N1812">
        <v>88</v>
      </c>
      <c r="O1812">
        <v>4</v>
      </c>
      <c r="P1812">
        <v>0.42499999999999999</v>
      </c>
      <c r="Q1812">
        <v>5</v>
      </c>
      <c r="R1812">
        <v>1.2E-2</v>
      </c>
      <c r="T1812" t="s">
        <v>5261</v>
      </c>
    </row>
    <row r="1813" spans="1:20" x14ac:dyDescent="0.2">
      <c r="A1813" t="s">
        <v>5263</v>
      </c>
      <c r="B1813" t="s">
        <v>2022</v>
      </c>
      <c r="C1813" t="s">
        <v>2023</v>
      </c>
      <c r="D1813" t="s">
        <v>2024</v>
      </c>
      <c r="E1813" t="s">
        <v>357</v>
      </c>
      <c r="F1813" t="s">
        <v>5264</v>
      </c>
      <c r="G1813">
        <v>5</v>
      </c>
      <c r="H1813">
        <v>1800</v>
      </c>
      <c r="I1813">
        <v>2</v>
      </c>
      <c r="J1813">
        <v>3.4</v>
      </c>
      <c r="K1813">
        <v>1</v>
      </c>
      <c r="L1813">
        <v>6.0000000000000001E-3</v>
      </c>
      <c r="M1813">
        <v>3</v>
      </c>
      <c r="N1813">
        <v>94</v>
      </c>
      <c r="O1813">
        <v>2</v>
      </c>
      <c r="P1813">
        <v>0.22500000000000001</v>
      </c>
      <c r="Q1813">
        <v>1</v>
      </c>
      <c r="R1813">
        <v>5.0000000000000001E-4</v>
      </c>
      <c r="T1813" t="s">
        <v>357</v>
      </c>
    </row>
    <row r="1814" spans="1:20" x14ac:dyDescent="0.2">
      <c r="A1814" t="s">
        <v>5265</v>
      </c>
      <c r="B1814" t="s">
        <v>2022</v>
      </c>
      <c r="C1814" t="s">
        <v>2095</v>
      </c>
      <c r="E1814" t="s">
        <v>5266</v>
      </c>
      <c r="F1814" t="s">
        <v>5267</v>
      </c>
      <c r="G1814">
        <v>4</v>
      </c>
      <c r="H1814">
        <v>1835</v>
      </c>
      <c r="I1814">
        <v>2</v>
      </c>
      <c r="J1814">
        <v>7.5</v>
      </c>
      <c r="K1814">
        <v>3</v>
      </c>
      <c r="L1814">
        <v>0.33</v>
      </c>
      <c r="M1814">
        <v>5</v>
      </c>
      <c r="N1814">
        <v>98</v>
      </c>
      <c r="O1814">
        <v>3</v>
      </c>
      <c r="P1814">
        <v>0.55000000000000004</v>
      </c>
      <c r="Q1814">
        <v>3</v>
      </c>
      <c r="R1814">
        <v>1.49E-2</v>
      </c>
      <c r="T1814" t="s">
        <v>5266</v>
      </c>
    </row>
    <row r="1815" spans="1:20" x14ac:dyDescent="0.2">
      <c r="A1815" t="s">
        <v>5268</v>
      </c>
      <c r="B1815" t="s">
        <v>2022</v>
      </c>
      <c r="C1815" t="s">
        <v>2101</v>
      </c>
      <c r="D1815" t="s">
        <v>2024</v>
      </c>
      <c r="E1815" t="s">
        <v>5269</v>
      </c>
      <c r="F1815" t="s">
        <v>5270</v>
      </c>
      <c r="G1815">
        <v>4</v>
      </c>
      <c r="H1815">
        <v>1870</v>
      </c>
      <c r="I1815">
        <v>2</v>
      </c>
      <c r="J1815">
        <v>5</v>
      </c>
      <c r="K1815">
        <v>2</v>
      </c>
      <c r="L1815">
        <v>9.6500000000000002E-2</v>
      </c>
      <c r="M1815">
        <v>3</v>
      </c>
      <c r="N1815">
        <v>82</v>
      </c>
      <c r="O1815">
        <v>2</v>
      </c>
      <c r="P1815">
        <v>0.22500000000000001</v>
      </c>
      <c r="Q1815">
        <v>2</v>
      </c>
      <c r="R1815">
        <v>4.4999999999999997E-3</v>
      </c>
      <c r="T1815" t="s">
        <v>5269</v>
      </c>
    </row>
    <row r="1816" spans="1:20" x14ac:dyDescent="0.2">
      <c r="A1816" t="s">
        <v>5271</v>
      </c>
      <c r="B1816" t="s">
        <v>2022</v>
      </c>
      <c r="C1816" t="s">
        <v>2023</v>
      </c>
      <c r="D1816" t="s">
        <v>2024</v>
      </c>
      <c r="E1816" t="s">
        <v>357</v>
      </c>
      <c r="F1816" t="s">
        <v>447</v>
      </c>
      <c r="G1816">
        <v>1</v>
      </c>
      <c r="H1816">
        <v>1480</v>
      </c>
      <c r="I1816">
        <v>2</v>
      </c>
      <c r="J1816">
        <v>3.4</v>
      </c>
      <c r="K1816">
        <v>5</v>
      </c>
      <c r="L1816">
        <v>8.5999999999999993E-2</v>
      </c>
      <c r="M1816">
        <v>5</v>
      </c>
      <c r="N1816">
        <v>114</v>
      </c>
      <c r="O1816">
        <v>5</v>
      </c>
      <c r="P1816">
        <v>0.67500000000000004</v>
      </c>
      <c r="Q1816">
        <v>5</v>
      </c>
      <c r="R1816">
        <v>8.0000000000000002E-3</v>
      </c>
      <c r="T1816" t="s">
        <v>357</v>
      </c>
    </row>
    <row r="1817" spans="1:20" x14ac:dyDescent="0.2">
      <c r="A1817" t="s">
        <v>5272</v>
      </c>
      <c r="B1817" t="s">
        <v>2022</v>
      </c>
      <c r="C1817" t="s">
        <v>2101</v>
      </c>
      <c r="D1817" t="s">
        <v>2024</v>
      </c>
      <c r="E1817" t="s">
        <v>5273</v>
      </c>
      <c r="F1817" t="s">
        <v>5274</v>
      </c>
      <c r="G1817">
        <v>5</v>
      </c>
      <c r="H1817">
        <v>1970</v>
      </c>
      <c r="I1817">
        <v>3</v>
      </c>
      <c r="J1817">
        <v>8</v>
      </c>
      <c r="K1817">
        <v>2</v>
      </c>
      <c r="L1817">
        <v>9.6500000000000002E-2</v>
      </c>
      <c r="M1817">
        <v>1</v>
      </c>
      <c r="N1817">
        <v>66</v>
      </c>
      <c r="O1817">
        <v>2</v>
      </c>
      <c r="P1817">
        <v>0.22500000000000001</v>
      </c>
      <c r="Q1817">
        <v>1</v>
      </c>
      <c r="R1817">
        <v>5.0000000000000001E-4</v>
      </c>
      <c r="T1817" t="s">
        <v>5273</v>
      </c>
    </row>
    <row r="1818" spans="1:20" x14ac:dyDescent="0.2">
      <c r="A1818" t="s">
        <v>5275</v>
      </c>
      <c r="B1818" t="s">
        <v>2022</v>
      </c>
      <c r="C1818" t="s">
        <v>2023</v>
      </c>
      <c r="D1818" t="s">
        <v>2024</v>
      </c>
      <c r="E1818" t="s">
        <v>5276</v>
      </c>
      <c r="F1818" t="s">
        <v>447</v>
      </c>
      <c r="G1818">
        <v>2</v>
      </c>
      <c r="H1818">
        <v>1560</v>
      </c>
      <c r="I1818">
        <v>3</v>
      </c>
      <c r="J1818">
        <v>5.9</v>
      </c>
      <c r="K1818">
        <v>5</v>
      </c>
      <c r="L1818">
        <v>8.5999999999999993E-2</v>
      </c>
      <c r="M1818">
        <v>1</v>
      </c>
      <c r="N1818">
        <v>74</v>
      </c>
      <c r="O1818">
        <v>2</v>
      </c>
      <c r="P1818">
        <v>0.22500000000000001</v>
      </c>
      <c r="Q1818">
        <v>5</v>
      </c>
      <c r="R1818">
        <v>8.0000000000000002E-3</v>
      </c>
      <c r="T1818" t="s">
        <v>5276</v>
      </c>
    </row>
    <row r="1819" spans="1:20" x14ac:dyDescent="0.2">
      <c r="A1819" t="s">
        <v>5277</v>
      </c>
      <c r="B1819" t="s">
        <v>2022</v>
      </c>
      <c r="C1819" t="s">
        <v>2036</v>
      </c>
      <c r="D1819" t="s">
        <v>2024</v>
      </c>
      <c r="E1819" t="s">
        <v>5278</v>
      </c>
      <c r="F1819" t="s">
        <v>5279</v>
      </c>
      <c r="G1819">
        <v>2</v>
      </c>
      <c r="H1819">
        <v>1640</v>
      </c>
      <c r="I1819">
        <v>2</v>
      </c>
      <c r="J1819">
        <v>3.4</v>
      </c>
      <c r="K1819">
        <v>1</v>
      </c>
      <c r="L1819">
        <v>5.5E-2</v>
      </c>
      <c r="M1819">
        <v>2</v>
      </c>
      <c r="N1819">
        <v>82</v>
      </c>
      <c r="O1819">
        <v>2</v>
      </c>
      <c r="P1819">
        <v>0.20499999999999999</v>
      </c>
      <c r="Q1819">
        <v>2</v>
      </c>
      <c r="R1819">
        <v>4.2500000000000003E-3</v>
      </c>
      <c r="T1819" t="s">
        <v>5278</v>
      </c>
    </row>
    <row r="1820" spans="1:20" x14ac:dyDescent="0.2">
      <c r="A1820" t="s">
        <v>5280</v>
      </c>
      <c r="B1820" t="s">
        <v>2022</v>
      </c>
      <c r="C1820" t="s">
        <v>2053</v>
      </c>
      <c r="D1820" t="s">
        <v>2024</v>
      </c>
      <c r="E1820" t="s">
        <v>5281</v>
      </c>
      <c r="F1820" t="s">
        <v>5282</v>
      </c>
      <c r="G1820">
        <v>1</v>
      </c>
      <c r="H1820">
        <v>1500</v>
      </c>
      <c r="I1820">
        <v>2</v>
      </c>
      <c r="J1820">
        <v>4.05</v>
      </c>
      <c r="K1820">
        <v>1</v>
      </c>
      <c r="L1820">
        <v>1.4999999999999999E-2</v>
      </c>
      <c r="M1820">
        <v>5</v>
      </c>
      <c r="N1820">
        <v>113</v>
      </c>
      <c r="O1820">
        <v>3</v>
      </c>
      <c r="P1820">
        <v>0.375</v>
      </c>
      <c r="Q1820">
        <v>2</v>
      </c>
      <c r="R1820">
        <v>5.1999999999999998E-3</v>
      </c>
      <c r="T1820" t="s">
        <v>5281</v>
      </c>
    </row>
    <row r="1821" spans="1:20" x14ac:dyDescent="0.2">
      <c r="A1821" t="s">
        <v>5283</v>
      </c>
      <c r="B1821" t="s">
        <v>2022</v>
      </c>
      <c r="C1821" t="s">
        <v>2023</v>
      </c>
      <c r="D1821" t="s">
        <v>2024</v>
      </c>
      <c r="E1821" t="s">
        <v>5281</v>
      </c>
      <c r="F1821" t="s">
        <v>5282</v>
      </c>
      <c r="G1821">
        <v>2</v>
      </c>
      <c r="H1821">
        <v>1560</v>
      </c>
      <c r="I1821">
        <v>2</v>
      </c>
      <c r="J1821">
        <v>3.4</v>
      </c>
      <c r="K1821">
        <v>2</v>
      </c>
      <c r="L1821">
        <v>2.5999999999999999E-2</v>
      </c>
      <c r="M1821">
        <v>1</v>
      </c>
      <c r="N1821">
        <v>74</v>
      </c>
      <c r="O1821">
        <v>2</v>
      </c>
      <c r="P1821">
        <v>0.22500000000000001</v>
      </c>
      <c r="Q1821">
        <v>1</v>
      </c>
      <c r="R1821">
        <v>5.0000000000000001E-4</v>
      </c>
      <c r="T1821" t="s">
        <v>5281</v>
      </c>
    </row>
    <row r="1822" spans="1:20" x14ac:dyDescent="0.2">
      <c r="A1822" t="s">
        <v>5284</v>
      </c>
      <c r="B1822" t="s">
        <v>2022</v>
      </c>
      <c r="C1822" t="s">
        <v>2053</v>
      </c>
      <c r="D1822" t="s">
        <v>2024</v>
      </c>
      <c r="E1822" t="s">
        <v>5285</v>
      </c>
      <c r="F1822" t="s">
        <v>5286</v>
      </c>
      <c r="G1822">
        <v>1</v>
      </c>
      <c r="H1822">
        <v>1500</v>
      </c>
      <c r="I1822">
        <v>1</v>
      </c>
      <c r="J1822">
        <v>1.55</v>
      </c>
      <c r="K1822">
        <v>2</v>
      </c>
      <c r="L1822">
        <v>8.5000000000000006E-2</v>
      </c>
      <c r="M1822">
        <v>3</v>
      </c>
      <c r="N1822">
        <v>93</v>
      </c>
      <c r="O1822">
        <v>2</v>
      </c>
      <c r="P1822">
        <v>0.22500000000000001</v>
      </c>
      <c r="Q1822">
        <v>2</v>
      </c>
      <c r="R1822">
        <v>5.1999999999999998E-3</v>
      </c>
      <c r="T1822" t="s">
        <v>5285</v>
      </c>
    </row>
    <row r="1823" spans="1:20" x14ac:dyDescent="0.2">
      <c r="A1823" t="s">
        <v>5287</v>
      </c>
      <c r="B1823" t="s">
        <v>2022</v>
      </c>
      <c r="C1823" t="s">
        <v>2023</v>
      </c>
      <c r="D1823" t="s">
        <v>2024</v>
      </c>
      <c r="E1823" t="s">
        <v>5288</v>
      </c>
      <c r="F1823" t="s">
        <v>5289</v>
      </c>
      <c r="G1823">
        <v>5</v>
      </c>
      <c r="H1823">
        <v>1800</v>
      </c>
      <c r="I1823">
        <v>1</v>
      </c>
      <c r="J1823">
        <v>0.9</v>
      </c>
      <c r="K1823">
        <v>2</v>
      </c>
      <c r="L1823">
        <v>2.5999999999999999E-2</v>
      </c>
      <c r="M1823">
        <v>2</v>
      </c>
      <c r="N1823">
        <v>84</v>
      </c>
      <c r="O1823">
        <v>1</v>
      </c>
      <c r="P1823">
        <v>7.4999999999999997E-2</v>
      </c>
      <c r="Q1823">
        <v>1</v>
      </c>
      <c r="R1823">
        <v>5.0000000000000001E-4</v>
      </c>
      <c r="T1823" t="s">
        <v>5288</v>
      </c>
    </row>
    <row r="1824" spans="1:20" x14ac:dyDescent="0.2">
      <c r="A1824" t="s">
        <v>5290</v>
      </c>
      <c r="B1824" t="s">
        <v>2022</v>
      </c>
      <c r="C1824" t="s">
        <v>2023</v>
      </c>
      <c r="D1824" t="s">
        <v>2024</v>
      </c>
      <c r="E1824" t="s">
        <v>5291</v>
      </c>
      <c r="F1824" t="s">
        <v>5292</v>
      </c>
      <c r="G1824">
        <v>3</v>
      </c>
      <c r="H1824">
        <v>1640</v>
      </c>
      <c r="I1824">
        <v>2</v>
      </c>
      <c r="J1824">
        <v>3.4</v>
      </c>
      <c r="K1824">
        <v>5</v>
      </c>
      <c r="L1824">
        <v>8.5999999999999993E-2</v>
      </c>
      <c r="M1824">
        <v>4</v>
      </c>
      <c r="N1824">
        <v>104</v>
      </c>
      <c r="O1824">
        <v>2</v>
      </c>
      <c r="P1824">
        <v>0.22500000000000001</v>
      </c>
      <c r="Q1824">
        <v>5</v>
      </c>
      <c r="R1824">
        <v>8.0000000000000002E-3</v>
      </c>
      <c r="T1824" t="s">
        <v>5291</v>
      </c>
    </row>
    <row r="1825" spans="1:20" x14ac:dyDescent="0.2">
      <c r="A1825" t="s">
        <v>5293</v>
      </c>
      <c r="B1825" t="s">
        <v>2022</v>
      </c>
      <c r="C1825" t="s">
        <v>2023</v>
      </c>
      <c r="D1825" t="s">
        <v>2024</v>
      </c>
      <c r="E1825" t="s">
        <v>5294</v>
      </c>
      <c r="F1825" t="s">
        <v>5295</v>
      </c>
      <c r="G1825">
        <v>2</v>
      </c>
      <c r="H1825">
        <v>1560</v>
      </c>
      <c r="I1825">
        <v>5</v>
      </c>
      <c r="J1825">
        <v>10.9</v>
      </c>
      <c r="K1825">
        <v>5</v>
      </c>
      <c r="L1825">
        <v>8.5999999999999993E-2</v>
      </c>
      <c r="M1825">
        <v>1</v>
      </c>
      <c r="N1825">
        <v>74</v>
      </c>
      <c r="O1825">
        <v>4</v>
      </c>
      <c r="P1825">
        <v>0.52500000000000002</v>
      </c>
      <c r="Q1825">
        <v>5</v>
      </c>
      <c r="R1825">
        <v>8.0000000000000002E-3</v>
      </c>
      <c r="T1825" t="s">
        <v>5294</v>
      </c>
    </row>
    <row r="1826" spans="1:20" x14ac:dyDescent="0.2">
      <c r="A1826" t="s">
        <v>5296</v>
      </c>
      <c r="B1826" t="s">
        <v>2022</v>
      </c>
      <c r="C1826" t="s">
        <v>2036</v>
      </c>
      <c r="D1826" t="s">
        <v>2024</v>
      </c>
      <c r="E1826" t="s">
        <v>5297</v>
      </c>
      <c r="F1826" t="s">
        <v>5298</v>
      </c>
      <c r="G1826">
        <v>5</v>
      </c>
      <c r="H1826">
        <v>1940</v>
      </c>
      <c r="I1826">
        <v>5</v>
      </c>
      <c r="J1826">
        <v>7</v>
      </c>
      <c r="K1826">
        <v>5</v>
      </c>
      <c r="L1826">
        <v>0.17499999999999999</v>
      </c>
      <c r="M1826">
        <v>5</v>
      </c>
      <c r="N1826">
        <v>100</v>
      </c>
      <c r="O1826">
        <v>5</v>
      </c>
      <c r="P1826">
        <v>0.53500000000000003</v>
      </c>
      <c r="Q1826">
        <v>5</v>
      </c>
      <c r="R1826">
        <v>1.2E-2</v>
      </c>
      <c r="T1826" t="s">
        <v>5297</v>
      </c>
    </row>
    <row r="1827" spans="1:20" x14ac:dyDescent="0.2">
      <c r="A1827" t="s">
        <v>5299</v>
      </c>
      <c r="B1827" t="s">
        <v>2022</v>
      </c>
      <c r="C1827" t="s">
        <v>2222</v>
      </c>
      <c r="D1827" t="s">
        <v>2024</v>
      </c>
      <c r="E1827" t="s">
        <v>5300</v>
      </c>
      <c r="F1827" t="s">
        <v>5301</v>
      </c>
      <c r="G1827">
        <v>2</v>
      </c>
      <c r="H1827">
        <v>1550</v>
      </c>
      <c r="I1827">
        <v>1</v>
      </c>
      <c r="J1827">
        <v>2.2999999999999998</v>
      </c>
      <c r="K1827">
        <v>2</v>
      </c>
      <c r="L1827">
        <v>5.5E-2</v>
      </c>
      <c r="M1827">
        <v>1</v>
      </c>
      <c r="N1827">
        <v>59</v>
      </c>
      <c r="O1827">
        <v>2</v>
      </c>
      <c r="P1827">
        <v>0.15</v>
      </c>
      <c r="Q1827">
        <v>1</v>
      </c>
      <c r="R1827">
        <v>4.0000000000000002E-4</v>
      </c>
      <c r="T1827" t="s">
        <v>5300</v>
      </c>
    </row>
    <row r="1828" spans="1:20" x14ac:dyDescent="0.2">
      <c r="A1828" t="s">
        <v>5302</v>
      </c>
      <c r="B1828" t="s">
        <v>2022</v>
      </c>
      <c r="C1828" t="s">
        <v>2222</v>
      </c>
      <c r="D1828" t="s">
        <v>2024</v>
      </c>
      <c r="E1828" t="s">
        <v>5303</v>
      </c>
      <c r="F1828" t="s">
        <v>5304</v>
      </c>
      <c r="G1828">
        <v>2</v>
      </c>
      <c r="H1828">
        <v>1550</v>
      </c>
      <c r="I1828">
        <v>3</v>
      </c>
      <c r="J1828">
        <v>5.5</v>
      </c>
      <c r="K1828">
        <v>3</v>
      </c>
      <c r="L1828">
        <v>0.125</v>
      </c>
      <c r="M1828">
        <v>1</v>
      </c>
      <c r="N1828">
        <v>59</v>
      </c>
      <c r="O1828">
        <v>3</v>
      </c>
      <c r="P1828">
        <v>0.23</v>
      </c>
      <c r="Q1828">
        <v>2</v>
      </c>
      <c r="R1828">
        <v>2.3E-3</v>
      </c>
      <c r="T1828" t="s">
        <v>5303</v>
      </c>
    </row>
    <row r="1829" spans="1:20" x14ac:dyDescent="0.2">
      <c r="A1829" t="s">
        <v>5305</v>
      </c>
      <c r="B1829" t="s">
        <v>2022</v>
      </c>
      <c r="C1829" t="s">
        <v>2101</v>
      </c>
      <c r="D1829" t="s">
        <v>2024</v>
      </c>
      <c r="E1829" t="s">
        <v>5306</v>
      </c>
      <c r="F1829" t="s">
        <v>5307</v>
      </c>
      <c r="G1829">
        <v>4</v>
      </c>
      <c r="H1829">
        <v>1870</v>
      </c>
      <c r="I1829">
        <v>3</v>
      </c>
      <c r="J1829">
        <v>8</v>
      </c>
      <c r="K1829">
        <v>3</v>
      </c>
      <c r="L1829">
        <v>0.24349999999999999</v>
      </c>
      <c r="M1829">
        <v>3</v>
      </c>
      <c r="N1829">
        <v>82</v>
      </c>
      <c r="O1829">
        <v>3</v>
      </c>
      <c r="P1829">
        <v>0.375</v>
      </c>
      <c r="Q1829">
        <v>3</v>
      </c>
      <c r="R1829">
        <v>1.15E-2</v>
      </c>
      <c r="T1829" t="s">
        <v>5306</v>
      </c>
    </row>
    <row r="1830" spans="1:20" x14ac:dyDescent="0.2">
      <c r="A1830" t="s">
        <v>5308</v>
      </c>
      <c r="B1830" t="s">
        <v>2022</v>
      </c>
      <c r="C1830" t="s">
        <v>2023</v>
      </c>
      <c r="D1830" t="s">
        <v>2024</v>
      </c>
      <c r="E1830" t="s">
        <v>5309</v>
      </c>
      <c r="F1830" t="s">
        <v>447</v>
      </c>
      <c r="G1830">
        <v>2</v>
      </c>
      <c r="H1830">
        <v>1560</v>
      </c>
      <c r="I1830">
        <v>2</v>
      </c>
      <c r="J1830">
        <v>3.4</v>
      </c>
      <c r="K1830">
        <v>5</v>
      </c>
      <c r="L1830">
        <v>8.5999999999999993E-2</v>
      </c>
      <c r="M1830">
        <v>1</v>
      </c>
      <c r="N1830">
        <v>74</v>
      </c>
      <c r="O1830">
        <v>2</v>
      </c>
      <c r="P1830">
        <v>0.22500000000000001</v>
      </c>
      <c r="Q1830">
        <v>4</v>
      </c>
      <c r="R1830">
        <v>6.0000000000000001E-3</v>
      </c>
      <c r="T1830" t="s">
        <v>5309</v>
      </c>
    </row>
    <row r="1831" spans="1:20" x14ac:dyDescent="0.2">
      <c r="A1831" t="s">
        <v>5310</v>
      </c>
      <c r="B1831" t="s">
        <v>2022</v>
      </c>
      <c r="C1831" t="s">
        <v>2023</v>
      </c>
      <c r="D1831" t="s">
        <v>2024</v>
      </c>
      <c r="E1831" t="s">
        <v>5311</v>
      </c>
      <c r="F1831" t="s">
        <v>5312</v>
      </c>
      <c r="G1831">
        <v>4</v>
      </c>
      <c r="H1831">
        <v>1720</v>
      </c>
      <c r="I1831">
        <v>4</v>
      </c>
      <c r="J1831">
        <v>8.4</v>
      </c>
      <c r="K1831">
        <v>5</v>
      </c>
      <c r="L1831">
        <v>8.5999999999999993E-2</v>
      </c>
      <c r="M1831">
        <v>2</v>
      </c>
      <c r="N1831">
        <v>84</v>
      </c>
      <c r="O1831">
        <v>3</v>
      </c>
      <c r="P1831">
        <v>0.375</v>
      </c>
      <c r="Q1831">
        <v>5</v>
      </c>
      <c r="R1831">
        <v>8.0000000000000002E-3</v>
      </c>
      <c r="T1831" t="s">
        <v>5311</v>
      </c>
    </row>
    <row r="1832" spans="1:20" x14ac:dyDescent="0.2">
      <c r="A1832" t="s">
        <v>5313</v>
      </c>
      <c r="B1832" t="s">
        <v>2022</v>
      </c>
      <c r="C1832" t="s">
        <v>2106</v>
      </c>
      <c r="D1832" t="s">
        <v>2024</v>
      </c>
      <c r="E1832" t="s">
        <v>5314</v>
      </c>
      <c r="F1832" t="s">
        <v>5315</v>
      </c>
      <c r="G1832">
        <v>4</v>
      </c>
      <c r="H1832">
        <v>2125</v>
      </c>
      <c r="I1832">
        <v>2</v>
      </c>
      <c r="J1832">
        <v>5.75</v>
      </c>
      <c r="K1832">
        <v>3</v>
      </c>
      <c r="L1832">
        <v>0.14000000000000001</v>
      </c>
      <c r="M1832">
        <v>5</v>
      </c>
      <c r="N1832">
        <v>89.5</v>
      </c>
      <c r="O1832">
        <v>4</v>
      </c>
      <c r="P1832">
        <v>0.35</v>
      </c>
      <c r="Q1832">
        <v>3</v>
      </c>
      <c r="R1832">
        <v>4.4999999999999997E-3</v>
      </c>
      <c r="T1832" t="s">
        <v>5314</v>
      </c>
    </row>
    <row r="1833" spans="1:20" x14ac:dyDescent="0.2">
      <c r="A1833" t="s">
        <v>5316</v>
      </c>
      <c r="B1833" t="s">
        <v>2022</v>
      </c>
      <c r="C1833" t="s">
        <v>2095</v>
      </c>
      <c r="D1833" t="s">
        <v>2024</v>
      </c>
      <c r="E1833" t="s">
        <v>5316</v>
      </c>
      <c r="F1833" t="s">
        <v>5317</v>
      </c>
      <c r="G1833">
        <v>4</v>
      </c>
      <c r="H1833">
        <v>1835</v>
      </c>
      <c r="I1833">
        <v>2</v>
      </c>
      <c r="J1833">
        <v>7.5</v>
      </c>
      <c r="K1833">
        <v>2</v>
      </c>
      <c r="L1833">
        <v>0.13</v>
      </c>
      <c r="M1833">
        <v>5</v>
      </c>
      <c r="N1833">
        <v>98</v>
      </c>
      <c r="O1833">
        <v>3</v>
      </c>
      <c r="P1833">
        <v>0.55000000000000004</v>
      </c>
      <c r="Q1833">
        <v>3</v>
      </c>
      <c r="R1833">
        <v>1.49E-2</v>
      </c>
      <c r="T1833" t="s">
        <v>5316</v>
      </c>
    </row>
    <row r="1834" spans="1:20" x14ac:dyDescent="0.2">
      <c r="A1834" t="s">
        <v>5318</v>
      </c>
      <c r="B1834" t="s">
        <v>2022</v>
      </c>
      <c r="C1834" t="s">
        <v>2023</v>
      </c>
      <c r="D1834" t="s">
        <v>2024</v>
      </c>
      <c r="E1834" t="s">
        <v>5319</v>
      </c>
      <c r="F1834" t="s">
        <v>5320</v>
      </c>
      <c r="G1834">
        <v>3</v>
      </c>
      <c r="H1834">
        <v>1640</v>
      </c>
      <c r="I1834">
        <v>3</v>
      </c>
      <c r="J1834">
        <v>5.9</v>
      </c>
      <c r="K1834">
        <v>2</v>
      </c>
      <c r="L1834">
        <v>2.5999999999999999E-2</v>
      </c>
      <c r="M1834">
        <v>4</v>
      </c>
      <c r="N1834">
        <v>104</v>
      </c>
      <c r="O1834">
        <v>3</v>
      </c>
      <c r="P1834">
        <v>0.375</v>
      </c>
      <c r="Q1834">
        <v>2</v>
      </c>
      <c r="R1834">
        <v>2E-3</v>
      </c>
      <c r="T1834" t="s">
        <v>5319</v>
      </c>
    </row>
    <row r="1835" spans="1:20" x14ac:dyDescent="0.2">
      <c r="A1835" t="s">
        <v>5321</v>
      </c>
      <c r="B1835" t="s">
        <v>2022</v>
      </c>
      <c r="C1835" t="s">
        <v>2023</v>
      </c>
      <c r="D1835" t="s">
        <v>2024</v>
      </c>
      <c r="E1835" t="s">
        <v>5322</v>
      </c>
      <c r="F1835" t="s">
        <v>5323</v>
      </c>
      <c r="G1835">
        <v>4</v>
      </c>
      <c r="H1835">
        <v>1720</v>
      </c>
      <c r="I1835">
        <v>5</v>
      </c>
      <c r="J1835">
        <v>10.9</v>
      </c>
      <c r="K1835">
        <v>5</v>
      </c>
      <c r="L1835">
        <v>8.5999999999999993E-2</v>
      </c>
      <c r="M1835">
        <v>3</v>
      </c>
      <c r="N1835">
        <v>94</v>
      </c>
      <c r="O1835">
        <v>5</v>
      </c>
      <c r="P1835">
        <v>0.67500000000000004</v>
      </c>
      <c r="Q1835">
        <v>5</v>
      </c>
      <c r="R1835">
        <v>8.0000000000000002E-3</v>
      </c>
      <c r="T1835" t="s">
        <v>5322</v>
      </c>
    </row>
    <row r="1836" spans="1:20" x14ac:dyDescent="0.2">
      <c r="A1836" t="s">
        <v>5324</v>
      </c>
      <c r="B1836" t="s">
        <v>2022</v>
      </c>
      <c r="C1836" t="s">
        <v>2222</v>
      </c>
      <c r="D1836" t="s">
        <v>2024</v>
      </c>
      <c r="E1836" t="s">
        <v>5325</v>
      </c>
      <c r="F1836" t="s">
        <v>5326</v>
      </c>
      <c r="G1836">
        <v>2</v>
      </c>
      <c r="H1836">
        <v>1550</v>
      </c>
      <c r="I1836">
        <v>2</v>
      </c>
      <c r="J1836">
        <v>3.9</v>
      </c>
      <c r="K1836">
        <v>1</v>
      </c>
      <c r="L1836">
        <v>0.01</v>
      </c>
      <c r="M1836">
        <v>2</v>
      </c>
      <c r="N1836">
        <v>63</v>
      </c>
      <c r="O1836">
        <v>2</v>
      </c>
      <c r="P1836">
        <v>0.15</v>
      </c>
      <c r="Q1836">
        <v>1</v>
      </c>
      <c r="R1836">
        <v>4.0000000000000002E-4</v>
      </c>
      <c r="T1836" t="s">
        <v>5325</v>
      </c>
    </row>
    <row r="1837" spans="1:20" x14ac:dyDescent="0.2">
      <c r="A1837" t="s">
        <v>5327</v>
      </c>
      <c r="B1837" t="s">
        <v>2022</v>
      </c>
      <c r="C1837" t="s">
        <v>2036</v>
      </c>
      <c r="D1837" t="s">
        <v>2024</v>
      </c>
      <c r="E1837" t="s">
        <v>5328</v>
      </c>
      <c r="F1837" t="s">
        <v>5329</v>
      </c>
      <c r="G1837">
        <v>1</v>
      </c>
      <c r="H1837">
        <v>1540</v>
      </c>
      <c r="I1837">
        <v>2</v>
      </c>
      <c r="J1837">
        <v>3.4</v>
      </c>
      <c r="K1837">
        <v>3</v>
      </c>
      <c r="L1837">
        <v>0.115</v>
      </c>
      <c r="M1837">
        <v>1</v>
      </c>
      <c r="N1837">
        <v>76</v>
      </c>
      <c r="O1837">
        <v>2</v>
      </c>
      <c r="P1837">
        <v>0.20499999999999999</v>
      </c>
      <c r="Q1837">
        <v>2</v>
      </c>
      <c r="R1837">
        <v>4.2500000000000003E-3</v>
      </c>
      <c r="T1837" t="s">
        <v>5328</v>
      </c>
    </row>
    <row r="1838" spans="1:20" x14ac:dyDescent="0.2">
      <c r="A1838" t="s">
        <v>5330</v>
      </c>
      <c r="B1838" t="s">
        <v>2022</v>
      </c>
      <c r="C1838" t="s">
        <v>2023</v>
      </c>
      <c r="D1838" t="s">
        <v>2136</v>
      </c>
      <c r="E1838" t="s">
        <v>357</v>
      </c>
      <c r="F1838" t="s">
        <v>447</v>
      </c>
      <c r="G1838">
        <v>5</v>
      </c>
      <c r="H1838">
        <v>1800</v>
      </c>
      <c r="I1838">
        <v>5</v>
      </c>
      <c r="J1838">
        <v>10.9</v>
      </c>
      <c r="K1838">
        <v>5</v>
      </c>
      <c r="L1838">
        <v>8.5999999999999993E-2</v>
      </c>
      <c r="M1838">
        <v>4</v>
      </c>
      <c r="N1838">
        <v>104</v>
      </c>
      <c r="O1838">
        <v>5</v>
      </c>
      <c r="P1838">
        <v>0.67500000000000004</v>
      </c>
      <c r="Q1838">
        <v>5</v>
      </c>
      <c r="R1838">
        <v>8.0000000000000002E-3</v>
      </c>
      <c r="T1838" t="s">
        <v>357</v>
      </c>
    </row>
    <row r="1839" spans="1:20" x14ac:dyDescent="0.2">
      <c r="A1839" t="s">
        <v>5331</v>
      </c>
      <c r="B1839" t="s">
        <v>2022</v>
      </c>
      <c r="C1839" t="s">
        <v>2023</v>
      </c>
      <c r="D1839" t="s">
        <v>2024</v>
      </c>
      <c r="E1839" t="s">
        <v>357</v>
      </c>
      <c r="F1839" t="s">
        <v>5332</v>
      </c>
      <c r="G1839">
        <v>1</v>
      </c>
      <c r="H1839">
        <v>1480</v>
      </c>
      <c r="I1839">
        <v>1</v>
      </c>
      <c r="J1839">
        <v>0.9</v>
      </c>
      <c r="K1839">
        <v>1</v>
      </c>
      <c r="L1839">
        <v>6.0000000000000001E-3</v>
      </c>
      <c r="M1839">
        <v>5</v>
      </c>
      <c r="N1839">
        <v>114</v>
      </c>
      <c r="O1839">
        <v>5</v>
      </c>
      <c r="P1839">
        <v>0.67500000000000004</v>
      </c>
      <c r="Q1839">
        <v>5</v>
      </c>
      <c r="R1839">
        <v>8.0000000000000002E-3</v>
      </c>
      <c r="T1839" t="s">
        <v>357</v>
      </c>
    </row>
    <row r="1840" spans="1:20" x14ac:dyDescent="0.2">
      <c r="A1840" t="s">
        <v>5333</v>
      </c>
      <c r="B1840" t="s">
        <v>2022</v>
      </c>
      <c r="C1840" t="s">
        <v>2053</v>
      </c>
      <c r="D1840" t="s">
        <v>2024</v>
      </c>
      <c r="E1840" t="s">
        <v>5334</v>
      </c>
      <c r="F1840" t="s">
        <v>5335</v>
      </c>
      <c r="G1840">
        <v>1</v>
      </c>
      <c r="H1840">
        <v>1500</v>
      </c>
      <c r="I1840">
        <v>3</v>
      </c>
      <c r="J1840">
        <v>6.55</v>
      </c>
      <c r="K1840">
        <v>1</v>
      </c>
      <c r="L1840">
        <v>1.4999999999999999E-2</v>
      </c>
      <c r="M1840">
        <v>3</v>
      </c>
      <c r="N1840">
        <v>93</v>
      </c>
      <c r="O1840">
        <v>3</v>
      </c>
      <c r="P1840">
        <v>0.375</v>
      </c>
      <c r="Q1840">
        <v>1</v>
      </c>
      <c r="R1840">
        <v>8.4999999999999995E-4</v>
      </c>
      <c r="T1840" t="s">
        <v>5334</v>
      </c>
    </row>
    <row r="1841" spans="1:20" x14ac:dyDescent="0.2">
      <c r="A1841" t="s">
        <v>5336</v>
      </c>
      <c r="B1841" t="s">
        <v>2022</v>
      </c>
      <c r="C1841" t="s">
        <v>2036</v>
      </c>
      <c r="D1841" t="s">
        <v>2024</v>
      </c>
      <c r="E1841" t="s">
        <v>5337</v>
      </c>
      <c r="F1841" t="s">
        <v>5338</v>
      </c>
      <c r="G1841">
        <v>2</v>
      </c>
      <c r="H1841">
        <v>1640</v>
      </c>
      <c r="I1841">
        <v>2</v>
      </c>
      <c r="J1841">
        <v>3.4</v>
      </c>
      <c r="K1841">
        <v>1</v>
      </c>
      <c r="L1841">
        <v>5.5E-2</v>
      </c>
      <c r="M1841">
        <v>2</v>
      </c>
      <c r="N1841">
        <v>82</v>
      </c>
      <c r="O1841">
        <v>1</v>
      </c>
      <c r="P1841">
        <v>9.5000000000000001E-2</v>
      </c>
      <c r="Q1841">
        <v>2</v>
      </c>
      <c r="R1841">
        <v>4.2500000000000003E-3</v>
      </c>
      <c r="T1841" t="s">
        <v>5337</v>
      </c>
    </row>
    <row r="1842" spans="1:20" x14ac:dyDescent="0.2">
      <c r="A1842" t="s">
        <v>5339</v>
      </c>
      <c r="B1842" t="s">
        <v>2022</v>
      </c>
      <c r="C1842" t="s">
        <v>2036</v>
      </c>
      <c r="D1842" t="s">
        <v>2136</v>
      </c>
      <c r="E1842" t="s">
        <v>5340</v>
      </c>
      <c r="F1842" t="s">
        <v>5341</v>
      </c>
      <c r="G1842">
        <v>5</v>
      </c>
      <c r="H1842">
        <v>1940</v>
      </c>
      <c r="I1842">
        <v>3</v>
      </c>
      <c r="J1842">
        <v>4.5999999999999996</v>
      </c>
      <c r="K1842">
        <v>2</v>
      </c>
      <c r="L1842">
        <v>8.5000000000000006E-2</v>
      </c>
      <c r="M1842">
        <v>5</v>
      </c>
      <c r="N1842">
        <v>100</v>
      </c>
      <c r="O1842">
        <v>2</v>
      </c>
      <c r="P1842">
        <v>0.20499999999999999</v>
      </c>
      <c r="Q1842">
        <v>2</v>
      </c>
      <c r="R1842">
        <v>4.2500000000000003E-3</v>
      </c>
      <c r="T1842" t="s">
        <v>5340</v>
      </c>
    </row>
    <row r="1843" spans="1:20" x14ac:dyDescent="0.2">
      <c r="A1843" t="s">
        <v>5342</v>
      </c>
      <c r="B1843" t="s">
        <v>2022</v>
      </c>
      <c r="C1843" t="s">
        <v>2053</v>
      </c>
      <c r="D1843" t="s">
        <v>2024</v>
      </c>
      <c r="E1843" t="s">
        <v>5343</v>
      </c>
      <c r="F1843" t="s">
        <v>5344</v>
      </c>
      <c r="G1843">
        <v>2</v>
      </c>
      <c r="H1843">
        <v>1600</v>
      </c>
      <c r="I1843">
        <v>1</v>
      </c>
      <c r="J1843">
        <v>1.55</v>
      </c>
      <c r="K1843">
        <v>1</v>
      </c>
      <c r="L1843">
        <v>1.4999999999999999E-2</v>
      </c>
      <c r="M1843">
        <v>2</v>
      </c>
      <c r="N1843">
        <v>83</v>
      </c>
      <c r="O1843">
        <v>1</v>
      </c>
      <c r="P1843">
        <v>7.4999999999999997E-2</v>
      </c>
      <c r="Q1843">
        <v>1</v>
      </c>
      <c r="R1843">
        <v>8.4999999999999995E-4</v>
      </c>
      <c r="T1843" t="s">
        <v>5343</v>
      </c>
    </row>
    <row r="1844" spans="1:20" x14ac:dyDescent="0.2">
      <c r="A1844" t="s">
        <v>5345</v>
      </c>
      <c r="B1844" t="s">
        <v>2022</v>
      </c>
      <c r="C1844" t="s">
        <v>2023</v>
      </c>
      <c r="D1844" t="s">
        <v>2024</v>
      </c>
      <c r="E1844" t="s">
        <v>5343</v>
      </c>
      <c r="F1844" t="s">
        <v>5344</v>
      </c>
      <c r="G1844">
        <v>2</v>
      </c>
      <c r="H1844">
        <v>1560</v>
      </c>
      <c r="I1844">
        <v>1</v>
      </c>
      <c r="J1844">
        <v>0.9</v>
      </c>
      <c r="K1844">
        <v>1</v>
      </c>
      <c r="L1844">
        <v>6.0000000000000001E-3</v>
      </c>
      <c r="M1844">
        <v>2</v>
      </c>
      <c r="N1844">
        <v>84</v>
      </c>
      <c r="O1844">
        <v>1</v>
      </c>
      <c r="P1844">
        <v>7.4999999999999997E-2</v>
      </c>
      <c r="Q1844">
        <v>1</v>
      </c>
      <c r="R1844">
        <v>5.0000000000000001E-4</v>
      </c>
      <c r="T1844" t="s">
        <v>5343</v>
      </c>
    </row>
    <row r="1845" spans="1:20" x14ac:dyDescent="0.2">
      <c r="A1845" t="s">
        <v>5346</v>
      </c>
      <c r="B1845" t="s">
        <v>2022</v>
      </c>
      <c r="C1845" t="s">
        <v>2023</v>
      </c>
      <c r="D1845" t="s">
        <v>2024</v>
      </c>
      <c r="E1845" t="s">
        <v>5343</v>
      </c>
      <c r="F1845" t="s">
        <v>5344</v>
      </c>
      <c r="G1845">
        <v>1</v>
      </c>
      <c r="H1845">
        <v>1480</v>
      </c>
      <c r="I1845">
        <v>1</v>
      </c>
      <c r="J1845">
        <v>0.9</v>
      </c>
      <c r="K1845">
        <v>1</v>
      </c>
      <c r="L1845">
        <v>6.0000000000000001E-3</v>
      </c>
      <c r="M1845">
        <v>3</v>
      </c>
      <c r="N1845">
        <v>94</v>
      </c>
      <c r="O1845">
        <v>1</v>
      </c>
      <c r="P1845">
        <v>7.4999999999999997E-2</v>
      </c>
      <c r="Q1845">
        <v>1</v>
      </c>
      <c r="R1845">
        <v>5.0000000000000001E-4</v>
      </c>
      <c r="T1845" t="s">
        <v>5343</v>
      </c>
    </row>
    <row r="1846" spans="1:20" x14ac:dyDescent="0.2">
      <c r="A1846" t="s">
        <v>5347</v>
      </c>
      <c r="B1846" t="s">
        <v>2022</v>
      </c>
      <c r="C1846" t="s">
        <v>2023</v>
      </c>
      <c r="D1846" t="s">
        <v>2024</v>
      </c>
      <c r="E1846" t="s">
        <v>5343</v>
      </c>
      <c r="F1846" t="s">
        <v>5344</v>
      </c>
      <c r="G1846">
        <v>1</v>
      </c>
      <c r="H1846">
        <v>1480</v>
      </c>
      <c r="I1846">
        <v>1</v>
      </c>
      <c r="J1846">
        <v>0.9</v>
      </c>
      <c r="K1846">
        <v>1</v>
      </c>
      <c r="L1846">
        <v>6.0000000000000001E-3</v>
      </c>
      <c r="M1846">
        <v>4</v>
      </c>
      <c r="N1846">
        <v>104</v>
      </c>
      <c r="O1846">
        <v>1</v>
      </c>
      <c r="P1846">
        <v>7.4999999999999997E-2</v>
      </c>
      <c r="Q1846">
        <v>1</v>
      </c>
      <c r="R1846">
        <v>5.0000000000000001E-4</v>
      </c>
      <c r="T1846" t="s">
        <v>5343</v>
      </c>
    </row>
    <row r="1847" spans="1:20" x14ac:dyDescent="0.2">
      <c r="A1847" t="s">
        <v>5348</v>
      </c>
      <c r="B1847" t="s">
        <v>2022</v>
      </c>
      <c r="C1847" t="s">
        <v>2023</v>
      </c>
      <c r="D1847" t="s">
        <v>2024</v>
      </c>
      <c r="E1847" t="s">
        <v>5349</v>
      </c>
      <c r="F1847" t="s">
        <v>5350</v>
      </c>
      <c r="G1847">
        <v>5</v>
      </c>
      <c r="H1847">
        <v>1800</v>
      </c>
      <c r="I1847">
        <v>2</v>
      </c>
      <c r="J1847">
        <v>3.4</v>
      </c>
      <c r="K1847">
        <v>4</v>
      </c>
      <c r="L1847">
        <v>6.6000000000000003E-2</v>
      </c>
      <c r="M1847">
        <v>2</v>
      </c>
      <c r="N1847">
        <v>84</v>
      </c>
      <c r="O1847">
        <v>1</v>
      </c>
      <c r="P1847">
        <v>7.4999999999999997E-2</v>
      </c>
      <c r="Q1847">
        <v>2</v>
      </c>
      <c r="R1847">
        <v>2E-3</v>
      </c>
      <c r="T1847" t="s">
        <v>5349</v>
      </c>
    </row>
    <row r="1848" spans="1:20" x14ac:dyDescent="0.2">
      <c r="A1848" t="s">
        <v>5351</v>
      </c>
      <c r="B1848" t="s">
        <v>2022</v>
      </c>
      <c r="C1848" t="s">
        <v>2053</v>
      </c>
      <c r="D1848" t="s">
        <v>2024</v>
      </c>
      <c r="E1848" t="s">
        <v>5352</v>
      </c>
      <c r="F1848" t="s">
        <v>5353</v>
      </c>
      <c r="G1848">
        <v>1</v>
      </c>
      <c r="H1848">
        <v>1500</v>
      </c>
      <c r="I1848">
        <v>1</v>
      </c>
      <c r="J1848">
        <v>1.55</v>
      </c>
      <c r="K1848">
        <v>2</v>
      </c>
      <c r="L1848">
        <v>8.5000000000000006E-2</v>
      </c>
      <c r="M1848">
        <v>5</v>
      </c>
      <c r="N1848">
        <v>113</v>
      </c>
      <c r="O1848">
        <v>4</v>
      </c>
      <c r="P1848">
        <v>0.52500000000000002</v>
      </c>
      <c r="Q1848">
        <v>4</v>
      </c>
      <c r="R1848">
        <v>1.9199999999999998E-2</v>
      </c>
      <c r="T1848" t="s">
        <v>5352</v>
      </c>
    </row>
    <row r="1849" spans="1:20" x14ac:dyDescent="0.2">
      <c r="A1849" t="s">
        <v>5354</v>
      </c>
      <c r="B1849" t="s">
        <v>2022</v>
      </c>
      <c r="C1849" t="s">
        <v>2095</v>
      </c>
      <c r="D1849" t="s">
        <v>2024</v>
      </c>
      <c r="E1849" t="s">
        <v>5355</v>
      </c>
      <c r="F1849" t="s">
        <v>5356</v>
      </c>
      <c r="G1849">
        <v>4</v>
      </c>
      <c r="H1849">
        <v>1835</v>
      </c>
      <c r="I1849">
        <v>1</v>
      </c>
      <c r="J1849">
        <v>4.5</v>
      </c>
      <c r="K1849">
        <v>1</v>
      </c>
      <c r="L1849">
        <v>1.4999999999999999E-2</v>
      </c>
      <c r="M1849">
        <v>3</v>
      </c>
      <c r="N1849">
        <v>86</v>
      </c>
      <c r="O1849">
        <v>1</v>
      </c>
      <c r="P1849">
        <v>0.15</v>
      </c>
      <c r="Q1849">
        <v>1</v>
      </c>
      <c r="R1849">
        <v>6.9999999999999999E-4</v>
      </c>
      <c r="T1849" t="s">
        <v>5355</v>
      </c>
    </row>
    <row r="1850" spans="1:20" x14ac:dyDescent="0.2">
      <c r="A1850" t="s">
        <v>5357</v>
      </c>
      <c r="B1850" t="s">
        <v>2022</v>
      </c>
      <c r="C1850" t="s">
        <v>2053</v>
      </c>
      <c r="D1850" t="s">
        <v>2024</v>
      </c>
      <c r="E1850" t="s">
        <v>5358</v>
      </c>
      <c r="F1850" t="s">
        <v>5359</v>
      </c>
      <c r="G1850">
        <v>1</v>
      </c>
      <c r="H1850">
        <v>1500</v>
      </c>
      <c r="I1850">
        <v>1</v>
      </c>
      <c r="J1850">
        <v>1.55</v>
      </c>
      <c r="K1850">
        <v>1</v>
      </c>
      <c r="L1850">
        <v>1.4999999999999999E-2</v>
      </c>
      <c r="M1850">
        <v>5</v>
      </c>
      <c r="N1850">
        <v>113</v>
      </c>
      <c r="O1850">
        <v>1</v>
      </c>
      <c r="P1850">
        <v>7.4999999999999997E-2</v>
      </c>
      <c r="Q1850">
        <v>1</v>
      </c>
      <c r="R1850">
        <v>8.4999999999999995E-4</v>
      </c>
      <c r="T1850" t="s">
        <v>5358</v>
      </c>
    </row>
    <row r="1851" spans="1:20" x14ac:dyDescent="0.2">
      <c r="A1851" t="s">
        <v>5360</v>
      </c>
      <c r="B1851" t="s">
        <v>2022</v>
      </c>
      <c r="C1851" t="s">
        <v>2023</v>
      </c>
      <c r="D1851" t="s">
        <v>2024</v>
      </c>
      <c r="E1851" t="s">
        <v>5361</v>
      </c>
      <c r="F1851" t="s">
        <v>5362</v>
      </c>
      <c r="G1851">
        <v>2</v>
      </c>
      <c r="H1851">
        <v>1560</v>
      </c>
      <c r="I1851">
        <v>3</v>
      </c>
      <c r="J1851">
        <v>5.9</v>
      </c>
      <c r="K1851">
        <v>5</v>
      </c>
      <c r="L1851">
        <v>8.5999999999999993E-2</v>
      </c>
      <c r="M1851">
        <v>3</v>
      </c>
      <c r="N1851">
        <v>94</v>
      </c>
      <c r="O1851">
        <v>3</v>
      </c>
      <c r="P1851">
        <v>0.375</v>
      </c>
      <c r="Q1851">
        <v>5</v>
      </c>
      <c r="R1851">
        <v>8.0000000000000002E-3</v>
      </c>
      <c r="T1851" t="s">
        <v>5361</v>
      </c>
    </row>
    <row r="1852" spans="1:20" x14ac:dyDescent="0.2">
      <c r="A1852" t="s">
        <v>5363</v>
      </c>
      <c r="B1852" t="s">
        <v>2022</v>
      </c>
      <c r="C1852" t="s">
        <v>2053</v>
      </c>
      <c r="D1852" t="s">
        <v>2024</v>
      </c>
      <c r="E1852" t="s">
        <v>5364</v>
      </c>
      <c r="F1852" t="s">
        <v>5365</v>
      </c>
      <c r="G1852">
        <v>5</v>
      </c>
      <c r="H1852">
        <v>1900</v>
      </c>
      <c r="I1852">
        <v>5</v>
      </c>
      <c r="J1852">
        <v>11.55</v>
      </c>
      <c r="K1852">
        <v>3</v>
      </c>
      <c r="L1852">
        <v>0.19500000000000001</v>
      </c>
      <c r="M1852">
        <v>4</v>
      </c>
      <c r="N1852">
        <v>103</v>
      </c>
      <c r="O1852">
        <v>5</v>
      </c>
      <c r="P1852">
        <v>0.67500000000000004</v>
      </c>
      <c r="Q1852">
        <v>3</v>
      </c>
      <c r="R1852">
        <v>1.2200000000000001E-2</v>
      </c>
      <c r="T1852" t="s">
        <v>5364</v>
      </c>
    </row>
    <row r="1853" spans="1:20" x14ac:dyDescent="0.2">
      <c r="A1853" t="s">
        <v>5366</v>
      </c>
      <c r="B1853" t="s">
        <v>2022</v>
      </c>
      <c r="C1853" t="s">
        <v>2036</v>
      </c>
      <c r="D1853" t="s">
        <v>2024</v>
      </c>
      <c r="E1853" t="s">
        <v>5367</v>
      </c>
      <c r="F1853" t="s">
        <v>5368</v>
      </c>
      <c r="G1853">
        <v>2</v>
      </c>
      <c r="H1853">
        <v>1640</v>
      </c>
      <c r="I1853">
        <v>1</v>
      </c>
      <c r="J1853">
        <v>2.2000000000000002</v>
      </c>
      <c r="K1853">
        <v>1</v>
      </c>
      <c r="L1853">
        <v>5.5E-2</v>
      </c>
      <c r="M1853">
        <v>2</v>
      </c>
      <c r="N1853">
        <v>82</v>
      </c>
      <c r="O1853">
        <v>1</v>
      </c>
      <c r="P1853">
        <v>9.5000000000000001E-2</v>
      </c>
      <c r="Q1853">
        <v>1</v>
      </c>
      <c r="R1853">
        <v>1.5E-3</v>
      </c>
      <c r="T1853" t="s">
        <v>5367</v>
      </c>
    </row>
    <row r="1854" spans="1:20" x14ac:dyDescent="0.2">
      <c r="A1854" t="s">
        <v>5369</v>
      </c>
      <c r="B1854" t="s">
        <v>2022</v>
      </c>
      <c r="C1854" t="s">
        <v>2173</v>
      </c>
      <c r="D1854" t="s">
        <v>2024</v>
      </c>
      <c r="E1854" t="s">
        <v>5370</v>
      </c>
      <c r="F1854" t="s">
        <v>5371</v>
      </c>
      <c r="G1854">
        <v>5</v>
      </c>
      <c r="H1854">
        <v>2182.5</v>
      </c>
      <c r="I1854">
        <v>2</v>
      </c>
      <c r="J1854">
        <v>6.35</v>
      </c>
      <c r="K1854">
        <v>3</v>
      </c>
      <c r="L1854">
        <v>0.21</v>
      </c>
      <c r="M1854">
        <v>5</v>
      </c>
      <c r="N1854">
        <v>140.5</v>
      </c>
      <c r="O1854">
        <v>2</v>
      </c>
      <c r="P1854">
        <v>0.33</v>
      </c>
      <c r="Q1854">
        <v>3</v>
      </c>
      <c r="R1854">
        <v>1.18E-2</v>
      </c>
      <c r="T1854" t="s">
        <v>5370</v>
      </c>
    </row>
    <row r="1855" spans="1:20" x14ac:dyDescent="0.2">
      <c r="A1855" t="s">
        <v>5372</v>
      </c>
      <c r="B1855" t="s">
        <v>2022</v>
      </c>
      <c r="C1855" t="s">
        <v>2095</v>
      </c>
      <c r="D1855" t="s">
        <v>2024</v>
      </c>
      <c r="E1855" t="s">
        <v>5373</v>
      </c>
      <c r="F1855" t="s">
        <v>5374</v>
      </c>
      <c r="G1855">
        <v>5</v>
      </c>
      <c r="H1855">
        <v>1925</v>
      </c>
      <c r="I1855">
        <v>1</v>
      </c>
      <c r="J1855">
        <v>4.5</v>
      </c>
      <c r="K1855">
        <v>1</v>
      </c>
      <c r="L1855">
        <v>1.4999999999999999E-2</v>
      </c>
      <c r="M1855">
        <v>3</v>
      </c>
      <c r="N1855">
        <v>86</v>
      </c>
      <c r="O1855">
        <v>1</v>
      </c>
      <c r="P1855">
        <v>0.15</v>
      </c>
      <c r="Q1855">
        <v>1</v>
      </c>
      <c r="R1855">
        <v>6.9999999999999999E-4</v>
      </c>
      <c r="T1855" t="s">
        <v>5373</v>
      </c>
    </row>
    <row r="1856" spans="1:20" x14ac:dyDescent="0.2">
      <c r="A1856" t="s">
        <v>5375</v>
      </c>
      <c r="B1856" t="s">
        <v>2022</v>
      </c>
      <c r="C1856" t="s">
        <v>2023</v>
      </c>
      <c r="D1856" t="s">
        <v>2024</v>
      </c>
      <c r="E1856" t="s">
        <v>5376</v>
      </c>
      <c r="F1856" t="s">
        <v>5377</v>
      </c>
      <c r="G1856">
        <v>2</v>
      </c>
      <c r="H1856">
        <v>1560</v>
      </c>
      <c r="I1856">
        <v>3</v>
      </c>
      <c r="J1856">
        <v>5.9</v>
      </c>
      <c r="K1856">
        <v>5</v>
      </c>
      <c r="L1856">
        <v>8.5999999999999993E-2</v>
      </c>
      <c r="M1856">
        <v>4</v>
      </c>
      <c r="N1856">
        <v>104</v>
      </c>
      <c r="O1856">
        <v>3</v>
      </c>
      <c r="P1856">
        <v>0.375</v>
      </c>
      <c r="Q1856">
        <v>5</v>
      </c>
      <c r="R1856">
        <v>8.0000000000000002E-3</v>
      </c>
      <c r="T1856" t="s">
        <v>5376</v>
      </c>
    </row>
    <row r="1857" spans="1:20" x14ac:dyDescent="0.2">
      <c r="A1857" t="s">
        <v>5378</v>
      </c>
      <c r="B1857" t="s">
        <v>2022</v>
      </c>
      <c r="C1857" t="s">
        <v>2023</v>
      </c>
      <c r="D1857" t="s">
        <v>2024</v>
      </c>
      <c r="E1857" t="s">
        <v>5379</v>
      </c>
      <c r="F1857" t="s">
        <v>447</v>
      </c>
      <c r="G1857">
        <v>5</v>
      </c>
      <c r="H1857">
        <v>1800</v>
      </c>
      <c r="I1857">
        <v>3</v>
      </c>
      <c r="J1857">
        <v>5.9</v>
      </c>
      <c r="K1857">
        <v>5</v>
      </c>
      <c r="L1857">
        <v>8.5999999999999993E-2</v>
      </c>
      <c r="M1857">
        <v>4</v>
      </c>
      <c r="N1857">
        <v>104</v>
      </c>
      <c r="O1857">
        <v>3</v>
      </c>
      <c r="P1857">
        <v>0.375</v>
      </c>
      <c r="Q1857">
        <v>5</v>
      </c>
      <c r="R1857">
        <v>8.0000000000000002E-3</v>
      </c>
      <c r="T1857" t="s">
        <v>5379</v>
      </c>
    </row>
    <row r="1858" spans="1:20" x14ac:dyDescent="0.2">
      <c r="A1858" t="s">
        <v>5380</v>
      </c>
      <c r="B1858" t="s">
        <v>2022</v>
      </c>
      <c r="C1858" t="s">
        <v>2023</v>
      </c>
      <c r="D1858" t="s">
        <v>2154</v>
      </c>
      <c r="E1858" t="s">
        <v>5381</v>
      </c>
      <c r="F1858" t="s">
        <v>5382</v>
      </c>
      <c r="G1858">
        <v>1</v>
      </c>
      <c r="H1858">
        <v>1480</v>
      </c>
      <c r="I1858">
        <v>2</v>
      </c>
      <c r="J1858">
        <v>3.4</v>
      </c>
      <c r="K1858">
        <v>2</v>
      </c>
      <c r="L1858">
        <v>2.5999999999999999E-2</v>
      </c>
      <c r="M1858">
        <v>1</v>
      </c>
      <c r="N1858">
        <v>74</v>
      </c>
      <c r="O1858">
        <v>2</v>
      </c>
      <c r="P1858">
        <v>0.22500000000000001</v>
      </c>
      <c r="Q1858">
        <v>2</v>
      </c>
      <c r="R1858">
        <v>2E-3</v>
      </c>
      <c r="T1858" t="s">
        <v>5381</v>
      </c>
    </row>
    <row r="1859" spans="1:20" x14ac:dyDescent="0.2">
      <c r="A1859" t="s">
        <v>5383</v>
      </c>
      <c r="B1859" t="s">
        <v>2022</v>
      </c>
      <c r="C1859" t="s">
        <v>2023</v>
      </c>
      <c r="D1859" t="s">
        <v>2024</v>
      </c>
      <c r="E1859" t="s">
        <v>5384</v>
      </c>
      <c r="F1859" t="s">
        <v>5382</v>
      </c>
      <c r="G1859">
        <v>1</v>
      </c>
      <c r="H1859">
        <v>1480</v>
      </c>
      <c r="I1859">
        <v>2</v>
      </c>
      <c r="J1859">
        <v>3.4</v>
      </c>
      <c r="K1859">
        <v>2</v>
      </c>
      <c r="L1859">
        <v>2.5999999999999999E-2</v>
      </c>
      <c r="M1859">
        <v>1</v>
      </c>
      <c r="N1859">
        <v>74</v>
      </c>
      <c r="O1859">
        <v>2</v>
      </c>
      <c r="P1859">
        <v>0.22500000000000001</v>
      </c>
      <c r="Q1859">
        <v>2</v>
      </c>
      <c r="R1859">
        <v>2E-3</v>
      </c>
      <c r="T1859" t="s">
        <v>5384</v>
      </c>
    </row>
    <row r="1860" spans="1:20" x14ac:dyDescent="0.2">
      <c r="A1860" t="s">
        <v>5385</v>
      </c>
      <c r="B1860" t="s">
        <v>2022</v>
      </c>
      <c r="C1860" t="s">
        <v>2036</v>
      </c>
      <c r="D1860" t="s">
        <v>2024</v>
      </c>
      <c r="E1860" t="s">
        <v>5384</v>
      </c>
      <c r="F1860" t="s">
        <v>5382</v>
      </c>
      <c r="G1860">
        <v>3</v>
      </c>
      <c r="H1860">
        <v>1740</v>
      </c>
      <c r="I1860">
        <v>3</v>
      </c>
      <c r="J1860">
        <v>4.5999999999999996</v>
      </c>
      <c r="K1860">
        <v>3</v>
      </c>
      <c r="L1860">
        <v>0.115</v>
      </c>
      <c r="M1860">
        <v>3</v>
      </c>
      <c r="N1860">
        <v>88</v>
      </c>
      <c r="O1860">
        <v>2</v>
      </c>
      <c r="P1860">
        <v>0.20499999999999999</v>
      </c>
      <c r="Q1860">
        <v>3</v>
      </c>
      <c r="R1860">
        <v>6.7499999999999999E-3</v>
      </c>
      <c r="T1860" t="s">
        <v>5384</v>
      </c>
    </row>
    <row r="1861" spans="1:20" x14ac:dyDescent="0.2">
      <c r="A1861" t="s">
        <v>5386</v>
      </c>
      <c r="B1861" t="s">
        <v>2022</v>
      </c>
      <c r="C1861" t="s">
        <v>2049</v>
      </c>
      <c r="D1861" t="s">
        <v>2024</v>
      </c>
      <c r="E1861" t="s">
        <v>5387</v>
      </c>
      <c r="F1861" t="s">
        <v>5388</v>
      </c>
      <c r="G1861">
        <v>2</v>
      </c>
      <c r="H1861">
        <v>1450</v>
      </c>
      <c r="I1861">
        <v>3</v>
      </c>
      <c r="J1861">
        <v>5</v>
      </c>
      <c r="K1861">
        <v>3</v>
      </c>
      <c r="L1861">
        <v>0.14000000000000001</v>
      </c>
      <c r="M1861">
        <v>2</v>
      </c>
      <c r="N1861">
        <v>106</v>
      </c>
      <c r="O1861">
        <v>3</v>
      </c>
      <c r="P1861">
        <v>0.46</v>
      </c>
      <c r="Q1861">
        <v>3</v>
      </c>
      <c r="R1861">
        <v>1.52E-2</v>
      </c>
      <c r="T1861" t="s">
        <v>5387</v>
      </c>
    </row>
    <row r="1862" spans="1:20" x14ac:dyDescent="0.2">
      <c r="A1862" t="s">
        <v>5389</v>
      </c>
      <c r="B1862" t="s">
        <v>2022</v>
      </c>
      <c r="C1862" t="s">
        <v>2036</v>
      </c>
      <c r="D1862" t="s">
        <v>2024</v>
      </c>
      <c r="E1862" t="s">
        <v>5390</v>
      </c>
      <c r="F1862" t="s">
        <v>447</v>
      </c>
      <c r="G1862">
        <v>1</v>
      </c>
      <c r="H1862">
        <v>1540</v>
      </c>
      <c r="I1862">
        <v>4</v>
      </c>
      <c r="J1862">
        <v>5.8</v>
      </c>
      <c r="K1862">
        <v>4</v>
      </c>
      <c r="L1862">
        <v>0.14499999999999999</v>
      </c>
      <c r="M1862">
        <v>4</v>
      </c>
      <c r="N1862">
        <v>94</v>
      </c>
      <c r="O1862">
        <v>3</v>
      </c>
      <c r="P1862">
        <v>0.315</v>
      </c>
      <c r="Q1862">
        <v>4</v>
      </c>
      <c r="R1862">
        <v>9.2499999999999995E-3</v>
      </c>
      <c r="T1862" t="s">
        <v>5390</v>
      </c>
    </row>
    <row r="1863" spans="1:20" x14ac:dyDescent="0.2">
      <c r="A1863" t="s">
        <v>5391</v>
      </c>
      <c r="B1863" t="s">
        <v>2022</v>
      </c>
      <c r="C1863" t="s">
        <v>2053</v>
      </c>
      <c r="D1863" t="s">
        <v>2136</v>
      </c>
      <c r="E1863" t="s">
        <v>5392</v>
      </c>
      <c r="F1863" t="s">
        <v>5393</v>
      </c>
      <c r="G1863">
        <v>2</v>
      </c>
      <c r="H1863">
        <v>1600</v>
      </c>
      <c r="I1863">
        <v>5</v>
      </c>
      <c r="J1863">
        <v>11.55</v>
      </c>
      <c r="K1863">
        <v>5</v>
      </c>
      <c r="L1863">
        <v>0.41499999999999998</v>
      </c>
      <c r="M1863">
        <v>5</v>
      </c>
      <c r="N1863">
        <v>113</v>
      </c>
      <c r="O1863">
        <v>5</v>
      </c>
      <c r="P1863">
        <v>0.67500000000000004</v>
      </c>
      <c r="Q1863">
        <v>5</v>
      </c>
      <c r="R1863">
        <v>2.6200000000000001E-2</v>
      </c>
      <c r="T1863" t="s">
        <v>5392</v>
      </c>
    </row>
    <row r="1864" spans="1:20" x14ac:dyDescent="0.2">
      <c r="A1864" t="s">
        <v>5394</v>
      </c>
      <c r="B1864" t="s">
        <v>2022</v>
      </c>
      <c r="C1864" t="s">
        <v>2053</v>
      </c>
      <c r="D1864" t="s">
        <v>2024</v>
      </c>
      <c r="E1864" t="s">
        <v>5395</v>
      </c>
      <c r="F1864" t="s">
        <v>5396</v>
      </c>
      <c r="G1864">
        <v>2</v>
      </c>
      <c r="H1864">
        <v>1600</v>
      </c>
      <c r="I1864">
        <v>2</v>
      </c>
      <c r="J1864">
        <v>4.05</v>
      </c>
      <c r="K1864">
        <v>2</v>
      </c>
      <c r="L1864">
        <v>8.5000000000000006E-2</v>
      </c>
      <c r="M1864">
        <v>3</v>
      </c>
      <c r="N1864">
        <v>93</v>
      </c>
      <c r="O1864">
        <v>2</v>
      </c>
      <c r="P1864">
        <v>0.22500000000000001</v>
      </c>
      <c r="Q1864">
        <v>2</v>
      </c>
      <c r="R1864">
        <v>5.1999999999999998E-3</v>
      </c>
      <c r="T1864" t="s">
        <v>5395</v>
      </c>
    </row>
    <row r="1865" spans="1:20" x14ac:dyDescent="0.2">
      <c r="A1865" t="s">
        <v>5397</v>
      </c>
      <c r="B1865" t="s">
        <v>2022</v>
      </c>
      <c r="C1865" t="s">
        <v>2023</v>
      </c>
      <c r="D1865" t="s">
        <v>2024</v>
      </c>
      <c r="E1865" t="s">
        <v>5398</v>
      </c>
      <c r="F1865" t="s">
        <v>5399</v>
      </c>
      <c r="G1865">
        <v>1</v>
      </c>
      <c r="H1865">
        <v>1480</v>
      </c>
      <c r="I1865">
        <v>2</v>
      </c>
      <c r="J1865">
        <v>3.4</v>
      </c>
      <c r="K1865">
        <v>2</v>
      </c>
      <c r="L1865">
        <v>2.5999999999999999E-2</v>
      </c>
      <c r="M1865">
        <v>1</v>
      </c>
      <c r="N1865">
        <v>74</v>
      </c>
      <c r="O1865">
        <v>2</v>
      </c>
      <c r="P1865">
        <v>0.22500000000000001</v>
      </c>
      <c r="Q1865">
        <v>1</v>
      </c>
      <c r="R1865">
        <v>5.0000000000000001E-4</v>
      </c>
      <c r="T1865" t="s">
        <v>5398</v>
      </c>
    </row>
    <row r="1866" spans="1:20" x14ac:dyDescent="0.2">
      <c r="A1866" t="s">
        <v>5400</v>
      </c>
      <c r="B1866" t="s">
        <v>2022</v>
      </c>
      <c r="C1866" t="s">
        <v>2023</v>
      </c>
      <c r="D1866" t="s">
        <v>2024</v>
      </c>
      <c r="E1866" t="s">
        <v>5401</v>
      </c>
      <c r="F1866" t="s">
        <v>5402</v>
      </c>
      <c r="G1866">
        <v>1</v>
      </c>
      <c r="H1866">
        <v>1480</v>
      </c>
      <c r="I1866">
        <v>1</v>
      </c>
      <c r="J1866">
        <v>0.9</v>
      </c>
      <c r="K1866">
        <v>2</v>
      </c>
      <c r="L1866">
        <v>2.5999999999999999E-2</v>
      </c>
      <c r="M1866">
        <v>5</v>
      </c>
      <c r="N1866">
        <v>114</v>
      </c>
      <c r="O1866">
        <v>2</v>
      </c>
      <c r="P1866">
        <v>0.22500000000000001</v>
      </c>
      <c r="Q1866">
        <v>2</v>
      </c>
      <c r="R1866">
        <v>2E-3</v>
      </c>
      <c r="T1866" t="s">
        <v>5401</v>
      </c>
    </row>
    <row r="1867" spans="1:20" x14ac:dyDescent="0.2">
      <c r="A1867" t="s">
        <v>5403</v>
      </c>
      <c r="B1867" t="s">
        <v>2022</v>
      </c>
      <c r="C1867" t="s">
        <v>2104</v>
      </c>
      <c r="D1867" t="s">
        <v>2024</v>
      </c>
      <c r="E1867" t="s">
        <v>5404</v>
      </c>
      <c r="F1867" t="s">
        <v>5405</v>
      </c>
      <c r="G1867">
        <v>2</v>
      </c>
      <c r="H1867">
        <v>1712.5</v>
      </c>
      <c r="I1867">
        <v>2</v>
      </c>
      <c r="J1867">
        <v>3.25</v>
      </c>
      <c r="K1867">
        <v>2</v>
      </c>
      <c r="L1867">
        <v>4.1000000000000002E-2</v>
      </c>
      <c r="M1867">
        <v>2</v>
      </c>
      <c r="N1867">
        <v>65</v>
      </c>
      <c r="P1867">
        <v>0</v>
      </c>
      <c r="Q1867">
        <v>2</v>
      </c>
      <c r="R1867">
        <v>3.2000000000000002E-3</v>
      </c>
      <c r="T1867" t="s">
        <v>5404</v>
      </c>
    </row>
    <row r="1868" spans="1:20" x14ac:dyDescent="0.2">
      <c r="A1868" t="s">
        <v>5406</v>
      </c>
      <c r="B1868" t="s">
        <v>2022</v>
      </c>
      <c r="C1868" t="s">
        <v>2023</v>
      </c>
      <c r="D1868" t="s">
        <v>2024</v>
      </c>
      <c r="E1868" t="s">
        <v>5407</v>
      </c>
      <c r="F1868" t="s">
        <v>5408</v>
      </c>
      <c r="G1868">
        <v>3</v>
      </c>
      <c r="H1868">
        <v>1640</v>
      </c>
      <c r="I1868">
        <v>3</v>
      </c>
      <c r="J1868">
        <v>5.9</v>
      </c>
      <c r="K1868">
        <v>2</v>
      </c>
      <c r="L1868">
        <v>2.5999999999999999E-2</v>
      </c>
      <c r="M1868">
        <v>2</v>
      </c>
      <c r="N1868">
        <v>84</v>
      </c>
      <c r="O1868">
        <v>3</v>
      </c>
      <c r="P1868">
        <v>0.375</v>
      </c>
      <c r="Q1868">
        <v>2</v>
      </c>
      <c r="R1868">
        <v>2E-3</v>
      </c>
      <c r="T1868" t="s">
        <v>5407</v>
      </c>
    </row>
    <row r="1869" spans="1:20" x14ac:dyDescent="0.2">
      <c r="A1869" t="s">
        <v>5409</v>
      </c>
      <c r="B1869" t="s">
        <v>2022</v>
      </c>
      <c r="C1869" t="s">
        <v>2023</v>
      </c>
      <c r="D1869" t="s">
        <v>2024</v>
      </c>
      <c r="E1869" t="s">
        <v>5410</v>
      </c>
      <c r="F1869" t="s">
        <v>5411</v>
      </c>
      <c r="G1869">
        <v>3</v>
      </c>
      <c r="H1869">
        <v>1640</v>
      </c>
      <c r="I1869">
        <v>5</v>
      </c>
      <c r="J1869">
        <v>10.9</v>
      </c>
      <c r="K1869">
        <v>5</v>
      </c>
      <c r="L1869">
        <v>8.5999999999999993E-2</v>
      </c>
      <c r="M1869">
        <v>3</v>
      </c>
      <c r="N1869">
        <v>94</v>
      </c>
      <c r="O1869">
        <v>4</v>
      </c>
      <c r="P1869">
        <v>0.52500000000000002</v>
      </c>
      <c r="Q1869">
        <v>5</v>
      </c>
      <c r="R1869">
        <v>8.0000000000000002E-3</v>
      </c>
      <c r="T1869" t="s">
        <v>5410</v>
      </c>
    </row>
    <row r="1870" spans="1:20" x14ac:dyDescent="0.2">
      <c r="A1870" t="s">
        <v>5412</v>
      </c>
      <c r="B1870" t="s">
        <v>2022</v>
      </c>
      <c r="C1870" t="s">
        <v>2053</v>
      </c>
      <c r="D1870" t="s">
        <v>2024</v>
      </c>
      <c r="E1870" t="s">
        <v>5413</v>
      </c>
      <c r="F1870" t="s">
        <v>5414</v>
      </c>
      <c r="G1870">
        <v>5</v>
      </c>
      <c r="H1870">
        <v>1900</v>
      </c>
      <c r="I1870">
        <v>1</v>
      </c>
      <c r="J1870">
        <v>1.55</v>
      </c>
      <c r="K1870">
        <v>1</v>
      </c>
      <c r="L1870">
        <v>1.4999999999999999E-2</v>
      </c>
      <c r="M1870">
        <v>3</v>
      </c>
      <c r="N1870">
        <v>93</v>
      </c>
      <c r="O1870">
        <v>1</v>
      </c>
      <c r="P1870">
        <v>7.4999999999999997E-2</v>
      </c>
      <c r="Q1870">
        <v>1</v>
      </c>
      <c r="R1870">
        <v>8.4999999999999995E-4</v>
      </c>
      <c r="T1870" t="s">
        <v>5413</v>
      </c>
    </row>
    <row r="1871" spans="1:20" x14ac:dyDescent="0.2">
      <c r="A1871" t="s">
        <v>5415</v>
      </c>
      <c r="B1871" t="s">
        <v>2022</v>
      </c>
      <c r="C1871" t="s">
        <v>2101</v>
      </c>
      <c r="D1871" t="s">
        <v>2024</v>
      </c>
      <c r="E1871" t="s">
        <v>5416</v>
      </c>
      <c r="F1871" t="s">
        <v>5417</v>
      </c>
      <c r="G1871">
        <v>2</v>
      </c>
      <c r="H1871">
        <v>1670</v>
      </c>
      <c r="I1871">
        <v>2</v>
      </c>
      <c r="J1871">
        <v>5</v>
      </c>
      <c r="K1871">
        <v>2</v>
      </c>
      <c r="L1871">
        <v>9.6500000000000002E-2</v>
      </c>
      <c r="M1871">
        <v>3</v>
      </c>
      <c r="N1871">
        <v>82</v>
      </c>
      <c r="O1871">
        <v>2</v>
      </c>
      <c r="P1871">
        <v>0.22500000000000001</v>
      </c>
      <c r="Q1871">
        <v>2</v>
      </c>
      <c r="R1871">
        <v>4.4999999999999997E-3</v>
      </c>
      <c r="T1871" t="s">
        <v>5416</v>
      </c>
    </row>
    <row r="1872" spans="1:20" x14ac:dyDescent="0.2">
      <c r="A1872" t="s">
        <v>5418</v>
      </c>
      <c r="B1872" t="s">
        <v>2022</v>
      </c>
      <c r="C1872" t="s">
        <v>2023</v>
      </c>
      <c r="D1872" t="s">
        <v>2024</v>
      </c>
      <c r="E1872" t="s">
        <v>5419</v>
      </c>
      <c r="F1872" t="s">
        <v>5420</v>
      </c>
      <c r="G1872">
        <v>4</v>
      </c>
      <c r="H1872">
        <v>1720</v>
      </c>
      <c r="I1872">
        <v>4</v>
      </c>
      <c r="J1872">
        <v>8.4</v>
      </c>
      <c r="K1872">
        <v>5</v>
      </c>
      <c r="L1872">
        <v>8.5999999999999993E-2</v>
      </c>
      <c r="M1872">
        <v>5</v>
      </c>
      <c r="N1872">
        <v>114</v>
      </c>
      <c r="O1872">
        <v>4</v>
      </c>
      <c r="P1872">
        <v>0.52500000000000002</v>
      </c>
      <c r="Q1872">
        <v>5</v>
      </c>
      <c r="R1872">
        <v>8.0000000000000002E-3</v>
      </c>
      <c r="T1872" t="s">
        <v>5419</v>
      </c>
    </row>
    <row r="1873" spans="1:20" x14ac:dyDescent="0.2">
      <c r="A1873" t="s">
        <v>5421</v>
      </c>
      <c r="B1873" t="s">
        <v>2022</v>
      </c>
      <c r="C1873" t="s">
        <v>2036</v>
      </c>
      <c r="D1873" t="s">
        <v>2024</v>
      </c>
      <c r="E1873" t="s">
        <v>5419</v>
      </c>
      <c r="F1873" t="s">
        <v>5420</v>
      </c>
      <c r="G1873">
        <v>5</v>
      </c>
      <c r="H1873">
        <v>1940</v>
      </c>
      <c r="I1873">
        <v>5</v>
      </c>
      <c r="J1873">
        <v>7</v>
      </c>
      <c r="K1873">
        <v>5</v>
      </c>
      <c r="L1873">
        <v>0.17499999999999999</v>
      </c>
      <c r="M1873">
        <v>4</v>
      </c>
      <c r="N1873">
        <v>94</v>
      </c>
      <c r="O1873">
        <v>5</v>
      </c>
      <c r="P1873">
        <v>0.53500000000000003</v>
      </c>
      <c r="Q1873">
        <v>5</v>
      </c>
      <c r="R1873">
        <v>1.2E-2</v>
      </c>
      <c r="T1873" t="s">
        <v>5419</v>
      </c>
    </row>
    <row r="1874" spans="1:20" x14ac:dyDescent="0.2">
      <c r="A1874" t="s">
        <v>5422</v>
      </c>
      <c r="B1874" t="s">
        <v>2022</v>
      </c>
      <c r="C1874" t="s">
        <v>2053</v>
      </c>
      <c r="D1874" t="s">
        <v>2024</v>
      </c>
      <c r="E1874" t="s">
        <v>5423</v>
      </c>
      <c r="F1874" t="s">
        <v>5424</v>
      </c>
      <c r="G1874">
        <v>4</v>
      </c>
      <c r="H1874">
        <v>1800</v>
      </c>
      <c r="I1874">
        <v>2</v>
      </c>
      <c r="J1874">
        <v>4.05</v>
      </c>
      <c r="K1874">
        <v>2</v>
      </c>
      <c r="L1874">
        <v>8.5000000000000006E-2</v>
      </c>
      <c r="M1874">
        <v>3</v>
      </c>
      <c r="N1874">
        <v>93</v>
      </c>
      <c r="O1874">
        <v>2</v>
      </c>
      <c r="P1874">
        <v>0.22500000000000001</v>
      </c>
      <c r="Q1874">
        <v>2</v>
      </c>
      <c r="R1874">
        <v>5.1999999999999998E-3</v>
      </c>
      <c r="T1874" t="s">
        <v>5423</v>
      </c>
    </row>
    <row r="1875" spans="1:20" x14ac:dyDescent="0.2">
      <c r="A1875" t="s">
        <v>5425</v>
      </c>
      <c r="B1875" t="s">
        <v>2022</v>
      </c>
      <c r="C1875" t="s">
        <v>2053</v>
      </c>
      <c r="D1875" t="s">
        <v>2024</v>
      </c>
      <c r="E1875" t="s">
        <v>5426</v>
      </c>
      <c r="F1875" t="s">
        <v>5427</v>
      </c>
      <c r="G1875">
        <v>1</v>
      </c>
      <c r="H1875">
        <v>1500</v>
      </c>
      <c r="I1875">
        <v>4</v>
      </c>
      <c r="J1875">
        <v>9.0500000000000007</v>
      </c>
      <c r="K1875">
        <v>5</v>
      </c>
      <c r="L1875">
        <v>0.41499999999999998</v>
      </c>
      <c r="M1875">
        <v>5</v>
      </c>
      <c r="N1875">
        <v>113</v>
      </c>
      <c r="O1875">
        <v>5</v>
      </c>
      <c r="P1875">
        <v>0.67500000000000004</v>
      </c>
      <c r="Q1875">
        <v>5</v>
      </c>
      <c r="R1875">
        <v>2.6200000000000001E-2</v>
      </c>
      <c r="T1875" t="s">
        <v>5426</v>
      </c>
    </row>
    <row r="1876" spans="1:20" x14ac:dyDescent="0.2">
      <c r="A1876" t="s">
        <v>5428</v>
      </c>
      <c r="B1876" t="s">
        <v>2022</v>
      </c>
      <c r="C1876" t="s">
        <v>2023</v>
      </c>
      <c r="D1876" t="s">
        <v>2024</v>
      </c>
      <c r="E1876" t="s">
        <v>5429</v>
      </c>
      <c r="F1876" t="s">
        <v>5430</v>
      </c>
      <c r="G1876">
        <v>1</v>
      </c>
      <c r="H1876">
        <v>1480</v>
      </c>
      <c r="I1876">
        <v>1</v>
      </c>
      <c r="J1876">
        <v>0.9</v>
      </c>
      <c r="K1876">
        <v>1</v>
      </c>
      <c r="L1876">
        <v>6.0000000000000001E-3</v>
      </c>
      <c r="M1876">
        <v>3</v>
      </c>
      <c r="N1876">
        <v>94</v>
      </c>
      <c r="O1876">
        <v>1</v>
      </c>
      <c r="P1876">
        <v>7.4999999999999997E-2</v>
      </c>
      <c r="Q1876">
        <v>1</v>
      </c>
      <c r="R1876">
        <v>5.0000000000000001E-4</v>
      </c>
      <c r="T1876" t="s">
        <v>5429</v>
      </c>
    </row>
    <row r="1877" spans="1:20" x14ac:dyDescent="0.2">
      <c r="A1877" t="s">
        <v>5431</v>
      </c>
      <c r="B1877" t="s">
        <v>2022</v>
      </c>
      <c r="C1877" t="s">
        <v>2036</v>
      </c>
      <c r="D1877" t="s">
        <v>2024</v>
      </c>
      <c r="E1877" t="s">
        <v>5429</v>
      </c>
      <c r="F1877" t="s">
        <v>5430</v>
      </c>
      <c r="G1877">
        <v>1</v>
      </c>
      <c r="H1877">
        <v>1540</v>
      </c>
      <c r="I1877">
        <v>1</v>
      </c>
      <c r="J1877">
        <v>2.2000000000000002</v>
      </c>
      <c r="K1877">
        <v>1</v>
      </c>
      <c r="L1877">
        <v>5.5E-2</v>
      </c>
      <c r="M1877">
        <v>1</v>
      </c>
      <c r="N1877">
        <v>76</v>
      </c>
      <c r="O1877">
        <v>1</v>
      </c>
      <c r="P1877">
        <v>9.5000000000000001E-2</v>
      </c>
      <c r="Q1877">
        <v>1</v>
      </c>
      <c r="R1877">
        <v>1.5E-3</v>
      </c>
      <c r="T1877" t="s">
        <v>5429</v>
      </c>
    </row>
    <row r="1878" spans="1:20" x14ac:dyDescent="0.2">
      <c r="A1878" t="s">
        <v>5432</v>
      </c>
      <c r="B1878" t="s">
        <v>2022</v>
      </c>
      <c r="C1878" t="s">
        <v>2053</v>
      </c>
      <c r="D1878" t="s">
        <v>2024</v>
      </c>
      <c r="E1878" t="s">
        <v>5433</v>
      </c>
      <c r="F1878" t="s">
        <v>5434</v>
      </c>
      <c r="G1878">
        <v>1</v>
      </c>
      <c r="H1878">
        <v>1500</v>
      </c>
      <c r="I1878">
        <v>2</v>
      </c>
      <c r="J1878">
        <v>4.05</v>
      </c>
      <c r="K1878">
        <v>2</v>
      </c>
      <c r="L1878">
        <v>8.5000000000000006E-2</v>
      </c>
      <c r="M1878">
        <v>5</v>
      </c>
      <c r="N1878">
        <v>113</v>
      </c>
      <c r="O1878">
        <v>2</v>
      </c>
      <c r="P1878">
        <v>0.22500000000000001</v>
      </c>
      <c r="Q1878">
        <v>2</v>
      </c>
      <c r="R1878">
        <v>5.1999999999999998E-3</v>
      </c>
      <c r="T1878" t="s">
        <v>5433</v>
      </c>
    </row>
    <row r="1879" spans="1:20" x14ac:dyDescent="0.2">
      <c r="A1879" t="s">
        <v>5435</v>
      </c>
      <c r="B1879" t="s">
        <v>2022</v>
      </c>
      <c r="C1879" t="s">
        <v>2023</v>
      </c>
      <c r="D1879" t="s">
        <v>2024</v>
      </c>
      <c r="E1879" t="s">
        <v>5436</v>
      </c>
      <c r="F1879" t="s">
        <v>5437</v>
      </c>
      <c r="G1879">
        <v>2</v>
      </c>
      <c r="H1879">
        <v>1560</v>
      </c>
      <c r="I1879">
        <v>2</v>
      </c>
      <c r="J1879">
        <v>3.4</v>
      </c>
      <c r="K1879">
        <v>2</v>
      </c>
      <c r="L1879">
        <v>2.5999999999999999E-2</v>
      </c>
      <c r="M1879">
        <v>2</v>
      </c>
      <c r="N1879">
        <v>84</v>
      </c>
      <c r="O1879">
        <v>1</v>
      </c>
      <c r="P1879">
        <v>7.4999999999999997E-2</v>
      </c>
      <c r="Q1879">
        <v>2</v>
      </c>
      <c r="R1879">
        <v>2E-3</v>
      </c>
      <c r="T1879" t="s">
        <v>5436</v>
      </c>
    </row>
    <row r="1880" spans="1:20" x14ac:dyDescent="0.2">
      <c r="A1880" t="s">
        <v>5438</v>
      </c>
      <c r="B1880" t="s">
        <v>2022</v>
      </c>
      <c r="C1880" t="s">
        <v>2036</v>
      </c>
      <c r="D1880" t="s">
        <v>2024</v>
      </c>
      <c r="E1880" t="s">
        <v>5439</v>
      </c>
      <c r="F1880" t="s">
        <v>5440</v>
      </c>
      <c r="G1880">
        <v>1</v>
      </c>
      <c r="H1880">
        <v>1540</v>
      </c>
      <c r="I1880">
        <v>1</v>
      </c>
      <c r="J1880">
        <v>2.2000000000000002</v>
      </c>
      <c r="K1880">
        <v>1</v>
      </c>
      <c r="L1880">
        <v>5.5E-2</v>
      </c>
      <c r="M1880">
        <v>2</v>
      </c>
      <c r="N1880">
        <v>82</v>
      </c>
      <c r="O1880">
        <v>1</v>
      </c>
      <c r="P1880">
        <v>9.5000000000000001E-2</v>
      </c>
      <c r="Q1880">
        <v>1</v>
      </c>
      <c r="R1880">
        <v>1.5E-3</v>
      </c>
      <c r="T1880" t="s">
        <v>5439</v>
      </c>
    </row>
    <row r="1881" spans="1:20" x14ac:dyDescent="0.2">
      <c r="A1881" t="s">
        <v>5441</v>
      </c>
      <c r="B1881" t="s">
        <v>2022</v>
      </c>
      <c r="C1881" t="s">
        <v>2053</v>
      </c>
      <c r="D1881" t="s">
        <v>2024</v>
      </c>
      <c r="E1881" t="s">
        <v>5439</v>
      </c>
      <c r="F1881" t="s">
        <v>5440</v>
      </c>
      <c r="G1881">
        <v>1</v>
      </c>
      <c r="H1881">
        <v>1500</v>
      </c>
      <c r="I1881">
        <v>1</v>
      </c>
      <c r="J1881">
        <v>1.55</v>
      </c>
      <c r="K1881">
        <v>1</v>
      </c>
      <c r="L1881">
        <v>1.4999999999999999E-2</v>
      </c>
      <c r="M1881">
        <v>3</v>
      </c>
      <c r="N1881">
        <v>93</v>
      </c>
      <c r="O1881">
        <v>1</v>
      </c>
      <c r="P1881">
        <v>7.4999999999999997E-2</v>
      </c>
      <c r="Q1881">
        <v>1</v>
      </c>
      <c r="R1881">
        <v>8.4999999999999995E-4</v>
      </c>
      <c r="T1881" t="s">
        <v>5439</v>
      </c>
    </row>
    <row r="1882" spans="1:20" x14ac:dyDescent="0.2">
      <c r="A1882" t="s">
        <v>5442</v>
      </c>
      <c r="B1882" t="s">
        <v>2022</v>
      </c>
      <c r="C1882" t="s">
        <v>2101</v>
      </c>
      <c r="D1882" t="s">
        <v>2024</v>
      </c>
      <c r="E1882" t="s">
        <v>5443</v>
      </c>
      <c r="F1882" t="s">
        <v>5444</v>
      </c>
      <c r="G1882">
        <v>3</v>
      </c>
      <c r="H1882">
        <v>1770</v>
      </c>
      <c r="I1882">
        <v>2</v>
      </c>
      <c r="J1882">
        <v>5</v>
      </c>
      <c r="K1882">
        <v>2</v>
      </c>
      <c r="L1882">
        <v>9.6500000000000002E-2</v>
      </c>
      <c r="M1882">
        <v>3</v>
      </c>
      <c r="N1882">
        <v>82</v>
      </c>
      <c r="O1882">
        <v>2</v>
      </c>
      <c r="P1882">
        <v>0.22500000000000001</v>
      </c>
      <c r="Q1882">
        <v>2</v>
      </c>
      <c r="R1882">
        <v>4.4999999999999997E-3</v>
      </c>
      <c r="T1882" t="s">
        <v>5443</v>
      </c>
    </row>
    <row r="1883" spans="1:20" x14ac:dyDescent="0.2">
      <c r="A1883" t="s">
        <v>5445</v>
      </c>
      <c r="B1883" t="s">
        <v>2022</v>
      </c>
      <c r="C1883" t="s">
        <v>2023</v>
      </c>
      <c r="D1883" t="s">
        <v>2024</v>
      </c>
      <c r="E1883" t="s">
        <v>5446</v>
      </c>
      <c r="F1883" t="s">
        <v>5447</v>
      </c>
      <c r="G1883">
        <v>4</v>
      </c>
      <c r="H1883">
        <v>1720</v>
      </c>
      <c r="I1883">
        <v>2</v>
      </c>
      <c r="J1883">
        <v>3.4</v>
      </c>
      <c r="K1883">
        <v>1</v>
      </c>
      <c r="L1883">
        <v>6.0000000000000001E-3</v>
      </c>
      <c r="M1883">
        <v>2</v>
      </c>
      <c r="N1883">
        <v>84</v>
      </c>
      <c r="O1883">
        <v>2</v>
      </c>
      <c r="P1883">
        <v>0.22500000000000001</v>
      </c>
      <c r="Q1883">
        <v>1</v>
      </c>
      <c r="R1883">
        <v>5.0000000000000001E-4</v>
      </c>
      <c r="T1883" t="s">
        <v>5446</v>
      </c>
    </row>
    <row r="1884" spans="1:20" x14ac:dyDescent="0.2">
      <c r="A1884" t="s">
        <v>5448</v>
      </c>
      <c r="B1884" t="s">
        <v>2022</v>
      </c>
      <c r="C1884" t="s">
        <v>2049</v>
      </c>
      <c r="D1884" t="s">
        <v>2024</v>
      </c>
      <c r="E1884" t="s">
        <v>5449</v>
      </c>
      <c r="F1884" t="s">
        <v>5450</v>
      </c>
      <c r="G1884">
        <v>1</v>
      </c>
      <c r="H1884">
        <v>1350</v>
      </c>
      <c r="I1884">
        <v>3</v>
      </c>
      <c r="J1884">
        <v>5</v>
      </c>
      <c r="K1884">
        <v>4</v>
      </c>
      <c r="L1884">
        <v>0.22</v>
      </c>
      <c r="M1884">
        <v>5</v>
      </c>
      <c r="N1884">
        <v>166</v>
      </c>
      <c r="O1884">
        <v>5</v>
      </c>
      <c r="P1884">
        <v>0.86</v>
      </c>
      <c r="Q1884">
        <v>5</v>
      </c>
      <c r="R1884">
        <v>3.32E-2</v>
      </c>
      <c r="T1884" t="s">
        <v>5449</v>
      </c>
    </row>
    <row r="1885" spans="1:20" x14ac:dyDescent="0.2">
      <c r="A1885" t="s">
        <v>5451</v>
      </c>
      <c r="B1885" t="s">
        <v>2022</v>
      </c>
      <c r="C1885" t="s">
        <v>2053</v>
      </c>
      <c r="E1885" t="s">
        <v>5452</v>
      </c>
      <c r="F1885" t="s">
        <v>1998</v>
      </c>
      <c r="G1885">
        <v>2</v>
      </c>
      <c r="H1885">
        <v>1600</v>
      </c>
      <c r="I1885">
        <v>1</v>
      </c>
      <c r="J1885">
        <v>1.55</v>
      </c>
      <c r="K1885">
        <v>1</v>
      </c>
      <c r="L1885">
        <v>1.4999999999999999E-2</v>
      </c>
      <c r="M1885">
        <v>3</v>
      </c>
      <c r="N1885">
        <v>93</v>
      </c>
      <c r="O1885">
        <v>1</v>
      </c>
      <c r="P1885">
        <v>7.4999999999999997E-2</v>
      </c>
      <c r="Q1885">
        <v>1</v>
      </c>
      <c r="R1885">
        <v>8.4999999999999995E-4</v>
      </c>
      <c r="T1885" t="s">
        <v>5452</v>
      </c>
    </row>
    <row r="1886" spans="1:20" x14ac:dyDescent="0.2">
      <c r="A1886" t="s">
        <v>5453</v>
      </c>
      <c r="B1886" t="s">
        <v>2022</v>
      </c>
      <c r="C1886" t="s">
        <v>2023</v>
      </c>
      <c r="E1886" t="s">
        <v>5454</v>
      </c>
      <c r="F1886" t="s">
        <v>1998</v>
      </c>
      <c r="G1886">
        <v>2</v>
      </c>
      <c r="H1886">
        <v>1560</v>
      </c>
      <c r="I1886">
        <v>1</v>
      </c>
      <c r="J1886">
        <v>0.9</v>
      </c>
      <c r="K1886">
        <v>1</v>
      </c>
      <c r="L1886">
        <v>8.9999999999999993E-3</v>
      </c>
      <c r="M1886">
        <v>4</v>
      </c>
      <c r="N1886">
        <v>104</v>
      </c>
      <c r="O1886">
        <v>1</v>
      </c>
      <c r="P1886">
        <v>7.4999999999999997E-2</v>
      </c>
      <c r="Q1886">
        <v>1</v>
      </c>
      <c r="R1886">
        <v>5.0000000000000001E-4</v>
      </c>
      <c r="T1886" t="s">
        <v>5454</v>
      </c>
    </row>
    <row r="1887" spans="1:20" x14ac:dyDescent="0.2">
      <c r="A1887" t="s">
        <v>5455</v>
      </c>
      <c r="B1887" t="s">
        <v>2022</v>
      </c>
      <c r="C1887" t="s">
        <v>2101</v>
      </c>
      <c r="D1887" t="s">
        <v>2024</v>
      </c>
      <c r="E1887" t="s">
        <v>357</v>
      </c>
      <c r="F1887" t="s">
        <v>5456</v>
      </c>
      <c r="G1887">
        <v>4</v>
      </c>
      <c r="H1887">
        <v>1870</v>
      </c>
      <c r="I1887">
        <v>2</v>
      </c>
      <c r="J1887">
        <v>5</v>
      </c>
      <c r="K1887">
        <v>2</v>
      </c>
      <c r="L1887">
        <v>9.6500000000000002E-2</v>
      </c>
      <c r="M1887">
        <v>3</v>
      </c>
      <c r="N1887">
        <v>82</v>
      </c>
      <c r="O1887">
        <v>2</v>
      </c>
      <c r="P1887">
        <v>0.22500000000000001</v>
      </c>
      <c r="Q1887">
        <v>2</v>
      </c>
      <c r="R1887">
        <v>4.4999999999999997E-3</v>
      </c>
      <c r="T1887" t="s">
        <v>357</v>
      </c>
    </row>
    <row r="1888" spans="1:20" x14ac:dyDescent="0.2">
      <c r="A1888" t="s">
        <v>5457</v>
      </c>
      <c r="B1888" t="s">
        <v>2022</v>
      </c>
      <c r="C1888" t="s">
        <v>2104</v>
      </c>
      <c r="D1888" t="s">
        <v>2136</v>
      </c>
      <c r="E1888" t="s">
        <v>357</v>
      </c>
      <c r="F1888" t="s">
        <v>5456</v>
      </c>
      <c r="G1888">
        <v>4</v>
      </c>
      <c r="H1888">
        <v>2062.5</v>
      </c>
      <c r="I1888">
        <v>2</v>
      </c>
      <c r="J1888">
        <v>3.25</v>
      </c>
      <c r="K1888">
        <v>2</v>
      </c>
      <c r="L1888">
        <v>4.1000000000000002E-2</v>
      </c>
      <c r="M1888">
        <v>3</v>
      </c>
      <c r="N1888">
        <v>73</v>
      </c>
      <c r="P1888">
        <v>0</v>
      </c>
      <c r="Q1888">
        <v>1</v>
      </c>
      <c r="R1888">
        <v>3.5E-4</v>
      </c>
      <c r="T1888" t="s">
        <v>357</v>
      </c>
    </row>
    <row r="1889" spans="1:20" x14ac:dyDescent="0.2">
      <c r="A1889" t="s">
        <v>5458</v>
      </c>
      <c r="B1889" t="s">
        <v>2022</v>
      </c>
      <c r="C1889" t="s">
        <v>2104</v>
      </c>
      <c r="D1889" t="s">
        <v>2136</v>
      </c>
      <c r="E1889" t="s">
        <v>357</v>
      </c>
      <c r="F1889" t="s">
        <v>5456</v>
      </c>
      <c r="G1889">
        <v>2</v>
      </c>
      <c r="H1889">
        <v>1712.5</v>
      </c>
      <c r="I1889">
        <v>2</v>
      </c>
      <c r="J1889">
        <v>3.25</v>
      </c>
      <c r="K1889">
        <v>2</v>
      </c>
      <c r="L1889">
        <v>4.1000000000000002E-2</v>
      </c>
      <c r="M1889">
        <v>2</v>
      </c>
      <c r="N1889">
        <v>65</v>
      </c>
      <c r="P1889">
        <v>0</v>
      </c>
      <c r="Q1889">
        <v>2</v>
      </c>
      <c r="R1889">
        <v>3.2000000000000002E-3</v>
      </c>
      <c r="T1889" t="s">
        <v>357</v>
      </c>
    </row>
    <row r="1890" spans="1:20" x14ac:dyDescent="0.2">
      <c r="A1890" t="s">
        <v>5459</v>
      </c>
      <c r="B1890" t="s">
        <v>2022</v>
      </c>
      <c r="C1890" t="s">
        <v>2222</v>
      </c>
      <c r="D1890" t="s">
        <v>2024</v>
      </c>
      <c r="E1890" t="s">
        <v>5460</v>
      </c>
      <c r="F1890" t="s">
        <v>5461</v>
      </c>
      <c r="G1890">
        <v>3</v>
      </c>
      <c r="H1890">
        <v>1650</v>
      </c>
      <c r="I1890">
        <v>5</v>
      </c>
      <c r="J1890">
        <v>8.6999999999999993</v>
      </c>
      <c r="K1890">
        <v>5</v>
      </c>
      <c r="L1890">
        <v>0.26500000000000001</v>
      </c>
      <c r="M1890">
        <v>3</v>
      </c>
      <c r="N1890">
        <v>67</v>
      </c>
      <c r="O1890">
        <v>5</v>
      </c>
      <c r="P1890">
        <v>0.39</v>
      </c>
      <c r="Q1890">
        <v>5</v>
      </c>
      <c r="R1890">
        <v>1.1299999999999999E-2</v>
      </c>
      <c r="T1890" t="s">
        <v>5460</v>
      </c>
    </row>
    <row r="1891" spans="1:20" x14ac:dyDescent="0.2">
      <c r="A1891" t="s">
        <v>5462</v>
      </c>
      <c r="B1891" t="s">
        <v>2022</v>
      </c>
      <c r="C1891" t="s">
        <v>2101</v>
      </c>
      <c r="D1891" t="s">
        <v>2136</v>
      </c>
      <c r="E1891" t="s">
        <v>357</v>
      </c>
      <c r="F1891" t="s">
        <v>447</v>
      </c>
      <c r="G1891">
        <v>1</v>
      </c>
      <c r="H1891">
        <v>1570</v>
      </c>
      <c r="I1891">
        <v>1</v>
      </c>
      <c r="J1891">
        <v>2</v>
      </c>
      <c r="K1891">
        <v>1</v>
      </c>
      <c r="L1891">
        <v>1.15E-2</v>
      </c>
      <c r="M1891">
        <v>5</v>
      </c>
      <c r="N1891">
        <v>98</v>
      </c>
      <c r="O1891">
        <v>1</v>
      </c>
      <c r="P1891">
        <v>7.4999999999999997E-2</v>
      </c>
      <c r="Q1891">
        <v>2</v>
      </c>
      <c r="R1891">
        <v>4.4999999999999997E-3</v>
      </c>
      <c r="T1891" t="s">
        <v>357</v>
      </c>
    </row>
    <row r="1892" spans="1:20" x14ac:dyDescent="0.2">
      <c r="A1892" t="s">
        <v>5463</v>
      </c>
      <c r="B1892" t="s">
        <v>2022</v>
      </c>
      <c r="C1892" t="s">
        <v>2053</v>
      </c>
      <c r="D1892" t="s">
        <v>2024</v>
      </c>
      <c r="E1892" t="s">
        <v>5464</v>
      </c>
      <c r="F1892" t="s">
        <v>5465</v>
      </c>
      <c r="G1892">
        <v>4</v>
      </c>
      <c r="H1892">
        <v>1800</v>
      </c>
      <c r="I1892">
        <v>2</v>
      </c>
      <c r="J1892">
        <v>4.05</v>
      </c>
      <c r="K1892">
        <v>2</v>
      </c>
      <c r="L1892">
        <v>8.5000000000000006E-2</v>
      </c>
      <c r="M1892">
        <v>2</v>
      </c>
      <c r="N1892">
        <v>83</v>
      </c>
      <c r="O1892">
        <v>2</v>
      </c>
      <c r="P1892">
        <v>0.22500000000000001</v>
      </c>
      <c r="Q1892">
        <v>2</v>
      </c>
      <c r="R1892">
        <v>5.1999999999999998E-3</v>
      </c>
      <c r="T1892" t="s">
        <v>5464</v>
      </c>
    </row>
    <row r="1893" spans="1:20" x14ac:dyDescent="0.2">
      <c r="A1893" t="s">
        <v>5466</v>
      </c>
      <c r="B1893" t="s">
        <v>2022</v>
      </c>
      <c r="C1893" t="s">
        <v>2036</v>
      </c>
      <c r="D1893" t="s">
        <v>2024</v>
      </c>
      <c r="E1893" t="s">
        <v>5467</v>
      </c>
      <c r="F1893" t="s">
        <v>5468</v>
      </c>
      <c r="G1893">
        <v>4</v>
      </c>
      <c r="H1893">
        <v>1840</v>
      </c>
      <c r="I1893">
        <v>3</v>
      </c>
      <c r="J1893">
        <v>4.5999999999999996</v>
      </c>
      <c r="K1893">
        <v>5</v>
      </c>
      <c r="L1893">
        <v>0.17499999999999999</v>
      </c>
      <c r="M1893">
        <v>3</v>
      </c>
      <c r="N1893">
        <v>88</v>
      </c>
      <c r="O1893">
        <v>2</v>
      </c>
      <c r="P1893">
        <v>0.20499999999999999</v>
      </c>
      <c r="Q1893">
        <v>4</v>
      </c>
      <c r="R1893">
        <v>9.2499999999999995E-3</v>
      </c>
      <c r="T1893" t="s">
        <v>5467</v>
      </c>
    </row>
    <row r="1894" spans="1:20" x14ac:dyDescent="0.2">
      <c r="A1894" t="s">
        <v>5469</v>
      </c>
      <c r="B1894" t="s">
        <v>2022</v>
      </c>
      <c r="C1894" t="s">
        <v>2036</v>
      </c>
      <c r="D1894" t="s">
        <v>2024</v>
      </c>
      <c r="E1894" t="s">
        <v>5470</v>
      </c>
      <c r="F1894" t="s">
        <v>5471</v>
      </c>
      <c r="G1894">
        <v>1</v>
      </c>
      <c r="H1894">
        <v>1540</v>
      </c>
      <c r="I1894">
        <v>3</v>
      </c>
      <c r="J1894">
        <v>4.5999999999999996</v>
      </c>
      <c r="K1894">
        <v>2</v>
      </c>
      <c r="L1894">
        <v>8.5000000000000006E-2</v>
      </c>
      <c r="M1894">
        <v>1</v>
      </c>
      <c r="N1894">
        <v>76</v>
      </c>
      <c r="O1894">
        <v>2</v>
      </c>
      <c r="P1894">
        <v>0.20499999999999999</v>
      </c>
      <c r="Q1894">
        <v>2</v>
      </c>
      <c r="R1894">
        <v>4.2500000000000003E-3</v>
      </c>
      <c r="T1894" t="s">
        <v>5470</v>
      </c>
    </row>
    <row r="1895" spans="1:20" x14ac:dyDescent="0.2">
      <c r="A1895" t="s">
        <v>5472</v>
      </c>
      <c r="B1895" t="s">
        <v>2022</v>
      </c>
      <c r="C1895" t="s">
        <v>2023</v>
      </c>
      <c r="D1895" t="s">
        <v>2024</v>
      </c>
      <c r="E1895" t="s">
        <v>357</v>
      </c>
      <c r="F1895" t="s">
        <v>5473</v>
      </c>
      <c r="G1895">
        <v>1</v>
      </c>
      <c r="H1895">
        <v>1480</v>
      </c>
      <c r="I1895">
        <v>2</v>
      </c>
      <c r="J1895">
        <v>3.4</v>
      </c>
      <c r="K1895">
        <v>5</v>
      </c>
      <c r="L1895">
        <v>8.5999999999999993E-2</v>
      </c>
      <c r="M1895">
        <v>5</v>
      </c>
      <c r="N1895">
        <v>114</v>
      </c>
      <c r="O1895">
        <v>5</v>
      </c>
      <c r="P1895">
        <v>0.67500000000000004</v>
      </c>
      <c r="Q1895">
        <v>5</v>
      </c>
      <c r="R1895">
        <v>8.0000000000000002E-3</v>
      </c>
      <c r="T1895" t="s">
        <v>357</v>
      </c>
    </row>
    <row r="1896" spans="1:20" x14ac:dyDescent="0.2">
      <c r="A1896" t="s">
        <v>5474</v>
      </c>
      <c r="B1896" t="s">
        <v>2022</v>
      </c>
      <c r="C1896" t="s">
        <v>2173</v>
      </c>
      <c r="D1896" t="s">
        <v>2136</v>
      </c>
      <c r="E1896" t="s">
        <v>304</v>
      </c>
      <c r="F1896" t="s">
        <v>5475</v>
      </c>
      <c r="G1896">
        <v>5</v>
      </c>
      <c r="H1896">
        <v>2182.5</v>
      </c>
      <c r="I1896">
        <v>5</v>
      </c>
      <c r="J1896">
        <v>14.45</v>
      </c>
      <c r="K1896">
        <v>5</v>
      </c>
      <c r="L1896">
        <v>0.45</v>
      </c>
      <c r="M1896">
        <v>5</v>
      </c>
      <c r="N1896">
        <v>140.5</v>
      </c>
      <c r="O1896">
        <v>5</v>
      </c>
      <c r="P1896">
        <v>0.87</v>
      </c>
      <c r="Q1896">
        <v>5</v>
      </c>
      <c r="R1896">
        <v>2.58E-2</v>
      </c>
      <c r="T1896" t="s">
        <v>304</v>
      </c>
    </row>
    <row r="1897" spans="1:20" x14ac:dyDescent="0.2">
      <c r="A1897" t="s">
        <v>5476</v>
      </c>
      <c r="B1897" t="s">
        <v>2022</v>
      </c>
      <c r="C1897" t="s">
        <v>2173</v>
      </c>
      <c r="D1897" t="s">
        <v>2024</v>
      </c>
      <c r="E1897" t="s">
        <v>5477</v>
      </c>
      <c r="F1897" t="s">
        <v>5478</v>
      </c>
      <c r="G1897">
        <v>5</v>
      </c>
      <c r="H1897">
        <v>2182.5</v>
      </c>
      <c r="I1897">
        <v>2</v>
      </c>
      <c r="J1897">
        <v>6.35</v>
      </c>
      <c r="K1897">
        <v>1</v>
      </c>
      <c r="L1897">
        <v>1.4999999999999999E-2</v>
      </c>
      <c r="M1897">
        <v>1</v>
      </c>
      <c r="N1897">
        <v>96.5</v>
      </c>
      <c r="O1897">
        <v>1</v>
      </c>
      <c r="P1897">
        <v>0.15</v>
      </c>
      <c r="Q1897">
        <v>1</v>
      </c>
      <c r="R1897">
        <v>6.4999999999999997E-4</v>
      </c>
      <c r="T1897" t="s">
        <v>5477</v>
      </c>
    </row>
    <row r="1898" spans="1:20" x14ac:dyDescent="0.2">
      <c r="A1898" t="s">
        <v>5479</v>
      </c>
      <c r="B1898" t="s">
        <v>2022</v>
      </c>
      <c r="C1898" t="s">
        <v>2036</v>
      </c>
      <c r="D1898" t="s">
        <v>2024</v>
      </c>
      <c r="E1898" t="s">
        <v>5480</v>
      </c>
      <c r="F1898" t="s">
        <v>5481</v>
      </c>
      <c r="G1898">
        <v>5</v>
      </c>
      <c r="H1898">
        <v>1940</v>
      </c>
      <c r="I1898">
        <v>5</v>
      </c>
      <c r="J1898">
        <v>7</v>
      </c>
      <c r="K1898">
        <v>5</v>
      </c>
      <c r="L1898">
        <v>0.17499999999999999</v>
      </c>
      <c r="M1898">
        <v>4</v>
      </c>
      <c r="N1898">
        <v>94</v>
      </c>
      <c r="O1898">
        <v>5</v>
      </c>
      <c r="P1898">
        <v>0.53500000000000003</v>
      </c>
      <c r="Q1898">
        <v>5</v>
      </c>
      <c r="R1898">
        <v>1.2E-2</v>
      </c>
      <c r="T1898" t="s">
        <v>5480</v>
      </c>
    </row>
    <row r="1899" spans="1:20" x14ac:dyDescent="0.2">
      <c r="A1899" t="s">
        <v>5482</v>
      </c>
      <c r="B1899" t="s">
        <v>2022</v>
      </c>
      <c r="C1899" t="s">
        <v>2023</v>
      </c>
      <c r="D1899" t="s">
        <v>2154</v>
      </c>
      <c r="E1899" t="s">
        <v>1132</v>
      </c>
      <c r="F1899" t="s">
        <v>5483</v>
      </c>
      <c r="G1899">
        <v>2</v>
      </c>
      <c r="H1899">
        <v>1560</v>
      </c>
      <c r="I1899">
        <v>2</v>
      </c>
      <c r="J1899">
        <v>3.4</v>
      </c>
      <c r="K1899">
        <v>2</v>
      </c>
      <c r="L1899">
        <v>2.5999999999999999E-2</v>
      </c>
      <c r="M1899">
        <v>2</v>
      </c>
      <c r="N1899">
        <v>84</v>
      </c>
      <c r="O1899">
        <v>1</v>
      </c>
      <c r="P1899">
        <v>7.4999999999999997E-2</v>
      </c>
      <c r="Q1899">
        <v>1</v>
      </c>
      <c r="R1899">
        <v>5.0000000000000001E-4</v>
      </c>
      <c r="T1899" t="s">
        <v>1132</v>
      </c>
    </row>
    <row r="1900" spans="1:20" x14ac:dyDescent="0.2">
      <c r="A1900" t="s">
        <v>5484</v>
      </c>
      <c r="B1900" t="s">
        <v>2022</v>
      </c>
      <c r="C1900" t="s">
        <v>2023</v>
      </c>
      <c r="D1900" t="s">
        <v>2024</v>
      </c>
      <c r="E1900" t="s">
        <v>1132</v>
      </c>
      <c r="F1900" t="s">
        <v>5485</v>
      </c>
      <c r="G1900">
        <v>3</v>
      </c>
      <c r="H1900">
        <v>1640</v>
      </c>
      <c r="I1900">
        <v>3</v>
      </c>
      <c r="J1900">
        <v>5.9</v>
      </c>
      <c r="K1900">
        <v>2</v>
      </c>
      <c r="L1900">
        <v>2.5999999999999999E-2</v>
      </c>
      <c r="M1900">
        <v>3</v>
      </c>
      <c r="N1900">
        <v>94</v>
      </c>
      <c r="O1900">
        <v>2</v>
      </c>
      <c r="P1900">
        <v>0.22500000000000001</v>
      </c>
      <c r="Q1900">
        <v>1</v>
      </c>
      <c r="R1900">
        <v>5.0000000000000001E-4</v>
      </c>
      <c r="T1900" t="s">
        <v>1132</v>
      </c>
    </row>
    <row r="1901" spans="1:20" x14ac:dyDescent="0.2">
      <c r="A1901" t="s">
        <v>5486</v>
      </c>
      <c r="B1901" t="s">
        <v>2022</v>
      </c>
      <c r="C1901" t="s">
        <v>2036</v>
      </c>
      <c r="D1901" t="s">
        <v>2024</v>
      </c>
      <c r="E1901" t="s">
        <v>5487</v>
      </c>
      <c r="F1901" t="s">
        <v>5488</v>
      </c>
      <c r="G1901">
        <v>2</v>
      </c>
      <c r="H1901">
        <v>1640</v>
      </c>
      <c r="I1901">
        <v>4</v>
      </c>
      <c r="J1901">
        <v>5.8</v>
      </c>
      <c r="K1901">
        <v>5</v>
      </c>
      <c r="L1901">
        <v>0.17499999999999999</v>
      </c>
      <c r="M1901">
        <v>3</v>
      </c>
      <c r="N1901">
        <v>88</v>
      </c>
      <c r="O1901">
        <v>3</v>
      </c>
      <c r="P1901">
        <v>0.315</v>
      </c>
      <c r="Q1901">
        <v>4</v>
      </c>
      <c r="R1901">
        <v>9.2499999999999995E-3</v>
      </c>
      <c r="T1901" t="s">
        <v>5487</v>
      </c>
    </row>
    <row r="1902" spans="1:20" x14ac:dyDescent="0.2">
      <c r="A1902" t="s">
        <v>5489</v>
      </c>
      <c r="B1902" t="s">
        <v>2022</v>
      </c>
      <c r="C1902" t="s">
        <v>2036</v>
      </c>
      <c r="D1902" t="s">
        <v>2024</v>
      </c>
      <c r="E1902" t="s">
        <v>5490</v>
      </c>
      <c r="F1902" t="s">
        <v>5491</v>
      </c>
      <c r="G1902">
        <v>2</v>
      </c>
      <c r="H1902">
        <v>1640</v>
      </c>
      <c r="I1902">
        <v>1</v>
      </c>
      <c r="J1902">
        <v>2.2000000000000002</v>
      </c>
      <c r="K1902">
        <v>1</v>
      </c>
      <c r="L1902">
        <v>5.5E-2</v>
      </c>
      <c r="M1902">
        <v>2</v>
      </c>
      <c r="N1902">
        <v>82</v>
      </c>
      <c r="O1902">
        <v>1</v>
      </c>
      <c r="P1902">
        <v>9.5000000000000001E-2</v>
      </c>
      <c r="Q1902">
        <v>1</v>
      </c>
      <c r="R1902">
        <v>1.5E-3</v>
      </c>
      <c r="T1902" t="s">
        <v>5490</v>
      </c>
    </row>
    <row r="1903" spans="1:20" x14ac:dyDescent="0.2">
      <c r="A1903" t="s">
        <v>5492</v>
      </c>
      <c r="B1903" t="s">
        <v>2022</v>
      </c>
      <c r="C1903" t="s">
        <v>2023</v>
      </c>
      <c r="D1903" t="s">
        <v>2024</v>
      </c>
      <c r="E1903" t="s">
        <v>5493</v>
      </c>
      <c r="F1903" t="s">
        <v>5494</v>
      </c>
      <c r="G1903">
        <v>4</v>
      </c>
      <c r="H1903">
        <v>1720</v>
      </c>
      <c r="I1903">
        <v>2</v>
      </c>
      <c r="J1903">
        <v>3.4</v>
      </c>
      <c r="K1903">
        <v>2</v>
      </c>
      <c r="L1903">
        <v>2.5999999999999999E-2</v>
      </c>
      <c r="M1903">
        <v>5</v>
      </c>
      <c r="N1903">
        <v>114</v>
      </c>
      <c r="O1903">
        <v>5</v>
      </c>
      <c r="P1903">
        <v>0.67500000000000004</v>
      </c>
      <c r="Q1903">
        <v>3</v>
      </c>
      <c r="R1903">
        <v>4.0000000000000001E-3</v>
      </c>
      <c r="T1903" t="s">
        <v>5493</v>
      </c>
    </row>
    <row r="1904" spans="1:20" x14ac:dyDescent="0.2">
      <c r="A1904" t="s">
        <v>5495</v>
      </c>
      <c r="B1904" t="s">
        <v>2022</v>
      </c>
      <c r="C1904" t="s">
        <v>2101</v>
      </c>
      <c r="D1904" t="s">
        <v>2024</v>
      </c>
      <c r="E1904" t="s">
        <v>5496</v>
      </c>
      <c r="F1904" t="s">
        <v>5497</v>
      </c>
      <c r="G1904">
        <v>5</v>
      </c>
      <c r="H1904">
        <v>1970</v>
      </c>
      <c r="I1904">
        <v>4</v>
      </c>
      <c r="J1904">
        <v>11</v>
      </c>
      <c r="K1904">
        <v>4</v>
      </c>
      <c r="L1904">
        <v>0.39050000000000001</v>
      </c>
      <c r="M1904">
        <v>1</v>
      </c>
      <c r="N1904">
        <v>66</v>
      </c>
      <c r="O1904">
        <v>3</v>
      </c>
      <c r="P1904">
        <v>0.375</v>
      </c>
      <c r="Q1904">
        <v>3</v>
      </c>
      <c r="R1904">
        <v>1.15E-2</v>
      </c>
      <c r="T1904" t="s">
        <v>5496</v>
      </c>
    </row>
    <row r="1905" spans="1:20" x14ac:dyDescent="0.2">
      <c r="A1905" t="s">
        <v>5498</v>
      </c>
      <c r="B1905" t="s">
        <v>2022</v>
      </c>
      <c r="C1905" t="s">
        <v>2036</v>
      </c>
      <c r="D1905" t="s">
        <v>2024</v>
      </c>
      <c r="E1905" t="s">
        <v>5499</v>
      </c>
      <c r="F1905" t="s">
        <v>5500</v>
      </c>
      <c r="G1905">
        <v>1</v>
      </c>
      <c r="H1905">
        <v>1540</v>
      </c>
      <c r="I1905">
        <v>1</v>
      </c>
      <c r="J1905">
        <v>2.2000000000000002</v>
      </c>
      <c r="K1905">
        <v>2</v>
      </c>
      <c r="L1905">
        <v>8.5000000000000006E-2</v>
      </c>
      <c r="M1905">
        <v>1</v>
      </c>
      <c r="N1905">
        <v>76</v>
      </c>
      <c r="O1905">
        <v>1</v>
      </c>
      <c r="P1905">
        <v>9.5000000000000001E-2</v>
      </c>
      <c r="Q1905">
        <v>2</v>
      </c>
      <c r="R1905">
        <v>4.2500000000000003E-3</v>
      </c>
      <c r="T1905" t="s">
        <v>5499</v>
      </c>
    </row>
    <row r="1906" spans="1:20" x14ac:dyDescent="0.2">
      <c r="A1906" t="s">
        <v>5501</v>
      </c>
      <c r="B1906" t="s">
        <v>2022</v>
      </c>
      <c r="C1906" t="s">
        <v>2036</v>
      </c>
      <c r="D1906" t="s">
        <v>2024</v>
      </c>
      <c r="E1906" t="s">
        <v>5502</v>
      </c>
      <c r="F1906" t="s">
        <v>5503</v>
      </c>
      <c r="G1906">
        <v>2</v>
      </c>
      <c r="H1906">
        <v>1640</v>
      </c>
      <c r="I1906">
        <v>1</v>
      </c>
      <c r="J1906">
        <v>2.2000000000000002</v>
      </c>
      <c r="K1906">
        <v>1</v>
      </c>
      <c r="L1906">
        <v>5.5E-2</v>
      </c>
      <c r="M1906">
        <v>2</v>
      </c>
      <c r="N1906">
        <v>82</v>
      </c>
      <c r="O1906">
        <v>1</v>
      </c>
      <c r="P1906">
        <v>9.5000000000000001E-2</v>
      </c>
      <c r="Q1906">
        <v>2</v>
      </c>
      <c r="R1906">
        <v>4.2500000000000003E-3</v>
      </c>
      <c r="T1906" t="s">
        <v>5502</v>
      </c>
    </row>
    <row r="1907" spans="1:20" x14ac:dyDescent="0.2">
      <c r="A1907" t="s">
        <v>5504</v>
      </c>
      <c r="B1907" t="s">
        <v>2022</v>
      </c>
      <c r="C1907" t="s">
        <v>2023</v>
      </c>
      <c r="D1907" t="s">
        <v>2024</v>
      </c>
      <c r="E1907" t="s">
        <v>5505</v>
      </c>
      <c r="F1907" t="s">
        <v>5506</v>
      </c>
      <c r="G1907">
        <v>1</v>
      </c>
      <c r="H1907">
        <v>1480</v>
      </c>
      <c r="I1907">
        <v>2</v>
      </c>
      <c r="J1907">
        <v>3.4</v>
      </c>
      <c r="K1907">
        <v>2</v>
      </c>
      <c r="L1907">
        <v>2.5999999999999999E-2</v>
      </c>
      <c r="M1907">
        <v>5</v>
      </c>
      <c r="N1907">
        <v>114</v>
      </c>
      <c r="O1907">
        <v>4</v>
      </c>
      <c r="P1907">
        <v>0.52500000000000002</v>
      </c>
      <c r="Q1907">
        <v>2</v>
      </c>
      <c r="R1907">
        <v>2E-3</v>
      </c>
      <c r="T1907" t="s">
        <v>5505</v>
      </c>
    </row>
    <row r="1908" spans="1:20" x14ac:dyDescent="0.2">
      <c r="A1908" t="s">
        <v>5507</v>
      </c>
      <c r="B1908" t="s">
        <v>2022</v>
      </c>
      <c r="C1908" t="s">
        <v>2095</v>
      </c>
      <c r="D1908" t="s">
        <v>2024</v>
      </c>
      <c r="E1908" t="s">
        <v>5508</v>
      </c>
      <c r="F1908" t="s">
        <v>5509</v>
      </c>
      <c r="G1908">
        <v>5</v>
      </c>
      <c r="H1908">
        <v>1925</v>
      </c>
      <c r="I1908">
        <v>4</v>
      </c>
      <c r="J1908">
        <v>13.5</v>
      </c>
      <c r="K1908">
        <v>3</v>
      </c>
      <c r="L1908">
        <v>0.33</v>
      </c>
      <c r="M1908">
        <v>2</v>
      </c>
      <c r="N1908">
        <v>80</v>
      </c>
      <c r="O1908">
        <v>3</v>
      </c>
      <c r="P1908">
        <v>0.55000000000000004</v>
      </c>
      <c r="Q1908">
        <v>3</v>
      </c>
      <c r="R1908">
        <v>1.49E-2</v>
      </c>
      <c r="T1908" t="s">
        <v>5508</v>
      </c>
    </row>
    <row r="1909" spans="1:20" x14ac:dyDescent="0.2">
      <c r="A1909" t="s">
        <v>5510</v>
      </c>
      <c r="B1909" t="s">
        <v>2022</v>
      </c>
      <c r="C1909" t="s">
        <v>2053</v>
      </c>
      <c r="D1909" t="s">
        <v>2024</v>
      </c>
      <c r="E1909" t="s">
        <v>5511</v>
      </c>
      <c r="F1909" t="s">
        <v>5512</v>
      </c>
      <c r="G1909">
        <v>2</v>
      </c>
      <c r="H1909">
        <v>1600</v>
      </c>
      <c r="I1909">
        <v>3</v>
      </c>
      <c r="J1909">
        <v>6.55</v>
      </c>
      <c r="K1909">
        <v>3</v>
      </c>
      <c r="L1909">
        <v>0.19500000000000001</v>
      </c>
      <c r="M1909">
        <v>2</v>
      </c>
      <c r="N1909">
        <v>83</v>
      </c>
      <c r="O1909">
        <v>3</v>
      </c>
      <c r="P1909">
        <v>0.375</v>
      </c>
      <c r="Q1909">
        <v>2</v>
      </c>
      <c r="R1909">
        <v>5.1999999999999998E-3</v>
      </c>
      <c r="T1909" t="s">
        <v>5511</v>
      </c>
    </row>
    <row r="1910" spans="1:20" x14ac:dyDescent="0.2">
      <c r="A1910" t="s">
        <v>5513</v>
      </c>
      <c r="B1910" t="s">
        <v>2022</v>
      </c>
      <c r="C1910" t="s">
        <v>2036</v>
      </c>
      <c r="D1910" t="s">
        <v>2024</v>
      </c>
      <c r="E1910" t="s">
        <v>5514</v>
      </c>
      <c r="F1910" t="s">
        <v>5515</v>
      </c>
      <c r="G1910">
        <v>3</v>
      </c>
      <c r="H1910">
        <v>1740</v>
      </c>
      <c r="I1910">
        <v>5</v>
      </c>
      <c r="J1910">
        <v>7</v>
      </c>
      <c r="K1910">
        <v>5</v>
      </c>
      <c r="L1910">
        <v>0.17499999999999999</v>
      </c>
      <c r="M1910">
        <v>3</v>
      </c>
      <c r="N1910">
        <v>88</v>
      </c>
      <c r="O1910">
        <v>4</v>
      </c>
      <c r="P1910">
        <v>0.42499999999999999</v>
      </c>
      <c r="Q1910">
        <v>4</v>
      </c>
      <c r="R1910">
        <v>9.2499999999999995E-3</v>
      </c>
      <c r="T1910" t="s">
        <v>5514</v>
      </c>
    </row>
    <row r="1911" spans="1:20" x14ac:dyDescent="0.2">
      <c r="A1911" t="s">
        <v>5516</v>
      </c>
      <c r="B1911" t="s">
        <v>2022</v>
      </c>
      <c r="C1911" t="s">
        <v>2023</v>
      </c>
      <c r="D1911" t="s">
        <v>2136</v>
      </c>
      <c r="E1911" t="s">
        <v>5517</v>
      </c>
      <c r="F1911" t="s">
        <v>5518</v>
      </c>
      <c r="G1911">
        <v>2</v>
      </c>
      <c r="H1911">
        <v>1560</v>
      </c>
      <c r="I1911">
        <v>4</v>
      </c>
      <c r="J1911">
        <v>8.4</v>
      </c>
      <c r="K1911">
        <v>5</v>
      </c>
      <c r="L1911">
        <v>8.5999999999999993E-2</v>
      </c>
      <c r="M1911">
        <v>1</v>
      </c>
      <c r="N1911">
        <v>74</v>
      </c>
      <c r="O1911">
        <v>3</v>
      </c>
      <c r="P1911">
        <v>0.375</v>
      </c>
      <c r="Q1911">
        <v>5</v>
      </c>
      <c r="R1911">
        <v>8.0000000000000002E-3</v>
      </c>
      <c r="T1911" t="s">
        <v>5517</v>
      </c>
    </row>
    <row r="1912" spans="1:20" x14ac:dyDescent="0.2">
      <c r="A1912" t="s">
        <v>5519</v>
      </c>
      <c r="B1912" t="s">
        <v>2022</v>
      </c>
      <c r="C1912" t="s">
        <v>2053</v>
      </c>
      <c r="D1912" t="s">
        <v>2024</v>
      </c>
      <c r="E1912" t="s">
        <v>5520</v>
      </c>
      <c r="F1912" t="s">
        <v>5521</v>
      </c>
      <c r="G1912">
        <v>1</v>
      </c>
      <c r="H1912">
        <v>1500</v>
      </c>
      <c r="I1912">
        <v>4</v>
      </c>
      <c r="J1912">
        <v>9.0500000000000007</v>
      </c>
      <c r="K1912">
        <v>5</v>
      </c>
      <c r="L1912">
        <v>0.41499999999999998</v>
      </c>
      <c r="M1912">
        <v>5</v>
      </c>
      <c r="N1912">
        <v>113</v>
      </c>
      <c r="O1912">
        <v>5</v>
      </c>
      <c r="P1912">
        <v>0.67500000000000004</v>
      </c>
      <c r="Q1912">
        <v>5</v>
      </c>
      <c r="R1912">
        <v>2.6200000000000001E-2</v>
      </c>
      <c r="T1912" t="s">
        <v>5520</v>
      </c>
    </row>
    <row r="1913" spans="1:20" x14ac:dyDescent="0.2">
      <c r="A1913" t="s">
        <v>5522</v>
      </c>
      <c r="B1913" t="s">
        <v>2022</v>
      </c>
      <c r="C1913" t="s">
        <v>2036</v>
      </c>
      <c r="D1913" t="s">
        <v>2024</v>
      </c>
      <c r="E1913" t="s">
        <v>5523</v>
      </c>
      <c r="F1913" t="s">
        <v>5524</v>
      </c>
      <c r="G1913">
        <v>2</v>
      </c>
      <c r="H1913">
        <v>1640</v>
      </c>
      <c r="I1913">
        <v>2</v>
      </c>
      <c r="J1913">
        <v>3.4</v>
      </c>
      <c r="K1913">
        <v>3</v>
      </c>
      <c r="L1913">
        <v>0.115</v>
      </c>
      <c r="M1913">
        <v>1</v>
      </c>
      <c r="N1913">
        <v>76</v>
      </c>
      <c r="O1913">
        <v>1</v>
      </c>
      <c r="P1913">
        <v>9.5000000000000001E-2</v>
      </c>
      <c r="Q1913">
        <v>2</v>
      </c>
      <c r="R1913">
        <v>4.2500000000000003E-3</v>
      </c>
      <c r="T1913" t="s">
        <v>5523</v>
      </c>
    </row>
    <row r="1914" spans="1:20" x14ac:dyDescent="0.2">
      <c r="A1914" t="s">
        <v>5525</v>
      </c>
      <c r="B1914" t="s">
        <v>2022</v>
      </c>
      <c r="C1914" t="s">
        <v>2053</v>
      </c>
      <c r="D1914" t="s">
        <v>2024</v>
      </c>
      <c r="E1914" t="s">
        <v>5526</v>
      </c>
      <c r="F1914" t="s">
        <v>5527</v>
      </c>
      <c r="G1914">
        <v>4</v>
      </c>
      <c r="H1914">
        <v>1800</v>
      </c>
      <c r="I1914">
        <v>5</v>
      </c>
      <c r="J1914">
        <v>11.55</v>
      </c>
      <c r="K1914">
        <v>5</v>
      </c>
      <c r="L1914">
        <v>0.41499999999999998</v>
      </c>
      <c r="M1914">
        <v>5</v>
      </c>
      <c r="N1914">
        <v>113</v>
      </c>
      <c r="O1914">
        <v>5</v>
      </c>
      <c r="P1914">
        <v>0.67500000000000004</v>
      </c>
      <c r="Q1914">
        <v>5</v>
      </c>
      <c r="R1914">
        <v>2.6200000000000001E-2</v>
      </c>
      <c r="T1914" t="s">
        <v>5526</v>
      </c>
    </row>
    <row r="1915" spans="1:20" x14ac:dyDescent="0.2">
      <c r="A1915" t="s">
        <v>5528</v>
      </c>
      <c r="B1915" t="s">
        <v>2022</v>
      </c>
      <c r="C1915" t="s">
        <v>2053</v>
      </c>
      <c r="D1915" t="s">
        <v>2024</v>
      </c>
      <c r="E1915" t="s">
        <v>5529</v>
      </c>
      <c r="F1915" t="s">
        <v>447</v>
      </c>
      <c r="G1915">
        <v>2</v>
      </c>
      <c r="H1915">
        <v>1600</v>
      </c>
      <c r="I1915">
        <v>2</v>
      </c>
      <c r="J1915">
        <v>4.05</v>
      </c>
      <c r="K1915">
        <v>2</v>
      </c>
      <c r="L1915">
        <v>8.5000000000000006E-2</v>
      </c>
      <c r="M1915">
        <v>3</v>
      </c>
      <c r="N1915">
        <v>93</v>
      </c>
      <c r="O1915">
        <v>2</v>
      </c>
      <c r="P1915">
        <v>0.22500000000000001</v>
      </c>
      <c r="Q1915">
        <v>2</v>
      </c>
      <c r="R1915">
        <v>5.1999999999999998E-3</v>
      </c>
      <c r="T1915" t="s">
        <v>5529</v>
      </c>
    </row>
    <row r="1916" spans="1:20" x14ac:dyDescent="0.2">
      <c r="A1916" t="s">
        <v>5530</v>
      </c>
      <c r="B1916" t="s">
        <v>2022</v>
      </c>
      <c r="C1916" t="s">
        <v>2023</v>
      </c>
      <c r="D1916" t="s">
        <v>2024</v>
      </c>
      <c r="E1916" t="s">
        <v>5531</v>
      </c>
      <c r="F1916" t="s">
        <v>5532</v>
      </c>
      <c r="G1916">
        <v>1</v>
      </c>
      <c r="H1916">
        <v>1480</v>
      </c>
      <c r="I1916">
        <v>1</v>
      </c>
      <c r="J1916">
        <v>0.9</v>
      </c>
      <c r="K1916">
        <v>2</v>
      </c>
      <c r="L1916">
        <v>2.5999999999999999E-2</v>
      </c>
      <c r="M1916">
        <v>1</v>
      </c>
      <c r="N1916">
        <v>74</v>
      </c>
      <c r="O1916">
        <v>1</v>
      </c>
      <c r="P1916">
        <v>7.4999999999999997E-2</v>
      </c>
      <c r="Q1916">
        <v>2</v>
      </c>
      <c r="R1916">
        <v>2E-3</v>
      </c>
      <c r="T1916" t="s">
        <v>5531</v>
      </c>
    </row>
    <row r="1917" spans="1:20" x14ac:dyDescent="0.2">
      <c r="A1917" t="s">
        <v>5533</v>
      </c>
      <c r="B1917" t="s">
        <v>2022</v>
      </c>
      <c r="C1917" t="s">
        <v>2053</v>
      </c>
      <c r="D1917" t="s">
        <v>2024</v>
      </c>
      <c r="E1917" t="s">
        <v>5534</v>
      </c>
      <c r="F1917" t="s">
        <v>5535</v>
      </c>
      <c r="G1917">
        <v>1</v>
      </c>
      <c r="H1917">
        <v>1500</v>
      </c>
      <c r="I1917">
        <v>1</v>
      </c>
      <c r="J1917">
        <v>1.55</v>
      </c>
      <c r="K1917">
        <v>1</v>
      </c>
      <c r="L1917">
        <v>1.4999999999999999E-2</v>
      </c>
      <c r="M1917">
        <v>3</v>
      </c>
      <c r="N1917">
        <v>93</v>
      </c>
      <c r="O1917">
        <v>1</v>
      </c>
      <c r="P1917">
        <v>7.4999999999999997E-2</v>
      </c>
      <c r="Q1917">
        <v>1</v>
      </c>
      <c r="R1917">
        <v>8.4999999999999995E-4</v>
      </c>
      <c r="T1917" t="s">
        <v>5534</v>
      </c>
    </row>
    <row r="1918" spans="1:20" x14ac:dyDescent="0.2">
      <c r="A1918" t="s">
        <v>5536</v>
      </c>
      <c r="B1918" t="s">
        <v>2022</v>
      </c>
      <c r="C1918" t="s">
        <v>2222</v>
      </c>
      <c r="D1918" t="s">
        <v>2024</v>
      </c>
      <c r="E1918" t="s">
        <v>5537</v>
      </c>
      <c r="F1918" t="s">
        <v>5538</v>
      </c>
      <c r="G1918">
        <v>4</v>
      </c>
      <c r="H1918">
        <v>1750</v>
      </c>
      <c r="I1918">
        <v>5</v>
      </c>
      <c r="J1918">
        <v>8.6999999999999993</v>
      </c>
      <c r="K1918">
        <v>3</v>
      </c>
      <c r="L1918">
        <v>0.125</v>
      </c>
      <c r="M1918">
        <v>4</v>
      </c>
      <c r="N1918">
        <v>71</v>
      </c>
      <c r="O1918">
        <v>5</v>
      </c>
      <c r="P1918">
        <v>0.39</v>
      </c>
      <c r="Q1918">
        <v>3</v>
      </c>
      <c r="R1918">
        <v>5.3E-3</v>
      </c>
      <c r="T1918" t="s">
        <v>5537</v>
      </c>
    </row>
    <row r="1919" spans="1:20" x14ac:dyDescent="0.2">
      <c r="A1919" t="s">
        <v>5539</v>
      </c>
      <c r="B1919" t="s">
        <v>2022</v>
      </c>
      <c r="C1919" t="s">
        <v>2053</v>
      </c>
      <c r="D1919" t="s">
        <v>2024</v>
      </c>
      <c r="E1919" t="s">
        <v>5540</v>
      </c>
      <c r="F1919" t="s">
        <v>5541</v>
      </c>
      <c r="G1919">
        <v>2</v>
      </c>
      <c r="H1919">
        <v>1600</v>
      </c>
      <c r="I1919">
        <v>3</v>
      </c>
      <c r="J1919">
        <v>6.55</v>
      </c>
      <c r="K1919">
        <v>3</v>
      </c>
      <c r="L1919">
        <v>0.19500000000000001</v>
      </c>
      <c r="M1919">
        <v>1</v>
      </c>
      <c r="N1919">
        <v>73</v>
      </c>
      <c r="O1919">
        <v>2</v>
      </c>
      <c r="P1919">
        <v>0.22500000000000001</v>
      </c>
      <c r="Q1919">
        <v>2</v>
      </c>
      <c r="R1919">
        <v>5.1999999999999998E-3</v>
      </c>
      <c r="T1919" t="s">
        <v>5540</v>
      </c>
    </row>
    <row r="1920" spans="1:20" x14ac:dyDescent="0.2">
      <c r="A1920" t="s">
        <v>5542</v>
      </c>
      <c r="B1920" t="s">
        <v>2022</v>
      </c>
      <c r="C1920" t="s">
        <v>2023</v>
      </c>
      <c r="D1920" t="s">
        <v>2024</v>
      </c>
      <c r="E1920" t="s">
        <v>5543</v>
      </c>
      <c r="F1920" t="s">
        <v>5544</v>
      </c>
      <c r="G1920">
        <v>5</v>
      </c>
      <c r="H1920">
        <v>1800</v>
      </c>
      <c r="I1920">
        <v>5</v>
      </c>
      <c r="J1920">
        <v>10.9</v>
      </c>
      <c r="K1920">
        <v>5</v>
      </c>
      <c r="L1920">
        <v>8.5999999999999993E-2</v>
      </c>
      <c r="M1920">
        <v>3</v>
      </c>
      <c r="N1920">
        <v>94</v>
      </c>
      <c r="O1920">
        <v>5</v>
      </c>
      <c r="P1920">
        <v>0.67500000000000004</v>
      </c>
      <c r="Q1920">
        <v>5</v>
      </c>
      <c r="R1920">
        <v>8.0000000000000002E-3</v>
      </c>
      <c r="T1920" t="s">
        <v>5543</v>
      </c>
    </row>
    <row r="1921" spans="1:20" x14ac:dyDescent="0.2">
      <c r="A1921" t="s">
        <v>5545</v>
      </c>
      <c r="B1921" t="s">
        <v>2022</v>
      </c>
      <c r="C1921" t="s">
        <v>2053</v>
      </c>
      <c r="D1921" t="s">
        <v>2024</v>
      </c>
      <c r="E1921" t="s">
        <v>5546</v>
      </c>
      <c r="F1921" t="s">
        <v>5547</v>
      </c>
      <c r="G1921">
        <v>1</v>
      </c>
      <c r="H1921">
        <v>1500</v>
      </c>
      <c r="I1921">
        <v>1</v>
      </c>
      <c r="J1921">
        <v>1.55</v>
      </c>
      <c r="K1921">
        <v>1</v>
      </c>
      <c r="L1921">
        <v>1.4999999999999999E-2</v>
      </c>
      <c r="M1921">
        <v>5</v>
      </c>
      <c r="N1921">
        <v>113</v>
      </c>
      <c r="O1921">
        <v>5</v>
      </c>
      <c r="P1921">
        <v>0.67500000000000004</v>
      </c>
      <c r="Q1921">
        <v>5</v>
      </c>
      <c r="R1921">
        <v>2.6200000000000001E-2</v>
      </c>
      <c r="T1921" t="s">
        <v>5546</v>
      </c>
    </row>
    <row r="1922" spans="1:20" x14ac:dyDescent="0.2">
      <c r="A1922" t="s">
        <v>5548</v>
      </c>
      <c r="B1922" t="s">
        <v>2022</v>
      </c>
      <c r="C1922" t="s">
        <v>2222</v>
      </c>
      <c r="D1922" t="s">
        <v>2024</v>
      </c>
      <c r="E1922" t="s">
        <v>5549</v>
      </c>
      <c r="F1922" t="s">
        <v>5550</v>
      </c>
      <c r="G1922">
        <v>3</v>
      </c>
      <c r="H1922">
        <v>1650</v>
      </c>
      <c r="I1922">
        <v>5</v>
      </c>
      <c r="J1922">
        <v>8.6999999999999993</v>
      </c>
      <c r="K1922">
        <v>5</v>
      </c>
      <c r="L1922">
        <v>0.26500000000000001</v>
      </c>
      <c r="M1922">
        <v>2</v>
      </c>
      <c r="N1922">
        <v>63</v>
      </c>
      <c r="O1922">
        <v>4</v>
      </c>
      <c r="P1922">
        <v>0.31</v>
      </c>
      <c r="Q1922">
        <v>5</v>
      </c>
      <c r="R1922">
        <v>1.1299999999999999E-2</v>
      </c>
      <c r="T1922" t="s">
        <v>5549</v>
      </c>
    </row>
    <row r="1923" spans="1:20" x14ac:dyDescent="0.2">
      <c r="A1923" t="s">
        <v>5551</v>
      </c>
      <c r="B1923" t="s">
        <v>2022</v>
      </c>
      <c r="C1923" t="s">
        <v>2053</v>
      </c>
      <c r="D1923" t="s">
        <v>2024</v>
      </c>
      <c r="E1923" t="s">
        <v>5552</v>
      </c>
      <c r="F1923" t="s">
        <v>5553</v>
      </c>
      <c r="G1923">
        <v>3</v>
      </c>
      <c r="H1923">
        <v>1700</v>
      </c>
      <c r="I1923">
        <v>3</v>
      </c>
      <c r="J1923">
        <v>6.55</v>
      </c>
      <c r="K1923">
        <v>2</v>
      </c>
      <c r="L1923">
        <v>8.5000000000000006E-2</v>
      </c>
      <c r="M1923">
        <v>2</v>
      </c>
      <c r="N1923">
        <v>83</v>
      </c>
      <c r="O1923">
        <v>2</v>
      </c>
      <c r="P1923">
        <v>0.22500000000000001</v>
      </c>
      <c r="Q1923">
        <v>2</v>
      </c>
      <c r="R1923">
        <v>5.1999999999999998E-3</v>
      </c>
      <c r="T1923" t="s">
        <v>5552</v>
      </c>
    </row>
    <row r="1924" spans="1:20" x14ac:dyDescent="0.2">
      <c r="A1924" t="s">
        <v>5554</v>
      </c>
      <c r="B1924" t="s">
        <v>2022</v>
      </c>
      <c r="C1924" t="s">
        <v>2023</v>
      </c>
      <c r="D1924" t="s">
        <v>2024</v>
      </c>
      <c r="E1924" t="s">
        <v>5555</v>
      </c>
      <c r="F1924" t="s">
        <v>5556</v>
      </c>
      <c r="G1924">
        <v>5</v>
      </c>
      <c r="H1924">
        <v>1800</v>
      </c>
      <c r="I1924">
        <v>4</v>
      </c>
      <c r="J1924">
        <v>8.4</v>
      </c>
      <c r="K1924">
        <v>5</v>
      </c>
      <c r="L1924">
        <v>8.5999999999999993E-2</v>
      </c>
      <c r="M1924">
        <v>2</v>
      </c>
      <c r="N1924">
        <v>84</v>
      </c>
      <c r="O1924">
        <v>3</v>
      </c>
      <c r="P1924">
        <v>0.375</v>
      </c>
      <c r="Q1924">
        <v>5</v>
      </c>
      <c r="R1924">
        <v>8.0000000000000002E-3</v>
      </c>
      <c r="T1924" t="s">
        <v>5555</v>
      </c>
    </row>
    <row r="1925" spans="1:20" x14ac:dyDescent="0.2">
      <c r="A1925" t="s">
        <v>5557</v>
      </c>
      <c r="B1925" t="s">
        <v>2022</v>
      </c>
      <c r="C1925" t="s">
        <v>2053</v>
      </c>
      <c r="D1925" t="s">
        <v>2024</v>
      </c>
      <c r="E1925" t="s">
        <v>5558</v>
      </c>
      <c r="F1925" t="s">
        <v>5559</v>
      </c>
      <c r="G1925">
        <v>2</v>
      </c>
      <c r="H1925">
        <v>1600</v>
      </c>
      <c r="I1925">
        <v>3</v>
      </c>
      <c r="J1925">
        <v>6.55</v>
      </c>
      <c r="K1925">
        <v>2</v>
      </c>
      <c r="L1925">
        <v>8.5000000000000006E-2</v>
      </c>
      <c r="M1925">
        <v>3</v>
      </c>
      <c r="N1925">
        <v>93</v>
      </c>
      <c r="O1925">
        <v>3</v>
      </c>
      <c r="P1925">
        <v>0.375</v>
      </c>
      <c r="Q1925">
        <v>2</v>
      </c>
      <c r="R1925">
        <v>5.1999999999999998E-3</v>
      </c>
      <c r="T1925" t="s">
        <v>5558</v>
      </c>
    </row>
    <row r="1926" spans="1:20" x14ac:dyDescent="0.2">
      <c r="A1926" t="s">
        <v>5560</v>
      </c>
      <c r="B1926" t="s">
        <v>2022</v>
      </c>
      <c r="C1926" t="s">
        <v>2053</v>
      </c>
      <c r="D1926" t="s">
        <v>2024</v>
      </c>
      <c r="E1926" t="s">
        <v>5561</v>
      </c>
      <c r="F1926" t="s">
        <v>5562</v>
      </c>
      <c r="G1926">
        <v>3</v>
      </c>
      <c r="H1926">
        <v>1700</v>
      </c>
      <c r="I1926">
        <v>1</v>
      </c>
      <c r="J1926">
        <v>1.55</v>
      </c>
      <c r="K1926">
        <v>1</v>
      </c>
      <c r="L1926">
        <v>1.4999999999999999E-2</v>
      </c>
      <c r="M1926">
        <v>4</v>
      </c>
      <c r="N1926">
        <v>103</v>
      </c>
      <c r="O1926">
        <v>1</v>
      </c>
      <c r="P1926">
        <v>7.4999999999999997E-2</v>
      </c>
      <c r="Q1926">
        <v>1</v>
      </c>
      <c r="R1926">
        <v>8.4999999999999995E-4</v>
      </c>
      <c r="T1926" t="s">
        <v>5561</v>
      </c>
    </row>
    <row r="1927" spans="1:20" x14ac:dyDescent="0.2">
      <c r="A1927" t="s">
        <v>5563</v>
      </c>
      <c r="B1927" t="s">
        <v>2022</v>
      </c>
      <c r="C1927" t="s">
        <v>2023</v>
      </c>
      <c r="D1927" t="s">
        <v>2024</v>
      </c>
      <c r="E1927" t="s">
        <v>357</v>
      </c>
      <c r="F1927" t="s">
        <v>447</v>
      </c>
      <c r="G1927">
        <v>1</v>
      </c>
      <c r="H1927">
        <v>1480</v>
      </c>
      <c r="I1927">
        <v>2</v>
      </c>
      <c r="J1927">
        <v>3.4</v>
      </c>
      <c r="K1927">
        <v>2</v>
      </c>
      <c r="L1927">
        <v>2.5999999999999999E-2</v>
      </c>
      <c r="M1927">
        <v>5</v>
      </c>
      <c r="N1927">
        <v>114</v>
      </c>
      <c r="O1927">
        <v>5</v>
      </c>
      <c r="P1927">
        <v>0.67500000000000004</v>
      </c>
      <c r="Q1927">
        <v>5</v>
      </c>
      <c r="R1927">
        <v>8.0000000000000002E-3</v>
      </c>
      <c r="T1927" t="s">
        <v>357</v>
      </c>
    </row>
    <row r="1928" spans="1:20" x14ac:dyDescent="0.2">
      <c r="A1928" t="s">
        <v>5564</v>
      </c>
      <c r="B1928" t="s">
        <v>2022</v>
      </c>
      <c r="C1928" t="s">
        <v>2508</v>
      </c>
      <c r="D1928" t="s">
        <v>2024</v>
      </c>
      <c r="E1928" t="s">
        <v>5565</v>
      </c>
      <c r="F1928" t="s">
        <v>5566</v>
      </c>
      <c r="G1928">
        <v>5</v>
      </c>
      <c r="H1928">
        <v>1650</v>
      </c>
      <c r="I1928">
        <v>2</v>
      </c>
      <c r="J1928">
        <v>5</v>
      </c>
      <c r="K1928">
        <v>3</v>
      </c>
      <c r="L1928">
        <v>0.26</v>
      </c>
      <c r="M1928">
        <v>2</v>
      </c>
      <c r="N1928">
        <v>157.5</v>
      </c>
      <c r="O1928">
        <v>1</v>
      </c>
      <c r="P1928">
        <v>0.45</v>
      </c>
      <c r="Q1928">
        <v>2</v>
      </c>
      <c r="R1928">
        <v>2.4E-2</v>
      </c>
      <c r="T1928" t="s">
        <v>5565</v>
      </c>
    </row>
    <row r="1929" spans="1:20" x14ac:dyDescent="0.2">
      <c r="A1929" t="s">
        <v>5567</v>
      </c>
      <c r="B1929" t="s">
        <v>2022</v>
      </c>
      <c r="C1929" t="s">
        <v>2023</v>
      </c>
      <c r="D1929" t="s">
        <v>2024</v>
      </c>
      <c r="E1929" t="s">
        <v>5568</v>
      </c>
      <c r="F1929" t="s">
        <v>5569</v>
      </c>
      <c r="G1929">
        <v>2</v>
      </c>
      <c r="H1929">
        <v>1560</v>
      </c>
      <c r="I1929">
        <v>3</v>
      </c>
      <c r="J1929">
        <v>5.9</v>
      </c>
      <c r="K1929">
        <v>2</v>
      </c>
      <c r="L1929">
        <v>2.5999999999999999E-2</v>
      </c>
      <c r="M1929">
        <v>1</v>
      </c>
      <c r="N1929">
        <v>74</v>
      </c>
      <c r="O1929">
        <v>2</v>
      </c>
      <c r="P1929">
        <v>0.22500000000000001</v>
      </c>
      <c r="Q1929">
        <v>2</v>
      </c>
      <c r="R1929">
        <v>2E-3</v>
      </c>
      <c r="T1929" t="s">
        <v>5568</v>
      </c>
    </row>
    <row r="1930" spans="1:20" x14ac:dyDescent="0.2">
      <c r="A1930" t="s">
        <v>5570</v>
      </c>
      <c r="B1930" t="s">
        <v>2022</v>
      </c>
      <c r="C1930" t="s">
        <v>2095</v>
      </c>
      <c r="D1930" t="s">
        <v>2024</v>
      </c>
      <c r="E1930" t="s">
        <v>5571</v>
      </c>
      <c r="F1930" t="s">
        <v>5572</v>
      </c>
      <c r="G1930">
        <v>1</v>
      </c>
      <c r="H1930">
        <v>1565</v>
      </c>
      <c r="I1930">
        <v>1</v>
      </c>
      <c r="J1930">
        <v>4.5</v>
      </c>
      <c r="K1930">
        <v>1</v>
      </c>
      <c r="L1930">
        <v>1.4999999999999999E-2</v>
      </c>
      <c r="M1930">
        <v>5</v>
      </c>
      <c r="N1930">
        <v>98</v>
      </c>
      <c r="O1930">
        <v>2</v>
      </c>
      <c r="P1930">
        <v>0.35</v>
      </c>
      <c r="Q1930">
        <v>1</v>
      </c>
      <c r="R1930">
        <v>6.9999999999999999E-4</v>
      </c>
      <c r="T1930" t="s">
        <v>5571</v>
      </c>
    </row>
    <row r="1931" spans="1:20" x14ac:dyDescent="0.2">
      <c r="A1931" t="s">
        <v>5573</v>
      </c>
      <c r="B1931" t="s">
        <v>2022</v>
      </c>
      <c r="C1931" t="s">
        <v>2023</v>
      </c>
      <c r="D1931" t="s">
        <v>2024</v>
      </c>
      <c r="E1931" t="s">
        <v>5574</v>
      </c>
      <c r="F1931" t="s">
        <v>5575</v>
      </c>
      <c r="G1931">
        <v>2</v>
      </c>
      <c r="H1931">
        <v>1560</v>
      </c>
      <c r="I1931">
        <v>2</v>
      </c>
      <c r="J1931">
        <v>3.4</v>
      </c>
      <c r="K1931">
        <v>4</v>
      </c>
      <c r="L1931">
        <v>6.6000000000000003E-2</v>
      </c>
      <c r="M1931">
        <v>3</v>
      </c>
      <c r="N1931">
        <v>94</v>
      </c>
      <c r="O1931">
        <v>2</v>
      </c>
      <c r="P1931">
        <v>0.22500000000000001</v>
      </c>
      <c r="Q1931">
        <v>3</v>
      </c>
      <c r="R1931">
        <v>4.0000000000000001E-3</v>
      </c>
      <c r="T1931" t="s">
        <v>5574</v>
      </c>
    </row>
    <row r="1932" spans="1:20" x14ac:dyDescent="0.2">
      <c r="A1932" t="s">
        <v>5576</v>
      </c>
      <c r="B1932" t="s">
        <v>2022</v>
      </c>
      <c r="C1932" t="s">
        <v>2173</v>
      </c>
      <c r="D1932" t="s">
        <v>2024</v>
      </c>
      <c r="E1932" t="s">
        <v>5577</v>
      </c>
      <c r="F1932" t="s">
        <v>5578</v>
      </c>
      <c r="G1932">
        <v>4</v>
      </c>
      <c r="H1932">
        <v>2107.5</v>
      </c>
      <c r="I1932">
        <v>2</v>
      </c>
      <c r="J1932">
        <v>6.35</v>
      </c>
      <c r="K1932">
        <v>2</v>
      </c>
      <c r="L1932">
        <v>0.09</v>
      </c>
      <c r="M1932">
        <v>4</v>
      </c>
      <c r="N1932">
        <v>129.5</v>
      </c>
      <c r="O1932">
        <v>2</v>
      </c>
      <c r="P1932">
        <v>0.33</v>
      </c>
      <c r="Q1932">
        <v>2</v>
      </c>
      <c r="R1932">
        <v>4.7999999999999996E-3</v>
      </c>
      <c r="T1932" t="s">
        <v>5577</v>
      </c>
    </row>
    <row r="1933" spans="1:20" x14ac:dyDescent="0.2">
      <c r="A1933" t="s">
        <v>5579</v>
      </c>
      <c r="B1933" t="s">
        <v>2022</v>
      </c>
      <c r="C1933" t="s">
        <v>2023</v>
      </c>
      <c r="D1933" t="s">
        <v>2024</v>
      </c>
      <c r="E1933" t="s">
        <v>5580</v>
      </c>
      <c r="F1933" t="s">
        <v>5581</v>
      </c>
      <c r="G1933">
        <v>3</v>
      </c>
      <c r="H1933">
        <v>1640</v>
      </c>
      <c r="I1933">
        <v>4</v>
      </c>
      <c r="J1933">
        <v>8.4</v>
      </c>
      <c r="K1933">
        <v>5</v>
      </c>
      <c r="L1933">
        <v>8.5999999999999993E-2</v>
      </c>
      <c r="M1933">
        <v>2</v>
      </c>
      <c r="N1933">
        <v>84</v>
      </c>
      <c r="O1933">
        <v>3</v>
      </c>
      <c r="P1933">
        <v>0.375</v>
      </c>
      <c r="Q1933">
        <v>5</v>
      </c>
      <c r="R1933">
        <v>8.0000000000000002E-3</v>
      </c>
      <c r="T1933" t="s">
        <v>5580</v>
      </c>
    </row>
    <row r="1934" spans="1:20" x14ac:dyDescent="0.2">
      <c r="A1934" t="s">
        <v>5582</v>
      </c>
      <c r="B1934" t="s">
        <v>2022</v>
      </c>
      <c r="C1934" t="s">
        <v>2023</v>
      </c>
      <c r="D1934" t="s">
        <v>2024</v>
      </c>
      <c r="E1934" t="s">
        <v>5583</v>
      </c>
      <c r="F1934" t="s">
        <v>5584</v>
      </c>
      <c r="G1934">
        <v>3</v>
      </c>
      <c r="H1934">
        <v>1640</v>
      </c>
      <c r="I1934">
        <v>4</v>
      </c>
      <c r="J1934">
        <v>8.4</v>
      </c>
      <c r="K1934">
        <v>5</v>
      </c>
      <c r="L1934">
        <v>8.5999999999999993E-2</v>
      </c>
      <c r="M1934">
        <v>1</v>
      </c>
      <c r="N1934">
        <v>74</v>
      </c>
      <c r="O1934">
        <v>3</v>
      </c>
      <c r="P1934">
        <v>0.375</v>
      </c>
      <c r="Q1934">
        <v>5</v>
      </c>
      <c r="R1934">
        <v>8.0000000000000002E-3</v>
      </c>
      <c r="T1934" t="s">
        <v>5583</v>
      </c>
    </row>
    <row r="1935" spans="1:20" x14ac:dyDescent="0.2">
      <c r="A1935" t="s">
        <v>5585</v>
      </c>
      <c r="B1935" t="s">
        <v>2022</v>
      </c>
      <c r="C1935" t="s">
        <v>2023</v>
      </c>
      <c r="D1935" t="s">
        <v>2024</v>
      </c>
      <c r="E1935" t="s">
        <v>5586</v>
      </c>
      <c r="F1935" t="s">
        <v>5587</v>
      </c>
      <c r="G1935">
        <v>1</v>
      </c>
      <c r="H1935">
        <v>1480</v>
      </c>
      <c r="I1935">
        <v>1</v>
      </c>
      <c r="J1935">
        <v>0.9</v>
      </c>
      <c r="K1935">
        <v>2</v>
      </c>
      <c r="L1935">
        <v>2.5999999999999999E-2</v>
      </c>
      <c r="M1935">
        <v>1</v>
      </c>
      <c r="N1935">
        <v>74</v>
      </c>
      <c r="O1935">
        <v>1</v>
      </c>
      <c r="P1935">
        <v>7.4999999999999997E-2</v>
      </c>
      <c r="Q1935">
        <v>1</v>
      </c>
      <c r="R1935">
        <v>5.0000000000000001E-4</v>
      </c>
      <c r="T1935" t="s">
        <v>5586</v>
      </c>
    </row>
    <row r="1936" spans="1:20" x14ac:dyDescent="0.2">
      <c r="A1936" t="s">
        <v>5588</v>
      </c>
      <c r="B1936" t="s">
        <v>2022</v>
      </c>
      <c r="C1936" t="s">
        <v>2023</v>
      </c>
      <c r="D1936" t="s">
        <v>2024</v>
      </c>
      <c r="E1936" t="s">
        <v>357</v>
      </c>
      <c r="F1936" t="s">
        <v>5589</v>
      </c>
      <c r="G1936">
        <v>1</v>
      </c>
      <c r="H1936">
        <v>1480</v>
      </c>
      <c r="I1936">
        <v>1</v>
      </c>
      <c r="J1936">
        <v>0.9</v>
      </c>
      <c r="K1936">
        <v>1</v>
      </c>
      <c r="L1936">
        <v>6.0000000000000001E-3</v>
      </c>
      <c r="M1936">
        <v>5</v>
      </c>
      <c r="N1936">
        <v>114</v>
      </c>
      <c r="O1936">
        <v>5</v>
      </c>
      <c r="P1936">
        <v>0.67500000000000004</v>
      </c>
      <c r="Q1936">
        <v>5</v>
      </c>
      <c r="R1936">
        <v>8.0000000000000002E-3</v>
      </c>
      <c r="T1936" t="s">
        <v>357</v>
      </c>
    </row>
    <row r="1937" spans="1:20" x14ac:dyDescent="0.2">
      <c r="A1937" t="s">
        <v>5590</v>
      </c>
      <c r="B1937" t="s">
        <v>2022</v>
      </c>
      <c r="C1937" t="s">
        <v>2049</v>
      </c>
      <c r="D1937" t="s">
        <v>2024</v>
      </c>
      <c r="E1937" t="s">
        <v>1150</v>
      </c>
      <c r="F1937" t="s">
        <v>1151</v>
      </c>
      <c r="G1937">
        <v>2</v>
      </c>
      <c r="H1937">
        <v>1450</v>
      </c>
      <c r="I1937">
        <v>3</v>
      </c>
      <c r="J1937">
        <v>5</v>
      </c>
      <c r="K1937">
        <v>2</v>
      </c>
      <c r="L1937">
        <v>0.06</v>
      </c>
      <c r="M1937">
        <v>2</v>
      </c>
      <c r="N1937">
        <v>106</v>
      </c>
      <c r="O1937">
        <v>2</v>
      </c>
      <c r="P1937">
        <v>0.26</v>
      </c>
      <c r="Q1937">
        <v>2</v>
      </c>
      <c r="R1937">
        <v>6.1999999999999998E-3</v>
      </c>
      <c r="T1937" t="s">
        <v>1150</v>
      </c>
    </row>
    <row r="1938" spans="1:20" x14ac:dyDescent="0.2">
      <c r="A1938" t="s">
        <v>5591</v>
      </c>
      <c r="B1938" t="s">
        <v>2022</v>
      </c>
      <c r="C1938" t="s">
        <v>2023</v>
      </c>
      <c r="D1938" t="s">
        <v>2154</v>
      </c>
      <c r="E1938" t="s">
        <v>5592</v>
      </c>
      <c r="F1938" t="s">
        <v>5593</v>
      </c>
      <c r="G1938">
        <v>1</v>
      </c>
      <c r="H1938">
        <v>1480</v>
      </c>
      <c r="I1938">
        <v>5</v>
      </c>
      <c r="J1938">
        <v>10.9</v>
      </c>
      <c r="K1938">
        <v>5</v>
      </c>
      <c r="L1938">
        <v>8.5999999999999993E-2</v>
      </c>
      <c r="M1938">
        <v>5</v>
      </c>
      <c r="N1938">
        <v>114</v>
      </c>
      <c r="O1938">
        <v>5</v>
      </c>
      <c r="P1938">
        <v>0.67500000000000004</v>
      </c>
      <c r="Q1938">
        <v>5</v>
      </c>
      <c r="R1938">
        <v>8.0000000000000002E-3</v>
      </c>
      <c r="T1938" t="s">
        <v>5592</v>
      </c>
    </row>
    <row r="1939" spans="1:20" x14ac:dyDescent="0.2">
      <c r="A1939" t="s">
        <v>5594</v>
      </c>
      <c r="B1939" t="s">
        <v>2022</v>
      </c>
      <c r="C1939" t="s">
        <v>2036</v>
      </c>
      <c r="D1939" t="s">
        <v>2024</v>
      </c>
      <c r="E1939" t="s">
        <v>313</v>
      </c>
      <c r="F1939" t="s">
        <v>5595</v>
      </c>
      <c r="G1939">
        <v>3</v>
      </c>
      <c r="H1939">
        <v>1740</v>
      </c>
      <c r="I1939">
        <v>2</v>
      </c>
      <c r="J1939">
        <v>3.4</v>
      </c>
      <c r="K1939">
        <v>2</v>
      </c>
      <c r="L1939">
        <v>8.5000000000000006E-2</v>
      </c>
      <c r="M1939">
        <v>3</v>
      </c>
      <c r="N1939">
        <v>88</v>
      </c>
      <c r="O1939">
        <v>1</v>
      </c>
      <c r="P1939">
        <v>9.5000000000000001E-2</v>
      </c>
      <c r="Q1939">
        <v>2</v>
      </c>
      <c r="R1939">
        <v>4.2500000000000003E-3</v>
      </c>
      <c r="T1939" t="s">
        <v>313</v>
      </c>
    </row>
    <row r="1940" spans="1:20" x14ac:dyDescent="0.2">
      <c r="A1940" t="s">
        <v>5596</v>
      </c>
      <c r="B1940" t="s">
        <v>2022</v>
      </c>
      <c r="C1940" t="s">
        <v>2036</v>
      </c>
      <c r="D1940" t="s">
        <v>2024</v>
      </c>
      <c r="E1940" t="s">
        <v>5597</v>
      </c>
      <c r="F1940" t="s">
        <v>5598</v>
      </c>
      <c r="G1940">
        <v>4</v>
      </c>
      <c r="H1940">
        <v>1840</v>
      </c>
      <c r="I1940">
        <v>2</v>
      </c>
      <c r="J1940">
        <v>3.4</v>
      </c>
      <c r="K1940">
        <v>1</v>
      </c>
      <c r="L1940">
        <v>5.5E-2</v>
      </c>
      <c r="M1940">
        <v>3</v>
      </c>
      <c r="N1940">
        <v>88</v>
      </c>
      <c r="O1940">
        <v>2</v>
      </c>
      <c r="P1940">
        <v>0.20499999999999999</v>
      </c>
      <c r="Q1940">
        <v>1</v>
      </c>
      <c r="R1940">
        <v>1.5E-3</v>
      </c>
      <c r="T1940" t="s">
        <v>5597</v>
      </c>
    </row>
    <row r="1941" spans="1:20" x14ac:dyDescent="0.2">
      <c r="A1941" t="s">
        <v>5599</v>
      </c>
      <c r="B1941" t="s">
        <v>2022</v>
      </c>
      <c r="C1941" t="s">
        <v>2036</v>
      </c>
      <c r="D1941" t="s">
        <v>2024</v>
      </c>
      <c r="E1941" t="s">
        <v>5600</v>
      </c>
      <c r="F1941" t="s">
        <v>5601</v>
      </c>
      <c r="G1941">
        <v>5</v>
      </c>
      <c r="H1941">
        <v>1940</v>
      </c>
      <c r="I1941">
        <v>5</v>
      </c>
      <c r="J1941">
        <v>7</v>
      </c>
      <c r="K1941">
        <v>5</v>
      </c>
      <c r="L1941">
        <v>0.17499999999999999</v>
      </c>
      <c r="M1941">
        <v>3</v>
      </c>
      <c r="N1941">
        <v>88</v>
      </c>
      <c r="O1941">
        <v>3</v>
      </c>
      <c r="P1941">
        <v>0.315</v>
      </c>
      <c r="Q1941">
        <v>5</v>
      </c>
      <c r="R1941">
        <v>1.2E-2</v>
      </c>
      <c r="T1941" t="s">
        <v>5600</v>
      </c>
    </row>
    <row r="1942" spans="1:20" x14ac:dyDescent="0.2">
      <c r="A1942" t="s">
        <v>5602</v>
      </c>
      <c r="B1942" t="s">
        <v>2022</v>
      </c>
      <c r="C1942" t="s">
        <v>2053</v>
      </c>
      <c r="D1942" t="s">
        <v>2024</v>
      </c>
      <c r="E1942" t="s">
        <v>5603</v>
      </c>
      <c r="F1942" t="s">
        <v>5604</v>
      </c>
      <c r="G1942">
        <v>5</v>
      </c>
      <c r="H1942">
        <v>1900</v>
      </c>
      <c r="I1942">
        <v>2</v>
      </c>
      <c r="J1942">
        <v>4.05</v>
      </c>
      <c r="K1942">
        <v>2</v>
      </c>
      <c r="L1942">
        <v>8.5000000000000006E-2</v>
      </c>
      <c r="M1942">
        <v>5</v>
      </c>
      <c r="N1942">
        <v>113</v>
      </c>
      <c r="O1942">
        <v>2</v>
      </c>
      <c r="P1942">
        <v>0.22500000000000001</v>
      </c>
      <c r="Q1942">
        <v>2</v>
      </c>
      <c r="R1942">
        <v>5.1999999999999998E-3</v>
      </c>
      <c r="T1942" t="s">
        <v>5603</v>
      </c>
    </row>
    <row r="1943" spans="1:20" x14ac:dyDescent="0.2">
      <c r="A1943" t="s">
        <v>5605</v>
      </c>
      <c r="B1943" t="s">
        <v>2022</v>
      </c>
      <c r="C1943" t="s">
        <v>2036</v>
      </c>
      <c r="D1943" t="s">
        <v>2024</v>
      </c>
      <c r="E1943" t="s">
        <v>5606</v>
      </c>
      <c r="F1943" t="s">
        <v>5607</v>
      </c>
      <c r="G1943">
        <v>3</v>
      </c>
      <c r="H1943">
        <v>1740</v>
      </c>
      <c r="I1943">
        <v>1</v>
      </c>
      <c r="J1943">
        <v>2.2000000000000002</v>
      </c>
      <c r="K1943">
        <v>2</v>
      </c>
      <c r="L1943">
        <v>8.5000000000000006E-2</v>
      </c>
      <c r="M1943">
        <v>3</v>
      </c>
      <c r="N1943">
        <v>88</v>
      </c>
      <c r="O1943">
        <v>1</v>
      </c>
      <c r="P1943">
        <v>9.5000000000000001E-2</v>
      </c>
      <c r="Q1943">
        <v>2</v>
      </c>
      <c r="R1943">
        <v>4.2500000000000003E-3</v>
      </c>
      <c r="T1943" t="s">
        <v>5606</v>
      </c>
    </row>
    <row r="1944" spans="1:20" x14ac:dyDescent="0.2">
      <c r="A1944" t="s">
        <v>5608</v>
      </c>
      <c r="B1944" t="s">
        <v>2022</v>
      </c>
      <c r="C1944" t="s">
        <v>2101</v>
      </c>
      <c r="D1944" t="s">
        <v>2024</v>
      </c>
      <c r="E1944" t="s">
        <v>5609</v>
      </c>
      <c r="F1944" t="s">
        <v>5610</v>
      </c>
      <c r="G1944">
        <v>3</v>
      </c>
      <c r="H1944">
        <v>1770</v>
      </c>
      <c r="I1944">
        <v>2</v>
      </c>
      <c r="J1944">
        <v>5</v>
      </c>
      <c r="K1944">
        <v>2</v>
      </c>
      <c r="L1944">
        <v>9.6500000000000002E-2</v>
      </c>
      <c r="M1944">
        <v>2</v>
      </c>
      <c r="N1944">
        <v>74</v>
      </c>
      <c r="O1944">
        <v>2</v>
      </c>
      <c r="P1944">
        <v>0.22500000000000001</v>
      </c>
      <c r="Q1944">
        <v>2</v>
      </c>
      <c r="R1944">
        <v>4.4999999999999997E-3</v>
      </c>
      <c r="T1944" t="s">
        <v>5609</v>
      </c>
    </row>
    <row r="1945" spans="1:20" x14ac:dyDescent="0.2">
      <c r="A1945" t="s">
        <v>5611</v>
      </c>
      <c r="B1945" t="s">
        <v>2022</v>
      </c>
      <c r="C1945" t="s">
        <v>2101</v>
      </c>
      <c r="D1945" t="s">
        <v>2024</v>
      </c>
      <c r="E1945" t="s">
        <v>5612</v>
      </c>
      <c r="F1945" t="s">
        <v>5613</v>
      </c>
      <c r="G1945">
        <v>1</v>
      </c>
      <c r="H1945">
        <v>1570</v>
      </c>
      <c r="I1945">
        <v>4</v>
      </c>
      <c r="J1945">
        <v>11</v>
      </c>
      <c r="K1945">
        <v>3</v>
      </c>
      <c r="L1945">
        <v>0.24349999999999999</v>
      </c>
      <c r="M1945">
        <v>2</v>
      </c>
      <c r="N1945">
        <v>74</v>
      </c>
      <c r="O1945">
        <v>3</v>
      </c>
      <c r="P1945">
        <v>0.375</v>
      </c>
      <c r="Q1945">
        <v>3</v>
      </c>
      <c r="R1945">
        <v>1.15E-2</v>
      </c>
      <c r="T1945" t="s">
        <v>5612</v>
      </c>
    </row>
    <row r="1946" spans="1:20" x14ac:dyDescent="0.2">
      <c r="A1946" t="s">
        <v>5614</v>
      </c>
      <c r="B1946" t="s">
        <v>2022</v>
      </c>
      <c r="C1946" t="s">
        <v>2023</v>
      </c>
      <c r="D1946" t="s">
        <v>2024</v>
      </c>
      <c r="E1946" t="s">
        <v>5615</v>
      </c>
      <c r="F1946" t="s">
        <v>5616</v>
      </c>
      <c r="G1946">
        <v>4</v>
      </c>
      <c r="H1946">
        <v>1720</v>
      </c>
      <c r="I1946">
        <v>3</v>
      </c>
      <c r="J1946">
        <v>5.9</v>
      </c>
      <c r="K1946">
        <v>5</v>
      </c>
      <c r="L1946">
        <v>8.5999999999999993E-2</v>
      </c>
      <c r="M1946">
        <v>5</v>
      </c>
      <c r="N1946">
        <v>114</v>
      </c>
      <c r="O1946">
        <v>4</v>
      </c>
      <c r="P1946">
        <v>0.52500000000000002</v>
      </c>
      <c r="Q1946">
        <v>5</v>
      </c>
      <c r="R1946">
        <v>8.0000000000000002E-3</v>
      </c>
      <c r="T1946" t="s">
        <v>5615</v>
      </c>
    </row>
    <row r="1947" spans="1:20" x14ac:dyDescent="0.2">
      <c r="A1947" t="s">
        <v>5617</v>
      </c>
      <c r="B1947" t="s">
        <v>2022</v>
      </c>
      <c r="C1947" t="s">
        <v>2036</v>
      </c>
      <c r="D1947" t="s">
        <v>2024</v>
      </c>
      <c r="E1947" t="s">
        <v>5618</v>
      </c>
      <c r="F1947" t="s">
        <v>5619</v>
      </c>
      <c r="G1947">
        <v>2</v>
      </c>
      <c r="H1947">
        <v>1640</v>
      </c>
      <c r="I1947">
        <v>2</v>
      </c>
      <c r="J1947">
        <v>3.4</v>
      </c>
      <c r="K1947">
        <v>3</v>
      </c>
      <c r="L1947">
        <v>0.115</v>
      </c>
      <c r="M1947">
        <v>2</v>
      </c>
      <c r="N1947">
        <v>82</v>
      </c>
      <c r="O1947">
        <v>2</v>
      </c>
      <c r="P1947">
        <v>0.20499999999999999</v>
      </c>
      <c r="Q1947">
        <v>3</v>
      </c>
      <c r="R1947">
        <v>6.7499999999999999E-3</v>
      </c>
      <c r="T1947" t="s">
        <v>5618</v>
      </c>
    </row>
    <row r="1948" spans="1:20" x14ac:dyDescent="0.2">
      <c r="A1948" t="s">
        <v>5620</v>
      </c>
      <c r="B1948" t="s">
        <v>2022</v>
      </c>
      <c r="C1948" t="s">
        <v>2101</v>
      </c>
      <c r="D1948" t="s">
        <v>2024</v>
      </c>
      <c r="E1948" t="s">
        <v>5621</v>
      </c>
      <c r="F1948" t="s">
        <v>5622</v>
      </c>
      <c r="G1948">
        <v>4</v>
      </c>
      <c r="H1948">
        <v>1870</v>
      </c>
      <c r="I1948">
        <v>1</v>
      </c>
      <c r="J1948">
        <v>2</v>
      </c>
      <c r="K1948">
        <v>1</v>
      </c>
      <c r="L1948">
        <v>1.15E-2</v>
      </c>
      <c r="M1948">
        <v>2</v>
      </c>
      <c r="N1948">
        <v>74</v>
      </c>
      <c r="O1948">
        <v>1</v>
      </c>
      <c r="P1948">
        <v>7.4999999999999997E-2</v>
      </c>
      <c r="Q1948">
        <v>1</v>
      </c>
      <c r="R1948">
        <v>5.0000000000000001E-4</v>
      </c>
      <c r="T1948" t="s">
        <v>5621</v>
      </c>
    </row>
    <row r="1949" spans="1:20" x14ac:dyDescent="0.2">
      <c r="A1949" t="s">
        <v>5623</v>
      </c>
      <c r="B1949" t="s">
        <v>2022</v>
      </c>
      <c r="C1949" t="s">
        <v>2023</v>
      </c>
      <c r="D1949" t="s">
        <v>2024</v>
      </c>
      <c r="E1949" t="s">
        <v>357</v>
      </c>
      <c r="F1949" t="s">
        <v>5624</v>
      </c>
      <c r="G1949">
        <v>1</v>
      </c>
      <c r="H1949">
        <v>1480</v>
      </c>
      <c r="I1949">
        <v>1</v>
      </c>
      <c r="J1949">
        <v>0.9</v>
      </c>
      <c r="K1949">
        <v>1</v>
      </c>
      <c r="L1949">
        <v>6.0000000000000001E-3</v>
      </c>
      <c r="M1949">
        <v>5</v>
      </c>
      <c r="N1949">
        <v>114</v>
      </c>
      <c r="O1949">
        <v>5</v>
      </c>
      <c r="P1949">
        <v>0.67500000000000004</v>
      </c>
      <c r="Q1949">
        <v>4</v>
      </c>
      <c r="R1949">
        <v>6.0000000000000001E-3</v>
      </c>
      <c r="T1949" t="s">
        <v>357</v>
      </c>
    </row>
    <row r="1950" spans="1:20" x14ac:dyDescent="0.2">
      <c r="A1950" t="s">
        <v>5625</v>
      </c>
      <c r="B1950" t="s">
        <v>2022</v>
      </c>
      <c r="C1950" t="s">
        <v>2053</v>
      </c>
      <c r="D1950" t="s">
        <v>2024</v>
      </c>
      <c r="E1950" t="s">
        <v>5626</v>
      </c>
      <c r="F1950" t="s">
        <v>447</v>
      </c>
      <c r="G1950">
        <v>2</v>
      </c>
      <c r="H1950">
        <v>1600</v>
      </c>
      <c r="I1950">
        <v>2</v>
      </c>
      <c r="J1950">
        <v>4.05</v>
      </c>
      <c r="K1950">
        <v>2</v>
      </c>
      <c r="L1950">
        <v>8.5000000000000006E-2</v>
      </c>
      <c r="M1950">
        <v>2</v>
      </c>
      <c r="N1950">
        <v>83</v>
      </c>
      <c r="O1950">
        <v>2</v>
      </c>
      <c r="P1950">
        <v>0.22500000000000001</v>
      </c>
      <c r="Q1950">
        <v>2</v>
      </c>
      <c r="R1950">
        <v>5.1999999999999998E-3</v>
      </c>
      <c r="T1950" t="s">
        <v>5626</v>
      </c>
    </row>
    <row r="1951" spans="1:20" x14ac:dyDescent="0.2">
      <c r="A1951" t="s">
        <v>5627</v>
      </c>
      <c r="B1951" t="s">
        <v>2022</v>
      </c>
      <c r="C1951" t="s">
        <v>2101</v>
      </c>
      <c r="D1951" t="s">
        <v>2024</v>
      </c>
      <c r="E1951" t="s">
        <v>5628</v>
      </c>
      <c r="F1951" t="s">
        <v>5629</v>
      </c>
      <c r="G1951">
        <v>3</v>
      </c>
      <c r="H1951">
        <v>1770</v>
      </c>
      <c r="I1951">
        <v>2</v>
      </c>
      <c r="J1951">
        <v>5</v>
      </c>
      <c r="K1951">
        <v>2</v>
      </c>
      <c r="L1951">
        <v>9.6500000000000002E-2</v>
      </c>
      <c r="M1951">
        <v>2</v>
      </c>
      <c r="N1951">
        <v>74</v>
      </c>
      <c r="O1951">
        <v>2</v>
      </c>
      <c r="P1951">
        <v>0.22500000000000001</v>
      </c>
      <c r="Q1951">
        <v>2</v>
      </c>
      <c r="R1951">
        <v>4.4999999999999997E-3</v>
      </c>
      <c r="T1951" t="s">
        <v>5628</v>
      </c>
    </row>
    <row r="1952" spans="1:20" x14ac:dyDescent="0.2">
      <c r="A1952" t="s">
        <v>5630</v>
      </c>
      <c r="B1952" t="s">
        <v>2022</v>
      </c>
      <c r="C1952" t="s">
        <v>2049</v>
      </c>
      <c r="D1952" t="s">
        <v>2024</v>
      </c>
      <c r="E1952" t="s">
        <v>5631</v>
      </c>
      <c r="F1952" t="s">
        <v>5632</v>
      </c>
      <c r="G1952">
        <v>4</v>
      </c>
      <c r="H1952">
        <v>1650</v>
      </c>
      <c r="I1952">
        <v>5</v>
      </c>
      <c r="J1952">
        <v>8.6</v>
      </c>
      <c r="K1952">
        <v>5</v>
      </c>
      <c r="L1952">
        <v>0.3</v>
      </c>
      <c r="M1952">
        <v>4</v>
      </c>
      <c r="N1952">
        <v>146</v>
      </c>
      <c r="O1952">
        <v>4</v>
      </c>
      <c r="P1952">
        <v>0.66</v>
      </c>
      <c r="Q1952">
        <v>5</v>
      </c>
      <c r="R1952">
        <v>3.32E-2</v>
      </c>
      <c r="T1952" t="s">
        <v>5631</v>
      </c>
    </row>
    <row r="1953" spans="1:20" x14ac:dyDescent="0.2">
      <c r="A1953" t="s">
        <v>5633</v>
      </c>
      <c r="B1953" t="s">
        <v>2022</v>
      </c>
      <c r="C1953" t="s">
        <v>2023</v>
      </c>
      <c r="D1953" t="s">
        <v>2024</v>
      </c>
      <c r="E1953" t="s">
        <v>5634</v>
      </c>
      <c r="F1953" t="s">
        <v>5635</v>
      </c>
      <c r="G1953">
        <v>5</v>
      </c>
      <c r="H1953">
        <v>1800</v>
      </c>
      <c r="I1953">
        <v>3</v>
      </c>
      <c r="J1953">
        <v>5.9</v>
      </c>
      <c r="K1953">
        <v>5</v>
      </c>
      <c r="L1953">
        <v>8.5999999999999993E-2</v>
      </c>
      <c r="M1953">
        <v>4</v>
      </c>
      <c r="N1953">
        <v>104</v>
      </c>
      <c r="O1953">
        <v>3</v>
      </c>
      <c r="P1953">
        <v>0.375</v>
      </c>
      <c r="Q1953">
        <v>3</v>
      </c>
      <c r="R1953">
        <v>4.0000000000000001E-3</v>
      </c>
      <c r="T1953" t="s">
        <v>5634</v>
      </c>
    </row>
    <row r="1954" spans="1:20" x14ac:dyDescent="0.2">
      <c r="A1954" t="s">
        <v>5636</v>
      </c>
      <c r="B1954" t="s">
        <v>2022</v>
      </c>
      <c r="C1954" t="s">
        <v>2036</v>
      </c>
      <c r="D1954" t="s">
        <v>2024</v>
      </c>
      <c r="E1954" t="s">
        <v>5637</v>
      </c>
      <c r="F1954" t="s">
        <v>5638</v>
      </c>
      <c r="G1954">
        <v>2</v>
      </c>
      <c r="H1954">
        <v>1640</v>
      </c>
      <c r="I1954">
        <v>2</v>
      </c>
      <c r="J1954">
        <v>3.4</v>
      </c>
      <c r="K1954">
        <v>2</v>
      </c>
      <c r="L1954">
        <v>8.5000000000000006E-2</v>
      </c>
      <c r="M1954">
        <v>3</v>
      </c>
      <c r="N1954">
        <v>88</v>
      </c>
      <c r="O1954">
        <v>2</v>
      </c>
      <c r="P1954">
        <v>0.20499999999999999</v>
      </c>
      <c r="Q1954">
        <v>2</v>
      </c>
      <c r="R1954">
        <v>4.2500000000000003E-3</v>
      </c>
      <c r="T1954" t="s">
        <v>5637</v>
      </c>
    </row>
    <row r="1955" spans="1:20" x14ac:dyDescent="0.2">
      <c r="A1955" t="s">
        <v>5639</v>
      </c>
      <c r="B1955" t="s">
        <v>2022</v>
      </c>
      <c r="C1955" t="s">
        <v>2023</v>
      </c>
      <c r="D1955" t="s">
        <v>2024</v>
      </c>
      <c r="E1955" t="s">
        <v>5640</v>
      </c>
      <c r="F1955" t="s">
        <v>5641</v>
      </c>
      <c r="G1955">
        <v>3</v>
      </c>
      <c r="H1955">
        <v>1640</v>
      </c>
      <c r="I1955">
        <v>5</v>
      </c>
      <c r="J1955">
        <v>10.9</v>
      </c>
      <c r="K1955">
        <v>5</v>
      </c>
      <c r="L1955">
        <v>8.5999999999999993E-2</v>
      </c>
      <c r="M1955">
        <v>2</v>
      </c>
      <c r="N1955">
        <v>84</v>
      </c>
      <c r="O1955">
        <v>4</v>
      </c>
      <c r="P1955">
        <v>0.52500000000000002</v>
      </c>
      <c r="Q1955">
        <v>4</v>
      </c>
      <c r="R1955">
        <v>6.0000000000000001E-3</v>
      </c>
      <c r="T1955" t="s">
        <v>5640</v>
      </c>
    </row>
    <row r="1956" spans="1:20" x14ac:dyDescent="0.2">
      <c r="A1956" t="s">
        <v>5642</v>
      </c>
      <c r="B1956" t="s">
        <v>2022</v>
      </c>
      <c r="C1956" t="s">
        <v>2023</v>
      </c>
      <c r="D1956" t="s">
        <v>2024</v>
      </c>
      <c r="E1956" t="s">
        <v>5643</v>
      </c>
      <c r="F1956" t="s">
        <v>5644</v>
      </c>
      <c r="G1956">
        <v>3</v>
      </c>
      <c r="H1956">
        <v>1640</v>
      </c>
      <c r="I1956">
        <v>3</v>
      </c>
      <c r="J1956">
        <v>5.9</v>
      </c>
      <c r="K1956">
        <v>4</v>
      </c>
      <c r="L1956">
        <v>6.6000000000000003E-2</v>
      </c>
      <c r="M1956">
        <v>2</v>
      </c>
      <c r="N1956">
        <v>84</v>
      </c>
      <c r="O1956">
        <v>2</v>
      </c>
      <c r="P1956">
        <v>0.22500000000000001</v>
      </c>
      <c r="Q1956">
        <v>2</v>
      </c>
      <c r="R1956">
        <v>2E-3</v>
      </c>
      <c r="T1956" t="s">
        <v>5643</v>
      </c>
    </row>
    <row r="1957" spans="1:20" x14ac:dyDescent="0.2">
      <c r="A1957" t="s">
        <v>5645</v>
      </c>
      <c r="B1957" t="s">
        <v>2022</v>
      </c>
      <c r="C1957" t="s">
        <v>2023</v>
      </c>
      <c r="D1957" t="s">
        <v>2024</v>
      </c>
      <c r="E1957" t="s">
        <v>5646</v>
      </c>
      <c r="F1957" t="s">
        <v>5647</v>
      </c>
      <c r="G1957">
        <v>3</v>
      </c>
      <c r="H1957">
        <v>1640</v>
      </c>
      <c r="I1957">
        <v>5</v>
      </c>
      <c r="J1957">
        <v>10.9</v>
      </c>
      <c r="K1957">
        <v>5</v>
      </c>
      <c r="L1957">
        <v>8.5999999999999993E-2</v>
      </c>
      <c r="M1957">
        <v>3</v>
      </c>
      <c r="N1957">
        <v>94</v>
      </c>
      <c r="O1957">
        <v>4</v>
      </c>
      <c r="P1957">
        <v>0.52500000000000002</v>
      </c>
      <c r="Q1957">
        <v>5</v>
      </c>
      <c r="R1957">
        <v>8.0000000000000002E-3</v>
      </c>
      <c r="T1957" t="s">
        <v>5646</v>
      </c>
    </row>
    <row r="1958" spans="1:20" x14ac:dyDescent="0.2">
      <c r="A1958" t="s">
        <v>5648</v>
      </c>
      <c r="B1958" t="s">
        <v>2022</v>
      </c>
      <c r="C1958" t="s">
        <v>2023</v>
      </c>
      <c r="D1958" t="s">
        <v>2024</v>
      </c>
      <c r="E1958" t="s">
        <v>5649</v>
      </c>
      <c r="F1958" t="s">
        <v>5650</v>
      </c>
      <c r="G1958">
        <v>3</v>
      </c>
      <c r="H1958">
        <v>1640</v>
      </c>
      <c r="I1958">
        <v>5</v>
      </c>
      <c r="J1958">
        <v>10.9</v>
      </c>
      <c r="K1958">
        <v>5</v>
      </c>
      <c r="L1958">
        <v>8.5999999999999993E-2</v>
      </c>
      <c r="M1958">
        <v>3</v>
      </c>
      <c r="N1958">
        <v>94</v>
      </c>
      <c r="O1958">
        <v>5</v>
      </c>
      <c r="P1958">
        <v>0.67500000000000004</v>
      </c>
      <c r="Q1958">
        <v>5</v>
      </c>
      <c r="R1958">
        <v>8.0000000000000002E-3</v>
      </c>
      <c r="T1958" t="s">
        <v>5649</v>
      </c>
    </row>
    <row r="1959" spans="1:20" x14ac:dyDescent="0.2">
      <c r="A1959" t="s">
        <v>5651</v>
      </c>
      <c r="B1959" t="s">
        <v>2022</v>
      </c>
      <c r="C1959" t="s">
        <v>2023</v>
      </c>
      <c r="D1959" t="s">
        <v>2024</v>
      </c>
      <c r="E1959" t="s">
        <v>5652</v>
      </c>
      <c r="F1959" t="s">
        <v>5653</v>
      </c>
      <c r="G1959">
        <v>3</v>
      </c>
      <c r="H1959">
        <v>1640</v>
      </c>
      <c r="I1959">
        <v>4</v>
      </c>
      <c r="J1959">
        <v>8.4</v>
      </c>
      <c r="K1959">
        <v>5</v>
      </c>
      <c r="L1959">
        <v>8.5999999999999993E-2</v>
      </c>
      <c r="M1959">
        <v>4</v>
      </c>
      <c r="N1959">
        <v>104</v>
      </c>
      <c r="O1959">
        <v>4</v>
      </c>
      <c r="P1959">
        <v>0.52500000000000002</v>
      </c>
      <c r="Q1959">
        <v>5</v>
      </c>
      <c r="R1959">
        <v>8.0000000000000002E-3</v>
      </c>
      <c r="T1959" t="s">
        <v>5652</v>
      </c>
    </row>
    <row r="1960" spans="1:20" x14ac:dyDescent="0.2">
      <c r="A1960" t="s">
        <v>5654</v>
      </c>
      <c r="B1960" t="s">
        <v>2022</v>
      </c>
      <c r="C1960" t="s">
        <v>2023</v>
      </c>
      <c r="D1960" t="s">
        <v>2024</v>
      </c>
      <c r="E1960" t="s">
        <v>357</v>
      </c>
      <c r="F1960" t="s">
        <v>5655</v>
      </c>
      <c r="G1960">
        <v>1</v>
      </c>
      <c r="H1960">
        <v>1480</v>
      </c>
      <c r="I1960">
        <v>1</v>
      </c>
      <c r="J1960">
        <v>0.9</v>
      </c>
      <c r="K1960">
        <v>1</v>
      </c>
      <c r="L1960">
        <v>6.0000000000000001E-3</v>
      </c>
      <c r="M1960">
        <v>5</v>
      </c>
      <c r="N1960">
        <v>114</v>
      </c>
      <c r="O1960">
        <v>5</v>
      </c>
      <c r="P1960">
        <v>0.67500000000000004</v>
      </c>
      <c r="Q1960">
        <v>5</v>
      </c>
      <c r="R1960">
        <v>8.0000000000000002E-3</v>
      </c>
      <c r="T1960" t="s">
        <v>357</v>
      </c>
    </row>
    <row r="1961" spans="1:20" x14ac:dyDescent="0.2">
      <c r="A1961" t="s">
        <v>5656</v>
      </c>
      <c r="B1961" t="s">
        <v>2022</v>
      </c>
      <c r="C1961" t="s">
        <v>2023</v>
      </c>
      <c r="D1961" t="s">
        <v>2024</v>
      </c>
      <c r="E1961" t="s">
        <v>357</v>
      </c>
      <c r="F1961" t="s">
        <v>5657</v>
      </c>
      <c r="G1961">
        <v>1</v>
      </c>
      <c r="H1961">
        <v>1480</v>
      </c>
      <c r="I1961">
        <v>1</v>
      </c>
      <c r="J1961">
        <v>0.9</v>
      </c>
      <c r="K1961">
        <v>1</v>
      </c>
      <c r="L1961">
        <v>6.0000000000000001E-3</v>
      </c>
      <c r="M1961">
        <v>5</v>
      </c>
      <c r="N1961">
        <v>114</v>
      </c>
      <c r="O1961">
        <v>5</v>
      </c>
      <c r="P1961">
        <v>0.67500000000000004</v>
      </c>
      <c r="Q1961">
        <v>5</v>
      </c>
      <c r="R1961">
        <v>8.0000000000000002E-3</v>
      </c>
      <c r="T1961" t="s">
        <v>357</v>
      </c>
    </row>
    <row r="1962" spans="1:20" x14ac:dyDescent="0.2">
      <c r="A1962" t="s">
        <v>5658</v>
      </c>
      <c r="B1962" t="s">
        <v>2022</v>
      </c>
      <c r="C1962" t="s">
        <v>2023</v>
      </c>
      <c r="D1962" t="s">
        <v>2024</v>
      </c>
      <c r="E1962" t="s">
        <v>5659</v>
      </c>
      <c r="F1962" t="s">
        <v>5660</v>
      </c>
      <c r="G1962">
        <v>1</v>
      </c>
      <c r="H1962">
        <v>1480</v>
      </c>
      <c r="I1962">
        <v>2</v>
      </c>
      <c r="J1962">
        <v>3.4</v>
      </c>
      <c r="K1962">
        <v>2</v>
      </c>
      <c r="L1962">
        <v>2.5999999999999999E-2</v>
      </c>
      <c r="M1962">
        <v>2</v>
      </c>
      <c r="N1962">
        <v>84</v>
      </c>
      <c r="O1962">
        <v>1</v>
      </c>
      <c r="P1962">
        <v>7.4999999999999997E-2</v>
      </c>
      <c r="Q1962">
        <v>2</v>
      </c>
      <c r="R1962">
        <v>2E-3</v>
      </c>
      <c r="T1962" t="s">
        <v>5659</v>
      </c>
    </row>
    <row r="1963" spans="1:20" x14ac:dyDescent="0.2">
      <c r="A1963" t="s">
        <v>5661</v>
      </c>
      <c r="B1963" t="s">
        <v>2022</v>
      </c>
      <c r="C1963" t="s">
        <v>2028</v>
      </c>
      <c r="D1963" t="s">
        <v>2024</v>
      </c>
      <c r="E1963" t="s">
        <v>5662</v>
      </c>
      <c r="F1963" t="s">
        <v>5663</v>
      </c>
      <c r="G1963">
        <v>3</v>
      </c>
      <c r="H1963">
        <v>1050</v>
      </c>
      <c r="I1963">
        <v>1</v>
      </c>
      <c r="J1963">
        <v>0.35</v>
      </c>
      <c r="K1963">
        <v>1</v>
      </c>
      <c r="L1963">
        <v>4.0000000000000001E-3</v>
      </c>
      <c r="M1963">
        <v>3</v>
      </c>
      <c r="N1963">
        <v>300</v>
      </c>
      <c r="O1963">
        <v>1</v>
      </c>
      <c r="P1963">
        <v>0.15</v>
      </c>
      <c r="Q1963">
        <v>1</v>
      </c>
      <c r="R1963">
        <v>1.75E-3</v>
      </c>
      <c r="T1963" t="s">
        <v>5662</v>
      </c>
    </row>
    <row r="1964" spans="1:20" x14ac:dyDescent="0.2">
      <c r="A1964" t="s">
        <v>5664</v>
      </c>
      <c r="B1964" t="s">
        <v>2022</v>
      </c>
      <c r="C1964" t="s">
        <v>2036</v>
      </c>
      <c r="D1964" t="s">
        <v>2024</v>
      </c>
      <c r="E1964" t="s">
        <v>5665</v>
      </c>
      <c r="F1964" t="s">
        <v>5666</v>
      </c>
      <c r="G1964">
        <v>3</v>
      </c>
      <c r="H1964">
        <v>1740</v>
      </c>
      <c r="I1964">
        <v>5</v>
      </c>
      <c r="J1964">
        <v>7</v>
      </c>
      <c r="K1964">
        <v>5</v>
      </c>
      <c r="L1964">
        <v>0.17499999999999999</v>
      </c>
      <c r="M1964">
        <v>3</v>
      </c>
      <c r="N1964">
        <v>88</v>
      </c>
      <c r="O1964">
        <v>5</v>
      </c>
      <c r="P1964">
        <v>0.53500000000000003</v>
      </c>
      <c r="Q1964">
        <v>5</v>
      </c>
      <c r="R1964">
        <v>1.2E-2</v>
      </c>
      <c r="T1964" t="s">
        <v>5665</v>
      </c>
    </row>
    <row r="1965" spans="1:20" x14ac:dyDescent="0.2">
      <c r="A1965" t="s">
        <v>5667</v>
      </c>
      <c r="B1965" t="s">
        <v>2022</v>
      </c>
      <c r="C1965" t="s">
        <v>2053</v>
      </c>
      <c r="D1965" t="s">
        <v>2136</v>
      </c>
      <c r="E1965" t="s">
        <v>5668</v>
      </c>
      <c r="F1965" t="s">
        <v>5669</v>
      </c>
      <c r="G1965">
        <v>1</v>
      </c>
      <c r="H1965">
        <v>1500</v>
      </c>
      <c r="I1965">
        <v>1</v>
      </c>
      <c r="J1965">
        <v>1.55</v>
      </c>
      <c r="K1965">
        <v>1</v>
      </c>
      <c r="L1965">
        <v>1.4999999999999999E-2</v>
      </c>
      <c r="M1965">
        <v>5</v>
      </c>
      <c r="N1965">
        <v>113</v>
      </c>
      <c r="O1965">
        <v>2</v>
      </c>
      <c r="P1965">
        <v>0.22500000000000001</v>
      </c>
      <c r="Q1965">
        <v>2</v>
      </c>
      <c r="R1965">
        <v>5.1999999999999998E-3</v>
      </c>
      <c r="T1965" t="s">
        <v>5668</v>
      </c>
    </row>
    <row r="1966" spans="1:20" x14ac:dyDescent="0.2">
      <c r="A1966" t="s">
        <v>5670</v>
      </c>
      <c r="B1966" t="s">
        <v>2022</v>
      </c>
      <c r="C1966" t="s">
        <v>2023</v>
      </c>
      <c r="D1966" t="s">
        <v>2024</v>
      </c>
      <c r="E1966" t="s">
        <v>5671</v>
      </c>
      <c r="F1966" t="s">
        <v>5672</v>
      </c>
      <c r="G1966">
        <v>4</v>
      </c>
      <c r="H1966">
        <v>1720</v>
      </c>
      <c r="I1966">
        <v>1</v>
      </c>
      <c r="J1966">
        <v>0.9</v>
      </c>
      <c r="K1966">
        <v>2</v>
      </c>
      <c r="L1966">
        <v>2.5999999999999999E-2</v>
      </c>
      <c r="M1966">
        <v>5</v>
      </c>
      <c r="N1966">
        <v>114</v>
      </c>
      <c r="O1966">
        <v>2</v>
      </c>
      <c r="P1966">
        <v>0.22500000000000001</v>
      </c>
      <c r="Q1966">
        <v>2</v>
      </c>
      <c r="R1966">
        <v>2E-3</v>
      </c>
      <c r="T1966" t="s">
        <v>5671</v>
      </c>
    </row>
    <row r="1967" spans="1:20" x14ac:dyDescent="0.2">
      <c r="A1967" t="s">
        <v>5673</v>
      </c>
      <c r="B1967" t="s">
        <v>2022</v>
      </c>
      <c r="C1967" t="s">
        <v>2036</v>
      </c>
      <c r="D1967" t="s">
        <v>2024</v>
      </c>
      <c r="E1967" t="s">
        <v>5674</v>
      </c>
      <c r="F1967" t="s">
        <v>5675</v>
      </c>
      <c r="G1967">
        <v>2</v>
      </c>
      <c r="H1967">
        <v>1640</v>
      </c>
      <c r="I1967">
        <v>5</v>
      </c>
      <c r="J1967">
        <v>7</v>
      </c>
      <c r="K1967">
        <v>5</v>
      </c>
      <c r="L1967">
        <v>0.17499999999999999</v>
      </c>
      <c r="M1967">
        <v>1</v>
      </c>
      <c r="N1967">
        <v>76</v>
      </c>
      <c r="O1967">
        <v>3</v>
      </c>
      <c r="P1967">
        <v>0.315</v>
      </c>
      <c r="Q1967">
        <v>4</v>
      </c>
      <c r="R1967">
        <v>9.2499999999999995E-3</v>
      </c>
      <c r="T1967" t="s">
        <v>5674</v>
      </c>
    </row>
    <row r="1968" spans="1:20" x14ac:dyDescent="0.2">
      <c r="A1968" t="s">
        <v>5676</v>
      </c>
      <c r="B1968" t="s">
        <v>2022</v>
      </c>
      <c r="C1968" t="s">
        <v>2036</v>
      </c>
      <c r="D1968" t="s">
        <v>2024</v>
      </c>
      <c r="E1968" t="s">
        <v>5677</v>
      </c>
      <c r="F1968" t="s">
        <v>5678</v>
      </c>
      <c r="G1968">
        <v>1</v>
      </c>
      <c r="H1968">
        <v>1540</v>
      </c>
      <c r="I1968">
        <v>1</v>
      </c>
      <c r="J1968">
        <v>2.2000000000000002</v>
      </c>
      <c r="K1968">
        <v>1</v>
      </c>
      <c r="L1968">
        <v>5.5E-2</v>
      </c>
      <c r="M1968">
        <v>1</v>
      </c>
      <c r="N1968">
        <v>76</v>
      </c>
      <c r="O1968">
        <v>1</v>
      </c>
      <c r="P1968">
        <v>9.5000000000000001E-2</v>
      </c>
      <c r="Q1968">
        <v>1</v>
      </c>
      <c r="R1968">
        <v>1.5E-3</v>
      </c>
      <c r="T1968" t="s">
        <v>5677</v>
      </c>
    </row>
    <row r="1969" spans="1:20" x14ac:dyDescent="0.2">
      <c r="A1969" t="s">
        <v>5679</v>
      </c>
      <c r="B1969" t="s">
        <v>2022</v>
      </c>
      <c r="C1969" t="s">
        <v>2036</v>
      </c>
      <c r="D1969" t="s">
        <v>2136</v>
      </c>
      <c r="E1969" t="s">
        <v>5680</v>
      </c>
      <c r="F1969" t="s">
        <v>5681</v>
      </c>
      <c r="G1969">
        <v>2</v>
      </c>
      <c r="H1969">
        <v>1640</v>
      </c>
      <c r="I1969">
        <v>2</v>
      </c>
      <c r="J1969">
        <v>3.4</v>
      </c>
      <c r="K1969">
        <v>4</v>
      </c>
      <c r="L1969">
        <v>0.14499999999999999</v>
      </c>
      <c r="M1969">
        <v>2</v>
      </c>
      <c r="N1969">
        <v>82</v>
      </c>
      <c r="O1969">
        <v>2</v>
      </c>
      <c r="P1969">
        <v>0.20499999999999999</v>
      </c>
      <c r="Q1969">
        <v>3</v>
      </c>
      <c r="R1969">
        <v>6.7499999999999999E-3</v>
      </c>
      <c r="T1969" t="s">
        <v>5680</v>
      </c>
    </row>
    <row r="1970" spans="1:20" x14ac:dyDescent="0.2">
      <c r="A1970" t="s">
        <v>5682</v>
      </c>
      <c r="B1970" t="s">
        <v>2022</v>
      </c>
      <c r="C1970" t="s">
        <v>2036</v>
      </c>
      <c r="D1970" t="s">
        <v>2024</v>
      </c>
      <c r="E1970" t="s">
        <v>5683</v>
      </c>
      <c r="F1970" t="s">
        <v>5684</v>
      </c>
      <c r="G1970">
        <v>2</v>
      </c>
      <c r="H1970">
        <v>1640</v>
      </c>
      <c r="I1970">
        <v>1</v>
      </c>
      <c r="J1970">
        <v>2.2000000000000002</v>
      </c>
      <c r="K1970">
        <v>2</v>
      </c>
      <c r="L1970">
        <v>8.5000000000000006E-2</v>
      </c>
      <c r="M1970">
        <v>2</v>
      </c>
      <c r="N1970">
        <v>82</v>
      </c>
      <c r="O1970">
        <v>1</v>
      </c>
      <c r="P1970">
        <v>9.5000000000000001E-2</v>
      </c>
      <c r="Q1970">
        <v>2</v>
      </c>
      <c r="R1970">
        <v>4.2500000000000003E-3</v>
      </c>
      <c r="T1970" t="s">
        <v>5683</v>
      </c>
    </row>
    <row r="1971" spans="1:20" x14ac:dyDescent="0.2">
      <c r="A1971" t="s">
        <v>5685</v>
      </c>
      <c r="B1971" t="s">
        <v>2022</v>
      </c>
      <c r="C1971" t="s">
        <v>2036</v>
      </c>
      <c r="D1971" t="s">
        <v>2024</v>
      </c>
      <c r="E1971" t="s">
        <v>5686</v>
      </c>
      <c r="F1971" t="s">
        <v>5687</v>
      </c>
      <c r="G1971">
        <v>3</v>
      </c>
      <c r="H1971">
        <v>1740</v>
      </c>
      <c r="I1971">
        <v>2</v>
      </c>
      <c r="J1971">
        <v>3.4</v>
      </c>
      <c r="K1971">
        <v>1</v>
      </c>
      <c r="L1971">
        <v>5.5E-2</v>
      </c>
      <c r="M1971">
        <v>3</v>
      </c>
      <c r="N1971">
        <v>88</v>
      </c>
      <c r="O1971">
        <v>1</v>
      </c>
      <c r="P1971">
        <v>9.5000000000000001E-2</v>
      </c>
      <c r="Q1971">
        <v>1</v>
      </c>
      <c r="R1971">
        <v>1.5E-3</v>
      </c>
      <c r="T1971" t="s">
        <v>5686</v>
      </c>
    </row>
    <row r="1972" spans="1:20" x14ac:dyDescent="0.2">
      <c r="A1972" t="s">
        <v>5688</v>
      </c>
      <c r="B1972" t="s">
        <v>2022</v>
      </c>
      <c r="C1972" t="s">
        <v>2101</v>
      </c>
      <c r="D1972" t="s">
        <v>2024</v>
      </c>
      <c r="E1972" t="s">
        <v>5689</v>
      </c>
      <c r="F1972" t="s">
        <v>447</v>
      </c>
      <c r="G1972">
        <v>2</v>
      </c>
      <c r="H1972">
        <v>1670</v>
      </c>
      <c r="I1972">
        <v>2</v>
      </c>
      <c r="J1972">
        <v>5</v>
      </c>
      <c r="K1972">
        <v>2</v>
      </c>
      <c r="L1972">
        <v>9.6500000000000002E-2</v>
      </c>
      <c r="M1972">
        <v>1</v>
      </c>
      <c r="N1972">
        <v>66</v>
      </c>
      <c r="O1972">
        <v>2</v>
      </c>
      <c r="P1972">
        <v>0.22500000000000001</v>
      </c>
      <c r="Q1972">
        <v>2</v>
      </c>
      <c r="R1972">
        <v>4.4999999999999997E-3</v>
      </c>
      <c r="T1972" t="s">
        <v>5689</v>
      </c>
    </row>
    <row r="1973" spans="1:20" x14ac:dyDescent="0.2">
      <c r="A1973" t="s">
        <v>5690</v>
      </c>
      <c r="B1973" t="s">
        <v>2022</v>
      </c>
      <c r="C1973" t="s">
        <v>2036</v>
      </c>
      <c r="D1973" t="s">
        <v>2024</v>
      </c>
      <c r="E1973" t="s">
        <v>5691</v>
      </c>
      <c r="F1973" t="s">
        <v>447</v>
      </c>
      <c r="G1973">
        <v>2</v>
      </c>
      <c r="H1973">
        <v>1640</v>
      </c>
      <c r="I1973">
        <v>3</v>
      </c>
      <c r="J1973">
        <v>4.5999999999999996</v>
      </c>
      <c r="K1973">
        <v>4</v>
      </c>
      <c r="L1973">
        <v>0.14499999999999999</v>
      </c>
      <c r="M1973">
        <v>5</v>
      </c>
      <c r="N1973">
        <v>100</v>
      </c>
      <c r="O1973">
        <v>4</v>
      </c>
      <c r="P1973">
        <v>0.42499999999999999</v>
      </c>
      <c r="Q1973">
        <v>5</v>
      </c>
      <c r="R1973">
        <v>1.2E-2</v>
      </c>
      <c r="T1973" t="s">
        <v>5691</v>
      </c>
    </row>
    <row r="1974" spans="1:20" x14ac:dyDescent="0.2">
      <c r="A1974" t="s">
        <v>5692</v>
      </c>
      <c r="B1974" t="s">
        <v>2022</v>
      </c>
      <c r="C1974" t="s">
        <v>2023</v>
      </c>
      <c r="D1974" t="s">
        <v>2024</v>
      </c>
      <c r="E1974" t="s">
        <v>5693</v>
      </c>
      <c r="F1974" t="s">
        <v>447</v>
      </c>
      <c r="G1974">
        <v>5</v>
      </c>
      <c r="H1974">
        <v>1800</v>
      </c>
      <c r="I1974">
        <v>2</v>
      </c>
      <c r="J1974">
        <v>3.4</v>
      </c>
      <c r="K1974">
        <v>5</v>
      </c>
      <c r="L1974">
        <v>8.5999999999999993E-2</v>
      </c>
      <c r="M1974">
        <v>2</v>
      </c>
      <c r="N1974">
        <v>84</v>
      </c>
      <c r="O1974">
        <v>2</v>
      </c>
      <c r="P1974">
        <v>0.22500000000000001</v>
      </c>
      <c r="Q1974">
        <v>4</v>
      </c>
      <c r="R1974">
        <v>6.0000000000000001E-3</v>
      </c>
      <c r="T1974" t="s">
        <v>5693</v>
      </c>
    </row>
    <row r="1975" spans="1:20" x14ac:dyDescent="0.2">
      <c r="A1975" t="s">
        <v>5694</v>
      </c>
      <c r="B1975" t="s">
        <v>2022</v>
      </c>
      <c r="C1975" t="s">
        <v>2049</v>
      </c>
      <c r="D1975" t="s">
        <v>2154</v>
      </c>
      <c r="E1975" t="s">
        <v>357</v>
      </c>
      <c r="F1975" t="s">
        <v>5695</v>
      </c>
      <c r="G1975">
        <v>1</v>
      </c>
      <c r="H1975">
        <v>1350</v>
      </c>
      <c r="I1975">
        <v>4</v>
      </c>
      <c r="J1975">
        <v>6.8</v>
      </c>
      <c r="K1975">
        <v>5</v>
      </c>
      <c r="L1975">
        <v>0.3</v>
      </c>
      <c r="M1975">
        <v>5</v>
      </c>
      <c r="N1975">
        <v>166</v>
      </c>
      <c r="O1975">
        <v>5</v>
      </c>
      <c r="P1975">
        <v>0.86</v>
      </c>
      <c r="Q1975">
        <v>5</v>
      </c>
      <c r="R1975">
        <v>3.32E-2</v>
      </c>
      <c r="T1975" t="s">
        <v>357</v>
      </c>
    </row>
    <row r="1976" spans="1:20" x14ac:dyDescent="0.2">
      <c r="A1976" t="s">
        <v>5696</v>
      </c>
      <c r="B1976" t="s">
        <v>2022</v>
      </c>
      <c r="C1976" t="s">
        <v>2049</v>
      </c>
      <c r="D1976" t="s">
        <v>2154</v>
      </c>
      <c r="E1976" t="s">
        <v>357</v>
      </c>
      <c r="F1976" t="s">
        <v>5695</v>
      </c>
      <c r="G1976">
        <v>1</v>
      </c>
      <c r="H1976">
        <v>1350</v>
      </c>
      <c r="I1976">
        <v>1</v>
      </c>
      <c r="J1976">
        <v>1.4</v>
      </c>
      <c r="K1976">
        <v>1</v>
      </c>
      <c r="L1976">
        <v>0.01</v>
      </c>
      <c r="M1976">
        <v>5</v>
      </c>
      <c r="N1976">
        <v>166</v>
      </c>
      <c r="O1976">
        <v>4</v>
      </c>
      <c r="P1976">
        <v>0.66</v>
      </c>
      <c r="Q1976">
        <v>2</v>
      </c>
      <c r="R1976">
        <v>6.1999999999999998E-3</v>
      </c>
      <c r="T1976" t="s">
        <v>357</v>
      </c>
    </row>
    <row r="1977" spans="1:20" x14ac:dyDescent="0.2">
      <c r="A1977" t="s">
        <v>5697</v>
      </c>
      <c r="B1977" t="s">
        <v>2022</v>
      </c>
      <c r="C1977" t="s">
        <v>2023</v>
      </c>
      <c r="D1977" t="s">
        <v>2024</v>
      </c>
      <c r="E1977" t="s">
        <v>5698</v>
      </c>
      <c r="F1977" t="s">
        <v>5699</v>
      </c>
      <c r="G1977">
        <v>1</v>
      </c>
      <c r="H1977">
        <v>1480</v>
      </c>
      <c r="I1977">
        <v>2</v>
      </c>
      <c r="J1977">
        <v>3.4</v>
      </c>
      <c r="K1977">
        <v>2</v>
      </c>
      <c r="L1977">
        <v>2.5999999999999999E-2</v>
      </c>
      <c r="M1977">
        <v>2</v>
      </c>
      <c r="N1977">
        <v>84</v>
      </c>
      <c r="O1977">
        <v>2</v>
      </c>
      <c r="P1977">
        <v>0.22500000000000001</v>
      </c>
      <c r="Q1977">
        <v>2</v>
      </c>
      <c r="R1977">
        <v>2E-3</v>
      </c>
      <c r="T1977" t="s">
        <v>5698</v>
      </c>
    </row>
    <row r="1978" spans="1:20" x14ac:dyDescent="0.2">
      <c r="A1978" t="s">
        <v>5700</v>
      </c>
      <c r="B1978" t="s">
        <v>2022</v>
      </c>
      <c r="C1978" t="s">
        <v>2095</v>
      </c>
      <c r="D1978" t="s">
        <v>2024</v>
      </c>
      <c r="E1978" t="s">
        <v>5701</v>
      </c>
      <c r="F1978" t="s">
        <v>447</v>
      </c>
      <c r="G1978">
        <v>3</v>
      </c>
      <c r="H1978">
        <v>1745</v>
      </c>
      <c r="I1978">
        <v>2</v>
      </c>
      <c r="J1978">
        <v>7.5</v>
      </c>
      <c r="K1978">
        <v>2</v>
      </c>
      <c r="L1978">
        <v>0.13</v>
      </c>
      <c r="M1978">
        <v>2</v>
      </c>
      <c r="N1978">
        <v>80</v>
      </c>
      <c r="O1978">
        <v>2</v>
      </c>
      <c r="P1978">
        <v>0.35</v>
      </c>
      <c r="Q1978">
        <v>2</v>
      </c>
      <c r="R1978">
        <v>5.8999999999999999E-3</v>
      </c>
      <c r="T1978" t="s">
        <v>5701</v>
      </c>
    </row>
    <row r="1979" spans="1:20" x14ac:dyDescent="0.2">
      <c r="A1979" t="s">
        <v>5702</v>
      </c>
      <c r="B1979" t="s">
        <v>2022</v>
      </c>
      <c r="C1979" t="s">
        <v>2036</v>
      </c>
      <c r="D1979" t="s">
        <v>2024</v>
      </c>
      <c r="E1979" t="s">
        <v>5703</v>
      </c>
      <c r="F1979" t="s">
        <v>5704</v>
      </c>
      <c r="G1979">
        <v>1</v>
      </c>
      <c r="H1979">
        <v>1540</v>
      </c>
      <c r="I1979">
        <v>1</v>
      </c>
      <c r="J1979">
        <v>2.2000000000000002</v>
      </c>
      <c r="K1979">
        <v>1</v>
      </c>
      <c r="L1979">
        <v>5.5E-2</v>
      </c>
      <c r="M1979">
        <v>1</v>
      </c>
      <c r="N1979">
        <v>76</v>
      </c>
      <c r="O1979">
        <v>1</v>
      </c>
      <c r="P1979">
        <v>9.5000000000000001E-2</v>
      </c>
      <c r="Q1979">
        <v>1</v>
      </c>
      <c r="R1979">
        <v>1.5E-3</v>
      </c>
      <c r="T1979" t="s">
        <v>5703</v>
      </c>
    </row>
    <row r="1980" spans="1:20" x14ac:dyDescent="0.2">
      <c r="A1980" t="s">
        <v>5705</v>
      </c>
      <c r="B1980" t="s">
        <v>2022</v>
      </c>
      <c r="C1980" t="s">
        <v>2053</v>
      </c>
      <c r="D1980" t="s">
        <v>2024</v>
      </c>
      <c r="E1980" t="s">
        <v>5706</v>
      </c>
      <c r="F1980" t="s">
        <v>447</v>
      </c>
      <c r="G1980">
        <v>3</v>
      </c>
      <c r="H1980">
        <v>1700</v>
      </c>
      <c r="I1980">
        <v>3</v>
      </c>
      <c r="J1980">
        <v>6.55</v>
      </c>
      <c r="K1980">
        <v>3</v>
      </c>
      <c r="L1980">
        <v>0.19500000000000001</v>
      </c>
      <c r="M1980">
        <v>2</v>
      </c>
      <c r="N1980">
        <v>83</v>
      </c>
      <c r="O1980">
        <v>2</v>
      </c>
      <c r="P1980">
        <v>0.22500000000000001</v>
      </c>
      <c r="Q1980">
        <v>3</v>
      </c>
      <c r="R1980">
        <v>1.2200000000000001E-2</v>
      </c>
      <c r="T1980" t="s">
        <v>5706</v>
      </c>
    </row>
    <row r="1981" spans="1:20" x14ac:dyDescent="0.2">
      <c r="A1981" t="s">
        <v>5707</v>
      </c>
      <c r="B1981" t="s">
        <v>2022</v>
      </c>
      <c r="C1981" t="s">
        <v>2023</v>
      </c>
      <c r="D1981" t="s">
        <v>2024</v>
      </c>
      <c r="E1981" t="s">
        <v>5708</v>
      </c>
      <c r="F1981" t="s">
        <v>5709</v>
      </c>
      <c r="G1981">
        <v>2</v>
      </c>
      <c r="H1981">
        <v>1560</v>
      </c>
      <c r="I1981">
        <v>1</v>
      </c>
      <c r="J1981">
        <v>0.9</v>
      </c>
      <c r="K1981">
        <v>2</v>
      </c>
      <c r="L1981">
        <v>2.5999999999999999E-2</v>
      </c>
      <c r="M1981">
        <v>2</v>
      </c>
      <c r="N1981">
        <v>84</v>
      </c>
      <c r="O1981">
        <v>1</v>
      </c>
      <c r="P1981">
        <v>7.4999999999999997E-2</v>
      </c>
      <c r="Q1981">
        <v>2</v>
      </c>
      <c r="R1981">
        <v>2E-3</v>
      </c>
      <c r="T1981" t="s">
        <v>5708</v>
      </c>
    </row>
    <row r="1982" spans="1:20" x14ac:dyDescent="0.2">
      <c r="A1982" t="s">
        <v>5710</v>
      </c>
      <c r="B1982" t="s">
        <v>2022</v>
      </c>
      <c r="C1982" t="s">
        <v>2023</v>
      </c>
      <c r="D1982" t="s">
        <v>2024</v>
      </c>
      <c r="E1982" t="s">
        <v>5711</v>
      </c>
      <c r="F1982" t="s">
        <v>5712</v>
      </c>
      <c r="G1982">
        <v>4</v>
      </c>
      <c r="H1982">
        <v>1720</v>
      </c>
      <c r="I1982">
        <v>5</v>
      </c>
      <c r="J1982">
        <v>10.9</v>
      </c>
      <c r="K1982">
        <v>5</v>
      </c>
      <c r="L1982">
        <v>8.5999999999999993E-2</v>
      </c>
      <c r="M1982">
        <v>3</v>
      </c>
      <c r="N1982">
        <v>94</v>
      </c>
      <c r="O1982">
        <v>4</v>
      </c>
      <c r="P1982">
        <v>0.52500000000000002</v>
      </c>
      <c r="Q1982">
        <v>5</v>
      </c>
      <c r="R1982">
        <v>8.0000000000000002E-3</v>
      </c>
      <c r="T1982" t="s">
        <v>5711</v>
      </c>
    </row>
    <row r="1983" spans="1:20" x14ac:dyDescent="0.2">
      <c r="A1983" t="s">
        <v>5713</v>
      </c>
      <c r="B1983" t="s">
        <v>2022</v>
      </c>
      <c r="C1983" t="s">
        <v>2173</v>
      </c>
      <c r="D1983" t="s">
        <v>2024</v>
      </c>
      <c r="E1983" t="s">
        <v>5714</v>
      </c>
      <c r="F1983" t="s">
        <v>447</v>
      </c>
      <c r="G1983">
        <v>3</v>
      </c>
      <c r="H1983">
        <v>2032.5</v>
      </c>
      <c r="I1983">
        <v>3</v>
      </c>
      <c r="J1983">
        <v>9.0500000000000007</v>
      </c>
      <c r="K1983">
        <v>3</v>
      </c>
      <c r="L1983">
        <v>0.21</v>
      </c>
      <c r="M1983">
        <v>5</v>
      </c>
      <c r="N1983">
        <v>140.5</v>
      </c>
      <c r="O1983">
        <v>3</v>
      </c>
      <c r="P1983">
        <v>0.51</v>
      </c>
      <c r="Q1983">
        <v>3</v>
      </c>
      <c r="R1983">
        <v>1.18E-2</v>
      </c>
      <c r="T1983" t="s">
        <v>5714</v>
      </c>
    </row>
    <row r="1984" spans="1:20" x14ac:dyDescent="0.2">
      <c r="A1984" t="s">
        <v>5715</v>
      </c>
      <c r="B1984" t="s">
        <v>2022</v>
      </c>
      <c r="C1984" t="s">
        <v>2104</v>
      </c>
      <c r="D1984" t="s">
        <v>2024</v>
      </c>
      <c r="E1984" t="s">
        <v>5716</v>
      </c>
      <c r="F1984" t="s">
        <v>5717</v>
      </c>
      <c r="G1984">
        <v>4</v>
      </c>
      <c r="H1984">
        <v>2062.5</v>
      </c>
      <c r="I1984">
        <v>2</v>
      </c>
      <c r="J1984">
        <v>3.25</v>
      </c>
      <c r="K1984">
        <v>3</v>
      </c>
      <c r="L1984">
        <v>9.0999999999999998E-2</v>
      </c>
      <c r="M1984">
        <v>5</v>
      </c>
      <c r="N1984">
        <v>89</v>
      </c>
      <c r="P1984">
        <v>0</v>
      </c>
      <c r="Q1984">
        <v>2</v>
      </c>
      <c r="R1984">
        <v>3.2000000000000002E-3</v>
      </c>
      <c r="T1984" t="s">
        <v>5716</v>
      </c>
    </row>
    <row r="1985" spans="1:20" x14ac:dyDescent="0.2">
      <c r="A1985" t="s">
        <v>5718</v>
      </c>
      <c r="B1985" t="s">
        <v>2022</v>
      </c>
      <c r="C1985" t="s">
        <v>2053</v>
      </c>
      <c r="D1985" t="s">
        <v>2024</v>
      </c>
      <c r="E1985" t="s">
        <v>5719</v>
      </c>
      <c r="F1985" t="s">
        <v>5720</v>
      </c>
      <c r="G1985">
        <v>3</v>
      </c>
      <c r="H1985">
        <v>1700</v>
      </c>
      <c r="I1985">
        <v>3</v>
      </c>
      <c r="J1985">
        <v>6.55</v>
      </c>
      <c r="K1985">
        <v>2</v>
      </c>
      <c r="L1985">
        <v>8.5000000000000006E-2</v>
      </c>
      <c r="M1985">
        <v>2</v>
      </c>
      <c r="N1985">
        <v>83</v>
      </c>
      <c r="O1985">
        <v>2</v>
      </c>
      <c r="P1985">
        <v>0.22500000000000001</v>
      </c>
      <c r="Q1985">
        <v>2</v>
      </c>
      <c r="R1985">
        <v>5.1999999999999998E-3</v>
      </c>
      <c r="T1985" t="s">
        <v>5719</v>
      </c>
    </row>
    <row r="1986" spans="1:20" x14ac:dyDescent="0.2">
      <c r="A1986" t="s">
        <v>5721</v>
      </c>
      <c r="B1986" t="s">
        <v>2022</v>
      </c>
      <c r="C1986" t="s">
        <v>2101</v>
      </c>
      <c r="D1986" t="s">
        <v>2024</v>
      </c>
      <c r="E1986" t="s">
        <v>5722</v>
      </c>
      <c r="F1986" t="s">
        <v>5723</v>
      </c>
      <c r="G1986">
        <v>1</v>
      </c>
      <c r="H1986">
        <v>1570</v>
      </c>
      <c r="I1986">
        <v>1</v>
      </c>
      <c r="J1986">
        <v>2</v>
      </c>
      <c r="K1986">
        <v>1</v>
      </c>
      <c r="L1986">
        <v>1.15E-2</v>
      </c>
      <c r="M1986">
        <v>2</v>
      </c>
      <c r="N1986">
        <v>74</v>
      </c>
      <c r="O1986">
        <v>1</v>
      </c>
      <c r="P1986">
        <v>7.4999999999999997E-2</v>
      </c>
      <c r="Q1986">
        <v>1</v>
      </c>
      <c r="R1986">
        <v>5.0000000000000001E-4</v>
      </c>
      <c r="T1986" t="s">
        <v>5722</v>
      </c>
    </row>
    <row r="1987" spans="1:20" x14ac:dyDescent="0.2">
      <c r="A1987" t="s">
        <v>5724</v>
      </c>
      <c r="B1987" t="s">
        <v>2022</v>
      </c>
      <c r="C1987" t="s">
        <v>2053</v>
      </c>
      <c r="D1987" t="s">
        <v>2024</v>
      </c>
      <c r="E1987" t="s">
        <v>5725</v>
      </c>
      <c r="F1987" t="s">
        <v>5726</v>
      </c>
      <c r="G1987">
        <v>2</v>
      </c>
      <c r="H1987">
        <v>1600</v>
      </c>
      <c r="I1987">
        <v>2</v>
      </c>
      <c r="J1987">
        <v>4.05</v>
      </c>
      <c r="K1987">
        <v>2</v>
      </c>
      <c r="L1987">
        <v>8.5000000000000006E-2</v>
      </c>
      <c r="M1987">
        <v>1</v>
      </c>
      <c r="N1987">
        <v>73</v>
      </c>
      <c r="O1987">
        <v>1</v>
      </c>
      <c r="P1987">
        <v>7.4999999999999997E-2</v>
      </c>
      <c r="Q1987">
        <v>2</v>
      </c>
      <c r="R1987">
        <v>5.1999999999999998E-3</v>
      </c>
      <c r="T1987" t="s">
        <v>5725</v>
      </c>
    </row>
    <row r="1988" spans="1:20" x14ac:dyDescent="0.2">
      <c r="A1988" t="s">
        <v>5727</v>
      </c>
      <c r="B1988" t="s">
        <v>2022</v>
      </c>
      <c r="C1988" t="s">
        <v>2023</v>
      </c>
      <c r="D1988" t="s">
        <v>2024</v>
      </c>
      <c r="E1988" t="s">
        <v>5728</v>
      </c>
      <c r="F1988" t="s">
        <v>5729</v>
      </c>
      <c r="G1988">
        <v>1</v>
      </c>
      <c r="H1988">
        <v>1480</v>
      </c>
      <c r="I1988">
        <v>3</v>
      </c>
      <c r="J1988">
        <v>5.9</v>
      </c>
      <c r="K1988">
        <v>2</v>
      </c>
      <c r="L1988">
        <v>2.5999999999999999E-2</v>
      </c>
      <c r="M1988">
        <v>5</v>
      </c>
      <c r="N1988">
        <v>114</v>
      </c>
      <c r="O1988">
        <v>5</v>
      </c>
      <c r="P1988">
        <v>0.67500000000000004</v>
      </c>
      <c r="Q1988">
        <v>3</v>
      </c>
      <c r="R1988">
        <v>4.0000000000000001E-3</v>
      </c>
      <c r="T1988" t="s">
        <v>5728</v>
      </c>
    </row>
    <row r="1989" spans="1:20" x14ac:dyDescent="0.2">
      <c r="A1989" t="s">
        <v>5730</v>
      </c>
      <c r="B1989" t="s">
        <v>2022</v>
      </c>
      <c r="C1989" t="s">
        <v>2036</v>
      </c>
      <c r="D1989" t="s">
        <v>2024</v>
      </c>
      <c r="E1989" t="s">
        <v>5731</v>
      </c>
      <c r="F1989" t="s">
        <v>5732</v>
      </c>
      <c r="G1989">
        <v>1</v>
      </c>
      <c r="H1989">
        <v>1540</v>
      </c>
      <c r="I1989">
        <v>1</v>
      </c>
      <c r="J1989">
        <v>2.2000000000000002</v>
      </c>
      <c r="K1989">
        <v>2</v>
      </c>
      <c r="L1989">
        <v>8.5000000000000006E-2</v>
      </c>
      <c r="M1989">
        <v>2</v>
      </c>
      <c r="N1989">
        <v>82</v>
      </c>
      <c r="O1989">
        <v>1</v>
      </c>
      <c r="P1989">
        <v>9.5000000000000001E-2</v>
      </c>
      <c r="Q1989">
        <v>2</v>
      </c>
      <c r="R1989">
        <v>4.2500000000000003E-3</v>
      </c>
      <c r="T1989" t="s">
        <v>5731</v>
      </c>
    </row>
    <row r="1990" spans="1:20" x14ac:dyDescent="0.2">
      <c r="A1990" t="s">
        <v>5733</v>
      </c>
      <c r="B1990" t="s">
        <v>2022</v>
      </c>
      <c r="C1990" t="s">
        <v>2053</v>
      </c>
      <c r="D1990" t="s">
        <v>2136</v>
      </c>
      <c r="E1990" t="s">
        <v>5734</v>
      </c>
      <c r="F1990" t="s">
        <v>5735</v>
      </c>
      <c r="G1990">
        <v>1</v>
      </c>
      <c r="H1990">
        <v>1500</v>
      </c>
      <c r="I1990">
        <v>1</v>
      </c>
      <c r="J1990">
        <v>1.55</v>
      </c>
      <c r="K1990">
        <v>1</v>
      </c>
      <c r="L1990">
        <v>1.4999999999999999E-2</v>
      </c>
      <c r="M1990">
        <v>5</v>
      </c>
      <c r="N1990">
        <v>113</v>
      </c>
      <c r="O1990">
        <v>1</v>
      </c>
      <c r="P1990">
        <v>7.4999999999999997E-2</v>
      </c>
      <c r="Q1990">
        <v>1</v>
      </c>
      <c r="R1990">
        <v>8.4999999999999995E-4</v>
      </c>
      <c r="T1990" t="s">
        <v>5734</v>
      </c>
    </row>
    <row r="1991" spans="1:20" x14ac:dyDescent="0.2">
      <c r="A1991" t="s">
        <v>5736</v>
      </c>
      <c r="B1991" t="s">
        <v>2022</v>
      </c>
      <c r="C1991" t="s">
        <v>2023</v>
      </c>
      <c r="D1991" t="s">
        <v>2024</v>
      </c>
      <c r="E1991" t="s">
        <v>5737</v>
      </c>
      <c r="F1991" t="s">
        <v>5738</v>
      </c>
      <c r="G1991">
        <v>3</v>
      </c>
      <c r="H1991">
        <v>1640</v>
      </c>
      <c r="I1991">
        <v>1</v>
      </c>
      <c r="J1991">
        <v>0.9</v>
      </c>
      <c r="K1991">
        <v>2</v>
      </c>
      <c r="L1991">
        <v>2.5999999999999999E-2</v>
      </c>
      <c r="M1991">
        <v>2</v>
      </c>
      <c r="N1991">
        <v>84</v>
      </c>
      <c r="O1991">
        <v>1</v>
      </c>
      <c r="P1991">
        <v>7.4999999999999997E-2</v>
      </c>
      <c r="Q1991">
        <v>1</v>
      </c>
      <c r="R1991">
        <v>5.0000000000000001E-4</v>
      </c>
      <c r="T1991" t="s">
        <v>5737</v>
      </c>
    </row>
    <row r="1992" spans="1:20" x14ac:dyDescent="0.2">
      <c r="A1992" t="s">
        <v>5739</v>
      </c>
      <c r="B1992" t="s">
        <v>2022</v>
      </c>
      <c r="C1992" t="s">
        <v>2101</v>
      </c>
      <c r="D1992" t="s">
        <v>2024</v>
      </c>
      <c r="E1992" t="s">
        <v>5740</v>
      </c>
      <c r="F1992" t="s">
        <v>5741</v>
      </c>
      <c r="G1992">
        <v>5</v>
      </c>
      <c r="H1992">
        <v>1970</v>
      </c>
      <c r="I1992">
        <v>3</v>
      </c>
      <c r="J1992">
        <v>8</v>
      </c>
      <c r="K1992">
        <v>3</v>
      </c>
      <c r="L1992">
        <v>0.24349999999999999</v>
      </c>
      <c r="M1992">
        <v>5</v>
      </c>
      <c r="N1992">
        <v>98</v>
      </c>
      <c r="O1992">
        <v>3</v>
      </c>
      <c r="P1992">
        <v>0.375</v>
      </c>
      <c r="Q1992">
        <v>3</v>
      </c>
      <c r="R1992">
        <v>1.15E-2</v>
      </c>
      <c r="T1992" t="s">
        <v>5740</v>
      </c>
    </row>
    <row r="1993" spans="1:20" x14ac:dyDescent="0.2">
      <c r="A1993" t="s">
        <v>5742</v>
      </c>
      <c r="B1993" t="s">
        <v>2022</v>
      </c>
      <c r="C1993" t="s">
        <v>2023</v>
      </c>
      <c r="D1993" t="s">
        <v>2024</v>
      </c>
      <c r="E1993" t="s">
        <v>5743</v>
      </c>
      <c r="F1993" t="s">
        <v>5744</v>
      </c>
      <c r="G1993">
        <v>1</v>
      </c>
      <c r="H1993">
        <v>1480</v>
      </c>
      <c r="I1993">
        <v>2</v>
      </c>
      <c r="J1993">
        <v>3.4</v>
      </c>
      <c r="K1993">
        <v>2</v>
      </c>
      <c r="L1993">
        <v>2.5999999999999999E-2</v>
      </c>
      <c r="M1993">
        <v>1</v>
      </c>
      <c r="N1993">
        <v>74</v>
      </c>
      <c r="O1993">
        <v>2</v>
      </c>
      <c r="P1993">
        <v>0.22500000000000001</v>
      </c>
      <c r="Q1993">
        <v>1</v>
      </c>
      <c r="R1993">
        <v>5.0000000000000001E-4</v>
      </c>
      <c r="T1993" t="s">
        <v>5743</v>
      </c>
    </row>
    <row r="1994" spans="1:20" x14ac:dyDescent="0.2">
      <c r="A1994" t="s">
        <v>5745</v>
      </c>
      <c r="B1994" t="s">
        <v>2022</v>
      </c>
      <c r="C1994" t="s">
        <v>2095</v>
      </c>
      <c r="D1994" t="s">
        <v>2024</v>
      </c>
      <c r="E1994" t="s">
        <v>5746</v>
      </c>
      <c r="F1994" t="s">
        <v>5747</v>
      </c>
      <c r="G1994">
        <v>5</v>
      </c>
      <c r="H1994">
        <v>1925</v>
      </c>
      <c r="I1994">
        <v>1</v>
      </c>
      <c r="J1994">
        <v>4.5</v>
      </c>
      <c r="K1994">
        <v>1</v>
      </c>
      <c r="L1994">
        <v>1.4999999999999999E-2</v>
      </c>
      <c r="M1994">
        <v>1</v>
      </c>
      <c r="N1994">
        <v>74</v>
      </c>
      <c r="O1994">
        <v>1</v>
      </c>
      <c r="P1994">
        <v>0.15</v>
      </c>
      <c r="Q1994">
        <v>1</v>
      </c>
      <c r="R1994">
        <v>6.9999999999999999E-4</v>
      </c>
      <c r="T1994" t="s">
        <v>5746</v>
      </c>
    </row>
    <row r="1995" spans="1:20" x14ac:dyDescent="0.2">
      <c r="A1995" t="s">
        <v>5748</v>
      </c>
      <c r="B1995" t="s">
        <v>2022</v>
      </c>
      <c r="C1995" t="s">
        <v>2036</v>
      </c>
      <c r="D1995" t="s">
        <v>2024</v>
      </c>
      <c r="E1995" t="s">
        <v>5749</v>
      </c>
      <c r="F1995" t="s">
        <v>5750</v>
      </c>
      <c r="G1995">
        <v>1</v>
      </c>
      <c r="H1995">
        <v>1540</v>
      </c>
      <c r="I1995">
        <v>2</v>
      </c>
      <c r="J1995">
        <v>3.4</v>
      </c>
      <c r="K1995">
        <v>1</v>
      </c>
      <c r="L1995">
        <v>5.5E-2</v>
      </c>
      <c r="M1995">
        <v>3</v>
      </c>
      <c r="N1995">
        <v>88</v>
      </c>
      <c r="O1995">
        <v>2</v>
      </c>
      <c r="P1995">
        <v>0.20499999999999999</v>
      </c>
      <c r="Q1995">
        <v>2</v>
      </c>
      <c r="R1995">
        <v>4.2500000000000003E-3</v>
      </c>
      <c r="T1995" t="s">
        <v>5749</v>
      </c>
    </row>
    <row r="1996" spans="1:20" x14ac:dyDescent="0.2">
      <c r="A1996" t="s">
        <v>5751</v>
      </c>
      <c r="B1996" t="s">
        <v>2022</v>
      </c>
      <c r="C1996" t="s">
        <v>2053</v>
      </c>
      <c r="D1996" t="s">
        <v>2024</v>
      </c>
      <c r="E1996" t="s">
        <v>5752</v>
      </c>
      <c r="F1996" t="s">
        <v>5753</v>
      </c>
      <c r="G1996">
        <v>4</v>
      </c>
      <c r="H1996">
        <v>1800</v>
      </c>
      <c r="I1996">
        <v>5</v>
      </c>
      <c r="J1996">
        <v>11.55</v>
      </c>
      <c r="K1996">
        <v>5</v>
      </c>
      <c r="L1996">
        <v>0.41499999999999998</v>
      </c>
      <c r="M1996">
        <v>4</v>
      </c>
      <c r="N1996">
        <v>103</v>
      </c>
      <c r="O1996">
        <v>5</v>
      </c>
      <c r="P1996">
        <v>0.67500000000000004</v>
      </c>
      <c r="Q1996">
        <v>4</v>
      </c>
      <c r="R1996">
        <v>1.9199999999999998E-2</v>
      </c>
      <c r="T1996" t="s">
        <v>5752</v>
      </c>
    </row>
    <row r="1997" spans="1:20" x14ac:dyDescent="0.2">
      <c r="A1997" t="s">
        <v>5754</v>
      </c>
      <c r="B1997" t="s">
        <v>2022</v>
      </c>
      <c r="C1997" t="s">
        <v>2053</v>
      </c>
      <c r="D1997" t="s">
        <v>2024</v>
      </c>
      <c r="E1997" t="s">
        <v>5755</v>
      </c>
      <c r="F1997" t="s">
        <v>5756</v>
      </c>
      <c r="G1997">
        <v>4</v>
      </c>
      <c r="H1997">
        <v>1800</v>
      </c>
      <c r="I1997">
        <v>5</v>
      </c>
      <c r="J1997">
        <v>11.55</v>
      </c>
      <c r="K1997">
        <v>5</v>
      </c>
      <c r="L1997">
        <v>0.41499999999999998</v>
      </c>
      <c r="M1997">
        <v>3</v>
      </c>
      <c r="N1997">
        <v>93</v>
      </c>
      <c r="O1997">
        <v>5</v>
      </c>
      <c r="P1997">
        <v>0.67500000000000004</v>
      </c>
      <c r="Q1997">
        <v>4</v>
      </c>
      <c r="R1997">
        <v>1.9199999999999998E-2</v>
      </c>
      <c r="T1997" t="s">
        <v>5755</v>
      </c>
    </row>
    <row r="1998" spans="1:20" x14ac:dyDescent="0.2">
      <c r="A1998" t="s">
        <v>5757</v>
      </c>
      <c r="B1998" t="s">
        <v>2022</v>
      </c>
      <c r="C1998" t="s">
        <v>2023</v>
      </c>
      <c r="D1998" t="s">
        <v>2024</v>
      </c>
      <c r="E1998" t="s">
        <v>5758</v>
      </c>
      <c r="F1998" t="s">
        <v>5759</v>
      </c>
      <c r="G1998">
        <v>1</v>
      </c>
      <c r="H1998">
        <v>1480</v>
      </c>
      <c r="I1998">
        <v>2</v>
      </c>
      <c r="J1998">
        <v>3.4</v>
      </c>
      <c r="K1998">
        <v>2</v>
      </c>
      <c r="L1998">
        <v>2.5999999999999999E-2</v>
      </c>
      <c r="M1998">
        <v>3</v>
      </c>
      <c r="N1998">
        <v>94</v>
      </c>
      <c r="O1998">
        <v>2</v>
      </c>
      <c r="P1998">
        <v>0.22500000000000001</v>
      </c>
      <c r="Q1998">
        <v>2</v>
      </c>
      <c r="R1998">
        <v>2E-3</v>
      </c>
      <c r="T1998" t="s">
        <v>5758</v>
      </c>
    </row>
    <row r="1999" spans="1:20" x14ac:dyDescent="0.2">
      <c r="A1999" t="s">
        <v>5760</v>
      </c>
      <c r="B1999" t="s">
        <v>2022</v>
      </c>
      <c r="C1999" t="s">
        <v>2023</v>
      </c>
      <c r="D1999" t="s">
        <v>2024</v>
      </c>
      <c r="E1999" t="s">
        <v>5761</v>
      </c>
      <c r="F1999" t="s">
        <v>5762</v>
      </c>
      <c r="G1999">
        <v>2</v>
      </c>
      <c r="H1999">
        <v>1560</v>
      </c>
      <c r="I1999">
        <v>2</v>
      </c>
      <c r="J1999">
        <v>3.4</v>
      </c>
      <c r="K1999">
        <v>2</v>
      </c>
      <c r="L1999">
        <v>2.5999999999999999E-2</v>
      </c>
      <c r="M1999">
        <v>4</v>
      </c>
      <c r="N1999">
        <v>104</v>
      </c>
      <c r="O1999">
        <v>2</v>
      </c>
      <c r="P1999">
        <v>0.22500000000000001</v>
      </c>
      <c r="Q1999">
        <v>2</v>
      </c>
      <c r="R1999">
        <v>2E-3</v>
      </c>
      <c r="T1999" t="s">
        <v>5761</v>
      </c>
    </row>
    <row r="2000" spans="1:20" x14ac:dyDescent="0.2">
      <c r="A2000" t="s">
        <v>5763</v>
      </c>
      <c r="B2000" t="s">
        <v>2022</v>
      </c>
      <c r="C2000" t="s">
        <v>2023</v>
      </c>
      <c r="D2000" t="s">
        <v>2136</v>
      </c>
      <c r="E2000" t="s">
        <v>357</v>
      </c>
      <c r="F2000" t="s">
        <v>5764</v>
      </c>
      <c r="G2000">
        <v>2</v>
      </c>
      <c r="H2000">
        <v>1560</v>
      </c>
      <c r="I2000">
        <v>2</v>
      </c>
      <c r="J2000">
        <v>3.4</v>
      </c>
      <c r="K2000">
        <v>3</v>
      </c>
      <c r="L2000">
        <v>4.5999999999999999E-2</v>
      </c>
      <c r="M2000">
        <v>3</v>
      </c>
      <c r="N2000">
        <v>94</v>
      </c>
      <c r="O2000">
        <v>2</v>
      </c>
      <c r="P2000">
        <v>0.22500000000000001</v>
      </c>
      <c r="Q2000">
        <v>2</v>
      </c>
      <c r="R2000">
        <v>2E-3</v>
      </c>
      <c r="T2000" t="s">
        <v>357</v>
      </c>
    </row>
    <row r="2001" spans="1:20" x14ac:dyDescent="0.2">
      <c r="A2001" t="s">
        <v>5765</v>
      </c>
      <c r="B2001" t="s">
        <v>2022</v>
      </c>
      <c r="C2001" t="s">
        <v>2222</v>
      </c>
      <c r="D2001" t="s">
        <v>2024</v>
      </c>
      <c r="E2001" t="s">
        <v>5766</v>
      </c>
      <c r="F2001" t="s">
        <v>5767</v>
      </c>
      <c r="G2001">
        <v>5</v>
      </c>
      <c r="H2001">
        <v>1850</v>
      </c>
      <c r="I2001">
        <v>5</v>
      </c>
      <c r="J2001">
        <v>8.6999999999999993</v>
      </c>
      <c r="K2001">
        <v>4</v>
      </c>
      <c r="L2001">
        <v>0.19500000000000001</v>
      </c>
      <c r="M2001">
        <v>5</v>
      </c>
      <c r="N2001">
        <v>75</v>
      </c>
      <c r="O2001">
        <v>5</v>
      </c>
      <c r="P2001">
        <v>0.39</v>
      </c>
      <c r="Q2001">
        <v>4</v>
      </c>
      <c r="R2001">
        <v>8.3000000000000001E-3</v>
      </c>
      <c r="T2001" t="s">
        <v>5766</v>
      </c>
    </row>
    <row r="2002" spans="1:20" x14ac:dyDescent="0.2">
      <c r="A2002" t="s">
        <v>5768</v>
      </c>
      <c r="B2002" t="s">
        <v>2022</v>
      </c>
      <c r="C2002" t="s">
        <v>2036</v>
      </c>
      <c r="D2002" t="s">
        <v>2024</v>
      </c>
      <c r="E2002" t="s">
        <v>5769</v>
      </c>
      <c r="F2002" t="s">
        <v>5770</v>
      </c>
      <c r="G2002">
        <v>1</v>
      </c>
      <c r="H2002">
        <v>1540</v>
      </c>
      <c r="I2002">
        <v>2</v>
      </c>
      <c r="J2002">
        <v>3.4</v>
      </c>
      <c r="K2002">
        <v>4</v>
      </c>
      <c r="L2002">
        <v>0.14499999999999999</v>
      </c>
      <c r="M2002">
        <v>1</v>
      </c>
      <c r="N2002">
        <v>76</v>
      </c>
      <c r="O2002">
        <v>2</v>
      </c>
      <c r="P2002">
        <v>0.20499999999999999</v>
      </c>
      <c r="Q2002">
        <v>3</v>
      </c>
      <c r="R2002">
        <v>6.7499999999999999E-3</v>
      </c>
      <c r="T2002" t="s">
        <v>5769</v>
      </c>
    </row>
    <row r="2003" spans="1:20" x14ac:dyDescent="0.2">
      <c r="A2003" t="s">
        <v>5771</v>
      </c>
      <c r="B2003" t="s">
        <v>2022</v>
      </c>
      <c r="C2003" t="s">
        <v>2023</v>
      </c>
      <c r="D2003" t="s">
        <v>2024</v>
      </c>
      <c r="E2003" t="s">
        <v>5772</v>
      </c>
      <c r="F2003" t="s">
        <v>447</v>
      </c>
      <c r="G2003">
        <v>4</v>
      </c>
      <c r="H2003">
        <v>1720</v>
      </c>
      <c r="I2003">
        <v>1</v>
      </c>
      <c r="J2003">
        <v>0.9</v>
      </c>
      <c r="K2003">
        <v>1</v>
      </c>
      <c r="L2003">
        <v>6.0000000000000001E-3</v>
      </c>
      <c r="M2003">
        <v>1</v>
      </c>
      <c r="N2003">
        <v>74</v>
      </c>
      <c r="O2003">
        <v>1</v>
      </c>
      <c r="P2003">
        <v>7.4999999999999997E-2</v>
      </c>
      <c r="Q2003">
        <v>1</v>
      </c>
      <c r="R2003">
        <v>5.0000000000000001E-4</v>
      </c>
      <c r="T2003" t="s">
        <v>5772</v>
      </c>
    </row>
    <row r="2004" spans="1:20" x14ac:dyDescent="0.2">
      <c r="A2004" t="s">
        <v>5773</v>
      </c>
      <c r="B2004" t="s">
        <v>2022</v>
      </c>
      <c r="C2004" t="s">
        <v>2101</v>
      </c>
      <c r="D2004" t="s">
        <v>2024</v>
      </c>
      <c r="E2004" t="s">
        <v>5774</v>
      </c>
      <c r="F2004" t="s">
        <v>5775</v>
      </c>
      <c r="G2004">
        <v>2</v>
      </c>
      <c r="H2004">
        <v>1670</v>
      </c>
      <c r="I2004">
        <v>2</v>
      </c>
      <c r="J2004">
        <v>5</v>
      </c>
      <c r="K2004">
        <v>1</v>
      </c>
      <c r="L2004">
        <v>1.15E-2</v>
      </c>
      <c r="M2004">
        <v>1</v>
      </c>
      <c r="N2004">
        <v>66</v>
      </c>
      <c r="O2004">
        <v>2</v>
      </c>
      <c r="P2004">
        <v>0.22500000000000001</v>
      </c>
      <c r="Q2004">
        <v>1</v>
      </c>
      <c r="R2004">
        <v>5.0000000000000001E-4</v>
      </c>
      <c r="T2004" t="s">
        <v>5774</v>
      </c>
    </row>
    <row r="2005" spans="1:20" x14ac:dyDescent="0.2">
      <c r="A2005" t="s">
        <v>5776</v>
      </c>
      <c r="B2005" t="s">
        <v>2022</v>
      </c>
      <c r="C2005" t="s">
        <v>2101</v>
      </c>
      <c r="D2005" t="s">
        <v>2024</v>
      </c>
      <c r="E2005" t="s">
        <v>5777</v>
      </c>
      <c r="F2005" t="s">
        <v>5778</v>
      </c>
      <c r="G2005">
        <v>4</v>
      </c>
      <c r="H2005">
        <v>1870</v>
      </c>
      <c r="I2005">
        <v>5</v>
      </c>
      <c r="J2005">
        <v>14</v>
      </c>
      <c r="K2005">
        <v>5</v>
      </c>
      <c r="L2005">
        <v>0.53749999999999998</v>
      </c>
      <c r="M2005">
        <v>3</v>
      </c>
      <c r="N2005">
        <v>82</v>
      </c>
      <c r="O2005">
        <v>5</v>
      </c>
      <c r="P2005">
        <v>0.67500000000000004</v>
      </c>
      <c r="Q2005">
        <v>5</v>
      </c>
      <c r="R2005">
        <v>2.5499999999999998E-2</v>
      </c>
      <c r="T2005" t="s">
        <v>5777</v>
      </c>
    </row>
    <row r="2006" spans="1:20" x14ac:dyDescent="0.2">
      <c r="A2006" t="s">
        <v>5779</v>
      </c>
      <c r="B2006" t="s">
        <v>2022</v>
      </c>
      <c r="C2006" t="s">
        <v>2053</v>
      </c>
      <c r="D2006" t="s">
        <v>2024</v>
      </c>
      <c r="E2006" t="s">
        <v>5780</v>
      </c>
      <c r="F2006" t="s">
        <v>5781</v>
      </c>
      <c r="G2006">
        <v>5</v>
      </c>
      <c r="H2006">
        <v>1900</v>
      </c>
      <c r="I2006">
        <v>5</v>
      </c>
      <c r="J2006">
        <v>11.55</v>
      </c>
      <c r="K2006">
        <v>5</v>
      </c>
      <c r="L2006">
        <v>0.41499999999999998</v>
      </c>
      <c r="M2006">
        <v>3</v>
      </c>
      <c r="N2006">
        <v>93</v>
      </c>
      <c r="O2006">
        <v>5</v>
      </c>
      <c r="P2006">
        <v>0.67500000000000004</v>
      </c>
      <c r="Q2006">
        <v>5</v>
      </c>
      <c r="R2006">
        <v>2.6200000000000001E-2</v>
      </c>
      <c r="T2006" t="s">
        <v>5780</v>
      </c>
    </row>
    <row r="2007" spans="1:20" x14ac:dyDescent="0.2">
      <c r="A2007" t="s">
        <v>5782</v>
      </c>
      <c r="B2007" t="s">
        <v>2022</v>
      </c>
      <c r="C2007" t="s">
        <v>2023</v>
      </c>
      <c r="D2007" t="s">
        <v>2024</v>
      </c>
      <c r="E2007" t="s">
        <v>5783</v>
      </c>
      <c r="F2007" t="s">
        <v>447</v>
      </c>
      <c r="G2007">
        <v>3</v>
      </c>
      <c r="H2007">
        <v>1640</v>
      </c>
      <c r="I2007">
        <v>4</v>
      </c>
      <c r="J2007">
        <v>8.4</v>
      </c>
      <c r="K2007">
        <v>5</v>
      </c>
      <c r="L2007">
        <v>8.5999999999999993E-2</v>
      </c>
      <c r="M2007">
        <v>4</v>
      </c>
      <c r="N2007">
        <v>104</v>
      </c>
      <c r="O2007">
        <v>4</v>
      </c>
      <c r="P2007">
        <v>0.52500000000000002</v>
      </c>
      <c r="Q2007">
        <v>5</v>
      </c>
      <c r="R2007">
        <v>8.0000000000000002E-3</v>
      </c>
      <c r="T2007" t="s">
        <v>5783</v>
      </c>
    </row>
    <row r="2008" spans="1:20" x14ac:dyDescent="0.2">
      <c r="A2008" t="s">
        <v>5784</v>
      </c>
      <c r="B2008" t="s">
        <v>2022</v>
      </c>
      <c r="C2008" t="s">
        <v>2053</v>
      </c>
      <c r="D2008" t="s">
        <v>2154</v>
      </c>
      <c r="E2008" t="s">
        <v>5785</v>
      </c>
      <c r="F2008" t="s">
        <v>5786</v>
      </c>
      <c r="G2008">
        <v>1</v>
      </c>
      <c r="H2008">
        <v>1500</v>
      </c>
      <c r="I2008">
        <v>2</v>
      </c>
      <c r="J2008">
        <v>4.05</v>
      </c>
      <c r="K2008">
        <v>2</v>
      </c>
      <c r="L2008">
        <v>8.5000000000000006E-2</v>
      </c>
      <c r="M2008">
        <v>5</v>
      </c>
      <c r="N2008">
        <v>113</v>
      </c>
      <c r="O2008">
        <v>3</v>
      </c>
      <c r="P2008">
        <v>0.375</v>
      </c>
      <c r="Q2008">
        <v>2</v>
      </c>
      <c r="R2008">
        <v>5.1999999999999998E-3</v>
      </c>
      <c r="T2008" t="s">
        <v>5785</v>
      </c>
    </row>
    <row r="2009" spans="1:20" x14ac:dyDescent="0.2">
      <c r="A2009" t="s">
        <v>5787</v>
      </c>
      <c r="B2009" t="s">
        <v>2022</v>
      </c>
      <c r="C2009" t="s">
        <v>2023</v>
      </c>
      <c r="D2009" t="s">
        <v>2024</v>
      </c>
      <c r="E2009" t="s">
        <v>5788</v>
      </c>
      <c r="F2009" t="s">
        <v>5786</v>
      </c>
      <c r="G2009">
        <v>3</v>
      </c>
      <c r="H2009">
        <v>1640</v>
      </c>
      <c r="I2009">
        <v>2</v>
      </c>
      <c r="J2009">
        <v>3.4</v>
      </c>
      <c r="K2009">
        <v>2</v>
      </c>
      <c r="L2009">
        <v>2.5999999999999999E-2</v>
      </c>
      <c r="M2009">
        <v>4</v>
      </c>
      <c r="N2009">
        <v>104</v>
      </c>
      <c r="O2009">
        <v>2</v>
      </c>
      <c r="P2009">
        <v>0.22500000000000001</v>
      </c>
      <c r="Q2009">
        <v>2</v>
      </c>
      <c r="R2009">
        <v>2E-3</v>
      </c>
      <c r="T2009" t="s">
        <v>5788</v>
      </c>
    </row>
    <row r="2010" spans="1:20" x14ac:dyDescent="0.2">
      <c r="A2010" t="s">
        <v>5789</v>
      </c>
      <c r="B2010" t="s">
        <v>2022</v>
      </c>
      <c r="C2010" t="s">
        <v>2036</v>
      </c>
      <c r="D2010" t="s">
        <v>2024</v>
      </c>
      <c r="E2010" t="s">
        <v>5790</v>
      </c>
      <c r="F2010" t="s">
        <v>5791</v>
      </c>
      <c r="G2010">
        <v>5</v>
      </c>
      <c r="H2010">
        <v>1940</v>
      </c>
      <c r="I2010">
        <v>3</v>
      </c>
      <c r="J2010">
        <v>4.5999999999999996</v>
      </c>
      <c r="K2010">
        <v>1</v>
      </c>
      <c r="L2010">
        <v>5.5E-2</v>
      </c>
      <c r="M2010">
        <v>5</v>
      </c>
      <c r="N2010">
        <v>100</v>
      </c>
      <c r="O2010">
        <v>2</v>
      </c>
      <c r="P2010">
        <v>0.20499999999999999</v>
      </c>
      <c r="Q2010">
        <v>1</v>
      </c>
      <c r="R2010">
        <v>1.5E-3</v>
      </c>
      <c r="T2010" t="s">
        <v>5790</v>
      </c>
    </row>
    <row r="2011" spans="1:20" x14ac:dyDescent="0.2">
      <c r="A2011" t="s">
        <v>5792</v>
      </c>
      <c r="B2011" t="s">
        <v>2022</v>
      </c>
      <c r="C2011" t="s">
        <v>2053</v>
      </c>
      <c r="D2011" t="s">
        <v>2024</v>
      </c>
      <c r="E2011" t="s">
        <v>5793</v>
      </c>
      <c r="F2011" t="s">
        <v>5794</v>
      </c>
      <c r="G2011">
        <v>5</v>
      </c>
      <c r="H2011">
        <v>1900</v>
      </c>
      <c r="I2011">
        <v>5</v>
      </c>
      <c r="J2011">
        <v>11.55</v>
      </c>
      <c r="K2011">
        <v>5</v>
      </c>
      <c r="L2011">
        <v>0.41499999999999998</v>
      </c>
      <c r="M2011">
        <v>4</v>
      </c>
      <c r="N2011">
        <v>103</v>
      </c>
      <c r="O2011">
        <v>5</v>
      </c>
      <c r="P2011">
        <v>0.67500000000000004</v>
      </c>
      <c r="Q2011">
        <v>5</v>
      </c>
      <c r="R2011">
        <v>2.6200000000000001E-2</v>
      </c>
      <c r="T2011" t="s">
        <v>5793</v>
      </c>
    </row>
    <row r="2012" spans="1:20" x14ac:dyDescent="0.2">
      <c r="A2012" t="s">
        <v>85</v>
      </c>
      <c r="B2012" t="s">
        <v>2022</v>
      </c>
      <c r="C2012" t="s">
        <v>2036</v>
      </c>
      <c r="D2012" t="s">
        <v>2024</v>
      </c>
      <c r="E2012" t="s">
        <v>272</v>
      </c>
      <c r="F2012" t="s">
        <v>4487</v>
      </c>
      <c r="G2012">
        <v>2</v>
      </c>
      <c r="H2012">
        <v>1640</v>
      </c>
      <c r="I2012">
        <v>2</v>
      </c>
      <c r="J2012">
        <v>3.4</v>
      </c>
      <c r="K2012">
        <v>2</v>
      </c>
      <c r="L2012">
        <v>8.5000000000000006E-2</v>
      </c>
      <c r="M2012">
        <v>2</v>
      </c>
      <c r="N2012">
        <v>82</v>
      </c>
      <c r="O2012">
        <v>2</v>
      </c>
      <c r="P2012">
        <v>0.20499999999999999</v>
      </c>
      <c r="Q2012">
        <v>2</v>
      </c>
      <c r="R2012">
        <v>4.2500000000000003E-3</v>
      </c>
      <c r="T2012" t="s">
        <v>272</v>
      </c>
    </row>
    <row r="2013" spans="1:20" x14ac:dyDescent="0.2">
      <c r="A2013" t="s">
        <v>5795</v>
      </c>
      <c r="B2013" t="s">
        <v>2022</v>
      </c>
      <c r="C2013" t="s">
        <v>2023</v>
      </c>
      <c r="D2013" t="s">
        <v>2024</v>
      </c>
      <c r="E2013" t="s">
        <v>357</v>
      </c>
      <c r="F2013" t="s">
        <v>5796</v>
      </c>
      <c r="G2013">
        <v>1</v>
      </c>
      <c r="H2013">
        <v>1480</v>
      </c>
      <c r="I2013">
        <v>2</v>
      </c>
      <c r="J2013">
        <v>3.4</v>
      </c>
      <c r="K2013">
        <v>5</v>
      </c>
      <c r="L2013">
        <v>8.5999999999999993E-2</v>
      </c>
      <c r="M2013">
        <v>5</v>
      </c>
      <c r="N2013">
        <v>114</v>
      </c>
      <c r="O2013">
        <v>4</v>
      </c>
      <c r="P2013">
        <v>0.52500000000000002</v>
      </c>
      <c r="Q2013">
        <v>5</v>
      </c>
      <c r="R2013">
        <v>8.0000000000000002E-3</v>
      </c>
      <c r="T2013" t="s">
        <v>357</v>
      </c>
    </row>
    <row r="2014" spans="1:20" x14ac:dyDescent="0.2">
      <c r="A2014" t="s">
        <v>5797</v>
      </c>
      <c r="B2014" t="s">
        <v>2022</v>
      </c>
      <c r="C2014" t="s">
        <v>2023</v>
      </c>
      <c r="D2014" t="s">
        <v>2024</v>
      </c>
      <c r="E2014" t="s">
        <v>5798</v>
      </c>
      <c r="F2014" t="s">
        <v>5799</v>
      </c>
      <c r="G2014">
        <v>3</v>
      </c>
      <c r="H2014">
        <v>1640</v>
      </c>
      <c r="I2014">
        <v>3</v>
      </c>
      <c r="J2014">
        <v>5.9</v>
      </c>
      <c r="K2014">
        <v>5</v>
      </c>
      <c r="L2014">
        <v>8.5999999999999993E-2</v>
      </c>
      <c r="M2014">
        <v>1</v>
      </c>
      <c r="N2014">
        <v>74</v>
      </c>
      <c r="O2014">
        <v>2</v>
      </c>
      <c r="P2014">
        <v>0.22500000000000001</v>
      </c>
      <c r="Q2014">
        <v>4</v>
      </c>
      <c r="R2014">
        <v>6.0000000000000001E-3</v>
      </c>
      <c r="T2014" t="s">
        <v>5798</v>
      </c>
    </row>
    <row r="2015" spans="1:20" x14ac:dyDescent="0.2">
      <c r="A2015" t="s">
        <v>5800</v>
      </c>
      <c r="B2015" t="s">
        <v>2022</v>
      </c>
      <c r="C2015" t="s">
        <v>2036</v>
      </c>
      <c r="D2015" t="s">
        <v>2024</v>
      </c>
      <c r="E2015" t="s">
        <v>5801</v>
      </c>
      <c r="F2015" t="s">
        <v>447</v>
      </c>
      <c r="G2015">
        <v>1</v>
      </c>
      <c r="H2015">
        <v>1540</v>
      </c>
      <c r="I2015">
        <v>2</v>
      </c>
      <c r="J2015">
        <v>3.4</v>
      </c>
      <c r="K2015">
        <v>2</v>
      </c>
      <c r="L2015">
        <v>8.5000000000000006E-2</v>
      </c>
      <c r="M2015">
        <v>1</v>
      </c>
      <c r="N2015">
        <v>76</v>
      </c>
      <c r="O2015">
        <v>1</v>
      </c>
      <c r="P2015">
        <v>9.5000000000000001E-2</v>
      </c>
      <c r="Q2015">
        <v>2</v>
      </c>
      <c r="R2015">
        <v>4.2500000000000003E-3</v>
      </c>
      <c r="T2015" t="s">
        <v>5801</v>
      </c>
    </row>
    <row r="2016" spans="1:20" x14ac:dyDescent="0.2">
      <c r="A2016" t="s">
        <v>9515</v>
      </c>
      <c r="B2016" t="s">
        <v>2022</v>
      </c>
      <c r="C2016" t="s">
        <v>2023</v>
      </c>
      <c r="D2016" t="s">
        <v>2024</v>
      </c>
      <c r="E2016" t="s">
        <v>5803</v>
      </c>
      <c r="F2016" t="s">
        <v>447</v>
      </c>
      <c r="G2016">
        <v>1</v>
      </c>
      <c r="H2016">
        <v>1480</v>
      </c>
      <c r="I2016">
        <v>2</v>
      </c>
      <c r="J2016">
        <v>3.4</v>
      </c>
      <c r="K2016">
        <v>1</v>
      </c>
      <c r="L2016">
        <v>6.0000000000000001E-3</v>
      </c>
      <c r="M2016">
        <v>1</v>
      </c>
      <c r="N2016">
        <v>74</v>
      </c>
      <c r="O2016">
        <v>1</v>
      </c>
      <c r="P2016">
        <v>7.4999999999999997E-2</v>
      </c>
      <c r="Q2016">
        <v>1</v>
      </c>
      <c r="R2016">
        <v>5.0000000000000001E-4</v>
      </c>
      <c r="T2016" t="s">
        <v>5803</v>
      </c>
    </row>
    <row r="2017" spans="1:20" x14ac:dyDescent="0.2">
      <c r="A2017" t="s">
        <v>5804</v>
      </c>
      <c r="B2017" t="s">
        <v>2022</v>
      </c>
      <c r="C2017" t="s">
        <v>2023</v>
      </c>
      <c r="D2017" t="s">
        <v>2024</v>
      </c>
      <c r="E2017" t="s">
        <v>5805</v>
      </c>
      <c r="F2017" t="s">
        <v>5806</v>
      </c>
      <c r="G2017">
        <v>4</v>
      </c>
      <c r="H2017">
        <v>1720</v>
      </c>
      <c r="I2017">
        <v>5</v>
      </c>
      <c r="J2017">
        <v>10.9</v>
      </c>
      <c r="K2017">
        <v>5</v>
      </c>
      <c r="L2017">
        <v>8.5999999999999993E-2</v>
      </c>
      <c r="M2017">
        <v>3</v>
      </c>
      <c r="N2017">
        <v>94</v>
      </c>
      <c r="O2017">
        <v>5</v>
      </c>
      <c r="P2017">
        <v>0.67500000000000004</v>
      </c>
      <c r="Q2017">
        <v>5</v>
      </c>
      <c r="R2017">
        <v>8.0000000000000002E-3</v>
      </c>
      <c r="T2017" t="s">
        <v>5805</v>
      </c>
    </row>
    <row r="2018" spans="1:20" x14ac:dyDescent="0.2">
      <c r="A2018" t="s">
        <v>5807</v>
      </c>
      <c r="B2018" t="s">
        <v>2022</v>
      </c>
      <c r="C2018" t="s">
        <v>2053</v>
      </c>
      <c r="D2018" t="s">
        <v>2024</v>
      </c>
      <c r="E2018" t="s">
        <v>5808</v>
      </c>
      <c r="F2018" t="s">
        <v>5809</v>
      </c>
      <c r="G2018">
        <v>2</v>
      </c>
      <c r="H2018">
        <v>1600</v>
      </c>
      <c r="I2018">
        <v>5</v>
      </c>
      <c r="J2018">
        <v>11.55</v>
      </c>
      <c r="K2018">
        <v>5</v>
      </c>
      <c r="L2018">
        <v>0.41499999999999998</v>
      </c>
      <c r="M2018">
        <v>1</v>
      </c>
      <c r="N2018">
        <v>73</v>
      </c>
      <c r="O2018">
        <v>4</v>
      </c>
      <c r="P2018">
        <v>0.52500000000000002</v>
      </c>
      <c r="Q2018">
        <v>4</v>
      </c>
      <c r="R2018">
        <v>1.9199999999999998E-2</v>
      </c>
      <c r="T2018" t="s">
        <v>5808</v>
      </c>
    </row>
    <row r="2019" spans="1:20" x14ac:dyDescent="0.2">
      <c r="A2019" t="s">
        <v>5810</v>
      </c>
      <c r="B2019" t="s">
        <v>2022</v>
      </c>
      <c r="C2019" t="s">
        <v>2023</v>
      </c>
      <c r="D2019" t="s">
        <v>2136</v>
      </c>
      <c r="E2019" t="s">
        <v>5811</v>
      </c>
      <c r="F2019" t="s">
        <v>5812</v>
      </c>
      <c r="G2019">
        <v>1</v>
      </c>
      <c r="H2019">
        <v>1480</v>
      </c>
      <c r="I2019">
        <v>1</v>
      </c>
      <c r="J2019">
        <v>0.9</v>
      </c>
      <c r="K2019">
        <v>1</v>
      </c>
      <c r="L2019">
        <v>6.0000000000000001E-3</v>
      </c>
      <c r="M2019">
        <v>2</v>
      </c>
      <c r="N2019">
        <v>84</v>
      </c>
      <c r="O2019">
        <v>1</v>
      </c>
      <c r="P2019">
        <v>7.4999999999999997E-2</v>
      </c>
      <c r="Q2019">
        <v>1</v>
      </c>
      <c r="R2019">
        <v>5.0000000000000001E-4</v>
      </c>
      <c r="T2019" t="s">
        <v>5811</v>
      </c>
    </row>
    <row r="2020" spans="1:20" x14ac:dyDescent="0.2">
      <c r="A2020" t="s">
        <v>5813</v>
      </c>
      <c r="B2020" t="s">
        <v>2022</v>
      </c>
      <c r="C2020" t="s">
        <v>2036</v>
      </c>
      <c r="D2020" t="s">
        <v>2024</v>
      </c>
      <c r="E2020" t="s">
        <v>5814</v>
      </c>
      <c r="F2020" t="s">
        <v>5815</v>
      </c>
      <c r="G2020">
        <v>2</v>
      </c>
      <c r="H2020">
        <v>1640</v>
      </c>
      <c r="I2020">
        <v>1</v>
      </c>
      <c r="J2020">
        <v>2.2000000000000002</v>
      </c>
      <c r="K2020">
        <v>1</v>
      </c>
      <c r="L2020">
        <v>5.5E-2</v>
      </c>
      <c r="M2020">
        <v>2</v>
      </c>
      <c r="N2020">
        <v>82</v>
      </c>
      <c r="O2020">
        <v>1</v>
      </c>
      <c r="P2020">
        <v>9.5000000000000001E-2</v>
      </c>
      <c r="Q2020">
        <v>1</v>
      </c>
      <c r="R2020">
        <v>1.5E-3</v>
      </c>
      <c r="T2020" t="s">
        <v>5814</v>
      </c>
    </row>
    <row r="2021" spans="1:20" x14ac:dyDescent="0.2">
      <c r="A2021" t="s">
        <v>5816</v>
      </c>
      <c r="B2021" t="s">
        <v>2022</v>
      </c>
      <c r="C2021" t="s">
        <v>2222</v>
      </c>
      <c r="D2021" t="s">
        <v>2024</v>
      </c>
      <c r="E2021" t="s">
        <v>5817</v>
      </c>
      <c r="F2021" t="s">
        <v>5818</v>
      </c>
      <c r="G2021">
        <v>2</v>
      </c>
      <c r="H2021">
        <v>1550</v>
      </c>
      <c r="I2021">
        <v>5</v>
      </c>
      <c r="J2021">
        <v>8.6999999999999993</v>
      </c>
      <c r="K2021">
        <v>5</v>
      </c>
      <c r="L2021">
        <v>0.26500000000000001</v>
      </c>
      <c r="M2021">
        <v>1</v>
      </c>
      <c r="N2021">
        <v>59</v>
      </c>
      <c r="O2021">
        <v>5</v>
      </c>
      <c r="P2021">
        <v>0.39</v>
      </c>
      <c r="Q2021">
        <v>5</v>
      </c>
      <c r="R2021">
        <v>1.1299999999999999E-2</v>
      </c>
      <c r="T2021" t="s">
        <v>5817</v>
      </c>
    </row>
    <row r="2022" spans="1:20" x14ac:dyDescent="0.2">
      <c r="A2022" t="s">
        <v>5819</v>
      </c>
      <c r="B2022" t="s">
        <v>2022</v>
      </c>
      <c r="C2022" t="s">
        <v>2036</v>
      </c>
      <c r="D2022" t="s">
        <v>2024</v>
      </c>
      <c r="E2022" t="s">
        <v>5820</v>
      </c>
      <c r="F2022" t="s">
        <v>5821</v>
      </c>
      <c r="G2022">
        <v>2</v>
      </c>
      <c r="H2022">
        <v>1640</v>
      </c>
      <c r="I2022">
        <v>2</v>
      </c>
      <c r="J2022">
        <v>3.4</v>
      </c>
      <c r="K2022">
        <v>3</v>
      </c>
      <c r="L2022">
        <v>0.115</v>
      </c>
      <c r="M2022">
        <v>2</v>
      </c>
      <c r="N2022">
        <v>82</v>
      </c>
      <c r="O2022">
        <v>2</v>
      </c>
      <c r="P2022">
        <v>0.20499999999999999</v>
      </c>
      <c r="Q2022">
        <v>2</v>
      </c>
      <c r="R2022">
        <v>4.2500000000000003E-3</v>
      </c>
      <c r="T2022" t="s">
        <v>5820</v>
      </c>
    </row>
    <row r="2023" spans="1:20" x14ac:dyDescent="0.2">
      <c r="A2023" t="s">
        <v>5822</v>
      </c>
      <c r="B2023" t="s">
        <v>2022</v>
      </c>
      <c r="C2023" t="s">
        <v>2036</v>
      </c>
      <c r="D2023" t="s">
        <v>2024</v>
      </c>
      <c r="E2023" t="s">
        <v>5823</v>
      </c>
      <c r="F2023" t="s">
        <v>5824</v>
      </c>
      <c r="G2023">
        <v>3</v>
      </c>
      <c r="H2023">
        <v>1740</v>
      </c>
      <c r="I2023">
        <v>3</v>
      </c>
      <c r="J2023">
        <v>4.5999999999999996</v>
      </c>
      <c r="K2023">
        <v>4</v>
      </c>
      <c r="L2023">
        <v>0.14499999999999999</v>
      </c>
      <c r="M2023">
        <v>2</v>
      </c>
      <c r="N2023">
        <v>82</v>
      </c>
      <c r="O2023">
        <v>2</v>
      </c>
      <c r="P2023">
        <v>0.20499999999999999</v>
      </c>
      <c r="Q2023">
        <v>3</v>
      </c>
      <c r="R2023">
        <v>6.7499999999999999E-3</v>
      </c>
      <c r="T2023" t="s">
        <v>5823</v>
      </c>
    </row>
    <row r="2024" spans="1:20" x14ac:dyDescent="0.2">
      <c r="A2024" t="s">
        <v>5825</v>
      </c>
      <c r="B2024" t="s">
        <v>2022</v>
      </c>
      <c r="C2024" t="s">
        <v>2036</v>
      </c>
      <c r="D2024" t="s">
        <v>2024</v>
      </c>
      <c r="E2024" t="s">
        <v>5826</v>
      </c>
      <c r="F2024" t="s">
        <v>5827</v>
      </c>
      <c r="G2024">
        <v>4</v>
      </c>
      <c r="H2024">
        <v>1840</v>
      </c>
      <c r="I2024">
        <v>5</v>
      </c>
      <c r="J2024">
        <v>7</v>
      </c>
      <c r="K2024">
        <v>5</v>
      </c>
      <c r="L2024">
        <v>0.17499999999999999</v>
      </c>
      <c r="M2024">
        <v>3</v>
      </c>
      <c r="N2024">
        <v>88</v>
      </c>
      <c r="O2024">
        <v>5</v>
      </c>
      <c r="P2024">
        <v>0.53500000000000003</v>
      </c>
      <c r="Q2024">
        <v>5</v>
      </c>
      <c r="R2024">
        <v>1.2E-2</v>
      </c>
      <c r="T2024" t="s">
        <v>5826</v>
      </c>
    </row>
    <row r="2025" spans="1:20" x14ac:dyDescent="0.2">
      <c r="A2025" t="s">
        <v>5828</v>
      </c>
      <c r="B2025" t="s">
        <v>2022</v>
      </c>
      <c r="C2025" t="s">
        <v>2036</v>
      </c>
      <c r="D2025" t="s">
        <v>2024</v>
      </c>
      <c r="E2025" t="s">
        <v>5829</v>
      </c>
      <c r="F2025" t="s">
        <v>5830</v>
      </c>
      <c r="G2025">
        <v>5</v>
      </c>
      <c r="H2025">
        <v>1940</v>
      </c>
      <c r="I2025">
        <v>5</v>
      </c>
      <c r="J2025">
        <v>7</v>
      </c>
      <c r="K2025">
        <v>5</v>
      </c>
      <c r="L2025">
        <v>0.17499999999999999</v>
      </c>
      <c r="M2025">
        <v>5</v>
      </c>
      <c r="N2025">
        <v>100</v>
      </c>
      <c r="O2025">
        <v>5</v>
      </c>
      <c r="P2025">
        <v>0.53500000000000003</v>
      </c>
      <c r="Q2025">
        <v>5</v>
      </c>
      <c r="R2025">
        <v>1.2E-2</v>
      </c>
      <c r="T2025" t="s">
        <v>5829</v>
      </c>
    </row>
    <row r="2026" spans="1:20" x14ac:dyDescent="0.2">
      <c r="A2026" t="s">
        <v>5831</v>
      </c>
      <c r="B2026" t="s">
        <v>2022</v>
      </c>
      <c r="C2026" t="s">
        <v>2036</v>
      </c>
      <c r="D2026" t="s">
        <v>2024</v>
      </c>
      <c r="E2026" t="s">
        <v>5832</v>
      </c>
      <c r="F2026" t="s">
        <v>5833</v>
      </c>
      <c r="G2026">
        <v>5</v>
      </c>
      <c r="H2026">
        <v>1940</v>
      </c>
      <c r="I2026">
        <v>5</v>
      </c>
      <c r="J2026">
        <v>7</v>
      </c>
      <c r="K2026">
        <v>5</v>
      </c>
      <c r="L2026">
        <v>0.17499999999999999</v>
      </c>
      <c r="M2026">
        <v>5</v>
      </c>
      <c r="N2026">
        <v>100</v>
      </c>
      <c r="O2026">
        <v>5</v>
      </c>
      <c r="P2026">
        <v>0.53500000000000003</v>
      </c>
      <c r="Q2026">
        <v>5</v>
      </c>
      <c r="R2026">
        <v>1.2E-2</v>
      </c>
      <c r="T2026" t="s">
        <v>5832</v>
      </c>
    </row>
    <row r="2027" spans="1:20" x14ac:dyDescent="0.2">
      <c r="A2027" t="s">
        <v>5834</v>
      </c>
      <c r="B2027" t="s">
        <v>2022</v>
      </c>
      <c r="C2027" t="s">
        <v>2053</v>
      </c>
      <c r="D2027" t="s">
        <v>2024</v>
      </c>
      <c r="E2027" t="s">
        <v>5835</v>
      </c>
      <c r="F2027" t="s">
        <v>5836</v>
      </c>
      <c r="G2027">
        <v>1</v>
      </c>
      <c r="H2027">
        <v>1500</v>
      </c>
      <c r="I2027">
        <v>3</v>
      </c>
      <c r="J2027">
        <v>6.55</v>
      </c>
      <c r="K2027">
        <v>4</v>
      </c>
      <c r="L2027">
        <v>0.30499999999999999</v>
      </c>
      <c r="M2027">
        <v>2</v>
      </c>
      <c r="N2027">
        <v>83</v>
      </c>
      <c r="O2027">
        <v>3</v>
      </c>
      <c r="P2027">
        <v>0.375</v>
      </c>
      <c r="Q2027">
        <v>4</v>
      </c>
      <c r="R2027">
        <v>1.9199999999999998E-2</v>
      </c>
      <c r="T2027" t="s">
        <v>5835</v>
      </c>
    </row>
    <row r="2028" spans="1:20" x14ac:dyDescent="0.2">
      <c r="A2028" t="s">
        <v>5837</v>
      </c>
      <c r="B2028" t="s">
        <v>2022</v>
      </c>
      <c r="C2028" t="s">
        <v>2023</v>
      </c>
      <c r="D2028" t="s">
        <v>2024</v>
      </c>
      <c r="E2028" t="s">
        <v>5838</v>
      </c>
      <c r="F2028" t="s">
        <v>5839</v>
      </c>
      <c r="G2028">
        <v>3</v>
      </c>
      <c r="H2028">
        <v>1640</v>
      </c>
      <c r="I2028">
        <v>2</v>
      </c>
      <c r="J2028">
        <v>3.4</v>
      </c>
      <c r="K2028">
        <v>4</v>
      </c>
      <c r="L2028">
        <v>6.6000000000000003E-2</v>
      </c>
      <c r="M2028">
        <v>2</v>
      </c>
      <c r="N2028">
        <v>84</v>
      </c>
      <c r="O2028">
        <v>2</v>
      </c>
      <c r="P2028">
        <v>0.22500000000000001</v>
      </c>
      <c r="Q2028">
        <v>3</v>
      </c>
      <c r="R2028">
        <v>4.0000000000000001E-3</v>
      </c>
      <c r="T2028" t="s">
        <v>5838</v>
      </c>
    </row>
    <row r="2029" spans="1:20" x14ac:dyDescent="0.2">
      <c r="A2029" t="s">
        <v>5840</v>
      </c>
      <c r="B2029" t="s">
        <v>2022</v>
      </c>
      <c r="C2029" t="s">
        <v>2023</v>
      </c>
      <c r="D2029" t="s">
        <v>2024</v>
      </c>
      <c r="E2029" t="s">
        <v>5841</v>
      </c>
      <c r="F2029" t="s">
        <v>5842</v>
      </c>
      <c r="G2029">
        <v>5</v>
      </c>
      <c r="H2029">
        <v>1800</v>
      </c>
      <c r="I2029">
        <v>5</v>
      </c>
      <c r="J2029">
        <v>10.9</v>
      </c>
      <c r="K2029">
        <v>5</v>
      </c>
      <c r="L2029">
        <v>8.5999999999999993E-2</v>
      </c>
      <c r="M2029">
        <v>1</v>
      </c>
      <c r="N2029">
        <v>74</v>
      </c>
      <c r="O2029">
        <v>5</v>
      </c>
      <c r="P2029">
        <v>0.67500000000000004</v>
      </c>
      <c r="Q2029">
        <v>5</v>
      </c>
      <c r="R2029">
        <v>8.0000000000000002E-3</v>
      </c>
      <c r="T2029" t="s">
        <v>5841</v>
      </c>
    </row>
    <row r="2030" spans="1:20" x14ac:dyDescent="0.2">
      <c r="A2030" t="s">
        <v>5843</v>
      </c>
      <c r="B2030" t="s">
        <v>2022</v>
      </c>
      <c r="C2030" t="s">
        <v>2023</v>
      </c>
      <c r="D2030" t="s">
        <v>2154</v>
      </c>
      <c r="E2030" t="s">
        <v>5844</v>
      </c>
      <c r="F2030" t="s">
        <v>5845</v>
      </c>
      <c r="G2030">
        <v>4</v>
      </c>
      <c r="H2030">
        <v>1720</v>
      </c>
      <c r="I2030">
        <v>1</v>
      </c>
      <c r="J2030">
        <v>0.9</v>
      </c>
      <c r="K2030">
        <v>1</v>
      </c>
      <c r="L2030">
        <v>6.0000000000000001E-3</v>
      </c>
      <c r="M2030">
        <v>3</v>
      </c>
      <c r="N2030">
        <v>94</v>
      </c>
      <c r="O2030">
        <v>1</v>
      </c>
      <c r="P2030">
        <v>7.4999999999999997E-2</v>
      </c>
      <c r="Q2030">
        <v>1</v>
      </c>
      <c r="R2030">
        <v>5.0000000000000001E-4</v>
      </c>
      <c r="T2030" t="s">
        <v>5844</v>
      </c>
    </row>
    <row r="2031" spans="1:20" x14ac:dyDescent="0.2">
      <c r="A2031" t="s">
        <v>5846</v>
      </c>
      <c r="B2031" t="s">
        <v>2022</v>
      </c>
      <c r="C2031" t="s">
        <v>2023</v>
      </c>
      <c r="D2031" t="s">
        <v>2024</v>
      </c>
      <c r="E2031" t="s">
        <v>5847</v>
      </c>
      <c r="F2031" t="s">
        <v>5848</v>
      </c>
      <c r="G2031">
        <v>2</v>
      </c>
      <c r="H2031">
        <v>1560</v>
      </c>
      <c r="I2031">
        <v>1</v>
      </c>
      <c r="J2031">
        <v>0.9</v>
      </c>
      <c r="K2031">
        <v>1</v>
      </c>
      <c r="L2031">
        <v>6.0000000000000001E-3</v>
      </c>
      <c r="M2031">
        <v>1</v>
      </c>
      <c r="N2031">
        <v>74</v>
      </c>
      <c r="O2031">
        <v>1</v>
      </c>
      <c r="P2031">
        <v>7.4999999999999997E-2</v>
      </c>
      <c r="Q2031">
        <v>1</v>
      </c>
      <c r="R2031">
        <v>5.0000000000000001E-4</v>
      </c>
      <c r="T2031" t="s">
        <v>5847</v>
      </c>
    </row>
    <row r="2032" spans="1:20" x14ac:dyDescent="0.2">
      <c r="A2032" t="s">
        <v>5849</v>
      </c>
      <c r="B2032" t="s">
        <v>2022</v>
      </c>
      <c r="C2032" t="s">
        <v>2036</v>
      </c>
      <c r="D2032" t="s">
        <v>2024</v>
      </c>
      <c r="E2032" t="s">
        <v>5850</v>
      </c>
      <c r="F2032" t="s">
        <v>5851</v>
      </c>
      <c r="G2032">
        <v>4</v>
      </c>
      <c r="H2032">
        <v>1840</v>
      </c>
      <c r="I2032">
        <v>2</v>
      </c>
      <c r="J2032">
        <v>3.4</v>
      </c>
      <c r="K2032">
        <v>1</v>
      </c>
      <c r="L2032">
        <v>5.5E-2</v>
      </c>
      <c r="M2032">
        <v>4</v>
      </c>
      <c r="N2032">
        <v>94</v>
      </c>
      <c r="O2032">
        <v>1</v>
      </c>
      <c r="P2032">
        <v>9.5000000000000001E-2</v>
      </c>
      <c r="Q2032">
        <v>1</v>
      </c>
      <c r="R2032">
        <v>1.5E-3</v>
      </c>
      <c r="T2032" t="s">
        <v>5850</v>
      </c>
    </row>
    <row r="2033" spans="1:20" x14ac:dyDescent="0.2">
      <c r="A2033" t="s">
        <v>5852</v>
      </c>
      <c r="B2033" t="s">
        <v>2022</v>
      </c>
      <c r="C2033" t="s">
        <v>2036</v>
      </c>
      <c r="D2033" t="s">
        <v>2024</v>
      </c>
      <c r="E2033" t="s">
        <v>5853</v>
      </c>
      <c r="F2033" t="s">
        <v>5854</v>
      </c>
      <c r="G2033">
        <v>3</v>
      </c>
      <c r="H2033">
        <v>1740</v>
      </c>
      <c r="I2033">
        <v>1</v>
      </c>
      <c r="J2033">
        <v>2.2000000000000002</v>
      </c>
      <c r="K2033">
        <v>2</v>
      </c>
      <c r="L2033">
        <v>8.5000000000000006E-2</v>
      </c>
      <c r="M2033">
        <v>3</v>
      </c>
      <c r="N2033">
        <v>88</v>
      </c>
      <c r="O2033">
        <v>1</v>
      </c>
      <c r="P2033">
        <v>9.5000000000000001E-2</v>
      </c>
      <c r="Q2033">
        <v>2</v>
      </c>
      <c r="R2033">
        <v>4.2500000000000003E-3</v>
      </c>
      <c r="T2033" t="s">
        <v>5853</v>
      </c>
    </row>
    <row r="2034" spans="1:20" x14ac:dyDescent="0.2">
      <c r="A2034" t="s">
        <v>5855</v>
      </c>
      <c r="B2034" t="s">
        <v>2022</v>
      </c>
      <c r="C2034" t="s">
        <v>2023</v>
      </c>
      <c r="D2034" t="s">
        <v>2024</v>
      </c>
      <c r="E2034" t="s">
        <v>5856</v>
      </c>
      <c r="F2034" t="s">
        <v>5857</v>
      </c>
      <c r="G2034">
        <v>5</v>
      </c>
      <c r="H2034">
        <v>1800</v>
      </c>
      <c r="I2034">
        <v>5</v>
      </c>
      <c r="J2034">
        <v>10.9</v>
      </c>
      <c r="K2034">
        <v>5</v>
      </c>
      <c r="L2034">
        <v>8.5999999999999993E-2</v>
      </c>
      <c r="M2034">
        <v>5</v>
      </c>
      <c r="N2034">
        <v>114</v>
      </c>
      <c r="O2034">
        <v>5</v>
      </c>
      <c r="P2034">
        <v>0.67500000000000004</v>
      </c>
      <c r="Q2034">
        <v>5</v>
      </c>
      <c r="R2034">
        <v>8.0000000000000002E-3</v>
      </c>
      <c r="T2034" t="s">
        <v>5856</v>
      </c>
    </row>
    <row r="2035" spans="1:20" x14ac:dyDescent="0.2">
      <c r="A2035" t="s">
        <v>5858</v>
      </c>
      <c r="B2035" t="s">
        <v>2022</v>
      </c>
      <c r="C2035" t="s">
        <v>2095</v>
      </c>
      <c r="D2035" t="s">
        <v>2136</v>
      </c>
      <c r="E2035" t="s">
        <v>5859</v>
      </c>
      <c r="F2035" t="s">
        <v>447</v>
      </c>
      <c r="G2035">
        <v>2</v>
      </c>
      <c r="H2035">
        <v>1655</v>
      </c>
      <c r="I2035">
        <v>4</v>
      </c>
      <c r="J2035">
        <v>13.5</v>
      </c>
      <c r="K2035">
        <v>4</v>
      </c>
      <c r="L2035">
        <v>0.53</v>
      </c>
      <c r="M2035">
        <v>1</v>
      </c>
      <c r="N2035">
        <v>74</v>
      </c>
      <c r="O2035">
        <v>4</v>
      </c>
      <c r="P2035">
        <v>0.75</v>
      </c>
      <c r="Q2035">
        <v>4</v>
      </c>
      <c r="R2035">
        <v>2.3900000000000001E-2</v>
      </c>
      <c r="T2035" t="s">
        <v>5859</v>
      </c>
    </row>
    <row r="2036" spans="1:20" x14ac:dyDescent="0.2">
      <c r="A2036" t="s">
        <v>5860</v>
      </c>
      <c r="B2036" t="s">
        <v>2022</v>
      </c>
      <c r="C2036" t="s">
        <v>2023</v>
      </c>
      <c r="D2036" t="s">
        <v>2024</v>
      </c>
      <c r="E2036" t="s">
        <v>5861</v>
      </c>
      <c r="F2036" t="s">
        <v>5862</v>
      </c>
      <c r="G2036">
        <v>4</v>
      </c>
      <c r="H2036">
        <v>1720</v>
      </c>
      <c r="I2036">
        <v>5</v>
      </c>
      <c r="J2036">
        <v>10.9</v>
      </c>
      <c r="K2036">
        <v>5</v>
      </c>
      <c r="L2036">
        <v>8.5999999999999993E-2</v>
      </c>
      <c r="M2036">
        <v>2</v>
      </c>
      <c r="N2036">
        <v>84</v>
      </c>
      <c r="O2036">
        <v>5</v>
      </c>
      <c r="P2036">
        <v>0.67500000000000004</v>
      </c>
      <c r="Q2036">
        <v>5</v>
      </c>
      <c r="R2036">
        <v>8.0000000000000002E-3</v>
      </c>
      <c r="T2036" t="s">
        <v>5861</v>
      </c>
    </row>
    <row r="2037" spans="1:20" x14ac:dyDescent="0.2">
      <c r="A2037" t="s">
        <v>5863</v>
      </c>
      <c r="B2037" t="s">
        <v>2022</v>
      </c>
      <c r="C2037" t="s">
        <v>2023</v>
      </c>
      <c r="D2037" t="s">
        <v>2024</v>
      </c>
      <c r="E2037" t="s">
        <v>5864</v>
      </c>
      <c r="F2037" t="s">
        <v>5865</v>
      </c>
      <c r="G2037">
        <v>1</v>
      </c>
      <c r="H2037">
        <v>1480</v>
      </c>
      <c r="I2037">
        <v>5</v>
      </c>
      <c r="J2037">
        <v>10.9</v>
      </c>
      <c r="K2037">
        <v>5</v>
      </c>
      <c r="L2037">
        <v>8.5999999999999993E-2</v>
      </c>
      <c r="M2037">
        <v>1</v>
      </c>
      <c r="N2037">
        <v>74</v>
      </c>
      <c r="O2037">
        <v>5</v>
      </c>
      <c r="P2037">
        <v>0.67500000000000004</v>
      </c>
      <c r="Q2037">
        <v>5</v>
      </c>
      <c r="R2037">
        <v>8.0000000000000002E-3</v>
      </c>
      <c r="T2037" t="s">
        <v>5864</v>
      </c>
    </row>
    <row r="2038" spans="1:20" x14ac:dyDescent="0.2">
      <c r="A2038" t="s">
        <v>5866</v>
      </c>
      <c r="B2038" t="s">
        <v>2022</v>
      </c>
      <c r="C2038" t="s">
        <v>2023</v>
      </c>
      <c r="D2038" t="s">
        <v>2024</v>
      </c>
      <c r="E2038" t="s">
        <v>5867</v>
      </c>
      <c r="F2038" t="s">
        <v>5868</v>
      </c>
      <c r="G2038">
        <v>4</v>
      </c>
      <c r="H2038">
        <v>1720</v>
      </c>
      <c r="I2038">
        <v>5</v>
      </c>
      <c r="J2038">
        <v>10.9</v>
      </c>
      <c r="K2038">
        <v>5</v>
      </c>
      <c r="L2038">
        <v>8.5999999999999993E-2</v>
      </c>
      <c r="M2038">
        <v>3</v>
      </c>
      <c r="N2038">
        <v>94</v>
      </c>
      <c r="O2038">
        <v>5</v>
      </c>
      <c r="P2038">
        <v>0.67500000000000004</v>
      </c>
      <c r="Q2038">
        <v>5</v>
      </c>
      <c r="R2038">
        <v>8.0000000000000002E-3</v>
      </c>
      <c r="T2038" t="s">
        <v>5867</v>
      </c>
    </row>
    <row r="2039" spans="1:20" x14ac:dyDescent="0.2">
      <c r="A2039" t="s">
        <v>5869</v>
      </c>
      <c r="B2039" t="s">
        <v>2022</v>
      </c>
      <c r="C2039" t="s">
        <v>2023</v>
      </c>
      <c r="D2039" t="s">
        <v>2024</v>
      </c>
      <c r="E2039" t="s">
        <v>5870</v>
      </c>
      <c r="F2039" t="s">
        <v>5868</v>
      </c>
      <c r="G2039">
        <v>3</v>
      </c>
      <c r="H2039">
        <v>1640</v>
      </c>
      <c r="I2039">
        <v>2</v>
      </c>
      <c r="J2039">
        <v>3.4</v>
      </c>
      <c r="K2039">
        <v>3</v>
      </c>
      <c r="L2039">
        <v>4.5999999999999999E-2</v>
      </c>
      <c r="M2039">
        <v>2</v>
      </c>
      <c r="N2039">
        <v>84</v>
      </c>
      <c r="O2039">
        <v>1</v>
      </c>
      <c r="P2039">
        <v>7.4999999999999997E-2</v>
      </c>
      <c r="Q2039">
        <v>2</v>
      </c>
      <c r="R2039">
        <v>2E-3</v>
      </c>
      <c r="T2039" t="s">
        <v>5870</v>
      </c>
    </row>
    <row r="2040" spans="1:20" x14ac:dyDescent="0.2">
      <c r="A2040" t="s">
        <v>5871</v>
      </c>
      <c r="B2040" t="s">
        <v>2022</v>
      </c>
      <c r="C2040" t="s">
        <v>2053</v>
      </c>
      <c r="D2040" t="s">
        <v>2024</v>
      </c>
      <c r="E2040" t="s">
        <v>357</v>
      </c>
      <c r="F2040" t="s">
        <v>447</v>
      </c>
      <c r="G2040">
        <v>5</v>
      </c>
      <c r="H2040">
        <v>1900</v>
      </c>
      <c r="I2040">
        <v>5</v>
      </c>
      <c r="J2040">
        <v>11.55</v>
      </c>
      <c r="K2040">
        <v>5</v>
      </c>
      <c r="L2040">
        <v>0.41499999999999998</v>
      </c>
      <c r="M2040">
        <v>2</v>
      </c>
      <c r="N2040">
        <v>83</v>
      </c>
      <c r="O2040">
        <v>5</v>
      </c>
      <c r="P2040">
        <v>0.67500000000000004</v>
      </c>
      <c r="Q2040">
        <v>5</v>
      </c>
      <c r="R2040">
        <v>2.6200000000000001E-2</v>
      </c>
      <c r="T2040" t="s">
        <v>357</v>
      </c>
    </row>
    <row r="2041" spans="1:20" x14ac:dyDescent="0.2">
      <c r="A2041" t="s">
        <v>5872</v>
      </c>
      <c r="B2041" t="s">
        <v>2022</v>
      </c>
      <c r="C2041" t="s">
        <v>2053</v>
      </c>
      <c r="D2041" t="s">
        <v>2024</v>
      </c>
      <c r="E2041" t="s">
        <v>5873</v>
      </c>
      <c r="F2041" t="s">
        <v>5874</v>
      </c>
      <c r="G2041">
        <v>2</v>
      </c>
      <c r="H2041">
        <v>1600</v>
      </c>
      <c r="I2041">
        <v>3</v>
      </c>
      <c r="J2041">
        <v>6.55</v>
      </c>
      <c r="K2041">
        <v>4</v>
      </c>
      <c r="L2041">
        <v>0.30499999999999999</v>
      </c>
      <c r="M2041">
        <v>4</v>
      </c>
      <c r="N2041">
        <v>103</v>
      </c>
      <c r="O2041">
        <v>3</v>
      </c>
      <c r="P2041">
        <v>0.375</v>
      </c>
      <c r="Q2041">
        <v>4</v>
      </c>
      <c r="R2041">
        <v>1.9199999999999998E-2</v>
      </c>
      <c r="T2041" t="s">
        <v>5873</v>
      </c>
    </row>
    <row r="2042" spans="1:20" x14ac:dyDescent="0.2">
      <c r="A2042" t="s">
        <v>5875</v>
      </c>
      <c r="B2042" t="s">
        <v>2022</v>
      </c>
      <c r="C2042" t="s">
        <v>2053</v>
      </c>
      <c r="D2042" t="s">
        <v>2154</v>
      </c>
      <c r="E2042" t="s">
        <v>5876</v>
      </c>
      <c r="F2042" t="s">
        <v>5877</v>
      </c>
      <c r="G2042">
        <v>5</v>
      </c>
      <c r="H2042">
        <v>1900</v>
      </c>
      <c r="I2042">
        <v>1</v>
      </c>
      <c r="J2042">
        <v>1.55</v>
      </c>
      <c r="K2042">
        <v>1</v>
      </c>
      <c r="L2042">
        <v>1.4999999999999999E-2</v>
      </c>
      <c r="M2042">
        <v>3</v>
      </c>
      <c r="N2042">
        <v>93</v>
      </c>
      <c r="O2042">
        <v>1</v>
      </c>
      <c r="P2042">
        <v>7.4999999999999997E-2</v>
      </c>
      <c r="Q2042">
        <v>1</v>
      </c>
      <c r="R2042">
        <v>8.4999999999999995E-4</v>
      </c>
      <c r="T2042" t="s">
        <v>5876</v>
      </c>
    </row>
    <row r="2043" spans="1:20" x14ac:dyDescent="0.2">
      <c r="A2043" t="s">
        <v>5878</v>
      </c>
      <c r="B2043" t="s">
        <v>2022</v>
      </c>
      <c r="C2043" t="s">
        <v>2036</v>
      </c>
      <c r="D2043" t="s">
        <v>2024</v>
      </c>
      <c r="E2043" t="s">
        <v>5879</v>
      </c>
      <c r="F2043" t="s">
        <v>5880</v>
      </c>
      <c r="G2043">
        <v>5</v>
      </c>
      <c r="H2043">
        <v>1940</v>
      </c>
      <c r="I2043">
        <v>5</v>
      </c>
      <c r="J2043">
        <v>7</v>
      </c>
      <c r="K2043">
        <v>5</v>
      </c>
      <c r="L2043">
        <v>0.17499999999999999</v>
      </c>
      <c r="M2043">
        <v>4</v>
      </c>
      <c r="N2043">
        <v>94</v>
      </c>
      <c r="O2043">
        <v>3</v>
      </c>
      <c r="P2043">
        <v>0.315</v>
      </c>
      <c r="Q2043">
        <v>5</v>
      </c>
      <c r="R2043">
        <v>1.2E-2</v>
      </c>
      <c r="T2043" t="s">
        <v>5879</v>
      </c>
    </row>
    <row r="2044" spans="1:20" x14ac:dyDescent="0.2">
      <c r="A2044" t="s">
        <v>5881</v>
      </c>
      <c r="B2044" t="s">
        <v>2022</v>
      </c>
      <c r="C2044" t="s">
        <v>2023</v>
      </c>
      <c r="D2044" t="s">
        <v>2024</v>
      </c>
      <c r="E2044" t="s">
        <v>5882</v>
      </c>
      <c r="F2044" t="s">
        <v>5883</v>
      </c>
      <c r="G2044">
        <v>3</v>
      </c>
      <c r="H2044">
        <v>1640</v>
      </c>
      <c r="I2044">
        <v>5</v>
      </c>
      <c r="J2044">
        <v>10.9</v>
      </c>
      <c r="K2044">
        <v>5</v>
      </c>
      <c r="L2044">
        <v>8.5999999999999993E-2</v>
      </c>
      <c r="M2044">
        <v>2</v>
      </c>
      <c r="N2044">
        <v>84</v>
      </c>
      <c r="O2044">
        <v>5</v>
      </c>
      <c r="P2044">
        <v>0.67500000000000004</v>
      </c>
      <c r="Q2044">
        <v>5</v>
      </c>
      <c r="R2044">
        <v>8.0000000000000002E-3</v>
      </c>
      <c r="T2044" t="s">
        <v>5882</v>
      </c>
    </row>
    <row r="2045" spans="1:20" x14ac:dyDescent="0.2">
      <c r="A2045" t="s">
        <v>5884</v>
      </c>
      <c r="B2045" t="s">
        <v>2022</v>
      </c>
      <c r="C2045" t="s">
        <v>2101</v>
      </c>
      <c r="D2045" t="s">
        <v>2024</v>
      </c>
      <c r="E2045" t="s">
        <v>5885</v>
      </c>
      <c r="F2045" t="s">
        <v>447</v>
      </c>
      <c r="G2045">
        <v>5</v>
      </c>
      <c r="H2045">
        <v>1970</v>
      </c>
      <c r="I2045">
        <v>2</v>
      </c>
      <c r="J2045">
        <v>5</v>
      </c>
      <c r="K2045">
        <v>2</v>
      </c>
      <c r="L2045">
        <v>9.6500000000000002E-2</v>
      </c>
      <c r="M2045">
        <v>4</v>
      </c>
      <c r="N2045">
        <v>90</v>
      </c>
      <c r="O2045">
        <v>2</v>
      </c>
      <c r="P2045">
        <v>0.22500000000000001</v>
      </c>
      <c r="Q2045">
        <v>2</v>
      </c>
      <c r="R2045">
        <v>4.4999999999999997E-3</v>
      </c>
      <c r="T2045" t="s">
        <v>5885</v>
      </c>
    </row>
    <row r="2046" spans="1:20" x14ac:dyDescent="0.2">
      <c r="A2046" t="s">
        <v>5886</v>
      </c>
      <c r="B2046" t="s">
        <v>2022</v>
      </c>
      <c r="C2046" t="s">
        <v>2036</v>
      </c>
      <c r="D2046" t="s">
        <v>2024</v>
      </c>
      <c r="E2046" t="s">
        <v>5887</v>
      </c>
      <c r="F2046" t="s">
        <v>5888</v>
      </c>
      <c r="G2046">
        <v>3</v>
      </c>
      <c r="H2046">
        <v>1740</v>
      </c>
      <c r="I2046">
        <v>2</v>
      </c>
      <c r="J2046">
        <v>3.4</v>
      </c>
      <c r="K2046">
        <v>2</v>
      </c>
      <c r="L2046">
        <v>8.5000000000000006E-2</v>
      </c>
      <c r="M2046">
        <v>2</v>
      </c>
      <c r="N2046">
        <v>82</v>
      </c>
      <c r="O2046">
        <v>1</v>
      </c>
      <c r="P2046">
        <v>9.5000000000000001E-2</v>
      </c>
      <c r="Q2046">
        <v>2</v>
      </c>
      <c r="R2046">
        <v>4.2500000000000003E-3</v>
      </c>
      <c r="T2046" t="s">
        <v>5887</v>
      </c>
    </row>
    <row r="2047" spans="1:20" x14ac:dyDescent="0.2">
      <c r="A2047" t="s">
        <v>5889</v>
      </c>
      <c r="B2047" t="s">
        <v>2022</v>
      </c>
      <c r="C2047" t="s">
        <v>2173</v>
      </c>
      <c r="D2047" t="s">
        <v>2024</v>
      </c>
      <c r="E2047" t="s">
        <v>5890</v>
      </c>
      <c r="F2047" t="s">
        <v>447</v>
      </c>
      <c r="G2047">
        <v>2</v>
      </c>
      <c r="H2047">
        <v>1957.5</v>
      </c>
      <c r="I2047">
        <v>2</v>
      </c>
      <c r="J2047">
        <v>6.35</v>
      </c>
      <c r="K2047">
        <v>3</v>
      </c>
      <c r="L2047">
        <v>0.21</v>
      </c>
      <c r="M2047">
        <v>1</v>
      </c>
      <c r="N2047">
        <v>96.5</v>
      </c>
      <c r="O2047">
        <v>2</v>
      </c>
      <c r="P2047">
        <v>0.33</v>
      </c>
      <c r="Q2047">
        <v>2</v>
      </c>
      <c r="R2047">
        <v>4.7999999999999996E-3</v>
      </c>
      <c r="T2047" t="s">
        <v>5890</v>
      </c>
    </row>
    <row r="2048" spans="1:20" x14ac:dyDescent="0.2">
      <c r="A2048" t="s">
        <v>5891</v>
      </c>
      <c r="B2048" t="s">
        <v>2022</v>
      </c>
      <c r="C2048" t="s">
        <v>2023</v>
      </c>
      <c r="D2048" t="s">
        <v>2024</v>
      </c>
      <c r="E2048" t="s">
        <v>5892</v>
      </c>
      <c r="F2048" t="s">
        <v>447</v>
      </c>
      <c r="G2048">
        <v>5</v>
      </c>
      <c r="H2048">
        <v>1800</v>
      </c>
      <c r="I2048">
        <v>3</v>
      </c>
      <c r="J2048">
        <v>5.9</v>
      </c>
      <c r="K2048">
        <v>5</v>
      </c>
      <c r="L2048">
        <v>8.5999999999999993E-2</v>
      </c>
      <c r="M2048">
        <v>3</v>
      </c>
      <c r="N2048">
        <v>94</v>
      </c>
      <c r="O2048">
        <v>3</v>
      </c>
      <c r="P2048">
        <v>0.375</v>
      </c>
      <c r="Q2048">
        <v>5</v>
      </c>
      <c r="R2048">
        <v>8.0000000000000002E-3</v>
      </c>
      <c r="T2048" t="s">
        <v>5892</v>
      </c>
    </row>
    <row r="2049" spans="1:20" x14ac:dyDescent="0.2">
      <c r="A2049" t="s">
        <v>5893</v>
      </c>
      <c r="B2049" t="s">
        <v>2022</v>
      </c>
      <c r="C2049" t="s">
        <v>2023</v>
      </c>
      <c r="D2049" t="s">
        <v>2024</v>
      </c>
      <c r="E2049" t="s">
        <v>5894</v>
      </c>
      <c r="F2049" t="s">
        <v>5895</v>
      </c>
      <c r="G2049">
        <v>2</v>
      </c>
      <c r="H2049">
        <v>1560</v>
      </c>
      <c r="I2049">
        <v>3</v>
      </c>
      <c r="J2049">
        <v>5.9</v>
      </c>
      <c r="K2049">
        <v>3</v>
      </c>
      <c r="L2049">
        <v>4.5999999999999999E-2</v>
      </c>
      <c r="M2049">
        <v>2</v>
      </c>
      <c r="N2049">
        <v>84</v>
      </c>
      <c r="O2049">
        <v>2</v>
      </c>
      <c r="P2049">
        <v>0.22500000000000001</v>
      </c>
      <c r="Q2049">
        <v>2</v>
      </c>
      <c r="R2049">
        <v>2E-3</v>
      </c>
      <c r="T2049" t="s">
        <v>5894</v>
      </c>
    </row>
    <row r="2050" spans="1:20" x14ac:dyDescent="0.2">
      <c r="A2050" t="s">
        <v>5896</v>
      </c>
      <c r="B2050" t="s">
        <v>2022</v>
      </c>
      <c r="C2050" t="s">
        <v>2053</v>
      </c>
      <c r="D2050" t="s">
        <v>2024</v>
      </c>
      <c r="E2050" t="s">
        <v>5897</v>
      </c>
      <c r="F2050" t="s">
        <v>5898</v>
      </c>
      <c r="G2050">
        <v>3</v>
      </c>
      <c r="H2050">
        <v>1700</v>
      </c>
      <c r="I2050">
        <v>2</v>
      </c>
      <c r="J2050">
        <v>4.05</v>
      </c>
      <c r="K2050">
        <v>2</v>
      </c>
      <c r="L2050">
        <v>8.5000000000000006E-2</v>
      </c>
      <c r="M2050">
        <v>3</v>
      </c>
      <c r="N2050">
        <v>93</v>
      </c>
      <c r="O2050">
        <v>2</v>
      </c>
      <c r="P2050">
        <v>0.22500000000000001</v>
      </c>
      <c r="Q2050">
        <v>2</v>
      </c>
      <c r="R2050">
        <v>5.1999999999999998E-3</v>
      </c>
      <c r="T2050" t="s">
        <v>5897</v>
      </c>
    </row>
    <row r="2051" spans="1:20" x14ac:dyDescent="0.2">
      <c r="A2051" t="s">
        <v>5899</v>
      </c>
      <c r="B2051" t="s">
        <v>2022</v>
      </c>
      <c r="C2051" t="s">
        <v>2053</v>
      </c>
      <c r="D2051" t="s">
        <v>2136</v>
      </c>
      <c r="E2051" t="s">
        <v>357</v>
      </c>
      <c r="F2051" t="s">
        <v>447</v>
      </c>
      <c r="G2051">
        <v>1</v>
      </c>
      <c r="H2051">
        <v>1500</v>
      </c>
      <c r="I2051">
        <v>1</v>
      </c>
      <c r="J2051">
        <v>1.55</v>
      </c>
      <c r="K2051">
        <v>1</v>
      </c>
      <c r="L2051">
        <v>1.4999999999999999E-2</v>
      </c>
      <c r="M2051">
        <v>5</v>
      </c>
      <c r="N2051">
        <v>113</v>
      </c>
      <c r="O2051">
        <v>5</v>
      </c>
      <c r="P2051">
        <v>0.67500000000000004</v>
      </c>
      <c r="Q2051">
        <v>3</v>
      </c>
      <c r="R2051">
        <v>1.2200000000000001E-2</v>
      </c>
      <c r="T2051" t="s">
        <v>357</v>
      </c>
    </row>
    <row r="2052" spans="1:20" x14ac:dyDescent="0.2">
      <c r="A2052" t="s">
        <v>5900</v>
      </c>
      <c r="B2052" t="s">
        <v>2022</v>
      </c>
      <c r="C2052" t="s">
        <v>2036</v>
      </c>
      <c r="D2052" t="s">
        <v>2024</v>
      </c>
      <c r="E2052" t="s">
        <v>5901</v>
      </c>
      <c r="F2052" t="s">
        <v>5902</v>
      </c>
      <c r="G2052">
        <v>5</v>
      </c>
      <c r="H2052">
        <v>1940</v>
      </c>
      <c r="I2052">
        <v>5</v>
      </c>
      <c r="J2052">
        <v>7</v>
      </c>
      <c r="K2052">
        <v>5</v>
      </c>
      <c r="L2052">
        <v>0.17499999999999999</v>
      </c>
      <c r="M2052">
        <v>5</v>
      </c>
      <c r="N2052">
        <v>100</v>
      </c>
      <c r="O2052">
        <v>5</v>
      </c>
      <c r="P2052">
        <v>0.53500000000000003</v>
      </c>
      <c r="Q2052">
        <v>5</v>
      </c>
      <c r="R2052">
        <v>1.2E-2</v>
      </c>
      <c r="T2052" t="s">
        <v>5901</v>
      </c>
    </row>
    <row r="2053" spans="1:20" x14ac:dyDescent="0.2">
      <c r="A2053" t="s">
        <v>5903</v>
      </c>
      <c r="B2053" t="s">
        <v>2022</v>
      </c>
      <c r="C2053" t="s">
        <v>2023</v>
      </c>
      <c r="D2053" t="s">
        <v>2024</v>
      </c>
      <c r="E2053" t="s">
        <v>5904</v>
      </c>
      <c r="F2053" t="s">
        <v>5905</v>
      </c>
      <c r="G2053">
        <v>3</v>
      </c>
      <c r="H2053">
        <v>1640</v>
      </c>
      <c r="I2053">
        <v>5</v>
      </c>
      <c r="J2053">
        <v>10.9</v>
      </c>
      <c r="K2053">
        <v>5</v>
      </c>
      <c r="L2053">
        <v>8.5999999999999993E-2</v>
      </c>
      <c r="M2053">
        <v>2</v>
      </c>
      <c r="N2053">
        <v>84</v>
      </c>
      <c r="O2053">
        <v>5</v>
      </c>
      <c r="P2053">
        <v>0.67500000000000004</v>
      </c>
      <c r="Q2053">
        <v>5</v>
      </c>
      <c r="R2053">
        <v>8.0000000000000002E-3</v>
      </c>
      <c r="T2053" t="s">
        <v>5904</v>
      </c>
    </row>
    <row r="2054" spans="1:20" x14ac:dyDescent="0.2">
      <c r="A2054" t="s">
        <v>5906</v>
      </c>
      <c r="B2054" t="s">
        <v>2022</v>
      </c>
      <c r="C2054" t="s">
        <v>2036</v>
      </c>
      <c r="D2054" t="s">
        <v>2024</v>
      </c>
      <c r="E2054" t="s">
        <v>5907</v>
      </c>
      <c r="F2054" t="s">
        <v>5908</v>
      </c>
      <c r="G2054">
        <v>1</v>
      </c>
      <c r="H2054">
        <v>1540</v>
      </c>
      <c r="I2054">
        <v>1</v>
      </c>
      <c r="J2054">
        <v>2.2000000000000002</v>
      </c>
      <c r="K2054">
        <v>1</v>
      </c>
      <c r="L2054">
        <v>5.5E-2</v>
      </c>
      <c r="M2054">
        <v>1</v>
      </c>
      <c r="N2054">
        <v>76</v>
      </c>
      <c r="O2054">
        <v>1</v>
      </c>
      <c r="P2054">
        <v>9.5000000000000001E-2</v>
      </c>
      <c r="Q2054">
        <v>1</v>
      </c>
      <c r="R2054">
        <v>1.5E-3</v>
      </c>
      <c r="T2054" t="s">
        <v>5907</v>
      </c>
    </row>
    <row r="2055" spans="1:20" x14ac:dyDescent="0.2">
      <c r="A2055" t="s">
        <v>5909</v>
      </c>
      <c r="B2055" t="s">
        <v>2022</v>
      </c>
      <c r="C2055" t="s">
        <v>2023</v>
      </c>
      <c r="D2055" t="s">
        <v>2154</v>
      </c>
      <c r="E2055" t="s">
        <v>5910</v>
      </c>
      <c r="F2055" t="s">
        <v>5911</v>
      </c>
      <c r="G2055">
        <v>5</v>
      </c>
      <c r="H2055">
        <v>1800</v>
      </c>
      <c r="I2055">
        <v>3</v>
      </c>
      <c r="J2055">
        <v>5.9</v>
      </c>
      <c r="K2055">
        <v>2</v>
      </c>
      <c r="L2055">
        <v>2.5999999999999999E-2</v>
      </c>
      <c r="M2055">
        <v>2</v>
      </c>
      <c r="N2055">
        <v>84</v>
      </c>
      <c r="O2055">
        <v>2</v>
      </c>
      <c r="P2055">
        <v>0.22500000000000001</v>
      </c>
      <c r="Q2055">
        <v>1</v>
      </c>
      <c r="R2055">
        <v>5.0000000000000001E-4</v>
      </c>
      <c r="T2055" t="s">
        <v>5910</v>
      </c>
    </row>
    <row r="2056" spans="1:20" x14ac:dyDescent="0.2">
      <c r="A2056" t="s">
        <v>5912</v>
      </c>
      <c r="B2056" t="s">
        <v>2022</v>
      </c>
      <c r="C2056" t="s">
        <v>2222</v>
      </c>
      <c r="D2056" t="s">
        <v>2024</v>
      </c>
      <c r="E2056" t="s">
        <v>5913</v>
      </c>
      <c r="F2056" t="s">
        <v>5914</v>
      </c>
      <c r="G2056">
        <v>2</v>
      </c>
      <c r="H2056">
        <v>1550</v>
      </c>
      <c r="I2056">
        <v>4</v>
      </c>
      <c r="J2056">
        <v>7.1</v>
      </c>
      <c r="K2056">
        <v>4</v>
      </c>
      <c r="L2056">
        <v>0.19500000000000001</v>
      </c>
      <c r="M2056">
        <v>3</v>
      </c>
      <c r="N2056">
        <v>67</v>
      </c>
      <c r="O2056">
        <v>4</v>
      </c>
      <c r="P2056">
        <v>0.31</v>
      </c>
      <c r="Q2056">
        <v>4</v>
      </c>
      <c r="R2056">
        <v>8.3000000000000001E-3</v>
      </c>
      <c r="T2056" t="s">
        <v>5913</v>
      </c>
    </row>
    <row r="2057" spans="1:20" x14ac:dyDescent="0.2">
      <c r="A2057" t="s">
        <v>5915</v>
      </c>
      <c r="B2057" t="s">
        <v>2022</v>
      </c>
      <c r="C2057" t="s">
        <v>2023</v>
      </c>
      <c r="D2057" t="s">
        <v>2024</v>
      </c>
      <c r="E2057" t="s">
        <v>5916</v>
      </c>
      <c r="F2057" t="s">
        <v>447</v>
      </c>
      <c r="G2057">
        <v>3</v>
      </c>
      <c r="H2057">
        <v>1640</v>
      </c>
      <c r="I2057">
        <v>3</v>
      </c>
      <c r="J2057">
        <v>5.9</v>
      </c>
      <c r="K2057">
        <v>5</v>
      </c>
      <c r="L2057">
        <v>8.5999999999999993E-2</v>
      </c>
      <c r="M2057">
        <v>2</v>
      </c>
      <c r="N2057">
        <v>84</v>
      </c>
      <c r="O2057">
        <v>3</v>
      </c>
      <c r="P2057">
        <v>0.375</v>
      </c>
      <c r="Q2057">
        <v>4</v>
      </c>
      <c r="R2057">
        <v>6.0000000000000001E-3</v>
      </c>
      <c r="T2057" t="s">
        <v>5916</v>
      </c>
    </row>
    <row r="2058" spans="1:20" x14ac:dyDescent="0.2">
      <c r="A2058" t="s">
        <v>5917</v>
      </c>
      <c r="B2058" t="s">
        <v>2022</v>
      </c>
      <c r="C2058" t="s">
        <v>2023</v>
      </c>
      <c r="D2058" t="s">
        <v>2024</v>
      </c>
      <c r="E2058" t="s">
        <v>5918</v>
      </c>
      <c r="F2058" t="s">
        <v>5919</v>
      </c>
      <c r="G2058">
        <v>3</v>
      </c>
      <c r="H2058">
        <v>1640</v>
      </c>
      <c r="I2058">
        <v>1</v>
      </c>
      <c r="J2058">
        <v>0.9</v>
      </c>
      <c r="K2058">
        <v>1</v>
      </c>
      <c r="L2058">
        <v>6.0000000000000001E-3</v>
      </c>
      <c r="M2058">
        <v>1</v>
      </c>
      <c r="N2058">
        <v>74</v>
      </c>
      <c r="O2058">
        <v>1</v>
      </c>
      <c r="P2058">
        <v>7.4999999999999997E-2</v>
      </c>
      <c r="Q2058">
        <v>1</v>
      </c>
      <c r="R2058">
        <v>5.0000000000000001E-4</v>
      </c>
      <c r="T2058" t="s">
        <v>5918</v>
      </c>
    </row>
    <row r="2059" spans="1:20" x14ac:dyDescent="0.2">
      <c r="A2059" t="s">
        <v>5920</v>
      </c>
      <c r="B2059" t="s">
        <v>2022</v>
      </c>
      <c r="C2059" t="s">
        <v>2023</v>
      </c>
      <c r="D2059" t="s">
        <v>2024</v>
      </c>
      <c r="E2059" t="s">
        <v>5921</v>
      </c>
      <c r="F2059" t="s">
        <v>5922</v>
      </c>
      <c r="G2059">
        <v>4</v>
      </c>
      <c r="H2059">
        <v>1720</v>
      </c>
      <c r="I2059">
        <v>2</v>
      </c>
      <c r="J2059">
        <v>3.4</v>
      </c>
      <c r="K2059">
        <v>2</v>
      </c>
      <c r="L2059">
        <v>2.5999999999999999E-2</v>
      </c>
      <c r="M2059">
        <v>2</v>
      </c>
      <c r="N2059">
        <v>84</v>
      </c>
      <c r="O2059">
        <v>2</v>
      </c>
      <c r="P2059">
        <v>0.22500000000000001</v>
      </c>
      <c r="Q2059">
        <v>1</v>
      </c>
      <c r="R2059">
        <v>5.0000000000000001E-4</v>
      </c>
      <c r="T2059" t="s">
        <v>5921</v>
      </c>
    </row>
    <row r="2060" spans="1:20" x14ac:dyDescent="0.2">
      <c r="A2060" t="s">
        <v>5923</v>
      </c>
      <c r="B2060" t="s">
        <v>2022</v>
      </c>
      <c r="C2060" t="s">
        <v>2053</v>
      </c>
      <c r="D2060" t="s">
        <v>2024</v>
      </c>
      <c r="E2060" t="s">
        <v>357</v>
      </c>
      <c r="F2060" t="s">
        <v>447</v>
      </c>
      <c r="G2060">
        <v>2</v>
      </c>
      <c r="H2060">
        <v>1600</v>
      </c>
      <c r="I2060">
        <v>1</v>
      </c>
      <c r="J2060">
        <v>1.55</v>
      </c>
      <c r="K2060">
        <v>2</v>
      </c>
      <c r="L2060">
        <v>8.5000000000000006E-2</v>
      </c>
      <c r="M2060">
        <v>2</v>
      </c>
      <c r="N2060">
        <v>83</v>
      </c>
      <c r="O2060">
        <v>1</v>
      </c>
      <c r="P2060">
        <v>7.4999999999999997E-2</v>
      </c>
      <c r="Q2060">
        <v>2</v>
      </c>
      <c r="R2060">
        <v>5.1999999999999998E-3</v>
      </c>
      <c r="T2060" t="s">
        <v>357</v>
      </c>
    </row>
    <row r="2061" spans="1:20" x14ac:dyDescent="0.2">
      <c r="A2061" t="s">
        <v>5924</v>
      </c>
      <c r="B2061" t="s">
        <v>2022</v>
      </c>
      <c r="C2061" t="s">
        <v>2053</v>
      </c>
      <c r="D2061" t="s">
        <v>2154</v>
      </c>
      <c r="E2061" t="s">
        <v>5925</v>
      </c>
      <c r="F2061" t="s">
        <v>5926</v>
      </c>
      <c r="G2061">
        <v>2</v>
      </c>
      <c r="H2061">
        <v>1600</v>
      </c>
      <c r="I2061">
        <v>5</v>
      </c>
      <c r="J2061">
        <v>11.55</v>
      </c>
      <c r="K2061">
        <v>5</v>
      </c>
      <c r="L2061">
        <v>0.41499999999999998</v>
      </c>
      <c r="M2061">
        <v>3</v>
      </c>
      <c r="N2061">
        <v>93</v>
      </c>
      <c r="O2061">
        <v>5</v>
      </c>
      <c r="P2061">
        <v>0.67500000000000004</v>
      </c>
      <c r="Q2061">
        <v>4</v>
      </c>
      <c r="R2061">
        <v>1.9199999999999998E-2</v>
      </c>
      <c r="T2061" t="s">
        <v>5925</v>
      </c>
    </row>
    <row r="2062" spans="1:20" x14ac:dyDescent="0.2">
      <c r="A2062" t="s">
        <v>5927</v>
      </c>
      <c r="B2062" t="s">
        <v>2022</v>
      </c>
      <c r="C2062" t="s">
        <v>2053</v>
      </c>
      <c r="D2062" t="s">
        <v>2024</v>
      </c>
      <c r="E2062" t="s">
        <v>5928</v>
      </c>
      <c r="F2062" t="s">
        <v>5929</v>
      </c>
      <c r="G2062">
        <v>2</v>
      </c>
      <c r="H2062">
        <v>1600</v>
      </c>
      <c r="I2062">
        <v>3</v>
      </c>
      <c r="J2062">
        <v>6.55</v>
      </c>
      <c r="K2062">
        <v>2</v>
      </c>
      <c r="L2062">
        <v>8.5000000000000006E-2</v>
      </c>
      <c r="M2062">
        <v>2</v>
      </c>
      <c r="N2062">
        <v>83</v>
      </c>
      <c r="O2062">
        <v>2</v>
      </c>
      <c r="P2062">
        <v>0.22500000000000001</v>
      </c>
      <c r="Q2062">
        <v>2</v>
      </c>
      <c r="R2062">
        <v>5.1999999999999998E-3</v>
      </c>
      <c r="T2062" t="s">
        <v>5928</v>
      </c>
    </row>
    <row r="2063" spans="1:20" x14ac:dyDescent="0.2">
      <c r="A2063" t="s">
        <v>5930</v>
      </c>
      <c r="B2063" t="s">
        <v>2022</v>
      </c>
      <c r="C2063" t="s">
        <v>2036</v>
      </c>
      <c r="D2063" t="s">
        <v>2024</v>
      </c>
      <c r="E2063" t="s">
        <v>357</v>
      </c>
      <c r="F2063" t="s">
        <v>5931</v>
      </c>
      <c r="G2063">
        <v>2</v>
      </c>
      <c r="H2063">
        <v>1640</v>
      </c>
      <c r="I2063">
        <v>3</v>
      </c>
      <c r="J2063">
        <v>4.5999999999999996</v>
      </c>
      <c r="K2063">
        <v>3</v>
      </c>
      <c r="L2063">
        <v>0.115</v>
      </c>
      <c r="M2063">
        <v>3</v>
      </c>
      <c r="N2063">
        <v>88</v>
      </c>
      <c r="O2063">
        <v>3</v>
      </c>
      <c r="P2063">
        <v>0.315</v>
      </c>
      <c r="Q2063">
        <v>3</v>
      </c>
      <c r="R2063">
        <v>6.7499999999999999E-3</v>
      </c>
      <c r="T2063" t="s">
        <v>357</v>
      </c>
    </row>
    <row r="2064" spans="1:20" x14ac:dyDescent="0.2">
      <c r="A2064" t="s">
        <v>5932</v>
      </c>
      <c r="B2064" t="s">
        <v>2022</v>
      </c>
      <c r="C2064" t="s">
        <v>2023</v>
      </c>
      <c r="D2064" t="s">
        <v>2024</v>
      </c>
      <c r="E2064" t="s">
        <v>5933</v>
      </c>
      <c r="F2064" t="s">
        <v>5934</v>
      </c>
      <c r="G2064">
        <v>3</v>
      </c>
      <c r="H2064">
        <v>1640</v>
      </c>
      <c r="I2064">
        <v>1</v>
      </c>
      <c r="J2064">
        <v>0.9</v>
      </c>
      <c r="K2064">
        <v>1</v>
      </c>
      <c r="L2064">
        <v>6.0000000000000001E-3</v>
      </c>
      <c r="M2064">
        <v>3</v>
      </c>
      <c r="N2064">
        <v>94</v>
      </c>
      <c r="O2064">
        <v>1</v>
      </c>
      <c r="P2064">
        <v>7.4999999999999997E-2</v>
      </c>
      <c r="Q2064">
        <v>1</v>
      </c>
      <c r="R2064">
        <v>5.0000000000000001E-4</v>
      </c>
      <c r="T2064" t="s">
        <v>5933</v>
      </c>
    </row>
    <row r="2065" spans="1:20" x14ac:dyDescent="0.2">
      <c r="A2065" t="s">
        <v>5935</v>
      </c>
      <c r="B2065" t="s">
        <v>2022</v>
      </c>
      <c r="C2065" t="s">
        <v>2053</v>
      </c>
      <c r="D2065" t="s">
        <v>2154</v>
      </c>
      <c r="E2065" t="s">
        <v>5936</v>
      </c>
      <c r="F2065" t="s">
        <v>5937</v>
      </c>
      <c r="G2065">
        <v>1</v>
      </c>
      <c r="H2065">
        <v>1500</v>
      </c>
      <c r="I2065">
        <v>2</v>
      </c>
      <c r="J2065">
        <v>4.05</v>
      </c>
      <c r="K2065">
        <v>2</v>
      </c>
      <c r="L2065">
        <v>8.5000000000000006E-2</v>
      </c>
      <c r="M2065">
        <v>4</v>
      </c>
      <c r="N2065">
        <v>103</v>
      </c>
      <c r="O2065">
        <v>3</v>
      </c>
      <c r="P2065">
        <v>0.375</v>
      </c>
      <c r="Q2065">
        <v>3</v>
      </c>
      <c r="R2065">
        <v>1.2200000000000001E-2</v>
      </c>
      <c r="T2065" t="s">
        <v>5936</v>
      </c>
    </row>
    <row r="2066" spans="1:20" x14ac:dyDescent="0.2">
      <c r="A2066" t="s">
        <v>5938</v>
      </c>
      <c r="B2066" t="s">
        <v>2022</v>
      </c>
      <c r="C2066" t="s">
        <v>2023</v>
      </c>
      <c r="D2066" t="s">
        <v>2024</v>
      </c>
      <c r="E2066" t="s">
        <v>5939</v>
      </c>
      <c r="F2066" t="s">
        <v>5940</v>
      </c>
      <c r="G2066">
        <v>1</v>
      </c>
      <c r="H2066">
        <v>1480</v>
      </c>
      <c r="I2066">
        <v>3</v>
      </c>
      <c r="J2066">
        <v>5.9</v>
      </c>
      <c r="K2066">
        <v>2</v>
      </c>
      <c r="L2066">
        <v>2.5999999999999999E-2</v>
      </c>
      <c r="M2066">
        <v>1</v>
      </c>
      <c r="N2066">
        <v>74</v>
      </c>
      <c r="O2066">
        <v>2</v>
      </c>
      <c r="P2066">
        <v>0.22500000000000001</v>
      </c>
      <c r="Q2066">
        <v>2</v>
      </c>
      <c r="R2066">
        <v>2E-3</v>
      </c>
      <c r="T2066" t="s">
        <v>5939</v>
      </c>
    </row>
    <row r="2067" spans="1:20" x14ac:dyDescent="0.2">
      <c r="A2067" t="s">
        <v>5941</v>
      </c>
      <c r="B2067" t="s">
        <v>2022</v>
      </c>
      <c r="C2067" t="s">
        <v>2053</v>
      </c>
      <c r="D2067" t="s">
        <v>2024</v>
      </c>
      <c r="E2067" t="s">
        <v>5942</v>
      </c>
      <c r="F2067" t="s">
        <v>5943</v>
      </c>
      <c r="G2067">
        <v>1</v>
      </c>
      <c r="H2067">
        <v>1500</v>
      </c>
      <c r="I2067">
        <v>5</v>
      </c>
      <c r="J2067">
        <v>11.55</v>
      </c>
      <c r="K2067">
        <v>3</v>
      </c>
      <c r="L2067">
        <v>0.19500000000000001</v>
      </c>
      <c r="M2067">
        <v>1</v>
      </c>
      <c r="N2067">
        <v>73</v>
      </c>
      <c r="O2067">
        <v>4</v>
      </c>
      <c r="P2067">
        <v>0.52500000000000002</v>
      </c>
      <c r="Q2067">
        <v>3</v>
      </c>
      <c r="R2067">
        <v>1.2200000000000001E-2</v>
      </c>
      <c r="T2067" t="s">
        <v>5942</v>
      </c>
    </row>
    <row r="2068" spans="1:20" x14ac:dyDescent="0.2">
      <c r="A2068" t="s">
        <v>5944</v>
      </c>
      <c r="B2068" t="s">
        <v>2022</v>
      </c>
      <c r="C2068" t="s">
        <v>2023</v>
      </c>
      <c r="D2068" t="s">
        <v>2024</v>
      </c>
      <c r="E2068" t="s">
        <v>5945</v>
      </c>
      <c r="F2068" t="s">
        <v>5946</v>
      </c>
      <c r="G2068">
        <v>4</v>
      </c>
      <c r="H2068">
        <v>1720</v>
      </c>
      <c r="I2068">
        <v>1</v>
      </c>
      <c r="J2068">
        <v>0.9</v>
      </c>
      <c r="K2068">
        <v>1</v>
      </c>
      <c r="L2068">
        <v>6.0000000000000001E-3</v>
      </c>
      <c r="M2068">
        <v>3</v>
      </c>
      <c r="N2068">
        <v>94</v>
      </c>
      <c r="O2068">
        <v>1</v>
      </c>
      <c r="P2068">
        <v>7.4999999999999997E-2</v>
      </c>
      <c r="Q2068">
        <v>1</v>
      </c>
      <c r="R2068">
        <v>5.0000000000000001E-4</v>
      </c>
      <c r="T2068" t="s">
        <v>5945</v>
      </c>
    </row>
    <row r="2069" spans="1:20" x14ac:dyDescent="0.2">
      <c r="A2069" t="s">
        <v>5947</v>
      </c>
      <c r="B2069" t="s">
        <v>2022</v>
      </c>
      <c r="C2069" t="s">
        <v>2023</v>
      </c>
      <c r="D2069" t="s">
        <v>2024</v>
      </c>
      <c r="E2069" t="s">
        <v>5948</v>
      </c>
      <c r="F2069" t="s">
        <v>5949</v>
      </c>
      <c r="G2069">
        <v>4</v>
      </c>
      <c r="H2069">
        <v>1720</v>
      </c>
      <c r="I2069">
        <v>2</v>
      </c>
      <c r="J2069">
        <v>3.4</v>
      </c>
      <c r="K2069">
        <v>2</v>
      </c>
      <c r="L2069">
        <v>2.5999999999999999E-2</v>
      </c>
      <c r="M2069">
        <v>3</v>
      </c>
      <c r="N2069">
        <v>94</v>
      </c>
      <c r="O2069">
        <v>2</v>
      </c>
      <c r="P2069">
        <v>0.22500000000000001</v>
      </c>
      <c r="Q2069">
        <v>2</v>
      </c>
      <c r="R2069">
        <v>2E-3</v>
      </c>
      <c r="T2069" t="s">
        <v>5948</v>
      </c>
    </row>
    <row r="2070" spans="1:20" x14ac:dyDescent="0.2">
      <c r="A2070" t="s">
        <v>5950</v>
      </c>
      <c r="B2070" t="s">
        <v>2022</v>
      </c>
      <c r="C2070" t="s">
        <v>2053</v>
      </c>
      <c r="D2070" t="s">
        <v>2024</v>
      </c>
      <c r="E2070" t="s">
        <v>5951</v>
      </c>
      <c r="F2070" t="s">
        <v>5952</v>
      </c>
      <c r="G2070">
        <v>2</v>
      </c>
      <c r="H2070">
        <v>1600</v>
      </c>
      <c r="I2070">
        <v>2</v>
      </c>
      <c r="J2070">
        <v>4.05</v>
      </c>
      <c r="K2070">
        <v>3</v>
      </c>
      <c r="L2070">
        <v>0.19500000000000001</v>
      </c>
      <c r="M2070">
        <v>3</v>
      </c>
      <c r="N2070">
        <v>93</v>
      </c>
      <c r="O2070">
        <v>2</v>
      </c>
      <c r="P2070">
        <v>0.22500000000000001</v>
      </c>
      <c r="Q2070">
        <v>2</v>
      </c>
      <c r="R2070">
        <v>5.1999999999999998E-3</v>
      </c>
      <c r="T2070" t="s">
        <v>5951</v>
      </c>
    </row>
    <row r="2071" spans="1:20" x14ac:dyDescent="0.2">
      <c r="A2071" t="s">
        <v>5953</v>
      </c>
      <c r="B2071" t="s">
        <v>2022</v>
      </c>
      <c r="C2071" t="s">
        <v>2222</v>
      </c>
      <c r="D2071" t="s">
        <v>2024</v>
      </c>
      <c r="E2071" t="s">
        <v>5954</v>
      </c>
      <c r="F2071" t="s">
        <v>447</v>
      </c>
      <c r="G2071">
        <v>5</v>
      </c>
      <c r="H2071">
        <v>1850</v>
      </c>
      <c r="I2071">
        <v>5</v>
      </c>
      <c r="J2071">
        <v>8.6999999999999993</v>
      </c>
      <c r="K2071">
        <v>2</v>
      </c>
      <c r="L2071">
        <v>5.5E-2</v>
      </c>
      <c r="M2071">
        <v>1</v>
      </c>
      <c r="N2071">
        <v>59</v>
      </c>
      <c r="O2071">
        <v>4</v>
      </c>
      <c r="P2071">
        <v>0.31</v>
      </c>
      <c r="Q2071">
        <v>2</v>
      </c>
      <c r="R2071">
        <v>2.3E-3</v>
      </c>
      <c r="T2071" t="s">
        <v>5954</v>
      </c>
    </row>
    <row r="2072" spans="1:20" x14ac:dyDescent="0.2">
      <c r="A2072" t="s">
        <v>5955</v>
      </c>
      <c r="B2072" t="s">
        <v>2022</v>
      </c>
      <c r="C2072" t="s">
        <v>2023</v>
      </c>
      <c r="D2072" t="s">
        <v>2024</v>
      </c>
      <c r="E2072" t="s">
        <v>5956</v>
      </c>
      <c r="F2072" t="s">
        <v>5957</v>
      </c>
      <c r="G2072">
        <v>2</v>
      </c>
      <c r="H2072">
        <v>1560</v>
      </c>
      <c r="I2072">
        <v>2</v>
      </c>
      <c r="J2072">
        <v>3.4</v>
      </c>
      <c r="K2072">
        <v>2</v>
      </c>
      <c r="L2072">
        <v>2.5999999999999999E-2</v>
      </c>
      <c r="M2072">
        <v>1</v>
      </c>
      <c r="N2072">
        <v>74</v>
      </c>
      <c r="O2072">
        <v>1</v>
      </c>
      <c r="P2072">
        <v>7.4999999999999997E-2</v>
      </c>
      <c r="Q2072">
        <v>1</v>
      </c>
      <c r="R2072">
        <v>5.0000000000000001E-4</v>
      </c>
      <c r="T2072" t="s">
        <v>5956</v>
      </c>
    </row>
    <row r="2073" spans="1:20" x14ac:dyDescent="0.2">
      <c r="A2073" t="s">
        <v>5958</v>
      </c>
      <c r="B2073" t="s">
        <v>2022</v>
      </c>
      <c r="C2073" t="s">
        <v>2036</v>
      </c>
      <c r="D2073" t="s">
        <v>2024</v>
      </c>
      <c r="E2073" t="s">
        <v>5959</v>
      </c>
      <c r="F2073" t="s">
        <v>5960</v>
      </c>
      <c r="G2073">
        <v>5</v>
      </c>
      <c r="H2073">
        <v>1940</v>
      </c>
      <c r="I2073">
        <v>1</v>
      </c>
      <c r="J2073">
        <v>2.2000000000000002</v>
      </c>
      <c r="K2073">
        <v>2</v>
      </c>
      <c r="L2073">
        <v>8.5000000000000006E-2</v>
      </c>
      <c r="M2073">
        <v>2</v>
      </c>
      <c r="N2073">
        <v>82</v>
      </c>
      <c r="O2073">
        <v>1</v>
      </c>
      <c r="P2073">
        <v>9.5000000000000001E-2</v>
      </c>
      <c r="Q2073">
        <v>2</v>
      </c>
      <c r="R2073">
        <v>4.2500000000000003E-3</v>
      </c>
      <c r="T2073" t="s">
        <v>5959</v>
      </c>
    </row>
    <row r="2074" spans="1:20" x14ac:dyDescent="0.2">
      <c r="A2074" t="s">
        <v>5961</v>
      </c>
      <c r="B2074" t="s">
        <v>2022</v>
      </c>
      <c r="C2074" t="s">
        <v>2049</v>
      </c>
      <c r="D2074" t="s">
        <v>2024</v>
      </c>
      <c r="E2074" t="s">
        <v>5962</v>
      </c>
      <c r="F2074" t="s">
        <v>5963</v>
      </c>
      <c r="G2074">
        <v>2</v>
      </c>
      <c r="H2074">
        <v>1450</v>
      </c>
      <c r="I2074">
        <v>2</v>
      </c>
      <c r="J2074">
        <v>3.2</v>
      </c>
      <c r="K2074">
        <v>2</v>
      </c>
      <c r="L2074">
        <v>0.06</v>
      </c>
      <c r="M2074">
        <v>4</v>
      </c>
      <c r="N2074">
        <v>146</v>
      </c>
      <c r="O2074">
        <v>2</v>
      </c>
      <c r="P2074">
        <v>0.26</v>
      </c>
      <c r="Q2074">
        <v>2</v>
      </c>
      <c r="R2074">
        <v>6.1999999999999998E-3</v>
      </c>
      <c r="T2074" t="s">
        <v>5962</v>
      </c>
    </row>
    <row r="2075" spans="1:20" x14ac:dyDescent="0.2">
      <c r="A2075" t="s">
        <v>5964</v>
      </c>
      <c r="B2075" t="s">
        <v>2022</v>
      </c>
      <c r="C2075" t="s">
        <v>2053</v>
      </c>
      <c r="D2075" t="s">
        <v>2024</v>
      </c>
      <c r="E2075" t="s">
        <v>5965</v>
      </c>
      <c r="F2075" t="s">
        <v>5966</v>
      </c>
      <c r="G2075">
        <v>4</v>
      </c>
      <c r="H2075">
        <v>1800</v>
      </c>
      <c r="I2075">
        <v>5</v>
      </c>
      <c r="J2075">
        <v>11.55</v>
      </c>
      <c r="K2075">
        <v>3</v>
      </c>
      <c r="L2075">
        <v>0.19500000000000001</v>
      </c>
      <c r="M2075">
        <v>2</v>
      </c>
      <c r="N2075">
        <v>83</v>
      </c>
      <c r="O2075">
        <v>4</v>
      </c>
      <c r="P2075">
        <v>0.52500000000000002</v>
      </c>
      <c r="Q2075">
        <v>3</v>
      </c>
      <c r="R2075">
        <v>1.2200000000000001E-2</v>
      </c>
      <c r="T2075" t="s">
        <v>5965</v>
      </c>
    </row>
    <row r="2076" spans="1:20" x14ac:dyDescent="0.2">
      <c r="A2076" t="s">
        <v>5967</v>
      </c>
      <c r="B2076" t="s">
        <v>2022</v>
      </c>
      <c r="C2076" t="s">
        <v>2023</v>
      </c>
      <c r="D2076" t="s">
        <v>2024</v>
      </c>
      <c r="E2076" t="s">
        <v>5968</v>
      </c>
      <c r="F2076" t="s">
        <v>5969</v>
      </c>
      <c r="G2076">
        <v>1</v>
      </c>
      <c r="H2076">
        <v>1480</v>
      </c>
      <c r="I2076">
        <v>1</v>
      </c>
      <c r="J2076">
        <v>0.9</v>
      </c>
      <c r="K2076">
        <v>1</v>
      </c>
      <c r="L2076">
        <v>6.0000000000000001E-3</v>
      </c>
      <c r="M2076">
        <v>1</v>
      </c>
      <c r="N2076">
        <v>74</v>
      </c>
      <c r="O2076">
        <v>1</v>
      </c>
      <c r="P2076">
        <v>7.4999999999999997E-2</v>
      </c>
      <c r="Q2076">
        <v>1</v>
      </c>
      <c r="R2076">
        <v>5.0000000000000001E-4</v>
      </c>
      <c r="T2076" t="s">
        <v>5968</v>
      </c>
    </row>
    <row r="2077" spans="1:20" x14ac:dyDescent="0.2">
      <c r="A2077" t="s">
        <v>5970</v>
      </c>
      <c r="B2077" t="s">
        <v>2022</v>
      </c>
      <c r="C2077" t="s">
        <v>2036</v>
      </c>
      <c r="D2077" t="s">
        <v>2024</v>
      </c>
      <c r="E2077" t="s">
        <v>5971</v>
      </c>
      <c r="F2077" t="s">
        <v>447</v>
      </c>
      <c r="G2077">
        <v>3</v>
      </c>
      <c r="H2077">
        <v>1740</v>
      </c>
      <c r="I2077">
        <v>3</v>
      </c>
      <c r="J2077">
        <v>4.5999999999999996</v>
      </c>
      <c r="K2077">
        <v>1</v>
      </c>
      <c r="L2077">
        <v>5.5E-2</v>
      </c>
      <c r="M2077">
        <v>3</v>
      </c>
      <c r="N2077">
        <v>88</v>
      </c>
      <c r="O2077">
        <v>2</v>
      </c>
      <c r="P2077">
        <v>0.20499999999999999</v>
      </c>
      <c r="Q2077">
        <v>1</v>
      </c>
      <c r="R2077">
        <v>1.5E-3</v>
      </c>
      <c r="T2077" t="s">
        <v>5971</v>
      </c>
    </row>
    <row r="2078" spans="1:20" x14ac:dyDescent="0.2">
      <c r="A2078" t="s">
        <v>5972</v>
      </c>
      <c r="B2078" t="s">
        <v>2022</v>
      </c>
      <c r="C2078" t="s">
        <v>2023</v>
      </c>
      <c r="D2078" t="s">
        <v>2024</v>
      </c>
      <c r="E2078" t="s">
        <v>5973</v>
      </c>
      <c r="F2078" t="s">
        <v>5974</v>
      </c>
      <c r="G2078">
        <v>1</v>
      </c>
      <c r="H2078">
        <v>1480</v>
      </c>
      <c r="I2078">
        <v>2</v>
      </c>
      <c r="J2078">
        <v>3.4</v>
      </c>
      <c r="K2078">
        <v>5</v>
      </c>
      <c r="L2078">
        <v>8.5999999999999993E-2</v>
      </c>
      <c r="M2078">
        <v>3</v>
      </c>
      <c r="N2078">
        <v>94</v>
      </c>
      <c r="O2078">
        <v>2</v>
      </c>
      <c r="P2078">
        <v>0.22500000000000001</v>
      </c>
      <c r="Q2078">
        <v>4</v>
      </c>
      <c r="R2078">
        <v>6.0000000000000001E-3</v>
      </c>
      <c r="T2078" t="s">
        <v>5973</v>
      </c>
    </row>
    <row r="2079" spans="1:20" x14ac:dyDescent="0.2">
      <c r="A2079" t="s">
        <v>5975</v>
      </c>
      <c r="B2079" t="s">
        <v>2022</v>
      </c>
      <c r="C2079" t="s">
        <v>2036</v>
      </c>
      <c r="D2079" t="s">
        <v>2024</v>
      </c>
      <c r="E2079" t="s">
        <v>5976</v>
      </c>
      <c r="F2079" t="s">
        <v>5977</v>
      </c>
      <c r="G2079">
        <v>3</v>
      </c>
      <c r="H2079">
        <v>1740</v>
      </c>
      <c r="I2079">
        <v>2</v>
      </c>
      <c r="J2079">
        <v>3.4</v>
      </c>
      <c r="K2079">
        <v>3</v>
      </c>
      <c r="L2079">
        <v>0.115</v>
      </c>
      <c r="M2079">
        <v>3</v>
      </c>
      <c r="N2079">
        <v>88</v>
      </c>
      <c r="O2079">
        <v>1</v>
      </c>
      <c r="P2079">
        <v>9.5000000000000001E-2</v>
      </c>
      <c r="Q2079">
        <v>3</v>
      </c>
      <c r="R2079">
        <v>6.7499999999999999E-3</v>
      </c>
      <c r="T2079" t="s">
        <v>5976</v>
      </c>
    </row>
    <row r="2080" spans="1:20" x14ac:dyDescent="0.2">
      <c r="A2080" t="s">
        <v>5978</v>
      </c>
      <c r="B2080" t="s">
        <v>2022</v>
      </c>
      <c r="C2080" t="s">
        <v>2095</v>
      </c>
      <c r="D2080" t="s">
        <v>2024</v>
      </c>
      <c r="E2080" t="s">
        <v>5979</v>
      </c>
      <c r="F2080" t="s">
        <v>5980</v>
      </c>
      <c r="G2080">
        <v>2</v>
      </c>
      <c r="H2080">
        <v>1655</v>
      </c>
      <c r="I2080">
        <v>5</v>
      </c>
      <c r="J2080">
        <v>16.5</v>
      </c>
      <c r="K2080">
        <v>4</v>
      </c>
      <c r="L2080">
        <v>0.53</v>
      </c>
      <c r="M2080">
        <v>1</v>
      </c>
      <c r="N2080">
        <v>74</v>
      </c>
      <c r="O2080">
        <v>4</v>
      </c>
      <c r="P2080">
        <v>0.75</v>
      </c>
      <c r="Q2080">
        <v>4</v>
      </c>
      <c r="R2080">
        <v>2.3900000000000001E-2</v>
      </c>
      <c r="T2080" t="s">
        <v>5979</v>
      </c>
    </row>
    <row r="2081" spans="1:20" x14ac:dyDescent="0.2">
      <c r="A2081" t="s">
        <v>5981</v>
      </c>
      <c r="B2081" t="s">
        <v>2022</v>
      </c>
      <c r="C2081" t="s">
        <v>2036</v>
      </c>
      <c r="D2081" t="s">
        <v>2024</v>
      </c>
      <c r="E2081" t="s">
        <v>5982</v>
      </c>
      <c r="F2081" t="s">
        <v>5983</v>
      </c>
      <c r="G2081">
        <v>3</v>
      </c>
      <c r="H2081">
        <v>1740</v>
      </c>
      <c r="I2081">
        <v>3</v>
      </c>
      <c r="J2081">
        <v>4.5999999999999996</v>
      </c>
      <c r="K2081">
        <v>2</v>
      </c>
      <c r="L2081">
        <v>8.5000000000000006E-2</v>
      </c>
      <c r="M2081">
        <v>2</v>
      </c>
      <c r="N2081">
        <v>82</v>
      </c>
      <c r="O2081">
        <v>2</v>
      </c>
      <c r="P2081">
        <v>0.20499999999999999</v>
      </c>
      <c r="Q2081">
        <v>2</v>
      </c>
      <c r="R2081">
        <v>4.2500000000000003E-3</v>
      </c>
      <c r="T2081" t="s">
        <v>5982</v>
      </c>
    </row>
    <row r="2082" spans="1:20" x14ac:dyDescent="0.2">
      <c r="A2082" t="s">
        <v>5984</v>
      </c>
      <c r="B2082" t="s">
        <v>2022</v>
      </c>
      <c r="C2082" t="s">
        <v>2053</v>
      </c>
      <c r="D2082" t="s">
        <v>2024</v>
      </c>
      <c r="E2082" t="s">
        <v>5985</v>
      </c>
      <c r="F2082" t="s">
        <v>5986</v>
      </c>
      <c r="G2082">
        <v>1</v>
      </c>
      <c r="H2082">
        <v>1500</v>
      </c>
      <c r="I2082">
        <v>1</v>
      </c>
      <c r="J2082">
        <v>1.55</v>
      </c>
      <c r="K2082">
        <v>2</v>
      </c>
      <c r="L2082">
        <v>8.5000000000000006E-2</v>
      </c>
      <c r="M2082">
        <v>2</v>
      </c>
      <c r="N2082">
        <v>83</v>
      </c>
      <c r="O2082">
        <v>1</v>
      </c>
      <c r="P2082">
        <v>7.4999999999999997E-2</v>
      </c>
      <c r="Q2082">
        <v>2</v>
      </c>
      <c r="R2082">
        <v>5.1999999999999998E-3</v>
      </c>
      <c r="T2082" t="s">
        <v>5985</v>
      </c>
    </row>
    <row r="2083" spans="1:20" x14ac:dyDescent="0.2">
      <c r="A2083" t="s">
        <v>5987</v>
      </c>
      <c r="B2083" t="s">
        <v>2022</v>
      </c>
      <c r="C2083" t="s">
        <v>2053</v>
      </c>
      <c r="D2083" t="s">
        <v>2024</v>
      </c>
      <c r="E2083" t="s">
        <v>5988</v>
      </c>
      <c r="F2083" t="s">
        <v>5989</v>
      </c>
      <c r="G2083">
        <v>2</v>
      </c>
      <c r="H2083">
        <v>1600</v>
      </c>
      <c r="I2083">
        <v>2</v>
      </c>
      <c r="J2083">
        <v>4.05</v>
      </c>
      <c r="K2083">
        <v>1</v>
      </c>
      <c r="L2083">
        <v>1.4999999999999999E-2</v>
      </c>
      <c r="M2083">
        <v>2</v>
      </c>
      <c r="N2083">
        <v>83</v>
      </c>
      <c r="O2083">
        <v>2</v>
      </c>
      <c r="P2083">
        <v>0.22500000000000001</v>
      </c>
      <c r="Q2083">
        <v>1</v>
      </c>
      <c r="R2083">
        <v>8.4999999999999995E-4</v>
      </c>
      <c r="T2083" t="s">
        <v>5988</v>
      </c>
    </row>
    <row r="2084" spans="1:20" x14ac:dyDescent="0.2">
      <c r="A2084" t="s">
        <v>5990</v>
      </c>
      <c r="B2084" t="s">
        <v>2022</v>
      </c>
      <c r="C2084" t="s">
        <v>2049</v>
      </c>
      <c r="D2084" t="s">
        <v>2136</v>
      </c>
      <c r="E2084" t="s">
        <v>337</v>
      </c>
      <c r="F2084" t="s">
        <v>447</v>
      </c>
      <c r="G2084">
        <v>3</v>
      </c>
      <c r="H2084">
        <v>1550</v>
      </c>
      <c r="I2084">
        <v>1</v>
      </c>
      <c r="J2084">
        <v>1.4</v>
      </c>
      <c r="K2084">
        <v>1</v>
      </c>
      <c r="L2084">
        <v>0.01</v>
      </c>
      <c r="M2084">
        <v>1</v>
      </c>
      <c r="N2084">
        <v>86</v>
      </c>
      <c r="O2084">
        <v>1</v>
      </c>
      <c r="P2084">
        <v>0.06</v>
      </c>
      <c r="Q2084">
        <v>1</v>
      </c>
      <c r="R2084">
        <v>8.4999999999999995E-4</v>
      </c>
      <c r="T2084" t="s">
        <v>337</v>
      </c>
    </row>
    <row r="2085" spans="1:20" x14ac:dyDescent="0.2">
      <c r="A2085" t="s">
        <v>5991</v>
      </c>
      <c r="B2085" t="s">
        <v>2022</v>
      </c>
      <c r="C2085" t="s">
        <v>2028</v>
      </c>
      <c r="D2085" t="s">
        <v>2024</v>
      </c>
      <c r="E2085" t="s">
        <v>5992</v>
      </c>
      <c r="F2085" t="s">
        <v>5993</v>
      </c>
      <c r="G2085">
        <v>2</v>
      </c>
      <c r="H2085">
        <v>850</v>
      </c>
      <c r="I2085">
        <v>4</v>
      </c>
      <c r="J2085">
        <v>4.95</v>
      </c>
      <c r="K2085">
        <v>3</v>
      </c>
      <c r="L2085">
        <v>0.11899999999999999</v>
      </c>
      <c r="M2085">
        <v>2</v>
      </c>
      <c r="N2085">
        <v>200</v>
      </c>
      <c r="O2085">
        <v>4</v>
      </c>
      <c r="P2085">
        <v>1.05</v>
      </c>
      <c r="Q2085">
        <v>5</v>
      </c>
      <c r="R2085">
        <v>3.3500000000000002E-2</v>
      </c>
      <c r="T2085" t="s">
        <v>5992</v>
      </c>
    </row>
    <row r="2086" spans="1:20" x14ac:dyDescent="0.2">
      <c r="A2086" t="s">
        <v>5994</v>
      </c>
      <c r="B2086" t="s">
        <v>2022</v>
      </c>
      <c r="C2086" t="s">
        <v>2053</v>
      </c>
      <c r="D2086" t="s">
        <v>2024</v>
      </c>
      <c r="E2086" t="s">
        <v>5995</v>
      </c>
      <c r="F2086" t="s">
        <v>5996</v>
      </c>
      <c r="G2086">
        <v>3</v>
      </c>
      <c r="H2086">
        <v>1700</v>
      </c>
      <c r="I2086">
        <v>5</v>
      </c>
      <c r="J2086">
        <v>11.55</v>
      </c>
      <c r="K2086">
        <v>4</v>
      </c>
      <c r="L2086">
        <v>0.30499999999999999</v>
      </c>
      <c r="M2086">
        <v>4</v>
      </c>
      <c r="N2086">
        <v>103</v>
      </c>
      <c r="O2086">
        <v>5</v>
      </c>
      <c r="P2086">
        <v>0.67500000000000004</v>
      </c>
      <c r="Q2086">
        <v>4</v>
      </c>
      <c r="R2086">
        <v>1.9199999999999998E-2</v>
      </c>
      <c r="T2086" t="s">
        <v>5995</v>
      </c>
    </row>
    <row r="2087" spans="1:20" x14ac:dyDescent="0.2">
      <c r="A2087" t="s">
        <v>5997</v>
      </c>
      <c r="B2087" t="s">
        <v>2022</v>
      </c>
      <c r="C2087" t="s">
        <v>2023</v>
      </c>
      <c r="D2087" t="s">
        <v>2024</v>
      </c>
      <c r="E2087" t="s">
        <v>5998</v>
      </c>
      <c r="F2087" t="s">
        <v>5999</v>
      </c>
      <c r="G2087">
        <v>2</v>
      </c>
      <c r="H2087">
        <v>1560</v>
      </c>
      <c r="I2087">
        <v>2</v>
      </c>
      <c r="J2087">
        <v>3.4</v>
      </c>
      <c r="K2087">
        <v>1</v>
      </c>
      <c r="L2087">
        <v>6.0000000000000001E-3</v>
      </c>
      <c r="M2087">
        <v>1</v>
      </c>
      <c r="N2087">
        <v>74</v>
      </c>
      <c r="O2087">
        <v>1</v>
      </c>
      <c r="P2087">
        <v>7.4999999999999997E-2</v>
      </c>
      <c r="Q2087">
        <v>1</v>
      </c>
      <c r="R2087">
        <v>5.0000000000000001E-4</v>
      </c>
      <c r="T2087" t="s">
        <v>5998</v>
      </c>
    </row>
    <row r="2088" spans="1:20" x14ac:dyDescent="0.2">
      <c r="A2088" t="s">
        <v>6000</v>
      </c>
      <c r="B2088" t="s">
        <v>2022</v>
      </c>
      <c r="C2088" t="s">
        <v>2222</v>
      </c>
      <c r="D2088" t="s">
        <v>2024</v>
      </c>
      <c r="E2088" t="s">
        <v>6001</v>
      </c>
      <c r="F2088" t="s">
        <v>6002</v>
      </c>
      <c r="G2088">
        <v>5</v>
      </c>
      <c r="H2088">
        <v>1850</v>
      </c>
      <c r="I2088">
        <v>5</v>
      </c>
      <c r="J2088">
        <v>8.6999999999999993</v>
      </c>
      <c r="K2088">
        <v>5</v>
      </c>
      <c r="L2088">
        <v>0.26500000000000001</v>
      </c>
      <c r="M2088">
        <v>5</v>
      </c>
      <c r="N2088">
        <v>75</v>
      </c>
      <c r="O2088">
        <v>5</v>
      </c>
      <c r="P2088">
        <v>0.39</v>
      </c>
      <c r="Q2088">
        <v>5</v>
      </c>
      <c r="R2088">
        <v>1.1299999999999999E-2</v>
      </c>
      <c r="T2088" t="s">
        <v>6001</v>
      </c>
    </row>
    <row r="2089" spans="1:20" x14ac:dyDescent="0.2">
      <c r="A2089" t="s">
        <v>6003</v>
      </c>
      <c r="B2089" t="s">
        <v>2022</v>
      </c>
      <c r="C2089" t="s">
        <v>2053</v>
      </c>
      <c r="D2089" t="s">
        <v>2154</v>
      </c>
      <c r="E2089" t="s">
        <v>6004</v>
      </c>
      <c r="F2089" t="s">
        <v>6005</v>
      </c>
      <c r="G2089">
        <v>4</v>
      </c>
      <c r="H2089">
        <v>1800</v>
      </c>
      <c r="I2089">
        <v>3</v>
      </c>
      <c r="J2089">
        <v>6.55</v>
      </c>
      <c r="K2089">
        <v>2</v>
      </c>
      <c r="L2089">
        <v>8.5000000000000006E-2</v>
      </c>
      <c r="M2089">
        <v>1</v>
      </c>
      <c r="N2089">
        <v>73</v>
      </c>
      <c r="O2089">
        <v>2</v>
      </c>
      <c r="P2089">
        <v>0.22500000000000001</v>
      </c>
      <c r="Q2089">
        <v>2</v>
      </c>
      <c r="R2089">
        <v>5.1999999999999998E-3</v>
      </c>
      <c r="T2089" t="s">
        <v>6004</v>
      </c>
    </row>
    <row r="2090" spans="1:20" x14ac:dyDescent="0.2">
      <c r="A2090" t="s">
        <v>6006</v>
      </c>
      <c r="B2090" t="s">
        <v>2022</v>
      </c>
      <c r="C2090" t="s">
        <v>2101</v>
      </c>
      <c r="D2090" t="s">
        <v>2024</v>
      </c>
      <c r="E2090" t="s">
        <v>6007</v>
      </c>
      <c r="F2090" t="s">
        <v>6008</v>
      </c>
      <c r="G2090">
        <v>4</v>
      </c>
      <c r="H2090">
        <v>1870</v>
      </c>
      <c r="I2090">
        <v>5</v>
      </c>
      <c r="J2090">
        <v>14</v>
      </c>
      <c r="K2090">
        <v>5</v>
      </c>
      <c r="L2090">
        <v>0.53749999999999998</v>
      </c>
      <c r="M2090">
        <v>3</v>
      </c>
      <c r="N2090">
        <v>82</v>
      </c>
      <c r="O2090">
        <v>5</v>
      </c>
      <c r="P2090">
        <v>0.67500000000000004</v>
      </c>
      <c r="Q2090">
        <v>5</v>
      </c>
      <c r="R2090">
        <v>2.5499999999999998E-2</v>
      </c>
      <c r="T2090" t="s">
        <v>6007</v>
      </c>
    </row>
    <row r="2091" spans="1:20" x14ac:dyDescent="0.2">
      <c r="A2091" t="s">
        <v>6009</v>
      </c>
      <c r="B2091" t="s">
        <v>2022</v>
      </c>
      <c r="C2091" t="s">
        <v>2173</v>
      </c>
      <c r="D2091" t="s">
        <v>2024</v>
      </c>
      <c r="E2091" t="s">
        <v>6010</v>
      </c>
      <c r="F2091" t="s">
        <v>447</v>
      </c>
      <c r="G2091">
        <v>3</v>
      </c>
      <c r="H2091">
        <v>2032.5</v>
      </c>
      <c r="I2091">
        <v>4</v>
      </c>
      <c r="J2091">
        <v>11.75</v>
      </c>
      <c r="K2091">
        <v>5</v>
      </c>
      <c r="L2091">
        <v>0.45</v>
      </c>
      <c r="M2091">
        <v>3</v>
      </c>
      <c r="N2091">
        <v>118.5</v>
      </c>
      <c r="O2091">
        <v>4</v>
      </c>
      <c r="P2091">
        <v>0.69</v>
      </c>
      <c r="Q2091">
        <v>5</v>
      </c>
      <c r="R2091">
        <v>2.58E-2</v>
      </c>
      <c r="T2091" t="s">
        <v>6010</v>
      </c>
    </row>
    <row r="2092" spans="1:20" x14ac:dyDescent="0.2">
      <c r="A2092" t="s">
        <v>6011</v>
      </c>
      <c r="B2092" t="s">
        <v>2022</v>
      </c>
      <c r="C2092" t="s">
        <v>2036</v>
      </c>
      <c r="D2092" t="s">
        <v>2024</v>
      </c>
      <c r="E2092" t="s">
        <v>6012</v>
      </c>
      <c r="F2092" t="s">
        <v>6013</v>
      </c>
      <c r="G2092">
        <v>1</v>
      </c>
      <c r="H2092">
        <v>1540</v>
      </c>
      <c r="I2092">
        <v>2</v>
      </c>
      <c r="J2092">
        <v>3.4</v>
      </c>
      <c r="K2092">
        <v>3</v>
      </c>
      <c r="L2092">
        <v>0.115</v>
      </c>
      <c r="M2092">
        <v>1</v>
      </c>
      <c r="N2092">
        <v>76</v>
      </c>
      <c r="O2092">
        <v>2</v>
      </c>
      <c r="P2092">
        <v>0.20499999999999999</v>
      </c>
      <c r="Q2092">
        <v>3</v>
      </c>
      <c r="R2092">
        <v>6.7499999999999999E-3</v>
      </c>
      <c r="T2092" t="s">
        <v>6012</v>
      </c>
    </row>
    <row r="2093" spans="1:20" x14ac:dyDescent="0.2">
      <c r="A2093" t="s">
        <v>6014</v>
      </c>
      <c r="B2093" t="s">
        <v>2022</v>
      </c>
      <c r="C2093" t="s">
        <v>2049</v>
      </c>
      <c r="D2093" t="s">
        <v>2024</v>
      </c>
      <c r="E2093" t="s">
        <v>6015</v>
      </c>
      <c r="F2093" t="s">
        <v>6016</v>
      </c>
      <c r="G2093">
        <v>4</v>
      </c>
      <c r="H2093">
        <v>1650</v>
      </c>
      <c r="I2093">
        <v>1</v>
      </c>
      <c r="J2093">
        <v>1.4</v>
      </c>
      <c r="K2093">
        <v>2</v>
      </c>
      <c r="L2093">
        <v>0.06</v>
      </c>
      <c r="M2093">
        <v>3</v>
      </c>
      <c r="N2093">
        <v>126</v>
      </c>
      <c r="O2093">
        <v>1</v>
      </c>
      <c r="P2093">
        <v>0.06</v>
      </c>
      <c r="Q2093">
        <v>2</v>
      </c>
      <c r="R2093">
        <v>6.1999999999999998E-3</v>
      </c>
      <c r="T2093" t="s">
        <v>6015</v>
      </c>
    </row>
    <row r="2094" spans="1:20" x14ac:dyDescent="0.2">
      <c r="A2094" t="s">
        <v>6017</v>
      </c>
      <c r="B2094" t="s">
        <v>2022</v>
      </c>
      <c r="C2094" t="s">
        <v>2036</v>
      </c>
      <c r="D2094" t="s">
        <v>2024</v>
      </c>
      <c r="E2094" t="s">
        <v>6018</v>
      </c>
      <c r="F2094" t="s">
        <v>6019</v>
      </c>
      <c r="G2094">
        <v>3</v>
      </c>
      <c r="H2094">
        <v>1740</v>
      </c>
      <c r="I2094">
        <v>5</v>
      </c>
      <c r="J2094">
        <v>7</v>
      </c>
      <c r="K2094">
        <v>5</v>
      </c>
      <c r="L2094">
        <v>0.17499999999999999</v>
      </c>
      <c r="M2094">
        <v>3</v>
      </c>
      <c r="N2094">
        <v>88</v>
      </c>
      <c r="O2094">
        <v>5</v>
      </c>
      <c r="P2094">
        <v>0.53500000000000003</v>
      </c>
      <c r="Q2094">
        <v>5</v>
      </c>
      <c r="R2094">
        <v>1.2E-2</v>
      </c>
      <c r="T2094" t="s">
        <v>6018</v>
      </c>
    </row>
    <row r="2095" spans="1:20" x14ac:dyDescent="0.2">
      <c r="A2095" t="s">
        <v>6020</v>
      </c>
      <c r="B2095" t="s">
        <v>2022</v>
      </c>
      <c r="C2095" t="s">
        <v>2023</v>
      </c>
      <c r="D2095" t="s">
        <v>2024</v>
      </c>
      <c r="E2095" t="s">
        <v>6021</v>
      </c>
      <c r="F2095" t="s">
        <v>447</v>
      </c>
      <c r="G2095">
        <v>5</v>
      </c>
      <c r="H2095">
        <v>1800</v>
      </c>
      <c r="I2095">
        <v>3</v>
      </c>
      <c r="J2095">
        <v>5.9</v>
      </c>
      <c r="K2095">
        <v>5</v>
      </c>
      <c r="L2095">
        <v>8.5999999999999993E-2</v>
      </c>
      <c r="M2095">
        <v>2</v>
      </c>
      <c r="N2095">
        <v>84</v>
      </c>
      <c r="O2095">
        <v>3</v>
      </c>
      <c r="P2095">
        <v>0.375</v>
      </c>
      <c r="Q2095">
        <v>4</v>
      </c>
      <c r="R2095">
        <v>6.0000000000000001E-3</v>
      </c>
      <c r="T2095" t="s">
        <v>6021</v>
      </c>
    </row>
    <row r="2096" spans="1:20" x14ac:dyDescent="0.2">
      <c r="A2096" t="s">
        <v>6022</v>
      </c>
      <c r="B2096" t="s">
        <v>2022</v>
      </c>
      <c r="C2096" t="s">
        <v>2023</v>
      </c>
      <c r="D2096" t="s">
        <v>2024</v>
      </c>
      <c r="E2096" t="s">
        <v>6023</v>
      </c>
      <c r="F2096" t="s">
        <v>6024</v>
      </c>
      <c r="G2096">
        <v>1</v>
      </c>
      <c r="H2096">
        <v>1480</v>
      </c>
      <c r="I2096">
        <v>3</v>
      </c>
      <c r="J2096">
        <v>5.9</v>
      </c>
      <c r="K2096">
        <v>5</v>
      </c>
      <c r="L2096">
        <v>8.5999999999999993E-2</v>
      </c>
      <c r="M2096">
        <v>5</v>
      </c>
      <c r="N2096">
        <v>114</v>
      </c>
      <c r="O2096">
        <v>5</v>
      </c>
      <c r="P2096">
        <v>0.67500000000000004</v>
      </c>
      <c r="Q2096">
        <v>5</v>
      </c>
      <c r="R2096">
        <v>8.0000000000000002E-3</v>
      </c>
      <c r="T2096" t="s">
        <v>6023</v>
      </c>
    </row>
    <row r="2097" spans="1:20" x14ac:dyDescent="0.2">
      <c r="A2097" t="s">
        <v>6025</v>
      </c>
      <c r="B2097" t="s">
        <v>2022</v>
      </c>
      <c r="C2097" t="s">
        <v>2053</v>
      </c>
      <c r="D2097" t="s">
        <v>2024</v>
      </c>
      <c r="E2097" t="s">
        <v>6026</v>
      </c>
      <c r="F2097" t="s">
        <v>447</v>
      </c>
      <c r="G2097">
        <v>2</v>
      </c>
      <c r="H2097">
        <v>1600</v>
      </c>
      <c r="I2097">
        <v>2</v>
      </c>
      <c r="J2097">
        <v>4.05</v>
      </c>
      <c r="K2097">
        <v>2</v>
      </c>
      <c r="L2097">
        <v>8.5000000000000006E-2</v>
      </c>
      <c r="M2097">
        <v>3</v>
      </c>
      <c r="N2097">
        <v>93</v>
      </c>
      <c r="O2097">
        <v>2</v>
      </c>
      <c r="P2097">
        <v>0.22500000000000001</v>
      </c>
      <c r="Q2097">
        <v>2</v>
      </c>
      <c r="R2097">
        <v>5.1999999999999998E-3</v>
      </c>
      <c r="T2097" t="s">
        <v>6026</v>
      </c>
    </row>
    <row r="2098" spans="1:20" x14ac:dyDescent="0.2">
      <c r="A2098" t="s">
        <v>6027</v>
      </c>
      <c r="B2098" t="s">
        <v>2022</v>
      </c>
      <c r="C2098" t="s">
        <v>2023</v>
      </c>
      <c r="D2098" t="s">
        <v>2024</v>
      </c>
      <c r="E2098" t="s">
        <v>357</v>
      </c>
      <c r="F2098" t="s">
        <v>6028</v>
      </c>
      <c r="G2098">
        <v>1</v>
      </c>
      <c r="H2098">
        <v>1480</v>
      </c>
      <c r="I2098">
        <v>1</v>
      </c>
      <c r="J2098">
        <v>0.9</v>
      </c>
      <c r="K2098">
        <v>1</v>
      </c>
      <c r="L2098">
        <v>6.0000000000000001E-3</v>
      </c>
      <c r="M2098">
        <v>5</v>
      </c>
      <c r="N2098">
        <v>114</v>
      </c>
      <c r="O2098">
        <v>5</v>
      </c>
      <c r="P2098">
        <v>0.67500000000000004</v>
      </c>
      <c r="Q2098">
        <v>5</v>
      </c>
      <c r="R2098">
        <v>8.0000000000000002E-3</v>
      </c>
      <c r="T2098" t="s">
        <v>357</v>
      </c>
    </row>
    <row r="2099" spans="1:20" x14ac:dyDescent="0.2">
      <c r="A2099" t="s">
        <v>6029</v>
      </c>
      <c r="B2099" t="s">
        <v>2022</v>
      </c>
      <c r="C2099" t="s">
        <v>2036</v>
      </c>
      <c r="D2099" t="s">
        <v>2024</v>
      </c>
      <c r="E2099" t="s">
        <v>6030</v>
      </c>
      <c r="F2099" t="s">
        <v>6031</v>
      </c>
      <c r="G2099">
        <v>4</v>
      </c>
      <c r="H2099">
        <v>1840</v>
      </c>
      <c r="I2099">
        <v>5</v>
      </c>
      <c r="J2099">
        <v>7</v>
      </c>
      <c r="K2099">
        <v>5</v>
      </c>
      <c r="L2099">
        <v>0.17499999999999999</v>
      </c>
      <c r="M2099">
        <v>3</v>
      </c>
      <c r="N2099">
        <v>88</v>
      </c>
      <c r="O2099">
        <v>5</v>
      </c>
      <c r="P2099">
        <v>0.53500000000000003</v>
      </c>
      <c r="Q2099">
        <v>5</v>
      </c>
      <c r="R2099">
        <v>1.2E-2</v>
      </c>
      <c r="T2099" t="s">
        <v>6030</v>
      </c>
    </row>
    <row r="2100" spans="1:20" x14ac:dyDescent="0.2">
      <c r="A2100" t="s">
        <v>6032</v>
      </c>
      <c r="B2100" t="s">
        <v>2022</v>
      </c>
      <c r="C2100" t="s">
        <v>2023</v>
      </c>
      <c r="D2100" t="s">
        <v>2024</v>
      </c>
      <c r="E2100" t="s">
        <v>6033</v>
      </c>
      <c r="F2100" t="s">
        <v>6034</v>
      </c>
      <c r="G2100">
        <v>4</v>
      </c>
      <c r="H2100">
        <v>1720</v>
      </c>
      <c r="I2100">
        <v>3</v>
      </c>
      <c r="J2100">
        <v>5.9</v>
      </c>
      <c r="K2100">
        <v>4</v>
      </c>
      <c r="L2100">
        <v>6.6000000000000003E-2</v>
      </c>
      <c r="M2100">
        <v>3</v>
      </c>
      <c r="N2100">
        <v>94</v>
      </c>
      <c r="O2100">
        <v>2</v>
      </c>
      <c r="P2100">
        <v>0.22500000000000001</v>
      </c>
      <c r="Q2100">
        <v>3</v>
      </c>
      <c r="R2100">
        <v>4.0000000000000001E-3</v>
      </c>
      <c r="T2100" t="s">
        <v>6033</v>
      </c>
    </row>
    <row r="2101" spans="1:20" x14ac:dyDescent="0.2">
      <c r="A2101" t="s">
        <v>6035</v>
      </c>
      <c r="B2101" t="s">
        <v>2022</v>
      </c>
      <c r="C2101" t="s">
        <v>2023</v>
      </c>
      <c r="D2101" t="s">
        <v>2024</v>
      </c>
      <c r="E2101" t="s">
        <v>6036</v>
      </c>
      <c r="F2101" t="s">
        <v>6037</v>
      </c>
      <c r="G2101">
        <v>3</v>
      </c>
      <c r="H2101">
        <v>1640</v>
      </c>
      <c r="I2101">
        <v>1</v>
      </c>
      <c r="J2101">
        <v>0.9</v>
      </c>
      <c r="K2101">
        <v>2</v>
      </c>
      <c r="L2101">
        <v>2.5999999999999999E-2</v>
      </c>
      <c r="M2101">
        <v>2</v>
      </c>
      <c r="N2101">
        <v>84</v>
      </c>
      <c r="O2101">
        <v>1</v>
      </c>
      <c r="P2101">
        <v>7.4999999999999997E-2</v>
      </c>
      <c r="Q2101">
        <v>1</v>
      </c>
      <c r="R2101">
        <v>5.0000000000000001E-4</v>
      </c>
      <c r="T2101" t="s">
        <v>6036</v>
      </c>
    </row>
    <row r="2102" spans="1:20" x14ac:dyDescent="0.2">
      <c r="A2102" t="s">
        <v>6038</v>
      </c>
      <c r="B2102" t="s">
        <v>2022</v>
      </c>
      <c r="C2102" t="s">
        <v>2053</v>
      </c>
      <c r="D2102" t="s">
        <v>2136</v>
      </c>
      <c r="E2102" t="s">
        <v>6039</v>
      </c>
      <c r="F2102" t="s">
        <v>6040</v>
      </c>
      <c r="G2102">
        <v>2</v>
      </c>
      <c r="H2102">
        <v>1600</v>
      </c>
      <c r="I2102">
        <v>2</v>
      </c>
      <c r="J2102">
        <v>4.05</v>
      </c>
      <c r="K2102">
        <v>1</v>
      </c>
      <c r="L2102">
        <v>1.4999999999999999E-2</v>
      </c>
      <c r="M2102">
        <v>4</v>
      </c>
      <c r="N2102">
        <v>103</v>
      </c>
      <c r="O2102">
        <v>2</v>
      </c>
      <c r="P2102">
        <v>0.22500000000000001</v>
      </c>
      <c r="Q2102">
        <v>1</v>
      </c>
      <c r="R2102">
        <v>8.4999999999999995E-4</v>
      </c>
      <c r="T2102" t="s">
        <v>6039</v>
      </c>
    </row>
    <row r="2103" spans="1:20" x14ac:dyDescent="0.2">
      <c r="A2103" t="s">
        <v>6041</v>
      </c>
      <c r="B2103" t="s">
        <v>2022</v>
      </c>
      <c r="C2103" t="s">
        <v>2023</v>
      </c>
      <c r="D2103" t="s">
        <v>2024</v>
      </c>
      <c r="E2103" t="s">
        <v>6042</v>
      </c>
      <c r="F2103" t="s">
        <v>6043</v>
      </c>
      <c r="G2103">
        <v>5</v>
      </c>
      <c r="H2103">
        <v>1800</v>
      </c>
      <c r="I2103">
        <v>2</v>
      </c>
      <c r="J2103">
        <v>3.4</v>
      </c>
      <c r="K2103">
        <v>3</v>
      </c>
      <c r="L2103">
        <v>4.5999999999999999E-2</v>
      </c>
      <c r="M2103">
        <v>5</v>
      </c>
      <c r="N2103">
        <v>114</v>
      </c>
      <c r="O2103">
        <v>2</v>
      </c>
      <c r="P2103">
        <v>0.22500000000000001</v>
      </c>
      <c r="Q2103">
        <v>3</v>
      </c>
      <c r="R2103">
        <v>4.0000000000000001E-3</v>
      </c>
      <c r="T2103" t="s">
        <v>6042</v>
      </c>
    </row>
    <row r="2104" spans="1:20" x14ac:dyDescent="0.2">
      <c r="A2104" t="s">
        <v>6044</v>
      </c>
      <c r="B2104" t="s">
        <v>2022</v>
      </c>
      <c r="C2104" t="s">
        <v>2036</v>
      </c>
      <c r="E2104" t="s">
        <v>1275</v>
      </c>
      <c r="F2104" t="s">
        <v>1276</v>
      </c>
      <c r="G2104">
        <v>1</v>
      </c>
      <c r="H2104">
        <v>1540</v>
      </c>
      <c r="I2104">
        <v>4</v>
      </c>
      <c r="J2104">
        <v>8.4</v>
      </c>
      <c r="K2104">
        <v>1</v>
      </c>
      <c r="L2104">
        <v>2.5000000000000001E-2</v>
      </c>
      <c r="M2104">
        <v>1</v>
      </c>
      <c r="N2104">
        <v>76</v>
      </c>
      <c r="O2104">
        <v>3</v>
      </c>
      <c r="P2104">
        <v>0.315</v>
      </c>
      <c r="Q2104">
        <v>1</v>
      </c>
      <c r="R2104">
        <v>1.2999999999999999E-3</v>
      </c>
      <c r="T2104" t="s">
        <v>1275</v>
      </c>
    </row>
    <row r="2105" spans="1:20" x14ac:dyDescent="0.2">
      <c r="A2105" t="s">
        <v>6045</v>
      </c>
      <c r="B2105" t="s">
        <v>2022</v>
      </c>
      <c r="C2105" t="s">
        <v>2036</v>
      </c>
      <c r="E2105" t="s">
        <v>1275</v>
      </c>
      <c r="F2105" t="s">
        <v>1276</v>
      </c>
      <c r="G2105">
        <v>1</v>
      </c>
      <c r="H2105">
        <v>1540</v>
      </c>
      <c r="I2105">
        <v>2</v>
      </c>
      <c r="J2105">
        <v>4</v>
      </c>
      <c r="K2105">
        <v>1</v>
      </c>
      <c r="L2105">
        <v>2.5000000000000001E-2</v>
      </c>
      <c r="M2105">
        <v>1</v>
      </c>
      <c r="N2105">
        <v>76</v>
      </c>
      <c r="O2105">
        <v>2</v>
      </c>
      <c r="P2105">
        <v>0.20499999999999999</v>
      </c>
      <c r="Q2105">
        <v>1</v>
      </c>
      <c r="R2105">
        <v>1.2999999999999999E-3</v>
      </c>
      <c r="T2105" t="s">
        <v>1275</v>
      </c>
    </row>
    <row r="2106" spans="1:20" x14ac:dyDescent="0.2">
      <c r="A2106" t="s">
        <v>6046</v>
      </c>
      <c r="B2106" t="s">
        <v>2022</v>
      </c>
      <c r="C2106" t="s">
        <v>2023</v>
      </c>
      <c r="D2106" t="s">
        <v>2136</v>
      </c>
      <c r="E2106" t="s">
        <v>6047</v>
      </c>
      <c r="F2106" t="s">
        <v>6048</v>
      </c>
      <c r="G2106">
        <v>2</v>
      </c>
      <c r="H2106">
        <v>1560</v>
      </c>
      <c r="I2106">
        <v>4</v>
      </c>
      <c r="J2106">
        <v>8.4</v>
      </c>
      <c r="K2106">
        <v>5</v>
      </c>
      <c r="L2106">
        <v>8.5999999999999993E-2</v>
      </c>
      <c r="M2106">
        <v>2</v>
      </c>
      <c r="N2106">
        <v>84</v>
      </c>
      <c r="O2106">
        <v>4</v>
      </c>
      <c r="P2106">
        <v>0.52500000000000002</v>
      </c>
      <c r="Q2106">
        <v>5</v>
      </c>
      <c r="R2106">
        <v>8.0000000000000002E-3</v>
      </c>
      <c r="T2106" t="s">
        <v>6047</v>
      </c>
    </row>
    <row r="2107" spans="1:20" x14ac:dyDescent="0.2">
      <c r="A2107" t="s">
        <v>6049</v>
      </c>
      <c r="B2107" t="s">
        <v>2022</v>
      </c>
      <c r="C2107" t="s">
        <v>2023</v>
      </c>
      <c r="D2107" t="s">
        <v>2024</v>
      </c>
      <c r="E2107" t="s">
        <v>6050</v>
      </c>
      <c r="F2107" t="s">
        <v>6051</v>
      </c>
      <c r="G2107">
        <v>5</v>
      </c>
      <c r="H2107">
        <v>1800</v>
      </c>
      <c r="I2107">
        <v>5</v>
      </c>
      <c r="J2107">
        <v>10.9</v>
      </c>
      <c r="K2107">
        <v>5</v>
      </c>
      <c r="L2107">
        <v>8.5999999999999993E-2</v>
      </c>
      <c r="M2107">
        <v>5</v>
      </c>
      <c r="N2107">
        <v>114</v>
      </c>
      <c r="O2107">
        <v>5</v>
      </c>
      <c r="P2107">
        <v>0.67500000000000004</v>
      </c>
      <c r="Q2107">
        <v>5</v>
      </c>
      <c r="R2107">
        <v>8.0000000000000002E-3</v>
      </c>
      <c r="T2107" t="s">
        <v>6050</v>
      </c>
    </row>
    <row r="2108" spans="1:20" x14ac:dyDescent="0.2">
      <c r="A2108" t="s">
        <v>6052</v>
      </c>
      <c r="B2108" t="s">
        <v>2022</v>
      </c>
      <c r="C2108" t="s">
        <v>2104</v>
      </c>
      <c r="D2108" t="s">
        <v>2024</v>
      </c>
      <c r="E2108" t="s">
        <v>6053</v>
      </c>
      <c r="F2108" t="s">
        <v>6054</v>
      </c>
      <c r="G2108">
        <v>1</v>
      </c>
      <c r="H2108">
        <v>1537.5</v>
      </c>
      <c r="I2108">
        <v>2</v>
      </c>
      <c r="J2108">
        <v>3.25</v>
      </c>
      <c r="K2108">
        <v>2</v>
      </c>
      <c r="L2108">
        <v>4.1000000000000002E-2</v>
      </c>
      <c r="M2108">
        <v>1</v>
      </c>
      <c r="N2108">
        <v>57</v>
      </c>
      <c r="P2108">
        <v>0</v>
      </c>
      <c r="Q2108">
        <v>1</v>
      </c>
      <c r="R2108">
        <v>3.5E-4</v>
      </c>
      <c r="T2108" t="s">
        <v>6053</v>
      </c>
    </row>
    <row r="2109" spans="1:20" x14ac:dyDescent="0.2">
      <c r="A2109" t="s">
        <v>6055</v>
      </c>
      <c r="B2109" t="s">
        <v>2022</v>
      </c>
      <c r="C2109" t="s">
        <v>2101</v>
      </c>
      <c r="D2109" t="s">
        <v>2024</v>
      </c>
      <c r="E2109" t="s">
        <v>6056</v>
      </c>
      <c r="F2109" t="s">
        <v>6057</v>
      </c>
      <c r="G2109">
        <v>2</v>
      </c>
      <c r="H2109">
        <v>1670</v>
      </c>
      <c r="I2109">
        <v>2</v>
      </c>
      <c r="J2109">
        <v>5</v>
      </c>
      <c r="K2109">
        <v>2</v>
      </c>
      <c r="L2109">
        <v>9.6500000000000002E-2</v>
      </c>
      <c r="M2109">
        <v>3</v>
      </c>
      <c r="N2109">
        <v>82</v>
      </c>
      <c r="O2109">
        <v>2</v>
      </c>
      <c r="P2109">
        <v>0.22500000000000001</v>
      </c>
      <c r="Q2109">
        <v>3</v>
      </c>
      <c r="R2109">
        <v>1.15E-2</v>
      </c>
      <c r="T2109" t="s">
        <v>6056</v>
      </c>
    </row>
    <row r="2110" spans="1:20" x14ac:dyDescent="0.2">
      <c r="A2110" t="s">
        <v>6058</v>
      </c>
      <c r="B2110" t="s">
        <v>2022</v>
      </c>
      <c r="C2110" t="s">
        <v>2036</v>
      </c>
      <c r="D2110" t="s">
        <v>2024</v>
      </c>
      <c r="E2110" t="s">
        <v>6059</v>
      </c>
      <c r="F2110" t="s">
        <v>6060</v>
      </c>
      <c r="G2110">
        <v>1</v>
      </c>
      <c r="H2110">
        <v>1540</v>
      </c>
      <c r="I2110">
        <v>2</v>
      </c>
      <c r="J2110">
        <v>3.4</v>
      </c>
      <c r="K2110">
        <v>1</v>
      </c>
      <c r="L2110">
        <v>5.5E-2</v>
      </c>
      <c r="M2110">
        <v>1</v>
      </c>
      <c r="N2110">
        <v>76</v>
      </c>
      <c r="O2110">
        <v>2</v>
      </c>
      <c r="P2110">
        <v>0.20499999999999999</v>
      </c>
      <c r="Q2110">
        <v>1</v>
      </c>
      <c r="R2110">
        <v>1.5E-3</v>
      </c>
      <c r="T2110" t="s">
        <v>6059</v>
      </c>
    </row>
    <row r="2111" spans="1:20" x14ac:dyDescent="0.2">
      <c r="A2111" t="s">
        <v>6061</v>
      </c>
      <c r="B2111" t="s">
        <v>2022</v>
      </c>
      <c r="C2111" t="s">
        <v>2095</v>
      </c>
      <c r="D2111" t="s">
        <v>2024</v>
      </c>
      <c r="E2111" t="s">
        <v>6062</v>
      </c>
      <c r="F2111" t="s">
        <v>447</v>
      </c>
      <c r="G2111">
        <v>5</v>
      </c>
      <c r="H2111">
        <v>1925</v>
      </c>
      <c r="I2111">
        <v>5</v>
      </c>
      <c r="J2111">
        <v>16.5</v>
      </c>
      <c r="K2111">
        <v>5</v>
      </c>
      <c r="L2111">
        <v>0.73</v>
      </c>
      <c r="M2111">
        <v>5</v>
      </c>
      <c r="N2111">
        <v>98</v>
      </c>
      <c r="O2111">
        <v>5</v>
      </c>
      <c r="P2111">
        <v>0.95</v>
      </c>
      <c r="Q2111">
        <v>5</v>
      </c>
      <c r="R2111">
        <v>3.2899999999999999E-2</v>
      </c>
      <c r="T2111" t="s">
        <v>6062</v>
      </c>
    </row>
    <row r="2112" spans="1:20" x14ac:dyDescent="0.2">
      <c r="A2112" t="s">
        <v>6063</v>
      </c>
      <c r="B2112" t="s">
        <v>2022</v>
      </c>
      <c r="C2112" t="s">
        <v>2053</v>
      </c>
      <c r="D2112" t="s">
        <v>2024</v>
      </c>
      <c r="E2112" t="s">
        <v>6064</v>
      </c>
      <c r="F2112" t="s">
        <v>6065</v>
      </c>
      <c r="G2112">
        <v>5</v>
      </c>
      <c r="H2112">
        <v>1900</v>
      </c>
      <c r="I2112">
        <v>5</v>
      </c>
      <c r="J2112">
        <v>11.55</v>
      </c>
      <c r="K2112">
        <v>5</v>
      </c>
      <c r="L2112">
        <v>0.41499999999999998</v>
      </c>
      <c r="M2112">
        <v>1</v>
      </c>
      <c r="N2112">
        <v>73</v>
      </c>
      <c r="O2112">
        <v>4</v>
      </c>
      <c r="P2112">
        <v>0.52500000000000002</v>
      </c>
      <c r="Q2112">
        <v>4</v>
      </c>
      <c r="R2112">
        <v>1.9199999999999998E-2</v>
      </c>
      <c r="T2112" t="s">
        <v>6064</v>
      </c>
    </row>
    <row r="2113" spans="1:20" x14ac:dyDescent="0.2">
      <c r="A2113" t="s">
        <v>6066</v>
      </c>
      <c r="B2113" t="s">
        <v>2022</v>
      </c>
      <c r="C2113" t="s">
        <v>2222</v>
      </c>
      <c r="D2113" t="s">
        <v>2024</v>
      </c>
      <c r="E2113" t="s">
        <v>6067</v>
      </c>
      <c r="F2113" t="s">
        <v>6068</v>
      </c>
      <c r="G2113">
        <v>5</v>
      </c>
      <c r="H2113">
        <v>1850</v>
      </c>
      <c r="I2113">
        <v>4</v>
      </c>
      <c r="J2113">
        <v>7.1</v>
      </c>
      <c r="K2113">
        <v>4</v>
      </c>
      <c r="L2113">
        <v>0.19500000000000001</v>
      </c>
      <c r="M2113">
        <v>5</v>
      </c>
      <c r="N2113">
        <v>75</v>
      </c>
      <c r="O2113">
        <v>4</v>
      </c>
      <c r="P2113">
        <v>0.31</v>
      </c>
      <c r="Q2113">
        <v>4</v>
      </c>
      <c r="R2113">
        <v>8.3000000000000001E-3</v>
      </c>
      <c r="T2113" t="s">
        <v>6067</v>
      </c>
    </row>
    <row r="2114" spans="1:20" x14ac:dyDescent="0.2">
      <c r="A2114" t="s">
        <v>6069</v>
      </c>
      <c r="B2114" t="s">
        <v>2022</v>
      </c>
      <c r="C2114" t="s">
        <v>2257</v>
      </c>
      <c r="D2114" t="s">
        <v>2024</v>
      </c>
      <c r="E2114" t="s">
        <v>6070</v>
      </c>
      <c r="F2114" t="s">
        <v>6071</v>
      </c>
      <c r="G2114">
        <v>3</v>
      </c>
      <c r="H2114">
        <v>1100</v>
      </c>
      <c r="I2114">
        <v>2</v>
      </c>
      <c r="J2114">
        <v>1.75</v>
      </c>
      <c r="K2114">
        <v>2</v>
      </c>
      <c r="L2114">
        <v>3.6999999999999998E-2</v>
      </c>
      <c r="M2114">
        <v>1</v>
      </c>
      <c r="N2114">
        <v>300</v>
      </c>
      <c r="O2114">
        <v>1</v>
      </c>
      <c r="P2114">
        <v>0.3</v>
      </c>
      <c r="Q2114">
        <v>2</v>
      </c>
      <c r="R2114">
        <v>1.4999999999999999E-2</v>
      </c>
      <c r="T2114" t="s">
        <v>6070</v>
      </c>
    </row>
    <row r="2115" spans="1:20" x14ac:dyDescent="0.2">
      <c r="A2115" t="s">
        <v>6072</v>
      </c>
      <c r="B2115" t="s">
        <v>2022</v>
      </c>
      <c r="C2115" t="s">
        <v>2036</v>
      </c>
      <c r="D2115" t="s">
        <v>2024</v>
      </c>
      <c r="E2115" t="s">
        <v>6073</v>
      </c>
      <c r="F2115" t="s">
        <v>6074</v>
      </c>
      <c r="G2115">
        <v>2</v>
      </c>
      <c r="H2115">
        <v>1640</v>
      </c>
      <c r="I2115">
        <v>2</v>
      </c>
      <c r="J2115">
        <v>3.4</v>
      </c>
      <c r="K2115">
        <v>2</v>
      </c>
      <c r="L2115">
        <v>8.5000000000000006E-2</v>
      </c>
      <c r="M2115">
        <v>2</v>
      </c>
      <c r="N2115">
        <v>82</v>
      </c>
      <c r="O2115">
        <v>1</v>
      </c>
      <c r="P2115">
        <v>9.5000000000000001E-2</v>
      </c>
      <c r="Q2115">
        <v>2</v>
      </c>
      <c r="R2115">
        <v>4.2500000000000003E-3</v>
      </c>
      <c r="T2115" t="s">
        <v>6073</v>
      </c>
    </row>
    <row r="2116" spans="1:20" x14ac:dyDescent="0.2">
      <c r="A2116" t="s">
        <v>6075</v>
      </c>
      <c r="B2116" t="s">
        <v>2022</v>
      </c>
      <c r="C2116" t="s">
        <v>2222</v>
      </c>
      <c r="D2116" t="s">
        <v>2024</v>
      </c>
      <c r="E2116" t="s">
        <v>6076</v>
      </c>
      <c r="F2116" t="s">
        <v>6077</v>
      </c>
      <c r="G2116">
        <v>4</v>
      </c>
      <c r="H2116">
        <v>1750</v>
      </c>
      <c r="I2116">
        <v>2</v>
      </c>
      <c r="J2116">
        <v>3.9</v>
      </c>
      <c r="K2116">
        <v>2</v>
      </c>
      <c r="L2116">
        <v>5.5E-2</v>
      </c>
      <c r="M2116">
        <v>2</v>
      </c>
      <c r="N2116">
        <v>63</v>
      </c>
      <c r="O2116">
        <v>2</v>
      </c>
      <c r="P2116">
        <v>0.15</v>
      </c>
      <c r="Q2116">
        <v>2</v>
      </c>
      <c r="R2116">
        <v>2.3E-3</v>
      </c>
      <c r="T2116" t="s">
        <v>6076</v>
      </c>
    </row>
    <row r="2117" spans="1:20" x14ac:dyDescent="0.2">
      <c r="A2117" t="s">
        <v>6078</v>
      </c>
      <c r="B2117" t="s">
        <v>2022</v>
      </c>
      <c r="C2117" t="s">
        <v>2222</v>
      </c>
      <c r="D2117" t="s">
        <v>2024</v>
      </c>
      <c r="E2117" t="s">
        <v>6076</v>
      </c>
      <c r="F2117" t="s">
        <v>6077</v>
      </c>
      <c r="G2117">
        <v>5</v>
      </c>
      <c r="H2117">
        <v>1850</v>
      </c>
      <c r="I2117">
        <v>1</v>
      </c>
      <c r="J2117">
        <v>2.2999999999999998</v>
      </c>
      <c r="K2117">
        <v>2</v>
      </c>
      <c r="L2117">
        <v>5.5E-2</v>
      </c>
      <c r="M2117">
        <v>1</v>
      </c>
      <c r="N2117">
        <v>59</v>
      </c>
      <c r="O2117">
        <v>1</v>
      </c>
      <c r="P2117">
        <v>7.0000000000000007E-2</v>
      </c>
      <c r="Q2117">
        <v>1</v>
      </c>
      <c r="R2117">
        <v>4.0000000000000002E-4</v>
      </c>
      <c r="T2117" t="s">
        <v>6076</v>
      </c>
    </row>
    <row r="2118" spans="1:20" x14ac:dyDescent="0.2">
      <c r="A2118" t="s">
        <v>6079</v>
      </c>
      <c r="B2118" t="s">
        <v>2022</v>
      </c>
      <c r="C2118" t="s">
        <v>2053</v>
      </c>
      <c r="D2118" t="s">
        <v>2024</v>
      </c>
      <c r="E2118" t="s">
        <v>6080</v>
      </c>
      <c r="F2118" t="s">
        <v>6081</v>
      </c>
      <c r="G2118">
        <v>2</v>
      </c>
      <c r="H2118">
        <v>1600</v>
      </c>
      <c r="I2118">
        <v>4</v>
      </c>
      <c r="J2118">
        <v>9.0500000000000007</v>
      </c>
      <c r="K2118">
        <v>4</v>
      </c>
      <c r="L2118">
        <v>0.30499999999999999</v>
      </c>
      <c r="M2118">
        <v>2</v>
      </c>
      <c r="N2118">
        <v>83</v>
      </c>
      <c r="O2118">
        <v>4</v>
      </c>
      <c r="P2118">
        <v>0.52500000000000002</v>
      </c>
      <c r="Q2118">
        <v>3</v>
      </c>
      <c r="R2118">
        <v>1.2200000000000001E-2</v>
      </c>
      <c r="T2118" t="s">
        <v>6080</v>
      </c>
    </row>
    <row r="2119" spans="1:20" x14ac:dyDescent="0.2">
      <c r="A2119" t="s">
        <v>6082</v>
      </c>
      <c r="B2119" t="s">
        <v>2022</v>
      </c>
      <c r="C2119" t="s">
        <v>2023</v>
      </c>
      <c r="D2119" t="s">
        <v>2024</v>
      </c>
      <c r="E2119" t="s">
        <v>6083</v>
      </c>
      <c r="F2119" t="s">
        <v>6084</v>
      </c>
      <c r="G2119">
        <v>2</v>
      </c>
      <c r="H2119">
        <v>1560</v>
      </c>
      <c r="I2119">
        <v>4</v>
      </c>
      <c r="J2119">
        <v>8.4</v>
      </c>
      <c r="K2119">
        <v>5</v>
      </c>
      <c r="L2119">
        <v>8.5999999999999993E-2</v>
      </c>
      <c r="M2119">
        <v>1</v>
      </c>
      <c r="N2119">
        <v>74</v>
      </c>
      <c r="O2119">
        <v>3</v>
      </c>
      <c r="P2119">
        <v>0.375</v>
      </c>
      <c r="Q2119">
        <v>3</v>
      </c>
      <c r="R2119">
        <v>4.0000000000000001E-3</v>
      </c>
      <c r="T2119" t="s">
        <v>6083</v>
      </c>
    </row>
    <row r="2120" spans="1:20" x14ac:dyDescent="0.2">
      <c r="A2120" t="s">
        <v>6085</v>
      </c>
      <c r="B2120" t="s">
        <v>2022</v>
      </c>
      <c r="C2120" t="s">
        <v>2053</v>
      </c>
      <c r="D2120" t="s">
        <v>2024</v>
      </c>
      <c r="E2120" t="s">
        <v>6086</v>
      </c>
      <c r="F2120" t="s">
        <v>6087</v>
      </c>
      <c r="G2120">
        <v>2</v>
      </c>
      <c r="H2120">
        <v>1600</v>
      </c>
      <c r="I2120">
        <v>3</v>
      </c>
      <c r="J2120">
        <v>6.55</v>
      </c>
      <c r="K2120">
        <v>3</v>
      </c>
      <c r="L2120">
        <v>0.19500000000000001</v>
      </c>
      <c r="M2120">
        <v>1</v>
      </c>
      <c r="N2120">
        <v>73</v>
      </c>
      <c r="O2120">
        <v>2</v>
      </c>
      <c r="P2120">
        <v>0.22500000000000001</v>
      </c>
      <c r="Q2120">
        <v>2</v>
      </c>
      <c r="R2120">
        <v>5.1999999999999998E-3</v>
      </c>
      <c r="T2120" t="s">
        <v>6086</v>
      </c>
    </row>
    <row r="2121" spans="1:20" x14ac:dyDescent="0.2">
      <c r="A2121" t="s">
        <v>6088</v>
      </c>
      <c r="B2121" t="s">
        <v>2022</v>
      </c>
      <c r="C2121" t="s">
        <v>2036</v>
      </c>
      <c r="D2121" t="s">
        <v>2024</v>
      </c>
      <c r="E2121" t="s">
        <v>6089</v>
      </c>
      <c r="F2121" t="s">
        <v>6090</v>
      </c>
      <c r="G2121">
        <v>1</v>
      </c>
      <c r="H2121">
        <v>1540</v>
      </c>
      <c r="I2121">
        <v>1</v>
      </c>
      <c r="J2121">
        <v>2.2000000000000002</v>
      </c>
      <c r="K2121">
        <v>1</v>
      </c>
      <c r="L2121">
        <v>5.5E-2</v>
      </c>
      <c r="M2121">
        <v>1</v>
      </c>
      <c r="N2121">
        <v>76</v>
      </c>
      <c r="O2121">
        <v>1</v>
      </c>
      <c r="P2121">
        <v>9.5000000000000001E-2</v>
      </c>
      <c r="Q2121">
        <v>1</v>
      </c>
      <c r="R2121">
        <v>1.5E-3</v>
      </c>
      <c r="T2121" t="s">
        <v>6089</v>
      </c>
    </row>
    <row r="2122" spans="1:20" x14ac:dyDescent="0.2">
      <c r="A2122" t="s">
        <v>6091</v>
      </c>
      <c r="B2122" t="s">
        <v>2022</v>
      </c>
      <c r="C2122" t="s">
        <v>2101</v>
      </c>
      <c r="D2122" t="s">
        <v>2024</v>
      </c>
      <c r="E2122" t="s">
        <v>234</v>
      </c>
      <c r="F2122" t="s">
        <v>6092</v>
      </c>
      <c r="G2122">
        <v>1</v>
      </c>
      <c r="H2122">
        <v>1570</v>
      </c>
      <c r="I2122">
        <v>2</v>
      </c>
      <c r="J2122">
        <v>5</v>
      </c>
      <c r="K2122">
        <v>3</v>
      </c>
      <c r="L2122">
        <v>0.24349999999999999</v>
      </c>
      <c r="M2122">
        <v>2</v>
      </c>
      <c r="N2122">
        <v>74</v>
      </c>
      <c r="O2122">
        <v>2</v>
      </c>
      <c r="P2122">
        <v>0.22500000000000001</v>
      </c>
      <c r="Q2122">
        <v>2</v>
      </c>
      <c r="R2122">
        <v>4.4999999999999997E-3</v>
      </c>
      <c r="T2122" t="s">
        <v>234</v>
      </c>
    </row>
    <row r="2123" spans="1:20" x14ac:dyDescent="0.2">
      <c r="A2123" t="s">
        <v>6093</v>
      </c>
      <c r="B2123" t="s">
        <v>2022</v>
      </c>
      <c r="C2123" t="s">
        <v>2036</v>
      </c>
      <c r="D2123" t="s">
        <v>2024</v>
      </c>
      <c r="E2123" t="s">
        <v>234</v>
      </c>
      <c r="F2123" t="s">
        <v>6092</v>
      </c>
      <c r="G2123">
        <v>2</v>
      </c>
      <c r="H2123">
        <v>1640</v>
      </c>
      <c r="I2123">
        <v>5</v>
      </c>
      <c r="J2123">
        <v>7</v>
      </c>
      <c r="K2123">
        <v>5</v>
      </c>
      <c r="L2123">
        <v>0.17499999999999999</v>
      </c>
      <c r="M2123">
        <v>1</v>
      </c>
      <c r="N2123">
        <v>76</v>
      </c>
      <c r="O2123">
        <v>3</v>
      </c>
      <c r="P2123">
        <v>0.315</v>
      </c>
      <c r="Q2123">
        <v>5</v>
      </c>
      <c r="R2123">
        <v>1.2E-2</v>
      </c>
      <c r="T2123" t="s">
        <v>234</v>
      </c>
    </row>
    <row r="2124" spans="1:20" x14ac:dyDescent="0.2">
      <c r="A2124" t="s">
        <v>6094</v>
      </c>
      <c r="B2124" t="s">
        <v>2022</v>
      </c>
      <c r="C2124" t="s">
        <v>2049</v>
      </c>
      <c r="D2124" t="s">
        <v>2024</v>
      </c>
      <c r="E2124" t="s">
        <v>234</v>
      </c>
      <c r="F2124" t="s">
        <v>6092</v>
      </c>
      <c r="G2124">
        <v>3</v>
      </c>
      <c r="H2124">
        <v>1550</v>
      </c>
      <c r="I2124">
        <v>3</v>
      </c>
      <c r="J2124">
        <v>5</v>
      </c>
      <c r="K2124">
        <v>3</v>
      </c>
      <c r="L2124">
        <v>0.14000000000000001</v>
      </c>
      <c r="M2124">
        <v>1</v>
      </c>
      <c r="N2124">
        <v>86</v>
      </c>
      <c r="O2124">
        <v>2</v>
      </c>
      <c r="P2124">
        <v>0.26</v>
      </c>
      <c r="Q2124">
        <v>2</v>
      </c>
      <c r="R2124">
        <v>6.1999999999999998E-3</v>
      </c>
      <c r="T2124" t="s">
        <v>234</v>
      </c>
    </row>
    <row r="2125" spans="1:20" x14ac:dyDescent="0.2">
      <c r="A2125" t="s">
        <v>6095</v>
      </c>
      <c r="B2125" t="s">
        <v>2022</v>
      </c>
      <c r="C2125" t="s">
        <v>2036</v>
      </c>
      <c r="D2125" t="s">
        <v>2024</v>
      </c>
      <c r="E2125" t="s">
        <v>6096</v>
      </c>
      <c r="F2125" t="s">
        <v>6097</v>
      </c>
      <c r="G2125">
        <v>2</v>
      </c>
      <c r="H2125">
        <v>1640</v>
      </c>
      <c r="I2125">
        <v>1</v>
      </c>
      <c r="J2125">
        <v>2.2000000000000002</v>
      </c>
      <c r="K2125">
        <v>1</v>
      </c>
      <c r="L2125">
        <v>5.5E-2</v>
      </c>
      <c r="M2125">
        <v>2</v>
      </c>
      <c r="N2125">
        <v>82</v>
      </c>
      <c r="O2125">
        <v>1</v>
      </c>
      <c r="P2125">
        <v>9.5000000000000001E-2</v>
      </c>
      <c r="Q2125">
        <v>1</v>
      </c>
      <c r="R2125">
        <v>1.5E-3</v>
      </c>
      <c r="T2125" t="s">
        <v>6096</v>
      </c>
    </row>
    <row r="2126" spans="1:20" x14ac:dyDescent="0.2">
      <c r="A2126" t="s">
        <v>6098</v>
      </c>
      <c r="B2126" t="s">
        <v>2022</v>
      </c>
      <c r="C2126" t="s">
        <v>2053</v>
      </c>
      <c r="D2126" t="s">
        <v>2024</v>
      </c>
      <c r="E2126" t="s">
        <v>6099</v>
      </c>
      <c r="F2126" t="s">
        <v>6100</v>
      </c>
      <c r="G2126">
        <v>1</v>
      </c>
      <c r="H2126">
        <v>1500</v>
      </c>
      <c r="I2126">
        <v>1</v>
      </c>
      <c r="J2126">
        <v>1.55</v>
      </c>
      <c r="K2126">
        <v>1</v>
      </c>
      <c r="L2126">
        <v>1.4999999999999999E-2</v>
      </c>
      <c r="M2126">
        <v>5</v>
      </c>
      <c r="N2126">
        <v>113</v>
      </c>
      <c r="O2126">
        <v>1</v>
      </c>
      <c r="P2126">
        <v>7.4999999999999997E-2</v>
      </c>
      <c r="Q2126">
        <v>1</v>
      </c>
      <c r="R2126">
        <v>8.4999999999999995E-4</v>
      </c>
      <c r="T2126" t="s">
        <v>6099</v>
      </c>
    </row>
    <row r="2127" spans="1:20" x14ac:dyDescent="0.2">
      <c r="A2127" t="s">
        <v>6101</v>
      </c>
      <c r="B2127" t="s">
        <v>2022</v>
      </c>
      <c r="C2127" t="s">
        <v>2023</v>
      </c>
      <c r="D2127" t="s">
        <v>2024</v>
      </c>
      <c r="E2127" t="s">
        <v>6102</v>
      </c>
      <c r="F2127" t="s">
        <v>6103</v>
      </c>
      <c r="G2127">
        <v>1</v>
      </c>
      <c r="H2127">
        <v>1480</v>
      </c>
      <c r="I2127">
        <v>3</v>
      </c>
      <c r="J2127">
        <v>5.9</v>
      </c>
      <c r="K2127">
        <v>2</v>
      </c>
      <c r="L2127">
        <v>2.5999999999999999E-2</v>
      </c>
      <c r="M2127">
        <v>5</v>
      </c>
      <c r="N2127">
        <v>114</v>
      </c>
      <c r="O2127">
        <v>5</v>
      </c>
      <c r="P2127">
        <v>0.67500000000000004</v>
      </c>
      <c r="Q2127">
        <v>3</v>
      </c>
      <c r="R2127">
        <v>4.0000000000000001E-3</v>
      </c>
      <c r="T2127" t="s">
        <v>6102</v>
      </c>
    </row>
    <row r="2128" spans="1:20" x14ac:dyDescent="0.2">
      <c r="A2128" t="s">
        <v>6104</v>
      </c>
      <c r="B2128" t="s">
        <v>2022</v>
      </c>
      <c r="C2128" t="s">
        <v>2028</v>
      </c>
      <c r="D2128" t="s">
        <v>2024</v>
      </c>
      <c r="E2128" t="s">
        <v>6105</v>
      </c>
      <c r="F2128" t="s">
        <v>6106</v>
      </c>
      <c r="G2128">
        <v>5</v>
      </c>
      <c r="H2128">
        <v>1450</v>
      </c>
      <c r="I2128">
        <v>5</v>
      </c>
      <c r="J2128">
        <v>6.65</v>
      </c>
      <c r="K2128">
        <v>5</v>
      </c>
      <c r="L2128">
        <v>0.26700000000000002</v>
      </c>
      <c r="M2128">
        <v>1</v>
      </c>
      <c r="N2128">
        <v>100</v>
      </c>
      <c r="O2128">
        <v>2</v>
      </c>
      <c r="P2128">
        <v>0.45</v>
      </c>
      <c r="Q2128">
        <v>3</v>
      </c>
      <c r="R2128">
        <v>1.6250000000000001E-2</v>
      </c>
      <c r="T2128" t="s">
        <v>6105</v>
      </c>
    </row>
    <row r="2129" spans="1:20" x14ac:dyDescent="0.2">
      <c r="A2129" t="s">
        <v>6107</v>
      </c>
      <c r="B2129" t="s">
        <v>2022</v>
      </c>
      <c r="C2129" t="s">
        <v>2023</v>
      </c>
      <c r="D2129" t="s">
        <v>2024</v>
      </c>
      <c r="E2129" t="s">
        <v>6108</v>
      </c>
      <c r="F2129" t="s">
        <v>6109</v>
      </c>
      <c r="G2129">
        <v>2</v>
      </c>
      <c r="H2129">
        <v>1560</v>
      </c>
      <c r="I2129">
        <v>3</v>
      </c>
      <c r="J2129">
        <v>5.9</v>
      </c>
      <c r="K2129">
        <v>5</v>
      </c>
      <c r="L2129">
        <v>8.5999999999999993E-2</v>
      </c>
      <c r="M2129">
        <v>2</v>
      </c>
      <c r="N2129">
        <v>84</v>
      </c>
      <c r="O2129">
        <v>3</v>
      </c>
      <c r="P2129">
        <v>0.375</v>
      </c>
      <c r="Q2129">
        <v>5</v>
      </c>
      <c r="R2129">
        <v>8.0000000000000002E-3</v>
      </c>
      <c r="T2129" t="s">
        <v>6108</v>
      </c>
    </row>
    <row r="2130" spans="1:20" x14ac:dyDescent="0.2">
      <c r="A2130" t="s">
        <v>6110</v>
      </c>
      <c r="B2130" t="s">
        <v>2022</v>
      </c>
      <c r="C2130" t="s">
        <v>2053</v>
      </c>
      <c r="D2130" t="s">
        <v>2024</v>
      </c>
      <c r="E2130" t="s">
        <v>6111</v>
      </c>
      <c r="F2130" t="s">
        <v>6112</v>
      </c>
      <c r="G2130">
        <v>2</v>
      </c>
      <c r="H2130">
        <v>1600</v>
      </c>
      <c r="I2130">
        <v>5</v>
      </c>
      <c r="J2130">
        <v>11.55</v>
      </c>
      <c r="K2130">
        <v>5</v>
      </c>
      <c r="L2130">
        <v>0.41499999999999998</v>
      </c>
      <c r="M2130">
        <v>2</v>
      </c>
      <c r="N2130">
        <v>83</v>
      </c>
      <c r="O2130">
        <v>5</v>
      </c>
      <c r="P2130">
        <v>0.67500000000000004</v>
      </c>
      <c r="Q2130">
        <v>4</v>
      </c>
      <c r="R2130">
        <v>1.9199999999999998E-2</v>
      </c>
      <c r="T2130" t="s">
        <v>6111</v>
      </c>
    </row>
    <row r="2131" spans="1:20" x14ac:dyDescent="0.2">
      <c r="A2131" t="s">
        <v>6113</v>
      </c>
      <c r="B2131" t="s">
        <v>2022</v>
      </c>
      <c r="C2131" t="s">
        <v>2023</v>
      </c>
      <c r="D2131" t="s">
        <v>2136</v>
      </c>
      <c r="E2131" t="s">
        <v>6114</v>
      </c>
      <c r="F2131" t="s">
        <v>6115</v>
      </c>
      <c r="G2131">
        <v>3</v>
      </c>
      <c r="H2131">
        <v>1640</v>
      </c>
      <c r="I2131">
        <v>1</v>
      </c>
      <c r="J2131">
        <v>0.9</v>
      </c>
      <c r="K2131">
        <v>2</v>
      </c>
      <c r="L2131">
        <v>2.5999999999999999E-2</v>
      </c>
      <c r="M2131">
        <v>4</v>
      </c>
      <c r="N2131">
        <v>104</v>
      </c>
      <c r="O2131">
        <v>1</v>
      </c>
      <c r="P2131">
        <v>7.4999999999999997E-2</v>
      </c>
      <c r="Q2131">
        <v>2</v>
      </c>
      <c r="R2131">
        <v>2E-3</v>
      </c>
      <c r="T2131" t="s">
        <v>6114</v>
      </c>
    </row>
    <row r="2132" spans="1:20" x14ac:dyDescent="0.2">
      <c r="A2132" t="s">
        <v>6116</v>
      </c>
      <c r="B2132" t="s">
        <v>2022</v>
      </c>
      <c r="C2132" t="s">
        <v>2023</v>
      </c>
      <c r="D2132" t="s">
        <v>2024</v>
      </c>
      <c r="E2132" t="s">
        <v>6117</v>
      </c>
      <c r="F2132" t="s">
        <v>6118</v>
      </c>
      <c r="G2132">
        <v>2</v>
      </c>
      <c r="H2132">
        <v>1560</v>
      </c>
      <c r="I2132">
        <v>2</v>
      </c>
      <c r="J2132">
        <v>3.4</v>
      </c>
      <c r="K2132">
        <v>2</v>
      </c>
      <c r="L2132">
        <v>2.5999999999999999E-2</v>
      </c>
      <c r="M2132">
        <v>2</v>
      </c>
      <c r="N2132">
        <v>84</v>
      </c>
      <c r="O2132">
        <v>2</v>
      </c>
      <c r="P2132">
        <v>0.22500000000000001</v>
      </c>
      <c r="Q2132">
        <v>1</v>
      </c>
      <c r="R2132">
        <v>5.0000000000000001E-4</v>
      </c>
      <c r="T2132" t="s">
        <v>6117</v>
      </c>
    </row>
    <row r="2133" spans="1:20" x14ac:dyDescent="0.2">
      <c r="A2133" t="s">
        <v>6119</v>
      </c>
      <c r="B2133" t="s">
        <v>2022</v>
      </c>
      <c r="C2133" t="s">
        <v>2036</v>
      </c>
      <c r="D2133" t="s">
        <v>2024</v>
      </c>
      <c r="E2133" t="s">
        <v>6120</v>
      </c>
      <c r="F2133" t="s">
        <v>6121</v>
      </c>
      <c r="G2133">
        <v>5</v>
      </c>
      <c r="H2133">
        <v>1940</v>
      </c>
      <c r="I2133">
        <v>5</v>
      </c>
      <c r="J2133">
        <v>7</v>
      </c>
      <c r="K2133">
        <v>5</v>
      </c>
      <c r="L2133">
        <v>0.17499999999999999</v>
      </c>
      <c r="M2133">
        <v>3</v>
      </c>
      <c r="N2133">
        <v>88</v>
      </c>
      <c r="O2133">
        <v>5</v>
      </c>
      <c r="P2133">
        <v>0.53500000000000003</v>
      </c>
      <c r="Q2133">
        <v>5</v>
      </c>
      <c r="R2133">
        <v>1.2E-2</v>
      </c>
      <c r="T2133" t="s">
        <v>6120</v>
      </c>
    </row>
    <row r="2134" spans="1:20" x14ac:dyDescent="0.2">
      <c r="A2134" t="s">
        <v>6122</v>
      </c>
      <c r="B2134" t="s">
        <v>2022</v>
      </c>
      <c r="C2134" t="s">
        <v>2036</v>
      </c>
      <c r="D2134" t="s">
        <v>2024</v>
      </c>
      <c r="E2134" t="s">
        <v>6123</v>
      </c>
      <c r="F2134" t="s">
        <v>6124</v>
      </c>
      <c r="G2134">
        <v>5</v>
      </c>
      <c r="H2134">
        <v>1940</v>
      </c>
      <c r="I2134">
        <v>3</v>
      </c>
      <c r="J2134">
        <v>4.5999999999999996</v>
      </c>
      <c r="K2134">
        <v>1</v>
      </c>
      <c r="L2134">
        <v>5.5E-2</v>
      </c>
      <c r="M2134">
        <v>3</v>
      </c>
      <c r="N2134">
        <v>88</v>
      </c>
      <c r="O2134">
        <v>2</v>
      </c>
      <c r="P2134">
        <v>0.20499999999999999</v>
      </c>
      <c r="Q2134">
        <v>1</v>
      </c>
      <c r="R2134">
        <v>1.5E-3</v>
      </c>
      <c r="T2134" t="s">
        <v>6123</v>
      </c>
    </row>
    <row r="2135" spans="1:20" x14ac:dyDescent="0.2">
      <c r="A2135" t="s">
        <v>6125</v>
      </c>
      <c r="B2135" t="s">
        <v>2022</v>
      </c>
      <c r="C2135" t="s">
        <v>2053</v>
      </c>
      <c r="D2135" t="s">
        <v>2136</v>
      </c>
      <c r="E2135" t="s">
        <v>6126</v>
      </c>
      <c r="F2135" t="s">
        <v>6127</v>
      </c>
      <c r="G2135">
        <v>3</v>
      </c>
      <c r="H2135">
        <v>1700</v>
      </c>
      <c r="I2135">
        <v>2</v>
      </c>
      <c r="J2135">
        <v>4.05</v>
      </c>
      <c r="K2135">
        <v>2</v>
      </c>
      <c r="L2135">
        <v>8.5000000000000006E-2</v>
      </c>
      <c r="M2135">
        <v>2</v>
      </c>
      <c r="N2135">
        <v>83</v>
      </c>
      <c r="O2135">
        <v>2</v>
      </c>
      <c r="P2135">
        <v>0.22500000000000001</v>
      </c>
      <c r="Q2135">
        <v>2</v>
      </c>
      <c r="R2135">
        <v>5.1999999999999998E-3</v>
      </c>
      <c r="T2135" t="s">
        <v>6126</v>
      </c>
    </row>
    <row r="2136" spans="1:20" x14ac:dyDescent="0.2">
      <c r="A2136" t="s">
        <v>6128</v>
      </c>
      <c r="B2136" t="s">
        <v>2022</v>
      </c>
      <c r="C2136" t="s">
        <v>2101</v>
      </c>
      <c r="D2136" t="s">
        <v>2024</v>
      </c>
      <c r="E2136" t="s">
        <v>6129</v>
      </c>
      <c r="F2136" t="s">
        <v>6130</v>
      </c>
      <c r="G2136">
        <v>4</v>
      </c>
      <c r="H2136">
        <v>1870</v>
      </c>
      <c r="I2136">
        <v>5</v>
      </c>
      <c r="J2136">
        <v>14</v>
      </c>
      <c r="K2136">
        <v>5</v>
      </c>
      <c r="L2136">
        <v>0.53749999999999998</v>
      </c>
      <c r="M2136">
        <v>5</v>
      </c>
      <c r="N2136">
        <v>98</v>
      </c>
      <c r="O2136">
        <v>5</v>
      </c>
      <c r="P2136">
        <v>0.67500000000000004</v>
      </c>
      <c r="Q2136">
        <v>5</v>
      </c>
      <c r="R2136">
        <v>2.5499999999999998E-2</v>
      </c>
      <c r="T2136" t="s">
        <v>6129</v>
      </c>
    </row>
    <row r="2137" spans="1:20" x14ac:dyDescent="0.2">
      <c r="A2137" t="s">
        <v>6131</v>
      </c>
      <c r="B2137" t="s">
        <v>2022</v>
      </c>
      <c r="C2137" t="s">
        <v>2023</v>
      </c>
      <c r="D2137" t="s">
        <v>2024</v>
      </c>
      <c r="E2137" t="s">
        <v>6132</v>
      </c>
      <c r="F2137" t="s">
        <v>447</v>
      </c>
      <c r="G2137">
        <v>5</v>
      </c>
      <c r="H2137">
        <v>1800</v>
      </c>
      <c r="I2137">
        <v>3</v>
      </c>
      <c r="J2137">
        <v>5.9</v>
      </c>
      <c r="K2137">
        <v>2</v>
      </c>
      <c r="L2137">
        <v>2.5999999999999999E-2</v>
      </c>
      <c r="M2137">
        <v>3</v>
      </c>
      <c r="N2137">
        <v>94</v>
      </c>
      <c r="O2137">
        <v>3</v>
      </c>
      <c r="P2137">
        <v>0.375</v>
      </c>
      <c r="Q2137">
        <v>1</v>
      </c>
      <c r="R2137">
        <v>5.0000000000000001E-4</v>
      </c>
      <c r="T2137" t="s">
        <v>6132</v>
      </c>
    </row>
    <row r="2138" spans="1:20" x14ac:dyDescent="0.2">
      <c r="A2138" t="s">
        <v>6133</v>
      </c>
      <c r="B2138" t="s">
        <v>2022</v>
      </c>
      <c r="C2138" t="s">
        <v>2023</v>
      </c>
      <c r="D2138" t="s">
        <v>2024</v>
      </c>
      <c r="E2138" t="s">
        <v>6134</v>
      </c>
      <c r="F2138" t="s">
        <v>6135</v>
      </c>
      <c r="G2138">
        <v>2</v>
      </c>
      <c r="H2138">
        <v>1560</v>
      </c>
      <c r="I2138">
        <v>1</v>
      </c>
      <c r="J2138">
        <v>0.9</v>
      </c>
      <c r="K2138">
        <v>1</v>
      </c>
      <c r="L2138">
        <v>6.0000000000000001E-3</v>
      </c>
      <c r="M2138">
        <v>2</v>
      </c>
      <c r="N2138">
        <v>84</v>
      </c>
      <c r="O2138">
        <v>1</v>
      </c>
      <c r="P2138">
        <v>7.4999999999999997E-2</v>
      </c>
      <c r="Q2138">
        <v>1</v>
      </c>
      <c r="R2138">
        <v>5.0000000000000001E-4</v>
      </c>
      <c r="T2138" t="s">
        <v>6134</v>
      </c>
    </row>
    <row r="2139" spans="1:20" x14ac:dyDescent="0.2">
      <c r="A2139" t="s">
        <v>6136</v>
      </c>
      <c r="B2139" t="s">
        <v>2022</v>
      </c>
      <c r="C2139" t="s">
        <v>2053</v>
      </c>
      <c r="D2139" t="s">
        <v>2024</v>
      </c>
      <c r="E2139" t="s">
        <v>6137</v>
      </c>
      <c r="F2139" t="s">
        <v>6138</v>
      </c>
      <c r="G2139">
        <v>2</v>
      </c>
      <c r="H2139">
        <v>1600</v>
      </c>
      <c r="I2139">
        <v>4</v>
      </c>
      <c r="J2139">
        <v>9.0500000000000007</v>
      </c>
      <c r="K2139">
        <v>5</v>
      </c>
      <c r="L2139">
        <v>0.41499999999999998</v>
      </c>
      <c r="M2139">
        <v>4</v>
      </c>
      <c r="N2139">
        <v>103</v>
      </c>
      <c r="O2139">
        <v>5</v>
      </c>
      <c r="P2139">
        <v>0.67500000000000004</v>
      </c>
      <c r="Q2139">
        <v>5</v>
      </c>
      <c r="R2139">
        <v>2.6200000000000001E-2</v>
      </c>
      <c r="T2139" t="s">
        <v>6137</v>
      </c>
    </row>
    <row r="2140" spans="1:20" x14ac:dyDescent="0.2">
      <c r="A2140" t="s">
        <v>6139</v>
      </c>
      <c r="B2140" t="s">
        <v>2022</v>
      </c>
      <c r="C2140" t="s">
        <v>2049</v>
      </c>
      <c r="D2140" t="s">
        <v>2024</v>
      </c>
      <c r="E2140" t="s">
        <v>6140</v>
      </c>
      <c r="F2140" t="s">
        <v>6141</v>
      </c>
      <c r="G2140">
        <v>3</v>
      </c>
      <c r="H2140">
        <v>1550</v>
      </c>
      <c r="I2140">
        <v>3</v>
      </c>
      <c r="J2140">
        <v>5</v>
      </c>
      <c r="K2140">
        <v>3</v>
      </c>
      <c r="L2140">
        <v>0.14000000000000001</v>
      </c>
      <c r="M2140">
        <v>5</v>
      </c>
      <c r="N2140">
        <v>166</v>
      </c>
      <c r="O2140">
        <v>4</v>
      </c>
      <c r="P2140">
        <v>0.66</v>
      </c>
      <c r="Q2140">
        <v>4</v>
      </c>
      <c r="R2140">
        <v>2.4199999999999999E-2</v>
      </c>
      <c r="T2140" t="s">
        <v>6140</v>
      </c>
    </row>
    <row r="2141" spans="1:20" x14ac:dyDescent="0.2">
      <c r="A2141" t="s">
        <v>6142</v>
      </c>
      <c r="B2141" t="s">
        <v>2022</v>
      </c>
      <c r="C2141" t="s">
        <v>2023</v>
      </c>
      <c r="D2141" t="s">
        <v>2024</v>
      </c>
      <c r="E2141" t="s">
        <v>6143</v>
      </c>
      <c r="F2141" t="s">
        <v>6144</v>
      </c>
      <c r="G2141">
        <v>5</v>
      </c>
      <c r="H2141">
        <v>1800</v>
      </c>
      <c r="I2141">
        <v>3</v>
      </c>
      <c r="J2141">
        <v>5.9</v>
      </c>
      <c r="K2141">
        <v>2</v>
      </c>
      <c r="L2141">
        <v>2.5999999999999999E-2</v>
      </c>
      <c r="M2141">
        <v>4</v>
      </c>
      <c r="N2141">
        <v>104</v>
      </c>
      <c r="O2141">
        <v>3</v>
      </c>
      <c r="P2141">
        <v>0.375</v>
      </c>
      <c r="Q2141">
        <v>2</v>
      </c>
      <c r="R2141">
        <v>2E-3</v>
      </c>
      <c r="T2141" t="s">
        <v>6143</v>
      </c>
    </row>
    <row r="2142" spans="1:20" x14ac:dyDescent="0.2">
      <c r="A2142" t="s">
        <v>6145</v>
      </c>
      <c r="B2142" t="s">
        <v>2022</v>
      </c>
      <c r="C2142" t="s">
        <v>2173</v>
      </c>
      <c r="D2142" t="s">
        <v>2024</v>
      </c>
      <c r="E2142" t="s">
        <v>6146</v>
      </c>
      <c r="F2142" t="s">
        <v>447</v>
      </c>
      <c r="G2142">
        <v>4</v>
      </c>
      <c r="H2142">
        <v>2107.5</v>
      </c>
      <c r="I2142">
        <v>1</v>
      </c>
      <c r="J2142">
        <v>3.65</v>
      </c>
      <c r="K2142">
        <v>2</v>
      </c>
      <c r="L2142">
        <v>0.09</v>
      </c>
      <c r="M2142">
        <v>5</v>
      </c>
      <c r="N2142">
        <v>140.5</v>
      </c>
      <c r="O2142">
        <v>2</v>
      </c>
      <c r="P2142">
        <v>0.33</v>
      </c>
      <c r="Q2142">
        <v>2</v>
      </c>
      <c r="R2142">
        <v>4.7999999999999996E-3</v>
      </c>
      <c r="T2142" t="s">
        <v>6146</v>
      </c>
    </row>
    <row r="2143" spans="1:20" x14ac:dyDescent="0.2">
      <c r="A2143" t="s">
        <v>6147</v>
      </c>
      <c r="B2143" t="s">
        <v>2022</v>
      </c>
      <c r="C2143" t="s">
        <v>2101</v>
      </c>
      <c r="D2143" t="s">
        <v>2024</v>
      </c>
      <c r="E2143" t="s">
        <v>6148</v>
      </c>
      <c r="F2143" t="s">
        <v>6149</v>
      </c>
      <c r="G2143">
        <v>3</v>
      </c>
      <c r="H2143">
        <v>1770</v>
      </c>
      <c r="I2143">
        <v>2</v>
      </c>
      <c r="J2143">
        <v>5</v>
      </c>
      <c r="K2143">
        <v>2</v>
      </c>
      <c r="L2143">
        <v>9.6500000000000002E-2</v>
      </c>
      <c r="M2143">
        <v>1</v>
      </c>
      <c r="N2143">
        <v>66</v>
      </c>
      <c r="O2143">
        <v>2</v>
      </c>
      <c r="P2143">
        <v>0.22500000000000001</v>
      </c>
      <c r="Q2143">
        <v>2</v>
      </c>
      <c r="R2143">
        <v>4.4999999999999997E-3</v>
      </c>
      <c r="T2143" t="s">
        <v>6148</v>
      </c>
    </row>
    <row r="2144" spans="1:20" x14ac:dyDescent="0.2">
      <c r="A2144" t="s">
        <v>6150</v>
      </c>
      <c r="B2144" t="s">
        <v>2022</v>
      </c>
      <c r="C2144" t="s">
        <v>2023</v>
      </c>
      <c r="D2144" t="s">
        <v>2024</v>
      </c>
      <c r="E2144" t="s">
        <v>6151</v>
      </c>
      <c r="F2144" t="s">
        <v>6152</v>
      </c>
      <c r="G2144">
        <v>5</v>
      </c>
      <c r="H2144">
        <v>1800</v>
      </c>
      <c r="I2144">
        <v>5</v>
      </c>
      <c r="J2144">
        <v>10.9</v>
      </c>
      <c r="K2144">
        <v>5</v>
      </c>
      <c r="L2144">
        <v>8.5999999999999993E-2</v>
      </c>
      <c r="M2144">
        <v>3</v>
      </c>
      <c r="N2144">
        <v>94</v>
      </c>
      <c r="O2144">
        <v>5</v>
      </c>
      <c r="P2144">
        <v>0.67500000000000004</v>
      </c>
      <c r="Q2144">
        <v>5</v>
      </c>
      <c r="R2144">
        <v>8.0000000000000002E-3</v>
      </c>
      <c r="T2144" t="s">
        <v>6151</v>
      </c>
    </row>
    <row r="2145" spans="1:20" x14ac:dyDescent="0.2">
      <c r="A2145" t="s">
        <v>6153</v>
      </c>
      <c r="B2145" t="s">
        <v>2022</v>
      </c>
      <c r="C2145" t="s">
        <v>2028</v>
      </c>
      <c r="D2145" t="s">
        <v>2024</v>
      </c>
      <c r="E2145" t="s">
        <v>6154</v>
      </c>
      <c r="F2145" t="s">
        <v>6155</v>
      </c>
      <c r="G2145">
        <v>2</v>
      </c>
      <c r="H2145">
        <v>850</v>
      </c>
      <c r="I2145">
        <v>2</v>
      </c>
      <c r="J2145">
        <v>1.55</v>
      </c>
      <c r="K2145">
        <v>2</v>
      </c>
      <c r="L2145">
        <v>4.4999999999999998E-2</v>
      </c>
      <c r="M2145">
        <v>1</v>
      </c>
      <c r="N2145">
        <v>100</v>
      </c>
      <c r="O2145">
        <v>1</v>
      </c>
      <c r="P2145">
        <v>0.15</v>
      </c>
      <c r="Q2145">
        <v>1</v>
      </c>
      <c r="R2145">
        <v>1.75E-3</v>
      </c>
      <c r="T2145" t="s">
        <v>6154</v>
      </c>
    </row>
    <row r="2146" spans="1:20" x14ac:dyDescent="0.2">
      <c r="A2146" t="s">
        <v>6156</v>
      </c>
      <c r="B2146" t="s">
        <v>2022</v>
      </c>
      <c r="C2146" t="s">
        <v>2053</v>
      </c>
      <c r="D2146" t="s">
        <v>2024</v>
      </c>
      <c r="E2146" t="s">
        <v>6157</v>
      </c>
      <c r="F2146" t="s">
        <v>6158</v>
      </c>
      <c r="G2146">
        <v>2</v>
      </c>
      <c r="H2146">
        <v>1600</v>
      </c>
      <c r="I2146">
        <v>1</v>
      </c>
      <c r="J2146">
        <v>1.55</v>
      </c>
      <c r="K2146">
        <v>1</v>
      </c>
      <c r="L2146">
        <v>1.4999999999999999E-2</v>
      </c>
      <c r="M2146">
        <v>5</v>
      </c>
      <c r="N2146">
        <v>113</v>
      </c>
      <c r="O2146">
        <v>1</v>
      </c>
      <c r="P2146">
        <v>7.4999999999999997E-2</v>
      </c>
      <c r="Q2146">
        <v>1</v>
      </c>
      <c r="R2146">
        <v>8.4999999999999995E-4</v>
      </c>
      <c r="T2146" t="s">
        <v>6157</v>
      </c>
    </row>
    <row r="2147" spans="1:20" x14ac:dyDescent="0.2">
      <c r="A2147" t="s">
        <v>6159</v>
      </c>
      <c r="B2147" t="s">
        <v>2022</v>
      </c>
      <c r="C2147" t="s">
        <v>2023</v>
      </c>
      <c r="D2147" t="s">
        <v>2024</v>
      </c>
      <c r="E2147" t="s">
        <v>6160</v>
      </c>
      <c r="F2147" t="s">
        <v>6161</v>
      </c>
      <c r="G2147">
        <v>2</v>
      </c>
      <c r="H2147">
        <v>1560</v>
      </c>
      <c r="I2147">
        <v>4</v>
      </c>
      <c r="J2147">
        <v>8.4</v>
      </c>
      <c r="K2147">
        <v>5</v>
      </c>
      <c r="L2147">
        <v>8.5999999999999993E-2</v>
      </c>
      <c r="M2147">
        <v>2</v>
      </c>
      <c r="N2147">
        <v>84</v>
      </c>
      <c r="O2147">
        <v>3</v>
      </c>
      <c r="P2147">
        <v>0.375</v>
      </c>
      <c r="Q2147">
        <v>5</v>
      </c>
      <c r="R2147">
        <v>8.0000000000000002E-3</v>
      </c>
      <c r="T2147" t="s">
        <v>6160</v>
      </c>
    </row>
    <row r="2148" spans="1:20" x14ac:dyDescent="0.2">
      <c r="A2148" t="s">
        <v>6162</v>
      </c>
      <c r="B2148" t="s">
        <v>2022</v>
      </c>
      <c r="C2148" t="s">
        <v>2036</v>
      </c>
      <c r="D2148" t="s">
        <v>2024</v>
      </c>
      <c r="E2148" t="s">
        <v>6163</v>
      </c>
      <c r="F2148" t="s">
        <v>6164</v>
      </c>
      <c r="G2148">
        <v>1</v>
      </c>
      <c r="H2148">
        <v>1540</v>
      </c>
      <c r="I2148">
        <v>2</v>
      </c>
      <c r="J2148">
        <v>3.4</v>
      </c>
      <c r="K2148">
        <v>1</v>
      </c>
      <c r="L2148">
        <v>5.5E-2</v>
      </c>
      <c r="M2148">
        <v>1</v>
      </c>
      <c r="N2148">
        <v>76</v>
      </c>
      <c r="O2148">
        <v>2</v>
      </c>
      <c r="P2148">
        <v>0.20499999999999999</v>
      </c>
      <c r="Q2148">
        <v>2</v>
      </c>
      <c r="R2148">
        <v>4.2500000000000003E-3</v>
      </c>
      <c r="T2148" t="s">
        <v>6163</v>
      </c>
    </row>
    <row r="2149" spans="1:20" x14ac:dyDescent="0.2">
      <c r="A2149" t="s">
        <v>6165</v>
      </c>
      <c r="B2149" t="s">
        <v>2022</v>
      </c>
      <c r="C2149" t="s">
        <v>2049</v>
      </c>
      <c r="D2149" t="s">
        <v>2024</v>
      </c>
      <c r="E2149" t="s">
        <v>6166</v>
      </c>
      <c r="F2149" t="s">
        <v>6167</v>
      </c>
      <c r="G2149">
        <v>4</v>
      </c>
      <c r="H2149">
        <v>1650</v>
      </c>
      <c r="I2149">
        <v>4</v>
      </c>
      <c r="J2149">
        <v>6.8</v>
      </c>
      <c r="K2149">
        <v>4</v>
      </c>
      <c r="L2149">
        <v>0.22</v>
      </c>
      <c r="M2149">
        <v>2</v>
      </c>
      <c r="N2149">
        <v>106</v>
      </c>
      <c r="O2149">
        <v>3</v>
      </c>
      <c r="P2149">
        <v>0.46</v>
      </c>
      <c r="Q2149">
        <v>3</v>
      </c>
      <c r="R2149">
        <v>1.52E-2</v>
      </c>
      <c r="T2149" t="s">
        <v>6166</v>
      </c>
    </row>
    <row r="2150" spans="1:20" x14ac:dyDescent="0.2">
      <c r="A2150" t="s">
        <v>6168</v>
      </c>
      <c r="B2150" t="s">
        <v>2022</v>
      </c>
      <c r="C2150" t="s">
        <v>2036</v>
      </c>
      <c r="D2150" t="s">
        <v>2024</v>
      </c>
      <c r="E2150" t="s">
        <v>6169</v>
      </c>
      <c r="F2150" t="s">
        <v>6170</v>
      </c>
      <c r="G2150">
        <v>2</v>
      </c>
      <c r="H2150">
        <v>1640</v>
      </c>
      <c r="I2150">
        <v>4</v>
      </c>
      <c r="J2150">
        <v>5.8</v>
      </c>
      <c r="K2150">
        <v>1</v>
      </c>
      <c r="L2150">
        <v>5.5E-2</v>
      </c>
      <c r="M2150">
        <v>3</v>
      </c>
      <c r="N2150">
        <v>88</v>
      </c>
      <c r="O2150">
        <v>3</v>
      </c>
      <c r="P2150">
        <v>0.315</v>
      </c>
      <c r="Q2150">
        <v>2</v>
      </c>
      <c r="R2150">
        <v>4.2500000000000003E-3</v>
      </c>
      <c r="T2150" t="s">
        <v>6169</v>
      </c>
    </row>
    <row r="2151" spans="1:20" x14ac:dyDescent="0.2">
      <c r="A2151" t="s">
        <v>6171</v>
      </c>
      <c r="B2151" t="s">
        <v>2022</v>
      </c>
      <c r="C2151" t="s">
        <v>2036</v>
      </c>
      <c r="D2151" t="s">
        <v>2024</v>
      </c>
      <c r="E2151" t="s">
        <v>6172</v>
      </c>
      <c r="F2151" t="s">
        <v>6173</v>
      </c>
      <c r="G2151">
        <v>2</v>
      </c>
      <c r="H2151">
        <v>1640</v>
      </c>
      <c r="I2151">
        <v>1</v>
      </c>
      <c r="J2151">
        <v>2.2000000000000002</v>
      </c>
      <c r="K2151">
        <v>1</v>
      </c>
      <c r="L2151">
        <v>5.5E-2</v>
      </c>
      <c r="M2151">
        <v>4</v>
      </c>
      <c r="N2151">
        <v>94</v>
      </c>
      <c r="O2151">
        <v>1</v>
      </c>
      <c r="P2151">
        <v>9.5000000000000001E-2</v>
      </c>
      <c r="Q2151">
        <v>1</v>
      </c>
      <c r="R2151">
        <v>1.5E-3</v>
      </c>
      <c r="T2151" t="s">
        <v>6172</v>
      </c>
    </row>
    <row r="2152" spans="1:20" x14ac:dyDescent="0.2">
      <c r="A2152" t="s">
        <v>6174</v>
      </c>
      <c r="B2152" t="s">
        <v>2022</v>
      </c>
      <c r="C2152" t="s">
        <v>2095</v>
      </c>
      <c r="D2152" t="s">
        <v>2024</v>
      </c>
      <c r="E2152" t="s">
        <v>6175</v>
      </c>
      <c r="F2152" t="s">
        <v>6176</v>
      </c>
      <c r="G2152">
        <v>4</v>
      </c>
      <c r="H2152">
        <v>1835</v>
      </c>
      <c r="I2152">
        <v>1</v>
      </c>
      <c r="J2152">
        <v>4.5</v>
      </c>
      <c r="K2152">
        <v>1</v>
      </c>
      <c r="L2152">
        <v>1.4999999999999999E-2</v>
      </c>
      <c r="M2152">
        <v>5</v>
      </c>
      <c r="N2152">
        <v>98</v>
      </c>
      <c r="O2152">
        <v>1</v>
      </c>
      <c r="P2152">
        <v>0.15</v>
      </c>
      <c r="Q2152">
        <v>1</v>
      </c>
      <c r="R2152">
        <v>6.9999999999999999E-4</v>
      </c>
      <c r="T2152" t="s">
        <v>6175</v>
      </c>
    </row>
    <row r="2153" spans="1:20" x14ac:dyDescent="0.2">
      <c r="A2153" t="s">
        <v>6177</v>
      </c>
      <c r="B2153" t="s">
        <v>2022</v>
      </c>
      <c r="C2153" t="s">
        <v>2036</v>
      </c>
      <c r="D2153" t="s">
        <v>2024</v>
      </c>
      <c r="E2153" t="s">
        <v>6178</v>
      </c>
      <c r="F2153" t="s">
        <v>6179</v>
      </c>
      <c r="G2153">
        <v>2</v>
      </c>
      <c r="H2153">
        <v>1640</v>
      </c>
      <c r="I2153">
        <v>4</v>
      </c>
      <c r="J2153">
        <v>5.8</v>
      </c>
      <c r="K2153">
        <v>5</v>
      </c>
      <c r="L2153">
        <v>0.17499999999999999</v>
      </c>
      <c r="M2153">
        <v>2</v>
      </c>
      <c r="N2153">
        <v>82</v>
      </c>
      <c r="O2153">
        <v>3</v>
      </c>
      <c r="P2153">
        <v>0.315</v>
      </c>
      <c r="Q2153">
        <v>5</v>
      </c>
      <c r="R2153">
        <v>1.2E-2</v>
      </c>
      <c r="T2153" t="s">
        <v>6178</v>
      </c>
    </row>
    <row r="2154" spans="1:20" x14ac:dyDescent="0.2">
      <c r="A2154" t="s">
        <v>6180</v>
      </c>
      <c r="B2154" t="s">
        <v>2022</v>
      </c>
      <c r="C2154" t="s">
        <v>2222</v>
      </c>
      <c r="D2154" t="s">
        <v>2024</v>
      </c>
      <c r="E2154" t="s">
        <v>6181</v>
      </c>
      <c r="F2154" t="s">
        <v>6182</v>
      </c>
      <c r="G2154">
        <v>3</v>
      </c>
      <c r="H2154">
        <v>1650</v>
      </c>
      <c r="I2154">
        <v>5</v>
      </c>
      <c r="J2154">
        <v>8.6999999999999993</v>
      </c>
      <c r="K2154">
        <v>5</v>
      </c>
      <c r="L2154">
        <v>0.26500000000000001</v>
      </c>
      <c r="M2154">
        <v>3</v>
      </c>
      <c r="N2154">
        <v>67</v>
      </c>
      <c r="O2154">
        <v>5</v>
      </c>
      <c r="P2154">
        <v>0.39</v>
      </c>
      <c r="Q2154">
        <v>4</v>
      </c>
      <c r="R2154">
        <v>8.3000000000000001E-3</v>
      </c>
      <c r="T2154" t="s">
        <v>6181</v>
      </c>
    </row>
    <row r="2155" spans="1:20" x14ac:dyDescent="0.2">
      <c r="A2155" t="s">
        <v>6183</v>
      </c>
      <c r="B2155" t="s">
        <v>2022</v>
      </c>
      <c r="C2155" t="s">
        <v>2049</v>
      </c>
      <c r="D2155" t="s">
        <v>2024</v>
      </c>
      <c r="E2155" t="s">
        <v>6184</v>
      </c>
      <c r="F2155" t="s">
        <v>447</v>
      </c>
      <c r="G2155">
        <v>5</v>
      </c>
      <c r="H2155">
        <v>1750</v>
      </c>
      <c r="I2155">
        <v>3</v>
      </c>
      <c r="J2155">
        <v>5</v>
      </c>
      <c r="K2155">
        <v>3</v>
      </c>
      <c r="L2155">
        <v>0.14000000000000001</v>
      </c>
      <c r="M2155">
        <v>3</v>
      </c>
      <c r="N2155">
        <v>126</v>
      </c>
      <c r="O2155">
        <v>3</v>
      </c>
      <c r="P2155">
        <v>0.46</v>
      </c>
      <c r="Q2155">
        <v>3</v>
      </c>
      <c r="R2155">
        <v>1.52E-2</v>
      </c>
      <c r="T2155" t="s">
        <v>6184</v>
      </c>
    </row>
    <row r="2156" spans="1:20" x14ac:dyDescent="0.2">
      <c r="A2156" t="s">
        <v>6185</v>
      </c>
      <c r="B2156" t="s">
        <v>2022</v>
      </c>
      <c r="C2156" t="s">
        <v>2101</v>
      </c>
      <c r="D2156" t="s">
        <v>2024</v>
      </c>
      <c r="E2156" t="s">
        <v>6186</v>
      </c>
      <c r="F2156" t="s">
        <v>6187</v>
      </c>
      <c r="G2156">
        <v>1</v>
      </c>
      <c r="H2156">
        <v>1570</v>
      </c>
      <c r="I2156">
        <v>1</v>
      </c>
      <c r="J2156">
        <v>2</v>
      </c>
      <c r="K2156">
        <v>1</v>
      </c>
      <c r="L2156">
        <v>1.15E-2</v>
      </c>
      <c r="M2156">
        <v>2</v>
      </c>
      <c r="N2156">
        <v>74</v>
      </c>
      <c r="O2156">
        <v>1</v>
      </c>
      <c r="P2156">
        <v>7.4999999999999997E-2</v>
      </c>
      <c r="Q2156">
        <v>1</v>
      </c>
      <c r="R2156">
        <v>5.0000000000000001E-4</v>
      </c>
      <c r="T2156" t="s">
        <v>6186</v>
      </c>
    </row>
    <row r="2157" spans="1:20" x14ac:dyDescent="0.2">
      <c r="A2157" t="s">
        <v>6188</v>
      </c>
      <c r="B2157" t="s">
        <v>2022</v>
      </c>
      <c r="C2157" t="s">
        <v>2036</v>
      </c>
      <c r="D2157" t="s">
        <v>2024</v>
      </c>
      <c r="E2157" t="s">
        <v>357</v>
      </c>
      <c r="F2157" t="s">
        <v>6189</v>
      </c>
      <c r="G2157">
        <v>1</v>
      </c>
      <c r="H2157">
        <v>1540</v>
      </c>
      <c r="I2157">
        <v>1</v>
      </c>
      <c r="J2157">
        <v>2.2000000000000002</v>
      </c>
      <c r="K2157">
        <v>1</v>
      </c>
      <c r="L2157">
        <v>5.5E-2</v>
      </c>
      <c r="M2157">
        <v>1</v>
      </c>
      <c r="N2157">
        <v>76</v>
      </c>
      <c r="O2157">
        <v>1</v>
      </c>
      <c r="P2157">
        <v>9.5000000000000001E-2</v>
      </c>
      <c r="Q2157">
        <v>1</v>
      </c>
      <c r="R2157">
        <v>1.5E-3</v>
      </c>
      <c r="T2157" t="s">
        <v>357</v>
      </c>
    </row>
    <row r="2158" spans="1:20" x14ac:dyDescent="0.2">
      <c r="A2158" t="s">
        <v>6190</v>
      </c>
      <c r="B2158" t="s">
        <v>2022</v>
      </c>
      <c r="C2158" t="s">
        <v>2036</v>
      </c>
      <c r="D2158" t="s">
        <v>2024</v>
      </c>
      <c r="E2158" t="s">
        <v>6191</v>
      </c>
      <c r="F2158" t="s">
        <v>6192</v>
      </c>
      <c r="G2158">
        <v>4</v>
      </c>
      <c r="H2158">
        <v>1840</v>
      </c>
      <c r="I2158">
        <v>5</v>
      </c>
      <c r="J2158">
        <v>7</v>
      </c>
      <c r="K2158">
        <v>5</v>
      </c>
      <c r="L2158">
        <v>0.17499999999999999</v>
      </c>
      <c r="M2158">
        <v>4</v>
      </c>
      <c r="N2158">
        <v>94</v>
      </c>
      <c r="O2158">
        <v>5</v>
      </c>
      <c r="P2158">
        <v>0.53500000000000003</v>
      </c>
      <c r="Q2158">
        <v>5</v>
      </c>
      <c r="R2158">
        <v>1.2E-2</v>
      </c>
      <c r="T2158" t="s">
        <v>6191</v>
      </c>
    </row>
    <row r="2159" spans="1:20" x14ac:dyDescent="0.2">
      <c r="A2159" t="s">
        <v>6193</v>
      </c>
      <c r="B2159" t="s">
        <v>2022</v>
      </c>
      <c r="C2159" t="s">
        <v>2036</v>
      </c>
      <c r="D2159" t="s">
        <v>2136</v>
      </c>
      <c r="E2159" t="s">
        <v>6194</v>
      </c>
      <c r="F2159" t="s">
        <v>6195</v>
      </c>
      <c r="G2159">
        <v>2</v>
      </c>
      <c r="H2159">
        <v>1640</v>
      </c>
      <c r="I2159">
        <v>5</v>
      </c>
      <c r="J2159">
        <v>7</v>
      </c>
      <c r="K2159">
        <v>5</v>
      </c>
      <c r="L2159">
        <v>0.17499999999999999</v>
      </c>
      <c r="M2159">
        <v>2</v>
      </c>
      <c r="N2159">
        <v>82</v>
      </c>
      <c r="O2159">
        <v>4</v>
      </c>
      <c r="P2159">
        <v>0.42499999999999999</v>
      </c>
      <c r="Q2159">
        <v>5</v>
      </c>
      <c r="R2159">
        <v>1.2E-2</v>
      </c>
      <c r="T2159" t="s">
        <v>6194</v>
      </c>
    </row>
    <row r="2160" spans="1:20" x14ac:dyDescent="0.2">
      <c r="A2160" t="s">
        <v>6196</v>
      </c>
      <c r="B2160" t="s">
        <v>2022</v>
      </c>
      <c r="C2160" t="s">
        <v>2222</v>
      </c>
      <c r="D2160" t="s">
        <v>2024</v>
      </c>
      <c r="E2160" t="s">
        <v>6197</v>
      </c>
      <c r="F2160" t="s">
        <v>447</v>
      </c>
      <c r="G2160">
        <v>2</v>
      </c>
      <c r="H2160">
        <v>1550</v>
      </c>
      <c r="I2160">
        <v>1</v>
      </c>
      <c r="J2160">
        <v>2.2999999999999998</v>
      </c>
      <c r="K2160">
        <v>2</v>
      </c>
      <c r="L2160">
        <v>5.5E-2</v>
      </c>
      <c r="M2160">
        <v>1</v>
      </c>
      <c r="N2160">
        <v>59</v>
      </c>
      <c r="O2160">
        <v>1</v>
      </c>
      <c r="P2160">
        <v>7.0000000000000007E-2</v>
      </c>
      <c r="Q2160">
        <v>2</v>
      </c>
      <c r="R2160">
        <v>2.3E-3</v>
      </c>
      <c r="T2160" t="s">
        <v>6197</v>
      </c>
    </row>
    <row r="2161" spans="1:20" x14ac:dyDescent="0.2">
      <c r="A2161" t="s">
        <v>6198</v>
      </c>
      <c r="B2161" t="s">
        <v>2022</v>
      </c>
      <c r="C2161" t="s">
        <v>2095</v>
      </c>
      <c r="D2161" t="s">
        <v>2024</v>
      </c>
      <c r="E2161" t="s">
        <v>6199</v>
      </c>
      <c r="F2161" t="s">
        <v>6200</v>
      </c>
      <c r="G2161">
        <v>4</v>
      </c>
      <c r="H2161">
        <v>1835</v>
      </c>
      <c r="I2161">
        <v>1</v>
      </c>
      <c r="J2161">
        <v>4.5</v>
      </c>
      <c r="K2161">
        <v>2</v>
      </c>
      <c r="L2161">
        <v>0.13</v>
      </c>
      <c r="M2161">
        <v>3</v>
      </c>
      <c r="N2161">
        <v>86</v>
      </c>
      <c r="O2161">
        <v>1</v>
      </c>
      <c r="P2161">
        <v>0.15</v>
      </c>
      <c r="Q2161">
        <v>2</v>
      </c>
      <c r="R2161">
        <v>5.8999999999999999E-3</v>
      </c>
      <c r="T2161" t="s">
        <v>6199</v>
      </c>
    </row>
    <row r="2162" spans="1:20" x14ac:dyDescent="0.2">
      <c r="A2162" t="s">
        <v>6201</v>
      </c>
      <c r="B2162" t="s">
        <v>2022</v>
      </c>
      <c r="C2162" t="s">
        <v>2023</v>
      </c>
      <c r="D2162" t="s">
        <v>2024</v>
      </c>
      <c r="E2162" t="s">
        <v>6199</v>
      </c>
      <c r="F2162" t="s">
        <v>6200</v>
      </c>
      <c r="G2162">
        <v>5</v>
      </c>
      <c r="H2162">
        <v>1800</v>
      </c>
      <c r="I2162">
        <v>2</v>
      </c>
      <c r="J2162">
        <v>3.4</v>
      </c>
      <c r="K2162">
        <v>1</v>
      </c>
      <c r="L2162">
        <v>6.0000000000000001E-3</v>
      </c>
      <c r="M2162">
        <v>1</v>
      </c>
      <c r="N2162">
        <v>74</v>
      </c>
      <c r="O2162">
        <v>1</v>
      </c>
      <c r="P2162">
        <v>7.4999999999999997E-2</v>
      </c>
      <c r="Q2162">
        <v>1</v>
      </c>
      <c r="R2162">
        <v>5.0000000000000001E-4</v>
      </c>
      <c r="T2162" t="s">
        <v>6199</v>
      </c>
    </row>
    <row r="2163" spans="1:20" x14ac:dyDescent="0.2">
      <c r="A2163" t="s">
        <v>6202</v>
      </c>
      <c r="B2163" t="s">
        <v>2022</v>
      </c>
      <c r="C2163" t="s">
        <v>2023</v>
      </c>
      <c r="D2163" t="s">
        <v>2024</v>
      </c>
      <c r="E2163" t="s">
        <v>6203</v>
      </c>
      <c r="F2163" t="s">
        <v>6204</v>
      </c>
      <c r="G2163">
        <v>4</v>
      </c>
      <c r="H2163">
        <v>1720</v>
      </c>
      <c r="I2163">
        <v>5</v>
      </c>
      <c r="J2163">
        <v>10.9</v>
      </c>
      <c r="K2163">
        <v>5</v>
      </c>
      <c r="L2163">
        <v>8.5999999999999993E-2</v>
      </c>
      <c r="M2163">
        <v>2</v>
      </c>
      <c r="N2163">
        <v>84</v>
      </c>
      <c r="O2163">
        <v>5</v>
      </c>
      <c r="P2163">
        <v>0.67500000000000004</v>
      </c>
      <c r="Q2163">
        <v>5</v>
      </c>
      <c r="R2163">
        <v>8.0000000000000002E-3</v>
      </c>
      <c r="T2163" t="s">
        <v>6203</v>
      </c>
    </row>
    <row r="2164" spans="1:20" x14ac:dyDescent="0.2">
      <c r="A2164" t="s">
        <v>6205</v>
      </c>
      <c r="B2164" t="s">
        <v>2022</v>
      </c>
      <c r="C2164" t="s">
        <v>2023</v>
      </c>
      <c r="D2164" t="s">
        <v>2024</v>
      </c>
      <c r="E2164" t="s">
        <v>6206</v>
      </c>
      <c r="F2164" t="s">
        <v>6207</v>
      </c>
      <c r="G2164">
        <v>3</v>
      </c>
      <c r="H2164">
        <v>1640</v>
      </c>
      <c r="I2164">
        <v>5</v>
      </c>
      <c r="J2164">
        <v>10.9</v>
      </c>
      <c r="K2164">
        <v>5</v>
      </c>
      <c r="L2164">
        <v>8.5999999999999993E-2</v>
      </c>
      <c r="M2164">
        <v>2</v>
      </c>
      <c r="N2164">
        <v>84</v>
      </c>
      <c r="O2164">
        <v>4</v>
      </c>
      <c r="P2164">
        <v>0.52500000000000002</v>
      </c>
      <c r="Q2164">
        <v>5</v>
      </c>
      <c r="R2164">
        <v>8.0000000000000002E-3</v>
      </c>
      <c r="T2164" t="s">
        <v>6206</v>
      </c>
    </row>
    <row r="2165" spans="1:20" x14ac:dyDescent="0.2">
      <c r="A2165" t="s">
        <v>6208</v>
      </c>
      <c r="B2165" t="s">
        <v>2022</v>
      </c>
      <c r="C2165" t="s">
        <v>2023</v>
      </c>
      <c r="D2165" t="s">
        <v>2024</v>
      </c>
      <c r="E2165" t="s">
        <v>357</v>
      </c>
      <c r="F2165" t="s">
        <v>6209</v>
      </c>
      <c r="G2165">
        <v>2</v>
      </c>
      <c r="H2165">
        <v>1560</v>
      </c>
      <c r="I2165">
        <v>2</v>
      </c>
      <c r="J2165">
        <v>3.4</v>
      </c>
      <c r="K2165">
        <v>2</v>
      </c>
      <c r="L2165">
        <v>2.5999999999999999E-2</v>
      </c>
      <c r="M2165">
        <v>5</v>
      </c>
      <c r="N2165">
        <v>114</v>
      </c>
      <c r="O2165">
        <v>5</v>
      </c>
      <c r="P2165">
        <v>0.67500000000000004</v>
      </c>
      <c r="Q2165">
        <v>5</v>
      </c>
      <c r="R2165">
        <v>8.0000000000000002E-3</v>
      </c>
      <c r="T2165" t="s">
        <v>357</v>
      </c>
    </row>
    <row r="2166" spans="1:20" x14ac:dyDescent="0.2">
      <c r="A2166" t="s">
        <v>6210</v>
      </c>
      <c r="B2166" t="s">
        <v>2022</v>
      </c>
      <c r="C2166" t="s">
        <v>2023</v>
      </c>
      <c r="E2166" t="s">
        <v>2004</v>
      </c>
      <c r="F2166" t="s">
        <v>2005</v>
      </c>
      <c r="G2166">
        <v>4</v>
      </c>
      <c r="H2166">
        <v>1720</v>
      </c>
      <c r="I2166">
        <v>4</v>
      </c>
      <c r="J2166">
        <v>8.4</v>
      </c>
      <c r="K2166">
        <v>4</v>
      </c>
      <c r="L2166">
        <v>0.24299999999999999</v>
      </c>
      <c r="M2166">
        <v>5</v>
      </c>
      <c r="N2166">
        <v>114</v>
      </c>
      <c r="O2166">
        <v>4</v>
      </c>
      <c r="P2166">
        <v>0.52500000000000002</v>
      </c>
      <c r="Q2166">
        <v>4</v>
      </c>
      <c r="R2166">
        <v>1.6E-2</v>
      </c>
      <c r="T2166" t="s">
        <v>2004</v>
      </c>
    </row>
    <row r="2167" spans="1:20" x14ac:dyDescent="0.2">
      <c r="A2167" t="s">
        <v>6211</v>
      </c>
      <c r="B2167" t="s">
        <v>2022</v>
      </c>
      <c r="C2167" t="s">
        <v>2053</v>
      </c>
      <c r="D2167" t="s">
        <v>2024</v>
      </c>
      <c r="E2167" t="s">
        <v>6212</v>
      </c>
      <c r="F2167" t="s">
        <v>6213</v>
      </c>
      <c r="G2167">
        <v>2</v>
      </c>
      <c r="H2167">
        <v>1600</v>
      </c>
      <c r="I2167">
        <v>3</v>
      </c>
      <c r="J2167">
        <v>6.55</v>
      </c>
      <c r="K2167">
        <v>2</v>
      </c>
      <c r="L2167">
        <v>8.5000000000000006E-2</v>
      </c>
      <c r="M2167">
        <v>1</v>
      </c>
      <c r="N2167">
        <v>73</v>
      </c>
      <c r="O2167">
        <v>2</v>
      </c>
      <c r="P2167">
        <v>0.22500000000000001</v>
      </c>
      <c r="Q2167">
        <v>2</v>
      </c>
      <c r="R2167">
        <v>5.1999999999999998E-3</v>
      </c>
      <c r="T2167" t="s">
        <v>6212</v>
      </c>
    </row>
    <row r="2168" spans="1:20" x14ac:dyDescent="0.2">
      <c r="A2168" t="s">
        <v>6214</v>
      </c>
      <c r="B2168" t="s">
        <v>2022</v>
      </c>
      <c r="C2168" t="s">
        <v>2023</v>
      </c>
      <c r="D2168" t="s">
        <v>2024</v>
      </c>
      <c r="E2168" t="s">
        <v>6215</v>
      </c>
      <c r="F2168" t="s">
        <v>6216</v>
      </c>
      <c r="G2168">
        <v>1</v>
      </c>
      <c r="H2168">
        <v>1480</v>
      </c>
      <c r="I2168">
        <v>2</v>
      </c>
      <c r="J2168">
        <v>3.4</v>
      </c>
      <c r="K2168">
        <v>2</v>
      </c>
      <c r="L2168">
        <v>2.5999999999999999E-2</v>
      </c>
      <c r="M2168">
        <v>1</v>
      </c>
      <c r="N2168">
        <v>74</v>
      </c>
      <c r="O2168">
        <v>1</v>
      </c>
      <c r="P2168">
        <v>7.4999999999999997E-2</v>
      </c>
      <c r="Q2168">
        <v>2</v>
      </c>
      <c r="R2168">
        <v>2E-3</v>
      </c>
      <c r="T2168" t="s">
        <v>6215</v>
      </c>
    </row>
    <row r="2169" spans="1:20" x14ac:dyDescent="0.2">
      <c r="A2169" t="s">
        <v>6217</v>
      </c>
      <c r="B2169" t="s">
        <v>2022</v>
      </c>
      <c r="C2169" t="s">
        <v>2036</v>
      </c>
      <c r="D2169" t="s">
        <v>2024</v>
      </c>
      <c r="E2169" t="s">
        <v>6218</v>
      </c>
      <c r="F2169" t="s">
        <v>6219</v>
      </c>
      <c r="G2169">
        <v>2</v>
      </c>
      <c r="H2169">
        <v>1640</v>
      </c>
      <c r="I2169">
        <v>5</v>
      </c>
      <c r="J2169">
        <v>7</v>
      </c>
      <c r="K2169">
        <v>5</v>
      </c>
      <c r="L2169">
        <v>0.17499999999999999</v>
      </c>
      <c r="M2169">
        <v>2</v>
      </c>
      <c r="N2169">
        <v>82</v>
      </c>
      <c r="O2169">
        <v>4</v>
      </c>
      <c r="P2169">
        <v>0.42499999999999999</v>
      </c>
      <c r="Q2169">
        <v>5</v>
      </c>
      <c r="R2169">
        <v>1.2E-2</v>
      </c>
      <c r="T2169" t="s">
        <v>6218</v>
      </c>
    </row>
    <row r="2170" spans="1:20" x14ac:dyDescent="0.2">
      <c r="A2170" t="s">
        <v>6220</v>
      </c>
      <c r="B2170" t="s">
        <v>2022</v>
      </c>
      <c r="C2170" t="s">
        <v>2036</v>
      </c>
      <c r="D2170" t="s">
        <v>2154</v>
      </c>
      <c r="E2170" t="s">
        <v>357</v>
      </c>
      <c r="F2170" t="s">
        <v>447</v>
      </c>
      <c r="G2170">
        <v>4</v>
      </c>
      <c r="H2170">
        <v>1840</v>
      </c>
      <c r="I2170">
        <v>3</v>
      </c>
      <c r="J2170">
        <v>4.5999999999999996</v>
      </c>
      <c r="K2170">
        <v>5</v>
      </c>
      <c r="L2170">
        <v>0.17499999999999999</v>
      </c>
      <c r="M2170">
        <v>5</v>
      </c>
      <c r="N2170">
        <v>100</v>
      </c>
      <c r="O2170">
        <v>3</v>
      </c>
      <c r="P2170">
        <v>0.315</v>
      </c>
      <c r="Q2170">
        <v>5</v>
      </c>
      <c r="R2170">
        <v>1.2E-2</v>
      </c>
      <c r="T2170" t="s">
        <v>357</v>
      </c>
    </row>
    <row r="2171" spans="1:20" x14ac:dyDescent="0.2">
      <c r="A2171" t="s">
        <v>6221</v>
      </c>
      <c r="B2171" t="s">
        <v>2022</v>
      </c>
      <c r="C2171" t="s">
        <v>2023</v>
      </c>
      <c r="D2171" t="s">
        <v>2024</v>
      </c>
      <c r="E2171" t="s">
        <v>6222</v>
      </c>
      <c r="F2171" t="s">
        <v>6223</v>
      </c>
      <c r="G2171">
        <v>2</v>
      </c>
      <c r="H2171">
        <v>1560</v>
      </c>
      <c r="I2171">
        <v>2</v>
      </c>
      <c r="J2171">
        <v>3.4</v>
      </c>
      <c r="K2171">
        <v>3</v>
      </c>
      <c r="L2171">
        <v>4.5999999999999999E-2</v>
      </c>
      <c r="M2171">
        <v>1</v>
      </c>
      <c r="N2171">
        <v>74</v>
      </c>
      <c r="O2171">
        <v>1</v>
      </c>
      <c r="P2171">
        <v>7.4999999999999997E-2</v>
      </c>
      <c r="Q2171">
        <v>2</v>
      </c>
      <c r="R2171">
        <v>2E-3</v>
      </c>
      <c r="T2171" t="s">
        <v>6222</v>
      </c>
    </row>
    <row r="2172" spans="1:20" x14ac:dyDescent="0.2">
      <c r="A2172" t="s">
        <v>6224</v>
      </c>
      <c r="B2172" t="s">
        <v>2022</v>
      </c>
      <c r="C2172" t="s">
        <v>2036</v>
      </c>
      <c r="D2172" t="s">
        <v>2024</v>
      </c>
      <c r="E2172" t="s">
        <v>6225</v>
      </c>
      <c r="F2172" t="s">
        <v>6226</v>
      </c>
      <c r="G2172">
        <v>2</v>
      </c>
      <c r="H2172">
        <v>1640</v>
      </c>
      <c r="I2172">
        <v>1</v>
      </c>
      <c r="J2172">
        <v>2.2000000000000002</v>
      </c>
      <c r="K2172">
        <v>1</v>
      </c>
      <c r="L2172">
        <v>5.5E-2</v>
      </c>
      <c r="M2172">
        <v>1</v>
      </c>
      <c r="N2172">
        <v>76</v>
      </c>
      <c r="O2172">
        <v>1</v>
      </c>
      <c r="P2172">
        <v>9.5000000000000001E-2</v>
      </c>
      <c r="Q2172">
        <v>1</v>
      </c>
      <c r="R2172">
        <v>1.5E-3</v>
      </c>
      <c r="T2172" t="s">
        <v>6225</v>
      </c>
    </row>
    <row r="2173" spans="1:20" x14ac:dyDescent="0.2">
      <c r="A2173" t="s">
        <v>6227</v>
      </c>
      <c r="B2173" t="s">
        <v>2022</v>
      </c>
      <c r="C2173" t="s">
        <v>2036</v>
      </c>
      <c r="D2173" t="s">
        <v>2024</v>
      </c>
      <c r="E2173" t="s">
        <v>6228</v>
      </c>
      <c r="F2173" t="s">
        <v>6229</v>
      </c>
      <c r="G2173">
        <v>1</v>
      </c>
      <c r="H2173">
        <v>1540</v>
      </c>
      <c r="I2173">
        <v>1</v>
      </c>
      <c r="J2173">
        <v>2.2000000000000002</v>
      </c>
      <c r="K2173">
        <v>1</v>
      </c>
      <c r="L2173">
        <v>5.5E-2</v>
      </c>
      <c r="M2173">
        <v>1</v>
      </c>
      <c r="N2173">
        <v>76</v>
      </c>
      <c r="O2173">
        <v>1</v>
      </c>
      <c r="P2173">
        <v>9.5000000000000001E-2</v>
      </c>
      <c r="Q2173">
        <v>1</v>
      </c>
      <c r="R2173">
        <v>1.5E-3</v>
      </c>
      <c r="T2173" t="s">
        <v>6228</v>
      </c>
    </row>
    <row r="2174" spans="1:20" x14ac:dyDescent="0.2">
      <c r="A2174" t="s">
        <v>6230</v>
      </c>
      <c r="B2174" t="s">
        <v>2022</v>
      </c>
      <c r="C2174" t="s">
        <v>2036</v>
      </c>
      <c r="D2174" t="s">
        <v>2024</v>
      </c>
      <c r="E2174" t="s">
        <v>6231</v>
      </c>
      <c r="F2174" t="s">
        <v>6232</v>
      </c>
      <c r="G2174">
        <v>2</v>
      </c>
      <c r="H2174">
        <v>1640</v>
      </c>
      <c r="I2174">
        <v>4</v>
      </c>
      <c r="J2174">
        <v>5.8</v>
      </c>
      <c r="K2174">
        <v>4</v>
      </c>
      <c r="L2174">
        <v>0.14499999999999999</v>
      </c>
      <c r="M2174">
        <v>2</v>
      </c>
      <c r="N2174">
        <v>82</v>
      </c>
      <c r="O2174">
        <v>3</v>
      </c>
      <c r="P2174">
        <v>0.315</v>
      </c>
      <c r="Q2174">
        <v>3</v>
      </c>
      <c r="R2174">
        <v>6.7499999999999999E-3</v>
      </c>
      <c r="T2174" t="s">
        <v>6231</v>
      </c>
    </row>
    <row r="2175" spans="1:20" x14ac:dyDescent="0.2">
      <c r="A2175" t="s">
        <v>6233</v>
      </c>
      <c r="B2175" t="s">
        <v>2022</v>
      </c>
      <c r="C2175" t="s">
        <v>2036</v>
      </c>
      <c r="D2175" t="s">
        <v>2024</v>
      </c>
      <c r="E2175" t="s">
        <v>6234</v>
      </c>
      <c r="F2175" t="s">
        <v>6235</v>
      </c>
      <c r="G2175">
        <v>1</v>
      </c>
      <c r="H2175">
        <v>1540</v>
      </c>
      <c r="I2175">
        <v>5</v>
      </c>
      <c r="J2175">
        <v>7</v>
      </c>
      <c r="K2175">
        <v>4</v>
      </c>
      <c r="L2175">
        <v>0.14499999999999999</v>
      </c>
      <c r="M2175">
        <v>1</v>
      </c>
      <c r="N2175">
        <v>76</v>
      </c>
      <c r="O2175">
        <v>4</v>
      </c>
      <c r="P2175">
        <v>0.42499999999999999</v>
      </c>
      <c r="Q2175">
        <v>3</v>
      </c>
      <c r="R2175">
        <v>6.7499999999999999E-3</v>
      </c>
      <c r="T2175" t="s">
        <v>6234</v>
      </c>
    </row>
    <row r="2176" spans="1:20" x14ac:dyDescent="0.2">
      <c r="A2176" t="s">
        <v>6236</v>
      </c>
      <c r="B2176" t="s">
        <v>2022</v>
      </c>
      <c r="C2176" t="s">
        <v>2101</v>
      </c>
      <c r="D2176" t="s">
        <v>2024</v>
      </c>
      <c r="E2176" t="s">
        <v>6237</v>
      </c>
      <c r="F2176" t="s">
        <v>6238</v>
      </c>
      <c r="G2176">
        <v>2</v>
      </c>
      <c r="H2176">
        <v>1670</v>
      </c>
      <c r="I2176">
        <v>2</v>
      </c>
      <c r="J2176">
        <v>5</v>
      </c>
      <c r="K2176">
        <v>2</v>
      </c>
      <c r="L2176">
        <v>9.6500000000000002E-2</v>
      </c>
      <c r="M2176">
        <v>1</v>
      </c>
      <c r="N2176">
        <v>66</v>
      </c>
      <c r="O2176">
        <v>2</v>
      </c>
      <c r="P2176">
        <v>0.22500000000000001</v>
      </c>
      <c r="Q2176">
        <v>2</v>
      </c>
      <c r="R2176">
        <v>4.4999999999999997E-3</v>
      </c>
      <c r="T2176" t="s">
        <v>6237</v>
      </c>
    </row>
    <row r="2177" spans="1:20" x14ac:dyDescent="0.2">
      <c r="A2177" t="s">
        <v>6239</v>
      </c>
      <c r="B2177" t="s">
        <v>2022</v>
      </c>
      <c r="C2177" t="s">
        <v>2101</v>
      </c>
      <c r="D2177" t="s">
        <v>2024</v>
      </c>
      <c r="E2177" t="s">
        <v>6237</v>
      </c>
      <c r="F2177" t="s">
        <v>6238</v>
      </c>
      <c r="G2177">
        <v>5</v>
      </c>
      <c r="H2177">
        <v>1970</v>
      </c>
      <c r="I2177">
        <v>5</v>
      </c>
      <c r="J2177">
        <v>14</v>
      </c>
      <c r="K2177">
        <v>5</v>
      </c>
      <c r="L2177">
        <v>0.53749999999999998</v>
      </c>
      <c r="M2177">
        <v>4</v>
      </c>
      <c r="N2177">
        <v>90</v>
      </c>
      <c r="O2177">
        <v>5</v>
      </c>
      <c r="P2177">
        <v>0.67500000000000004</v>
      </c>
      <c r="Q2177">
        <v>5</v>
      </c>
      <c r="R2177">
        <v>2.5499999999999998E-2</v>
      </c>
      <c r="T2177" t="s">
        <v>6237</v>
      </c>
    </row>
    <row r="2178" spans="1:20" x14ac:dyDescent="0.2">
      <c r="A2178" t="s">
        <v>6240</v>
      </c>
      <c r="B2178" t="s">
        <v>2022</v>
      </c>
      <c r="C2178" t="s">
        <v>2053</v>
      </c>
      <c r="D2178" t="s">
        <v>2024</v>
      </c>
      <c r="E2178" t="s">
        <v>6241</v>
      </c>
      <c r="F2178" t="s">
        <v>6242</v>
      </c>
      <c r="G2178">
        <v>1</v>
      </c>
      <c r="H2178">
        <v>1500</v>
      </c>
      <c r="I2178">
        <v>1</v>
      </c>
      <c r="J2178">
        <v>1.55</v>
      </c>
      <c r="K2178">
        <v>2</v>
      </c>
      <c r="L2178">
        <v>8.5000000000000006E-2</v>
      </c>
      <c r="M2178">
        <v>5</v>
      </c>
      <c r="N2178">
        <v>113</v>
      </c>
      <c r="O2178">
        <v>2</v>
      </c>
      <c r="P2178">
        <v>0.22500000000000001</v>
      </c>
      <c r="Q2178">
        <v>2</v>
      </c>
      <c r="R2178">
        <v>5.1999999999999998E-3</v>
      </c>
      <c r="T2178" t="s">
        <v>6241</v>
      </c>
    </row>
    <row r="2179" spans="1:20" x14ac:dyDescent="0.2">
      <c r="A2179" t="s">
        <v>6243</v>
      </c>
      <c r="B2179" t="s">
        <v>2022</v>
      </c>
      <c r="C2179" t="s">
        <v>2023</v>
      </c>
      <c r="D2179" t="s">
        <v>2024</v>
      </c>
      <c r="E2179" t="s">
        <v>357</v>
      </c>
      <c r="F2179" t="s">
        <v>6244</v>
      </c>
      <c r="G2179">
        <v>1</v>
      </c>
      <c r="H2179">
        <v>1480</v>
      </c>
      <c r="I2179">
        <v>2</v>
      </c>
      <c r="J2179">
        <v>3.4</v>
      </c>
      <c r="K2179">
        <v>2</v>
      </c>
      <c r="L2179">
        <v>2.5999999999999999E-2</v>
      </c>
      <c r="M2179">
        <v>5</v>
      </c>
      <c r="N2179">
        <v>114</v>
      </c>
      <c r="O2179">
        <v>5</v>
      </c>
      <c r="P2179">
        <v>0.67500000000000004</v>
      </c>
      <c r="Q2179">
        <v>5</v>
      </c>
      <c r="R2179">
        <v>8.0000000000000002E-3</v>
      </c>
      <c r="T2179" t="s">
        <v>357</v>
      </c>
    </row>
    <row r="2180" spans="1:20" x14ac:dyDescent="0.2">
      <c r="A2180" t="s">
        <v>6245</v>
      </c>
      <c r="B2180" t="s">
        <v>2022</v>
      </c>
      <c r="C2180" t="s">
        <v>2095</v>
      </c>
      <c r="D2180" t="s">
        <v>2024</v>
      </c>
      <c r="E2180" t="s">
        <v>6246</v>
      </c>
      <c r="F2180" t="s">
        <v>6247</v>
      </c>
      <c r="G2180">
        <v>1</v>
      </c>
      <c r="H2180">
        <v>1565</v>
      </c>
      <c r="I2180">
        <v>1</v>
      </c>
      <c r="J2180">
        <v>4.5</v>
      </c>
      <c r="K2180">
        <v>1</v>
      </c>
      <c r="L2180">
        <v>1.4999999999999999E-2</v>
      </c>
      <c r="M2180">
        <v>1</v>
      </c>
      <c r="N2180">
        <v>74</v>
      </c>
      <c r="O2180">
        <v>1</v>
      </c>
      <c r="P2180">
        <v>0.15</v>
      </c>
      <c r="Q2180">
        <v>1</v>
      </c>
      <c r="R2180">
        <v>6.9999999999999999E-4</v>
      </c>
      <c r="T2180" t="s">
        <v>6246</v>
      </c>
    </row>
    <row r="2181" spans="1:20" x14ac:dyDescent="0.2">
      <c r="A2181" t="s">
        <v>6248</v>
      </c>
      <c r="B2181" t="s">
        <v>2022</v>
      </c>
      <c r="C2181" t="s">
        <v>2101</v>
      </c>
      <c r="D2181" t="s">
        <v>2024</v>
      </c>
      <c r="E2181" t="s">
        <v>293</v>
      </c>
      <c r="F2181" t="s">
        <v>6249</v>
      </c>
      <c r="G2181">
        <v>1</v>
      </c>
      <c r="H2181">
        <v>1570</v>
      </c>
      <c r="I2181">
        <v>1</v>
      </c>
      <c r="J2181">
        <v>2</v>
      </c>
      <c r="K2181">
        <v>1</v>
      </c>
      <c r="L2181">
        <v>1.15E-2</v>
      </c>
      <c r="M2181">
        <v>2</v>
      </c>
      <c r="N2181">
        <v>74</v>
      </c>
      <c r="O2181">
        <v>1</v>
      </c>
      <c r="P2181">
        <v>7.4999999999999997E-2</v>
      </c>
      <c r="Q2181">
        <v>1</v>
      </c>
      <c r="R2181">
        <v>5.0000000000000001E-4</v>
      </c>
      <c r="T2181" t="s">
        <v>293</v>
      </c>
    </row>
    <row r="2182" spans="1:20" x14ac:dyDescent="0.2">
      <c r="A2182" t="s">
        <v>6250</v>
      </c>
      <c r="B2182" t="s">
        <v>2022</v>
      </c>
      <c r="C2182" t="s">
        <v>2101</v>
      </c>
      <c r="D2182" t="s">
        <v>2024</v>
      </c>
      <c r="E2182" t="s">
        <v>293</v>
      </c>
      <c r="F2182" t="s">
        <v>6249</v>
      </c>
      <c r="G2182">
        <v>1</v>
      </c>
      <c r="H2182">
        <v>1570</v>
      </c>
      <c r="I2182">
        <v>1</v>
      </c>
      <c r="J2182">
        <v>2</v>
      </c>
      <c r="K2182">
        <v>2</v>
      </c>
      <c r="L2182">
        <v>9.6500000000000002E-2</v>
      </c>
      <c r="M2182">
        <v>1</v>
      </c>
      <c r="N2182">
        <v>66</v>
      </c>
      <c r="O2182">
        <v>1</v>
      </c>
      <c r="P2182">
        <v>7.4999999999999997E-2</v>
      </c>
      <c r="Q2182">
        <v>2</v>
      </c>
      <c r="R2182">
        <v>4.4999999999999997E-3</v>
      </c>
      <c r="T2182" t="s">
        <v>293</v>
      </c>
    </row>
    <row r="2183" spans="1:20" x14ac:dyDescent="0.2">
      <c r="A2183" t="s">
        <v>6251</v>
      </c>
      <c r="B2183" t="s">
        <v>2022</v>
      </c>
      <c r="C2183" t="s">
        <v>2101</v>
      </c>
      <c r="D2183" t="s">
        <v>2024</v>
      </c>
      <c r="E2183" t="s">
        <v>293</v>
      </c>
      <c r="F2183" t="s">
        <v>6249</v>
      </c>
      <c r="G2183">
        <v>1</v>
      </c>
      <c r="H2183">
        <v>1570</v>
      </c>
      <c r="I2183">
        <v>1</v>
      </c>
      <c r="J2183">
        <v>2</v>
      </c>
      <c r="K2183">
        <v>1</v>
      </c>
      <c r="L2183">
        <v>1.15E-2</v>
      </c>
      <c r="M2183">
        <v>2</v>
      </c>
      <c r="N2183">
        <v>74</v>
      </c>
      <c r="O2183">
        <v>1</v>
      </c>
      <c r="P2183">
        <v>7.4999999999999997E-2</v>
      </c>
      <c r="Q2183">
        <v>1</v>
      </c>
      <c r="R2183">
        <v>5.0000000000000001E-4</v>
      </c>
      <c r="T2183" t="s">
        <v>293</v>
      </c>
    </row>
    <row r="2184" spans="1:20" x14ac:dyDescent="0.2">
      <c r="A2184" t="s">
        <v>6252</v>
      </c>
      <c r="B2184" t="s">
        <v>2022</v>
      </c>
      <c r="C2184" t="s">
        <v>2036</v>
      </c>
      <c r="D2184" t="s">
        <v>2024</v>
      </c>
      <c r="E2184" t="s">
        <v>293</v>
      </c>
      <c r="F2184" t="s">
        <v>6249</v>
      </c>
      <c r="G2184">
        <v>2</v>
      </c>
      <c r="H2184">
        <v>1640</v>
      </c>
      <c r="I2184">
        <v>2</v>
      </c>
      <c r="J2184">
        <v>3.4</v>
      </c>
      <c r="K2184">
        <v>3</v>
      </c>
      <c r="L2184">
        <v>0.115</v>
      </c>
      <c r="M2184">
        <v>4</v>
      </c>
      <c r="N2184">
        <v>94</v>
      </c>
      <c r="O2184">
        <v>2</v>
      </c>
      <c r="P2184">
        <v>0.20499999999999999</v>
      </c>
      <c r="Q2184">
        <v>3</v>
      </c>
      <c r="R2184">
        <v>6.7499999999999999E-3</v>
      </c>
      <c r="T2184" t="s">
        <v>293</v>
      </c>
    </row>
    <row r="2185" spans="1:20" x14ac:dyDescent="0.2">
      <c r="A2185" t="s">
        <v>6253</v>
      </c>
      <c r="B2185" t="s">
        <v>2022</v>
      </c>
      <c r="C2185" t="s">
        <v>2023</v>
      </c>
      <c r="D2185" t="s">
        <v>2024</v>
      </c>
      <c r="E2185" t="s">
        <v>6254</v>
      </c>
      <c r="F2185" t="s">
        <v>6255</v>
      </c>
      <c r="G2185">
        <v>2</v>
      </c>
      <c r="H2185">
        <v>1560</v>
      </c>
      <c r="I2185">
        <v>4</v>
      </c>
      <c r="J2185">
        <v>8.4</v>
      </c>
      <c r="K2185">
        <v>5</v>
      </c>
      <c r="L2185">
        <v>8.5999999999999993E-2</v>
      </c>
      <c r="M2185">
        <v>2</v>
      </c>
      <c r="N2185">
        <v>84</v>
      </c>
      <c r="O2185">
        <v>4</v>
      </c>
      <c r="P2185">
        <v>0.52500000000000002</v>
      </c>
      <c r="Q2185">
        <v>5</v>
      </c>
      <c r="R2185">
        <v>8.0000000000000002E-3</v>
      </c>
      <c r="T2185" t="s">
        <v>6254</v>
      </c>
    </row>
    <row r="2186" spans="1:20" x14ac:dyDescent="0.2">
      <c r="A2186" t="s">
        <v>6256</v>
      </c>
      <c r="B2186" t="s">
        <v>2022</v>
      </c>
      <c r="C2186" t="s">
        <v>2101</v>
      </c>
      <c r="D2186" t="s">
        <v>2024</v>
      </c>
      <c r="E2186" t="s">
        <v>6257</v>
      </c>
      <c r="F2186" t="s">
        <v>6258</v>
      </c>
      <c r="G2186">
        <v>1</v>
      </c>
      <c r="H2186">
        <v>1570</v>
      </c>
      <c r="I2186">
        <v>5</v>
      </c>
      <c r="J2186">
        <v>14</v>
      </c>
      <c r="K2186">
        <v>5</v>
      </c>
      <c r="L2186">
        <v>0.53749999999999998</v>
      </c>
      <c r="M2186">
        <v>2</v>
      </c>
      <c r="N2186">
        <v>74</v>
      </c>
      <c r="O2186">
        <v>5</v>
      </c>
      <c r="P2186">
        <v>0.67500000000000004</v>
      </c>
      <c r="Q2186">
        <v>5</v>
      </c>
      <c r="R2186">
        <v>2.5499999999999998E-2</v>
      </c>
      <c r="T2186" t="s">
        <v>6257</v>
      </c>
    </row>
    <row r="2187" spans="1:20" x14ac:dyDescent="0.2">
      <c r="A2187" t="s">
        <v>6259</v>
      </c>
      <c r="B2187" t="s">
        <v>2022</v>
      </c>
      <c r="C2187" t="s">
        <v>2036</v>
      </c>
      <c r="D2187" t="s">
        <v>2024</v>
      </c>
      <c r="E2187" t="s">
        <v>6260</v>
      </c>
      <c r="F2187" t="s">
        <v>6261</v>
      </c>
      <c r="G2187">
        <v>2</v>
      </c>
      <c r="H2187">
        <v>1640</v>
      </c>
      <c r="I2187">
        <v>5</v>
      </c>
      <c r="J2187">
        <v>7</v>
      </c>
      <c r="K2187">
        <v>5</v>
      </c>
      <c r="L2187">
        <v>0.17499999999999999</v>
      </c>
      <c r="M2187">
        <v>2</v>
      </c>
      <c r="N2187">
        <v>82</v>
      </c>
      <c r="O2187">
        <v>3</v>
      </c>
      <c r="P2187">
        <v>0.315</v>
      </c>
      <c r="Q2187">
        <v>5</v>
      </c>
      <c r="R2187">
        <v>1.2E-2</v>
      </c>
      <c r="T2187" t="s">
        <v>6260</v>
      </c>
    </row>
    <row r="2188" spans="1:20" x14ac:dyDescent="0.2">
      <c r="A2188" t="s">
        <v>6262</v>
      </c>
      <c r="B2188" t="s">
        <v>2022</v>
      </c>
      <c r="C2188" t="s">
        <v>2053</v>
      </c>
      <c r="D2188" t="s">
        <v>2024</v>
      </c>
      <c r="E2188" t="s">
        <v>6263</v>
      </c>
      <c r="F2188" t="s">
        <v>6264</v>
      </c>
      <c r="G2188">
        <v>1</v>
      </c>
      <c r="H2188">
        <v>1500</v>
      </c>
      <c r="I2188">
        <v>2</v>
      </c>
      <c r="J2188">
        <v>4.05</v>
      </c>
      <c r="K2188">
        <v>2</v>
      </c>
      <c r="L2188">
        <v>8.5000000000000006E-2</v>
      </c>
      <c r="M2188">
        <v>1</v>
      </c>
      <c r="N2188">
        <v>73</v>
      </c>
      <c r="O2188">
        <v>2</v>
      </c>
      <c r="P2188">
        <v>0.22500000000000001</v>
      </c>
      <c r="Q2188">
        <v>2</v>
      </c>
      <c r="R2188">
        <v>5.1999999999999998E-3</v>
      </c>
      <c r="T2188" t="s">
        <v>6263</v>
      </c>
    </row>
    <row r="2189" spans="1:20" x14ac:dyDescent="0.2">
      <c r="A2189" t="s">
        <v>6265</v>
      </c>
      <c r="B2189" t="s">
        <v>2022</v>
      </c>
      <c r="C2189" t="s">
        <v>2036</v>
      </c>
      <c r="D2189" t="s">
        <v>2024</v>
      </c>
      <c r="E2189" t="s">
        <v>6266</v>
      </c>
      <c r="F2189" t="s">
        <v>6267</v>
      </c>
      <c r="G2189">
        <v>3</v>
      </c>
      <c r="H2189">
        <v>1740</v>
      </c>
      <c r="I2189">
        <v>5</v>
      </c>
      <c r="J2189">
        <v>7</v>
      </c>
      <c r="K2189">
        <v>5</v>
      </c>
      <c r="L2189">
        <v>0.17499999999999999</v>
      </c>
      <c r="M2189">
        <v>3</v>
      </c>
      <c r="N2189">
        <v>88</v>
      </c>
      <c r="O2189">
        <v>5</v>
      </c>
      <c r="P2189">
        <v>0.53500000000000003</v>
      </c>
      <c r="Q2189">
        <v>5</v>
      </c>
      <c r="R2189">
        <v>1.2E-2</v>
      </c>
      <c r="T2189" t="s">
        <v>6266</v>
      </c>
    </row>
    <row r="2190" spans="1:20" x14ac:dyDescent="0.2">
      <c r="A2190" t="s">
        <v>6268</v>
      </c>
      <c r="B2190" t="s">
        <v>2022</v>
      </c>
      <c r="C2190" t="s">
        <v>2049</v>
      </c>
      <c r="D2190" t="s">
        <v>2154</v>
      </c>
      <c r="E2190" t="s">
        <v>6269</v>
      </c>
      <c r="F2190" t="s">
        <v>6270</v>
      </c>
      <c r="G2190">
        <v>5</v>
      </c>
      <c r="H2190">
        <v>1750</v>
      </c>
      <c r="I2190">
        <v>5</v>
      </c>
      <c r="J2190">
        <v>8.6</v>
      </c>
      <c r="K2190">
        <v>5</v>
      </c>
      <c r="L2190">
        <v>0.3</v>
      </c>
      <c r="M2190">
        <v>3</v>
      </c>
      <c r="N2190">
        <v>126</v>
      </c>
      <c r="O2190">
        <v>5</v>
      </c>
      <c r="P2190">
        <v>0.86</v>
      </c>
      <c r="Q2190">
        <v>5</v>
      </c>
      <c r="R2190">
        <v>3.32E-2</v>
      </c>
      <c r="T2190" t="s">
        <v>6269</v>
      </c>
    </row>
    <row r="2191" spans="1:20" x14ac:dyDescent="0.2">
      <c r="A2191" t="s">
        <v>6271</v>
      </c>
      <c r="B2191" t="s">
        <v>2022</v>
      </c>
      <c r="C2191" t="s">
        <v>2095</v>
      </c>
      <c r="D2191" t="s">
        <v>2024</v>
      </c>
      <c r="E2191" t="s">
        <v>6272</v>
      </c>
      <c r="F2191" t="s">
        <v>6273</v>
      </c>
      <c r="G2191">
        <v>5</v>
      </c>
      <c r="H2191">
        <v>1925</v>
      </c>
      <c r="I2191">
        <v>2</v>
      </c>
      <c r="J2191">
        <v>7.5</v>
      </c>
      <c r="K2191">
        <v>2</v>
      </c>
      <c r="L2191">
        <v>0.13</v>
      </c>
      <c r="M2191">
        <v>4</v>
      </c>
      <c r="N2191">
        <v>92</v>
      </c>
      <c r="O2191">
        <v>2</v>
      </c>
      <c r="P2191">
        <v>0.35</v>
      </c>
      <c r="Q2191">
        <v>2</v>
      </c>
      <c r="R2191">
        <v>5.8999999999999999E-3</v>
      </c>
      <c r="T2191" t="s">
        <v>6272</v>
      </c>
    </row>
    <row r="2192" spans="1:20" x14ac:dyDescent="0.2">
      <c r="A2192" t="s">
        <v>6274</v>
      </c>
      <c r="B2192" t="s">
        <v>2022</v>
      </c>
      <c r="C2192" t="s">
        <v>2023</v>
      </c>
      <c r="D2192" t="s">
        <v>2024</v>
      </c>
      <c r="E2192" t="s">
        <v>6275</v>
      </c>
      <c r="F2192" t="s">
        <v>6276</v>
      </c>
      <c r="G2192">
        <v>5</v>
      </c>
      <c r="H2192">
        <v>1800</v>
      </c>
      <c r="I2192">
        <v>2</v>
      </c>
      <c r="J2192">
        <v>3.4</v>
      </c>
      <c r="K2192">
        <v>2</v>
      </c>
      <c r="L2192">
        <v>2.5999999999999999E-2</v>
      </c>
      <c r="M2192">
        <v>3</v>
      </c>
      <c r="N2192">
        <v>94</v>
      </c>
      <c r="O2192">
        <v>2</v>
      </c>
      <c r="P2192">
        <v>0.22500000000000001</v>
      </c>
      <c r="Q2192">
        <v>1</v>
      </c>
      <c r="R2192">
        <v>5.0000000000000001E-4</v>
      </c>
      <c r="T2192" t="s">
        <v>6275</v>
      </c>
    </row>
    <row r="2193" spans="1:20" x14ac:dyDescent="0.2">
      <c r="A2193" t="s">
        <v>6277</v>
      </c>
      <c r="B2193" t="s">
        <v>2022</v>
      </c>
      <c r="C2193" t="s">
        <v>2023</v>
      </c>
      <c r="D2193" t="s">
        <v>2024</v>
      </c>
      <c r="E2193" t="s">
        <v>6278</v>
      </c>
      <c r="F2193" t="s">
        <v>6279</v>
      </c>
      <c r="G2193">
        <v>4</v>
      </c>
      <c r="H2193">
        <v>1720</v>
      </c>
      <c r="I2193">
        <v>1</v>
      </c>
      <c r="J2193">
        <v>0.9</v>
      </c>
      <c r="K2193">
        <v>1</v>
      </c>
      <c r="L2193">
        <v>6.0000000000000001E-3</v>
      </c>
      <c r="M2193">
        <v>3</v>
      </c>
      <c r="N2193">
        <v>94</v>
      </c>
      <c r="O2193">
        <v>1</v>
      </c>
      <c r="P2193">
        <v>7.4999999999999997E-2</v>
      </c>
      <c r="Q2193">
        <v>1</v>
      </c>
      <c r="R2193">
        <v>5.0000000000000001E-4</v>
      </c>
      <c r="T2193" t="s">
        <v>6278</v>
      </c>
    </row>
    <row r="2194" spans="1:20" x14ac:dyDescent="0.2">
      <c r="A2194" t="s">
        <v>6280</v>
      </c>
      <c r="B2194" t="s">
        <v>2022</v>
      </c>
      <c r="C2194" t="s">
        <v>2053</v>
      </c>
      <c r="D2194" t="s">
        <v>2024</v>
      </c>
      <c r="E2194" t="s">
        <v>6281</v>
      </c>
      <c r="F2194" t="s">
        <v>447</v>
      </c>
      <c r="G2194">
        <v>1</v>
      </c>
      <c r="H2194">
        <v>1500</v>
      </c>
      <c r="I2194">
        <v>2</v>
      </c>
      <c r="J2194">
        <v>4.05</v>
      </c>
      <c r="K2194">
        <v>1</v>
      </c>
      <c r="L2194">
        <v>1.4999999999999999E-2</v>
      </c>
      <c r="M2194">
        <v>2</v>
      </c>
      <c r="N2194">
        <v>83</v>
      </c>
      <c r="O2194">
        <v>2</v>
      </c>
      <c r="P2194">
        <v>0.22500000000000001</v>
      </c>
      <c r="Q2194">
        <v>1</v>
      </c>
      <c r="R2194">
        <v>8.4999999999999995E-4</v>
      </c>
      <c r="T2194" t="s">
        <v>6281</v>
      </c>
    </row>
    <row r="2195" spans="1:20" x14ac:dyDescent="0.2">
      <c r="A2195" t="s">
        <v>6282</v>
      </c>
      <c r="B2195" t="s">
        <v>2022</v>
      </c>
      <c r="C2195" t="s">
        <v>2023</v>
      </c>
      <c r="D2195" t="s">
        <v>2024</v>
      </c>
      <c r="E2195" t="s">
        <v>6283</v>
      </c>
      <c r="F2195" t="s">
        <v>6284</v>
      </c>
      <c r="G2195">
        <v>1</v>
      </c>
      <c r="H2195">
        <v>1480</v>
      </c>
      <c r="I2195">
        <v>1</v>
      </c>
      <c r="J2195">
        <v>0.9</v>
      </c>
      <c r="K2195">
        <v>1</v>
      </c>
      <c r="L2195">
        <v>6.0000000000000001E-3</v>
      </c>
      <c r="M2195">
        <v>2</v>
      </c>
      <c r="N2195">
        <v>84</v>
      </c>
      <c r="O2195">
        <v>1</v>
      </c>
      <c r="P2195">
        <v>7.4999999999999997E-2</v>
      </c>
      <c r="Q2195">
        <v>1</v>
      </c>
      <c r="R2195">
        <v>5.0000000000000001E-4</v>
      </c>
      <c r="T2195" t="s">
        <v>6283</v>
      </c>
    </row>
    <row r="2196" spans="1:20" x14ac:dyDescent="0.2">
      <c r="A2196" t="s">
        <v>6285</v>
      </c>
      <c r="B2196" t="s">
        <v>2022</v>
      </c>
      <c r="C2196" t="s">
        <v>2049</v>
      </c>
      <c r="D2196" t="s">
        <v>2024</v>
      </c>
      <c r="E2196" t="s">
        <v>6286</v>
      </c>
      <c r="F2196" t="s">
        <v>447</v>
      </c>
      <c r="G2196">
        <v>2</v>
      </c>
      <c r="H2196">
        <v>1450</v>
      </c>
      <c r="I2196">
        <v>4</v>
      </c>
      <c r="J2196">
        <v>6.8</v>
      </c>
      <c r="K2196">
        <v>3</v>
      </c>
      <c r="L2196">
        <v>0.14000000000000001</v>
      </c>
      <c r="M2196">
        <v>1</v>
      </c>
      <c r="N2196">
        <v>86</v>
      </c>
      <c r="O2196">
        <v>3</v>
      </c>
      <c r="P2196">
        <v>0.46</v>
      </c>
      <c r="Q2196">
        <v>3</v>
      </c>
      <c r="R2196">
        <v>1.52E-2</v>
      </c>
      <c r="T2196" t="s">
        <v>6286</v>
      </c>
    </row>
    <row r="2197" spans="1:20" x14ac:dyDescent="0.2">
      <c r="A2197" t="s">
        <v>6287</v>
      </c>
      <c r="B2197" t="s">
        <v>2022</v>
      </c>
      <c r="C2197" t="s">
        <v>2023</v>
      </c>
      <c r="D2197" t="s">
        <v>2024</v>
      </c>
      <c r="E2197" t="s">
        <v>6288</v>
      </c>
      <c r="F2197" t="s">
        <v>6289</v>
      </c>
      <c r="G2197">
        <v>1</v>
      </c>
      <c r="H2197">
        <v>1480</v>
      </c>
      <c r="I2197">
        <v>3</v>
      </c>
      <c r="J2197">
        <v>5.9</v>
      </c>
      <c r="K2197">
        <v>2</v>
      </c>
      <c r="L2197">
        <v>2.5999999999999999E-2</v>
      </c>
      <c r="M2197">
        <v>3</v>
      </c>
      <c r="N2197">
        <v>94</v>
      </c>
      <c r="O2197">
        <v>4</v>
      </c>
      <c r="P2197">
        <v>0.52500000000000002</v>
      </c>
      <c r="Q2197">
        <v>2</v>
      </c>
      <c r="R2197">
        <v>2E-3</v>
      </c>
      <c r="T2197" t="s">
        <v>6288</v>
      </c>
    </row>
    <row r="2198" spans="1:20" x14ac:dyDescent="0.2">
      <c r="A2198" t="s">
        <v>6290</v>
      </c>
      <c r="B2198" t="s">
        <v>2022</v>
      </c>
      <c r="C2198" t="s">
        <v>2053</v>
      </c>
      <c r="D2198" t="s">
        <v>2024</v>
      </c>
      <c r="E2198" t="s">
        <v>6291</v>
      </c>
      <c r="F2198" t="s">
        <v>6292</v>
      </c>
      <c r="G2198">
        <v>1</v>
      </c>
      <c r="H2198">
        <v>1500</v>
      </c>
      <c r="I2198">
        <v>2</v>
      </c>
      <c r="J2198">
        <v>4.05</v>
      </c>
      <c r="K2198">
        <v>3</v>
      </c>
      <c r="L2198">
        <v>0.19500000000000001</v>
      </c>
      <c r="M2198">
        <v>5</v>
      </c>
      <c r="N2198">
        <v>113</v>
      </c>
      <c r="O2198">
        <v>3</v>
      </c>
      <c r="P2198">
        <v>0.375</v>
      </c>
      <c r="Q2198">
        <v>3</v>
      </c>
      <c r="R2198">
        <v>1.2200000000000001E-2</v>
      </c>
      <c r="T2198" t="s">
        <v>6291</v>
      </c>
    </row>
    <row r="2199" spans="1:20" x14ac:dyDescent="0.2">
      <c r="A2199" t="s">
        <v>6293</v>
      </c>
      <c r="B2199" t="s">
        <v>2022</v>
      </c>
      <c r="C2199" t="s">
        <v>2036</v>
      </c>
      <c r="D2199" t="s">
        <v>2024</v>
      </c>
      <c r="E2199" t="s">
        <v>6294</v>
      </c>
      <c r="F2199" t="s">
        <v>6295</v>
      </c>
      <c r="G2199">
        <v>5</v>
      </c>
      <c r="H2199">
        <v>1940</v>
      </c>
      <c r="I2199">
        <v>2</v>
      </c>
      <c r="J2199">
        <v>3.4</v>
      </c>
      <c r="K2199">
        <v>2</v>
      </c>
      <c r="L2199">
        <v>8.5000000000000006E-2</v>
      </c>
      <c r="M2199">
        <v>4</v>
      </c>
      <c r="N2199">
        <v>94</v>
      </c>
      <c r="O2199">
        <v>2</v>
      </c>
      <c r="P2199">
        <v>0.20499999999999999</v>
      </c>
      <c r="Q2199">
        <v>2</v>
      </c>
      <c r="R2199">
        <v>4.2500000000000003E-3</v>
      </c>
      <c r="T2199" t="s">
        <v>6294</v>
      </c>
    </row>
    <row r="2200" spans="1:20" x14ac:dyDescent="0.2">
      <c r="A2200" t="s">
        <v>6296</v>
      </c>
      <c r="B2200" t="s">
        <v>2022</v>
      </c>
      <c r="C2200" t="s">
        <v>2023</v>
      </c>
      <c r="D2200" t="s">
        <v>2024</v>
      </c>
      <c r="E2200" t="s">
        <v>6297</v>
      </c>
      <c r="F2200" t="s">
        <v>6298</v>
      </c>
      <c r="G2200">
        <v>4</v>
      </c>
      <c r="H2200">
        <v>1720</v>
      </c>
      <c r="I2200">
        <v>5</v>
      </c>
      <c r="J2200">
        <v>10.9</v>
      </c>
      <c r="K2200">
        <v>5</v>
      </c>
      <c r="L2200">
        <v>8.5999999999999993E-2</v>
      </c>
      <c r="M2200">
        <v>2</v>
      </c>
      <c r="N2200">
        <v>84</v>
      </c>
      <c r="O2200">
        <v>5</v>
      </c>
      <c r="P2200">
        <v>0.67500000000000004</v>
      </c>
      <c r="Q2200">
        <v>5</v>
      </c>
      <c r="R2200">
        <v>8.0000000000000002E-3</v>
      </c>
      <c r="T2200" t="s">
        <v>6297</v>
      </c>
    </row>
    <row r="2201" spans="1:20" x14ac:dyDescent="0.2">
      <c r="A2201" t="s">
        <v>6299</v>
      </c>
      <c r="B2201" t="s">
        <v>2022</v>
      </c>
      <c r="C2201" t="s">
        <v>2053</v>
      </c>
      <c r="D2201" t="s">
        <v>2024</v>
      </c>
      <c r="E2201" t="s">
        <v>6300</v>
      </c>
      <c r="F2201" t="s">
        <v>6301</v>
      </c>
      <c r="G2201">
        <v>2</v>
      </c>
      <c r="H2201">
        <v>1600</v>
      </c>
      <c r="I2201">
        <v>5</v>
      </c>
      <c r="J2201">
        <v>11.55</v>
      </c>
      <c r="K2201">
        <v>5</v>
      </c>
      <c r="L2201">
        <v>0.41499999999999998</v>
      </c>
      <c r="M2201">
        <v>3</v>
      </c>
      <c r="N2201">
        <v>93</v>
      </c>
      <c r="O2201">
        <v>5</v>
      </c>
      <c r="P2201">
        <v>0.67500000000000004</v>
      </c>
      <c r="Q2201">
        <v>5</v>
      </c>
      <c r="R2201">
        <v>2.6200000000000001E-2</v>
      </c>
      <c r="T2201" t="s">
        <v>6300</v>
      </c>
    </row>
    <row r="2202" spans="1:20" x14ac:dyDescent="0.2">
      <c r="A2202" t="s">
        <v>6302</v>
      </c>
      <c r="B2202" t="s">
        <v>2022</v>
      </c>
      <c r="C2202" t="s">
        <v>2101</v>
      </c>
      <c r="D2202" t="s">
        <v>2024</v>
      </c>
      <c r="E2202" t="s">
        <v>6303</v>
      </c>
      <c r="F2202" t="s">
        <v>6304</v>
      </c>
      <c r="G2202">
        <v>1</v>
      </c>
      <c r="H2202">
        <v>1570</v>
      </c>
      <c r="I2202">
        <v>2</v>
      </c>
      <c r="J2202">
        <v>5</v>
      </c>
      <c r="K2202">
        <v>1</v>
      </c>
      <c r="L2202">
        <v>1.15E-2</v>
      </c>
      <c r="M2202">
        <v>1</v>
      </c>
      <c r="N2202">
        <v>66</v>
      </c>
      <c r="O2202">
        <v>1</v>
      </c>
      <c r="P2202">
        <v>7.4999999999999997E-2</v>
      </c>
      <c r="Q2202">
        <v>1</v>
      </c>
      <c r="R2202">
        <v>5.0000000000000001E-4</v>
      </c>
      <c r="T2202" t="s">
        <v>6303</v>
      </c>
    </row>
    <row r="2203" spans="1:20" x14ac:dyDescent="0.2">
      <c r="A2203" t="s">
        <v>6305</v>
      </c>
      <c r="B2203" t="s">
        <v>2022</v>
      </c>
      <c r="C2203" t="s">
        <v>2036</v>
      </c>
      <c r="D2203" t="s">
        <v>2024</v>
      </c>
      <c r="E2203" t="s">
        <v>6306</v>
      </c>
      <c r="F2203" t="s">
        <v>6307</v>
      </c>
      <c r="G2203">
        <v>1</v>
      </c>
      <c r="H2203">
        <v>1540</v>
      </c>
      <c r="I2203">
        <v>2</v>
      </c>
      <c r="J2203">
        <v>3.4</v>
      </c>
      <c r="K2203">
        <v>1</v>
      </c>
      <c r="L2203">
        <v>5.5E-2</v>
      </c>
      <c r="M2203">
        <v>2</v>
      </c>
      <c r="N2203">
        <v>82</v>
      </c>
      <c r="O2203">
        <v>2</v>
      </c>
      <c r="P2203">
        <v>0.20499999999999999</v>
      </c>
      <c r="Q2203">
        <v>2</v>
      </c>
      <c r="R2203">
        <v>4.2500000000000003E-3</v>
      </c>
      <c r="T2203" t="s">
        <v>6306</v>
      </c>
    </row>
    <row r="2204" spans="1:20" x14ac:dyDescent="0.2">
      <c r="A2204" t="s">
        <v>6308</v>
      </c>
      <c r="B2204" t="s">
        <v>2022</v>
      </c>
      <c r="C2204" t="s">
        <v>2036</v>
      </c>
      <c r="D2204" t="s">
        <v>2024</v>
      </c>
      <c r="E2204" t="s">
        <v>6309</v>
      </c>
      <c r="F2204" t="s">
        <v>6310</v>
      </c>
      <c r="G2204">
        <v>2</v>
      </c>
      <c r="H2204">
        <v>1640</v>
      </c>
      <c r="I2204">
        <v>2</v>
      </c>
      <c r="J2204">
        <v>3.4</v>
      </c>
      <c r="K2204">
        <v>4</v>
      </c>
      <c r="L2204">
        <v>0.14499999999999999</v>
      </c>
      <c r="M2204">
        <v>2</v>
      </c>
      <c r="N2204">
        <v>82</v>
      </c>
      <c r="O2204">
        <v>2</v>
      </c>
      <c r="P2204">
        <v>0.20499999999999999</v>
      </c>
      <c r="Q2204">
        <v>3</v>
      </c>
      <c r="R2204">
        <v>6.7499999999999999E-3</v>
      </c>
      <c r="T2204" t="s">
        <v>6309</v>
      </c>
    </row>
    <row r="2205" spans="1:20" x14ac:dyDescent="0.2">
      <c r="A2205" t="s">
        <v>6311</v>
      </c>
      <c r="B2205" t="s">
        <v>2022</v>
      </c>
      <c r="C2205" t="s">
        <v>2053</v>
      </c>
      <c r="D2205" t="s">
        <v>2024</v>
      </c>
      <c r="E2205" t="s">
        <v>6312</v>
      </c>
      <c r="F2205" t="s">
        <v>6313</v>
      </c>
      <c r="G2205">
        <v>2</v>
      </c>
      <c r="H2205">
        <v>1600</v>
      </c>
      <c r="I2205">
        <v>4</v>
      </c>
      <c r="J2205">
        <v>9.0500000000000007</v>
      </c>
      <c r="K2205">
        <v>4</v>
      </c>
      <c r="L2205">
        <v>0.30499999999999999</v>
      </c>
      <c r="M2205">
        <v>3</v>
      </c>
      <c r="N2205">
        <v>93</v>
      </c>
      <c r="O2205">
        <v>4</v>
      </c>
      <c r="P2205">
        <v>0.52500000000000002</v>
      </c>
      <c r="Q2205">
        <v>3</v>
      </c>
      <c r="R2205">
        <v>1.2200000000000001E-2</v>
      </c>
      <c r="T2205" t="s">
        <v>6312</v>
      </c>
    </row>
    <row r="2206" spans="1:20" x14ac:dyDescent="0.2">
      <c r="A2206" t="s">
        <v>6314</v>
      </c>
      <c r="B2206" t="s">
        <v>2022</v>
      </c>
      <c r="C2206" t="s">
        <v>2023</v>
      </c>
      <c r="D2206" t="s">
        <v>2024</v>
      </c>
      <c r="E2206" t="s">
        <v>6315</v>
      </c>
      <c r="F2206" t="s">
        <v>6316</v>
      </c>
      <c r="G2206">
        <v>1</v>
      </c>
      <c r="H2206">
        <v>1480</v>
      </c>
      <c r="I2206">
        <v>3</v>
      </c>
      <c r="J2206">
        <v>5.9</v>
      </c>
      <c r="K2206">
        <v>5</v>
      </c>
      <c r="L2206">
        <v>8.5999999999999993E-2</v>
      </c>
      <c r="M2206">
        <v>3</v>
      </c>
      <c r="N2206">
        <v>94</v>
      </c>
      <c r="O2206">
        <v>3</v>
      </c>
      <c r="P2206">
        <v>0.375</v>
      </c>
      <c r="Q2206">
        <v>5</v>
      </c>
      <c r="R2206">
        <v>8.0000000000000002E-3</v>
      </c>
      <c r="T2206" t="s">
        <v>6315</v>
      </c>
    </row>
    <row r="2207" spans="1:20" x14ac:dyDescent="0.2">
      <c r="A2207" t="s">
        <v>6317</v>
      </c>
      <c r="B2207" t="s">
        <v>2022</v>
      </c>
      <c r="C2207" t="s">
        <v>2173</v>
      </c>
      <c r="D2207" t="s">
        <v>2154</v>
      </c>
      <c r="E2207" t="s">
        <v>357</v>
      </c>
      <c r="F2207" t="s">
        <v>447</v>
      </c>
      <c r="G2207">
        <v>1</v>
      </c>
      <c r="H2207">
        <v>1882.5</v>
      </c>
      <c r="I2207">
        <v>2</v>
      </c>
      <c r="J2207">
        <v>6.35</v>
      </c>
      <c r="K2207">
        <v>1</v>
      </c>
      <c r="L2207">
        <v>1.4999999999999999E-2</v>
      </c>
      <c r="M2207">
        <v>2</v>
      </c>
      <c r="N2207">
        <v>107.5</v>
      </c>
      <c r="O2207">
        <v>2</v>
      </c>
      <c r="P2207">
        <v>0.33</v>
      </c>
      <c r="Q2207">
        <v>2</v>
      </c>
      <c r="R2207">
        <v>4.7999999999999996E-3</v>
      </c>
      <c r="T2207" t="s">
        <v>357</v>
      </c>
    </row>
    <row r="2208" spans="1:20" x14ac:dyDescent="0.2">
      <c r="A2208" t="s">
        <v>6318</v>
      </c>
      <c r="B2208" t="s">
        <v>2022</v>
      </c>
      <c r="C2208" t="s">
        <v>2173</v>
      </c>
      <c r="D2208" t="s">
        <v>2154</v>
      </c>
      <c r="E2208" t="s">
        <v>357</v>
      </c>
      <c r="F2208" t="s">
        <v>447</v>
      </c>
      <c r="G2208">
        <v>5</v>
      </c>
      <c r="H2208">
        <v>2182.5</v>
      </c>
      <c r="I2208">
        <v>1</v>
      </c>
      <c r="J2208">
        <v>3.65</v>
      </c>
      <c r="K2208">
        <v>2</v>
      </c>
      <c r="L2208">
        <v>0.09</v>
      </c>
      <c r="M2208">
        <v>5</v>
      </c>
      <c r="N2208">
        <v>140.5</v>
      </c>
      <c r="O2208">
        <v>2</v>
      </c>
      <c r="P2208">
        <v>0.33</v>
      </c>
      <c r="Q2208">
        <v>2</v>
      </c>
      <c r="R2208">
        <v>4.7999999999999996E-3</v>
      </c>
      <c r="T2208" t="s">
        <v>357</v>
      </c>
    </row>
    <row r="2209" spans="1:20" x14ac:dyDescent="0.2">
      <c r="A2209" t="s">
        <v>6319</v>
      </c>
      <c r="B2209" t="s">
        <v>2022</v>
      </c>
      <c r="C2209" t="s">
        <v>2053</v>
      </c>
      <c r="D2209" t="s">
        <v>2024</v>
      </c>
      <c r="E2209" t="s">
        <v>6320</v>
      </c>
      <c r="F2209" t="s">
        <v>6321</v>
      </c>
      <c r="G2209">
        <v>2</v>
      </c>
      <c r="H2209">
        <v>1600</v>
      </c>
      <c r="I2209">
        <v>1</v>
      </c>
      <c r="J2209">
        <v>1.55</v>
      </c>
      <c r="K2209">
        <v>1</v>
      </c>
      <c r="L2209">
        <v>1.4999999999999999E-2</v>
      </c>
      <c r="M2209">
        <v>1</v>
      </c>
      <c r="N2209">
        <v>73</v>
      </c>
      <c r="O2209">
        <v>1</v>
      </c>
      <c r="P2209">
        <v>7.4999999999999997E-2</v>
      </c>
      <c r="Q2209">
        <v>1</v>
      </c>
      <c r="R2209">
        <v>8.4999999999999995E-4</v>
      </c>
      <c r="T2209" t="s">
        <v>6320</v>
      </c>
    </row>
    <row r="2210" spans="1:20" x14ac:dyDescent="0.2">
      <c r="A2210" t="s">
        <v>6322</v>
      </c>
      <c r="B2210" t="s">
        <v>2022</v>
      </c>
      <c r="C2210" t="s">
        <v>2023</v>
      </c>
      <c r="D2210" t="s">
        <v>2024</v>
      </c>
      <c r="E2210" t="s">
        <v>6323</v>
      </c>
      <c r="F2210" t="s">
        <v>6324</v>
      </c>
      <c r="G2210">
        <v>2</v>
      </c>
      <c r="H2210">
        <v>1560</v>
      </c>
      <c r="I2210">
        <v>2</v>
      </c>
      <c r="J2210">
        <v>3.4</v>
      </c>
      <c r="K2210">
        <v>2</v>
      </c>
      <c r="L2210">
        <v>2.5999999999999999E-2</v>
      </c>
      <c r="M2210">
        <v>5</v>
      </c>
      <c r="N2210">
        <v>114</v>
      </c>
      <c r="O2210">
        <v>2</v>
      </c>
      <c r="P2210">
        <v>0.22500000000000001</v>
      </c>
      <c r="Q2210">
        <v>2</v>
      </c>
      <c r="R2210">
        <v>2E-3</v>
      </c>
      <c r="T2210" t="s">
        <v>6323</v>
      </c>
    </row>
    <row r="2211" spans="1:20" x14ac:dyDescent="0.2">
      <c r="A2211" t="s">
        <v>6325</v>
      </c>
      <c r="B2211" t="s">
        <v>2022</v>
      </c>
      <c r="C2211" t="s">
        <v>2023</v>
      </c>
      <c r="D2211" t="s">
        <v>2024</v>
      </c>
      <c r="E2211" t="s">
        <v>6326</v>
      </c>
      <c r="F2211" t="s">
        <v>6327</v>
      </c>
      <c r="G2211">
        <v>5</v>
      </c>
      <c r="H2211">
        <v>1800</v>
      </c>
      <c r="I2211">
        <v>4</v>
      </c>
      <c r="J2211">
        <v>8.4</v>
      </c>
      <c r="K2211">
        <v>5</v>
      </c>
      <c r="L2211">
        <v>8.5999999999999993E-2</v>
      </c>
      <c r="M2211">
        <v>3</v>
      </c>
      <c r="N2211">
        <v>94</v>
      </c>
      <c r="O2211">
        <v>3</v>
      </c>
      <c r="P2211">
        <v>0.375</v>
      </c>
      <c r="Q2211">
        <v>5</v>
      </c>
      <c r="R2211">
        <v>8.0000000000000002E-3</v>
      </c>
      <c r="T2211" t="s">
        <v>6326</v>
      </c>
    </row>
    <row r="2212" spans="1:20" x14ac:dyDescent="0.2">
      <c r="A2212" t="s">
        <v>6328</v>
      </c>
      <c r="B2212" t="s">
        <v>2022</v>
      </c>
      <c r="C2212" t="s">
        <v>2053</v>
      </c>
      <c r="D2212" t="s">
        <v>2024</v>
      </c>
      <c r="E2212" t="s">
        <v>6329</v>
      </c>
      <c r="F2212" t="s">
        <v>6330</v>
      </c>
      <c r="G2212">
        <v>4</v>
      </c>
      <c r="H2212">
        <v>1800</v>
      </c>
      <c r="I2212">
        <v>2</v>
      </c>
      <c r="J2212">
        <v>4.05</v>
      </c>
      <c r="K2212">
        <v>2</v>
      </c>
      <c r="L2212">
        <v>8.5000000000000006E-2</v>
      </c>
      <c r="M2212">
        <v>1</v>
      </c>
      <c r="N2212">
        <v>73</v>
      </c>
      <c r="O2212">
        <v>1</v>
      </c>
      <c r="P2212">
        <v>7.4999999999999997E-2</v>
      </c>
      <c r="Q2212">
        <v>2</v>
      </c>
      <c r="R2212">
        <v>5.1999999999999998E-3</v>
      </c>
      <c r="T2212" t="s">
        <v>6329</v>
      </c>
    </row>
    <row r="2213" spans="1:20" x14ac:dyDescent="0.2">
      <c r="A2213" t="s">
        <v>6331</v>
      </c>
      <c r="B2213" t="s">
        <v>2022</v>
      </c>
      <c r="C2213" t="s">
        <v>2053</v>
      </c>
      <c r="D2213" t="s">
        <v>2024</v>
      </c>
      <c r="E2213" t="s">
        <v>6332</v>
      </c>
      <c r="F2213" t="s">
        <v>6333</v>
      </c>
      <c r="G2213">
        <v>2</v>
      </c>
      <c r="H2213">
        <v>1600</v>
      </c>
      <c r="I2213">
        <v>1</v>
      </c>
      <c r="J2213">
        <v>1.55</v>
      </c>
      <c r="K2213">
        <v>2</v>
      </c>
      <c r="L2213">
        <v>8.5000000000000006E-2</v>
      </c>
      <c r="M2213">
        <v>2</v>
      </c>
      <c r="N2213">
        <v>83</v>
      </c>
      <c r="O2213">
        <v>1</v>
      </c>
      <c r="P2213">
        <v>7.4999999999999997E-2</v>
      </c>
      <c r="Q2213">
        <v>2</v>
      </c>
      <c r="R2213">
        <v>5.1999999999999998E-3</v>
      </c>
      <c r="T2213" t="s">
        <v>6332</v>
      </c>
    </row>
    <row r="2214" spans="1:20" x14ac:dyDescent="0.2">
      <c r="A2214" t="s">
        <v>6334</v>
      </c>
      <c r="B2214" t="s">
        <v>2022</v>
      </c>
      <c r="C2214" t="s">
        <v>2106</v>
      </c>
      <c r="D2214" t="s">
        <v>2024</v>
      </c>
      <c r="E2214" t="s">
        <v>6335</v>
      </c>
      <c r="F2214" t="s">
        <v>6336</v>
      </c>
      <c r="G2214">
        <v>2</v>
      </c>
      <c r="H2214">
        <v>1825</v>
      </c>
      <c r="I2214">
        <v>5</v>
      </c>
      <c r="J2214">
        <v>13.25</v>
      </c>
      <c r="K2214">
        <v>5</v>
      </c>
      <c r="L2214">
        <v>0.3</v>
      </c>
      <c r="M2214">
        <v>5</v>
      </c>
      <c r="N2214">
        <v>89.5</v>
      </c>
      <c r="O2214">
        <v>5</v>
      </c>
      <c r="P2214">
        <v>0.45</v>
      </c>
      <c r="Q2214">
        <v>5</v>
      </c>
      <c r="R2214">
        <v>8.5000000000000006E-3</v>
      </c>
      <c r="T2214" t="s">
        <v>6335</v>
      </c>
    </row>
    <row r="2215" spans="1:20" x14ac:dyDescent="0.2">
      <c r="A2215" t="s">
        <v>6337</v>
      </c>
      <c r="B2215" t="s">
        <v>2022</v>
      </c>
      <c r="C2215" t="s">
        <v>2053</v>
      </c>
      <c r="D2215" t="s">
        <v>2024</v>
      </c>
      <c r="E2215" t="s">
        <v>6338</v>
      </c>
      <c r="F2215" t="s">
        <v>6339</v>
      </c>
      <c r="G2215">
        <v>3</v>
      </c>
      <c r="H2215">
        <v>1700</v>
      </c>
      <c r="I2215">
        <v>5</v>
      </c>
      <c r="J2215">
        <v>11.55</v>
      </c>
      <c r="K2215">
        <v>5</v>
      </c>
      <c r="L2215">
        <v>0.41499999999999998</v>
      </c>
      <c r="M2215">
        <v>3</v>
      </c>
      <c r="N2215">
        <v>93</v>
      </c>
      <c r="O2215">
        <v>5</v>
      </c>
      <c r="P2215">
        <v>0.67500000000000004</v>
      </c>
      <c r="Q2215">
        <v>5</v>
      </c>
      <c r="R2215">
        <v>2.6200000000000001E-2</v>
      </c>
      <c r="T2215" t="s">
        <v>6338</v>
      </c>
    </row>
    <row r="2216" spans="1:20" x14ac:dyDescent="0.2">
      <c r="A2216" t="s">
        <v>6340</v>
      </c>
      <c r="B2216" t="s">
        <v>2022</v>
      </c>
      <c r="C2216" t="s">
        <v>2104</v>
      </c>
      <c r="D2216" t="s">
        <v>2024</v>
      </c>
      <c r="E2216" t="s">
        <v>6341</v>
      </c>
      <c r="F2216" t="s">
        <v>6342</v>
      </c>
      <c r="G2216">
        <v>5</v>
      </c>
      <c r="H2216">
        <v>2237.5</v>
      </c>
      <c r="I2216">
        <v>5</v>
      </c>
      <c r="J2216">
        <v>10.15</v>
      </c>
      <c r="K2216">
        <v>5</v>
      </c>
      <c r="L2216">
        <v>0.191</v>
      </c>
      <c r="M2216">
        <v>4</v>
      </c>
      <c r="N2216">
        <v>81</v>
      </c>
      <c r="P2216">
        <v>0</v>
      </c>
      <c r="Q2216">
        <v>4</v>
      </c>
      <c r="R2216">
        <v>1.32E-2</v>
      </c>
      <c r="T2216" t="s">
        <v>6341</v>
      </c>
    </row>
    <row r="2217" spans="1:20" x14ac:dyDescent="0.2">
      <c r="A2217" t="s">
        <v>6343</v>
      </c>
      <c r="B2217" t="s">
        <v>2022</v>
      </c>
      <c r="C2217" t="s">
        <v>2049</v>
      </c>
      <c r="D2217" t="s">
        <v>2136</v>
      </c>
      <c r="E2217" t="s">
        <v>6344</v>
      </c>
      <c r="F2217" t="s">
        <v>6345</v>
      </c>
      <c r="G2217">
        <v>2</v>
      </c>
      <c r="H2217">
        <v>1450</v>
      </c>
      <c r="I2217">
        <v>3</v>
      </c>
      <c r="J2217">
        <v>5</v>
      </c>
      <c r="K2217">
        <v>4</v>
      </c>
      <c r="L2217">
        <v>0.22</v>
      </c>
      <c r="M2217">
        <v>5</v>
      </c>
      <c r="N2217">
        <v>166</v>
      </c>
      <c r="O2217">
        <v>5</v>
      </c>
      <c r="P2217">
        <v>0.86</v>
      </c>
      <c r="Q2217">
        <v>5</v>
      </c>
      <c r="R2217">
        <v>3.32E-2</v>
      </c>
      <c r="T2217" t="s">
        <v>6344</v>
      </c>
    </row>
    <row r="2218" spans="1:20" x14ac:dyDescent="0.2">
      <c r="A2218" t="s">
        <v>6346</v>
      </c>
      <c r="B2218" t="s">
        <v>2022</v>
      </c>
      <c r="C2218" t="s">
        <v>2023</v>
      </c>
      <c r="D2218" t="s">
        <v>2024</v>
      </c>
      <c r="E2218" t="s">
        <v>6347</v>
      </c>
      <c r="F2218" t="s">
        <v>6348</v>
      </c>
      <c r="G2218">
        <v>4</v>
      </c>
      <c r="H2218">
        <v>1720</v>
      </c>
      <c r="I2218">
        <v>1</v>
      </c>
      <c r="J2218">
        <v>0.9</v>
      </c>
      <c r="K2218">
        <v>2</v>
      </c>
      <c r="L2218">
        <v>2.5999999999999999E-2</v>
      </c>
      <c r="M2218">
        <v>2</v>
      </c>
      <c r="N2218">
        <v>84</v>
      </c>
      <c r="O2218">
        <v>1</v>
      </c>
      <c r="P2218">
        <v>7.4999999999999997E-2</v>
      </c>
      <c r="Q2218">
        <v>1</v>
      </c>
      <c r="R2218">
        <v>5.0000000000000001E-4</v>
      </c>
      <c r="T2218" t="s">
        <v>6347</v>
      </c>
    </row>
    <row r="2219" spans="1:20" x14ac:dyDescent="0.2">
      <c r="A2219" t="s">
        <v>6349</v>
      </c>
      <c r="B2219" t="s">
        <v>2022</v>
      </c>
      <c r="C2219" t="s">
        <v>2023</v>
      </c>
      <c r="D2219" t="s">
        <v>2024</v>
      </c>
      <c r="E2219" t="s">
        <v>6350</v>
      </c>
      <c r="F2219" t="s">
        <v>6351</v>
      </c>
      <c r="G2219">
        <v>1</v>
      </c>
      <c r="H2219">
        <v>1480</v>
      </c>
      <c r="I2219">
        <v>1</v>
      </c>
      <c r="J2219">
        <v>0.9</v>
      </c>
      <c r="K2219">
        <v>2</v>
      </c>
      <c r="L2219">
        <v>2.5999999999999999E-2</v>
      </c>
      <c r="M2219">
        <v>2</v>
      </c>
      <c r="N2219">
        <v>84</v>
      </c>
      <c r="O2219">
        <v>1</v>
      </c>
      <c r="P2219">
        <v>7.4999999999999997E-2</v>
      </c>
      <c r="Q2219">
        <v>1</v>
      </c>
      <c r="R2219">
        <v>5.0000000000000001E-4</v>
      </c>
      <c r="T2219" t="s">
        <v>6350</v>
      </c>
    </row>
    <row r="2220" spans="1:20" x14ac:dyDescent="0.2">
      <c r="A2220" t="s">
        <v>6352</v>
      </c>
      <c r="B2220" t="s">
        <v>2022</v>
      </c>
      <c r="C2220" t="s">
        <v>2023</v>
      </c>
      <c r="D2220" t="s">
        <v>2024</v>
      </c>
      <c r="E2220" t="s">
        <v>6353</v>
      </c>
      <c r="F2220" t="s">
        <v>6354</v>
      </c>
      <c r="G2220">
        <v>2</v>
      </c>
      <c r="H2220">
        <v>1560</v>
      </c>
      <c r="I2220">
        <v>2</v>
      </c>
      <c r="J2220">
        <v>3.4</v>
      </c>
      <c r="K2220">
        <v>1</v>
      </c>
      <c r="L2220">
        <v>6.0000000000000001E-3</v>
      </c>
      <c r="M2220">
        <v>1</v>
      </c>
      <c r="N2220">
        <v>74</v>
      </c>
      <c r="O2220">
        <v>1</v>
      </c>
      <c r="P2220">
        <v>7.4999999999999997E-2</v>
      </c>
      <c r="Q2220">
        <v>1</v>
      </c>
      <c r="R2220">
        <v>5.0000000000000001E-4</v>
      </c>
      <c r="T2220" t="s">
        <v>6353</v>
      </c>
    </row>
    <row r="2221" spans="1:20" x14ac:dyDescent="0.2">
      <c r="A2221" t="s">
        <v>6355</v>
      </c>
      <c r="B2221" t="s">
        <v>2022</v>
      </c>
      <c r="C2221" t="s">
        <v>2023</v>
      </c>
      <c r="D2221" t="s">
        <v>2024</v>
      </c>
      <c r="E2221" t="s">
        <v>6356</v>
      </c>
      <c r="F2221" t="s">
        <v>6357</v>
      </c>
      <c r="G2221">
        <v>3</v>
      </c>
      <c r="H2221">
        <v>1640</v>
      </c>
      <c r="I2221">
        <v>3</v>
      </c>
      <c r="J2221">
        <v>5.9</v>
      </c>
      <c r="K2221">
        <v>5</v>
      </c>
      <c r="L2221">
        <v>8.5999999999999993E-2</v>
      </c>
      <c r="M2221">
        <v>1</v>
      </c>
      <c r="N2221">
        <v>74</v>
      </c>
      <c r="O2221">
        <v>2</v>
      </c>
      <c r="P2221">
        <v>0.22500000000000001</v>
      </c>
      <c r="Q2221">
        <v>5</v>
      </c>
      <c r="R2221">
        <v>8.0000000000000002E-3</v>
      </c>
      <c r="T2221" t="s">
        <v>6356</v>
      </c>
    </row>
    <row r="2222" spans="1:20" x14ac:dyDescent="0.2">
      <c r="A2222" t="s">
        <v>6358</v>
      </c>
      <c r="B2222" t="s">
        <v>2022</v>
      </c>
      <c r="C2222" t="s">
        <v>2023</v>
      </c>
      <c r="D2222" t="s">
        <v>2024</v>
      </c>
      <c r="E2222" t="s">
        <v>6359</v>
      </c>
      <c r="F2222" t="s">
        <v>6360</v>
      </c>
      <c r="G2222">
        <v>5</v>
      </c>
      <c r="H2222">
        <v>1800</v>
      </c>
      <c r="I2222">
        <v>3</v>
      </c>
      <c r="J2222">
        <v>5.9</v>
      </c>
      <c r="K2222">
        <v>2</v>
      </c>
      <c r="L2222">
        <v>2.5999999999999999E-2</v>
      </c>
      <c r="M2222">
        <v>3</v>
      </c>
      <c r="N2222">
        <v>94</v>
      </c>
      <c r="O2222">
        <v>2</v>
      </c>
      <c r="P2222">
        <v>0.22500000000000001</v>
      </c>
      <c r="Q2222">
        <v>2</v>
      </c>
      <c r="R2222">
        <v>2E-3</v>
      </c>
      <c r="T2222" t="s">
        <v>6359</v>
      </c>
    </row>
    <row r="2223" spans="1:20" x14ac:dyDescent="0.2">
      <c r="A2223" t="s">
        <v>6361</v>
      </c>
      <c r="B2223" t="s">
        <v>2022</v>
      </c>
      <c r="C2223" t="s">
        <v>2053</v>
      </c>
      <c r="D2223" t="s">
        <v>2136</v>
      </c>
      <c r="E2223" t="s">
        <v>6362</v>
      </c>
      <c r="F2223" t="s">
        <v>6363</v>
      </c>
      <c r="G2223">
        <v>1</v>
      </c>
      <c r="H2223">
        <v>1500</v>
      </c>
      <c r="I2223">
        <v>1</v>
      </c>
      <c r="J2223">
        <v>1.55</v>
      </c>
      <c r="K2223">
        <v>2</v>
      </c>
      <c r="L2223">
        <v>8.5000000000000006E-2</v>
      </c>
      <c r="M2223">
        <v>1</v>
      </c>
      <c r="N2223">
        <v>73</v>
      </c>
      <c r="O2223">
        <v>1</v>
      </c>
      <c r="P2223">
        <v>7.4999999999999997E-2</v>
      </c>
      <c r="Q2223">
        <v>2</v>
      </c>
      <c r="R2223">
        <v>5.1999999999999998E-3</v>
      </c>
      <c r="T2223" t="s">
        <v>6362</v>
      </c>
    </row>
    <row r="2224" spans="1:20" x14ac:dyDescent="0.2">
      <c r="A2224" t="s">
        <v>6364</v>
      </c>
      <c r="B2224" t="s">
        <v>2022</v>
      </c>
      <c r="C2224" t="s">
        <v>2101</v>
      </c>
      <c r="D2224" t="s">
        <v>2024</v>
      </c>
      <c r="E2224" t="s">
        <v>6365</v>
      </c>
      <c r="F2224" t="s">
        <v>6366</v>
      </c>
      <c r="G2224">
        <v>2</v>
      </c>
      <c r="H2224">
        <v>1670</v>
      </c>
      <c r="I2224">
        <v>1</v>
      </c>
      <c r="J2224">
        <v>2</v>
      </c>
      <c r="K2224">
        <v>1</v>
      </c>
      <c r="L2224">
        <v>1.15E-2</v>
      </c>
      <c r="M2224">
        <v>3</v>
      </c>
      <c r="N2224">
        <v>82</v>
      </c>
      <c r="O2224">
        <v>1</v>
      </c>
      <c r="P2224">
        <v>7.4999999999999997E-2</v>
      </c>
      <c r="Q2224">
        <v>1</v>
      </c>
      <c r="R2224">
        <v>5.0000000000000001E-4</v>
      </c>
      <c r="T2224" t="s">
        <v>6365</v>
      </c>
    </row>
    <row r="2225" spans="1:20" x14ac:dyDescent="0.2">
      <c r="A2225" t="s">
        <v>6367</v>
      </c>
      <c r="B2225" t="s">
        <v>2022</v>
      </c>
      <c r="C2225" t="s">
        <v>2101</v>
      </c>
      <c r="D2225" t="s">
        <v>2024</v>
      </c>
      <c r="E2225" t="s">
        <v>268</v>
      </c>
      <c r="F2225" t="s">
        <v>6368</v>
      </c>
      <c r="G2225">
        <v>2</v>
      </c>
      <c r="H2225">
        <v>1670</v>
      </c>
      <c r="I2225">
        <v>4</v>
      </c>
      <c r="J2225">
        <v>11</v>
      </c>
      <c r="K2225">
        <v>3</v>
      </c>
      <c r="L2225">
        <v>0.24349999999999999</v>
      </c>
      <c r="M2225">
        <v>3</v>
      </c>
      <c r="N2225">
        <v>82</v>
      </c>
      <c r="O2225">
        <v>4</v>
      </c>
      <c r="P2225">
        <v>0.52500000000000002</v>
      </c>
      <c r="Q2225">
        <v>4</v>
      </c>
      <c r="R2225">
        <v>1.8499999999999999E-2</v>
      </c>
      <c r="T2225" t="s">
        <v>268</v>
      </c>
    </row>
    <row r="2226" spans="1:20" x14ac:dyDescent="0.2">
      <c r="A2226" t="s">
        <v>6369</v>
      </c>
      <c r="B2226" t="s">
        <v>2022</v>
      </c>
      <c r="C2226" t="s">
        <v>2049</v>
      </c>
      <c r="D2226" t="s">
        <v>2024</v>
      </c>
      <c r="E2226" t="s">
        <v>6370</v>
      </c>
      <c r="F2226" t="s">
        <v>6371</v>
      </c>
      <c r="G2226">
        <v>1</v>
      </c>
      <c r="H2226">
        <v>1350</v>
      </c>
      <c r="I2226">
        <v>1</v>
      </c>
      <c r="J2226">
        <v>1.4</v>
      </c>
      <c r="K2226">
        <v>1</v>
      </c>
      <c r="L2226">
        <v>0.01</v>
      </c>
      <c r="M2226">
        <v>5</v>
      </c>
      <c r="N2226">
        <v>166</v>
      </c>
      <c r="O2226">
        <v>2</v>
      </c>
      <c r="P2226">
        <v>0.26</v>
      </c>
      <c r="Q2226">
        <v>2</v>
      </c>
      <c r="R2226">
        <v>6.1999999999999998E-3</v>
      </c>
      <c r="T2226" t="s">
        <v>6370</v>
      </c>
    </row>
    <row r="2227" spans="1:20" x14ac:dyDescent="0.2">
      <c r="A2227" t="s">
        <v>6372</v>
      </c>
      <c r="B2227" t="s">
        <v>2022</v>
      </c>
      <c r="C2227" t="s">
        <v>2036</v>
      </c>
      <c r="D2227" t="s">
        <v>2024</v>
      </c>
      <c r="E2227" t="s">
        <v>357</v>
      </c>
      <c r="F2227" t="s">
        <v>6373</v>
      </c>
      <c r="G2227">
        <v>3</v>
      </c>
      <c r="H2227">
        <v>1740</v>
      </c>
      <c r="I2227">
        <v>5</v>
      </c>
      <c r="J2227">
        <v>7</v>
      </c>
      <c r="K2227">
        <v>5</v>
      </c>
      <c r="L2227">
        <v>0.17499999999999999</v>
      </c>
      <c r="M2227">
        <v>2</v>
      </c>
      <c r="N2227">
        <v>82</v>
      </c>
      <c r="O2227">
        <v>5</v>
      </c>
      <c r="P2227">
        <v>0.53500000000000003</v>
      </c>
      <c r="Q2227">
        <v>5</v>
      </c>
      <c r="R2227">
        <v>1.2E-2</v>
      </c>
      <c r="T2227" t="s">
        <v>357</v>
      </c>
    </row>
    <row r="2228" spans="1:20" x14ac:dyDescent="0.2">
      <c r="A2228" t="s">
        <v>6374</v>
      </c>
      <c r="B2228" t="s">
        <v>2022</v>
      </c>
      <c r="C2228" t="s">
        <v>2508</v>
      </c>
      <c r="D2228" t="s">
        <v>2024</v>
      </c>
      <c r="E2228" t="s">
        <v>6375</v>
      </c>
      <c r="F2228" t="s">
        <v>6376</v>
      </c>
      <c r="G2228">
        <v>3</v>
      </c>
      <c r="H2228">
        <v>1450</v>
      </c>
      <c r="I2228">
        <v>5</v>
      </c>
      <c r="J2228">
        <v>17</v>
      </c>
      <c r="K2228">
        <v>5</v>
      </c>
      <c r="L2228">
        <v>0.57999999999999996</v>
      </c>
      <c r="M2228">
        <v>2</v>
      </c>
      <c r="N2228">
        <v>157.5</v>
      </c>
      <c r="O2228">
        <v>5</v>
      </c>
      <c r="P2228">
        <v>1.65</v>
      </c>
      <c r="Q2228">
        <v>5</v>
      </c>
      <c r="R2228">
        <v>0.06</v>
      </c>
      <c r="T2228" t="s">
        <v>6375</v>
      </c>
    </row>
    <row r="2229" spans="1:20" x14ac:dyDescent="0.2">
      <c r="A2229" t="s">
        <v>6377</v>
      </c>
      <c r="B2229" t="s">
        <v>2022</v>
      </c>
      <c r="C2229" t="s">
        <v>2049</v>
      </c>
      <c r="D2229" t="s">
        <v>2024</v>
      </c>
      <c r="E2229" t="s">
        <v>6375</v>
      </c>
      <c r="F2229" t="s">
        <v>6376</v>
      </c>
      <c r="G2229">
        <v>5</v>
      </c>
      <c r="H2229">
        <v>1750</v>
      </c>
      <c r="I2229">
        <v>4</v>
      </c>
      <c r="J2229">
        <v>6.8</v>
      </c>
      <c r="K2229">
        <v>3</v>
      </c>
      <c r="L2229">
        <v>0.14000000000000001</v>
      </c>
      <c r="M2229">
        <v>1</v>
      </c>
      <c r="N2229">
        <v>86</v>
      </c>
      <c r="O2229">
        <v>2</v>
      </c>
      <c r="P2229">
        <v>0.26</v>
      </c>
      <c r="Q2229">
        <v>2</v>
      </c>
      <c r="R2229">
        <v>6.1999999999999998E-3</v>
      </c>
      <c r="T2229" t="s">
        <v>6375</v>
      </c>
    </row>
    <row r="2230" spans="1:20" x14ac:dyDescent="0.2">
      <c r="A2230" t="s">
        <v>6378</v>
      </c>
      <c r="B2230" t="s">
        <v>2022</v>
      </c>
      <c r="C2230" t="s">
        <v>2049</v>
      </c>
      <c r="D2230" t="s">
        <v>2024</v>
      </c>
      <c r="E2230" t="s">
        <v>6375</v>
      </c>
      <c r="F2230" t="s">
        <v>6376</v>
      </c>
      <c r="G2230">
        <v>2</v>
      </c>
      <c r="H2230">
        <v>1450</v>
      </c>
      <c r="I2230">
        <v>5</v>
      </c>
      <c r="J2230">
        <v>8.6</v>
      </c>
      <c r="K2230">
        <v>5</v>
      </c>
      <c r="L2230">
        <v>0.3</v>
      </c>
      <c r="M2230">
        <v>4</v>
      </c>
      <c r="N2230">
        <v>146</v>
      </c>
      <c r="O2230">
        <v>5</v>
      </c>
      <c r="P2230">
        <v>0.86</v>
      </c>
      <c r="Q2230">
        <v>5</v>
      </c>
      <c r="R2230">
        <v>3.32E-2</v>
      </c>
      <c r="T2230" t="s">
        <v>6375</v>
      </c>
    </row>
    <row r="2231" spans="1:20" x14ac:dyDescent="0.2">
      <c r="A2231" t="s">
        <v>6379</v>
      </c>
      <c r="B2231" t="s">
        <v>2022</v>
      </c>
      <c r="C2231" t="s">
        <v>2049</v>
      </c>
      <c r="D2231" t="s">
        <v>2024</v>
      </c>
      <c r="E2231" t="s">
        <v>6375</v>
      </c>
      <c r="F2231" t="s">
        <v>6380</v>
      </c>
      <c r="G2231">
        <v>1</v>
      </c>
      <c r="H2231">
        <v>1350</v>
      </c>
      <c r="I2231">
        <v>5</v>
      </c>
      <c r="J2231">
        <v>8.6</v>
      </c>
      <c r="K2231">
        <v>4</v>
      </c>
      <c r="L2231">
        <v>0.22</v>
      </c>
      <c r="M2231">
        <v>2</v>
      </c>
      <c r="N2231">
        <v>106</v>
      </c>
      <c r="O2231">
        <v>4</v>
      </c>
      <c r="P2231">
        <v>0.66</v>
      </c>
      <c r="Q2231">
        <v>3</v>
      </c>
      <c r="R2231">
        <v>1.52E-2</v>
      </c>
      <c r="T2231" t="s">
        <v>6375</v>
      </c>
    </row>
    <row r="2232" spans="1:20" x14ac:dyDescent="0.2">
      <c r="A2232" t="s">
        <v>6381</v>
      </c>
      <c r="B2232" t="s">
        <v>2022</v>
      </c>
      <c r="C2232" t="s">
        <v>2023</v>
      </c>
      <c r="D2232" t="s">
        <v>2024</v>
      </c>
      <c r="E2232" t="s">
        <v>6382</v>
      </c>
      <c r="F2232" t="s">
        <v>6383</v>
      </c>
      <c r="G2232">
        <v>3</v>
      </c>
      <c r="H2232">
        <v>1640</v>
      </c>
      <c r="I2232">
        <v>2</v>
      </c>
      <c r="J2232">
        <v>3.4</v>
      </c>
      <c r="K2232">
        <v>2</v>
      </c>
      <c r="L2232">
        <v>2.5999999999999999E-2</v>
      </c>
      <c r="M2232">
        <v>3</v>
      </c>
      <c r="N2232">
        <v>94</v>
      </c>
      <c r="O2232">
        <v>2</v>
      </c>
      <c r="P2232">
        <v>0.22500000000000001</v>
      </c>
      <c r="Q2232">
        <v>1</v>
      </c>
      <c r="R2232">
        <v>5.0000000000000001E-4</v>
      </c>
      <c r="T2232" t="s">
        <v>6382</v>
      </c>
    </row>
    <row r="2233" spans="1:20" x14ac:dyDescent="0.2">
      <c r="A2233" t="s">
        <v>6384</v>
      </c>
      <c r="B2233" t="s">
        <v>2022</v>
      </c>
      <c r="C2233" t="s">
        <v>2508</v>
      </c>
      <c r="D2233" t="s">
        <v>2024</v>
      </c>
      <c r="E2233" t="s">
        <v>6385</v>
      </c>
      <c r="F2233" t="s">
        <v>6386</v>
      </c>
      <c r="G2233">
        <v>5</v>
      </c>
      <c r="H2233">
        <v>1650</v>
      </c>
      <c r="I2233">
        <v>2</v>
      </c>
      <c r="J2233">
        <v>5</v>
      </c>
      <c r="K2233">
        <v>2</v>
      </c>
      <c r="L2233">
        <v>0.1</v>
      </c>
      <c r="M2233">
        <v>1</v>
      </c>
      <c r="N2233">
        <v>92.5</v>
      </c>
      <c r="O2233">
        <v>1</v>
      </c>
      <c r="P2233">
        <v>0.45</v>
      </c>
      <c r="Q2233">
        <v>1</v>
      </c>
      <c r="R2233">
        <v>1.2E-2</v>
      </c>
      <c r="T2233" t="s">
        <v>6385</v>
      </c>
    </row>
    <row r="2234" spans="1:20" x14ac:dyDescent="0.2">
      <c r="A2234" t="s">
        <v>78</v>
      </c>
      <c r="B2234" t="s">
        <v>2022</v>
      </c>
      <c r="C2234" t="s">
        <v>2023</v>
      </c>
      <c r="D2234" t="s">
        <v>2024</v>
      </c>
      <c r="E2234" t="s">
        <v>277</v>
      </c>
      <c r="F2234" t="s">
        <v>6387</v>
      </c>
      <c r="G2234">
        <v>1</v>
      </c>
      <c r="H2234">
        <v>1480</v>
      </c>
      <c r="I2234">
        <v>1</v>
      </c>
      <c r="J2234">
        <v>0.9</v>
      </c>
      <c r="K2234">
        <v>2</v>
      </c>
      <c r="L2234">
        <v>2.5999999999999999E-2</v>
      </c>
      <c r="M2234">
        <v>1</v>
      </c>
      <c r="N2234">
        <v>74</v>
      </c>
      <c r="O2234">
        <v>1</v>
      </c>
      <c r="P2234">
        <v>7.4999999999999997E-2</v>
      </c>
      <c r="Q2234">
        <v>1</v>
      </c>
      <c r="R2234">
        <v>5.0000000000000001E-4</v>
      </c>
      <c r="T2234" t="s">
        <v>277</v>
      </c>
    </row>
    <row r="2235" spans="1:20" x14ac:dyDescent="0.2">
      <c r="A2235" t="s">
        <v>6388</v>
      </c>
      <c r="B2235" t="s">
        <v>2022</v>
      </c>
      <c r="C2235" t="s">
        <v>2023</v>
      </c>
      <c r="D2235" t="s">
        <v>2136</v>
      </c>
      <c r="E2235" t="s">
        <v>6389</v>
      </c>
      <c r="F2235" t="s">
        <v>6390</v>
      </c>
      <c r="G2235">
        <v>1</v>
      </c>
      <c r="H2235">
        <v>1480</v>
      </c>
      <c r="I2235">
        <v>1</v>
      </c>
      <c r="J2235">
        <v>0.9</v>
      </c>
      <c r="K2235">
        <v>4</v>
      </c>
      <c r="L2235">
        <v>6.6000000000000003E-2</v>
      </c>
      <c r="M2235">
        <v>5</v>
      </c>
      <c r="N2235">
        <v>114</v>
      </c>
      <c r="O2235">
        <v>2</v>
      </c>
      <c r="P2235">
        <v>0.22500000000000001</v>
      </c>
      <c r="Q2235">
        <v>5</v>
      </c>
      <c r="R2235">
        <v>8.0000000000000002E-3</v>
      </c>
      <c r="T2235" t="s">
        <v>6389</v>
      </c>
    </row>
    <row r="2236" spans="1:20" x14ac:dyDescent="0.2">
      <c r="A2236" t="s">
        <v>6391</v>
      </c>
      <c r="B2236" t="s">
        <v>2022</v>
      </c>
      <c r="C2236" t="s">
        <v>2028</v>
      </c>
      <c r="D2236" t="s">
        <v>2024</v>
      </c>
      <c r="E2236" t="s">
        <v>6392</v>
      </c>
      <c r="F2236" t="s">
        <v>6393</v>
      </c>
      <c r="G2236">
        <v>5</v>
      </c>
      <c r="H2236">
        <v>1450</v>
      </c>
      <c r="I2236">
        <v>5</v>
      </c>
      <c r="J2236">
        <v>6.65</v>
      </c>
      <c r="K2236">
        <v>5</v>
      </c>
      <c r="L2236">
        <v>0.26700000000000002</v>
      </c>
      <c r="M2236">
        <v>1</v>
      </c>
      <c r="N2236">
        <v>100</v>
      </c>
      <c r="O2236">
        <v>2</v>
      </c>
      <c r="P2236">
        <v>0.45</v>
      </c>
      <c r="Q2236">
        <v>3</v>
      </c>
      <c r="R2236">
        <v>1.6250000000000001E-2</v>
      </c>
      <c r="T2236" t="s">
        <v>6392</v>
      </c>
    </row>
    <row r="2237" spans="1:20" x14ac:dyDescent="0.2">
      <c r="A2237" t="s">
        <v>6394</v>
      </c>
      <c r="B2237" t="s">
        <v>2022</v>
      </c>
      <c r="C2237" t="s">
        <v>2023</v>
      </c>
      <c r="D2237" t="s">
        <v>2024</v>
      </c>
      <c r="E2237" t="s">
        <v>6395</v>
      </c>
      <c r="F2237" t="s">
        <v>6396</v>
      </c>
      <c r="G2237">
        <v>1</v>
      </c>
      <c r="H2237">
        <v>1480</v>
      </c>
      <c r="I2237">
        <v>1</v>
      </c>
      <c r="J2237">
        <v>0.9</v>
      </c>
      <c r="K2237">
        <v>1</v>
      </c>
      <c r="L2237">
        <v>6.0000000000000001E-3</v>
      </c>
      <c r="M2237">
        <v>1</v>
      </c>
      <c r="N2237">
        <v>74</v>
      </c>
      <c r="O2237">
        <v>1</v>
      </c>
      <c r="P2237">
        <v>7.4999999999999997E-2</v>
      </c>
      <c r="Q2237">
        <v>1</v>
      </c>
      <c r="R2237">
        <v>5.0000000000000001E-4</v>
      </c>
      <c r="T2237" t="s">
        <v>6395</v>
      </c>
    </row>
    <row r="2238" spans="1:20" x14ac:dyDescent="0.2">
      <c r="A2238" t="s">
        <v>6397</v>
      </c>
      <c r="B2238" t="s">
        <v>2022</v>
      </c>
      <c r="C2238" t="s">
        <v>2023</v>
      </c>
      <c r="D2238" t="s">
        <v>2024</v>
      </c>
      <c r="E2238" t="s">
        <v>6398</v>
      </c>
      <c r="F2238" t="s">
        <v>6399</v>
      </c>
      <c r="G2238">
        <v>3</v>
      </c>
      <c r="H2238">
        <v>1640</v>
      </c>
      <c r="I2238">
        <v>4</v>
      </c>
      <c r="J2238">
        <v>8.4</v>
      </c>
      <c r="K2238">
        <v>5</v>
      </c>
      <c r="L2238">
        <v>8.5999999999999993E-2</v>
      </c>
      <c r="M2238">
        <v>3</v>
      </c>
      <c r="N2238">
        <v>94</v>
      </c>
      <c r="O2238">
        <v>4</v>
      </c>
      <c r="P2238">
        <v>0.52500000000000002</v>
      </c>
      <c r="Q2238">
        <v>5</v>
      </c>
      <c r="R2238">
        <v>8.0000000000000002E-3</v>
      </c>
      <c r="T2238" t="s">
        <v>6398</v>
      </c>
    </row>
    <row r="2239" spans="1:20" x14ac:dyDescent="0.2">
      <c r="A2239" t="s">
        <v>6400</v>
      </c>
      <c r="B2239" t="s">
        <v>2022</v>
      </c>
      <c r="C2239" t="s">
        <v>2023</v>
      </c>
      <c r="D2239" t="s">
        <v>2024</v>
      </c>
      <c r="E2239" t="s">
        <v>6401</v>
      </c>
      <c r="F2239" t="s">
        <v>6402</v>
      </c>
      <c r="G2239">
        <v>2</v>
      </c>
      <c r="H2239">
        <v>1560</v>
      </c>
      <c r="I2239">
        <v>3</v>
      </c>
      <c r="J2239">
        <v>5.9</v>
      </c>
      <c r="K2239">
        <v>5</v>
      </c>
      <c r="L2239">
        <v>8.5999999999999993E-2</v>
      </c>
      <c r="M2239">
        <v>3</v>
      </c>
      <c r="N2239">
        <v>94</v>
      </c>
      <c r="O2239">
        <v>3</v>
      </c>
      <c r="P2239">
        <v>0.375</v>
      </c>
      <c r="Q2239">
        <v>5</v>
      </c>
      <c r="R2239">
        <v>8.0000000000000002E-3</v>
      </c>
      <c r="T2239" t="s">
        <v>6401</v>
      </c>
    </row>
    <row r="2240" spans="1:20" x14ac:dyDescent="0.2">
      <c r="A2240" t="s">
        <v>6403</v>
      </c>
      <c r="B2240" t="s">
        <v>2022</v>
      </c>
      <c r="C2240" t="s">
        <v>2036</v>
      </c>
      <c r="D2240" t="s">
        <v>2024</v>
      </c>
      <c r="E2240" t="s">
        <v>6404</v>
      </c>
      <c r="F2240" t="s">
        <v>6405</v>
      </c>
      <c r="G2240">
        <v>4</v>
      </c>
      <c r="H2240">
        <v>1840</v>
      </c>
      <c r="I2240">
        <v>5</v>
      </c>
      <c r="J2240">
        <v>7</v>
      </c>
      <c r="K2240">
        <v>5</v>
      </c>
      <c r="L2240">
        <v>0.17499999999999999</v>
      </c>
      <c r="M2240">
        <v>3</v>
      </c>
      <c r="N2240">
        <v>88</v>
      </c>
      <c r="O2240">
        <v>5</v>
      </c>
      <c r="P2240">
        <v>0.53500000000000003</v>
      </c>
      <c r="Q2240">
        <v>5</v>
      </c>
      <c r="R2240">
        <v>1.2E-2</v>
      </c>
      <c r="T2240" t="s">
        <v>6404</v>
      </c>
    </row>
    <row r="2241" spans="1:20" x14ac:dyDescent="0.2">
      <c r="A2241" t="s">
        <v>6406</v>
      </c>
      <c r="B2241" t="s">
        <v>2022</v>
      </c>
      <c r="C2241" t="s">
        <v>2036</v>
      </c>
      <c r="D2241" t="s">
        <v>2024</v>
      </c>
      <c r="E2241" t="s">
        <v>6407</v>
      </c>
      <c r="F2241" t="s">
        <v>6408</v>
      </c>
      <c r="G2241">
        <v>3</v>
      </c>
      <c r="H2241">
        <v>1740</v>
      </c>
      <c r="I2241">
        <v>2</v>
      </c>
      <c r="J2241">
        <v>3.4</v>
      </c>
      <c r="K2241">
        <v>2</v>
      </c>
      <c r="L2241">
        <v>8.5000000000000006E-2</v>
      </c>
      <c r="M2241">
        <v>2</v>
      </c>
      <c r="N2241">
        <v>82</v>
      </c>
      <c r="O2241">
        <v>2</v>
      </c>
      <c r="P2241">
        <v>0.20499999999999999</v>
      </c>
      <c r="Q2241">
        <v>2</v>
      </c>
      <c r="R2241">
        <v>4.2500000000000003E-3</v>
      </c>
      <c r="T2241" t="s">
        <v>6407</v>
      </c>
    </row>
    <row r="2242" spans="1:20" x14ac:dyDescent="0.2">
      <c r="A2242" t="s">
        <v>6409</v>
      </c>
      <c r="B2242" t="s">
        <v>2022</v>
      </c>
      <c r="C2242" t="s">
        <v>2023</v>
      </c>
      <c r="D2242" t="s">
        <v>2024</v>
      </c>
      <c r="E2242" t="s">
        <v>6410</v>
      </c>
      <c r="F2242" t="s">
        <v>6411</v>
      </c>
      <c r="G2242">
        <v>4</v>
      </c>
      <c r="H2242">
        <v>1720</v>
      </c>
      <c r="I2242">
        <v>2</v>
      </c>
      <c r="J2242">
        <v>3.4</v>
      </c>
      <c r="K2242">
        <v>3</v>
      </c>
      <c r="L2242">
        <v>4.5999999999999999E-2</v>
      </c>
      <c r="M2242">
        <v>5</v>
      </c>
      <c r="N2242">
        <v>114</v>
      </c>
      <c r="O2242">
        <v>3</v>
      </c>
      <c r="P2242">
        <v>0.375</v>
      </c>
      <c r="Q2242">
        <v>3</v>
      </c>
      <c r="R2242">
        <v>4.0000000000000001E-3</v>
      </c>
      <c r="T2242" t="s">
        <v>6410</v>
      </c>
    </row>
    <row r="2243" spans="1:20" x14ac:dyDescent="0.2">
      <c r="A2243" t="s">
        <v>6412</v>
      </c>
      <c r="B2243" t="s">
        <v>2022</v>
      </c>
      <c r="C2243" t="s">
        <v>2023</v>
      </c>
      <c r="D2243" t="s">
        <v>2024</v>
      </c>
      <c r="E2243" t="s">
        <v>6413</v>
      </c>
      <c r="F2243" t="s">
        <v>6414</v>
      </c>
      <c r="G2243">
        <v>4</v>
      </c>
      <c r="H2243">
        <v>1720</v>
      </c>
      <c r="I2243">
        <v>2</v>
      </c>
      <c r="J2243">
        <v>3.4</v>
      </c>
      <c r="K2243">
        <v>4</v>
      </c>
      <c r="L2243">
        <v>6.6000000000000003E-2</v>
      </c>
      <c r="M2243">
        <v>3</v>
      </c>
      <c r="N2243">
        <v>94</v>
      </c>
      <c r="O2243">
        <v>1</v>
      </c>
      <c r="P2243">
        <v>7.4999999999999997E-2</v>
      </c>
      <c r="Q2243">
        <v>3</v>
      </c>
      <c r="R2243">
        <v>4.0000000000000001E-3</v>
      </c>
      <c r="T2243" t="s">
        <v>6413</v>
      </c>
    </row>
    <row r="2244" spans="1:20" x14ac:dyDescent="0.2">
      <c r="A2244" t="s">
        <v>6415</v>
      </c>
      <c r="B2244" t="s">
        <v>2022</v>
      </c>
      <c r="C2244" t="s">
        <v>2095</v>
      </c>
      <c r="D2244" t="s">
        <v>2154</v>
      </c>
      <c r="E2244" t="s">
        <v>6416</v>
      </c>
      <c r="F2244" t="s">
        <v>447</v>
      </c>
      <c r="G2244">
        <v>4</v>
      </c>
      <c r="H2244">
        <v>1835</v>
      </c>
      <c r="I2244">
        <v>1</v>
      </c>
      <c r="J2244">
        <v>4.5</v>
      </c>
      <c r="K2244">
        <v>2</v>
      </c>
      <c r="L2244">
        <v>0.13</v>
      </c>
      <c r="M2244">
        <v>2</v>
      </c>
      <c r="N2244">
        <v>80</v>
      </c>
      <c r="O2244">
        <v>1</v>
      </c>
      <c r="P2244">
        <v>0.15</v>
      </c>
      <c r="Q2244">
        <v>2</v>
      </c>
      <c r="R2244">
        <v>5.8999999999999999E-3</v>
      </c>
      <c r="T2244" t="s">
        <v>6416</v>
      </c>
    </row>
    <row r="2245" spans="1:20" x14ac:dyDescent="0.2">
      <c r="A2245" t="s">
        <v>6417</v>
      </c>
      <c r="B2245" t="s">
        <v>2022</v>
      </c>
      <c r="C2245" t="s">
        <v>2053</v>
      </c>
      <c r="D2245" t="s">
        <v>2024</v>
      </c>
      <c r="E2245" t="s">
        <v>6416</v>
      </c>
      <c r="F2245" t="s">
        <v>447</v>
      </c>
      <c r="G2245">
        <v>4</v>
      </c>
      <c r="H2245">
        <v>1800</v>
      </c>
      <c r="I2245">
        <v>2</v>
      </c>
      <c r="J2245">
        <v>4.05</v>
      </c>
      <c r="K2245">
        <v>2</v>
      </c>
      <c r="L2245">
        <v>8.5000000000000006E-2</v>
      </c>
      <c r="M2245">
        <v>5</v>
      </c>
      <c r="N2245">
        <v>113</v>
      </c>
      <c r="O2245">
        <v>2</v>
      </c>
      <c r="P2245">
        <v>0.22500000000000001</v>
      </c>
      <c r="Q2245">
        <v>2</v>
      </c>
      <c r="R2245">
        <v>5.1999999999999998E-3</v>
      </c>
      <c r="T2245" t="s">
        <v>6416</v>
      </c>
    </row>
    <row r="2246" spans="1:20" x14ac:dyDescent="0.2">
      <c r="A2246" t="s">
        <v>6418</v>
      </c>
      <c r="B2246" t="s">
        <v>2022</v>
      </c>
      <c r="C2246" t="s">
        <v>2036</v>
      </c>
      <c r="D2246" t="s">
        <v>2154</v>
      </c>
      <c r="E2246" t="s">
        <v>6419</v>
      </c>
      <c r="F2246" t="s">
        <v>447</v>
      </c>
      <c r="G2246">
        <v>1</v>
      </c>
      <c r="H2246">
        <v>1540</v>
      </c>
      <c r="I2246">
        <v>1</v>
      </c>
      <c r="J2246">
        <v>2.2000000000000002</v>
      </c>
      <c r="K2246">
        <v>1</v>
      </c>
      <c r="L2246">
        <v>5.5E-2</v>
      </c>
      <c r="M2246">
        <v>4</v>
      </c>
      <c r="N2246">
        <v>94</v>
      </c>
      <c r="O2246">
        <v>1</v>
      </c>
      <c r="P2246">
        <v>9.5000000000000001E-2</v>
      </c>
      <c r="Q2246">
        <v>1</v>
      </c>
      <c r="R2246">
        <v>1.5E-3</v>
      </c>
      <c r="T2246" t="s">
        <v>6419</v>
      </c>
    </row>
    <row r="2247" spans="1:20" x14ac:dyDescent="0.2">
      <c r="A2247" t="s">
        <v>6420</v>
      </c>
      <c r="B2247" t="s">
        <v>2022</v>
      </c>
      <c r="C2247" t="s">
        <v>2023</v>
      </c>
      <c r="D2247" t="s">
        <v>2024</v>
      </c>
      <c r="E2247" t="s">
        <v>6421</v>
      </c>
      <c r="F2247" t="s">
        <v>6422</v>
      </c>
      <c r="G2247">
        <v>5</v>
      </c>
      <c r="H2247">
        <v>1800</v>
      </c>
      <c r="I2247">
        <v>3</v>
      </c>
      <c r="J2247">
        <v>5.9</v>
      </c>
      <c r="K2247">
        <v>3</v>
      </c>
      <c r="L2247">
        <v>4.5999999999999999E-2</v>
      </c>
      <c r="M2247">
        <v>4</v>
      </c>
      <c r="N2247">
        <v>104</v>
      </c>
      <c r="O2247">
        <v>2</v>
      </c>
      <c r="P2247">
        <v>0.22500000000000001</v>
      </c>
      <c r="Q2247">
        <v>2</v>
      </c>
      <c r="R2247">
        <v>2E-3</v>
      </c>
      <c r="T2247" t="s">
        <v>6421</v>
      </c>
    </row>
    <row r="2248" spans="1:20" x14ac:dyDescent="0.2">
      <c r="A2248" t="s">
        <v>6423</v>
      </c>
      <c r="B2248" t="s">
        <v>2022</v>
      </c>
      <c r="C2248" t="s">
        <v>2036</v>
      </c>
      <c r="D2248" t="s">
        <v>2024</v>
      </c>
      <c r="E2248" t="s">
        <v>6424</v>
      </c>
      <c r="F2248" t="s">
        <v>6425</v>
      </c>
      <c r="G2248">
        <v>3</v>
      </c>
      <c r="H2248">
        <v>1740</v>
      </c>
      <c r="I2248">
        <v>4</v>
      </c>
      <c r="J2248">
        <v>5.8</v>
      </c>
      <c r="K2248">
        <v>3</v>
      </c>
      <c r="L2248">
        <v>0.115</v>
      </c>
      <c r="M2248">
        <v>3</v>
      </c>
      <c r="N2248">
        <v>88</v>
      </c>
      <c r="O2248">
        <v>3</v>
      </c>
      <c r="P2248">
        <v>0.315</v>
      </c>
      <c r="Q2248">
        <v>2</v>
      </c>
      <c r="R2248">
        <v>4.2500000000000003E-3</v>
      </c>
      <c r="T2248" t="s">
        <v>6424</v>
      </c>
    </row>
    <row r="2249" spans="1:20" x14ac:dyDescent="0.2">
      <c r="A2249" t="s">
        <v>6426</v>
      </c>
      <c r="B2249" t="s">
        <v>2022</v>
      </c>
      <c r="C2249" t="s">
        <v>2104</v>
      </c>
      <c r="D2249" t="s">
        <v>2024</v>
      </c>
      <c r="E2249" t="s">
        <v>6427</v>
      </c>
      <c r="F2249" t="s">
        <v>6428</v>
      </c>
      <c r="G2249">
        <v>1</v>
      </c>
      <c r="H2249">
        <v>1537.5</v>
      </c>
      <c r="I2249">
        <v>1</v>
      </c>
      <c r="J2249">
        <v>0.95</v>
      </c>
      <c r="K2249">
        <v>1</v>
      </c>
      <c r="L2249">
        <v>8.0000000000000002E-3</v>
      </c>
      <c r="M2249">
        <v>5</v>
      </c>
      <c r="N2249">
        <v>89</v>
      </c>
      <c r="P2249">
        <v>0</v>
      </c>
      <c r="Q2249">
        <v>3</v>
      </c>
      <c r="R2249">
        <v>8.2000000000000007E-3</v>
      </c>
      <c r="T2249" t="s">
        <v>6427</v>
      </c>
    </row>
    <row r="2250" spans="1:20" x14ac:dyDescent="0.2">
      <c r="A2250" t="s">
        <v>6429</v>
      </c>
      <c r="B2250" t="s">
        <v>2022</v>
      </c>
      <c r="C2250" t="s">
        <v>2028</v>
      </c>
      <c r="D2250" t="s">
        <v>2024</v>
      </c>
      <c r="E2250" t="s">
        <v>6430</v>
      </c>
      <c r="F2250" t="s">
        <v>447</v>
      </c>
      <c r="G2250">
        <v>2</v>
      </c>
      <c r="H2250">
        <v>850</v>
      </c>
      <c r="I2250">
        <v>2</v>
      </c>
      <c r="J2250">
        <v>1.55</v>
      </c>
      <c r="K2250">
        <v>2</v>
      </c>
      <c r="L2250">
        <v>4.4999999999999998E-2</v>
      </c>
      <c r="M2250">
        <v>5</v>
      </c>
      <c r="N2250">
        <v>500</v>
      </c>
      <c r="O2250">
        <v>3</v>
      </c>
      <c r="P2250">
        <v>0.75</v>
      </c>
      <c r="Q2250">
        <v>2</v>
      </c>
      <c r="R2250">
        <v>7.7499999999999999E-3</v>
      </c>
      <c r="T2250" t="s">
        <v>6430</v>
      </c>
    </row>
    <row r="2251" spans="1:20" x14ac:dyDescent="0.2">
      <c r="A2251" t="s">
        <v>6431</v>
      </c>
      <c r="B2251" t="s">
        <v>2022</v>
      </c>
      <c r="C2251" t="s">
        <v>2036</v>
      </c>
      <c r="D2251" t="s">
        <v>2024</v>
      </c>
      <c r="E2251" t="s">
        <v>6432</v>
      </c>
      <c r="F2251" t="s">
        <v>6433</v>
      </c>
      <c r="G2251">
        <v>1</v>
      </c>
      <c r="H2251">
        <v>1540</v>
      </c>
      <c r="I2251">
        <v>5</v>
      </c>
      <c r="J2251">
        <v>7</v>
      </c>
      <c r="K2251">
        <v>3</v>
      </c>
      <c r="L2251">
        <v>0.115</v>
      </c>
      <c r="M2251">
        <v>1</v>
      </c>
      <c r="N2251">
        <v>76</v>
      </c>
      <c r="O2251">
        <v>3</v>
      </c>
      <c r="P2251">
        <v>0.315</v>
      </c>
      <c r="Q2251">
        <v>3</v>
      </c>
      <c r="R2251">
        <v>6.7499999999999999E-3</v>
      </c>
      <c r="T2251" t="s">
        <v>6432</v>
      </c>
    </row>
    <row r="2252" spans="1:20" x14ac:dyDescent="0.2">
      <c r="A2252" t="s">
        <v>6434</v>
      </c>
      <c r="B2252" t="s">
        <v>2022</v>
      </c>
      <c r="C2252" t="s">
        <v>2023</v>
      </c>
      <c r="D2252" t="s">
        <v>2024</v>
      </c>
      <c r="E2252" t="s">
        <v>6435</v>
      </c>
      <c r="F2252" t="s">
        <v>6436</v>
      </c>
      <c r="G2252">
        <v>4</v>
      </c>
      <c r="H2252">
        <v>1720</v>
      </c>
      <c r="I2252">
        <v>3</v>
      </c>
      <c r="J2252">
        <v>5.9</v>
      </c>
      <c r="K2252">
        <v>2</v>
      </c>
      <c r="L2252">
        <v>2.5999999999999999E-2</v>
      </c>
      <c r="M2252">
        <v>2</v>
      </c>
      <c r="N2252">
        <v>84</v>
      </c>
      <c r="O2252">
        <v>3</v>
      </c>
      <c r="P2252">
        <v>0.375</v>
      </c>
      <c r="Q2252">
        <v>2</v>
      </c>
      <c r="R2252">
        <v>2E-3</v>
      </c>
      <c r="T2252" t="s">
        <v>6435</v>
      </c>
    </row>
    <row r="2253" spans="1:20" x14ac:dyDescent="0.2">
      <c r="A2253" t="s">
        <v>6437</v>
      </c>
      <c r="B2253" t="s">
        <v>2022</v>
      </c>
      <c r="C2253" t="s">
        <v>2023</v>
      </c>
      <c r="D2253" t="s">
        <v>2024</v>
      </c>
      <c r="E2253" t="s">
        <v>6438</v>
      </c>
      <c r="F2253" t="s">
        <v>6439</v>
      </c>
      <c r="G2253">
        <v>3</v>
      </c>
      <c r="H2253">
        <v>1640</v>
      </c>
      <c r="I2253">
        <v>5</v>
      </c>
      <c r="J2253">
        <v>10.9</v>
      </c>
      <c r="K2253">
        <v>5</v>
      </c>
      <c r="L2253">
        <v>8.5999999999999993E-2</v>
      </c>
      <c r="M2253">
        <v>5</v>
      </c>
      <c r="N2253">
        <v>114</v>
      </c>
      <c r="O2253">
        <v>5</v>
      </c>
      <c r="P2253">
        <v>0.67500000000000004</v>
      </c>
      <c r="Q2253">
        <v>5</v>
      </c>
      <c r="R2253">
        <v>8.0000000000000002E-3</v>
      </c>
      <c r="T2253" t="s">
        <v>6438</v>
      </c>
    </row>
    <row r="2254" spans="1:20" x14ac:dyDescent="0.2">
      <c r="A2254" t="s">
        <v>6440</v>
      </c>
      <c r="B2254" t="s">
        <v>2022</v>
      </c>
      <c r="C2254" t="s">
        <v>2049</v>
      </c>
      <c r="D2254" t="s">
        <v>2024</v>
      </c>
      <c r="E2254" t="s">
        <v>6441</v>
      </c>
      <c r="F2254" t="s">
        <v>6442</v>
      </c>
      <c r="G2254">
        <v>5</v>
      </c>
      <c r="H2254">
        <v>1750</v>
      </c>
      <c r="I2254">
        <v>3</v>
      </c>
      <c r="J2254">
        <v>5</v>
      </c>
      <c r="K2254">
        <v>4</v>
      </c>
      <c r="L2254">
        <v>0.22</v>
      </c>
      <c r="M2254">
        <v>3</v>
      </c>
      <c r="N2254">
        <v>126</v>
      </c>
      <c r="O2254">
        <v>3</v>
      </c>
      <c r="P2254">
        <v>0.46</v>
      </c>
      <c r="Q2254">
        <v>3</v>
      </c>
      <c r="R2254">
        <v>1.52E-2</v>
      </c>
      <c r="T2254" t="s">
        <v>6441</v>
      </c>
    </row>
    <row r="2255" spans="1:20" x14ac:dyDescent="0.2">
      <c r="A2255" t="s">
        <v>6443</v>
      </c>
      <c r="B2255" t="s">
        <v>2022</v>
      </c>
      <c r="C2255" t="s">
        <v>2053</v>
      </c>
      <c r="D2255" t="s">
        <v>2024</v>
      </c>
      <c r="E2255" t="s">
        <v>6444</v>
      </c>
      <c r="F2255" t="s">
        <v>6445</v>
      </c>
      <c r="G2255">
        <v>1</v>
      </c>
      <c r="H2255">
        <v>1500</v>
      </c>
      <c r="I2255">
        <v>1</v>
      </c>
      <c r="J2255">
        <v>1.55</v>
      </c>
      <c r="K2255">
        <v>1</v>
      </c>
      <c r="L2255">
        <v>1.4999999999999999E-2</v>
      </c>
      <c r="M2255">
        <v>2</v>
      </c>
      <c r="N2255">
        <v>83</v>
      </c>
      <c r="O2255">
        <v>1</v>
      </c>
      <c r="P2255">
        <v>7.4999999999999997E-2</v>
      </c>
      <c r="Q2255">
        <v>1</v>
      </c>
      <c r="R2255">
        <v>8.4999999999999995E-4</v>
      </c>
      <c r="T2255" t="s">
        <v>6444</v>
      </c>
    </row>
    <row r="2256" spans="1:20" x14ac:dyDescent="0.2">
      <c r="A2256" t="s">
        <v>6446</v>
      </c>
      <c r="B2256" t="s">
        <v>2022</v>
      </c>
      <c r="C2256" t="s">
        <v>2036</v>
      </c>
      <c r="D2256" t="s">
        <v>2024</v>
      </c>
      <c r="E2256" t="s">
        <v>6447</v>
      </c>
      <c r="F2256" t="s">
        <v>6448</v>
      </c>
      <c r="G2256">
        <v>2</v>
      </c>
      <c r="H2256">
        <v>1640</v>
      </c>
      <c r="I2256">
        <v>3</v>
      </c>
      <c r="J2256">
        <v>4.5999999999999996</v>
      </c>
      <c r="K2256">
        <v>1</v>
      </c>
      <c r="L2256">
        <v>5.5E-2</v>
      </c>
      <c r="M2256">
        <v>3</v>
      </c>
      <c r="N2256">
        <v>88</v>
      </c>
      <c r="O2256">
        <v>2</v>
      </c>
      <c r="P2256">
        <v>0.20499999999999999</v>
      </c>
      <c r="Q2256">
        <v>2</v>
      </c>
      <c r="R2256">
        <v>4.2500000000000003E-3</v>
      </c>
      <c r="T2256" t="s">
        <v>6447</v>
      </c>
    </row>
    <row r="2257" spans="1:20" x14ac:dyDescent="0.2">
      <c r="A2257" t="s">
        <v>6449</v>
      </c>
      <c r="B2257" t="s">
        <v>2022</v>
      </c>
      <c r="C2257" t="s">
        <v>2053</v>
      </c>
      <c r="D2257" t="s">
        <v>2024</v>
      </c>
      <c r="E2257" t="s">
        <v>6450</v>
      </c>
      <c r="F2257" t="s">
        <v>6451</v>
      </c>
      <c r="G2257">
        <v>3</v>
      </c>
      <c r="H2257">
        <v>1700</v>
      </c>
      <c r="I2257">
        <v>3</v>
      </c>
      <c r="J2257">
        <v>6.55</v>
      </c>
      <c r="K2257">
        <v>3</v>
      </c>
      <c r="L2257">
        <v>0.19500000000000001</v>
      </c>
      <c r="M2257">
        <v>4</v>
      </c>
      <c r="N2257">
        <v>103</v>
      </c>
      <c r="O2257">
        <v>3</v>
      </c>
      <c r="P2257">
        <v>0.375</v>
      </c>
      <c r="Q2257">
        <v>3</v>
      </c>
      <c r="R2257">
        <v>1.2200000000000001E-2</v>
      </c>
      <c r="T2257" t="s">
        <v>6450</v>
      </c>
    </row>
    <row r="2258" spans="1:20" x14ac:dyDescent="0.2">
      <c r="A2258" t="s">
        <v>6452</v>
      </c>
      <c r="B2258" t="s">
        <v>2022</v>
      </c>
      <c r="C2258" t="s">
        <v>2023</v>
      </c>
      <c r="D2258" t="s">
        <v>2024</v>
      </c>
      <c r="E2258" t="s">
        <v>294</v>
      </c>
      <c r="F2258" t="s">
        <v>6453</v>
      </c>
      <c r="G2258">
        <v>2</v>
      </c>
      <c r="H2258">
        <v>1560</v>
      </c>
      <c r="I2258">
        <v>1</v>
      </c>
      <c r="J2258">
        <v>0.9</v>
      </c>
      <c r="K2258">
        <v>2</v>
      </c>
      <c r="L2258">
        <v>2.5999999999999999E-2</v>
      </c>
      <c r="M2258">
        <v>1</v>
      </c>
      <c r="N2258">
        <v>74</v>
      </c>
      <c r="O2258">
        <v>1</v>
      </c>
      <c r="P2258">
        <v>7.4999999999999997E-2</v>
      </c>
      <c r="Q2258">
        <v>2</v>
      </c>
      <c r="R2258">
        <v>2E-3</v>
      </c>
      <c r="T2258" t="s">
        <v>294</v>
      </c>
    </row>
    <row r="2259" spans="1:20" x14ac:dyDescent="0.2">
      <c r="A2259" t="s">
        <v>6454</v>
      </c>
      <c r="B2259" t="s">
        <v>2022</v>
      </c>
      <c r="C2259" t="s">
        <v>2036</v>
      </c>
      <c r="D2259" t="s">
        <v>2024</v>
      </c>
      <c r="E2259" t="s">
        <v>6455</v>
      </c>
      <c r="F2259" t="s">
        <v>6456</v>
      </c>
      <c r="G2259">
        <v>4</v>
      </c>
      <c r="H2259">
        <v>1840</v>
      </c>
      <c r="I2259">
        <v>2</v>
      </c>
      <c r="J2259">
        <v>3.4</v>
      </c>
      <c r="K2259">
        <v>3</v>
      </c>
      <c r="L2259">
        <v>0.115</v>
      </c>
      <c r="M2259">
        <v>5</v>
      </c>
      <c r="N2259">
        <v>100</v>
      </c>
      <c r="O2259">
        <v>2</v>
      </c>
      <c r="P2259">
        <v>0.20499999999999999</v>
      </c>
      <c r="Q2259">
        <v>3</v>
      </c>
      <c r="R2259">
        <v>6.7499999999999999E-3</v>
      </c>
      <c r="T2259" t="s">
        <v>6455</v>
      </c>
    </row>
    <row r="2260" spans="1:20" x14ac:dyDescent="0.2">
      <c r="A2260" t="s">
        <v>6457</v>
      </c>
      <c r="B2260" t="s">
        <v>2022</v>
      </c>
      <c r="C2260" t="s">
        <v>2036</v>
      </c>
      <c r="D2260" t="s">
        <v>2136</v>
      </c>
      <c r="E2260" t="s">
        <v>6458</v>
      </c>
      <c r="F2260" t="s">
        <v>6459</v>
      </c>
      <c r="G2260">
        <v>5</v>
      </c>
      <c r="H2260">
        <v>1940</v>
      </c>
      <c r="I2260">
        <v>2</v>
      </c>
      <c r="J2260">
        <v>3.4</v>
      </c>
      <c r="K2260">
        <v>2</v>
      </c>
      <c r="L2260">
        <v>8.5000000000000006E-2</v>
      </c>
      <c r="M2260">
        <v>4</v>
      </c>
      <c r="N2260">
        <v>94</v>
      </c>
      <c r="O2260">
        <v>1</v>
      </c>
      <c r="P2260">
        <v>9.5000000000000001E-2</v>
      </c>
      <c r="Q2260">
        <v>2</v>
      </c>
      <c r="R2260">
        <v>4.2500000000000003E-3</v>
      </c>
      <c r="T2260" t="s">
        <v>6458</v>
      </c>
    </row>
    <row r="2261" spans="1:20" x14ac:dyDescent="0.2">
      <c r="A2261" t="s">
        <v>6460</v>
      </c>
      <c r="B2261" t="s">
        <v>2022</v>
      </c>
      <c r="C2261" t="s">
        <v>2036</v>
      </c>
      <c r="D2261" t="s">
        <v>2024</v>
      </c>
      <c r="E2261" t="s">
        <v>6461</v>
      </c>
      <c r="F2261" t="s">
        <v>6462</v>
      </c>
      <c r="G2261">
        <v>5</v>
      </c>
      <c r="H2261">
        <v>1940</v>
      </c>
      <c r="I2261">
        <v>3</v>
      </c>
      <c r="J2261">
        <v>4.5999999999999996</v>
      </c>
      <c r="K2261">
        <v>2</v>
      </c>
      <c r="L2261">
        <v>8.5000000000000006E-2</v>
      </c>
      <c r="M2261">
        <v>5</v>
      </c>
      <c r="N2261">
        <v>100</v>
      </c>
      <c r="O2261">
        <v>2</v>
      </c>
      <c r="P2261">
        <v>0.20499999999999999</v>
      </c>
      <c r="Q2261">
        <v>2</v>
      </c>
      <c r="R2261">
        <v>4.2500000000000003E-3</v>
      </c>
      <c r="T2261" t="s">
        <v>6461</v>
      </c>
    </row>
    <row r="2262" spans="1:20" x14ac:dyDescent="0.2">
      <c r="A2262" t="s">
        <v>6463</v>
      </c>
      <c r="B2262" t="s">
        <v>2022</v>
      </c>
      <c r="C2262" t="s">
        <v>2023</v>
      </c>
      <c r="D2262" t="s">
        <v>2024</v>
      </c>
      <c r="E2262" t="s">
        <v>6464</v>
      </c>
      <c r="F2262" t="s">
        <v>447</v>
      </c>
      <c r="G2262">
        <v>2</v>
      </c>
      <c r="H2262">
        <v>1560</v>
      </c>
      <c r="I2262">
        <v>3</v>
      </c>
      <c r="J2262">
        <v>5.9</v>
      </c>
      <c r="K2262">
        <v>5</v>
      </c>
      <c r="L2262">
        <v>8.5999999999999993E-2</v>
      </c>
      <c r="M2262">
        <v>1</v>
      </c>
      <c r="N2262">
        <v>74</v>
      </c>
      <c r="O2262">
        <v>2</v>
      </c>
      <c r="P2262">
        <v>0.22500000000000001</v>
      </c>
      <c r="Q2262">
        <v>4</v>
      </c>
      <c r="R2262">
        <v>6.0000000000000001E-3</v>
      </c>
      <c r="T2262" t="s">
        <v>6464</v>
      </c>
    </row>
    <row r="2263" spans="1:20" x14ac:dyDescent="0.2">
      <c r="A2263" t="s">
        <v>6465</v>
      </c>
      <c r="B2263" t="s">
        <v>2022</v>
      </c>
      <c r="C2263" t="s">
        <v>2023</v>
      </c>
      <c r="D2263" t="s">
        <v>2024</v>
      </c>
      <c r="E2263" t="s">
        <v>6466</v>
      </c>
      <c r="F2263" t="s">
        <v>6467</v>
      </c>
      <c r="G2263">
        <v>4</v>
      </c>
      <c r="H2263">
        <v>1720</v>
      </c>
      <c r="I2263">
        <v>2</v>
      </c>
      <c r="J2263">
        <v>3.4</v>
      </c>
      <c r="K2263">
        <v>4</v>
      </c>
      <c r="L2263">
        <v>6.6000000000000003E-2</v>
      </c>
      <c r="M2263">
        <v>2</v>
      </c>
      <c r="N2263">
        <v>84</v>
      </c>
      <c r="O2263">
        <v>2</v>
      </c>
      <c r="P2263">
        <v>0.22500000000000001</v>
      </c>
      <c r="Q2263">
        <v>3</v>
      </c>
      <c r="R2263">
        <v>4.0000000000000001E-3</v>
      </c>
      <c r="T2263" t="s">
        <v>6466</v>
      </c>
    </row>
    <row r="2264" spans="1:20" x14ac:dyDescent="0.2">
      <c r="A2264" t="s">
        <v>6468</v>
      </c>
      <c r="B2264" t="s">
        <v>2022</v>
      </c>
      <c r="C2264" t="s">
        <v>2053</v>
      </c>
      <c r="D2264" t="s">
        <v>2024</v>
      </c>
      <c r="E2264" t="s">
        <v>6469</v>
      </c>
      <c r="F2264" t="s">
        <v>6470</v>
      </c>
      <c r="G2264">
        <v>1</v>
      </c>
      <c r="H2264">
        <v>1500</v>
      </c>
      <c r="I2264">
        <v>1</v>
      </c>
      <c r="J2264">
        <v>1.55</v>
      </c>
      <c r="K2264">
        <v>2</v>
      </c>
      <c r="L2264">
        <v>8.5000000000000006E-2</v>
      </c>
      <c r="M2264">
        <v>2</v>
      </c>
      <c r="N2264">
        <v>83</v>
      </c>
      <c r="O2264">
        <v>1</v>
      </c>
      <c r="P2264">
        <v>7.4999999999999997E-2</v>
      </c>
      <c r="Q2264">
        <v>2</v>
      </c>
      <c r="R2264">
        <v>5.1999999999999998E-3</v>
      </c>
      <c r="T2264" t="s">
        <v>6469</v>
      </c>
    </row>
    <row r="2265" spans="1:20" x14ac:dyDescent="0.2">
      <c r="A2265" t="s">
        <v>6471</v>
      </c>
      <c r="B2265" t="s">
        <v>2022</v>
      </c>
      <c r="C2265" t="s">
        <v>2222</v>
      </c>
      <c r="D2265" t="s">
        <v>2024</v>
      </c>
      <c r="E2265" t="s">
        <v>6472</v>
      </c>
      <c r="F2265" t="s">
        <v>6473</v>
      </c>
      <c r="G2265">
        <v>2</v>
      </c>
      <c r="H2265">
        <v>1550</v>
      </c>
      <c r="I2265">
        <v>1</v>
      </c>
      <c r="J2265">
        <v>2.2999999999999998</v>
      </c>
      <c r="K2265">
        <v>2</v>
      </c>
      <c r="L2265">
        <v>5.5E-2</v>
      </c>
      <c r="M2265">
        <v>4</v>
      </c>
      <c r="N2265">
        <v>71</v>
      </c>
      <c r="O2265">
        <v>2</v>
      </c>
      <c r="P2265">
        <v>0.15</v>
      </c>
      <c r="Q2265">
        <v>2</v>
      </c>
      <c r="R2265">
        <v>2.3E-3</v>
      </c>
      <c r="T2265" t="s">
        <v>6472</v>
      </c>
    </row>
    <row r="2266" spans="1:20" x14ac:dyDescent="0.2">
      <c r="A2266" t="s">
        <v>6474</v>
      </c>
      <c r="B2266" t="s">
        <v>2022</v>
      </c>
      <c r="C2266" t="s">
        <v>2053</v>
      </c>
      <c r="D2266" t="s">
        <v>2024</v>
      </c>
      <c r="E2266" t="s">
        <v>6475</v>
      </c>
      <c r="F2266" t="s">
        <v>6476</v>
      </c>
      <c r="G2266">
        <v>4</v>
      </c>
      <c r="H2266">
        <v>1800</v>
      </c>
      <c r="I2266">
        <v>5</v>
      </c>
      <c r="J2266">
        <v>11.55</v>
      </c>
      <c r="K2266">
        <v>5</v>
      </c>
      <c r="L2266">
        <v>0.41499999999999998</v>
      </c>
      <c r="M2266">
        <v>1</v>
      </c>
      <c r="N2266">
        <v>73</v>
      </c>
      <c r="O2266">
        <v>4</v>
      </c>
      <c r="P2266">
        <v>0.52500000000000002</v>
      </c>
      <c r="Q2266">
        <v>4</v>
      </c>
      <c r="R2266">
        <v>1.9199999999999998E-2</v>
      </c>
      <c r="T2266" t="s">
        <v>6475</v>
      </c>
    </row>
    <row r="2267" spans="1:20" x14ac:dyDescent="0.2">
      <c r="A2267" t="s">
        <v>6477</v>
      </c>
      <c r="B2267" t="s">
        <v>2022</v>
      </c>
      <c r="C2267" t="s">
        <v>2222</v>
      </c>
      <c r="D2267" t="s">
        <v>2024</v>
      </c>
      <c r="E2267" t="s">
        <v>6478</v>
      </c>
      <c r="F2267" t="s">
        <v>6479</v>
      </c>
      <c r="G2267">
        <v>3</v>
      </c>
      <c r="H2267">
        <v>1650</v>
      </c>
      <c r="I2267">
        <v>2</v>
      </c>
      <c r="J2267">
        <v>3.9</v>
      </c>
      <c r="K2267">
        <v>2</v>
      </c>
      <c r="L2267">
        <v>5.5E-2</v>
      </c>
      <c r="M2267">
        <v>5</v>
      </c>
      <c r="N2267">
        <v>75</v>
      </c>
      <c r="O2267">
        <v>2</v>
      </c>
      <c r="P2267">
        <v>0.15</v>
      </c>
      <c r="Q2267">
        <v>2</v>
      </c>
      <c r="R2267">
        <v>2.3E-3</v>
      </c>
      <c r="T2267" t="s">
        <v>6478</v>
      </c>
    </row>
    <row r="2268" spans="1:20" x14ac:dyDescent="0.2">
      <c r="A2268" t="s">
        <v>6480</v>
      </c>
      <c r="B2268" t="s">
        <v>2022</v>
      </c>
      <c r="C2268" t="s">
        <v>2053</v>
      </c>
      <c r="D2268" t="s">
        <v>2024</v>
      </c>
      <c r="E2268" t="s">
        <v>6481</v>
      </c>
      <c r="F2268" t="s">
        <v>6482</v>
      </c>
      <c r="G2268">
        <v>3</v>
      </c>
      <c r="H2268">
        <v>1700</v>
      </c>
      <c r="I2268">
        <v>4</v>
      </c>
      <c r="J2268">
        <v>9.0500000000000007</v>
      </c>
      <c r="K2268">
        <v>4</v>
      </c>
      <c r="L2268">
        <v>0.30499999999999999</v>
      </c>
      <c r="M2268">
        <v>2</v>
      </c>
      <c r="N2268">
        <v>83</v>
      </c>
      <c r="O2268">
        <v>3</v>
      </c>
      <c r="P2268">
        <v>0.375</v>
      </c>
      <c r="Q2268">
        <v>3</v>
      </c>
      <c r="R2268">
        <v>1.2200000000000001E-2</v>
      </c>
      <c r="T2268" t="s">
        <v>6481</v>
      </c>
    </row>
    <row r="2269" spans="1:20" x14ac:dyDescent="0.2">
      <c r="A2269" t="s">
        <v>6483</v>
      </c>
      <c r="B2269" t="s">
        <v>2022</v>
      </c>
      <c r="C2269" t="s">
        <v>2023</v>
      </c>
      <c r="D2269" t="s">
        <v>2024</v>
      </c>
      <c r="E2269" t="s">
        <v>6484</v>
      </c>
      <c r="F2269" t="s">
        <v>6485</v>
      </c>
      <c r="G2269">
        <v>2</v>
      </c>
      <c r="H2269">
        <v>1560</v>
      </c>
      <c r="I2269">
        <v>3</v>
      </c>
      <c r="J2269">
        <v>5.9</v>
      </c>
      <c r="K2269">
        <v>5</v>
      </c>
      <c r="L2269">
        <v>8.5999999999999993E-2</v>
      </c>
      <c r="M2269">
        <v>1</v>
      </c>
      <c r="N2269">
        <v>74</v>
      </c>
      <c r="O2269">
        <v>2</v>
      </c>
      <c r="P2269">
        <v>0.22500000000000001</v>
      </c>
      <c r="Q2269">
        <v>5</v>
      </c>
      <c r="R2269">
        <v>8.0000000000000002E-3</v>
      </c>
      <c r="T2269" t="s">
        <v>6484</v>
      </c>
    </row>
    <row r="2270" spans="1:20" x14ac:dyDescent="0.2">
      <c r="A2270" t="s">
        <v>6486</v>
      </c>
      <c r="B2270" t="s">
        <v>2022</v>
      </c>
      <c r="C2270" t="s">
        <v>2028</v>
      </c>
      <c r="D2270" t="s">
        <v>2024</v>
      </c>
      <c r="E2270" t="s">
        <v>6487</v>
      </c>
      <c r="F2270" t="s">
        <v>6488</v>
      </c>
      <c r="G2270">
        <v>4</v>
      </c>
      <c r="H2270">
        <v>1250</v>
      </c>
      <c r="I2270">
        <v>2</v>
      </c>
      <c r="J2270">
        <v>1.55</v>
      </c>
      <c r="K2270">
        <v>2</v>
      </c>
      <c r="L2270">
        <v>4.4999999999999998E-2</v>
      </c>
      <c r="M2270">
        <v>2</v>
      </c>
      <c r="N2270">
        <v>200</v>
      </c>
      <c r="O2270">
        <v>1</v>
      </c>
      <c r="P2270">
        <v>0.15</v>
      </c>
      <c r="Q2270">
        <v>1</v>
      </c>
      <c r="R2270">
        <v>1.75E-3</v>
      </c>
      <c r="T2270" t="s">
        <v>6487</v>
      </c>
    </row>
    <row r="2271" spans="1:20" x14ac:dyDescent="0.2">
      <c r="A2271" t="s">
        <v>6489</v>
      </c>
      <c r="B2271" t="s">
        <v>2022</v>
      </c>
      <c r="C2271" t="s">
        <v>2023</v>
      </c>
      <c r="D2271" t="s">
        <v>2024</v>
      </c>
      <c r="E2271" t="s">
        <v>6490</v>
      </c>
      <c r="F2271" t="s">
        <v>6491</v>
      </c>
      <c r="G2271">
        <v>3</v>
      </c>
      <c r="H2271">
        <v>1640</v>
      </c>
      <c r="I2271">
        <v>3</v>
      </c>
      <c r="J2271">
        <v>5.9</v>
      </c>
      <c r="K2271">
        <v>5</v>
      </c>
      <c r="L2271">
        <v>8.5999999999999993E-2</v>
      </c>
      <c r="M2271">
        <v>2</v>
      </c>
      <c r="N2271">
        <v>84</v>
      </c>
      <c r="O2271">
        <v>3</v>
      </c>
      <c r="P2271">
        <v>0.375</v>
      </c>
      <c r="Q2271">
        <v>4</v>
      </c>
      <c r="R2271">
        <v>6.0000000000000001E-3</v>
      </c>
      <c r="T2271" t="s">
        <v>6490</v>
      </c>
    </row>
    <row r="2272" spans="1:20" x14ac:dyDescent="0.2">
      <c r="A2272" t="s">
        <v>6492</v>
      </c>
      <c r="B2272" t="s">
        <v>2022</v>
      </c>
      <c r="C2272" t="s">
        <v>2023</v>
      </c>
      <c r="D2272" t="s">
        <v>2024</v>
      </c>
      <c r="E2272" t="s">
        <v>6493</v>
      </c>
      <c r="F2272" t="s">
        <v>6494</v>
      </c>
      <c r="G2272">
        <v>4</v>
      </c>
      <c r="H2272">
        <v>1720</v>
      </c>
      <c r="I2272">
        <v>2</v>
      </c>
      <c r="J2272">
        <v>3.4</v>
      </c>
      <c r="K2272">
        <v>2</v>
      </c>
      <c r="L2272">
        <v>2.5999999999999999E-2</v>
      </c>
      <c r="M2272">
        <v>2</v>
      </c>
      <c r="N2272">
        <v>84</v>
      </c>
      <c r="O2272">
        <v>2</v>
      </c>
      <c r="P2272">
        <v>0.22500000000000001</v>
      </c>
      <c r="Q2272">
        <v>1</v>
      </c>
      <c r="R2272">
        <v>5.0000000000000001E-4</v>
      </c>
      <c r="T2272" t="s">
        <v>6493</v>
      </c>
    </row>
    <row r="2273" spans="1:20" x14ac:dyDescent="0.2">
      <c r="A2273" t="s">
        <v>6495</v>
      </c>
      <c r="B2273" t="s">
        <v>2022</v>
      </c>
      <c r="C2273" t="s">
        <v>2049</v>
      </c>
      <c r="D2273" t="s">
        <v>2024</v>
      </c>
      <c r="E2273" t="s">
        <v>6496</v>
      </c>
      <c r="F2273" t="s">
        <v>447</v>
      </c>
      <c r="G2273">
        <v>4</v>
      </c>
      <c r="H2273">
        <v>1650</v>
      </c>
      <c r="I2273">
        <v>4</v>
      </c>
      <c r="J2273">
        <v>6.8</v>
      </c>
      <c r="K2273">
        <v>4</v>
      </c>
      <c r="L2273">
        <v>0.22</v>
      </c>
      <c r="M2273">
        <v>2</v>
      </c>
      <c r="N2273">
        <v>106</v>
      </c>
      <c r="O2273">
        <v>3</v>
      </c>
      <c r="P2273">
        <v>0.46</v>
      </c>
      <c r="Q2273">
        <v>3</v>
      </c>
      <c r="R2273">
        <v>1.52E-2</v>
      </c>
      <c r="T2273" t="s">
        <v>6496</v>
      </c>
    </row>
    <row r="2274" spans="1:20" x14ac:dyDescent="0.2">
      <c r="A2274" t="s">
        <v>6497</v>
      </c>
      <c r="B2274" t="s">
        <v>2022</v>
      </c>
      <c r="C2274" t="s">
        <v>2036</v>
      </c>
      <c r="D2274" t="s">
        <v>2024</v>
      </c>
      <c r="E2274" t="s">
        <v>6498</v>
      </c>
      <c r="F2274" t="s">
        <v>6499</v>
      </c>
      <c r="G2274">
        <v>5</v>
      </c>
      <c r="H2274">
        <v>1940</v>
      </c>
      <c r="I2274">
        <v>5</v>
      </c>
      <c r="J2274">
        <v>7</v>
      </c>
      <c r="K2274">
        <v>5</v>
      </c>
      <c r="L2274">
        <v>0.17499999999999999</v>
      </c>
      <c r="M2274">
        <v>5</v>
      </c>
      <c r="N2274">
        <v>100</v>
      </c>
      <c r="O2274">
        <v>5</v>
      </c>
      <c r="P2274">
        <v>0.53500000000000003</v>
      </c>
      <c r="Q2274">
        <v>5</v>
      </c>
      <c r="R2274">
        <v>1.2E-2</v>
      </c>
      <c r="T2274" t="s">
        <v>6498</v>
      </c>
    </row>
    <row r="2275" spans="1:20" x14ac:dyDescent="0.2">
      <c r="A2275" t="s">
        <v>6500</v>
      </c>
      <c r="B2275" t="s">
        <v>2022</v>
      </c>
      <c r="C2275" t="s">
        <v>2036</v>
      </c>
      <c r="D2275" t="s">
        <v>2024</v>
      </c>
      <c r="E2275" t="s">
        <v>6501</v>
      </c>
      <c r="F2275" t="s">
        <v>6502</v>
      </c>
      <c r="G2275">
        <v>3</v>
      </c>
      <c r="H2275">
        <v>1740</v>
      </c>
      <c r="I2275">
        <v>4</v>
      </c>
      <c r="J2275">
        <v>5.8</v>
      </c>
      <c r="K2275">
        <v>3</v>
      </c>
      <c r="L2275">
        <v>0.115</v>
      </c>
      <c r="M2275">
        <v>3</v>
      </c>
      <c r="N2275">
        <v>88</v>
      </c>
      <c r="O2275">
        <v>3</v>
      </c>
      <c r="P2275">
        <v>0.315</v>
      </c>
      <c r="Q2275">
        <v>3</v>
      </c>
      <c r="R2275">
        <v>6.7499999999999999E-3</v>
      </c>
      <c r="T2275" t="s">
        <v>6501</v>
      </c>
    </row>
    <row r="2276" spans="1:20" x14ac:dyDescent="0.2">
      <c r="A2276" t="s">
        <v>6503</v>
      </c>
      <c r="B2276" t="s">
        <v>2022</v>
      </c>
      <c r="C2276" t="s">
        <v>2053</v>
      </c>
      <c r="D2276" t="s">
        <v>2024</v>
      </c>
      <c r="E2276" t="s">
        <v>6504</v>
      </c>
      <c r="F2276" t="s">
        <v>6505</v>
      </c>
      <c r="G2276">
        <v>1</v>
      </c>
      <c r="H2276">
        <v>1500</v>
      </c>
      <c r="I2276">
        <v>2</v>
      </c>
      <c r="J2276">
        <v>4.05</v>
      </c>
      <c r="K2276">
        <v>1</v>
      </c>
      <c r="L2276">
        <v>1.4999999999999999E-2</v>
      </c>
      <c r="M2276">
        <v>2</v>
      </c>
      <c r="N2276">
        <v>83</v>
      </c>
      <c r="O2276">
        <v>2</v>
      </c>
      <c r="P2276">
        <v>0.22500000000000001</v>
      </c>
      <c r="Q2276">
        <v>1</v>
      </c>
      <c r="R2276">
        <v>8.4999999999999995E-4</v>
      </c>
      <c r="T2276" t="s">
        <v>6504</v>
      </c>
    </row>
    <row r="2277" spans="1:20" x14ac:dyDescent="0.2">
      <c r="A2277" t="s">
        <v>6506</v>
      </c>
      <c r="B2277" t="s">
        <v>2022</v>
      </c>
      <c r="C2277" t="s">
        <v>2023</v>
      </c>
      <c r="D2277" t="s">
        <v>2024</v>
      </c>
      <c r="E2277" t="s">
        <v>6507</v>
      </c>
      <c r="F2277" t="s">
        <v>6508</v>
      </c>
      <c r="G2277">
        <v>1</v>
      </c>
      <c r="H2277">
        <v>1480</v>
      </c>
      <c r="I2277">
        <v>5</v>
      </c>
      <c r="J2277">
        <v>10.9</v>
      </c>
      <c r="K2277">
        <v>3</v>
      </c>
      <c r="L2277">
        <v>4.5999999999999999E-2</v>
      </c>
      <c r="M2277">
        <v>1</v>
      </c>
      <c r="N2277">
        <v>74</v>
      </c>
      <c r="O2277">
        <v>5</v>
      </c>
      <c r="P2277">
        <v>0.67500000000000004</v>
      </c>
      <c r="Q2277">
        <v>2</v>
      </c>
      <c r="R2277">
        <v>2E-3</v>
      </c>
      <c r="T2277" t="s">
        <v>6507</v>
      </c>
    </row>
    <row r="2278" spans="1:20" x14ac:dyDescent="0.2">
      <c r="A2278" t="s">
        <v>6509</v>
      </c>
      <c r="B2278" t="s">
        <v>2022</v>
      </c>
      <c r="C2278" t="s">
        <v>2023</v>
      </c>
      <c r="D2278" t="s">
        <v>2024</v>
      </c>
      <c r="E2278" t="s">
        <v>6510</v>
      </c>
      <c r="F2278" t="s">
        <v>6511</v>
      </c>
      <c r="G2278">
        <v>5</v>
      </c>
      <c r="H2278">
        <v>1800</v>
      </c>
      <c r="I2278">
        <v>2</v>
      </c>
      <c r="J2278">
        <v>3.4</v>
      </c>
      <c r="K2278">
        <v>2</v>
      </c>
      <c r="L2278">
        <v>2.5999999999999999E-2</v>
      </c>
      <c r="M2278">
        <v>4</v>
      </c>
      <c r="N2278">
        <v>104</v>
      </c>
      <c r="O2278">
        <v>2</v>
      </c>
      <c r="P2278">
        <v>0.22500000000000001</v>
      </c>
      <c r="Q2278">
        <v>2</v>
      </c>
      <c r="R2278">
        <v>2E-3</v>
      </c>
      <c r="T2278" t="s">
        <v>6510</v>
      </c>
    </row>
    <row r="2279" spans="1:20" x14ac:dyDescent="0.2">
      <c r="A2279" t="s">
        <v>6512</v>
      </c>
      <c r="B2279" t="s">
        <v>2022</v>
      </c>
      <c r="C2279" t="s">
        <v>2023</v>
      </c>
      <c r="D2279" t="s">
        <v>2024</v>
      </c>
      <c r="E2279" t="s">
        <v>6513</v>
      </c>
      <c r="F2279" t="s">
        <v>447</v>
      </c>
      <c r="G2279">
        <v>1</v>
      </c>
      <c r="H2279">
        <v>1480</v>
      </c>
      <c r="I2279">
        <v>1</v>
      </c>
      <c r="J2279">
        <v>0.9</v>
      </c>
      <c r="K2279">
        <v>1</v>
      </c>
      <c r="L2279">
        <v>6.0000000000000001E-3</v>
      </c>
      <c r="M2279">
        <v>5</v>
      </c>
      <c r="N2279">
        <v>114</v>
      </c>
      <c r="O2279">
        <v>2</v>
      </c>
      <c r="P2279">
        <v>0.22500000000000001</v>
      </c>
      <c r="Q2279">
        <v>2</v>
      </c>
      <c r="R2279">
        <v>2E-3</v>
      </c>
      <c r="T2279" t="s">
        <v>6513</v>
      </c>
    </row>
    <row r="2280" spans="1:20" x14ac:dyDescent="0.2">
      <c r="A2280" t="s">
        <v>6514</v>
      </c>
      <c r="B2280" t="s">
        <v>2022</v>
      </c>
      <c r="C2280" t="s">
        <v>2508</v>
      </c>
      <c r="D2280" t="s">
        <v>2024</v>
      </c>
      <c r="E2280" t="s">
        <v>6515</v>
      </c>
      <c r="F2280" t="s">
        <v>6516</v>
      </c>
      <c r="G2280">
        <v>4</v>
      </c>
      <c r="H2280">
        <v>1550</v>
      </c>
      <c r="I2280">
        <v>5</v>
      </c>
      <c r="J2280">
        <v>17</v>
      </c>
      <c r="K2280">
        <v>5</v>
      </c>
      <c r="L2280">
        <v>0.57999999999999996</v>
      </c>
      <c r="M2280">
        <v>2</v>
      </c>
      <c r="N2280">
        <v>157.5</v>
      </c>
      <c r="O2280">
        <v>4</v>
      </c>
      <c r="P2280">
        <v>1.35</v>
      </c>
      <c r="Q2280">
        <v>4</v>
      </c>
      <c r="R2280">
        <v>4.8000000000000001E-2</v>
      </c>
      <c r="T2280" t="s">
        <v>6515</v>
      </c>
    </row>
    <row r="2281" spans="1:20" x14ac:dyDescent="0.2">
      <c r="A2281" t="s">
        <v>6517</v>
      </c>
      <c r="B2281" t="s">
        <v>2022</v>
      </c>
      <c r="C2281" t="s">
        <v>2023</v>
      </c>
      <c r="D2281" t="s">
        <v>2024</v>
      </c>
      <c r="E2281" t="s">
        <v>6518</v>
      </c>
      <c r="F2281" t="s">
        <v>6519</v>
      </c>
      <c r="G2281">
        <v>3</v>
      </c>
      <c r="H2281">
        <v>1640</v>
      </c>
      <c r="I2281">
        <v>3</v>
      </c>
      <c r="J2281">
        <v>5.9</v>
      </c>
      <c r="K2281">
        <v>5</v>
      </c>
      <c r="L2281">
        <v>8.5999999999999993E-2</v>
      </c>
      <c r="M2281">
        <v>4</v>
      </c>
      <c r="N2281">
        <v>104</v>
      </c>
      <c r="O2281">
        <v>3</v>
      </c>
      <c r="P2281">
        <v>0.375</v>
      </c>
      <c r="Q2281">
        <v>5</v>
      </c>
      <c r="R2281">
        <v>8.0000000000000002E-3</v>
      </c>
      <c r="T2281" t="s">
        <v>6518</v>
      </c>
    </row>
    <row r="2282" spans="1:20" x14ac:dyDescent="0.2">
      <c r="A2282" t="s">
        <v>6520</v>
      </c>
      <c r="B2282" t="s">
        <v>2022</v>
      </c>
      <c r="C2282" t="s">
        <v>2023</v>
      </c>
      <c r="D2282" t="s">
        <v>2024</v>
      </c>
      <c r="E2282" t="s">
        <v>357</v>
      </c>
      <c r="F2282" t="s">
        <v>6521</v>
      </c>
      <c r="G2282">
        <v>1</v>
      </c>
      <c r="H2282">
        <v>1480</v>
      </c>
      <c r="I2282">
        <v>2</v>
      </c>
      <c r="J2282">
        <v>3.4</v>
      </c>
      <c r="K2282">
        <v>4</v>
      </c>
      <c r="L2282">
        <v>6.6000000000000003E-2</v>
      </c>
      <c r="M2282">
        <v>5</v>
      </c>
      <c r="N2282">
        <v>114</v>
      </c>
      <c r="O2282">
        <v>2</v>
      </c>
      <c r="P2282">
        <v>0.22500000000000001</v>
      </c>
      <c r="Q2282">
        <v>4</v>
      </c>
      <c r="R2282">
        <v>6.0000000000000001E-3</v>
      </c>
      <c r="T2282" t="s">
        <v>357</v>
      </c>
    </row>
    <row r="2283" spans="1:20" x14ac:dyDescent="0.2">
      <c r="A2283" t="s">
        <v>6522</v>
      </c>
      <c r="B2283" t="s">
        <v>2022</v>
      </c>
      <c r="C2283" t="s">
        <v>2023</v>
      </c>
      <c r="D2283" t="s">
        <v>2024</v>
      </c>
      <c r="E2283" t="s">
        <v>6523</v>
      </c>
      <c r="F2283" t="s">
        <v>447</v>
      </c>
      <c r="G2283">
        <v>5</v>
      </c>
      <c r="H2283">
        <v>1800</v>
      </c>
      <c r="I2283">
        <v>2</v>
      </c>
      <c r="J2283">
        <v>3.4</v>
      </c>
      <c r="K2283">
        <v>5</v>
      </c>
      <c r="L2283">
        <v>8.5999999999999993E-2</v>
      </c>
      <c r="M2283">
        <v>5</v>
      </c>
      <c r="N2283">
        <v>114</v>
      </c>
      <c r="O2283">
        <v>3</v>
      </c>
      <c r="P2283">
        <v>0.375</v>
      </c>
      <c r="Q2283">
        <v>5</v>
      </c>
      <c r="R2283">
        <v>8.0000000000000002E-3</v>
      </c>
      <c r="T2283" t="s">
        <v>6523</v>
      </c>
    </row>
    <row r="2284" spans="1:20" x14ac:dyDescent="0.2">
      <c r="A2284" t="s">
        <v>6524</v>
      </c>
      <c r="B2284" t="s">
        <v>2022</v>
      </c>
      <c r="C2284" t="s">
        <v>2104</v>
      </c>
      <c r="D2284" t="s">
        <v>2024</v>
      </c>
      <c r="E2284" t="s">
        <v>6525</v>
      </c>
      <c r="F2284" t="s">
        <v>6526</v>
      </c>
      <c r="G2284">
        <v>1</v>
      </c>
      <c r="H2284">
        <v>1537.5</v>
      </c>
      <c r="I2284">
        <v>1</v>
      </c>
      <c r="J2284">
        <v>0.95</v>
      </c>
      <c r="K2284">
        <v>2</v>
      </c>
      <c r="L2284">
        <v>4.1000000000000002E-2</v>
      </c>
      <c r="M2284">
        <v>2</v>
      </c>
      <c r="N2284">
        <v>65</v>
      </c>
      <c r="P2284">
        <v>0</v>
      </c>
      <c r="Q2284">
        <v>1</v>
      </c>
      <c r="R2284">
        <v>3.5E-4</v>
      </c>
      <c r="T2284" t="s">
        <v>6525</v>
      </c>
    </row>
    <row r="2285" spans="1:20" x14ac:dyDescent="0.2">
      <c r="A2285" t="s">
        <v>6527</v>
      </c>
      <c r="B2285" t="s">
        <v>2022</v>
      </c>
      <c r="C2285" t="s">
        <v>2023</v>
      </c>
      <c r="D2285" t="s">
        <v>2136</v>
      </c>
      <c r="E2285" t="s">
        <v>6528</v>
      </c>
      <c r="F2285" t="s">
        <v>6529</v>
      </c>
      <c r="G2285">
        <v>2</v>
      </c>
      <c r="H2285">
        <v>1560</v>
      </c>
      <c r="I2285">
        <v>3</v>
      </c>
      <c r="J2285">
        <v>5.9</v>
      </c>
      <c r="K2285">
        <v>5</v>
      </c>
      <c r="L2285">
        <v>8.5999999999999993E-2</v>
      </c>
      <c r="M2285">
        <v>2</v>
      </c>
      <c r="N2285">
        <v>84</v>
      </c>
      <c r="O2285">
        <v>3</v>
      </c>
      <c r="P2285">
        <v>0.375</v>
      </c>
      <c r="Q2285">
        <v>4</v>
      </c>
      <c r="R2285">
        <v>6.0000000000000001E-3</v>
      </c>
      <c r="T2285" t="s">
        <v>6528</v>
      </c>
    </row>
    <row r="2286" spans="1:20" x14ac:dyDescent="0.2">
      <c r="A2286" t="s">
        <v>6530</v>
      </c>
      <c r="B2286" t="s">
        <v>2022</v>
      </c>
      <c r="C2286" t="s">
        <v>2036</v>
      </c>
      <c r="D2286" t="s">
        <v>2024</v>
      </c>
      <c r="E2286" t="s">
        <v>6531</v>
      </c>
      <c r="F2286" t="s">
        <v>6532</v>
      </c>
      <c r="G2286">
        <v>2</v>
      </c>
      <c r="H2286">
        <v>1640</v>
      </c>
      <c r="I2286">
        <v>4</v>
      </c>
      <c r="J2286">
        <v>5.8</v>
      </c>
      <c r="K2286">
        <v>5</v>
      </c>
      <c r="L2286">
        <v>0.17499999999999999</v>
      </c>
      <c r="M2286">
        <v>2</v>
      </c>
      <c r="N2286">
        <v>82</v>
      </c>
      <c r="O2286">
        <v>3</v>
      </c>
      <c r="P2286">
        <v>0.315</v>
      </c>
      <c r="Q2286">
        <v>4</v>
      </c>
      <c r="R2286">
        <v>9.2499999999999995E-3</v>
      </c>
      <c r="T2286" t="s">
        <v>6531</v>
      </c>
    </row>
    <row r="2287" spans="1:20" x14ac:dyDescent="0.2">
      <c r="A2287" t="s">
        <v>6533</v>
      </c>
      <c r="B2287" t="s">
        <v>2022</v>
      </c>
      <c r="C2287" t="s">
        <v>2036</v>
      </c>
      <c r="D2287" t="s">
        <v>2024</v>
      </c>
      <c r="E2287" t="s">
        <v>6534</v>
      </c>
      <c r="F2287" t="s">
        <v>6535</v>
      </c>
      <c r="G2287">
        <v>3</v>
      </c>
      <c r="H2287">
        <v>1740</v>
      </c>
      <c r="I2287">
        <v>1</v>
      </c>
      <c r="J2287">
        <v>2.2000000000000002</v>
      </c>
      <c r="K2287">
        <v>2</v>
      </c>
      <c r="L2287">
        <v>8.5000000000000006E-2</v>
      </c>
      <c r="M2287">
        <v>3</v>
      </c>
      <c r="N2287">
        <v>88</v>
      </c>
      <c r="O2287">
        <v>1</v>
      </c>
      <c r="P2287">
        <v>9.5000000000000001E-2</v>
      </c>
      <c r="Q2287">
        <v>2</v>
      </c>
      <c r="R2287">
        <v>4.2500000000000003E-3</v>
      </c>
      <c r="T2287" t="s">
        <v>6534</v>
      </c>
    </row>
    <row r="2288" spans="1:20" x14ac:dyDescent="0.2">
      <c r="A2288" t="s">
        <v>6536</v>
      </c>
      <c r="B2288" t="s">
        <v>2022</v>
      </c>
      <c r="C2288" t="s">
        <v>2053</v>
      </c>
      <c r="D2288" t="s">
        <v>2136</v>
      </c>
      <c r="E2288" t="s">
        <v>6537</v>
      </c>
      <c r="F2288" t="s">
        <v>6538</v>
      </c>
      <c r="G2288">
        <v>2</v>
      </c>
      <c r="H2288">
        <v>1600</v>
      </c>
      <c r="I2288">
        <v>2</v>
      </c>
      <c r="J2288">
        <v>4.05</v>
      </c>
      <c r="K2288">
        <v>2</v>
      </c>
      <c r="L2288">
        <v>8.5000000000000006E-2</v>
      </c>
      <c r="M2288">
        <v>3</v>
      </c>
      <c r="N2288">
        <v>93</v>
      </c>
      <c r="O2288">
        <v>2</v>
      </c>
      <c r="P2288">
        <v>0.22500000000000001</v>
      </c>
      <c r="Q2288">
        <v>2</v>
      </c>
      <c r="R2288">
        <v>5.1999999999999998E-3</v>
      </c>
      <c r="T2288" t="s">
        <v>6537</v>
      </c>
    </row>
    <row r="2289" spans="1:20" x14ac:dyDescent="0.2">
      <c r="A2289" t="s">
        <v>6539</v>
      </c>
      <c r="B2289" t="s">
        <v>2022</v>
      </c>
      <c r="C2289" t="s">
        <v>2049</v>
      </c>
      <c r="D2289" t="s">
        <v>2024</v>
      </c>
      <c r="E2289" t="s">
        <v>6540</v>
      </c>
      <c r="F2289" t="s">
        <v>6541</v>
      </c>
      <c r="G2289">
        <v>2</v>
      </c>
      <c r="H2289">
        <v>1450</v>
      </c>
      <c r="I2289">
        <v>3</v>
      </c>
      <c r="J2289">
        <v>5</v>
      </c>
      <c r="K2289">
        <v>3</v>
      </c>
      <c r="L2289">
        <v>0.14000000000000001</v>
      </c>
      <c r="M2289">
        <v>2</v>
      </c>
      <c r="N2289">
        <v>106</v>
      </c>
      <c r="O2289">
        <v>2</v>
      </c>
      <c r="P2289">
        <v>0.26</v>
      </c>
      <c r="Q2289">
        <v>2</v>
      </c>
      <c r="R2289">
        <v>6.1999999999999998E-3</v>
      </c>
      <c r="T2289" t="s">
        <v>6540</v>
      </c>
    </row>
    <row r="2290" spans="1:20" x14ac:dyDescent="0.2">
      <c r="A2290" t="s">
        <v>6542</v>
      </c>
      <c r="B2290" t="s">
        <v>2022</v>
      </c>
      <c r="C2290" t="s">
        <v>2023</v>
      </c>
      <c r="D2290" t="s">
        <v>2024</v>
      </c>
      <c r="E2290" t="s">
        <v>6543</v>
      </c>
      <c r="F2290" t="s">
        <v>447</v>
      </c>
      <c r="G2290">
        <v>5</v>
      </c>
      <c r="H2290">
        <v>1800</v>
      </c>
      <c r="I2290">
        <v>4</v>
      </c>
      <c r="J2290">
        <v>8.4</v>
      </c>
      <c r="K2290">
        <v>5</v>
      </c>
      <c r="L2290">
        <v>8.5999999999999993E-2</v>
      </c>
      <c r="M2290">
        <v>2</v>
      </c>
      <c r="N2290">
        <v>84</v>
      </c>
      <c r="O2290">
        <v>3</v>
      </c>
      <c r="P2290">
        <v>0.375</v>
      </c>
      <c r="Q2290">
        <v>5</v>
      </c>
      <c r="R2290">
        <v>8.0000000000000002E-3</v>
      </c>
      <c r="T2290" t="s">
        <v>6543</v>
      </c>
    </row>
    <row r="2291" spans="1:20" x14ac:dyDescent="0.2">
      <c r="A2291" t="s">
        <v>6544</v>
      </c>
      <c r="B2291" t="s">
        <v>2022</v>
      </c>
      <c r="C2291" t="s">
        <v>2023</v>
      </c>
      <c r="D2291" t="s">
        <v>2024</v>
      </c>
      <c r="E2291" t="s">
        <v>6543</v>
      </c>
      <c r="F2291" t="s">
        <v>447</v>
      </c>
      <c r="G2291">
        <v>4</v>
      </c>
      <c r="H2291">
        <v>1720</v>
      </c>
      <c r="I2291">
        <v>5</v>
      </c>
      <c r="J2291">
        <v>10.9</v>
      </c>
      <c r="K2291">
        <v>5</v>
      </c>
      <c r="L2291">
        <v>8.5999999999999993E-2</v>
      </c>
      <c r="M2291">
        <v>2</v>
      </c>
      <c r="N2291">
        <v>84</v>
      </c>
      <c r="O2291">
        <v>4</v>
      </c>
      <c r="P2291">
        <v>0.52500000000000002</v>
      </c>
      <c r="Q2291">
        <v>5</v>
      </c>
      <c r="R2291">
        <v>8.0000000000000002E-3</v>
      </c>
      <c r="T2291" t="s">
        <v>6543</v>
      </c>
    </row>
    <row r="2292" spans="1:20" x14ac:dyDescent="0.2">
      <c r="A2292" t="s">
        <v>6545</v>
      </c>
      <c r="B2292" t="s">
        <v>2022</v>
      </c>
      <c r="C2292" t="s">
        <v>2028</v>
      </c>
      <c r="D2292" t="s">
        <v>2024</v>
      </c>
      <c r="E2292" t="s">
        <v>6546</v>
      </c>
      <c r="F2292" t="s">
        <v>6547</v>
      </c>
      <c r="G2292">
        <v>3</v>
      </c>
      <c r="H2292">
        <v>1050</v>
      </c>
      <c r="I2292">
        <v>5</v>
      </c>
      <c r="J2292">
        <v>6.65</v>
      </c>
      <c r="K2292">
        <v>5</v>
      </c>
      <c r="L2292">
        <v>0.26700000000000002</v>
      </c>
      <c r="M2292">
        <v>2</v>
      </c>
      <c r="N2292">
        <v>200</v>
      </c>
      <c r="O2292">
        <v>5</v>
      </c>
      <c r="P2292">
        <v>1.35</v>
      </c>
      <c r="Q2292">
        <v>5</v>
      </c>
      <c r="R2292">
        <v>3.3500000000000002E-2</v>
      </c>
      <c r="T2292" t="s">
        <v>6546</v>
      </c>
    </row>
    <row r="2293" spans="1:20" x14ac:dyDescent="0.2">
      <c r="A2293" t="s">
        <v>6548</v>
      </c>
      <c r="B2293" t="s">
        <v>2022</v>
      </c>
      <c r="C2293" t="s">
        <v>2036</v>
      </c>
      <c r="D2293" t="s">
        <v>2024</v>
      </c>
      <c r="E2293" t="s">
        <v>6549</v>
      </c>
      <c r="F2293" t="s">
        <v>6550</v>
      </c>
      <c r="G2293">
        <v>3</v>
      </c>
      <c r="H2293">
        <v>1740</v>
      </c>
      <c r="I2293">
        <v>5</v>
      </c>
      <c r="J2293">
        <v>7</v>
      </c>
      <c r="K2293">
        <v>5</v>
      </c>
      <c r="L2293">
        <v>0.17499999999999999</v>
      </c>
      <c r="M2293">
        <v>3</v>
      </c>
      <c r="N2293">
        <v>88</v>
      </c>
      <c r="O2293">
        <v>4</v>
      </c>
      <c r="P2293">
        <v>0.42499999999999999</v>
      </c>
      <c r="Q2293">
        <v>5</v>
      </c>
      <c r="R2293">
        <v>1.2E-2</v>
      </c>
      <c r="T2293" t="s">
        <v>6549</v>
      </c>
    </row>
    <row r="2294" spans="1:20" x14ac:dyDescent="0.2">
      <c r="A2294" t="s">
        <v>6551</v>
      </c>
      <c r="B2294" t="s">
        <v>2022</v>
      </c>
      <c r="C2294" t="s">
        <v>2173</v>
      </c>
      <c r="D2294" t="s">
        <v>2024</v>
      </c>
      <c r="E2294" t="s">
        <v>6552</v>
      </c>
      <c r="F2294" t="s">
        <v>6553</v>
      </c>
      <c r="G2294">
        <v>5</v>
      </c>
      <c r="H2294">
        <v>2182.5</v>
      </c>
      <c r="I2294">
        <v>2</v>
      </c>
      <c r="J2294">
        <v>6.35</v>
      </c>
      <c r="K2294">
        <v>1</v>
      </c>
      <c r="L2294">
        <v>1.4999999999999999E-2</v>
      </c>
      <c r="M2294">
        <v>4</v>
      </c>
      <c r="N2294">
        <v>129.5</v>
      </c>
      <c r="O2294">
        <v>2</v>
      </c>
      <c r="P2294">
        <v>0.33</v>
      </c>
      <c r="Q2294">
        <v>1</v>
      </c>
      <c r="R2294">
        <v>6.4999999999999997E-4</v>
      </c>
      <c r="T2294" t="s">
        <v>6552</v>
      </c>
    </row>
    <row r="2295" spans="1:20" x14ac:dyDescent="0.2">
      <c r="A2295" t="s">
        <v>6554</v>
      </c>
      <c r="B2295" t="s">
        <v>2022</v>
      </c>
      <c r="C2295" t="s">
        <v>2023</v>
      </c>
      <c r="D2295" t="s">
        <v>2024</v>
      </c>
      <c r="E2295" t="s">
        <v>6555</v>
      </c>
      <c r="F2295" t="s">
        <v>6556</v>
      </c>
      <c r="G2295">
        <v>1</v>
      </c>
      <c r="H2295">
        <v>1480</v>
      </c>
      <c r="I2295">
        <v>3</v>
      </c>
      <c r="J2295">
        <v>5.9</v>
      </c>
      <c r="K2295">
        <v>5</v>
      </c>
      <c r="L2295">
        <v>8.5999999999999993E-2</v>
      </c>
      <c r="M2295">
        <v>2</v>
      </c>
      <c r="N2295">
        <v>84</v>
      </c>
      <c r="O2295">
        <v>2</v>
      </c>
      <c r="P2295">
        <v>0.22500000000000001</v>
      </c>
      <c r="Q2295">
        <v>4</v>
      </c>
      <c r="R2295">
        <v>6.0000000000000001E-3</v>
      </c>
      <c r="T2295" t="s">
        <v>6555</v>
      </c>
    </row>
    <row r="2296" spans="1:20" x14ac:dyDescent="0.2">
      <c r="A2296" t="s">
        <v>6557</v>
      </c>
      <c r="B2296" t="s">
        <v>2022</v>
      </c>
      <c r="C2296" t="s">
        <v>2023</v>
      </c>
      <c r="D2296" t="s">
        <v>2024</v>
      </c>
      <c r="E2296" t="s">
        <v>6558</v>
      </c>
      <c r="F2296" t="s">
        <v>6559</v>
      </c>
      <c r="G2296">
        <v>3</v>
      </c>
      <c r="H2296">
        <v>1640</v>
      </c>
      <c r="I2296">
        <v>2</v>
      </c>
      <c r="J2296">
        <v>3.4</v>
      </c>
      <c r="K2296">
        <v>2</v>
      </c>
      <c r="L2296">
        <v>2.5999999999999999E-2</v>
      </c>
      <c r="M2296">
        <v>1</v>
      </c>
      <c r="N2296">
        <v>74</v>
      </c>
      <c r="O2296">
        <v>2</v>
      </c>
      <c r="P2296">
        <v>0.22500000000000001</v>
      </c>
      <c r="Q2296">
        <v>1</v>
      </c>
      <c r="R2296">
        <v>5.0000000000000001E-4</v>
      </c>
      <c r="T2296" t="s">
        <v>6558</v>
      </c>
    </row>
    <row r="2297" spans="1:20" x14ac:dyDescent="0.2">
      <c r="A2297" t="s">
        <v>6560</v>
      </c>
      <c r="B2297" t="s">
        <v>2022</v>
      </c>
      <c r="C2297" t="s">
        <v>2023</v>
      </c>
      <c r="D2297" t="s">
        <v>2024</v>
      </c>
      <c r="E2297" t="s">
        <v>357</v>
      </c>
      <c r="F2297" t="s">
        <v>447</v>
      </c>
      <c r="G2297">
        <v>4</v>
      </c>
      <c r="H2297">
        <v>1720</v>
      </c>
      <c r="I2297">
        <v>5</v>
      </c>
      <c r="J2297">
        <v>10.9</v>
      </c>
      <c r="K2297">
        <v>5</v>
      </c>
      <c r="L2297">
        <v>8.5999999999999993E-2</v>
      </c>
      <c r="M2297">
        <v>2</v>
      </c>
      <c r="N2297">
        <v>84</v>
      </c>
      <c r="O2297">
        <v>4</v>
      </c>
      <c r="P2297">
        <v>0.52500000000000002</v>
      </c>
      <c r="Q2297">
        <v>5</v>
      </c>
      <c r="R2297">
        <v>8.0000000000000002E-3</v>
      </c>
      <c r="T2297" t="s">
        <v>357</v>
      </c>
    </row>
    <row r="2298" spans="1:20" x14ac:dyDescent="0.2">
      <c r="A2298" t="s">
        <v>6561</v>
      </c>
      <c r="B2298" t="s">
        <v>2022</v>
      </c>
      <c r="C2298" t="s">
        <v>2053</v>
      </c>
      <c r="D2298" t="s">
        <v>2024</v>
      </c>
      <c r="E2298" t="s">
        <v>6562</v>
      </c>
      <c r="F2298" t="s">
        <v>6563</v>
      </c>
      <c r="G2298">
        <v>5</v>
      </c>
      <c r="H2298">
        <v>1900</v>
      </c>
      <c r="I2298">
        <v>2</v>
      </c>
      <c r="J2298">
        <v>4.05</v>
      </c>
      <c r="K2298">
        <v>2</v>
      </c>
      <c r="L2298">
        <v>8.5000000000000006E-2</v>
      </c>
      <c r="M2298">
        <v>3</v>
      </c>
      <c r="N2298">
        <v>93</v>
      </c>
      <c r="O2298">
        <v>2</v>
      </c>
      <c r="P2298">
        <v>0.22500000000000001</v>
      </c>
      <c r="Q2298">
        <v>2</v>
      </c>
      <c r="R2298">
        <v>5.1999999999999998E-3</v>
      </c>
      <c r="T2298" t="s">
        <v>6562</v>
      </c>
    </row>
    <row r="2299" spans="1:20" x14ac:dyDescent="0.2">
      <c r="A2299" t="s">
        <v>6564</v>
      </c>
      <c r="B2299" t="s">
        <v>2022</v>
      </c>
      <c r="C2299" t="s">
        <v>2036</v>
      </c>
      <c r="D2299" t="s">
        <v>2024</v>
      </c>
      <c r="E2299" t="s">
        <v>357</v>
      </c>
      <c r="F2299" t="s">
        <v>6565</v>
      </c>
      <c r="G2299">
        <v>3</v>
      </c>
      <c r="H2299">
        <v>1740</v>
      </c>
      <c r="I2299">
        <v>5</v>
      </c>
      <c r="J2299">
        <v>7</v>
      </c>
      <c r="K2299">
        <v>5</v>
      </c>
      <c r="L2299">
        <v>0.17499999999999999</v>
      </c>
      <c r="M2299">
        <v>3</v>
      </c>
      <c r="N2299">
        <v>88</v>
      </c>
      <c r="O2299">
        <v>5</v>
      </c>
      <c r="P2299">
        <v>0.53500000000000003</v>
      </c>
      <c r="Q2299">
        <v>5</v>
      </c>
      <c r="R2299">
        <v>1.2E-2</v>
      </c>
      <c r="T2299" t="s">
        <v>357</v>
      </c>
    </row>
    <row r="2300" spans="1:20" x14ac:dyDescent="0.2">
      <c r="A2300" t="s">
        <v>6566</v>
      </c>
      <c r="B2300" t="s">
        <v>2022</v>
      </c>
      <c r="C2300" t="s">
        <v>2036</v>
      </c>
      <c r="D2300" t="s">
        <v>2024</v>
      </c>
      <c r="E2300" t="s">
        <v>6567</v>
      </c>
      <c r="F2300" t="s">
        <v>6568</v>
      </c>
      <c r="G2300">
        <v>4</v>
      </c>
      <c r="H2300">
        <v>1840</v>
      </c>
      <c r="I2300">
        <v>5</v>
      </c>
      <c r="J2300">
        <v>7</v>
      </c>
      <c r="K2300">
        <v>5</v>
      </c>
      <c r="L2300">
        <v>0.17499999999999999</v>
      </c>
      <c r="M2300">
        <v>3</v>
      </c>
      <c r="N2300">
        <v>88</v>
      </c>
      <c r="O2300">
        <v>4</v>
      </c>
      <c r="P2300">
        <v>0.42499999999999999</v>
      </c>
      <c r="Q2300">
        <v>5</v>
      </c>
      <c r="R2300">
        <v>1.2E-2</v>
      </c>
      <c r="T2300" t="s">
        <v>6567</v>
      </c>
    </row>
    <row r="2301" spans="1:20" x14ac:dyDescent="0.2">
      <c r="A2301" t="s">
        <v>6569</v>
      </c>
      <c r="B2301" t="s">
        <v>2022</v>
      </c>
      <c r="C2301" t="s">
        <v>2173</v>
      </c>
      <c r="D2301" t="s">
        <v>2024</v>
      </c>
      <c r="E2301" t="s">
        <v>6570</v>
      </c>
      <c r="F2301" t="s">
        <v>6571</v>
      </c>
      <c r="G2301">
        <v>2</v>
      </c>
      <c r="H2301">
        <v>1957.5</v>
      </c>
      <c r="I2301">
        <v>5</v>
      </c>
      <c r="J2301">
        <v>14.45</v>
      </c>
      <c r="K2301">
        <v>5</v>
      </c>
      <c r="L2301">
        <v>0.45</v>
      </c>
      <c r="M2301">
        <v>4</v>
      </c>
      <c r="N2301">
        <v>129.5</v>
      </c>
      <c r="O2301">
        <v>5</v>
      </c>
      <c r="P2301">
        <v>0.87</v>
      </c>
      <c r="Q2301">
        <v>5</v>
      </c>
      <c r="R2301">
        <v>2.58E-2</v>
      </c>
      <c r="T2301" t="s">
        <v>6570</v>
      </c>
    </row>
    <row r="2302" spans="1:20" x14ac:dyDescent="0.2">
      <c r="A2302" t="s">
        <v>6572</v>
      </c>
      <c r="B2302" t="s">
        <v>2022</v>
      </c>
      <c r="C2302" t="s">
        <v>2023</v>
      </c>
      <c r="D2302" t="s">
        <v>2024</v>
      </c>
      <c r="E2302" t="s">
        <v>6573</v>
      </c>
      <c r="F2302" t="s">
        <v>6574</v>
      </c>
      <c r="G2302">
        <v>2</v>
      </c>
      <c r="H2302">
        <v>1560</v>
      </c>
      <c r="I2302">
        <v>3</v>
      </c>
      <c r="J2302">
        <v>5.9</v>
      </c>
      <c r="K2302">
        <v>5</v>
      </c>
      <c r="L2302">
        <v>8.5999999999999993E-2</v>
      </c>
      <c r="M2302">
        <v>3</v>
      </c>
      <c r="N2302">
        <v>94</v>
      </c>
      <c r="O2302">
        <v>3</v>
      </c>
      <c r="P2302">
        <v>0.375</v>
      </c>
      <c r="Q2302">
        <v>5</v>
      </c>
      <c r="R2302">
        <v>8.0000000000000002E-3</v>
      </c>
      <c r="T2302" t="s">
        <v>6573</v>
      </c>
    </row>
    <row r="2303" spans="1:20" x14ac:dyDescent="0.2">
      <c r="A2303" t="s">
        <v>6575</v>
      </c>
      <c r="B2303" t="s">
        <v>2022</v>
      </c>
      <c r="C2303" t="s">
        <v>2036</v>
      </c>
      <c r="D2303" t="s">
        <v>2024</v>
      </c>
      <c r="E2303" t="s">
        <v>6576</v>
      </c>
      <c r="F2303" t="s">
        <v>6577</v>
      </c>
      <c r="G2303">
        <v>1</v>
      </c>
      <c r="H2303">
        <v>1540</v>
      </c>
      <c r="I2303">
        <v>1</v>
      </c>
      <c r="J2303">
        <v>2.2000000000000002</v>
      </c>
      <c r="K2303">
        <v>1</v>
      </c>
      <c r="L2303">
        <v>5.5E-2</v>
      </c>
      <c r="M2303">
        <v>1</v>
      </c>
      <c r="N2303">
        <v>76</v>
      </c>
      <c r="O2303">
        <v>1</v>
      </c>
      <c r="P2303">
        <v>9.5000000000000001E-2</v>
      </c>
      <c r="Q2303">
        <v>1</v>
      </c>
      <c r="R2303">
        <v>1.5E-3</v>
      </c>
      <c r="T2303" t="s">
        <v>6576</v>
      </c>
    </row>
    <row r="2304" spans="1:20" x14ac:dyDescent="0.2">
      <c r="A2304" t="s">
        <v>6578</v>
      </c>
      <c r="B2304" t="s">
        <v>2022</v>
      </c>
      <c r="C2304" t="s">
        <v>2036</v>
      </c>
      <c r="D2304" t="s">
        <v>2024</v>
      </c>
      <c r="E2304" t="s">
        <v>6579</v>
      </c>
      <c r="F2304" t="s">
        <v>6580</v>
      </c>
      <c r="G2304">
        <v>5</v>
      </c>
      <c r="H2304">
        <v>1940</v>
      </c>
      <c r="I2304">
        <v>5</v>
      </c>
      <c r="J2304">
        <v>7</v>
      </c>
      <c r="K2304">
        <v>5</v>
      </c>
      <c r="L2304">
        <v>0.17499999999999999</v>
      </c>
      <c r="M2304">
        <v>5</v>
      </c>
      <c r="N2304">
        <v>100</v>
      </c>
      <c r="O2304">
        <v>5</v>
      </c>
      <c r="P2304">
        <v>0.53500000000000003</v>
      </c>
      <c r="Q2304">
        <v>5</v>
      </c>
      <c r="R2304">
        <v>1.2E-2</v>
      </c>
      <c r="T2304" t="s">
        <v>6579</v>
      </c>
    </row>
    <row r="2305" spans="1:20" x14ac:dyDescent="0.2">
      <c r="A2305" t="s">
        <v>6581</v>
      </c>
      <c r="B2305" t="s">
        <v>2022</v>
      </c>
      <c r="C2305" t="s">
        <v>2049</v>
      </c>
      <c r="E2305" t="s">
        <v>357</v>
      </c>
      <c r="F2305" t="s">
        <v>447</v>
      </c>
      <c r="G2305">
        <v>3</v>
      </c>
      <c r="H2305">
        <v>1550</v>
      </c>
      <c r="I2305">
        <v>4</v>
      </c>
      <c r="J2305">
        <v>6.8</v>
      </c>
      <c r="K2305">
        <v>4</v>
      </c>
      <c r="L2305">
        <v>0.22</v>
      </c>
      <c r="M2305">
        <v>3</v>
      </c>
      <c r="N2305">
        <v>126</v>
      </c>
      <c r="O2305">
        <v>3</v>
      </c>
      <c r="P2305">
        <v>0.46</v>
      </c>
      <c r="Q2305">
        <v>3</v>
      </c>
      <c r="R2305">
        <v>1.52E-2</v>
      </c>
      <c r="T2305" t="s">
        <v>357</v>
      </c>
    </row>
    <row r="2306" spans="1:20" x14ac:dyDescent="0.2">
      <c r="A2306" t="s">
        <v>6582</v>
      </c>
      <c r="B2306" t="s">
        <v>2022</v>
      </c>
      <c r="C2306" t="s">
        <v>2023</v>
      </c>
      <c r="D2306" t="s">
        <v>2024</v>
      </c>
      <c r="E2306" t="s">
        <v>6583</v>
      </c>
      <c r="F2306" t="s">
        <v>6584</v>
      </c>
      <c r="G2306">
        <v>1</v>
      </c>
      <c r="H2306">
        <v>1480</v>
      </c>
      <c r="I2306">
        <v>1</v>
      </c>
      <c r="J2306">
        <v>0.9</v>
      </c>
      <c r="K2306">
        <v>1</v>
      </c>
      <c r="L2306">
        <v>6.0000000000000001E-3</v>
      </c>
      <c r="M2306">
        <v>2</v>
      </c>
      <c r="N2306">
        <v>84</v>
      </c>
      <c r="O2306">
        <v>1</v>
      </c>
      <c r="P2306">
        <v>7.4999999999999997E-2</v>
      </c>
      <c r="Q2306">
        <v>1</v>
      </c>
      <c r="R2306">
        <v>5.0000000000000001E-4</v>
      </c>
      <c r="T2306" t="s">
        <v>6583</v>
      </c>
    </row>
    <row r="2307" spans="1:20" x14ac:dyDescent="0.2">
      <c r="A2307" t="s">
        <v>6585</v>
      </c>
      <c r="B2307" t="s">
        <v>2022</v>
      </c>
      <c r="C2307" t="s">
        <v>2257</v>
      </c>
      <c r="D2307" t="s">
        <v>2024</v>
      </c>
      <c r="E2307" t="s">
        <v>357</v>
      </c>
      <c r="F2307" t="s">
        <v>447</v>
      </c>
      <c r="G2307">
        <v>5</v>
      </c>
      <c r="H2307">
        <v>1300</v>
      </c>
      <c r="I2307">
        <v>5</v>
      </c>
      <c r="J2307">
        <v>5.65</v>
      </c>
      <c r="K2307">
        <v>5</v>
      </c>
      <c r="L2307">
        <v>0.187</v>
      </c>
      <c r="M2307">
        <v>2</v>
      </c>
      <c r="N2307">
        <v>500</v>
      </c>
      <c r="O2307">
        <v>5</v>
      </c>
      <c r="P2307">
        <v>2.7</v>
      </c>
      <c r="Q2307">
        <v>5</v>
      </c>
      <c r="R2307">
        <v>8.1000000000000003E-2</v>
      </c>
      <c r="T2307" t="s">
        <v>357</v>
      </c>
    </row>
    <row r="2308" spans="1:20" x14ac:dyDescent="0.2">
      <c r="A2308" t="s">
        <v>6586</v>
      </c>
      <c r="B2308" t="s">
        <v>2022</v>
      </c>
      <c r="C2308" t="s">
        <v>2053</v>
      </c>
      <c r="D2308" t="s">
        <v>2024</v>
      </c>
      <c r="E2308" t="s">
        <v>6587</v>
      </c>
      <c r="F2308" t="s">
        <v>6588</v>
      </c>
      <c r="G2308">
        <v>2</v>
      </c>
      <c r="H2308">
        <v>1600</v>
      </c>
      <c r="I2308">
        <v>5</v>
      </c>
      <c r="J2308">
        <v>11.55</v>
      </c>
      <c r="K2308">
        <v>5</v>
      </c>
      <c r="L2308">
        <v>0.41499999999999998</v>
      </c>
      <c r="M2308">
        <v>4</v>
      </c>
      <c r="N2308">
        <v>103</v>
      </c>
      <c r="O2308">
        <v>5</v>
      </c>
      <c r="P2308">
        <v>0.67500000000000004</v>
      </c>
      <c r="Q2308">
        <v>5</v>
      </c>
      <c r="R2308">
        <v>2.6200000000000001E-2</v>
      </c>
      <c r="T2308" t="s">
        <v>6587</v>
      </c>
    </row>
    <row r="2309" spans="1:20" x14ac:dyDescent="0.2">
      <c r="A2309" t="s">
        <v>6589</v>
      </c>
      <c r="B2309" t="s">
        <v>2022</v>
      </c>
      <c r="C2309" t="s">
        <v>2023</v>
      </c>
      <c r="D2309" t="s">
        <v>2136</v>
      </c>
      <c r="E2309" t="s">
        <v>357</v>
      </c>
      <c r="F2309" t="s">
        <v>6590</v>
      </c>
      <c r="G2309">
        <v>3</v>
      </c>
      <c r="H2309">
        <v>1640</v>
      </c>
      <c r="I2309">
        <v>2</v>
      </c>
      <c r="J2309">
        <v>3.4</v>
      </c>
      <c r="K2309">
        <v>2</v>
      </c>
      <c r="L2309">
        <v>2.5999999999999999E-2</v>
      </c>
      <c r="M2309">
        <v>3</v>
      </c>
      <c r="N2309">
        <v>94</v>
      </c>
      <c r="O2309">
        <v>1</v>
      </c>
      <c r="P2309">
        <v>7.4999999999999997E-2</v>
      </c>
      <c r="Q2309">
        <v>1</v>
      </c>
      <c r="R2309">
        <v>5.0000000000000001E-4</v>
      </c>
      <c r="T2309" t="s">
        <v>357</v>
      </c>
    </row>
    <row r="2310" spans="1:20" x14ac:dyDescent="0.2">
      <c r="A2310" t="s">
        <v>6591</v>
      </c>
      <c r="B2310" t="s">
        <v>2022</v>
      </c>
      <c r="C2310" t="s">
        <v>2104</v>
      </c>
      <c r="D2310" t="s">
        <v>2024</v>
      </c>
      <c r="E2310" t="s">
        <v>6592</v>
      </c>
      <c r="F2310" t="s">
        <v>6593</v>
      </c>
      <c r="G2310">
        <v>4</v>
      </c>
      <c r="H2310">
        <v>2062.5</v>
      </c>
      <c r="I2310">
        <v>3</v>
      </c>
      <c r="J2310">
        <v>5.55</v>
      </c>
      <c r="K2310">
        <v>5</v>
      </c>
      <c r="L2310">
        <v>0.191</v>
      </c>
      <c r="M2310">
        <v>3</v>
      </c>
      <c r="N2310">
        <v>73</v>
      </c>
      <c r="P2310">
        <v>0</v>
      </c>
      <c r="Q2310">
        <v>3</v>
      </c>
      <c r="R2310">
        <v>8.2000000000000007E-3</v>
      </c>
      <c r="T2310" t="s">
        <v>6592</v>
      </c>
    </row>
    <row r="2311" spans="1:20" x14ac:dyDescent="0.2">
      <c r="A2311" t="s">
        <v>6594</v>
      </c>
      <c r="B2311" t="s">
        <v>2022</v>
      </c>
      <c r="C2311" t="s">
        <v>2101</v>
      </c>
      <c r="D2311" t="s">
        <v>2024</v>
      </c>
      <c r="E2311" t="s">
        <v>6595</v>
      </c>
      <c r="F2311" t="s">
        <v>6596</v>
      </c>
      <c r="G2311">
        <v>5</v>
      </c>
      <c r="H2311">
        <v>1970</v>
      </c>
      <c r="I2311">
        <v>2</v>
      </c>
      <c r="J2311">
        <v>5</v>
      </c>
      <c r="K2311">
        <v>1</v>
      </c>
      <c r="L2311">
        <v>1.15E-2</v>
      </c>
      <c r="M2311">
        <v>5</v>
      </c>
      <c r="N2311">
        <v>98</v>
      </c>
      <c r="O2311">
        <v>2</v>
      </c>
      <c r="P2311">
        <v>0.22500000000000001</v>
      </c>
      <c r="Q2311">
        <v>1</v>
      </c>
      <c r="R2311">
        <v>5.0000000000000001E-4</v>
      </c>
      <c r="T2311" t="s">
        <v>6595</v>
      </c>
    </row>
    <row r="2312" spans="1:20" x14ac:dyDescent="0.2">
      <c r="A2312" t="s">
        <v>6597</v>
      </c>
      <c r="B2312" t="s">
        <v>2022</v>
      </c>
      <c r="C2312" t="s">
        <v>2023</v>
      </c>
      <c r="D2312" t="s">
        <v>2024</v>
      </c>
      <c r="E2312" t="s">
        <v>357</v>
      </c>
      <c r="F2312" t="s">
        <v>447</v>
      </c>
      <c r="G2312">
        <v>3</v>
      </c>
      <c r="H2312">
        <v>1640</v>
      </c>
      <c r="I2312">
        <v>2</v>
      </c>
      <c r="J2312">
        <v>3.4</v>
      </c>
      <c r="K2312">
        <v>2</v>
      </c>
      <c r="L2312">
        <v>2.5999999999999999E-2</v>
      </c>
      <c r="M2312">
        <v>5</v>
      </c>
      <c r="N2312">
        <v>114</v>
      </c>
      <c r="O2312">
        <v>5</v>
      </c>
      <c r="P2312">
        <v>0.67500000000000004</v>
      </c>
      <c r="Q2312">
        <v>5</v>
      </c>
      <c r="R2312">
        <v>8.0000000000000002E-3</v>
      </c>
      <c r="T2312" t="s">
        <v>357</v>
      </c>
    </row>
    <row r="2313" spans="1:20" x14ac:dyDescent="0.2">
      <c r="A2313" t="s">
        <v>6598</v>
      </c>
      <c r="B2313" t="s">
        <v>2022</v>
      </c>
      <c r="C2313" t="s">
        <v>2023</v>
      </c>
      <c r="D2313" t="s">
        <v>2024</v>
      </c>
      <c r="E2313" t="s">
        <v>262</v>
      </c>
      <c r="F2313" t="s">
        <v>447</v>
      </c>
      <c r="G2313">
        <v>5</v>
      </c>
      <c r="H2313">
        <v>1800</v>
      </c>
      <c r="I2313">
        <v>2</v>
      </c>
      <c r="J2313">
        <v>3.4</v>
      </c>
      <c r="K2313">
        <v>3</v>
      </c>
      <c r="L2313">
        <v>4.5999999999999999E-2</v>
      </c>
      <c r="M2313">
        <v>5</v>
      </c>
      <c r="N2313">
        <v>114</v>
      </c>
      <c r="O2313">
        <v>1</v>
      </c>
      <c r="P2313">
        <v>7.4999999999999997E-2</v>
      </c>
      <c r="Q2313">
        <v>2</v>
      </c>
      <c r="R2313">
        <v>2E-3</v>
      </c>
      <c r="T2313" t="s">
        <v>262</v>
      </c>
    </row>
    <row r="2314" spans="1:20" x14ac:dyDescent="0.2">
      <c r="A2314" t="s">
        <v>6599</v>
      </c>
      <c r="B2314" t="s">
        <v>2022</v>
      </c>
      <c r="C2314" t="s">
        <v>2104</v>
      </c>
      <c r="D2314" t="s">
        <v>2024</v>
      </c>
      <c r="E2314" t="s">
        <v>262</v>
      </c>
      <c r="F2314" t="s">
        <v>447</v>
      </c>
      <c r="G2314">
        <v>5</v>
      </c>
      <c r="H2314">
        <v>2237.5</v>
      </c>
      <c r="I2314">
        <v>4</v>
      </c>
      <c r="J2314">
        <v>7.85</v>
      </c>
      <c r="K2314">
        <v>4</v>
      </c>
      <c r="L2314">
        <v>0.14099999999999999</v>
      </c>
      <c r="M2314">
        <v>1</v>
      </c>
      <c r="N2314">
        <v>57</v>
      </c>
      <c r="P2314">
        <v>0</v>
      </c>
      <c r="Q2314">
        <v>2</v>
      </c>
      <c r="R2314">
        <v>3.2000000000000002E-3</v>
      </c>
      <c r="T2314" t="s">
        <v>262</v>
      </c>
    </row>
    <row r="2315" spans="1:20" x14ac:dyDescent="0.2">
      <c r="A2315" t="s">
        <v>6600</v>
      </c>
      <c r="B2315" t="s">
        <v>2022</v>
      </c>
      <c r="C2315" t="s">
        <v>2101</v>
      </c>
      <c r="D2315" t="s">
        <v>2024</v>
      </c>
      <c r="E2315" t="s">
        <v>262</v>
      </c>
      <c r="F2315" t="s">
        <v>447</v>
      </c>
      <c r="G2315">
        <v>5</v>
      </c>
      <c r="H2315">
        <v>1970</v>
      </c>
      <c r="I2315">
        <v>3</v>
      </c>
      <c r="J2315">
        <v>8</v>
      </c>
      <c r="K2315">
        <v>3</v>
      </c>
      <c r="L2315">
        <v>0.24349999999999999</v>
      </c>
      <c r="M2315">
        <v>4</v>
      </c>
      <c r="N2315">
        <v>90</v>
      </c>
      <c r="O2315">
        <v>3</v>
      </c>
      <c r="P2315">
        <v>0.375</v>
      </c>
      <c r="Q2315">
        <v>3</v>
      </c>
      <c r="R2315">
        <v>1.15E-2</v>
      </c>
      <c r="T2315" t="s">
        <v>262</v>
      </c>
    </row>
    <row r="2316" spans="1:20" x14ac:dyDescent="0.2">
      <c r="A2316" t="s">
        <v>6601</v>
      </c>
      <c r="B2316" t="s">
        <v>2022</v>
      </c>
      <c r="C2316" t="s">
        <v>2023</v>
      </c>
      <c r="D2316" t="s">
        <v>2024</v>
      </c>
      <c r="E2316" t="s">
        <v>6602</v>
      </c>
      <c r="F2316" t="s">
        <v>6603</v>
      </c>
      <c r="G2316">
        <v>2</v>
      </c>
      <c r="H2316">
        <v>1560</v>
      </c>
      <c r="I2316">
        <v>3</v>
      </c>
      <c r="J2316">
        <v>5.9</v>
      </c>
      <c r="K2316">
        <v>3</v>
      </c>
      <c r="L2316">
        <v>4.5999999999999999E-2</v>
      </c>
      <c r="M2316">
        <v>1</v>
      </c>
      <c r="N2316">
        <v>74</v>
      </c>
      <c r="O2316">
        <v>2</v>
      </c>
      <c r="P2316">
        <v>0.22500000000000001</v>
      </c>
      <c r="Q2316">
        <v>2</v>
      </c>
      <c r="R2316">
        <v>2E-3</v>
      </c>
      <c r="T2316" t="s">
        <v>6602</v>
      </c>
    </row>
    <row r="2317" spans="1:20" x14ac:dyDescent="0.2">
      <c r="A2317" t="s">
        <v>6604</v>
      </c>
      <c r="B2317" t="s">
        <v>2022</v>
      </c>
      <c r="C2317" t="s">
        <v>2023</v>
      </c>
      <c r="D2317" t="s">
        <v>2024</v>
      </c>
      <c r="E2317" t="s">
        <v>6605</v>
      </c>
      <c r="F2317" t="s">
        <v>6606</v>
      </c>
      <c r="G2317">
        <v>5</v>
      </c>
      <c r="H2317">
        <v>1800</v>
      </c>
      <c r="I2317">
        <v>5</v>
      </c>
      <c r="J2317">
        <v>10.9</v>
      </c>
      <c r="K2317">
        <v>5</v>
      </c>
      <c r="L2317">
        <v>8.5999999999999993E-2</v>
      </c>
      <c r="M2317">
        <v>3</v>
      </c>
      <c r="N2317">
        <v>94</v>
      </c>
      <c r="O2317">
        <v>5</v>
      </c>
      <c r="P2317">
        <v>0.67500000000000004</v>
      </c>
      <c r="Q2317">
        <v>5</v>
      </c>
      <c r="R2317">
        <v>8.0000000000000002E-3</v>
      </c>
      <c r="T2317" t="s">
        <v>6605</v>
      </c>
    </row>
    <row r="2318" spans="1:20" x14ac:dyDescent="0.2">
      <c r="A2318" t="s">
        <v>6607</v>
      </c>
      <c r="B2318" t="s">
        <v>2022</v>
      </c>
      <c r="C2318" t="s">
        <v>2023</v>
      </c>
      <c r="D2318" t="s">
        <v>2024</v>
      </c>
      <c r="E2318" t="s">
        <v>6608</v>
      </c>
      <c r="F2318" t="s">
        <v>6609</v>
      </c>
      <c r="G2318">
        <v>1</v>
      </c>
      <c r="H2318">
        <v>1480</v>
      </c>
      <c r="I2318">
        <v>1</v>
      </c>
      <c r="J2318">
        <v>0.9</v>
      </c>
      <c r="K2318">
        <v>1</v>
      </c>
      <c r="L2318">
        <v>6.0000000000000001E-3</v>
      </c>
      <c r="M2318">
        <v>1</v>
      </c>
      <c r="N2318">
        <v>74</v>
      </c>
      <c r="O2318">
        <v>1</v>
      </c>
      <c r="P2318">
        <v>7.4999999999999997E-2</v>
      </c>
      <c r="Q2318">
        <v>1</v>
      </c>
      <c r="R2318">
        <v>5.0000000000000001E-4</v>
      </c>
      <c r="T2318" t="s">
        <v>6608</v>
      </c>
    </row>
    <row r="2319" spans="1:20" x14ac:dyDescent="0.2">
      <c r="A2319" t="s">
        <v>6610</v>
      </c>
      <c r="B2319" t="s">
        <v>2022</v>
      </c>
      <c r="C2319" t="s">
        <v>2101</v>
      </c>
      <c r="D2319" t="s">
        <v>2136</v>
      </c>
      <c r="E2319" t="s">
        <v>6611</v>
      </c>
      <c r="F2319" t="s">
        <v>6612</v>
      </c>
      <c r="G2319">
        <v>5</v>
      </c>
      <c r="H2319">
        <v>1970</v>
      </c>
      <c r="I2319">
        <v>2</v>
      </c>
      <c r="J2319">
        <v>5</v>
      </c>
      <c r="K2319">
        <v>2</v>
      </c>
      <c r="L2319">
        <v>9.6500000000000002E-2</v>
      </c>
      <c r="M2319">
        <v>4</v>
      </c>
      <c r="N2319">
        <v>90</v>
      </c>
      <c r="O2319">
        <v>2</v>
      </c>
      <c r="P2319">
        <v>0.22500000000000001</v>
      </c>
      <c r="Q2319">
        <v>2</v>
      </c>
      <c r="R2319">
        <v>4.4999999999999997E-3</v>
      </c>
      <c r="T2319" t="s">
        <v>6611</v>
      </c>
    </row>
    <row r="2320" spans="1:20" x14ac:dyDescent="0.2">
      <c r="A2320" t="s">
        <v>6613</v>
      </c>
      <c r="B2320" t="s">
        <v>2022</v>
      </c>
      <c r="C2320" t="s">
        <v>2222</v>
      </c>
      <c r="D2320" t="s">
        <v>2024</v>
      </c>
      <c r="E2320" t="s">
        <v>6614</v>
      </c>
      <c r="F2320" t="s">
        <v>6615</v>
      </c>
      <c r="G2320">
        <v>3</v>
      </c>
      <c r="H2320">
        <v>1650</v>
      </c>
      <c r="I2320">
        <v>1</v>
      </c>
      <c r="J2320">
        <v>2.2999999999999998</v>
      </c>
      <c r="K2320">
        <v>1</v>
      </c>
      <c r="L2320">
        <v>0.01</v>
      </c>
      <c r="M2320">
        <v>3</v>
      </c>
      <c r="N2320">
        <v>67</v>
      </c>
      <c r="O2320">
        <v>1</v>
      </c>
      <c r="P2320">
        <v>7.0000000000000007E-2</v>
      </c>
      <c r="Q2320">
        <v>1</v>
      </c>
      <c r="R2320">
        <v>4.0000000000000002E-4</v>
      </c>
      <c r="T2320" t="s">
        <v>6614</v>
      </c>
    </row>
    <row r="2321" spans="1:20" x14ac:dyDescent="0.2">
      <c r="A2321" t="s">
        <v>6616</v>
      </c>
      <c r="B2321" t="s">
        <v>2022</v>
      </c>
      <c r="C2321" t="s">
        <v>2053</v>
      </c>
      <c r="D2321" t="s">
        <v>2136</v>
      </c>
      <c r="E2321" t="s">
        <v>6617</v>
      </c>
      <c r="F2321" t="s">
        <v>6618</v>
      </c>
      <c r="G2321">
        <v>5</v>
      </c>
      <c r="H2321">
        <v>1900</v>
      </c>
      <c r="I2321">
        <v>2</v>
      </c>
      <c r="J2321">
        <v>4.05</v>
      </c>
      <c r="K2321">
        <v>1</v>
      </c>
      <c r="L2321">
        <v>1.4999999999999999E-2</v>
      </c>
      <c r="M2321">
        <v>2</v>
      </c>
      <c r="N2321">
        <v>83</v>
      </c>
      <c r="O2321">
        <v>2</v>
      </c>
      <c r="P2321">
        <v>0.22500000000000001</v>
      </c>
      <c r="Q2321">
        <v>1</v>
      </c>
      <c r="R2321">
        <v>8.4999999999999995E-4</v>
      </c>
      <c r="T2321" t="s">
        <v>6617</v>
      </c>
    </row>
    <row r="2322" spans="1:20" x14ac:dyDescent="0.2">
      <c r="A2322" t="s">
        <v>6619</v>
      </c>
      <c r="B2322" t="s">
        <v>2022</v>
      </c>
      <c r="C2322" t="s">
        <v>2028</v>
      </c>
      <c r="D2322" t="s">
        <v>2024</v>
      </c>
      <c r="E2322" t="s">
        <v>6620</v>
      </c>
      <c r="F2322" t="s">
        <v>6621</v>
      </c>
      <c r="G2322">
        <v>3</v>
      </c>
      <c r="H2322">
        <v>1050</v>
      </c>
      <c r="I2322">
        <v>2</v>
      </c>
      <c r="J2322">
        <v>1.55</v>
      </c>
      <c r="K2322">
        <v>2</v>
      </c>
      <c r="L2322">
        <v>4.4999999999999998E-2</v>
      </c>
      <c r="M2322">
        <v>2</v>
      </c>
      <c r="N2322">
        <v>200</v>
      </c>
      <c r="O2322">
        <v>2</v>
      </c>
      <c r="P2322">
        <v>0.45</v>
      </c>
      <c r="Q2322">
        <v>2</v>
      </c>
      <c r="R2322">
        <v>7.7499999999999999E-3</v>
      </c>
      <c r="T2322" t="s">
        <v>6620</v>
      </c>
    </row>
    <row r="2323" spans="1:20" x14ac:dyDescent="0.2">
      <c r="A2323" t="s">
        <v>6622</v>
      </c>
      <c r="B2323" t="s">
        <v>2022</v>
      </c>
      <c r="C2323" t="s">
        <v>2049</v>
      </c>
      <c r="D2323" t="s">
        <v>2024</v>
      </c>
      <c r="E2323" t="s">
        <v>6623</v>
      </c>
      <c r="F2323" t="s">
        <v>6621</v>
      </c>
      <c r="G2323">
        <v>3</v>
      </c>
      <c r="H2323">
        <v>1550</v>
      </c>
      <c r="I2323">
        <v>3</v>
      </c>
      <c r="J2323">
        <v>5</v>
      </c>
      <c r="K2323">
        <v>3</v>
      </c>
      <c r="L2323">
        <v>0.14000000000000001</v>
      </c>
      <c r="M2323">
        <v>2</v>
      </c>
      <c r="N2323">
        <v>106</v>
      </c>
      <c r="O2323">
        <v>2</v>
      </c>
      <c r="P2323">
        <v>0.26</v>
      </c>
      <c r="Q2323">
        <v>2</v>
      </c>
      <c r="R2323">
        <v>6.1999999999999998E-3</v>
      </c>
      <c r="T2323" t="s">
        <v>6623</v>
      </c>
    </row>
    <row r="2324" spans="1:20" x14ac:dyDescent="0.2">
      <c r="A2324" t="s">
        <v>6624</v>
      </c>
      <c r="B2324" t="s">
        <v>2022</v>
      </c>
      <c r="C2324" t="s">
        <v>2053</v>
      </c>
      <c r="D2324" t="s">
        <v>2024</v>
      </c>
      <c r="E2324" t="s">
        <v>6625</v>
      </c>
      <c r="F2324" t="s">
        <v>6626</v>
      </c>
      <c r="G2324">
        <v>4</v>
      </c>
      <c r="H2324">
        <v>1800</v>
      </c>
      <c r="I2324">
        <v>1</v>
      </c>
      <c r="J2324">
        <v>1.55</v>
      </c>
      <c r="K2324">
        <v>1</v>
      </c>
      <c r="L2324">
        <v>1.4999999999999999E-2</v>
      </c>
      <c r="M2324">
        <v>5</v>
      </c>
      <c r="N2324">
        <v>113</v>
      </c>
      <c r="O2324">
        <v>1</v>
      </c>
      <c r="P2324">
        <v>7.4999999999999997E-2</v>
      </c>
      <c r="Q2324">
        <v>1</v>
      </c>
      <c r="R2324">
        <v>8.4999999999999995E-4</v>
      </c>
      <c r="T2324" t="s">
        <v>6625</v>
      </c>
    </row>
    <row r="2325" spans="1:20" x14ac:dyDescent="0.2">
      <c r="A2325" t="s">
        <v>6627</v>
      </c>
      <c r="B2325" t="s">
        <v>2022</v>
      </c>
      <c r="C2325" t="s">
        <v>2036</v>
      </c>
      <c r="D2325" t="s">
        <v>2024</v>
      </c>
      <c r="E2325" t="s">
        <v>6628</v>
      </c>
      <c r="F2325" t="s">
        <v>6629</v>
      </c>
      <c r="G2325">
        <v>4</v>
      </c>
      <c r="H2325">
        <v>1840</v>
      </c>
      <c r="I2325">
        <v>3</v>
      </c>
      <c r="J2325">
        <v>4.5999999999999996</v>
      </c>
      <c r="K2325">
        <v>4</v>
      </c>
      <c r="L2325">
        <v>0.14499999999999999</v>
      </c>
      <c r="M2325">
        <v>5</v>
      </c>
      <c r="N2325">
        <v>100</v>
      </c>
      <c r="O2325">
        <v>3</v>
      </c>
      <c r="P2325">
        <v>0.315</v>
      </c>
      <c r="Q2325">
        <v>3</v>
      </c>
      <c r="R2325">
        <v>6.7499999999999999E-3</v>
      </c>
      <c r="T2325" t="s">
        <v>6628</v>
      </c>
    </row>
    <row r="2326" spans="1:20" x14ac:dyDescent="0.2">
      <c r="A2326" t="s">
        <v>6630</v>
      </c>
      <c r="B2326" t="s">
        <v>2022</v>
      </c>
      <c r="C2326" t="s">
        <v>2053</v>
      </c>
      <c r="D2326" t="s">
        <v>2024</v>
      </c>
      <c r="E2326" t="s">
        <v>6631</v>
      </c>
      <c r="F2326" t="s">
        <v>6632</v>
      </c>
      <c r="G2326">
        <v>3</v>
      </c>
      <c r="H2326">
        <v>1700</v>
      </c>
      <c r="I2326">
        <v>2</v>
      </c>
      <c r="J2326">
        <v>4.05</v>
      </c>
      <c r="K2326">
        <v>2</v>
      </c>
      <c r="L2326">
        <v>8.5000000000000006E-2</v>
      </c>
      <c r="M2326">
        <v>3</v>
      </c>
      <c r="N2326">
        <v>93</v>
      </c>
      <c r="O2326">
        <v>2</v>
      </c>
      <c r="P2326">
        <v>0.22500000000000001</v>
      </c>
      <c r="Q2326">
        <v>2</v>
      </c>
      <c r="R2326">
        <v>5.1999999999999998E-3</v>
      </c>
      <c r="T2326" t="s">
        <v>6631</v>
      </c>
    </row>
    <row r="2327" spans="1:20" x14ac:dyDescent="0.2">
      <c r="A2327" t="s">
        <v>6633</v>
      </c>
      <c r="B2327" t="s">
        <v>2022</v>
      </c>
      <c r="C2327" t="s">
        <v>2104</v>
      </c>
      <c r="D2327" t="s">
        <v>2024</v>
      </c>
      <c r="E2327" t="s">
        <v>6634</v>
      </c>
      <c r="F2327" t="s">
        <v>6635</v>
      </c>
      <c r="G2327">
        <v>1</v>
      </c>
      <c r="H2327">
        <v>1537.5</v>
      </c>
      <c r="I2327">
        <v>3</v>
      </c>
      <c r="J2327">
        <v>5.55</v>
      </c>
      <c r="K2327">
        <v>5</v>
      </c>
      <c r="L2327">
        <v>0.191</v>
      </c>
      <c r="M2327">
        <v>2</v>
      </c>
      <c r="N2327">
        <v>65</v>
      </c>
      <c r="P2327">
        <v>0</v>
      </c>
      <c r="Q2327">
        <v>3</v>
      </c>
      <c r="R2327">
        <v>8.2000000000000007E-3</v>
      </c>
      <c r="T2327" t="s">
        <v>6634</v>
      </c>
    </row>
    <row r="2328" spans="1:20" x14ac:dyDescent="0.2">
      <c r="A2328" t="s">
        <v>6636</v>
      </c>
      <c r="B2328" t="s">
        <v>2022</v>
      </c>
      <c r="C2328" t="s">
        <v>2036</v>
      </c>
      <c r="D2328" t="s">
        <v>2024</v>
      </c>
      <c r="E2328" t="s">
        <v>6634</v>
      </c>
      <c r="F2328" t="s">
        <v>6635</v>
      </c>
      <c r="G2328">
        <v>1</v>
      </c>
      <c r="H2328">
        <v>1540</v>
      </c>
      <c r="I2328">
        <v>2</v>
      </c>
      <c r="J2328">
        <v>3.4</v>
      </c>
      <c r="K2328">
        <v>1</v>
      </c>
      <c r="L2328">
        <v>5.5E-2</v>
      </c>
      <c r="M2328">
        <v>1</v>
      </c>
      <c r="N2328">
        <v>76</v>
      </c>
      <c r="O2328">
        <v>2</v>
      </c>
      <c r="P2328">
        <v>0.20499999999999999</v>
      </c>
      <c r="Q2328">
        <v>1</v>
      </c>
      <c r="R2328">
        <v>1.5E-3</v>
      </c>
      <c r="T2328" t="s">
        <v>6634</v>
      </c>
    </row>
    <row r="2329" spans="1:20" x14ac:dyDescent="0.2">
      <c r="A2329" t="s">
        <v>6637</v>
      </c>
      <c r="B2329" t="s">
        <v>2022</v>
      </c>
      <c r="C2329" t="s">
        <v>2049</v>
      </c>
      <c r="D2329" t="s">
        <v>2024</v>
      </c>
      <c r="E2329" t="s">
        <v>6638</v>
      </c>
      <c r="F2329" t="s">
        <v>6639</v>
      </c>
      <c r="G2329">
        <v>4</v>
      </c>
      <c r="H2329">
        <v>1650</v>
      </c>
      <c r="I2329">
        <v>1</v>
      </c>
      <c r="J2329">
        <v>1.4</v>
      </c>
      <c r="K2329">
        <v>1</v>
      </c>
      <c r="L2329">
        <v>0.01</v>
      </c>
      <c r="M2329">
        <v>4</v>
      </c>
      <c r="N2329">
        <v>146</v>
      </c>
      <c r="O2329">
        <v>1</v>
      </c>
      <c r="P2329">
        <v>0.06</v>
      </c>
      <c r="Q2329">
        <v>1</v>
      </c>
      <c r="R2329">
        <v>8.4999999999999995E-4</v>
      </c>
      <c r="T2329" t="s">
        <v>6638</v>
      </c>
    </row>
    <row r="2330" spans="1:20" x14ac:dyDescent="0.2">
      <c r="A2330" t="s">
        <v>6640</v>
      </c>
      <c r="B2330" t="s">
        <v>2022</v>
      </c>
      <c r="C2330" t="s">
        <v>2053</v>
      </c>
      <c r="D2330" t="s">
        <v>2024</v>
      </c>
      <c r="E2330" t="s">
        <v>6641</v>
      </c>
      <c r="F2330" t="s">
        <v>6642</v>
      </c>
      <c r="G2330">
        <v>2</v>
      </c>
      <c r="H2330">
        <v>1600</v>
      </c>
      <c r="I2330">
        <v>1</v>
      </c>
      <c r="J2330">
        <v>1.55</v>
      </c>
      <c r="K2330">
        <v>1</v>
      </c>
      <c r="L2330">
        <v>1.4999999999999999E-2</v>
      </c>
      <c r="M2330">
        <v>4</v>
      </c>
      <c r="N2330">
        <v>103</v>
      </c>
      <c r="O2330">
        <v>1</v>
      </c>
      <c r="P2330">
        <v>7.4999999999999997E-2</v>
      </c>
      <c r="Q2330">
        <v>1</v>
      </c>
      <c r="R2330">
        <v>8.4999999999999995E-4</v>
      </c>
      <c r="T2330" t="s">
        <v>6641</v>
      </c>
    </row>
    <row r="2331" spans="1:20" x14ac:dyDescent="0.2">
      <c r="A2331" t="s">
        <v>6643</v>
      </c>
      <c r="B2331" t="s">
        <v>2022</v>
      </c>
      <c r="C2331" t="s">
        <v>2023</v>
      </c>
      <c r="D2331" t="s">
        <v>2024</v>
      </c>
      <c r="E2331" t="s">
        <v>6644</v>
      </c>
      <c r="F2331" t="s">
        <v>6645</v>
      </c>
      <c r="G2331">
        <v>3</v>
      </c>
      <c r="H2331">
        <v>1640</v>
      </c>
      <c r="I2331">
        <v>2</v>
      </c>
      <c r="J2331">
        <v>3.4</v>
      </c>
      <c r="K2331">
        <v>1</v>
      </c>
      <c r="L2331">
        <v>6.0000000000000001E-3</v>
      </c>
      <c r="M2331">
        <v>5</v>
      </c>
      <c r="N2331">
        <v>114</v>
      </c>
      <c r="O2331">
        <v>2</v>
      </c>
      <c r="P2331">
        <v>0.22500000000000001</v>
      </c>
      <c r="Q2331">
        <v>2</v>
      </c>
      <c r="R2331">
        <v>2E-3</v>
      </c>
      <c r="T2331" t="s">
        <v>6644</v>
      </c>
    </row>
    <row r="2332" spans="1:20" x14ac:dyDescent="0.2">
      <c r="A2332" t="s">
        <v>6646</v>
      </c>
      <c r="B2332" t="s">
        <v>2022</v>
      </c>
      <c r="C2332" t="s">
        <v>2049</v>
      </c>
      <c r="D2332" t="s">
        <v>2154</v>
      </c>
      <c r="E2332" t="s">
        <v>6647</v>
      </c>
      <c r="F2332" t="s">
        <v>6648</v>
      </c>
      <c r="G2332">
        <v>4</v>
      </c>
      <c r="H2332">
        <v>1650</v>
      </c>
      <c r="I2332">
        <v>4</v>
      </c>
      <c r="J2332">
        <v>6.8</v>
      </c>
      <c r="K2332">
        <v>2</v>
      </c>
      <c r="L2332">
        <v>0.06</v>
      </c>
      <c r="M2332">
        <v>5</v>
      </c>
      <c r="N2332">
        <v>166</v>
      </c>
      <c r="O2332">
        <v>5</v>
      </c>
      <c r="P2332">
        <v>0.86</v>
      </c>
      <c r="Q2332">
        <v>2</v>
      </c>
      <c r="R2332">
        <v>6.1999999999999998E-3</v>
      </c>
      <c r="T2332" t="s">
        <v>6647</v>
      </c>
    </row>
    <row r="2333" spans="1:20" x14ac:dyDescent="0.2">
      <c r="A2333" t="s">
        <v>6649</v>
      </c>
      <c r="B2333" t="s">
        <v>2022</v>
      </c>
      <c r="C2333" t="s">
        <v>2053</v>
      </c>
      <c r="D2333" t="s">
        <v>2024</v>
      </c>
      <c r="E2333" t="s">
        <v>6650</v>
      </c>
      <c r="F2333" t="s">
        <v>6651</v>
      </c>
      <c r="G2333">
        <v>3</v>
      </c>
      <c r="H2333">
        <v>1700</v>
      </c>
      <c r="I2333">
        <v>1</v>
      </c>
      <c r="J2333">
        <v>1.55</v>
      </c>
      <c r="K2333">
        <v>2</v>
      </c>
      <c r="L2333">
        <v>8.5000000000000006E-2</v>
      </c>
      <c r="M2333">
        <v>5</v>
      </c>
      <c r="N2333">
        <v>113</v>
      </c>
      <c r="O2333">
        <v>3</v>
      </c>
      <c r="P2333">
        <v>0.375</v>
      </c>
      <c r="Q2333">
        <v>2</v>
      </c>
      <c r="R2333">
        <v>5.1999999999999998E-3</v>
      </c>
      <c r="T2333" t="s">
        <v>6650</v>
      </c>
    </row>
    <row r="2334" spans="1:20" x14ac:dyDescent="0.2">
      <c r="A2334" t="s">
        <v>6652</v>
      </c>
      <c r="B2334" t="s">
        <v>2022</v>
      </c>
      <c r="C2334" t="s">
        <v>2023</v>
      </c>
      <c r="D2334" t="s">
        <v>2024</v>
      </c>
      <c r="E2334" t="s">
        <v>357</v>
      </c>
      <c r="F2334" t="s">
        <v>6653</v>
      </c>
      <c r="G2334">
        <v>1</v>
      </c>
      <c r="H2334">
        <v>1480</v>
      </c>
      <c r="I2334">
        <v>2</v>
      </c>
      <c r="J2334">
        <v>3.4</v>
      </c>
      <c r="K2334">
        <v>1</v>
      </c>
      <c r="L2334">
        <v>6.0000000000000001E-3</v>
      </c>
      <c r="M2334">
        <v>5</v>
      </c>
      <c r="N2334">
        <v>114</v>
      </c>
      <c r="O2334">
        <v>5</v>
      </c>
      <c r="P2334">
        <v>0.67500000000000004</v>
      </c>
      <c r="Q2334">
        <v>3</v>
      </c>
      <c r="R2334">
        <v>4.0000000000000001E-3</v>
      </c>
      <c r="T2334" t="s">
        <v>357</v>
      </c>
    </row>
    <row r="2335" spans="1:20" x14ac:dyDescent="0.2">
      <c r="A2335" t="s">
        <v>6654</v>
      </c>
      <c r="B2335" t="s">
        <v>2022</v>
      </c>
      <c r="C2335" t="s">
        <v>2023</v>
      </c>
      <c r="D2335" t="s">
        <v>2024</v>
      </c>
      <c r="E2335" t="s">
        <v>6655</v>
      </c>
      <c r="F2335" t="s">
        <v>6656</v>
      </c>
      <c r="G2335">
        <v>5</v>
      </c>
      <c r="H2335">
        <v>1800</v>
      </c>
      <c r="I2335">
        <v>1</v>
      </c>
      <c r="J2335">
        <v>0.9</v>
      </c>
      <c r="K2335">
        <v>1</v>
      </c>
      <c r="L2335">
        <v>6.0000000000000001E-3</v>
      </c>
      <c r="M2335">
        <v>2</v>
      </c>
      <c r="N2335">
        <v>84</v>
      </c>
      <c r="O2335">
        <v>1</v>
      </c>
      <c r="P2335">
        <v>7.4999999999999997E-2</v>
      </c>
      <c r="Q2335">
        <v>1</v>
      </c>
      <c r="R2335">
        <v>5.0000000000000001E-4</v>
      </c>
      <c r="T2335" t="s">
        <v>6655</v>
      </c>
    </row>
    <row r="2336" spans="1:20" x14ac:dyDescent="0.2">
      <c r="A2336" t="s">
        <v>6657</v>
      </c>
      <c r="B2336" t="s">
        <v>2022</v>
      </c>
      <c r="C2336" t="s">
        <v>2023</v>
      </c>
      <c r="D2336" t="s">
        <v>2154</v>
      </c>
      <c r="E2336" t="s">
        <v>6658</v>
      </c>
      <c r="F2336" t="s">
        <v>6659</v>
      </c>
      <c r="G2336">
        <v>5</v>
      </c>
      <c r="H2336">
        <v>1800</v>
      </c>
      <c r="I2336">
        <v>5</v>
      </c>
      <c r="J2336">
        <v>10.9</v>
      </c>
      <c r="K2336">
        <v>5</v>
      </c>
      <c r="L2336">
        <v>8.5999999999999993E-2</v>
      </c>
      <c r="M2336">
        <v>3</v>
      </c>
      <c r="N2336">
        <v>94</v>
      </c>
      <c r="O2336">
        <v>5</v>
      </c>
      <c r="P2336">
        <v>0.67500000000000004</v>
      </c>
      <c r="Q2336">
        <v>5</v>
      </c>
      <c r="R2336">
        <v>8.0000000000000002E-3</v>
      </c>
      <c r="T2336" t="s">
        <v>6658</v>
      </c>
    </row>
    <row r="2337" spans="1:20" x14ac:dyDescent="0.2">
      <c r="A2337" t="s">
        <v>1368</v>
      </c>
      <c r="B2337" t="s">
        <v>2022</v>
      </c>
      <c r="C2337" t="s">
        <v>2036</v>
      </c>
      <c r="D2337" t="s">
        <v>2024</v>
      </c>
      <c r="E2337" t="s">
        <v>6660</v>
      </c>
      <c r="F2337" t="s">
        <v>6661</v>
      </c>
      <c r="G2337">
        <v>2</v>
      </c>
      <c r="H2337">
        <v>1640</v>
      </c>
      <c r="I2337">
        <v>3</v>
      </c>
      <c r="J2337">
        <v>4.5999999999999996</v>
      </c>
      <c r="K2337">
        <v>1</v>
      </c>
      <c r="L2337">
        <v>5.5E-2</v>
      </c>
      <c r="M2337">
        <v>2</v>
      </c>
      <c r="N2337">
        <v>82</v>
      </c>
      <c r="O2337">
        <v>2</v>
      </c>
      <c r="P2337">
        <v>0.20499999999999999</v>
      </c>
      <c r="Q2337">
        <v>1</v>
      </c>
      <c r="R2337">
        <v>1.5E-3</v>
      </c>
      <c r="T2337" t="s">
        <v>6660</v>
      </c>
    </row>
    <row r="2338" spans="1:20" x14ac:dyDescent="0.2">
      <c r="A2338" t="s">
        <v>6662</v>
      </c>
      <c r="B2338" t="s">
        <v>2022</v>
      </c>
      <c r="C2338" t="s">
        <v>2023</v>
      </c>
      <c r="D2338" t="s">
        <v>2024</v>
      </c>
      <c r="E2338" t="s">
        <v>6663</v>
      </c>
      <c r="F2338" t="s">
        <v>447</v>
      </c>
      <c r="G2338">
        <v>1</v>
      </c>
      <c r="H2338">
        <v>1480</v>
      </c>
      <c r="I2338">
        <v>3</v>
      </c>
      <c r="J2338">
        <v>5.9</v>
      </c>
      <c r="K2338">
        <v>5</v>
      </c>
      <c r="L2338">
        <v>8.5999999999999993E-2</v>
      </c>
      <c r="M2338">
        <v>1</v>
      </c>
      <c r="N2338">
        <v>74</v>
      </c>
      <c r="O2338">
        <v>3</v>
      </c>
      <c r="P2338">
        <v>0.375</v>
      </c>
      <c r="Q2338">
        <v>5</v>
      </c>
      <c r="R2338">
        <v>8.0000000000000002E-3</v>
      </c>
      <c r="T2338" t="s">
        <v>6663</v>
      </c>
    </row>
    <row r="2339" spans="1:20" x14ac:dyDescent="0.2">
      <c r="A2339" t="s">
        <v>6664</v>
      </c>
      <c r="B2339" t="s">
        <v>2022</v>
      </c>
      <c r="C2339" t="s">
        <v>2036</v>
      </c>
      <c r="D2339" t="s">
        <v>2024</v>
      </c>
      <c r="E2339" t="s">
        <v>292</v>
      </c>
      <c r="F2339" t="s">
        <v>6665</v>
      </c>
      <c r="G2339">
        <v>1</v>
      </c>
      <c r="H2339">
        <v>1540</v>
      </c>
      <c r="I2339">
        <v>1</v>
      </c>
      <c r="J2339">
        <v>2.2000000000000002</v>
      </c>
      <c r="K2339">
        <v>1</v>
      </c>
      <c r="L2339">
        <v>5.5E-2</v>
      </c>
      <c r="M2339">
        <v>1</v>
      </c>
      <c r="N2339">
        <v>76</v>
      </c>
      <c r="O2339">
        <v>1</v>
      </c>
      <c r="P2339">
        <v>9.5000000000000001E-2</v>
      </c>
      <c r="Q2339">
        <v>1</v>
      </c>
      <c r="R2339">
        <v>1.5E-3</v>
      </c>
      <c r="T2339" t="s">
        <v>292</v>
      </c>
    </row>
    <row r="2340" spans="1:20" x14ac:dyDescent="0.2">
      <c r="A2340" t="s">
        <v>6666</v>
      </c>
      <c r="B2340" t="s">
        <v>2022</v>
      </c>
      <c r="C2340" t="s">
        <v>2023</v>
      </c>
      <c r="D2340" t="s">
        <v>2024</v>
      </c>
      <c r="E2340" t="s">
        <v>6667</v>
      </c>
      <c r="F2340" t="s">
        <v>6668</v>
      </c>
      <c r="G2340">
        <v>1</v>
      </c>
      <c r="H2340">
        <v>1480</v>
      </c>
      <c r="I2340">
        <v>5</v>
      </c>
      <c r="J2340">
        <v>10.9</v>
      </c>
      <c r="K2340">
        <v>4</v>
      </c>
      <c r="L2340">
        <v>6.6000000000000003E-2</v>
      </c>
      <c r="M2340">
        <v>5</v>
      </c>
      <c r="N2340">
        <v>114</v>
      </c>
      <c r="O2340">
        <v>5</v>
      </c>
      <c r="P2340">
        <v>0.67500000000000004</v>
      </c>
      <c r="Q2340">
        <v>5</v>
      </c>
      <c r="R2340">
        <v>8.0000000000000002E-3</v>
      </c>
      <c r="T2340" t="s">
        <v>6667</v>
      </c>
    </row>
    <row r="2341" spans="1:20" x14ac:dyDescent="0.2">
      <c r="A2341" t="s">
        <v>6669</v>
      </c>
      <c r="B2341" t="s">
        <v>2022</v>
      </c>
      <c r="C2341" t="s">
        <v>2101</v>
      </c>
      <c r="D2341" t="s">
        <v>2136</v>
      </c>
      <c r="E2341" t="s">
        <v>6670</v>
      </c>
      <c r="F2341" t="s">
        <v>6671</v>
      </c>
      <c r="G2341">
        <v>4</v>
      </c>
      <c r="H2341">
        <v>1870</v>
      </c>
      <c r="I2341">
        <v>1</v>
      </c>
      <c r="J2341">
        <v>2</v>
      </c>
      <c r="K2341">
        <v>1</v>
      </c>
      <c r="L2341">
        <v>1.15E-2</v>
      </c>
      <c r="M2341">
        <v>5</v>
      </c>
      <c r="N2341">
        <v>98</v>
      </c>
      <c r="O2341">
        <v>2</v>
      </c>
      <c r="P2341">
        <v>0.22500000000000001</v>
      </c>
      <c r="Q2341">
        <v>2</v>
      </c>
      <c r="R2341">
        <v>4.4999999999999997E-3</v>
      </c>
      <c r="T2341" t="s">
        <v>6670</v>
      </c>
    </row>
    <row r="2342" spans="1:20" x14ac:dyDescent="0.2">
      <c r="A2342" t="s">
        <v>6658</v>
      </c>
      <c r="B2342" t="s">
        <v>2022</v>
      </c>
      <c r="C2342" t="s">
        <v>2095</v>
      </c>
      <c r="D2342" t="s">
        <v>2024</v>
      </c>
      <c r="E2342" t="s">
        <v>6672</v>
      </c>
      <c r="F2342" t="s">
        <v>6673</v>
      </c>
      <c r="G2342">
        <v>5</v>
      </c>
      <c r="H2342">
        <v>1925</v>
      </c>
      <c r="I2342">
        <v>3</v>
      </c>
      <c r="J2342">
        <v>10.5</v>
      </c>
      <c r="K2342">
        <v>3</v>
      </c>
      <c r="L2342">
        <v>0.33</v>
      </c>
      <c r="M2342">
        <v>5</v>
      </c>
      <c r="N2342">
        <v>98</v>
      </c>
      <c r="O2342">
        <v>5</v>
      </c>
      <c r="P2342">
        <v>0.95</v>
      </c>
      <c r="Q2342">
        <v>4</v>
      </c>
      <c r="R2342">
        <v>2.3900000000000001E-2</v>
      </c>
      <c r="T2342" t="s">
        <v>6672</v>
      </c>
    </row>
    <row r="2343" spans="1:20" x14ac:dyDescent="0.2">
      <c r="A2343" t="s">
        <v>6674</v>
      </c>
      <c r="B2343" t="s">
        <v>2022</v>
      </c>
      <c r="C2343" t="s">
        <v>2053</v>
      </c>
      <c r="D2343" t="s">
        <v>2024</v>
      </c>
      <c r="E2343" t="s">
        <v>6675</v>
      </c>
      <c r="F2343" t="s">
        <v>6676</v>
      </c>
      <c r="G2343">
        <v>4</v>
      </c>
      <c r="H2343">
        <v>1800</v>
      </c>
      <c r="I2343">
        <v>5</v>
      </c>
      <c r="J2343">
        <v>11.55</v>
      </c>
      <c r="K2343">
        <v>5</v>
      </c>
      <c r="L2343">
        <v>0.41499999999999998</v>
      </c>
      <c r="M2343">
        <v>3</v>
      </c>
      <c r="N2343">
        <v>93</v>
      </c>
      <c r="O2343">
        <v>4</v>
      </c>
      <c r="P2343">
        <v>0.52500000000000002</v>
      </c>
      <c r="Q2343">
        <v>4</v>
      </c>
      <c r="R2343">
        <v>1.9199999999999998E-2</v>
      </c>
      <c r="T2343" t="s">
        <v>6675</v>
      </c>
    </row>
    <row r="2344" spans="1:20" x14ac:dyDescent="0.2">
      <c r="A2344" t="s">
        <v>6677</v>
      </c>
      <c r="B2344" t="s">
        <v>2022</v>
      </c>
      <c r="C2344" t="s">
        <v>2049</v>
      </c>
      <c r="D2344" t="s">
        <v>2024</v>
      </c>
      <c r="E2344" t="s">
        <v>6678</v>
      </c>
      <c r="F2344" t="s">
        <v>6679</v>
      </c>
      <c r="G2344">
        <v>4</v>
      </c>
      <c r="H2344">
        <v>1650</v>
      </c>
      <c r="I2344">
        <v>5</v>
      </c>
      <c r="J2344">
        <v>8.6</v>
      </c>
      <c r="K2344">
        <v>5</v>
      </c>
      <c r="L2344">
        <v>0.3</v>
      </c>
      <c r="M2344">
        <v>2</v>
      </c>
      <c r="N2344">
        <v>106</v>
      </c>
      <c r="O2344">
        <v>5</v>
      </c>
      <c r="P2344">
        <v>0.86</v>
      </c>
      <c r="Q2344">
        <v>3</v>
      </c>
      <c r="R2344">
        <v>1.52E-2</v>
      </c>
      <c r="T2344" t="s">
        <v>6678</v>
      </c>
    </row>
    <row r="2345" spans="1:20" x14ac:dyDescent="0.2">
      <c r="A2345" t="s">
        <v>6680</v>
      </c>
      <c r="B2345" t="s">
        <v>2022</v>
      </c>
      <c r="C2345" t="s">
        <v>2036</v>
      </c>
      <c r="D2345" t="s">
        <v>2024</v>
      </c>
      <c r="E2345" t="s">
        <v>6681</v>
      </c>
      <c r="F2345" t="s">
        <v>6682</v>
      </c>
      <c r="G2345">
        <v>4</v>
      </c>
      <c r="H2345">
        <v>1840</v>
      </c>
      <c r="I2345">
        <v>5</v>
      </c>
      <c r="J2345">
        <v>7</v>
      </c>
      <c r="K2345">
        <v>5</v>
      </c>
      <c r="L2345">
        <v>0.17499999999999999</v>
      </c>
      <c r="M2345">
        <v>4</v>
      </c>
      <c r="N2345">
        <v>94</v>
      </c>
      <c r="O2345">
        <v>5</v>
      </c>
      <c r="P2345">
        <v>0.53500000000000003</v>
      </c>
      <c r="Q2345">
        <v>5</v>
      </c>
      <c r="R2345">
        <v>1.2E-2</v>
      </c>
      <c r="T2345" t="s">
        <v>6681</v>
      </c>
    </row>
    <row r="2346" spans="1:20" x14ac:dyDescent="0.2">
      <c r="A2346" t="s">
        <v>6683</v>
      </c>
      <c r="B2346" t="s">
        <v>2022</v>
      </c>
      <c r="C2346" t="s">
        <v>2104</v>
      </c>
      <c r="D2346" t="s">
        <v>2136</v>
      </c>
      <c r="E2346" t="s">
        <v>6684</v>
      </c>
      <c r="F2346" t="s">
        <v>447</v>
      </c>
      <c r="G2346">
        <v>1</v>
      </c>
      <c r="H2346">
        <v>1537.5</v>
      </c>
      <c r="I2346">
        <v>1</v>
      </c>
      <c r="J2346">
        <v>0.95</v>
      </c>
      <c r="K2346">
        <v>2</v>
      </c>
      <c r="L2346">
        <v>4.1000000000000002E-2</v>
      </c>
      <c r="M2346">
        <v>1</v>
      </c>
      <c r="N2346">
        <v>57</v>
      </c>
      <c r="P2346">
        <v>0</v>
      </c>
      <c r="Q2346">
        <v>1</v>
      </c>
      <c r="R2346">
        <v>3.5E-4</v>
      </c>
      <c r="T2346" t="s">
        <v>6684</v>
      </c>
    </row>
    <row r="2347" spans="1:20" x14ac:dyDescent="0.2">
      <c r="A2347" t="s">
        <v>6685</v>
      </c>
      <c r="B2347" t="s">
        <v>2022</v>
      </c>
      <c r="C2347" t="s">
        <v>2036</v>
      </c>
      <c r="D2347" t="s">
        <v>2136</v>
      </c>
      <c r="E2347" t="s">
        <v>6686</v>
      </c>
      <c r="F2347" t="s">
        <v>6687</v>
      </c>
      <c r="G2347">
        <v>1</v>
      </c>
      <c r="H2347">
        <v>1540</v>
      </c>
      <c r="I2347">
        <v>1</v>
      </c>
      <c r="J2347">
        <v>2.2000000000000002</v>
      </c>
      <c r="K2347">
        <v>1</v>
      </c>
      <c r="L2347">
        <v>5.5E-2</v>
      </c>
      <c r="M2347">
        <v>2</v>
      </c>
      <c r="N2347">
        <v>82</v>
      </c>
      <c r="O2347">
        <v>1</v>
      </c>
      <c r="P2347">
        <v>9.5000000000000001E-2</v>
      </c>
      <c r="Q2347">
        <v>2</v>
      </c>
      <c r="R2347">
        <v>4.2500000000000003E-3</v>
      </c>
      <c r="T2347" t="s">
        <v>6686</v>
      </c>
    </row>
    <row r="2348" spans="1:20" x14ac:dyDescent="0.2">
      <c r="A2348" t="s">
        <v>6688</v>
      </c>
      <c r="B2348" t="s">
        <v>2022</v>
      </c>
      <c r="C2348" t="s">
        <v>2023</v>
      </c>
      <c r="D2348" t="s">
        <v>2024</v>
      </c>
      <c r="E2348" t="s">
        <v>6689</v>
      </c>
      <c r="F2348" t="s">
        <v>447</v>
      </c>
      <c r="G2348">
        <v>5</v>
      </c>
      <c r="H2348">
        <v>1800</v>
      </c>
      <c r="I2348">
        <v>4</v>
      </c>
      <c r="J2348">
        <v>8.4</v>
      </c>
      <c r="K2348">
        <v>5</v>
      </c>
      <c r="L2348">
        <v>8.5999999999999993E-2</v>
      </c>
      <c r="M2348">
        <v>2</v>
      </c>
      <c r="N2348">
        <v>84</v>
      </c>
      <c r="O2348">
        <v>3</v>
      </c>
      <c r="P2348">
        <v>0.375</v>
      </c>
      <c r="Q2348">
        <v>5</v>
      </c>
      <c r="R2348">
        <v>8.0000000000000002E-3</v>
      </c>
      <c r="T2348" t="s">
        <v>6689</v>
      </c>
    </row>
    <row r="2349" spans="1:20" x14ac:dyDescent="0.2">
      <c r="A2349" t="s">
        <v>6690</v>
      </c>
      <c r="B2349" t="s">
        <v>2022</v>
      </c>
      <c r="C2349" t="s">
        <v>2036</v>
      </c>
      <c r="D2349" t="s">
        <v>2024</v>
      </c>
      <c r="E2349" t="s">
        <v>6689</v>
      </c>
      <c r="F2349" t="s">
        <v>447</v>
      </c>
      <c r="G2349">
        <v>3</v>
      </c>
      <c r="H2349">
        <v>1740</v>
      </c>
      <c r="I2349">
        <v>3</v>
      </c>
      <c r="J2349">
        <v>4.5999999999999996</v>
      </c>
      <c r="K2349">
        <v>1</v>
      </c>
      <c r="L2349">
        <v>5.5E-2</v>
      </c>
      <c r="M2349">
        <v>2</v>
      </c>
      <c r="N2349">
        <v>82</v>
      </c>
      <c r="O2349">
        <v>2</v>
      </c>
      <c r="P2349">
        <v>0.20499999999999999</v>
      </c>
      <c r="Q2349">
        <v>1</v>
      </c>
      <c r="R2349">
        <v>1.5E-3</v>
      </c>
      <c r="T2349" t="s">
        <v>6689</v>
      </c>
    </row>
    <row r="2350" spans="1:20" x14ac:dyDescent="0.2">
      <c r="A2350" t="s">
        <v>6691</v>
      </c>
      <c r="B2350" t="s">
        <v>2022</v>
      </c>
      <c r="C2350" t="s">
        <v>2023</v>
      </c>
      <c r="D2350" t="s">
        <v>2136</v>
      </c>
      <c r="E2350" t="s">
        <v>6692</v>
      </c>
      <c r="F2350" t="s">
        <v>6693</v>
      </c>
      <c r="G2350">
        <v>1</v>
      </c>
      <c r="H2350">
        <v>1480</v>
      </c>
      <c r="I2350">
        <v>4</v>
      </c>
      <c r="J2350">
        <v>8.4</v>
      </c>
      <c r="K2350">
        <v>5</v>
      </c>
      <c r="L2350">
        <v>8.5999999999999993E-2</v>
      </c>
      <c r="M2350">
        <v>5</v>
      </c>
      <c r="N2350">
        <v>114</v>
      </c>
      <c r="O2350">
        <v>5</v>
      </c>
      <c r="P2350">
        <v>0.67500000000000004</v>
      </c>
      <c r="Q2350">
        <v>5</v>
      </c>
      <c r="R2350">
        <v>8.0000000000000002E-3</v>
      </c>
      <c r="T2350" t="s">
        <v>6692</v>
      </c>
    </row>
    <row r="2351" spans="1:20" x14ac:dyDescent="0.2">
      <c r="A2351" t="s">
        <v>6694</v>
      </c>
      <c r="B2351" t="s">
        <v>2022</v>
      </c>
      <c r="C2351" t="s">
        <v>2049</v>
      </c>
      <c r="D2351" t="s">
        <v>2024</v>
      </c>
      <c r="E2351" t="s">
        <v>6695</v>
      </c>
      <c r="F2351" t="s">
        <v>447</v>
      </c>
      <c r="G2351">
        <v>4</v>
      </c>
      <c r="H2351">
        <v>1650</v>
      </c>
      <c r="I2351">
        <v>5</v>
      </c>
      <c r="J2351">
        <v>8.6</v>
      </c>
      <c r="K2351">
        <v>5</v>
      </c>
      <c r="L2351">
        <v>0.3</v>
      </c>
      <c r="M2351">
        <v>2</v>
      </c>
      <c r="N2351">
        <v>106</v>
      </c>
      <c r="O2351">
        <v>4</v>
      </c>
      <c r="P2351">
        <v>0.66</v>
      </c>
      <c r="Q2351">
        <v>4</v>
      </c>
      <c r="R2351">
        <v>2.4199999999999999E-2</v>
      </c>
      <c r="T2351" t="s">
        <v>6695</v>
      </c>
    </row>
    <row r="2352" spans="1:20" x14ac:dyDescent="0.2">
      <c r="A2352" t="s">
        <v>6696</v>
      </c>
      <c r="B2352" t="s">
        <v>2022</v>
      </c>
      <c r="C2352" t="s">
        <v>2036</v>
      </c>
      <c r="D2352" t="s">
        <v>2024</v>
      </c>
      <c r="E2352" t="s">
        <v>357</v>
      </c>
      <c r="F2352" t="s">
        <v>6697</v>
      </c>
      <c r="G2352">
        <v>2</v>
      </c>
      <c r="H2352">
        <v>1640</v>
      </c>
      <c r="I2352">
        <v>3</v>
      </c>
      <c r="J2352">
        <v>4.5999999999999996</v>
      </c>
      <c r="K2352">
        <v>1</v>
      </c>
      <c r="L2352">
        <v>5.5E-2</v>
      </c>
      <c r="M2352">
        <v>2</v>
      </c>
      <c r="N2352">
        <v>82</v>
      </c>
      <c r="O2352">
        <v>2</v>
      </c>
      <c r="P2352">
        <v>0.20499999999999999</v>
      </c>
      <c r="Q2352">
        <v>1</v>
      </c>
      <c r="R2352">
        <v>1.5E-3</v>
      </c>
      <c r="T2352" t="s">
        <v>357</v>
      </c>
    </row>
    <row r="2353" spans="1:20" x14ac:dyDescent="0.2">
      <c r="A2353" t="s">
        <v>6698</v>
      </c>
      <c r="B2353" t="s">
        <v>2022</v>
      </c>
      <c r="C2353" t="s">
        <v>2023</v>
      </c>
      <c r="D2353" t="s">
        <v>2024</v>
      </c>
      <c r="E2353" t="s">
        <v>6699</v>
      </c>
      <c r="F2353" t="s">
        <v>6700</v>
      </c>
      <c r="G2353">
        <v>2</v>
      </c>
      <c r="H2353">
        <v>1560</v>
      </c>
      <c r="I2353">
        <v>1</v>
      </c>
      <c r="J2353">
        <v>0.9</v>
      </c>
      <c r="K2353">
        <v>1</v>
      </c>
      <c r="L2353">
        <v>6.0000000000000001E-3</v>
      </c>
      <c r="M2353">
        <v>2</v>
      </c>
      <c r="N2353">
        <v>84</v>
      </c>
      <c r="O2353">
        <v>1</v>
      </c>
      <c r="P2353">
        <v>7.4999999999999997E-2</v>
      </c>
      <c r="Q2353">
        <v>1</v>
      </c>
      <c r="R2353">
        <v>5.0000000000000001E-4</v>
      </c>
      <c r="T2353" t="s">
        <v>6699</v>
      </c>
    </row>
    <row r="2354" spans="1:20" x14ac:dyDescent="0.2">
      <c r="A2354" t="s">
        <v>6701</v>
      </c>
      <c r="B2354" t="s">
        <v>2022</v>
      </c>
      <c r="C2354" t="s">
        <v>2023</v>
      </c>
      <c r="D2354" t="s">
        <v>2024</v>
      </c>
      <c r="E2354" t="s">
        <v>6702</v>
      </c>
      <c r="F2354" t="s">
        <v>6703</v>
      </c>
      <c r="G2354">
        <v>2</v>
      </c>
      <c r="H2354">
        <v>1560</v>
      </c>
      <c r="I2354">
        <v>1</v>
      </c>
      <c r="J2354">
        <v>0.9</v>
      </c>
      <c r="K2354">
        <v>1</v>
      </c>
      <c r="L2354">
        <v>6.0000000000000001E-3</v>
      </c>
      <c r="M2354">
        <v>1</v>
      </c>
      <c r="N2354">
        <v>74</v>
      </c>
      <c r="O2354">
        <v>1</v>
      </c>
      <c r="P2354">
        <v>7.4999999999999997E-2</v>
      </c>
      <c r="Q2354">
        <v>1</v>
      </c>
      <c r="R2354">
        <v>5.0000000000000001E-4</v>
      </c>
      <c r="T2354" t="s">
        <v>6702</v>
      </c>
    </row>
    <row r="2355" spans="1:20" x14ac:dyDescent="0.2">
      <c r="A2355" t="s">
        <v>6704</v>
      </c>
      <c r="B2355" t="s">
        <v>2022</v>
      </c>
      <c r="C2355" t="s">
        <v>2053</v>
      </c>
      <c r="D2355" t="s">
        <v>2024</v>
      </c>
      <c r="E2355" t="s">
        <v>6705</v>
      </c>
      <c r="F2355" t="s">
        <v>6706</v>
      </c>
      <c r="G2355">
        <v>3</v>
      </c>
      <c r="H2355">
        <v>1700</v>
      </c>
      <c r="I2355">
        <v>2</v>
      </c>
      <c r="J2355">
        <v>4.05</v>
      </c>
      <c r="K2355">
        <v>1</v>
      </c>
      <c r="L2355">
        <v>1.4999999999999999E-2</v>
      </c>
      <c r="M2355">
        <v>1</v>
      </c>
      <c r="N2355">
        <v>73</v>
      </c>
      <c r="O2355">
        <v>1</v>
      </c>
      <c r="P2355">
        <v>7.4999999999999997E-2</v>
      </c>
      <c r="Q2355">
        <v>1</v>
      </c>
      <c r="R2355">
        <v>8.4999999999999995E-4</v>
      </c>
      <c r="T2355" t="s">
        <v>6705</v>
      </c>
    </row>
    <row r="2356" spans="1:20" x14ac:dyDescent="0.2">
      <c r="A2356" t="s">
        <v>6707</v>
      </c>
      <c r="B2356" t="s">
        <v>2022</v>
      </c>
      <c r="C2356" t="s">
        <v>2023</v>
      </c>
      <c r="D2356" t="s">
        <v>2136</v>
      </c>
      <c r="E2356" t="s">
        <v>6708</v>
      </c>
      <c r="F2356" t="s">
        <v>6709</v>
      </c>
      <c r="G2356">
        <v>5</v>
      </c>
      <c r="H2356">
        <v>1800</v>
      </c>
      <c r="I2356">
        <v>1</v>
      </c>
      <c r="J2356">
        <v>0.9</v>
      </c>
      <c r="K2356">
        <v>1</v>
      </c>
      <c r="L2356">
        <v>6.0000000000000001E-3</v>
      </c>
      <c r="M2356">
        <v>5</v>
      </c>
      <c r="N2356">
        <v>114</v>
      </c>
      <c r="O2356">
        <v>2</v>
      </c>
      <c r="P2356">
        <v>0.22500000000000001</v>
      </c>
      <c r="Q2356">
        <v>2</v>
      </c>
      <c r="R2356">
        <v>2E-3</v>
      </c>
      <c r="T2356" t="s">
        <v>6708</v>
      </c>
    </row>
    <row r="2357" spans="1:20" x14ac:dyDescent="0.2">
      <c r="A2357" t="s">
        <v>6710</v>
      </c>
      <c r="B2357" t="s">
        <v>2022</v>
      </c>
      <c r="C2357" t="s">
        <v>2028</v>
      </c>
      <c r="D2357" t="s">
        <v>2136</v>
      </c>
      <c r="E2357" t="s">
        <v>6708</v>
      </c>
      <c r="F2357" t="s">
        <v>6709</v>
      </c>
      <c r="G2357">
        <v>4</v>
      </c>
      <c r="H2357">
        <v>1250</v>
      </c>
      <c r="I2357">
        <v>2</v>
      </c>
      <c r="J2357">
        <v>1.55</v>
      </c>
      <c r="K2357">
        <v>2</v>
      </c>
      <c r="L2357">
        <v>4.4999999999999998E-2</v>
      </c>
      <c r="M2357">
        <v>5</v>
      </c>
      <c r="N2357">
        <v>500</v>
      </c>
      <c r="O2357">
        <v>4</v>
      </c>
      <c r="P2357">
        <v>1.05</v>
      </c>
      <c r="Q2357">
        <v>2</v>
      </c>
      <c r="R2357">
        <v>7.7499999999999999E-3</v>
      </c>
      <c r="T2357" t="s">
        <v>6708</v>
      </c>
    </row>
    <row r="2358" spans="1:20" x14ac:dyDescent="0.2">
      <c r="A2358" t="s">
        <v>6711</v>
      </c>
      <c r="B2358" t="s">
        <v>2022</v>
      </c>
      <c r="C2358" t="s">
        <v>2023</v>
      </c>
      <c r="D2358" t="s">
        <v>2136</v>
      </c>
      <c r="E2358" t="s">
        <v>6708</v>
      </c>
      <c r="F2358" t="s">
        <v>6709</v>
      </c>
      <c r="G2358">
        <v>5</v>
      </c>
      <c r="H2358">
        <v>1800</v>
      </c>
      <c r="I2358">
        <v>1</v>
      </c>
      <c r="J2358">
        <v>0.9</v>
      </c>
      <c r="K2358">
        <v>2</v>
      </c>
      <c r="L2358">
        <v>2.5999999999999999E-2</v>
      </c>
      <c r="M2358">
        <v>5</v>
      </c>
      <c r="N2358">
        <v>114</v>
      </c>
      <c r="O2358">
        <v>2</v>
      </c>
      <c r="P2358">
        <v>0.22500000000000001</v>
      </c>
      <c r="Q2358">
        <v>3</v>
      </c>
      <c r="R2358">
        <v>4.0000000000000001E-3</v>
      </c>
      <c r="T2358" t="s">
        <v>6708</v>
      </c>
    </row>
    <row r="2359" spans="1:20" x14ac:dyDescent="0.2">
      <c r="A2359" t="s">
        <v>6712</v>
      </c>
      <c r="B2359" t="s">
        <v>2022</v>
      </c>
      <c r="C2359" t="s">
        <v>2101</v>
      </c>
      <c r="D2359" t="s">
        <v>2024</v>
      </c>
      <c r="E2359" t="s">
        <v>6713</v>
      </c>
      <c r="F2359" t="s">
        <v>6714</v>
      </c>
      <c r="G2359">
        <v>4</v>
      </c>
      <c r="H2359">
        <v>1870</v>
      </c>
      <c r="I2359">
        <v>5</v>
      </c>
      <c r="J2359">
        <v>14</v>
      </c>
      <c r="K2359">
        <v>5</v>
      </c>
      <c r="L2359">
        <v>0.53749999999999998</v>
      </c>
      <c r="M2359">
        <v>3</v>
      </c>
      <c r="N2359">
        <v>82</v>
      </c>
      <c r="O2359">
        <v>5</v>
      </c>
      <c r="P2359">
        <v>0.67500000000000004</v>
      </c>
      <c r="Q2359">
        <v>5</v>
      </c>
      <c r="R2359">
        <v>2.5499999999999998E-2</v>
      </c>
      <c r="T2359" t="s">
        <v>6713</v>
      </c>
    </row>
    <row r="2360" spans="1:20" x14ac:dyDescent="0.2">
      <c r="A2360" t="s">
        <v>6715</v>
      </c>
      <c r="B2360" t="s">
        <v>2022</v>
      </c>
      <c r="C2360" t="s">
        <v>2508</v>
      </c>
      <c r="D2360" t="s">
        <v>2024</v>
      </c>
      <c r="E2360" t="s">
        <v>6716</v>
      </c>
      <c r="F2360" t="s">
        <v>447</v>
      </c>
      <c r="G2360">
        <v>2</v>
      </c>
      <c r="H2360">
        <v>1350</v>
      </c>
      <c r="I2360">
        <v>2</v>
      </c>
      <c r="J2360">
        <v>5</v>
      </c>
      <c r="K2360">
        <v>3</v>
      </c>
      <c r="L2360">
        <v>0.26</v>
      </c>
      <c r="M2360">
        <v>1</v>
      </c>
      <c r="N2360">
        <v>92.5</v>
      </c>
      <c r="O2360">
        <v>1</v>
      </c>
      <c r="P2360">
        <v>0.45</v>
      </c>
      <c r="Q2360">
        <v>2</v>
      </c>
      <c r="R2360">
        <v>2.4E-2</v>
      </c>
      <c r="T2360" t="s">
        <v>6716</v>
      </c>
    </row>
    <row r="2361" spans="1:20" x14ac:dyDescent="0.2">
      <c r="A2361" t="s">
        <v>6717</v>
      </c>
      <c r="B2361" t="s">
        <v>2022</v>
      </c>
      <c r="C2361" t="s">
        <v>2053</v>
      </c>
      <c r="D2361" t="s">
        <v>2024</v>
      </c>
      <c r="E2361" t="s">
        <v>357</v>
      </c>
      <c r="F2361" t="s">
        <v>447</v>
      </c>
      <c r="G2361">
        <v>2</v>
      </c>
      <c r="H2361">
        <v>1600</v>
      </c>
      <c r="I2361">
        <v>2</v>
      </c>
      <c r="J2361">
        <v>4.05</v>
      </c>
      <c r="K2361">
        <v>2</v>
      </c>
      <c r="L2361">
        <v>8.5000000000000006E-2</v>
      </c>
      <c r="M2361">
        <v>1</v>
      </c>
      <c r="N2361">
        <v>73</v>
      </c>
      <c r="O2361">
        <v>2</v>
      </c>
      <c r="P2361">
        <v>0.22500000000000001</v>
      </c>
      <c r="Q2361">
        <v>2</v>
      </c>
      <c r="R2361">
        <v>5.1999999999999998E-3</v>
      </c>
      <c r="T2361" t="s">
        <v>357</v>
      </c>
    </row>
    <row r="2362" spans="1:20" x14ac:dyDescent="0.2">
      <c r="A2362" t="s">
        <v>6718</v>
      </c>
      <c r="B2362" t="s">
        <v>2022</v>
      </c>
      <c r="C2362" t="s">
        <v>2053</v>
      </c>
      <c r="D2362" t="s">
        <v>2136</v>
      </c>
      <c r="E2362" t="s">
        <v>6719</v>
      </c>
      <c r="F2362" t="s">
        <v>6720</v>
      </c>
      <c r="G2362">
        <v>3</v>
      </c>
      <c r="H2362">
        <v>1700</v>
      </c>
      <c r="I2362">
        <v>2</v>
      </c>
      <c r="J2362">
        <v>4.05</v>
      </c>
      <c r="K2362">
        <v>3</v>
      </c>
      <c r="L2362">
        <v>0.19500000000000001</v>
      </c>
      <c r="M2362">
        <v>3</v>
      </c>
      <c r="N2362">
        <v>93</v>
      </c>
      <c r="O2362">
        <v>2</v>
      </c>
      <c r="P2362">
        <v>0.22500000000000001</v>
      </c>
      <c r="Q2362">
        <v>2</v>
      </c>
      <c r="R2362">
        <v>5.1999999999999998E-3</v>
      </c>
      <c r="T2362" t="s">
        <v>6719</v>
      </c>
    </row>
    <row r="2363" spans="1:20" x14ac:dyDescent="0.2">
      <c r="A2363" t="s">
        <v>6721</v>
      </c>
      <c r="B2363" t="s">
        <v>2022</v>
      </c>
      <c r="C2363" t="s">
        <v>2036</v>
      </c>
      <c r="D2363" t="s">
        <v>2136</v>
      </c>
      <c r="E2363" t="s">
        <v>6722</v>
      </c>
      <c r="F2363" t="s">
        <v>6723</v>
      </c>
      <c r="G2363">
        <v>2</v>
      </c>
      <c r="H2363">
        <v>1640</v>
      </c>
      <c r="I2363">
        <v>2</v>
      </c>
      <c r="J2363">
        <v>3.4</v>
      </c>
      <c r="K2363">
        <v>2</v>
      </c>
      <c r="L2363">
        <v>8.5000000000000006E-2</v>
      </c>
      <c r="M2363">
        <v>2</v>
      </c>
      <c r="N2363">
        <v>82</v>
      </c>
      <c r="O2363">
        <v>1</v>
      </c>
      <c r="P2363">
        <v>9.5000000000000001E-2</v>
      </c>
      <c r="Q2363">
        <v>2</v>
      </c>
      <c r="R2363">
        <v>4.2500000000000003E-3</v>
      </c>
      <c r="T2363" t="s">
        <v>6722</v>
      </c>
    </row>
    <row r="2364" spans="1:20" x14ac:dyDescent="0.2">
      <c r="A2364" t="s">
        <v>6724</v>
      </c>
      <c r="B2364" t="s">
        <v>2022</v>
      </c>
      <c r="C2364" t="s">
        <v>2053</v>
      </c>
      <c r="D2364" t="s">
        <v>2136</v>
      </c>
      <c r="E2364" t="s">
        <v>6725</v>
      </c>
      <c r="F2364" t="s">
        <v>6726</v>
      </c>
      <c r="G2364">
        <v>5</v>
      </c>
      <c r="H2364">
        <v>1900</v>
      </c>
      <c r="I2364">
        <v>2</v>
      </c>
      <c r="J2364">
        <v>4.05</v>
      </c>
      <c r="K2364">
        <v>2</v>
      </c>
      <c r="L2364">
        <v>8.5000000000000006E-2</v>
      </c>
      <c r="M2364">
        <v>5</v>
      </c>
      <c r="N2364">
        <v>113</v>
      </c>
      <c r="O2364">
        <v>3</v>
      </c>
      <c r="P2364">
        <v>0.375</v>
      </c>
      <c r="Q2364">
        <v>2</v>
      </c>
      <c r="R2364">
        <v>5.1999999999999998E-3</v>
      </c>
      <c r="T2364" t="s">
        <v>6725</v>
      </c>
    </row>
    <row r="2365" spans="1:20" x14ac:dyDescent="0.2">
      <c r="A2365" t="s">
        <v>6727</v>
      </c>
      <c r="B2365" t="s">
        <v>2022</v>
      </c>
      <c r="C2365" t="s">
        <v>2023</v>
      </c>
      <c r="D2365" t="s">
        <v>2024</v>
      </c>
      <c r="E2365" t="s">
        <v>6728</v>
      </c>
      <c r="F2365" t="s">
        <v>6729</v>
      </c>
      <c r="G2365">
        <v>1</v>
      </c>
      <c r="H2365">
        <v>1480</v>
      </c>
      <c r="I2365">
        <v>2</v>
      </c>
      <c r="J2365">
        <v>3.4</v>
      </c>
      <c r="K2365">
        <v>4</v>
      </c>
      <c r="L2365">
        <v>6.6000000000000003E-2</v>
      </c>
      <c r="M2365">
        <v>2</v>
      </c>
      <c r="N2365">
        <v>84</v>
      </c>
      <c r="O2365">
        <v>1</v>
      </c>
      <c r="P2365">
        <v>7.4999999999999997E-2</v>
      </c>
      <c r="Q2365">
        <v>3</v>
      </c>
      <c r="R2365">
        <v>4.0000000000000001E-3</v>
      </c>
      <c r="T2365" t="s">
        <v>6728</v>
      </c>
    </row>
    <row r="2366" spans="1:20" x14ac:dyDescent="0.2">
      <c r="A2366" t="s">
        <v>6730</v>
      </c>
      <c r="B2366" t="s">
        <v>2022</v>
      </c>
      <c r="C2366" t="s">
        <v>2023</v>
      </c>
      <c r="D2366" t="s">
        <v>2024</v>
      </c>
      <c r="E2366" t="s">
        <v>6731</v>
      </c>
      <c r="F2366" t="s">
        <v>6732</v>
      </c>
      <c r="G2366">
        <v>1</v>
      </c>
      <c r="H2366">
        <v>1480</v>
      </c>
      <c r="I2366">
        <v>1</v>
      </c>
      <c r="J2366">
        <v>0.9</v>
      </c>
      <c r="K2366">
        <v>2</v>
      </c>
      <c r="L2366">
        <v>2.5999999999999999E-2</v>
      </c>
      <c r="M2366">
        <v>1</v>
      </c>
      <c r="N2366">
        <v>74</v>
      </c>
      <c r="O2366">
        <v>1</v>
      </c>
      <c r="P2366">
        <v>7.4999999999999997E-2</v>
      </c>
      <c r="Q2366">
        <v>2</v>
      </c>
      <c r="R2366">
        <v>2E-3</v>
      </c>
      <c r="T2366" t="s">
        <v>6731</v>
      </c>
    </row>
    <row r="2367" spans="1:20" x14ac:dyDescent="0.2">
      <c r="A2367" t="s">
        <v>6733</v>
      </c>
      <c r="B2367" t="s">
        <v>2022</v>
      </c>
      <c r="C2367" t="s">
        <v>2106</v>
      </c>
      <c r="D2367" t="s">
        <v>2024</v>
      </c>
      <c r="E2367" t="s">
        <v>6734</v>
      </c>
      <c r="F2367" t="s">
        <v>6735</v>
      </c>
      <c r="G2367">
        <v>5</v>
      </c>
      <c r="H2367">
        <v>2275</v>
      </c>
      <c r="I2367">
        <v>5</v>
      </c>
      <c r="J2367">
        <v>13.25</v>
      </c>
      <c r="K2367">
        <v>5</v>
      </c>
      <c r="L2367">
        <v>0.3</v>
      </c>
      <c r="M2367">
        <v>5</v>
      </c>
      <c r="N2367">
        <v>89.5</v>
      </c>
      <c r="O2367">
        <v>5</v>
      </c>
      <c r="P2367">
        <v>0.45</v>
      </c>
      <c r="Q2367">
        <v>5</v>
      </c>
      <c r="R2367">
        <v>8.5000000000000006E-3</v>
      </c>
      <c r="T2367" t="s">
        <v>6734</v>
      </c>
    </row>
    <row r="2368" spans="1:20" x14ac:dyDescent="0.2">
      <c r="A2368" t="s">
        <v>6736</v>
      </c>
      <c r="B2368" t="s">
        <v>2022</v>
      </c>
      <c r="C2368" t="s">
        <v>2023</v>
      </c>
      <c r="D2368" t="s">
        <v>2024</v>
      </c>
      <c r="E2368" t="s">
        <v>6737</v>
      </c>
      <c r="F2368" t="s">
        <v>6738</v>
      </c>
      <c r="G2368">
        <v>4</v>
      </c>
      <c r="H2368">
        <v>1720</v>
      </c>
      <c r="I2368">
        <v>3</v>
      </c>
      <c r="J2368">
        <v>5.9</v>
      </c>
      <c r="K2368">
        <v>5</v>
      </c>
      <c r="L2368">
        <v>8.5999999999999993E-2</v>
      </c>
      <c r="M2368">
        <v>2</v>
      </c>
      <c r="N2368">
        <v>84</v>
      </c>
      <c r="O2368">
        <v>3</v>
      </c>
      <c r="P2368">
        <v>0.375</v>
      </c>
      <c r="Q2368">
        <v>4</v>
      </c>
      <c r="R2368">
        <v>6.0000000000000001E-3</v>
      </c>
      <c r="T2368" t="s">
        <v>6737</v>
      </c>
    </row>
    <row r="2369" spans="1:20" x14ac:dyDescent="0.2">
      <c r="A2369" t="s">
        <v>6739</v>
      </c>
      <c r="B2369" t="s">
        <v>2022</v>
      </c>
      <c r="C2369" t="s">
        <v>2023</v>
      </c>
      <c r="D2369" t="s">
        <v>2024</v>
      </c>
      <c r="E2369" t="s">
        <v>6740</v>
      </c>
      <c r="F2369" t="s">
        <v>6741</v>
      </c>
      <c r="G2369">
        <v>5</v>
      </c>
      <c r="H2369">
        <v>1800</v>
      </c>
      <c r="I2369">
        <v>5</v>
      </c>
      <c r="J2369">
        <v>10.9</v>
      </c>
      <c r="K2369">
        <v>5</v>
      </c>
      <c r="L2369">
        <v>8.5999999999999993E-2</v>
      </c>
      <c r="M2369">
        <v>2</v>
      </c>
      <c r="N2369">
        <v>84</v>
      </c>
      <c r="O2369">
        <v>4</v>
      </c>
      <c r="P2369">
        <v>0.52500000000000002</v>
      </c>
      <c r="Q2369">
        <v>5</v>
      </c>
      <c r="R2369">
        <v>8.0000000000000002E-3</v>
      </c>
      <c r="T2369" t="s">
        <v>6740</v>
      </c>
    </row>
    <row r="2370" spans="1:20" x14ac:dyDescent="0.2">
      <c r="A2370" t="s">
        <v>6742</v>
      </c>
      <c r="B2370" t="s">
        <v>2022</v>
      </c>
      <c r="C2370" t="s">
        <v>2023</v>
      </c>
      <c r="D2370" t="s">
        <v>2024</v>
      </c>
      <c r="E2370" t="s">
        <v>357</v>
      </c>
      <c r="F2370" t="s">
        <v>447</v>
      </c>
      <c r="G2370">
        <v>3</v>
      </c>
      <c r="H2370">
        <v>1640</v>
      </c>
      <c r="I2370">
        <v>1</v>
      </c>
      <c r="J2370">
        <v>0.9</v>
      </c>
      <c r="K2370">
        <v>1</v>
      </c>
      <c r="L2370">
        <v>6.0000000000000001E-3</v>
      </c>
      <c r="M2370">
        <v>3</v>
      </c>
      <c r="N2370">
        <v>94</v>
      </c>
      <c r="O2370">
        <v>1</v>
      </c>
      <c r="P2370">
        <v>7.4999999999999997E-2</v>
      </c>
      <c r="Q2370">
        <v>1</v>
      </c>
      <c r="R2370">
        <v>5.0000000000000001E-4</v>
      </c>
      <c r="T2370" t="s">
        <v>357</v>
      </c>
    </row>
    <row r="2371" spans="1:20" x14ac:dyDescent="0.2">
      <c r="A2371" t="s">
        <v>6743</v>
      </c>
      <c r="B2371" t="s">
        <v>2022</v>
      </c>
      <c r="C2371" t="s">
        <v>2053</v>
      </c>
      <c r="D2371" t="s">
        <v>2154</v>
      </c>
      <c r="E2371" t="s">
        <v>6744</v>
      </c>
      <c r="F2371" t="s">
        <v>6745</v>
      </c>
      <c r="G2371">
        <v>1</v>
      </c>
      <c r="H2371">
        <v>1500</v>
      </c>
      <c r="I2371">
        <v>2</v>
      </c>
      <c r="J2371">
        <v>4.05</v>
      </c>
      <c r="K2371">
        <v>3</v>
      </c>
      <c r="L2371">
        <v>0.19500000000000001</v>
      </c>
      <c r="M2371">
        <v>5</v>
      </c>
      <c r="N2371">
        <v>113</v>
      </c>
      <c r="O2371">
        <v>5</v>
      </c>
      <c r="P2371">
        <v>0.67500000000000004</v>
      </c>
      <c r="Q2371">
        <v>5</v>
      </c>
      <c r="R2371">
        <v>2.6200000000000001E-2</v>
      </c>
      <c r="T2371" t="s">
        <v>6744</v>
      </c>
    </row>
    <row r="2372" spans="1:20" x14ac:dyDescent="0.2">
      <c r="A2372" t="s">
        <v>6746</v>
      </c>
      <c r="B2372" t="s">
        <v>2022</v>
      </c>
      <c r="C2372" t="s">
        <v>2023</v>
      </c>
      <c r="D2372" t="s">
        <v>2024</v>
      </c>
      <c r="E2372" t="s">
        <v>6747</v>
      </c>
      <c r="F2372" t="s">
        <v>6748</v>
      </c>
      <c r="G2372">
        <v>1</v>
      </c>
      <c r="H2372">
        <v>1480</v>
      </c>
      <c r="I2372">
        <v>1</v>
      </c>
      <c r="J2372">
        <v>0.9</v>
      </c>
      <c r="K2372">
        <v>2</v>
      </c>
      <c r="L2372">
        <v>2.5999999999999999E-2</v>
      </c>
      <c r="M2372">
        <v>2</v>
      </c>
      <c r="N2372">
        <v>84</v>
      </c>
      <c r="O2372">
        <v>1</v>
      </c>
      <c r="P2372">
        <v>7.4999999999999997E-2</v>
      </c>
      <c r="Q2372">
        <v>2</v>
      </c>
      <c r="R2372">
        <v>2E-3</v>
      </c>
      <c r="T2372" t="s">
        <v>6747</v>
      </c>
    </row>
    <row r="2373" spans="1:20" x14ac:dyDescent="0.2">
      <c r="A2373" t="s">
        <v>6749</v>
      </c>
      <c r="B2373" t="s">
        <v>2022</v>
      </c>
      <c r="C2373" t="s">
        <v>2036</v>
      </c>
      <c r="D2373" t="s">
        <v>2024</v>
      </c>
      <c r="E2373" t="s">
        <v>6750</v>
      </c>
      <c r="F2373" t="s">
        <v>6751</v>
      </c>
      <c r="G2373">
        <v>4</v>
      </c>
      <c r="H2373">
        <v>1840</v>
      </c>
      <c r="I2373">
        <v>3</v>
      </c>
      <c r="J2373">
        <v>4.5999999999999996</v>
      </c>
      <c r="K2373">
        <v>2</v>
      </c>
      <c r="L2373">
        <v>8.5000000000000006E-2</v>
      </c>
      <c r="M2373">
        <v>2</v>
      </c>
      <c r="N2373">
        <v>82</v>
      </c>
      <c r="O2373">
        <v>2</v>
      </c>
      <c r="P2373">
        <v>0.20499999999999999</v>
      </c>
      <c r="Q2373">
        <v>2</v>
      </c>
      <c r="R2373">
        <v>4.2500000000000003E-3</v>
      </c>
      <c r="T2373" t="s">
        <v>6750</v>
      </c>
    </row>
    <row r="2374" spans="1:20" x14ac:dyDescent="0.2">
      <c r="A2374" t="s">
        <v>6752</v>
      </c>
      <c r="B2374" t="s">
        <v>2022</v>
      </c>
      <c r="C2374" t="s">
        <v>2023</v>
      </c>
      <c r="D2374" t="s">
        <v>2024</v>
      </c>
      <c r="E2374" t="s">
        <v>6753</v>
      </c>
      <c r="F2374" t="s">
        <v>6754</v>
      </c>
      <c r="G2374">
        <v>2</v>
      </c>
      <c r="H2374">
        <v>1560</v>
      </c>
      <c r="I2374">
        <v>1</v>
      </c>
      <c r="J2374">
        <v>0.9</v>
      </c>
      <c r="K2374">
        <v>2</v>
      </c>
      <c r="L2374">
        <v>2.5999999999999999E-2</v>
      </c>
      <c r="M2374">
        <v>1</v>
      </c>
      <c r="N2374">
        <v>74</v>
      </c>
      <c r="O2374">
        <v>1</v>
      </c>
      <c r="P2374">
        <v>7.4999999999999997E-2</v>
      </c>
      <c r="Q2374">
        <v>2</v>
      </c>
      <c r="R2374">
        <v>2E-3</v>
      </c>
      <c r="T2374" t="s">
        <v>6753</v>
      </c>
    </row>
    <row r="2375" spans="1:20" x14ac:dyDescent="0.2">
      <c r="A2375" t="s">
        <v>6755</v>
      </c>
      <c r="B2375" t="s">
        <v>2022</v>
      </c>
      <c r="C2375" t="s">
        <v>2053</v>
      </c>
      <c r="D2375" t="s">
        <v>2024</v>
      </c>
      <c r="E2375" t="s">
        <v>6756</v>
      </c>
      <c r="F2375" t="s">
        <v>6757</v>
      </c>
      <c r="G2375">
        <v>3</v>
      </c>
      <c r="H2375">
        <v>1700</v>
      </c>
      <c r="I2375">
        <v>2</v>
      </c>
      <c r="J2375">
        <v>4.05</v>
      </c>
      <c r="K2375">
        <v>2</v>
      </c>
      <c r="L2375">
        <v>8.5000000000000006E-2</v>
      </c>
      <c r="M2375">
        <v>3</v>
      </c>
      <c r="N2375">
        <v>93</v>
      </c>
      <c r="O2375">
        <v>2</v>
      </c>
      <c r="P2375">
        <v>0.22500000000000001</v>
      </c>
      <c r="Q2375">
        <v>2</v>
      </c>
      <c r="R2375">
        <v>5.1999999999999998E-3</v>
      </c>
      <c r="T2375" t="s">
        <v>6756</v>
      </c>
    </row>
    <row r="2376" spans="1:20" x14ac:dyDescent="0.2">
      <c r="A2376" t="s">
        <v>6758</v>
      </c>
      <c r="B2376" t="s">
        <v>2022</v>
      </c>
      <c r="C2376" t="s">
        <v>2036</v>
      </c>
      <c r="D2376" t="s">
        <v>2024</v>
      </c>
      <c r="E2376" t="s">
        <v>6759</v>
      </c>
      <c r="F2376" t="s">
        <v>6760</v>
      </c>
      <c r="G2376">
        <v>3</v>
      </c>
      <c r="H2376">
        <v>1740</v>
      </c>
      <c r="I2376">
        <v>2</v>
      </c>
      <c r="J2376">
        <v>3.4</v>
      </c>
      <c r="K2376">
        <v>5</v>
      </c>
      <c r="L2376">
        <v>0.17499999999999999</v>
      </c>
      <c r="M2376">
        <v>3</v>
      </c>
      <c r="N2376">
        <v>88</v>
      </c>
      <c r="O2376">
        <v>2</v>
      </c>
      <c r="P2376">
        <v>0.20499999999999999</v>
      </c>
      <c r="Q2376">
        <v>4</v>
      </c>
      <c r="R2376">
        <v>9.2499999999999995E-3</v>
      </c>
      <c r="T2376" t="s">
        <v>6759</v>
      </c>
    </row>
    <row r="2377" spans="1:20" x14ac:dyDescent="0.2">
      <c r="A2377" t="s">
        <v>6761</v>
      </c>
      <c r="B2377" t="s">
        <v>2022</v>
      </c>
      <c r="C2377" t="s">
        <v>2049</v>
      </c>
      <c r="D2377" t="s">
        <v>2024</v>
      </c>
      <c r="E2377" t="s">
        <v>6762</v>
      </c>
      <c r="F2377" t="s">
        <v>6763</v>
      </c>
      <c r="G2377">
        <v>3</v>
      </c>
      <c r="H2377">
        <v>1550</v>
      </c>
      <c r="I2377">
        <v>1</v>
      </c>
      <c r="J2377">
        <v>1.4</v>
      </c>
      <c r="K2377">
        <v>1</v>
      </c>
      <c r="L2377">
        <v>0.01</v>
      </c>
      <c r="M2377">
        <v>5</v>
      </c>
      <c r="N2377">
        <v>166</v>
      </c>
      <c r="O2377">
        <v>2</v>
      </c>
      <c r="P2377">
        <v>0.26</v>
      </c>
      <c r="Q2377">
        <v>2</v>
      </c>
      <c r="R2377">
        <v>6.1999999999999998E-3</v>
      </c>
      <c r="T2377" t="s">
        <v>6762</v>
      </c>
    </row>
    <row r="2378" spans="1:20" x14ac:dyDescent="0.2">
      <c r="A2378" t="s">
        <v>6764</v>
      </c>
      <c r="B2378" t="s">
        <v>2022</v>
      </c>
      <c r="C2378" t="s">
        <v>2049</v>
      </c>
      <c r="D2378" t="s">
        <v>2024</v>
      </c>
      <c r="E2378" t="s">
        <v>6765</v>
      </c>
      <c r="F2378" t="s">
        <v>6766</v>
      </c>
      <c r="G2378">
        <v>4</v>
      </c>
      <c r="H2378">
        <v>1650</v>
      </c>
      <c r="I2378">
        <v>4</v>
      </c>
      <c r="J2378">
        <v>6.8</v>
      </c>
      <c r="K2378">
        <v>4</v>
      </c>
      <c r="L2378">
        <v>0.22</v>
      </c>
      <c r="M2378">
        <v>1</v>
      </c>
      <c r="N2378">
        <v>86</v>
      </c>
      <c r="O2378">
        <v>3</v>
      </c>
      <c r="P2378">
        <v>0.46</v>
      </c>
      <c r="Q2378">
        <v>3</v>
      </c>
      <c r="R2378">
        <v>1.52E-2</v>
      </c>
      <c r="T2378" t="s">
        <v>6765</v>
      </c>
    </row>
    <row r="2379" spans="1:20" x14ac:dyDescent="0.2">
      <c r="A2379" t="s">
        <v>6767</v>
      </c>
      <c r="B2379" t="s">
        <v>2022</v>
      </c>
      <c r="C2379" t="s">
        <v>2053</v>
      </c>
      <c r="D2379" t="s">
        <v>2024</v>
      </c>
      <c r="E2379" t="s">
        <v>6768</v>
      </c>
      <c r="F2379" t="s">
        <v>6769</v>
      </c>
      <c r="G2379">
        <v>5</v>
      </c>
      <c r="H2379">
        <v>1900</v>
      </c>
      <c r="I2379">
        <v>3</v>
      </c>
      <c r="J2379">
        <v>6.55</v>
      </c>
      <c r="K2379">
        <v>3</v>
      </c>
      <c r="L2379">
        <v>0.19500000000000001</v>
      </c>
      <c r="M2379">
        <v>3</v>
      </c>
      <c r="N2379">
        <v>93</v>
      </c>
      <c r="O2379">
        <v>3</v>
      </c>
      <c r="P2379">
        <v>0.375</v>
      </c>
      <c r="Q2379">
        <v>2</v>
      </c>
      <c r="R2379">
        <v>5.1999999999999998E-3</v>
      </c>
      <c r="T2379" t="s">
        <v>6768</v>
      </c>
    </row>
    <row r="2380" spans="1:20" x14ac:dyDescent="0.2">
      <c r="A2380" t="s">
        <v>6770</v>
      </c>
      <c r="B2380" t="s">
        <v>2022</v>
      </c>
      <c r="C2380" t="s">
        <v>2095</v>
      </c>
      <c r="D2380" t="s">
        <v>2024</v>
      </c>
      <c r="E2380" t="s">
        <v>6771</v>
      </c>
      <c r="F2380" t="s">
        <v>6772</v>
      </c>
      <c r="G2380">
        <v>3</v>
      </c>
      <c r="H2380">
        <v>1745</v>
      </c>
      <c r="I2380">
        <v>5</v>
      </c>
      <c r="J2380">
        <v>16.5</v>
      </c>
      <c r="K2380">
        <v>5</v>
      </c>
      <c r="L2380">
        <v>0.73</v>
      </c>
      <c r="M2380">
        <v>2</v>
      </c>
      <c r="N2380">
        <v>80</v>
      </c>
      <c r="O2380">
        <v>5</v>
      </c>
      <c r="P2380">
        <v>0.95</v>
      </c>
      <c r="Q2380">
        <v>5</v>
      </c>
      <c r="R2380">
        <v>3.2899999999999999E-2</v>
      </c>
      <c r="T2380" t="s">
        <v>6771</v>
      </c>
    </row>
    <row r="2381" spans="1:20" x14ac:dyDescent="0.2">
      <c r="A2381" t="s">
        <v>6773</v>
      </c>
      <c r="B2381" t="s">
        <v>2022</v>
      </c>
      <c r="C2381" t="s">
        <v>2053</v>
      </c>
      <c r="D2381" t="s">
        <v>2024</v>
      </c>
      <c r="E2381" t="s">
        <v>6774</v>
      </c>
      <c r="F2381" t="s">
        <v>447</v>
      </c>
      <c r="G2381">
        <v>2</v>
      </c>
      <c r="H2381">
        <v>1600</v>
      </c>
      <c r="I2381">
        <v>1</v>
      </c>
      <c r="J2381">
        <v>1.55</v>
      </c>
      <c r="K2381">
        <v>1</v>
      </c>
      <c r="L2381">
        <v>1.4999999999999999E-2</v>
      </c>
      <c r="M2381">
        <v>1</v>
      </c>
      <c r="N2381">
        <v>73</v>
      </c>
      <c r="O2381">
        <v>1</v>
      </c>
      <c r="P2381">
        <v>7.4999999999999997E-2</v>
      </c>
      <c r="Q2381">
        <v>1</v>
      </c>
      <c r="R2381">
        <v>8.4999999999999995E-4</v>
      </c>
      <c r="T2381" t="s">
        <v>6774</v>
      </c>
    </row>
    <row r="2382" spans="1:20" x14ac:dyDescent="0.2">
      <c r="A2382" t="s">
        <v>6775</v>
      </c>
      <c r="B2382" t="s">
        <v>2022</v>
      </c>
      <c r="C2382" t="s">
        <v>2023</v>
      </c>
      <c r="D2382" t="s">
        <v>2024</v>
      </c>
      <c r="E2382" t="s">
        <v>6776</v>
      </c>
      <c r="F2382" t="s">
        <v>6777</v>
      </c>
      <c r="G2382">
        <v>2</v>
      </c>
      <c r="H2382">
        <v>1560</v>
      </c>
      <c r="I2382">
        <v>2</v>
      </c>
      <c r="J2382">
        <v>3.4</v>
      </c>
      <c r="K2382">
        <v>5</v>
      </c>
      <c r="L2382">
        <v>8.5999999999999993E-2</v>
      </c>
      <c r="M2382">
        <v>1</v>
      </c>
      <c r="N2382">
        <v>74</v>
      </c>
      <c r="O2382">
        <v>2</v>
      </c>
      <c r="P2382">
        <v>0.22500000000000001</v>
      </c>
      <c r="Q2382">
        <v>3</v>
      </c>
      <c r="R2382">
        <v>4.0000000000000001E-3</v>
      </c>
      <c r="T2382" t="s">
        <v>6776</v>
      </c>
    </row>
    <row r="2383" spans="1:20" x14ac:dyDescent="0.2">
      <c r="A2383" t="s">
        <v>6778</v>
      </c>
      <c r="B2383" t="s">
        <v>2022</v>
      </c>
      <c r="C2383" t="s">
        <v>2023</v>
      </c>
      <c r="D2383" t="s">
        <v>2024</v>
      </c>
      <c r="E2383" t="s">
        <v>6779</v>
      </c>
      <c r="F2383" t="s">
        <v>6780</v>
      </c>
      <c r="G2383">
        <v>1</v>
      </c>
      <c r="H2383">
        <v>1480</v>
      </c>
      <c r="I2383">
        <v>1</v>
      </c>
      <c r="J2383">
        <v>0.9</v>
      </c>
      <c r="K2383">
        <v>1</v>
      </c>
      <c r="L2383">
        <v>6.0000000000000001E-3</v>
      </c>
      <c r="M2383">
        <v>1</v>
      </c>
      <c r="N2383">
        <v>74</v>
      </c>
      <c r="O2383">
        <v>1</v>
      </c>
      <c r="P2383">
        <v>7.4999999999999997E-2</v>
      </c>
      <c r="Q2383">
        <v>1</v>
      </c>
      <c r="R2383">
        <v>5.0000000000000001E-4</v>
      </c>
      <c r="T2383" t="s">
        <v>6779</v>
      </c>
    </row>
    <row r="2384" spans="1:20" x14ac:dyDescent="0.2">
      <c r="A2384" t="s">
        <v>6781</v>
      </c>
      <c r="B2384" t="s">
        <v>2022</v>
      </c>
      <c r="C2384" t="s">
        <v>2023</v>
      </c>
      <c r="D2384" t="s">
        <v>2024</v>
      </c>
      <c r="E2384" t="s">
        <v>6782</v>
      </c>
      <c r="F2384" t="s">
        <v>6783</v>
      </c>
      <c r="G2384">
        <v>3</v>
      </c>
      <c r="H2384">
        <v>1640</v>
      </c>
      <c r="I2384">
        <v>2</v>
      </c>
      <c r="J2384">
        <v>3.4</v>
      </c>
      <c r="K2384">
        <v>2</v>
      </c>
      <c r="L2384">
        <v>2.5999999999999999E-2</v>
      </c>
      <c r="M2384">
        <v>2</v>
      </c>
      <c r="N2384">
        <v>84</v>
      </c>
      <c r="O2384">
        <v>2</v>
      </c>
      <c r="P2384">
        <v>0.22500000000000001</v>
      </c>
      <c r="Q2384">
        <v>2</v>
      </c>
      <c r="R2384">
        <v>2E-3</v>
      </c>
      <c r="T2384" t="s">
        <v>6782</v>
      </c>
    </row>
    <row r="2385" spans="1:20" x14ac:dyDescent="0.2">
      <c r="A2385" t="s">
        <v>6784</v>
      </c>
      <c r="B2385" t="s">
        <v>2022</v>
      </c>
      <c r="C2385" t="s">
        <v>2023</v>
      </c>
      <c r="D2385" t="s">
        <v>2024</v>
      </c>
      <c r="E2385" t="s">
        <v>6785</v>
      </c>
      <c r="F2385" t="s">
        <v>447</v>
      </c>
      <c r="G2385">
        <v>1</v>
      </c>
      <c r="H2385">
        <v>1480</v>
      </c>
      <c r="I2385">
        <v>1</v>
      </c>
      <c r="J2385">
        <v>0.9</v>
      </c>
      <c r="K2385">
        <v>1</v>
      </c>
      <c r="L2385">
        <v>6.0000000000000001E-3</v>
      </c>
      <c r="M2385">
        <v>5</v>
      </c>
      <c r="N2385">
        <v>114</v>
      </c>
      <c r="O2385">
        <v>2</v>
      </c>
      <c r="P2385">
        <v>0.22500000000000001</v>
      </c>
      <c r="Q2385">
        <v>3</v>
      </c>
      <c r="R2385">
        <v>4.0000000000000001E-3</v>
      </c>
      <c r="T2385" t="s">
        <v>6785</v>
      </c>
    </row>
    <row r="2386" spans="1:20" x14ac:dyDescent="0.2">
      <c r="A2386" t="s">
        <v>6786</v>
      </c>
      <c r="B2386" t="s">
        <v>2022</v>
      </c>
      <c r="C2386" t="s">
        <v>2023</v>
      </c>
      <c r="D2386" t="s">
        <v>2136</v>
      </c>
      <c r="E2386" t="s">
        <v>357</v>
      </c>
      <c r="F2386" t="s">
        <v>447</v>
      </c>
      <c r="G2386">
        <v>1</v>
      </c>
      <c r="H2386">
        <v>1480</v>
      </c>
      <c r="I2386">
        <v>1</v>
      </c>
      <c r="J2386">
        <v>0.9</v>
      </c>
      <c r="K2386">
        <v>1</v>
      </c>
      <c r="L2386">
        <v>6.0000000000000001E-3</v>
      </c>
      <c r="M2386">
        <v>4</v>
      </c>
      <c r="N2386">
        <v>104</v>
      </c>
      <c r="O2386">
        <v>1</v>
      </c>
      <c r="P2386">
        <v>7.4999999999999997E-2</v>
      </c>
      <c r="Q2386">
        <v>1</v>
      </c>
      <c r="R2386">
        <v>5.0000000000000001E-4</v>
      </c>
      <c r="T2386" t="s">
        <v>357</v>
      </c>
    </row>
    <row r="2387" spans="1:20" x14ac:dyDescent="0.2">
      <c r="A2387" t="s">
        <v>6787</v>
      </c>
      <c r="B2387" t="s">
        <v>2022</v>
      </c>
      <c r="C2387" t="s">
        <v>2023</v>
      </c>
      <c r="D2387" t="s">
        <v>2136</v>
      </c>
      <c r="E2387" t="s">
        <v>6788</v>
      </c>
      <c r="F2387" t="s">
        <v>6789</v>
      </c>
      <c r="G2387">
        <v>5</v>
      </c>
      <c r="H2387">
        <v>1800</v>
      </c>
      <c r="I2387">
        <v>1</v>
      </c>
      <c r="J2387">
        <v>0.9</v>
      </c>
      <c r="K2387">
        <v>1</v>
      </c>
      <c r="L2387">
        <v>6.0000000000000001E-3</v>
      </c>
      <c r="M2387">
        <v>2</v>
      </c>
      <c r="N2387">
        <v>84</v>
      </c>
      <c r="O2387">
        <v>1</v>
      </c>
      <c r="P2387">
        <v>7.4999999999999997E-2</v>
      </c>
      <c r="Q2387">
        <v>1</v>
      </c>
      <c r="R2387">
        <v>5.0000000000000001E-4</v>
      </c>
      <c r="T2387" t="s">
        <v>6788</v>
      </c>
    </row>
    <row r="2388" spans="1:20" x14ac:dyDescent="0.2">
      <c r="A2388" t="s">
        <v>6790</v>
      </c>
      <c r="B2388" t="s">
        <v>2022</v>
      </c>
      <c r="C2388" t="s">
        <v>2036</v>
      </c>
      <c r="D2388" t="s">
        <v>2024</v>
      </c>
      <c r="E2388" t="s">
        <v>6791</v>
      </c>
      <c r="F2388" t="s">
        <v>6792</v>
      </c>
      <c r="G2388">
        <v>3</v>
      </c>
      <c r="H2388">
        <v>1740</v>
      </c>
      <c r="I2388">
        <v>5</v>
      </c>
      <c r="J2388">
        <v>7</v>
      </c>
      <c r="K2388">
        <v>5</v>
      </c>
      <c r="L2388">
        <v>0.17499999999999999</v>
      </c>
      <c r="M2388">
        <v>3</v>
      </c>
      <c r="N2388">
        <v>88</v>
      </c>
      <c r="O2388">
        <v>5</v>
      </c>
      <c r="P2388">
        <v>0.53500000000000003</v>
      </c>
      <c r="Q2388">
        <v>4</v>
      </c>
      <c r="R2388">
        <v>9.2499999999999995E-3</v>
      </c>
      <c r="T2388" t="s">
        <v>6791</v>
      </c>
    </row>
    <row r="2389" spans="1:20" x14ac:dyDescent="0.2">
      <c r="A2389" t="s">
        <v>6793</v>
      </c>
      <c r="B2389" t="s">
        <v>2022</v>
      </c>
      <c r="C2389" t="s">
        <v>2053</v>
      </c>
      <c r="D2389" t="s">
        <v>2024</v>
      </c>
      <c r="E2389" t="s">
        <v>6794</v>
      </c>
      <c r="F2389" t="s">
        <v>6795</v>
      </c>
      <c r="G2389">
        <v>1</v>
      </c>
      <c r="H2389">
        <v>1500</v>
      </c>
      <c r="I2389">
        <v>3</v>
      </c>
      <c r="J2389">
        <v>6.55</v>
      </c>
      <c r="K2389">
        <v>4</v>
      </c>
      <c r="L2389">
        <v>0.30499999999999999</v>
      </c>
      <c r="M2389">
        <v>1</v>
      </c>
      <c r="N2389">
        <v>73</v>
      </c>
      <c r="O2389">
        <v>3</v>
      </c>
      <c r="P2389">
        <v>0.375</v>
      </c>
      <c r="Q2389">
        <v>3</v>
      </c>
      <c r="R2389">
        <v>1.2200000000000001E-2</v>
      </c>
      <c r="T2389" t="s">
        <v>6794</v>
      </c>
    </row>
    <row r="2390" spans="1:20" x14ac:dyDescent="0.2">
      <c r="A2390" t="s">
        <v>6796</v>
      </c>
      <c r="B2390" t="s">
        <v>2022</v>
      </c>
      <c r="C2390" t="s">
        <v>2095</v>
      </c>
      <c r="D2390" t="s">
        <v>2024</v>
      </c>
      <c r="E2390" t="s">
        <v>6797</v>
      </c>
      <c r="F2390" t="s">
        <v>6798</v>
      </c>
      <c r="G2390">
        <v>3</v>
      </c>
      <c r="H2390">
        <v>1745</v>
      </c>
      <c r="I2390">
        <v>5</v>
      </c>
      <c r="J2390">
        <v>16.5</v>
      </c>
      <c r="K2390">
        <v>5</v>
      </c>
      <c r="L2390">
        <v>0.73</v>
      </c>
      <c r="M2390">
        <v>2</v>
      </c>
      <c r="N2390">
        <v>80</v>
      </c>
      <c r="O2390">
        <v>5</v>
      </c>
      <c r="P2390">
        <v>0.95</v>
      </c>
      <c r="Q2390">
        <v>5</v>
      </c>
      <c r="R2390">
        <v>3.2899999999999999E-2</v>
      </c>
      <c r="T2390" t="s">
        <v>6797</v>
      </c>
    </row>
    <row r="2391" spans="1:20" x14ac:dyDescent="0.2">
      <c r="A2391" t="s">
        <v>6799</v>
      </c>
      <c r="B2391" t="s">
        <v>2022</v>
      </c>
      <c r="C2391" t="s">
        <v>2222</v>
      </c>
      <c r="D2391" t="s">
        <v>2024</v>
      </c>
      <c r="E2391" t="s">
        <v>357</v>
      </c>
      <c r="F2391" t="s">
        <v>6800</v>
      </c>
      <c r="G2391">
        <v>5</v>
      </c>
      <c r="H2391">
        <v>1850</v>
      </c>
      <c r="I2391">
        <v>1</v>
      </c>
      <c r="J2391">
        <v>2.2999999999999998</v>
      </c>
      <c r="K2391">
        <v>1</v>
      </c>
      <c r="L2391">
        <v>0.01</v>
      </c>
      <c r="M2391">
        <v>5</v>
      </c>
      <c r="N2391">
        <v>75</v>
      </c>
      <c r="O2391">
        <v>1</v>
      </c>
      <c r="P2391">
        <v>7.0000000000000007E-2</v>
      </c>
      <c r="Q2391">
        <v>1</v>
      </c>
      <c r="R2391">
        <v>4.0000000000000002E-4</v>
      </c>
      <c r="T2391" t="s">
        <v>357</v>
      </c>
    </row>
    <row r="2392" spans="1:20" x14ac:dyDescent="0.2">
      <c r="A2392" t="s">
        <v>6801</v>
      </c>
      <c r="B2392" t="s">
        <v>2022</v>
      </c>
      <c r="C2392" t="s">
        <v>2053</v>
      </c>
      <c r="D2392" t="s">
        <v>2024</v>
      </c>
      <c r="E2392" t="s">
        <v>6802</v>
      </c>
      <c r="F2392" t="s">
        <v>6803</v>
      </c>
      <c r="G2392">
        <v>2</v>
      </c>
      <c r="H2392">
        <v>1600</v>
      </c>
      <c r="I2392">
        <v>5</v>
      </c>
      <c r="J2392">
        <v>11.55</v>
      </c>
      <c r="K2392">
        <v>5</v>
      </c>
      <c r="L2392">
        <v>0.41499999999999998</v>
      </c>
      <c r="M2392">
        <v>4</v>
      </c>
      <c r="N2392">
        <v>103</v>
      </c>
      <c r="O2392">
        <v>5</v>
      </c>
      <c r="P2392">
        <v>0.67500000000000004</v>
      </c>
      <c r="Q2392">
        <v>5</v>
      </c>
      <c r="R2392">
        <v>2.6200000000000001E-2</v>
      </c>
      <c r="T2392" t="s">
        <v>6802</v>
      </c>
    </row>
    <row r="2393" spans="1:20" x14ac:dyDescent="0.2">
      <c r="A2393" t="s">
        <v>6804</v>
      </c>
      <c r="B2393" t="s">
        <v>2022</v>
      </c>
      <c r="C2393" t="s">
        <v>2053</v>
      </c>
      <c r="D2393" t="s">
        <v>2024</v>
      </c>
      <c r="E2393" t="s">
        <v>6805</v>
      </c>
      <c r="F2393" t="s">
        <v>6806</v>
      </c>
      <c r="G2393">
        <v>5</v>
      </c>
      <c r="H2393">
        <v>1900</v>
      </c>
      <c r="I2393">
        <v>1</v>
      </c>
      <c r="J2393">
        <v>1.55</v>
      </c>
      <c r="K2393">
        <v>2</v>
      </c>
      <c r="L2393">
        <v>8.5000000000000006E-2</v>
      </c>
      <c r="M2393">
        <v>4</v>
      </c>
      <c r="N2393">
        <v>103</v>
      </c>
      <c r="O2393">
        <v>1</v>
      </c>
      <c r="P2393">
        <v>7.4999999999999997E-2</v>
      </c>
      <c r="Q2393">
        <v>2</v>
      </c>
      <c r="R2393">
        <v>5.1999999999999998E-3</v>
      </c>
      <c r="T2393" t="s">
        <v>6805</v>
      </c>
    </row>
    <row r="2394" spans="1:20" x14ac:dyDescent="0.2">
      <c r="A2394" t="s">
        <v>6807</v>
      </c>
      <c r="B2394" t="s">
        <v>2022</v>
      </c>
      <c r="C2394" t="s">
        <v>2257</v>
      </c>
      <c r="D2394" t="s">
        <v>2024</v>
      </c>
      <c r="E2394" t="s">
        <v>6808</v>
      </c>
      <c r="F2394" t="s">
        <v>447</v>
      </c>
      <c r="G2394">
        <v>4</v>
      </c>
      <c r="H2394">
        <v>1200</v>
      </c>
      <c r="I2394">
        <v>5</v>
      </c>
      <c r="J2394">
        <v>5.65</v>
      </c>
      <c r="K2394">
        <v>5</v>
      </c>
      <c r="L2394">
        <v>0.187</v>
      </c>
      <c r="M2394">
        <v>1</v>
      </c>
      <c r="N2394">
        <v>300</v>
      </c>
      <c r="O2394">
        <v>3</v>
      </c>
      <c r="P2394">
        <v>1.5</v>
      </c>
      <c r="Q2394">
        <v>3</v>
      </c>
      <c r="R2394">
        <v>3.6999999999999998E-2</v>
      </c>
      <c r="T2394" t="s">
        <v>6808</v>
      </c>
    </row>
    <row r="2395" spans="1:20" x14ac:dyDescent="0.2">
      <c r="A2395" t="s">
        <v>6809</v>
      </c>
      <c r="B2395" t="s">
        <v>2022</v>
      </c>
      <c r="C2395" t="s">
        <v>2036</v>
      </c>
      <c r="D2395" t="s">
        <v>2024</v>
      </c>
      <c r="E2395" t="s">
        <v>6810</v>
      </c>
      <c r="F2395" t="s">
        <v>6811</v>
      </c>
      <c r="G2395">
        <v>3</v>
      </c>
      <c r="H2395">
        <v>1740</v>
      </c>
      <c r="I2395">
        <v>2</v>
      </c>
      <c r="J2395">
        <v>3.4</v>
      </c>
      <c r="K2395">
        <v>2</v>
      </c>
      <c r="L2395">
        <v>8.5000000000000006E-2</v>
      </c>
      <c r="M2395">
        <v>2</v>
      </c>
      <c r="N2395">
        <v>82</v>
      </c>
      <c r="O2395">
        <v>1</v>
      </c>
      <c r="P2395">
        <v>9.5000000000000001E-2</v>
      </c>
      <c r="Q2395">
        <v>2</v>
      </c>
      <c r="R2395">
        <v>4.2500000000000003E-3</v>
      </c>
      <c r="T2395" t="s">
        <v>6810</v>
      </c>
    </row>
    <row r="2396" spans="1:20" x14ac:dyDescent="0.2">
      <c r="A2396" t="s">
        <v>6812</v>
      </c>
      <c r="B2396" t="s">
        <v>2022</v>
      </c>
      <c r="C2396" t="s">
        <v>2023</v>
      </c>
      <c r="D2396" t="s">
        <v>2024</v>
      </c>
      <c r="E2396" t="s">
        <v>6813</v>
      </c>
      <c r="F2396" t="s">
        <v>6814</v>
      </c>
      <c r="G2396">
        <v>2</v>
      </c>
      <c r="H2396">
        <v>1560</v>
      </c>
      <c r="I2396">
        <v>1</v>
      </c>
      <c r="J2396">
        <v>0.9</v>
      </c>
      <c r="K2396">
        <v>1</v>
      </c>
      <c r="L2396">
        <v>6.0000000000000001E-3</v>
      </c>
      <c r="M2396">
        <v>2</v>
      </c>
      <c r="N2396">
        <v>84</v>
      </c>
      <c r="O2396">
        <v>1</v>
      </c>
      <c r="P2396">
        <v>7.4999999999999997E-2</v>
      </c>
      <c r="Q2396">
        <v>1</v>
      </c>
      <c r="R2396">
        <v>5.0000000000000001E-4</v>
      </c>
      <c r="T2396" t="s">
        <v>6813</v>
      </c>
    </row>
    <row r="2397" spans="1:20" x14ac:dyDescent="0.2">
      <c r="A2397" t="s">
        <v>6815</v>
      </c>
      <c r="B2397" t="s">
        <v>2022</v>
      </c>
      <c r="C2397" t="s">
        <v>2023</v>
      </c>
      <c r="D2397" t="s">
        <v>2024</v>
      </c>
      <c r="E2397" t="s">
        <v>6816</v>
      </c>
      <c r="F2397" t="s">
        <v>6814</v>
      </c>
      <c r="G2397">
        <v>5</v>
      </c>
      <c r="H2397">
        <v>1800</v>
      </c>
      <c r="I2397">
        <v>4</v>
      </c>
      <c r="J2397">
        <v>8.4</v>
      </c>
      <c r="K2397">
        <v>5</v>
      </c>
      <c r="L2397">
        <v>8.5999999999999993E-2</v>
      </c>
      <c r="M2397">
        <v>5</v>
      </c>
      <c r="N2397">
        <v>114</v>
      </c>
      <c r="O2397">
        <v>3</v>
      </c>
      <c r="P2397">
        <v>0.375</v>
      </c>
      <c r="Q2397">
        <v>5</v>
      </c>
      <c r="R2397">
        <v>8.0000000000000002E-3</v>
      </c>
      <c r="T2397" t="s">
        <v>6816</v>
      </c>
    </row>
    <row r="2398" spans="1:20" x14ac:dyDescent="0.2">
      <c r="A2398" t="s">
        <v>6817</v>
      </c>
      <c r="B2398" t="s">
        <v>2022</v>
      </c>
      <c r="C2398" t="s">
        <v>2023</v>
      </c>
      <c r="D2398" t="s">
        <v>2024</v>
      </c>
      <c r="E2398" t="s">
        <v>6816</v>
      </c>
      <c r="F2398" t="s">
        <v>6814</v>
      </c>
      <c r="G2398">
        <v>1</v>
      </c>
      <c r="H2398">
        <v>1480</v>
      </c>
      <c r="I2398">
        <v>1</v>
      </c>
      <c r="J2398">
        <v>0.9</v>
      </c>
      <c r="K2398">
        <v>1</v>
      </c>
      <c r="L2398">
        <v>6.0000000000000001E-3</v>
      </c>
      <c r="M2398">
        <v>5</v>
      </c>
      <c r="N2398">
        <v>114</v>
      </c>
      <c r="O2398">
        <v>1</v>
      </c>
      <c r="P2398">
        <v>7.4999999999999997E-2</v>
      </c>
      <c r="Q2398">
        <v>2</v>
      </c>
      <c r="R2398">
        <v>2E-3</v>
      </c>
      <c r="T2398" t="s">
        <v>6816</v>
      </c>
    </row>
    <row r="2399" spans="1:20" x14ac:dyDescent="0.2">
      <c r="A2399" t="s">
        <v>6818</v>
      </c>
      <c r="B2399" t="s">
        <v>2022</v>
      </c>
      <c r="C2399" t="s">
        <v>2053</v>
      </c>
      <c r="D2399" t="s">
        <v>2024</v>
      </c>
      <c r="E2399" t="s">
        <v>6813</v>
      </c>
      <c r="F2399" t="s">
        <v>6814</v>
      </c>
      <c r="G2399">
        <v>1</v>
      </c>
      <c r="H2399">
        <v>1500</v>
      </c>
      <c r="I2399">
        <v>1</v>
      </c>
      <c r="J2399">
        <v>1.55</v>
      </c>
      <c r="K2399">
        <v>1</v>
      </c>
      <c r="L2399">
        <v>1.4999999999999999E-2</v>
      </c>
      <c r="M2399">
        <v>1</v>
      </c>
      <c r="N2399">
        <v>73</v>
      </c>
      <c r="O2399">
        <v>1</v>
      </c>
      <c r="P2399">
        <v>7.4999999999999997E-2</v>
      </c>
      <c r="Q2399">
        <v>1</v>
      </c>
      <c r="R2399">
        <v>8.4999999999999995E-4</v>
      </c>
      <c r="T2399" t="s">
        <v>6813</v>
      </c>
    </row>
    <row r="2400" spans="1:20" x14ac:dyDescent="0.2">
      <c r="A2400" t="s">
        <v>6819</v>
      </c>
      <c r="B2400" t="s">
        <v>2022</v>
      </c>
      <c r="C2400" t="s">
        <v>2095</v>
      </c>
      <c r="D2400" t="s">
        <v>2024</v>
      </c>
      <c r="E2400" t="s">
        <v>6820</v>
      </c>
      <c r="F2400" t="s">
        <v>6821</v>
      </c>
      <c r="G2400">
        <v>3</v>
      </c>
      <c r="H2400">
        <v>1745</v>
      </c>
      <c r="I2400">
        <v>5</v>
      </c>
      <c r="J2400">
        <v>16.5</v>
      </c>
      <c r="K2400">
        <v>5</v>
      </c>
      <c r="L2400">
        <v>0.73</v>
      </c>
      <c r="M2400">
        <v>5</v>
      </c>
      <c r="N2400">
        <v>98</v>
      </c>
      <c r="O2400">
        <v>5</v>
      </c>
      <c r="P2400">
        <v>0.95</v>
      </c>
      <c r="Q2400">
        <v>5</v>
      </c>
      <c r="R2400">
        <v>3.2899999999999999E-2</v>
      </c>
      <c r="T2400" t="s">
        <v>6820</v>
      </c>
    </row>
    <row r="2401" spans="1:20" x14ac:dyDescent="0.2">
      <c r="A2401" t="s">
        <v>6822</v>
      </c>
      <c r="B2401" t="s">
        <v>2022</v>
      </c>
      <c r="C2401" t="s">
        <v>2023</v>
      </c>
      <c r="D2401" t="s">
        <v>2024</v>
      </c>
      <c r="E2401" t="s">
        <v>6823</v>
      </c>
      <c r="F2401" t="s">
        <v>6824</v>
      </c>
      <c r="G2401">
        <v>1</v>
      </c>
      <c r="H2401">
        <v>1480</v>
      </c>
      <c r="I2401">
        <v>1</v>
      </c>
      <c r="J2401">
        <v>0.9</v>
      </c>
      <c r="K2401">
        <v>1</v>
      </c>
      <c r="L2401">
        <v>6.0000000000000001E-3</v>
      </c>
      <c r="M2401">
        <v>2</v>
      </c>
      <c r="N2401">
        <v>84</v>
      </c>
      <c r="O2401">
        <v>1</v>
      </c>
      <c r="P2401">
        <v>7.4999999999999997E-2</v>
      </c>
      <c r="Q2401">
        <v>1</v>
      </c>
      <c r="R2401">
        <v>5.0000000000000001E-4</v>
      </c>
      <c r="T2401" t="s">
        <v>6823</v>
      </c>
    </row>
    <row r="2402" spans="1:20" x14ac:dyDescent="0.2">
      <c r="A2402" t="s">
        <v>6825</v>
      </c>
      <c r="B2402" t="s">
        <v>2022</v>
      </c>
      <c r="C2402" t="s">
        <v>2036</v>
      </c>
      <c r="D2402" t="s">
        <v>2024</v>
      </c>
      <c r="E2402" t="s">
        <v>6826</v>
      </c>
      <c r="F2402" t="s">
        <v>6827</v>
      </c>
      <c r="G2402">
        <v>4</v>
      </c>
      <c r="H2402">
        <v>1840</v>
      </c>
      <c r="I2402">
        <v>5</v>
      </c>
      <c r="J2402">
        <v>7</v>
      </c>
      <c r="K2402">
        <v>5</v>
      </c>
      <c r="L2402">
        <v>0.17499999999999999</v>
      </c>
      <c r="M2402">
        <v>4</v>
      </c>
      <c r="N2402">
        <v>94</v>
      </c>
      <c r="O2402">
        <v>5</v>
      </c>
      <c r="P2402">
        <v>0.53500000000000003</v>
      </c>
      <c r="Q2402">
        <v>5</v>
      </c>
      <c r="R2402">
        <v>1.2E-2</v>
      </c>
      <c r="T2402" t="s">
        <v>6826</v>
      </c>
    </row>
    <row r="2403" spans="1:20" x14ac:dyDescent="0.2">
      <c r="A2403" t="s">
        <v>6828</v>
      </c>
      <c r="B2403" t="s">
        <v>2022</v>
      </c>
      <c r="C2403" t="s">
        <v>2036</v>
      </c>
      <c r="D2403" t="s">
        <v>2024</v>
      </c>
      <c r="E2403" t="s">
        <v>6829</v>
      </c>
      <c r="F2403" t="s">
        <v>6830</v>
      </c>
      <c r="G2403">
        <v>2</v>
      </c>
      <c r="H2403">
        <v>1640</v>
      </c>
      <c r="I2403">
        <v>5</v>
      </c>
      <c r="J2403">
        <v>7</v>
      </c>
      <c r="K2403">
        <v>5</v>
      </c>
      <c r="L2403">
        <v>0.17499999999999999</v>
      </c>
      <c r="M2403">
        <v>1</v>
      </c>
      <c r="N2403">
        <v>76</v>
      </c>
      <c r="O2403">
        <v>5</v>
      </c>
      <c r="P2403">
        <v>0.53500000000000003</v>
      </c>
      <c r="Q2403">
        <v>5</v>
      </c>
      <c r="R2403">
        <v>1.2E-2</v>
      </c>
      <c r="T2403" t="s">
        <v>6829</v>
      </c>
    </row>
    <row r="2404" spans="1:20" x14ac:dyDescent="0.2">
      <c r="A2404" t="s">
        <v>6831</v>
      </c>
      <c r="B2404" t="s">
        <v>2022</v>
      </c>
      <c r="C2404" t="s">
        <v>2049</v>
      </c>
      <c r="D2404" t="s">
        <v>2024</v>
      </c>
      <c r="E2404" t="s">
        <v>6832</v>
      </c>
      <c r="F2404" t="s">
        <v>447</v>
      </c>
      <c r="G2404">
        <v>4</v>
      </c>
      <c r="H2404">
        <v>1650</v>
      </c>
      <c r="I2404">
        <v>3</v>
      </c>
      <c r="J2404">
        <v>5</v>
      </c>
      <c r="K2404">
        <v>4</v>
      </c>
      <c r="L2404">
        <v>0.22</v>
      </c>
      <c r="M2404">
        <v>5</v>
      </c>
      <c r="N2404">
        <v>166</v>
      </c>
      <c r="O2404">
        <v>4</v>
      </c>
      <c r="P2404">
        <v>0.66</v>
      </c>
      <c r="Q2404">
        <v>4</v>
      </c>
      <c r="R2404">
        <v>2.4199999999999999E-2</v>
      </c>
      <c r="T2404" t="s">
        <v>6832</v>
      </c>
    </row>
    <row r="2405" spans="1:20" x14ac:dyDescent="0.2">
      <c r="A2405" t="s">
        <v>6833</v>
      </c>
      <c r="B2405" t="s">
        <v>2022</v>
      </c>
      <c r="C2405" t="s">
        <v>2036</v>
      </c>
      <c r="D2405" t="s">
        <v>2136</v>
      </c>
      <c r="E2405" t="s">
        <v>357</v>
      </c>
      <c r="F2405" t="s">
        <v>447</v>
      </c>
      <c r="G2405">
        <v>3</v>
      </c>
      <c r="H2405">
        <v>1740</v>
      </c>
      <c r="I2405">
        <v>4</v>
      </c>
      <c r="J2405">
        <v>5.8</v>
      </c>
      <c r="K2405">
        <v>5</v>
      </c>
      <c r="L2405">
        <v>0.17499999999999999</v>
      </c>
      <c r="M2405">
        <v>5</v>
      </c>
      <c r="N2405">
        <v>100</v>
      </c>
      <c r="O2405">
        <v>4</v>
      </c>
      <c r="P2405">
        <v>0.42499999999999999</v>
      </c>
      <c r="Q2405">
        <v>5</v>
      </c>
      <c r="R2405">
        <v>1.2E-2</v>
      </c>
      <c r="T2405" t="s">
        <v>357</v>
      </c>
    </row>
    <row r="2406" spans="1:20" x14ac:dyDescent="0.2">
      <c r="A2406" t="s">
        <v>6834</v>
      </c>
      <c r="B2406" t="s">
        <v>2022</v>
      </c>
      <c r="C2406" t="s">
        <v>2222</v>
      </c>
      <c r="D2406" t="s">
        <v>2024</v>
      </c>
      <c r="E2406" t="s">
        <v>6835</v>
      </c>
      <c r="F2406" t="s">
        <v>6836</v>
      </c>
      <c r="G2406">
        <v>2</v>
      </c>
      <c r="H2406">
        <v>1550</v>
      </c>
      <c r="I2406">
        <v>1</v>
      </c>
      <c r="J2406">
        <v>2.2999999999999998</v>
      </c>
      <c r="K2406">
        <v>1</v>
      </c>
      <c r="L2406">
        <v>0.01</v>
      </c>
      <c r="M2406">
        <v>2</v>
      </c>
      <c r="N2406">
        <v>63</v>
      </c>
      <c r="O2406">
        <v>1</v>
      </c>
      <c r="P2406">
        <v>7.0000000000000007E-2</v>
      </c>
      <c r="Q2406">
        <v>1</v>
      </c>
      <c r="R2406">
        <v>4.0000000000000002E-4</v>
      </c>
      <c r="T2406" t="s">
        <v>6835</v>
      </c>
    </row>
    <row r="2407" spans="1:20" x14ac:dyDescent="0.2">
      <c r="A2407" t="s">
        <v>6837</v>
      </c>
      <c r="B2407" t="s">
        <v>2022</v>
      </c>
      <c r="C2407" t="s">
        <v>2173</v>
      </c>
      <c r="D2407" t="s">
        <v>2024</v>
      </c>
      <c r="E2407" t="s">
        <v>6838</v>
      </c>
      <c r="F2407" t="s">
        <v>6839</v>
      </c>
      <c r="G2407">
        <v>3</v>
      </c>
      <c r="H2407">
        <v>2032.5</v>
      </c>
      <c r="I2407">
        <v>3</v>
      </c>
      <c r="J2407">
        <v>9.0500000000000007</v>
      </c>
      <c r="K2407">
        <v>3</v>
      </c>
      <c r="L2407">
        <v>0.21</v>
      </c>
      <c r="M2407">
        <v>2</v>
      </c>
      <c r="N2407">
        <v>107.5</v>
      </c>
      <c r="O2407">
        <v>3</v>
      </c>
      <c r="P2407">
        <v>0.51</v>
      </c>
      <c r="Q2407">
        <v>3</v>
      </c>
      <c r="R2407">
        <v>1.18E-2</v>
      </c>
      <c r="T2407" t="s">
        <v>6838</v>
      </c>
    </row>
    <row r="2408" spans="1:20" x14ac:dyDescent="0.2">
      <c r="A2408" t="s">
        <v>6840</v>
      </c>
      <c r="B2408" t="s">
        <v>2022</v>
      </c>
      <c r="C2408" t="s">
        <v>2023</v>
      </c>
      <c r="D2408" t="s">
        <v>2024</v>
      </c>
      <c r="E2408" t="s">
        <v>6841</v>
      </c>
      <c r="F2408" t="s">
        <v>6842</v>
      </c>
      <c r="G2408">
        <v>5</v>
      </c>
      <c r="H2408">
        <v>1800</v>
      </c>
      <c r="I2408">
        <v>2</v>
      </c>
      <c r="J2408">
        <v>3.4</v>
      </c>
      <c r="K2408">
        <v>3</v>
      </c>
      <c r="L2408">
        <v>4.5999999999999999E-2</v>
      </c>
      <c r="M2408">
        <v>2</v>
      </c>
      <c r="N2408">
        <v>84</v>
      </c>
      <c r="O2408">
        <v>2</v>
      </c>
      <c r="P2408">
        <v>0.22500000000000001</v>
      </c>
      <c r="Q2408">
        <v>2</v>
      </c>
      <c r="R2408">
        <v>2E-3</v>
      </c>
      <c r="T2408" t="s">
        <v>6841</v>
      </c>
    </row>
    <row r="2409" spans="1:20" x14ac:dyDescent="0.2">
      <c r="A2409" t="s">
        <v>6843</v>
      </c>
      <c r="B2409" t="s">
        <v>2022</v>
      </c>
      <c r="C2409" t="s">
        <v>2036</v>
      </c>
      <c r="D2409" t="s">
        <v>2024</v>
      </c>
      <c r="E2409" t="s">
        <v>6844</v>
      </c>
      <c r="F2409" t="s">
        <v>6845</v>
      </c>
      <c r="G2409">
        <v>2</v>
      </c>
      <c r="H2409">
        <v>1640</v>
      </c>
      <c r="I2409">
        <v>5</v>
      </c>
      <c r="J2409">
        <v>7</v>
      </c>
      <c r="K2409">
        <v>5</v>
      </c>
      <c r="L2409">
        <v>0.17499999999999999</v>
      </c>
      <c r="M2409">
        <v>4</v>
      </c>
      <c r="N2409">
        <v>94</v>
      </c>
      <c r="O2409">
        <v>4</v>
      </c>
      <c r="P2409">
        <v>0.42499999999999999</v>
      </c>
      <c r="Q2409">
        <v>5</v>
      </c>
      <c r="R2409">
        <v>1.2E-2</v>
      </c>
      <c r="T2409" t="s">
        <v>6844</v>
      </c>
    </row>
    <row r="2410" spans="1:20" x14ac:dyDescent="0.2">
      <c r="A2410" t="s">
        <v>6846</v>
      </c>
      <c r="B2410" t="s">
        <v>2022</v>
      </c>
      <c r="C2410" t="s">
        <v>2257</v>
      </c>
      <c r="D2410" t="s">
        <v>2136</v>
      </c>
      <c r="E2410" t="s">
        <v>6847</v>
      </c>
      <c r="F2410" t="s">
        <v>6848</v>
      </c>
      <c r="G2410">
        <v>5</v>
      </c>
      <c r="H2410">
        <v>1300</v>
      </c>
      <c r="I2410">
        <v>1</v>
      </c>
      <c r="J2410">
        <v>0.45</v>
      </c>
      <c r="K2410">
        <v>1</v>
      </c>
      <c r="L2410">
        <v>6.0000000000000001E-3</v>
      </c>
      <c r="M2410">
        <v>1</v>
      </c>
      <c r="N2410">
        <v>300</v>
      </c>
      <c r="O2410">
        <v>1</v>
      </c>
      <c r="P2410">
        <v>0.3</v>
      </c>
      <c r="Q2410">
        <v>1</v>
      </c>
      <c r="R2410">
        <v>2E-3</v>
      </c>
      <c r="T2410" t="s">
        <v>6847</v>
      </c>
    </row>
    <row r="2411" spans="1:20" x14ac:dyDescent="0.2">
      <c r="A2411" t="s">
        <v>6849</v>
      </c>
      <c r="B2411" t="s">
        <v>2022</v>
      </c>
      <c r="C2411" t="s">
        <v>2101</v>
      </c>
      <c r="D2411" t="s">
        <v>2024</v>
      </c>
      <c r="E2411" t="s">
        <v>6850</v>
      </c>
      <c r="F2411" t="s">
        <v>6851</v>
      </c>
      <c r="G2411">
        <v>4</v>
      </c>
      <c r="H2411">
        <v>1870</v>
      </c>
      <c r="I2411">
        <v>5</v>
      </c>
      <c r="J2411">
        <v>14</v>
      </c>
      <c r="K2411">
        <v>5</v>
      </c>
      <c r="L2411">
        <v>0.53749999999999998</v>
      </c>
      <c r="M2411">
        <v>3</v>
      </c>
      <c r="N2411">
        <v>82</v>
      </c>
      <c r="O2411">
        <v>5</v>
      </c>
      <c r="P2411">
        <v>0.67500000000000004</v>
      </c>
      <c r="Q2411">
        <v>5</v>
      </c>
      <c r="R2411">
        <v>2.5499999999999998E-2</v>
      </c>
      <c r="T2411" t="s">
        <v>6850</v>
      </c>
    </row>
    <row r="2412" spans="1:20" x14ac:dyDescent="0.2">
      <c r="A2412" t="s">
        <v>6852</v>
      </c>
      <c r="B2412" t="s">
        <v>2022</v>
      </c>
      <c r="C2412" t="s">
        <v>2023</v>
      </c>
      <c r="D2412" t="s">
        <v>2024</v>
      </c>
      <c r="E2412" t="s">
        <v>6853</v>
      </c>
      <c r="F2412" t="s">
        <v>6854</v>
      </c>
      <c r="G2412">
        <v>2</v>
      </c>
      <c r="H2412">
        <v>1560</v>
      </c>
      <c r="I2412">
        <v>2</v>
      </c>
      <c r="J2412">
        <v>3.4</v>
      </c>
      <c r="K2412">
        <v>2</v>
      </c>
      <c r="L2412">
        <v>2.5999999999999999E-2</v>
      </c>
      <c r="M2412">
        <v>1</v>
      </c>
      <c r="N2412">
        <v>74</v>
      </c>
      <c r="O2412">
        <v>2</v>
      </c>
      <c r="P2412">
        <v>0.22500000000000001</v>
      </c>
      <c r="Q2412">
        <v>1</v>
      </c>
      <c r="R2412">
        <v>5.0000000000000001E-4</v>
      </c>
      <c r="T2412" t="s">
        <v>6853</v>
      </c>
    </row>
    <row r="2413" spans="1:20" x14ac:dyDescent="0.2">
      <c r="A2413" t="s">
        <v>6855</v>
      </c>
      <c r="B2413" t="s">
        <v>2022</v>
      </c>
      <c r="C2413" t="s">
        <v>2049</v>
      </c>
      <c r="D2413" t="s">
        <v>2024</v>
      </c>
      <c r="E2413" t="s">
        <v>223</v>
      </c>
      <c r="F2413" t="s">
        <v>6856</v>
      </c>
      <c r="G2413">
        <v>2</v>
      </c>
      <c r="H2413">
        <v>1450</v>
      </c>
      <c r="I2413">
        <v>2</v>
      </c>
      <c r="J2413">
        <v>3.2</v>
      </c>
      <c r="K2413">
        <v>3</v>
      </c>
      <c r="L2413">
        <v>0.14000000000000001</v>
      </c>
      <c r="M2413">
        <v>1</v>
      </c>
      <c r="N2413">
        <v>86</v>
      </c>
      <c r="O2413">
        <v>2</v>
      </c>
      <c r="P2413">
        <v>0.26</v>
      </c>
      <c r="Q2413">
        <v>2</v>
      </c>
      <c r="R2413">
        <v>6.1999999999999998E-3</v>
      </c>
      <c r="T2413" t="s">
        <v>223</v>
      </c>
    </row>
    <row r="2414" spans="1:20" x14ac:dyDescent="0.2">
      <c r="A2414" t="s">
        <v>6857</v>
      </c>
      <c r="B2414" t="s">
        <v>2022</v>
      </c>
      <c r="C2414" t="s">
        <v>2036</v>
      </c>
      <c r="D2414" t="s">
        <v>2136</v>
      </c>
      <c r="E2414" t="s">
        <v>2296</v>
      </c>
      <c r="F2414" t="s">
        <v>2297</v>
      </c>
      <c r="G2414">
        <v>5</v>
      </c>
      <c r="H2414">
        <v>1940</v>
      </c>
      <c r="I2414">
        <v>5</v>
      </c>
      <c r="J2414">
        <v>7</v>
      </c>
      <c r="K2414">
        <v>5</v>
      </c>
      <c r="L2414">
        <v>0.17499999999999999</v>
      </c>
      <c r="M2414">
        <v>5</v>
      </c>
      <c r="N2414">
        <v>100</v>
      </c>
      <c r="O2414">
        <v>4</v>
      </c>
      <c r="P2414">
        <v>0.42499999999999999</v>
      </c>
      <c r="Q2414">
        <v>5</v>
      </c>
      <c r="R2414">
        <v>1.2E-2</v>
      </c>
      <c r="T2414" t="s">
        <v>2296</v>
      </c>
    </row>
    <row r="2415" spans="1:20" x14ac:dyDescent="0.2">
      <c r="A2415" t="s">
        <v>6858</v>
      </c>
      <c r="B2415" t="s">
        <v>2022</v>
      </c>
      <c r="C2415" t="s">
        <v>2036</v>
      </c>
      <c r="D2415" t="s">
        <v>2136</v>
      </c>
      <c r="E2415" t="s">
        <v>2296</v>
      </c>
      <c r="F2415" t="s">
        <v>2297</v>
      </c>
      <c r="G2415">
        <v>5</v>
      </c>
      <c r="H2415">
        <v>1940</v>
      </c>
      <c r="I2415">
        <v>5</v>
      </c>
      <c r="J2415">
        <v>7</v>
      </c>
      <c r="K2415">
        <v>5</v>
      </c>
      <c r="L2415">
        <v>0.17499999999999999</v>
      </c>
      <c r="M2415">
        <v>4</v>
      </c>
      <c r="N2415">
        <v>94</v>
      </c>
      <c r="O2415">
        <v>4</v>
      </c>
      <c r="P2415">
        <v>0.42499999999999999</v>
      </c>
      <c r="Q2415">
        <v>5</v>
      </c>
      <c r="R2415">
        <v>1.2E-2</v>
      </c>
      <c r="T2415" t="s">
        <v>2296</v>
      </c>
    </row>
    <row r="2416" spans="1:20" x14ac:dyDescent="0.2">
      <c r="A2416" t="s">
        <v>6859</v>
      </c>
      <c r="B2416" t="s">
        <v>2022</v>
      </c>
      <c r="C2416" t="s">
        <v>2036</v>
      </c>
      <c r="D2416" t="s">
        <v>2136</v>
      </c>
      <c r="E2416" t="s">
        <v>2296</v>
      </c>
      <c r="F2416" t="s">
        <v>2297</v>
      </c>
      <c r="G2416">
        <v>5</v>
      </c>
      <c r="H2416">
        <v>1940</v>
      </c>
      <c r="I2416">
        <v>5</v>
      </c>
      <c r="J2416">
        <v>7</v>
      </c>
      <c r="K2416">
        <v>5</v>
      </c>
      <c r="L2416">
        <v>0.17499999999999999</v>
      </c>
      <c r="M2416">
        <v>5</v>
      </c>
      <c r="N2416">
        <v>100</v>
      </c>
      <c r="O2416">
        <v>3</v>
      </c>
      <c r="P2416">
        <v>0.315</v>
      </c>
      <c r="Q2416">
        <v>5</v>
      </c>
      <c r="R2416">
        <v>1.2E-2</v>
      </c>
      <c r="T2416" t="s">
        <v>2296</v>
      </c>
    </row>
    <row r="2417" spans="1:20" x14ac:dyDescent="0.2">
      <c r="A2417" t="s">
        <v>6860</v>
      </c>
      <c r="B2417" t="s">
        <v>2022</v>
      </c>
      <c r="C2417" t="s">
        <v>2023</v>
      </c>
      <c r="D2417" t="s">
        <v>2136</v>
      </c>
      <c r="E2417" t="s">
        <v>6861</v>
      </c>
      <c r="F2417" t="s">
        <v>6862</v>
      </c>
      <c r="G2417">
        <v>3</v>
      </c>
      <c r="H2417">
        <v>1640</v>
      </c>
      <c r="I2417">
        <v>4</v>
      </c>
      <c r="J2417">
        <v>8.4</v>
      </c>
      <c r="K2417">
        <v>5</v>
      </c>
      <c r="L2417">
        <v>8.5999999999999993E-2</v>
      </c>
      <c r="M2417">
        <v>1</v>
      </c>
      <c r="N2417">
        <v>74</v>
      </c>
      <c r="O2417">
        <v>3</v>
      </c>
      <c r="P2417">
        <v>0.375</v>
      </c>
      <c r="Q2417">
        <v>5</v>
      </c>
      <c r="R2417">
        <v>8.0000000000000002E-3</v>
      </c>
      <c r="T2417" t="s">
        <v>6861</v>
      </c>
    </row>
    <row r="2418" spans="1:20" x14ac:dyDescent="0.2">
      <c r="A2418" t="s">
        <v>6863</v>
      </c>
      <c r="B2418" t="s">
        <v>2022</v>
      </c>
      <c r="C2418" t="s">
        <v>2036</v>
      </c>
      <c r="D2418" t="s">
        <v>2024</v>
      </c>
      <c r="E2418" t="s">
        <v>6864</v>
      </c>
      <c r="F2418" t="s">
        <v>6865</v>
      </c>
      <c r="G2418">
        <v>2</v>
      </c>
      <c r="H2418">
        <v>1640</v>
      </c>
      <c r="I2418">
        <v>3</v>
      </c>
      <c r="J2418">
        <v>4.5999999999999996</v>
      </c>
      <c r="K2418">
        <v>1</v>
      </c>
      <c r="L2418">
        <v>5.5E-2</v>
      </c>
      <c r="M2418">
        <v>2</v>
      </c>
      <c r="N2418">
        <v>82</v>
      </c>
      <c r="O2418">
        <v>2</v>
      </c>
      <c r="P2418">
        <v>0.20499999999999999</v>
      </c>
      <c r="Q2418">
        <v>1</v>
      </c>
      <c r="R2418">
        <v>1.5E-3</v>
      </c>
      <c r="T2418" t="s">
        <v>6864</v>
      </c>
    </row>
    <row r="2419" spans="1:20" x14ac:dyDescent="0.2">
      <c r="A2419" t="s">
        <v>6866</v>
      </c>
      <c r="B2419" t="s">
        <v>2022</v>
      </c>
      <c r="C2419" t="s">
        <v>2023</v>
      </c>
      <c r="D2419" t="s">
        <v>2024</v>
      </c>
      <c r="E2419" t="s">
        <v>6867</v>
      </c>
      <c r="F2419" t="s">
        <v>6868</v>
      </c>
      <c r="G2419">
        <v>1</v>
      </c>
      <c r="H2419">
        <v>1480</v>
      </c>
      <c r="I2419">
        <v>2</v>
      </c>
      <c r="J2419">
        <v>3.4</v>
      </c>
      <c r="K2419">
        <v>1</v>
      </c>
      <c r="L2419">
        <v>6.0000000000000001E-3</v>
      </c>
      <c r="M2419">
        <v>5</v>
      </c>
      <c r="N2419">
        <v>114</v>
      </c>
      <c r="O2419">
        <v>5</v>
      </c>
      <c r="P2419">
        <v>0.67500000000000004</v>
      </c>
      <c r="Q2419">
        <v>2</v>
      </c>
      <c r="R2419">
        <v>2E-3</v>
      </c>
      <c r="T2419" t="s">
        <v>6867</v>
      </c>
    </row>
    <row r="2420" spans="1:20" x14ac:dyDescent="0.2">
      <c r="A2420" t="s">
        <v>6869</v>
      </c>
      <c r="B2420" t="s">
        <v>2022</v>
      </c>
      <c r="C2420" t="s">
        <v>2101</v>
      </c>
      <c r="D2420" t="s">
        <v>2024</v>
      </c>
      <c r="E2420" t="s">
        <v>6870</v>
      </c>
      <c r="F2420" t="s">
        <v>6871</v>
      </c>
      <c r="G2420">
        <v>4</v>
      </c>
      <c r="H2420">
        <v>1870</v>
      </c>
      <c r="I2420">
        <v>5</v>
      </c>
      <c r="J2420">
        <v>14</v>
      </c>
      <c r="K2420">
        <v>3</v>
      </c>
      <c r="L2420">
        <v>0.24349999999999999</v>
      </c>
      <c r="M2420">
        <v>2</v>
      </c>
      <c r="N2420">
        <v>74</v>
      </c>
      <c r="O2420">
        <v>4</v>
      </c>
      <c r="P2420">
        <v>0.52500000000000002</v>
      </c>
      <c r="Q2420">
        <v>3</v>
      </c>
      <c r="R2420">
        <v>1.15E-2</v>
      </c>
      <c r="T2420" t="s">
        <v>6870</v>
      </c>
    </row>
    <row r="2421" spans="1:20" x14ac:dyDescent="0.2">
      <c r="A2421" t="s">
        <v>6872</v>
      </c>
      <c r="B2421" t="s">
        <v>2022</v>
      </c>
      <c r="C2421" t="s">
        <v>2028</v>
      </c>
      <c r="D2421" t="s">
        <v>2024</v>
      </c>
      <c r="E2421" t="s">
        <v>6873</v>
      </c>
      <c r="F2421" t="s">
        <v>6874</v>
      </c>
      <c r="G2421">
        <v>3</v>
      </c>
      <c r="H2421">
        <v>1050</v>
      </c>
      <c r="I2421">
        <v>2</v>
      </c>
      <c r="J2421">
        <v>1.55</v>
      </c>
      <c r="K2421">
        <v>2</v>
      </c>
      <c r="L2421">
        <v>4.4999999999999998E-2</v>
      </c>
      <c r="M2421">
        <v>4</v>
      </c>
      <c r="N2421">
        <v>400</v>
      </c>
      <c r="O2421">
        <v>2</v>
      </c>
      <c r="P2421">
        <v>0.45</v>
      </c>
      <c r="Q2421">
        <v>1</v>
      </c>
      <c r="R2421">
        <v>1.75E-3</v>
      </c>
      <c r="T2421" t="s">
        <v>6873</v>
      </c>
    </row>
    <row r="2422" spans="1:20" x14ac:dyDescent="0.2">
      <c r="A2422" t="s">
        <v>6875</v>
      </c>
      <c r="B2422" t="s">
        <v>2022</v>
      </c>
      <c r="C2422" t="s">
        <v>2095</v>
      </c>
      <c r="D2422" t="s">
        <v>2024</v>
      </c>
      <c r="E2422" t="s">
        <v>6876</v>
      </c>
      <c r="F2422" t="s">
        <v>6877</v>
      </c>
      <c r="G2422">
        <v>1</v>
      </c>
      <c r="H2422">
        <v>1565</v>
      </c>
      <c r="I2422">
        <v>3</v>
      </c>
      <c r="J2422">
        <v>10.5</v>
      </c>
      <c r="K2422">
        <v>2</v>
      </c>
      <c r="L2422">
        <v>0.13</v>
      </c>
      <c r="M2422">
        <v>3</v>
      </c>
      <c r="N2422">
        <v>86</v>
      </c>
      <c r="O2422">
        <v>3</v>
      </c>
      <c r="P2422">
        <v>0.55000000000000004</v>
      </c>
      <c r="Q2422">
        <v>3</v>
      </c>
      <c r="R2422">
        <v>1.49E-2</v>
      </c>
      <c r="T2422" t="s">
        <v>6876</v>
      </c>
    </row>
    <row r="2423" spans="1:20" x14ac:dyDescent="0.2">
      <c r="A2423" t="s">
        <v>6878</v>
      </c>
      <c r="B2423" t="s">
        <v>2022</v>
      </c>
      <c r="C2423" t="s">
        <v>2028</v>
      </c>
      <c r="D2423" t="s">
        <v>2024</v>
      </c>
      <c r="E2423" t="s">
        <v>6879</v>
      </c>
      <c r="F2423" t="s">
        <v>6880</v>
      </c>
      <c r="G2423">
        <v>1</v>
      </c>
      <c r="H2423">
        <v>650</v>
      </c>
      <c r="I2423">
        <v>1</v>
      </c>
      <c r="J2423">
        <v>0.35</v>
      </c>
      <c r="K2423">
        <v>1</v>
      </c>
      <c r="L2423">
        <v>4.0000000000000001E-3</v>
      </c>
      <c r="M2423">
        <v>5</v>
      </c>
      <c r="N2423">
        <v>500</v>
      </c>
      <c r="O2423">
        <v>2</v>
      </c>
      <c r="P2423">
        <v>0.45</v>
      </c>
      <c r="Q2423">
        <v>2</v>
      </c>
      <c r="R2423">
        <v>7.7499999999999999E-3</v>
      </c>
      <c r="T2423" t="s">
        <v>6879</v>
      </c>
    </row>
    <row r="2424" spans="1:20" x14ac:dyDescent="0.2">
      <c r="A2424" t="s">
        <v>6881</v>
      </c>
      <c r="B2424" t="s">
        <v>2022</v>
      </c>
      <c r="C2424" t="s">
        <v>2023</v>
      </c>
      <c r="D2424" t="s">
        <v>2024</v>
      </c>
      <c r="E2424" t="s">
        <v>6882</v>
      </c>
      <c r="F2424" t="s">
        <v>6883</v>
      </c>
      <c r="G2424">
        <v>3</v>
      </c>
      <c r="H2424">
        <v>1640</v>
      </c>
      <c r="I2424">
        <v>1</v>
      </c>
      <c r="J2424">
        <v>0.9</v>
      </c>
      <c r="K2424">
        <v>2</v>
      </c>
      <c r="L2424">
        <v>2.5999999999999999E-2</v>
      </c>
      <c r="M2424">
        <v>3</v>
      </c>
      <c r="N2424">
        <v>94</v>
      </c>
      <c r="O2424">
        <v>1</v>
      </c>
      <c r="P2424">
        <v>7.4999999999999997E-2</v>
      </c>
      <c r="Q2424">
        <v>2</v>
      </c>
      <c r="R2424">
        <v>2E-3</v>
      </c>
      <c r="T2424" t="s">
        <v>6882</v>
      </c>
    </row>
    <row r="2425" spans="1:20" x14ac:dyDescent="0.2">
      <c r="A2425" t="s">
        <v>6884</v>
      </c>
      <c r="B2425" t="s">
        <v>2022</v>
      </c>
      <c r="C2425" t="s">
        <v>2053</v>
      </c>
      <c r="D2425" t="s">
        <v>2024</v>
      </c>
      <c r="E2425" t="s">
        <v>6885</v>
      </c>
      <c r="F2425" t="s">
        <v>447</v>
      </c>
      <c r="G2425">
        <v>1</v>
      </c>
      <c r="H2425">
        <v>1500</v>
      </c>
      <c r="I2425">
        <v>3</v>
      </c>
      <c r="J2425">
        <v>6.55</v>
      </c>
      <c r="K2425">
        <v>3</v>
      </c>
      <c r="L2425">
        <v>0.19500000000000001</v>
      </c>
      <c r="M2425">
        <v>2</v>
      </c>
      <c r="N2425">
        <v>83</v>
      </c>
      <c r="O2425">
        <v>3</v>
      </c>
      <c r="P2425">
        <v>0.375</v>
      </c>
      <c r="Q2425">
        <v>2</v>
      </c>
      <c r="R2425">
        <v>5.1999999999999998E-3</v>
      </c>
      <c r="T2425" t="s">
        <v>6885</v>
      </c>
    </row>
    <row r="2426" spans="1:20" x14ac:dyDescent="0.2">
      <c r="A2426" t="s">
        <v>6886</v>
      </c>
      <c r="B2426" t="s">
        <v>2022</v>
      </c>
      <c r="C2426" t="s">
        <v>2023</v>
      </c>
      <c r="D2426" t="s">
        <v>2024</v>
      </c>
      <c r="E2426" t="s">
        <v>6887</v>
      </c>
      <c r="F2426" t="s">
        <v>6888</v>
      </c>
      <c r="G2426">
        <v>4</v>
      </c>
      <c r="H2426">
        <v>1720</v>
      </c>
      <c r="I2426">
        <v>4</v>
      </c>
      <c r="J2426">
        <v>8.4</v>
      </c>
      <c r="K2426">
        <v>5</v>
      </c>
      <c r="L2426">
        <v>8.5999999999999993E-2</v>
      </c>
      <c r="M2426">
        <v>4</v>
      </c>
      <c r="N2426">
        <v>104</v>
      </c>
      <c r="O2426">
        <v>4</v>
      </c>
      <c r="P2426">
        <v>0.52500000000000002</v>
      </c>
      <c r="Q2426">
        <v>5</v>
      </c>
      <c r="R2426">
        <v>8.0000000000000002E-3</v>
      </c>
      <c r="T2426" t="s">
        <v>6887</v>
      </c>
    </row>
    <row r="2427" spans="1:20" x14ac:dyDescent="0.2">
      <c r="A2427" t="s">
        <v>6889</v>
      </c>
      <c r="B2427" t="s">
        <v>2022</v>
      </c>
      <c r="C2427" t="s">
        <v>2049</v>
      </c>
      <c r="D2427" t="s">
        <v>2024</v>
      </c>
      <c r="E2427" t="s">
        <v>311</v>
      </c>
      <c r="F2427" t="s">
        <v>6890</v>
      </c>
      <c r="G2427">
        <v>5</v>
      </c>
      <c r="H2427">
        <v>1750</v>
      </c>
      <c r="I2427">
        <v>1</v>
      </c>
      <c r="J2427">
        <v>1.4</v>
      </c>
      <c r="K2427">
        <v>2</v>
      </c>
      <c r="L2427">
        <v>0.06</v>
      </c>
      <c r="M2427">
        <v>2</v>
      </c>
      <c r="N2427">
        <v>106</v>
      </c>
      <c r="O2427">
        <v>1</v>
      </c>
      <c r="P2427">
        <v>0.06</v>
      </c>
      <c r="Q2427">
        <v>1</v>
      </c>
      <c r="R2427">
        <v>8.4999999999999995E-4</v>
      </c>
      <c r="T2427" t="s">
        <v>311</v>
      </c>
    </row>
    <row r="2428" spans="1:20" x14ac:dyDescent="0.2">
      <c r="A2428" t="s">
        <v>6891</v>
      </c>
      <c r="B2428" t="s">
        <v>2022</v>
      </c>
      <c r="C2428" t="s">
        <v>2053</v>
      </c>
      <c r="D2428" t="s">
        <v>2024</v>
      </c>
      <c r="E2428" t="s">
        <v>6892</v>
      </c>
      <c r="F2428" t="s">
        <v>6893</v>
      </c>
      <c r="G2428">
        <v>2</v>
      </c>
      <c r="H2428">
        <v>1600</v>
      </c>
      <c r="I2428">
        <v>3</v>
      </c>
      <c r="J2428">
        <v>6.55</v>
      </c>
      <c r="K2428">
        <v>3</v>
      </c>
      <c r="L2428">
        <v>0.19500000000000001</v>
      </c>
      <c r="M2428">
        <v>1</v>
      </c>
      <c r="N2428">
        <v>73</v>
      </c>
      <c r="O2428">
        <v>2</v>
      </c>
      <c r="P2428">
        <v>0.22500000000000001</v>
      </c>
      <c r="Q2428">
        <v>2</v>
      </c>
      <c r="R2428">
        <v>5.1999999999999998E-3</v>
      </c>
      <c r="T2428" t="s">
        <v>6892</v>
      </c>
    </row>
    <row r="2429" spans="1:20" x14ac:dyDescent="0.2">
      <c r="A2429" t="s">
        <v>6894</v>
      </c>
      <c r="B2429" t="s">
        <v>2022</v>
      </c>
      <c r="C2429" t="s">
        <v>2023</v>
      </c>
      <c r="D2429" t="s">
        <v>2136</v>
      </c>
      <c r="E2429" t="s">
        <v>357</v>
      </c>
      <c r="F2429" t="s">
        <v>447</v>
      </c>
      <c r="G2429">
        <v>1</v>
      </c>
      <c r="H2429">
        <v>1480</v>
      </c>
      <c r="I2429">
        <v>1</v>
      </c>
      <c r="J2429">
        <v>0.9</v>
      </c>
      <c r="K2429">
        <v>1</v>
      </c>
      <c r="L2429">
        <v>6.0000000000000001E-3</v>
      </c>
      <c r="M2429">
        <v>3</v>
      </c>
      <c r="N2429">
        <v>94</v>
      </c>
      <c r="O2429">
        <v>1</v>
      </c>
      <c r="P2429">
        <v>7.4999999999999997E-2</v>
      </c>
      <c r="Q2429">
        <v>1</v>
      </c>
      <c r="R2429">
        <v>5.0000000000000001E-4</v>
      </c>
      <c r="T2429" t="s">
        <v>357</v>
      </c>
    </row>
    <row r="2430" spans="1:20" x14ac:dyDescent="0.2">
      <c r="A2430" t="s">
        <v>6895</v>
      </c>
      <c r="B2430" t="s">
        <v>2022</v>
      </c>
      <c r="C2430" t="s">
        <v>2036</v>
      </c>
      <c r="D2430" t="s">
        <v>2024</v>
      </c>
      <c r="E2430" t="s">
        <v>357</v>
      </c>
      <c r="F2430" t="s">
        <v>6896</v>
      </c>
      <c r="G2430">
        <v>1</v>
      </c>
      <c r="H2430">
        <v>1540</v>
      </c>
      <c r="I2430">
        <v>2</v>
      </c>
      <c r="J2430">
        <v>3.4</v>
      </c>
      <c r="K2430">
        <v>2</v>
      </c>
      <c r="L2430">
        <v>8.5000000000000006E-2</v>
      </c>
      <c r="M2430">
        <v>1</v>
      </c>
      <c r="N2430">
        <v>76</v>
      </c>
      <c r="O2430">
        <v>2</v>
      </c>
      <c r="P2430">
        <v>0.20499999999999999</v>
      </c>
      <c r="Q2430">
        <v>2</v>
      </c>
      <c r="R2430">
        <v>4.2500000000000003E-3</v>
      </c>
      <c r="T2430" t="s">
        <v>357</v>
      </c>
    </row>
    <row r="2431" spans="1:20" x14ac:dyDescent="0.2">
      <c r="A2431" t="s">
        <v>6897</v>
      </c>
      <c r="B2431" t="s">
        <v>2022</v>
      </c>
      <c r="C2431" t="s">
        <v>2023</v>
      </c>
      <c r="D2431" t="s">
        <v>2024</v>
      </c>
      <c r="E2431" t="s">
        <v>6898</v>
      </c>
      <c r="F2431" t="s">
        <v>6899</v>
      </c>
      <c r="G2431">
        <v>5</v>
      </c>
      <c r="H2431">
        <v>1800</v>
      </c>
      <c r="I2431">
        <v>4</v>
      </c>
      <c r="J2431">
        <v>8.4</v>
      </c>
      <c r="K2431">
        <v>5</v>
      </c>
      <c r="L2431">
        <v>8.5999999999999993E-2</v>
      </c>
      <c r="M2431">
        <v>2</v>
      </c>
      <c r="N2431">
        <v>84</v>
      </c>
      <c r="O2431">
        <v>3</v>
      </c>
      <c r="P2431">
        <v>0.375</v>
      </c>
      <c r="Q2431">
        <v>5</v>
      </c>
      <c r="R2431">
        <v>8.0000000000000002E-3</v>
      </c>
      <c r="T2431" t="s">
        <v>6898</v>
      </c>
    </row>
    <row r="2432" spans="1:20" x14ac:dyDescent="0.2">
      <c r="A2432" t="s">
        <v>6900</v>
      </c>
      <c r="B2432" t="s">
        <v>2022</v>
      </c>
      <c r="C2432" t="s">
        <v>2173</v>
      </c>
      <c r="D2432" t="s">
        <v>2024</v>
      </c>
      <c r="E2432" t="s">
        <v>6901</v>
      </c>
      <c r="F2432" t="s">
        <v>6902</v>
      </c>
      <c r="G2432">
        <v>1</v>
      </c>
      <c r="H2432">
        <v>1882.5</v>
      </c>
      <c r="I2432">
        <v>1</v>
      </c>
      <c r="J2432">
        <v>3.65</v>
      </c>
      <c r="K2432">
        <v>1</v>
      </c>
      <c r="L2432">
        <v>1.4999999999999999E-2</v>
      </c>
      <c r="M2432">
        <v>2</v>
      </c>
      <c r="N2432">
        <v>107.5</v>
      </c>
      <c r="O2432">
        <v>1</v>
      </c>
      <c r="P2432">
        <v>0.15</v>
      </c>
      <c r="Q2432">
        <v>1</v>
      </c>
      <c r="R2432">
        <v>6.4999999999999997E-4</v>
      </c>
      <c r="T2432" t="s">
        <v>6901</v>
      </c>
    </row>
    <row r="2433" spans="1:20" x14ac:dyDescent="0.2">
      <c r="A2433" t="s">
        <v>6903</v>
      </c>
      <c r="B2433" t="s">
        <v>2022</v>
      </c>
      <c r="C2433" t="s">
        <v>2023</v>
      </c>
      <c r="D2433" t="s">
        <v>2024</v>
      </c>
      <c r="E2433" t="s">
        <v>6904</v>
      </c>
      <c r="F2433" t="s">
        <v>6905</v>
      </c>
      <c r="G2433">
        <v>2</v>
      </c>
      <c r="H2433">
        <v>1560</v>
      </c>
      <c r="I2433">
        <v>5</v>
      </c>
      <c r="J2433">
        <v>10.9</v>
      </c>
      <c r="K2433">
        <v>5</v>
      </c>
      <c r="L2433">
        <v>8.5999999999999993E-2</v>
      </c>
      <c r="M2433">
        <v>2</v>
      </c>
      <c r="N2433">
        <v>84</v>
      </c>
      <c r="O2433">
        <v>5</v>
      </c>
      <c r="P2433">
        <v>0.67500000000000004</v>
      </c>
      <c r="Q2433">
        <v>5</v>
      </c>
      <c r="R2433">
        <v>8.0000000000000002E-3</v>
      </c>
      <c r="T2433" t="s">
        <v>6904</v>
      </c>
    </row>
    <row r="2434" spans="1:20" x14ac:dyDescent="0.2">
      <c r="A2434" t="s">
        <v>6906</v>
      </c>
      <c r="B2434" t="s">
        <v>2022</v>
      </c>
      <c r="C2434" t="s">
        <v>2036</v>
      </c>
      <c r="D2434" t="s">
        <v>2024</v>
      </c>
      <c r="E2434" t="s">
        <v>6907</v>
      </c>
      <c r="F2434" t="s">
        <v>6908</v>
      </c>
      <c r="G2434">
        <v>2</v>
      </c>
      <c r="H2434">
        <v>1640</v>
      </c>
      <c r="I2434">
        <v>2</v>
      </c>
      <c r="J2434">
        <v>3.4</v>
      </c>
      <c r="K2434">
        <v>2</v>
      </c>
      <c r="L2434">
        <v>8.5000000000000006E-2</v>
      </c>
      <c r="M2434">
        <v>2</v>
      </c>
      <c r="N2434">
        <v>82</v>
      </c>
      <c r="O2434">
        <v>2</v>
      </c>
      <c r="P2434">
        <v>0.20499999999999999</v>
      </c>
      <c r="Q2434">
        <v>2</v>
      </c>
      <c r="R2434">
        <v>4.2500000000000003E-3</v>
      </c>
      <c r="T2434" t="s">
        <v>6907</v>
      </c>
    </row>
    <row r="2435" spans="1:20" x14ac:dyDescent="0.2">
      <c r="A2435" t="s">
        <v>6909</v>
      </c>
      <c r="B2435" t="s">
        <v>2022</v>
      </c>
      <c r="C2435" t="s">
        <v>2023</v>
      </c>
      <c r="D2435" t="s">
        <v>2024</v>
      </c>
      <c r="E2435" t="s">
        <v>357</v>
      </c>
      <c r="F2435" t="s">
        <v>6910</v>
      </c>
      <c r="G2435">
        <v>1</v>
      </c>
      <c r="H2435">
        <v>1480</v>
      </c>
      <c r="I2435">
        <v>1</v>
      </c>
      <c r="J2435">
        <v>0.9</v>
      </c>
      <c r="K2435">
        <v>1</v>
      </c>
      <c r="L2435">
        <v>6.0000000000000001E-3</v>
      </c>
      <c r="M2435">
        <v>5</v>
      </c>
      <c r="N2435">
        <v>114</v>
      </c>
      <c r="O2435">
        <v>2</v>
      </c>
      <c r="P2435">
        <v>0.22500000000000001</v>
      </c>
      <c r="Q2435">
        <v>3</v>
      </c>
      <c r="R2435">
        <v>4.0000000000000001E-3</v>
      </c>
      <c r="T2435" t="s">
        <v>357</v>
      </c>
    </row>
    <row r="2436" spans="1:20" x14ac:dyDescent="0.2">
      <c r="A2436" t="s">
        <v>6911</v>
      </c>
      <c r="B2436" t="s">
        <v>2022</v>
      </c>
      <c r="C2436" t="s">
        <v>2101</v>
      </c>
      <c r="D2436" t="s">
        <v>2024</v>
      </c>
      <c r="E2436" t="s">
        <v>6912</v>
      </c>
      <c r="F2436" t="s">
        <v>6913</v>
      </c>
      <c r="G2436">
        <v>4</v>
      </c>
      <c r="H2436">
        <v>1870</v>
      </c>
      <c r="I2436">
        <v>2</v>
      </c>
      <c r="J2436">
        <v>5</v>
      </c>
      <c r="K2436">
        <v>2</v>
      </c>
      <c r="L2436">
        <v>9.6500000000000002E-2</v>
      </c>
      <c r="M2436">
        <v>2</v>
      </c>
      <c r="N2436">
        <v>74</v>
      </c>
      <c r="O2436">
        <v>2</v>
      </c>
      <c r="P2436">
        <v>0.22500000000000001</v>
      </c>
      <c r="Q2436">
        <v>2</v>
      </c>
      <c r="R2436">
        <v>4.4999999999999997E-3</v>
      </c>
      <c r="T2436" t="s">
        <v>6912</v>
      </c>
    </row>
    <row r="2437" spans="1:20" x14ac:dyDescent="0.2">
      <c r="A2437" t="s">
        <v>6914</v>
      </c>
      <c r="B2437" t="s">
        <v>2022</v>
      </c>
      <c r="C2437" t="s">
        <v>2104</v>
      </c>
      <c r="D2437" t="s">
        <v>2024</v>
      </c>
      <c r="E2437" t="s">
        <v>6915</v>
      </c>
      <c r="F2437" t="s">
        <v>6916</v>
      </c>
      <c r="G2437">
        <v>1</v>
      </c>
      <c r="H2437">
        <v>1537.5</v>
      </c>
      <c r="I2437">
        <v>3</v>
      </c>
      <c r="J2437">
        <v>5.55</v>
      </c>
      <c r="K2437">
        <v>2</v>
      </c>
      <c r="L2437">
        <v>4.1000000000000002E-2</v>
      </c>
      <c r="M2437">
        <v>4</v>
      </c>
      <c r="N2437">
        <v>81</v>
      </c>
      <c r="P2437">
        <v>0</v>
      </c>
      <c r="Q2437">
        <v>2</v>
      </c>
      <c r="R2437">
        <v>3.2000000000000002E-3</v>
      </c>
      <c r="T2437" t="s">
        <v>6915</v>
      </c>
    </row>
    <row r="2438" spans="1:20" x14ac:dyDescent="0.2">
      <c r="A2438" t="s">
        <v>6917</v>
      </c>
      <c r="B2438" t="s">
        <v>2022</v>
      </c>
      <c r="C2438" t="s">
        <v>2023</v>
      </c>
      <c r="D2438" t="s">
        <v>2024</v>
      </c>
      <c r="E2438" t="s">
        <v>6918</v>
      </c>
      <c r="F2438" t="s">
        <v>6919</v>
      </c>
      <c r="G2438">
        <v>1</v>
      </c>
      <c r="H2438">
        <v>1480</v>
      </c>
      <c r="I2438">
        <v>1</v>
      </c>
      <c r="J2438">
        <v>0.9</v>
      </c>
      <c r="K2438">
        <v>2</v>
      </c>
      <c r="L2438">
        <v>2.5999999999999999E-2</v>
      </c>
      <c r="M2438">
        <v>1</v>
      </c>
      <c r="N2438">
        <v>74</v>
      </c>
      <c r="O2438">
        <v>1</v>
      </c>
      <c r="P2438">
        <v>7.4999999999999997E-2</v>
      </c>
      <c r="Q2438">
        <v>2</v>
      </c>
      <c r="R2438">
        <v>2E-3</v>
      </c>
      <c r="T2438" t="s">
        <v>6918</v>
      </c>
    </row>
    <row r="2439" spans="1:20" x14ac:dyDescent="0.2">
      <c r="A2439" t="s">
        <v>6920</v>
      </c>
      <c r="B2439" t="s">
        <v>2022</v>
      </c>
      <c r="C2439" t="s">
        <v>2023</v>
      </c>
      <c r="D2439" t="s">
        <v>2024</v>
      </c>
      <c r="E2439" t="s">
        <v>6921</v>
      </c>
      <c r="F2439" t="s">
        <v>6922</v>
      </c>
      <c r="G2439">
        <v>3</v>
      </c>
      <c r="H2439">
        <v>1640</v>
      </c>
      <c r="I2439">
        <v>5</v>
      </c>
      <c r="J2439">
        <v>10.9</v>
      </c>
      <c r="K2439">
        <v>5</v>
      </c>
      <c r="L2439">
        <v>8.5999999999999993E-2</v>
      </c>
      <c r="M2439">
        <v>4</v>
      </c>
      <c r="N2439">
        <v>104</v>
      </c>
      <c r="O2439">
        <v>5</v>
      </c>
      <c r="P2439">
        <v>0.67500000000000004</v>
      </c>
      <c r="Q2439">
        <v>5</v>
      </c>
      <c r="R2439">
        <v>8.0000000000000002E-3</v>
      </c>
      <c r="T2439" t="s">
        <v>6921</v>
      </c>
    </row>
    <row r="2440" spans="1:20" x14ac:dyDescent="0.2">
      <c r="A2440" t="s">
        <v>6923</v>
      </c>
      <c r="B2440" t="s">
        <v>2022</v>
      </c>
      <c r="C2440" t="s">
        <v>2036</v>
      </c>
      <c r="D2440" t="s">
        <v>2136</v>
      </c>
      <c r="E2440" t="s">
        <v>6924</v>
      </c>
      <c r="F2440" t="s">
        <v>6925</v>
      </c>
      <c r="G2440">
        <v>5</v>
      </c>
      <c r="H2440">
        <v>1940</v>
      </c>
      <c r="I2440">
        <v>3</v>
      </c>
      <c r="J2440">
        <v>4.5999999999999996</v>
      </c>
      <c r="K2440">
        <v>3</v>
      </c>
      <c r="L2440">
        <v>0.115</v>
      </c>
      <c r="M2440">
        <v>3</v>
      </c>
      <c r="N2440">
        <v>88</v>
      </c>
      <c r="O2440">
        <v>2</v>
      </c>
      <c r="P2440">
        <v>0.20499999999999999</v>
      </c>
      <c r="Q2440">
        <v>2</v>
      </c>
      <c r="R2440">
        <v>4.2500000000000003E-3</v>
      </c>
      <c r="T2440" t="s">
        <v>6924</v>
      </c>
    </row>
    <row r="2441" spans="1:20" x14ac:dyDescent="0.2">
      <c r="A2441" t="s">
        <v>6926</v>
      </c>
      <c r="B2441" t="s">
        <v>2022</v>
      </c>
      <c r="C2441" t="s">
        <v>2053</v>
      </c>
      <c r="D2441" t="s">
        <v>2024</v>
      </c>
      <c r="E2441" t="s">
        <v>6927</v>
      </c>
      <c r="F2441" t="s">
        <v>6928</v>
      </c>
      <c r="G2441">
        <v>5</v>
      </c>
      <c r="H2441">
        <v>1900</v>
      </c>
      <c r="I2441">
        <v>2</v>
      </c>
      <c r="J2441">
        <v>4.05</v>
      </c>
      <c r="K2441">
        <v>3</v>
      </c>
      <c r="L2441">
        <v>0.19500000000000001</v>
      </c>
      <c r="M2441">
        <v>5</v>
      </c>
      <c r="N2441">
        <v>113</v>
      </c>
      <c r="O2441">
        <v>4</v>
      </c>
      <c r="P2441">
        <v>0.52500000000000002</v>
      </c>
      <c r="Q2441">
        <v>4</v>
      </c>
      <c r="R2441">
        <v>1.9199999999999998E-2</v>
      </c>
      <c r="T2441" t="s">
        <v>6927</v>
      </c>
    </row>
    <row r="2442" spans="1:20" x14ac:dyDescent="0.2">
      <c r="A2442" t="s">
        <v>6929</v>
      </c>
      <c r="B2442" t="s">
        <v>2022</v>
      </c>
      <c r="C2442" t="s">
        <v>2049</v>
      </c>
      <c r="D2442" t="s">
        <v>2024</v>
      </c>
      <c r="E2442" t="s">
        <v>6930</v>
      </c>
      <c r="F2442" t="s">
        <v>6931</v>
      </c>
      <c r="G2442">
        <v>1</v>
      </c>
      <c r="H2442">
        <v>1350</v>
      </c>
      <c r="I2442">
        <v>1</v>
      </c>
      <c r="J2442">
        <v>1.4</v>
      </c>
      <c r="K2442">
        <v>1</v>
      </c>
      <c r="L2442">
        <v>0.01</v>
      </c>
      <c r="M2442">
        <v>1</v>
      </c>
      <c r="N2442">
        <v>86</v>
      </c>
      <c r="O2442">
        <v>1</v>
      </c>
      <c r="P2442">
        <v>0.06</v>
      </c>
      <c r="Q2442">
        <v>1</v>
      </c>
      <c r="R2442">
        <v>8.4999999999999995E-4</v>
      </c>
      <c r="T2442" t="s">
        <v>6930</v>
      </c>
    </row>
    <row r="2443" spans="1:20" x14ac:dyDescent="0.2">
      <c r="A2443" t="s">
        <v>6932</v>
      </c>
      <c r="B2443" t="s">
        <v>2022</v>
      </c>
      <c r="C2443" t="s">
        <v>2023</v>
      </c>
      <c r="D2443" t="s">
        <v>2024</v>
      </c>
      <c r="E2443" t="s">
        <v>6933</v>
      </c>
      <c r="F2443" t="s">
        <v>6934</v>
      </c>
      <c r="G2443">
        <v>1</v>
      </c>
      <c r="H2443">
        <v>1480</v>
      </c>
      <c r="I2443">
        <v>2</v>
      </c>
      <c r="J2443">
        <v>3.4</v>
      </c>
      <c r="K2443">
        <v>3</v>
      </c>
      <c r="L2443">
        <v>4.5999999999999999E-2</v>
      </c>
      <c r="M2443">
        <v>5</v>
      </c>
      <c r="N2443">
        <v>114</v>
      </c>
      <c r="O2443">
        <v>2</v>
      </c>
      <c r="P2443">
        <v>0.22500000000000001</v>
      </c>
      <c r="Q2443">
        <v>2</v>
      </c>
      <c r="R2443">
        <v>2E-3</v>
      </c>
      <c r="T2443" t="s">
        <v>6933</v>
      </c>
    </row>
    <row r="2444" spans="1:20" x14ac:dyDescent="0.2">
      <c r="A2444" t="s">
        <v>6935</v>
      </c>
      <c r="B2444" t="s">
        <v>2022</v>
      </c>
      <c r="C2444" t="s">
        <v>2101</v>
      </c>
      <c r="D2444" t="s">
        <v>2024</v>
      </c>
      <c r="E2444" t="s">
        <v>6936</v>
      </c>
      <c r="F2444" t="s">
        <v>6937</v>
      </c>
      <c r="G2444">
        <v>5</v>
      </c>
      <c r="H2444">
        <v>1970</v>
      </c>
      <c r="I2444">
        <v>2</v>
      </c>
      <c r="J2444">
        <v>5</v>
      </c>
      <c r="K2444">
        <v>2</v>
      </c>
      <c r="L2444">
        <v>9.6500000000000002E-2</v>
      </c>
      <c r="M2444">
        <v>4</v>
      </c>
      <c r="N2444">
        <v>90</v>
      </c>
      <c r="O2444">
        <v>2</v>
      </c>
      <c r="P2444">
        <v>0.22500000000000001</v>
      </c>
      <c r="Q2444">
        <v>2</v>
      </c>
      <c r="R2444">
        <v>4.4999999999999997E-3</v>
      </c>
      <c r="T2444" t="s">
        <v>6936</v>
      </c>
    </row>
    <row r="2445" spans="1:20" x14ac:dyDescent="0.2">
      <c r="A2445" t="s">
        <v>6938</v>
      </c>
      <c r="B2445" t="s">
        <v>2022</v>
      </c>
      <c r="C2445" t="s">
        <v>2036</v>
      </c>
      <c r="D2445" t="s">
        <v>2024</v>
      </c>
      <c r="E2445" t="s">
        <v>6939</v>
      </c>
      <c r="F2445" t="s">
        <v>6940</v>
      </c>
      <c r="G2445">
        <v>2</v>
      </c>
      <c r="H2445">
        <v>1640</v>
      </c>
      <c r="I2445">
        <v>1</v>
      </c>
      <c r="J2445">
        <v>2.2000000000000002</v>
      </c>
      <c r="K2445">
        <v>1</v>
      </c>
      <c r="L2445">
        <v>5.5E-2</v>
      </c>
      <c r="M2445">
        <v>5</v>
      </c>
      <c r="N2445">
        <v>100</v>
      </c>
      <c r="O2445">
        <v>1</v>
      </c>
      <c r="P2445">
        <v>9.5000000000000001E-2</v>
      </c>
      <c r="Q2445">
        <v>2</v>
      </c>
      <c r="R2445">
        <v>4.2500000000000003E-3</v>
      </c>
      <c r="T2445" t="s">
        <v>6939</v>
      </c>
    </row>
    <row r="2446" spans="1:20" x14ac:dyDescent="0.2">
      <c r="A2446" t="s">
        <v>6941</v>
      </c>
      <c r="B2446" t="s">
        <v>2022</v>
      </c>
      <c r="C2446" t="s">
        <v>2053</v>
      </c>
      <c r="D2446" t="s">
        <v>2024</v>
      </c>
      <c r="E2446" t="s">
        <v>6942</v>
      </c>
      <c r="F2446" t="s">
        <v>6943</v>
      </c>
      <c r="G2446">
        <v>2</v>
      </c>
      <c r="H2446">
        <v>1600</v>
      </c>
      <c r="I2446">
        <v>3</v>
      </c>
      <c r="J2446">
        <v>6.55</v>
      </c>
      <c r="K2446">
        <v>2</v>
      </c>
      <c r="L2446">
        <v>8.5000000000000006E-2</v>
      </c>
      <c r="M2446">
        <v>3</v>
      </c>
      <c r="N2446">
        <v>93</v>
      </c>
      <c r="O2446">
        <v>3</v>
      </c>
      <c r="P2446">
        <v>0.375</v>
      </c>
      <c r="Q2446">
        <v>2</v>
      </c>
      <c r="R2446">
        <v>5.1999999999999998E-3</v>
      </c>
      <c r="T2446" t="s">
        <v>6942</v>
      </c>
    </row>
    <row r="2447" spans="1:20" x14ac:dyDescent="0.2">
      <c r="A2447" t="s">
        <v>6944</v>
      </c>
      <c r="B2447" t="s">
        <v>2022</v>
      </c>
      <c r="C2447" t="s">
        <v>2222</v>
      </c>
      <c r="D2447" t="s">
        <v>2024</v>
      </c>
      <c r="E2447" t="s">
        <v>6945</v>
      </c>
      <c r="F2447" t="s">
        <v>6946</v>
      </c>
      <c r="G2447">
        <v>5</v>
      </c>
      <c r="H2447">
        <v>1850</v>
      </c>
      <c r="I2447">
        <v>5</v>
      </c>
      <c r="J2447">
        <v>8.6999999999999993</v>
      </c>
      <c r="K2447">
        <v>5</v>
      </c>
      <c r="L2447">
        <v>0.26500000000000001</v>
      </c>
      <c r="M2447">
        <v>5</v>
      </c>
      <c r="N2447">
        <v>75</v>
      </c>
      <c r="O2447">
        <v>5</v>
      </c>
      <c r="P2447">
        <v>0.39</v>
      </c>
      <c r="Q2447">
        <v>5</v>
      </c>
      <c r="R2447">
        <v>1.1299999999999999E-2</v>
      </c>
      <c r="T2447" t="s">
        <v>6945</v>
      </c>
    </row>
    <row r="2448" spans="1:20" x14ac:dyDescent="0.2">
      <c r="A2448" t="s">
        <v>6947</v>
      </c>
      <c r="B2448" t="s">
        <v>2022</v>
      </c>
      <c r="C2448" t="s">
        <v>2095</v>
      </c>
      <c r="D2448" t="s">
        <v>2024</v>
      </c>
      <c r="E2448" t="s">
        <v>6948</v>
      </c>
      <c r="F2448" t="s">
        <v>6949</v>
      </c>
      <c r="G2448">
        <v>2</v>
      </c>
      <c r="H2448">
        <v>1655</v>
      </c>
      <c r="I2448">
        <v>3</v>
      </c>
      <c r="J2448">
        <v>10.5</v>
      </c>
      <c r="K2448">
        <v>2</v>
      </c>
      <c r="L2448">
        <v>0.13</v>
      </c>
      <c r="M2448">
        <v>1</v>
      </c>
      <c r="N2448">
        <v>74</v>
      </c>
      <c r="O2448">
        <v>3</v>
      </c>
      <c r="P2448">
        <v>0.55000000000000004</v>
      </c>
      <c r="Q2448">
        <v>1</v>
      </c>
      <c r="R2448">
        <v>6.9999999999999999E-4</v>
      </c>
      <c r="T2448" t="s">
        <v>6948</v>
      </c>
    </row>
    <row r="2449" spans="1:20" x14ac:dyDescent="0.2">
      <c r="A2449" t="s">
        <v>6950</v>
      </c>
      <c r="B2449" t="s">
        <v>2022</v>
      </c>
      <c r="C2449" t="s">
        <v>2095</v>
      </c>
      <c r="D2449" t="s">
        <v>2024</v>
      </c>
      <c r="E2449" t="s">
        <v>6951</v>
      </c>
      <c r="F2449" t="s">
        <v>6952</v>
      </c>
      <c r="G2449">
        <v>1</v>
      </c>
      <c r="H2449">
        <v>1565</v>
      </c>
      <c r="I2449">
        <v>1</v>
      </c>
      <c r="J2449">
        <v>4.5</v>
      </c>
      <c r="K2449">
        <v>1</v>
      </c>
      <c r="L2449">
        <v>1.4999999999999999E-2</v>
      </c>
      <c r="M2449">
        <v>1</v>
      </c>
      <c r="N2449">
        <v>74</v>
      </c>
      <c r="O2449">
        <v>1</v>
      </c>
      <c r="P2449">
        <v>0.15</v>
      </c>
      <c r="Q2449">
        <v>1</v>
      </c>
      <c r="R2449">
        <v>6.9999999999999999E-4</v>
      </c>
      <c r="T2449" t="s">
        <v>6951</v>
      </c>
    </row>
    <row r="2450" spans="1:20" x14ac:dyDescent="0.2">
      <c r="A2450" t="s">
        <v>6953</v>
      </c>
      <c r="B2450" t="s">
        <v>2022</v>
      </c>
      <c r="C2450" t="s">
        <v>2053</v>
      </c>
      <c r="D2450" t="s">
        <v>2136</v>
      </c>
      <c r="E2450" t="s">
        <v>6954</v>
      </c>
      <c r="F2450" t="s">
        <v>6955</v>
      </c>
      <c r="G2450">
        <v>2</v>
      </c>
      <c r="H2450">
        <v>1600</v>
      </c>
      <c r="I2450">
        <v>1</v>
      </c>
      <c r="J2450">
        <v>1.55</v>
      </c>
      <c r="K2450">
        <v>2</v>
      </c>
      <c r="L2450">
        <v>8.5000000000000006E-2</v>
      </c>
      <c r="M2450">
        <v>1</v>
      </c>
      <c r="N2450">
        <v>73</v>
      </c>
      <c r="O2450">
        <v>1</v>
      </c>
      <c r="P2450">
        <v>7.4999999999999997E-2</v>
      </c>
      <c r="Q2450">
        <v>2</v>
      </c>
      <c r="R2450">
        <v>5.1999999999999998E-3</v>
      </c>
      <c r="T2450" t="s">
        <v>6954</v>
      </c>
    </row>
    <row r="2451" spans="1:20" x14ac:dyDescent="0.2">
      <c r="A2451" t="s">
        <v>6956</v>
      </c>
      <c r="B2451" t="s">
        <v>2022</v>
      </c>
      <c r="C2451" t="s">
        <v>2222</v>
      </c>
      <c r="D2451" t="s">
        <v>2024</v>
      </c>
      <c r="E2451" t="s">
        <v>6957</v>
      </c>
      <c r="F2451" t="s">
        <v>6958</v>
      </c>
      <c r="G2451">
        <v>1</v>
      </c>
      <c r="H2451">
        <v>1450</v>
      </c>
      <c r="I2451">
        <v>5</v>
      </c>
      <c r="J2451">
        <v>8.6999999999999993</v>
      </c>
      <c r="K2451">
        <v>5</v>
      </c>
      <c r="L2451">
        <v>0.26500000000000001</v>
      </c>
      <c r="M2451">
        <v>1</v>
      </c>
      <c r="N2451">
        <v>59</v>
      </c>
      <c r="O2451">
        <v>5</v>
      </c>
      <c r="P2451">
        <v>0.39</v>
      </c>
      <c r="Q2451">
        <v>5</v>
      </c>
      <c r="R2451">
        <v>1.1299999999999999E-2</v>
      </c>
      <c r="T2451" t="s">
        <v>6957</v>
      </c>
    </row>
    <row r="2452" spans="1:20" x14ac:dyDescent="0.2">
      <c r="A2452" t="s">
        <v>6959</v>
      </c>
      <c r="B2452" t="s">
        <v>2022</v>
      </c>
      <c r="C2452" t="s">
        <v>2023</v>
      </c>
      <c r="D2452" t="s">
        <v>2024</v>
      </c>
      <c r="E2452" t="s">
        <v>6960</v>
      </c>
      <c r="F2452" t="s">
        <v>6961</v>
      </c>
      <c r="G2452">
        <v>3</v>
      </c>
      <c r="H2452">
        <v>1640</v>
      </c>
      <c r="I2452">
        <v>2</v>
      </c>
      <c r="J2452">
        <v>3.4</v>
      </c>
      <c r="K2452">
        <v>1</v>
      </c>
      <c r="L2452">
        <v>6.0000000000000001E-3</v>
      </c>
      <c r="M2452">
        <v>1</v>
      </c>
      <c r="N2452">
        <v>74</v>
      </c>
      <c r="O2452">
        <v>2</v>
      </c>
      <c r="P2452">
        <v>0.22500000000000001</v>
      </c>
      <c r="Q2452">
        <v>1</v>
      </c>
      <c r="R2452">
        <v>5.0000000000000001E-4</v>
      </c>
      <c r="T2452" t="s">
        <v>6960</v>
      </c>
    </row>
    <row r="2453" spans="1:20" x14ac:dyDescent="0.2">
      <c r="A2453" t="s">
        <v>6962</v>
      </c>
      <c r="B2453" t="s">
        <v>2022</v>
      </c>
      <c r="C2453" t="s">
        <v>2053</v>
      </c>
      <c r="D2453" t="s">
        <v>2024</v>
      </c>
      <c r="E2453" t="s">
        <v>6963</v>
      </c>
      <c r="F2453" t="s">
        <v>447</v>
      </c>
      <c r="G2453">
        <v>4</v>
      </c>
      <c r="H2453">
        <v>1800</v>
      </c>
      <c r="I2453">
        <v>1</v>
      </c>
      <c r="J2453">
        <v>1.55</v>
      </c>
      <c r="K2453">
        <v>2</v>
      </c>
      <c r="L2453">
        <v>8.5000000000000006E-2</v>
      </c>
      <c r="M2453">
        <v>4</v>
      </c>
      <c r="N2453">
        <v>103</v>
      </c>
      <c r="O2453">
        <v>1</v>
      </c>
      <c r="P2453">
        <v>7.4999999999999997E-2</v>
      </c>
      <c r="Q2453">
        <v>2</v>
      </c>
      <c r="R2453">
        <v>5.1999999999999998E-3</v>
      </c>
      <c r="T2453" t="s">
        <v>6963</v>
      </c>
    </row>
    <row r="2454" spans="1:20" x14ac:dyDescent="0.2">
      <c r="A2454" t="s">
        <v>6964</v>
      </c>
      <c r="B2454" t="s">
        <v>2022</v>
      </c>
      <c r="C2454" t="s">
        <v>2053</v>
      </c>
      <c r="D2454" t="s">
        <v>2024</v>
      </c>
      <c r="E2454" t="s">
        <v>6965</v>
      </c>
      <c r="F2454" t="s">
        <v>447</v>
      </c>
      <c r="G2454">
        <v>4</v>
      </c>
      <c r="H2454">
        <v>1800</v>
      </c>
      <c r="I2454">
        <v>2</v>
      </c>
      <c r="J2454">
        <v>4.05</v>
      </c>
      <c r="K2454">
        <v>2</v>
      </c>
      <c r="L2454">
        <v>8.5000000000000006E-2</v>
      </c>
      <c r="M2454">
        <v>4</v>
      </c>
      <c r="N2454">
        <v>103</v>
      </c>
      <c r="O2454">
        <v>2</v>
      </c>
      <c r="P2454">
        <v>0.22500000000000001</v>
      </c>
      <c r="Q2454">
        <v>2</v>
      </c>
      <c r="R2454">
        <v>5.1999999999999998E-3</v>
      </c>
      <c r="T2454" t="s">
        <v>6965</v>
      </c>
    </row>
    <row r="2455" spans="1:20" x14ac:dyDescent="0.2">
      <c r="A2455" t="s">
        <v>6966</v>
      </c>
      <c r="B2455" t="s">
        <v>2022</v>
      </c>
      <c r="C2455" t="s">
        <v>2036</v>
      </c>
      <c r="D2455" t="s">
        <v>2024</v>
      </c>
      <c r="E2455" t="s">
        <v>6967</v>
      </c>
      <c r="F2455" t="s">
        <v>6968</v>
      </c>
      <c r="G2455">
        <v>2</v>
      </c>
      <c r="H2455">
        <v>1640</v>
      </c>
      <c r="I2455">
        <v>3</v>
      </c>
      <c r="J2455">
        <v>4.5999999999999996</v>
      </c>
      <c r="K2455">
        <v>1</v>
      </c>
      <c r="L2455">
        <v>5.5E-2</v>
      </c>
      <c r="M2455">
        <v>2</v>
      </c>
      <c r="N2455">
        <v>82</v>
      </c>
      <c r="O2455">
        <v>2</v>
      </c>
      <c r="P2455">
        <v>0.20499999999999999</v>
      </c>
      <c r="Q2455">
        <v>1</v>
      </c>
      <c r="R2455">
        <v>1.5E-3</v>
      </c>
      <c r="T2455" t="s">
        <v>6967</v>
      </c>
    </row>
    <row r="2456" spans="1:20" x14ac:dyDescent="0.2">
      <c r="A2456" t="s">
        <v>6969</v>
      </c>
      <c r="B2456" t="s">
        <v>2022</v>
      </c>
      <c r="C2456" t="s">
        <v>2023</v>
      </c>
      <c r="D2456" t="s">
        <v>2024</v>
      </c>
      <c r="E2456" t="s">
        <v>6970</v>
      </c>
      <c r="F2456" t="s">
        <v>6971</v>
      </c>
      <c r="G2456">
        <v>4</v>
      </c>
      <c r="H2456">
        <v>1720</v>
      </c>
      <c r="I2456">
        <v>4</v>
      </c>
      <c r="J2456">
        <v>8.4</v>
      </c>
      <c r="K2456">
        <v>2</v>
      </c>
      <c r="L2456">
        <v>2.5999999999999999E-2</v>
      </c>
      <c r="M2456">
        <v>3</v>
      </c>
      <c r="N2456">
        <v>94</v>
      </c>
      <c r="O2456">
        <v>3</v>
      </c>
      <c r="P2456">
        <v>0.375</v>
      </c>
      <c r="Q2456">
        <v>2</v>
      </c>
      <c r="R2456">
        <v>2E-3</v>
      </c>
      <c r="T2456" t="s">
        <v>6970</v>
      </c>
    </row>
    <row r="2457" spans="1:20" x14ac:dyDescent="0.2">
      <c r="A2457" t="s">
        <v>6972</v>
      </c>
      <c r="B2457" t="s">
        <v>2022</v>
      </c>
      <c r="C2457" t="s">
        <v>2101</v>
      </c>
      <c r="D2457" t="s">
        <v>2024</v>
      </c>
      <c r="E2457" t="s">
        <v>6973</v>
      </c>
      <c r="F2457" t="s">
        <v>6974</v>
      </c>
      <c r="G2457">
        <v>1</v>
      </c>
      <c r="H2457">
        <v>1570</v>
      </c>
      <c r="I2457">
        <v>5</v>
      </c>
      <c r="J2457">
        <v>14</v>
      </c>
      <c r="K2457">
        <v>5</v>
      </c>
      <c r="L2457">
        <v>0.53749999999999998</v>
      </c>
      <c r="M2457">
        <v>5</v>
      </c>
      <c r="N2457">
        <v>98</v>
      </c>
      <c r="O2457">
        <v>5</v>
      </c>
      <c r="P2457">
        <v>0.67500000000000004</v>
      </c>
      <c r="Q2457">
        <v>5</v>
      </c>
      <c r="R2457">
        <v>2.5499999999999998E-2</v>
      </c>
      <c r="T2457" t="s">
        <v>6973</v>
      </c>
    </row>
    <row r="2458" spans="1:20" x14ac:dyDescent="0.2">
      <c r="A2458" t="s">
        <v>6975</v>
      </c>
      <c r="B2458" t="s">
        <v>2022</v>
      </c>
      <c r="C2458" t="s">
        <v>2101</v>
      </c>
      <c r="D2458" t="s">
        <v>2024</v>
      </c>
      <c r="E2458" t="s">
        <v>6973</v>
      </c>
      <c r="F2458" t="s">
        <v>6974</v>
      </c>
      <c r="G2458">
        <v>2</v>
      </c>
      <c r="H2458">
        <v>1670</v>
      </c>
      <c r="I2458">
        <v>5</v>
      </c>
      <c r="J2458">
        <v>14</v>
      </c>
      <c r="K2458">
        <v>5</v>
      </c>
      <c r="L2458">
        <v>0.53749999999999998</v>
      </c>
      <c r="M2458">
        <v>2</v>
      </c>
      <c r="N2458">
        <v>74</v>
      </c>
      <c r="O2458">
        <v>5</v>
      </c>
      <c r="P2458">
        <v>0.67500000000000004</v>
      </c>
      <c r="Q2458">
        <v>5</v>
      </c>
      <c r="R2458">
        <v>2.5499999999999998E-2</v>
      </c>
      <c r="T2458" t="s">
        <v>6973</v>
      </c>
    </row>
    <row r="2459" spans="1:20" x14ac:dyDescent="0.2">
      <c r="A2459" t="s">
        <v>6976</v>
      </c>
      <c r="B2459" t="s">
        <v>2022</v>
      </c>
      <c r="C2459" t="s">
        <v>2023</v>
      </c>
      <c r="D2459" t="s">
        <v>2024</v>
      </c>
      <c r="E2459" t="s">
        <v>6973</v>
      </c>
      <c r="F2459" t="s">
        <v>6974</v>
      </c>
      <c r="G2459">
        <v>5</v>
      </c>
      <c r="H2459">
        <v>1800</v>
      </c>
      <c r="I2459">
        <v>5</v>
      </c>
      <c r="J2459">
        <v>10.9</v>
      </c>
      <c r="K2459">
        <v>5</v>
      </c>
      <c r="L2459">
        <v>8.5999999999999993E-2</v>
      </c>
      <c r="M2459">
        <v>3</v>
      </c>
      <c r="N2459">
        <v>94</v>
      </c>
      <c r="O2459">
        <v>5</v>
      </c>
      <c r="P2459">
        <v>0.67500000000000004</v>
      </c>
      <c r="Q2459">
        <v>5</v>
      </c>
      <c r="R2459">
        <v>8.0000000000000002E-3</v>
      </c>
      <c r="T2459" t="s">
        <v>6973</v>
      </c>
    </row>
    <row r="2460" spans="1:20" x14ac:dyDescent="0.2">
      <c r="A2460" t="s">
        <v>6977</v>
      </c>
      <c r="B2460" t="s">
        <v>2022</v>
      </c>
      <c r="C2460" t="s">
        <v>2053</v>
      </c>
      <c r="D2460" t="s">
        <v>2024</v>
      </c>
      <c r="E2460" t="s">
        <v>6978</v>
      </c>
      <c r="F2460" t="s">
        <v>6979</v>
      </c>
      <c r="G2460">
        <v>2</v>
      </c>
      <c r="H2460">
        <v>1600</v>
      </c>
      <c r="I2460">
        <v>1</v>
      </c>
      <c r="J2460">
        <v>1.55</v>
      </c>
      <c r="K2460">
        <v>1</v>
      </c>
      <c r="L2460">
        <v>1.4999999999999999E-2</v>
      </c>
      <c r="M2460">
        <v>5</v>
      </c>
      <c r="N2460">
        <v>113</v>
      </c>
      <c r="O2460">
        <v>1</v>
      </c>
      <c r="P2460">
        <v>7.4999999999999997E-2</v>
      </c>
      <c r="Q2460">
        <v>1</v>
      </c>
      <c r="R2460">
        <v>8.4999999999999995E-4</v>
      </c>
      <c r="T2460" t="s">
        <v>6978</v>
      </c>
    </row>
    <row r="2461" spans="1:20" x14ac:dyDescent="0.2">
      <c r="A2461" t="s">
        <v>6980</v>
      </c>
      <c r="B2461" t="s">
        <v>2022</v>
      </c>
      <c r="C2461" t="s">
        <v>2036</v>
      </c>
      <c r="D2461" t="s">
        <v>2024</v>
      </c>
      <c r="E2461" t="s">
        <v>6981</v>
      </c>
      <c r="F2461" t="s">
        <v>6982</v>
      </c>
      <c r="G2461">
        <v>3</v>
      </c>
      <c r="H2461">
        <v>1740</v>
      </c>
      <c r="I2461">
        <v>5</v>
      </c>
      <c r="J2461">
        <v>7</v>
      </c>
      <c r="K2461">
        <v>2</v>
      </c>
      <c r="L2461">
        <v>8.5000000000000006E-2</v>
      </c>
      <c r="M2461">
        <v>1</v>
      </c>
      <c r="N2461">
        <v>76</v>
      </c>
      <c r="O2461">
        <v>5</v>
      </c>
      <c r="P2461">
        <v>0.53500000000000003</v>
      </c>
      <c r="Q2461">
        <v>2</v>
      </c>
      <c r="R2461">
        <v>4.2500000000000003E-3</v>
      </c>
      <c r="T2461" t="s">
        <v>6981</v>
      </c>
    </row>
    <row r="2462" spans="1:20" x14ac:dyDescent="0.2">
      <c r="A2462" t="s">
        <v>6983</v>
      </c>
      <c r="B2462" t="s">
        <v>2022</v>
      </c>
      <c r="C2462" t="s">
        <v>2508</v>
      </c>
      <c r="D2462" t="s">
        <v>2024</v>
      </c>
      <c r="E2462" t="s">
        <v>6984</v>
      </c>
      <c r="F2462" t="s">
        <v>6985</v>
      </c>
      <c r="G2462">
        <v>2</v>
      </c>
      <c r="H2462">
        <v>1350</v>
      </c>
      <c r="I2462">
        <v>1</v>
      </c>
      <c r="J2462">
        <v>1</v>
      </c>
      <c r="K2462">
        <v>2</v>
      </c>
      <c r="L2462">
        <v>0.1</v>
      </c>
      <c r="M2462">
        <v>3</v>
      </c>
      <c r="N2462">
        <v>222.5</v>
      </c>
      <c r="O2462">
        <v>1</v>
      </c>
      <c r="P2462">
        <v>0.45</v>
      </c>
      <c r="Q2462">
        <v>1</v>
      </c>
      <c r="R2462">
        <v>1.2E-2</v>
      </c>
      <c r="T2462" t="s">
        <v>6984</v>
      </c>
    </row>
    <row r="2463" spans="1:20" x14ac:dyDescent="0.2">
      <c r="A2463" t="s">
        <v>6986</v>
      </c>
      <c r="B2463" t="s">
        <v>2022</v>
      </c>
      <c r="C2463" t="s">
        <v>2508</v>
      </c>
      <c r="D2463" t="s">
        <v>2024</v>
      </c>
      <c r="E2463" t="s">
        <v>6987</v>
      </c>
      <c r="F2463" t="s">
        <v>6988</v>
      </c>
      <c r="G2463">
        <v>4</v>
      </c>
      <c r="H2463">
        <v>1550</v>
      </c>
      <c r="I2463">
        <v>5</v>
      </c>
      <c r="J2463">
        <v>17</v>
      </c>
      <c r="K2463">
        <v>5</v>
      </c>
      <c r="L2463">
        <v>0.57999999999999996</v>
      </c>
      <c r="M2463">
        <v>2</v>
      </c>
      <c r="N2463">
        <v>157.5</v>
      </c>
      <c r="O2463">
        <v>5</v>
      </c>
      <c r="P2463">
        <v>1.65</v>
      </c>
      <c r="Q2463">
        <v>5</v>
      </c>
      <c r="R2463">
        <v>0.06</v>
      </c>
      <c r="T2463" t="s">
        <v>6987</v>
      </c>
    </row>
    <row r="2464" spans="1:20" x14ac:dyDescent="0.2">
      <c r="A2464" t="s">
        <v>6989</v>
      </c>
      <c r="B2464" t="s">
        <v>2022</v>
      </c>
      <c r="C2464" t="s">
        <v>2023</v>
      </c>
      <c r="D2464" t="s">
        <v>2024</v>
      </c>
      <c r="E2464" t="s">
        <v>265</v>
      </c>
      <c r="F2464" t="s">
        <v>6990</v>
      </c>
      <c r="G2464">
        <v>1</v>
      </c>
      <c r="H2464">
        <v>1480</v>
      </c>
      <c r="I2464">
        <v>1</v>
      </c>
      <c r="J2464">
        <v>0.9</v>
      </c>
      <c r="K2464">
        <v>1</v>
      </c>
      <c r="L2464">
        <v>6.0000000000000001E-3</v>
      </c>
      <c r="M2464">
        <v>1</v>
      </c>
      <c r="N2464">
        <v>74</v>
      </c>
      <c r="O2464">
        <v>1</v>
      </c>
      <c r="P2464">
        <v>7.4999999999999997E-2</v>
      </c>
      <c r="Q2464">
        <v>1</v>
      </c>
      <c r="R2464">
        <v>5.0000000000000001E-4</v>
      </c>
      <c r="T2464" t="s">
        <v>265</v>
      </c>
    </row>
    <row r="2465" spans="1:20" x14ac:dyDescent="0.2">
      <c r="A2465" t="s">
        <v>6991</v>
      </c>
      <c r="B2465" t="s">
        <v>2022</v>
      </c>
      <c r="C2465" t="s">
        <v>2023</v>
      </c>
      <c r="D2465" t="s">
        <v>2024</v>
      </c>
      <c r="E2465" t="s">
        <v>6992</v>
      </c>
      <c r="F2465" t="s">
        <v>6993</v>
      </c>
      <c r="G2465">
        <v>5</v>
      </c>
      <c r="H2465">
        <v>1800</v>
      </c>
      <c r="I2465">
        <v>5</v>
      </c>
      <c r="J2465">
        <v>10.9</v>
      </c>
      <c r="K2465">
        <v>5</v>
      </c>
      <c r="L2465">
        <v>8.5999999999999993E-2</v>
      </c>
      <c r="M2465">
        <v>2</v>
      </c>
      <c r="N2465">
        <v>84</v>
      </c>
      <c r="O2465">
        <v>5</v>
      </c>
      <c r="P2465">
        <v>0.67500000000000004</v>
      </c>
      <c r="Q2465">
        <v>5</v>
      </c>
      <c r="R2465">
        <v>8.0000000000000002E-3</v>
      </c>
      <c r="T2465" t="s">
        <v>6992</v>
      </c>
    </row>
    <row r="2466" spans="1:20" x14ac:dyDescent="0.2">
      <c r="A2466" t="s">
        <v>6994</v>
      </c>
      <c r="B2466" t="s">
        <v>2022</v>
      </c>
      <c r="C2466" t="s">
        <v>2023</v>
      </c>
      <c r="D2466" t="s">
        <v>2024</v>
      </c>
      <c r="E2466" t="s">
        <v>6995</v>
      </c>
      <c r="F2466" t="s">
        <v>6996</v>
      </c>
      <c r="G2466">
        <v>3</v>
      </c>
      <c r="H2466">
        <v>1640</v>
      </c>
      <c r="I2466">
        <v>4</v>
      </c>
      <c r="J2466">
        <v>8.4</v>
      </c>
      <c r="K2466">
        <v>5</v>
      </c>
      <c r="L2466">
        <v>8.5999999999999993E-2</v>
      </c>
      <c r="M2466">
        <v>2</v>
      </c>
      <c r="N2466">
        <v>84</v>
      </c>
      <c r="O2466">
        <v>3</v>
      </c>
      <c r="P2466">
        <v>0.375</v>
      </c>
      <c r="Q2466">
        <v>5</v>
      </c>
      <c r="R2466">
        <v>8.0000000000000002E-3</v>
      </c>
      <c r="T2466" t="s">
        <v>6995</v>
      </c>
    </row>
    <row r="2467" spans="1:20" x14ac:dyDescent="0.2">
      <c r="A2467" t="s">
        <v>6997</v>
      </c>
      <c r="B2467" t="s">
        <v>2022</v>
      </c>
      <c r="C2467" t="s">
        <v>2053</v>
      </c>
      <c r="D2467" t="s">
        <v>2024</v>
      </c>
      <c r="E2467" t="s">
        <v>323</v>
      </c>
      <c r="F2467" t="s">
        <v>6998</v>
      </c>
      <c r="G2467">
        <v>1</v>
      </c>
      <c r="H2467">
        <v>1500</v>
      </c>
      <c r="I2467">
        <v>2</v>
      </c>
      <c r="J2467">
        <v>4.05</v>
      </c>
      <c r="K2467">
        <v>2</v>
      </c>
      <c r="L2467">
        <v>8.5000000000000006E-2</v>
      </c>
      <c r="M2467">
        <v>5</v>
      </c>
      <c r="N2467">
        <v>113</v>
      </c>
      <c r="O2467">
        <v>3</v>
      </c>
      <c r="P2467">
        <v>0.375</v>
      </c>
      <c r="Q2467">
        <v>2</v>
      </c>
      <c r="R2467">
        <v>5.1999999999999998E-3</v>
      </c>
      <c r="T2467" t="s">
        <v>323</v>
      </c>
    </row>
    <row r="2468" spans="1:20" x14ac:dyDescent="0.2">
      <c r="A2468" t="s">
        <v>6999</v>
      </c>
      <c r="B2468" t="s">
        <v>2022</v>
      </c>
      <c r="C2468" t="s">
        <v>2023</v>
      </c>
      <c r="D2468" t="s">
        <v>2136</v>
      </c>
      <c r="E2468" t="s">
        <v>7000</v>
      </c>
      <c r="F2468" t="s">
        <v>7001</v>
      </c>
      <c r="G2468">
        <v>1</v>
      </c>
      <c r="H2468">
        <v>1480</v>
      </c>
      <c r="I2468">
        <v>1</v>
      </c>
      <c r="J2468">
        <v>0.9</v>
      </c>
      <c r="K2468">
        <v>2</v>
      </c>
      <c r="L2468">
        <v>2.5999999999999999E-2</v>
      </c>
      <c r="M2468">
        <v>3</v>
      </c>
      <c r="N2468">
        <v>94</v>
      </c>
      <c r="O2468">
        <v>1</v>
      </c>
      <c r="P2468">
        <v>7.4999999999999997E-2</v>
      </c>
      <c r="Q2468">
        <v>2</v>
      </c>
      <c r="R2468">
        <v>2E-3</v>
      </c>
      <c r="T2468" t="s">
        <v>7000</v>
      </c>
    </row>
    <row r="2469" spans="1:20" x14ac:dyDescent="0.2">
      <c r="A2469" t="s">
        <v>7002</v>
      </c>
      <c r="B2469" t="s">
        <v>2022</v>
      </c>
      <c r="C2469" t="s">
        <v>2036</v>
      </c>
      <c r="D2469" t="s">
        <v>2024</v>
      </c>
      <c r="E2469" t="s">
        <v>7003</v>
      </c>
      <c r="F2469" t="s">
        <v>7004</v>
      </c>
      <c r="G2469">
        <v>4</v>
      </c>
      <c r="H2469">
        <v>1840</v>
      </c>
      <c r="I2469">
        <v>5</v>
      </c>
      <c r="J2469">
        <v>7</v>
      </c>
      <c r="K2469">
        <v>5</v>
      </c>
      <c r="L2469">
        <v>0.17499999999999999</v>
      </c>
      <c r="M2469">
        <v>4</v>
      </c>
      <c r="N2469">
        <v>94</v>
      </c>
      <c r="O2469">
        <v>5</v>
      </c>
      <c r="P2469">
        <v>0.53500000000000003</v>
      </c>
      <c r="Q2469">
        <v>5</v>
      </c>
      <c r="R2469">
        <v>1.2E-2</v>
      </c>
      <c r="T2469" t="s">
        <v>7003</v>
      </c>
    </row>
    <row r="2470" spans="1:20" x14ac:dyDescent="0.2">
      <c r="A2470" t="s">
        <v>7005</v>
      </c>
      <c r="B2470" t="s">
        <v>2022</v>
      </c>
      <c r="C2470" t="s">
        <v>2023</v>
      </c>
      <c r="D2470" t="s">
        <v>2024</v>
      </c>
      <c r="E2470" t="s">
        <v>7006</v>
      </c>
      <c r="F2470" t="s">
        <v>7007</v>
      </c>
      <c r="G2470">
        <v>1</v>
      </c>
      <c r="H2470">
        <v>1480</v>
      </c>
      <c r="I2470">
        <v>1</v>
      </c>
      <c r="J2470">
        <v>0.9</v>
      </c>
      <c r="K2470">
        <v>2</v>
      </c>
      <c r="L2470">
        <v>2.5999999999999999E-2</v>
      </c>
      <c r="M2470">
        <v>1</v>
      </c>
      <c r="N2470">
        <v>74</v>
      </c>
      <c r="O2470">
        <v>1</v>
      </c>
      <c r="P2470">
        <v>7.4999999999999997E-2</v>
      </c>
      <c r="Q2470">
        <v>2</v>
      </c>
      <c r="R2470">
        <v>2E-3</v>
      </c>
      <c r="T2470" t="s">
        <v>7006</v>
      </c>
    </row>
    <row r="2471" spans="1:20" x14ac:dyDescent="0.2">
      <c r="A2471" t="s">
        <v>7008</v>
      </c>
      <c r="B2471" t="s">
        <v>2022</v>
      </c>
      <c r="C2471" t="s">
        <v>2023</v>
      </c>
      <c r="D2471" t="s">
        <v>2136</v>
      </c>
      <c r="E2471" t="s">
        <v>7009</v>
      </c>
      <c r="F2471" t="s">
        <v>2297</v>
      </c>
      <c r="G2471">
        <v>3</v>
      </c>
      <c r="H2471">
        <v>1640</v>
      </c>
      <c r="I2471">
        <v>2</v>
      </c>
      <c r="J2471">
        <v>3.4</v>
      </c>
      <c r="K2471">
        <v>3</v>
      </c>
      <c r="L2471">
        <v>4.5999999999999999E-2</v>
      </c>
      <c r="M2471">
        <v>1</v>
      </c>
      <c r="N2471">
        <v>74</v>
      </c>
      <c r="O2471">
        <v>1</v>
      </c>
      <c r="P2471">
        <v>7.4999999999999997E-2</v>
      </c>
      <c r="Q2471">
        <v>2</v>
      </c>
      <c r="R2471">
        <v>2E-3</v>
      </c>
      <c r="T2471" t="s">
        <v>7009</v>
      </c>
    </row>
    <row r="2472" spans="1:20" x14ac:dyDescent="0.2">
      <c r="A2472" t="s">
        <v>7010</v>
      </c>
      <c r="B2472" t="s">
        <v>2022</v>
      </c>
      <c r="C2472" t="s">
        <v>2101</v>
      </c>
      <c r="D2472" t="s">
        <v>2024</v>
      </c>
      <c r="E2472" t="s">
        <v>7011</v>
      </c>
      <c r="F2472" t="s">
        <v>7012</v>
      </c>
      <c r="G2472">
        <v>4</v>
      </c>
      <c r="H2472">
        <v>1870</v>
      </c>
      <c r="I2472">
        <v>1</v>
      </c>
      <c r="J2472">
        <v>2</v>
      </c>
      <c r="K2472">
        <v>2</v>
      </c>
      <c r="L2472">
        <v>9.6500000000000002E-2</v>
      </c>
      <c r="M2472">
        <v>2</v>
      </c>
      <c r="N2472">
        <v>74</v>
      </c>
      <c r="O2472">
        <v>1</v>
      </c>
      <c r="P2472">
        <v>7.4999999999999997E-2</v>
      </c>
      <c r="Q2472">
        <v>2</v>
      </c>
      <c r="R2472">
        <v>4.4999999999999997E-3</v>
      </c>
      <c r="T2472" t="s">
        <v>7011</v>
      </c>
    </row>
    <row r="2473" spans="1:20" x14ac:dyDescent="0.2">
      <c r="A2473" t="s">
        <v>7013</v>
      </c>
      <c r="B2473" t="s">
        <v>2022</v>
      </c>
      <c r="C2473" t="s">
        <v>2095</v>
      </c>
      <c r="D2473" t="s">
        <v>2024</v>
      </c>
      <c r="E2473" t="s">
        <v>7014</v>
      </c>
      <c r="F2473" t="s">
        <v>7015</v>
      </c>
      <c r="G2473">
        <v>3</v>
      </c>
      <c r="H2473">
        <v>1745</v>
      </c>
      <c r="I2473">
        <v>1</v>
      </c>
      <c r="J2473">
        <v>4.5</v>
      </c>
      <c r="K2473">
        <v>1</v>
      </c>
      <c r="L2473">
        <v>1.4999999999999999E-2</v>
      </c>
      <c r="M2473">
        <v>4</v>
      </c>
      <c r="N2473">
        <v>92</v>
      </c>
      <c r="O2473">
        <v>1</v>
      </c>
      <c r="P2473">
        <v>0.15</v>
      </c>
      <c r="Q2473">
        <v>2</v>
      </c>
      <c r="R2473">
        <v>5.8999999999999999E-3</v>
      </c>
      <c r="T2473" t="s">
        <v>7014</v>
      </c>
    </row>
    <row r="2474" spans="1:20" x14ac:dyDescent="0.2">
      <c r="A2474" t="s">
        <v>7016</v>
      </c>
      <c r="B2474" t="s">
        <v>2022</v>
      </c>
      <c r="C2474" t="s">
        <v>2023</v>
      </c>
      <c r="D2474" t="s">
        <v>2024</v>
      </c>
      <c r="E2474" t="s">
        <v>7017</v>
      </c>
      <c r="F2474" t="s">
        <v>7018</v>
      </c>
      <c r="G2474">
        <v>1</v>
      </c>
      <c r="H2474">
        <v>1480</v>
      </c>
      <c r="I2474">
        <v>2</v>
      </c>
      <c r="J2474">
        <v>3.4</v>
      </c>
      <c r="K2474">
        <v>3</v>
      </c>
      <c r="L2474">
        <v>4.5999999999999999E-2</v>
      </c>
      <c r="M2474">
        <v>2</v>
      </c>
      <c r="N2474">
        <v>84</v>
      </c>
      <c r="O2474">
        <v>2</v>
      </c>
      <c r="P2474">
        <v>0.22500000000000001</v>
      </c>
      <c r="Q2474">
        <v>2</v>
      </c>
      <c r="R2474">
        <v>2E-3</v>
      </c>
      <c r="T2474" t="s">
        <v>7017</v>
      </c>
    </row>
    <row r="2475" spans="1:20" x14ac:dyDescent="0.2">
      <c r="A2475" t="s">
        <v>7019</v>
      </c>
      <c r="B2475" t="s">
        <v>2022</v>
      </c>
      <c r="C2475" t="s">
        <v>2036</v>
      </c>
      <c r="D2475" t="s">
        <v>2024</v>
      </c>
      <c r="E2475" t="s">
        <v>7020</v>
      </c>
      <c r="F2475" t="s">
        <v>7021</v>
      </c>
      <c r="G2475">
        <v>5</v>
      </c>
      <c r="H2475">
        <v>1940</v>
      </c>
      <c r="I2475">
        <v>5</v>
      </c>
      <c r="J2475">
        <v>7</v>
      </c>
      <c r="K2475">
        <v>5</v>
      </c>
      <c r="L2475">
        <v>0.17499999999999999</v>
      </c>
      <c r="M2475">
        <v>4</v>
      </c>
      <c r="N2475">
        <v>94</v>
      </c>
      <c r="O2475">
        <v>5</v>
      </c>
      <c r="P2475">
        <v>0.53500000000000003</v>
      </c>
      <c r="Q2475">
        <v>5</v>
      </c>
      <c r="R2475">
        <v>1.2E-2</v>
      </c>
      <c r="T2475" t="s">
        <v>7020</v>
      </c>
    </row>
    <row r="2476" spans="1:20" x14ac:dyDescent="0.2">
      <c r="A2476" t="s">
        <v>7022</v>
      </c>
      <c r="B2476" t="s">
        <v>2022</v>
      </c>
      <c r="C2476" t="s">
        <v>2036</v>
      </c>
      <c r="D2476" t="s">
        <v>2154</v>
      </c>
      <c r="E2476" t="s">
        <v>7023</v>
      </c>
      <c r="F2476" t="s">
        <v>7024</v>
      </c>
      <c r="G2476">
        <v>2</v>
      </c>
      <c r="H2476">
        <v>1640</v>
      </c>
      <c r="I2476">
        <v>2</v>
      </c>
      <c r="J2476">
        <v>3.4</v>
      </c>
      <c r="K2476">
        <v>4</v>
      </c>
      <c r="L2476">
        <v>0.14499999999999999</v>
      </c>
      <c r="M2476">
        <v>1</v>
      </c>
      <c r="N2476">
        <v>76</v>
      </c>
      <c r="O2476">
        <v>1</v>
      </c>
      <c r="P2476">
        <v>9.5000000000000001E-2</v>
      </c>
      <c r="Q2476">
        <v>3</v>
      </c>
      <c r="R2476">
        <v>6.7499999999999999E-3</v>
      </c>
      <c r="T2476" t="s">
        <v>7023</v>
      </c>
    </row>
    <row r="2477" spans="1:20" x14ac:dyDescent="0.2">
      <c r="A2477" t="s">
        <v>7025</v>
      </c>
      <c r="B2477" t="s">
        <v>2022</v>
      </c>
      <c r="C2477" t="s">
        <v>2023</v>
      </c>
      <c r="D2477" t="s">
        <v>2024</v>
      </c>
      <c r="E2477" t="s">
        <v>301</v>
      </c>
      <c r="F2477" t="s">
        <v>7026</v>
      </c>
      <c r="G2477">
        <v>2</v>
      </c>
      <c r="H2477">
        <v>1560</v>
      </c>
      <c r="I2477">
        <v>1</v>
      </c>
      <c r="J2477">
        <v>0.9</v>
      </c>
      <c r="K2477">
        <v>2</v>
      </c>
      <c r="L2477">
        <v>2.5999999999999999E-2</v>
      </c>
      <c r="M2477">
        <v>4</v>
      </c>
      <c r="N2477">
        <v>104</v>
      </c>
      <c r="O2477">
        <v>1</v>
      </c>
      <c r="P2477">
        <v>7.4999999999999997E-2</v>
      </c>
      <c r="Q2477">
        <v>2</v>
      </c>
      <c r="R2477">
        <v>2E-3</v>
      </c>
      <c r="T2477" t="s">
        <v>301</v>
      </c>
    </row>
    <row r="2478" spans="1:20" x14ac:dyDescent="0.2">
      <c r="A2478" t="s">
        <v>7027</v>
      </c>
      <c r="B2478" t="s">
        <v>2022</v>
      </c>
      <c r="C2478" t="s">
        <v>2036</v>
      </c>
      <c r="D2478" t="s">
        <v>2024</v>
      </c>
      <c r="E2478" t="s">
        <v>7028</v>
      </c>
      <c r="F2478" t="s">
        <v>7029</v>
      </c>
      <c r="G2478">
        <v>4</v>
      </c>
      <c r="H2478">
        <v>1840</v>
      </c>
      <c r="I2478">
        <v>5</v>
      </c>
      <c r="J2478">
        <v>7</v>
      </c>
      <c r="K2478">
        <v>5</v>
      </c>
      <c r="L2478">
        <v>0.17499999999999999</v>
      </c>
      <c r="M2478">
        <v>4</v>
      </c>
      <c r="N2478">
        <v>94</v>
      </c>
      <c r="O2478">
        <v>5</v>
      </c>
      <c r="P2478">
        <v>0.53500000000000003</v>
      </c>
      <c r="Q2478">
        <v>4</v>
      </c>
      <c r="R2478">
        <v>9.2499999999999995E-3</v>
      </c>
      <c r="T2478" t="s">
        <v>7028</v>
      </c>
    </row>
    <row r="2479" spans="1:20" x14ac:dyDescent="0.2">
      <c r="A2479" t="s">
        <v>7030</v>
      </c>
      <c r="B2479" t="s">
        <v>2022</v>
      </c>
      <c r="C2479" t="s">
        <v>2036</v>
      </c>
      <c r="D2479" t="s">
        <v>2024</v>
      </c>
      <c r="E2479" t="s">
        <v>7031</v>
      </c>
      <c r="F2479" t="s">
        <v>7032</v>
      </c>
      <c r="G2479">
        <v>3</v>
      </c>
      <c r="H2479">
        <v>1740</v>
      </c>
      <c r="I2479">
        <v>5</v>
      </c>
      <c r="J2479">
        <v>7</v>
      </c>
      <c r="K2479">
        <v>5</v>
      </c>
      <c r="L2479">
        <v>0.17499999999999999</v>
      </c>
      <c r="M2479">
        <v>3</v>
      </c>
      <c r="N2479">
        <v>88</v>
      </c>
      <c r="O2479">
        <v>4</v>
      </c>
      <c r="P2479">
        <v>0.42499999999999999</v>
      </c>
      <c r="Q2479">
        <v>4</v>
      </c>
      <c r="R2479">
        <v>9.2499999999999995E-3</v>
      </c>
      <c r="T2479" t="s">
        <v>7031</v>
      </c>
    </row>
    <row r="2480" spans="1:20" x14ac:dyDescent="0.2">
      <c r="A2480" t="s">
        <v>7033</v>
      </c>
      <c r="B2480" t="s">
        <v>2022</v>
      </c>
      <c r="C2480" t="s">
        <v>2023</v>
      </c>
      <c r="D2480" t="s">
        <v>2024</v>
      </c>
      <c r="E2480" t="s">
        <v>7034</v>
      </c>
      <c r="F2480" t="s">
        <v>7035</v>
      </c>
      <c r="G2480">
        <v>5</v>
      </c>
      <c r="H2480">
        <v>1800</v>
      </c>
      <c r="I2480">
        <v>5</v>
      </c>
      <c r="J2480">
        <v>10.9</v>
      </c>
      <c r="K2480">
        <v>5</v>
      </c>
      <c r="L2480">
        <v>8.5999999999999993E-2</v>
      </c>
      <c r="M2480">
        <v>2</v>
      </c>
      <c r="N2480">
        <v>84</v>
      </c>
      <c r="O2480">
        <v>5</v>
      </c>
      <c r="P2480">
        <v>0.67500000000000004</v>
      </c>
      <c r="Q2480">
        <v>5</v>
      </c>
      <c r="R2480">
        <v>8.0000000000000002E-3</v>
      </c>
      <c r="T2480" t="s">
        <v>7034</v>
      </c>
    </row>
    <row r="2481" spans="1:20" x14ac:dyDescent="0.2">
      <c r="A2481" t="s">
        <v>7036</v>
      </c>
      <c r="B2481" t="s">
        <v>2022</v>
      </c>
      <c r="C2481" t="s">
        <v>2095</v>
      </c>
      <c r="D2481" t="s">
        <v>2136</v>
      </c>
      <c r="E2481" t="s">
        <v>7037</v>
      </c>
      <c r="F2481" t="s">
        <v>2847</v>
      </c>
      <c r="G2481">
        <v>4</v>
      </c>
      <c r="H2481">
        <v>1835</v>
      </c>
      <c r="I2481">
        <v>5</v>
      </c>
      <c r="J2481">
        <v>16.5</v>
      </c>
      <c r="K2481">
        <v>5</v>
      </c>
      <c r="L2481">
        <v>0.73</v>
      </c>
      <c r="M2481">
        <v>3</v>
      </c>
      <c r="N2481">
        <v>86</v>
      </c>
      <c r="O2481">
        <v>4</v>
      </c>
      <c r="P2481">
        <v>0.75</v>
      </c>
      <c r="Q2481">
        <v>5</v>
      </c>
      <c r="R2481">
        <v>3.2899999999999999E-2</v>
      </c>
      <c r="T2481" t="s">
        <v>7037</v>
      </c>
    </row>
    <row r="2482" spans="1:20" x14ac:dyDescent="0.2">
      <c r="A2482" t="s">
        <v>7038</v>
      </c>
      <c r="B2482" t="s">
        <v>2022</v>
      </c>
      <c r="C2482" t="s">
        <v>2036</v>
      </c>
      <c r="D2482" t="s">
        <v>2024</v>
      </c>
      <c r="E2482" t="s">
        <v>7039</v>
      </c>
      <c r="F2482" t="s">
        <v>7040</v>
      </c>
      <c r="G2482">
        <v>3</v>
      </c>
      <c r="H2482">
        <v>1740</v>
      </c>
      <c r="I2482">
        <v>3</v>
      </c>
      <c r="J2482">
        <v>4.5999999999999996</v>
      </c>
      <c r="K2482">
        <v>3</v>
      </c>
      <c r="L2482">
        <v>0.115</v>
      </c>
      <c r="M2482">
        <v>3</v>
      </c>
      <c r="N2482">
        <v>88</v>
      </c>
      <c r="O2482">
        <v>2</v>
      </c>
      <c r="P2482">
        <v>0.20499999999999999</v>
      </c>
      <c r="Q2482">
        <v>3</v>
      </c>
      <c r="R2482">
        <v>6.7499999999999999E-3</v>
      </c>
      <c r="T2482" t="s">
        <v>7039</v>
      </c>
    </row>
    <row r="2483" spans="1:20" x14ac:dyDescent="0.2">
      <c r="A2483" t="s">
        <v>7041</v>
      </c>
      <c r="B2483" t="s">
        <v>2022</v>
      </c>
      <c r="C2483" t="s">
        <v>2101</v>
      </c>
      <c r="D2483" t="s">
        <v>2024</v>
      </c>
      <c r="E2483" t="s">
        <v>7042</v>
      </c>
      <c r="F2483" t="s">
        <v>7043</v>
      </c>
      <c r="G2483">
        <v>1</v>
      </c>
      <c r="H2483">
        <v>1570</v>
      </c>
      <c r="I2483">
        <v>1</v>
      </c>
      <c r="J2483">
        <v>2</v>
      </c>
      <c r="K2483">
        <v>1</v>
      </c>
      <c r="L2483">
        <v>1.15E-2</v>
      </c>
      <c r="M2483">
        <v>2</v>
      </c>
      <c r="N2483">
        <v>74</v>
      </c>
      <c r="O2483">
        <v>1</v>
      </c>
      <c r="P2483">
        <v>7.4999999999999997E-2</v>
      </c>
      <c r="Q2483">
        <v>1</v>
      </c>
      <c r="R2483">
        <v>5.0000000000000001E-4</v>
      </c>
      <c r="T2483" t="s">
        <v>7042</v>
      </c>
    </row>
    <row r="2484" spans="1:20" x14ac:dyDescent="0.2">
      <c r="A2484" t="s">
        <v>7044</v>
      </c>
      <c r="B2484" t="s">
        <v>2022</v>
      </c>
      <c r="C2484" t="s">
        <v>2222</v>
      </c>
      <c r="D2484" t="s">
        <v>2024</v>
      </c>
      <c r="E2484" t="s">
        <v>7045</v>
      </c>
      <c r="F2484" t="s">
        <v>447</v>
      </c>
      <c r="G2484">
        <v>4</v>
      </c>
      <c r="H2484">
        <v>1750</v>
      </c>
      <c r="I2484">
        <v>5</v>
      </c>
      <c r="J2484">
        <v>8.6999999999999993</v>
      </c>
      <c r="K2484">
        <v>2</v>
      </c>
      <c r="L2484">
        <v>5.5E-2</v>
      </c>
      <c r="M2484">
        <v>1</v>
      </c>
      <c r="N2484">
        <v>59</v>
      </c>
      <c r="O2484">
        <v>5</v>
      </c>
      <c r="P2484">
        <v>0.39</v>
      </c>
      <c r="Q2484">
        <v>2</v>
      </c>
      <c r="R2484">
        <v>2.3E-3</v>
      </c>
      <c r="T2484" t="s">
        <v>7045</v>
      </c>
    </row>
    <row r="2485" spans="1:20" x14ac:dyDescent="0.2">
      <c r="A2485" t="s">
        <v>7046</v>
      </c>
      <c r="B2485" t="s">
        <v>2022</v>
      </c>
      <c r="C2485" t="s">
        <v>2508</v>
      </c>
      <c r="D2485" t="s">
        <v>2024</v>
      </c>
      <c r="E2485" t="s">
        <v>7047</v>
      </c>
      <c r="F2485" t="s">
        <v>7048</v>
      </c>
      <c r="G2485">
        <v>3</v>
      </c>
      <c r="H2485">
        <v>1450</v>
      </c>
      <c r="I2485">
        <v>5</v>
      </c>
      <c r="J2485">
        <v>17</v>
      </c>
      <c r="K2485">
        <v>5</v>
      </c>
      <c r="L2485">
        <v>0.57999999999999996</v>
      </c>
      <c r="M2485">
        <v>4</v>
      </c>
      <c r="N2485">
        <v>287.5</v>
      </c>
      <c r="O2485">
        <v>5</v>
      </c>
      <c r="P2485">
        <v>1.65</v>
      </c>
      <c r="Q2485">
        <v>5</v>
      </c>
      <c r="R2485">
        <v>0.06</v>
      </c>
      <c r="T2485" t="s">
        <v>7047</v>
      </c>
    </row>
    <row r="2486" spans="1:20" x14ac:dyDescent="0.2">
      <c r="A2486" t="s">
        <v>7049</v>
      </c>
      <c r="B2486" t="s">
        <v>2022</v>
      </c>
      <c r="C2486" t="s">
        <v>2053</v>
      </c>
      <c r="D2486" t="s">
        <v>2024</v>
      </c>
      <c r="E2486" t="s">
        <v>7050</v>
      </c>
      <c r="F2486" t="s">
        <v>7051</v>
      </c>
      <c r="G2486">
        <v>3</v>
      </c>
      <c r="H2486">
        <v>1700</v>
      </c>
      <c r="I2486">
        <v>3</v>
      </c>
      <c r="J2486">
        <v>6.55</v>
      </c>
      <c r="K2486">
        <v>3</v>
      </c>
      <c r="L2486">
        <v>0.19500000000000001</v>
      </c>
      <c r="M2486">
        <v>2</v>
      </c>
      <c r="N2486">
        <v>83</v>
      </c>
      <c r="O2486">
        <v>3</v>
      </c>
      <c r="P2486">
        <v>0.375</v>
      </c>
      <c r="Q2486">
        <v>3</v>
      </c>
      <c r="R2486">
        <v>1.2200000000000001E-2</v>
      </c>
      <c r="T2486" t="s">
        <v>7050</v>
      </c>
    </row>
    <row r="2487" spans="1:20" x14ac:dyDescent="0.2">
      <c r="A2487" t="s">
        <v>7052</v>
      </c>
      <c r="B2487" t="s">
        <v>2022</v>
      </c>
      <c r="C2487" t="s">
        <v>2036</v>
      </c>
      <c r="D2487" t="s">
        <v>2024</v>
      </c>
      <c r="E2487" t="s">
        <v>7053</v>
      </c>
      <c r="F2487" t="s">
        <v>7054</v>
      </c>
      <c r="G2487">
        <v>1</v>
      </c>
      <c r="H2487">
        <v>1540</v>
      </c>
      <c r="I2487">
        <v>2</v>
      </c>
      <c r="J2487">
        <v>3.4</v>
      </c>
      <c r="K2487">
        <v>1</v>
      </c>
      <c r="L2487">
        <v>5.5E-2</v>
      </c>
      <c r="M2487">
        <v>1</v>
      </c>
      <c r="N2487">
        <v>76</v>
      </c>
      <c r="O2487">
        <v>2</v>
      </c>
      <c r="P2487">
        <v>0.20499999999999999</v>
      </c>
      <c r="Q2487">
        <v>1</v>
      </c>
      <c r="R2487">
        <v>1.5E-3</v>
      </c>
      <c r="T2487" t="s">
        <v>7053</v>
      </c>
    </row>
    <row r="2488" spans="1:20" x14ac:dyDescent="0.2">
      <c r="A2488" t="s">
        <v>7055</v>
      </c>
      <c r="B2488" t="s">
        <v>2022</v>
      </c>
      <c r="C2488" t="s">
        <v>2053</v>
      </c>
      <c r="D2488" t="s">
        <v>2024</v>
      </c>
      <c r="E2488" t="s">
        <v>7056</v>
      </c>
      <c r="F2488" t="s">
        <v>7057</v>
      </c>
      <c r="G2488">
        <v>5</v>
      </c>
      <c r="H2488">
        <v>1900</v>
      </c>
      <c r="I2488">
        <v>2</v>
      </c>
      <c r="J2488">
        <v>4.05</v>
      </c>
      <c r="K2488">
        <v>2</v>
      </c>
      <c r="L2488">
        <v>8.5000000000000006E-2</v>
      </c>
      <c r="M2488">
        <v>4</v>
      </c>
      <c r="N2488">
        <v>103</v>
      </c>
      <c r="O2488">
        <v>2</v>
      </c>
      <c r="P2488">
        <v>0.22500000000000001</v>
      </c>
      <c r="Q2488">
        <v>2</v>
      </c>
      <c r="R2488">
        <v>5.1999999999999998E-3</v>
      </c>
      <c r="T2488" t="s">
        <v>7056</v>
      </c>
    </row>
    <row r="2489" spans="1:20" x14ac:dyDescent="0.2">
      <c r="A2489" t="s">
        <v>7058</v>
      </c>
      <c r="B2489" t="s">
        <v>2022</v>
      </c>
      <c r="C2489" t="s">
        <v>2023</v>
      </c>
      <c r="D2489" t="s">
        <v>2154</v>
      </c>
      <c r="E2489" t="s">
        <v>7059</v>
      </c>
      <c r="F2489" t="s">
        <v>7060</v>
      </c>
      <c r="G2489">
        <v>5</v>
      </c>
      <c r="H2489">
        <v>1800</v>
      </c>
      <c r="I2489">
        <v>2</v>
      </c>
      <c r="J2489">
        <v>3.4</v>
      </c>
      <c r="K2489">
        <v>1</v>
      </c>
      <c r="L2489">
        <v>6.0000000000000001E-3</v>
      </c>
      <c r="M2489">
        <v>2</v>
      </c>
      <c r="N2489">
        <v>84</v>
      </c>
      <c r="O2489">
        <v>1</v>
      </c>
      <c r="P2489">
        <v>7.4999999999999997E-2</v>
      </c>
      <c r="Q2489">
        <v>1</v>
      </c>
      <c r="R2489">
        <v>5.0000000000000001E-4</v>
      </c>
      <c r="T2489" t="s">
        <v>7059</v>
      </c>
    </row>
    <row r="2490" spans="1:20" x14ac:dyDescent="0.2">
      <c r="A2490" t="s">
        <v>7061</v>
      </c>
      <c r="B2490" t="s">
        <v>2022</v>
      </c>
      <c r="C2490" t="s">
        <v>2023</v>
      </c>
      <c r="D2490" t="s">
        <v>2024</v>
      </c>
      <c r="E2490" t="s">
        <v>7062</v>
      </c>
      <c r="F2490" t="s">
        <v>7063</v>
      </c>
      <c r="G2490">
        <v>2</v>
      </c>
      <c r="H2490">
        <v>1560</v>
      </c>
      <c r="I2490">
        <v>2</v>
      </c>
      <c r="J2490">
        <v>3.4</v>
      </c>
      <c r="K2490">
        <v>3</v>
      </c>
      <c r="L2490">
        <v>4.5999999999999999E-2</v>
      </c>
      <c r="M2490">
        <v>5</v>
      </c>
      <c r="N2490">
        <v>114</v>
      </c>
      <c r="O2490">
        <v>2</v>
      </c>
      <c r="P2490">
        <v>0.22500000000000001</v>
      </c>
      <c r="Q2490">
        <v>4</v>
      </c>
      <c r="R2490">
        <v>6.0000000000000001E-3</v>
      </c>
      <c r="T2490" t="s">
        <v>7062</v>
      </c>
    </row>
    <row r="2491" spans="1:20" x14ac:dyDescent="0.2">
      <c r="A2491" t="s">
        <v>7064</v>
      </c>
      <c r="B2491" t="s">
        <v>2022</v>
      </c>
      <c r="C2491" t="s">
        <v>2023</v>
      </c>
      <c r="D2491" t="s">
        <v>2024</v>
      </c>
      <c r="E2491" t="s">
        <v>7065</v>
      </c>
      <c r="F2491" t="s">
        <v>7066</v>
      </c>
      <c r="G2491">
        <v>3</v>
      </c>
      <c r="H2491">
        <v>1640</v>
      </c>
      <c r="I2491">
        <v>3</v>
      </c>
      <c r="J2491">
        <v>5.9</v>
      </c>
      <c r="K2491">
        <v>5</v>
      </c>
      <c r="L2491">
        <v>8.5999999999999993E-2</v>
      </c>
      <c r="M2491">
        <v>5</v>
      </c>
      <c r="N2491">
        <v>114</v>
      </c>
      <c r="O2491">
        <v>4</v>
      </c>
      <c r="P2491">
        <v>0.52500000000000002</v>
      </c>
      <c r="Q2491">
        <v>5</v>
      </c>
      <c r="R2491">
        <v>8.0000000000000002E-3</v>
      </c>
      <c r="T2491" t="s">
        <v>7065</v>
      </c>
    </row>
    <row r="2492" spans="1:20" x14ac:dyDescent="0.2">
      <c r="A2492" t="s">
        <v>7067</v>
      </c>
      <c r="B2492" t="s">
        <v>2022</v>
      </c>
      <c r="C2492" t="s">
        <v>2023</v>
      </c>
      <c r="D2492" t="s">
        <v>2136</v>
      </c>
      <c r="E2492" t="s">
        <v>7068</v>
      </c>
      <c r="F2492" t="s">
        <v>7069</v>
      </c>
      <c r="G2492">
        <v>1</v>
      </c>
      <c r="H2492">
        <v>1480</v>
      </c>
      <c r="I2492">
        <v>2</v>
      </c>
      <c r="J2492">
        <v>3.4</v>
      </c>
      <c r="K2492">
        <v>2</v>
      </c>
      <c r="L2492">
        <v>2.5999999999999999E-2</v>
      </c>
      <c r="M2492">
        <v>5</v>
      </c>
      <c r="N2492">
        <v>114</v>
      </c>
      <c r="O2492">
        <v>2</v>
      </c>
      <c r="P2492">
        <v>0.22500000000000001</v>
      </c>
      <c r="Q2492">
        <v>2</v>
      </c>
      <c r="R2492">
        <v>2E-3</v>
      </c>
      <c r="T2492" t="s">
        <v>7068</v>
      </c>
    </row>
    <row r="2493" spans="1:20" x14ac:dyDescent="0.2">
      <c r="A2493" t="s">
        <v>7070</v>
      </c>
      <c r="B2493" t="s">
        <v>2022</v>
      </c>
      <c r="C2493" t="s">
        <v>2049</v>
      </c>
      <c r="D2493" t="s">
        <v>2024</v>
      </c>
      <c r="E2493" t="s">
        <v>7071</v>
      </c>
      <c r="F2493" t="s">
        <v>7072</v>
      </c>
      <c r="G2493">
        <v>5</v>
      </c>
      <c r="H2493">
        <v>1750</v>
      </c>
      <c r="I2493">
        <v>5</v>
      </c>
      <c r="J2493">
        <v>8.6</v>
      </c>
      <c r="K2493">
        <v>5</v>
      </c>
      <c r="L2493">
        <v>0.3</v>
      </c>
      <c r="M2493">
        <v>5</v>
      </c>
      <c r="N2493">
        <v>166</v>
      </c>
      <c r="O2493">
        <v>5</v>
      </c>
      <c r="P2493">
        <v>0.86</v>
      </c>
      <c r="Q2493">
        <v>5</v>
      </c>
      <c r="R2493">
        <v>3.32E-2</v>
      </c>
      <c r="T2493" t="s">
        <v>7071</v>
      </c>
    </row>
    <row r="2494" spans="1:20" x14ac:dyDescent="0.2">
      <c r="A2494" t="s">
        <v>7073</v>
      </c>
      <c r="B2494" t="s">
        <v>2022</v>
      </c>
      <c r="C2494" t="s">
        <v>2036</v>
      </c>
      <c r="D2494" t="s">
        <v>2024</v>
      </c>
      <c r="E2494" t="s">
        <v>7074</v>
      </c>
      <c r="F2494" t="s">
        <v>7075</v>
      </c>
      <c r="G2494">
        <v>2</v>
      </c>
      <c r="H2494">
        <v>1640</v>
      </c>
      <c r="I2494">
        <v>4</v>
      </c>
      <c r="J2494">
        <v>5.8</v>
      </c>
      <c r="K2494">
        <v>5</v>
      </c>
      <c r="L2494">
        <v>0.17499999999999999</v>
      </c>
      <c r="M2494">
        <v>2</v>
      </c>
      <c r="N2494">
        <v>82</v>
      </c>
      <c r="O2494">
        <v>3</v>
      </c>
      <c r="P2494">
        <v>0.315</v>
      </c>
      <c r="Q2494">
        <v>5</v>
      </c>
      <c r="R2494">
        <v>1.2E-2</v>
      </c>
      <c r="T2494" t="s">
        <v>7074</v>
      </c>
    </row>
    <row r="2495" spans="1:20" x14ac:dyDescent="0.2">
      <c r="A2495" t="s">
        <v>7076</v>
      </c>
      <c r="B2495" t="s">
        <v>2022</v>
      </c>
      <c r="C2495" t="s">
        <v>2023</v>
      </c>
      <c r="D2495" t="s">
        <v>2024</v>
      </c>
      <c r="E2495" t="s">
        <v>7077</v>
      </c>
      <c r="F2495" t="s">
        <v>447</v>
      </c>
      <c r="G2495">
        <v>2</v>
      </c>
      <c r="H2495">
        <v>1560</v>
      </c>
      <c r="I2495">
        <v>3</v>
      </c>
      <c r="J2495">
        <v>5.9</v>
      </c>
      <c r="K2495">
        <v>5</v>
      </c>
      <c r="L2495">
        <v>8.5999999999999993E-2</v>
      </c>
      <c r="M2495">
        <v>3</v>
      </c>
      <c r="N2495">
        <v>94</v>
      </c>
      <c r="O2495">
        <v>3</v>
      </c>
      <c r="P2495">
        <v>0.375</v>
      </c>
      <c r="Q2495">
        <v>5</v>
      </c>
      <c r="R2495">
        <v>8.0000000000000002E-3</v>
      </c>
      <c r="T2495" t="s">
        <v>7077</v>
      </c>
    </row>
    <row r="2496" spans="1:20" x14ac:dyDescent="0.2">
      <c r="A2496" t="s">
        <v>7078</v>
      </c>
      <c r="B2496" t="s">
        <v>2022</v>
      </c>
      <c r="C2496" t="s">
        <v>2023</v>
      </c>
      <c r="D2496" t="s">
        <v>2024</v>
      </c>
      <c r="E2496" t="s">
        <v>7079</v>
      </c>
      <c r="F2496" t="s">
        <v>7080</v>
      </c>
      <c r="G2496">
        <v>5</v>
      </c>
      <c r="H2496">
        <v>1800</v>
      </c>
      <c r="I2496">
        <v>3</v>
      </c>
      <c r="J2496">
        <v>5.9</v>
      </c>
      <c r="K2496">
        <v>5</v>
      </c>
      <c r="L2496">
        <v>8.5999999999999993E-2</v>
      </c>
      <c r="M2496">
        <v>2</v>
      </c>
      <c r="N2496">
        <v>84</v>
      </c>
      <c r="O2496">
        <v>3</v>
      </c>
      <c r="P2496">
        <v>0.375</v>
      </c>
      <c r="Q2496">
        <v>5</v>
      </c>
      <c r="R2496">
        <v>8.0000000000000002E-3</v>
      </c>
      <c r="T2496" t="s">
        <v>7079</v>
      </c>
    </row>
    <row r="2497" spans="1:20" x14ac:dyDescent="0.2">
      <c r="A2497" t="s">
        <v>7081</v>
      </c>
      <c r="B2497" t="s">
        <v>2022</v>
      </c>
      <c r="C2497" t="s">
        <v>2095</v>
      </c>
      <c r="D2497" t="s">
        <v>2136</v>
      </c>
      <c r="E2497" t="s">
        <v>209</v>
      </c>
      <c r="F2497" t="s">
        <v>1456</v>
      </c>
      <c r="G2497">
        <v>1</v>
      </c>
      <c r="H2497">
        <v>1565</v>
      </c>
      <c r="I2497">
        <v>1</v>
      </c>
      <c r="J2497">
        <v>4.5</v>
      </c>
      <c r="K2497">
        <v>1</v>
      </c>
      <c r="L2497">
        <v>1.4999999999999999E-2</v>
      </c>
      <c r="M2497">
        <v>3</v>
      </c>
      <c r="N2497">
        <v>86</v>
      </c>
      <c r="O2497">
        <v>1</v>
      </c>
      <c r="P2497">
        <v>0.15</v>
      </c>
      <c r="Q2497">
        <v>1</v>
      </c>
      <c r="R2497">
        <v>6.9999999999999999E-4</v>
      </c>
      <c r="T2497" t="s">
        <v>209</v>
      </c>
    </row>
    <row r="2498" spans="1:20" x14ac:dyDescent="0.2">
      <c r="A2498" t="s">
        <v>7082</v>
      </c>
      <c r="B2498" t="s">
        <v>2022</v>
      </c>
      <c r="C2498" t="s">
        <v>2053</v>
      </c>
      <c r="D2498" t="s">
        <v>2136</v>
      </c>
      <c r="E2498" t="s">
        <v>209</v>
      </c>
      <c r="F2498" t="s">
        <v>1456</v>
      </c>
      <c r="G2498">
        <v>1</v>
      </c>
      <c r="H2498">
        <v>1500</v>
      </c>
      <c r="I2498">
        <v>1</v>
      </c>
      <c r="J2498">
        <v>1.55</v>
      </c>
      <c r="K2498">
        <v>2</v>
      </c>
      <c r="L2498">
        <v>8.5000000000000006E-2</v>
      </c>
      <c r="M2498">
        <v>2</v>
      </c>
      <c r="N2498">
        <v>83</v>
      </c>
      <c r="O2498">
        <v>1</v>
      </c>
      <c r="P2498">
        <v>7.4999999999999997E-2</v>
      </c>
      <c r="Q2498">
        <v>2</v>
      </c>
      <c r="R2498">
        <v>5.1999999999999998E-3</v>
      </c>
      <c r="T2498" t="s">
        <v>209</v>
      </c>
    </row>
    <row r="2499" spans="1:20" x14ac:dyDescent="0.2">
      <c r="A2499" t="s">
        <v>7083</v>
      </c>
      <c r="B2499" t="s">
        <v>2022</v>
      </c>
      <c r="C2499" t="s">
        <v>2101</v>
      </c>
      <c r="D2499" t="s">
        <v>2136</v>
      </c>
      <c r="E2499" t="s">
        <v>209</v>
      </c>
      <c r="F2499" t="s">
        <v>1456</v>
      </c>
      <c r="G2499">
        <v>1</v>
      </c>
      <c r="H2499">
        <v>1570</v>
      </c>
      <c r="I2499">
        <v>1</v>
      </c>
      <c r="J2499">
        <v>2</v>
      </c>
      <c r="K2499">
        <v>1</v>
      </c>
      <c r="L2499">
        <v>1.15E-2</v>
      </c>
      <c r="M2499">
        <v>1</v>
      </c>
      <c r="N2499">
        <v>66</v>
      </c>
      <c r="O2499">
        <v>1</v>
      </c>
      <c r="P2499">
        <v>7.4999999999999997E-2</v>
      </c>
      <c r="Q2499">
        <v>1</v>
      </c>
      <c r="R2499">
        <v>5.0000000000000001E-4</v>
      </c>
      <c r="T2499" t="s">
        <v>209</v>
      </c>
    </row>
    <row r="2500" spans="1:20" x14ac:dyDescent="0.2">
      <c r="A2500" t="s">
        <v>7084</v>
      </c>
      <c r="B2500" t="s">
        <v>2022</v>
      </c>
      <c r="C2500" t="s">
        <v>2036</v>
      </c>
      <c r="D2500" t="s">
        <v>2136</v>
      </c>
      <c r="E2500" t="s">
        <v>209</v>
      </c>
      <c r="F2500" t="s">
        <v>1456</v>
      </c>
      <c r="G2500">
        <v>1</v>
      </c>
      <c r="H2500">
        <v>1540</v>
      </c>
      <c r="I2500">
        <v>2</v>
      </c>
      <c r="J2500">
        <v>3.4</v>
      </c>
      <c r="K2500">
        <v>3</v>
      </c>
      <c r="L2500">
        <v>0.115</v>
      </c>
      <c r="M2500">
        <v>1</v>
      </c>
      <c r="N2500">
        <v>76</v>
      </c>
      <c r="O2500">
        <v>2</v>
      </c>
      <c r="P2500">
        <v>0.20499999999999999</v>
      </c>
      <c r="Q2500">
        <v>2</v>
      </c>
      <c r="R2500">
        <v>4.2500000000000003E-3</v>
      </c>
      <c r="T2500" t="s">
        <v>209</v>
      </c>
    </row>
    <row r="2501" spans="1:20" x14ac:dyDescent="0.2">
      <c r="A2501" t="s">
        <v>7085</v>
      </c>
      <c r="B2501" t="s">
        <v>2022</v>
      </c>
      <c r="C2501" t="s">
        <v>2023</v>
      </c>
      <c r="D2501" t="s">
        <v>2136</v>
      </c>
      <c r="E2501" t="s">
        <v>7086</v>
      </c>
      <c r="F2501" t="s">
        <v>447</v>
      </c>
      <c r="G2501">
        <v>5</v>
      </c>
      <c r="H2501">
        <v>1800</v>
      </c>
      <c r="I2501">
        <v>3</v>
      </c>
      <c r="J2501">
        <v>5.9</v>
      </c>
      <c r="K2501">
        <v>5</v>
      </c>
      <c r="L2501">
        <v>8.5999999999999993E-2</v>
      </c>
      <c r="M2501">
        <v>1</v>
      </c>
      <c r="N2501">
        <v>74</v>
      </c>
      <c r="O2501">
        <v>2</v>
      </c>
      <c r="P2501">
        <v>0.22500000000000001</v>
      </c>
      <c r="Q2501">
        <v>4</v>
      </c>
      <c r="R2501">
        <v>6.0000000000000001E-3</v>
      </c>
      <c r="T2501" t="s">
        <v>7086</v>
      </c>
    </row>
    <row r="2502" spans="1:20" x14ac:dyDescent="0.2">
      <c r="A2502" t="s">
        <v>7087</v>
      </c>
      <c r="B2502" t="s">
        <v>2022</v>
      </c>
      <c r="C2502" t="s">
        <v>2023</v>
      </c>
      <c r="D2502" t="s">
        <v>2136</v>
      </c>
      <c r="E2502" t="s">
        <v>7086</v>
      </c>
      <c r="F2502" t="s">
        <v>447</v>
      </c>
      <c r="G2502">
        <v>5</v>
      </c>
      <c r="H2502">
        <v>1800</v>
      </c>
      <c r="I2502">
        <v>1</v>
      </c>
      <c r="J2502">
        <v>0.9</v>
      </c>
      <c r="K2502">
        <v>2</v>
      </c>
      <c r="L2502">
        <v>2.5999999999999999E-2</v>
      </c>
      <c r="M2502">
        <v>1</v>
      </c>
      <c r="N2502">
        <v>74</v>
      </c>
      <c r="O2502">
        <v>1</v>
      </c>
      <c r="P2502">
        <v>7.4999999999999997E-2</v>
      </c>
      <c r="Q2502">
        <v>1</v>
      </c>
      <c r="R2502">
        <v>5.0000000000000001E-4</v>
      </c>
      <c r="T2502" t="s">
        <v>7086</v>
      </c>
    </row>
    <row r="2503" spans="1:20" x14ac:dyDescent="0.2">
      <c r="A2503" t="s">
        <v>7088</v>
      </c>
      <c r="B2503" t="s">
        <v>2022</v>
      </c>
      <c r="C2503" t="s">
        <v>2023</v>
      </c>
      <c r="D2503" t="s">
        <v>2136</v>
      </c>
      <c r="E2503" t="s">
        <v>7086</v>
      </c>
      <c r="F2503" t="s">
        <v>447</v>
      </c>
      <c r="G2503">
        <v>5</v>
      </c>
      <c r="H2503">
        <v>1800</v>
      </c>
      <c r="I2503">
        <v>3</v>
      </c>
      <c r="J2503">
        <v>5.9</v>
      </c>
      <c r="K2503">
        <v>5</v>
      </c>
      <c r="L2503">
        <v>8.5999999999999993E-2</v>
      </c>
      <c r="M2503">
        <v>1</v>
      </c>
      <c r="N2503">
        <v>74</v>
      </c>
      <c r="O2503">
        <v>2</v>
      </c>
      <c r="P2503">
        <v>0.22500000000000001</v>
      </c>
      <c r="Q2503">
        <v>3</v>
      </c>
      <c r="R2503">
        <v>4.0000000000000001E-3</v>
      </c>
      <c r="T2503" t="s">
        <v>7086</v>
      </c>
    </row>
    <row r="2504" spans="1:20" x14ac:dyDescent="0.2">
      <c r="A2504" t="s">
        <v>7089</v>
      </c>
      <c r="B2504" t="s">
        <v>2022</v>
      </c>
      <c r="C2504" t="s">
        <v>2036</v>
      </c>
      <c r="D2504" t="s">
        <v>2136</v>
      </c>
      <c r="E2504" t="s">
        <v>7090</v>
      </c>
      <c r="F2504" t="s">
        <v>7091</v>
      </c>
      <c r="G2504">
        <v>1</v>
      </c>
      <c r="H2504">
        <v>1540</v>
      </c>
      <c r="I2504">
        <v>4</v>
      </c>
      <c r="J2504">
        <v>5.8</v>
      </c>
      <c r="K2504">
        <v>5</v>
      </c>
      <c r="L2504">
        <v>0.17499999999999999</v>
      </c>
      <c r="M2504">
        <v>1</v>
      </c>
      <c r="N2504">
        <v>76</v>
      </c>
      <c r="O2504">
        <v>3</v>
      </c>
      <c r="P2504">
        <v>0.315</v>
      </c>
      <c r="Q2504">
        <v>5</v>
      </c>
      <c r="R2504">
        <v>1.2E-2</v>
      </c>
      <c r="T2504" t="s">
        <v>7090</v>
      </c>
    </row>
    <row r="2505" spans="1:20" x14ac:dyDescent="0.2">
      <c r="A2505" t="s">
        <v>7092</v>
      </c>
      <c r="B2505" t="s">
        <v>2022</v>
      </c>
      <c r="C2505" t="s">
        <v>2023</v>
      </c>
      <c r="D2505" t="s">
        <v>2024</v>
      </c>
      <c r="E2505" t="s">
        <v>7093</v>
      </c>
      <c r="F2505" t="s">
        <v>7094</v>
      </c>
      <c r="G2505">
        <v>2</v>
      </c>
      <c r="H2505">
        <v>1560</v>
      </c>
      <c r="I2505">
        <v>4</v>
      </c>
      <c r="J2505">
        <v>8.4</v>
      </c>
      <c r="K2505">
        <v>5</v>
      </c>
      <c r="L2505">
        <v>8.5999999999999993E-2</v>
      </c>
      <c r="M2505">
        <v>2</v>
      </c>
      <c r="N2505">
        <v>84</v>
      </c>
      <c r="O2505">
        <v>4</v>
      </c>
      <c r="P2505">
        <v>0.52500000000000002</v>
      </c>
      <c r="Q2505">
        <v>5</v>
      </c>
      <c r="R2505">
        <v>8.0000000000000002E-3</v>
      </c>
      <c r="T2505" t="s">
        <v>7093</v>
      </c>
    </row>
    <row r="2506" spans="1:20" x14ac:dyDescent="0.2">
      <c r="A2506" t="s">
        <v>7095</v>
      </c>
      <c r="B2506" t="s">
        <v>2022</v>
      </c>
      <c r="C2506" t="s">
        <v>2053</v>
      </c>
      <c r="D2506" t="s">
        <v>2024</v>
      </c>
      <c r="E2506" t="s">
        <v>7096</v>
      </c>
      <c r="F2506" t="s">
        <v>7097</v>
      </c>
      <c r="G2506">
        <v>1</v>
      </c>
      <c r="H2506">
        <v>1500</v>
      </c>
      <c r="I2506">
        <v>4</v>
      </c>
      <c r="J2506">
        <v>9.0500000000000007</v>
      </c>
      <c r="K2506">
        <v>3</v>
      </c>
      <c r="L2506">
        <v>0.19500000000000001</v>
      </c>
      <c r="M2506">
        <v>4</v>
      </c>
      <c r="N2506">
        <v>103</v>
      </c>
      <c r="O2506">
        <v>4</v>
      </c>
      <c r="P2506">
        <v>0.52500000000000002</v>
      </c>
      <c r="Q2506">
        <v>3</v>
      </c>
      <c r="R2506">
        <v>1.2200000000000001E-2</v>
      </c>
      <c r="T2506" t="s">
        <v>7096</v>
      </c>
    </row>
    <row r="2507" spans="1:20" x14ac:dyDescent="0.2">
      <c r="A2507" t="s">
        <v>7098</v>
      </c>
      <c r="B2507" t="s">
        <v>2022</v>
      </c>
      <c r="C2507" t="s">
        <v>2023</v>
      </c>
      <c r="D2507" t="s">
        <v>2136</v>
      </c>
      <c r="E2507" t="s">
        <v>7099</v>
      </c>
      <c r="F2507" t="s">
        <v>7100</v>
      </c>
      <c r="G2507">
        <v>3</v>
      </c>
      <c r="H2507">
        <v>1640</v>
      </c>
      <c r="I2507">
        <v>5</v>
      </c>
      <c r="J2507">
        <v>10.9</v>
      </c>
      <c r="K2507">
        <v>5</v>
      </c>
      <c r="L2507">
        <v>8.5999999999999993E-2</v>
      </c>
      <c r="M2507">
        <v>1</v>
      </c>
      <c r="N2507">
        <v>74</v>
      </c>
      <c r="O2507">
        <v>4</v>
      </c>
      <c r="P2507">
        <v>0.52500000000000002</v>
      </c>
      <c r="Q2507">
        <v>5</v>
      </c>
      <c r="R2507">
        <v>8.0000000000000002E-3</v>
      </c>
      <c r="T2507" t="s">
        <v>7099</v>
      </c>
    </row>
    <row r="2508" spans="1:20" x14ac:dyDescent="0.2">
      <c r="A2508" t="s">
        <v>7101</v>
      </c>
      <c r="B2508" t="s">
        <v>2022</v>
      </c>
      <c r="C2508" t="s">
        <v>2023</v>
      </c>
      <c r="D2508" t="s">
        <v>2024</v>
      </c>
      <c r="E2508" t="s">
        <v>7102</v>
      </c>
      <c r="F2508" t="s">
        <v>7103</v>
      </c>
      <c r="G2508">
        <v>3</v>
      </c>
      <c r="H2508">
        <v>1640</v>
      </c>
      <c r="I2508">
        <v>2</v>
      </c>
      <c r="J2508">
        <v>3.4</v>
      </c>
      <c r="K2508">
        <v>2</v>
      </c>
      <c r="L2508">
        <v>2.5999999999999999E-2</v>
      </c>
      <c r="M2508">
        <v>2</v>
      </c>
      <c r="N2508">
        <v>84</v>
      </c>
      <c r="O2508">
        <v>1</v>
      </c>
      <c r="P2508">
        <v>7.4999999999999997E-2</v>
      </c>
      <c r="Q2508">
        <v>2</v>
      </c>
      <c r="R2508">
        <v>2E-3</v>
      </c>
      <c r="T2508" t="s">
        <v>7102</v>
      </c>
    </row>
    <row r="2509" spans="1:20" x14ac:dyDescent="0.2">
      <c r="A2509" t="s">
        <v>7104</v>
      </c>
      <c r="B2509" t="s">
        <v>2022</v>
      </c>
      <c r="C2509" t="s">
        <v>2036</v>
      </c>
      <c r="D2509" t="s">
        <v>2024</v>
      </c>
      <c r="E2509" t="s">
        <v>7105</v>
      </c>
      <c r="F2509" t="s">
        <v>7106</v>
      </c>
      <c r="G2509">
        <v>2</v>
      </c>
      <c r="H2509">
        <v>1640</v>
      </c>
      <c r="I2509">
        <v>2</v>
      </c>
      <c r="J2509">
        <v>3.4</v>
      </c>
      <c r="K2509">
        <v>2</v>
      </c>
      <c r="L2509">
        <v>8.5000000000000006E-2</v>
      </c>
      <c r="M2509">
        <v>3</v>
      </c>
      <c r="N2509">
        <v>88</v>
      </c>
      <c r="O2509">
        <v>2</v>
      </c>
      <c r="P2509">
        <v>0.20499999999999999</v>
      </c>
      <c r="Q2509">
        <v>2</v>
      </c>
      <c r="R2509">
        <v>4.2500000000000003E-3</v>
      </c>
      <c r="T2509" t="s">
        <v>7105</v>
      </c>
    </row>
    <row r="2510" spans="1:20" x14ac:dyDescent="0.2">
      <c r="A2510" t="s">
        <v>7107</v>
      </c>
      <c r="B2510" t="s">
        <v>2022</v>
      </c>
      <c r="C2510" t="s">
        <v>2036</v>
      </c>
      <c r="D2510" t="s">
        <v>2154</v>
      </c>
      <c r="E2510" t="s">
        <v>7108</v>
      </c>
      <c r="F2510" t="s">
        <v>7109</v>
      </c>
      <c r="G2510">
        <v>3</v>
      </c>
      <c r="H2510">
        <v>1740</v>
      </c>
      <c r="I2510">
        <v>5</v>
      </c>
      <c r="J2510">
        <v>7</v>
      </c>
      <c r="K2510">
        <v>5</v>
      </c>
      <c r="L2510">
        <v>0.17499999999999999</v>
      </c>
      <c r="M2510">
        <v>1</v>
      </c>
      <c r="N2510">
        <v>76</v>
      </c>
      <c r="O2510">
        <v>5</v>
      </c>
      <c r="P2510">
        <v>0.53500000000000003</v>
      </c>
      <c r="Q2510">
        <v>5</v>
      </c>
      <c r="R2510">
        <v>1.2E-2</v>
      </c>
      <c r="T2510" t="s">
        <v>7108</v>
      </c>
    </row>
    <row r="2511" spans="1:20" x14ac:dyDescent="0.2">
      <c r="A2511" t="s">
        <v>7110</v>
      </c>
      <c r="B2511" t="s">
        <v>2022</v>
      </c>
      <c r="C2511" t="s">
        <v>2101</v>
      </c>
      <c r="D2511" t="s">
        <v>2024</v>
      </c>
      <c r="E2511" t="s">
        <v>7111</v>
      </c>
      <c r="F2511" t="s">
        <v>7112</v>
      </c>
      <c r="G2511">
        <v>2</v>
      </c>
      <c r="H2511">
        <v>1670</v>
      </c>
      <c r="I2511">
        <v>3</v>
      </c>
      <c r="J2511">
        <v>8</v>
      </c>
      <c r="K2511">
        <v>3</v>
      </c>
      <c r="L2511">
        <v>0.24349999999999999</v>
      </c>
      <c r="M2511">
        <v>2</v>
      </c>
      <c r="N2511">
        <v>74</v>
      </c>
      <c r="O2511">
        <v>3</v>
      </c>
      <c r="P2511">
        <v>0.375</v>
      </c>
      <c r="Q2511">
        <v>3</v>
      </c>
      <c r="R2511">
        <v>1.15E-2</v>
      </c>
      <c r="T2511" t="s">
        <v>7111</v>
      </c>
    </row>
    <row r="2512" spans="1:20" x14ac:dyDescent="0.2">
      <c r="A2512" t="s">
        <v>7113</v>
      </c>
      <c r="B2512" t="s">
        <v>2022</v>
      </c>
      <c r="C2512" t="s">
        <v>2023</v>
      </c>
      <c r="D2512" t="s">
        <v>2024</v>
      </c>
      <c r="E2512" t="s">
        <v>7114</v>
      </c>
      <c r="F2512" t="s">
        <v>7115</v>
      </c>
      <c r="G2512">
        <v>5</v>
      </c>
      <c r="H2512">
        <v>1800</v>
      </c>
      <c r="I2512">
        <v>2</v>
      </c>
      <c r="J2512">
        <v>3.4</v>
      </c>
      <c r="K2512">
        <v>2</v>
      </c>
      <c r="L2512">
        <v>2.5999999999999999E-2</v>
      </c>
      <c r="M2512">
        <v>1</v>
      </c>
      <c r="N2512">
        <v>74</v>
      </c>
      <c r="O2512">
        <v>1</v>
      </c>
      <c r="P2512">
        <v>7.4999999999999997E-2</v>
      </c>
      <c r="Q2512">
        <v>1</v>
      </c>
      <c r="R2512">
        <v>5.0000000000000001E-4</v>
      </c>
      <c r="T2512" t="s">
        <v>7114</v>
      </c>
    </row>
    <row r="2513" spans="1:20" x14ac:dyDescent="0.2">
      <c r="A2513" t="s">
        <v>7113</v>
      </c>
      <c r="B2513" t="s">
        <v>2022</v>
      </c>
      <c r="C2513" t="s">
        <v>2023</v>
      </c>
      <c r="D2513" t="s">
        <v>2024</v>
      </c>
      <c r="E2513" t="s">
        <v>7114</v>
      </c>
      <c r="F2513" t="s">
        <v>7115</v>
      </c>
      <c r="G2513">
        <v>5</v>
      </c>
      <c r="H2513">
        <v>1800</v>
      </c>
      <c r="I2513">
        <v>2</v>
      </c>
      <c r="J2513">
        <v>3.4</v>
      </c>
      <c r="K2513">
        <v>2</v>
      </c>
      <c r="L2513">
        <v>2.5999999999999999E-2</v>
      </c>
      <c r="M2513">
        <v>1</v>
      </c>
      <c r="N2513">
        <v>74</v>
      </c>
      <c r="O2513">
        <v>1</v>
      </c>
      <c r="P2513">
        <v>7.4999999999999997E-2</v>
      </c>
      <c r="Q2513">
        <v>1</v>
      </c>
      <c r="R2513">
        <v>5.0000000000000001E-4</v>
      </c>
      <c r="T2513" t="s">
        <v>7114</v>
      </c>
    </row>
    <row r="2514" spans="1:20" x14ac:dyDescent="0.2">
      <c r="A2514" t="s">
        <v>7116</v>
      </c>
      <c r="B2514" t="s">
        <v>2022</v>
      </c>
      <c r="C2514" t="s">
        <v>2095</v>
      </c>
      <c r="D2514" t="s">
        <v>2024</v>
      </c>
      <c r="E2514" t="s">
        <v>7117</v>
      </c>
      <c r="F2514" t="s">
        <v>7118</v>
      </c>
      <c r="G2514">
        <v>2</v>
      </c>
      <c r="H2514">
        <v>1655</v>
      </c>
      <c r="I2514">
        <v>3</v>
      </c>
      <c r="J2514">
        <v>10.5</v>
      </c>
      <c r="K2514">
        <v>2</v>
      </c>
      <c r="L2514">
        <v>0.13</v>
      </c>
      <c r="M2514">
        <v>1</v>
      </c>
      <c r="N2514">
        <v>74</v>
      </c>
      <c r="O2514">
        <v>3</v>
      </c>
      <c r="P2514">
        <v>0.55000000000000004</v>
      </c>
      <c r="Q2514">
        <v>2</v>
      </c>
      <c r="R2514">
        <v>5.8999999999999999E-3</v>
      </c>
      <c r="T2514" t="s">
        <v>7117</v>
      </c>
    </row>
    <row r="2515" spans="1:20" x14ac:dyDescent="0.2">
      <c r="A2515" t="s">
        <v>7119</v>
      </c>
      <c r="B2515" t="s">
        <v>2022</v>
      </c>
      <c r="C2515" t="s">
        <v>2036</v>
      </c>
      <c r="D2515" t="s">
        <v>2024</v>
      </c>
      <c r="E2515" t="s">
        <v>7120</v>
      </c>
      <c r="F2515" t="s">
        <v>7121</v>
      </c>
      <c r="G2515">
        <v>3</v>
      </c>
      <c r="H2515">
        <v>1740</v>
      </c>
      <c r="I2515">
        <v>5</v>
      </c>
      <c r="J2515">
        <v>7</v>
      </c>
      <c r="K2515">
        <v>3</v>
      </c>
      <c r="L2515">
        <v>0.115</v>
      </c>
      <c r="M2515">
        <v>4</v>
      </c>
      <c r="N2515">
        <v>94</v>
      </c>
      <c r="O2515">
        <v>5</v>
      </c>
      <c r="P2515">
        <v>0.53500000000000003</v>
      </c>
      <c r="Q2515">
        <v>3</v>
      </c>
      <c r="R2515">
        <v>6.7499999999999999E-3</v>
      </c>
      <c r="T2515" t="s">
        <v>7120</v>
      </c>
    </row>
    <row r="2516" spans="1:20" x14ac:dyDescent="0.2">
      <c r="A2516" t="s">
        <v>7122</v>
      </c>
      <c r="B2516" t="s">
        <v>2022</v>
      </c>
      <c r="C2516" t="s">
        <v>2053</v>
      </c>
      <c r="D2516" t="s">
        <v>2154</v>
      </c>
      <c r="E2516" t="s">
        <v>357</v>
      </c>
      <c r="F2516" t="s">
        <v>7123</v>
      </c>
      <c r="G2516">
        <v>5</v>
      </c>
      <c r="H2516">
        <v>1900</v>
      </c>
      <c r="I2516">
        <v>1</v>
      </c>
      <c r="J2516">
        <v>1.55</v>
      </c>
      <c r="K2516">
        <v>1</v>
      </c>
      <c r="L2516">
        <v>1.4999999999999999E-2</v>
      </c>
      <c r="M2516">
        <v>4</v>
      </c>
      <c r="N2516">
        <v>103</v>
      </c>
      <c r="O2516">
        <v>1</v>
      </c>
      <c r="P2516">
        <v>7.4999999999999997E-2</v>
      </c>
      <c r="Q2516">
        <v>1</v>
      </c>
      <c r="R2516">
        <v>8.4999999999999995E-4</v>
      </c>
      <c r="T2516" t="s">
        <v>357</v>
      </c>
    </row>
    <row r="2517" spans="1:20" x14ac:dyDescent="0.2">
      <c r="A2517" t="s">
        <v>7124</v>
      </c>
      <c r="B2517" t="s">
        <v>2022</v>
      </c>
      <c r="C2517" t="s">
        <v>2028</v>
      </c>
      <c r="D2517" t="s">
        <v>2024</v>
      </c>
      <c r="E2517" t="s">
        <v>357</v>
      </c>
      <c r="F2517" t="s">
        <v>7123</v>
      </c>
      <c r="G2517">
        <v>5</v>
      </c>
      <c r="H2517">
        <v>1450</v>
      </c>
      <c r="I2517">
        <v>3</v>
      </c>
      <c r="J2517">
        <v>3.25</v>
      </c>
      <c r="K2517">
        <v>2</v>
      </c>
      <c r="L2517">
        <v>4.4999999999999998E-2</v>
      </c>
      <c r="M2517">
        <v>1</v>
      </c>
      <c r="N2517">
        <v>100</v>
      </c>
      <c r="O2517">
        <v>1</v>
      </c>
      <c r="P2517">
        <v>0.15</v>
      </c>
      <c r="Q2517">
        <v>1</v>
      </c>
      <c r="R2517">
        <v>1.75E-3</v>
      </c>
      <c r="T2517" t="s">
        <v>357</v>
      </c>
    </row>
    <row r="2518" spans="1:20" x14ac:dyDescent="0.2">
      <c r="A2518" t="s">
        <v>7125</v>
      </c>
      <c r="B2518" t="s">
        <v>2022</v>
      </c>
      <c r="C2518" t="s">
        <v>2049</v>
      </c>
      <c r="D2518" t="s">
        <v>2024</v>
      </c>
      <c r="E2518" t="s">
        <v>357</v>
      </c>
      <c r="F2518" t="s">
        <v>7123</v>
      </c>
      <c r="G2518">
        <v>5</v>
      </c>
      <c r="H2518">
        <v>1750</v>
      </c>
      <c r="I2518">
        <v>2</v>
      </c>
      <c r="J2518">
        <v>3.2</v>
      </c>
      <c r="K2518">
        <v>1</v>
      </c>
      <c r="L2518">
        <v>0.01</v>
      </c>
      <c r="M2518">
        <v>3</v>
      </c>
      <c r="N2518">
        <v>126</v>
      </c>
      <c r="O2518">
        <v>2</v>
      </c>
      <c r="P2518">
        <v>0.26</v>
      </c>
      <c r="Q2518">
        <v>1</v>
      </c>
      <c r="R2518">
        <v>8.4999999999999995E-4</v>
      </c>
      <c r="T2518" t="s">
        <v>357</v>
      </c>
    </row>
    <row r="2519" spans="1:20" x14ac:dyDescent="0.2">
      <c r="A2519" t="s">
        <v>7126</v>
      </c>
      <c r="B2519" t="s">
        <v>2022</v>
      </c>
      <c r="C2519" t="s">
        <v>2023</v>
      </c>
      <c r="D2519" t="s">
        <v>2024</v>
      </c>
      <c r="E2519" t="s">
        <v>357</v>
      </c>
      <c r="F2519" t="s">
        <v>7123</v>
      </c>
      <c r="G2519">
        <v>5</v>
      </c>
      <c r="H2519">
        <v>1800</v>
      </c>
      <c r="I2519">
        <v>2</v>
      </c>
      <c r="J2519">
        <v>3.4</v>
      </c>
      <c r="K2519">
        <v>2</v>
      </c>
      <c r="L2519">
        <v>2.5999999999999999E-2</v>
      </c>
      <c r="M2519">
        <v>4</v>
      </c>
      <c r="N2519">
        <v>104</v>
      </c>
      <c r="O2519">
        <v>2</v>
      </c>
      <c r="P2519">
        <v>0.22500000000000001</v>
      </c>
      <c r="Q2519">
        <v>2</v>
      </c>
      <c r="R2519">
        <v>2E-3</v>
      </c>
      <c r="T2519" t="s">
        <v>357</v>
      </c>
    </row>
    <row r="2520" spans="1:20" x14ac:dyDescent="0.2">
      <c r="A2520" t="s">
        <v>7127</v>
      </c>
      <c r="B2520" t="s">
        <v>2022</v>
      </c>
      <c r="C2520" t="s">
        <v>2053</v>
      </c>
      <c r="D2520" t="s">
        <v>2024</v>
      </c>
      <c r="E2520" t="s">
        <v>7128</v>
      </c>
      <c r="F2520" t="s">
        <v>7129</v>
      </c>
      <c r="G2520">
        <v>2</v>
      </c>
      <c r="H2520">
        <v>1600</v>
      </c>
      <c r="I2520">
        <v>3</v>
      </c>
      <c r="J2520">
        <v>6.55</v>
      </c>
      <c r="K2520">
        <v>3</v>
      </c>
      <c r="L2520">
        <v>0.19500000000000001</v>
      </c>
      <c r="M2520">
        <v>1</v>
      </c>
      <c r="N2520">
        <v>73</v>
      </c>
      <c r="O2520">
        <v>2</v>
      </c>
      <c r="P2520">
        <v>0.22500000000000001</v>
      </c>
      <c r="Q2520">
        <v>3</v>
      </c>
      <c r="R2520">
        <v>1.2200000000000001E-2</v>
      </c>
      <c r="T2520" t="s">
        <v>7128</v>
      </c>
    </row>
    <row r="2521" spans="1:20" x14ac:dyDescent="0.2">
      <c r="A2521" t="s">
        <v>7130</v>
      </c>
      <c r="B2521" t="s">
        <v>2022</v>
      </c>
      <c r="C2521" t="s">
        <v>2036</v>
      </c>
      <c r="D2521" t="s">
        <v>2024</v>
      </c>
      <c r="E2521" t="s">
        <v>7131</v>
      </c>
      <c r="F2521" t="s">
        <v>7132</v>
      </c>
      <c r="G2521">
        <v>2</v>
      </c>
      <c r="H2521">
        <v>1640</v>
      </c>
      <c r="I2521">
        <v>3</v>
      </c>
      <c r="J2521">
        <v>4.5999999999999996</v>
      </c>
      <c r="K2521">
        <v>2</v>
      </c>
      <c r="L2521">
        <v>8.5000000000000006E-2</v>
      </c>
      <c r="M2521">
        <v>4</v>
      </c>
      <c r="N2521">
        <v>94</v>
      </c>
      <c r="O2521">
        <v>3</v>
      </c>
      <c r="P2521">
        <v>0.315</v>
      </c>
      <c r="Q2521">
        <v>2</v>
      </c>
      <c r="R2521">
        <v>4.2500000000000003E-3</v>
      </c>
      <c r="T2521" t="s">
        <v>7131</v>
      </c>
    </row>
    <row r="2522" spans="1:20" x14ac:dyDescent="0.2">
      <c r="A2522" t="s">
        <v>7133</v>
      </c>
      <c r="B2522" t="s">
        <v>2022</v>
      </c>
      <c r="C2522" t="s">
        <v>2053</v>
      </c>
      <c r="D2522" t="s">
        <v>2024</v>
      </c>
      <c r="E2522" t="s">
        <v>7134</v>
      </c>
      <c r="F2522" t="s">
        <v>7135</v>
      </c>
      <c r="G2522">
        <v>5</v>
      </c>
      <c r="H2522">
        <v>1900</v>
      </c>
      <c r="I2522">
        <v>5</v>
      </c>
      <c r="J2522">
        <v>11.55</v>
      </c>
      <c r="K2522">
        <v>5</v>
      </c>
      <c r="L2522">
        <v>0.41499999999999998</v>
      </c>
      <c r="M2522">
        <v>3</v>
      </c>
      <c r="N2522">
        <v>93</v>
      </c>
      <c r="O2522">
        <v>5</v>
      </c>
      <c r="P2522">
        <v>0.67500000000000004</v>
      </c>
      <c r="Q2522">
        <v>5</v>
      </c>
      <c r="R2522">
        <v>2.6200000000000001E-2</v>
      </c>
      <c r="T2522" t="s">
        <v>7134</v>
      </c>
    </row>
    <row r="2523" spans="1:20" x14ac:dyDescent="0.2">
      <c r="A2523" t="s">
        <v>7136</v>
      </c>
      <c r="B2523" t="s">
        <v>2022</v>
      </c>
      <c r="C2523" t="s">
        <v>2023</v>
      </c>
      <c r="D2523" t="s">
        <v>2024</v>
      </c>
      <c r="E2523" t="s">
        <v>7137</v>
      </c>
      <c r="F2523" t="s">
        <v>7138</v>
      </c>
      <c r="G2523">
        <v>2</v>
      </c>
      <c r="H2523">
        <v>1560</v>
      </c>
      <c r="I2523">
        <v>1</v>
      </c>
      <c r="J2523">
        <v>0.9</v>
      </c>
      <c r="K2523">
        <v>2</v>
      </c>
      <c r="L2523">
        <v>2.5999999999999999E-2</v>
      </c>
      <c r="M2523">
        <v>2</v>
      </c>
      <c r="N2523">
        <v>84</v>
      </c>
      <c r="O2523">
        <v>1</v>
      </c>
      <c r="P2523">
        <v>7.4999999999999997E-2</v>
      </c>
      <c r="Q2523">
        <v>2</v>
      </c>
      <c r="R2523">
        <v>2E-3</v>
      </c>
      <c r="T2523" t="s">
        <v>7137</v>
      </c>
    </row>
    <row r="2524" spans="1:20" x14ac:dyDescent="0.2">
      <c r="A2524" t="s">
        <v>75</v>
      </c>
      <c r="B2524" t="s">
        <v>2022</v>
      </c>
      <c r="C2524" t="s">
        <v>2049</v>
      </c>
      <c r="D2524" t="s">
        <v>2024</v>
      </c>
      <c r="E2524" t="s">
        <v>275</v>
      </c>
      <c r="F2524" t="s">
        <v>7139</v>
      </c>
      <c r="G2524">
        <v>3</v>
      </c>
      <c r="H2524">
        <v>1550</v>
      </c>
      <c r="I2524">
        <v>2</v>
      </c>
      <c r="J2524">
        <v>3.2</v>
      </c>
      <c r="K2524">
        <v>2</v>
      </c>
      <c r="L2524">
        <v>0.06</v>
      </c>
      <c r="M2524">
        <v>1</v>
      </c>
      <c r="N2524">
        <v>86</v>
      </c>
      <c r="O2524">
        <v>2</v>
      </c>
      <c r="P2524">
        <v>0.26</v>
      </c>
      <c r="Q2524">
        <v>2</v>
      </c>
      <c r="R2524">
        <v>6.1999999999999998E-3</v>
      </c>
      <c r="T2524" t="s">
        <v>275</v>
      </c>
    </row>
    <row r="2525" spans="1:20" x14ac:dyDescent="0.2">
      <c r="A2525" t="s">
        <v>7140</v>
      </c>
      <c r="B2525" t="s">
        <v>2022</v>
      </c>
      <c r="C2525" t="s">
        <v>2028</v>
      </c>
      <c r="D2525" t="s">
        <v>2024</v>
      </c>
      <c r="E2525" t="s">
        <v>7141</v>
      </c>
      <c r="F2525" t="s">
        <v>7142</v>
      </c>
      <c r="G2525">
        <v>1</v>
      </c>
      <c r="H2525">
        <v>650</v>
      </c>
      <c r="I2525">
        <v>2</v>
      </c>
      <c r="J2525">
        <v>1.55</v>
      </c>
      <c r="K2525">
        <v>2</v>
      </c>
      <c r="L2525">
        <v>4.4999999999999998E-2</v>
      </c>
      <c r="M2525">
        <v>4</v>
      </c>
      <c r="N2525">
        <v>400</v>
      </c>
      <c r="O2525">
        <v>4</v>
      </c>
      <c r="P2525">
        <v>1.05</v>
      </c>
      <c r="Q2525">
        <v>5</v>
      </c>
      <c r="R2525">
        <v>3.3500000000000002E-2</v>
      </c>
      <c r="T2525" t="s">
        <v>7141</v>
      </c>
    </row>
    <row r="2526" spans="1:20" x14ac:dyDescent="0.2">
      <c r="A2526" t="s">
        <v>7143</v>
      </c>
      <c r="B2526" t="s">
        <v>2022</v>
      </c>
      <c r="C2526" t="s">
        <v>2036</v>
      </c>
      <c r="D2526" t="s">
        <v>2024</v>
      </c>
      <c r="E2526" t="s">
        <v>7144</v>
      </c>
      <c r="F2526" t="s">
        <v>7145</v>
      </c>
      <c r="G2526">
        <v>5</v>
      </c>
      <c r="H2526">
        <v>1940</v>
      </c>
      <c r="I2526">
        <v>5</v>
      </c>
      <c r="J2526">
        <v>7</v>
      </c>
      <c r="K2526">
        <v>5</v>
      </c>
      <c r="L2526">
        <v>0.17499999999999999</v>
      </c>
      <c r="M2526">
        <v>5</v>
      </c>
      <c r="N2526">
        <v>100</v>
      </c>
      <c r="O2526">
        <v>5</v>
      </c>
      <c r="P2526">
        <v>0.53500000000000003</v>
      </c>
      <c r="Q2526">
        <v>5</v>
      </c>
      <c r="R2526">
        <v>1.2E-2</v>
      </c>
      <c r="T2526" t="s">
        <v>7144</v>
      </c>
    </row>
    <row r="2527" spans="1:20" x14ac:dyDescent="0.2">
      <c r="A2527" t="s">
        <v>7146</v>
      </c>
      <c r="B2527" t="s">
        <v>2022</v>
      </c>
      <c r="C2527" t="s">
        <v>2036</v>
      </c>
      <c r="D2527" t="s">
        <v>2024</v>
      </c>
      <c r="E2527" t="s">
        <v>7147</v>
      </c>
      <c r="F2527" t="s">
        <v>7148</v>
      </c>
      <c r="G2527">
        <v>2</v>
      </c>
      <c r="H2527">
        <v>1640</v>
      </c>
      <c r="I2527">
        <v>2</v>
      </c>
      <c r="J2527">
        <v>3.4</v>
      </c>
      <c r="K2527">
        <v>3</v>
      </c>
      <c r="L2527">
        <v>0.115</v>
      </c>
      <c r="M2527">
        <v>1</v>
      </c>
      <c r="N2527">
        <v>76</v>
      </c>
      <c r="O2527">
        <v>2</v>
      </c>
      <c r="P2527">
        <v>0.20499999999999999</v>
      </c>
      <c r="Q2527">
        <v>3</v>
      </c>
      <c r="R2527">
        <v>6.7499999999999999E-3</v>
      </c>
      <c r="T2527" t="s">
        <v>7147</v>
      </c>
    </row>
    <row r="2528" spans="1:20" x14ac:dyDescent="0.2">
      <c r="A2528" t="s">
        <v>7149</v>
      </c>
      <c r="B2528" t="s">
        <v>2022</v>
      </c>
      <c r="C2528" t="s">
        <v>2053</v>
      </c>
      <c r="D2528" t="s">
        <v>2136</v>
      </c>
      <c r="E2528" t="s">
        <v>7150</v>
      </c>
      <c r="F2528" t="s">
        <v>2297</v>
      </c>
      <c r="G2528">
        <v>5</v>
      </c>
      <c r="H2528">
        <v>1900</v>
      </c>
      <c r="I2528">
        <v>3</v>
      </c>
      <c r="J2528">
        <v>6.55</v>
      </c>
      <c r="K2528">
        <v>5</v>
      </c>
      <c r="L2528">
        <v>0.41499999999999998</v>
      </c>
      <c r="M2528">
        <v>3</v>
      </c>
      <c r="N2528">
        <v>93</v>
      </c>
      <c r="O2528">
        <v>3</v>
      </c>
      <c r="P2528">
        <v>0.375</v>
      </c>
      <c r="Q2528">
        <v>4</v>
      </c>
      <c r="R2528">
        <v>1.9199999999999998E-2</v>
      </c>
      <c r="T2528" t="s">
        <v>7150</v>
      </c>
    </row>
    <row r="2529" spans="1:20" x14ac:dyDescent="0.2">
      <c r="A2529" t="s">
        <v>7151</v>
      </c>
      <c r="B2529" t="s">
        <v>2022</v>
      </c>
      <c r="C2529" t="s">
        <v>2257</v>
      </c>
      <c r="D2529" t="s">
        <v>2024</v>
      </c>
      <c r="E2529" t="s">
        <v>357</v>
      </c>
      <c r="F2529" t="s">
        <v>7152</v>
      </c>
      <c r="G2529">
        <v>5</v>
      </c>
      <c r="H2529">
        <v>1300</v>
      </c>
      <c r="I2529">
        <v>5</v>
      </c>
      <c r="J2529">
        <v>5.65</v>
      </c>
      <c r="K2529">
        <v>5</v>
      </c>
      <c r="L2529">
        <v>0.187</v>
      </c>
      <c r="M2529">
        <v>5</v>
      </c>
      <c r="N2529">
        <v>1100</v>
      </c>
      <c r="O2529">
        <v>5</v>
      </c>
      <c r="P2529">
        <v>2.7</v>
      </c>
      <c r="Q2529">
        <v>5</v>
      </c>
      <c r="R2529">
        <v>8.1000000000000003E-2</v>
      </c>
      <c r="T2529" t="s">
        <v>357</v>
      </c>
    </row>
    <row r="2530" spans="1:20" x14ac:dyDescent="0.2">
      <c r="A2530" t="s">
        <v>7153</v>
      </c>
      <c r="B2530" t="s">
        <v>2022</v>
      </c>
      <c r="C2530" t="s">
        <v>2023</v>
      </c>
      <c r="D2530" t="s">
        <v>2024</v>
      </c>
      <c r="E2530" t="s">
        <v>7154</v>
      </c>
      <c r="F2530" t="s">
        <v>7155</v>
      </c>
      <c r="G2530">
        <v>4</v>
      </c>
      <c r="H2530">
        <v>1720</v>
      </c>
      <c r="I2530">
        <v>3</v>
      </c>
      <c r="J2530">
        <v>5.9</v>
      </c>
      <c r="K2530">
        <v>5</v>
      </c>
      <c r="L2530">
        <v>8.5999999999999993E-2</v>
      </c>
      <c r="M2530">
        <v>3</v>
      </c>
      <c r="N2530">
        <v>94</v>
      </c>
      <c r="O2530">
        <v>3</v>
      </c>
      <c r="P2530">
        <v>0.375</v>
      </c>
      <c r="Q2530">
        <v>3</v>
      </c>
      <c r="R2530">
        <v>4.0000000000000001E-3</v>
      </c>
      <c r="T2530" t="s">
        <v>7154</v>
      </c>
    </row>
    <row r="2531" spans="1:20" x14ac:dyDescent="0.2">
      <c r="A2531" t="s">
        <v>7156</v>
      </c>
      <c r="B2531" t="s">
        <v>2022</v>
      </c>
      <c r="C2531" t="s">
        <v>2036</v>
      </c>
      <c r="D2531" t="s">
        <v>2024</v>
      </c>
      <c r="E2531" t="s">
        <v>7157</v>
      </c>
      <c r="F2531" t="s">
        <v>7158</v>
      </c>
      <c r="G2531">
        <v>5</v>
      </c>
      <c r="H2531">
        <v>1940</v>
      </c>
      <c r="I2531">
        <v>4</v>
      </c>
      <c r="J2531">
        <v>5.8</v>
      </c>
      <c r="K2531">
        <v>1</v>
      </c>
      <c r="L2531">
        <v>5.5E-2</v>
      </c>
      <c r="M2531">
        <v>5</v>
      </c>
      <c r="N2531">
        <v>100</v>
      </c>
      <c r="O2531">
        <v>3</v>
      </c>
      <c r="P2531">
        <v>0.315</v>
      </c>
      <c r="Q2531">
        <v>1</v>
      </c>
      <c r="R2531">
        <v>1.5E-3</v>
      </c>
      <c r="T2531" t="s">
        <v>7157</v>
      </c>
    </row>
    <row r="2532" spans="1:20" x14ac:dyDescent="0.2">
      <c r="A2532" t="s">
        <v>7159</v>
      </c>
      <c r="B2532" t="s">
        <v>2022</v>
      </c>
      <c r="C2532" t="s">
        <v>2023</v>
      </c>
      <c r="D2532" t="s">
        <v>2024</v>
      </c>
      <c r="E2532" t="s">
        <v>7160</v>
      </c>
      <c r="F2532" t="s">
        <v>7161</v>
      </c>
      <c r="G2532">
        <v>3</v>
      </c>
      <c r="H2532">
        <v>1640</v>
      </c>
      <c r="I2532">
        <v>1</v>
      </c>
      <c r="J2532">
        <v>0.9</v>
      </c>
      <c r="K2532">
        <v>1</v>
      </c>
      <c r="L2532">
        <v>6.0000000000000001E-3</v>
      </c>
      <c r="M2532">
        <v>2</v>
      </c>
      <c r="N2532">
        <v>84</v>
      </c>
      <c r="O2532">
        <v>1</v>
      </c>
      <c r="P2532">
        <v>7.4999999999999997E-2</v>
      </c>
      <c r="Q2532">
        <v>1</v>
      </c>
      <c r="R2532">
        <v>5.0000000000000001E-4</v>
      </c>
      <c r="T2532" t="s">
        <v>7160</v>
      </c>
    </row>
    <row r="2533" spans="1:20" x14ac:dyDescent="0.2">
      <c r="A2533" t="s">
        <v>7162</v>
      </c>
      <c r="B2533" t="s">
        <v>2022</v>
      </c>
      <c r="C2533" t="s">
        <v>2053</v>
      </c>
      <c r="D2533" t="s">
        <v>2024</v>
      </c>
      <c r="E2533" t="s">
        <v>7163</v>
      </c>
      <c r="F2533" t="s">
        <v>7164</v>
      </c>
      <c r="G2533">
        <v>1</v>
      </c>
      <c r="H2533">
        <v>1500</v>
      </c>
      <c r="I2533">
        <v>2</v>
      </c>
      <c r="J2533">
        <v>4.05</v>
      </c>
      <c r="K2533">
        <v>2</v>
      </c>
      <c r="L2533">
        <v>8.5000000000000006E-2</v>
      </c>
      <c r="M2533">
        <v>1</v>
      </c>
      <c r="N2533">
        <v>73</v>
      </c>
      <c r="O2533">
        <v>2</v>
      </c>
      <c r="P2533">
        <v>0.22500000000000001</v>
      </c>
      <c r="Q2533">
        <v>2</v>
      </c>
      <c r="R2533">
        <v>5.1999999999999998E-3</v>
      </c>
      <c r="T2533" t="s">
        <v>7163</v>
      </c>
    </row>
    <row r="2534" spans="1:20" x14ac:dyDescent="0.2">
      <c r="A2534" t="s">
        <v>7165</v>
      </c>
      <c r="B2534" t="s">
        <v>2022</v>
      </c>
      <c r="C2534" t="s">
        <v>2036</v>
      </c>
      <c r="D2534" t="s">
        <v>2024</v>
      </c>
      <c r="E2534" t="s">
        <v>7166</v>
      </c>
      <c r="F2534" t="s">
        <v>447</v>
      </c>
      <c r="G2534">
        <v>4</v>
      </c>
      <c r="H2534">
        <v>1840</v>
      </c>
      <c r="I2534">
        <v>4</v>
      </c>
      <c r="J2534">
        <v>5.8</v>
      </c>
      <c r="K2534">
        <v>5</v>
      </c>
      <c r="L2534">
        <v>0.17499999999999999</v>
      </c>
      <c r="M2534">
        <v>5</v>
      </c>
      <c r="N2534">
        <v>100</v>
      </c>
      <c r="O2534">
        <v>3</v>
      </c>
      <c r="P2534">
        <v>0.315</v>
      </c>
      <c r="Q2534">
        <v>5</v>
      </c>
      <c r="R2534">
        <v>1.2E-2</v>
      </c>
      <c r="T2534" t="s">
        <v>7166</v>
      </c>
    </row>
    <row r="2535" spans="1:20" x14ac:dyDescent="0.2">
      <c r="A2535" t="s">
        <v>7167</v>
      </c>
      <c r="B2535" t="s">
        <v>2022</v>
      </c>
      <c r="C2535" t="s">
        <v>2049</v>
      </c>
      <c r="D2535" t="s">
        <v>2024</v>
      </c>
      <c r="E2535" t="s">
        <v>7168</v>
      </c>
      <c r="F2535" t="s">
        <v>7169</v>
      </c>
      <c r="G2535">
        <v>5</v>
      </c>
      <c r="H2535">
        <v>1750</v>
      </c>
      <c r="I2535">
        <v>4</v>
      </c>
      <c r="J2535">
        <v>6.8</v>
      </c>
      <c r="K2535">
        <v>4</v>
      </c>
      <c r="L2535">
        <v>0.22</v>
      </c>
      <c r="M2535">
        <v>3</v>
      </c>
      <c r="N2535">
        <v>126</v>
      </c>
      <c r="O2535">
        <v>3</v>
      </c>
      <c r="P2535">
        <v>0.46</v>
      </c>
      <c r="Q2535">
        <v>3</v>
      </c>
      <c r="R2535">
        <v>1.52E-2</v>
      </c>
      <c r="T2535" t="s">
        <v>7168</v>
      </c>
    </row>
    <row r="2536" spans="1:20" x14ac:dyDescent="0.2">
      <c r="A2536" t="s">
        <v>7170</v>
      </c>
      <c r="B2536" t="s">
        <v>2022</v>
      </c>
      <c r="C2536" t="s">
        <v>2053</v>
      </c>
      <c r="D2536" t="s">
        <v>2024</v>
      </c>
      <c r="E2536" t="s">
        <v>7171</v>
      </c>
      <c r="F2536" t="s">
        <v>7172</v>
      </c>
      <c r="G2536">
        <v>3</v>
      </c>
      <c r="H2536">
        <v>1700</v>
      </c>
      <c r="I2536">
        <v>3</v>
      </c>
      <c r="J2536">
        <v>6.55</v>
      </c>
      <c r="K2536">
        <v>3</v>
      </c>
      <c r="L2536">
        <v>0.19500000000000001</v>
      </c>
      <c r="M2536">
        <v>3</v>
      </c>
      <c r="N2536">
        <v>93</v>
      </c>
      <c r="O2536">
        <v>3</v>
      </c>
      <c r="P2536">
        <v>0.375</v>
      </c>
      <c r="Q2536">
        <v>3</v>
      </c>
      <c r="R2536">
        <v>1.2200000000000001E-2</v>
      </c>
      <c r="T2536" t="s">
        <v>7171</v>
      </c>
    </row>
    <row r="2537" spans="1:20" x14ac:dyDescent="0.2">
      <c r="A2537" t="s">
        <v>7173</v>
      </c>
      <c r="B2537" t="s">
        <v>2022</v>
      </c>
      <c r="C2537" t="s">
        <v>2095</v>
      </c>
      <c r="D2537" t="s">
        <v>2024</v>
      </c>
      <c r="E2537" t="s">
        <v>7174</v>
      </c>
      <c r="F2537" t="s">
        <v>7175</v>
      </c>
      <c r="G2537">
        <v>4</v>
      </c>
      <c r="H2537">
        <v>1835</v>
      </c>
      <c r="I2537">
        <v>5</v>
      </c>
      <c r="J2537">
        <v>16.5</v>
      </c>
      <c r="K2537">
        <v>4</v>
      </c>
      <c r="L2537">
        <v>0.53</v>
      </c>
      <c r="M2537">
        <v>5</v>
      </c>
      <c r="N2537">
        <v>98</v>
      </c>
      <c r="O2537">
        <v>5</v>
      </c>
      <c r="P2537">
        <v>0.95</v>
      </c>
      <c r="Q2537">
        <v>5</v>
      </c>
      <c r="R2537">
        <v>3.2899999999999999E-2</v>
      </c>
      <c r="T2537" t="s">
        <v>7174</v>
      </c>
    </row>
    <row r="2538" spans="1:20" x14ac:dyDescent="0.2">
      <c r="A2538" t="s">
        <v>7176</v>
      </c>
      <c r="B2538" t="s">
        <v>2022</v>
      </c>
      <c r="C2538" t="s">
        <v>2036</v>
      </c>
      <c r="D2538" t="s">
        <v>2024</v>
      </c>
      <c r="E2538" t="s">
        <v>7177</v>
      </c>
      <c r="F2538" t="s">
        <v>447</v>
      </c>
      <c r="G2538">
        <v>3</v>
      </c>
      <c r="H2538">
        <v>1740</v>
      </c>
      <c r="I2538">
        <v>3</v>
      </c>
      <c r="J2538">
        <v>4.5999999999999996</v>
      </c>
      <c r="K2538">
        <v>4</v>
      </c>
      <c r="L2538">
        <v>0.14499999999999999</v>
      </c>
      <c r="M2538">
        <v>2</v>
      </c>
      <c r="N2538">
        <v>82</v>
      </c>
      <c r="O2538">
        <v>2</v>
      </c>
      <c r="P2538">
        <v>0.20499999999999999</v>
      </c>
      <c r="Q2538">
        <v>3</v>
      </c>
      <c r="R2538">
        <v>6.7499999999999999E-3</v>
      </c>
      <c r="T2538" t="s">
        <v>7177</v>
      </c>
    </row>
    <row r="2539" spans="1:20" x14ac:dyDescent="0.2">
      <c r="A2539" t="s">
        <v>7178</v>
      </c>
      <c r="B2539" t="s">
        <v>2022</v>
      </c>
      <c r="C2539" t="s">
        <v>2023</v>
      </c>
      <c r="D2539" t="s">
        <v>2154</v>
      </c>
      <c r="E2539" t="s">
        <v>7179</v>
      </c>
      <c r="F2539" t="s">
        <v>7180</v>
      </c>
      <c r="G2539">
        <v>1</v>
      </c>
      <c r="H2539">
        <v>1480</v>
      </c>
      <c r="I2539">
        <v>1</v>
      </c>
      <c r="J2539">
        <v>0.9</v>
      </c>
      <c r="K2539">
        <v>1</v>
      </c>
      <c r="L2539">
        <v>6.0000000000000001E-3</v>
      </c>
      <c r="M2539">
        <v>5</v>
      </c>
      <c r="N2539">
        <v>114</v>
      </c>
      <c r="O2539">
        <v>2</v>
      </c>
      <c r="P2539">
        <v>0.22500000000000001</v>
      </c>
      <c r="Q2539">
        <v>2</v>
      </c>
      <c r="R2539">
        <v>2E-3</v>
      </c>
      <c r="T2539" t="s">
        <v>7179</v>
      </c>
    </row>
    <row r="2540" spans="1:20" x14ac:dyDescent="0.2">
      <c r="A2540" t="s">
        <v>7181</v>
      </c>
      <c r="B2540" t="s">
        <v>2022</v>
      </c>
      <c r="C2540" t="s">
        <v>2036</v>
      </c>
      <c r="D2540" t="s">
        <v>2154</v>
      </c>
      <c r="E2540" t="s">
        <v>7182</v>
      </c>
      <c r="F2540" t="s">
        <v>7183</v>
      </c>
      <c r="G2540">
        <v>2</v>
      </c>
      <c r="H2540">
        <v>1640</v>
      </c>
      <c r="I2540">
        <v>4</v>
      </c>
      <c r="J2540">
        <v>5.8</v>
      </c>
      <c r="K2540">
        <v>5</v>
      </c>
      <c r="L2540">
        <v>0.17499999999999999</v>
      </c>
      <c r="M2540">
        <v>2</v>
      </c>
      <c r="N2540">
        <v>82</v>
      </c>
      <c r="O2540">
        <v>3</v>
      </c>
      <c r="P2540">
        <v>0.315</v>
      </c>
      <c r="Q2540">
        <v>4</v>
      </c>
      <c r="R2540">
        <v>9.2499999999999995E-3</v>
      </c>
      <c r="T2540" t="s">
        <v>7182</v>
      </c>
    </row>
    <row r="2541" spans="1:20" x14ac:dyDescent="0.2">
      <c r="A2541" t="s">
        <v>7184</v>
      </c>
      <c r="B2541" t="s">
        <v>2022</v>
      </c>
      <c r="C2541" t="s">
        <v>2036</v>
      </c>
      <c r="D2541" t="s">
        <v>2024</v>
      </c>
      <c r="E2541" t="s">
        <v>7185</v>
      </c>
      <c r="F2541" t="s">
        <v>7186</v>
      </c>
      <c r="G2541">
        <v>2</v>
      </c>
      <c r="H2541">
        <v>1640</v>
      </c>
      <c r="I2541">
        <v>5</v>
      </c>
      <c r="J2541">
        <v>7</v>
      </c>
      <c r="K2541">
        <v>5</v>
      </c>
      <c r="L2541">
        <v>0.17499999999999999</v>
      </c>
      <c r="M2541">
        <v>2</v>
      </c>
      <c r="N2541">
        <v>82</v>
      </c>
      <c r="O2541">
        <v>4</v>
      </c>
      <c r="P2541">
        <v>0.42499999999999999</v>
      </c>
      <c r="Q2541">
        <v>5</v>
      </c>
      <c r="R2541">
        <v>1.2E-2</v>
      </c>
      <c r="T2541" t="s">
        <v>7185</v>
      </c>
    </row>
    <row r="2542" spans="1:20" x14ac:dyDescent="0.2">
      <c r="A2542" t="s">
        <v>7187</v>
      </c>
      <c r="B2542" t="s">
        <v>2022</v>
      </c>
      <c r="C2542" t="s">
        <v>2023</v>
      </c>
      <c r="D2542" t="s">
        <v>2024</v>
      </c>
      <c r="E2542" t="s">
        <v>7188</v>
      </c>
      <c r="F2542" t="s">
        <v>7189</v>
      </c>
      <c r="G2542">
        <v>3</v>
      </c>
      <c r="H2542">
        <v>1640</v>
      </c>
      <c r="I2542">
        <v>2</v>
      </c>
      <c r="J2542">
        <v>3.4</v>
      </c>
      <c r="K2542">
        <v>3</v>
      </c>
      <c r="L2542">
        <v>4.5999999999999999E-2</v>
      </c>
      <c r="M2542">
        <v>3</v>
      </c>
      <c r="N2542">
        <v>94</v>
      </c>
      <c r="O2542">
        <v>2</v>
      </c>
      <c r="P2542">
        <v>0.22500000000000001</v>
      </c>
      <c r="Q2542">
        <v>2</v>
      </c>
      <c r="R2542">
        <v>2E-3</v>
      </c>
      <c r="T2542" t="s">
        <v>7188</v>
      </c>
    </row>
    <row r="2543" spans="1:20" x14ac:dyDescent="0.2">
      <c r="A2543" t="s">
        <v>7190</v>
      </c>
      <c r="B2543" t="s">
        <v>2022</v>
      </c>
      <c r="C2543" t="s">
        <v>2023</v>
      </c>
      <c r="D2543" t="s">
        <v>2024</v>
      </c>
      <c r="E2543" t="s">
        <v>7191</v>
      </c>
      <c r="F2543" t="s">
        <v>7192</v>
      </c>
      <c r="G2543">
        <v>5</v>
      </c>
      <c r="H2543">
        <v>1800</v>
      </c>
      <c r="I2543">
        <v>3</v>
      </c>
      <c r="J2543">
        <v>5.9</v>
      </c>
      <c r="K2543">
        <v>5</v>
      </c>
      <c r="L2543">
        <v>8.5999999999999993E-2</v>
      </c>
      <c r="M2543">
        <v>5</v>
      </c>
      <c r="N2543">
        <v>114</v>
      </c>
      <c r="O2543">
        <v>3</v>
      </c>
      <c r="P2543">
        <v>0.375</v>
      </c>
      <c r="Q2543">
        <v>4</v>
      </c>
      <c r="R2543">
        <v>6.0000000000000001E-3</v>
      </c>
      <c r="T2543" t="s">
        <v>7191</v>
      </c>
    </row>
    <row r="2544" spans="1:20" x14ac:dyDescent="0.2">
      <c r="A2544" t="s">
        <v>7193</v>
      </c>
      <c r="B2544" t="s">
        <v>2022</v>
      </c>
      <c r="C2544" t="s">
        <v>2222</v>
      </c>
      <c r="D2544" t="s">
        <v>2024</v>
      </c>
      <c r="E2544" t="s">
        <v>7194</v>
      </c>
      <c r="F2544" t="s">
        <v>7195</v>
      </c>
      <c r="G2544">
        <v>5</v>
      </c>
      <c r="H2544">
        <v>1850</v>
      </c>
      <c r="I2544">
        <v>5</v>
      </c>
      <c r="J2544">
        <v>8.6999999999999993</v>
      </c>
      <c r="K2544">
        <v>5</v>
      </c>
      <c r="L2544">
        <v>0.26500000000000001</v>
      </c>
      <c r="M2544">
        <v>1</v>
      </c>
      <c r="N2544">
        <v>59</v>
      </c>
      <c r="O2544">
        <v>4</v>
      </c>
      <c r="P2544">
        <v>0.31</v>
      </c>
      <c r="Q2544">
        <v>4</v>
      </c>
      <c r="R2544">
        <v>8.3000000000000001E-3</v>
      </c>
      <c r="T2544" t="s">
        <v>7194</v>
      </c>
    </row>
    <row r="2545" spans="1:20" x14ac:dyDescent="0.2">
      <c r="A2545" t="s">
        <v>7196</v>
      </c>
      <c r="B2545" t="s">
        <v>2022</v>
      </c>
      <c r="C2545" t="s">
        <v>2036</v>
      </c>
      <c r="D2545" t="s">
        <v>2024</v>
      </c>
      <c r="E2545" t="s">
        <v>7197</v>
      </c>
      <c r="F2545" t="s">
        <v>7198</v>
      </c>
      <c r="G2545">
        <v>2</v>
      </c>
      <c r="H2545">
        <v>1640</v>
      </c>
      <c r="I2545">
        <v>2</v>
      </c>
      <c r="J2545">
        <v>3.4</v>
      </c>
      <c r="K2545">
        <v>2</v>
      </c>
      <c r="L2545">
        <v>8.5000000000000006E-2</v>
      </c>
      <c r="M2545">
        <v>1</v>
      </c>
      <c r="N2545">
        <v>76</v>
      </c>
      <c r="O2545">
        <v>1</v>
      </c>
      <c r="P2545">
        <v>9.5000000000000001E-2</v>
      </c>
      <c r="Q2545">
        <v>2</v>
      </c>
      <c r="R2545">
        <v>4.2500000000000003E-3</v>
      </c>
      <c r="T2545" t="s">
        <v>7197</v>
      </c>
    </row>
    <row r="2546" spans="1:20" x14ac:dyDescent="0.2">
      <c r="A2546" t="s">
        <v>7199</v>
      </c>
      <c r="B2546" t="s">
        <v>2022</v>
      </c>
      <c r="C2546" t="s">
        <v>2095</v>
      </c>
      <c r="D2546" t="s">
        <v>2136</v>
      </c>
      <c r="E2546" t="s">
        <v>7200</v>
      </c>
      <c r="F2546" t="s">
        <v>7201</v>
      </c>
      <c r="G2546">
        <v>3</v>
      </c>
      <c r="H2546">
        <v>1745</v>
      </c>
      <c r="I2546">
        <v>1</v>
      </c>
      <c r="J2546">
        <v>4.5</v>
      </c>
      <c r="K2546">
        <v>1</v>
      </c>
      <c r="L2546">
        <v>1.4999999999999999E-2</v>
      </c>
      <c r="M2546">
        <v>1</v>
      </c>
      <c r="N2546">
        <v>74</v>
      </c>
      <c r="O2546">
        <v>1</v>
      </c>
      <c r="P2546">
        <v>0.15</v>
      </c>
      <c r="Q2546">
        <v>1</v>
      </c>
      <c r="R2546">
        <v>6.9999999999999999E-4</v>
      </c>
      <c r="T2546" t="s">
        <v>7200</v>
      </c>
    </row>
    <row r="2547" spans="1:20" x14ac:dyDescent="0.2">
      <c r="A2547" t="s">
        <v>7202</v>
      </c>
      <c r="B2547" t="s">
        <v>2022</v>
      </c>
      <c r="C2547" t="s">
        <v>2023</v>
      </c>
      <c r="D2547" t="s">
        <v>2024</v>
      </c>
      <c r="E2547" t="s">
        <v>7203</v>
      </c>
      <c r="F2547" t="s">
        <v>7204</v>
      </c>
      <c r="G2547">
        <v>1</v>
      </c>
      <c r="H2547">
        <v>1480</v>
      </c>
      <c r="I2547">
        <v>2</v>
      </c>
      <c r="J2547">
        <v>3.4</v>
      </c>
      <c r="K2547">
        <v>2</v>
      </c>
      <c r="L2547">
        <v>2.5999999999999999E-2</v>
      </c>
      <c r="M2547">
        <v>2</v>
      </c>
      <c r="N2547">
        <v>84</v>
      </c>
      <c r="O2547">
        <v>2</v>
      </c>
      <c r="P2547">
        <v>0.22500000000000001</v>
      </c>
      <c r="Q2547">
        <v>2</v>
      </c>
      <c r="R2547">
        <v>2E-3</v>
      </c>
      <c r="T2547" t="s">
        <v>7203</v>
      </c>
    </row>
    <row r="2548" spans="1:20" x14ac:dyDescent="0.2">
      <c r="A2548" t="s">
        <v>7205</v>
      </c>
      <c r="B2548" t="s">
        <v>2022</v>
      </c>
      <c r="C2548" t="s">
        <v>2028</v>
      </c>
      <c r="D2548" t="s">
        <v>2024</v>
      </c>
      <c r="E2548" t="s">
        <v>7206</v>
      </c>
      <c r="F2548" t="s">
        <v>7207</v>
      </c>
      <c r="G2548">
        <v>5</v>
      </c>
      <c r="H2548">
        <v>1450</v>
      </c>
      <c r="I2548">
        <v>5</v>
      </c>
      <c r="J2548">
        <v>6.65</v>
      </c>
      <c r="K2548">
        <v>5</v>
      </c>
      <c r="L2548">
        <v>0.26700000000000002</v>
      </c>
      <c r="M2548">
        <v>1</v>
      </c>
      <c r="N2548">
        <v>100</v>
      </c>
      <c r="O2548">
        <v>3</v>
      </c>
      <c r="P2548">
        <v>0.75</v>
      </c>
      <c r="Q2548">
        <v>4</v>
      </c>
      <c r="R2548">
        <v>2.4750000000000001E-2</v>
      </c>
      <c r="T2548" t="s">
        <v>7206</v>
      </c>
    </row>
    <row r="2549" spans="1:20" x14ac:dyDescent="0.2">
      <c r="A2549" t="s">
        <v>7208</v>
      </c>
      <c r="B2549" t="s">
        <v>2022</v>
      </c>
      <c r="C2549" t="s">
        <v>2036</v>
      </c>
      <c r="D2549" t="s">
        <v>2024</v>
      </c>
      <c r="E2549" t="s">
        <v>7209</v>
      </c>
      <c r="F2549" t="s">
        <v>7210</v>
      </c>
      <c r="G2549">
        <v>2</v>
      </c>
      <c r="H2549">
        <v>1640</v>
      </c>
      <c r="I2549">
        <v>1</v>
      </c>
      <c r="J2549">
        <v>2.2000000000000002</v>
      </c>
      <c r="K2549">
        <v>1</v>
      </c>
      <c r="L2549">
        <v>5.5E-2</v>
      </c>
      <c r="M2549">
        <v>2</v>
      </c>
      <c r="N2549">
        <v>82</v>
      </c>
      <c r="O2549">
        <v>1</v>
      </c>
      <c r="P2549">
        <v>9.5000000000000001E-2</v>
      </c>
      <c r="Q2549">
        <v>1</v>
      </c>
      <c r="R2549">
        <v>1.5E-3</v>
      </c>
      <c r="T2549" t="s">
        <v>7209</v>
      </c>
    </row>
    <row r="2550" spans="1:20" x14ac:dyDescent="0.2">
      <c r="A2550" t="s">
        <v>7211</v>
      </c>
      <c r="B2550" t="s">
        <v>2022</v>
      </c>
      <c r="C2550" t="s">
        <v>2036</v>
      </c>
      <c r="D2550" t="s">
        <v>2024</v>
      </c>
      <c r="E2550" t="s">
        <v>7212</v>
      </c>
      <c r="F2550" t="s">
        <v>7213</v>
      </c>
      <c r="G2550">
        <v>2</v>
      </c>
      <c r="H2550">
        <v>1640</v>
      </c>
      <c r="I2550">
        <v>1</v>
      </c>
      <c r="J2550">
        <v>2.2000000000000002</v>
      </c>
      <c r="K2550">
        <v>1</v>
      </c>
      <c r="L2550">
        <v>5.5E-2</v>
      </c>
      <c r="M2550">
        <v>2</v>
      </c>
      <c r="N2550">
        <v>82</v>
      </c>
      <c r="O2550">
        <v>1</v>
      </c>
      <c r="P2550">
        <v>9.5000000000000001E-2</v>
      </c>
      <c r="Q2550">
        <v>2</v>
      </c>
      <c r="R2550">
        <v>4.2500000000000003E-3</v>
      </c>
      <c r="T2550" t="s">
        <v>7212</v>
      </c>
    </row>
    <row r="2551" spans="1:20" x14ac:dyDescent="0.2">
      <c r="A2551" t="s">
        <v>7214</v>
      </c>
      <c r="B2551" t="s">
        <v>2022</v>
      </c>
      <c r="C2551" t="s">
        <v>2023</v>
      </c>
      <c r="D2551" t="s">
        <v>2024</v>
      </c>
      <c r="E2551" t="s">
        <v>7215</v>
      </c>
      <c r="F2551" t="s">
        <v>7216</v>
      </c>
      <c r="G2551">
        <v>2</v>
      </c>
      <c r="H2551">
        <v>1560</v>
      </c>
      <c r="I2551">
        <v>2</v>
      </c>
      <c r="J2551">
        <v>3.4</v>
      </c>
      <c r="K2551">
        <v>3</v>
      </c>
      <c r="L2551">
        <v>4.5999999999999999E-2</v>
      </c>
      <c r="M2551">
        <v>2</v>
      </c>
      <c r="N2551">
        <v>84</v>
      </c>
      <c r="O2551">
        <v>1</v>
      </c>
      <c r="P2551">
        <v>7.4999999999999997E-2</v>
      </c>
      <c r="Q2551">
        <v>2</v>
      </c>
      <c r="R2551">
        <v>2E-3</v>
      </c>
      <c r="T2551" t="s">
        <v>7215</v>
      </c>
    </row>
    <row r="2552" spans="1:20" x14ac:dyDescent="0.2">
      <c r="A2552" t="s">
        <v>7217</v>
      </c>
      <c r="B2552" t="s">
        <v>2022</v>
      </c>
      <c r="C2552" t="s">
        <v>2023</v>
      </c>
      <c r="D2552" t="s">
        <v>2024</v>
      </c>
      <c r="E2552" t="s">
        <v>7215</v>
      </c>
      <c r="F2552" t="s">
        <v>7216</v>
      </c>
      <c r="G2552">
        <v>2</v>
      </c>
      <c r="H2552">
        <v>1560</v>
      </c>
      <c r="I2552">
        <v>3</v>
      </c>
      <c r="J2552">
        <v>5.9</v>
      </c>
      <c r="K2552">
        <v>5</v>
      </c>
      <c r="L2552">
        <v>8.5999999999999993E-2</v>
      </c>
      <c r="M2552">
        <v>2</v>
      </c>
      <c r="N2552">
        <v>84</v>
      </c>
      <c r="O2552">
        <v>2</v>
      </c>
      <c r="P2552">
        <v>0.22500000000000001</v>
      </c>
      <c r="Q2552">
        <v>4</v>
      </c>
      <c r="R2552">
        <v>6.0000000000000001E-3</v>
      </c>
      <c r="T2552" t="s">
        <v>7215</v>
      </c>
    </row>
    <row r="2553" spans="1:20" x14ac:dyDescent="0.2">
      <c r="A2553" t="s">
        <v>7218</v>
      </c>
      <c r="B2553" t="s">
        <v>2022</v>
      </c>
      <c r="C2553" t="s">
        <v>2104</v>
      </c>
      <c r="D2553" t="s">
        <v>2024</v>
      </c>
      <c r="E2553" t="s">
        <v>7215</v>
      </c>
      <c r="F2553" t="s">
        <v>7216</v>
      </c>
      <c r="G2553">
        <v>1</v>
      </c>
      <c r="H2553">
        <v>1537.5</v>
      </c>
      <c r="I2553">
        <v>5</v>
      </c>
      <c r="J2553">
        <v>10.15</v>
      </c>
      <c r="K2553">
        <v>5</v>
      </c>
      <c r="L2553">
        <v>0.191</v>
      </c>
      <c r="M2553">
        <v>2</v>
      </c>
      <c r="N2553">
        <v>65</v>
      </c>
      <c r="P2553">
        <v>0</v>
      </c>
      <c r="Q2553">
        <v>5</v>
      </c>
      <c r="R2553">
        <v>1.8200000000000001E-2</v>
      </c>
      <c r="T2553" t="s">
        <v>7215</v>
      </c>
    </row>
    <row r="2554" spans="1:20" x14ac:dyDescent="0.2">
      <c r="A2554" t="s">
        <v>7219</v>
      </c>
      <c r="B2554" t="s">
        <v>2022</v>
      </c>
      <c r="C2554" t="s">
        <v>2036</v>
      </c>
      <c r="D2554" t="s">
        <v>2024</v>
      </c>
      <c r="E2554" t="s">
        <v>7220</v>
      </c>
      <c r="F2554" t="s">
        <v>447</v>
      </c>
      <c r="G2554">
        <v>1</v>
      </c>
      <c r="H2554">
        <v>1540</v>
      </c>
      <c r="I2554">
        <v>3</v>
      </c>
      <c r="J2554">
        <v>4.5999999999999996</v>
      </c>
      <c r="K2554">
        <v>3</v>
      </c>
      <c r="L2554">
        <v>0.115</v>
      </c>
      <c r="M2554">
        <v>1</v>
      </c>
      <c r="N2554">
        <v>76</v>
      </c>
      <c r="O2554">
        <v>2</v>
      </c>
      <c r="P2554">
        <v>0.20499999999999999</v>
      </c>
      <c r="Q2554">
        <v>2</v>
      </c>
      <c r="R2554">
        <v>4.2500000000000003E-3</v>
      </c>
      <c r="T2554" t="s">
        <v>7220</v>
      </c>
    </row>
    <row r="2555" spans="1:20" x14ac:dyDescent="0.2">
      <c r="A2555" t="s">
        <v>7221</v>
      </c>
      <c r="B2555" t="s">
        <v>2022</v>
      </c>
      <c r="C2555" t="s">
        <v>2101</v>
      </c>
      <c r="D2555" t="s">
        <v>2024</v>
      </c>
      <c r="E2555" t="s">
        <v>7220</v>
      </c>
      <c r="F2555" t="s">
        <v>447</v>
      </c>
      <c r="G2555">
        <v>1</v>
      </c>
      <c r="H2555">
        <v>1570</v>
      </c>
      <c r="I2555">
        <v>1</v>
      </c>
      <c r="J2555">
        <v>2</v>
      </c>
      <c r="K2555">
        <v>1</v>
      </c>
      <c r="L2555">
        <v>1.15E-2</v>
      </c>
      <c r="M2555">
        <v>1</v>
      </c>
      <c r="N2555">
        <v>66</v>
      </c>
      <c r="O2555">
        <v>2</v>
      </c>
      <c r="P2555">
        <v>0.22500000000000001</v>
      </c>
      <c r="Q2555">
        <v>1</v>
      </c>
      <c r="R2555">
        <v>5.0000000000000001E-4</v>
      </c>
      <c r="T2555" t="s">
        <v>7220</v>
      </c>
    </row>
    <row r="2556" spans="1:20" x14ac:dyDescent="0.2">
      <c r="A2556" t="s">
        <v>7222</v>
      </c>
      <c r="B2556" t="s">
        <v>2022</v>
      </c>
      <c r="C2556" t="s">
        <v>2036</v>
      </c>
      <c r="D2556" t="s">
        <v>2024</v>
      </c>
      <c r="E2556" t="s">
        <v>7220</v>
      </c>
      <c r="F2556" t="s">
        <v>447</v>
      </c>
      <c r="G2556">
        <v>1</v>
      </c>
      <c r="H2556">
        <v>1540</v>
      </c>
      <c r="I2556">
        <v>5</v>
      </c>
      <c r="J2556">
        <v>7</v>
      </c>
      <c r="K2556">
        <v>4</v>
      </c>
      <c r="L2556">
        <v>0.14499999999999999</v>
      </c>
      <c r="M2556">
        <v>1</v>
      </c>
      <c r="N2556">
        <v>76</v>
      </c>
      <c r="O2556">
        <v>3</v>
      </c>
      <c r="P2556">
        <v>0.315</v>
      </c>
      <c r="Q2556">
        <v>3</v>
      </c>
      <c r="R2556">
        <v>6.7499999999999999E-3</v>
      </c>
      <c r="T2556" t="s">
        <v>7220</v>
      </c>
    </row>
    <row r="2557" spans="1:20" x14ac:dyDescent="0.2">
      <c r="A2557" t="s">
        <v>7223</v>
      </c>
      <c r="B2557" t="s">
        <v>2022</v>
      </c>
      <c r="C2557" t="s">
        <v>2222</v>
      </c>
      <c r="D2557" t="s">
        <v>2024</v>
      </c>
      <c r="E2557" t="s">
        <v>7220</v>
      </c>
      <c r="F2557" t="s">
        <v>447</v>
      </c>
      <c r="G2557">
        <v>1</v>
      </c>
      <c r="H2557">
        <v>1450</v>
      </c>
      <c r="I2557">
        <v>3</v>
      </c>
      <c r="J2557">
        <v>5.5</v>
      </c>
      <c r="K2557">
        <v>2</v>
      </c>
      <c r="L2557">
        <v>5.5E-2</v>
      </c>
      <c r="M2557">
        <v>1</v>
      </c>
      <c r="N2557">
        <v>59</v>
      </c>
      <c r="O2557">
        <v>3</v>
      </c>
      <c r="P2557">
        <v>0.23</v>
      </c>
      <c r="Q2557">
        <v>1</v>
      </c>
      <c r="R2557">
        <v>4.0000000000000002E-4</v>
      </c>
      <c r="T2557" t="s">
        <v>7220</v>
      </c>
    </row>
    <row r="2558" spans="1:20" x14ac:dyDescent="0.2">
      <c r="A2558" t="s">
        <v>7224</v>
      </c>
      <c r="B2558" t="s">
        <v>2022</v>
      </c>
      <c r="C2558" t="s">
        <v>2036</v>
      </c>
      <c r="D2558" t="s">
        <v>2024</v>
      </c>
      <c r="E2558" t="s">
        <v>7225</v>
      </c>
      <c r="F2558" t="s">
        <v>7226</v>
      </c>
      <c r="G2558">
        <v>1</v>
      </c>
      <c r="H2558">
        <v>1540</v>
      </c>
      <c r="I2558">
        <v>2</v>
      </c>
      <c r="J2558">
        <v>3.4</v>
      </c>
      <c r="K2558">
        <v>2</v>
      </c>
      <c r="L2558">
        <v>8.5000000000000006E-2</v>
      </c>
      <c r="M2558">
        <v>1</v>
      </c>
      <c r="N2558">
        <v>76</v>
      </c>
      <c r="O2558">
        <v>2</v>
      </c>
      <c r="P2558">
        <v>0.20499999999999999</v>
      </c>
      <c r="Q2558">
        <v>2</v>
      </c>
      <c r="R2558">
        <v>4.2500000000000003E-3</v>
      </c>
      <c r="T2558" t="s">
        <v>7225</v>
      </c>
    </row>
    <row r="2559" spans="1:20" x14ac:dyDescent="0.2">
      <c r="A2559" t="s">
        <v>7227</v>
      </c>
      <c r="B2559" t="s">
        <v>2022</v>
      </c>
      <c r="C2559" t="s">
        <v>2036</v>
      </c>
      <c r="D2559" t="s">
        <v>2024</v>
      </c>
      <c r="E2559" t="s">
        <v>7228</v>
      </c>
      <c r="F2559" t="s">
        <v>7229</v>
      </c>
      <c r="G2559">
        <v>5</v>
      </c>
      <c r="H2559">
        <v>1940</v>
      </c>
      <c r="I2559">
        <v>4</v>
      </c>
      <c r="J2559">
        <v>5.8</v>
      </c>
      <c r="K2559">
        <v>1</v>
      </c>
      <c r="L2559">
        <v>5.5E-2</v>
      </c>
      <c r="M2559">
        <v>5</v>
      </c>
      <c r="N2559">
        <v>100</v>
      </c>
      <c r="O2559">
        <v>3</v>
      </c>
      <c r="P2559">
        <v>0.315</v>
      </c>
      <c r="Q2559">
        <v>1</v>
      </c>
      <c r="R2559">
        <v>1.5E-3</v>
      </c>
      <c r="T2559" t="s">
        <v>7228</v>
      </c>
    </row>
    <row r="2560" spans="1:20" x14ac:dyDescent="0.2">
      <c r="A2560" t="s">
        <v>7230</v>
      </c>
      <c r="B2560" t="s">
        <v>2022</v>
      </c>
      <c r="C2560" t="s">
        <v>2036</v>
      </c>
      <c r="D2560" t="s">
        <v>2024</v>
      </c>
      <c r="E2560" t="s">
        <v>7231</v>
      </c>
      <c r="F2560" t="s">
        <v>7232</v>
      </c>
      <c r="G2560">
        <v>3</v>
      </c>
      <c r="H2560">
        <v>1740</v>
      </c>
      <c r="I2560">
        <v>3</v>
      </c>
      <c r="J2560">
        <v>4.5999999999999996</v>
      </c>
      <c r="K2560">
        <v>2</v>
      </c>
      <c r="L2560">
        <v>8.5000000000000006E-2</v>
      </c>
      <c r="M2560">
        <v>3</v>
      </c>
      <c r="N2560">
        <v>88</v>
      </c>
      <c r="O2560">
        <v>2</v>
      </c>
      <c r="P2560">
        <v>0.20499999999999999</v>
      </c>
      <c r="Q2560">
        <v>2</v>
      </c>
      <c r="R2560">
        <v>4.2500000000000003E-3</v>
      </c>
      <c r="T2560" t="s">
        <v>7231</v>
      </c>
    </row>
    <row r="2561" spans="1:20" x14ac:dyDescent="0.2">
      <c r="A2561" t="s">
        <v>7233</v>
      </c>
      <c r="B2561" t="s">
        <v>2022</v>
      </c>
      <c r="C2561" t="s">
        <v>2023</v>
      </c>
      <c r="D2561" t="s">
        <v>2024</v>
      </c>
      <c r="E2561" t="s">
        <v>7234</v>
      </c>
      <c r="F2561" t="s">
        <v>7235</v>
      </c>
      <c r="G2561">
        <v>4</v>
      </c>
      <c r="H2561">
        <v>1720</v>
      </c>
      <c r="I2561">
        <v>2</v>
      </c>
      <c r="J2561">
        <v>3.4</v>
      </c>
      <c r="K2561">
        <v>5</v>
      </c>
      <c r="L2561">
        <v>8.5999999999999993E-2</v>
      </c>
      <c r="M2561">
        <v>4</v>
      </c>
      <c r="N2561">
        <v>104</v>
      </c>
      <c r="O2561">
        <v>2</v>
      </c>
      <c r="P2561">
        <v>0.22500000000000001</v>
      </c>
      <c r="Q2561">
        <v>4</v>
      </c>
      <c r="R2561">
        <v>6.0000000000000001E-3</v>
      </c>
      <c r="T2561" t="s">
        <v>7234</v>
      </c>
    </row>
    <row r="2562" spans="1:20" x14ac:dyDescent="0.2">
      <c r="A2562" t="s">
        <v>7236</v>
      </c>
      <c r="B2562" t="s">
        <v>2022</v>
      </c>
      <c r="C2562" t="s">
        <v>2053</v>
      </c>
      <c r="D2562" t="s">
        <v>2024</v>
      </c>
      <c r="E2562" t="s">
        <v>7237</v>
      </c>
      <c r="F2562" t="s">
        <v>7238</v>
      </c>
      <c r="G2562">
        <v>3</v>
      </c>
      <c r="H2562">
        <v>1700</v>
      </c>
      <c r="I2562">
        <v>5</v>
      </c>
      <c r="J2562">
        <v>11.55</v>
      </c>
      <c r="K2562">
        <v>5</v>
      </c>
      <c r="L2562">
        <v>0.41499999999999998</v>
      </c>
      <c r="M2562">
        <v>3</v>
      </c>
      <c r="N2562">
        <v>93</v>
      </c>
      <c r="O2562">
        <v>5</v>
      </c>
      <c r="P2562">
        <v>0.67500000000000004</v>
      </c>
      <c r="Q2562">
        <v>5</v>
      </c>
      <c r="R2562">
        <v>2.6200000000000001E-2</v>
      </c>
      <c r="T2562" t="s">
        <v>7237</v>
      </c>
    </row>
    <row r="2563" spans="1:20" x14ac:dyDescent="0.2">
      <c r="A2563" t="s">
        <v>7239</v>
      </c>
      <c r="B2563" t="s">
        <v>2022</v>
      </c>
      <c r="C2563" t="s">
        <v>2173</v>
      </c>
      <c r="D2563" t="s">
        <v>2024</v>
      </c>
      <c r="E2563" t="s">
        <v>7240</v>
      </c>
      <c r="F2563" t="s">
        <v>7241</v>
      </c>
      <c r="G2563">
        <v>2</v>
      </c>
      <c r="H2563">
        <v>1957.5</v>
      </c>
      <c r="I2563">
        <v>1</v>
      </c>
      <c r="J2563">
        <v>3.65</v>
      </c>
      <c r="K2563">
        <v>1</v>
      </c>
      <c r="L2563">
        <v>1.4999999999999999E-2</v>
      </c>
      <c r="M2563">
        <v>4</v>
      </c>
      <c r="N2563">
        <v>129.5</v>
      </c>
      <c r="O2563">
        <v>1</v>
      </c>
      <c r="P2563">
        <v>0.15</v>
      </c>
      <c r="Q2563">
        <v>2</v>
      </c>
      <c r="R2563">
        <v>4.7999999999999996E-3</v>
      </c>
      <c r="T2563" t="s">
        <v>7240</v>
      </c>
    </row>
    <row r="2564" spans="1:20" x14ac:dyDescent="0.2">
      <c r="A2564" t="s">
        <v>7242</v>
      </c>
      <c r="B2564" t="s">
        <v>2022</v>
      </c>
      <c r="C2564" t="s">
        <v>2173</v>
      </c>
      <c r="D2564" t="s">
        <v>2024</v>
      </c>
      <c r="E2564" t="s">
        <v>7243</v>
      </c>
      <c r="F2564" t="s">
        <v>7244</v>
      </c>
      <c r="G2564">
        <v>5</v>
      </c>
      <c r="H2564">
        <v>2182.5</v>
      </c>
      <c r="I2564">
        <v>4</v>
      </c>
      <c r="J2564">
        <v>11.75</v>
      </c>
      <c r="K2564">
        <v>5</v>
      </c>
      <c r="L2564">
        <v>0.45</v>
      </c>
      <c r="M2564">
        <v>1</v>
      </c>
      <c r="N2564">
        <v>96.5</v>
      </c>
      <c r="O2564">
        <v>3</v>
      </c>
      <c r="P2564">
        <v>0.51</v>
      </c>
      <c r="Q2564">
        <v>5</v>
      </c>
      <c r="R2564">
        <v>2.58E-2</v>
      </c>
      <c r="T2564" t="s">
        <v>7243</v>
      </c>
    </row>
    <row r="2565" spans="1:20" x14ac:dyDescent="0.2">
      <c r="A2565" t="s">
        <v>7245</v>
      </c>
      <c r="B2565" t="s">
        <v>2022</v>
      </c>
      <c r="C2565" t="s">
        <v>2036</v>
      </c>
      <c r="D2565" t="s">
        <v>2024</v>
      </c>
      <c r="E2565" t="s">
        <v>7246</v>
      </c>
      <c r="F2565" t="s">
        <v>7247</v>
      </c>
      <c r="G2565">
        <v>1</v>
      </c>
      <c r="H2565">
        <v>1540</v>
      </c>
      <c r="I2565">
        <v>3</v>
      </c>
      <c r="J2565">
        <v>4.5999999999999996</v>
      </c>
      <c r="K2565">
        <v>3</v>
      </c>
      <c r="L2565">
        <v>0.115</v>
      </c>
      <c r="M2565">
        <v>2</v>
      </c>
      <c r="N2565">
        <v>82</v>
      </c>
      <c r="O2565">
        <v>2</v>
      </c>
      <c r="P2565">
        <v>0.20499999999999999</v>
      </c>
      <c r="Q2565">
        <v>3</v>
      </c>
      <c r="R2565">
        <v>6.7499999999999999E-3</v>
      </c>
      <c r="T2565" t="s">
        <v>7246</v>
      </c>
    </row>
    <row r="2566" spans="1:20" x14ac:dyDescent="0.2">
      <c r="A2566" t="s">
        <v>7248</v>
      </c>
      <c r="B2566" t="s">
        <v>2022</v>
      </c>
      <c r="C2566" t="s">
        <v>2023</v>
      </c>
      <c r="D2566" t="s">
        <v>2024</v>
      </c>
      <c r="E2566" t="s">
        <v>7249</v>
      </c>
      <c r="F2566" t="s">
        <v>7250</v>
      </c>
      <c r="G2566">
        <v>3</v>
      </c>
      <c r="H2566">
        <v>1640</v>
      </c>
      <c r="I2566">
        <v>3</v>
      </c>
      <c r="J2566">
        <v>5.9</v>
      </c>
      <c r="K2566">
        <v>5</v>
      </c>
      <c r="L2566">
        <v>8.5999999999999993E-2</v>
      </c>
      <c r="M2566">
        <v>3</v>
      </c>
      <c r="N2566">
        <v>94</v>
      </c>
      <c r="O2566">
        <v>2</v>
      </c>
      <c r="P2566">
        <v>0.22500000000000001</v>
      </c>
      <c r="Q2566">
        <v>5</v>
      </c>
      <c r="R2566">
        <v>8.0000000000000002E-3</v>
      </c>
      <c r="T2566" t="s">
        <v>7249</v>
      </c>
    </row>
    <row r="2567" spans="1:20" x14ac:dyDescent="0.2">
      <c r="A2567" t="s">
        <v>7251</v>
      </c>
      <c r="B2567" t="s">
        <v>2022</v>
      </c>
      <c r="C2567" t="s">
        <v>2023</v>
      </c>
      <c r="D2567" t="s">
        <v>2024</v>
      </c>
      <c r="E2567" t="s">
        <v>7252</v>
      </c>
      <c r="F2567" t="s">
        <v>447</v>
      </c>
      <c r="G2567">
        <v>5</v>
      </c>
      <c r="H2567">
        <v>1800</v>
      </c>
      <c r="I2567">
        <v>5</v>
      </c>
      <c r="J2567">
        <v>10.9</v>
      </c>
      <c r="K2567">
        <v>5</v>
      </c>
      <c r="L2567">
        <v>8.5999999999999993E-2</v>
      </c>
      <c r="M2567">
        <v>2</v>
      </c>
      <c r="N2567">
        <v>84</v>
      </c>
      <c r="O2567">
        <v>4</v>
      </c>
      <c r="P2567">
        <v>0.52500000000000002</v>
      </c>
      <c r="Q2567">
        <v>5</v>
      </c>
      <c r="R2567">
        <v>8.0000000000000002E-3</v>
      </c>
      <c r="T2567" t="s">
        <v>7252</v>
      </c>
    </row>
    <row r="2568" spans="1:20" x14ac:dyDescent="0.2">
      <c r="A2568" t="s">
        <v>7253</v>
      </c>
      <c r="B2568" t="s">
        <v>2022</v>
      </c>
      <c r="C2568" t="s">
        <v>2053</v>
      </c>
      <c r="D2568" t="s">
        <v>2024</v>
      </c>
      <c r="E2568" t="s">
        <v>7254</v>
      </c>
      <c r="F2568" t="s">
        <v>7255</v>
      </c>
      <c r="G2568">
        <v>2</v>
      </c>
      <c r="H2568">
        <v>1600</v>
      </c>
      <c r="I2568">
        <v>3</v>
      </c>
      <c r="J2568">
        <v>6.55</v>
      </c>
      <c r="K2568">
        <v>3</v>
      </c>
      <c r="L2568">
        <v>0.19500000000000001</v>
      </c>
      <c r="M2568">
        <v>4</v>
      </c>
      <c r="N2568">
        <v>103</v>
      </c>
      <c r="O2568">
        <v>3</v>
      </c>
      <c r="P2568">
        <v>0.375</v>
      </c>
      <c r="Q2568">
        <v>3</v>
      </c>
      <c r="R2568">
        <v>1.2200000000000001E-2</v>
      </c>
      <c r="T2568" t="s">
        <v>7254</v>
      </c>
    </row>
    <row r="2569" spans="1:20" x14ac:dyDescent="0.2">
      <c r="A2569" t="s">
        <v>7256</v>
      </c>
      <c r="B2569" t="s">
        <v>2022</v>
      </c>
      <c r="C2569" t="s">
        <v>2036</v>
      </c>
      <c r="D2569" t="s">
        <v>2024</v>
      </c>
      <c r="E2569" t="s">
        <v>7257</v>
      </c>
      <c r="F2569" t="s">
        <v>7258</v>
      </c>
      <c r="G2569">
        <v>3</v>
      </c>
      <c r="H2569">
        <v>1740</v>
      </c>
      <c r="I2569">
        <v>5</v>
      </c>
      <c r="J2569">
        <v>7</v>
      </c>
      <c r="K2569">
        <v>5</v>
      </c>
      <c r="L2569">
        <v>0.17499999999999999</v>
      </c>
      <c r="M2569">
        <v>3</v>
      </c>
      <c r="N2569">
        <v>88</v>
      </c>
      <c r="O2569">
        <v>5</v>
      </c>
      <c r="P2569">
        <v>0.53500000000000003</v>
      </c>
      <c r="Q2569">
        <v>5</v>
      </c>
      <c r="R2569">
        <v>1.2E-2</v>
      </c>
      <c r="T2569" t="s">
        <v>7257</v>
      </c>
    </row>
    <row r="2570" spans="1:20" x14ac:dyDescent="0.2">
      <c r="A2570" t="s">
        <v>7259</v>
      </c>
      <c r="B2570" t="s">
        <v>2022</v>
      </c>
      <c r="C2570" t="s">
        <v>2023</v>
      </c>
      <c r="D2570" t="s">
        <v>2024</v>
      </c>
      <c r="E2570" t="s">
        <v>5817</v>
      </c>
      <c r="F2570" t="s">
        <v>447</v>
      </c>
      <c r="G2570">
        <v>3</v>
      </c>
      <c r="H2570">
        <v>1640</v>
      </c>
      <c r="I2570">
        <v>2</v>
      </c>
      <c r="J2570">
        <v>3.4</v>
      </c>
      <c r="K2570">
        <v>2</v>
      </c>
      <c r="L2570">
        <v>2.5999999999999999E-2</v>
      </c>
      <c r="M2570">
        <v>2</v>
      </c>
      <c r="N2570">
        <v>84</v>
      </c>
      <c r="O2570">
        <v>1</v>
      </c>
      <c r="P2570">
        <v>7.4999999999999997E-2</v>
      </c>
      <c r="Q2570">
        <v>1</v>
      </c>
      <c r="R2570">
        <v>5.0000000000000001E-4</v>
      </c>
      <c r="T2570" t="s">
        <v>5817</v>
      </c>
    </row>
    <row r="2571" spans="1:20" x14ac:dyDescent="0.2">
      <c r="A2571" t="s">
        <v>7260</v>
      </c>
      <c r="B2571" t="s">
        <v>2022</v>
      </c>
      <c r="C2571" t="s">
        <v>2095</v>
      </c>
      <c r="D2571" t="s">
        <v>2024</v>
      </c>
      <c r="E2571" t="s">
        <v>7261</v>
      </c>
      <c r="F2571" t="s">
        <v>7262</v>
      </c>
      <c r="G2571">
        <v>2</v>
      </c>
      <c r="H2571">
        <v>1655</v>
      </c>
      <c r="I2571">
        <v>2</v>
      </c>
      <c r="J2571">
        <v>7.5</v>
      </c>
      <c r="K2571">
        <v>1</v>
      </c>
      <c r="L2571">
        <v>1.4999999999999999E-2</v>
      </c>
      <c r="M2571">
        <v>5</v>
      </c>
      <c r="N2571">
        <v>98</v>
      </c>
      <c r="O2571">
        <v>3</v>
      </c>
      <c r="P2571">
        <v>0.55000000000000004</v>
      </c>
      <c r="Q2571">
        <v>2</v>
      </c>
      <c r="R2571">
        <v>5.8999999999999999E-3</v>
      </c>
      <c r="T2571" t="s">
        <v>7261</v>
      </c>
    </row>
    <row r="2572" spans="1:20" x14ac:dyDescent="0.2">
      <c r="A2572" t="s">
        <v>7263</v>
      </c>
      <c r="B2572" t="s">
        <v>2022</v>
      </c>
      <c r="C2572" t="s">
        <v>2053</v>
      </c>
      <c r="D2572" t="s">
        <v>2024</v>
      </c>
      <c r="E2572" t="s">
        <v>7264</v>
      </c>
      <c r="F2572" t="s">
        <v>7265</v>
      </c>
      <c r="G2572">
        <v>4</v>
      </c>
      <c r="H2572">
        <v>1800</v>
      </c>
      <c r="I2572">
        <v>3</v>
      </c>
      <c r="J2572">
        <v>6.55</v>
      </c>
      <c r="K2572">
        <v>3</v>
      </c>
      <c r="L2572">
        <v>0.19500000000000001</v>
      </c>
      <c r="M2572">
        <v>3</v>
      </c>
      <c r="N2572">
        <v>93</v>
      </c>
      <c r="O2572">
        <v>3</v>
      </c>
      <c r="P2572">
        <v>0.375</v>
      </c>
      <c r="Q2572">
        <v>3</v>
      </c>
      <c r="R2572">
        <v>1.2200000000000001E-2</v>
      </c>
      <c r="T2572" t="s">
        <v>7264</v>
      </c>
    </row>
    <row r="2573" spans="1:20" x14ac:dyDescent="0.2">
      <c r="A2573" t="s">
        <v>7266</v>
      </c>
      <c r="B2573" t="s">
        <v>2022</v>
      </c>
      <c r="C2573" t="s">
        <v>2023</v>
      </c>
      <c r="D2573" t="s">
        <v>2154</v>
      </c>
      <c r="E2573" t="s">
        <v>7267</v>
      </c>
      <c r="F2573" t="s">
        <v>7268</v>
      </c>
      <c r="G2573">
        <v>1</v>
      </c>
      <c r="H2573">
        <v>1480</v>
      </c>
      <c r="I2573">
        <v>2</v>
      </c>
      <c r="J2573">
        <v>3.4</v>
      </c>
      <c r="K2573">
        <v>2</v>
      </c>
      <c r="L2573">
        <v>2.5999999999999999E-2</v>
      </c>
      <c r="M2573">
        <v>1</v>
      </c>
      <c r="N2573">
        <v>74</v>
      </c>
      <c r="O2573">
        <v>1</v>
      </c>
      <c r="P2573">
        <v>7.4999999999999997E-2</v>
      </c>
      <c r="Q2573">
        <v>1</v>
      </c>
      <c r="R2573">
        <v>5.0000000000000001E-4</v>
      </c>
      <c r="T2573" t="s">
        <v>7267</v>
      </c>
    </row>
    <row r="2574" spans="1:20" x14ac:dyDescent="0.2">
      <c r="A2574" t="s">
        <v>7269</v>
      </c>
      <c r="B2574" t="s">
        <v>2022</v>
      </c>
      <c r="C2574" t="s">
        <v>2036</v>
      </c>
      <c r="D2574" t="s">
        <v>2024</v>
      </c>
      <c r="E2574" t="s">
        <v>7270</v>
      </c>
      <c r="F2574" t="s">
        <v>447</v>
      </c>
      <c r="G2574">
        <v>1</v>
      </c>
      <c r="H2574">
        <v>1540</v>
      </c>
      <c r="I2574">
        <v>5</v>
      </c>
      <c r="J2574">
        <v>7</v>
      </c>
      <c r="K2574">
        <v>4</v>
      </c>
      <c r="L2574">
        <v>0.14499999999999999</v>
      </c>
      <c r="M2574">
        <v>1</v>
      </c>
      <c r="N2574">
        <v>76</v>
      </c>
      <c r="O2574">
        <v>3</v>
      </c>
      <c r="P2574">
        <v>0.315</v>
      </c>
      <c r="Q2574">
        <v>3</v>
      </c>
      <c r="R2574">
        <v>6.7499999999999999E-3</v>
      </c>
      <c r="T2574" t="s">
        <v>7270</v>
      </c>
    </row>
    <row r="2575" spans="1:20" x14ac:dyDescent="0.2">
      <c r="A2575" t="s">
        <v>7271</v>
      </c>
      <c r="B2575" t="s">
        <v>2022</v>
      </c>
      <c r="C2575" t="s">
        <v>2028</v>
      </c>
      <c r="D2575" t="s">
        <v>2024</v>
      </c>
      <c r="E2575" t="s">
        <v>7272</v>
      </c>
      <c r="F2575" t="s">
        <v>7273</v>
      </c>
      <c r="G2575">
        <v>5</v>
      </c>
      <c r="H2575">
        <v>1450</v>
      </c>
      <c r="I2575">
        <v>5</v>
      </c>
      <c r="J2575">
        <v>6.65</v>
      </c>
      <c r="K2575">
        <v>5</v>
      </c>
      <c r="L2575">
        <v>0.26700000000000002</v>
      </c>
      <c r="M2575">
        <v>1</v>
      </c>
      <c r="N2575">
        <v>100</v>
      </c>
      <c r="O2575">
        <v>2</v>
      </c>
      <c r="P2575">
        <v>0.45</v>
      </c>
      <c r="Q2575">
        <v>3</v>
      </c>
      <c r="R2575">
        <v>1.6250000000000001E-2</v>
      </c>
      <c r="T2575" t="s">
        <v>7272</v>
      </c>
    </row>
    <row r="2576" spans="1:20" x14ac:dyDescent="0.2">
      <c r="A2576" t="s">
        <v>7274</v>
      </c>
      <c r="B2576" t="s">
        <v>2022</v>
      </c>
      <c r="C2576" t="s">
        <v>2023</v>
      </c>
      <c r="D2576" t="s">
        <v>2024</v>
      </c>
      <c r="E2576" t="s">
        <v>7275</v>
      </c>
      <c r="F2576" t="s">
        <v>7276</v>
      </c>
      <c r="G2576">
        <v>4</v>
      </c>
      <c r="H2576">
        <v>1720</v>
      </c>
      <c r="I2576">
        <v>2</v>
      </c>
      <c r="J2576">
        <v>3.4</v>
      </c>
      <c r="K2576">
        <v>2</v>
      </c>
      <c r="L2576">
        <v>2.5999999999999999E-2</v>
      </c>
      <c r="M2576">
        <v>3</v>
      </c>
      <c r="N2576">
        <v>94</v>
      </c>
      <c r="O2576">
        <v>2</v>
      </c>
      <c r="P2576">
        <v>0.22500000000000001</v>
      </c>
      <c r="Q2576">
        <v>1</v>
      </c>
      <c r="R2576">
        <v>5.0000000000000001E-4</v>
      </c>
      <c r="T2576" t="s">
        <v>7275</v>
      </c>
    </row>
    <row r="2577" spans="1:20" x14ac:dyDescent="0.2">
      <c r="A2577" t="s">
        <v>7277</v>
      </c>
      <c r="B2577" t="s">
        <v>2022</v>
      </c>
      <c r="C2577" t="s">
        <v>2104</v>
      </c>
      <c r="D2577" t="s">
        <v>2024</v>
      </c>
      <c r="E2577" t="s">
        <v>7278</v>
      </c>
      <c r="F2577" t="s">
        <v>7279</v>
      </c>
      <c r="G2577">
        <v>2</v>
      </c>
      <c r="H2577">
        <v>1712.5</v>
      </c>
      <c r="I2577">
        <v>2</v>
      </c>
      <c r="J2577">
        <v>3.25</v>
      </c>
      <c r="K2577">
        <v>4</v>
      </c>
      <c r="L2577">
        <v>0.14099999999999999</v>
      </c>
      <c r="M2577">
        <v>4</v>
      </c>
      <c r="N2577">
        <v>81</v>
      </c>
      <c r="P2577">
        <v>0</v>
      </c>
      <c r="Q2577">
        <v>3</v>
      </c>
      <c r="R2577">
        <v>8.2000000000000007E-3</v>
      </c>
      <c r="T2577" t="s">
        <v>7278</v>
      </c>
    </row>
    <row r="2578" spans="1:20" x14ac:dyDescent="0.2">
      <c r="A2578" t="s">
        <v>7280</v>
      </c>
      <c r="B2578" t="s">
        <v>2022</v>
      </c>
      <c r="C2578" t="s">
        <v>2036</v>
      </c>
      <c r="D2578" t="s">
        <v>2024</v>
      </c>
      <c r="E2578" t="s">
        <v>7278</v>
      </c>
      <c r="F2578" t="s">
        <v>7279</v>
      </c>
      <c r="G2578">
        <v>2</v>
      </c>
      <c r="H2578">
        <v>1640</v>
      </c>
      <c r="I2578">
        <v>5</v>
      </c>
      <c r="J2578">
        <v>7</v>
      </c>
      <c r="K2578">
        <v>5</v>
      </c>
      <c r="L2578">
        <v>0.17499999999999999</v>
      </c>
      <c r="M2578">
        <v>5</v>
      </c>
      <c r="N2578">
        <v>100</v>
      </c>
      <c r="O2578">
        <v>4</v>
      </c>
      <c r="P2578">
        <v>0.42499999999999999</v>
      </c>
      <c r="Q2578">
        <v>5</v>
      </c>
      <c r="R2578">
        <v>1.2E-2</v>
      </c>
      <c r="T2578" t="s">
        <v>7278</v>
      </c>
    </row>
    <row r="2579" spans="1:20" x14ac:dyDescent="0.2">
      <c r="A2579" t="s">
        <v>7281</v>
      </c>
      <c r="B2579" t="s">
        <v>2022</v>
      </c>
      <c r="C2579" t="s">
        <v>2023</v>
      </c>
      <c r="D2579" t="s">
        <v>2024</v>
      </c>
      <c r="E2579" t="s">
        <v>357</v>
      </c>
      <c r="F2579" t="s">
        <v>7282</v>
      </c>
      <c r="G2579">
        <v>1</v>
      </c>
      <c r="H2579">
        <v>1480</v>
      </c>
      <c r="I2579">
        <v>1</v>
      </c>
      <c r="J2579">
        <v>0.9</v>
      </c>
      <c r="K2579">
        <v>2</v>
      </c>
      <c r="L2579">
        <v>2.5999999999999999E-2</v>
      </c>
      <c r="M2579">
        <v>1</v>
      </c>
      <c r="N2579">
        <v>74</v>
      </c>
      <c r="O2579">
        <v>1</v>
      </c>
      <c r="P2579">
        <v>7.4999999999999997E-2</v>
      </c>
      <c r="Q2579">
        <v>1</v>
      </c>
      <c r="R2579">
        <v>5.0000000000000001E-4</v>
      </c>
      <c r="T2579" t="s">
        <v>357</v>
      </c>
    </row>
    <row r="2580" spans="1:20" x14ac:dyDescent="0.2">
      <c r="A2580" t="s">
        <v>7283</v>
      </c>
      <c r="B2580" t="s">
        <v>2022</v>
      </c>
      <c r="C2580" t="s">
        <v>2023</v>
      </c>
      <c r="D2580" t="s">
        <v>2024</v>
      </c>
      <c r="E2580" t="s">
        <v>7284</v>
      </c>
      <c r="F2580" t="s">
        <v>7285</v>
      </c>
      <c r="G2580">
        <v>4</v>
      </c>
      <c r="H2580">
        <v>1720</v>
      </c>
      <c r="I2580">
        <v>5</v>
      </c>
      <c r="J2580">
        <v>10.9</v>
      </c>
      <c r="K2580">
        <v>5</v>
      </c>
      <c r="L2580">
        <v>8.5999999999999993E-2</v>
      </c>
      <c r="M2580">
        <v>2</v>
      </c>
      <c r="N2580">
        <v>84</v>
      </c>
      <c r="O2580">
        <v>5</v>
      </c>
      <c r="P2580">
        <v>0.67500000000000004</v>
      </c>
      <c r="Q2580">
        <v>5</v>
      </c>
      <c r="R2580">
        <v>8.0000000000000002E-3</v>
      </c>
      <c r="T2580" t="s">
        <v>7284</v>
      </c>
    </row>
    <row r="2581" spans="1:20" x14ac:dyDescent="0.2">
      <c r="A2581" t="s">
        <v>7286</v>
      </c>
      <c r="B2581" t="s">
        <v>2022</v>
      </c>
      <c r="C2581" t="s">
        <v>2036</v>
      </c>
      <c r="D2581" t="s">
        <v>2024</v>
      </c>
      <c r="E2581" t="s">
        <v>7287</v>
      </c>
      <c r="F2581" t="s">
        <v>7288</v>
      </c>
      <c r="G2581">
        <v>4</v>
      </c>
      <c r="H2581">
        <v>1840</v>
      </c>
      <c r="I2581">
        <v>3</v>
      </c>
      <c r="J2581">
        <v>4.5999999999999996</v>
      </c>
      <c r="K2581">
        <v>3</v>
      </c>
      <c r="L2581">
        <v>0.115</v>
      </c>
      <c r="M2581">
        <v>3</v>
      </c>
      <c r="N2581">
        <v>88</v>
      </c>
      <c r="O2581">
        <v>2</v>
      </c>
      <c r="P2581">
        <v>0.20499999999999999</v>
      </c>
      <c r="Q2581">
        <v>3</v>
      </c>
      <c r="R2581">
        <v>6.7499999999999999E-3</v>
      </c>
      <c r="T2581" t="s">
        <v>7287</v>
      </c>
    </row>
    <row r="2582" spans="1:20" x14ac:dyDescent="0.2">
      <c r="A2582" t="s">
        <v>7289</v>
      </c>
      <c r="B2582" t="s">
        <v>2022</v>
      </c>
      <c r="C2582" t="s">
        <v>2053</v>
      </c>
      <c r="D2582" t="s">
        <v>2024</v>
      </c>
      <c r="E2582" t="s">
        <v>7290</v>
      </c>
      <c r="F2582" t="s">
        <v>7291</v>
      </c>
      <c r="G2582">
        <v>5</v>
      </c>
      <c r="H2582">
        <v>1900</v>
      </c>
      <c r="I2582">
        <v>4</v>
      </c>
      <c r="J2582">
        <v>9.0500000000000007</v>
      </c>
      <c r="K2582">
        <v>3</v>
      </c>
      <c r="L2582">
        <v>0.19500000000000001</v>
      </c>
      <c r="M2582">
        <v>1</v>
      </c>
      <c r="N2582">
        <v>73</v>
      </c>
      <c r="O2582">
        <v>3</v>
      </c>
      <c r="P2582">
        <v>0.375</v>
      </c>
      <c r="Q2582">
        <v>3</v>
      </c>
      <c r="R2582">
        <v>1.2200000000000001E-2</v>
      </c>
      <c r="T2582" t="s">
        <v>7290</v>
      </c>
    </row>
    <row r="2583" spans="1:20" x14ac:dyDescent="0.2">
      <c r="A2583" t="s">
        <v>7292</v>
      </c>
      <c r="B2583" t="s">
        <v>2022</v>
      </c>
      <c r="C2583" t="s">
        <v>2095</v>
      </c>
      <c r="D2583" t="s">
        <v>2024</v>
      </c>
      <c r="E2583" t="s">
        <v>7293</v>
      </c>
      <c r="F2583" t="s">
        <v>7294</v>
      </c>
      <c r="G2583">
        <v>3</v>
      </c>
      <c r="H2583">
        <v>1745</v>
      </c>
      <c r="I2583">
        <v>4</v>
      </c>
      <c r="J2583">
        <v>13.5</v>
      </c>
      <c r="K2583">
        <v>4</v>
      </c>
      <c r="L2583">
        <v>0.53</v>
      </c>
      <c r="M2583">
        <v>2</v>
      </c>
      <c r="N2583">
        <v>80</v>
      </c>
      <c r="O2583">
        <v>4</v>
      </c>
      <c r="P2583">
        <v>0.75</v>
      </c>
      <c r="Q2583">
        <v>4</v>
      </c>
      <c r="R2583">
        <v>2.3900000000000001E-2</v>
      </c>
      <c r="T2583" t="s">
        <v>7293</v>
      </c>
    </row>
    <row r="2584" spans="1:20" x14ac:dyDescent="0.2">
      <c r="A2584" t="s">
        <v>7295</v>
      </c>
      <c r="B2584" t="s">
        <v>2022</v>
      </c>
      <c r="C2584" t="s">
        <v>2104</v>
      </c>
      <c r="D2584" t="s">
        <v>2024</v>
      </c>
      <c r="E2584" t="s">
        <v>239</v>
      </c>
      <c r="F2584" t="s">
        <v>7296</v>
      </c>
      <c r="G2584">
        <v>3</v>
      </c>
      <c r="H2584">
        <v>1887.5</v>
      </c>
      <c r="I2584">
        <v>5</v>
      </c>
      <c r="J2584">
        <v>10.15</v>
      </c>
      <c r="K2584">
        <v>5</v>
      </c>
      <c r="L2584">
        <v>0.191</v>
      </c>
      <c r="M2584">
        <v>4</v>
      </c>
      <c r="N2584">
        <v>81</v>
      </c>
      <c r="P2584">
        <v>0</v>
      </c>
      <c r="Q2584">
        <v>5</v>
      </c>
      <c r="R2584">
        <v>1.8200000000000001E-2</v>
      </c>
      <c r="T2584" t="s">
        <v>239</v>
      </c>
    </row>
    <row r="2585" spans="1:20" x14ac:dyDescent="0.2">
      <c r="A2585" t="s">
        <v>7297</v>
      </c>
      <c r="B2585" t="s">
        <v>2022</v>
      </c>
      <c r="C2585" t="s">
        <v>2036</v>
      </c>
      <c r="D2585" t="s">
        <v>2024</v>
      </c>
      <c r="E2585" t="s">
        <v>7298</v>
      </c>
      <c r="F2585" t="s">
        <v>7299</v>
      </c>
      <c r="G2585">
        <v>1</v>
      </c>
      <c r="H2585">
        <v>1540</v>
      </c>
      <c r="I2585">
        <v>2</v>
      </c>
      <c r="J2585">
        <v>3.4</v>
      </c>
      <c r="K2585">
        <v>1</v>
      </c>
      <c r="L2585">
        <v>5.5E-2</v>
      </c>
      <c r="M2585">
        <v>1</v>
      </c>
      <c r="N2585">
        <v>76</v>
      </c>
      <c r="O2585">
        <v>1</v>
      </c>
      <c r="P2585">
        <v>9.5000000000000001E-2</v>
      </c>
      <c r="Q2585">
        <v>1</v>
      </c>
      <c r="R2585">
        <v>1.5E-3</v>
      </c>
      <c r="T2585" t="s">
        <v>7298</v>
      </c>
    </row>
    <row r="2586" spans="1:20" x14ac:dyDescent="0.2">
      <c r="A2586" t="s">
        <v>7300</v>
      </c>
      <c r="B2586" t="s">
        <v>2022</v>
      </c>
      <c r="C2586" t="s">
        <v>2222</v>
      </c>
      <c r="D2586" t="s">
        <v>2024</v>
      </c>
      <c r="E2586" t="s">
        <v>7301</v>
      </c>
      <c r="F2586" t="s">
        <v>7302</v>
      </c>
      <c r="G2586">
        <v>3</v>
      </c>
      <c r="H2586">
        <v>1650</v>
      </c>
      <c r="I2586">
        <v>1</v>
      </c>
      <c r="J2586">
        <v>2.2999999999999998</v>
      </c>
      <c r="K2586">
        <v>2</v>
      </c>
      <c r="L2586">
        <v>5.5E-2</v>
      </c>
      <c r="M2586">
        <v>2</v>
      </c>
      <c r="N2586">
        <v>63</v>
      </c>
      <c r="O2586">
        <v>2</v>
      </c>
      <c r="P2586">
        <v>0.15</v>
      </c>
      <c r="Q2586">
        <v>2</v>
      </c>
      <c r="R2586">
        <v>2.3E-3</v>
      </c>
      <c r="T2586" t="s">
        <v>7301</v>
      </c>
    </row>
    <row r="2587" spans="1:20" x14ac:dyDescent="0.2">
      <c r="A2587" t="s">
        <v>7303</v>
      </c>
      <c r="B2587" t="s">
        <v>2022</v>
      </c>
      <c r="C2587" t="s">
        <v>2222</v>
      </c>
      <c r="D2587" t="s">
        <v>2024</v>
      </c>
      <c r="E2587" t="s">
        <v>7304</v>
      </c>
      <c r="F2587" t="s">
        <v>7305</v>
      </c>
      <c r="G2587">
        <v>1</v>
      </c>
      <c r="H2587">
        <v>1450</v>
      </c>
      <c r="I2587">
        <v>2</v>
      </c>
      <c r="J2587">
        <v>3.9</v>
      </c>
      <c r="K2587">
        <v>4</v>
      </c>
      <c r="L2587">
        <v>0.19500000000000001</v>
      </c>
      <c r="M2587">
        <v>2</v>
      </c>
      <c r="N2587">
        <v>63</v>
      </c>
      <c r="O2587">
        <v>2</v>
      </c>
      <c r="P2587">
        <v>0.15</v>
      </c>
      <c r="Q2587">
        <v>4</v>
      </c>
      <c r="R2587">
        <v>8.3000000000000001E-3</v>
      </c>
      <c r="T2587" t="s">
        <v>7304</v>
      </c>
    </row>
    <row r="2588" spans="1:20" x14ac:dyDescent="0.2">
      <c r="A2588" t="s">
        <v>7306</v>
      </c>
      <c r="B2588" t="s">
        <v>2022</v>
      </c>
      <c r="C2588" t="s">
        <v>2036</v>
      </c>
      <c r="D2588" t="s">
        <v>2154</v>
      </c>
      <c r="E2588" t="s">
        <v>7307</v>
      </c>
      <c r="F2588" t="s">
        <v>7308</v>
      </c>
      <c r="G2588">
        <v>1</v>
      </c>
      <c r="H2588">
        <v>1540</v>
      </c>
      <c r="I2588">
        <v>3</v>
      </c>
      <c r="J2588">
        <v>4.5999999999999996</v>
      </c>
      <c r="K2588">
        <v>5</v>
      </c>
      <c r="L2588">
        <v>0.17499999999999999</v>
      </c>
      <c r="M2588">
        <v>3</v>
      </c>
      <c r="N2588">
        <v>88</v>
      </c>
      <c r="O2588">
        <v>3</v>
      </c>
      <c r="P2588">
        <v>0.315</v>
      </c>
      <c r="Q2588">
        <v>5</v>
      </c>
      <c r="R2588">
        <v>1.2E-2</v>
      </c>
      <c r="T2588" t="s">
        <v>7307</v>
      </c>
    </row>
    <row r="2589" spans="1:20" x14ac:dyDescent="0.2">
      <c r="A2589" t="s">
        <v>7309</v>
      </c>
      <c r="B2589" t="s">
        <v>2022</v>
      </c>
      <c r="C2589" t="s">
        <v>2053</v>
      </c>
      <c r="D2589" t="s">
        <v>2154</v>
      </c>
      <c r="E2589" t="s">
        <v>7310</v>
      </c>
      <c r="F2589" t="s">
        <v>7311</v>
      </c>
      <c r="G2589">
        <v>1</v>
      </c>
      <c r="H2589">
        <v>1500</v>
      </c>
      <c r="I2589">
        <v>1</v>
      </c>
      <c r="J2589">
        <v>1.55</v>
      </c>
      <c r="K2589">
        <v>2</v>
      </c>
      <c r="L2589">
        <v>8.5000000000000006E-2</v>
      </c>
      <c r="M2589">
        <v>2</v>
      </c>
      <c r="N2589">
        <v>83</v>
      </c>
      <c r="O2589">
        <v>1</v>
      </c>
      <c r="P2589">
        <v>7.4999999999999997E-2</v>
      </c>
      <c r="Q2589">
        <v>2</v>
      </c>
      <c r="R2589">
        <v>5.1999999999999998E-3</v>
      </c>
      <c r="T2589" t="s">
        <v>7310</v>
      </c>
    </row>
    <row r="2590" spans="1:20" x14ac:dyDescent="0.2">
      <c r="A2590" t="s">
        <v>7312</v>
      </c>
      <c r="B2590" t="s">
        <v>2022</v>
      </c>
      <c r="C2590" t="s">
        <v>2053</v>
      </c>
      <c r="D2590" t="s">
        <v>2024</v>
      </c>
      <c r="E2590" t="s">
        <v>7313</v>
      </c>
      <c r="F2590" t="s">
        <v>447</v>
      </c>
      <c r="G2590">
        <v>2</v>
      </c>
      <c r="H2590">
        <v>1600</v>
      </c>
      <c r="I2590">
        <v>2</v>
      </c>
      <c r="J2590">
        <v>4.05</v>
      </c>
      <c r="K2590">
        <v>3</v>
      </c>
      <c r="L2590">
        <v>0.19500000000000001</v>
      </c>
      <c r="M2590">
        <v>1</v>
      </c>
      <c r="N2590">
        <v>73</v>
      </c>
      <c r="O2590">
        <v>2</v>
      </c>
      <c r="P2590">
        <v>0.22500000000000001</v>
      </c>
      <c r="Q2590">
        <v>2</v>
      </c>
      <c r="R2590">
        <v>5.1999999999999998E-3</v>
      </c>
      <c r="T2590" t="s">
        <v>7313</v>
      </c>
    </row>
    <row r="2591" spans="1:20" x14ac:dyDescent="0.2">
      <c r="A2591" t="s">
        <v>7314</v>
      </c>
      <c r="B2591" t="s">
        <v>2022</v>
      </c>
      <c r="C2591" t="s">
        <v>2036</v>
      </c>
      <c r="D2591" t="s">
        <v>2024</v>
      </c>
      <c r="E2591" t="s">
        <v>7315</v>
      </c>
      <c r="F2591" t="s">
        <v>7316</v>
      </c>
      <c r="G2591">
        <v>3</v>
      </c>
      <c r="H2591">
        <v>1740</v>
      </c>
      <c r="I2591">
        <v>3</v>
      </c>
      <c r="J2591">
        <v>4.5999999999999996</v>
      </c>
      <c r="K2591">
        <v>3</v>
      </c>
      <c r="L2591">
        <v>0.115</v>
      </c>
      <c r="M2591">
        <v>3</v>
      </c>
      <c r="N2591">
        <v>88</v>
      </c>
      <c r="O2591">
        <v>2</v>
      </c>
      <c r="P2591">
        <v>0.20499999999999999</v>
      </c>
      <c r="Q2591">
        <v>2</v>
      </c>
      <c r="R2591">
        <v>4.2500000000000003E-3</v>
      </c>
      <c r="T2591" t="s">
        <v>7315</v>
      </c>
    </row>
    <row r="2592" spans="1:20" x14ac:dyDescent="0.2">
      <c r="A2592" t="s">
        <v>7317</v>
      </c>
      <c r="B2592" t="s">
        <v>2022</v>
      </c>
      <c r="C2592" t="s">
        <v>2101</v>
      </c>
      <c r="D2592" t="s">
        <v>2024</v>
      </c>
      <c r="E2592" t="s">
        <v>7318</v>
      </c>
      <c r="F2592" t="s">
        <v>7319</v>
      </c>
      <c r="G2592">
        <v>3</v>
      </c>
      <c r="H2592">
        <v>1770</v>
      </c>
      <c r="I2592">
        <v>5</v>
      </c>
      <c r="J2592">
        <v>14</v>
      </c>
      <c r="K2592">
        <v>5</v>
      </c>
      <c r="L2592">
        <v>0.53749999999999998</v>
      </c>
      <c r="M2592">
        <v>2</v>
      </c>
      <c r="N2592">
        <v>74</v>
      </c>
      <c r="O2592">
        <v>5</v>
      </c>
      <c r="P2592">
        <v>0.67500000000000004</v>
      </c>
      <c r="Q2592">
        <v>5</v>
      </c>
      <c r="R2592">
        <v>2.5499999999999998E-2</v>
      </c>
      <c r="T2592" t="s">
        <v>7318</v>
      </c>
    </row>
    <row r="2593" spans="1:20" x14ac:dyDescent="0.2">
      <c r="A2593" t="s">
        <v>7320</v>
      </c>
      <c r="B2593" t="s">
        <v>2022</v>
      </c>
      <c r="C2593" t="s">
        <v>2023</v>
      </c>
      <c r="D2593" t="s">
        <v>2024</v>
      </c>
      <c r="E2593" t="s">
        <v>7321</v>
      </c>
      <c r="F2593" t="s">
        <v>7322</v>
      </c>
      <c r="G2593">
        <v>3</v>
      </c>
      <c r="H2593">
        <v>1640</v>
      </c>
      <c r="I2593">
        <v>2</v>
      </c>
      <c r="J2593">
        <v>3.4</v>
      </c>
      <c r="K2593">
        <v>3</v>
      </c>
      <c r="L2593">
        <v>4.5999999999999999E-2</v>
      </c>
      <c r="M2593">
        <v>1</v>
      </c>
      <c r="N2593">
        <v>74</v>
      </c>
      <c r="O2593">
        <v>2</v>
      </c>
      <c r="P2593">
        <v>0.22500000000000001</v>
      </c>
      <c r="Q2593">
        <v>2</v>
      </c>
      <c r="R2593">
        <v>2E-3</v>
      </c>
      <c r="T2593" t="s">
        <v>7321</v>
      </c>
    </row>
    <row r="2594" spans="1:20" x14ac:dyDescent="0.2">
      <c r="A2594" t="s">
        <v>7323</v>
      </c>
      <c r="B2594" t="s">
        <v>2022</v>
      </c>
      <c r="C2594" t="s">
        <v>2036</v>
      </c>
      <c r="D2594" t="s">
        <v>2024</v>
      </c>
      <c r="E2594" t="s">
        <v>7324</v>
      </c>
      <c r="F2594" t="s">
        <v>7325</v>
      </c>
      <c r="G2594">
        <v>4</v>
      </c>
      <c r="H2594">
        <v>1840</v>
      </c>
      <c r="I2594">
        <v>3</v>
      </c>
      <c r="J2594">
        <v>4.5999999999999996</v>
      </c>
      <c r="K2594">
        <v>1</v>
      </c>
      <c r="L2594">
        <v>5.5E-2</v>
      </c>
      <c r="M2594">
        <v>4</v>
      </c>
      <c r="N2594">
        <v>94</v>
      </c>
      <c r="O2594">
        <v>2</v>
      </c>
      <c r="P2594">
        <v>0.20499999999999999</v>
      </c>
      <c r="Q2594">
        <v>1</v>
      </c>
      <c r="R2594">
        <v>1.5E-3</v>
      </c>
      <c r="T2594" t="s">
        <v>7324</v>
      </c>
    </row>
    <row r="2595" spans="1:20" x14ac:dyDescent="0.2">
      <c r="A2595" t="s">
        <v>7326</v>
      </c>
      <c r="B2595" t="s">
        <v>2022</v>
      </c>
      <c r="C2595" t="s">
        <v>2053</v>
      </c>
      <c r="D2595" t="s">
        <v>2024</v>
      </c>
      <c r="E2595" t="s">
        <v>7327</v>
      </c>
      <c r="F2595" t="s">
        <v>7328</v>
      </c>
      <c r="G2595">
        <v>1</v>
      </c>
      <c r="H2595">
        <v>1500</v>
      </c>
      <c r="I2595">
        <v>1</v>
      </c>
      <c r="J2595">
        <v>1.55</v>
      </c>
      <c r="K2595">
        <v>1</v>
      </c>
      <c r="L2595">
        <v>1.4999999999999999E-2</v>
      </c>
      <c r="M2595">
        <v>1</v>
      </c>
      <c r="N2595">
        <v>73</v>
      </c>
      <c r="O2595">
        <v>1</v>
      </c>
      <c r="P2595">
        <v>7.4999999999999997E-2</v>
      </c>
      <c r="Q2595">
        <v>1</v>
      </c>
      <c r="R2595">
        <v>8.4999999999999995E-4</v>
      </c>
      <c r="T2595" t="s">
        <v>7327</v>
      </c>
    </row>
    <row r="2596" spans="1:20" x14ac:dyDescent="0.2">
      <c r="A2596" t="s">
        <v>7329</v>
      </c>
      <c r="B2596" t="s">
        <v>2022</v>
      </c>
      <c r="C2596" t="s">
        <v>2222</v>
      </c>
      <c r="D2596" t="s">
        <v>2024</v>
      </c>
      <c r="E2596" t="s">
        <v>7330</v>
      </c>
      <c r="F2596" t="s">
        <v>7331</v>
      </c>
      <c r="G2596">
        <v>3</v>
      </c>
      <c r="H2596">
        <v>1650</v>
      </c>
      <c r="I2596">
        <v>3</v>
      </c>
      <c r="J2596">
        <v>5.5</v>
      </c>
      <c r="K2596">
        <v>4</v>
      </c>
      <c r="L2596">
        <v>0.19500000000000001</v>
      </c>
      <c r="M2596">
        <v>3</v>
      </c>
      <c r="N2596">
        <v>67</v>
      </c>
      <c r="O2596">
        <v>3</v>
      </c>
      <c r="P2596">
        <v>0.23</v>
      </c>
      <c r="Q2596">
        <v>4</v>
      </c>
      <c r="R2596">
        <v>8.3000000000000001E-3</v>
      </c>
      <c r="T2596" t="s">
        <v>7330</v>
      </c>
    </row>
    <row r="2597" spans="1:20" x14ac:dyDescent="0.2">
      <c r="A2597" t="s">
        <v>7332</v>
      </c>
      <c r="B2597" t="s">
        <v>2022</v>
      </c>
      <c r="C2597" t="s">
        <v>2036</v>
      </c>
      <c r="D2597" t="s">
        <v>2024</v>
      </c>
      <c r="E2597" t="s">
        <v>7333</v>
      </c>
      <c r="F2597" t="s">
        <v>7334</v>
      </c>
      <c r="G2597">
        <v>2</v>
      </c>
      <c r="H2597">
        <v>1640</v>
      </c>
      <c r="I2597">
        <v>3</v>
      </c>
      <c r="J2597">
        <v>4.5999999999999996</v>
      </c>
      <c r="K2597">
        <v>3</v>
      </c>
      <c r="L2597">
        <v>0.115</v>
      </c>
      <c r="M2597">
        <v>3</v>
      </c>
      <c r="N2597">
        <v>88</v>
      </c>
      <c r="O2597">
        <v>3</v>
      </c>
      <c r="P2597">
        <v>0.315</v>
      </c>
      <c r="Q2597">
        <v>3</v>
      </c>
      <c r="R2597">
        <v>6.7499999999999999E-3</v>
      </c>
      <c r="T2597" t="s">
        <v>7333</v>
      </c>
    </row>
    <row r="2598" spans="1:20" x14ac:dyDescent="0.2">
      <c r="A2598" t="s">
        <v>7335</v>
      </c>
      <c r="B2598" t="s">
        <v>2022</v>
      </c>
      <c r="C2598" t="s">
        <v>2036</v>
      </c>
      <c r="D2598" t="s">
        <v>2024</v>
      </c>
      <c r="E2598" t="s">
        <v>7336</v>
      </c>
      <c r="F2598" t="s">
        <v>7337</v>
      </c>
      <c r="G2598">
        <v>4</v>
      </c>
      <c r="H2598">
        <v>1840</v>
      </c>
      <c r="I2598">
        <v>2</v>
      </c>
      <c r="J2598">
        <v>3.4</v>
      </c>
      <c r="K2598">
        <v>4</v>
      </c>
      <c r="L2598">
        <v>0.14499999999999999</v>
      </c>
      <c r="M2598">
        <v>5</v>
      </c>
      <c r="N2598">
        <v>100</v>
      </c>
      <c r="O2598">
        <v>2</v>
      </c>
      <c r="P2598">
        <v>0.20499999999999999</v>
      </c>
      <c r="Q2598">
        <v>4</v>
      </c>
      <c r="R2598">
        <v>9.2499999999999995E-3</v>
      </c>
      <c r="T2598" t="s">
        <v>7336</v>
      </c>
    </row>
    <row r="2599" spans="1:20" x14ac:dyDescent="0.2">
      <c r="A2599" t="s">
        <v>7338</v>
      </c>
      <c r="B2599" t="s">
        <v>2022</v>
      </c>
      <c r="C2599" t="s">
        <v>2036</v>
      </c>
      <c r="D2599" t="s">
        <v>2024</v>
      </c>
      <c r="E2599" t="s">
        <v>7339</v>
      </c>
      <c r="F2599" t="s">
        <v>7340</v>
      </c>
      <c r="G2599">
        <v>1</v>
      </c>
      <c r="H2599">
        <v>1540</v>
      </c>
      <c r="I2599">
        <v>5</v>
      </c>
      <c r="J2599">
        <v>7</v>
      </c>
      <c r="K2599">
        <v>5</v>
      </c>
      <c r="L2599">
        <v>0.17499999999999999</v>
      </c>
      <c r="M2599">
        <v>2</v>
      </c>
      <c r="N2599">
        <v>82</v>
      </c>
      <c r="O2599">
        <v>4</v>
      </c>
      <c r="P2599">
        <v>0.42499999999999999</v>
      </c>
      <c r="Q2599">
        <v>5</v>
      </c>
      <c r="R2599">
        <v>1.2E-2</v>
      </c>
      <c r="T2599" t="s">
        <v>7339</v>
      </c>
    </row>
    <row r="2600" spans="1:20" x14ac:dyDescent="0.2">
      <c r="A2600" t="s">
        <v>7341</v>
      </c>
      <c r="B2600" t="s">
        <v>2022</v>
      </c>
      <c r="C2600" t="s">
        <v>2023</v>
      </c>
      <c r="D2600" t="s">
        <v>2024</v>
      </c>
      <c r="E2600" t="s">
        <v>7342</v>
      </c>
      <c r="F2600" t="s">
        <v>7343</v>
      </c>
      <c r="G2600">
        <v>3</v>
      </c>
      <c r="H2600">
        <v>1640</v>
      </c>
      <c r="I2600">
        <v>5</v>
      </c>
      <c r="J2600">
        <v>10.9</v>
      </c>
      <c r="K2600">
        <v>3</v>
      </c>
      <c r="L2600">
        <v>4.5999999999999999E-2</v>
      </c>
      <c r="M2600">
        <v>3</v>
      </c>
      <c r="N2600">
        <v>94</v>
      </c>
      <c r="O2600">
        <v>5</v>
      </c>
      <c r="P2600">
        <v>0.67500000000000004</v>
      </c>
      <c r="Q2600">
        <v>3</v>
      </c>
      <c r="R2600">
        <v>4.0000000000000001E-3</v>
      </c>
      <c r="T2600" t="s">
        <v>7342</v>
      </c>
    </row>
    <row r="2601" spans="1:20" x14ac:dyDescent="0.2">
      <c r="A2601" t="s">
        <v>7344</v>
      </c>
      <c r="B2601" t="s">
        <v>2022</v>
      </c>
      <c r="C2601" t="s">
        <v>2101</v>
      </c>
      <c r="D2601" t="s">
        <v>2024</v>
      </c>
      <c r="E2601" t="s">
        <v>7345</v>
      </c>
      <c r="F2601" t="s">
        <v>447</v>
      </c>
      <c r="G2601">
        <v>4</v>
      </c>
      <c r="H2601">
        <v>1870</v>
      </c>
      <c r="I2601">
        <v>2</v>
      </c>
      <c r="J2601">
        <v>5</v>
      </c>
      <c r="K2601">
        <v>2</v>
      </c>
      <c r="L2601">
        <v>9.6500000000000002E-2</v>
      </c>
      <c r="M2601">
        <v>2</v>
      </c>
      <c r="N2601">
        <v>74</v>
      </c>
      <c r="O2601">
        <v>2</v>
      </c>
      <c r="P2601">
        <v>0.22500000000000001</v>
      </c>
      <c r="Q2601">
        <v>2</v>
      </c>
      <c r="R2601">
        <v>4.4999999999999997E-3</v>
      </c>
      <c r="T2601" t="s">
        <v>7345</v>
      </c>
    </row>
    <row r="2602" spans="1:20" x14ac:dyDescent="0.2">
      <c r="A2602" t="s">
        <v>7346</v>
      </c>
      <c r="B2602" t="s">
        <v>2022</v>
      </c>
      <c r="C2602" t="s">
        <v>2101</v>
      </c>
      <c r="D2602" t="s">
        <v>2024</v>
      </c>
      <c r="E2602" t="s">
        <v>7345</v>
      </c>
      <c r="F2602" t="s">
        <v>447</v>
      </c>
      <c r="G2602">
        <v>5</v>
      </c>
      <c r="H2602">
        <v>1970</v>
      </c>
      <c r="I2602">
        <v>4</v>
      </c>
      <c r="J2602">
        <v>11</v>
      </c>
      <c r="K2602">
        <v>2</v>
      </c>
      <c r="L2602">
        <v>9.6500000000000002E-2</v>
      </c>
      <c r="M2602">
        <v>3</v>
      </c>
      <c r="N2602">
        <v>82</v>
      </c>
      <c r="O2602">
        <v>3</v>
      </c>
      <c r="P2602">
        <v>0.375</v>
      </c>
      <c r="Q2602">
        <v>2</v>
      </c>
      <c r="R2602">
        <v>4.4999999999999997E-3</v>
      </c>
      <c r="T2602" t="s">
        <v>7345</v>
      </c>
    </row>
    <row r="2603" spans="1:20" x14ac:dyDescent="0.2">
      <c r="A2603" t="s">
        <v>7347</v>
      </c>
      <c r="B2603" t="s">
        <v>2022</v>
      </c>
      <c r="C2603" t="s">
        <v>2036</v>
      </c>
      <c r="D2603" t="s">
        <v>2024</v>
      </c>
      <c r="E2603" t="s">
        <v>7348</v>
      </c>
      <c r="F2603" t="s">
        <v>7349</v>
      </c>
      <c r="G2603">
        <v>2</v>
      </c>
      <c r="H2603">
        <v>1640</v>
      </c>
      <c r="I2603">
        <v>3</v>
      </c>
      <c r="J2603">
        <v>4.5999999999999996</v>
      </c>
      <c r="K2603">
        <v>3</v>
      </c>
      <c r="L2603">
        <v>0.115</v>
      </c>
      <c r="M2603">
        <v>3</v>
      </c>
      <c r="N2603">
        <v>88</v>
      </c>
      <c r="O2603">
        <v>3</v>
      </c>
      <c r="P2603">
        <v>0.315</v>
      </c>
      <c r="Q2603">
        <v>3</v>
      </c>
      <c r="R2603">
        <v>6.7499999999999999E-3</v>
      </c>
      <c r="T2603" t="s">
        <v>7348</v>
      </c>
    </row>
    <row r="2604" spans="1:20" x14ac:dyDescent="0.2">
      <c r="A2604" t="s">
        <v>7350</v>
      </c>
      <c r="B2604" t="s">
        <v>2022</v>
      </c>
      <c r="C2604" t="s">
        <v>2036</v>
      </c>
      <c r="D2604" t="s">
        <v>2024</v>
      </c>
      <c r="E2604" t="s">
        <v>7351</v>
      </c>
      <c r="F2604" t="s">
        <v>7352</v>
      </c>
      <c r="G2604">
        <v>1</v>
      </c>
      <c r="H2604">
        <v>1540</v>
      </c>
      <c r="I2604">
        <v>2</v>
      </c>
      <c r="J2604">
        <v>3.4</v>
      </c>
      <c r="K2604">
        <v>3</v>
      </c>
      <c r="L2604">
        <v>0.115</v>
      </c>
      <c r="M2604">
        <v>1</v>
      </c>
      <c r="N2604">
        <v>76</v>
      </c>
      <c r="O2604">
        <v>2</v>
      </c>
      <c r="P2604">
        <v>0.20499999999999999</v>
      </c>
      <c r="Q2604">
        <v>2</v>
      </c>
      <c r="R2604">
        <v>4.2500000000000003E-3</v>
      </c>
      <c r="T2604" t="s">
        <v>7351</v>
      </c>
    </row>
    <row r="2605" spans="1:20" x14ac:dyDescent="0.2">
      <c r="A2605" t="s">
        <v>7353</v>
      </c>
      <c r="B2605" t="s">
        <v>2022</v>
      </c>
      <c r="C2605" t="s">
        <v>2095</v>
      </c>
      <c r="D2605" t="s">
        <v>2024</v>
      </c>
      <c r="E2605" t="s">
        <v>7354</v>
      </c>
      <c r="F2605" t="s">
        <v>7355</v>
      </c>
      <c r="G2605">
        <v>3</v>
      </c>
      <c r="H2605">
        <v>1745</v>
      </c>
      <c r="I2605">
        <v>1</v>
      </c>
      <c r="J2605">
        <v>4.5</v>
      </c>
      <c r="K2605">
        <v>2</v>
      </c>
      <c r="L2605">
        <v>0.13</v>
      </c>
      <c r="M2605">
        <v>2</v>
      </c>
      <c r="N2605">
        <v>80</v>
      </c>
      <c r="O2605">
        <v>2</v>
      </c>
      <c r="P2605">
        <v>0.35</v>
      </c>
      <c r="Q2605">
        <v>2</v>
      </c>
      <c r="R2605">
        <v>5.8999999999999999E-3</v>
      </c>
      <c r="T2605" t="s">
        <v>7354</v>
      </c>
    </row>
    <row r="2606" spans="1:20" x14ac:dyDescent="0.2">
      <c r="A2606" t="s">
        <v>7356</v>
      </c>
      <c r="B2606" t="s">
        <v>2022</v>
      </c>
      <c r="C2606" t="s">
        <v>2036</v>
      </c>
      <c r="D2606" t="s">
        <v>2024</v>
      </c>
      <c r="E2606" t="s">
        <v>7357</v>
      </c>
      <c r="F2606" t="s">
        <v>7358</v>
      </c>
      <c r="G2606">
        <v>4</v>
      </c>
      <c r="H2606">
        <v>1840</v>
      </c>
      <c r="I2606">
        <v>2</v>
      </c>
      <c r="J2606">
        <v>3.4</v>
      </c>
      <c r="K2606">
        <v>3</v>
      </c>
      <c r="L2606">
        <v>0.115</v>
      </c>
      <c r="M2606">
        <v>5</v>
      </c>
      <c r="N2606">
        <v>100</v>
      </c>
      <c r="O2606">
        <v>2</v>
      </c>
      <c r="P2606">
        <v>0.20499999999999999</v>
      </c>
      <c r="Q2606">
        <v>2</v>
      </c>
      <c r="R2606">
        <v>4.2500000000000003E-3</v>
      </c>
      <c r="T2606" t="s">
        <v>7357</v>
      </c>
    </row>
    <row r="2607" spans="1:20" x14ac:dyDescent="0.2">
      <c r="A2607" t="s">
        <v>7359</v>
      </c>
      <c r="B2607" t="s">
        <v>2022</v>
      </c>
      <c r="C2607" t="s">
        <v>2095</v>
      </c>
      <c r="D2607" t="s">
        <v>2024</v>
      </c>
      <c r="E2607" t="s">
        <v>7360</v>
      </c>
      <c r="F2607" t="s">
        <v>447</v>
      </c>
      <c r="G2607">
        <v>5</v>
      </c>
      <c r="H2607">
        <v>1925</v>
      </c>
      <c r="I2607">
        <v>5</v>
      </c>
      <c r="J2607">
        <v>16.5</v>
      </c>
      <c r="K2607">
        <v>5</v>
      </c>
      <c r="L2607">
        <v>0.73</v>
      </c>
      <c r="M2607">
        <v>5</v>
      </c>
      <c r="N2607">
        <v>98</v>
      </c>
      <c r="O2607">
        <v>5</v>
      </c>
      <c r="P2607">
        <v>0.95</v>
      </c>
      <c r="Q2607">
        <v>5</v>
      </c>
      <c r="R2607">
        <v>3.2899999999999999E-2</v>
      </c>
      <c r="T2607" t="s">
        <v>7360</v>
      </c>
    </row>
    <row r="2608" spans="1:20" x14ac:dyDescent="0.2">
      <c r="A2608" t="s">
        <v>7361</v>
      </c>
      <c r="B2608" t="s">
        <v>2022</v>
      </c>
      <c r="C2608" t="s">
        <v>2036</v>
      </c>
      <c r="D2608" t="s">
        <v>2136</v>
      </c>
      <c r="E2608" t="s">
        <v>7362</v>
      </c>
      <c r="F2608" t="s">
        <v>7363</v>
      </c>
      <c r="G2608">
        <v>4</v>
      </c>
      <c r="H2608">
        <v>1840</v>
      </c>
      <c r="I2608">
        <v>5</v>
      </c>
      <c r="J2608">
        <v>7</v>
      </c>
      <c r="K2608">
        <v>3</v>
      </c>
      <c r="L2608">
        <v>0.115</v>
      </c>
      <c r="M2608">
        <v>5</v>
      </c>
      <c r="N2608">
        <v>100</v>
      </c>
      <c r="O2608">
        <v>3</v>
      </c>
      <c r="P2608">
        <v>0.315</v>
      </c>
      <c r="Q2608">
        <v>2</v>
      </c>
      <c r="R2608">
        <v>4.2500000000000003E-3</v>
      </c>
      <c r="T2608" t="s">
        <v>7362</v>
      </c>
    </row>
    <row r="2609" spans="1:20" x14ac:dyDescent="0.2">
      <c r="A2609" t="s">
        <v>7364</v>
      </c>
      <c r="B2609" t="s">
        <v>2022</v>
      </c>
      <c r="C2609" t="s">
        <v>2053</v>
      </c>
      <c r="D2609" t="s">
        <v>2024</v>
      </c>
      <c r="E2609" t="s">
        <v>7365</v>
      </c>
      <c r="F2609" t="s">
        <v>7366</v>
      </c>
      <c r="G2609">
        <v>1</v>
      </c>
      <c r="H2609">
        <v>1500</v>
      </c>
      <c r="I2609">
        <v>4</v>
      </c>
      <c r="J2609">
        <v>9.0500000000000007</v>
      </c>
      <c r="K2609">
        <v>4</v>
      </c>
      <c r="L2609">
        <v>0.30499999999999999</v>
      </c>
      <c r="M2609">
        <v>4</v>
      </c>
      <c r="N2609">
        <v>103</v>
      </c>
      <c r="O2609">
        <v>4</v>
      </c>
      <c r="P2609">
        <v>0.52500000000000002</v>
      </c>
      <c r="Q2609">
        <v>5</v>
      </c>
      <c r="R2609">
        <v>2.6200000000000001E-2</v>
      </c>
      <c r="T2609" t="s">
        <v>7365</v>
      </c>
    </row>
    <row r="2610" spans="1:20" x14ac:dyDescent="0.2">
      <c r="A2610" t="s">
        <v>7367</v>
      </c>
      <c r="B2610" t="s">
        <v>2022</v>
      </c>
      <c r="C2610" t="s">
        <v>2101</v>
      </c>
      <c r="D2610" t="s">
        <v>2024</v>
      </c>
      <c r="E2610" t="s">
        <v>7368</v>
      </c>
      <c r="F2610" t="s">
        <v>7369</v>
      </c>
      <c r="G2610">
        <v>5</v>
      </c>
      <c r="H2610">
        <v>1970</v>
      </c>
      <c r="I2610">
        <v>3</v>
      </c>
      <c r="J2610">
        <v>8</v>
      </c>
      <c r="K2610">
        <v>2</v>
      </c>
      <c r="L2610">
        <v>9.6500000000000002E-2</v>
      </c>
      <c r="M2610">
        <v>5</v>
      </c>
      <c r="N2610">
        <v>98</v>
      </c>
      <c r="O2610">
        <v>2</v>
      </c>
      <c r="P2610">
        <v>0.22500000000000001</v>
      </c>
      <c r="Q2610">
        <v>2</v>
      </c>
      <c r="R2610">
        <v>4.4999999999999997E-3</v>
      </c>
      <c r="T2610" t="s">
        <v>7368</v>
      </c>
    </row>
    <row r="2611" spans="1:20" x14ac:dyDescent="0.2">
      <c r="A2611" t="s">
        <v>7370</v>
      </c>
      <c r="B2611" t="s">
        <v>2022</v>
      </c>
      <c r="C2611" t="s">
        <v>2036</v>
      </c>
      <c r="D2611" t="s">
        <v>2024</v>
      </c>
      <c r="E2611" t="s">
        <v>7371</v>
      </c>
      <c r="F2611" t="s">
        <v>7372</v>
      </c>
      <c r="G2611">
        <v>2</v>
      </c>
      <c r="H2611">
        <v>1640</v>
      </c>
      <c r="I2611">
        <v>5</v>
      </c>
      <c r="J2611">
        <v>7</v>
      </c>
      <c r="K2611">
        <v>5</v>
      </c>
      <c r="L2611">
        <v>0.17499999999999999</v>
      </c>
      <c r="M2611">
        <v>2</v>
      </c>
      <c r="N2611">
        <v>82</v>
      </c>
      <c r="O2611">
        <v>5</v>
      </c>
      <c r="P2611">
        <v>0.53500000000000003</v>
      </c>
      <c r="Q2611">
        <v>5</v>
      </c>
      <c r="R2611">
        <v>1.2E-2</v>
      </c>
      <c r="T2611" t="s">
        <v>7371</v>
      </c>
    </row>
    <row r="2612" spans="1:20" x14ac:dyDescent="0.2">
      <c r="A2612" t="s">
        <v>7373</v>
      </c>
      <c r="B2612" t="s">
        <v>2022</v>
      </c>
      <c r="C2612" t="s">
        <v>2023</v>
      </c>
      <c r="D2612" t="s">
        <v>2024</v>
      </c>
      <c r="E2612" t="s">
        <v>7374</v>
      </c>
      <c r="F2612" t="s">
        <v>7375</v>
      </c>
      <c r="G2612">
        <v>1</v>
      </c>
      <c r="H2612">
        <v>1480</v>
      </c>
      <c r="I2612">
        <v>3</v>
      </c>
      <c r="J2612">
        <v>5.9</v>
      </c>
      <c r="K2612">
        <v>5</v>
      </c>
      <c r="L2612">
        <v>8.5999999999999993E-2</v>
      </c>
      <c r="M2612">
        <v>2</v>
      </c>
      <c r="N2612">
        <v>84</v>
      </c>
      <c r="O2612">
        <v>2</v>
      </c>
      <c r="P2612">
        <v>0.22500000000000001</v>
      </c>
      <c r="Q2612">
        <v>5</v>
      </c>
      <c r="R2612">
        <v>8.0000000000000002E-3</v>
      </c>
      <c r="T2612" t="s">
        <v>7374</v>
      </c>
    </row>
    <row r="2613" spans="1:20" x14ac:dyDescent="0.2">
      <c r="A2613" t="s">
        <v>7376</v>
      </c>
      <c r="B2613" t="s">
        <v>2022</v>
      </c>
      <c r="C2613" t="s">
        <v>2028</v>
      </c>
      <c r="D2613" t="s">
        <v>2024</v>
      </c>
      <c r="E2613" t="s">
        <v>7377</v>
      </c>
      <c r="F2613" t="s">
        <v>447</v>
      </c>
      <c r="G2613">
        <v>5</v>
      </c>
      <c r="H2613">
        <v>1450</v>
      </c>
      <c r="I2613">
        <v>5</v>
      </c>
      <c r="J2613">
        <v>6.65</v>
      </c>
      <c r="K2613">
        <v>5</v>
      </c>
      <c r="L2613">
        <v>0.26700000000000002</v>
      </c>
      <c r="M2613">
        <v>2</v>
      </c>
      <c r="N2613">
        <v>200</v>
      </c>
      <c r="O2613">
        <v>5</v>
      </c>
      <c r="P2613">
        <v>1.35</v>
      </c>
      <c r="Q2613">
        <v>5</v>
      </c>
      <c r="R2613">
        <v>3.3500000000000002E-2</v>
      </c>
      <c r="T2613" t="s">
        <v>7377</v>
      </c>
    </row>
    <row r="2614" spans="1:20" x14ac:dyDescent="0.2">
      <c r="A2614" t="s">
        <v>7378</v>
      </c>
      <c r="B2614" t="s">
        <v>2022</v>
      </c>
      <c r="C2614" t="s">
        <v>2023</v>
      </c>
      <c r="D2614" t="s">
        <v>2024</v>
      </c>
      <c r="E2614" t="s">
        <v>7379</v>
      </c>
      <c r="F2614" t="s">
        <v>7380</v>
      </c>
      <c r="G2614">
        <v>3</v>
      </c>
      <c r="H2614">
        <v>1640</v>
      </c>
      <c r="I2614">
        <v>1</v>
      </c>
      <c r="J2614">
        <v>0.9</v>
      </c>
      <c r="K2614">
        <v>1</v>
      </c>
      <c r="L2614">
        <v>6.0000000000000001E-3</v>
      </c>
      <c r="M2614">
        <v>4</v>
      </c>
      <c r="N2614">
        <v>104</v>
      </c>
      <c r="O2614">
        <v>1</v>
      </c>
      <c r="P2614">
        <v>7.4999999999999997E-2</v>
      </c>
      <c r="Q2614">
        <v>1</v>
      </c>
      <c r="R2614">
        <v>5.0000000000000001E-4</v>
      </c>
      <c r="T2614" t="s">
        <v>7379</v>
      </c>
    </row>
    <row r="2615" spans="1:20" x14ac:dyDescent="0.2">
      <c r="A2615" t="s">
        <v>7381</v>
      </c>
      <c r="B2615" t="s">
        <v>2022</v>
      </c>
      <c r="C2615" t="s">
        <v>2023</v>
      </c>
      <c r="D2615" t="s">
        <v>2024</v>
      </c>
      <c r="E2615" t="s">
        <v>7382</v>
      </c>
      <c r="F2615" t="s">
        <v>7383</v>
      </c>
      <c r="G2615">
        <v>2</v>
      </c>
      <c r="H2615">
        <v>1560</v>
      </c>
      <c r="I2615">
        <v>1</v>
      </c>
      <c r="J2615">
        <v>0.9</v>
      </c>
      <c r="K2615">
        <v>2</v>
      </c>
      <c r="L2615">
        <v>2.5999999999999999E-2</v>
      </c>
      <c r="M2615">
        <v>1</v>
      </c>
      <c r="N2615">
        <v>74</v>
      </c>
      <c r="O2615">
        <v>1</v>
      </c>
      <c r="P2615">
        <v>7.4999999999999997E-2</v>
      </c>
      <c r="Q2615">
        <v>1</v>
      </c>
      <c r="R2615">
        <v>5.0000000000000001E-4</v>
      </c>
      <c r="T2615" t="s">
        <v>7382</v>
      </c>
    </row>
    <row r="2616" spans="1:20" x14ac:dyDescent="0.2">
      <c r="A2616" t="s">
        <v>7384</v>
      </c>
      <c r="B2616" t="s">
        <v>2022</v>
      </c>
      <c r="C2616" t="s">
        <v>2036</v>
      </c>
      <c r="D2616" t="s">
        <v>2024</v>
      </c>
      <c r="E2616" t="s">
        <v>7385</v>
      </c>
      <c r="F2616" t="s">
        <v>7386</v>
      </c>
      <c r="G2616">
        <v>3</v>
      </c>
      <c r="H2616">
        <v>1740</v>
      </c>
      <c r="I2616">
        <v>1</v>
      </c>
      <c r="J2616">
        <v>2.2000000000000002</v>
      </c>
      <c r="K2616">
        <v>1</v>
      </c>
      <c r="L2616">
        <v>5.5E-2</v>
      </c>
      <c r="M2616">
        <v>3</v>
      </c>
      <c r="N2616">
        <v>88</v>
      </c>
      <c r="O2616">
        <v>1</v>
      </c>
      <c r="P2616">
        <v>9.5000000000000001E-2</v>
      </c>
      <c r="Q2616">
        <v>1</v>
      </c>
      <c r="R2616">
        <v>1.5E-3</v>
      </c>
      <c r="T2616" t="s">
        <v>7385</v>
      </c>
    </row>
    <row r="2617" spans="1:20" x14ac:dyDescent="0.2">
      <c r="A2617" t="s">
        <v>7387</v>
      </c>
      <c r="B2617" t="s">
        <v>2022</v>
      </c>
      <c r="C2617" t="s">
        <v>2023</v>
      </c>
      <c r="D2617" t="s">
        <v>2024</v>
      </c>
      <c r="E2617" t="s">
        <v>7388</v>
      </c>
      <c r="F2617" t="s">
        <v>7389</v>
      </c>
      <c r="G2617">
        <v>3</v>
      </c>
      <c r="H2617">
        <v>1640</v>
      </c>
      <c r="I2617">
        <v>3</v>
      </c>
      <c r="J2617">
        <v>5.9</v>
      </c>
      <c r="K2617">
        <v>5</v>
      </c>
      <c r="L2617">
        <v>8.5999999999999993E-2</v>
      </c>
      <c r="M2617">
        <v>4</v>
      </c>
      <c r="N2617">
        <v>104</v>
      </c>
      <c r="O2617">
        <v>3</v>
      </c>
      <c r="P2617">
        <v>0.375</v>
      </c>
      <c r="Q2617">
        <v>4</v>
      </c>
      <c r="R2617">
        <v>6.0000000000000001E-3</v>
      </c>
      <c r="T2617" t="s">
        <v>7388</v>
      </c>
    </row>
    <row r="2618" spans="1:20" x14ac:dyDescent="0.2">
      <c r="A2618" t="s">
        <v>7390</v>
      </c>
      <c r="B2618" t="s">
        <v>2022</v>
      </c>
      <c r="C2618" t="s">
        <v>2053</v>
      </c>
      <c r="D2618" t="s">
        <v>2024</v>
      </c>
      <c r="E2618" t="s">
        <v>7391</v>
      </c>
      <c r="F2618" t="s">
        <v>7392</v>
      </c>
      <c r="G2618">
        <v>5</v>
      </c>
      <c r="H2618">
        <v>1900</v>
      </c>
      <c r="I2618">
        <v>5</v>
      </c>
      <c r="J2618">
        <v>11.55</v>
      </c>
      <c r="K2618">
        <v>4</v>
      </c>
      <c r="L2618">
        <v>0.30499999999999999</v>
      </c>
      <c r="M2618">
        <v>2</v>
      </c>
      <c r="N2618">
        <v>83</v>
      </c>
      <c r="O2618">
        <v>4</v>
      </c>
      <c r="P2618">
        <v>0.52500000000000002</v>
      </c>
      <c r="Q2618">
        <v>3</v>
      </c>
      <c r="R2618">
        <v>1.2200000000000001E-2</v>
      </c>
      <c r="T2618" t="s">
        <v>7391</v>
      </c>
    </row>
    <row r="2619" spans="1:20" x14ac:dyDescent="0.2">
      <c r="A2619" t="s">
        <v>7393</v>
      </c>
      <c r="B2619" t="s">
        <v>2022</v>
      </c>
      <c r="C2619" t="s">
        <v>2101</v>
      </c>
      <c r="D2619" t="s">
        <v>2024</v>
      </c>
      <c r="E2619" t="s">
        <v>7394</v>
      </c>
      <c r="F2619" t="s">
        <v>447</v>
      </c>
      <c r="G2619">
        <v>5</v>
      </c>
      <c r="H2619">
        <v>1970</v>
      </c>
      <c r="I2619">
        <v>3</v>
      </c>
      <c r="J2619">
        <v>8</v>
      </c>
      <c r="K2619">
        <v>3</v>
      </c>
      <c r="L2619">
        <v>0.24349999999999999</v>
      </c>
      <c r="M2619">
        <v>4</v>
      </c>
      <c r="N2619">
        <v>90</v>
      </c>
      <c r="O2619">
        <v>3</v>
      </c>
      <c r="P2619">
        <v>0.375</v>
      </c>
      <c r="Q2619">
        <v>3</v>
      </c>
      <c r="R2619">
        <v>1.15E-2</v>
      </c>
      <c r="T2619" t="s">
        <v>7394</v>
      </c>
    </row>
    <row r="2620" spans="1:20" x14ac:dyDescent="0.2">
      <c r="A2620" t="s">
        <v>7395</v>
      </c>
      <c r="B2620" t="s">
        <v>2022</v>
      </c>
      <c r="C2620" t="s">
        <v>2036</v>
      </c>
      <c r="D2620" t="s">
        <v>2024</v>
      </c>
      <c r="E2620" t="s">
        <v>7396</v>
      </c>
      <c r="F2620" t="s">
        <v>7397</v>
      </c>
      <c r="G2620">
        <v>3</v>
      </c>
      <c r="H2620">
        <v>1740</v>
      </c>
      <c r="I2620">
        <v>5</v>
      </c>
      <c r="J2620">
        <v>7</v>
      </c>
      <c r="K2620">
        <v>5</v>
      </c>
      <c r="L2620">
        <v>0.17499999999999999</v>
      </c>
      <c r="M2620">
        <v>4</v>
      </c>
      <c r="N2620">
        <v>94</v>
      </c>
      <c r="O2620">
        <v>5</v>
      </c>
      <c r="P2620">
        <v>0.53500000000000003</v>
      </c>
      <c r="Q2620">
        <v>5</v>
      </c>
      <c r="R2620">
        <v>1.2E-2</v>
      </c>
      <c r="T2620" t="s">
        <v>7396</v>
      </c>
    </row>
    <row r="2621" spans="1:20" x14ac:dyDescent="0.2">
      <c r="A2621" t="s">
        <v>7398</v>
      </c>
      <c r="B2621" t="s">
        <v>2022</v>
      </c>
      <c r="C2621" t="s">
        <v>2023</v>
      </c>
      <c r="D2621" t="s">
        <v>2024</v>
      </c>
      <c r="E2621" t="s">
        <v>7399</v>
      </c>
      <c r="F2621" t="s">
        <v>7400</v>
      </c>
      <c r="G2621">
        <v>4</v>
      </c>
      <c r="H2621">
        <v>1720</v>
      </c>
      <c r="I2621">
        <v>1</v>
      </c>
      <c r="J2621">
        <v>0.9</v>
      </c>
      <c r="K2621">
        <v>1</v>
      </c>
      <c r="L2621">
        <v>6.0000000000000001E-3</v>
      </c>
      <c r="M2621">
        <v>4</v>
      </c>
      <c r="N2621">
        <v>104</v>
      </c>
      <c r="O2621">
        <v>1</v>
      </c>
      <c r="P2621">
        <v>7.4999999999999997E-2</v>
      </c>
      <c r="Q2621">
        <v>1</v>
      </c>
      <c r="R2621">
        <v>5.0000000000000001E-4</v>
      </c>
      <c r="T2621" t="s">
        <v>7399</v>
      </c>
    </row>
    <row r="2622" spans="1:20" x14ac:dyDescent="0.2">
      <c r="A2622" t="s">
        <v>7401</v>
      </c>
      <c r="B2622" t="s">
        <v>2022</v>
      </c>
      <c r="C2622" t="s">
        <v>2053</v>
      </c>
      <c r="D2622" t="s">
        <v>2024</v>
      </c>
      <c r="E2622" t="s">
        <v>7402</v>
      </c>
      <c r="F2622" t="s">
        <v>7403</v>
      </c>
      <c r="G2622">
        <v>1</v>
      </c>
      <c r="H2622">
        <v>1500</v>
      </c>
      <c r="I2622">
        <v>1</v>
      </c>
      <c r="J2622">
        <v>1.55</v>
      </c>
      <c r="K2622">
        <v>1</v>
      </c>
      <c r="L2622">
        <v>1.4999999999999999E-2</v>
      </c>
      <c r="M2622">
        <v>2</v>
      </c>
      <c r="N2622">
        <v>83</v>
      </c>
      <c r="O2622">
        <v>1</v>
      </c>
      <c r="P2622">
        <v>7.4999999999999997E-2</v>
      </c>
      <c r="Q2622">
        <v>1</v>
      </c>
      <c r="R2622">
        <v>8.4999999999999995E-4</v>
      </c>
      <c r="T2622" t="s">
        <v>7402</v>
      </c>
    </row>
    <row r="2623" spans="1:20" x14ac:dyDescent="0.2">
      <c r="A2623" t="s">
        <v>7404</v>
      </c>
      <c r="B2623" t="s">
        <v>2022</v>
      </c>
      <c r="C2623" t="s">
        <v>2036</v>
      </c>
      <c r="D2623" t="s">
        <v>2024</v>
      </c>
      <c r="E2623" t="s">
        <v>7405</v>
      </c>
      <c r="F2623" t="s">
        <v>7406</v>
      </c>
      <c r="G2623">
        <v>3</v>
      </c>
      <c r="H2623">
        <v>1740</v>
      </c>
      <c r="I2623">
        <v>1</v>
      </c>
      <c r="J2623">
        <v>2.2000000000000002</v>
      </c>
      <c r="K2623">
        <v>2</v>
      </c>
      <c r="L2623">
        <v>8.5000000000000006E-2</v>
      </c>
      <c r="M2623">
        <v>2</v>
      </c>
      <c r="N2623">
        <v>82</v>
      </c>
      <c r="O2623">
        <v>1</v>
      </c>
      <c r="P2623">
        <v>9.5000000000000001E-2</v>
      </c>
      <c r="Q2623">
        <v>2</v>
      </c>
      <c r="R2623">
        <v>4.2500000000000003E-3</v>
      </c>
      <c r="T2623" t="s">
        <v>7405</v>
      </c>
    </row>
    <row r="2624" spans="1:20" x14ac:dyDescent="0.2">
      <c r="A2624" t="s">
        <v>7407</v>
      </c>
      <c r="B2624" t="s">
        <v>2022</v>
      </c>
      <c r="C2624" t="s">
        <v>2053</v>
      </c>
      <c r="D2624" t="s">
        <v>2024</v>
      </c>
      <c r="E2624" t="s">
        <v>7408</v>
      </c>
      <c r="F2624" t="s">
        <v>7409</v>
      </c>
      <c r="G2624">
        <v>1</v>
      </c>
      <c r="H2624">
        <v>1500</v>
      </c>
      <c r="I2624">
        <v>4</v>
      </c>
      <c r="J2624">
        <v>9.0500000000000007</v>
      </c>
      <c r="K2624">
        <v>4</v>
      </c>
      <c r="L2624">
        <v>0.30499999999999999</v>
      </c>
      <c r="M2624">
        <v>2</v>
      </c>
      <c r="N2624">
        <v>83</v>
      </c>
      <c r="O2624">
        <v>4</v>
      </c>
      <c r="P2624">
        <v>0.52500000000000002</v>
      </c>
      <c r="Q2624">
        <v>3</v>
      </c>
      <c r="R2624">
        <v>1.2200000000000001E-2</v>
      </c>
      <c r="T2624" t="s">
        <v>7408</v>
      </c>
    </row>
    <row r="2625" spans="1:20" x14ac:dyDescent="0.2">
      <c r="A2625" t="s">
        <v>7410</v>
      </c>
      <c r="B2625" t="s">
        <v>2022</v>
      </c>
      <c r="C2625" t="s">
        <v>2036</v>
      </c>
      <c r="D2625" t="s">
        <v>2024</v>
      </c>
      <c r="E2625" t="s">
        <v>357</v>
      </c>
      <c r="F2625" t="s">
        <v>7411</v>
      </c>
      <c r="G2625">
        <v>3</v>
      </c>
      <c r="H2625">
        <v>1740</v>
      </c>
      <c r="I2625">
        <v>5</v>
      </c>
      <c r="J2625">
        <v>7</v>
      </c>
      <c r="K2625">
        <v>5</v>
      </c>
      <c r="L2625">
        <v>0.17499999999999999</v>
      </c>
      <c r="M2625">
        <v>5</v>
      </c>
      <c r="N2625">
        <v>100</v>
      </c>
      <c r="O2625">
        <v>5</v>
      </c>
      <c r="P2625">
        <v>0.53500000000000003</v>
      </c>
      <c r="Q2625">
        <v>5</v>
      </c>
      <c r="R2625">
        <v>1.2E-2</v>
      </c>
      <c r="T2625" t="s">
        <v>357</v>
      </c>
    </row>
    <row r="2626" spans="1:20" x14ac:dyDescent="0.2">
      <c r="A2626" t="s">
        <v>7412</v>
      </c>
      <c r="B2626" t="s">
        <v>2022</v>
      </c>
      <c r="C2626" t="s">
        <v>2036</v>
      </c>
      <c r="D2626" t="s">
        <v>2024</v>
      </c>
      <c r="E2626" t="s">
        <v>7413</v>
      </c>
      <c r="F2626" t="s">
        <v>7414</v>
      </c>
      <c r="G2626">
        <v>1</v>
      </c>
      <c r="H2626">
        <v>1540</v>
      </c>
      <c r="I2626">
        <v>2</v>
      </c>
      <c r="J2626">
        <v>3.4</v>
      </c>
      <c r="K2626">
        <v>2</v>
      </c>
      <c r="L2626">
        <v>8.5000000000000006E-2</v>
      </c>
      <c r="M2626">
        <v>3</v>
      </c>
      <c r="N2626">
        <v>88</v>
      </c>
      <c r="O2626">
        <v>2</v>
      </c>
      <c r="P2626">
        <v>0.20499999999999999</v>
      </c>
      <c r="Q2626">
        <v>2</v>
      </c>
      <c r="R2626">
        <v>4.2500000000000003E-3</v>
      </c>
      <c r="T2626" t="s">
        <v>7413</v>
      </c>
    </row>
    <row r="2627" spans="1:20" x14ac:dyDescent="0.2">
      <c r="A2627" t="s">
        <v>7415</v>
      </c>
      <c r="B2627" t="s">
        <v>2022</v>
      </c>
      <c r="C2627" t="s">
        <v>2053</v>
      </c>
      <c r="D2627" t="s">
        <v>2024</v>
      </c>
      <c r="E2627" t="s">
        <v>7416</v>
      </c>
      <c r="F2627" t="s">
        <v>7417</v>
      </c>
      <c r="G2627">
        <v>2</v>
      </c>
      <c r="H2627">
        <v>1600</v>
      </c>
      <c r="I2627">
        <v>2</v>
      </c>
      <c r="J2627">
        <v>4.05</v>
      </c>
      <c r="K2627">
        <v>2</v>
      </c>
      <c r="L2627">
        <v>8.5000000000000006E-2</v>
      </c>
      <c r="M2627">
        <v>1</v>
      </c>
      <c r="N2627">
        <v>73</v>
      </c>
      <c r="O2627">
        <v>2</v>
      </c>
      <c r="P2627">
        <v>0.22500000000000001</v>
      </c>
      <c r="Q2627">
        <v>1</v>
      </c>
      <c r="R2627">
        <v>8.4999999999999995E-4</v>
      </c>
      <c r="T2627" t="s">
        <v>7416</v>
      </c>
    </row>
    <row r="2628" spans="1:20" x14ac:dyDescent="0.2">
      <c r="A2628" t="s">
        <v>7418</v>
      </c>
      <c r="B2628" t="s">
        <v>2022</v>
      </c>
      <c r="C2628" t="s">
        <v>2023</v>
      </c>
      <c r="D2628" t="s">
        <v>2024</v>
      </c>
      <c r="E2628" t="s">
        <v>7419</v>
      </c>
      <c r="F2628" t="s">
        <v>7420</v>
      </c>
      <c r="G2628">
        <v>2</v>
      </c>
      <c r="H2628">
        <v>1560</v>
      </c>
      <c r="I2628">
        <v>2</v>
      </c>
      <c r="J2628">
        <v>3.4</v>
      </c>
      <c r="K2628">
        <v>2</v>
      </c>
      <c r="L2628">
        <v>2.5999999999999999E-2</v>
      </c>
      <c r="M2628">
        <v>1</v>
      </c>
      <c r="N2628">
        <v>74</v>
      </c>
      <c r="O2628">
        <v>1</v>
      </c>
      <c r="P2628">
        <v>7.4999999999999997E-2</v>
      </c>
      <c r="Q2628">
        <v>1</v>
      </c>
      <c r="R2628">
        <v>5.0000000000000001E-4</v>
      </c>
      <c r="T2628" t="s">
        <v>7419</v>
      </c>
    </row>
    <row r="2629" spans="1:20" x14ac:dyDescent="0.2">
      <c r="A2629" t="s">
        <v>7421</v>
      </c>
      <c r="B2629" t="s">
        <v>2022</v>
      </c>
      <c r="C2629" t="s">
        <v>2036</v>
      </c>
      <c r="D2629" t="s">
        <v>2136</v>
      </c>
      <c r="E2629" t="s">
        <v>7422</v>
      </c>
      <c r="F2629" t="s">
        <v>7423</v>
      </c>
      <c r="G2629">
        <v>2</v>
      </c>
      <c r="H2629">
        <v>1640</v>
      </c>
      <c r="I2629">
        <v>5</v>
      </c>
      <c r="J2629">
        <v>7</v>
      </c>
      <c r="K2629">
        <v>5</v>
      </c>
      <c r="L2629">
        <v>0.17499999999999999</v>
      </c>
      <c r="M2629">
        <v>2</v>
      </c>
      <c r="N2629">
        <v>82</v>
      </c>
      <c r="O2629">
        <v>4</v>
      </c>
      <c r="P2629">
        <v>0.42499999999999999</v>
      </c>
      <c r="Q2629">
        <v>4</v>
      </c>
      <c r="R2629">
        <v>9.2499999999999995E-3</v>
      </c>
      <c r="T2629" t="s">
        <v>7422</v>
      </c>
    </row>
    <row r="2630" spans="1:20" x14ac:dyDescent="0.2">
      <c r="A2630" t="s">
        <v>7424</v>
      </c>
      <c r="B2630" t="s">
        <v>2022</v>
      </c>
      <c r="C2630" t="s">
        <v>2036</v>
      </c>
      <c r="D2630" t="s">
        <v>2024</v>
      </c>
      <c r="E2630" t="s">
        <v>7425</v>
      </c>
      <c r="F2630" t="s">
        <v>7426</v>
      </c>
      <c r="G2630">
        <v>4</v>
      </c>
      <c r="H2630">
        <v>1840</v>
      </c>
      <c r="I2630">
        <v>5</v>
      </c>
      <c r="J2630">
        <v>7</v>
      </c>
      <c r="K2630">
        <v>5</v>
      </c>
      <c r="L2630">
        <v>0.17499999999999999</v>
      </c>
      <c r="M2630">
        <v>3</v>
      </c>
      <c r="N2630">
        <v>88</v>
      </c>
      <c r="O2630">
        <v>5</v>
      </c>
      <c r="P2630">
        <v>0.53500000000000003</v>
      </c>
      <c r="Q2630">
        <v>5</v>
      </c>
      <c r="R2630">
        <v>1.2E-2</v>
      </c>
      <c r="T2630" t="s">
        <v>7425</v>
      </c>
    </row>
    <row r="2631" spans="1:20" x14ac:dyDescent="0.2">
      <c r="A2631" t="s">
        <v>7427</v>
      </c>
      <c r="B2631" t="s">
        <v>2022</v>
      </c>
      <c r="C2631" t="s">
        <v>2036</v>
      </c>
      <c r="D2631" t="s">
        <v>2024</v>
      </c>
      <c r="E2631" t="s">
        <v>7428</v>
      </c>
      <c r="F2631" t="s">
        <v>7429</v>
      </c>
      <c r="G2631">
        <v>5</v>
      </c>
      <c r="H2631">
        <v>1940</v>
      </c>
      <c r="I2631">
        <v>5</v>
      </c>
      <c r="J2631">
        <v>7</v>
      </c>
      <c r="K2631">
        <v>5</v>
      </c>
      <c r="L2631">
        <v>0.17499999999999999</v>
      </c>
      <c r="M2631">
        <v>5</v>
      </c>
      <c r="N2631">
        <v>100</v>
      </c>
      <c r="O2631">
        <v>5</v>
      </c>
      <c r="P2631">
        <v>0.53500000000000003</v>
      </c>
      <c r="Q2631">
        <v>5</v>
      </c>
      <c r="R2631">
        <v>1.2E-2</v>
      </c>
      <c r="T2631" t="s">
        <v>7428</v>
      </c>
    </row>
    <row r="2632" spans="1:20" x14ac:dyDescent="0.2">
      <c r="A2632" t="s">
        <v>7430</v>
      </c>
      <c r="B2632" t="s">
        <v>2022</v>
      </c>
      <c r="C2632" t="s">
        <v>2023</v>
      </c>
      <c r="D2632" t="s">
        <v>2024</v>
      </c>
      <c r="E2632" t="s">
        <v>7431</v>
      </c>
      <c r="F2632" t="s">
        <v>7432</v>
      </c>
      <c r="G2632">
        <v>4</v>
      </c>
      <c r="H2632">
        <v>1720</v>
      </c>
      <c r="I2632">
        <v>5</v>
      </c>
      <c r="J2632">
        <v>10.9</v>
      </c>
      <c r="K2632">
        <v>5</v>
      </c>
      <c r="L2632">
        <v>8.5999999999999993E-2</v>
      </c>
      <c r="M2632">
        <v>2</v>
      </c>
      <c r="N2632">
        <v>84</v>
      </c>
      <c r="O2632">
        <v>4</v>
      </c>
      <c r="P2632">
        <v>0.52500000000000002</v>
      </c>
      <c r="Q2632">
        <v>5</v>
      </c>
      <c r="R2632">
        <v>8.0000000000000002E-3</v>
      </c>
      <c r="T2632" t="s">
        <v>7431</v>
      </c>
    </row>
    <row r="2633" spans="1:20" x14ac:dyDescent="0.2">
      <c r="A2633" t="s">
        <v>7433</v>
      </c>
      <c r="B2633" t="s">
        <v>2022</v>
      </c>
      <c r="C2633" t="s">
        <v>2023</v>
      </c>
      <c r="D2633" t="s">
        <v>2136</v>
      </c>
      <c r="E2633" t="s">
        <v>7434</v>
      </c>
      <c r="F2633" t="s">
        <v>7435</v>
      </c>
      <c r="G2633">
        <v>4</v>
      </c>
      <c r="H2633">
        <v>1720</v>
      </c>
      <c r="I2633">
        <v>2</v>
      </c>
      <c r="J2633">
        <v>3.4</v>
      </c>
      <c r="K2633">
        <v>2</v>
      </c>
      <c r="L2633">
        <v>2.5999999999999999E-2</v>
      </c>
      <c r="M2633">
        <v>3</v>
      </c>
      <c r="N2633">
        <v>94</v>
      </c>
      <c r="O2633">
        <v>1</v>
      </c>
      <c r="P2633">
        <v>7.4999999999999997E-2</v>
      </c>
      <c r="Q2633">
        <v>2</v>
      </c>
      <c r="R2633">
        <v>2E-3</v>
      </c>
      <c r="T2633" t="s">
        <v>7434</v>
      </c>
    </row>
    <row r="2634" spans="1:20" x14ac:dyDescent="0.2">
      <c r="A2634" t="s">
        <v>7436</v>
      </c>
      <c r="B2634" t="s">
        <v>2022</v>
      </c>
      <c r="C2634" t="s">
        <v>2222</v>
      </c>
      <c r="D2634" t="s">
        <v>2024</v>
      </c>
      <c r="E2634" t="s">
        <v>7437</v>
      </c>
      <c r="F2634" t="s">
        <v>7438</v>
      </c>
      <c r="G2634">
        <v>5</v>
      </c>
      <c r="H2634">
        <v>1850</v>
      </c>
      <c r="I2634">
        <v>1</v>
      </c>
      <c r="J2634">
        <v>2.2999999999999998</v>
      </c>
      <c r="K2634">
        <v>2</v>
      </c>
      <c r="L2634">
        <v>5.5E-2</v>
      </c>
      <c r="M2634">
        <v>2</v>
      </c>
      <c r="N2634">
        <v>63</v>
      </c>
      <c r="O2634">
        <v>1</v>
      </c>
      <c r="P2634">
        <v>7.0000000000000007E-2</v>
      </c>
      <c r="Q2634">
        <v>1</v>
      </c>
      <c r="R2634">
        <v>4.0000000000000002E-4</v>
      </c>
      <c r="T2634" t="s">
        <v>7437</v>
      </c>
    </row>
    <row r="2635" spans="1:20" x14ac:dyDescent="0.2">
      <c r="A2635" t="s">
        <v>7439</v>
      </c>
      <c r="B2635" t="s">
        <v>2022</v>
      </c>
      <c r="C2635" t="s">
        <v>2023</v>
      </c>
      <c r="D2635" t="s">
        <v>2024</v>
      </c>
      <c r="E2635" t="s">
        <v>7440</v>
      </c>
      <c r="F2635" t="s">
        <v>7441</v>
      </c>
      <c r="G2635">
        <v>3</v>
      </c>
      <c r="H2635">
        <v>1640</v>
      </c>
      <c r="I2635">
        <v>5</v>
      </c>
      <c r="J2635">
        <v>10.9</v>
      </c>
      <c r="K2635">
        <v>5</v>
      </c>
      <c r="L2635">
        <v>8.5999999999999993E-2</v>
      </c>
      <c r="M2635">
        <v>2</v>
      </c>
      <c r="N2635">
        <v>84</v>
      </c>
      <c r="O2635">
        <v>5</v>
      </c>
      <c r="P2635">
        <v>0.67500000000000004</v>
      </c>
      <c r="Q2635">
        <v>5</v>
      </c>
      <c r="R2635">
        <v>8.0000000000000002E-3</v>
      </c>
      <c r="T2635" t="s">
        <v>7440</v>
      </c>
    </row>
    <row r="2636" spans="1:20" x14ac:dyDescent="0.2">
      <c r="A2636" t="s">
        <v>7442</v>
      </c>
      <c r="B2636" t="s">
        <v>2022</v>
      </c>
      <c r="C2636" t="s">
        <v>2053</v>
      </c>
      <c r="D2636" t="s">
        <v>2024</v>
      </c>
      <c r="E2636" t="s">
        <v>7443</v>
      </c>
      <c r="F2636" t="s">
        <v>7444</v>
      </c>
      <c r="G2636">
        <v>5</v>
      </c>
      <c r="H2636">
        <v>1900</v>
      </c>
      <c r="I2636">
        <v>3</v>
      </c>
      <c r="J2636">
        <v>6.55</v>
      </c>
      <c r="K2636">
        <v>2</v>
      </c>
      <c r="L2636">
        <v>8.5000000000000006E-2</v>
      </c>
      <c r="M2636">
        <v>3</v>
      </c>
      <c r="N2636">
        <v>93</v>
      </c>
      <c r="O2636">
        <v>2</v>
      </c>
      <c r="P2636">
        <v>0.22500000000000001</v>
      </c>
      <c r="Q2636">
        <v>2</v>
      </c>
      <c r="R2636">
        <v>5.1999999999999998E-3</v>
      </c>
      <c r="T2636" t="s">
        <v>7443</v>
      </c>
    </row>
    <row r="2637" spans="1:20" x14ac:dyDescent="0.2">
      <c r="A2637" t="s">
        <v>7445</v>
      </c>
      <c r="B2637" t="s">
        <v>2022</v>
      </c>
      <c r="C2637" t="s">
        <v>2023</v>
      </c>
      <c r="D2637" t="s">
        <v>2024</v>
      </c>
      <c r="E2637" t="s">
        <v>7446</v>
      </c>
      <c r="F2637" t="s">
        <v>7447</v>
      </c>
      <c r="G2637">
        <v>5</v>
      </c>
      <c r="H2637">
        <v>1800</v>
      </c>
      <c r="I2637">
        <v>4</v>
      </c>
      <c r="J2637">
        <v>8.4</v>
      </c>
      <c r="K2637">
        <v>5</v>
      </c>
      <c r="L2637">
        <v>8.5999999999999993E-2</v>
      </c>
      <c r="M2637">
        <v>2</v>
      </c>
      <c r="N2637">
        <v>84</v>
      </c>
      <c r="O2637">
        <v>3</v>
      </c>
      <c r="P2637">
        <v>0.375</v>
      </c>
      <c r="Q2637">
        <v>5</v>
      </c>
      <c r="R2637">
        <v>8.0000000000000002E-3</v>
      </c>
      <c r="T2637" t="s">
        <v>7446</v>
      </c>
    </row>
    <row r="2638" spans="1:20" x14ac:dyDescent="0.2">
      <c r="A2638" t="s">
        <v>7448</v>
      </c>
      <c r="B2638" t="s">
        <v>2022</v>
      </c>
      <c r="C2638" t="s">
        <v>2049</v>
      </c>
      <c r="D2638" t="s">
        <v>2024</v>
      </c>
      <c r="E2638" t="s">
        <v>7449</v>
      </c>
      <c r="F2638" t="s">
        <v>447</v>
      </c>
      <c r="G2638">
        <v>2</v>
      </c>
      <c r="H2638">
        <v>1450</v>
      </c>
      <c r="I2638">
        <v>5</v>
      </c>
      <c r="J2638">
        <v>8.6</v>
      </c>
      <c r="K2638">
        <v>5</v>
      </c>
      <c r="L2638">
        <v>0.3</v>
      </c>
      <c r="M2638">
        <v>3</v>
      </c>
      <c r="N2638">
        <v>126</v>
      </c>
      <c r="O2638">
        <v>5</v>
      </c>
      <c r="P2638">
        <v>0.86</v>
      </c>
      <c r="Q2638">
        <v>5</v>
      </c>
      <c r="R2638">
        <v>3.32E-2</v>
      </c>
      <c r="T2638" t="s">
        <v>7449</v>
      </c>
    </row>
    <row r="2639" spans="1:20" x14ac:dyDescent="0.2">
      <c r="A2639" t="s">
        <v>7450</v>
      </c>
      <c r="B2639" t="s">
        <v>2022</v>
      </c>
      <c r="C2639" t="s">
        <v>2053</v>
      </c>
      <c r="D2639" t="s">
        <v>2024</v>
      </c>
      <c r="E2639" t="s">
        <v>7451</v>
      </c>
      <c r="F2639" t="s">
        <v>7452</v>
      </c>
      <c r="G2639">
        <v>4</v>
      </c>
      <c r="H2639">
        <v>1800</v>
      </c>
      <c r="I2639">
        <v>3</v>
      </c>
      <c r="J2639">
        <v>6.55</v>
      </c>
      <c r="K2639">
        <v>3</v>
      </c>
      <c r="L2639">
        <v>0.19500000000000001</v>
      </c>
      <c r="M2639">
        <v>3</v>
      </c>
      <c r="N2639">
        <v>93</v>
      </c>
      <c r="O2639">
        <v>3</v>
      </c>
      <c r="P2639">
        <v>0.375</v>
      </c>
      <c r="Q2639">
        <v>2</v>
      </c>
      <c r="R2639">
        <v>5.1999999999999998E-3</v>
      </c>
      <c r="T2639" t="s">
        <v>7451</v>
      </c>
    </row>
    <row r="2640" spans="1:20" x14ac:dyDescent="0.2">
      <c r="A2640" t="s">
        <v>7453</v>
      </c>
      <c r="B2640" t="s">
        <v>2022</v>
      </c>
      <c r="C2640" t="s">
        <v>2023</v>
      </c>
      <c r="D2640" t="s">
        <v>2024</v>
      </c>
      <c r="E2640" t="s">
        <v>7454</v>
      </c>
      <c r="F2640" t="s">
        <v>7455</v>
      </c>
      <c r="G2640">
        <v>3</v>
      </c>
      <c r="H2640">
        <v>1640</v>
      </c>
      <c r="I2640">
        <v>1</v>
      </c>
      <c r="J2640">
        <v>0.9</v>
      </c>
      <c r="K2640">
        <v>1</v>
      </c>
      <c r="L2640">
        <v>6.0000000000000001E-3</v>
      </c>
      <c r="M2640">
        <v>2</v>
      </c>
      <c r="N2640">
        <v>84</v>
      </c>
      <c r="O2640">
        <v>1</v>
      </c>
      <c r="P2640">
        <v>7.4999999999999997E-2</v>
      </c>
      <c r="Q2640">
        <v>1</v>
      </c>
      <c r="R2640">
        <v>5.0000000000000001E-4</v>
      </c>
      <c r="T2640" t="s">
        <v>7454</v>
      </c>
    </row>
    <row r="2641" spans="1:20" x14ac:dyDescent="0.2">
      <c r="A2641" t="s">
        <v>7456</v>
      </c>
      <c r="B2641" t="s">
        <v>2022</v>
      </c>
      <c r="C2641" t="s">
        <v>2023</v>
      </c>
      <c r="D2641" t="s">
        <v>2024</v>
      </c>
      <c r="E2641" t="s">
        <v>7457</v>
      </c>
      <c r="F2641" t="s">
        <v>7458</v>
      </c>
      <c r="G2641">
        <v>3</v>
      </c>
      <c r="H2641">
        <v>1640</v>
      </c>
      <c r="I2641">
        <v>5</v>
      </c>
      <c r="J2641">
        <v>10.9</v>
      </c>
      <c r="K2641">
        <v>3</v>
      </c>
      <c r="L2641">
        <v>4.5999999999999999E-2</v>
      </c>
      <c r="M2641">
        <v>2</v>
      </c>
      <c r="N2641">
        <v>84</v>
      </c>
      <c r="O2641">
        <v>5</v>
      </c>
      <c r="P2641">
        <v>0.67500000000000004</v>
      </c>
      <c r="Q2641">
        <v>2</v>
      </c>
      <c r="R2641">
        <v>2E-3</v>
      </c>
      <c r="T2641" t="s">
        <v>7457</v>
      </c>
    </row>
    <row r="2642" spans="1:20" x14ac:dyDescent="0.2">
      <c r="A2642" t="s">
        <v>7459</v>
      </c>
      <c r="B2642" t="s">
        <v>2022</v>
      </c>
      <c r="C2642" t="s">
        <v>2023</v>
      </c>
      <c r="D2642" t="s">
        <v>2024</v>
      </c>
      <c r="E2642" t="s">
        <v>7460</v>
      </c>
      <c r="F2642" t="s">
        <v>7461</v>
      </c>
      <c r="G2642">
        <v>1</v>
      </c>
      <c r="H2642">
        <v>1480</v>
      </c>
      <c r="I2642">
        <v>3</v>
      </c>
      <c r="J2642">
        <v>5.9</v>
      </c>
      <c r="K2642">
        <v>5</v>
      </c>
      <c r="L2642">
        <v>8.5999999999999993E-2</v>
      </c>
      <c r="M2642">
        <v>1</v>
      </c>
      <c r="N2642">
        <v>74</v>
      </c>
      <c r="O2642">
        <v>2</v>
      </c>
      <c r="P2642">
        <v>0.22500000000000001</v>
      </c>
      <c r="Q2642">
        <v>5</v>
      </c>
      <c r="R2642">
        <v>8.0000000000000002E-3</v>
      </c>
      <c r="T2642" t="s">
        <v>7460</v>
      </c>
    </row>
    <row r="2643" spans="1:20" x14ac:dyDescent="0.2">
      <c r="A2643" t="s">
        <v>7462</v>
      </c>
      <c r="B2643" t="s">
        <v>2022</v>
      </c>
      <c r="C2643" t="s">
        <v>2023</v>
      </c>
      <c r="D2643" t="s">
        <v>2024</v>
      </c>
      <c r="E2643" t="s">
        <v>7463</v>
      </c>
      <c r="F2643" t="s">
        <v>7464</v>
      </c>
      <c r="G2643">
        <v>3</v>
      </c>
      <c r="H2643">
        <v>1640</v>
      </c>
      <c r="I2643">
        <v>3</v>
      </c>
      <c r="J2643">
        <v>5.9</v>
      </c>
      <c r="K2643">
        <v>5</v>
      </c>
      <c r="L2643">
        <v>8.5999999999999993E-2</v>
      </c>
      <c r="M2643">
        <v>2</v>
      </c>
      <c r="N2643">
        <v>84</v>
      </c>
      <c r="O2643">
        <v>3</v>
      </c>
      <c r="P2643">
        <v>0.375</v>
      </c>
      <c r="Q2643">
        <v>3</v>
      </c>
      <c r="R2643">
        <v>4.0000000000000001E-3</v>
      </c>
      <c r="T2643" t="s">
        <v>7463</v>
      </c>
    </row>
    <row r="2644" spans="1:20" x14ac:dyDescent="0.2">
      <c r="A2644" t="s">
        <v>7465</v>
      </c>
      <c r="B2644" t="s">
        <v>2022</v>
      </c>
      <c r="C2644" t="s">
        <v>2049</v>
      </c>
      <c r="D2644" t="s">
        <v>2136</v>
      </c>
      <c r="E2644" t="s">
        <v>357</v>
      </c>
      <c r="F2644" t="s">
        <v>447</v>
      </c>
      <c r="G2644">
        <v>1</v>
      </c>
      <c r="H2644">
        <v>1350</v>
      </c>
      <c r="I2644">
        <v>1</v>
      </c>
      <c r="J2644">
        <v>1.4</v>
      </c>
      <c r="K2644">
        <v>2</v>
      </c>
      <c r="L2644">
        <v>0.06</v>
      </c>
      <c r="M2644">
        <v>5</v>
      </c>
      <c r="N2644">
        <v>166</v>
      </c>
      <c r="O2644">
        <v>4</v>
      </c>
      <c r="P2644">
        <v>0.66</v>
      </c>
      <c r="Q2644">
        <v>2</v>
      </c>
      <c r="R2644">
        <v>6.1999999999999998E-3</v>
      </c>
      <c r="T2644" t="s">
        <v>357</v>
      </c>
    </row>
    <row r="2645" spans="1:20" x14ac:dyDescent="0.2">
      <c r="A2645" t="s">
        <v>7466</v>
      </c>
      <c r="B2645" t="s">
        <v>2022</v>
      </c>
      <c r="C2645" t="s">
        <v>2257</v>
      </c>
      <c r="D2645" t="s">
        <v>2024</v>
      </c>
      <c r="E2645" t="s">
        <v>357</v>
      </c>
      <c r="F2645" t="s">
        <v>7467</v>
      </c>
      <c r="G2645">
        <v>1</v>
      </c>
      <c r="H2645">
        <v>900</v>
      </c>
      <c r="I2645">
        <v>1</v>
      </c>
      <c r="J2645">
        <v>0.45</v>
      </c>
      <c r="K2645">
        <v>1</v>
      </c>
      <c r="L2645">
        <v>6.0000000000000001E-3</v>
      </c>
      <c r="M2645">
        <v>4</v>
      </c>
      <c r="N2645">
        <v>900</v>
      </c>
      <c r="O2645">
        <v>1</v>
      </c>
      <c r="P2645">
        <v>0.3</v>
      </c>
      <c r="Q2645">
        <v>2</v>
      </c>
      <c r="R2645">
        <v>1.4999999999999999E-2</v>
      </c>
      <c r="T2645" t="s">
        <v>357</v>
      </c>
    </row>
    <row r="2646" spans="1:20" x14ac:dyDescent="0.2">
      <c r="A2646" t="s">
        <v>7468</v>
      </c>
      <c r="B2646" t="s">
        <v>2022</v>
      </c>
      <c r="C2646" t="s">
        <v>2023</v>
      </c>
      <c r="D2646" t="s">
        <v>2024</v>
      </c>
      <c r="E2646" t="s">
        <v>7469</v>
      </c>
      <c r="F2646" t="s">
        <v>7470</v>
      </c>
      <c r="G2646">
        <v>3</v>
      </c>
      <c r="H2646">
        <v>1640</v>
      </c>
      <c r="I2646">
        <v>5</v>
      </c>
      <c r="J2646">
        <v>10.9</v>
      </c>
      <c r="K2646">
        <v>5</v>
      </c>
      <c r="L2646">
        <v>8.5999999999999993E-2</v>
      </c>
      <c r="M2646">
        <v>3</v>
      </c>
      <c r="N2646">
        <v>94</v>
      </c>
      <c r="O2646">
        <v>5</v>
      </c>
      <c r="P2646">
        <v>0.67500000000000004</v>
      </c>
      <c r="Q2646">
        <v>5</v>
      </c>
      <c r="R2646">
        <v>8.0000000000000002E-3</v>
      </c>
      <c r="T2646" t="s">
        <v>7469</v>
      </c>
    </row>
    <row r="2647" spans="1:20" x14ac:dyDescent="0.2">
      <c r="A2647" t="s">
        <v>7471</v>
      </c>
      <c r="B2647" t="s">
        <v>2022</v>
      </c>
      <c r="C2647" t="s">
        <v>2036</v>
      </c>
      <c r="D2647" t="s">
        <v>2024</v>
      </c>
      <c r="E2647" t="s">
        <v>7472</v>
      </c>
      <c r="F2647" t="s">
        <v>7473</v>
      </c>
      <c r="G2647">
        <v>5</v>
      </c>
      <c r="H2647">
        <v>1940</v>
      </c>
      <c r="I2647">
        <v>5</v>
      </c>
      <c r="J2647">
        <v>7</v>
      </c>
      <c r="K2647">
        <v>5</v>
      </c>
      <c r="L2647">
        <v>0.17499999999999999</v>
      </c>
      <c r="M2647">
        <v>5</v>
      </c>
      <c r="N2647">
        <v>100</v>
      </c>
      <c r="O2647">
        <v>4</v>
      </c>
      <c r="P2647">
        <v>0.42499999999999999</v>
      </c>
      <c r="Q2647">
        <v>5</v>
      </c>
      <c r="R2647">
        <v>1.2E-2</v>
      </c>
      <c r="T2647" t="s">
        <v>7472</v>
      </c>
    </row>
    <row r="2648" spans="1:20" x14ac:dyDescent="0.2">
      <c r="A2648" t="s">
        <v>7474</v>
      </c>
      <c r="B2648" t="s">
        <v>2022</v>
      </c>
      <c r="C2648" t="s">
        <v>2053</v>
      </c>
      <c r="D2648" t="s">
        <v>2024</v>
      </c>
      <c r="E2648" t="s">
        <v>7475</v>
      </c>
      <c r="F2648" t="s">
        <v>7476</v>
      </c>
      <c r="G2648">
        <v>5</v>
      </c>
      <c r="H2648">
        <v>1900</v>
      </c>
      <c r="I2648">
        <v>1</v>
      </c>
      <c r="J2648">
        <v>1.55</v>
      </c>
      <c r="K2648">
        <v>1</v>
      </c>
      <c r="L2648">
        <v>1.4999999999999999E-2</v>
      </c>
      <c r="M2648">
        <v>3</v>
      </c>
      <c r="N2648">
        <v>93</v>
      </c>
      <c r="O2648">
        <v>1</v>
      </c>
      <c r="P2648">
        <v>7.4999999999999997E-2</v>
      </c>
      <c r="Q2648">
        <v>1</v>
      </c>
      <c r="R2648">
        <v>8.4999999999999995E-4</v>
      </c>
      <c r="T2648" t="s">
        <v>7475</v>
      </c>
    </row>
    <row r="2649" spans="1:20" x14ac:dyDescent="0.2">
      <c r="A2649" t="s">
        <v>7477</v>
      </c>
      <c r="B2649" t="s">
        <v>2022</v>
      </c>
      <c r="C2649" t="s">
        <v>2023</v>
      </c>
      <c r="D2649" t="s">
        <v>2024</v>
      </c>
      <c r="E2649" t="s">
        <v>7478</v>
      </c>
      <c r="F2649" t="s">
        <v>7479</v>
      </c>
      <c r="G2649">
        <v>3</v>
      </c>
      <c r="H2649">
        <v>1640</v>
      </c>
      <c r="I2649">
        <v>2</v>
      </c>
      <c r="J2649">
        <v>3.4</v>
      </c>
      <c r="K2649">
        <v>5</v>
      </c>
      <c r="L2649">
        <v>8.5999999999999993E-2</v>
      </c>
      <c r="M2649">
        <v>2</v>
      </c>
      <c r="N2649">
        <v>84</v>
      </c>
      <c r="O2649">
        <v>2</v>
      </c>
      <c r="P2649">
        <v>0.22500000000000001</v>
      </c>
      <c r="Q2649">
        <v>4</v>
      </c>
      <c r="R2649">
        <v>6.0000000000000001E-3</v>
      </c>
      <c r="T2649" t="s">
        <v>7478</v>
      </c>
    </row>
    <row r="2650" spans="1:20" x14ac:dyDescent="0.2">
      <c r="A2650" t="s">
        <v>7480</v>
      </c>
      <c r="B2650" t="s">
        <v>2022</v>
      </c>
      <c r="C2650" t="s">
        <v>2023</v>
      </c>
      <c r="D2650" t="s">
        <v>2024</v>
      </c>
      <c r="E2650" t="s">
        <v>7481</v>
      </c>
      <c r="F2650" t="s">
        <v>7482</v>
      </c>
      <c r="G2650">
        <v>4</v>
      </c>
      <c r="H2650">
        <v>1720</v>
      </c>
      <c r="I2650">
        <v>1</v>
      </c>
      <c r="J2650">
        <v>0.9</v>
      </c>
      <c r="K2650">
        <v>2</v>
      </c>
      <c r="L2650">
        <v>2.5999999999999999E-2</v>
      </c>
      <c r="M2650">
        <v>4</v>
      </c>
      <c r="N2650">
        <v>104</v>
      </c>
      <c r="O2650">
        <v>1</v>
      </c>
      <c r="P2650">
        <v>7.4999999999999997E-2</v>
      </c>
      <c r="Q2650">
        <v>1</v>
      </c>
      <c r="R2650">
        <v>5.0000000000000001E-4</v>
      </c>
      <c r="T2650" t="s">
        <v>7481</v>
      </c>
    </row>
    <row r="2651" spans="1:20" x14ac:dyDescent="0.2">
      <c r="A2651" t="s">
        <v>7483</v>
      </c>
      <c r="B2651" t="s">
        <v>2022</v>
      </c>
      <c r="C2651" t="s">
        <v>2023</v>
      </c>
      <c r="D2651" t="s">
        <v>2024</v>
      </c>
      <c r="E2651" t="s">
        <v>7484</v>
      </c>
      <c r="F2651" t="s">
        <v>7485</v>
      </c>
      <c r="G2651">
        <v>2</v>
      </c>
      <c r="H2651">
        <v>1560</v>
      </c>
      <c r="I2651">
        <v>2</v>
      </c>
      <c r="J2651">
        <v>3.4</v>
      </c>
      <c r="K2651">
        <v>2</v>
      </c>
      <c r="L2651">
        <v>2.5999999999999999E-2</v>
      </c>
      <c r="M2651">
        <v>2</v>
      </c>
      <c r="N2651">
        <v>84</v>
      </c>
      <c r="O2651">
        <v>1</v>
      </c>
      <c r="P2651">
        <v>7.4999999999999997E-2</v>
      </c>
      <c r="Q2651">
        <v>1</v>
      </c>
      <c r="R2651">
        <v>5.0000000000000001E-4</v>
      </c>
      <c r="T2651" t="s">
        <v>7484</v>
      </c>
    </row>
    <row r="2652" spans="1:20" x14ac:dyDescent="0.2">
      <c r="A2652" t="s">
        <v>7486</v>
      </c>
      <c r="B2652" t="s">
        <v>2022</v>
      </c>
      <c r="C2652" t="s">
        <v>2023</v>
      </c>
      <c r="D2652" t="s">
        <v>2024</v>
      </c>
      <c r="E2652" t="s">
        <v>7487</v>
      </c>
      <c r="F2652" t="s">
        <v>7488</v>
      </c>
      <c r="G2652">
        <v>4</v>
      </c>
      <c r="H2652">
        <v>1720</v>
      </c>
      <c r="I2652">
        <v>2</v>
      </c>
      <c r="J2652">
        <v>3.4</v>
      </c>
      <c r="K2652">
        <v>4</v>
      </c>
      <c r="L2652">
        <v>6.6000000000000003E-2</v>
      </c>
      <c r="M2652">
        <v>3</v>
      </c>
      <c r="N2652">
        <v>94</v>
      </c>
      <c r="O2652">
        <v>1</v>
      </c>
      <c r="P2652">
        <v>7.4999999999999997E-2</v>
      </c>
      <c r="Q2652">
        <v>3</v>
      </c>
      <c r="R2652">
        <v>4.0000000000000001E-3</v>
      </c>
      <c r="T2652" t="s">
        <v>7487</v>
      </c>
    </row>
    <row r="2653" spans="1:20" x14ac:dyDescent="0.2">
      <c r="A2653" t="s">
        <v>7489</v>
      </c>
      <c r="B2653" t="s">
        <v>2022</v>
      </c>
      <c r="C2653" t="s">
        <v>2101</v>
      </c>
      <c r="D2653" t="s">
        <v>2024</v>
      </c>
      <c r="E2653" t="s">
        <v>1566</v>
      </c>
      <c r="F2653" t="s">
        <v>7490</v>
      </c>
      <c r="G2653">
        <v>2</v>
      </c>
      <c r="H2653">
        <v>1670</v>
      </c>
      <c r="I2653">
        <v>3</v>
      </c>
      <c r="J2653">
        <v>8</v>
      </c>
      <c r="K2653">
        <v>2</v>
      </c>
      <c r="L2653">
        <v>9.6500000000000002E-2</v>
      </c>
      <c r="M2653">
        <v>1</v>
      </c>
      <c r="N2653">
        <v>66</v>
      </c>
      <c r="O2653">
        <v>3</v>
      </c>
      <c r="P2653">
        <v>0.375</v>
      </c>
      <c r="Q2653">
        <v>2</v>
      </c>
      <c r="R2653">
        <v>4.4999999999999997E-3</v>
      </c>
      <c r="T2653" t="s">
        <v>1566</v>
      </c>
    </row>
    <row r="2654" spans="1:20" x14ac:dyDescent="0.2">
      <c r="A2654" t="s">
        <v>7491</v>
      </c>
      <c r="B2654" t="s">
        <v>2022</v>
      </c>
      <c r="C2654" t="s">
        <v>2028</v>
      </c>
      <c r="D2654" t="s">
        <v>2024</v>
      </c>
      <c r="E2654" t="s">
        <v>7492</v>
      </c>
      <c r="F2654" t="s">
        <v>7493</v>
      </c>
      <c r="G2654">
        <v>2</v>
      </c>
      <c r="H2654">
        <v>850</v>
      </c>
      <c r="I2654">
        <v>2</v>
      </c>
      <c r="J2654">
        <v>1.55</v>
      </c>
      <c r="K2654">
        <v>1</v>
      </c>
      <c r="L2654">
        <v>4.0000000000000001E-3</v>
      </c>
      <c r="M2654">
        <v>5</v>
      </c>
      <c r="N2654">
        <v>500</v>
      </c>
      <c r="O2654">
        <v>5</v>
      </c>
      <c r="P2654">
        <v>1.35</v>
      </c>
      <c r="Q2654">
        <v>3</v>
      </c>
      <c r="R2654">
        <v>1.6250000000000001E-2</v>
      </c>
      <c r="T2654" t="s">
        <v>7492</v>
      </c>
    </row>
    <row r="2655" spans="1:20" x14ac:dyDescent="0.2">
      <c r="A2655" t="s">
        <v>7494</v>
      </c>
      <c r="B2655" t="s">
        <v>2022</v>
      </c>
      <c r="C2655" t="s">
        <v>2028</v>
      </c>
      <c r="D2655" t="s">
        <v>2024</v>
      </c>
      <c r="E2655" t="s">
        <v>7495</v>
      </c>
      <c r="F2655" t="s">
        <v>7496</v>
      </c>
      <c r="G2655">
        <v>2</v>
      </c>
      <c r="H2655">
        <v>850</v>
      </c>
      <c r="I2655">
        <v>2</v>
      </c>
      <c r="J2655">
        <v>1.55</v>
      </c>
      <c r="K2655">
        <v>2</v>
      </c>
      <c r="L2655">
        <v>4.4999999999999998E-2</v>
      </c>
      <c r="M2655">
        <v>5</v>
      </c>
      <c r="N2655">
        <v>500</v>
      </c>
      <c r="O2655">
        <v>4</v>
      </c>
      <c r="P2655">
        <v>1.05</v>
      </c>
      <c r="Q2655">
        <v>2</v>
      </c>
      <c r="R2655">
        <v>7.7499999999999999E-3</v>
      </c>
      <c r="T2655" t="s">
        <v>7495</v>
      </c>
    </row>
    <row r="2656" spans="1:20" x14ac:dyDescent="0.2">
      <c r="A2656" t="s">
        <v>7497</v>
      </c>
      <c r="B2656" t="s">
        <v>2022</v>
      </c>
      <c r="C2656" t="s">
        <v>2049</v>
      </c>
      <c r="D2656" t="s">
        <v>2024</v>
      </c>
      <c r="E2656" t="s">
        <v>7498</v>
      </c>
      <c r="F2656" t="s">
        <v>7499</v>
      </c>
      <c r="G2656">
        <v>3</v>
      </c>
      <c r="H2656">
        <v>1550</v>
      </c>
      <c r="I2656">
        <v>4</v>
      </c>
      <c r="J2656">
        <v>6.8</v>
      </c>
      <c r="K2656">
        <v>4</v>
      </c>
      <c r="L2656">
        <v>0.22</v>
      </c>
      <c r="M2656">
        <v>2</v>
      </c>
      <c r="N2656">
        <v>106</v>
      </c>
      <c r="O2656">
        <v>3</v>
      </c>
      <c r="P2656">
        <v>0.46</v>
      </c>
      <c r="Q2656">
        <v>3</v>
      </c>
      <c r="R2656">
        <v>1.52E-2</v>
      </c>
      <c r="T2656" t="s">
        <v>7498</v>
      </c>
    </row>
    <row r="2657" spans="1:20" x14ac:dyDescent="0.2">
      <c r="A2657" t="s">
        <v>7500</v>
      </c>
      <c r="B2657" t="s">
        <v>2022</v>
      </c>
      <c r="C2657" t="s">
        <v>2036</v>
      </c>
      <c r="D2657" t="s">
        <v>2024</v>
      </c>
      <c r="E2657" t="s">
        <v>7501</v>
      </c>
      <c r="F2657" t="s">
        <v>7502</v>
      </c>
      <c r="G2657">
        <v>3</v>
      </c>
      <c r="H2657">
        <v>1740</v>
      </c>
      <c r="I2657">
        <v>2</v>
      </c>
      <c r="J2657">
        <v>3.4</v>
      </c>
      <c r="K2657">
        <v>1</v>
      </c>
      <c r="L2657">
        <v>5.5E-2</v>
      </c>
      <c r="M2657">
        <v>2</v>
      </c>
      <c r="N2657">
        <v>82</v>
      </c>
      <c r="O2657">
        <v>2</v>
      </c>
      <c r="P2657">
        <v>0.20499999999999999</v>
      </c>
      <c r="Q2657">
        <v>2</v>
      </c>
      <c r="R2657">
        <v>4.2500000000000003E-3</v>
      </c>
      <c r="T2657" t="s">
        <v>7501</v>
      </c>
    </row>
    <row r="2658" spans="1:20" x14ac:dyDescent="0.2">
      <c r="A2658" t="s">
        <v>7503</v>
      </c>
      <c r="B2658" t="s">
        <v>2022</v>
      </c>
      <c r="C2658" t="s">
        <v>2101</v>
      </c>
      <c r="D2658" t="s">
        <v>2024</v>
      </c>
      <c r="E2658" t="s">
        <v>7504</v>
      </c>
      <c r="F2658" t="s">
        <v>7505</v>
      </c>
      <c r="G2658">
        <v>1</v>
      </c>
      <c r="H2658">
        <v>1570</v>
      </c>
      <c r="I2658">
        <v>3</v>
      </c>
      <c r="J2658">
        <v>8</v>
      </c>
      <c r="K2658">
        <v>3</v>
      </c>
      <c r="L2658">
        <v>0.24349999999999999</v>
      </c>
      <c r="M2658">
        <v>5</v>
      </c>
      <c r="N2658">
        <v>98</v>
      </c>
      <c r="O2658">
        <v>5</v>
      </c>
      <c r="P2658">
        <v>0.67500000000000004</v>
      </c>
      <c r="Q2658">
        <v>5</v>
      </c>
      <c r="R2658">
        <v>2.5499999999999998E-2</v>
      </c>
      <c r="T2658" t="s">
        <v>7504</v>
      </c>
    </row>
    <row r="2659" spans="1:20" x14ac:dyDescent="0.2">
      <c r="A2659" t="s">
        <v>7506</v>
      </c>
      <c r="B2659" t="s">
        <v>2022</v>
      </c>
      <c r="C2659" t="s">
        <v>2023</v>
      </c>
      <c r="D2659" t="s">
        <v>2024</v>
      </c>
      <c r="E2659" t="s">
        <v>357</v>
      </c>
      <c r="F2659" t="s">
        <v>7507</v>
      </c>
      <c r="G2659">
        <v>1</v>
      </c>
      <c r="H2659">
        <v>1480</v>
      </c>
      <c r="I2659">
        <v>3</v>
      </c>
      <c r="J2659">
        <v>5.9</v>
      </c>
      <c r="K2659">
        <v>5</v>
      </c>
      <c r="L2659">
        <v>8.5999999999999993E-2</v>
      </c>
      <c r="M2659">
        <v>5</v>
      </c>
      <c r="N2659">
        <v>114</v>
      </c>
      <c r="O2659">
        <v>5</v>
      </c>
      <c r="P2659">
        <v>0.67500000000000004</v>
      </c>
      <c r="Q2659">
        <v>5</v>
      </c>
      <c r="R2659">
        <v>8.0000000000000002E-3</v>
      </c>
      <c r="T2659" t="s">
        <v>357</v>
      </c>
    </row>
    <row r="2660" spans="1:20" x14ac:dyDescent="0.2">
      <c r="A2660" t="s">
        <v>7508</v>
      </c>
      <c r="B2660" t="s">
        <v>2022</v>
      </c>
      <c r="C2660" t="s">
        <v>2053</v>
      </c>
      <c r="D2660" t="s">
        <v>2024</v>
      </c>
      <c r="E2660" t="s">
        <v>7509</v>
      </c>
      <c r="F2660" t="s">
        <v>7510</v>
      </c>
      <c r="G2660">
        <v>3</v>
      </c>
      <c r="H2660">
        <v>1700</v>
      </c>
      <c r="I2660">
        <v>4</v>
      </c>
      <c r="J2660">
        <v>9.0500000000000007</v>
      </c>
      <c r="K2660">
        <v>3</v>
      </c>
      <c r="L2660">
        <v>0.19500000000000001</v>
      </c>
      <c r="M2660">
        <v>4</v>
      </c>
      <c r="N2660">
        <v>103</v>
      </c>
      <c r="O2660">
        <v>4</v>
      </c>
      <c r="P2660">
        <v>0.52500000000000002</v>
      </c>
      <c r="Q2660">
        <v>3</v>
      </c>
      <c r="R2660">
        <v>1.2200000000000001E-2</v>
      </c>
      <c r="T2660" t="s">
        <v>7509</v>
      </c>
    </row>
    <row r="2661" spans="1:20" x14ac:dyDescent="0.2">
      <c r="A2661" t="s">
        <v>7511</v>
      </c>
      <c r="B2661" t="s">
        <v>2022</v>
      </c>
      <c r="C2661" t="s">
        <v>2095</v>
      </c>
      <c r="D2661" t="s">
        <v>2024</v>
      </c>
      <c r="E2661" t="s">
        <v>7512</v>
      </c>
      <c r="F2661" t="s">
        <v>7513</v>
      </c>
      <c r="G2661">
        <v>1</v>
      </c>
      <c r="H2661">
        <v>1565</v>
      </c>
      <c r="I2661">
        <v>3</v>
      </c>
      <c r="J2661">
        <v>10.5</v>
      </c>
      <c r="K2661">
        <v>3</v>
      </c>
      <c r="L2661">
        <v>0.33</v>
      </c>
      <c r="M2661">
        <v>1</v>
      </c>
      <c r="N2661">
        <v>74</v>
      </c>
      <c r="O2661">
        <v>3</v>
      </c>
      <c r="P2661">
        <v>0.55000000000000004</v>
      </c>
      <c r="Q2661">
        <v>3</v>
      </c>
      <c r="R2661">
        <v>1.49E-2</v>
      </c>
      <c r="T2661" t="s">
        <v>7512</v>
      </c>
    </row>
    <row r="2662" spans="1:20" x14ac:dyDescent="0.2">
      <c r="A2662" t="s">
        <v>7514</v>
      </c>
      <c r="B2662" t="s">
        <v>2022</v>
      </c>
      <c r="C2662" t="s">
        <v>2095</v>
      </c>
      <c r="D2662" t="s">
        <v>2024</v>
      </c>
      <c r="E2662" t="s">
        <v>258</v>
      </c>
      <c r="F2662" t="s">
        <v>7513</v>
      </c>
      <c r="G2662">
        <v>2</v>
      </c>
      <c r="H2662">
        <v>1655</v>
      </c>
      <c r="I2662">
        <v>5</v>
      </c>
      <c r="J2662">
        <v>16.5</v>
      </c>
      <c r="K2662">
        <v>4</v>
      </c>
      <c r="L2662">
        <v>0.53</v>
      </c>
      <c r="M2662">
        <v>3</v>
      </c>
      <c r="N2662">
        <v>86</v>
      </c>
      <c r="O2662">
        <v>4</v>
      </c>
      <c r="P2662">
        <v>0.75</v>
      </c>
      <c r="Q2662">
        <v>5</v>
      </c>
      <c r="R2662">
        <v>3.2899999999999999E-2</v>
      </c>
      <c r="T2662" t="s">
        <v>258</v>
      </c>
    </row>
    <row r="2663" spans="1:20" x14ac:dyDescent="0.2">
      <c r="A2663" t="s">
        <v>7515</v>
      </c>
      <c r="B2663" t="s">
        <v>2022</v>
      </c>
      <c r="C2663" t="s">
        <v>2095</v>
      </c>
      <c r="D2663" t="s">
        <v>2024</v>
      </c>
      <c r="E2663" t="s">
        <v>7516</v>
      </c>
      <c r="F2663" t="s">
        <v>7513</v>
      </c>
      <c r="G2663">
        <v>1</v>
      </c>
      <c r="H2663">
        <v>1565</v>
      </c>
      <c r="I2663">
        <v>3</v>
      </c>
      <c r="J2663">
        <v>10.5</v>
      </c>
      <c r="K2663">
        <v>3</v>
      </c>
      <c r="L2663">
        <v>0.33</v>
      </c>
      <c r="M2663">
        <v>3</v>
      </c>
      <c r="N2663">
        <v>86</v>
      </c>
      <c r="O2663">
        <v>3</v>
      </c>
      <c r="P2663">
        <v>0.55000000000000004</v>
      </c>
      <c r="Q2663">
        <v>4</v>
      </c>
      <c r="R2663">
        <v>2.3900000000000001E-2</v>
      </c>
      <c r="T2663" t="s">
        <v>7516</v>
      </c>
    </row>
    <row r="2664" spans="1:20" x14ac:dyDescent="0.2">
      <c r="A2664" t="s">
        <v>7517</v>
      </c>
      <c r="B2664" t="s">
        <v>2022</v>
      </c>
      <c r="C2664" t="s">
        <v>2095</v>
      </c>
      <c r="D2664" t="s">
        <v>2024</v>
      </c>
      <c r="E2664" t="s">
        <v>7518</v>
      </c>
      <c r="F2664" t="s">
        <v>7513</v>
      </c>
      <c r="G2664">
        <v>2</v>
      </c>
      <c r="H2664">
        <v>1655</v>
      </c>
      <c r="I2664">
        <v>3</v>
      </c>
      <c r="J2664">
        <v>10.5</v>
      </c>
      <c r="K2664">
        <v>3</v>
      </c>
      <c r="L2664">
        <v>0.33</v>
      </c>
      <c r="M2664">
        <v>1</v>
      </c>
      <c r="N2664">
        <v>74</v>
      </c>
      <c r="O2664">
        <v>3</v>
      </c>
      <c r="P2664">
        <v>0.55000000000000004</v>
      </c>
      <c r="Q2664">
        <v>3</v>
      </c>
      <c r="R2664">
        <v>1.49E-2</v>
      </c>
      <c r="T2664" t="s">
        <v>7518</v>
      </c>
    </row>
    <row r="2665" spans="1:20" x14ac:dyDescent="0.2">
      <c r="A2665" t="s">
        <v>7519</v>
      </c>
      <c r="B2665" t="s">
        <v>2022</v>
      </c>
      <c r="C2665" t="s">
        <v>2095</v>
      </c>
      <c r="D2665" t="s">
        <v>2024</v>
      </c>
      <c r="E2665" t="s">
        <v>7520</v>
      </c>
      <c r="F2665" t="s">
        <v>7513</v>
      </c>
      <c r="G2665">
        <v>1</v>
      </c>
      <c r="H2665">
        <v>1565</v>
      </c>
      <c r="I2665">
        <v>3</v>
      </c>
      <c r="J2665">
        <v>10.5</v>
      </c>
      <c r="K2665">
        <v>3</v>
      </c>
      <c r="L2665">
        <v>0.33</v>
      </c>
      <c r="M2665">
        <v>1</v>
      </c>
      <c r="N2665">
        <v>74</v>
      </c>
      <c r="O2665">
        <v>3</v>
      </c>
      <c r="P2665">
        <v>0.55000000000000004</v>
      </c>
      <c r="Q2665">
        <v>3</v>
      </c>
      <c r="R2665">
        <v>1.49E-2</v>
      </c>
      <c r="T2665" t="s">
        <v>7520</v>
      </c>
    </row>
    <row r="2666" spans="1:20" x14ac:dyDescent="0.2">
      <c r="A2666" t="s">
        <v>7521</v>
      </c>
      <c r="B2666" t="s">
        <v>2022</v>
      </c>
      <c r="C2666" t="s">
        <v>2095</v>
      </c>
      <c r="D2666" t="s">
        <v>2024</v>
      </c>
      <c r="E2666" t="s">
        <v>7522</v>
      </c>
      <c r="F2666" t="s">
        <v>7523</v>
      </c>
      <c r="G2666">
        <v>3</v>
      </c>
      <c r="H2666">
        <v>1745</v>
      </c>
      <c r="I2666">
        <v>1</v>
      </c>
      <c r="J2666">
        <v>4.5</v>
      </c>
      <c r="K2666">
        <v>1</v>
      </c>
      <c r="L2666">
        <v>1.4999999999999999E-2</v>
      </c>
      <c r="M2666">
        <v>4</v>
      </c>
      <c r="N2666">
        <v>92</v>
      </c>
      <c r="O2666">
        <v>1</v>
      </c>
      <c r="P2666">
        <v>0.15</v>
      </c>
      <c r="Q2666">
        <v>1</v>
      </c>
      <c r="R2666">
        <v>6.9999999999999999E-4</v>
      </c>
      <c r="T2666" t="s">
        <v>7522</v>
      </c>
    </row>
    <row r="2667" spans="1:20" x14ac:dyDescent="0.2">
      <c r="A2667" t="s">
        <v>7524</v>
      </c>
      <c r="B2667" t="s">
        <v>2022</v>
      </c>
      <c r="C2667" t="s">
        <v>2053</v>
      </c>
      <c r="D2667" t="s">
        <v>2024</v>
      </c>
      <c r="E2667" t="s">
        <v>7525</v>
      </c>
      <c r="F2667" t="s">
        <v>447</v>
      </c>
      <c r="G2667">
        <v>2</v>
      </c>
      <c r="H2667">
        <v>1600</v>
      </c>
      <c r="I2667">
        <v>3</v>
      </c>
      <c r="J2667">
        <v>6.55</v>
      </c>
      <c r="K2667">
        <v>2</v>
      </c>
      <c r="L2667">
        <v>8.5000000000000006E-2</v>
      </c>
      <c r="M2667">
        <v>2</v>
      </c>
      <c r="N2667">
        <v>83</v>
      </c>
      <c r="O2667">
        <v>3</v>
      </c>
      <c r="P2667">
        <v>0.375</v>
      </c>
      <c r="Q2667">
        <v>2</v>
      </c>
      <c r="R2667">
        <v>5.1999999999999998E-3</v>
      </c>
      <c r="T2667" t="s">
        <v>7525</v>
      </c>
    </row>
    <row r="2668" spans="1:20" x14ac:dyDescent="0.2">
      <c r="A2668" t="s">
        <v>7526</v>
      </c>
      <c r="B2668" t="s">
        <v>2022</v>
      </c>
      <c r="C2668" t="s">
        <v>2023</v>
      </c>
      <c r="D2668" t="s">
        <v>2024</v>
      </c>
      <c r="E2668" t="s">
        <v>7527</v>
      </c>
      <c r="F2668" t="s">
        <v>447</v>
      </c>
      <c r="G2668">
        <v>1</v>
      </c>
      <c r="H2668">
        <v>1480</v>
      </c>
      <c r="I2668">
        <v>3</v>
      </c>
      <c r="J2668">
        <v>5.9</v>
      </c>
      <c r="K2668">
        <v>5</v>
      </c>
      <c r="L2668">
        <v>8.5999999999999993E-2</v>
      </c>
      <c r="M2668">
        <v>1</v>
      </c>
      <c r="N2668">
        <v>74</v>
      </c>
      <c r="O2668">
        <v>2</v>
      </c>
      <c r="P2668">
        <v>0.22500000000000001</v>
      </c>
      <c r="Q2668">
        <v>5</v>
      </c>
      <c r="R2668">
        <v>8.0000000000000002E-3</v>
      </c>
      <c r="T2668" t="s">
        <v>7527</v>
      </c>
    </row>
    <row r="2669" spans="1:20" x14ac:dyDescent="0.2">
      <c r="A2669" t="s">
        <v>7528</v>
      </c>
      <c r="B2669" t="s">
        <v>2022</v>
      </c>
      <c r="C2669" t="s">
        <v>2053</v>
      </c>
      <c r="D2669" t="s">
        <v>2024</v>
      </c>
      <c r="E2669" t="s">
        <v>7529</v>
      </c>
      <c r="F2669" t="s">
        <v>447</v>
      </c>
      <c r="G2669">
        <v>2</v>
      </c>
      <c r="H2669">
        <v>1600</v>
      </c>
      <c r="I2669">
        <v>1</v>
      </c>
      <c r="J2669">
        <v>1.55</v>
      </c>
      <c r="K2669">
        <v>2</v>
      </c>
      <c r="L2669">
        <v>8.5000000000000006E-2</v>
      </c>
      <c r="M2669">
        <v>2</v>
      </c>
      <c r="N2669">
        <v>83</v>
      </c>
      <c r="O2669">
        <v>1</v>
      </c>
      <c r="P2669">
        <v>7.4999999999999997E-2</v>
      </c>
      <c r="Q2669">
        <v>2</v>
      </c>
      <c r="R2669">
        <v>5.1999999999999998E-3</v>
      </c>
      <c r="T2669" t="s">
        <v>7529</v>
      </c>
    </row>
    <row r="2670" spans="1:20" x14ac:dyDescent="0.2">
      <c r="A2670" t="s">
        <v>7530</v>
      </c>
      <c r="B2670" t="s">
        <v>2022</v>
      </c>
      <c r="C2670" t="s">
        <v>2028</v>
      </c>
      <c r="D2670" t="s">
        <v>2024</v>
      </c>
      <c r="E2670" t="s">
        <v>7531</v>
      </c>
      <c r="F2670" t="s">
        <v>7532</v>
      </c>
      <c r="G2670">
        <v>5</v>
      </c>
      <c r="H2670">
        <v>1450</v>
      </c>
      <c r="I2670">
        <v>5</v>
      </c>
      <c r="J2670">
        <v>6.65</v>
      </c>
      <c r="K2670">
        <v>5</v>
      </c>
      <c r="L2670">
        <v>0.26700000000000002</v>
      </c>
      <c r="M2670">
        <v>1</v>
      </c>
      <c r="N2670">
        <v>100</v>
      </c>
      <c r="O2670">
        <v>2</v>
      </c>
      <c r="P2670">
        <v>0.45</v>
      </c>
      <c r="Q2670">
        <v>3</v>
      </c>
      <c r="R2670">
        <v>1.6250000000000001E-2</v>
      </c>
      <c r="T2670" t="s">
        <v>7531</v>
      </c>
    </row>
    <row r="2671" spans="1:20" x14ac:dyDescent="0.2">
      <c r="A2671" t="s">
        <v>7533</v>
      </c>
      <c r="B2671" t="s">
        <v>2022</v>
      </c>
      <c r="C2671" t="s">
        <v>2036</v>
      </c>
      <c r="D2671" t="s">
        <v>2024</v>
      </c>
      <c r="E2671" t="s">
        <v>7534</v>
      </c>
      <c r="F2671" t="s">
        <v>7535</v>
      </c>
      <c r="G2671">
        <v>2</v>
      </c>
      <c r="H2671">
        <v>1640</v>
      </c>
      <c r="I2671">
        <v>2</v>
      </c>
      <c r="J2671">
        <v>3.4</v>
      </c>
      <c r="K2671">
        <v>1</v>
      </c>
      <c r="L2671">
        <v>5.5E-2</v>
      </c>
      <c r="M2671">
        <v>2</v>
      </c>
      <c r="N2671">
        <v>82</v>
      </c>
      <c r="O2671">
        <v>2</v>
      </c>
      <c r="P2671">
        <v>0.20499999999999999</v>
      </c>
      <c r="Q2671">
        <v>1</v>
      </c>
      <c r="R2671">
        <v>1.5E-3</v>
      </c>
      <c r="T2671" t="s">
        <v>7534</v>
      </c>
    </row>
    <row r="2672" spans="1:20" x14ac:dyDescent="0.2">
      <c r="A2672" t="s">
        <v>7536</v>
      </c>
      <c r="B2672" t="s">
        <v>2022</v>
      </c>
      <c r="C2672" t="s">
        <v>2023</v>
      </c>
      <c r="D2672" t="s">
        <v>2024</v>
      </c>
      <c r="E2672" t="s">
        <v>7537</v>
      </c>
      <c r="F2672" t="s">
        <v>7538</v>
      </c>
      <c r="G2672">
        <v>2</v>
      </c>
      <c r="H2672">
        <v>1560</v>
      </c>
      <c r="I2672">
        <v>2</v>
      </c>
      <c r="J2672">
        <v>3.4</v>
      </c>
      <c r="K2672">
        <v>3</v>
      </c>
      <c r="L2672">
        <v>4.5999999999999999E-2</v>
      </c>
      <c r="M2672">
        <v>1</v>
      </c>
      <c r="N2672">
        <v>74</v>
      </c>
      <c r="O2672">
        <v>1</v>
      </c>
      <c r="P2672">
        <v>7.4999999999999997E-2</v>
      </c>
      <c r="Q2672">
        <v>2</v>
      </c>
      <c r="R2672">
        <v>2E-3</v>
      </c>
      <c r="T2672" t="s">
        <v>7537</v>
      </c>
    </row>
    <row r="2673" spans="1:20" x14ac:dyDescent="0.2">
      <c r="A2673" t="s">
        <v>7539</v>
      </c>
      <c r="B2673" t="s">
        <v>2022</v>
      </c>
      <c r="C2673" t="s">
        <v>2036</v>
      </c>
      <c r="D2673" t="s">
        <v>2024</v>
      </c>
      <c r="E2673" t="s">
        <v>7540</v>
      </c>
      <c r="F2673" t="s">
        <v>7541</v>
      </c>
      <c r="G2673">
        <v>3</v>
      </c>
      <c r="H2673">
        <v>1740</v>
      </c>
      <c r="I2673">
        <v>2</v>
      </c>
      <c r="J2673">
        <v>3.4</v>
      </c>
      <c r="K2673">
        <v>2</v>
      </c>
      <c r="L2673">
        <v>8.5000000000000006E-2</v>
      </c>
      <c r="M2673">
        <v>2</v>
      </c>
      <c r="N2673">
        <v>82</v>
      </c>
      <c r="O2673">
        <v>1</v>
      </c>
      <c r="P2673">
        <v>9.5000000000000001E-2</v>
      </c>
      <c r="Q2673">
        <v>2</v>
      </c>
      <c r="R2673">
        <v>4.2500000000000003E-3</v>
      </c>
      <c r="T2673" t="s">
        <v>7540</v>
      </c>
    </row>
    <row r="2674" spans="1:20" x14ac:dyDescent="0.2">
      <c r="A2674" t="s">
        <v>7542</v>
      </c>
      <c r="B2674" t="s">
        <v>2022</v>
      </c>
      <c r="C2674" t="s">
        <v>2023</v>
      </c>
      <c r="E2674" t="s">
        <v>7543</v>
      </c>
      <c r="F2674" t="s">
        <v>7544</v>
      </c>
      <c r="G2674">
        <v>4</v>
      </c>
      <c r="H2674">
        <v>1720</v>
      </c>
      <c r="I2674">
        <v>5</v>
      </c>
      <c r="J2674">
        <v>10.9</v>
      </c>
      <c r="K2674">
        <v>5</v>
      </c>
      <c r="L2674">
        <v>0.33300000000000002</v>
      </c>
      <c r="M2674">
        <v>1</v>
      </c>
      <c r="N2674">
        <v>74</v>
      </c>
      <c r="O2674">
        <v>4</v>
      </c>
      <c r="P2674">
        <v>0.52500000000000002</v>
      </c>
      <c r="Q2674">
        <v>5</v>
      </c>
      <c r="R2674">
        <v>2.1999999999999999E-2</v>
      </c>
      <c r="T2674" t="s">
        <v>7543</v>
      </c>
    </row>
    <row r="2675" spans="1:20" x14ac:dyDescent="0.2">
      <c r="A2675" t="s">
        <v>7545</v>
      </c>
      <c r="B2675" t="s">
        <v>2022</v>
      </c>
      <c r="C2675" t="s">
        <v>2101</v>
      </c>
      <c r="D2675" t="s">
        <v>2024</v>
      </c>
      <c r="E2675" t="s">
        <v>7546</v>
      </c>
      <c r="F2675" t="s">
        <v>7547</v>
      </c>
      <c r="G2675">
        <v>5</v>
      </c>
      <c r="H2675">
        <v>1970</v>
      </c>
      <c r="I2675">
        <v>5</v>
      </c>
      <c r="J2675">
        <v>14</v>
      </c>
      <c r="K2675">
        <v>5</v>
      </c>
      <c r="L2675">
        <v>0.53749999999999998</v>
      </c>
      <c r="M2675">
        <v>5</v>
      </c>
      <c r="N2675">
        <v>98</v>
      </c>
      <c r="O2675">
        <v>5</v>
      </c>
      <c r="P2675">
        <v>0.67500000000000004</v>
      </c>
      <c r="Q2675">
        <v>5</v>
      </c>
      <c r="R2675">
        <v>2.5499999999999998E-2</v>
      </c>
      <c r="T2675" t="s">
        <v>7546</v>
      </c>
    </row>
    <row r="2676" spans="1:20" x14ac:dyDescent="0.2">
      <c r="A2676" t="s">
        <v>7548</v>
      </c>
      <c r="B2676" t="s">
        <v>2022</v>
      </c>
      <c r="C2676" t="s">
        <v>2023</v>
      </c>
      <c r="D2676" t="s">
        <v>2024</v>
      </c>
      <c r="E2676" t="s">
        <v>7549</v>
      </c>
      <c r="F2676" t="s">
        <v>7550</v>
      </c>
      <c r="G2676">
        <v>4</v>
      </c>
      <c r="H2676">
        <v>1720</v>
      </c>
      <c r="I2676">
        <v>4</v>
      </c>
      <c r="J2676">
        <v>8.4</v>
      </c>
      <c r="K2676">
        <v>5</v>
      </c>
      <c r="L2676">
        <v>8.5999999999999993E-2</v>
      </c>
      <c r="M2676">
        <v>3</v>
      </c>
      <c r="N2676">
        <v>94</v>
      </c>
      <c r="O2676">
        <v>3</v>
      </c>
      <c r="P2676">
        <v>0.375</v>
      </c>
      <c r="Q2676">
        <v>5</v>
      </c>
      <c r="R2676">
        <v>8.0000000000000002E-3</v>
      </c>
      <c r="T2676" t="s">
        <v>7549</v>
      </c>
    </row>
    <row r="2677" spans="1:20" x14ac:dyDescent="0.2">
      <c r="A2677" t="s">
        <v>7551</v>
      </c>
      <c r="B2677" t="s">
        <v>2022</v>
      </c>
      <c r="C2677" t="s">
        <v>2053</v>
      </c>
      <c r="D2677" t="s">
        <v>2024</v>
      </c>
      <c r="E2677" t="s">
        <v>7552</v>
      </c>
      <c r="F2677" t="s">
        <v>7553</v>
      </c>
      <c r="G2677">
        <v>1</v>
      </c>
      <c r="H2677">
        <v>1500</v>
      </c>
      <c r="I2677">
        <v>1</v>
      </c>
      <c r="J2677">
        <v>1.55</v>
      </c>
      <c r="K2677">
        <v>1</v>
      </c>
      <c r="L2677">
        <v>1.4999999999999999E-2</v>
      </c>
      <c r="M2677">
        <v>1</v>
      </c>
      <c r="N2677">
        <v>73</v>
      </c>
      <c r="O2677">
        <v>1</v>
      </c>
      <c r="P2677">
        <v>7.4999999999999997E-2</v>
      </c>
      <c r="Q2677">
        <v>1</v>
      </c>
      <c r="R2677">
        <v>8.4999999999999995E-4</v>
      </c>
      <c r="T2677" t="s">
        <v>7552</v>
      </c>
    </row>
    <row r="2678" spans="1:20" x14ac:dyDescent="0.2">
      <c r="A2678" t="s">
        <v>7554</v>
      </c>
      <c r="B2678" t="s">
        <v>2022</v>
      </c>
      <c r="C2678" t="s">
        <v>2049</v>
      </c>
      <c r="D2678" t="s">
        <v>2136</v>
      </c>
      <c r="E2678" t="s">
        <v>7555</v>
      </c>
      <c r="F2678" t="s">
        <v>7556</v>
      </c>
      <c r="G2678">
        <v>4</v>
      </c>
      <c r="H2678">
        <v>1650</v>
      </c>
      <c r="I2678">
        <v>2</v>
      </c>
      <c r="J2678">
        <v>3.2</v>
      </c>
      <c r="K2678">
        <v>2</v>
      </c>
      <c r="L2678">
        <v>0.06</v>
      </c>
      <c r="M2678">
        <v>2</v>
      </c>
      <c r="N2678">
        <v>106</v>
      </c>
      <c r="O2678">
        <v>2</v>
      </c>
      <c r="P2678">
        <v>0.26</v>
      </c>
      <c r="Q2678">
        <v>1</v>
      </c>
      <c r="R2678">
        <v>8.4999999999999995E-4</v>
      </c>
      <c r="T2678" t="s">
        <v>7555</v>
      </c>
    </row>
    <row r="2679" spans="1:20" x14ac:dyDescent="0.2">
      <c r="A2679" t="s">
        <v>7557</v>
      </c>
      <c r="B2679" t="s">
        <v>2022</v>
      </c>
      <c r="C2679" t="s">
        <v>2049</v>
      </c>
      <c r="D2679" t="s">
        <v>2136</v>
      </c>
      <c r="E2679" t="s">
        <v>7555</v>
      </c>
      <c r="F2679" t="s">
        <v>7556</v>
      </c>
      <c r="G2679">
        <v>3</v>
      </c>
      <c r="H2679">
        <v>1550</v>
      </c>
      <c r="I2679">
        <v>1</v>
      </c>
      <c r="J2679">
        <v>1.4</v>
      </c>
      <c r="K2679">
        <v>1</v>
      </c>
      <c r="L2679">
        <v>0.01</v>
      </c>
      <c r="M2679">
        <v>2</v>
      </c>
      <c r="N2679">
        <v>106</v>
      </c>
      <c r="O2679">
        <v>1</v>
      </c>
      <c r="P2679">
        <v>0.06</v>
      </c>
      <c r="Q2679">
        <v>1</v>
      </c>
      <c r="R2679">
        <v>8.4999999999999995E-4</v>
      </c>
      <c r="T2679" t="s">
        <v>7555</v>
      </c>
    </row>
    <row r="2680" spans="1:20" x14ac:dyDescent="0.2">
      <c r="A2680" t="s">
        <v>7558</v>
      </c>
      <c r="B2680" t="s">
        <v>2022</v>
      </c>
      <c r="C2680" t="s">
        <v>2023</v>
      </c>
      <c r="D2680" t="s">
        <v>2024</v>
      </c>
      <c r="E2680" t="s">
        <v>7559</v>
      </c>
      <c r="F2680" t="s">
        <v>7560</v>
      </c>
      <c r="G2680">
        <v>5</v>
      </c>
      <c r="H2680">
        <v>1800</v>
      </c>
      <c r="I2680">
        <v>5</v>
      </c>
      <c r="J2680">
        <v>10.9</v>
      </c>
      <c r="K2680">
        <v>5</v>
      </c>
      <c r="L2680">
        <v>8.5999999999999993E-2</v>
      </c>
      <c r="M2680">
        <v>2</v>
      </c>
      <c r="N2680">
        <v>84</v>
      </c>
      <c r="O2680">
        <v>4</v>
      </c>
      <c r="P2680">
        <v>0.52500000000000002</v>
      </c>
      <c r="Q2680">
        <v>5</v>
      </c>
      <c r="R2680">
        <v>8.0000000000000002E-3</v>
      </c>
      <c r="T2680" t="s">
        <v>7559</v>
      </c>
    </row>
    <row r="2681" spans="1:20" x14ac:dyDescent="0.2">
      <c r="A2681" t="s">
        <v>7561</v>
      </c>
      <c r="B2681" t="s">
        <v>2022</v>
      </c>
      <c r="C2681" t="s">
        <v>2023</v>
      </c>
      <c r="D2681" t="s">
        <v>2024</v>
      </c>
      <c r="E2681" t="s">
        <v>7562</v>
      </c>
      <c r="F2681" t="s">
        <v>7563</v>
      </c>
      <c r="G2681">
        <v>3</v>
      </c>
      <c r="H2681">
        <v>1640</v>
      </c>
      <c r="I2681">
        <v>2</v>
      </c>
      <c r="J2681">
        <v>3.4</v>
      </c>
      <c r="K2681">
        <v>4</v>
      </c>
      <c r="L2681">
        <v>6.6000000000000003E-2</v>
      </c>
      <c r="M2681">
        <v>2</v>
      </c>
      <c r="N2681">
        <v>84</v>
      </c>
      <c r="O2681">
        <v>1</v>
      </c>
      <c r="P2681">
        <v>7.4999999999999997E-2</v>
      </c>
      <c r="Q2681">
        <v>3</v>
      </c>
      <c r="R2681">
        <v>4.0000000000000001E-3</v>
      </c>
      <c r="T2681" t="s">
        <v>7562</v>
      </c>
    </row>
    <row r="2682" spans="1:20" x14ac:dyDescent="0.2">
      <c r="A2682" t="s">
        <v>7564</v>
      </c>
      <c r="B2682" t="s">
        <v>2022</v>
      </c>
      <c r="C2682" t="s">
        <v>2023</v>
      </c>
      <c r="D2682" t="s">
        <v>2136</v>
      </c>
      <c r="E2682" t="s">
        <v>7565</v>
      </c>
      <c r="F2682" t="s">
        <v>7566</v>
      </c>
      <c r="G2682">
        <v>1</v>
      </c>
      <c r="H2682">
        <v>1480</v>
      </c>
      <c r="I2682">
        <v>3</v>
      </c>
      <c r="J2682">
        <v>5.9</v>
      </c>
      <c r="K2682">
        <v>5</v>
      </c>
      <c r="L2682">
        <v>8.5999999999999993E-2</v>
      </c>
      <c r="M2682">
        <v>5</v>
      </c>
      <c r="N2682">
        <v>114</v>
      </c>
      <c r="O2682">
        <v>4</v>
      </c>
      <c r="P2682">
        <v>0.52500000000000002</v>
      </c>
      <c r="Q2682">
        <v>5</v>
      </c>
      <c r="R2682">
        <v>8.0000000000000002E-3</v>
      </c>
      <c r="T2682" t="s">
        <v>7565</v>
      </c>
    </row>
    <row r="2683" spans="1:20" x14ac:dyDescent="0.2">
      <c r="A2683" t="s">
        <v>7567</v>
      </c>
      <c r="B2683" t="s">
        <v>2022</v>
      </c>
      <c r="C2683" t="s">
        <v>2023</v>
      </c>
      <c r="D2683" t="s">
        <v>2024</v>
      </c>
      <c r="E2683" t="s">
        <v>280</v>
      </c>
      <c r="F2683" t="s">
        <v>7568</v>
      </c>
      <c r="G2683">
        <v>1</v>
      </c>
      <c r="H2683">
        <v>1480</v>
      </c>
      <c r="I2683">
        <v>1</v>
      </c>
      <c r="J2683">
        <v>0.9</v>
      </c>
      <c r="K2683">
        <v>2</v>
      </c>
      <c r="L2683">
        <v>2.5999999999999999E-2</v>
      </c>
      <c r="M2683">
        <v>1</v>
      </c>
      <c r="N2683">
        <v>74</v>
      </c>
      <c r="O2683">
        <v>1</v>
      </c>
      <c r="P2683">
        <v>7.4999999999999997E-2</v>
      </c>
      <c r="Q2683">
        <v>2</v>
      </c>
      <c r="R2683">
        <v>2E-3</v>
      </c>
      <c r="T2683" t="s">
        <v>280</v>
      </c>
    </row>
    <row r="2684" spans="1:20" x14ac:dyDescent="0.2">
      <c r="A2684" t="s">
        <v>7569</v>
      </c>
      <c r="B2684" t="s">
        <v>2022</v>
      </c>
      <c r="C2684" t="s">
        <v>2023</v>
      </c>
      <c r="D2684" t="s">
        <v>2024</v>
      </c>
      <c r="E2684" t="s">
        <v>7570</v>
      </c>
      <c r="F2684" t="s">
        <v>7571</v>
      </c>
      <c r="G2684">
        <v>5</v>
      </c>
      <c r="H2684">
        <v>1800</v>
      </c>
      <c r="I2684">
        <v>2</v>
      </c>
      <c r="J2684">
        <v>3.4</v>
      </c>
      <c r="K2684">
        <v>2</v>
      </c>
      <c r="L2684">
        <v>2.5999999999999999E-2</v>
      </c>
      <c r="M2684">
        <v>2</v>
      </c>
      <c r="N2684">
        <v>84</v>
      </c>
      <c r="O2684">
        <v>1</v>
      </c>
      <c r="P2684">
        <v>7.4999999999999997E-2</v>
      </c>
      <c r="Q2684">
        <v>1</v>
      </c>
      <c r="R2684">
        <v>5.0000000000000001E-4</v>
      </c>
      <c r="T2684" t="s">
        <v>7570</v>
      </c>
    </row>
    <row r="2685" spans="1:20" x14ac:dyDescent="0.2">
      <c r="A2685" t="s">
        <v>7572</v>
      </c>
      <c r="B2685" t="s">
        <v>2022</v>
      </c>
      <c r="C2685" t="s">
        <v>2023</v>
      </c>
      <c r="D2685" t="s">
        <v>2024</v>
      </c>
      <c r="E2685" t="s">
        <v>7573</v>
      </c>
      <c r="F2685" t="s">
        <v>7574</v>
      </c>
      <c r="G2685">
        <v>2</v>
      </c>
      <c r="H2685">
        <v>1560</v>
      </c>
      <c r="I2685">
        <v>2</v>
      </c>
      <c r="J2685">
        <v>3.4</v>
      </c>
      <c r="K2685">
        <v>5</v>
      </c>
      <c r="L2685">
        <v>8.5999999999999993E-2</v>
      </c>
      <c r="M2685">
        <v>2</v>
      </c>
      <c r="N2685">
        <v>84</v>
      </c>
      <c r="O2685">
        <v>2</v>
      </c>
      <c r="P2685">
        <v>0.22500000000000001</v>
      </c>
      <c r="Q2685">
        <v>4</v>
      </c>
      <c r="R2685">
        <v>6.0000000000000001E-3</v>
      </c>
      <c r="T2685" t="s">
        <v>7573</v>
      </c>
    </row>
    <row r="2686" spans="1:20" x14ac:dyDescent="0.2">
      <c r="A2686" t="s">
        <v>7575</v>
      </c>
      <c r="B2686" t="s">
        <v>2022</v>
      </c>
      <c r="C2686" t="s">
        <v>2023</v>
      </c>
      <c r="D2686" t="s">
        <v>2024</v>
      </c>
      <c r="E2686" t="s">
        <v>7576</v>
      </c>
      <c r="F2686" t="s">
        <v>7577</v>
      </c>
      <c r="G2686">
        <v>3</v>
      </c>
      <c r="H2686">
        <v>1640</v>
      </c>
      <c r="I2686">
        <v>5</v>
      </c>
      <c r="J2686">
        <v>10.9</v>
      </c>
      <c r="K2686">
        <v>5</v>
      </c>
      <c r="L2686">
        <v>8.5999999999999993E-2</v>
      </c>
      <c r="M2686">
        <v>3</v>
      </c>
      <c r="N2686">
        <v>94</v>
      </c>
      <c r="O2686">
        <v>5</v>
      </c>
      <c r="P2686">
        <v>0.67500000000000004</v>
      </c>
      <c r="Q2686">
        <v>5</v>
      </c>
      <c r="R2686">
        <v>8.0000000000000002E-3</v>
      </c>
      <c r="T2686" t="s">
        <v>7576</v>
      </c>
    </row>
    <row r="2687" spans="1:20" x14ac:dyDescent="0.2">
      <c r="A2687" t="s">
        <v>7578</v>
      </c>
      <c r="B2687" t="s">
        <v>2022</v>
      </c>
      <c r="C2687" t="s">
        <v>2023</v>
      </c>
      <c r="D2687" t="s">
        <v>2024</v>
      </c>
      <c r="E2687" t="s">
        <v>7579</v>
      </c>
      <c r="F2687" t="s">
        <v>7580</v>
      </c>
      <c r="G2687">
        <v>4</v>
      </c>
      <c r="H2687">
        <v>1720</v>
      </c>
      <c r="I2687">
        <v>5</v>
      </c>
      <c r="J2687">
        <v>10.9</v>
      </c>
      <c r="K2687">
        <v>5</v>
      </c>
      <c r="L2687">
        <v>8.5999999999999993E-2</v>
      </c>
      <c r="M2687">
        <v>3</v>
      </c>
      <c r="N2687">
        <v>94</v>
      </c>
      <c r="O2687">
        <v>5</v>
      </c>
      <c r="P2687">
        <v>0.67500000000000004</v>
      </c>
      <c r="Q2687">
        <v>5</v>
      </c>
      <c r="R2687">
        <v>8.0000000000000002E-3</v>
      </c>
      <c r="T2687" t="s">
        <v>7579</v>
      </c>
    </row>
    <row r="2688" spans="1:20" x14ac:dyDescent="0.2">
      <c r="A2688" t="s">
        <v>7581</v>
      </c>
      <c r="B2688" t="s">
        <v>2022</v>
      </c>
      <c r="C2688" t="s">
        <v>2023</v>
      </c>
      <c r="D2688" t="s">
        <v>2024</v>
      </c>
      <c r="E2688" t="s">
        <v>7582</v>
      </c>
      <c r="F2688" t="s">
        <v>7583</v>
      </c>
      <c r="G2688">
        <v>4</v>
      </c>
      <c r="H2688">
        <v>1720</v>
      </c>
      <c r="I2688">
        <v>1</v>
      </c>
      <c r="J2688">
        <v>0.9</v>
      </c>
      <c r="K2688">
        <v>1</v>
      </c>
      <c r="L2688">
        <v>6.0000000000000001E-3</v>
      </c>
      <c r="M2688">
        <v>4</v>
      </c>
      <c r="N2688">
        <v>104</v>
      </c>
      <c r="O2688">
        <v>1</v>
      </c>
      <c r="P2688">
        <v>7.4999999999999997E-2</v>
      </c>
      <c r="Q2688">
        <v>1</v>
      </c>
      <c r="R2688">
        <v>5.0000000000000001E-4</v>
      </c>
      <c r="T2688" t="s">
        <v>7582</v>
      </c>
    </row>
    <row r="2689" spans="1:20" x14ac:dyDescent="0.2">
      <c r="A2689" t="s">
        <v>7584</v>
      </c>
      <c r="B2689" t="s">
        <v>2022</v>
      </c>
      <c r="C2689" t="s">
        <v>2036</v>
      </c>
      <c r="D2689" t="s">
        <v>2024</v>
      </c>
      <c r="E2689" t="s">
        <v>7585</v>
      </c>
      <c r="F2689" t="s">
        <v>7586</v>
      </c>
      <c r="G2689">
        <v>3</v>
      </c>
      <c r="H2689">
        <v>1740</v>
      </c>
      <c r="I2689">
        <v>5</v>
      </c>
      <c r="J2689">
        <v>7</v>
      </c>
      <c r="K2689">
        <v>5</v>
      </c>
      <c r="L2689">
        <v>0.17499999999999999</v>
      </c>
      <c r="M2689">
        <v>3</v>
      </c>
      <c r="N2689">
        <v>88</v>
      </c>
      <c r="O2689">
        <v>4</v>
      </c>
      <c r="P2689">
        <v>0.42499999999999999</v>
      </c>
      <c r="Q2689">
        <v>5</v>
      </c>
      <c r="R2689">
        <v>1.2E-2</v>
      </c>
      <c r="T2689" t="s">
        <v>7585</v>
      </c>
    </row>
    <row r="2690" spans="1:20" x14ac:dyDescent="0.2">
      <c r="A2690" t="s">
        <v>7587</v>
      </c>
      <c r="B2690" t="s">
        <v>2022</v>
      </c>
      <c r="C2690" t="s">
        <v>2023</v>
      </c>
      <c r="D2690" t="s">
        <v>2024</v>
      </c>
      <c r="E2690" t="s">
        <v>7588</v>
      </c>
      <c r="F2690" t="s">
        <v>7589</v>
      </c>
      <c r="G2690">
        <v>4</v>
      </c>
      <c r="H2690">
        <v>1720</v>
      </c>
      <c r="I2690">
        <v>1</v>
      </c>
      <c r="J2690">
        <v>0.9</v>
      </c>
      <c r="K2690">
        <v>2</v>
      </c>
      <c r="L2690">
        <v>2.5999999999999999E-2</v>
      </c>
      <c r="M2690">
        <v>4</v>
      </c>
      <c r="N2690">
        <v>104</v>
      </c>
      <c r="O2690">
        <v>1</v>
      </c>
      <c r="P2690">
        <v>7.4999999999999997E-2</v>
      </c>
      <c r="Q2690">
        <v>2</v>
      </c>
      <c r="R2690">
        <v>2E-3</v>
      </c>
      <c r="T2690" t="s">
        <v>7588</v>
      </c>
    </row>
    <row r="2691" spans="1:20" x14ac:dyDescent="0.2">
      <c r="A2691" t="s">
        <v>7590</v>
      </c>
      <c r="B2691" t="s">
        <v>2022</v>
      </c>
      <c r="C2691" t="s">
        <v>2036</v>
      </c>
      <c r="D2691" t="s">
        <v>2024</v>
      </c>
      <c r="E2691" t="s">
        <v>7591</v>
      </c>
      <c r="F2691" t="s">
        <v>7592</v>
      </c>
      <c r="G2691">
        <v>4</v>
      </c>
      <c r="H2691">
        <v>1840</v>
      </c>
      <c r="I2691">
        <v>5</v>
      </c>
      <c r="J2691">
        <v>7</v>
      </c>
      <c r="K2691">
        <v>5</v>
      </c>
      <c r="L2691">
        <v>0.17499999999999999</v>
      </c>
      <c r="M2691">
        <v>3</v>
      </c>
      <c r="N2691">
        <v>88</v>
      </c>
      <c r="O2691">
        <v>4</v>
      </c>
      <c r="P2691">
        <v>0.42499999999999999</v>
      </c>
      <c r="Q2691">
        <v>5</v>
      </c>
      <c r="R2691">
        <v>1.2E-2</v>
      </c>
      <c r="T2691" t="s">
        <v>7591</v>
      </c>
    </row>
    <row r="2692" spans="1:20" x14ac:dyDescent="0.2">
      <c r="A2692" t="s">
        <v>7593</v>
      </c>
      <c r="B2692" t="s">
        <v>2022</v>
      </c>
      <c r="C2692" t="s">
        <v>2049</v>
      </c>
      <c r="D2692" t="s">
        <v>2024</v>
      </c>
      <c r="E2692" t="s">
        <v>7594</v>
      </c>
      <c r="F2692" t="s">
        <v>7595</v>
      </c>
      <c r="G2692">
        <v>2</v>
      </c>
      <c r="H2692">
        <v>1450</v>
      </c>
      <c r="I2692">
        <v>1</v>
      </c>
      <c r="J2692">
        <v>1.4</v>
      </c>
      <c r="K2692">
        <v>2</v>
      </c>
      <c r="L2692">
        <v>0.06</v>
      </c>
      <c r="M2692">
        <v>5</v>
      </c>
      <c r="N2692">
        <v>166</v>
      </c>
      <c r="O2692">
        <v>2</v>
      </c>
      <c r="P2692">
        <v>0.26</v>
      </c>
      <c r="Q2692">
        <v>2</v>
      </c>
      <c r="R2692">
        <v>6.1999999999999998E-3</v>
      </c>
      <c r="T2692" t="s">
        <v>7594</v>
      </c>
    </row>
    <row r="2693" spans="1:20" x14ac:dyDescent="0.2">
      <c r="A2693" t="s">
        <v>7596</v>
      </c>
      <c r="B2693" t="s">
        <v>2022</v>
      </c>
      <c r="C2693" t="s">
        <v>2053</v>
      </c>
      <c r="D2693" t="s">
        <v>2136</v>
      </c>
      <c r="E2693" t="s">
        <v>357</v>
      </c>
      <c r="F2693" t="s">
        <v>7597</v>
      </c>
      <c r="G2693">
        <v>5</v>
      </c>
      <c r="H2693">
        <v>1900</v>
      </c>
      <c r="I2693">
        <v>3</v>
      </c>
      <c r="J2693">
        <v>6.55</v>
      </c>
      <c r="K2693">
        <v>3</v>
      </c>
      <c r="L2693">
        <v>0.19500000000000001</v>
      </c>
      <c r="M2693">
        <v>2</v>
      </c>
      <c r="N2693">
        <v>83</v>
      </c>
      <c r="O2693">
        <v>3</v>
      </c>
      <c r="P2693">
        <v>0.375</v>
      </c>
      <c r="Q2693">
        <v>3</v>
      </c>
      <c r="R2693">
        <v>1.2200000000000001E-2</v>
      </c>
      <c r="T2693" t="s">
        <v>357</v>
      </c>
    </row>
    <row r="2694" spans="1:20" x14ac:dyDescent="0.2">
      <c r="A2694" t="s">
        <v>7598</v>
      </c>
      <c r="B2694" t="s">
        <v>2022</v>
      </c>
      <c r="C2694" t="s">
        <v>2257</v>
      </c>
      <c r="D2694" t="s">
        <v>2024</v>
      </c>
      <c r="E2694" t="s">
        <v>357</v>
      </c>
      <c r="F2694" t="s">
        <v>447</v>
      </c>
      <c r="G2694">
        <v>1</v>
      </c>
      <c r="H2694">
        <v>900</v>
      </c>
      <c r="I2694">
        <v>4</v>
      </c>
      <c r="J2694">
        <v>4.3499999999999996</v>
      </c>
      <c r="K2694">
        <v>2</v>
      </c>
      <c r="L2694">
        <v>3.6999999999999998E-2</v>
      </c>
      <c r="M2694">
        <v>3</v>
      </c>
      <c r="N2694">
        <v>700</v>
      </c>
      <c r="O2694">
        <v>5</v>
      </c>
      <c r="P2694">
        <v>2.7</v>
      </c>
      <c r="Q2694">
        <v>2</v>
      </c>
      <c r="R2694">
        <v>1.4999999999999999E-2</v>
      </c>
      <c r="T2694" t="s">
        <v>357</v>
      </c>
    </row>
    <row r="2695" spans="1:20" x14ac:dyDescent="0.2">
      <c r="A2695" t="s">
        <v>7599</v>
      </c>
      <c r="B2695" t="s">
        <v>2022</v>
      </c>
      <c r="C2695" t="s">
        <v>2036</v>
      </c>
      <c r="D2695" t="s">
        <v>2024</v>
      </c>
      <c r="E2695" t="s">
        <v>7600</v>
      </c>
      <c r="F2695" t="s">
        <v>7601</v>
      </c>
      <c r="G2695">
        <v>3</v>
      </c>
      <c r="H2695">
        <v>1740</v>
      </c>
      <c r="I2695">
        <v>5</v>
      </c>
      <c r="J2695">
        <v>7</v>
      </c>
      <c r="K2695">
        <v>5</v>
      </c>
      <c r="L2695">
        <v>0.17499999999999999</v>
      </c>
      <c r="M2695">
        <v>2</v>
      </c>
      <c r="N2695">
        <v>82</v>
      </c>
      <c r="O2695">
        <v>4</v>
      </c>
      <c r="P2695">
        <v>0.42499999999999999</v>
      </c>
      <c r="Q2695">
        <v>5</v>
      </c>
      <c r="R2695">
        <v>1.2E-2</v>
      </c>
      <c r="T2695" t="s">
        <v>7600</v>
      </c>
    </row>
    <row r="2696" spans="1:20" x14ac:dyDescent="0.2">
      <c r="A2696" t="s">
        <v>7602</v>
      </c>
      <c r="B2696" t="s">
        <v>2022</v>
      </c>
      <c r="C2696" t="s">
        <v>2023</v>
      </c>
      <c r="D2696" t="s">
        <v>2024</v>
      </c>
      <c r="E2696" t="s">
        <v>7603</v>
      </c>
      <c r="F2696" t="s">
        <v>7604</v>
      </c>
      <c r="G2696">
        <v>3</v>
      </c>
      <c r="H2696">
        <v>1640</v>
      </c>
      <c r="I2696">
        <v>2</v>
      </c>
      <c r="J2696">
        <v>3.4</v>
      </c>
      <c r="K2696">
        <v>2</v>
      </c>
      <c r="L2696">
        <v>2.5999999999999999E-2</v>
      </c>
      <c r="M2696">
        <v>2</v>
      </c>
      <c r="N2696">
        <v>84</v>
      </c>
      <c r="O2696">
        <v>2</v>
      </c>
      <c r="P2696">
        <v>0.22500000000000001</v>
      </c>
      <c r="Q2696">
        <v>1</v>
      </c>
      <c r="R2696">
        <v>5.0000000000000001E-4</v>
      </c>
      <c r="T2696" t="s">
        <v>7603</v>
      </c>
    </row>
    <row r="2697" spans="1:20" x14ac:dyDescent="0.2">
      <c r="A2697" t="s">
        <v>7605</v>
      </c>
      <c r="B2697" t="s">
        <v>2022</v>
      </c>
      <c r="C2697" t="s">
        <v>2023</v>
      </c>
      <c r="D2697" t="s">
        <v>2024</v>
      </c>
      <c r="E2697" t="s">
        <v>7606</v>
      </c>
      <c r="F2697" t="s">
        <v>7607</v>
      </c>
      <c r="G2697">
        <v>5</v>
      </c>
      <c r="H2697">
        <v>1800</v>
      </c>
      <c r="I2697">
        <v>2</v>
      </c>
      <c r="J2697">
        <v>3.4</v>
      </c>
      <c r="K2697">
        <v>2</v>
      </c>
      <c r="L2697">
        <v>2.5999999999999999E-2</v>
      </c>
      <c r="M2697">
        <v>3</v>
      </c>
      <c r="N2697">
        <v>94</v>
      </c>
      <c r="O2697">
        <v>2</v>
      </c>
      <c r="P2697">
        <v>0.22500000000000001</v>
      </c>
      <c r="Q2697">
        <v>2</v>
      </c>
      <c r="R2697">
        <v>2E-3</v>
      </c>
      <c r="T2697" t="s">
        <v>7606</v>
      </c>
    </row>
    <row r="2698" spans="1:20" x14ac:dyDescent="0.2">
      <c r="A2698" t="s">
        <v>7608</v>
      </c>
      <c r="B2698" t="s">
        <v>2022</v>
      </c>
      <c r="C2698" t="s">
        <v>2023</v>
      </c>
      <c r="D2698" t="s">
        <v>2136</v>
      </c>
      <c r="E2698" t="s">
        <v>7609</v>
      </c>
      <c r="F2698" t="s">
        <v>7610</v>
      </c>
      <c r="G2698">
        <v>4</v>
      </c>
      <c r="H2698">
        <v>1720</v>
      </c>
      <c r="I2698">
        <v>2</v>
      </c>
      <c r="J2698">
        <v>3.4</v>
      </c>
      <c r="K2698">
        <v>4</v>
      </c>
      <c r="L2698">
        <v>6.6000000000000003E-2</v>
      </c>
      <c r="M2698">
        <v>2</v>
      </c>
      <c r="N2698">
        <v>84</v>
      </c>
      <c r="O2698">
        <v>1</v>
      </c>
      <c r="P2698">
        <v>7.4999999999999997E-2</v>
      </c>
      <c r="Q2698">
        <v>3</v>
      </c>
      <c r="R2698">
        <v>4.0000000000000001E-3</v>
      </c>
      <c r="T2698" t="s">
        <v>7609</v>
      </c>
    </row>
    <row r="2699" spans="1:20" x14ac:dyDescent="0.2">
      <c r="A2699" t="s">
        <v>7611</v>
      </c>
      <c r="B2699" t="s">
        <v>2022</v>
      </c>
      <c r="C2699" t="s">
        <v>2053</v>
      </c>
      <c r="D2699" t="s">
        <v>2024</v>
      </c>
      <c r="E2699" t="s">
        <v>7612</v>
      </c>
      <c r="F2699" t="s">
        <v>7613</v>
      </c>
      <c r="G2699">
        <v>1</v>
      </c>
      <c r="H2699">
        <v>1500</v>
      </c>
      <c r="I2699">
        <v>1</v>
      </c>
      <c r="J2699">
        <v>1.55</v>
      </c>
      <c r="K2699">
        <v>1</v>
      </c>
      <c r="L2699">
        <v>1.4999999999999999E-2</v>
      </c>
      <c r="M2699">
        <v>1</v>
      </c>
      <c r="N2699">
        <v>73</v>
      </c>
      <c r="O2699">
        <v>1</v>
      </c>
      <c r="P2699">
        <v>7.4999999999999997E-2</v>
      </c>
      <c r="Q2699">
        <v>1</v>
      </c>
      <c r="R2699">
        <v>8.4999999999999995E-4</v>
      </c>
      <c r="T2699" t="s">
        <v>7612</v>
      </c>
    </row>
    <row r="2700" spans="1:20" x14ac:dyDescent="0.2">
      <c r="A2700" t="s">
        <v>7614</v>
      </c>
      <c r="B2700" t="s">
        <v>2022</v>
      </c>
      <c r="C2700" t="s">
        <v>2095</v>
      </c>
      <c r="D2700" t="s">
        <v>2024</v>
      </c>
      <c r="E2700" t="s">
        <v>7615</v>
      </c>
      <c r="F2700" t="s">
        <v>7616</v>
      </c>
      <c r="G2700">
        <v>1</v>
      </c>
      <c r="H2700">
        <v>1565</v>
      </c>
      <c r="I2700">
        <v>1</v>
      </c>
      <c r="J2700">
        <v>4.5</v>
      </c>
      <c r="K2700">
        <v>1</v>
      </c>
      <c r="L2700">
        <v>1.4999999999999999E-2</v>
      </c>
      <c r="M2700">
        <v>1</v>
      </c>
      <c r="N2700">
        <v>74</v>
      </c>
      <c r="O2700">
        <v>1</v>
      </c>
      <c r="P2700">
        <v>0.15</v>
      </c>
      <c r="Q2700">
        <v>1</v>
      </c>
      <c r="R2700">
        <v>6.9999999999999999E-4</v>
      </c>
      <c r="T2700" t="s">
        <v>7615</v>
      </c>
    </row>
    <row r="2701" spans="1:20" x14ac:dyDescent="0.2">
      <c r="A2701" t="s">
        <v>7617</v>
      </c>
      <c r="B2701" t="s">
        <v>2022</v>
      </c>
      <c r="C2701" t="s">
        <v>2049</v>
      </c>
      <c r="D2701" t="s">
        <v>2024</v>
      </c>
      <c r="E2701" t="s">
        <v>7618</v>
      </c>
      <c r="F2701" t="s">
        <v>7619</v>
      </c>
      <c r="G2701">
        <v>2</v>
      </c>
      <c r="H2701">
        <v>1450</v>
      </c>
      <c r="I2701">
        <v>3</v>
      </c>
      <c r="J2701">
        <v>5</v>
      </c>
      <c r="K2701">
        <v>3</v>
      </c>
      <c r="L2701">
        <v>0.14000000000000001</v>
      </c>
      <c r="M2701">
        <v>2</v>
      </c>
      <c r="N2701">
        <v>106</v>
      </c>
      <c r="O2701">
        <v>2</v>
      </c>
      <c r="P2701">
        <v>0.26</v>
      </c>
      <c r="Q2701">
        <v>2</v>
      </c>
      <c r="R2701">
        <v>6.1999999999999998E-3</v>
      </c>
      <c r="T2701" t="s">
        <v>7618</v>
      </c>
    </row>
    <row r="2702" spans="1:20" x14ac:dyDescent="0.2">
      <c r="A2702" t="s">
        <v>7620</v>
      </c>
      <c r="B2702" t="s">
        <v>2022</v>
      </c>
      <c r="C2702" t="s">
        <v>2053</v>
      </c>
      <c r="D2702" t="s">
        <v>2024</v>
      </c>
      <c r="E2702" t="s">
        <v>7621</v>
      </c>
      <c r="F2702" t="s">
        <v>447</v>
      </c>
      <c r="G2702">
        <v>5</v>
      </c>
      <c r="H2702">
        <v>1900</v>
      </c>
      <c r="I2702">
        <v>2</v>
      </c>
      <c r="J2702">
        <v>4.05</v>
      </c>
      <c r="K2702">
        <v>2</v>
      </c>
      <c r="L2702">
        <v>8.5000000000000006E-2</v>
      </c>
      <c r="M2702">
        <v>2</v>
      </c>
      <c r="N2702">
        <v>83</v>
      </c>
      <c r="O2702">
        <v>2</v>
      </c>
      <c r="P2702">
        <v>0.22500000000000001</v>
      </c>
      <c r="Q2702">
        <v>2</v>
      </c>
      <c r="R2702">
        <v>5.1999999999999998E-3</v>
      </c>
      <c r="T2702" t="s">
        <v>7621</v>
      </c>
    </row>
    <row r="2703" spans="1:20" x14ac:dyDescent="0.2">
      <c r="A2703" t="s">
        <v>7622</v>
      </c>
      <c r="B2703" t="s">
        <v>2022</v>
      </c>
      <c r="C2703" t="s">
        <v>2036</v>
      </c>
      <c r="D2703" t="s">
        <v>2024</v>
      </c>
      <c r="E2703" t="s">
        <v>7623</v>
      </c>
      <c r="F2703" t="s">
        <v>7624</v>
      </c>
      <c r="G2703">
        <v>1</v>
      </c>
      <c r="H2703">
        <v>1540</v>
      </c>
      <c r="I2703">
        <v>1</v>
      </c>
      <c r="J2703">
        <v>2.2000000000000002</v>
      </c>
      <c r="K2703">
        <v>1</v>
      </c>
      <c r="L2703">
        <v>5.5E-2</v>
      </c>
      <c r="M2703">
        <v>1</v>
      </c>
      <c r="N2703">
        <v>76</v>
      </c>
      <c r="O2703">
        <v>1</v>
      </c>
      <c r="P2703">
        <v>9.5000000000000001E-2</v>
      </c>
      <c r="Q2703">
        <v>1</v>
      </c>
      <c r="R2703">
        <v>1.5E-3</v>
      </c>
      <c r="T2703" t="s">
        <v>7623</v>
      </c>
    </row>
    <row r="2704" spans="1:20" x14ac:dyDescent="0.2">
      <c r="A2704" t="s">
        <v>7625</v>
      </c>
      <c r="B2704" t="s">
        <v>2022</v>
      </c>
      <c r="C2704" t="s">
        <v>2028</v>
      </c>
      <c r="D2704" t="s">
        <v>2024</v>
      </c>
      <c r="E2704" t="s">
        <v>7626</v>
      </c>
      <c r="F2704" t="s">
        <v>7627</v>
      </c>
      <c r="G2704">
        <v>5</v>
      </c>
      <c r="H2704">
        <v>1450</v>
      </c>
      <c r="I2704">
        <v>3</v>
      </c>
      <c r="J2704">
        <v>3.25</v>
      </c>
      <c r="K2704">
        <v>2</v>
      </c>
      <c r="L2704">
        <v>4.4999999999999998E-2</v>
      </c>
      <c r="M2704">
        <v>1</v>
      </c>
      <c r="N2704">
        <v>100</v>
      </c>
      <c r="O2704">
        <v>1</v>
      </c>
      <c r="P2704">
        <v>0.15</v>
      </c>
      <c r="Q2704">
        <v>1</v>
      </c>
      <c r="R2704">
        <v>1.75E-3</v>
      </c>
      <c r="T2704" t="s">
        <v>7626</v>
      </c>
    </row>
    <row r="2705" spans="1:20" x14ac:dyDescent="0.2">
      <c r="A2705" t="s">
        <v>7628</v>
      </c>
      <c r="B2705" t="s">
        <v>2022</v>
      </c>
      <c r="C2705" t="s">
        <v>2028</v>
      </c>
      <c r="D2705" t="s">
        <v>2024</v>
      </c>
      <c r="E2705" t="s">
        <v>1588</v>
      </c>
      <c r="F2705" t="s">
        <v>7629</v>
      </c>
      <c r="G2705">
        <v>5</v>
      </c>
      <c r="H2705">
        <v>1450</v>
      </c>
      <c r="I2705">
        <v>5</v>
      </c>
      <c r="J2705">
        <v>6.65</v>
      </c>
      <c r="K2705">
        <v>4</v>
      </c>
      <c r="L2705">
        <v>0.193</v>
      </c>
      <c r="M2705">
        <v>1</v>
      </c>
      <c r="N2705">
        <v>100</v>
      </c>
      <c r="O2705">
        <v>2</v>
      </c>
      <c r="P2705">
        <v>0.45</v>
      </c>
      <c r="Q2705">
        <v>2</v>
      </c>
      <c r="R2705">
        <v>7.7499999999999999E-3</v>
      </c>
      <c r="T2705" t="s">
        <v>1588</v>
      </c>
    </row>
    <row r="2706" spans="1:20" x14ac:dyDescent="0.2">
      <c r="A2706" t="s">
        <v>7630</v>
      </c>
      <c r="B2706" t="s">
        <v>2022</v>
      </c>
      <c r="C2706" t="s">
        <v>2023</v>
      </c>
      <c r="D2706" t="s">
        <v>2024</v>
      </c>
      <c r="E2706" t="s">
        <v>7631</v>
      </c>
      <c r="F2706" t="s">
        <v>7632</v>
      </c>
      <c r="G2706">
        <v>4</v>
      </c>
      <c r="H2706">
        <v>1720</v>
      </c>
      <c r="I2706">
        <v>4</v>
      </c>
      <c r="J2706">
        <v>8.4</v>
      </c>
      <c r="K2706">
        <v>5</v>
      </c>
      <c r="L2706">
        <v>8.5999999999999993E-2</v>
      </c>
      <c r="M2706">
        <v>5</v>
      </c>
      <c r="N2706">
        <v>114</v>
      </c>
      <c r="O2706">
        <v>5</v>
      </c>
      <c r="P2706">
        <v>0.67500000000000004</v>
      </c>
      <c r="Q2706">
        <v>5</v>
      </c>
      <c r="R2706">
        <v>8.0000000000000002E-3</v>
      </c>
      <c r="T2706" t="s">
        <v>7631</v>
      </c>
    </row>
    <row r="2707" spans="1:20" x14ac:dyDescent="0.2">
      <c r="A2707" t="s">
        <v>7633</v>
      </c>
      <c r="B2707" t="s">
        <v>2022</v>
      </c>
      <c r="C2707" t="s">
        <v>2053</v>
      </c>
      <c r="D2707" t="s">
        <v>2024</v>
      </c>
      <c r="E2707" t="s">
        <v>7634</v>
      </c>
      <c r="F2707" t="s">
        <v>7635</v>
      </c>
      <c r="G2707">
        <v>2</v>
      </c>
      <c r="H2707">
        <v>1600</v>
      </c>
      <c r="I2707">
        <v>1</v>
      </c>
      <c r="J2707">
        <v>1.55</v>
      </c>
      <c r="K2707">
        <v>2</v>
      </c>
      <c r="L2707">
        <v>8.5000000000000006E-2</v>
      </c>
      <c r="M2707">
        <v>1</v>
      </c>
      <c r="N2707">
        <v>73</v>
      </c>
      <c r="O2707">
        <v>1</v>
      </c>
      <c r="P2707">
        <v>7.4999999999999997E-2</v>
      </c>
      <c r="Q2707">
        <v>2</v>
      </c>
      <c r="R2707">
        <v>5.1999999999999998E-3</v>
      </c>
      <c r="T2707" t="s">
        <v>7634</v>
      </c>
    </row>
    <row r="2708" spans="1:20" x14ac:dyDescent="0.2">
      <c r="A2708" t="s">
        <v>7636</v>
      </c>
      <c r="B2708" t="s">
        <v>2022</v>
      </c>
      <c r="C2708" t="s">
        <v>2023</v>
      </c>
      <c r="D2708" t="s">
        <v>2024</v>
      </c>
      <c r="E2708" t="s">
        <v>7637</v>
      </c>
      <c r="F2708" t="s">
        <v>7638</v>
      </c>
      <c r="G2708">
        <v>2</v>
      </c>
      <c r="H2708">
        <v>1560</v>
      </c>
      <c r="I2708">
        <v>5</v>
      </c>
      <c r="J2708">
        <v>10.9</v>
      </c>
      <c r="K2708">
        <v>5</v>
      </c>
      <c r="L2708">
        <v>8.5999999999999993E-2</v>
      </c>
      <c r="M2708">
        <v>1</v>
      </c>
      <c r="N2708">
        <v>74</v>
      </c>
      <c r="O2708">
        <v>5</v>
      </c>
      <c r="P2708">
        <v>0.67500000000000004</v>
      </c>
      <c r="Q2708">
        <v>5</v>
      </c>
      <c r="R2708">
        <v>8.0000000000000002E-3</v>
      </c>
      <c r="T2708" t="s">
        <v>7637</v>
      </c>
    </row>
    <row r="2709" spans="1:20" x14ac:dyDescent="0.2">
      <c r="A2709" t="s">
        <v>7639</v>
      </c>
      <c r="B2709" t="s">
        <v>2022</v>
      </c>
      <c r="C2709" t="s">
        <v>2053</v>
      </c>
      <c r="D2709" t="s">
        <v>2024</v>
      </c>
      <c r="E2709" t="s">
        <v>7640</v>
      </c>
      <c r="F2709" t="s">
        <v>7641</v>
      </c>
      <c r="G2709">
        <v>1</v>
      </c>
      <c r="H2709">
        <v>1500</v>
      </c>
      <c r="I2709">
        <v>2</v>
      </c>
      <c r="J2709">
        <v>4.05</v>
      </c>
      <c r="K2709">
        <v>1</v>
      </c>
      <c r="L2709">
        <v>1.4999999999999999E-2</v>
      </c>
      <c r="M2709">
        <v>5</v>
      </c>
      <c r="N2709">
        <v>113</v>
      </c>
      <c r="O2709">
        <v>3</v>
      </c>
      <c r="P2709">
        <v>0.375</v>
      </c>
      <c r="Q2709">
        <v>2</v>
      </c>
      <c r="R2709">
        <v>5.1999999999999998E-3</v>
      </c>
      <c r="T2709" t="s">
        <v>7640</v>
      </c>
    </row>
    <row r="2710" spans="1:20" x14ac:dyDescent="0.2">
      <c r="A2710" t="s">
        <v>7642</v>
      </c>
      <c r="B2710" t="s">
        <v>2022</v>
      </c>
      <c r="C2710" t="s">
        <v>2023</v>
      </c>
      <c r="D2710" t="s">
        <v>2024</v>
      </c>
      <c r="E2710" t="s">
        <v>7643</v>
      </c>
      <c r="F2710" t="s">
        <v>7644</v>
      </c>
      <c r="G2710">
        <v>2</v>
      </c>
      <c r="H2710">
        <v>1560</v>
      </c>
      <c r="I2710">
        <v>2</v>
      </c>
      <c r="J2710">
        <v>3.4</v>
      </c>
      <c r="K2710">
        <v>3</v>
      </c>
      <c r="L2710">
        <v>4.5999999999999999E-2</v>
      </c>
      <c r="M2710">
        <v>4</v>
      </c>
      <c r="N2710">
        <v>104</v>
      </c>
      <c r="O2710">
        <v>2</v>
      </c>
      <c r="P2710">
        <v>0.22500000000000001</v>
      </c>
      <c r="Q2710">
        <v>2</v>
      </c>
      <c r="R2710">
        <v>2E-3</v>
      </c>
      <c r="T2710" t="s">
        <v>7643</v>
      </c>
    </row>
    <row r="2711" spans="1:20" x14ac:dyDescent="0.2">
      <c r="A2711" t="s">
        <v>7645</v>
      </c>
      <c r="B2711" t="s">
        <v>2022</v>
      </c>
      <c r="C2711" t="s">
        <v>2023</v>
      </c>
      <c r="D2711" t="s">
        <v>2024</v>
      </c>
      <c r="E2711" t="s">
        <v>7646</v>
      </c>
      <c r="F2711" t="s">
        <v>7647</v>
      </c>
      <c r="G2711">
        <v>1</v>
      </c>
      <c r="H2711">
        <v>1480</v>
      </c>
      <c r="I2711">
        <v>2</v>
      </c>
      <c r="J2711">
        <v>3.4</v>
      </c>
      <c r="K2711">
        <v>2</v>
      </c>
      <c r="L2711">
        <v>2.5999999999999999E-2</v>
      </c>
      <c r="M2711">
        <v>3</v>
      </c>
      <c r="N2711">
        <v>94</v>
      </c>
      <c r="O2711">
        <v>3</v>
      </c>
      <c r="P2711">
        <v>0.375</v>
      </c>
      <c r="Q2711">
        <v>2</v>
      </c>
      <c r="R2711">
        <v>2E-3</v>
      </c>
      <c r="T2711" t="s">
        <v>7646</v>
      </c>
    </row>
    <row r="2712" spans="1:20" x14ac:dyDescent="0.2">
      <c r="A2712" t="s">
        <v>7648</v>
      </c>
      <c r="B2712" t="s">
        <v>2022</v>
      </c>
      <c r="C2712" t="s">
        <v>2036</v>
      </c>
      <c r="D2712" t="s">
        <v>2024</v>
      </c>
      <c r="E2712" t="s">
        <v>7649</v>
      </c>
      <c r="F2712" t="s">
        <v>7650</v>
      </c>
      <c r="G2712">
        <v>5</v>
      </c>
      <c r="H2712">
        <v>1940</v>
      </c>
      <c r="I2712">
        <v>1</v>
      </c>
      <c r="J2712">
        <v>2.2000000000000002</v>
      </c>
      <c r="K2712">
        <v>2</v>
      </c>
      <c r="L2712">
        <v>8.5000000000000006E-2</v>
      </c>
      <c r="M2712">
        <v>3</v>
      </c>
      <c r="N2712">
        <v>88</v>
      </c>
      <c r="O2712">
        <v>1</v>
      </c>
      <c r="P2712">
        <v>9.5000000000000001E-2</v>
      </c>
      <c r="Q2712">
        <v>2</v>
      </c>
      <c r="R2712">
        <v>4.2500000000000003E-3</v>
      </c>
      <c r="T2712" t="s">
        <v>7649</v>
      </c>
    </row>
    <row r="2713" spans="1:20" x14ac:dyDescent="0.2">
      <c r="A2713" t="s">
        <v>7651</v>
      </c>
      <c r="B2713" t="s">
        <v>2022</v>
      </c>
      <c r="C2713" t="s">
        <v>2036</v>
      </c>
      <c r="D2713" t="s">
        <v>2024</v>
      </c>
      <c r="E2713" t="s">
        <v>7652</v>
      </c>
      <c r="F2713" t="s">
        <v>7653</v>
      </c>
      <c r="G2713">
        <v>3</v>
      </c>
      <c r="H2713">
        <v>1740</v>
      </c>
      <c r="I2713">
        <v>2</v>
      </c>
      <c r="J2713">
        <v>3.4</v>
      </c>
      <c r="K2713">
        <v>2</v>
      </c>
      <c r="L2713">
        <v>8.5000000000000006E-2</v>
      </c>
      <c r="M2713">
        <v>3</v>
      </c>
      <c r="N2713">
        <v>88</v>
      </c>
      <c r="O2713">
        <v>2</v>
      </c>
      <c r="P2713">
        <v>0.20499999999999999</v>
      </c>
      <c r="Q2713">
        <v>2</v>
      </c>
      <c r="R2713">
        <v>4.2500000000000003E-3</v>
      </c>
      <c r="T2713" t="s">
        <v>7652</v>
      </c>
    </row>
    <row r="2714" spans="1:20" x14ac:dyDescent="0.2">
      <c r="A2714" t="s">
        <v>7654</v>
      </c>
      <c r="B2714" t="s">
        <v>2022</v>
      </c>
      <c r="C2714" t="s">
        <v>2023</v>
      </c>
      <c r="D2714" t="s">
        <v>2024</v>
      </c>
      <c r="E2714" t="s">
        <v>7655</v>
      </c>
      <c r="F2714" t="s">
        <v>7656</v>
      </c>
      <c r="G2714">
        <v>2</v>
      </c>
      <c r="H2714">
        <v>1560</v>
      </c>
      <c r="I2714">
        <v>3</v>
      </c>
      <c r="J2714">
        <v>5.9</v>
      </c>
      <c r="K2714">
        <v>5</v>
      </c>
      <c r="L2714">
        <v>8.5999999999999993E-2</v>
      </c>
      <c r="M2714">
        <v>2</v>
      </c>
      <c r="N2714">
        <v>84</v>
      </c>
      <c r="O2714">
        <v>2</v>
      </c>
      <c r="P2714">
        <v>0.22500000000000001</v>
      </c>
      <c r="Q2714">
        <v>5</v>
      </c>
      <c r="R2714">
        <v>8.0000000000000002E-3</v>
      </c>
      <c r="T2714" t="s">
        <v>7655</v>
      </c>
    </row>
    <row r="2715" spans="1:20" x14ac:dyDescent="0.2">
      <c r="A2715" t="s">
        <v>7657</v>
      </c>
      <c r="B2715" t="s">
        <v>2022</v>
      </c>
      <c r="C2715" t="s">
        <v>2049</v>
      </c>
      <c r="D2715" t="s">
        <v>2136</v>
      </c>
      <c r="E2715" t="s">
        <v>357</v>
      </c>
      <c r="F2715" t="s">
        <v>447</v>
      </c>
      <c r="G2715">
        <v>2</v>
      </c>
      <c r="H2715">
        <v>1450</v>
      </c>
      <c r="I2715">
        <v>2</v>
      </c>
      <c r="J2715">
        <v>3.2</v>
      </c>
      <c r="K2715">
        <v>2</v>
      </c>
      <c r="L2715">
        <v>0.06</v>
      </c>
      <c r="M2715">
        <v>2</v>
      </c>
      <c r="N2715">
        <v>106</v>
      </c>
      <c r="O2715">
        <v>2</v>
      </c>
      <c r="P2715">
        <v>0.26</v>
      </c>
      <c r="Q2715">
        <v>2</v>
      </c>
      <c r="R2715">
        <v>6.1999999999999998E-3</v>
      </c>
      <c r="T2715" t="s">
        <v>357</v>
      </c>
    </row>
    <row r="2716" spans="1:20" x14ac:dyDescent="0.2">
      <c r="A2716" t="s">
        <v>7658</v>
      </c>
      <c r="B2716" t="s">
        <v>2022</v>
      </c>
      <c r="C2716" t="s">
        <v>2036</v>
      </c>
      <c r="D2716" t="s">
        <v>2024</v>
      </c>
      <c r="E2716" t="s">
        <v>357</v>
      </c>
      <c r="F2716" t="s">
        <v>7659</v>
      </c>
      <c r="G2716">
        <v>4</v>
      </c>
      <c r="H2716">
        <v>1840</v>
      </c>
      <c r="I2716">
        <v>3</v>
      </c>
      <c r="J2716">
        <v>4.5999999999999996</v>
      </c>
      <c r="K2716">
        <v>2</v>
      </c>
      <c r="L2716">
        <v>8.5000000000000006E-2</v>
      </c>
      <c r="M2716">
        <v>3</v>
      </c>
      <c r="N2716">
        <v>88</v>
      </c>
      <c r="O2716">
        <v>2</v>
      </c>
      <c r="P2716">
        <v>0.20499999999999999</v>
      </c>
      <c r="Q2716">
        <v>2</v>
      </c>
      <c r="R2716">
        <v>4.2500000000000003E-3</v>
      </c>
      <c r="T2716" t="s">
        <v>357</v>
      </c>
    </row>
    <row r="2717" spans="1:20" x14ac:dyDescent="0.2">
      <c r="A2717" t="s">
        <v>7660</v>
      </c>
      <c r="B2717" t="s">
        <v>2022</v>
      </c>
      <c r="C2717" t="s">
        <v>2023</v>
      </c>
      <c r="D2717" t="s">
        <v>2024</v>
      </c>
      <c r="E2717" t="s">
        <v>7661</v>
      </c>
      <c r="F2717" t="s">
        <v>7662</v>
      </c>
      <c r="G2717">
        <v>5</v>
      </c>
      <c r="H2717">
        <v>1800</v>
      </c>
      <c r="I2717">
        <v>5</v>
      </c>
      <c r="J2717">
        <v>10.9</v>
      </c>
      <c r="K2717">
        <v>5</v>
      </c>
      <c r="L2717">
        <v>8.5999999999999993E-2</v>
      </c>
      <c r="M2717">
        <v>5</v>
      </c>
      <c r="N2717">
        <v>114</v>
      </c>
      <c r="O2717">
        <v>5</v>
      </c>
      <c r="P2717">
        <v>0.67500000000000004</v>
      </c>
      <c r="Q2717">
        <v>5</v>
      </c>
      <c r="R2717">
        <v>8.0000000000000002E-3</v>
      </c>
      <c r="T2717" t="s">
        <v>7661</v>
      </c>
    </row>
    <row r="2718" spans="1:20" x14ac:dyDescent="0.2">
      <c r="A2718" t="s">
        <v>7663</v>
      </c>
      <c r="B2718" t="s">
        <v>2022</v>
      </c>
      <c r="C2718" t="s">
        <v>2101</v>
      </c>
      <c r="D2718" t="s">
        <v>2024</v>
      </c>
      <c r="E2718" t="s">
        <v>7664</v>
      </c>
      <c r="F2718" t="s">
        <v>7665</v>
      </c>
      <c r="G2718">
        <v>3</v>
      </c>
      <c r="H2718">
        <v>1770</v>
      </c>
      <c r="I2718">
        <v>5</v>
      </c>
      <c r="J2718">
        <v>14</v>
      </c>
      <c r="K2718">
        <v>5</v>
      </c>
      <c r="L2718">
        <v>0.53749999999999998</v>
      </c>
      <c r="M2718">
        <v>3</v>
      </c>
      <c r="N2718">
        <v>82</v>
      </c>
      <c r="O2718">
        <v>5</v>
      </c>
      <c r="P2718">
        <v>0.67500000000000004</v>
      </c>
      <c r="Q2718">
        <v>5</v>
      </c>
      <c r="R2718">
        <v>2.5499999999999998E-2</v>
      </c>
      <c r="T2718" t="s">
        <v>7664</v>
      </c>
    </row>
    <row r="2719" spans="1:20" x14ac:dyDescent="0.2">
      <c r="A2719" t="s">
        <v>7666</v>
      </c>
      <c r="B2719" t="s">
        <v>2022</v>
      </c>
      <c r="C2719" t="s">
        <v>2053</v>
      </c>
      <c r="D2719" t="s">
        <v>2024</v>
      </c>
      <c r="E2719" t="s">
        <v>7667</v>
      </c>
      <c r="F2719" t="s">
        <v>7668</v>
      </c>
      <c r="G2719">
        <v>2</v>
      </c>
      <c r="H2719">
        <v>1600</v>
      </c>
      <c r="I2719">
        <v>1</v>
      </c>
      <c r="J2719">
        <v>1.55</v>
      </c>
      <c r="K2719">
        <v>2</v>
      </c>
      <c r="L2719">
        <v>8.5000000000000006E-2</v>
      </c>
      <c r="M2719">
        <v>1</v>
      </c>
      <c r="N2719">
        <v>73</v>
      </c>
      <c r="O2719">
        <v>1</v>
      </c>
      <c r="P2719">
        <v>7.4999999999999997E-2</v>
      </c>
      <c r="Q2719">
        <v>1</v>
      </c>
      <c r="R2719">
        <v>8.4999999999999995E-4</v>
      </c>
      <c r="T2719" t="s">
        <v>7667</v>
      </c>
    </row>
    <row r="2720" spans="1:20" x14ac:dyDescent="0.2">
      <c r="A2720" t="s">
        <v>7669</v>
      </c>
      <c r="B2720" t="s">
        <v>2022</v>
      </c>
      <c r="C2720" t="s">
        <v>2053</v>
      </c>
      <c r="D2720" t="s">
        <v>2024</v>
      </c>
      <c r="E2720" t="s">
        <v>7670</v>
      </c>
      <c r="F2720" t="s">
        <v>7671</v>
      </c>
      <c r="G2720">
        <v>3</v>
      </c>
      <c r="H2720">
        <v>1700</v>
      </c>
      <c r="I2720">
        <v>4</v>
      </c>
      <c r="J2720">
        <v>9.0500000000000007</v>
      </c>
      <c r="K2720">
        <v>1</v>
      </c>
      <c r="L2720">
        <v>1.4999999999999999E-2</v>
      </c>
      <c r="M2720">
        <v>1</v>
      </c>
      <c r="N2720">
        <v>73</v>
      </c>
      <c r="O2720">
        <v>3</v>
      </c>
      <c r="P2720">
        <v>0.375</v>
      </c>
      <c r="Q2720">
        <v>1</v>
      </c>
      <c r="R2720">
        <v>8.4999999999999995E-4</v>
      </c>
      <c r="T2720" t="s">
        <v>7670</v>
      </c>
    </row>
    <row r="2721" spans="1:20" x14ac:dyDescent="0.2">
      <c r="A2721" t="s">
        <v>7672</v>
      </c>
      <c r="B2721" t="s">
        <v>2022</v>
      </c>
      <c r="C2721" t="s">
        <v>2023</v>
      </c>
      <c r="D2721" t="s">
        <v>2024</v>
      </c>
      <c r="E2721" t="s">
        <v>7673</v>
      </c>
      <c r="F2721" t="s">
        <v>7674</v>
      </c>
      <c r="G2721">
        <v>1</v>
      </c>
      <c r="H2721">
        <v>1480</v>
      </c>
      <c r="I2721">
        <v>4</v>
      </c>
      <c r="J2721">
        <v>8.4</v>
      </c>
      <c r="K2721">
        <v>5</v>
      </c>
      <c r="L2721">
        <v>8.5999999999999993E-2</v>
      </c>
      <c r="M2721">
        <v>2</v>
      </c>
      <c r="N2721">
        <v>84</v>
      </c>
      <c r="O2721">
        <v>3</v>
      </c>
      <c r="P2721">
        <v>0.375</v>
      </c>
      <c r="Q2721">
        <v>5</v>
      </c>
      <c r="R2721">
        <v>8.0000000000000002E-3</v>
      </c>
      <c r="T2721" t="s">
        <v>7673</v>
      </c>
    </row>
    <row r="2722" spans="1:20" x14ac:dyDescent="0.2">
      <c r="A2722" t="s">
        <v>7675</v>
      </c>
      <c r="B2722" t="s">
        <v>2022</v>
      </c>
      <c r="C2722" t="s">
        <v>2053</v>
      </c>
      <c r="D2722" t="s">
        <v>2024</v>
      </c>
      <c r="E2722" t="s">
        <v>7676</v>
      </c>
      <c r="F2722" t="s">
        <v>7677</v>
      </c>
      <c r="G2722">
        <v>3</v>
      </c>
      <c r="H2722">
        <v>1700</v>
      </c>
      <c r="I2722">
        <v>4</v>
      </c>
      <c r="J2722">
        <v>9.0500000000000007</v>
      </c>
      <c r="K2722">
        <v>5</v>
      </c>
      <c r="L2722">
        <v>0.41499999999999998</v>
      </c>
      <c r="M2722">
        <v>3</v>
      </c>
      <c r="N2722">
        <v>93</v>
      </c>
      <c r="O2722">
        <v>4</v>
      </c>
      <c r="P2722">
        <v>0.52500000000000002</v>
      </c>
      <c r="Q2722">
        <v>5</v>
      </c>
      <c r="R2722">
        <v>2.6200000000000001E-2</v>
      </c>
      <c r="T2722" t="s">
        <v>7676</v>
      </c>
    </row>
    <row r="2723" spans="1:20" x14ac:dyDescent="0.2">
      <c r="A2723" t="s">
        <v>7678</v>
      </c>
      <c r="B2723" t="s">
        <v>2022</v>
      </c>
      <c r="C2723" t="s">
        <v>2053</v>
      </c>
      <c r="D2723" t="s">
        <v>2136</v>
      </c>
      <c r="E2723" t="s">
        <v>357</v>
      </c>
      <c r="F2723" t="s">
        <v>447</v>
      </c>
      <c r="G2723">
        <v>3</v>
      </c>
      <c r="H2723">
        <v>1700</v>
      </c>
      <c r="I2723">
        <v>3</v>
      </c>
      <c r="J2723">
        <v>6.55</v>
      </c>
      <c r="K2723">
        <v>1</v>
      </c>
      <c r="L2723">
        <v>1.4999999999999999E-2</v>
      </c>
      <c r="M2723">
        <v>5</v>
      </c>
      <c r="N2723">
        <v>113</v>
      </c>
      <c r="O2723">
        <v>3</v>
      </c>
      <c r="P2723">
        <v>0.375</v>
      </c>
      <c r="Q2723">
        <v>2</v>
      </c>
      <c r="R2723">
        <v>5.1999999999999998E-3</v>
      </c>
      <c r="T2723" t="s">
        <v>357</v>
      </c>
    </row>
    <row r="2724" spans="1:20" x14ac:dyDescent="0.2">
      <c r="A2724" t="s">
        <v>7679</v>
      </c>
      <c r="B2724" t="s">
        <v>2022</v>
      </c>
      <c r="C2724" t="s">
        <v>2053</v>
      </c>
      <c r="D2724" t="s">
        <v>2136</v>
      </c>
      <c r="E2724" t="s">
        <v>357</v>
      </c>
      <c r="F2724" t="s">
        <v>447</v>
      </c>
      <c r="G2724">
        <v>3</v>
      </c>
      <c r="H2724">
        <v>1700</v>
      </c>
      <c r="I2724">
        <v>4</v>
      </c>
      <c r="J2724">
        <v>9.0500000000000007</v>
      </c>
      <c r="K2724">
        <v>2</v>
      </c>
      <c r="L2724">
        <v>8.5000000000000006E-2</v>
      </c>
      <c r="M2724">
        <v>5</v>
      </c>
      <c r="N2724">
        <v>113</v>
      </c>
      <c r="O2724">
        <v>5</v>
      </c>
      <c r="P2724">
        <v>0.67500000000000004</v>
      </c>
      <c r="Q2724">
        <v>2</v>
      </c>
      <c r="R2724">
        <v>5.1999999999999998E-3</v>
      </c>
      <c r="T2724" t="s">
        <v>357</v>
      </c>
    </row>
    <row r="2725" spans="1:20" x14ac:dyDescent="0.2">
      <c r="A2725" t="s">
        <v>7680</v>
      </c>
      <c r="B2725" t="s">
        <v>2022</v>
      </c>
      <c r="C2725" t="s">
        <v>2257</v>
      </c>
      <c r="D2725" t="s">
        <v>2024</v>
      </c>
      <c r="E2725" t="s">
        <v>357</v>
      </c>
      <c r="F2725" t="s">
        <v>7681</v>
      </c>
      <c r="G2725">
        <v>5</v>
      </c>
      <c r="H2725">
        <v>1300</v>
      </c>
      <c r="I2725">
        <v>1</v>
      </c>
      <c r="J2725">
        <v>0.45</v>
      </c>
      <c r="K2725">
        <v>1</v>
      </c>
      <c r="L2725">
        <v>6.0000000000000001E-3</v>
      </c>
      <c r="M2725">
        <v>5</v>
      </c>
      <c r="N2725">
        <v>1100</v>
      </c>
      <c r="O2725">
        <v>2</v>
      </c>
      <c r="P2725">
        <v>0.9</v>
      </c>
      <c r="Q2725">
        <v>2</v>
      </c>
      <c r="R2725">
        <v>1.4999999999999999E-2</v>
      </c>
      <c r="T2725" t="s">
        <v>357</v>
      </c>
    </row>
    <row r="2726" spans="1:20" x14ac:dyDescent="0.2">
      <c r="A2726" t="s">
        <v>7682</v>
      </c>
      <c r="B2726" t="s">
        <v>2022</v>
      </c>
      <c r="C2726" t="s">
        <v>2049</v>
      </c>
      <c r="D2726" t="s">
        <v>2024</v>
      </c>
      <c r="E2726" t="s">
        <v>357</v>
      </c>
      <c r="F2726" t="s">
        <v>7681</v>
      </c>
      <c r="G2726">
        <v>1</v>
      </c>
      <c r="H2726">
        <v>1350</v>
      </c>
      <c r="I2726">
        <v>1</v>
      </c>
      <c r="J2726">
        <v>1.4</v>
      </c>
      <c r="K2726">
        <v>1</v>
      </c>
      <c r="L2726">
        <v>0.01</v>
      </c>
      <c r="M2726">
        <v>5</v>
      </c>
      <c r="N2726">
        <v>166</v>
      </c>
      <c r="O2726">
        <v>5</v>
      </c>
      <c r="P2726">
        <v>0.86</v>
      </c>
      <c r="Q2726">
        <v>2</v>
      </c>
      <c r="R2726">
        <v>6.1999999999999998E-3</v>
      </c>
      <c r="T2726" t="s">
        <v>357</v>
      </c>
    </row>
    <row r="2727" spans="1:20" x14ac:dyDescent="0.2">
      <c r="A2727" t="s">
        <v>7683</v>
      </c>
      <c r="B2727" t="s">
        <v>2022</v>
      </c>
      <c r="C2727" t="s">
        <v>2104</v>
      </c>
      <c r="D2727" t="s">
        <v>2024</v>
      </c>
      <c r="E2727" t="s">
        <v>7684</v>
      </c>
      <c r="F2727" t="s">
        <v>7685</v>
      </c>
      <c r="G2727">
        <v>4</v>
      </c>
      <c r="H2727">
        <v>2062.5</v>
      </c>
      <c r="I2727">
        <v>4</v>
      </c>
      <c r="J2727">
        <v>7.85</v>
      </c>
      <c r="K2727">
        <v>5</v>
      </c>
      <c r="L2727">
        <v>0.191</v>
      </c>
      <c r="M2727">
        <v>5</v>
      </c>
      <c r="N2727">
        <v>89</v>
      </c>
      <c r="P2727">
        <v>0</v>
      </c>
      <c r="Q2727">
        <v>5</v>
      </c>
      <c r="R2727">
        <v>1.8200000000000001E-2</v>
      </c>
      <c r="T2727" t="s">
        <v>7684</v>
      </c>
    </row>
    <row r="2728" spans="1:20" x14ac:dyDescent="0.2">
      <c r="A2728" t="s">
        <v>7686</v>
      </c>
      <c r="B2728" t="s">
        <v>2022</v>
      </c>
      <c r="C2728" t="s">
        <v>2053</v>
      </c>
      <c r="D2728" t="s">
        <v>2024</v>
      </c>
      <c r="E2728" t="s">
        <v>7687</v>
      </c>
      <c r="F2728" t="s">
        <v>7688</v>
      </c>
      <c r="G2728">
        <v>2</v>
      </c>
      <c r="H2728">
        <v>1600</v>
      </c>
      <c r="I2728">
        <v>2</v>
      </c>
      <c r="J2728">
        <v>4.05</v>
      </c>
      <c r="K2728">
        <v>2</v>
      </c>
      <c r="L2728">
        <v>8.5000000000000006E-2</v>
      </c>
      <c r="M2728">
        <v>2</v>
      </c>
      <c r="N2728">
        <v>83</v>
      </c>
      <c r="O2728">
        <v>1</v>
      </c>
      <c r="P2728">
        <v>7.4999999999999997E-2</v>
      </c>
      <c r="Q2728">
        <v>2</v>
      </c>
      <c r="R2728">
        <v>5.1999999999999998E-3</v>
      </c>
      <c r="T2728" t="s">
        <v>7687</v>
      </c>
    </row>
    <row r="2729" spans="1:20" x14ac:dyDescent="0.2">
      <c r="A2729" t="s">
        <v>7689</v>
      </c>
      <c r="B2729" t="s">
        <v>2022</v>
      </c>
      <c r="C2729" t="s">
        <v>2053</v>
      </c>
      <c r="D2729" t="s">
        <v>2024</v>
      </c>
      <c r="E2729" t="s">
        <v>7690</v>
      </c>
      <c r="F2729" t="s">
        <v>7691</v>
      </c>
      <c r="G2729">
        <v>3</v>
      </c>
      <c r="H2729">
        <v>1700</v>
      </c>
      <c r="I2729">
        <v>2</v>
      </c>
      <c r="J2729">
        <v>4.05</v>
      </c>
      <c r="K2729">
        <v>3</v>
      </c>
      <c r="L2729">
        <v>0.19500000000000001</v>
      </c>
      <c r="M2729">
        <v>3</v>
      </c>
      <c r="N2729">
        <v>93</v>
      </c>
      <c r="O2729">
        <v>2</v>
      </c>
      <c r="P2729">
        <v>0.22500000000000001</v>
      </c>
      <c r="Q2729">
        <v>3</v>
      </c>
      <c r="R2729">
        <v>1.2200000000000001E-2</v>
      </c>
      <c r="T2729" t="s">
        <v>7690</v>
      </c>
    </row>
    <row r="2730" spans="1:20" x14ac:dyDescent="0.2">
      <c r="A2730" t="s">
        <v>7692</v>
      </c>
      <c r="B2730" t="s">
        <v>2022</v>
      </c>
      <c r="C2730" t="s">
        <v>2023</v>
      </c>
      <c r="D2730" t="s">
        <v>2024</v>
      </c>
      <c r="E2730" t="s">
        <v>7693</v>
      </c>
      <c r="F2730" t="s">
        <v>7694</v>
      </c>
      <c r="G2730">
        <v>5</v>
      </c>
      <c r="H2730">
        <v>1800</v>
      </c>
      <c r="I2730">
        <v>1</v>
      </c>
      <c r="J2730">
        <v>0.9</v>
      </c>
      <c r="K2730">
        <v>1</v>
      </c>
      <c r="L2730">
        <v>6.0000000000000001E-3</v>
      </c>
      <c r="M2730">
        <v>5</v>
      </c>
      <c r="N2730">
        <v>114</v>
      </c>
      <c r="O2730">
        <v>1</v>
      </c>
      <c r="P2730">
        <v>7.4999999999999997E-2</v>
      </c>
      <c r="Q2730">
        <v>1</v>
      </c>
      <c r="R2730">
        <v>5.0000000000000001E-4</v>
      </c>
      <c r="T2730" t="s">
        <v>7693</v>
      </c>
    </row>
    <row r="2731" spans="1:20" x14ac:dyDescent="0.2">
      <c r="A2731" t="s">
        <v>7695</v>
      </c>
      <c r="B2731" t="s">
        <v>2022</v>
      </c>
      <c r="C2731" t="s">
        <v>2023</v>
      </c>
      <c r="D2731" t="s">
        <v>2024</v>
      </c>
      <c r="E2731" t="s">
        <v>7696</v>
      </c>
      <c r="F2731" t="s">
        <v>7697</v>
      </c>
      <c r="G2731">
        <v>1</v>
      </c>
      <c r="H2731">
        <v>1480</v>
      </c>
      <c r="I2731">
        <v>2</v>
      </c>
      <c r="J2731">
        <v>3.4</v>
      </c>
      <c r="K2731">
        <v>5</v>
      </c>
      <c r="L2731">
        <v>8.5999999999999993E-2</v>
      </c>
      <c r="M2731">
        <v>5</v>
      </c>
      <c r="N2731">
        <v>114</v>
      </c>
      <c r="O2731">
        <v>2</v>
      </c>
      <c r="P2731">
        <v>0.22500000000000001</v>
      </c>
      <c r="Q2731">
        <v>5</v>
      </c>
      <c r="R2731">
        <v>8.0000000000000002E-3</v>
      </c>
      <c r="T2731" t="s">
        <v>7696</v>
      </c>
    </row>
    <row r="2732" spans="1:20" x14ac:dyDescent="0.2">
      <c r="A2732" t="s">
        <v>7698</v>
      </c>
      <c r="B2732" t="s">
        <v>2022</v>
      </c>
      <c r="C2732" t="s">
        <v>2023</v>
      </c>
      <c r="D2732" t="s">
        <v>2024</v>
      </c>
      <c r="E2732" t="s">
        <v>7699</v>
      </c>
      <c r="F2732" t="s">
        <v>7700</v>
      </c>
      <c r="G2732">
        <v>2</v>
      </c>
      <c r="H2732">
        <v>1560</v>
      </c>
      <c r="I2732">
        <v>3</v>
      </c>
      <c r="J2732">
        <v>5.9</v>
      </c>
      <c r="K2732">
        <v>5</v>
      </c>
      <c r="L2732">
        <v>8.5999999999999993E-2</v>
      </c>
      <c r="M2732">
        <v>5</v>
      </c>
      <c r="N2732">
        <v>114</v>
      </c>
      <c r="O2732">
        <v>4</v>
      </c>
      <c r="P2732">
        <v>0.52500000000000002</v>
      </c>
      <c r="Q2732">
        <v>5</v>
      </c>
      <c r="R2732">
        <v>8.0000000000000002E-3</v>
      </c>
      <c r="T2732" t="s">
        <v>7699</v>
      </c>
    </row>
    <row r="2733" spans="1:20" x14ac:dyDescent="0.2">
      <c r="A2733" t="s">
        <v>7701</v>
      </c>
      <c r="B2733" t="s">
        <v>2022</v>
      </c>
      <c r="C2733" t="s">
        <v>2023</v>
      </c>
      <c r="D2733" t="s">
        <v>2024</v>
      </c>
      <c r="E2733" t="s">
        <v>7702</v>
      </c>
      <c r="F2733" t="s">
        <v>447</v>
      </c>
      <c r="G2733">
        <v>2</v>
      </c>
      <c r="H2733">
        <v>1560</v>
      </c>
      <c r="I2733">
        <v>2</v>
      </c>
      <c r="J2733">
        <v>3.4</v>
      </c>
      <c r="K2733">
        <v>2</v>
      </c>
      <c r="L2733">
        <v>2.5999999999999999E-2</v>
      </c>
      <c r="M2733">
        <v>1</v>
      </c>
      <c r="N2733">
        <v>74</v>
      </c>
      <c r="O2733">
        <v>1</v>
      </c>
      <c r="P2733">
        <v>7.4999999999999997E-2</v>
      </c>
      <c r="Q2733">
        <v>2</v>
      </c>
      <c r="R2733">
        <v>2E-3</v>
      </c>
      <c r="T2733" t="s">
        <v>7702</v>
      </c>
    </row>
    <row r="2734" spans="1:20" x14ac:dyDescent="0.2">
      <c r="A2734" t="s">
        <v>7703</v>
      </c>
      <c r="B2734" t="s">
        <v>2022</v>
      </c>
      <c r="C2734" t="s">
        <v>2036</v>
      </c>
      <c r="D2734" t="s">
        <v>2136</v>
      </c>
      <c r="E2734" t="s">
        <v>7704</v>
      </c>
      <c r="F2734" t="s">
        <v>7705</v>
      </c>
      <c r="G2734">
        <v>5</v>
      </c>
      <c r="H2734">
        <v>1940</v>
      </c>
      <c r="I2734">
        <v>5</v>
      </c>
      <c r="J2734">
        <v>7</v>
      </c>
      <c r="K2734">
        <v>5</v>
      </c>
      <c r="L2734">
        <v>0.17499999999999999</v>
      </c>
      <c r="M2734">
        <v>4</v>
      </c>
      <c r="N2734">
        <v>94</v>
      </c>
      <c r="O2734">
        <v>5</v>
      </c>
      <c r="P2734">
        <v>0.53500000000000003</v>
      </c>
      <c r="Q2734">
        <v>5</v>
      </c>
      <c r="R2734">
        <v>1.2E-2</v>
      </c>
      <c r="T2734" t="s">
        <v>7704</v>
      </c>
    </row>
    <row r="2735" spans="1:20" x14ac:dyDescent="0.2">
      <c r="A2735" t="s">
        <v>7706</v>
      </c>
      <c r="B2735" t="s">
        <v>2022</v>
      </c>
      <c r="C2735" t="s">
        <v>2036</v>
      </c>
      <c r="D2735" t="s">
        <v>2136</v>
      </c>
      <c r="E2735" t="s">
        <v>7704</v>
      </c>
      <c r="F2735" t="s">
        <v>7707</v>
      </c>
      <c r="G2735">
        <v>2</v>
      </c>
      <c r="H2735">
        <v>1640</v>
      </c>
      <c r="I2735">
        <v>3</v>
      </c>
      <c r="J2735">
        <v>4.5999999999999996</v>
      </c>
      <c r="K2735">
        <v>3</v>
      </c>
      <c r="L2735">
        <v>0.115</v>
      </c>
      <c r="M2735">
        <v>4</v>
      </c>
      <c r="N2735">
        <v>94</v>
      </c>
      <c r="O2735">
        <v>3</v>
      </c>
      <c r="P2735">
        <v>0.315</v>
      </c>
      <c r="Q2735">
        <v>3</v>
      </c>
      <c r="R2735">
        <v>6.7499999999999999E-3</v>
      </c>
      <c r="T2735" t="s">
        <v>7704</v>
      </c>
    </row>
    <row r="2736" spans="1:20" x14ac:dyDescent="0.2">
      <c r="A2736" t="s">
        <v>7708</v>
      </c>
      <c r="B2736" t="s">
        <v>2022</v>
      </c>
      <c r="C2736" t="s">
        <v>2036</v>
      </c>
      <c r="D2736" t="s">
        <v>2136</v>
      </c>
      <c r="E2736" t="s">
        <v>7704</v>
      </c>
      <c r="F2736" t="s">
        <v>7709</v>
      </c>
      <c r="G2736">
        <v>2</v>
      </c>
      <c r="H2736">
        <v>1640</v>
      </c>
      <c r="I2736">
        <v>5</v>
      </c>
      <c r="J2736">
        <v>7</v>
      </c>
      <c r="K2736">
        <v>5</v>
      </c>
      <c r="L2736">
        <v>0.17499999999999999</v>
      </c>
      <c r="M2736">
        <v>3</v>
      </c>
      <c r="N2736">
        <v>88</v>
      </c>
      <c r="O2736">
        <v>3</v>
      </c>
      <c r="P2736">
        <v>0.315</v>
      </c>
      <c r="Q2736">
        <v>5</v>
      </c>
      <c r="R2736">
        <v>1.2E-2</v>
      </c>
      <c r="T2736" t="s">
        <v>7704</v>
      </c>
    </row>
    <row r="2737" spans="1:20" x14ac:dyDescent="0.2">
      <c r="A2737" t="s">
        <v>7710</v>
      </c>
      <c r="B2737" t="s">
        <v>2022</v>
      </c>
      <c r="C2737" t="s">
        <v>2036</v>
      </c>
      <c r="D2737" t="s">
        <v>2136</v>
      </c>
      <c r="E2737" t="s">
        <v>7704</v>
      </c>
      <c r="F2737" t="s">
        <v>7711</v>
      </c>
      <c r="G2737">
        <v>2</v>
      </c>
      <c r="H2737">
        <v>1640</v>
      </c>
      <c r="I2737">
        <v>2</v>
      </c>
      <c r="J2737">
        <v>3.4</v>
      </c>
      <c r="K2737">
        <v>4</v>
      </c>
      <c r="L2737">
        <v>0.14499999999999999</v>
      </c>
      <c r="M2737">
        <v>4</v>
      </c>
      <c r="N2737">
        <v>94</v>
      </c>
      <c r="O2737">
        <v>2</v>
      </c>
      <c r="P2737">
        <v>0.20499999999999999</v>
      </c>
      <c r="Q2737">
        <v>3</v>
      </c>
      <c r="R2737">
        <v>6.7499999999999999E-3</v>
      </c>
      <c r="T2737" t="s">
        <v>7704</v>
      </c>
    </row>
    <row r="2738" spans="1:20" x14ac:dyDescent="0.2">
      <c r="A2738" t="s">
        <v>7712</v>
      </c>
      <c r="B2738" t="s">
        <v>2022</v>
      </c>
      <c r="C2738" t="s">
        <v>2053</v>
      </c>
      <c r="D2738" t="s">
        <v>2136</v>
      </c>
      <c r="E2738" t="s">
        <v>7704</v>
      </c>
      <c r="F2738" t="s">
        <v>7713</v>
      </c>
      <c r="G2738">
        <v>3</v>
      </c>
      <c r="H2738">
        <v>1700</v>
      </c>
      <c r="I2738">
        <v>3</v>
      </c>
      <c r="J2738">
        <v>6.55</v>
      </c>
      <c r="K2738">
        <v>3</v>
      </c>
      <c r="L2738">
        <v>0.19500000000000001</v>
      </c>
      <c r="M2738">
        <v>3</v>
      </c>
      <c r="N2738">
        <v>93</v>
      </c>
      <c r="O2738">
        <v>2</v>
      </c>
      <c r="P2738">
        <v>0.22500000000000001</v>
      </c>
      <c r="Q2738">
        <v>2</v>
      </c>
      <c r="R2738">
        <v>5.1999999999999998E-3</v>
      </c>
      <c r="T2738" t="s">
        <v>7704</v>
      </c>
    </row>
    <row r="2739" spans="1:20" x14ac:dyDescent="0.2">
      <c r="A2739" t="s">
        <v>7714</v>
      </c>
      <c r="B2739" t="s">
        <v>2022</v>
      </c>
      <c r="C2739" t="s">
        <v>2023</v>
      </c>
      <c r="D2739" t="s">
        <v>2024</v>
      </c>
      <c r="E2739" t="s">
        <v>7715</v>
      </c>
      <c r="F2739" t="s">
        <v>7716</v>
      </c>
      <c r="G2739">
        <v>2</v>
      </c>
      <c r="H2739">
        <v>1560</v>
      </c>
      <c r="I2739">
        <v>4</v>
      </c>
      <c r="J2739">
        <v>8.4</v>
      </c>
      <c r="K2739">
        <v>5</v>
      </c>
      <c r="L2739">
        <v>8.5999999999999993E-2</v>
      </c>
      <c r="M2739">
        <v>1</v>
      </c>
      <c r="N2739">
        <v>74</v>
      </c>
      <c r="O2739">
        <v>3</v>
      </c>
      <c r="P2739">
        <v>0.375</v>
      </c>
      <c r="Q2739">
        <v>5</v>
      </c>
      <c r="R2739">
        <v>8.0000000000000002E-3</v>
      </c>
      <c r="T2739" t="s">
        <v>7715</v>
      </c>
    </row>
    <row r="2740" spans="1:20" x14ac:dyDescent="0.2">
      <c r="A2740" t="s">
        <v>7717</v>
      </c>
      <c r="B2740" t="s">
        <v>2022</v>
      </c>
      <c r="C2740" t="s">
        <v>2049</v>
      </c>
      <c r="D2740" t="s">
        <v>2024</v>
      </c>
      <c r="E2740" t="s">
        <v>227</v>
      </c>
      <c r="F2740" t="s">
        <v>7718</v>
      </c>
      <c r="G2740">
        <v>2</v>
      </c>
      <c r="H2740">
        <v>1450</v>
      </c>
      <c r="I2740">
        <v>3</v>
      </c>
      <c r="J2740">
        <v>5</v>
      </c>
      <c r="K2740">
        <v>3</v>
      </c>
      <c r="L2740">
        <v>0.14000000000000001</v>
      </c>
      <c r="M2740">
        <v>2</v>
      </c>
      <c r="N2740">
        <v>106</v>
      </c>
      <c r="O2740">
        <v>2</v>
      </c>
      <c r="P2740">
        <v>0.26</v>
      </c>
      <c r="Q2740">
        <v>2</v>
      </c>
      <c r="R2740">
        <v>6.1999999999999998E-3</v>
      </c>
      <c r="T2740" t="s">
        <v>227</v>
      </c>
    </row>
    <row r="2741" spans="1:20" x14ac:dyDescent="0.2">
      <c r="A2741" t="s">
        <v>7719</v>
      </c>
      <c r="B2741" t="s">
        <v>2022</v>
      </c>
      <c r="C2741" t="s">
        <v>2036</v>
      </c>
      <c r="D2741" t="s">
        <v>2024</v>
      </c>
      <c r="E2741" t="s">
        <v>357</v>
      </c>
      <c r="F2741" t="s">
        <v>447</v>
      </c>
      <c r="G2741">
        <v>5</v>
      </c>
      <c r="H2741">
        <v>1940</v>
      </c>
      <c r="I2741">
        <v>5</v>
      </c>
      <c r="J2741">
        <v>7</v>
      </c>
      <c r="K2741">
        <v>5</v>
      </c>
      <c r="L2741">
        <v>0.17499999999999999</v>
      </c>
      <c r="M2741">
        <v>5</v>
      </c>
      <c r="N2741">
        <v>100</v>
      </c>
      <c r="O2741">
        <v>5</v>
      </c>
      <c r="P2741">
        <v>0.53500000000000003</v>
      </c>
      <c r="Q2741">
        <v>5</v>
      </c>
      <c r="R2741">
        <v>1.2E-2</v>
      </c>
      <c r="T2741" t="s">
        <v>357</v>
      </c>
    </row>
    <row r="2742" spans="1:20" x14ac:dyDescent="0.2">
      <c r="A2742" t="s">
        <v>7720</v>
      </c>
      <c r="B2742" t="s">
        <v>2022</v>
      </c>
      <c r="C2742" t="s">
        <v>2049</v>
      </c>
      <c r="D2742" t="s">
        <v>2024</v>
      </c>
      <c r="E2742" t="s">
        <v>357</v>
      </c>
      <c r="F2742" t="s">
        <v>447</v>
      </c>
      <c r="G2742">
        <v>1</v>
      </c>
      <c r="H2742">
        <v>1350</v>
      </c>
      <c r="I2742">
        <v>3</v>
      </c>
      <c r="J2742">
        <v>5</v>
      </c>
      <c r="K2742">
        <v>4</v>
      </c>
      <c r="L2742">
        <v>0.22</v>
      </c>
      <c r="M2742">
        <v>5</v>
      </c>
      <c r="N2742">
        <v>166</v>
      </c>
      <c r="O2742">
        <v>5</v>
      </c>
      <c r="P2742">
        <v>0.86</v>
      </c>
      <c r="Q2742">
        <v>5</v>
      </c>
      <c r="R2742">
        <v>3.32E-2</v>
      </c>
      <c r="T2742" t="s">
        <v>357</v>
      </c>
    </row>
    <row r="2743" spans="1:20" x14ac:dyDescent="0.2">
      <c r="A2743" t="s">
        <v>7721</v>
      </c>
      <c r="B2743" t="s">
        <v>2022</v>
      </c>
      <c r="C2743" t="s">
        <v>2053</v>
      </c>
      <c r="D2743" t="s">
        <v>2024</v>
      </c>
      <c r="E2743" t="s">
        <v>7722</v>
      </c>
      <c r="F2743" t="s">
        <v>7723</v>
      </c>
      <c r="G2743">
        <v>2</v>
      </c>
      <c r="H2743">
        <v>1600</v>
      </c>
      <c r="I2743">
        <v>4</v>
      </c>
      <c r="J2743">
        <v>9.0500000000000007</v>
      </c>
      <c r="K2743">
        <v>3</v>
      </c>
      <c r="L2743">
        <v>0.19500000000000001</v>
      </c>
      <c r="M2743">
        <v>2</v>
      </c>
      <c r="N2743">
        <v>83</v>
      </c>
      <c r="O2743">
        <v>4</v>
      </c>
      <c r="P2743">
        <v>0.52500000000000002</v>
      </c>
      <c r="Q2743">
        <v>3</v>
      </c>
      <c r="R2743">
        <v>1.2200000000000001E-2</v>
      </c>
      <c r="T2743" t="s">
        <v>7722</v>
      </c>
    </row>
    <row r="2744" spans="1:20" x14ac:dyDescent="0.2">
      <c r="A2744" t="s">
        <v>7724</v>
      </c>
      <c r="B2744" t="s">
        <v>2022</v>
      </c>
      <c r="C2744" t="s">
        <v>2053</v>
      </c>
      <c r="D2744" t="s">
        <v>2024</v>
      </c>
      <c r="E2744" t="s">
        <v>357</v>
      </c>
      <c r="F2744" t="s">
        <v>7725</v>
      </c>
      <c r="G2744">
        <v>3</v>
      </c>
      <c r="H2744">
        <v>1700</v>
      </c>
      <c r="I2744">
        <v>1</v>
      </c>
      <c r="J2744">
        <v>1.55</v>
      </c>
      <c r="K2744">
        <v>1</v>
      </c>
      <c r="L2744">
        <v>1.4999999999999999E-2</v>
      </c>
      <c r="M2744">
        <v>4</v>
      </c>
      <c r="N2744">
        <v>103</v>
      </c>
      <c r="O2744">
        <v>1</v>
      </c>
      <c r="P2744">
        <v>7.4999999999999997E-2</v>
      </c>
      <c r="Q2744">
        <v>1</v>
      </c>
      <c r="R2744">
        <v>8.4999999999999995E-4</v>
      </c>
      <c r="T2744" t="s">
        <v>357</v>
      </c>
    </row>
    <row r="2745" spans="1:20" x14ac:dyDescent="0.2">
      <c r="A2745" t="s">
        <v>7726</v>
      </c>
      <c r="B2745" t="s">
        <v>2022</v>
      </c>
      <c r="C2745" t="s">
        <v>2036</v>
      </c>
      <c r="D2745" t="s">
        <v>2024</v>
      </c>
      <c r="E2745" t="s">
        <v>357</v>
      </c>
      <c r="F2745" t="s">
        <v>447</v>
      </c>
      <c r="G2745">
        <v>5</v>
      </c>
      <c r="H2745">
        <v>1940</v>
      </c>
      <c r="I2745">
        <v>5</v>
      </c>
      <c r="J2745">
        <v>7</v>
      </c>
      <c r="K2745">
        <v>5</v>
      </c>
      <c r="L2745">
        <v>0.17499999999999999</v>
      </c>
      <c r="M2745">
        <v>4</v>
      </c>
      <c r="N2745">
        <v>94</v>
      </c>
      <c r="O2745">
        <v>5</v>
      </c>
      <c r="P2745">
        <v>0.53500000000000003</v>
      </c>
      <c r="Q2745">
        <v>5</v>
      </c>
      <c r="R2745">
        <v>1.2E-2</v>
      </c>
      <c r="T2745" t="s">
        <v>357</v>
      </c>
    </row>
    <row r="2746" spans="1:20" x14ac:dyDescent="0.2">
      <c r="A2746" t="s">
        <v>7727</v>
      </c>
      <c r="B2746" t="s">
        <v>2022</v>
      </c>
      <c r="C2746" t="s">
        <v>2053</v>
      </c>
      <c r="D2746" t="s">
        <v>2024</v>
      </c>
      <c r="E2746" t="s">
        <v>7728</v>
      </c>
      <c r="F2746" t="s">
        <v>7729</v>
      </c>
      <c r="G2746">
        <v>5</v>
      </c>
      <c r="H2746">
        <v>1900</v>
      </c>
      <c r="I2746">
        <v>1</v>
      </c>
      <c r="J2746">
        <v>1.55</v>
      </c>
      <c r="K2746">
        <v>1</v>
      </c>
      <c r="L2746">
        <v>1.4999999999999999E-2</v>
      </c>
      <c r="M2746">
        <v>3</v>
      </c>
      <c r="N2746">
        <v>93</v>
      </c>
      <c r="O2746">
        <v>1</v>
      </c>
      <c r="P2746">
        <v>7.4999999999999997E-2</v>
      </c>
      <c r="Q2746">
        <v>1</v>
      </c>
      <c r="R2746">
        <v>8.4999999999999995E-4</v>
      </c>
      <c r="T2746" t="s">
        <v>7728</v>
      </c>
    </row>
    <row r="2747" spans="1:20" x14ac:dyDescent="0.2">
      <c r="A2747" t="s">
        <v>7730</v>
      </c>
      <c r="B2747" t="s">
        <v>2022</v>
      </c>
      <c r="C2747" t="s">
        <v>2508</v>
      </c>
      <c r="D2747" t="s">
        <v>2154</v>
      </c>
      <c r="E2747" t="s">
        <v>357</v>
      </c>
      <c r="F2747" t="s">
        <v>447</v>
      </c>
      <c r="G2747">
        <v>1</v>
      </c>
      <c r="H2747">
        <v>1250</v>
      </c>
      <c r="I2747">
        <v>2</v>
      </c>
      <c r="J2747">
        <v>5</v>
      </c>
      <c r="K2747">
        <v>1</v>
      </c>
      <c r="L2747">
        <v>0.01</v>
      </c>
      <c r="M2747">
        <v>5</v>
      </c>
      <c r="N2747">
        <v>352.5</v>
      </c>
      <c r="O2747">
        <v>4</v>
      </c>
      <c r="P2747">
        <v>1.35</v>
      </c>
      <c r="Q2747">
        <v>1</v>
      </c>
      <c r="R2747">
        <v>1.2E-2</v>
      </c>
      <c r="T2747" t="s">
        <v>357</v>
      </c>
    </row>
    <row r="2748" spans="1:20" x14ac:dyDescent="0.2">
      <c r="A2748" t="s">
        <v>7731</v>
      </c>
      <c r="B2748" t="s">
        <v>2022</v>
      </c>
      <c r="C2748" t="s">
        <v>2023</v>
      </c>
      <c r="D2748" t="s">
        <v>2024</v>
      </c>
      <c r="E2748" t="s">
        <v>7732</v>
      </c>
      <c r="F2748" t="s">
        <v>7733</v>
      </c>
      <c r="G2748">
        <v>3</v>
      </c>
      <c r="H2748">
        <v>1640</v>
      </c>
      <c r="I2748">
        <v>2</v>
      </c>
      <c r="J2748">
        <v>3.4</v>
      </c>
      <c r="K2748">
        <v>1</v>
      </c>
      <c r="L2748">
        <v>6.0000000000000001E-3</v>
      </c>
      <c r="M2748">
        <v>2</v>
      </c>
      <c r="N2748">
        <v>84</v>
      </c>
      <c r="O2748">
        <v>1</v>
      </c>
      <c r="P2748">
        <v>7.4999999999999997E-2</v>
      </c>
      <c r="Q2748">
        <v>1</v>
      </c>
      <c r="R2748">
        <v>5.0000000000000001E-4</v>
      </c>
      <c r="T2748" t="s">
        <v>7732</v>
      </c>
    </row>
    <row r="2749" spans="1:20" x14ac:dyDescent="0.2">
      <c r="A2749" t="s">
        <v>7734</v>
      </c>
      <c r="B2749" t="s">
        <v>2022</v>
      </c>
      <c r="C2749" t="s">
        <v>2053</v>
      </c>
      <c r="D2749" t="s">
        <v>2024</v>
      </c>
      <c r="E2749" t="s">
        <v>7735</v>
      </c>
      <c r="F2749" t="s">
        <v>7736</v>
      </c>
      <c r="G2749">
        <v>1</v>
      </c>
      <c r="H2749">
        <v>1500</v>
      </c>
      <c r="I2749">
        <v>2</v>
      </c>
      <c r="J2749">
        <v>4.05</v>
      </c>
      <c r="K2749">
        <v>2</v>
      </c>
      <c r="L2749">
        <v>8.5000000000000006E-2</v>
      </c>
      <c r="M2749">
        <v>5</v>
      </c>
      <c r="N2749">
        <v>113</v>
      </c>
      <c r="O2749">
        <v>5</v>
      </c>
      <c r="P2749">
        <v>0.67500000000000004</v>
      </c>
      <c r="Q2749">
        <v>4</v>
      </c>
      <c r="R2749">
        <v>1.9199999999999998E-2</v>
      </c>
      <c r="T2749" t="s">
        <v>7735</v>
      </c>
    </row>
    <row r="2750" spans="1:20" x14ac:dyDescent="0.2">
      <c r="A2750" t="s">
        <v>7737</v>
      </c>
      <c r="B2750" t="s">
        <v>2022</v>
      </c>
      <c r="C2750" t="s">
        <v>2023</v>
      </c>
      <c r="D2750" t="s">
        <v>2024</v>
      </c>
      <c r="E2750" t="s">
        <v>7738</v>
      </c>
      <c r="F2750" t="s">
        <v>7739</v>
      </c>
      <c r="G2750">
        <v>1</v>
      </c>
      <c r="H2750">
        <v>1480</v>
      </c>
      <c r="I2750">
        <v>1</v>
      </c>
      <c r="J2750">
        <v>0.9</v>
      </c>
      <c r="K2750">
        <v>1</v>
      </c>
      <c r="L2750">
        <v>6.0000000000000001E-3</v>
      </c>
      <c r="M2750">
        <v>2</v>
      </c>
      <c r="N2750">
        <v>84</v>
      </c>
      <c r="O2750">
        <v>1</v>
      </c>
      <c r="P2750">
        <v>7.4999999999999997E-2</v>
      </c>
      <c r="Q2750">
        <v>1</v>
      </c>
      <c r="R2750">
        <v>5.0000000000000001E-4</v>
      </c>
      <c r="T2750" t="s">
        <v>7738</v>
      </c>
    </row>
    <row r="2751" spans="1:20" x14ac:dyDescent="0.2">
      <c r="A2751" t="s">
        <v>7740</v>
      </c>
      <c r="B2751" t="s">
        <v>2022</v>
      </c>
      <c r="C2751" t="s">
        <v>2036</v>
      </c>
      <c r="D2751" t="s">
        <v>2024</v>
      </c>
      <c r="E2751" t="s">
        <v>7741</v>
      </c>
      <c r="F2751" t="s">
        <v>7742</v>
      </c>
      <c r="G2751">
        <v>5</v>
      </c>
      <c r="H2751">
        <v>1940</v>
      </c>
      <c r="I2751">
        <v>3</v>
      </c>
      <c r="J2751">
        <v>4.5999999999999996</v>
      </c>
      <c r="K2751">
        <v>5</v>
      </c>
      <c r="L2751">
        <v>0.17499999999999999</v>
      </c>
      <c r="M2751">
        <v>5</v>
      </c>
      <c r="N2751">
        <v>100</v>
      </c>
      <c r="O2751">
        <v>2</v>
      </c>
      <c r="P2751">
        <v>0.20499999999999999</v>
      </c>
      <c r="Q2751">
        <v>4</v>
      </c>
      <c r="R2751">
        <v>9.2499999999999995E-3</v>
      </c>
      <c r="T2751" t="s">
        <v>7741</v>
      </c>
    </row>
    <row r="2752" spans="1:20" x14ac:dyDescent="0.2">
      <c r="A2752" t="s">
        <v>7743</v>
      </c>
      <c r="B2752" t="s">
        <v>2022</v>
      </c>
      <c r="C2752" t="s">
        <v>2104</v>
      </c>
      <c r="D2752" t="s">
        <v>2024</v>
      </c>
      <c r="E2752" t="s">
        <v>7744</v>
      </c>
      <c r="F2752" t="s">
        <v>7745</v>
      </c>
      <c r="G2752">
        <v>3</v>
      </c>
      <c r="H2752">
        <v>1887.5</v>
      </c>
      <c r="I2752">
        <v>5</v>
      </c>
      <c r="J2752">
        <v>10.15</v>
      </c>
      <c r="K2752">
        <v>5</v>
      </c>
      <c r="L2752">
        <v>0.191</v>
      </c>
      <c r="M2752">
        <v>3</v>
      </c>
      <c r="N2752">
        <v>73</v>
      </c>
      <c r="P2752">
        <v>0</v>
      </c>
      <c r="Q2752">
        <v>4</v>
      </c>
      <c r="R2752">
        <v>1.32E-2</v>
      </c>
      <c r="T2752" t="s">
        <v>7744</v>
      </c>
    </row>
    <row r="2753" spans="1:20" x14ac:dyDescent="0.2">
      <c r="A2753" t="s">
        <v>7746</v>
      </c>
      <c r="B2753" t="s">
        <v>2022</v>
      </c>
      <c r="C2753" t="s">
        <v>2222</v>
      </c>
      <c r="D2753" t="s">
        <v>2024</v>
      </c>
      <c r="E2753" t="s">
        <v>7747</v>
      </c>
      <c r="F2753" t="s">
        <v>7748</v>
      </c>
      <c r="G2753">
        <v>4</v>
      </c>
      <c r="H2753">
        <v>1750</v>
      </c>
      <c r="I2753">
        <v>2</v>
      </c>
      <c r="J2753">
        <v>3.9</v>
      </c>
      <c r="K2753">
        <v>2</v>
      </c>
      <c r="L2753">
        <v>5.5E-2</v>
      </c>
      <c r="M2753">
        <v>5</v>
      </c>
      <c r="N2753">
        <v>75</v>
      </c>
      <c r="O2753">
        <v>2</v>
      </c>
      <c r="P2753">
        <v>0.15</v>
      </c>
      <c r="Q2753">
        <v>2</v>
      </c>
      <c r="R2753">
        <v>2.3E-3</v>
      </c>
      <c r="T2753" t="s">
        <v>7747</v>
      </c>
    </row>
    <row r="2754" spans="1:20" x14ac:dyDescent="0.2">
      <c r="A2754" t="s">
        <v>7749</v>
      </c>
      <c r="B2754" t="s">
        <v>2022</v>
      </c>
      <c r="C2754" t="s">
        <v>2106</v>
      </c>
      <c r="D2754" t="s">
        <v>2024</v>
      </c>
      <c r="E2754" t="s">
        <v>7750</v>
      </c>
      <c r="F2754" t="s">
        <v>7751</v>
      </c>
      <c r="G2754">
        <v>2</v>
      </c>
      <c r="H2754">
        <v>1825</v>
      </c>
      <c r="I2754">
        <v>1</v>
      </c>
      <c r="J2754">
        <v>3.25</v>
      </c>
      <c r="K2754">
        <v>3</v>
      </c>
      <c r="L2754">
        <v>0.14000000000000001</v>
      </c>
      <c r="M2754">
        <v>2</v>
      </c>
      <c r="N2754">
        <v>68.5</v>
      </c>
      <c r="O2754">
        <v>2</v>
      </c>
      <c r="P2754">
        <v>0.15</v>
      </c>
      <c r="Q2754">
        <v>3</v>
      </c>
      <c r="R2754">
        <v>4.4999999999999997E-3</v>
      </c>
      <c r="T2754" t="s">
        <v>7750</v>
      </c>
    </row>
    <row r="2755" spans="1:20" x14ac:dyDescent="0.2">
      <c r="A2755" t="s">
        <v>7752</v>
      </c>
      <c r="B2755" t="s">
        <v>2022</v>
      </c>
      <c r="C2755" t="s">
        <v>2106</v>
      </c>
      <c r="D2755" t="s">
        <v>2024</v>
      </c>
      <c r="E2755" t="s">
        <v>7753</v>
      </c>
      <c r="F2755" t="s">
        <v>7754</v>
      </c>
      <c r="G2755">
        <v>2</v>
      </c>
      <c r="H2755">
        <v>1825</v>
      </c>
      <c r="I2755">
        <v>2</v>
      </c>
      <c r="J2755">
        <v>5.75</v>
      </c>
      <c r="K2755">
        <v>3</v>
      </c>
      <c r="L2755">
        <v>0.14000000000000001</v>
      </c>
      <c r="M2755">
        <v>2</v>
      </c>
      <c r="N2755">
        <v>68.5</v>
      </c>
      <c r="O2755">
        <v>3</v>
      </c>
      <c r="P2755">
        <v>0.25</v>
      </c>
      <c r="Q2755">
        <v>4</v>
      </c>
      <c r="R2755">
        <v>6.4999999999999997E-3</v>
      </c>
      <c r="T2755" t="s">
        <v>7753</v>
      </c>
    </row>
    <row r="2756" spans="1:20" x14ac:dyDescent="0.2">
      <c r="A2756" t="s">
        <v>7755</v>
      </c>
      <c r="B2756" t="s">
        <v>2022</v>
      </c>
      <c r="C2756" t="s">
        <v>2101</v>
      </c>
      <c r="D2756" t="s">
        <v>2024</v>
      </c>
      <c r="E2756" t="s">
        <v>7756</v>
      </c>
      <c r="F2756" t="s">
        <v>7757</v>
      </c>
      <c r="G2756">
        <v>1</v>
      </c>
      <c r="H2756">
        <v>1570</v>
      </c>
      <c r="I2756">
        <v>2</v>
      </c>
      <c r="J2756">
        <v>5</v>
      </c>
      <c r="K2756">
        <v>2</v>
      </c>
      <c r="L2756">
        <v>9.6500000000000002E-2</v>
      </c>
      <c r="M2756">
        <v>2</v>
      </c>
      <c r="N2756">
        <v>74</v>
      </c>
      <c r="O2756">
        <v>2</v>
      </c>
      <c r="P2756">
        <v>0.22500000000000001</v>
      </c>
      <c r="Q2756">
        <v>2</v>
      </c>
      <c r="R2756">
        <v>4.4999999999999997E-3</v>
      </c>
      <c r="T2756" t="s">
        <v>7756</v>
      </c>
    </row>
    <row r="2757" spans="1:20" x14ac:dyDescent="0.2">
      <c r="A2757" t="s">
        <v>7758</v>
      </c>
      <c r="B2757" t="s">
        <v>2022</v>
      </c>
      <c r="C2757" t="s">
        <v>2101</v>
      </c>
      <c r="D2757" t="s">
        <v>2024</v>
      </c>
      <c r="E2757" t="s">
        <v>7759</v>
      </c>
      <c r="F2757" t="s">
        <v>7760</v>
      </c>
      <c r="G2757">
        <v>2</v>
      </c>
      <c r="H2757">
        <v>1670</v>
      </c>
      <c r="I2757">
        <v>2</v>
      </c>
      <c r="J2757">
        <v>5</v>
      </c>
      <c r="K2757">
        <v>2</v>
      </c>
      <c r="L2757">
        <v>9.6500000000000002E-2</v>
      </c>
      <c r="M2757">
        <v>1</v>
      </c>
      <c r="N2757">
        <v>66</v>
      </c>
      <c r="O2757">
        <v>2</v>
      </c>
      <c r="P2757">
        <v>0.22500000000000001</v>
      </c>
      <c r="Q2757">
        <v>2</v>
      </c>
      <c r="R2757">
        <v>4.4999999999999997E-3</v>
      </c>
      <c r="T2757" t="s">
        <v>7759</v>
      </c>
    </row>
    <row r="2758" spans="1:20" x14ac:dyDescent="0.2">
      <c r="A2758" t="s">
        <v>7761</v>
      </c>
      <c r="B2758" t="s">
        <v>2022</v>
      </c>
      <c r="C2758" t="s">
        <v>2023</v>
      </c>
      <c r="D2758" t="s">
        <v>2024</v>
      </c>
      <c r="E2758" t="s">
        <v>7762</v>
      </c>
      <c r="F2758" t="s">
        <v>7763</v>
      </c>
      <c r="G2758">
        <v>3</v>
      </c>
      <c r="H2758">
        <v>1640</v>
      </c>
      <c r="I2758">
        <v>5</v>
      </c>
      <c r="J2758">
        <v>10.9</v>
      </c>
      <c r="K2758">
        <v>5</v>
      </c>
      <c r="L2758">
        <v>8.5999999999999993E-2</v>
      </c>
      <c r="M2758">
        <v>4</v>
      </c>
      <c r="N2758">
        <v>104</v>
      </c>
      <c r="O2758">
        <v>5</v>
      </c>
      <c r="P2758">
        <v>0.67500000000000004</v>
      </c>
      <c r="Q2758">
        <v>5</v>
      </c>
      <c r="R2758">
        <v>8.0000000000000002E-3</v>
      </c>
      <c r="T2758" t="s">
        <v>7762</v>
      </c>
    </row>
    <row r="2759" spans="1:20" x14ac:dyDescent="0.2">
      <c r="A2759" t="s">
        <v>7764</v>
      </c>
      <c r="B2759" t="s">
        <v>2022</v>
      </c>
      <c r="C2759" t="s">
        <v>2222</v>
      </c>
      <c r="E2759" t="s">
        <v>7765</v>
      </c>
      <c r="F2759" t="s">
        <v>7766</v>
      </c>
      <c r="G2759">
        <v>1</v>
      </c>
      <c r="H2759">
        <v>1550</v>
      </c>
      <c r="I2759">
        <v>1</v>
      </c>
      <c r="J2759">
        <v>2.2999999999999998</v>
      </c>
      <c r="K2759">
        <v>1</v>
      </c>
      <c r="L2759">
        <v>0.01</v>
      </c>
      <c r="M2759">
        <v>2</v>
      </c>
      <c r="N2759">
        <v>66.5</v>
      </c>
      <c r="O2759">
        <v>2</v>
      </c>
      <c r="P2759">
        <v>0.15</v>
      </c>
      <c r="Q2759">
        <v>2</v>
      </c>
      <c r="R2759">
        <v>2.3E-3</v>
      </c>
      <c r="T2759" t="s">
        <v>7765</v>
      </c>
    </row>
    <row r="2760" spans="1:20" x14ac:dyDescent="0.2">
      <c r="A2760" t="s">
        <v>7767</v>
      </c>
      <c r="B2760" t="s">
        <v>2022</v>
      </c>
      <c r="C2760" t="s">
        <v>2023</v>
      </c>
      <c r="E2760" t="s">
        <v>211</v>
      </c>
      <c r="F2760" t="s">
        <v>2009</v>
      </c>
      <c r="G2760">
        <v>1</v>
      </c>
      <c r="H2760">
        <v>1480</v>
      </c>
      <c r="I2760">
        <v>2</v>
      </c>
      <c r="J2760">
        <v>3.4</v>
      </c>
      <c r="K2760">
        <v>1</v>
      </c>
      <c r="L2760">
        <v>8.9999999999999993E-3</v>
      </c>
      <c r="M2760">
        <v>3</v>
      </c>
      <c r="N2760">
        <v>94</v>
      </c>
      <c r="O2760">
        <v>1</v>
      </c>
      <c r="P2760">
        <v>7.4999999999999997E-2</v>
      </c>
      <c r="Q2760">
        <v>1</v>
      </c>
      <c r="R2760">
        <v>5.0000000000000001E-4</v>
      </c>
      <c r="T2760" t="s">
        <v>211</v>
      </c>
    </row>
    <row r="2761" spans="1:20" x14ac:dyDescent="0.2">
      <c r="A2761" t="s">
        <v>7768</v>
      </c>
      <c r="B2761" t="s">
        <v>2022</v>
      </c>
      <c r="C2761" t="s">
        <v>2036</v>
      </c>
      <c r="D2761" t="s">
        <v>2024</v>
      </c>
      <c r="E2761" t="s">
        <v>7769</v>
      </c>
      <c r="F2761" t="s">
        <v>7770</v>
      </c>
      <c r="G2761">
        <v>2</v>
      </c>
      <c r="H2761">
        <v>1640</v>
      </c>
      <c r="I2761">
        <v>1</v>
      </c>
      <c r="J2761">
        <v>2.2000000000000002</v>
      </c>
      <c r="K2761">
        <v>2</v>
      </c>
      <c r="L2761">
        <v>8.5000000000000006E-2</v>
      </c>
      <c r="M2761">
        <v>2</v>
      </c>
      <c r="N2761">
        <v>82</v>
      </c>
      <c r="O2761">
        <v>1</v>
      </c>
      <c r="P2761">
        <v>9.5000000000000001E-2</v>
      </c>
      <c r="Q2761">
        <v>2</v>
      </c>
      <c r="R2761">
        <v>4.2500000000000003E-3</v>
      </c>
      <c r="T2761" t="s">
        <v>7769</v>
      </c>
    </row>
    <row r="2762" spans="1:20" x14ac:dyDescent="0.2">
      <c r="A2762" t="s">
        <v>7771</v>
      </c>
      <c r="B2762" t="s">
        <v>2022</v>
      </c>
      <c r="C2762" t="s">
        <v>2036</v>
      </c>
      <c r="D2762" t="s">
        <v>2024</v>
      </c>
      <c r="E2762" t="s">
        <v>7772</v>
      </c>
      <c r="F2762" t="s">
        <v>447</v>
      </c>
      <c r="G2762">
        <v>2</v>
      </c>
      <c r="H2762">
        <v>1640</v>
      </c>
      <c r="I2762">
        <v>3</v>
      </c>
      <c r="J2762">
        <v>4.5999999999999996</v>
      </c>
      <c r="K2762">
        <v>5</v>
      </c>
      <c r="L2762">
        <v>0.17499999999999999</v>
      </c>
      <c r="M2762">
        <v>3</v>
      </c>
      <c r="N2762">
        <v>88</v>
      </c>
      <c r="O2762">
        <v>2</v>
      </c>
      <c r="P2762">
        <v>0.20499999999999999</v>
      </c>
      <c r="Q2762">
        <v>4</v>
      </c>
      <c r="R2762">
        <v>9.2499999999999995E-3</v>
      </c>
      <c r="T2762" t="s">
        <v>7772</v>
      </c>
    </row>
    <row r="2763" spans="1:20" x14ac:dyDescent="0.2">
      <c r="A2763" t="s">
        <v>7773</v>
      </c>
      <c r="B2763" t="s">
        <v>2022</v>
      </c>
      <c r="C2763" t="s">
        <v>2036</v>
      </c>
      <c r="D2763" t="s">
        <v>2024</v>
      </c>
      <c r="E2763" t="s">
        <v>7774</v>
      </c>
      <c r="F2763" t="s">
        <v>7775</v>
      </c>
      <c r="G2763">
        <v>3</v>
      </c>
      <c r="H2763">
        <v>1740</v>
      </c>
      <c r="I2763">
        <v>5</v>
      </c>
      <c r="J2763">
        <v>7</v>
      </c>
      <c r="K2763">
        <v>5</v>
      </c>
      <c r="L2763">
        <v>0.17499999999999999</v>
      </c>
      <c r="M2763">
        <v>3</v>
      </c>
      <c r="N2763">
        <v>88</v>
      </c>
      <c r="O2763">
        <v>5</v>
      </c>
      <c r="P2763">
        <v>0.53500000000000003</v>
      </c>
      <c r="Q2763">
        <v>5</v>
      </c>
      <c r="R2763">
        <v>1.2E-2</v>
      </c>
      <c r="T2763" t="s">
        <v>7774</v>
      </c>
    </row>
    <row r="2764" spans="1:20" x14ac:dyDescent="0.2">
      <c r="A2764" t="s">
        <v>7776</v>
      </c>
      <c r="B2764" t="s">
        <v>2022</v>
      </c>
      <c r="C2764" t="s">
        <v>2023</v>
      </c>
      <c r="D2764" t="s">
        <v>2024</v>
      </c>
      <c r="E2764" t="s">
        <v>7777</v>
      </c>
      <c r="F2764" t="s">
        <v>7778</v>
      </c>
      <c r="G2764">
        <v>3</v>
      </c>
      <c r="H2764">
        <v>1640</v>
      </c>
      <c r="I2764">
        <v>3</v>
      </c>
      <c r="J2764">
        <v>5.9</v>
      </c>
      <c r="K2764">
        <v>2</v>
      </c>
      <c r="L2764">
        <v>2.5999999999999999E-2</v>
      </c>
      <c r="M2764">
        <v>4</v>
      </c>
      <c r="N2764">
        <v>104</v>
      </c>
      <c r="O2764">
        <v>3</v>
      </c>
      <c r="P2764">
        <v>0.375</v>
      </c>
      <c r="Q2764">
        <v>2</v>
      </c>
      <c r="R2764">
        <v>2E-3</v>
      </c>
      <c r="T2764" t="s">
        <v>7777</v>
      </c>
    </row>
    <row r="2765" spans="1:20" x14ac:dyDescent="0.2">
      <c r="A2765" t="s">
        <v>7779</v>
      </c>
      <c r="B2765" t="s">
        <v>2022</v>
      </c>
      <c r="C2765" t="s">
        <v>2023</v>
      </c>
      <c r="D2765" t="s">
        <v>2154</v>
      </c>
      <c r="E2765" t="s">
        <v>7780</v>
      </c>
      <c r="F2765" t="s">
        <v>447</v>
      </c>
      <c r="G2765">
        <v>5</v>
      </c>
      <c r="H2765">
        <v>1800</v>
      </c>
      <c r="I2765">
        <v>1</v>
      </c>
      <c r="J2765">
        <v>0.9</v>
      </c>
      <c r="K2765">
        <v>2</v>
      </c>
      <c r="L2765">
        <v>2.5999999999999999E-2</v>
      </c>
      <c r="M2765">
        <v>5</v>
      </c>
      <c r="N2765">
        <v>114</v>
      </c>
      <c r="O2765">
        <v>1</v>
      </c>
      <c r="P2765">
        <v>7.4999999999999997E-2</v>
      </c>
      <c r="Q2765">
        <v>1</v>
      </c>
      <c r="R2765">
        <v>5.0000000000000001E-4</v>
      </c>
      <c r="T2765" t="s">
        <v>7780</v>
      </c>
    </row>
    <row r="2766" spans="1:20" x14ac:dyDescent="0.2">
      <c r="A2766" t="s">
        <v>7781</v>
      </c>
      <c r="B2766" t="s">
        <v>2022</v>
      </c>
      <c r="C2766" t="s">
        <v>2036</v>
      </c>
      <c r="D2766" t="s">
        <v>2136</v>
      </c>
      <c r="E2766" t="s">
        <v>7782</v>
      </c>
      <c r="F2766" t="s">
        <v>7783</v>
      </c>
      <c r="G2766">
        <v>3</v>
      </c>
      <c r="H2766">
        <v>1740</v>
      </c>
      <c r="I2766">
        <v>2</v>
      </c>
      <c r="J2766">
        <v>3.4</v>
      </c>
      <c r="K2766">
        <v>2</v>
      </c>
      <c r="L2766">
        <v>8.5000000000000006E-2</v>
      </c>
      <c r="M2766">
        <v>2</v>
      </c>
      <c r="N2766">
        <v>82</v>
      </c>
      <c r="O2766">
        <v>2</v>
      </c>
      <c r="P2766">
        <v>0.20499999999999999</v>
      </c>
      <c r="Q2766">
        <v>2</v>
      </c>
      <c r="R2766">
        <v>4.2500000000000003E-3</v>
      </c>
      <c r="T2766" t="s">
        <v>7782</v>
      </c>
    </row>
    <row r="2767" spans="1:20" x14ac:dyDescent="0.2">
      <c r="A2767" t="s">
        <v>1621</v>
      </c>
      <c r="B2767" t="s">
        <v>2022</v>
      </c>
      <c r="C2767" t="s">
        <v>2053</v>
      </c>
      <c r="D2767" t="s">
        <v>2024</v>
      </c>
      <c r="E2767" t="s">
        <v>1622</v>
      </c>
      <c r="F2767" t="s">
        <v>1623</v>
      </c>
      <c r="G2767">
        <v>1</v>
      </c>
      <c r="H2767">
        <v>1500</v>
      </c>
      <c r="I2767">
        <v>2</v>
      </c>
      <c r="J2767">
        <v>4.05</v>
      </c>
      <c r="K2767">
        <v>2</v>
      </c>
      <c r="L2767">
        <v>8.5000000000000006E-2</v>
      </c>
      <c r="M2767">
        <v>3</v>
      </c>
      <c r="N2767">
        <v>93</v>
      </c>
      <c r="O2767">
        <v>2</v>
      </c>
      <c r="P2767">
        <v>0.22500000000000001</v>
      </c>
      <c r="Q2767">
        <v>2</v>
      </c>
      <c r="R2767">
        <v>5.1999999999999998E-3</v>
      </c>
      <c r="T2767" t="s">
        <v>1622</v>
      </c>
    </row>
    <row r="2768" spans="1:20" x14ac:dyDescent="0.2">
      <c r="A2768" t="s">
        <v>7784</v>
      </c>
      <c r="B2768" t="s">
        <v>2022</v>
      </c>
      <c r="C2768" t="s">
        <v>2036</v>
      </c>
      <c r="D2768" t="s">
        <v>2024</v>
      </c>
      <c r="E2768" t="s">
        <v>7785</v>
      </c>
      <c r="F2768" t="s">
        <v>7786</v>
      </c>
      <c r="G2768">
        <v>2</v>
      </c>
      <c r="H2768">
        <v>1640</v>
      </c>
      <c r="I2768">
        <v>5</v>
      </c>
      <c r="J2768">
        <v>7</v>
      </c>
      <c r="K2768">
        <v>5</v>
      </c>
      <c r="L2768">
        <v>0.17499999999999999</v>
      </c>
      <c r="M2768">
        <v>3</v>
      </c>
      <c r="N2768">
        <v>88</v>
      </c>
      <c r="O2768">
        <v>3</v>
      </c>
      <c r="P2768">
        <v>0.315</v>
      </c>
      <c r="Q2768">
        <v>5</v>
      </c>
      <c r="R2768">
        <v>1.2E-2</v>
      </c>
      <c r="T2768" t="s">
        <v>7785</v>
      </c>
    </row>
    <row r="2769" spans="1:20" x14ac:dyDescent="0.2">
      <c r="A2769" t="s">
        <v>7787</v>
      </c>
      <c r="B2769" t="s">
        <v>2022</v>
      </c>
      <c r="C2769" t="s">
        <v>2053</v>
      </c>
      <c r="D2769" t="s">
        <v>2024</v>
      </c>
      <c r="E2769" t="s">
        <v>7788</v>
      </c>
      <c r="F2769" t="s">
        <v>7789</v>
      </c>
      <c r="G2769">
        <v>2</v>
      </c>
      <c r="H2769">
        <v>1600</v>
      </c>
      <c r="I2769">
        <v>5</v>
      </c>
      <c r="J2769">
        <v>11.55</v>
      </c>
      <c r="K2769">
        <v>2</v>
      </c>
      <c r="L2769">
        <v>8.5000000000000006E-2</v>
      </c>
      <c r="M2769">
        <v>2</v>
      </c>
      <c r="N2769">
        <v>83</v>
      </c>
      <c r="O2769">
        <v>5</v>
      </c>
      <c r="P2769">
        <v>0.67500000000000004</v>
      </c>
      <c r="Q2769">
        <v>2</v>
      </c>
      <c r="R2769">
        <v>5.1999999999999998E-3</v>
      </c>
      <c r="T2769" t="s">
        <v>7788</v>
      </c>
    </row>
    <row r="2770" spans="1:20" x14ac:dyDescent="0.2">
      <c r="A2770" t="s">
        <v>7790</v>
      </c>
      <c r="B2770" t="s">
        <v>2022</v>
      </c>
      <c r="C2770" t="s">
        <v>2023</v>
      </c>
      <c r="D2770" t="s">
        <v>2024</v>
      </c>
      <c r="E2770" t="s">
        <v>7791</v>
      </c>
      <c r="F2770" t="s">
        <v>7792</v>
      </c>
      <c r="G2770">
        <v>5</v>
      </c>
      <c r="H2770">
        <v>1800</v>
      </c>
      <c r="I2770">
        <v>4</v>
      </c>
      <c r="J2770">
        <v>8.4</v>
      </c>
      <c r="K2770">
        <v>5</v>
      </c>
      <c r="L2770">
        <v>8.5999999999999993E-2</v>
      </c>
      <c r="M2770">
        <v>4</v>
      </c>
      <c r="N2770">
        <v>104</v>
      </c>
      <c r="O2770">
        <v>4</v>
      </c>
      <c r="P2770">
        <v>0.52500000000000002</v>
      </c>
      <c r="Q2770">
        <v>4</v>
      </c>
      <c r="R2770">
        <v>6.0000000000000001E-3</v>
      </c>
      <c r="T2770" t="s">
        <v>7791</v>
      </c>
    </row>
    <row r="2771" spans="1:20" x14ac:dyDescent="0.2">
      <c r="A2771" t="s">
        <v>7793</v>
      </c>
      <c r="B2771" t="s">
        <v>2022</v>
      </c>
      <c r="C2771" t="s">
        <v>2173</v>
      </c>
      <c r="D2771" t="s">
        <v>2024</v>
      </c>
      <c r="E2771" t="s">
        <v>7794</v>
      </c>
      <c r="F2771" t="s">
        <v>7795</v>
      </c>
      <c r="G2771">
        <v>1</v>
      </c>
      <c r="H2771">
        <v>1882.5</v>
      </c>
      <c r="I2771">
        <v>5</v>
      </c>
      <c r="J2771">
        <v>14.45</v>
      </c>
      <c r="K2771">
        <v>2</v>
      </c>
      <c r="L2771">
        <v>0.09</v>
      </c>
      <c r="M2771">
        <v>2</v>
      </c>
      <c r="N2771">
        <v>107.5</v>
      </c>
      <c r="O2771">
        <v>4</v>
      </c>
      <c r="P2771">
        <v>0.69</v>
      </c>
      <c r="Q2771">
        <v>2</v>
      </c>
      <c r="R2771">
        <v>4.7999999999999996E-3</v>
      </c>
      <c r="T2771" t="s">
        <v>7794</v>
      </c>
    </row>
    <row r="2772" spans="1:20" x14ac:dyDescent="0.2">
      <c r="A2772" t="s">
        <v>7796</v>
      </c>
      <c r="B2772" t="s">
        <v>2022</v>
      </c>
      <c r="C2772" t="s">
        <v>2023</v>
      </c>
      <c r="D2772" t="s">
        <v>2024</v>
      </c>
      <c r="E2772" t="s">
        <v>7797</v>
      </c>
      <c r="F2772" t="s">
        <v>7798</v>
      </c>
      <c r="G2772">
        <v>4</v>
      </c>
      <c r="H2772">
        <v>1720</v>
      </c>
      <c r="I2772">
        <v>3</v>
      </c>
      <c r="J2772">
        <v>5.9</v>
      </c>
      <c r="K2772">
        <v>5</v>
      </c>
      <c r="L2772">
        <v>8.5999999999999993E-2</v>
      </c>
      <c r="M2772">
        <v>2</v>
      </c>
      <c r="N2772">
        <v>84</v>
      </c>
      <c r="O2772">
        <v>2</v>
      </c>
      <c r="P2772">
        <v>0.22500000000000001</v>
      </c>
      <c r="Q2772">
        <v>5</v>
      </c>
      <c r="R2772">
        <v>8.0000000000000002E-3</v>
      </c>
      <c r="T2772" t="s">
        <v>7797</v>
      </c>
    </row>
    <row r="2773" spans="1:20" x14ac:dyDescent="0.2">
      <c r="A2773" t="s">
        <v>7799</v>
      </c>
      <c r="B2773" t="s">
        <v>2022</v>
      </c>
      <c r="C2773" t="s">
        <v>2036</v>
      </c>
      <c r="D2773" t="s">
        <v>2154</v>
      </c>
      <c r="E2773" t="s">
        <v>357</v>
      </c>
      <c r="F2773" t="s">
        <v>7800</v>
      </c>
      <c r="G2773">
        <v>4</v>
      </c>
      <c r="H2773">
        <v>1840</v>
      </c>
      <c r="I2773">
        <v>5</v>
      </c>
      <c r="J2773">
        <v>7</v>
      </c>
      <c r="K2773">
        <v>5</v>
      </c>
      <c r="L2773">
        <v>0.17499999999999999</v>
      </c>
      <c r="M2773">
        <v>3</v>
      </c>
      <c r="N2773">
        <v>88</v>
      </c>
      <c r="O2773">
        <v>5</v>
      </c>
      <c r="P2773">
        <v>0.53500000000000003</v>
      </c>
      <c r="Q2773">
        <v>5</v>
      </c>
      <c r="R2773">
        <v>1.2E-2</v>
      </c>
      <c r="T2773" t="s">
        <v>357</v>
      </c>
    </row>
    <row r="2774" spans="1:20" x14ac:dyDescent="0.2">
      <c r="A2774" t="s">
        <v>7801</v>
      </c>
      <c r="B2774" t="s">
        <v>2022</v>
      </c>
      <c r="C2774" t="s">
        <v>2101</v>
      </c>
      <c r="D2774" t="s">
        <v>2024</v>
      </c>
      <c r="E2774" t="s">
        <v>7802</v>
      </c>
      <c r="F2774" t="s">
        <v>7803</v>
      </c>
      <c r="G2774">
        <v>2</v>
      </c>
      <c r="H2774">
        <v>1670</v>
      </c>
      <c r="I2774">
        <v>2</v>
      </c>
      <c r="J2774">
        <v>5</v>
      </c>
      <c r="K2774">
        <v>1</v>
      </c>
      <c r="L2774">
        <v>1.15E-2</v>
      </c>
      <c r="M2774">
        <v>2</v>
      </c>
      <c r="N2774">
        <v>74</v>
      </c>
      <c r="O2774">
        <v>2</v>
      </c>
      <c r="P2774">
        <v>0.22500000000000001</v>
      </c>
      <c r="Q2774">
        <v>1</v>
      </c>
      <c r="R2774">
        <v>5.0000000000000001E-4</v>
      </c>
      <c r="T2774" t="s">
        <v>7802</v>
      </c>
    </row>
    <row r="2775" spans="1:20" x14ac:dyDescent="0.2">
      <c r="A2775" t="s">
        <v>7804</v>
      </c>
      <c r="B2775" t="s">
        <v>2022</v>
      </c>
      <c r="C2775" t="s">
        <v>2222</v>
      </c>
      <c r="D2775" t="s">
        <v>2136</v>
      </c>
      <c r="E2775" t="s">
        <v>7805</v>
      </c>
      <c r="F2775" t="s">
        <v>7806</v>
      </c>
      <c r="G2775">
        <v>5</v>
      </c>
      <c r="H2775">
        <v>1850</v>
      </c>
      <c r="I2775">
        <v>2</v>
      </c>
      <c r="J2775">
        <v>3.9</v>
      </c>
      <c r="K2775">
        <v>2</v>
      </c>
      <c r="L2775">
        <v>5.5E-2</v>
      </c>
      <c r="M2775">
        <v>5</v>
      </c>
      <c r="N2775">
        <v>75</v>
      </c>
      <c r="O2775">
        <v>2</v>
      </c>
      <c r="P2775">
        <v>0.15</v>
      </c>
      <c r="Q2775">
        <v>2</v>
      </c>
      <c r="R2775">
        <v>2.3E-3</v>
      </c>
      <c r="T2775" t="s">
        <v>7805</v>
      </c>
    </row>
    <row r="2776" spans="1:20" x14ac:dyDescent="0.2">
      <c r="A2776" t="s">
        <v>7807</v>
      </c>
      <c r="B2776" t="s">
        <v>2022</v>
      </c>
      <c r="C2776" t="s">
        <v>2222</v>
      </c>
      <c r="D2776" t="s">
        <v>2136</v>
      </c>
      <c r="E2776" t="s">
        <v>7805</v>
      </c>
      <c r="F2776" t="s">
        <v>7806</v>
      </c>
      <c r="G2776">
        <v>3</v>
      </c>
      <c r="H2776">
        <v>1650</v>
      </c>
      <c r="I2776">
        <v>2</v>
      </c>
      <c r="J2776">
        <v>3.9</v>
      </c>
      <c r="K2776">
        <v>2</v>
      </c>
      <c r="L2776">
        <v>5.5E-2</v>
      </c>
      <c r="M2776">
        <v>4</v>
      </c>
      <c r="N2776">
        <v>71</v>
      </c>
      <c r="O2776">
        <v>2</v>
      </c>
      <c r="P2776">
        <v>0.15</v>
      </c>
      <c r="Q2776">
        <v>2</v>
      </c>
      <c r="R2776">
        <v>2.3E-3</v>
      </c>
      <c r="T2776" t="s">
        <v>7805</v>
      </c>
    </row>
    <row r="2777" spans="1:20" x14ac:dyDescent="0.2">
      <c r="A2777" t="s">
        <v>7808</v>
      </c>
      <c r="B2777" t="s">
        <v>2022</v>
      </c>
      <c r="C2777" t="s">
        <v>2222</v>
      </c>
      <c r="D2777" t="s">
        <v>2136</v>
      </c>
      <c r="E2777" t="s">
        <v>7805</v>
      </c>
      <c r="F2777" t="s">
        <v>7806</v>
      </c>
      <c r="G2777">
        <v>2</v>
      </c>
      <c r="H2777">
        <v>1550</v>
      </c>
      <c r="I2777">
        <v>2</v>
      </c>
      <c r="J2777">
        <v>3.9</v>
      </c>
      <c r="K2777">
        <v>2</v>
      </c>
      <c r="L2777">
        <v>5.5E-2</v>
      </c>
      <c r="M2777">
        <v>4</v>
      </c>
      <c r="N2777">
        <v>71</v>
      </c>
      <c r="O2777">
        <v>3</v>
      </c>
      <c r="P2777">
        <v>0.23</v>
      </c>
      <c r="Q2777">
        <v>2</v>
      </c>
      <c r="R2777">
        <v>2.3E-3</v>
      </c>
      <c r="T2777" t="s">
        <v>7805</v>
      </c>
    </row>
    <row r="2778" spans="1:20" x14ac:dyDescent="0.2">
      <c r="A2778" t="s">
        <v>7809</v>
      </c>
      <c r="B2778" t="s">
        <v>2022</v>
      </c>
      <c r="C2778" t="s">
        <v>2104</v>
      </c>
      <c r="D2778" t="s">
        <v>2136</v>
      </c>
      <c r="E2778" t="s">
        <v>7805</v>
      </c>
      <c r="F2778" t="s">
        <v>7806</v>
      </c>
      <c r="G2778">
        <v>3</v>
      </c>
      <c r="H2778">
        <v>1887.5</v>
      </c>
      <c r="I2778">
        <v>3</v>
      </c>
      <c r="J2778">
        <v>5.55</v>
      </c>
      <c r="K2778">
        <v>3</v>
      </c>
      <c r="L2778">
        <v>9.0999999999999998E-2</v>
      </c>
      <c r="M2778">
        <v>3</v>
      </c>
      <c r="N2778">
        <v>73</v>
      </c>
      <c r="P2778">
        <v>0</v>
      </c>
      <c r="Q2778">
        <v>2</v>
      </c>
      <c r="R2778">
        <v>3.2000000000000002E-3</v>
      </c>
      <c r="T2778" t="s">
        <v>7805</v>
      </c>
    </row>
    <row r="2779" spans="1:20" x14ac:dyDescent="0.2">
      <c r="A2779" t="s">
        <v>7810</v>
      </c>
      <c r="B2779" t="s">
        <v>2022</v>
      </c>
      <c r="C2779" t="s">
        <v>2053</v>
      </c>
      <c r="D2779" t="s">
        <v>2024</v>
      </c>
      <c r="E2779" t="s">
        <v>7811</v>
      </c>
      <c r="F2779" t="s">
        <v>7812</v>
      </c>
      <c r="G2779">
        <v>2</v>
      </c>
      <c r="H2779">
        <v>1600</v>
      </c>
      <c r="I2779">
        <v>3</v>
      </c>
      <c r="J2779">
        <v>6.55</v>
      </c>
      <c r="K2779">
        <v>3</v>
      </c>
      <c r="L2779">
        <v>0.19500000000000001</v>
      </c>
      <c r="M2779">
        <v>5</v>
      </c>
      <c r="N2779">
        <v>113</v>
      </c>
      <c r="O2779">
        <v>3</v>
      </c>
      <c r="P2779">
        <v>0.375</v>
      </c>
      <c r="Q2779">
        <v>3</v>
      </c>
      <c r="R2779">
        <v>1.2200000000000001E-2</v>
      </c>
      <c r="T2779" t="s">
        <v>7811</v>
      </c>
    </row>
    <row r="2780" spans="1:20" x14ac:dyDescent="0.2">
      <c r="A2780" t="s">
        <v>7813</v>
      </c>
      <c r="B2780" t="s">
        <v>2022</v>
      </c>
      <c r="C2780" t="s">
        <v>2053</v>
      </c>
      <c r="D2780" t="s">
        <v>2024</v>
      </c>
      <c r="E2780" t="s">
        <v>7814</v>
      </c>
      <c r="F2780" t="s">
        <v>7815</v>
      </c>
      <c r="G2780">
        <v>2</v>
      </c>
      <c r="H2780">
        <v>1600</v>
      </c>
      <c r="I2780">
        <v>3</v>
      </c>
      <c r="J2780">
        <v>6.55</v>
      </c>
      <c r="K2780">
        <v>1</v>
      </c>
      <c r="L2780">
        <v>1.4999999999999999E-2</v>
      </c>
      <c r="M2780">
        <v>4</v>
      </c>
      <c r="N2780">
        <v>103</v>
      </c>
      <c r="O2780">
        <v>3</v>
      </c>
      <c r="P2780">
        <v>0.375</v>
      </c>
      <c r="Q2780">
        <v>1</v>
      </c>
      <c r="R2780">
        <v>8.4999999999999995E-4</v>
      </c>
      <c r="T2780" t="s">
        <v>7814</v>
      </c>
    </row>
    <row r="2781" spans="1:20" x14ac:dyDescent="0.2">
      <c r="A2781" t="s">
        <v>7816</v>
      </c>
      <c r="B2781" t="s">
        <v>2022</v>
      </c>
      <c r="C2781" t="s">
        <v>2023</v>
      </c>
      <c r="D2781" t="s">
        <v>2136</v>
      </c>
      <c r="E2781" t="s">
        <v>7817</v>
      </c>
      <c r="F2781" t="s">
        <v>7818</v>
      </c>
      <c r="G2781">
        <v>3</v>
      </c>
      <c r="H2781">
        <v>1640</v>
      </c>
      <c r="I2781">
        <v>1</v>
      </c>
      <c r="J2781">
        <v>0.9</v>
      </c>
      <c r="K2781">
        <v>2</v>
      </c>
      <c r="L2781">
        <v>2.5999999999999999E-2</v>
      </c>
      <c r="M2781">
        <v>5</v>
      </c>
      <c r="N2781">
        <v>114</v>
      </c>
      <c r="O2781">
        <v>2</v>
      </c>
      <c r="P2781">
        <v>0.22500000000000001</v>
      </c>
      <c r="Q2781">
        <v>2</v>
      </c>
      <c r="R2781">
        <v>2E-3</v>
      </c>
      <c r="T2781" t="s">
        <v>7817</v>
      </c>
    </row>
    <row r="2782" spans="1:20" x14ac:dyDescent="0.2">
      <c r="A2782" t="s">
        <v>7819</v>
      </c>
      <c r="B2782" t="s">
        <v>2022</v>
      </c>
      <c r="C2782" t="s">
        <v>2053</v>
      </c>
      <c r="D2782" t="s">
        <v>2024</v>
      </c>
      <c r="E2782" t="s">
        <v>7820</v>
      </c>
      <c r="F2782" t="s">
        <v>7821</v>
      </c>
      <c r="G2782">
        <v>2</v>
      </c>
      <c r="H2782">
        <v>1600</v>
      </c>
      <c r="I2782">
        <v>3</v>
      </c>
      <c r="J2782">
        <v>6.55</v>
      </c>
      <c r="K2782">
        <v>2</v>
      </c>
      <c r="L2782">
        <v>8.5000000000000006E-2</v>
      </c>
      <c r="M2782">
        <v>4</v>
      </c>
      <c r="N2782">
        <v>103</v>
      </c>
      <c r="O2782">
        <v>3</v>
      </c>
      <c r="P2782">
        <v>0.375</v>
      </c>
      <c r="Q2782">
        <v>2</v>
      </c>
      <c r="R2782">
        <v>5.1999999999999998E-3</v>
      </c>
      <c r="T2782" t="s">
        <v>7820</v>
      </c>
    </row>
    <row r="2783" spans="1:20" x14ac:dyDescent="0.2">
      <c r="A2783" t="s">
        <v>7822</v>
      </c>
      <c r="B2783" t="s">
        <v>2022</v>
      </c>
      <c r="C2783" t="s">
        <v>2023</v>
      </c>
      <c r="D2783" t="s">
        <v>2024</v>
      </c>
      <c r="E2783" t="s">
        <v>7823</v>
      </c>
      <c r="F2783" t="s">
        <v>7824</v>
      </c>
      <c r="G2783">
        <v>4</v>
      </c>
      <c r="H2783">
        <v>1720</v>
      </c>
      <c r="I2783">
        <v>4</v>
      </c>
      <c r="J2783">
        <v>8.4</v>
      </c>
      <c r="K2783">
        <v>5</v>
      </c>
      <c r="L2783">
        <v>8.5999999999999993E-2</v>
      </c>
      <c r="M2783">
        <v>2</v>
      </c>
      <c r="N2783">
        <v>84</v>
      </c>
      <c r="O2783">
        <v>3</v>
      </c>
      <c r="P2783">
        <v>0.375</v>
      </c>
      <c r="Q2783">
        <v>5</v>
      </c>
      <c r="R2783">
        <v>8.0000000000000002E-3</v>
      </c>
      <c r="T2783" t="s">
        <v>7823</v>
      </c>
    </row>
    <row r="2784" spans="1:20" x14ac:dyDescent="0.2">
      <c r="A2784" t="s">
        <v>7825</v>
      </c>
      <c r="B2784" t="s">
        <v>2022</v>
      </c>
      <c r="C2784" t="s">
        <v>2036</v>
      </c>
      <c r="D2784" t="s">
        <v>2024</v>
      </c>
      <c r="E2784" t="s">
        <v>7826</v>
      </c>
      <c r="F2784" t="s">
        <v>7827</v>
      </c>
      <c r="G2784">
        <v>3</v>
      </c>
      <c r="H2784">
        <v>1740</v>
      </c>
      <c r="I2784">
        <v>2</v>
      </c>
      <c r="J2784">
        <v>3.4</v>
      </c>
      <c r="K2784">
        <v>5</v>
      </c>
      <c r="L2784">
        <v>0.17499999999999999</v>
      </c>
      <c r="M2784">
        <v>3</v>
      </c>
      <c r="N2784">
        <v>88</v>
      </c>
      <c r="O2784">
        <v>2</v>
      </c>
      <c r="P2784">
        <v>0.20499999999999999</v>
      </c>
      <c r="Q2784">
        <v>3</v>
      </c>
      <c r="R2784">
        <v>6.7499999999999999E-3</v>
      </c>
      <c r="T2784" t="s">
        <v>7826</v>
      </c>
    </row>
    <row r="2785" spans="1:20" x14ac:dyDescent="0.2">
      <c r="A2785" t="s">
        <v>7828</v>
      </c>
      <c r="B2785" t="s">
        <v>2022</v>
      </c>
      <c r="C2785" t="s">
        <v>2023</v>
      </c>
      <c r="D2785" t="s">
        <v>2024</v>
      </c>
      <c r="E2785" t="s">
        <v>7829</v>
      </c>
      <c r="F2785" t="s">
        <v>7830</v>
      </c>
      <c r="G2785">
        <v>5</v>
      </c>
      <c r="H2785">
        <v>1800</v>
      </c>
      <c r="I2785">
        <v>4</v>
      </c>
      <c r="J2785">
        <v>8.4</v>
      </c>
      <c r="K2785">
        <v>5</v>
      </c>
      <c r="L2785">
        <v>8.5999999999999993E-2</v>
      </c>
      <c r="M2785">
        <v>3</v>
      </c>
      <c r="N2785">
        <v>94</v>
      </c>
      <c r="O2785">
        <v>3</v>
      </c>
      <c r="P2785">
        <v>0.375</v>
      </c>
      <c r="Q2785">
        <v>5</v>
      </c>
      <c r="R2785">
        <v>8.0000000000000002E-3</v>
      </c>
      <c r="T2785" t="s">
        <v>7829</v>
      </c>
    </row>
    <row r="2786" spans="1:20" x14ac:dyDescent="0.2">
      <c r="A2786" t="s">
        <v>7831</v>
      </c>
      <c r="B2786" t="s">
        <v>2022</v>
      </c>
      <c r="C2786" t="s">
        <v>2023</v>
      </c>
      <c r="D2786" t="s">
        <v>2024</v>
      </c>
      <c r="E2786" t="s">
        <v>7832</v>
      </c>
      <c r="F2786" t="s">
        <v>7833</v>
      </c>
      <c r="G2786">
        <v>1</v>
      </c>
      <c r="H2786">
        <v>1480</v>
      </c>
      <c r="I2786">
        <v>2</v>
      </c>
      <c r="J2786">
        <v>3.4</v>
      </c>
      <c r="K2786">
        <v>3</v>
      </c>
      <c r="L2786">
        <v>4.5999999999999999E-2</v>
      </c>
      <c r="M2786">
        <v>1</v>
      </c>
      <c r="N2786">
        <v>74</v>
      </c>
      <c r="O2786">
        <v>2</v>
      </c>
      <c r="P2786">
        <v>0.22500000000000001</v>
      </c>
      <c r="Q2786">
        <v>2</v>
      </c>
      <c r="R2786">
        <v>2E-3</v>
      </c>
      <c r="T2786" t="s">
        <v>7832</v>
      </c>
    </row>
    <row r="2787" spans="1:20" x14ac:dyDescent="0.2">
      <c r="A2787" t="s">
        <v>7834</v>
      </c>
      <c r="B2787" t="s">
        <v>2022</v>
      </c>
      <c r="C2787" t="s">
        <v>2036</v>
      </c>
      <c r="D2787" t="s">
        <v>2024</v>
      </c>
      <c r="E2787" t="s">
        <v>7835</v>
      </c>
      <c r="F2787" t="s">
        <v>7836</v>
      </c>
      <c r="G2787">
        <v>3</v>
      </c>
      <c r="H2787">
        <v>1740</v>
      </c>
      <c r="I2787">
        <v>5</v>
      </c>
      <c r="J2787">
        <v>7</v>
      </c>
      <c r="K2787">
        <v>5</v>
      </c>
      <c r="L2787">
        <v>0.17499999999999999</v>
      </c>
      <c r="M2787">
        <v>3</v>
      </c>
      <c r="N2787">
        <v>88</v>
      </c>
      <c r="O2787">
        <v>3</v>
      </c>
      <c r="P2787">
        <v>0.315</v>
      </c>
      <c r="Q2787">
        <v>5</v>
      </c>
      <c r="R2787">
        <v>1.2E-2</v>
      </c>
      <c r="T2787" t="s">
        <v>7835</v>
      </c>
    </row>
    <row r="2788" spans="1:20" x14ac:dyDescent="0.2">
      <c r="A2788" t="s">
        <v>7837</v>
      </c>
      <c r="B2788" t="s">
        <v>2022</v>
      </c>
      <c r="C2788" t="s">
        <v>2036</v>
      </c>
      <c r="D2788" t="s">
        <v>2136</v>
      </c>
      <c r="E2788" t="s">
        <v>357</v>
      </c>
      <c r="F2788" t="s">
        <v>447</v>
      </c>
      <c r="G2788">
        <v>2</v>
      </c>
      <c r="H2788">
        <v>1640</v>
      </c>
      <c r="I2788">
        <v>5</v>
      </c>
      <c r="J2788">
        <v>7</v>
      </c>
      <c r="K2788">
        <v>4</v>
      </c>
      <c r="L2788">
        <v>0.14499999999999999</v>
      </c>
      <c r="M2788">
        <v>4</v>
      </c>
      <c r="N2788">
        <v>94</v>
      </c>
      <c r="O2788">
        <v>4</v>
      </c>
      <c r="P2788">
        <v>0.42499999999999999</v>
      </c>
      <c r="Q2788">
        <v>4</v>
      </c>
      <c r="R2788">
        <v>9.2499999999999995E-3</v>
      </c>
      <c r="T2788" t="s">
        <v>357</v>
      </c>
    </row>
    <row r="2789" spans="1:20" x14ac:dyDescent="0.2">
      <c r="A2789" t="s">
        <v>7838</v>
      </c>
      <c r="B2789" t="s">
        <v>2022</v>
      </c>
      <c r="C2789" t="s">
        <v>2023</v>
      </c>
      <c r="D2789" t="s">
        <v>2024</v>
      </c>
      <c r="E2789" t="s">
        <v>7839</v>
      </c>
      <c r="F2789" t="s">
        <v>7840</v>
      </c>
      <c r="G2789">
        <v>3</v>
      </c>
      <c r="H2789">
        <v>1640</v>
      </c>
      <c r="I2789">
        <v>3</v>
      </c>
      <c r="J2789">
        <v>5.9</v>
      </c>
      <c r="K2789">
        <v>5</v>
      </c>
      <c r="L2789">
        <v>8.5999999999999993E-2</v>
      </c>
      <c r="M2789">
        <v>5</v>
      </c>
      <c r="N2789">
        <v>114</v>
      </c>
      <c r="O2789">
        <v>3</v>
      </c>
      <c r="P2789">
        <v>0.375</v>
      </c>
      <c r="Q2789">
        <v>5</v>
      </c>
      <c r="R2789">
        <v>8.0000000000000002E-3</v>
      </c>
      <c r="T2789" t="s">
        <v>7839</v>
      </c>
    </row>
    <row r="2790" spans="1:20" x14ac:dyDescent="0.2">
      <c r="A2790" t="s">
        <v>7841</v>
      </c>
      <c r="B2790" t="s">
        <v>2022</v>
      </c>
      <c r="C2790" t="s">
        <v>2101</v>
      </c>
      <c r="D2790" t="s">
        <v>2024</v>
      </c>
      <c r="E2790" t="s">
        <v>7839</v>
      </c>
      <c r="F2790" t="s">
        <v>7840</v>
      </c>
      <c r="G2790">
        <v>2</v>
      </c>
      <c r="H2790">
        <v>1670</v>
      </c>
      <c r="I2790">
        <v>3</v>
      </c>
      <c r="J2790">
        <v>8</v>
      </c>
      <c r="K2790">
        <v>3</v>
      </c>
      <c r="L2790">
        <v>0.24349999999999999</v>
      </c>
      <c r="M2790">
        <v>3</v>
      </c>
      <c r="N2790">
        <v>82</v>
      </c>
      <c r="O2790">
        <v>3</v>
      </c>
      <c r="P2790">
        <v>0.375</v>
      </c>
      <c r="Q2790">
        <v>3</v>
      </c>
      <c r="R2790">
        <v>1.15E-2</v>
      </c>
      <c r="T2790" t="s">
        <v>7839</v>
      </c>
    </row>
    <row r="2791" spans="1:20" x14ac:dyDescent="0.2">
      <c r="A2791" t="s">
        <v>7842</v>
      </c>
      <c r="B2791" t="s">
        <v>2022</v>
      </c>
      <c r="C2791" t="s">
        <v>2023</v>
      </c>
      <c r="D2791" t="s">
        <v>2024</v>
      </c>
      <c r="E2791" t="s">
        <v>7839</v>
      </c>
      <c r="F2791" t="s">
        <v>7840</v>
      </c>
      <c r="G2791">
        <v>5</v>
      </c>
      <c r="H2791">
        <v>1800</v>
      </c>
      <c r="I2791">
        <v>5</v>
      </c>
      <c r="J2791">
        <v>10.9</v>
      </c>
      <c r="K2791">
        <v>5</v>
      </c>
      <c r="L2791">
        <v>8.5999999999999993E-2</v>
      </c>
      <c r="M2791">
        <v>5</v>
      </c>
      <c r="N2791">
        <v>114</v>
      </c>
      <c r="O2791">
        <v>5</v>
      </c>
      <c r="P2791">
        <v>0.67500000000000004</v>
      </c>
      <c r="Q2791">
        <v>5</v>
      </c>
      <c r="R2791">
        <v>8.0000000000000002E-3</v>
      </c>
      <c r="T2791" t="s">
        <v>7839</v>
      </c>
    </row>
    <row r="2792" spans="1:20" x14ac:dyDescent="0.2">
      <c r="A2792" t="s">
        <v>7843</v>
      </c>
      <c r="B2792" t="s">
        <v>2022</v>
      </c>
      <c r="C2792" t="s">
        <v>2036</v>
      </c>
      <c r="D2792" t="s">
        <v>2024</v>
      </c>
      <c r="E2792" t="s">
        <v>7839</v>
      </c>
      <c r="F2792" t="s">
        <v>7840</v>
      </c>
      <c r="G2792">
        <v>3</v>
      </c>
      <c r="H2792">
        <v>1740</v>
      </c>
      <c r="I2792">
        <v>5</v>
      </c>
      <c r="J2792">
        <v>7</v>
      </c>
      <c r="K2792">
        <v>5</v>
      </c>
      <c r="L2792">
        <v>0.17499999999999999</v>
      </c>
      <c r="M2792">
        <v>3</v>
      </c>
      <c r="N2792">
        <v>88</v>
      </c>
      <c r="O2792">
        <v>4</v>
      </c>
      <c r="P2792">
        <v>0.42499999999999999</v>
      </c>
      <c r="Q2792">
        <v>5</v>
      </c>
      <c r="R2792">
        <v>1.2E-2</v>
      </c>
      <c r="T2792" t="s">
        <v>7839</v>
      </c>
    </row>
    <row r="2793" spans="1:20" x14ac:dyDescent="0.2">
      <c r="A2793" t="s">
        <v>7844</v>
      </c>
      <c r="B2793" t="s">
        <v>2022</v>
      </c>
      <c r="C2793" t="s">
        <v>2023</v>
      </c>
      <c r="D2793" t="s">
        <v>2024</v>
      </c>
      <c r="E2793" t="s">
        <v>7845</v>
      </c>
      <c r="F2793" t="s">
        <v>7846</v>
      </c>
      <c r="G2793">
        <v>2</v>
      </c>
      <c r="H2793">
        <v>1560</v>
      </c>
      <c r="I2793">
        <v>1</v>
      </c>
      <c r="J2793">
        <v>0.9</v>
      </c>
      <c r="K2793">
        <v>1</v>
      </c>
      <c r="L2793">
        <v>6.0000000000000001E-3</v>
      </c>
      <c r="M2793">
        <v>2</v>
      </c>
      <c r="N2793">
        <v>84</v>
      </c>
      <c r="O2793">
        <v>1</v>
      </c>
      <c r="P2793">
        <v>7.4999999999999997E-2</v>
      </c>
      <c r="Q2793">
        <v>1</v>
      </c>
      <c r="R2793">
        <v>5.0000000000000001E-4</v>
      </c>
      <c r="T2793" t="s">
        <v>7845</v>
      </c>
    </row>
    <row r="2794" spans="1:20" x14ac:dyDescent="0.2">
      <c r="A2794" t="s">
        <v>7847</v>
      </c>
      <c r="B2794" t="s">
        <v>2022</v>
      </c>
      <c r="C2794" t="s">
        <v>2023</v>
      </c>
      <c r="D2794" t="s">
        <v>2024</v>
      </c>
      <c r="E2794" t="s">
        <v>7848</v>
      </c>
      <c r="F2794" t="s">
        <v>7849</v>
      </c>
      <c r="G2794">
        <v>2</v>
      </c>
      <c r="H2794">
        <v>1560</v>
      </c>
      <c r="I2794">
        <v>1</v>
      </c>
      <c r="J2794">
        <v>0.9</v>
      </c>
      <c r="K2794">
        <v>2</v>
      </c>
      <c r="L2794">
        <v>2.5999999999999999E-2</v>
      </c>
      <c r="M2794">
        <v>3</v>
      </c>
      <c r="N2794">
        <v>94</v>
      </c>
      <c r="O2794">
        <v>1</v>
      </c>
      <c r="P2794">
        <v>7.4999999999999997E-2</v>
      </c>
      <c r="Q2794">
        <v>2</v>
      </c>
      <c r="R2794">
        <v>2E-3</v>
      </c>
      <c r="T2794" t="s">
        <v>7848</v>
      </c>
    </row>
    <row r="2795" spans="1:20" x14ac:dyDescent="0.2">
      <c r="A2795" t="s">
        <v>7850</v>
      </c>
      <c r="B2795" t="s">
        <v>2022</v>
      </c>
      <c r="C2795" t="s">
        <v>2053</v>
      </c>
      <c r="D2795" t="s">
        <v>2024</v>
      </c>
      <c r="E2795" t="s">
        <v>7851</v>
      </c>
      <c r="F2795" t="s">
        <v>447</v>
      </c>
      <c r="G2795">
        <v>4</v>
      </c>
      <c r="H2795">
        <v>1800</v>
      </c>
      <c r="I2795">
        <v>2</v>
      </c>
      <c r="J2795">
        <v>4.05</v>
      </c>
      <c r="K2795">
        <v>2</v>
      </c>
      <c r="L2795">
        <v>8.5000000000000006E-2</v>
      </c>
      <c r="M2795">
        <v>3</v>
      </c>
      <c r="N2795">
        <v>93</v>
      </c>
      <c r="O2795">
        <v>2</v>
      </c>
      <c r="P2795">
        <v>0.22500000000000001</v>
      </c>
      <c r="Q2795">
        <v>2</v>
      </c>
      <c r="R2795">
        <v>5.1999999999999998E-3</v>
      </c>
      <c r="T2795" t="s">
        <v>7851</v>
      </c>
    </row>
    <row r="2796" spans="1:20" x14ac:dyDescent="0.2">
      <c r="A2796" t="s">
        <v>7852</v>
      </c>
      <c r="B2796" t="s">
        <v>2022</v>
      </c>
      <c r="C2796" t="s">
        <v>2049</v>
      </c>
      <c r="D2796" t="s">
        <v>2136</v>
      </c>
      <c r="E2796" t="s">
        <v>7853</v>
      </c>
      <c r="F2796" t="s">
        <v>7854</v>
      </c>
      <c r="G2796">
        <v>2</v>
      </c>
      <c r="H2796">
        <v>1450</v>
      </c>
      <c r="I2796">
        <v>2</v>
      </c>
      <c r="J2796">
        <v>3.2</v>
      </c>
      <c r="K2796">
        <v>2</v>
      </c>
      <c r="L2796">
        <v>0.06</v>
      </c>
      <c r="M2796">
        <v>1</v>
      </c>
      <c r="N2796">
        <v>86</v>
      </c>
      <c r="O2796">
        <v>2</v>
      </c>
      <c r="P2796">
        <v>0.26</v>
      </c>
      <c r="Q2796">
        <v>2</v>
      </c>
      <c r="R2796">
        <v>6.1999999999999998E-3</v>
      </c>
      <c r="T2796" t="s">
        <v>7853</v>
      </c>
    </row>
    <row r="2797" spans="1:20" x14ac:dyDescent="0.2">
      <c r="A2797" t="s">
        <v>7855</v>
      </c>
      <c r="B2797" t="s">
        <v>2022</v>
      </c>
      <c r="C2797" t="s">
        <v>2053</v>
      </c>
      <c r="D2797" t="s">
        <v>2136</v>
      </c>
      <c r="E2797" t="s">
        <v>7856</v>
      </c>
      <c r="F2797" t="s">
        <v>7854</v>
      </c>
      <c r="G2797">
        <v>3</v>
      </c>
      <c r="H2797">
        <v>1700</v>
      </c>
      <c r="I2797">
        <v>1</v>
      </c>
      <c r="J2797">
        <v>1.55</v>
      </c>
      <c r="K2797">
        <v>2</v>
      </c>
      <c r="L2797">
        <v>8.5000000000000006E-2</v>
      </c>
      <c r="M2797">
        <v>4</v>
      </c>
      <c r="N2797">
        <v>103</v>
      </c>
      <c r="O2797">
        <v>2</v>
      </c>
      <c r="P2797">
        <v>0.22500000000000001</v>
      </c>
      <c r="Q2797">
        <v>2</v>
      </c>
      <c r="R2797">
        <v>5.1999999999999998E-3</v>
      </c>
      <c r="T2797" t="s">
        <v>7856</v>
      </c>
    </row>
    <row r="2798" spans="1:20" x14ac:dyDescent="0.2">
      <c r="A2798" t="s">
        <v>7857</v>
      </c>
      <c r="B2798" t="s">
        <v>2022</v>
      </c>
      <c r="C2798" t="s">
        <v>2104</v>
      </c>
      <c r="D2798" t="s">
        <v>2024</v>
      </c>
      <c r="E2798" t="s">
        <v>7858</v>
      </c>
      <c r="F2798" t="s">
        <v>7859</v>
      </c>
      <c r="G2798">
        <v>2</v>
      </c>
      <c r="H2798">
        <v>1712.5</v>
      </c>
      <c r="I2798">
        <v>5</v>
      </c>
      <c r="J2798">
        <v>10.15</v>
      </c>
      <c r="K2798">
        <v>5</v>
      </c>
      <c r="L2798">
        <v>0.191</v>
      </c>
      <c r="M2798">
        <v>2</v>
      </c>
      <c r="N2798">
        <v>65</v>
      </c>
      <c r="P2798">
        <v>0</v>
      </c>
      <c r="Q2798">
        <v>4</v>
      </c>
      <c r="R2798">
        <v>1.32E-2</v>
      </c>
      <c r="T2798" t="s">
        <v>7858</v>
      </c>
    </row>
    <row r="2799" spans="1:20" x14ac:dyDescent="0.2">
      <c r="A2799" t="s">
        <v>7860</v>
      </c>
      <c r="B2799" t="s">
        <v>2022</v>
      </c>
      <c r="C2799" t="s">
        <v>2023</v>
      </c>
      <c r="D2799" t="s">
        <v>2024</v>
      </c>
      <c r="E2799" t="s">
        <v>7858</v>
      </c>
      <c r="F2799" t="s">
        <v>7859</v>
      </c>
      <c r="G2799">
        <v>2</v>
      </c>
      <c r="H2799">
        <v>1560</v>
      </c>
      <c r="I2799">
        <v>5</v>
      </c>
      <c r="J2799">
        <v>10.9</v>
      </c>
      <c r="K2799">
        <v>5</v>
      </c>
      <c r="L2799">
        <v>8.5999999999999993E-2</v>
      </c>
      <c r="M2799">
        <v>2</v>
      </c>
      <c r="N2799">
        <v>84</v>
      </c>
      <c r="O2799">
        <v>5</v>
      </c>
      <c r="P2799">
        <v>0.67500000000000004</v>
      </c>
      <c r="Q2799">
        <v>5</v>
      </c>
      <c r="R2799">
        <v>8.0000000000000002E-3</v>
      </c>
      <c r="T2799" t="s">
        <v>7858</v>
      </c>
    </row>
    <row r="2800" spans="1:20" x14ac:dyDescent="0.2">
      <c r="A2800" t="s">
        <v>7861</v>
      </c>
      <c r="B2800" t="s">
        <v>2022</v>
      </c>
      <c r="C2800" t="s">
        <v>2023</v>
      </c>
      <c r="D2800" t="s">
        <v>2024</v>
      </c>
      <c r="E2800" t="s">
        <v>7862</v>
      </c>
      <c r="F2800" t="s">
        <v>7863</v>
      </c>
      <c r="G2800">
        <v>1</v>
      </c>
      <c r="H2800">
        <v>1480</v>
      </c>
      <c r="I2800">
        <v>1</v>
      </c>
      <c r="J2800">
        <v>0.9</v>
      </c>
      <c r="K2800">
        <v>1</v>
      </c>
      <c r="L2800">
        <v>6.0000000000000001E-3</v>
      </c>
      <c r="M2800">
        <v>1</v>
      </c>
      <c r="N2800">
        <v>74</v>
      </c>
      <c r="O2800">
        <v>1</v>
      </c>
      <c r="P2800">
        <v>7.4999999999999997E-2</v>
      </c>
      <c r="Q2800">
        <v>1</v>
      </c>
      <c r="R2800">
        <v>5.0000000000000001E-4</v>
      </c>
      <c r="T2800" t="s">
        <v>7862</v>
      </c>
    </row>
    <row r="2801" spans="1:20" x14ac:dyDescent="0.2">
      <c r="A2801" t="s">
        <v>7864</v>
      </c>
      <c r="B2801" t="s">
        <v>2022</v>
      </c>
      <c r="C2801" t="s">
        <v>2053</v>
      </c>
      <c r="D2801" t="s">
        <v>2024</v>
      </c>
      <c r="E2801" t="s">
        <v>7865</v>
      </c>
      <c r="F2801" t="s">
        <v>7866</v>
      </c>
      <c r="G2801">
        <v>2</v>
      </c>
      <c r="H2801">
        <v>1600</v>
      </c>
      <c r="I2801">
        <v>2</v>
      </c>
      <c r="J2801">
        <v>4.05</v>
      </c>
      <c r="K2801">
        <v>2</v>
      </c>
      <c r="L2801">
        <v>8.5000000000000006E-2</v>
      </c>
      <c r="M2801">
        <v>2</v>
      </c>
      <c r="N2801">
        <v>83</v>
      </c>
      <c r="O2801">
        <v>2</v>
      </c>
      <c r="P2801">
        <v>0.22500000000000001</v>
      </c>
      <c r="Q2801">
        <v>2</v>
      </c>
      <c r="R2801">
        <v>5.1999999999999998E-3</v>
      </c>
      <c r="T2801" t="s">
        <v>7865</v>
      </c>
    </row>
    <row r="2802" spans="1:20" x14ac:dyDescent="0.2">
      <c r="A2802" t="s">
        <v>7867</v>
      </c>
      <c r="B2802" t="s">
        <v>2022</v>
      </c>
      <c r="C2802" t="s">
        <v>2101</v>
      </c>
      <c r="D2802" t="s">
        <v>2024</v>
      </c>
      <c r="E2802" t="s">
        <v>7868</v>
      </c>
      <c r="F2802" t="s">
        <v>7869</v>
      </c>
      <c r="G2802">
        <v>2</v>
      </c>
      <c r="H2802">
        <v>1670</v>
      </c>
      <c r="I2802">
        <v>5</v>
      </c>
      <c r="J2802">
        <v>14</v>
      </c>
      <c r="K2802">
        <v>5</v>
      </c>
      <c r="L2802">
        <v>0.53749999999999998</v>
      </c>
      <c r="M2802">
        <v>1</v>
      </c>
      <c r="N2802">
        <v>66</v>
      </c>
      <c r="O2802">
        <v>5</v>
      </c>
      <c r="P2802">
        <v>0.67500000000000004</v>
      </c>
      <c r="Q2802">
        <v>5</v>
      </c>
      <c r="R2802">
        <v>2.5499999999999998E-2</v>
      </c>
      <c r="T2802" t="s">
        <v>7868</v>
      </c>
    </row>
    <row r="2803" spans="1:20" x14ac:dyDescent="0.2">
      <c r="A2803" t="s">
        <v>7870</v>
      </c>
      <c r="B2803" t="s">
        <v>2022</v>
      </c>
      <c r="C2803" t="s">
        <v>2101</v>
      </c>
      <c r="D2803" t="s">
        <v>2024</v>
      </c>
      <c r="E2803" t="s">
        <v>7871</v>
      </c>
      <c r="F2803" t="s">
        <v>7872</v>
      </c>
      <c r="G2803">
        <v>2</v>
      </c>
      <c r="H2803">
        <v>1670</v>
      </c>
      <c r="I2803">
        <v>2</v>
      </c>
      <c r="J2803">
        <v>5</v>
      </c>
      <c r="K2803">
        <v>2</v>
      </c>
      <c r="L2803">
        <v>9.6500000000000002E-2</v>
      </c>
      <c r="M2803">
        <v>2</v>
      </c>
      <c r="N2803">
        <v>74</v>
      </c>
      <c r="O2803">
        <v>2</v>
      </c>
      <c r="P2803">
        <v>0.22500000000000001</v>
      </c>
      <c r="Q2803">
        <v>2</v>
      </c>
      <c r="R2803">
        <v>4.4999999999999997E-3</v>
      </c>
      <c r="T2803" t="s">
        <v>7871</v>
      </c>
    </row>
    <row r="2804" spans="1:20" x14ac:dyDescent="0.2">
      <c r="A2804" t="s">
        <v>7873</v>
      </c>
      <c r="B2804" t="s">
        <v>2022</v>
      </c>
      <c r="C2804" t="s">
        <v>2101</v>
      </c>
      <c r="D2804" t="s">
        <v>2024</v>
      </c>
      <c r="E2804" t="s">
        <v>7871</v>
      </c>
      <c r="F2804" t="s">
        <v>7872</v>
      </c>
      <c r="G2804">
        <v>2</v>
      </c>
      <c r="H2804">
        <v>1670</v>
      </c>
      <c r="I2804">
        <v>2</v>
      </c>
      <c r="J2804">
        <v>5</v>
      </c>
      <c r="K2804">
        <v>2</v>
      </c>
      <c r="L2804">
        <v>9.6500000000000002E-2</v>
      </c>
      <c r="M2804">
        <v>2</v>
      </c>
      <c r="N2804">
        <v>74</v>
      </c>
      <c r="O2804">
        <v>2</v>
      </c>
      <c r="P2804">
        <v>0.22500000000000001</v>
      </c>
      <c r="Q2804">
        <v>2</v>
      </c>
      <c r="R2804">
        <v>4.4999999999999997E-3</v>
      </c>
      <c r="T2804" t="s">
        <v>7871</v>
      </c>
    </row>
    <row r="2805" spans="1:20" x14ac:dyDescent="0.2">
      <c r="A2805" t="s">
        <v>7874</v>
      </c>
      <c r="B2805" t="s">
        <v>2022</v>
      </c>
      <c r="C2805" t="s">
        <v>2101</v>
      </c>
      <c r="D2805" t="s">
        <v>2024</v>
      </c>
      <c r="E2805" t="s">
        <v>7871</v>
      </c>
      <c r="F2805" t="s">
        <v>7872</v>
      </c>
      <c r="G2805">
        <v>2</v>
      </c>
      <c r="H2805">
        <v>1670</v>
      </c>
      <c r="I2805">
        <v>3</v>
      </c>
      <c r="J2805">
        <v>8</v>
      </c>
      <c r="K2805">
        <v>2</v>
      </c>
      <c r="L2805">
        <v>9.6500000000000002E-2</v>
      </c>
      <c r="M2805">
        <v>2</v>
      </c>
      <c r="N2805">
        <v>74</v>
      </c>
      <c r="O2805">
        <v>3</v>
      </c>
      <c r="P2805">
        <v>0.375</v>
      </c>
      <c r="Q2805">
        <v>2</v>
      </c>
      <c r="R2805">
        <v>4.4999999999999997E-3</v>
      </c>
      <c r="T2805" t="s">
        <v>7871</v>
      </c>
    </row>
    <row r="2806" spans="1:20" x14ac:dyDescent="0.2">
      <c r="A2806" t="s">
        <v>7875</v>
      </c>
      <c r="B2806" t="s">
        <v>2022</v>
      </c>
      <c r="C2806" t="s">
        <v>2106</v>
      </c>
      <c r="D2806" t="s">
        <v>2024</v>
      </c>
      <c r="E2806" t="s">
        <v>7871</v>
      </c>
      <c r="F2806" t="s">
        <v>7872</v>
      </c>
      <c r="G2806">
        <v>4</v>
      </c>
      <c r="H2806">
        <v>2125</v>
      </c>
      <c r="I2806">
        <v>5</v>
      </c>
      <c r="J2806">
        <v>13.25</v>
      </c>
      <c r="K2806">
        <v>3</v>
      </c>
      <c r="L2806">
        <v>0.14000000000000001</v>
      </c>
      <c r="M2806">
        <v>1</v>
      </c>
      <c r="N2806">
        <v>61.5</v>
      </c>
      <c r="O2806">
        <v>4</v>
      </c>
      <c r="P2806">
        <v>0.35</v>
      </c>
      <c r="Q2806">
        <v>3</v>
      </c>
      <c r="R2806">
        <v>4.4999999999999997E-3</v>
      </c>
      <c r="T2806" t="s">
        <v>7871</v>
      </c>
    </row>
    <row r="2807" spans="1:20" x14ac:dyDescent="0.2">
      <c r="A2807" t="s">
        <v>7876</v>
      </c>
      <c r="B2807" t="s">
        <v>2022</v>
      </c>
      <c r="C2807" t="s">
        <v>2101</v>
      </c>
      <c r="D2807" t="s">
        <v>2024</v>
      </c>
      <c r="E2807" t="s">
        <v>7871</v>
      </c>
      <c r="F2807" t="s">
        <v>7872</v>
      </c>
      <c r="G2807">
        <v>3</v>
      </c>
      <c r="H2807">
        <v>1770</v>
      </c>
      <c r="I2807">
        <v>4</v>
      </c>
      <c r="J2807">
        <v>11</v>
      </c>
      <c r="K2807">
        <v>3</v>
      </c>
      <c r="L2807">
        <v>0.24349999999999999</v>
      </c>
      <c r="M2807">
        <v>1</v>
      </c>
      <c r="N2807">
        <v>66</v>
      </c>
      <c r="O2807">
        <v>3</v>
      </c>
      <c r="P2807">
        <v>0.375</v>
      </c>
      <c r="Q2807">
        <v>2</v>
      </c>
      <c r="R2807">
        <v>4.4999999999999997E-3</v>
      </c>
      <c r="T2807" t="s">
        <v>7871</v>
      </c>
    </row>
    <row r="2808" spans="1:20" x14ac:dyDescent="0.2">
      <c r="A2808" t="s">
        <v>7877</v>
      </c>
      <c r="B2808" t="s">
        <v>2022</v>
      </c>
      <c r="C2808" t="s">
        <v>2101</v>
      </c>
      <c r="D2808" t="s">
        <v>2024</v>
      </c>
      <c r="E2808" t="s">
        <v>7871</v>
      </c>
      <c r="F2808" t="s">
        <v>7872</v>
      </c>
      <c r="G2808">
        <v>4</v>
      </c>
      <c r="H2808">
        <v>1870</v>
      </c>
      <c r="I2808">
        <v>5</v>
      </c>
      <c r="J2808">
        <v>14</v>
      </c>
      <c r="K2808">
        <v>5</v>
      </c>
      <c r="L2808">
        <v>0.53749999999999998</v>
      </c>
      <c r="M2808">
        <v>1</v>
      </c>
      <c r="N2808">
        <v>66</v>
      </c>
      <c r="O2808">
        <v>4</v>
      </c>
      <c r="P2808">
        <v>0.52500000000000002</v>
      </c>
      <c r="Q2808">
        <v>4</v>
      </c>
      <c r="R2808">
        <v>1.8499999999999999E-2</v>
      </c>
      <c r="T2808" t="s">
        <v>7871</v>
      </c>
    </row>
    <row r="2809" spans="1:20" x14ac:dyDescent="0.2">
      <c r="A2809" t="s">
        <v>7878</v>
      </c>
      <c r="B2809" t="s">
        <v>2022</v>
      </c>
      <c r="C2809" t="s">
        <v>2104</v>
      </c>
      <c r="D2809" t="s">
        <v>2136</v>
      </c>
      <c r="E2809" t="s">
        <v>357</v>
      </c>
      <c r="F2809" t="s">
        <v>447</v>
      </c>
      <c r="G2809">
        <v>1</v>
      </c>
      <c r="H2809">
        <v>1537.5</v>
      </c>
      <c r="I2809">
        <v>1</v>
      </c>
      <c r="J2809">
        <v>0.95</v>
      </c>
      <c r="K2809">
        <v>1</v>
      </c>
      <c r="L2809">
        <v>8.0000000000000002E-3</v>
      </c>
      <c r="M2809">
        <v>5</v>
      </c>
      <c r="N2809">
        <v>89</v>
      </c>
      <c r="P2809">
        <v>0</v>
      </c>
      <c r="Q2809">
        <v>5</v>
      </c>
      <c r="R2809">
        <v>1.8200000000000001E-2</v>
      </c>
      <c r="T2809" t="s">
        <v>357</v>
      </c>
    </row>
    <row r="2810" spans="1:20" x14ac:dyDescent="0.2">
      <c r="A2810" t="s">
        <v>7879</v>
      </c>
      <c r="B2810" t="s">
        <v>2022</v>
      </c>
      <c r="C2810" t="s">
        <v>2036</v>
      </c>
      <c r="D2810" t="s">
        <v>2024</v>
      </c>
      <c r="E2810" t="s">
        <v>7880</v>
      </c>
      <c r="F2810" t="s">
        <v>7881</v>
      </c>
      <c r="G2810">
        <v>1</v>
      </c>
      <c r="H2810">
        <v>1540</v>
      </c>
      <c r="I2810">
        <v>2</v>
      </c>
      <c r="J2810">
        <v>3.4</v>
      </c>
      <c r="K2810">
        <v>1</v>
      </c>
      <c r="L2810">
        <v>5.5E-2</v>
      </c>
      <c r="M2810">
        <v>1</v>
      </c>
      <c r="N2810">
        <v>76</v>
      </c>
      <c r="O2810">
        <v>2</v>
      </c>
      <c r="P2810">
        <v>0.20499999999999999</v>
      </c>
      <c r="Q2810">
        <v>1</v>
      </c>
      <c r="R2810">
        <v>1.5E-3</v>
      </c>
      <c r="T2810" t="s">
        <v>7880</v>
      </c>
    </row>
    <row r="2811" spans="1:20" x14ac:dyDescent="0.2">
      <c r="A2811" t="s">
        <v>7882</v>
      </c>
      <c r="B2811" t="s">
        <v>2022</v>
      </c>
      <c r="C2811" t="s">
        <v>2023</v>
      </c>
      <c r="D2811" t="s">
        <v>2024</v>
      </c>
      <c r="E2811" t="s">
        <v>7883</v>
      </c>
      <c r="F2811" t="s">
        <v>7884</v>
      </c>
      <c r="G2811">
        <v>5</v>
      </c>
      <c r="H2811">
        <v>1800</v>
      </c>
      <c r="I2811">
        <v>5</v>
      </c>
      <c r="J2811">
        <v>10.9</v>
      </c>
      <c r="K2811">
        <v>5</v>
      </c>
      <c r="L2811">
        <v>8.5999999999999993E-2</v>
      </c>
      <c r="M2811">
        <v>5</v>
      </c>
      <c r="N2811">
        <v>114</v>
      </c>
      <c r="O2811">
        <v>5</v>
      </c>
      <c r="P2811">
        <v>0.67500000000000004</v>
      </c>
      <c r="Q2811">
        <v>5</v>
      </c>
      <c r="R2811">
        <v>8.0000000000000002E-3</v>
      </c>
      <c r="T2811" t="s">
        <v>7883</v>
      </c>
    </row>
    <row r="2812" spans="1:20" x14ac:dyDescent="0.2">
      <c r="A2812" t="s">
        <v>7885</v>
      </c>
      <c r="B2812" t="s">
        <v>2022</v>
      </c>
      <c r="C2812" t="s">
        <v>2023</v>
      </c>
      <c r="D2812" t="s">
        <v>2024</v>
      </c>
      <c r="E2812" t="s">
        <v>357</v>
      </c>
      <c r="F2812" t="s">
        <v>7886</v>
      </c>
      <c r="G2812">
        <v>2</v>
      </c>
      <c r="H2812">
        <v>1560</v>
      </c>
      <c r="I2812">
        <v>2</v>
      </c>
      <c r="J2812">
        <v>3.4</v>
      </c>
      <c r="K2812">
        <v>5</v>
      </c>
      <c r="L2812">
        <v>8.5999999999999993E-2</v>
      </c>
      <c r="M2812">
        <v>5</v>
      </c>
      <c r="N2812">
        <v>114</v>
      </c>
      <c r="O2812">
        <v>3</v>
      </c>
      <c r="P2812">
        <v>0.375</v>
      </c>
      <c r="Q2812">
        <v>5</v>
      </c>
      <c r="R2812">
        <v>8.0000000000000002E-3</v>
      </c>
      <c r="T2812" t="s">
        <v>357</v>
      </c>
    </row>
    <row r="2813" spans="1:20" x14ac:dyDescent="0.2">
      <c r="A2813" t="s">
        <v>7887</v>
      </c>
      <c r="B2813" t="s">
        <v>2022</v>
      </c>
      <c r="C2813" t="s">
        <v>2053</v>
      </c>
      <c r="D2813" t="s">
        <v>2024</v>
      </c>
      <c r="E2813" t="s">
        <v>7888</v>
      </c>
      <c r="F2813" t="s">
        <v>7889</v>
      </c>
      <c r="G2813">
        <v>3</v>
      </c>
      <c r="H2813">
        <v>1700</v>
      </c>
      <c r="I2813">
        <v>1</v>
      </c>
      <c r="J2813">
        <v>1.55</v>
      </c>
      <c r="K2813">
        <v>1</v>
      </c>
      <c r="L2813">
        <v>1.4999999999999999E-2</v>
      </c>
      <c r="M2813">
        <v>3</v>
      </c>
      <c r="N2813">
        <v>93</v>
      </c>
      <c r="O2813">
        <v>1</v>
      </c>
      <c r="P2813">
        <v>7.4999999999999997E-2</v>
      </c>
      <c r="Q2813">
        <v>1</v>
      </c>
      <c r="R2813">
        <v>8.4999999999999995E-4</v>
      </c>
      <c r="T2813" t="s">
        <v>7888</v>
      </c>
    </row>
    <row r="2814" spans="1:20" x14ac:dyDescent="0.2">
      <c r="A2814" t="s">
        <v>7890</v>
      </c>
      <c r="B2814" t="s">
        <v>2022</v>
      </c>
      <c r="C2814" t="s">
        <v>2023</v>
      </c>
      <c r="D2814" t="s">
        <v>2024</v>
      </c>
      <c r="E2814" t="s">
        <v>7891</v>
      </c>
      <c r="F2814" t="s">
        <v>7892</v>
      </c>
      <c r="G2814">
        <v>5</v>
      </c>
      <c r="H2814">
        <v>1800</v>
      </c>
      <c r="I2814">
        <v>2</v>
      </c>
      <c r="J2814">
        <v>3.4</v>
      </c>
      <c r="K2814">
        <v>2</v>
      </c>
      <c r="L2814">
        <v>2.5999999999999999E-2</v>
      </c>
      <c r="M2814">
        <v>3</v>
      </c>
      <c r="N2814">
        <v>94</v>
      </c>
      <c r="O2814">
        <v>2</v>
      </c>
      <c r="P2814">
        <v>0.22500000000000001</v>
      </c>
      <c r="Q2814">
        <v>1</v>
      </c>
      <c r="R2814">
        <v>5.0000000000000001E-4</v>
      </c>
      <c r="T2814" t="s">
        <v>7891</v>
      </c>
    </row>
    <row r="2815" spans="1:20" x14ac:dyDescent="0.2">
      <c r="A2815" t="s">
        <v>7893</v>
      </c>
      <c r="B2815" t="s">
        <v>2022</v>
      </c>
      <c r="C2815" t="s">
        <v>2036</v>
      </c>
      <c r="D2815" t="s">
        <v>2024</v>
      </c>
      <c r="E2815" t="s">
        <v>7894</v>
      </c>
      <c r="F2815" t="s">
        <v>7895</v>
      </c>
      <c r="G2815">
        <v>3</v>
      </c>
      <c r="H2815">
        <v>1740</v>
      </c>
      <c r="I2815">
        <v>2</v>
      </c>
      <c r="J2815">
        <v>3.4</v>
      </c>
      <c r="K2815">
        <v>1</v>
      </c>
      <c r="L2815">
        <v>5.5E-2</v>
      </c>
      <c r="M2815">
        <v>1</v>
      </c>
      <c r="N2815">
        <v>76</v>
      </c>
      <c r="O2815">
        <v>2</v>
      </c>
      <c r="P2815">
        <v>0.20499999999999999</v>
      </c>
      <c r="Q2815">
        <v>1</v>
      </c>
      <c r="R2815">
        <v>1.5E-3</v>
      </c>
      <c r="T2815" t="s">
        <v>7894</v>
      </c>
    </row>
    <row r="2816" spans="1:20" x14ac:dyDescent="0.2">
      <c r="A2816" t="s">
        <v>7896</v>
      </c>
      <c r="B2816" t="s">
        <v>2022</v>
      </c>
      <c r="C2816" t="s">
        <v>2173</v>
      </c>
      <c r="D2816" t="s">
        <v>2136</v>
      </c>
      <c r="E2816" t="s">
        <v>7897</v>
      </c>
      <c r="F2816" t="s">
        <v>7898</v>
      </c>
      <c r="G2816">
        <v>5</v>
      </c>
      <c r="H2816">
        <v>2182.5</v>
      </c>
      <c r="I2816">
        <v>2</v>
      </c>
      <c r="J2816">
        <v>6.35</v>
      </c>
      <c r="K2816">
        <v>2</v>
      </c>
      <c r="L2816">
        <v>0.09</v>
      </c>
      <c r="M2816">
        <v>4</v>
      </c>
      <c r="N2816">
        <v>129.5</v>
      </c>
      <c r="O2816">
        <v>2</v>
      </c>
      <c r="P2816">
        <v>0.33</v>
      </c>
      <c r="Q2816">
        <v>2</v>
      </c>
      <c r="R2816">
        <v>4.7999999999999996E-3</v>
      </c>
      <c r="T2816" t="s">
        <v>7897</v>
      </c>
    </row>
    <row r="2817" spans="1:20" x14ac:dyDescent="0.2">
      <c r="A2817" t="s">
        <v>7899</v>
      </c>
      <c r="B2817" t="s">
        <v>2022</v>
      </c>
      <c r="C2817" t="s">
        <v>2101</v>
      </c>
      <c r="D2817" t="s">
        <v>2024</v>
      </c>
      <c r="E2817" t="s">
        <v>7900</v>
      </c>
      <c r="F2817" t="s">
        <v>7901</v>
      </c>
      <c r="G2817">
        <v>2</v>
      </c>
      <c r="H2817">
        <v>1670</v>
      </c>
      <c r="I2817">
        <v>2</v>
      </c>
      <c r="J2817">
        <v>5</v>
      </c>
      <c r="K2817">
        <v>2</v>
      </c>
      <c r="L2817">
        <v>9.6500000000000002E-2</v>
      </c>
      <c r="M2817">
        <v>4</v>
      </c>
      <c r="N2817">
        <v>90</v>
      </c>
      <c r="O2817">
        <v>3</v>
      </c>
      <c r="P2817">
        <v>0.375</v>
      </c>
      <c r="Q2817">
        <v>2</v>
      </c>
      <c r="R2817">
        <v>4.4999999999999997E-3</v>
      </c>
      <c r="T2817" t="s">
        <v>7900</v>
      </c>
    </row>
    <row r="2818" spans="1:20" x14ac:dyDescent="0.2">
      <c r="A2818" t="s">
        <v>7902</v>
      </c>
      <c r="B2818" t="s">
        <v>2022</v>
      </c>
      <c r="C2818" t="s">
        <v>2222</v>
      </c>
      <c r="D2818" t="s">
        <v>2024</v>
      </c>
      <c r="E2818" t="s">
        <v>7903</v>
      </c>
      <c r="F2818" t="s">
        <v>7904</v>
      </c>
      <c r="G2818">
        <v>5</v>
      </c>
      <c r="H2818">
        <v>1850</v>
      </c>
      <c r="I2818">
        <v>3</v>
      </c>
      <c r="J2818">
        <v>5.5</v>
      </c>
      <c r="K2818">
        <v>4</v>
      </c>
      <c r="L2818">
        <v>0.19500000000000001</v>
      </c>
      <c r="M2818">
        <v>3</v>
      </c>
      <c r="N2818">
        <v>67</v>
      </c>
      <c r="O2818">
        <v>3</v>
      </c>
      <c r="P2818">
        <v>0.23</v>
      </c>
      <c r="Q2818">
        <v>4</v>
      </c>
      <c r="R2818">
        <v>8.3000000000000001E-3</v>
      </c>
      <c r="T2818" t="s">
        <v>7903</v>
      </c>
    </row>
    <row r="2819" spans="1:20" x14ac:dyDescent="0.2">
      <c r="A2819" t="s">
        <v>7905</v>
      </c>
      <c r="B2819" t="s">
        <v>2022</v>
      </c>
      <c r="C2819" t="s">
        <v>2023</v>
      </c>
      <c r="D2819" t="s">
        <v>2024</v>
      </c>
      <c r="E2819" t="s">
        <v>7906</v>
      </c>
      <c r="F2819" t="s">
        <v>447</v>
      </c>
      <c r="G2819">
        <v>3</v>
      </c>
      <c r="H2819">
        <v>1640</v>
      </c>
      <c r="I2819">
        <v>1</v>
      </c>
      <c r="J2819">
        <v>0.9</v>
      </c>
      <c r="K2819">
        <v>1</v>
      </c>
      <c r="L2819">
        <v>6.0000000000000001E-3</v>
      </c>
      <c r="M2819">
        <v>2</v>
      </c>
      <c r="N2819">
        <v>84</v>
      </c>
      <c r="O2819">
        <v>1</v>
      </c>
      <c r="P2819">
        <v>7.4999999999999997E-2</v>
      </c>
      <c r="Q2819">
        <v>1</v>
      </c>
      <c r="R2819">
        <v>5.0000000000000001E-4</v>
      </c>
      <c r="T2819" t="s">
        <v>7906</v>
      </c>
    </row>
    <row r="2820" spans="1:20" x14ac:dyDescent="0.2">
      <c r="A2820" t="s">
        <v>7907</v>
      </c>
      <c r="B2820" t="s">
        <v>2022</v>
      </c>
      <c r="C2820" t="s">
        <v>2023</v>
      </c>
      <c r="D2820" t="s">
        <v>2024</v>
      </c>
      <c r="E2820" t="s">
        <v>7908</v>
      </c>
      <c r="F2820" t="s">
        <v>447</v>
      </c>
      <c r="G2820">
        <v>4</v>
      </c>
      <c r="H2820">
        <v>1720</v>
      </c>
      <c r="I2820">
        <v>1</v>
      </c>
      <c r="J2820">
        <v>0.9</v>
      </c>
      <c r="K2820">
        <v>1</v>
      </c>
      <c r="L2820">
        <v>6.0000000000000001E-3</v>
      </c>
      <c r="M2820">
        <v>3</v>
      </c>
      <c r="N2820">
        <v>94</v>
      </c>
      <c r="O2820">
        <v>1</v>
      </c>
      <c r="P2820">
        <v>7.4999999999999997E-2</v>
      </c>
      <c r="Q2820">
        <v>1</v>
      </c>
      <c r="R2820">
        <v>5.0000000000000001E-4</v>
      </c>
      <c r="T2820" t="s">
        <v>7908</v>
      </c>
    </row>
    <row r="2821" spans="1:20" x14ac:dyDescent="0.2">
      <c r="A2821" t="s">
        <v>7909</v>
      </c>
      <c r="B2821" t="s">
        <v>2022</v>
      </c>
      <c r="C2821" t="s">
        <v>2053</v>
      </c>
      <c r="D2821" t="s">
        <v>2024</v>
      </c>
      <c r="E2821" t="s">
        <v>7910</v>
      </c>
      <c r="F2821" t="s">
        <v>7911</v>
      </c>
      <c r="G2821">
        <v>1</v>
      </c>
      <c r="H2821">
        <v>1500</v>
      </c>
      <c r="I2821">
        <v>2</v>
      </c>
      <c r="J2821">
        <v>4.05</v>
      </c>
      <c r="K2821">
        <v>1</v>
      </c>
      <c r="L2821">
        <v>1.4999999999999999E-2</v>
      </c>
      <c r="M2821">
        <v>1</v>
      </c>
      <c r="N2821">
        <v>73</v>
      </c>
      <c r="O2821">
        <v>2</v>
      </c>
      <c r="P2821">
        <v>0.22500000000000001</v>
      </c>
      <c r="Q2821">
        <v>1</v>
      </c>
      <c r="R2821">
        <v>8.4999999999999995E-4</v>
      </c>
      <c r="T2821" t="s">
        <v>7910</v>
      </c>
    </row>
    <row r="2822" spans="1:20" x14ac:dyDescent="0.2">
      <c r="A2822" t="s">
        <v>7912</v>
      </c>
      <c r="B2822" t="s">
        <v>2022</v>
      </c>
      <c r="C2822" t="s">
        <v>2101</v>
      </c>
      <c r="D2822" t="s">
        <v>2024</v>
      </c>
      <c r="E2822" t="s">
        <v>7913</v>
      </c>
      <c r="F2822" t="s">
        <v>7914</v>
      </c>
      <c r="G2822">
        <v>5</v>
      </c>
      <c r="H2822">
        <v>1970</v>
      </c>
      <c r="I2822">
        <v>2</v>
      </c>
      <c r="J2822">
        <v>5</v>
      </c>
      <c r="K2822">
        <v>1</v>
      </c>
      <c r="L2822">
        <v>1.15E-2</v>
      </c>
      <c r="M2822">
        <v>5</v>
      </c>
      <c r="N2822">
        <v>98</v>
      </c>
      <c r="O2822">
        <v>2</v>
      </c>
      <c r="P2822">
        <v>0.22500000000000001</v>
      </c>
      <c r="Q2822">
        <v>1</v>
      </c>
      <c r="R2822">
        <v>5.0000000000000001E-4</v>
      </c>
      <c r="T2822" t="s">
        <v>7913</v>
      </c>
    </row>
    <row r="2823" spans="1:20" x14ac:dyDescent="0.2">
      <c r="A2823" t="s">
        <v>7915</v>
      </c>
      <c r="B2823" t="s">
        <v>2022</v>
      </c>
      <c r="C2823" t="s">
        <v>2023</v>
      </c>
      <c r="D2823" t="s">
        <v>2024</v>
      </c>
      <c r="E2823" t="s">
        <v>7916</v>
      </c>
      <c r="F2823" t="s">
        <v>7917</v>
      </c>
      <c r="G2823">
        <v>3</v>
      </c>
      <c r="H2823">
        <v>1640</v>
      </c>
      <c r="I2823">
        <v>3</v>
      </c>
      <c r="J2823">
        <v>5.9</v>
      </c>
      <c r="K2823">
        <v>5</v>
      </c>
      <c r="L2823">
        <v>8.5999999999999993E-2</v>
      </c>
      <c r="M2823">
        <v>3</v>
      </c>
      <c r="N2823">
        <v>94</v>
      </c>
      <c r="O2823">
        <v>2</v>
      </c>
      <c r="P2823">
        <v>0.22500000000000001</v>
      </c>
      <c r="Q2823">
        <v>5</v>
      </c>
      <c r="R2823">
        <v>8.0000000000000002E-3</v>
      </c>
      <c r="T2823" t="s">
        <v>7916</v>
      </c>
    </row>
    <row r="2824" spans="1:20" x14ac:dyDescent="0.2">
      <c r="A2824" t="s">
        <v>7918</v>
      </c>
      <c r="B2824" t="s">
        <v>2022</v>
      </c>
      <c r="C2824" t="s">
        <v>2101</v>
      </c>
      <c r="D2824" t="s">
        <v>2024</v>
      </c>
      <c r="E2824" t="s">
        <v>7919</v>
      </c>
      <c r="F2824" t="s">
        <v>7920</v>
      </c>
      <c r="G2824">
        <v>3</v>
      </c>
      <c r="H2824">
        <v>1770</v>
      </c>
      <c r="I2824">
        <v>4</v>
      </c>
      <c r="J2824">
        <v>11</v>
      </c>
      <c r="K2824">
        <v>4</v>
      </c>
      <c r="L2824">
        <v>0.39050000000000001</v>
      </c>
      <c r="M2824">
        <v>5</v>
      </c>
      <c r="N2824">
        <v>98</v>
      </c>
      <c r="O2824">
        <v>5</v>
      </c>
      <c r="P2824">
        <v>0.67500000000000004</v>
      </c>
      <c r="Q2824">
        <v>4</v>
      </c>
      <c r="R2824">
        <v>1.8499999999999999E-2</v>
      </c>
      <c r="T2824" t="s">
        <v>7919</v>
      </c>
    </row>
    <row r="2825" spans="1:20" x14ac:dyDescent="0.2">
      <c r="A2825" t="s">
        <v>7921</v>
      </c>
      <c r="B2825" t="s">
        <v>2022</v>
      </c>
      <c r="C2825" t="s">
        <v>2053</v>
      </c>
      <c r="D2825" t="s">
        <v>2024</v>
      </c>
      <c r="E2825" t="s">
        <v>7922</v>
      </c>
      <c r="F2825" t="s">
        <v>7923</v>
      </c>
      <c r="G2825">
        <v>3</v>
      </c>
      <c r="H2825">
        <v>1700</v>
      </c>
      <c r="I2825">
        <v>3</v>
      </c>
      <c r="J2825">
        <v>6.55</v>
      </c>
      <c r="K2825">
        <v>2</v>
      </c>
      <c r="L2825">
        <v>8.5000000000000006E-2</v>
      </c>
      <c r="M2825">
        <v>3</v>
      </c>
      <c r="N2825">
        <v>93</v>
      </c>
      <c r="O2825">
        <v>3</v>
      </c>
      <c r="P2825">
        <v>0.375</v>
      </c>
      <c r="Q2825">
        <v>2</v>
      </c>
      <c r="R2825">
        <v>5.1999999999999998E-3</v>
      </c>
      <c r="T2825" t="s">
        <v>7922</v>
      </c>
    </row>
    <row r="2826" spans="1:20" x14ac:dyDescent="0.2">
      <c r="A2826" t="s">
        <v>7924</v>
      </c>
      <c r="B2826" t="s">
        <v>2022</v>
      </c>
      <c r="C2826" t="s">
        <v>2053</v>
      </c>
      <c r="D2826" t="s">
        <v>2024</v>
      </c>
      <c r="E2826" t="s">
        <v>7925</v>
      </c>
      <c r="F2826" t="s">
        <v>7926</v>
      </c>
      <c r="G2826">
        <v>2</v>
      </c>
      <c r="H2826">
        <v>1600</v>
      </c>
      <c r="I2826">
        <v>2</v>
      </c>
      <c r="J2826">
        <v>4.05</v>
      </c>
      <c r="K2826">
        <v>1</v>
      </c>
      <c r="L2826">
        <v>1.4999999999999999E-2</v>
      </c>
      <c r="M2826">
        <v>2</v>
      </c>
      <c r="N2826">
        <v>83</v>
      </c>
      <c r="O2826">
        <v>2</v>
      </c>
      <c r="P2826">
        <v>0.22500000000000001</v>
      </c>
      <c r="Q2826">
        <v>1</v>
      </c>
      <c r="R2826">
        <v>8.4999999999999995E-4</v>
      </c>
      <c r="T2826" t="s">
        <v>7925</v>
      </c>
    </row>
    <row r="2827" spans="1:20" x14ac:dyDescent="0.2">
      <c r="A2827" t="s">
        <v>7927</v>
      </c>
      <c r="B2827" t="s">
        <v>2022</v>
      </c>
      <c r="C2827" t="s">
        <v>2036</v>
      </c>
      <c r="D2827" t="s">
        <v>2024</v>
      </c>
      <c r="E2827" t="s">
        <v>7928</v>
      </c>
      <c r="F2827" t="s">
        <v>7929</v>
      </c>
      <c r="G2827">
        <v>1</v>
      </c>
      <c r="H2827">
        <v>1540</v>
      </c>
      <c r="I2827">
        <v>4</v>
      </c>
      <c r="J2827">
        <v>5.8</v>
      </c>
      <c r="K2827">
        <v>5</v>
      </c>
      <c r="L2827">
        <v>0.17499999999999999</v>
      </c>
      <c r="M2827">
        <v>1</v>
      </c>
      <c r="N2827">
        <v>76</v>
      </c>
      <c r="O2827">
        <v>3</v>
      </c>
      <c r="P2827">
        <v>0.315</v>
      </c>
      <c r="Q2827">
        <v>4</v>
      </c>
      <c r="R2827">
        <v>9.2499999999999995E-3</v>
      </c>
      <c r="T2827" t="s">
        <v>7928</v>
      </c>
    </row>
    <row r="2828" spans="1:20" x14ac:dyDescent="0.2">
      <c r="A2828" t="s">
        <v>7930</v>
      </c>
      <c r="B2828" t="s">
        <v>2022</v>
      </c>
      <c r="C2828" t="s">
        <v>2023</v>
      </c>
      <c r="D2828" t="s">
        <v>2024</v>
      </c>
      <c r="E2828" t="s">
        <v>7931</v>
      </c>
      <c r="F2828" t="s">
        <v>7932</v>
      </c>
      <c r="G2828">
        <v>2</v>
      </c>
      <c r="H2828">
        <v>1560</v>
      </c>
      <c r="I2828">
        <v>3</v>
      </c>
      <c r="J2828">
        <v>5.9</v>
      </c>
      <c r="K2828">
        <v>5</v>
      </c>
      <c r="L2828">
        <v>8.5999999999999993E-2</v>
      </c>
      <c r="M2828">
        <v>2</v>
      </c>
      <c r="N2828">
        <v>84</v>
      </c>
      <c r="O2828">
        <v>3</v>
      </c>
      <c r="P2828">
        <v>0.375</v>
      </c>
      <c r="Q2828">
        <v>5</v>
      </c>
      <c r="R2828">
        <v>8.0000000000000002E-3</v>
      </c>
      <c r="T2828" t="s">
        <v>7931</v>
      </c>
    </row>
    <row r="2829" spans="1:20" x14ac:dyDescent="0.2">
      <c r="A2829" t="s">
        <v>7933</v>
      </c>
      <c r="B2829" t="s">
        <v>2022</v>
      </c>
      <c r="C2829" t="s">
        <v>2023</v>
      </c>
      <c r="D2829" t="s">
        <v>2024</v>
      </c>
      <c r="E2829" t="s">
        <v>7934</v>
      </c>
      <c r="F2829" t="s">
        <v>7935</v>
      </c>
      <c r="G2829">
        <v>1</v>
      </c>
      <c r="H2829">
        <v>1480</v>
      </c>
      <c r="I2829">
        <v>2</v>
      </c>
      <c r="J2829">
        <v>3.4</v>
      </c>
      <c r="K2829">
        <v>2</v>
      </c>
      <c r="L2829">
        <v>2.5999999999999999E-2</v>
      </c>
      <c r="M2829">
        <v>1</v>
      </c>
      <c r="N2829">
        <v>74</v>
      </c>
      <c r="O2829">
        <v>1</v>
      </c>
      <c r="P2829">
        <v>7.4999999999999997E-2</v>
      </c>
      <c r="Q2829">
        <v>2</v>
      </c>
      <c r="R2829">
        <v>2E-3</v>
      </c>
      <c r="T2829" t="s">
        <v>7934</v>
      </c>
    </row>
    <row r="2830" spans="1:20" x14ac:dyDescent="0.2">
      <c r="A2830" t="s">
        <v>7936</v>
      </c>
      <c r="B2830" t="s">
        <v>2022</v>
      </c>
      <c r="C2830" t="s">
        <v>2023</v>
      </c>
      <c r="D2830" t="s">
        <v>2024</v>
      </c>
      <c r="E2830" t="s">
        <v>7937</v>
      </c>
      <c r="F2830" t="s">
        <v>7938</v>
      </c>
      <c r="G2830">
        <v>3</v>
      </c>
      <c r="H2830">
        <v>1640</v>
      </c>
      <c r="I2830">
        <v>3</v>
      </c>
      <c r="J2830">
        <v>5.9</v>
      </c>
      <c r="K2830">
        <v>5</v>
      </c>
      <c r="L2830">
        <v>8.5999999999999993E-2</v>
      </c>
      <c r="M2830">
        <v>2</v>
      </c>
      <c r="N2830">
        <v>84</v>
      </c>
      <c r="O2830">
        <v>2</v>
      </c>
      <c r="P2830">
        <v>0.22500000000000001</v>
      </c>
      <c r="Q2830">
        <v>4</v>
      </c>
      <c r="R2830">
        <v>6.0000000000000001E-3</v>
      </c>
      <c r="T2830" t="s">
        <v>7937</v>
      </c>
    </row>
    <row r="2831" spans="1:20" x14ac:dyDescent="0.2">
      <c r="A2831" t="s">
        <v>7939</v>
      </c>
      <c r="B2831" t="s">
        <v>2022</v>
      </c>
      <c r="C2831" t="s">
        <v>2222</v>
      </c>
      <c r="D2831" t="s">
        <v>2024</v>
      </c>
      <c r="E2831" t="s">
        <v>7940</v>
      </c>
      <c r="F2831" t="s">
        <v>7941</v>
      </c>
      <c r="G2831">
        <v>3</v>
      </c>
      <c r="H2831">
        <v>1650</v>
      </c>
      <c r="I2831">
        <v>5</v>
      </c>
      <c r="J2831">
        <v>8.6999999999999993</v>
      </c>
      <c r="K2831">
        <v>5</v>
      </c>
      <c r="L2831">
        <v>0.26500000000000001</v>
      </c>
      <c r="M2831">
        <v>3</v>
      </c>
      <c r="N2831">
        <v>67</v>
      </c>
      <c r="O2831">
        <v>5</v>
      </c>
      <c r="P2831">
        <v>0.39</v>
      </c>
      <c r="Q2831">
        <v>5</v>
      </c>
      <c r="R2831">
        <v>1.1299999999999999E-2</v>
      </c>
      <c r="T2831" t="s">
        <v>7940</v>
      </c>
    </row>
    <row r="2832" spans="1:20" x14ac:dyDescent="0.2">
      <c r="A2832" t="s">
        <v>7942</v>
      </c>
      <c r="B2832" t="s">
        <v>2022</v>
      </c>
      <c r="C2832" t="s">
        <v>2023</v>
      </c>
      <c r="D2832" t="s">
        <v>2024</v>
      </c>
      <c r="E2832" t="s">
        <v>322</v>
      </c>
      <c r="F2832" t="s">
        <v>7943</v>
      </c>
      <c r="G2832">
        <v>3</v>
      </c>
      <c r="H2832">
        <v>1640</v>
      </c>
      <c r="I2832">
        <v>3</v>
      </c>
      <c r="J2832">
        <v>5.9</v>
      </c>
      <c r="K2832">
        <v>5</v>
      </c>
      <c r="L2832">
        <v>8.5999999999999993E-2</v>
      </c>
      <c r="M2832">
        <v>1</v>
      </c>
      <c r="N2832">
        <v>74</v>
      </c>
      <c r="O2832">
        <v>2</v>
      </c>
      <c r="P2832">
        <v>0.22500000000000001</v>
      </c>
      <c r="Q2832">
        <v>3</v>
      </c>
      <c r="R2832">
        <v>4.0000000000000001E-3</v>
      </c>
      <c r="T2832" t="s">
        <v>322</v>
      </c>
    </row>
    <row r="2833" spans="1:20" x14ac:dyDescent="0.2">
      <c r="A2833" t="s">
        <v>7944</v>
      </c>
      <c r="B2833" t="s">
        <v>2022</v>
      </c>
      <c r="C2833" t="s">
        <v>2036</v>
      </c>
      <c r="D2833" t="s">
        <v>2024</v>
      </c>
      <c r="E2833" t="s">
        <v>7945</v>
      </c>
      <c r="F2833" t="s">
        <v>7946</v>
      </c>
      <c r="G2833">
        <v>2</v>
      </c>
      <c r="H2833">
        <v>1640</v>
      </c>
      <c r="I2833">
        <v>1</v>
      </c>
      <c r="J2833">
        <v>2.2000000000000002</v>
      </c>
      <c r="K2833">
        <v>1</v>
      </c>
      <c r="L2833">
        <v>5.5E-2</v>
      </c>
      <c r="M2833">
        <v>3</v>
      </c>
      <c r="N2833">
        <v>88</v>
      </c>
      <c r="O2833">
        <v>1</v>
      </c>
      <c r="P2833">
        <v>9.5000000000000001E-2</v>
      </c>
      <c r="Q2833">
        <v>1</v>
      </c>
      <c r="R2833">
        <v>1.5E-3</v>
      </c>
      <c r="T2833" t="s">
        <v>7945</v>
      </c>
    </row>
    <row r="2834" spans="1:20" x14ac:dyDescent="0.2">
      <c r="A2834" t="s">
        <v>7947</v>
      </c>
      <c r="B2834" t="s">
        <v>2022</v>
      </c>
      <c r="C2834" t="s">
        <v>2023</v>
      </c>
      <c r="D2834" t="s">
        <v>2024</v>
      </c>
      <c r="E2834" t="s">
        <v>7948</v>
      </c>
      <c r="F2834" t="s">
        <v>7949</v>
      </c>
      <c r="G2834">
        <v>2</v>
      </c>
      <c r="H2834">
        <v>1560</v>
      </c>
      <c r="I2834">
        <v>2</v>
      </c>
      <c r="J2834">
        <v>3.4</v>
      </c>
      <c r="K2834">
        <v>2</v>
      </c>
      <c r="L2834">
        <v>2.5999999999999999E-2</v>
      </c>
      <c r="M2834">
        <v>2</v>
      </c>
      <c r="N2834">
        <v>84</v>
      </c>
      <c r="O2834">
        <v>1</v>
      </c>
      <c r="P2834">
        <v>7.4999999999999997E-2</v>
      </c>
      <c r="Q2834">
        <v>2</v>
      </c>
      <c r="R2834">
        <v>2E-3</v>
      </c>
      <c r="T2834" t="s">
        <v>7948</v>
      </c>
    </row>
    <row r="2835" spans="1:20" x14ac:dyDescent="0.2">
      <c r="A2835" t="s">
        <v>7950</v>
      </c>
      <c r="B2835" t="s">
        <v>2022</v>
      </c>
      <c r="C2835" t="s">
        <v>2053</v>
      </c>
      <c r="D2835" t="s">
        <v>2024</v>
      </c>
      <c r="E2835" t="s">
        <v>7951</v>
      </c>
      <c r="F2835" t="s">
        <v>7952</v>
      </c>
      <c r="G2835">
        <v>3</v>
      </c>
      <c r="H2835">
        <v>1700</v>
      </c>
      <c r="I2835">
        <v>2</v>
      </c>
      <c r="J2835">
        <v>4.05</v>
      </c>
      <c r="K2835">
        <v>2</v>
      </c>
      <c r="L2835">
        <v>8.5000000000000006E-2</v>
      </c>
      <c r="M2835">
        <v>2</v>
      </c>
      <c r="N2835">
        <v>83</v>
      </c>
      <c r="O2835">
        <v>2</v>
      </c>
      <c r="P2835">
        <v>0.22500000000000001</v>
      </c>
      <c r="Q2835">
        <v>2</v>
      </c>
      <c r="R2835">
        <v>5.1999999999999998E-3</v>
      </c>
      <c r="T2835" t="s">
        <v>7951</v>
      </c>
    </row>
    <row r="2836" spans="1:20" x14ac:dyDescent="0.2">
      <c r="A2836" t="s">
        <v>7953</v>
      </c>
      <c r="B2836" t="s">
        <v>2022</v>
      </c>
      <c r="C2836" t="s">
        <v>2036</v>
      </c>
      <c r="D2836" t="s">
        <v>2024</v>
      </c>
      <c r="E2836" t="s">
        <v>7954</v>
      </c>
      <c r="F2836" t="s">
        <v>447</v>
      </c>
      <c r="G2836">
        <v>1</v>
      </c>
      <c r="H2836">
        <v>1540</v>
      </c>
      <c r="I2836">
        <v>5</v>
      </c>
      <c r="J2836">
        <v>7</v>
      </c>
      <c r="K2836">
        <v>5</v>
      </c>
      <c r="L2836">
        <v>0.17499999999999999</v>
      </c>
      <c r="M2836">
        <v>1</v>
      </c>
      <c r="N2836">
        <v>76</v>
      </c>
      <c r="O2836">
        <v>5</v>
      </c>
      <c r="P2836">
        <v>0.53500000000000003</v>
      </c>
      <c r="Q2836">
        <v>5</v>
      </c>
      <c r="R2836">
        <v>1.2E-2</v>
      </c>
      <c r="T2836" t="s">
        <v>7954</v>
      </c>
    </row>
    <row r="2837" spans="1:20" x14ac:dyDescent="0.2">
      <c r="A2837" t="s">
        <v>7955</v>
      </c>
      <c r="B2837" t="s">
        <v>2022</v>
      </c>
      <c r="C2837" t="s">
        <v>2036</v>
      </c>
      <c r="D2837" t="s">
        <v>2024</v>
      </c>
      <c r="E2837" t="s">
        <v>7956</v>
      </c>
      <c r="F2837" t="s">
        <v>7957</v>
      </c>
      <c r="G2837">
        <v>2</v>
      </c>
      <c r="H2837">
        <v>1640</v>
      </c>
      <c r="I2837">
        <v>1</v>
      </c>
      <c r="J2837">
        <v>2.2000000000000002</v>
      </c>
      <c r="K2837">
        <v>1</v>
      </c>
      <c r="L2837">
        <v>5.5E-2</v>
      </c>
      <c r="M2837">
        <v>2</v>
      </c>
      <c r="N2837">
        <v>82</v>
      </c>
      <c r="O2837">
        <v>1</v>
      </c>
      <c r="P2837">
        <v>9.5000000000000001E-2</v>
      </c>
      <c r="Q2837">
        <v>1</v>
      </c>
      <c r="R2837">
        <v>1.5E-3</v>
      </c>
      <c r="T2837" t="s">
        <v>7956</v>
      </c>
    </row>
    <row r="2838" spans="1:20" x14ac:dyDescent="0.2">
      <c r="A2838" t="s">
        <v>7958</v>
      </c>
      <c r="B2838" t="s">
        <v>2022</v>
      </c>
      <c r="C2838" t="s">
        <v>2053</v>
      </c>
      <c r="D2838" t="s">
        <v>2024</v>
      </c>
      <c r="E2838" t="s">
        <v>7959</v>
      </c>
      <c r="F2838" t="s">
        <v>7960</v>
      </c>
      <c r="G2838">
        <v>1</v>
      </c>
      <c r="H2838">
        <v>1500</v>
      </c>
      <c r="I2838">
        <v>2</v>
      </c>
      <c r="J2838">
        <v>4.05</v>
      </c>
      <c r="K2838">
        <v>1</v>
      </c>
      <c r="L2838">
        <v>1.4999999999999999E-2</v>
      </c>
      <c r="M2838">
        <v>4</v>
      </c>
      <c r="N2838">
        <v>103</v>
      </c>
      <c r="O2838">
        <v>2</v>
      </c>
      <c r="P2838">
        <v>0.22500000000000001</v>
      </c>
      <c r="Q2838">
        <v>1</v>
      </c>
      <c r="R2838">
        <v>8.4999999999999995E-4</v>
      </c>
      <c r="T2838" t="s">
        <v>7959</v>
      </c>
    </row>
    <row r="2839" spans="1:20" x14ac:dyDescent="0.2">
      <c r="A2839" t="s">
        <v>7961</v>
      </c>
      <c r="B2839" t="s">
        <v>2022</v>
      </c>
      <c r="C2839" t="s">
        <v>2023</v>
      </c>
      <c r="D2839" t="s">
        <v>2024</v>
      </c>
      <c r="E2839" t="s">
        <v>7962</v>
      </c>
      <c r="F2839" t="s">
        <v>7963</v>
      </c>
      <c r="G2839">
        <v>5</v>
      </c>
      <c r="H2839">
        <v>1800</v>
      </c>
      <c r="I2839">
        <v>2</v>
      </c>
      <c r="J2839">
        <v>3.4</v>
      </c>
      <c r="K2839">
        <v>4</v>
      </c>
      <c r="L2839">
        <v>6.6000000000000003E-2</v>
      </c>
      <c r="M2839">
        <v>4</v>
      </c>
      <c r="N2839">
        <v>104</v>
      </c>
      <c r="O2839">
        <v>2</v>
      </c>
      <c r="P2839">
        <v>0.22500000000000001</v>
      </c>
      <c r="Q2839">
        <v>3</v>
      </c>
      <c r="R2839">
        <v>4.0000000000000001E-3</v>
      </c>
      <c r="T2839" t="s">
        <v>7962</v>
      </c>
    </row>
    <row r="2840" spans="1:20" x14ac:dyDescent="0.2">
      <c r="A2840" t="s">
        <v>7964</v>
      </c>
      <c r="B2840" t="s">
        <v>2022</v>
      </c>
      <c r="C2840" t="s">
        <v>2023</v>
      </c>
      <c r="D2840" t="s">
        <v>2024</v>
      </c>
      <c r="E2840" t="s">
        <v>357</v>
      </c>
      <c r="F2840" t="s">
        <v>7965</v>
      </c>
      <c r="G2840">
        <v>3</v>
      </c>
      <c r="H2840">
        <v>1640</v>
      </c>
      <c r="I2840">
        <v>2</v>
      </c>
      <c r="J2840">
        <v>3.4</v>
      </c>
      <c r="K2840">
        <v>2</v>
      </c>
      <c r="L2840">
        <v>2.5999999999999999E-2</v>
      </c>
      <c r="M2840">
        <v>4</v>
      </c>
      <c r="N2840">
        <v>104</v>
      </c>
      <c r="O2840">
        <v>2</v>
      </c>
      <c r="P2840">
        <v>0.22500000000000001</v>
      </c>
      <c r="Q2840">
        <v>2</v>
      </c>
      <c r="R2840">
        <v>2E-3</v>
      </c>
      <c r="T2840" t="s">
        <v>357</v>
      </c>
    </row>
    <row r="2841" spans="1:20" x14ac:dyDescent="0.2">
      <c r="A2841" t="s">
        <v>7966</v>
      </c>
      <c r="B2841" t="s">
        <v>2022</v>
      </c>
      <c r="C2841" t="s">
        <v>2101</v>
      </c>
      <c r="D2841" t="s">
        <v>2024</v>
      </c>
      <c r="E2841" t="s">
        <v>7967</v>
      </c>
      <c r="F2841" t="s">
        <v>7968</v>
      </c>
      <c r="G2841">
        <v>2</v>
      </c>
      <c r="H2841">
        <v>1670</v>
      </c>
      <c r="I2841">
        <v>1</v>
      </c>
      <c r="J2841">
        <v>2</v>
      </c>
      <c r="K2841">
        <v>2</v>
      </c>
      <c r="L2841">
        <v>9.6500000000000002E-2</v>
      </c>
      <c r="M2841">
        <v>5</v>
      </c>
      <c r="N2841">
        <v>98</v>
      </c>
      <c r="O2841">
        <v>2</v>
      </c>
      <c r="P2841">
        <v>0.22500000000000001</v>
      </c>
      <c r="Q2841">
        <v>2</v>
      </c>
      <c r="R2841">
        <v>4.4999999999999997E-3</v>
      </c>
      <c r="T2841" t="s">
        <v>7967</v>
      </c>
    </row>
    <row r="2842" spans="1:20" x14ac:dyDescent="0.2">
      <c r="A2842" t="s">
        <v>7969</v>
      </c>
      <c r="B2842" t="s">
        <v>2022</v>
      </c>
      <c r="C2842" t="s">
        <v>2023</v>
      </c>
      <c r="D2842" t="s">
        <v>2024</v>
      </c>
      <c r="E2842" t="s">
        <v>7970</v>
      </c>
      <c r="F2842" t="s">
        <v>7971</v>
      </c>
      <c r="G2842">
        <v>5</v>
      </c>
      <c r="H2842">
        <v>1800</v>
      </c>
      <c r="I2842">
        <v>2</v>
      </c>
      <c r="J2842">
        <v>3.4</v>
      </c>
      <c r="K2842">
        <v>4</v>
      </c>
      <c r="L2842">
        <v>6.6000000000000003E-2</v>
      </c>
      <c r="M2842">
        <v>4</v>
      </c>
      <c r="N2842">
        <v>104</v>
      </c>
      <c r="O2842">
        <v>2</v>
      </c>
      <c r="P2842">
        <v>0.22500000000000001</v>
      </c>
      <c r="Q2842">
        <v>3</v>
      </c>
      <c r="R2842">
        <v>4.0000000000000001E-3</v>
      </c>
      <c r="T2842" t="s">
        <v>7970</v>
      </c>
    </row>
    <row r="2843" spans="1:20" x14ac:dyDescent="0.2">
      <c r="A2843" t="s">
        <v>7972</v>
      </c>
      <c r="B2843" t="s">
        <v>2022</v>
      </c>
      <c r="C2843" t="s">
        <v>2023</v>
      </c>
      <c r="D2843" t="s">
        <v>2024</v>
      </c>
      <c r="E2843" t="s">
        <v>7973</v>
      </c>
      <c r="F2843" t="s">
        <v>7974</v>
      </c>
      <c r="G2843">
        <v>4</v>
      </c>
      <c r="H2843">
        <v>1720</v>
      </c>
      <c r="I2843">
        <v>2</v>
      </c>
      <c r="J2843">
        <v>3.4</v>
      </c>
      <c r="K2843">
        <v>2</v>
      </c>
      <c r="L2843">
        <v>2.5999999999999999E-2</v>
      </c>
      <c r="M2843">
        <v>3</v>
      </c>
      <c r="N2843">
        <v>94</v>
      </c>
      <c r="O2843">
        <v>2</v>
      </c>
      <c r="P2843">
        <v>0.22500000000000001</v>
      </c>
      <c r="Q2843">
        <v>1</v>
      </c>
      <c r="R2843">
        <v>5.0000000000000001E-4</v>
      </c>
      <c r="T2843" t="s">
        <v>7973</v>
      </c>
    </row>
    <row r="2844" spans="1:20" x14ac:dyDescent="0.2">
      <c r="A2844" t="s">
        <v>7975</v>
      </c>
      <c r="B2844" t="s">
        <v>2022</v>
      </c>
      <c r="C2844" t="s">
        <v>2023</v>
      </c>
      <c r="D2844" t="s">
        <v>2136</v>
      </c>
      <c r="E2844" t="s">
        <v>7976</v>
      </c>
      <c r="F2844" t="s">
        <v>7977</v>
      </c>
      <c r="G2844">
        <v>1</v>
      </c>
      <c r="H2844">
        <v>1480</v>
      </c>
      <c r="I2844">
        <v>2</v>
      </c>
      <c r="J2844">
        <v>3.4</v>
      </c>
      <c r="K2844">
        <v>2</v>
      </c>
      <c r="L2844">
        <v>2.5999999999999999E-2</v>
      </c>
      <c r="M2844">
        <v>5</v>
      </c>
      <c r="N2844">
        <v>114</v>
      </c>
      <c r="O2844">
        <v>2</v>
      </c>
      <c r="P2844">
        <v>0.22500000000000001</v>
      </c>
      <c r="Q2844">
        <v>2</v>
      </c>
      <c r="R2844">
        <v>2E-3</v>
      </c>
      <c r="T2844" t="s">
        <v>7976</v>
      </c>
    </row>
    <row r="2845" spans="1:20" x14ac:dyDescent="0.2">
      <c r="A2845" t="s">
        <v>7978</v>
      </c>
      <c r="B2845" t="s">
        <v>2022</v>
      </c>
      <c r="C2845" t="s">
        <v>2222</v>
      </c>
      <c r="D2845" t="s">
        <v>2024</v>
      </c>
      <c r="E2845" t="s">
        <v>7979</v>
      </c>
      <c r="F2845" t="s">
        <v>7980</v>
      </c>
      <c r="G2845">
        <v>3</v>
      </c>
      <c r="H2845">
        <v>1650</v>
      </c>
      <c r="I2845">
        <v>1</v>
      </c>
      <c r="J2845">
        <v>2.2999999999999998</v>
      </c>
      <c r="K2845">
        <v>1</v>
      </c>
      <c r="L2845">
        <v>0.01</v>
      </c>
      <c r="M2845">
        <v>3</v>
      </c>
      <c r="N2845">
        <v>67</v>
      </c>
      <c r="O2845">
        <v>1</v>
      </c>
      <c r="P2845">
        <v>7.0000000000000007E-2</v>
      </c>
      <c r="Q2845">
        <v>1</v>
      </c>
      <c r="R2845">
        <v>4.0000000000000002E-4</v>
      </c>
      <c r="T2845" t="s">
        <v>7979</v>
      </c>
    </row>
    <row r="2846" spans="1:20" x14ac:dyDescent="0.2">
      <c r="A2846" t="s">
        <v>7981</v>
      </c>
      <c r="B2846" t="s">
        <v>2022</v>
      </c>
      <c r="C2846" t="s">
        <v>2036</v>
      </c>
      <c r="D2846" t="s">
        <v>2024</v>
      </c>
      <c r="E2846" t="s">
        <v>7982</v>
      </c>
      <c r="F2846" t="s">
        <v>7983</v>
      </c>
      <c r="G2846">
        <v>2</v>
      </c>
      <c r="H2846">
        <v>1640</v>
      </c>
      <c r="I2846">
        <v>2</v>
      </c>
      <c r="J2846">
        <v>3.4</v>
      </c>
      <c r="K2846">
        <v>1</v>
      </c>
      <c r="L2846">
        <v>5.5E-2</v>
      </c>
      <c r="M2846">
        <v>2</v>
      </c>
      <c r="N2846">
        <v>82</v>
      </c>
      <c r="O2846">
        <v>2</v>
      </c>
      <c r="P2846">
        <v>0.20499999999999999</v>
      </c>
      <c r="Q2846">
        <v>2</v>
      </c>
      <c r="R2846">
        <v>4.2500000000000003E-3</v>
      </c>
      <c r="T2846" t="s">
        <v>7982</v>
      </c>
    </row>
    <row r="2847" spans="1:20" x14ac:dyDescent="0.2">
      <c r="A2847" t="s">
        <v>7984</v>
      </c>
      <c r="B2847" t="s">
        <v>2022</v>
      </c>
      <c r="C2847" t="s">
        <v>2049</v>
      </c>
      <c r="D2847" t="s">
        <v>2136</v>
      </c>
      <c r="E2847" t="s">
        <v>7985</v>
      </c>
      <c r="F2847" t="s">
        <v>7986</v>
      </c>
      <c r="G2847">
        <v>2</v>
      </c>
      <c r="H2847">
        <v>1450</v>
      </c>
      <c r="I2847">
        <v>1</v>
      </c>
      <c r="J2847">
        <v>1.4</v>
      </c>
      <c r="K2847">
        <v>1</v>
      </c>
      <c r="L2847">
        <v>0.01</v>
      </c>
      <c r="M2847">
        <v>4</v>
      </c>
      <c r="N2847">
        <v>146</v>
      </c>
      <c r="O2847">
        <v>1</v>
      </c>
      <c r="P2847">
        <v>0.06</v>
      </c>
      <c r="Q2847">
        <v>1</v>
      </c>
      <c r="R2847">
        <v>8.4999999999999995E-4</v>
      </c>
      <c r="T2847" t="s">
        <v>7985</v>
      </c>
    </row>
    <row r="2848" spans="1:20" x14ac:dyDescent="0.2">
      <c r="A2848" t="s">
        <v>7987</v>
      </c>
      <c r="B2848" t="s">
        <v>2022</v>
      </c>
      <c r="C2848" t="s">
        <v>2023</v>
      </c>
      <c r="D2848" t="s">
        <v>2136</v>
      </c>
      <c r="E2848" t="s">
        <v>7988</v>
      </c>
      <c r="F2848" t="s">
        <v>7989</v>
      </c>
      <c r="G2848">
        <v>2</v>
      </c>
      <c r="H2848">
        <v>1560</v>
      </c>
      <c r="I2848">
        <v>1</v>
      </c>
      <c r="J2848">
        <v>0.9</v>
      </c>
      <c r="K2848">
        <v>2</v>
      </c>
      <c r="L2848">
        <v>2.5999999999999999E-2</v>
      </c>
      <c r="M2848">
        <v>3</v>
      </c>
      <c r="N2848">
        <v>94</v>
      </c>
      <c r="O2848">
        <v>1</v>
      </c>
      <c r="P2848">
        <v>7.4999999999999997E-2</v>
      </c>
      <c r="Q2848">
        <v>2</v>
      </c>
      <c r="R2848">
        <v>2E-3</v>
      </c>
      <c r="T2848" t="s">
        <v>7988</v>
      </c>
    </row>
    <row r="2849" spans="1:20" x14ac:dyDescent="0.2">
      <c r="A2849" t="s">
        <v>7990</v>
      </c>
      <c r="B2849" t="s">
        <v>2022</v>
      </c>
      <c r="C2849" t="s">
        <v>2036</v>
      </c>
      <c r="D2849" t="s">
        <v>2024</v>
      </c>
      <c r="E2849" t="s">
        <v>7991</v>
      </c>
      <c r="F2849" t="s">
        <v>7992</v>
      </c>
      <c r="G2849">
        <v>5</v>
      </c>
      <c r="H2849">
        <v>1940</v>
      </c>
      <c r="I2849">
        <v>2</v>
      </c>
      <c r="J2849">
        <v>3.4</v>
      </c>
      <c r="K2849">
        <v>2</v>
      </c>
      <c r="L2849">
        <v>8.5000000000000006E-2</v>
      </c>
      <c r="M2849">
        <v>5</v>
      </c>
      <c r="N2849">
        <v>100</v>
      </c>
      <c r="O2849">
        <v>2</v>
      </c>
      <c r="P2849">
        <v>0.20499999999999999</v>
      </c>
      <c r="Q2849">
        <v>2</v>
      </c>
      <c r="R2849">
        <v>4.2500000000000003E-3</v>
      </c>
      <c r="T2849" t="s">
        <v>7991</v>
      </c>
    </row>
    <row r="2850" spans="1:20" x14ac:dyDescent="0.2">
      <c r="A2850" t="s">
        <v>7993</v>
      </c>
      <c r="B2850" t="s">
        <v>2022</v>
      </c>
      <c r="C2850" t="s">
        <v>2049</v>
      </c>
      <c r="D2850" t="s">
        <v>2024</v>
      </c>
      <c r="E2850" t="s">
        <v>7994</v>
      </c>
      <c r="F2850" t="s">
        <v>7995</v>
      </c>
      <c r="G2850">
        <v>3</v>
      </c>
      <c r="H2850">
        <v>1550</v>
      </c>
      <c r="I2850">
        <v>1</v>
      </c>
      <c r="J2850">
        <v>1.4</v>
      </c>
      <c r="K2850">
        <v>1</v>
      </c>
      <c r="L2850">
        <v>0.01</v>
      </c>
      <c r="M2850">
        <v>3</v>
      </c>
      <c r="N2850">
        <v>126</v>
      </c>
      <c r="O2850">
        <v>1</v>
      </c>
      <c r="P2850">
        <v>0.06</v>
      </c>
      <c r="Q2850">
        <v>1</v>
      </c>
      <c r="R2850">
        <v>8.4999999999999995E-4</v>
      </c>
      <c r="T2850" t="s">
        <v>7994</v>
      </c>
    </row>
    <row r="2851" spans="1:20" x14ac:dyDescent="0.2">
      <c r="A2851" t="s">
        <v>7996</v>
      </c>
      <c r="B2851" t="s">
        <v>2022</v>
      </c>
      <c r="C2851" t="s">
        <v>2023</v>
      </c>
      <c r="D2851" t="s">
        <v>2024</v>
      </c>
      <c r="E2851" t="s">
        <v>7997</v>
      </c>
      <c r="F2851" t="s">
        <v>7998</v>
      </c>
      <c r="G2851">
        <v>2</v>
      </c>
      <c r="H2851">
        <v>1560</v>
      </c>
      <c r="I2851">
        <v>1</v>
      </c>
      <c r="J2851">
        <v>0.9</v>
      </c>
      <c r="K2851">
        <v>2</v>
      </c>
      <c r="L2851">
        <v>2.5999999999999999E-2</v>
      </c>
      <c r="M2851">
        <v>1</v>
      </c>
      <c r="N2851">
        <v>74</v>
      </c>
      <c r="O2851">
        <v>1</v>
      </c>
      <c r="P2851">
        <v>7.4999999999999997E-2</v>
      </c>
      <c r="Q2851">
        <v>1</v>
      </c>
      <c r="R2851">
        <v>5.0000000000000001E-4</v>
      </c>
      <c r="T2851" t="s">
        <v>7997</v>
      </c>
    </row>
    <row r="2852" spans="1:20" x14ac:dyDescent="0.2">
      <c r="A2852" t="s">
        <v>7999</v>
      </c>
      <c r="B2852" t="s">
        <v>2022</v>
      </c>
      <c r="C2852" t="s">
        <v>2101</v>
      </c>
      <c r="D2852" t="s">
        <v>2024</v>
      </c>
      <c r="E2852" t="s">
        <v>8000</v>
      </c>
      <c r="F2852" t="s">
        <v>8001</v>
      </c>
      <c r="G2852">
        <v>3</v>
      </c>
      <c r="H2852">
        <v>1770</v>
      </c>
      <c r="I2852">
        <v>1</v>
      </c>
      <c r="J2852">
        <v>2</v>
      </c>
      <c r="K2852">
        <v>2</v>
      </c>
      <c r="L2852">
        <v>9.6500000000000002E-2</v>
      </c>
      <c r="M2852">
        <v>1</v>
      </c>
      <c r="N2852">
        <v>66</v>
      </c>
      <c r="O2852">
        <v>1</v>
      </c>
      <c r="P2852">
        <v>7.4999999999999997E-2</v>
      </c>
      <c r="Q2852">
        <v>2</v>
      </c>
      <c r="R2852">
        <v>4.4999999999999997E-3</v>
      </c>
      <c r="T2852" t="s">
        <v>8000</v>
      </c>
    </row>
    <row r="2853" spans="1:20" x14ac:dyDescent="0.2">
      <c r="A2853" t="s">
        <v>8002</v>
      </c>
      <c r="B2853" t="s">
        <v>2022</v>
      </c>
      <c r="C2853" t="s">
        <v>2101</v>
      </c>
      <c r="D2853" t="s">
        <v>2024</v>
      </c>
      <c r="E2853" t="s">
        <v>8003</v>
      </c>
      <c r="F2853" t="s">
        <v>8004</v>
      </c>
      <c r="G2853">
        <v>3</v>
      </c>
      <c r="H2853">
        <v>1770</v>
      </c>
      <c r="I2853">
        <v>3</v>
      </c>
      <c r="J2853">
        <v>8</v>
      </c>
      <c r="K2853">
        <v>2</v>
      </c>
      <c r="L2853">
        <v>9.6500000000000002E-2</v>
      </c>
      <c r="M2853">
        <v>2</v>
      </c>
      <c r="N2853">
        <v>74</v>
      </c>
      <c r="O2853">
        <v>3</v>
      </c>
      <c r="P2853">
        <v>0.375</v>
      </c>
      <c r="Q2853">
        <v>2</v>
      </c>
      <c r="R2853">
        <v>4.4999999999999997E-3</v>
      </c>
      <c r="T2853" t="s">
        <v>8003</v>
      </c>
    </row>
    <row r="2854" spans="1:20" x14ac:dyDescent="0.2">
      <c r="A2854" t="s">
        <v>8005</v>
      </c>
      <c r="B2854" t="s">
        <v>2022</v>
      </c>
      <c r="C2854" t="s">
        <v>2173</v>
      </c>
      <c r="D2854" t="s">
        <v>2024</v>
      </c>
      <c r="E2854" t="s">
        <v>8006</v>
      </c>
      <c r="F2854" t="s">
        <v>8007</v>
      </c>
      <c r="G2854">
        <v>2</v>
      </c>
      <c r="H2854">
        <v>1957.5</v>
      </c>
      <c r="I2854">
        <v>1</v>
      </c>
      <c r="J2854">
        <v>3.65</v>
      </c>
      <c r="K2854">
        <v>1</v>
      </c>
      <c r="L2854">
        <v>1.4999999999999999E-2</v>
      </c>
      <c r="M2854">
        <v>2</v>
      </c>
      <c r="N2854">
        <v>107.5</v>
      </c>
      <c r="O2854">
        <v>1</v>
      </c>
      <c r="P2854">
        <v>0.15</v>
      </c>
      <c r="Q2854">
        <v>1</v>
      </c>
      <c r="R2854">
        <v>6.4999999999999997E-4</v>
      </c>
      <c r="T2854" t="s">
        <v>8006</v>
      </c>
    </row>
    <row r="2855" spans="1:20" x14ac:dyDescent="0.2">
      <c r="A2855" t="s">
        <v>8008</v>
      </c>
      <c r="B2855" t="s">
        <v>2022</v>
      </c>
      <c r="C2855" t="s">
        <v>2049</v>
      </c>
      <c r="D2855" t="s">
        <v>2024</v>
      </c>
      <c r="E2855" t="s">
        <v>232</v>
      </c>
      <c r="F2855" t="s">
        <v>8009</v>
      </c>
      <c r="G2855">
        <v>4</v>
      </c>
      <c r="H2855">
        <v>1650</v>
      </c>
      <c r="I2855">
        <v>2</v>
      </c>
      <c r="J2855">
        <v>3.2</v>
      </c>
      <c r="K2855">
        <v>2</v>
      </c>
      <c r="L2855">
        <v>0.06</v>
      </c>
      <c r="M2855">
        <v>4</v>
      </c>
      <c r="N2855">
        <v>146</v>
      </c>
      <c r="O2855">
        <v>2</v>
      </c>
      <c r="P2855">
        <v>0.26</v>
      </c>
      <c r="Q2855">
        <v>2</v>
      </c>
      <c r="R2855">
        <v>6.1999999999999998E-3</v>
      </c>
      <c r="T2855" t="s">
        <v>232</v>
      </c>
    </row>
    <row r="2856" spans="1:20" x14ac:dyDescent="0.2">
      <c r="A2856" t="s">
        <v>8010</v>
      </c>
      <c r="B2856" t="s">
        <v>2022</v>
      </c>
      <c r="C2856" t="s">
        <v>2053</v>
      </c>
      <c r="D2856" t="s">
        <v>2024</v>
      </c>
      <c r="E2856" t="s">
        <v>8011</v>
      </c>
      <c r="F2856" t="s">
        <v>8012</v>
      </c>
      <c r="G2856">
        <v>3</v>
      </c>
      <c r="H2856">
        <v>1700</v>
      </c>
      <c r="I2856">
        <v>2</v>
      </c>
      <c r="J2856">
        <v>4.05</v>
      </c>
      <c r="K2856">
        <v>2</v>
      </c>
      <c r="L2856">
        <v>8.5000000000000006E-2</v>
      </c>
      <c r="M2856">
        <v>1</v>
      </c>
      <c r="N2856">
        <v>73</v>
      </c>
      <c r="O2856">
        <v>2</v>
      </c>
      <c r="P2856">
        <v>0.22500000000000001</v>
      </c>
      <c r="Q2856">
        <v>2</v>
      </c>
      <c r="R2856">
        <v>5.1999999999999998E-3</v>
      </c>
      <c r="T2856" t="s">
        <v>8011</v>
      </c>
    </row>
    <row r="2857" spans="1:20" x14ac:dyDescent="0.2">
      <c r="A2857" t="s">
        <v>8013</v>
      </c>
      <c r="B2857" t="s">
        <v>2022</v>
      </c>
      <c r="C2857" t="s">
        <v>2023</v>
      </c>
      <c r="D2857" t="s">
        <v>2024</v>
      </c>
      <c r="E2857" t="s">
        <v>8014</v>
      </c>
      <c r="F2857" t="s">
        <v>8015</v>
      </c>
      <c r="G2857">
        <v>3</v>
      </c>
      <c r="H2857">
        <v>1640</v>
      </c>
      <c r="I2857">
        <v>5</v>
      </c>
      <c r="J2857">
        <v>10.9</v>
      </c>
      <c r="K2857">
        <v>5</v>
      </c>
      <c r="L2857">
        <v>8.5999999999999993E-2</v>
      </c>
      <c r="M2857">
        <v>3</v>
      </c>
      <c r="N2857">
        <v>94</v>
      </c>
      <c r="O2857">
        <v>5</v>
      </c>
      <c r="P2857">
        <v>0.67500000000000004</v>
      </c>
      <c r="Q2857">
        <v>5</v>
      </c>
      <c r="R2857">
        <v>8.0000000000000002E-3</v>
      </c>
      <c r="T2857" t="s">
        <v>8014</v>
      </c>
    </row>
    <row r="2858" spans="1:20" x14ac:dyDescent="0.2">
      <c r="A2858" t="s">
        <v>8016</v>
      </c>
      <c r="B2858" t="s">
        <v>2022</v>
      </c>
      <c r="C2858" t="s">
        <v>2095</v>
      </c>
      <c r="D2858" t="s">
        <v>2024</v>
      </c>
      <c r="E2858" t="s">
        <v>8014</v>
      </c>
      <c r="F2858" t="s">
        <v>8015</v>
      </c>
      <c r="G2858">
        <v>1</v>
      </c>
      <c r="H2858">
        <v>1565</v>
      </c>
      <c r="I2858">
        <v>3</v>
      </c>
      <c r="J2858">
        <v>10.5</v>
      </c>
      <c r="K2858">
        <v>2</v>
      </c>
      <c r="L2858">
        <v>0.13</v>
      </c>
      <c r="M2858">
        <v>1</v>
      </c>
      <c r="N2858">
        <v>74</v>
      </c>
      <c r="O2858">
        <v>3</v>
      </c>
      <c r="P2858">
        <v>0.55000000000000004</v>
      </c>
      <c r="Q2858">
        <v>2</v>
      </c>
      <c r="R2858">
        <v>5.8999999999999999E-3</v>
      </c>
      <c r="T2858" t="s">
        <v>8014</v>
      </c>
    </row>
    <row r="2859" spans="1:20" x14ac:dyDescent="0.2">
      <c r="A2859" t="s">
        <v>8017</v>
      </c>
      <c r="B2859" t="s">
        <v>2022</v>
      </c>
      <c r="C2859" t="s">
        <v>2023</v>
      </c>
      <c r="D2859" t="s">
        <v>2024</v>
      </c>
      <c r="E2859" t="s">
        <v>8018</v>
      </c>
      <c r="F2859" t="s">
        <v>8019</v>
      </c>
      <c r="G2859">
        <v>2</v>
      </c>
      <c r="H2859">
        <v>1560</v>
      </c>
      <c r="I2859">
        <v>2</v>
      </c>
      <c r="J2859">
        <v>3.4</v>
      </c>
      <c r="K2859">
        <v>3</v>
      </c>
      <c r="L2859">
        <v>4.5999999999999999E-2</v>
      </c>
      <c r="M2859">
        <v>2</v>
      </c>
      <c r="N2859">
        <v>84</v>
      </c>
      <c r="O2859">
        <v>2</v>
      </c>
      <c r="P2859">
        <v>0.22500000000000001</v>
      </c>
      <c r="Q2859">
        <v>2</v>
      </c>
      <c r="R2859">
        <v>2E-3</v>
      </c>
      <c r="T2859" t="s">
        <v>8018</v>
      </c>
    </row>
    <row r="2860" spans="1:20" x14ac:dyDescent="0.2">
      <c r="A2860" t="s">
        <v>8020</v>
      </c>
      <c r="B2860" t="s">
        <v>2022</v>
      </c>
      <c r="C2860" t="s">
        <v>2023</v>
      </c>
      <c r="D2860" t="s">
        <v>2024</v>
      </c>
      <c r="E2860" t="s">
        <v>8021</v>
      </c>
      <c r="F2860" t="s">
        <v>8022</v>
      </c>
      <c r="G2860">
        <v>4</v>
      </c>
      <c r="H2860">
        <v>1720</v>
      </c>
      <c r="I2860">
        <v>3</v>
      </c>
      <c r="J2860">
        <v>5.9</v>
      </c>
      <c r="K2860">
        <v>5</v>
      </c>
      <c r="L2860">
        <v>8.5999999999999993E-2</v>
      </c>
      <c r="M2860">
        <v>3</v>
      </c>
      <c r="N2860">
        <v>94</v>
      </c>
      <c r="O2860">
        <v>3</v>
      </c>
      <c r="P2860">
        <v>0.375</v>
      </c>
      <c r="Q2860">
        <v>5</v>
      </c>
      <c r="R2860">
        <v>8.0000000000000002E-3</v>
      </c>
      <c r="T2860" t="s">
        <v>8021</v>
      </c>
    </row>
    <row r="2861" spans="1:20" x14ac:dyDescent="0.2">
      <c r="A2861" t="s">
        <v>8023</v>
      </c>
      <c r="B2861" t="s">
        <v>2022</v>
      </c>
      <c r="C2861" t="s">
        <v>2104</v>
      </c>
      <c r="D2861" t="s">
        <v>2024</v>
      </c>
      <c r="E2861" t="s">
        <v>8024</v>
      </c>
      <c r="F2861" t="s">
        <v>8025</v>
      </c>
      <c r="G2861">
        <v>2</v>
      </c>
      <c r="H2861">
        <v>1712.5</v>
      </c>
      <c r="I2861">
        <v>3</v>
      </c>
      <c r="J2861">
        <v>5.55</v>
      </c>
      <c r="K2861">
        <v>4</v>
      </c>
      <c r="L2861">
        <v>0.14099999999999999</v>
      </c>
      <c r="M2861">
        <v>2</v>
      </c>
      <c r="N2861">
        <v>65</v>
      </c>
      <c r="P2861">
        <v>0</v>
      </c>
      <c r="Q2861">
        <v>2</v>
      </c>
      <c r="R2861">
        <v>3.2000000000000002E-3</v>
      </c>
      <c r="T2861" t="s">
        <v>8024</v>
      </c>
    </row>
    <row r="2862" spans="1:20" x14ac:dyDescent="0.2">
      <c r="A2862" t="s">
        <v>8026</v>
      </c>
      <c r="B2862" t="s">
        <v>2022</v>
      </c>
      <c r="C2862" t="s">
        <v>2095</v>
      </c>
      <c r="D2862" t="s">
        <v>2024</v>
      </c>
      <c r="E2862" t="s">
        <v>8027</v>
      </c>
      <c r="F2862" t="s">
        <v>8028</v>
      </c>
      <c r="G2862">
        <v>4</v>
      </c>
      <c r="H2862">
        <v>1835</v>
      </c>
      <c r="I2862">
        <v>4</v>
      </c>
      <c r="J2862">
        <v>13.5</v>
      </c>
      <c r="K2862">
        <v>3</v>
      </c>
      <c r="L2862">
        <v>0.33</v>
      </c>
      <c r="M2862">
        <v>3</v>
      </c>
      <c r="N2862">
        <v>86</v>
      </c>
      <c r="O2862">
        <v>3</v>
      </c>
      <c r="P2862">
        <v>0.55000000000000004</v>
      </c>
      <c r="Q2862">
        <v>3</v>
      </c>
      <c r="R2862">
        <v>1.49E-2</v>
      </c>
      <c r="T2862" t="s">
        <v>8027</v>
      </c>
    </row>
    <row r="2863" spans="1:20" x14ac:dyDescent="0.2">
      <c r="A2863" t="s">
        <v>8029</v>
      </c>
      <c r="B2863" t="s">
        <v>2022</v>
      </c>
      <c r="C2863" t="s">
        <v>2036</v>
      </c>
      <c r="D2863" t="s">
        <v>2024</v>
      </c>
      <c r="E2863" t="s">
        <v>8030</v>
      </c>
      <c r="F2863" t="s">
        <v>8031</v>
      </c>
      <c r="G2863">
        <v>3</v>
      </c>
      <c r="H2863">
        <v>1740</v>
      </c>
      <c r="I2863">
        <v>3</v>
      </c>
      <c r="J2863">
        <v>4.5999999999999996</v>
      </c>
      <c r="K2863">
        <v>3</v>
      </c>
      <c r="L2863">
        <v>0.115</v>
      </c>
      <c r="M2863">
        <v>3</v>
      </c>
      <c r="N2863">
        <v>88</v>
      </c>
      <c r="O2863">
        <v>2</v>
      </c>
      <c r="P2863">
        <v>0.20499999999999999</v>
      </c>
      <c r="Q2863">
        <v>2</v>
      </c>
      <c r="R2863">
        <v>4.2500000000000003E-3</v>
      </c>
      <c r="T2863" t="s">
        <v>8030</v>
      </c>
    </row>
    <row r="2864" spans="1:20" x14ac:dyDescent="0.2">
      <c r="A2864" t="s">
        <v>8032</v>
      </c>
      <c r="B2864" t="s">
        <v>2022</v>
      </c>
      <c r="C2864" t="s">
        <v>2049</v>
      </c>
      <c r="D2864" t="s">
        <v>2136</v>
      </c>
      <c r="E2864" t="s">
        <v>8033</v>
      </c>
      <c r="F2864" t="s">
        <v>447</v>
      </c>
      <c r="G2864">
        <v>1</v>
      </c>
      <c r="H2864">
        <v>1350</v>
      </c>
      <c r="I2864">
        <v>2</v>
      </c>
      <c r="J2864">
        <v>3.2</v>
      </c>
      <c r="K2864">
        <v>2</v>
      </c>
      <c r="L2864">
        <v>0.06</v>
      </c>
      <c r="M2864">
        <v>5</v>
      </c>
      <c r="N2864">
        <v>166</v>
      </c>
      <c r="O2864">
        <v>3</v>
      </c>
      <c r="P2864">
        <v>0.46</v>
      </c>
      <c r="Q2864">
        <v>2</v>
      </c>
      <c r="R2864">
        <v>6.1999999999999998E-3</v>
      </c>
      <c r="T2864" t="s">
        <v>8033</v>
      </c>
    </row>
    <row r="2865" spans="1:20" x14ac:dyDescent="0.2">
      <c r="A2865" t="s">
        <v>8034</v>
      </c>
      <c r="B2865" t="s">
        <v>2022</v>
      </c>
      <c r="C2865" t="s">
        <v>2023</v>
      </c>
      <c r="D2865" t="s">
        <v>2024</v>
      </c>
      <c r="E2865" t="s">
        <v>8035</v>
      </c>
      <c r="F2865" t="s">
        <v>8036</v>
      </c>
      <c r="G2865">
        <v>5</v>
      </c>
      <c r="H2865">
        <v>1800</v>
      </c>
      <c r="I2865">
        <v>3</v>
      </c>
      <c r="J2865">
        <v>5.9</v>
      </c>
      <c r="K2865">
        <v>5</v>
      </c>
      <c r="L2865">
        <v>8.5999999999999993E-2</v>
      </c>
      <c r="M2865">
        <v>3</v>
      </c>
      <c r="N2865">
        <v>94</v>
      </c>
      <c r="O2865">
        <v>2</v>
      </c>
      <c r="P2865">
        <v>0.22500000000000001</v>
      </c>
      <c r="Q2865">
        <v>3</v>
      </c>
      <c r="R2865">
        <v>4.0000000000000001E-3</v>
      </c>
      <c r="T2865" t="s">
        <v>8035</v>
      </c>
    </row>
    <row r="2866" spans="1:20" x14ac:dyDescent="0.2">
      <c r="A2866" t="s">
        <v>8037</v>
      </c>
      <c r="B2866" t="s">
        <v>2022</v>
      </c>
      <c r="C2866" t="s">
        <v>2023</v>
      </c>
      <c r="D2866" t="s">
        <v>2024</v>
      </c>
      <c r="E2866" t="s">
        <v>8038</v>
      </c>
      <c r="F2866" t="s">
        <v>8039</v>
      </c>
      <c r="G2866">
        <v>5</v>
      </c>
      <c r="H2866">
        <v>1800</v>
      </c>
      <c r="I2866">
        <v>4</v>
      </c>
      <c r="J2866">
        <v>8.4</v>
      </c>
      <c r="K2866">
        <v>5</v>
      </c>
      <c r="L2866">
        <v>8.5999999999999993E-2</v>
      </c>
      <c r="M2866">
        <v>5</v>
      </c>
      <c r="N2866">
        <v>114</v>
      </c>
      <c r="O2866">
        <v>5</v>
      </c>
      <c r="P2866">
        <v>0.67500000000000004</v>
      </c>
      <c r="Q2866">
        <v>5</v>
      </c>
      <c r="R2866">
        <v>8.0000000000000002E-3</v>
      </c>
      <c r="T2866" t="s">
        <v>8038</v>
      </c>
    </row>
    <row r="2867" spans="1:20" x14ac:dyDescent="0.2">
      <c r="A2867" t="s">
        <v>8040</v>
      </c>
      <c r="B2867" t="s">
        <v>2022</v>
      </c>
      <c r="C2867" t="s">
        <v>2036</v>
      </c>
      <c r="D2867" t="s">
        <v>2024</v>
      </c>
      <c r="E2867" t="s">
        <v>8041</v>
      </c>
      <c r="F2867" t="s">
        <v>8042</v>
      </c>
      <c r="G2867">
        <v>4</v>
      </c>
      <c r="H2867">
        <v>1840</v>
      </c>
      <c r="I2867">
        <v>5</v>
      </c>
      <c r="J2867">
        <v>7</v>
      </c>
      <c r="K2867">
        <v>5</v>
      </c>
      <c r="L2867">
        <v>0.17499999999999999</v>
      </c>
      <c r="M2867">
        <v>4</v>
      </c>
      <c r="N2867">
        <v>94</v>
      </c>
      <c r="O2867">
        <v>4</v>
      </c>
      <c r="P2867">
        <v>0.42499999999999999</v>
      </c>
      <c r="Q2867">
        <v>4</v>
      </c>
      <c r="R2867">
        <v>9.2499999999999995E-3</v>
      </c>
      <c r="T2867" t="s">
        <v>8041</v>
      </c>
    </row>
    <row r="2868" spans="1:20" x14ac:dyDescent="0.2">
      <c r="A2868" t="s">
        <v>8043</v>
      </c>
      <c r="B2868" t="s">
        <v>2022</v>
      </c>
      <c r="C2868" t="s">
        <v>2023</v>
      </c>
      <c r="D2868" t="s">
        <v>2024</v>
      </c>
      <c r="E2868" t="s">
        <v>8044</v>
      </c>
      <c r="F2868" t="s">
        <v>8045</v>
      </c>
      <c r="G2868">
        <v>1</v>
      </c>
      <c r="H2868">
        <v>1480</v>
      </c>
      <c r="I2868">
        <v>2</v>
      </c>
      <c r="J2868">
        <v>3.4</v>
      </c>
      <c r="K2868">
        <v>5</v>
      </c>
      <c r="L2868">
        <v>8.5999999999999993E-2</v>
      </c>
      <c r="M2868">
        <v>5</v>
      </c>
      <c r="N2868">
        <v>114</v>
      </c>
      <c r="O2868">
        <v>3</v>
      </c>
      <c r="P2868">
        <v>0.375</v>
      </c>
      <c r="Q2868">
        <v>5</v>
      </c>
      <c r="R2868">
        <v>8.0000000000000002E-3</v>
      </c>
      <c r="T2868" t="s">
        <v>8044</v>
      </c>
    </row>
    <row r="2869" spans="1:20" x14ac:dyDescent="0.2">
      <c r="A2869" t="s">
        <v>8046</v>
      </c>
      <c r="B2869" t="s">
        <v>2022</v>
      </c>
      <c r="C2869" t="s">
        <v>2095</v>
      </c>
      <c r="D2869" t="s">
        <v>2024</v>
      </c>
      <c r="E2869" t="s">
        <v>8047</v>
      </c>
      <c r="F2869" t="s">
        <v>8048</v>
      </c>
      <c r="G2869">
        <v>1</v>
      </c>
      <c r="H2869">
        <v>1565</v>
      </c>
      <c r="I2869">
        <v>4</v>
      </c>
      <c r="J2869">
        <v>13.5</v>
      </c>
      <c r="K2869">
        <v>3</v>
      </c>
      <c r="L2869">
        <v>0.33</v>
      </c>
      <c r="M2869">
        <v>3</v>
      </c>
      <c r="N2869">
        <v>86</v>
      </c>
      <c r="O2869">
        <v>4</v>
      </c>
      <c r="P2869">
        <v>0.75</v>
      </c>
      <c r="Q2869">
        <v>4</v>
      </c>
      <c r="R2869">
        <v>2.3900000000000001E-2</v>
      </c>
      <c r="T2869" t="s">
        <v>8047</v>
      </c>
    </row>
    <row r="2870" spans="1:20" x14ac:dyDescent="0.2">
      <c r="A2870" t="s">
        <v>8049</v>
      </c>
      <c r="B2870" t="s">
        <v>2022</v>
      </c>
      <c r="C2870" t="s">
        <v>2036</v>
      </c>
      <c r="D2870" t="s">
        <v>2024</v>
      </c>
      <c r="E2870" t="s">
        <v>8050</v>
      </c>
      <c r="F2870" t="s">
        <v>8051</v>
      </c>
      <c r="G2870">
        <v>2</v>
      </c>
      <c r="H2870">
        <v>1640</v>
      </c>
      <c r="I2870">
        <v>1</v>
      </c>
      <c r="J2870">
        <v>2.2000000000000002</v>
      </c>
      <c r="K2870">
        <v>2</v>
      </c>
      <c r="L2870">
        <v>8.5000000000000006E-2</v>
      </c>
      <c r="M2870">
        <v>3</v>
      </c>
      <c r="N2870">
        <v>88</v>
      </c>
      <c r="O2870">
        <v>1</v>
      </c>
      <c r="P2870">
        <v>9.5000000000000001E-2</v>
      </c>
      <c r="Q2870">
        <v>2</v>
      </c>
      <c r="R2870">
        <v>4.2500000000000003E-3</v>
      </c>
      <c r="T2870" t="s">
        <v>8050</v>
      </c>
    </row>
    <row r="2871" spans="1:20" x14ac:dyDescent="0.2">
      <c r="A2871" t="s">
        <v>8052</v>
      </c>
      <c r="B2871" t="s">
        <v>2022</v>
      </c>
      <c r="C2871" t="s">
        <v>2049</v>
      </c>
      <c r="D2871" t="s">
        <v>2024</v>
      </c>
      <c r="E2871" t="s">
        <v>8053</v>
      </c>
      <c r="F2871" t="s">
        <v>8054</v>
      </c>
      <c r="G2871">
        <v>5</v>
      </c>
      <c r="H2871">
        <v>1750</v>
      </c>
      <c r="I2871">
        <v>5</v>
      </c>
      <c r="J2871">
        <v>8.6</v>
      </c>
      <c r="K2871">
        <v>5</v>
      </c>
      <c r="L2871">
        <v>0.3</v>
      </c>
      <c r="M2871">
        <v>2</v>
      </c>
      <c r="N2871">
        <v>106</v>
      </c>
      <c r="O2871">
        <v>5</v>
      </c>
      <c r="P2871">
        <v>0.86</v>
      </c>
      <c r="Q2871">
        <v>4</v>
      </c>
      <c r="R2871">
        <v>2.4199999999999999E-2</v>
      </c>
      <c r="T2871" t="s">
        <v>8053</v>
      </c>
    </row>
    <row r="2872" spans="1:20" x14ac:dyDescent="0.2">
      <c r="A2872" t="s">
        <v>8055</v>
      </c>
      <c r="B2872" t="s">
        <v>2022</v>
      </c>
      <c r="C2872" t="s">
        <v>2023</v>
      </c>
      <c r="D2872" t="s">
        <v>2024</v>
      </c>
      <c r="E2872" t="s">
        <v>8056</v>
      </c>
      <c r="F2872" t="s">
        <v>8057</v>
      </c>
      <c r="G2872">
        <v>5</v>
      </c>
      <c r="H2872">
        <v>1800</v>
      </c>
      <c r="I2872">
        <v>4</v>
      </c>
      <c r="J2872">
        <v>8.4</v>
      </c>
      <c r="K2872">
        <v>5</v>
      </c>
      <c r="L2872">
        <v>8.5999999999999993E-2</v>
      </c>
      <c r="M2872">
        <v>4</v>
      </c>
      <c r="N2872">
        <v>104</v>
      </c>
      <c r="O2872">
        <v>4</v>
      </c>
      <c r="P2872">
        <v>0.52500000000000002</v>
      </c>
      <c r="Q2872">
        <v>5</v>
      </c>
      <c r="R2872">
        <v>8.0000000000000002E-3</v>
      </c>
      <c r="T2872" t="s">
        <v>8056</v>
      </c>
    </row>
    <row r="2873" spans="1:20" x14ac:dyDescent="0.2">
      <c r="A2873" t="s">
        <v>8058</v>
      </c>
      <c r="B2873" t="s">
        <v>2022</v>
      </c>
      <c r="C2873" t="s">
        <v>2023</v>
      </c>
      <c r="D2873" t="s">
        <v>2024</v>
      </c>
      <c r="E2873" t="s">
        <v>8059</v>
      </c>
      <c r="F2873" t="s">
        <v>447</v>
      </c>
      <c r="G2873">
        <v>1</v>
      </c>
      <c r="H2873">
        <v>1480</v>
      </c>
      <c r="I2873">
        <v>2</v>
      </c>
      <c r="J2873">
        <v>3.4</v>
      </c>
      <c r="K2873">
        <v>3</v>
      </c>
      <c r="L2873">
        <v>4.5999999999999999E-2</v>
      </c>
      <c r="M2873">
        <v>3</v>
      </c>
      <c r="N2873">
        <v>94</v>
      </c>
      <c r="O2873">
        <v>2</v>
      </c>
      <c r="P2873">
        <v>0.22500000000000001</v>
      </c>
      <c r="Q2873">
        <v>3</v>
      </c>
      <c r="R2873">
        <v>4.0000000000000001E-3</v>
      </c>
      <c r="T2873" t="s">
        <v>8059</v>
      </c>
    </row>
    <row r="2874" spans="1:20" x14ac:dyDescent="0.2">
      <c r="A2874" t="s">
        <v>8060</v>
      </c>
      <c r="B2874" t="s">
        <v>2022</v>
      </c>
      <c r="C2874" t="s">
        <v>2023</v>
      </c>
      <c r="D2874" t="s">
        <v>2024</v>
      </c>
      <c r="E2874" t="s">
        <v>8061</v>
      </c>
      <c r="F2874" t="s">
        <v>8062</v>
      </c>
      <c r="G2874">
        <v>3</v>
      </c>
      <c r="H2874">
        <v>1640</v>
      </c>
      <c r="I2874">
        <v>5</v>
      </c>
      <c r="J2874">
        <v>10.9</v>
      </c>
      <c r="K2874">
        <v>5</v>
      </c>
      <c r="L2874">
        <v>8.5999999999999993E-2</v>
      </c>
      <c r="M2874">
        <v>1</v>
      </c>
      <c r="N2874">
        <v>74</v>
      </c>
      <c r="O2874">
        <v>4</v>
      </c>
      <c r="P2874">
        <v>0.52500000000000002</v>
      </c>
      <c r="Q2874">
        <v>5</v>
      </c>
      <c r="R2874">
        <v>8.0000000000000002E-3</v>
      </c>
      <c r="T2874" t="s">
        <v>8061</v>
      </c>
    </row>
    <row r="2875" spans="1:20" x14ac:dyDescent="0.2">
      <c r="A2875" t="s">
        <v>8063</v>
      </c>
      <c r="B2875" t="s">
        <v>2022</v>
      </c>
      <c r="C2875" t="s">
        <v>2023</v>
      </c>
      <c r="D2875" t="s">
        <v>2024</v>
      </c>
      <c r="E2875" t="s">
        <v>8064</v>
      </c>
      <c r="F2875" t="s">
        <v>8065</v>
      </c>
      <c r="G2875">
        <v>3</v>
      </c>
      <c r="H2875">
        <v>1640</v>
      </c>
      <c r="I2875">
        <v>3</v>
      </c>
      <c r="J2875">
        <v>5.9</v>
      </c>
      <c r="K2875">
        <v>5</v>
      </c>
      <c r="L2875">
        <v>8.5999999999999993E-2</v>
      </c>
      <c r="M2875">
        <v>4</v>
      </c>
      <c r="N2875">
        <v>104</v>
      </c>
      <c r="O2875">
        <v>4</v>
      </c>
      <c r="P2875">
        <v>0.52500000000000002</v>
      </c>
      <c r="Q2875">
        <v>5</v>
      </c>
      <c r="R2875">
        <v>8.0000000000000002E-3</v>
      </c>
      <c r="T2875" t="s">
        <v>8064</v>
      </c>
    </row>
    <row r="2876" spans="1:20" x14ac:dyDescent="0.2">
      <c r="A2876" t="s">
        <v>8066</v>
      </c>
      <c r="B2876" t="s">
        <v>2022</v>
      </c>
      <c r="C2876" t="s">
        <v>2023</v>
      </c>
      <c r="D2876" t="s">
        <v>2024</v>
      </c>
      <c r="E2876" t="s">
        <v>8067</v>
      </c>
      <c r="F2876" t="s">
        <v>8068</v>
      </c>
      <c r="G2876">
        <v>3</v>
      </c>
      <c r="H2876">
        <v>1640</v>
      </c>
      <c r="I2876">
        <v>1</v>
      </c>
      <c r="J2876">
        <v>0.9</v>
      </c>
      <c r="K2876">
        <v>1</v>
      </c>
      <c r="L2876">
        <v>6.0000000000000001E-3</v>
      </c>
      <c r="M2876">
        <v>1</v>
      </c>
      <c r="N2876">
        <v>74</v>
      </c>
      <c r="O2876">
        <v>1</v>
      </c>
      <c r="P2876">
        <v>7.4999999999999997E-2</v>
      </c>
      <c r="Q2876">
        <v>1</v>
      </c>
      <c r="R2876">
        <v>5.0000000000000001E-4</v>
      </c>
      <c r="T2876" t="s">
        <v>8067</v>
      </c>
    </row>
    <row r="2877" spans="1:20" x14ac:dyDescent="0.2">
      <c r="A2877" t="s">
        <v>8069</v>
      </c>
      <c r="B2877" t="s">
        <v>2022</v>
      </c>
      <c r="C2877" t="s">
        <v>2023</v>
      </c>
      <c r="D2877" t="s">
        <v>2024</v>
      </c>
      <c r="E2877" t="s">
        <v>8070</v>
      </c>
      <c r="F2877" t="s">
        <v>8071</v>
      </c>
      <c r="G2877">
        <v>3</v>
      </c>
      <c r="H2877">
        <v>1640</v>
      </c>
      <c r="I2877">
        <v>2</v>
      </c>
      <c r="J2877">
        <v>3.4</v>
      </c>
      <c r="K2877">
        <v>2</v>
      </c>
      <c r="L2877">
        <v>2.5999999999999999E-2</v>
      </c>
      <c r="M2877">
        <v>2</v>
      </c>
      <c r="N2877">
        <v>84</v>
      </c>
      <c r="O2877">
        <v>1</v>
      </c>
      <c r="P2877">
        <v>7.4999999999999997E-2</v>
      </c>
      <c r="Q2877">
        <v>1</v>
      </c>
      <c r="R2877">
        <v>5.0000000000000001E-4</v>
      </c>
      <c r="T2877" t="s">
        <v>8070</v>
      </c>
    </row>
    <row r="2878" spans="1:20" x14ac:dyDescent="0.2">
      <c r="A2878" t="s">
        <v>8072</v>
      </c>
      <c r="B2878" t="s">
        <v>2022</v>
      </c>
      <c r="C2878" t="s">
        <v>2023</v>
      </c>
      <c r="D2878" t="s">
        <v>2024</v>
      </c>
      <c r="E2878" t="s">
        <v>8073</v>
      </c>
      <c r="F2878" t="s">
        <v>8074</v>
      </c>
      <c r="G2878">
        <v>3</v>
      </c>
      <c r="H2878">
        <v>1640</v>
      </c>
      <c r="I2878">
        <v>1</v>
      </c>
      <c r="J2878">
        <v>0.9</v>
      </c>
      <c r="K2878">
        <v>1</v>
      </c>
      <c r="L2878">
        <v>6.0000000000000001E-3</v>
      </c>
      <c r="M2878">
        <v>5</v>
      </c>
      <c r="N2878">
        <v>114</v>
      </c>
      <c r="O2878">
        <v>1</v>
      </c>
      <c r="P2878">
        <v>7.4999999999999997E-2</v>
      </c>
      <c r="Q2878">
        <v>1</v>
      </c>
      <c r="R2878">
        <v>5.0000000000000001E-4</v>
      </c>
      <c r="T2878" t="s">
        <v>8073</v>
      </c>
    </row>
    <row r="2879" spans="1:20" x14ac:dyDescent="0.2">
      <c r="A2879" t="s">
        <v>8075</v>
      </c>
      <c r="B2879" t="s">
        <v>2022</v>
      </c>
      <c r="C2879" t="s">
        <v>2049</v>
      </c>
      <c r="D2879" t="s">
        <v>2024</v>
      </c>
      <c r="E2879" t="s">
        <v>8076</v>
      </c>
      <c r="F2879" t="s">
        <v>8077</v>
      </c>
      <c r="G2879">
        <v>1</v>
      </c>
      <c r="H2879">
        <v>1350</v>
      </c>
      <c r="I2879">
        <v>3</v>
      </c>
      <c r="J2879">
        <v>5</v>
      </c>
      <c r="K2879">
        <v>3</v>
      </c>
      <c r="L2879">
        <v>0.14000000000000001</v>
      </c>
      <c r="M2879">
        <v>3</v>
      </c>
      <c r="N2879">
        <v>126</v>
      </c>
      <c r="O2879">
        <v>3</v>
      </c>
      <c r="P2879">
        <v>0.46</v>
      </c>
      <c r="Q2879">
        <v>3</v>
      </c>
      <c r="R2879">
        <v>1.52E-2</v>
      </c>
      <c r="T2879" t="s">
        <v>8076</v>
      </c>
    </row>
    <row r="2880" spans="1:20" x14ac:dyDescent="0.2">
      <c r="A2880" t="s">
        <v>8078</v>
      </c>
      <c r="B2880" t="s">
        <v>2022</v>
      </c>
      <c r="C2880" t="s">
        <v>2023</v>
      </c>
      <c r="D2880" t="s">
        <v>2024</v>
      </c>
      <c r="E2880" t="s">
        <v>8079</v>
      </c>
      <c r="F2880" t="s">
        <v>8080</v>
      </c>
      <c r="G2880">
        <v>4</v>
      </c>
      <c r="H2880">
        <v>1720</v>
      </c>
      <c r="I2880">
        <v>4</v>
      </c>
      <c r="J2880">
        <v>8.4</v>
      </c>
      <c r="K2880">
        <v>5</v>
      </c>
      <c r="L2880">
        <v>8.5999999999999993E-2</v>
      </c>
      <c r="M2880">
        <v>2</v>
      </c>
      <c r="N2880">
        <v>84</v>
      </c>
      <c r="O2880">
        <v>3</v>
      </c>
      <c r="P2880">
        <v>0.375</v>
      </c>
      <c r="Q2880">
        <v>5</v>
      </c>
      <c r="R2880">
        <v>8.0000000000000002E-3</v>
      </c>
      <c r="T2880" t="s">
        <v>8079</v>
      </c>
    </row>
    <row r="2881" spans="1:20" x14ac:dyDescent="0.2">
      <c r="A2881" t="s">
        <v>8081</v>
      </c>
      <c r="B2881" t="s">
        <v>2022</v>
      </c>
      <c r="C2881" t="s">
        <v>2023</v>
      </c>
      <c r="D2881" t="s">
        <v>2024</v>
      </c>
      <c r="E2881" t="s">
        <v>8082</v>
      </c>
      <c r="F2881" t="s">
        <v>8083</v>
      </c>
      <c r="G2881">
        <v>5</v>
      </c>
      <c r="H2881">
        <v>1800</v>
      </c>
      <c r="I2881">
        <v>5</v>
      </c>
      <c r="J2881">
        <v>10.9</v>
      </c>
      <c r="K2881">
        <v>5</v>
      </c>
      <c r="L2881">
        <v>8.5999999999999993E-2</v>
      </c>
      <c r="M2881">
        <v>2</v>
      </c>
      <c r="N2881">
        <v>84</v>
      </c>
      <c r="O2881">
        <v>3</v>
      </c>
      <c r="P2881">
        <v>0.375</v>
      </c>
      <c r="Q2881">
        <v>5</v>
      </c>
      <c r="R2881">
        <v>8.0000000000000002E-3</v>
      </c>
      <c r="T2881" t="s">
        <v>8082</v>
      </c>
    </row>
    <row r="2882" spans="1:20" x14ac:dyDescent="0.2">
      <c r="A2882" t="s">
        <v>8084</v>
      </c>
      <c r="B2882" t="s">
        <v>2022</v>
      </c>
      <c r="C2882" t="s">
        <v>2049</v>
      </c>
      <c r="D2882" t="s">
        <v>2024</v>
      </c>
      <c r="E2882" t="s">
        <v>8085</v>
      </c>
      <c r="F2882" t="s">
        <v>447</v>
      </c>
      <c r="G2882">
        <v>3</v>
      </c>
      <c r="H2882">
        <v>1550</v>
      </c>
      <c r="I2882">
        <v>5</v>
      </c>
      <c r="J2882">
        <v>8.6</v>
      </c>
      <c r="K2882">
        <v>5</v>
      </c>
      <c r="L2882">
        <v>0.3</v>
      </c>
      <c r="M2882">
        <v>2</v>
      </c>
      <c r="N2882">
        <v>106</v>
      </c>
      <c r="O2882">
        <v>5</v>
      </c>
      <c r="P2882">
        <v>0.86</v>
      </c>
      <c r="Q2882">
        <v>5</v>
      </c>
      <c r="R2882">
        <v>3.32E-2</v>
      </c>
      <c r="T2882" t="s">
        <v>8085</v>
      </c>
    </row>
    <row r="2883" spans="1:20" x14ac:dyDescent="0.2">
      <c r="A2883" t="s">
        <v>8086</v>
      </c>
      <c r="B2883" t="s">
        <v>2022</v>
      </c>
      <c r="C2883" t="s">
        <v>2036</v>
      </c>
      <c r="D2883" t="s">
        <v>2024</v>
      </c>
      <c r="E2883" t="s">
        <v>8087</v>
      </c>
      <c r="F2883" t="s">
        <v>8088</v>
      </c>
      <c r="G2883">
        <v>3</v>
      </c>
      <c r="H2883">
        <v>1740</v>
      </c>
      <c r="I2883">
        <v>5</v>
      </c>
      <c r="J2883">
        <v>7</v>
      </c>
      <c r="K2883">
        <v>5</v>
      </c>
      <c r="L2883">
        <v>0.17499999999999999</v>
      </c>
      <c r="M2883">
        <v>4</v>
      </c>
      <c r="N2883">
        <v>94</v>
      </c>
      <c r="O2883">
        <v>4</v>
      </c>
      <c r="P2883">
        <v>0.42499999999999999</v>
      </c>
      <c r="Q2883">
        <v>5</v>
      </c>
      <c r="R2883">
        <v>1.2E-2</v>
      </c>
      <c r="T2883" t="s">
        <v>8087</v>
      </c>
    </row>
    <row r="2884" spans="1:20" x14ac:dyDescent="0.2">
      <c r="A2884" t="s">
        <v>8089</v>
      </c>
      <c r="B2884" t="s">
        <v>2022</v>
      </c>
      <c r="C2884" t="s">
        <v>2023</v>
      </c>
      <c r="D2884" t="s">
        <v>2024</v>
      </c>
      <c r="E2884" t="s">
        <v>357</v>
      </c>
      <c r="F2884" t="s">
        <v>447</v>
      </c>
      <c r="G2884">
        <v>2</v>
      </c>
      <c r="H2884">
        <v>1560</v>
      </c>
      <c r="I2884">
        <v>3</v>
      </c>
      <c r="J2884">
        <v>5.9</v>
      </c>
      <c r="K2884">
        <v>2</v>
      </c>
      <c r="L2884">
        <v>2.5999999999999999E-2</v>
      </c>
      <c r="M2884">
        <v>2</v>
      </c>
      <c r="N2884">
        <v>84</v>
      </c>
      <c r="O2884">
        <v>2</v>
      </c>
      <c r="P2884">
        <v>0.22500000000000001</v>
      </c>
      <c r="Q2884">
        <v>2</v>
      </c>
      <c r="R2884">
        <v>2E-3</v>
      </c>
      <c r="T2884" t="s">
        <v>357</v>
      </c>
    </row>
    <row r="2885" spans="1:20" x14ac:dyDescent="0.2">
      <c r="A2885" t="s">
        <v>8090</v>
      </c>
      <c r="B2885" t="s">
        <v>2022</v>
      </c>
      <c r="C2885" t="s">
        <v>2023</v>
      </c>
      <c r="D2885" t="s">
        <v>2024</v>
      </c>
      <c r="E2885" t="s">
        <v>8091</v>
      </c>
      <c r="F2885" t="s">
        <v>8092</v>
      </c>
      <c r="G2885">
        <v>2</v>
      </c>
      <c r="H2885">
        <v>1560</v>
      </c>
      <c r="I2885">
        <v>2</v>
      </c>
      <c r="J2885">
        <v>3.4</v>
      </c>
      <c r="K2885">
        <v>2</v>
      </c>
      <c r="L2885">
        <v>2.5999999999999999E-2</v>
      </c>
      <c r="M2885">
        <v>2</v>
      </c>
      <c r="N2885">
        <v>84</v>
      </c>
      <c r="O2885">
        <v>2</v>
      </c>
      <c r="P2885">
        <v>0.22500000000000001</v>
      </c>
      <c r="Q2885">
        <v>1</v>
      </c>
      <c r="R2885">
        <v>5.0000000000000001E-4</v>
      </c>
      <c r="T2885" t="s">
        <v>8091</v>
      </c>
    </row>
    <row r="2886" spans="1:20" x14ac:dyDescent="0.2">
      <c r="A2886" t="s">
        <v>8093</v>
      </c>
      <c r="B2886" t="s">
        <v>2022</v>
      </c>
      <c r="C2886" t="s">
        <v>2023</v>
      </c>
      <c r="D2886" t="s">
        <v>2154</v>
      </c>
      <c r="E2886" t="s">
        <v>8094</v>
      </c>
      <c r="F2886" t="s">
        <v>8095</v>
      </c>
      <c r="G2886">
        <v>5</v>
      </c>
      <c r="H2886">
        <v>1800</v>
      </c>
      <c r="I2886">
        <v>5</v>
      </c>
      <c r="J2886">
        <v>10.9</v>
      </c>
      <c r="K2886">
        <v>5</v>
      </c>
      <c r="L2886">
        <v>8.5999999999999993E-2</v>
      </c>
      <c r="M2886">
        <v>5</v>
      </c>
      <c r="N2886">
        <v>114</v>
      </c>
      <c r="O2886">
        <v>5</v>
      </c>
      <c r="P2886">
        <v>0.67500000000000004</v>
      </c>
      <c r="Q2886">
        <v>5</v>
      </c>
      <c r="R2886">
        <v>8.0000000000000002E-3</v>
      </c>
      <c r="T2886" t="s">
        <v>8094</v>
      </c>
    </row>
    <row r="2887" spans="1:20" x14ac:dyDescent="0.2">
      <c r="A2887" t="s">
        <v>8096</v>
      </c>
      <c r="B2887" t="s">
        <v>2022</v>
      </c>
      <c r="C2887" t="s">
        <v>2023</v>
      </c>
      <c r="D2887" t="s">
        <v>2024</v>
      </c>
      <c r="E2887" t="s">
        <v>8094</v>
      </c>
      <c r="F2887" t="s">
        <v>8095</v>
      </c>
      <c r="G2887">
        <v>3</v>
      </c>
      <c r="H2887">
        <v>1640</v>
      </c>
      <c r="I2887">
        <v>3</v>
      </c>
      <c r="J2887">
        <v>5.9</v>
      </c>
      <c r="K2887">
        <v>5</v>
      </c>
      <c r="L2887">
        <v>8.5999999999999993E-2</v>
      </c>
      <c r="M2887">
        <v>2</v>
      </c>
      <c r="N2887">
        <v>84</v>
      </c>
      <c r="O2887">
        <v>3</v>
      </c>
      <c r="P2887">
        <v>0.375</v>
      </c>
      <c r="Q2887">
        <v>5</v>
      </c>
      <c r="R2887">
        <v>8.0000000000000002E-3</v>
      </c>
      <c r="T2887" t="s">
        <v>8094</v>
      </c>
    </row>
    <row r="2888" spans="1:20" x14ac:dyDescent="0.2">
      <c r="A2888" t="s">
        <v>8097</v>
      </c>
      <c r="B2888" t="s">
        <v>2022</v>
      </c>
      <c r="C2888" t="s">
        <v>2101</v>
      </c>
      <c r="D2888" t="s">
        <v>2024</v>
      </c>
      <c r="E2888" t="s">
        <v>8098</v>
      </c>
      <c r="F2888" t="s">
        <v>8099</v>
      </c>
      <c r="G2888">
        <v>2</v>
      </c>
      <c r="H2888">
        <v>1670</v>
      </c>
      <c r="I2888">
        <v>2</v>
      </c>
      <c r="J2888">
        <v>5</v>
      </c>
      <c r="K2888">
        <v>2</v>
      </c>
      <c r="L2888">
        <v>9.6500000000000002E-2</v>
      </c>
      <c r="M2888">
        <v>2</v>
      </c>
      <c r="N2888">
        <v>74</v>
      </c>
      <c r="O2888">
        <v>2</v>
      </c>
      <c r="P2888">
        <v>0.22500000000000001</v>
      </c>
      <c r="Q2888">
        <v>2</v>
      </c>
      <c r="R2888">
        <v>4.4999999999999997E-3</v>
      </c>
      <c r="T2888" t="s">
        <v>8098</v>
      </c>
    </row>
    <row r="2889" spans="1:20" x14ac:dyDescent="0.2">
      <c r="A2889" t="s">
        <v>8100</v>
      </c>
      <c r="B2889" t="s">
        <v>2022</v>
      </c>
      <c r="C2889" t="s">
        <v>2053</v>
      </c>
      <c r="D2889" t="s">
        <v>2024</v>
      </c>
      <c r="E2889" t="s">
        <v>8101</v>
      </c>
      <c r="F2889" t="s">
        <v>8102</v>
      </c>
      <c r="G2889">
        <v>1</v>
      </c>
      <c r="H2889">
        <v>1500</v>
      </c>
      <c r="I2889">
        <v>1</v>
      </c>
      <c r="J2889">
        <v>1.55</v>
      </c>
      <c r="K2889">
        <v>1</v>
      </c>
      <c r="L2889">
        <v>1.4999999999999999E-2</v>
      </c>
      <c r="M2889">
        <v>5</v>
      </c>
      <c r="N2889">
        <v>113</v>
      </c>
      <c r="O2889">
        <v>4</v>
      </c>
      <c r="P2889">
        <v>0.52500000000000002</v>
      </c>
      <c r="Q2889">
        <v>2</v>
      </c>
      <c r="R2889">
        <v>5.1999999999999998E-3</v>
      </c>
      <c r="T2889" t="s">
        <v>8101</v>
      </c>
    </row>
    <row r="2890" spans="1:20" x14ac:dyDescent="0.2">
      <c r="A2890" t="s">
        <v>8103</v>
      </c>
      <c r="B2890" t="s">
        <v>2022</v>
      </c>
      <c r="C2890" t="s">
        <v>2028</v>
      </c>
      <c r="D2890" t="s">
        <v>2024</v>
      </c>
      <c r="E2890" t="s">
        <v>8104</v>
      </c>
      <c r="F2890" t="s">
        <v>8105</v>
      </c>
      <c r="G2890">
        <v>4</v>
      </c>
      <c r="H2890">
        <v>1250</v>
      </c>
      <c r="I2890">
        <v>4</v>
      </c>
      <c r="J2890">
        <v>4.95</v>
      </c>
      <c r="K2890">
        <v>2</v>
      </c>
      <c r="L2890">
        <v>4.4999999999999998E-2</v>
      </c>
      <c r="M2890">
        <v>3</v>
      </c>
      <c r="N2890">
        <v>300</v>
      </c>
      <c r="O2890">
        <v>4</v>
      </c>
      <c r="P2890">
        <v>1.05</v>
      </c>
      <c r="Q2890">
        <v>1</v>
      </c>
      <c r="R2890">
        <v>1.75E-3</v>
      </c>
      <c r="T2890" t="s">
        <v>8104</v>
      </c>
    </row>
    <row r="2891" spans="1:20" x14ac:dyDescent="0.2">
      <c r="A2891" t="s">
        <v>8106</v>
      </c>
      <c r="B2891" t="s">
        <v>2022</v>
      </c>
      <c r="C2891" t="s">
        <v>2101</v>
      </c>
      <c r="D2891" t="s">
        <v>2024</v>
      </c>
      <c r="E2891" t="s">
        <v>8107</v>
      </c>
      <c r="F2891" t="s">
        <v>8108</v>
      </c>
      <c r="G2891">
        <v>1</v>
      </c>
      <c r="H2891">
        <v>1570</v>
      </c>
      <c r="I2891">
        <v>1</v>
      </c>
      <c r="J2891">
        <v>2</v>
      </c>
      <c r="K2891">
        <v>1</v>
      </c>
      <c r="L2891">
        <v>1.15E-2</v>
      </c>
      <c r="M2891">
        <v>5</v>
      </c>
      <c r="N2891">
        <v>98</v>
      </c>
      <c r="O2891">
        <v>3</v>
      </c>
      <c r="P2891">
        <v>0.375</v>
      </c>
      <c r="Q2891">
        <v>2</v>
      </c>
      <c r="R2891">
        <v>4.4999999999999997E-3</v>
      </c>
      <c r="T2891" t="s">
        <v>8107</v>
      </c>
    </row>
    <row r="2892" spans="1:20" x14ac:dyDescent="0.2">
      <c r="A2892" t="s">
        <v>8109</v>
      </c>
      <c r="B2892" t="s">
        <v>2022</v>
      </c>
      <c r="C2892" t="s">
        <v>2053</v>
      </c>
      <c r="D2892" t="s">
        <v>2024</v>
      </c>
      <c r="E2892" t="s">
        <v>8110</v>
      </c>
      <c r="F2892" t="s">
        <v>8111</v>
      </c>
      <c r="G2892">
        <v>1</v>
      </c>
      <c r="H2892">
        <v>1500</v>
      </c>
      <c r="I2892">
        <v>2</v>
      </c>
      <c r="J2892">
        <v>4.05</v>
      </c>
      <c r="K2892">
        <v>2</v>
      </c>
      <c r="L2892">
        <v>8.5000000000000006E-2</v>
      </c>
      <c r="M2892">
        <v>1</v>
      </c>
      <c r="N2892">
        <v>73</v>
      </c>
      <c r="O2892">
        <v>2</v>
      </c>
      <c r="P2892">
        <v>0.22500000000000001</v>
      </c>
      <c r="Q2892">
        <v>2</v>
      </c>
      <c r="R2892">
        <v>5.1999999999999998E-3</v>
      </c>
      <c r="T2892" t="s">
        <v>8110</v>
      </c>
    </row>
    <row r="2893" spans="1:20" x14ac:dyDescent="0.2">
      <c r="A2893" t="s">
        <v>8112</v>
      </c>
      <c r="B2893" t="s">
        <v>2022</v>
      </c>
      <c r="C2893" t="s">
        <v>2023</v>
      </c>
      <c r="D2893" t="s">
        <v>2024</v>
      </c>
      <c r="E2893" t="s">
        <v>8113</v>
      </c>
      <c r="F2893" t="s">
        <v>8114</v>
      </c>
      <c r="G2893">
        <v>3</v>
      </c>
      <c r="H2893">
        <v>1640</v>
      </c>
      <c r="I2893">
        <v>2</v>
      </c>
      <c r="J2893">
        <v>3.4</v>
      </c>
      <c r="K2893">
        <v>2</v>
      </c>
      <c r="L2893">
        <v>2.5999999999999999E-2</v>
      </c>
      <c r="M2893">
        <v>5</v>
      </c>
      <c r="N2893">
        <v>114</v>
      </c>
      <c r="O2893">
        <v>2</v>
      </c>
      <c r="P2893">
        <v>0.22500000000000001</v>
      </c>
      <c r="Q2893">
        <v>2</v>
      </c>
      <c r="R2893">
        <v>2E-3</v>
      </c>
      <c r="T2893" t="s">
        <v>8113</v>
      </c>
    </row>
    <row r="2894" spans="1:20" x14ac:dyDescent="0.2">
      <c r="A2894" t="s">
        <v>8115</v>
      </c>
      <c r="B2894" t="s">
        <v>2022</v>
      </c>
      <c r="C2894" t="s">
        <v>2023</v>
      </c>
      <c r="D2894" t="s">
        <v>2024</v>
      </c>
      <c r="E2894" t="s">
        <v>8116</v>
      </c>
      <c r="F2894" t="s">
        <v>8117</v>
      </c>
      <c r="G2894">
        <v>4</v>
      </c>
      <c r="H2894">
        <v>1720</v>
      </c>
      <c r="I2894">
        <v>2</v>
      </c>
      <c r="J2894">
        <v>3.4</v>
      </c>
      <c r="K2894">
        <v>2</v>
      </c>
      <c r="L2894">
        <v>2.5999999999999999E-2</v>
      </c>
      <c r="M2894">
        <v>3</v>
      </c>
      <c r="N2894">
        <v>94</v>
      </c>
      <c r="O2894">
        <v>2</v>
      </c>
      <c r="P2894">
        <v>0.22500000000000001</v>
      </c>
      <c r="Q2894">
        <v>2</v>
      </c>
      <c r="R2894">
        <v>2E-3</v>
      </c>
      <c r="T2894" t="s">
        <v>8116</v>
      </c>
    </row>
    <row r="2895" spans="1:20" x14ac:dyDescent="0.2">
      <c r="A2895" t="s">
        <v>8118</v>
      </c>
      <c r="B2895" t="s">
        <v>2022</v>
      </c>
      <c r="C2895" t="s">
        <v>2023</v>
      </c>
      <c r="D2895" t="s">
        <v>2024</v>
      </c>
      <c r="E2895" t="s">
        <v>8119</v>
      </c>
      <c r="F2895" t="s">
        <v>8120</v>
      </c>
      <c r="G2895">
        <v>1</v>
      </c>
      <c r="H2895">
        <v>1480</v>
      </c>
      <c r="I2895">
        <v>2</v>
      </c>
      <c r="J2895">
        <v>3.4</v>
      </c>
      <c r="K2895">
        <v>2</v>
      </c>
      <c r="L2895">
        <v>2.5999999999999999E-2</v>
      </c>
      <c r="M2895">
        <v>2</v>
      </c>
      <c r="N2895">
        <v>84</v>
      </c>
      <c r="O2895">
        <v>2</v>
      </c>
      <c r="P2895">
        <v>0.22500000000000001</v>
      </c>
      <c r="Q2895">
        <v>2</v>
      </c>
      <c r="R2895">
        <v>2E-3</v>
      </c>
      <c r="T2895" t="s">
        <v>8119</v>
      </c>
    </row>
    <row r="2896" spans="1:20" x14ac:dyDescent="0.2">
      <c r="A2896" t="s">
        <v>8121</v>
      </c>
      <c r="B2896" t="s">
        <v>2022</v>
      </c>
      <c r="C2896" t="s">
        <v>2036</v>
      </c>
      <c r="D2896" t="s">
        <v>2024</v>
      </c>
      <c r="E2896" t="s">
        <v>8122</v>
      </c>
      <c r="F2896" t="s">
        <v>8123</v>
      </c>
      <c r="G2896">
        <v>2</v>
      </c>
      <c r="H2896">
        <v>1640</v>
      </c>
      <c r="I2896">
        <v>2</v>
      </c>
      <c r="J2896">
        <v>3.4</v>
      </c>
      <c r="K2896">
        <v>1</v>
      </c>
      <c r="L2896">
        <v>5.5E-2</v>
      </c>
      <c r="M2896">
        <v>5</v>
      </c>
      <c r="N2896">
        <v>100</v>
      </c>
      <c r="O2896">
        <v>3</v>
      </c>
      <c r="P2896">
        <v>0.315</v>
      </c>
      <c r="Q2896">
        <v>2</v>
      </c>
      <c r="R2896">
        <v>4.2500000000000003E-3</v>
      </c>
      <c r="T2896" t="s">
        <v>8122</v>
      </c>
    </row>
    <row r="2897" spans="1:20" x14ac:dyDescent="0.2">
      <c r="A2897" t="s">
        <v>8124</v>
      </c>
      <c r="B2897" t="s">
        <v>2022</v>
      </c>
      <c r="C2897" t="s">
        <v>2049</v>
      </c>
      <c r="D2897" t="s">
        <v>2024</v>
      </c>
      <c r="E2897" t="s">
        <v>8125</v>
      </c>
      <c r="F2897" t="s">
        <v>8126</v>
      </c>
      <c r="G2897">
        <v>3</v>
      </c>
      <c r="H2897">
        <v>1550</v>
      </c>
      <c r="I2897">
        <v>5</v>
      </c>
      <c r="J2897">
        <v>8.6</v>
      </c>
      <c r="K2897">
        <v>5</v>
      </c>
      <c r="L2897">
        <v>0.3</v>
      </c>
      <c r="M2897">
        <v>5</v>
      </c>
      <c r="N2897">
        <v>166</v>
      </c>
      <c r="O2897">
        <v>5</v>
      </c>
      <c r="P2897">
        <v>0.86</v>
      </c>
      <c r="Q2897">
        <v>5</v>
      </c>
      <c r="R2897">
        <v>3.32E-2</v>
      </c>
      <c r="T2897" t="s">
        <v>8125</v>
      </c>
    </row>
    <row r="2898" spans="1:20" x14ac:dyDescent="0.2">
      <c r="A2898" t="s">
        <v>8127</v>
      </c>
      <c r="B2898" t="s">
        <v>2022</v>
      </c>
      <c r="C2898" t="s">
        <v>2049</v>
      </c>
      <c r="D2898" t="s">
        <v>2024</v>
      </c>
      <c r="E2898" t="s">
        <v>8128</v>
      </c>
      <c r="F2898" t="s">
        <v>8129</v>
      </c>
      <c r="G2898">
        <v>3</v>
      </c>
      <c r="H2898">
        <v>1550</v>
      </c>
      <c r="I2898">
        <v>4</v>
      </c>
      <c r="J2898">
        <v>6.8</v>
      </c>
      <c r="K2898">
        <v>4</v>
      </c>
      <c r="L2898">
        <v>0.22</v>
      </c>
      <c r="M2898">
        <v>2</v>
      </c>
      <c r="N2898">
        <v>106</v>
      </c>
      <c r="O2898">
        <v>3</v>
      </c>
      <c r="P2898">
        <v>0.46</v>
      </c>
      <c r="Q2898">
        <v>3</v>
      </c>
      <c r="R2898">
        <v>1.52E-2</v>
      </c>
      <c r="T2898" t="s">
        <v>8128</v>
      </c>
    </row>
    <row r="2899" spans="1:20" x14ac:dyDescent="0.2">
      <c r="A2899" t="s">
        <v>8130</v>
      </c>
      <c r="B2899" t="s">
        <v>2022</v>
      </c>
      <c r="C2899" t="s">
        <v>2023</v>
      </c>
      <c r="D2899" t="s">
        <v>2024</v>
      </c>
      <c r="E2899" t="s">
        <v>8131</v>
      </c>
      <c r="F2899" t="s">
        <v>447</v>
      </c>
      <c r="G2899">
        <v>3</v>
      </c>
      <c r="H2899">
        <v>1640</v>
      </c>
      <c r="I2899">
        <v>1</v>
      </c>
      <c r="J2899">
        <v>0.9</v>
      </c>
      <c r="K2899">
        <v>1</v>
      </c>
      <c r="L2899">
        <v>6.0000000000000001E-3</v>
      </c>
      <c r="M2899">
        <v>3</v>
      </c>
      <c r="N2899">
        <v>94</v>
      </c>
      <c r="O2899">
        <v>1</v>
      </c>
      <c r="P2899">
        <v>7.4999999999999997E-2</v>
      </c>
      <c r="Q2899">
        <v>1</v>
      </c>
      <c r="R2899">
        <v>5.0000000000000001E-4</v>
      </c>
      <c r="T2899" t="s">
        <v>8131</v>
      </c>
    </row>
    <row r="2900" spans="1:20" x14ac:dyDescent="0.2">
      <c r="A2900" t="s">
        <v>8132</v>
      </c>
      <c r="B2900" t="s">
        <v>2022</v>
      </c>
      <c r="C2900" t="s">
        <v>2023</v>
      </c>
      <c r="D2900" t="s">
        <v>2024</v>
      </c>
      <c r="E2900" t="s">
        <v>8133</v>
      </c>
      <c r="F2900" t="s">
        <v>8134</v>
      </c>
      <c r="G2900">
        <v>3</v>
      </c>
      <c r="H2900">
        <v>1640</v>
      </c>
      <c r="I2900">
        <v>3</v>
      </c>
      <c r="J2900">
        <v>5.9</v>
      </c>
      <c r="K2900">
        <v>2</v>
      </c>
      <c r="L2900">
        <v>2.5999999999999999E-2</v>
      </c>
      <c r="M2900">
        <v>1</v>
      </c>
      <c r="N2900">
        <v>74</v>
      </c>
      <c r="O2900">
        <v>2</v>
      </c>
      <c r="P2900">
        <v>0.22500000000000001</v>
      </c>
      <c r="Q2900">
        <v>1</v>
      </c>
      <c r="R2900">
        <v>5.0000000000000001E-4</v>
      </c>
      <c r="T2900" t="s">
        <v>8133</v>
      </c>
    </row>
    <row r="2901" spans="1:20" x14ac:dyDescent="0.2">
      <c r="A2901" t="s">
        <v>8135</v>
      </c>
      <c r="B2901" t="s">
        <v>2022</v>
      </c>
      <c r="C2901" t="s">
        <v>2036</v>
      </c>
      <c r="D2901" t="s">
        <v>2024</v>
      </c>
      <c r="E2901" t="s">
        <v>8136</v>
      </c>
      <c r="F2901" t="s">
        <v>8137</v>
      </c>
      <c r="G2901">
        <v>2</v>
      </c>
      <c r="H2901">
        <v>1640</v>
      </c>
      <c r="I2901">
        <v>4</v>
      </c>
      <c r="J2901">
        <v>5.8</v>
      </c>
      <c r="K2901">
        <v>4</v>
      </c>
      <c r="L2901">
        <v>0.14499999999999999</v>
      </c>
      <c r="M2901">
        <v>4</v>
      </c>
      <c r="N2901">
        <v>94</v>
      </c>
      <c r="O2901">
        <v>3</v>
      </c>
      <c r="P2901">
        <v>0.315</v>
      </c>
      <c r="Q2901">
        <v>3</v>
      </c>
      <c r="R2901">
        <v>6.7499999999999999E-3</v>
      </c>
      <c r="T2901" t="s">
        <v>8136</v>
      </c>
    </row>
    <row r="2902" spans="1:20" x14ac:dyDescent="0.2">
      <c r="A2902" t="s">
        <v>8138</v>
      </c>
      <c r="B2902" t="s">
        <v>2022</v>
      </c>
      <c r="C2902" t="s">
        <v>2053</v>
      </c>
      <c r="D2902" t="s">
        <v>2024</v>
      </c>
      <c r="E2902" t="s">
        <v>8139</v>
      </c>
      <c r="F2902" t="s">
        <v>447</v>
      </c>
      <c r="G2902">
        <v>5</v>
      </c>
      <c r="H2902">
        <v>1900</v>
      </c>
      <c r="I2902">
        <v>5</v>
      </c>
      <c r="J2902">
        <v>11.55</v>
      </c>
      <c r="K2902">
        <v>4</v>
      </c>
      <c r="L2902">
        <v>0.30499999999999999</v>
      </c>
      <c r="M2902">
        <v>4</v>
      </c>
      <c r="N2902">
        <v>103</v>
      </c>
      <c r="O2902">
        <v>4</v>
      </c>
      <c r="P2902">
        <v>0.52500000000000002</v>
      </c>
      <c r="Q2902">
        <v>4</v>
      </c>
      <c r="R2902">
        <v>1.9199999999999998E-2</v>
      </c>
      <c r="T2902" t="s">
        <v>8139</v>
      </c>
    </row>
    <row r="2903" spans="1:20" x14ac:dyDescent="0.2">
      <c r="A2903" t="s">
        <v>8140</v>
      </c>
      <c r="B2903" t="s">
        <v>2022</v>
      </c>
      <c r="C2903" t="s">
        <v>2023</v>
      </c>
      <c r="D2903" t="s">
        <v>2136</v>
      </c>
      <c r="E2903" t="s">
        <v>8141</v>
      </c>
      <c r="F2903" t="s">
        <v>8142</v>
      </c>
      <c r="G2903">
        <v>4</v>
      </c>
      <c r="H2903">
        <v>1720</v>
      </c>
      <c r="I2903">
        <v>1</v>
      </c>
      <c r="J2903">
        <v>0.9</v>
      </c>
      <c r="K2903">
        <v>2</v>
      </c>
      <c r="L2903">
        <v>2.5999999999999999E-2</v>
      </c>
      <c r="M2903">
        <v>4</v>
      </c>
      <c r="N2903">
        <v>104</v>
      </c>
      <c r="O2903">
        <v>1</v>
      </c>
      <c r="P2903">
        <v>7.4999999999999997E-2</v>
      </c>
      <c r="Q2903">
        <v>2</v>
      </c>
      <c r="R2903">
        <v>2E-3</v>
      </c>
      <c r="T2903" t="s">
        <v>8141</v>
      </c>
    </row>
    <row r="2904" spans="1:20" x14ac:dyDescent="0.2">
      <c r="A2904" t="s">
        <v>8143</v>
      </c>
      <c r="B2904" t="s">
        <v>2022</v>
      </c>
      <c r="C2904" t="s">
        <v>2036</v>
      </c>
      <c r="D2904" t="s">
        <v>2024</v>
      </c>
      <c r="E2904" t="s">
        <v>8144</v>
      </c>
      <c r="F2904" t="s">
        <v>8145</v>
      </c>
      <c r="G2904">
        <v>5</v>
      </c>
      <c r="H2904">
        <v>1940</v>
      </c>
      <c r="I2904">
        <v>3</v>
      </c>
      <c r="J2904">
        <v>4.5999999999999996</v>
      </c>
      <c r="K2904">
        <v>5</v>
      </c>
      <c r="L2904">
        <v>0.17499999999999999</v>
      </c>
      <c r="M2904">
        <v>3</v>
      </c>
      <c r="N2904">
        <v>88</v>
      </c>
      <c r="O2904">
        <v>2</v>
      </c>
      <c r="P2904">
        <v>0.20499999999999999</v>
      </c>
      <c r="Q2904">
        <v>3</v>
      </c>
      <c r="R2904">
        <v>6.7499999999999999E-3</v>
      </c>
      <c r="T2904" t="s">
        <v>8144</v>
      </c>
    </row>
    <row r="2905" spans="1:20" x14ac:dyDescent="0.2">
      <c r="A2905" t="s">
        <v>8146</v>
      </c>
      <c r="B2905" t="s">
        <v>2022</v>
      </c>
      <c r="C2905" t="s">
        <v>2036</v>
      </c>
      <c r="D2905" t="s">
        <v>2024</v>
      </c>
      <c r="E2905" t="s">
        <v>8147</v>
      </c>
      <c r="F2905" t="s">
        <v>8148</v>
      </c>
      <c r="G2905">
        <v>2</v>
      </c>
      <c r="H2905">
        <v>1640</v>
      </c>
      <c r="I2905">
        <v>1</v>
      </c>
      <c r="J2905">
        <v>2.2000000000000002</v>
      </c>
      <c r="K2905">
        <v>1</v>
      </c>
      <c r="L2905">
        <v>5.5E-2</v>
      </c>
      <c r="M2905">
        <v>2</v>
      </c>
      <c r="N2905">
        <v>82</v>
      </c>
      <c r="O2905">
        <v>1</v>
      </c>
      <c r="P2905">
        <v>9.5000000000000001E-2</v>
      </c>
      <c r="Q2905">
        <v>1</v>
      </c>
      <c r="R2905">
        <v>1.5E-3</v>
      </c>
      <c r="T2905" t="s">
        <v>8147</v>
      </c>
    </row>
    <row r="2906" spans="1:20" x14ac:dyDescent="0.2">
      <c r="A2906" t="s">
        <v>8149</v>
      </c>
      <c r="B2906" t="s">
        <v>2022</v>
      </c>
      <c r="C2906" t="s">
        <v>2101</v>
      </c>
      <c r="D2906" t="s">
        <v>2024</v>
      </c>
      <c r="E2906" t="s">
        <v>8150</v>
      </c>
      <c r="F2906" t="s">
        <v>8151</v>
      </c>
      <c r="G2906">
        <v>2</v>
      </c>
      <c r="H2906">
        <v>1670</v>
      </c>
      <c r="I2906">
        <v>5</v>
      </c>
      <c r="J2906">
        <v>14</v>
      </c>
      <c r="K2906">
        <v>5</v>
      </c>
      <c r="L2906">
        <v>0.53749999999999998</v>
      </c>
      <c r="M2906">
        <v>2</v>
      </c>
      <c r="N2906">
        <v>74</v>
      </c>
      <c r="O2906">
        <v>5</v>
      </c>
      <c r="P2906">
        <v>0.67500000000000004</v>
      </c>
      <c r="Q2906">
        <v>5</v>
      </c>
      <c r="R2906">
        <v>2.5499999999999998E-2</v>
      </c>
      <c r="T2906" t="s">
        <v>8150</v>
      </c>
    </row>
    <row r="2907" spans="1:20" x14ac:dyDescent="0.2">
      <c r="A2907" t="s">
        <v>8152</v>
      </c>
      <c r="B2907" t="s">
        <v>2022</v>
      </c>
      <c r="C2907" t="s">
        <v>2101</v>
      </c>
      <c r="D2907" t="s">
        <v>2024</v>
      </c>
      <c r="E2907" t="s">
        <v>8153</v>
      </c>
      <c r="F2907" t="s">
        <v>8154</v>
      </c>
      <c r="G2907">
        <v>3</v>
      </c>
      <c r="H2907">
        <v>1770</v>
      </c>
      <c r="I2907">
        <v>2</v>
      </c>
      <c r="J2907">
        <v>5</v>
      </c>
      <c r="K2907">
        <v>2</v>
      </c>
      <c r="L2907">
        <v>9.6500000000000002E-2</v>
      </c>
      <c r="M2907">
        <v>4</v>
      </c>
      <c r="N2907">
        <v>90</v>
      </c>
      <c r="O2907">
        <v>2</v>
      </c>
      <c r="P2907">
        <v>0.22500000000000001</v>
      </c>
      <c r="Q2907">
        <v>2</v>
      </c>
      <c r="R2907">
        <v>4.4999999999999997E-3</v>
      </c>
      <c r="T2907" t="s">
        <v>8153</v>
      </c>
    </row>
    <row r="2908" spans="1:20" x14ac:dyDescent="0.2">
      <c r="A2908" t="s">
        <v>8155</v>
      </c>
      <c r="B2908" t="s">
        <v>2022</v>
      </c>
      <c r="C2908" t="s">
        <v>2036</v>
      </c>
      <c r="D2908" t="s">
        <v>2024</v>
      </c>
      <c r="E2908" t="s">
        <v>8156</v>
      </c>
      <c r="F2908" t="s">
        <v>8157</v>
      </c>
      <c r="G2908">
        <v>5</v>
      </c>
      <c r="H2908">
        <v>1940</v>
      </c>
      <c r="I2908">
        <v>5</v>
      </c>
      <c r="J2908">
        <v>7</v>
      </c>
      <c r="K2908">
        <v>5</v>
      </c>
      <c r="L2908">
        <v>0.17499999999999999</v>
      </c>
      <c r="M2908">
        <v>3</v>
      </c>
      <c r="N2908">
        <v>88</v>
      </c>
      <c r="O2908">
        <v>5</v>
      </c>
      <c r="P2908">
        <v>0.53500000000000003</v>
      </c>
      <c r="Q2908">
        <v>5</v>
      </c>
      <c r="R2908">
        <v>1.2E-2</v>
      </c>
      <c r="T2908" t="s">
        <v>8156</v>
      </c>
    </row>
    <row r="2909" spans="1:20" x14ac:dyDescent="0.2">
      <c r="A2909" t="s">
        <v>8158</v>
      </c>
      <c r="B2909" t="s">
        <v>2022</v>
      </c>
      <c r="C2909" t="s">
        <v>2053</v>
      </c>
      <c r="D2909" t="s">
        <v>2024</v>
      </c>
      <c r="E2909" t="s">
        <v>8159</v>
      </c>
      <c r="F2909" t="s">
        <v>8160</v>
      </c>
      <c r="G2909">
        <v>5</v>
      </c>
      <c r="H2909">
        <v>1900</v>
      </c>
      <c r="I2909">
        <v>5</v>
      </c>
      <c r="J2909">
        <v>11.55</v>
      </c>
      <c r="K2909">
        <v>5</v>
      </c>
      <c r="L2909">
        <v>0.41499999999999998</v>
      </c>
      <c r="M2909">
        <v>2</v>
      </c>
      <c r="N2909">
        <v>83</v>
      </c>
      <c r="O2909">
        <v>4</v>
      </c>
      <c r="P2909">
        <v>0.52500000000000002</v>
      </c>
      <c r="Q2909">
        <v>4</v>
      </c>
      <c r="R2909">
        <v>1.9199999999999998E-2</v>
      </c>
      <c r="T2909" t="s">
        <v>8159</v>
      </c>
    </row>
    <row r="2910" spans="1:20" x14ac:dyDescent="0.2">
      <c r="A2910" t="s">
        <v>8161</v>
      </c>
      <c r="B2910" t="s">
        <v>2022</v>
      </c>
      <c r="C2910" t="s">
        <v>2101</v>
      </c>
      <c r="D2910" t="s">
        <v>2024</v>
      </c>
      <c r="E2910" t="s">
        <v>357</v>
      </c>
      <c r="F2910" t="s">
        <v>447</v>
      </c>
      <c r="G2910">
        <v>3</v>
      </c>
      <c r="H2910">
        <v>1770</v>
      </c>
      <c r="I2910">
        <v>5</v>
      </c>
      <c r="J2910">
        <v>14</v>
      </c>
      <c r="K2910">
        <v>5</v>
      </c>
      <c r="L2910">
        <v>0.53749999999999998</v>
      </c>
      <c r="M2910">
        <v>5</v>
      </c>
      <c r="N2910">
        <v>98</v>
      </c>
      <c r="O2910">
        <v>5</v>
      </c>
      <c r="P2910">
        <v>0.67500000000000004</v>
      </c>
      <c r="Q2910">
        <v>5</v>
      </c>
      <c r="R2910">
        <v>2.5499999999999998E-2</v>
      </c>
      <c r="T2910" t="s">
        <v>357</v>
      </c>
    </row>
    <row r="2911" spans="1:20" x14ac:dyDescent="0.2">
      <c r="A2911" t="s">
        <v>8162</v>
      </c>
      <c r="B2911" t="s">
        <v>2022</v>
      </c>
      <c r="C2911" t="s">
        <v>2053</v>
      </c>
      <c r="D2911" t="s">
        <v>2024</v>
      </c>
      <c r="E2911" t="s">
        <v>8163</v>
      </c>
      <c r="F2911" t="s">
        <v>8164</v>
      </c>
      <c r="G2911">
        <v>2</v>
      </c>
      <c r="H2911">
        <v>1600</v>
      </c>
      <c r="I2911">
        <v>2</v>
      </c>
      <c r="J2911">
        <v>4.05</v>
      </c>
      <c r="K2911">
        <v>2</v>
      </c>
      <c r="L2911">
        <v>8.5000000000000006E-2</v>
      </c>
      <c r="M2911">
        <v>1</v>
      </c>
      <c r="N2911">
        <v>73</v>
      </c>
      <c r="O2911">
        <v>2</v>
      </c>
      <c r="P2911">
        <v>0.22500000000000001</v>
      </c>
      <c r="Q2911">
        <v>2</v>
      </c>
      <c r="R2911">
        <v>5.1999999999999998E-3</v>
      </c>
      <c r="T2911" t="s">
        <v>8163</v>
      </c>
    </row>
    <row r="2912" spans="1:20" x14ac:dyDescent="0.2">
      <c r="A2912" t="s">
        <v>8165</v>
      </c>
      <c r="B2912" t="s">
        <v>2022</v>
      </c>
      <c r="C2912" t="s">
        <v>2036</v>
      </c>
      <c r="E2912" t="s">
        <v>8166</v>
      </c>
      <c r="F2912" t="s">
        <v>8167</v>
      </c>
      <c r="G2912">
        <v>1</v>
      </c>
      <c r="H2912">
        <v>1540</v>
      </c>
      <c r="I2912">
        <v>2</v>
      </c>
      <c r="J2912">
        <v>4</v>
      </c>
      <c r="K2912">
        <v>3</v>
      </c>
      <c r="L2912">
        <v>0.185</v>
      </c>
      <c r="M2912">
        <v>1</v>
      </c>
      <c r="N2912">
        <v>76</v>
      </c>
      <c r="O2912">
        <v>2</v>
      </c>
      <c r="P2912">
        <v>0.20499999999999999</v>
      </c>
      <c r="Q2912">
        <v>3</v>
      </c>
      <c r="R2912">
        <v>9.2999999999999992E-3</v>
      </c>
      <c r="T2912" t="s">
        <v>8166</v>
      </c>
    </row>
    <row r="2913" spans="1:20" x14ac:dyDescent="0.2">
      <c r="A2913" t="s">
        <v>8168</v>
      </c>
      <c r="B2913" t="s">
        <v>2022</v>
      </c>
      <c r="C2913" t="s">
        <v>2508</v>
      </c>
      <c r="D2913" t="s">
        <v>2024</v>
      </c>
      <c r="E2913" t="s">
        <v>8169</v>
      </c>
      <c r="F2913" t="s">
        <v>8170</v>
      </c>
      <c r="G2913">
        <v>4</v>
      </c>
      <c r="H2913">
        <v>1550</v>
      </c>
      <c r="I2913">
        <v>5</v>
      </c>
      <c r="J2913">
        <v>17</v>
      </c>
      <c r="K2913">
        <v>4</v>
      </c>
      <c r="L2913">
        <v>0.42</v>
      </c>
      <c r="M2913">
        <v>1</v>
      </c>
      <c r="N2913">
        <v>92.5</v>
      </c>
      <c r="O2913">
        <v>4</v>
      </c>
      <c r="P2913">
        <v>1.35</v>
      </c>
      <c r="Q2913">
        <v>3</v>
      </c>
      <c r="R2913">
        <v>3.5999999999999997E-2</v>
      </c>
      <c r="T2913" t="s">
        <v>8169</v>
      </c>
    </row>
    <row r="2914" spans="1:20" x14ac:dyDescent="0.2">
      <c r="A2914" t="s">
        <v>8171</v>
      </c>
      <c r="B2914" t="s">
        <v>2022</v>
      </c>
      <c r="C2914" t="s">
        <v>2036</v>
      </c>
      <c r="D2914" t="s">
        <v>2024</v>
      </c>
      <c r="E2914" t="s">
        <v>8172</v>
      </c>
      <c r="F2914" t="s">
        <v>8173</v>
      </c>
      <c r="G2914">
        <v>2</v>
      </c>
      <c r="H2914">
        <v>1640</v>
      </c>
      <c r="I2914">
        <v>3</v>
      </c>
      <c r="J2914">
        <v>4.5999999999999996</v>
      </c>
      <c r="K2914">
        <v>3</v>
      </c>
      <c r="L2914">
        <v>0.115</v>
      </c>
      <c r="M2914">
        <v>2</v>
      </c>
      <c r="N2914">
        <v>82</v>
      </c>
      <c r="O2914">
        <v>2</v>
      </c>
      <c r="P2914">
        <v>0.20499999999999999</v>
      </c>
      <c r="Q2914">
        <v>2</v>
      </c>
      <c r="R2914">
        <v>4.2500000000000003E-3</v>
      </c>
      <c r="T2914" t="s">
        <v>8172</v>
      </c>
    </row>
    <row r="2915" spans="1:20" x14ac:dyDescent="0.2">
      <c r="A2915" t="s">
        <v>8174</v>
      </c>
      <c r="B2915" t="s">
        <v>2022</v>
      </c>
      <c r="C2915" t="s">
        <v>2101</v>
      </c>
      <c r="D2915" t="s">
        <v>2024</v>
      </c>
      <c r="E2915" t="s">
        <v>8175</v>
      </c>
      <c r="F2915" t="s">
        <v>8176</v>
      </c>
      <c r="G2915">
        <v>5</v>
      </c>
      <c r="H2915">
        <v>1970</v>
      </c>
      <c r="I2915">
        <v>3</v>
      </c>
      <c r="J2915">
        <v>8</v>
      </c>
      <c r="K2915">
        <v>2</v>
      </c>
      <c r="L2915">
        <v>9.6500000000000002E-2</v>
      </c>
      <c r="M2915">
        <v>4</v>
      </c>
      <c r="N2915">
        <v>90</v>
      </c>
      <c r="O2915">
        <v>3</v>
      </c>
      <c r="P2915">
        <v>0.375</v>
      </c>
      <c r="Q2915">
        <v>2</v>
      </c>
      <c r="R2915">
        <v>4.4999999999999997E-3</v>
      </c>
      <c r="T2915" t="s">
        <v>8175</v>
      </c>
    </row>
    <row r="2916" spans="1:20" x14ac:dyDescent="0.2">
      <c r="A2916" t="s">
        <v>8177</v>
      </c>
      <c r="B2916" t="s">
        <v>2022</v>
      </c>
      <c r="C2916" t="s">
        <v>2053</v>
      </c>
      <c r="D2916" t="s">
        <v>2024</v>
      </c>
      <c r="E2916" t="s">
        <v>8178</v>
      </c>
      <c r="F2916" t="s">
        <v>8179</v>
      </c>
      <c r="G2916">
        <v>1</v>
      </c>
      <c r="H2916">
        <v>1500</v>
      </c>
      <c r="I2916">
        <v>1</v>
      </c>
      <c r="J2916">
        <v>1.55</v>
      </c>
      <c r="K2916">
        <v>2</v>
      </c>
      <c r="L2916">
        <v>8.5000000000000006E-2</v>
      </c>
      <c r="M2916">
        <v>1</v>
      </c>
      <c r="N2916">
        <v>73</v>
      </c>
      <c r="O2916">
        <v>1</v>
      </c>
      <c r="P2916">
        <v>7.4999999999999997E-2</v>
      </c>
      <c r="Q2916">
        <v>1</v>
      </c>
      <c r="R2916">
        <v>8.4999999999999995E-4</v>
      </c>
      <c r="T2916" t="s">
        <v>8178</v>
      </c>
    </row>
    <row r="2917" spans="1:20" x14ac:dyDescent="0.2">
      <c r="A2917" t="s">
        <v>8180</v>
      </c>
      <c r="B2917" t="s">
        <v>2022</v>
      </c>
      <c r="C2917" t="s">
        <v>2036</v>
      </c>
      <c r="D2917" t="s">
        <v>2024</v>
      </c>
      <c r="E2917" t="s">
        <v>8181</v>
      </c>
      <c r="F2917" t="s">
        <v>8182</v>
      </c>
      <c r="G2917">
        <v>4</v>
      </c>
      <c r="H2917">
        <v>1840</v>
      </c>
      <c r="I2917">
        <v>3</v>
      </c>
      <c r="J2917">
        <v>4.5999999999999996</v>
      </c>
      <c r="K2917">
        <v>5</v>
      </c>
      <c r="L2917">
        <v>0.17499999999999999</v>
      </c>
      <c r="M2917">
        <v>3</v>
      </c>
      <c r="N2917">
        <v>88</v>
      </c>
      <c r="O2917">
        <v>2</v>
      </c>
      <c r="P2917">
        <v>0.20499999999999999</v>
      </c>
      <c r="Q2917">
        <v>4</v>
      </c>
      <c r="R2917">
        <v>9.2499999999999995E-3</v>
      </c>
      <c r="T2917" t="s">
        <v>8181</v>
      </c>
    </row>
    <row r="2918" spans="1:20" x14ac:dyDescent="0.2">
      <c r="A2918" t="s">
        <v>8183</v>
      </c>
      <c r="B2918" t="s">
        <v>2022</v>
      </c>
      <c r="C2918" t="s">
        <v>2053</v>
      </c>
      <c r="D2918" t="s">
        <v>2024</v>
      </c>
      <c r="E2918" t="s">
        <v>8184</v>
      </c>
      <c r="F2918" t="s">
        <v>447</v>
      </c>
      <c r="G2918">
        <v>5</v>
      </c>
      <c r="H2918">
        <v>1900</v>
      </c>
      <c r="I2918">
        <v>5</v>
      </c>
      <c r="J2918">
        <v>11.55</v>
      </c>
      <c r="K2918">
        <v>4</v>
      </c>
      <c r="L2918">
        <v>0.30499999999999999</v>
      </c>
      <c r="M2918">
        <v>5</v>
      </c>
      <c r="N2918">
        <v>113</v>
      </c>
      <c r="O2918">
        <v>4</v>
      </c>
      <c r="P2918">
        <v>0.52500000000000002</v>
      </c>
      <c r="Q2918">
        <v>4</v>
      </c>
      <c r="R2918">
        <v>1.9199999999999998E-2</v>
      </c>
      <c r="T2918" t="s">
        <v>8184</v>
      </c>
    </row>
    <row r="2919" spans="1:20" x14ac:dyDescent="0.2">
      <c r="A2919" t="s">
        <v>8185</v>
      </c>
      <c r="B2919" t="s">
        <v>2022</v>
      </c>
      <c r="C2919" t="s">
        <v>2053</v>
      </c>
      <c r="D2919" t="s">
        <v>2136</v>
      </c>
      <c r="E2919" t="s">
        <v>357</v>
      </c>
      <c r="F2919" t="s">
        <v>8186</v>
      </c>
      <c r="G2919">
        <v>5</v>
      </c>
      <c r="H2919">
        <v>1900</v>
      </c>
      <c r="I2919">
        <v>2</v>
      </c>
      <c r="J2919">
        <v>4.05</v>
      </c>
      <c r="K2919">
        <v>2</v>
      </c>
      <c r="L2919">
        <v>8.5000000000000006E-2</v>
      </c>
      <c r="M2919">
        <v>4</v>
      </c>
      <c r="N2919">
        <v>103</v>
      </c>
      <c r="O2919">
        <v>2</v>
      </c>
      <c r="P2919">
        <v>0.22500000000000001</v>
      </c>
      <c r="Q2919">
        <v>2</v>
      </c>
      <c r="R2919">
        <v>5.1999999999999998E-3</v>
      </c>
      <c r="T2919" t="s">
        <v>357</v>
      </c>
    </row>
    <row r="2920" spans="1:20" x14ac:dyDescent="0.2">
      <c r="A2920" t="s">
        <v>8187</v>
      </c>
      <c r="B2920" t="s">
        <v>2022</v>
      </c>
      <c r="C2920" t="s">
        <v>2053</v>
      </c>
      <c r="D2920" t="s">
        <v>2024</v>
      </c>
      <c r="E2920" t="s">
        <v>8188</v>
      </c>
      <c r="F2920" t="s">
        <v>8189</v>
      </c>
      <c r="G2920">
        <v>3</v>
      </c>
      <c r="H2920">
        <v>1700</v>
      </c>
      <c r="I2920">
        <v>2</v>
      </c>
      <c r="J2920">
        <v>4.05</v>
      </c>
      <c r="K2920">
        <v>2</v>
      </c>
      <c r="L2920">
        <v>8.5000000000000006E-2</v>
      </c>
      <c r="M2920">
        <v>2</v>
      </c>
      <c r="N2920">
        <v>83</v>
      </c>
      <c r="O2920">
        <v>1</v>
      </c>
      <c r="P2920">
        <v>7.4999999999999997E-2</v>
      </c>
      <c r="Q2920">
        <v>2</v>
      </c>
      <c r="R2920">
        <v>5.1999999999999998E-3</v>
      </c>
      <c r="T2920" t="s">
        <v>8188</v>
      </c>
    </row>
    <row r="2921" spans="1:20" x14ac:dyDescent="0.2">
      <c r="A2921" t="s">
        <v>8190</v>
      </c>
      <c r="B2921" t="s">
        <v>2022</v>
      </c>
      <c r="C2921" t="s">
        <v>2023</v>
      </c>
      <c r="D2921" t="s">
        <v>2024</v>
      </c>
      <c r="E2921" t="s">
        <v>8191</v>
      </c>
      <c r="F2921" t="s">
        <v>8192</v>
      </c>
      <c r="G2921">
        <v>4</v>
      </c>
      <c r="H2921">
        <v>1720</v>
      </c>
      <c r="I2921">
        <v>3</v>
      </c>
      <c r="J2921">
        <v>5.9</v>
      </c>
      <c r="K2921">
        <v>5</v>
      </c>
      <c r="L2921">
        <v>8.5999999999999993E-2</v>
      </c>
      <c r="M2921">
        <v>2</v>
      </c>
      <c r="N2921">
        <v>84</v>
      </c>
      <c r="O2921">
        <v>2</v>
      </c>
      <c r="P2921">
        <v>0.22500000000000001</v>
      </c>
      <c r="Q2921">
        <v>5</v>
      </c>
      <c r="R2921">
        <v>8.0000000000000002E-3</v>
      </c>
      <c r="T2921" t="s">
        <v>8191</v>
      </c>
    </row>
    <row r="2922" spans="1:20" x14ac:dyDescent="0.2">
      <c r="A2922" t="s">
        <v>8193</v>
      </c>
      <c r="B2922" t="s">
        <v>2022</v>
      </c>
      <c r="C2922" t="s">
        <v>2023</v>
      </c>
      <c r="D2922" t="s">
        <v>2024</v>
      </c>
      <c r="E2922" t="s">
        <v>8194</v>
      </c>
      <c r="F2922" t="s">
        <v>8195</v>
      </c>
      <c r="G2922">
        <v>3</v>
      </c>
      <c r="H2922">
        <v>1640</v>
      </c>
      <c r="I2922">
        <v>2</v>
      </c>
      <c r="J2922">
        <v>3.4</v>
      </c>
      <c r="K2922">
        <v>4</v>
      </c>
      <c r="L2922">
        <v>6.6000000000000003E-2</v>
      </c>
      <c r="M2922">
        <v>4</v>
      </c>
      <c r="N2922">
        <v>104</v>
      </c>
      <c r="O2922">
        <v>2</v>
      </c>
      <c r="P2922">
        <v>0.22500000000000001</v>
      </c>
      <c r="Q2922">
        <v>3</v>
      </c>
      <c r="R2922">
        <v>4.0000000000000001E-3</v>
      </c>
      <c r="T2922" t="s">
        <v>8194</v>
      </c>
    </row>
    <row r="2923" spans="1:20" x14ac:dyDescent="0.2">
      <c r="A2923" t="s">
        <v>8196</v>
      </c>
      <c r="B2923" t="s">
        <v>2022</v>
      </c>
      <c r="C2923" t="s">
        <v>2049</v>
      </c>
      <c r="D2923" t="s">
        <v>2024</v>
      </c>
      <c r="E2923" t="s">
        <v>8197</v>
      </c>
      <c r="F2923" t="s">
        <v>8198</v>
      </c>
      <c r="G2923">
        <v>2</v>
      </c>
      <c r="H2923">
        <v>1450</v>
      </c>
      <c r="I2923">
        <v>3</v>
      </c>
      <c r="J2923">
        <v>5</v>
      </c>
      <c r="K2923">
        <v>2</v>
      </c>
      <c r="L2923">
        <v>0.06</v>
      </c>
      <c r="M2923">
        <v>5</v>
      </c>
      <c r="N2923">
        <v>166</v>
      </c>
      <c r="O2923">
        <v>5</v>
      </c>
      <c r="P2923">
        <v>0.86</v>
      </c>
      <c r="Q2923">
        <v>3</v>
      </c>
      <c r="R2923">
        <v>1.52E-2</v>
      </c>
      <c r="T2923" t="s">
        <v>8197</v>
      </c>
    </row>
    <row r="2924" spans="1:20" x14ac:dyDescent="0.2">
      <c r="A2924" t="s">
        <v>8199</v>
      </c>
      <c r="B2924" t="s">
        <v>2022</v>
      </c>
      <c r="C2924" t="s">
        <v>2036</v>
      </c>
      <c r="D2924" t="s">
        <v>2024</v>
      </c>
      <c r="E2924" t="s">
        <v>8200</v>
      </c>
      <c r="F2924" t="s">
        <v>8201</v>
      </c>
      <c r="G2924">
        <v>2</v>
      </c>
      <c r="H2924">
        <v>1640</v>
      </c>
      <c r="I2924">
        <v>1</v>
      </c>
      <c r="J2924">
        <v>2.2000000000000002</v>
      </c>
      <c r="K2924">
        <v>2</v>
      </c>
      <c r="L2924">
        <v>8.5000000000000006E-2</v>
      </c>
      <c r="M2924">
        <v>2</v>
      </c>
      <c r="N2924">
        <v>82</v>
      </c>
      <c r="O2924">
        <v>1</v>
      </c>
      <c r="P2924">
        <v>9.5000000000000001E-2</v>
      </c>
      <c r="Q2924">
        <v>2</v>
      </c>
      <c r="R2924">
        <v>4.2500000000000003E-3</v>
      </c>
      <c r="T2924" t="s">
        <v>8200</v>
      </c>
    </row>
    <row r="2925" spans="1:20" x14ac:dyDescent="0.2">
      <c r="A2925" t="s">
        <v>8202</v>
      </c>
      <c r="B2925" t="s">
        <v>2022</v>
      </c>
      <c r="C2925" t="s">
        <v>2023</v>
      </c>
      <c r="D2925" t="s">
        <v>2136</v>
      </c>
      <c r="E2925" t="s">
        <v>8203</v>
      </c>
      <c r="F2925" t="s">
        <v>8204</v>
      </c>
      <c r="G2925">
        <v>5</v>
      </c>
      <c r="H2925">
        <v>1800</v>
      </c>
      <c r="I2925">
        <v>2</v>
      </c>
      <c r="J2925">
        <v>3.4</v>
      </c>
      <c r="K2925">
        <v>2</v>
      </c>
      <c r="L2925">
        <v>2.5999999999999999E-2</v>
      </c>
      <c r="M2925">
        <v>5</v>
      </c>
      <c r="N2925">
        <v>114</v>
      </c>
      <c r="O2925">
        <v>3</v>
      </c>
      <c r="P2925">
        <v>0.375</v>
      </c>
      <c r="Q2925">
        <v>2</v>
      </c>
      <c r="R2925">
        <v>2E-3</v>
      </c>
      <c r="T2925" t="s">
        <v>8203</v>
      </c>
    </row>
    <row r="2926" spans="1:20" x14ac:dyDescent="0.2">
      <c r="A2926" t="s">
        <v>8205</v>
      </c>
      <c r="B2926" t="s">
        <v>2022</v>
      </c>
      <c r="C2926" t="s">
        <v>2023</v>
      </c>
      <c r="D2926" t="s">
        <v>2024</v>
      </c>
      <c r="E2926" t="s">
        <v>8206</v>
      </c>
      <c r="F2926" t="s">
        <v>447</v>
      </c>
      <c r="G2926">
        <v>4</v>
      </c>
      <c r="H2926">
        <v>1720</v>
      </c>
      <c r="I2926">
        <v>1</v>
      </c>
      <c r="J2926">
        <v>0.9</v>
      </c>
      <c r="K2926">
        <v>1</v>
      </c>
      <c r="L2926">
        <v>6.0000000000000001E-3</v>
      </c>
      <c r="M2926">
        <v>3</v>
      </c>
      <c r="N2926">
        <v>94</v>
      </c>
      <c r="O2926">
        <v>1</v>
      </c>
      <c r="P2926">
        <v>7.4999999999999997E-2</v>
      </c>
      <c r="Q2926">
        <v>1</v>
      </c>
      <c r="R2926">
        <v>5.0000000000000001E-4</v>
      </c>
      <c r="T2926" t="s">
        <v>8206</v>
      </c>
    </row>
    <row r="2927" spans="1:20" x14ac:dyDescent="0.2">
      <c r="A2927" t="s">
        <v>8207</v>
      </c>
      <c r="B2927" t="s">
        <v>2022</v>
      </c>
      <c r="C2927" t="s">
        <v>2023</v>
      </c>
      <c r="D2927" t="s">
        <v>2024</v>
      </c>
      <c r="E2927" t="s">
        <v>8208</v>
      </c>
      <c r="F2927" t="s">
        <v>8209</v>
      </c>
      <c r="G2927">
        <v>5</v>
      </c>
      <c r="H2927">
        <v>1800</v>
      </c>
      <c r="I2927">
        <v>5</v>
      </c>
      <c r="J2927">
        <v>10.9</v>
      </c>
      <c r="K2927">
        <v>5</v>
      </c>
      <c r="L2927">
        <v>8.5999999999999993E-2</v>
      </c>
      <c r="M2927">
        <v>4</v>
      </c>
      <c r="N2927">
        <v>104</v>
      </c>
      <c r="O2927">
        <v>5</v>
      </c>
      <c r="P2927">
        <v>0.67500000000000004</v>
      </c>
      <c r="Q2927">
        <v>5</v>
      </c>
      <c r="R2927">
        <v>8.0000000000000002E-3</v>
      </c>
      <c r="T2927" t="s">
        <v>8208</v>
      </c>
    </row>
    <row r="2928" spans="1:20" x14ac:dyDescent="0.2">
      <c r="A2928" t="s">
        <v>8210</v>
      </c>
      <c r="B2928" t="s">
        <v>2022</v>
      </c>
      <c r="C2928" t="s">
        <v>2036</v>
      </c>
      <c r="D2928" t="s">
        <v>2024</v>
      </c>
      <c r="E2928" t="s">
        <v>8211</v>
      </c>
      <c r="F2928" t="s">
        <v>8212</v>
      </c>
      <c r="G2928">
        <v>3</v>
      </c>
      <c r="H2928">
        <v>1740</v>
      </c>
      <c r="I2928">
        <v>5</v>
      </c>
      <c r="J2928">
        <v>7</v>
      </c>
      <c r="K2928">
        <v>5</v>
      </c>
      <c r="L2928">
        <v>0.17499999999999999</v>
      </c>
      <c r="M2928">
        <v>3</v>
      </c>
      <c r="N2928">
        <v>88</v>
      </c>
      <c r="O2928">
        <v>3</v>
      </c>
      <c r="P2928">
        <v>0.315</v>
      </c>
      <c r="Q2928">
        <v>5</v>
      </c>
      <c r="R2928">
        <v>1.2E-2</v>
      </c>
      <c r="T2928" t="s">
        <v>8211</v>
      </c>
    </row>
    <row r="2929" spans="1:20" x14ac:dyDescent="0.2">
      <c r="A2929" t="s">
        <v>8213</v>
      </c>
      <c r="B2929" t="s">
        <v>2022</v>
      </c>
      <c r="C2929" t="s">
        <v>2036</v>
      </c>
      <c r="D2929" t="s">
        <v>2024</v>
      </c>
      <c r="E2929" t="s">
        <v>8214</v>
      </c>
      <c r="F2929" t="s">
        <v>8215</v>
      </c>
      <c r="G2929">
        <v>5</v>
      </c>
      <c r="H2929">
        <v>1940</v>
      </c>
      <c r="I2929">
        <v>5</v>
      </c>
      <c r="J2929">
        <v>7</v>
      </c>
      <c r="K2929">
        <v>5</v>
      </c>
      <c r="L2929">
        <v>0.17499999999999999</v>
      </c>
      <c r="M2929">
        <v>5</v>
      </c>
      <c r="N2929">
        <v>100</v>
      </c>
      <c r="O2929">
        <v>5</v>
      </c>
      <c r="P2929">
        <v>0.53500000000000003</v>
      </c>
      <c r="Q2929">
        <v>5</v>
      </c>
      <c r="R2929">
        <v>1.2E-2</v>
      </c>
      <c r="T2929" t="s">
        <v>8214</v>
      </c>
    </row>
    <row r="2930" spans="1:20" x14ac:dyDescent="0.2">
      <c r="A2930" t="s">
        <v>8216</v>
      </c>
      <c r="B2930" t="s">
        <v>2022</v>
      </c>
      <c r="C2930" t="s">
        <v>2053</v>
      </c>
      <c r="D2930" t="s">
        <v>2024</v>
      </c>
      <c r="E2930" t="s">
        <v>8217</v>
      </c>
      <c r="F2930" t="s">
        <v>8218</v>
      </c>
      <c r="G2930">
        <v>1</v>
      </c>
      <c r="H2930">
        <v>1500</v>
      </c>
      <c r="I2930">
        <v>2</v>
      </c>
      <c r="J2930">
        <v>4.05</v>
      </c>
      <c r="K2930">
        <v>2</v>
      </c>
      <c r="L2930">
        <v>8.5000000000000006E-2</v>
      </c>
      <c r="M2930">
        <v>5</v>
      </c>
      <c r="N2930">
        <v>113</v>
      </c>
      <c r="O2930">
        <v>3</v>
      </c>
      <c r="P2930">
        <v>0.375</v>
      </c>
      <c r="Q2930">
        <v>3</v>
      </c>
      <c r="R2930">
        <v>1.2200000000000001E-2</v>
      </c>
      <c r="T2930" t="s">
        <v>8217</v>
      </c>
    </row>
    <row r="2931" spans="1:20" x14ac:dyDescent="0.2">
      <c r="A2931" t="s">
        <v>8219</v>
      </c>
      <c r="B2931" t="s">
        <v>2022</v>
      </c>
      <c r="C2931" t="s">
        <v>2036</v>
      </c>
      <c r="D2931" t="s">
        <v>2024</v>
      </c>
      <c r="E2931" t="s">
        <v>8220</v>
      </c>
      <c r="F2931" t="s">
        <v>8221</v>
      </c>
      <c r="G2931">
        <v>5</v>
      </c>
      <c r="H2931">
        <v>1940</v>
      </c>
      <c r="I2931">
        <v>5</v>
      </c>
      <c r="J2931">
        <v>7</v>
      </c>
      <c r="K2931">
        <v>5</v>
      </c>
      <c r="L2931">
        <v>0.17499999999999999</v>
      </c>
      <c r="M2931">
        <v>5</v>
      </c>
      <c r="N2931">
        <v>100</v>
      </c>
      <c r="O2931">
        <v>4</v>
      </c>
      <c r="P2931">
        <v>0.42499999999999999</v>
      </c>
      <c r="Q2931">
        <v>5</v>
      </c>
      <c r="R2931">
        <v>1.2E-2</v>
      </c>
      <c r="T2931" t="s">
        <v>8220</v>
      </c>
    </row>
    <row r="2932" spans="1:20" x14ac:dyDescent="0.2">
      <c r="A2932" t="s">
        <v>8222</v>
      </c>
      <c r="B2932" t="s">
        <v>2022</v>
      </c>
      <c r="C2932" t="s">
        <v>2023</v>
      </c>
      <c r="D2932" t="s">
        <v>2024</v>
      </c>
      <c r="E2932" t="s">
        <v>8223</v>
      </c>
      <c r="F2932" t="s">
        <v>8224</v>
      </c>
      <c r="G2932">
        <v>3</v>
      </c>
      <c r="H2932">
        <v>1640</v>
      </c>
      <c r="I2932">
        <v>2</v>
      </c>
      <c r="J2932">
        <v>3.4</v>
      </c>
      <c r="K2932">
        <v>2</v>
      </c>
      <c r="L2932">
        <v>2.5999999999999999E-2</v>
      </c>
      <c r="M2932">
        <v>2</v>
      </c>
      <c r="N2932">
        <v>84</v>
      </c>
      <c r="O2932">
        <v>2</v>
      </c>
      <c r="P2932">
        <v>0.22500000000000001</v>
      </c>
      <c r="Q2932">
        <v>2</v>
      </c>
      <c r="R2932">
        <v>2E-3</v>
      </c>
      <c r="T2932" t="s">
        <v>8223</v>
      </c>
    </row>
    <row r="2933" spans="1:20" x14ac:dyDescent="0.2">
      <c r="A2933" t="s">
        <v>8225</v>
      </c>
      <c r="B2933" t="s">
        <v>2022</v>
      </c>
      <c r="C2933" t="s">
        <v>2023</v>
      </c>
      <c r="D2933" t="s">
        <v>2024</v>
      </c>
      <c r="E2933" t="s">
        <v>8226</v>
      </c>
      <c r="F2933" t="s">
        <v>8227</v>
      </c>
      <c r="G2933">
        <v>1</v>
      </c>
      <c r="H2933">
        <v>1480</v>
      </c>
      <c r="I2933">
        <v>2</v>
      </c>
      <c r="J2933">
        <v>3.4</v>
      </c>
      <c r="K2933">
        <v>3</v>
      </c>
      <c r="L2933">
        <v>4.5999999999999999E-2</v>
      </c>
      <c r="M2933">
        <v>3</v>
      </c>
      <c r="N2933">
        <v>94</v>
      </c>
      <c r="O2933">
        <v>2</v>
      </c>
      <c r="P2933">
        <v>0.22500000000000001</v>
      </c>
      <c r="Q2933">
        <v>3</v>
      </c>
      <c r="R2933">
        <v>4.0000000000000001E-3</v>
      </c>
      <c r="T2933" t="s">
        <v>8226</v>
      </c>
    </row>
    <row r="2934" spans="1:20" x14ac:dyDescent="0.2">
      <c r="A2934" t="s">
        <v>8228</v>
      </c>
      <c r="B2934" t="s">
        <v>2022</v>
      </c>
      <c r="C2934" t="s">
        <v>2101</v>
      </c>
      <c r="D2934" t="s">
        <v>2024</v>
      </c>
      <c r="E2934" t="s">
        <v>8229</v>
      </c>
      <c r="F2934" t="s">
        <v>8230</v>
      </c>
      <c r="G2934">
        <v>1</v>
      </c>
      <c r="H2934">
        <v>1570</v>
      </c>
      <c r="I2934">
        <v>3</v>
      </c>
      <c r="J2934">
        <v>8</v>
      </c>
      <c r="K2934">
        <v>3</v>
      </c>
      <c r="L2934">
        <v>0.24349999999999999</v>
      </c>
      <c r="M2934">
        <v>5</v>
      </c>
      <c r="N2934">
        <v>98</v>
      </c>
      <c r="O2934">
        <v>4</v>
      </c>
      <c r="P2934">
        <v>0.52500000000000002</v>
      </c>
      <c r="Q2934">
        <v>4</v>
      </c>
      <c r="R2934">
        <v>1.8499999999999999E-2</v>
      </c>
      <c r="T2934" t="s">
        <v>8229</v>
      </c>
    </row>
    <row r="2935" spans="1:20" x14ac:dyDescent="0.2">
      <c r="A2935" t="s">
        <v>8231</v>
      </c>
      <c r="B2935" t="s">
        <v>2022</v>
      </c>
      <c r="C2935" t="s">
        <v>2036</v>
      </c>
      <c r="D2935" t="s">
        <v>2024</v>
      </c>
      <c r="E2935" t="s">
        <v>8232</v>
      </c>
      <c r="F2935" t="s">
        <v>8233</v>
      </c>
      <c r="G2935">
        <v>5</v>
      </c>
      <c r="H2935">
        <v>1940</v>
      </c>
      <c r="I2935">
        <v>5</v>
      </c>
      <c r="J2935">
        <v>7</v>
      </c>
      <c r="K2935">
        <v>5</v>
      </c>
      <c r="L2935">
        <v>0.17499999999999999</v>
      </c>
      <c r="M2935">
        <v>5</v>
      </c>
      <c r="N2935">
        <v>100</v>
      </c>
      <c r="O2935">
        <v>5</v>
      </c>
      <c r="P2935">
        <v>0.53500000000000003</v>
      </c>
      <c r="Q2935">
        <v>5</v>
      </c>
      <c r="R2935">
        <v>1.2E-2</v>
      </c>
      <c r="T2935" t="s">
        <v>8232</v>
      </c>
    </row>
    <row r="2936" spans="1:20" x14ac:dyDescent="0.2">
      <c r="A2936" t="s">
        <v>8234</v>
      </c>
      <c r="B2936" t="s">
        <v>2022</v>
      </c>
      <c r="C2936" t="s">
        <v>2036</v>
      </c>
      <c r="D2936" t="s">
        <v>2024</v>
      </c>
      <c r="E2936" t="s">
        <v>8235</v>
      </c>
      <c r="F2936" t="s">
        <v>8236</v>
      </c>
      <c r="G2936">
        <v>4</v>
      </c>
      <c r="H2936">
        <v>1840</v>
      </c>
      <c r="I2936">
        <v>5</v>
      </c>
      <c r="J2936">
        <v>7</v>
      </c>
      <c r="K2936">
        <v>5</v>
      </c>
      <c r="L2936">
        <v>0.17499999999999999</v>
      </c>
      <c r="M2936">
        <v>4</v>
      </c>
      <c r="N2936">
        <v>94</v>
      </c>
      <c r="O2936">
        <v>5</v>
      </c>
      <c r="P2936">
        <v>0.53500000000000003</v>
      </c>
      <c r="Q2936">
        <v>5</v>
      </c>
      <c r="R2936">
        <v>1.2E-2</v>
      </c>
      <c r="T2936" t="s">
        <v>8235</v>
      </c>
    </row>
    <row r="2937" spans="1:20" x14ac:dyDescent="0.2">
      <c r="A2937" t="s">
        <v>8237</v>
      </c>
      <c r="B2937" t="s">
        <v>2022</v>
      </c>
      <c r="C2937" t="s">
        <v>2023</v>
      </c>
      <c r="D2937" t="s">
        <v>2024</v>
      </c>
      <c r="E2937" t="s">
        <v>8238</v>
      </c>
      <c r="F2937" t="s">
        <v>8239</v>
      </c>
      <c r="G2937">
        <v>4</v>
      </c>
      <c r="H2937">
        <v>1720</v>
      </c>
      <c r="I2937">
        <v>5</v>
      </c>
      <c r="J2937">
        <v>10.9</v>
      </c>
      <c r="K2937">
        <v>5</v>
      </c>
      <c r="L2937">
        <v>8.5999999999999993E-2</v>
      </c>
      <c r="M2937">
        <v>1</v>
      </c>
      <c r="N2937">
        <v>74</v>
      </c>
      <c r="O2937">
        <v>5</v>
      </c>
      <c r="P2937">
        <v>0.67500000000000004</v>
      </c>
      <c r="Q2937">
        <v>5</v>
      </c>
      <c r="R2937">
        <v>8.0000000000000002E-3</v>
      </c>
      <c r="T2937" t="s">
        <v>8238</v>
      </c>
    </row>
    <row r="2938" spans="1:20" x14ac:dyDescent="0.2">
      <c r="A2938" t="s">
        <v>8240</v>
      </c>
      <c r="B2938" t="s">
        <v>2022</v>
      </c>
      <c r="C2938" t="s">
        <v>2023</v>
      </c>
      <c r="D2938" t="s">
        <v>2024</v>
      </c>
      <c r="E2938" t="s">
        <v>8241</v>
      </c>
      <c r="F2938" t="s">
        <v>8242</v>
      </c>
      <c r="G2938">
        <v>2</v>
      </c>
      <c r="H2938">
        <v>1560</v>
      </c>
      <c r="I2938">
        <v>2</v>
      </c>
      <c r="J2938">
        <v>3.4</v>
      </c>
      <c r="K2938">
        <v>3</v>
      </c>
      <c r="L2938">
        <v>4.5999999999999999E-2</v>
      </c>
      <c r="M2938">
        <v>3</v>
      </c>
      <c r="N2938">
        <v>94</v>
      </c>
      <c r="O2938">
        <v>2</v>
      </c>
      <c r="P2938">
        <v>0.22500000000000001</v>
      </c>
      <c r="Q2938">
        <v>2</v>
      </c>
      <c r="R2938">
        <v>2E-3</v>
      </c>
      <c r="T2938" t="s">
        <v>8241</v>
      </c>
    </row>
    <row r="2939" spans="1:20" x14ac:dyDescent="0.2">
      <c r="A2939" t="s">
        <v>8243</v>
      </c>
      <c r="B2939" t="s">
        <v>2022</v>
      </c>
      <c r="C2939" t="s">
        <v>2023</v>
      </c>
      <c r="D2939" t="s">
        <v>2136</v>
      </c>
      <c r="E2939" t="s">
        <v>8244</v>
      </c>
      <c r="F2939" t="s">
        <v>8245</v>
      </c>
      <c r="G2939">
        <v>5</v>
      </c>
      <c r="H2939">
        <v>1800</v>
      </c>
      <c r="I2939">
        <v>2</v>
      </c>
      <c r="J2939">
        <v>3.4</v>
      </c>
      <c r="K2939">
        <v>2</v>
      </c>
      <c r="L2939">
        <v>2.5999999999999999E-2</v>
      </c>
      <c r="M2939">
        <v>2</v>
      </c>
      <c r="N2939">
        <v>84</v>
      </c>
      <c r="O2939">
        <v>2</v>
      </c>
      <c r="P2939">
        <v>0.22500000000000001</v>
      </c>
      <c r="Q2939">
        <v>1</v>
      </c>
      <c r="R2939">
        <v>5.0000000000000001E-4</v>
      </c>
      <c r="T2939" t="s">
        <v>8244</v>
      </c>
    </row>
    <row r="2940" spans="1:20" x14ac:dyDescent="0.2">
      <c r="A2940" t="s">
        <v>8246</v>
      </c>
      <c r="B2940" t="s">
        <v>2022</v>
      </c>
      <c r="C2940" t="s">
        <v>2036</v>
      </c>
      <c r="D2940" t="s">
        <v>2136</v>
      </c>
      <c r="E2940" t="s">
        <v>8247</v>
      </c>
      <c r="F2940" t="s">
        <v>447</v>
      </c>
      <c r="G2940">
        <v>1</v>
      </c>
      <c r="H2940">
        <v>1540</v>
      </c>
      <c r="I2940">
        <v>3</v>
      </c>
      <c r="J2940">
        <v>4.5999999999999996</v>
      </c>
      <c r="K2940">
        <v>5</v>
      </c>
      <c r="L2940">
        <v>0.17499999999999999</v>
      </c>
      <c r="M2940">
        <v>4</v>
      </c>
      <c r="N2940">
        <v>94</v>
      </c>
      <c r="O2940">
        <v>3</v>
      </c>
      <c r="P2940">
        <v>0.315</v>
      </c>
      <c r="Q2940">
        <v>5</v>
      </c>
      <c r="R2940">
        <v>1.2E-2</v>
      </c>
      <c r="T2940" t="s">
        <v>8247</v>
      </c>
    </row>
    <row r="2941" spans="1:20" x14ac:dyDescent="0.2">
      <c r="A2941" t="s">
        <v>8248</v>
      </c>
      <c r="B2941" t="s">
        <v>2022</v>
      </c>
      <c r="C2941" t="s">
        <v>2036</v>
      </c>
      <c r="D2941" t="s">
        <v>2024</v>
      </c>
      <c r="E2941" t="s">
        <v>8249</v>
      </c>
      <c r="F2941" t="s">
        <v>8250</v>
      </c>
      <c r="G2941">
        <v>4</v>
      </c>
      <c r="H2941">
        <v>1840</v>
      </c>
      <c r="I2941">
        <v>1</v>
      </c>
      <c r="J2941">
        <v>2.2000000000000002</v>
      </c>
      <c r="K2941">
        <v>2</v>
      </c>
      <c r="L2941">
        <v>8.5000000000000006E-2</v>
      </c>
      <c r="M2941">
        <v>2</v>
      </c>
      <c r="N2941">
        <v>82</v>
      </c>
      <c r="O2941">
        <v>1</v>
      </c>
      <c r="P2941">
        <v>9.5000000000000001E-2</v>
      </c>
      <c r="Q2941">
        <v>2</v>
      </c>
      <c r="R2941">
        <v>4.2500000000000003E-3</v>
      </c>
      <c r="T2941" t="s">
        <v>8249</v>
      </c>
    </row>
    <row r="2942" spans="1:20" x14ac:dyDescent="0.2">
      <c r="A2942" t="s">
        <v>8251</v>
      </c>
      <c r="B2942" t="s">
        <v>2022</v>
      </c>
      <c r="C2942" t="s">
        <v>2023</v>
      </c>
      <c r="D2942" t="s">
        <v>2024</v>
      </c>
      <c r="E2942" t="s">
        <v>8252</v>
      </c>
      <c r="F2942" t="s">
        <v>8253</v>
      </c>
      <c r="G2942">
        <v>5</v>
      </c>
      <c r="H2942">
        <v>1800</v>
      </c>
      <c r="I2942">
        <v>3</v>
      </c>
      <c r="J2942">
        <v>5.9</v>
      </c>
      <c r="K2942">
        <v>2</v>
      </c>
      <c r="L2942">
        <v>2.5999999999999999E-2</v>
      </c>
      <c r="M2942">
        <v>2</v>
      </c>
      <c r="N2942">
        <v>84</v>
      </c>
      <c r="O2942">
        <v>2</v>
      </c>
      <c r="P2942">
        <v>0.22500000000000001</v>
      </c>
      <c r="Q2942">
        <v>2</v>
      </c>
      <c r="R2942">
        <v>2E-3</v>
      </c>
      <c r="T2942" t="s">
        <v>8252</v>
      </c>
    </row>
    <row r="2943" spans="1:20" x14ac:dyDescent="0.2">
      <c r="A2943" t="s">
        <v>8254</v>
      </c>
      <c r="B2943" t="s">
        <v>2022</v>
      </c>
      <c r="C2943" t="s">
        <v>2023</v>
      </c>
      <c r="D2943" t="s">
        <v>2024</v>
      </c>
      <c r="E2943" t="s">
        <v>8255</v>
      </c>
      <c r="F2943" t="s">
        <v>8256</v>
      </c>
      <c r="G2943">
        <v>2</v>
      </c>
      <c r="H2943">
        <v>1560</v>
      </c>
      <c r="I2943">
        <v>4</v>
      </c>
      <c r="J2943">
        <v>8.4</v>
      </c>
      <c r="K2943">
        <v>2</v>
      </c>
      <c r="L2943">
        <v>2.5999999999999999E-2</v>
      </c>
      <c r="M2943">
        <v>1</v>
      </c>
      <c r="N2943">
        <v>74</v>
      </c>
      <c r="O2943">
        <v>3</v>
      </c>
      <c r="P2943">
        <v>0.375</v>
      </c>
      <c r="Q2943">
        <v>2</v>
      </c>
      <c r="R2943">
        <v>2E-3</v>
      </c>
      <c r="T2943" t="s">
        <v>8255</v>
      </c>
    </row>
    <row r="2944" spans="1:20" x14ac:dyDescent="0.2">
      <c r="A2944" t="s">
        <v>8257</v>
      </c>
      <c r="B2944" t="s">
        <v>2022</v>
      </c>
      <c r="C2944" t="s">
        <v>2023</v>
      </c>
      <c r="D2944" t="s">
        <v>2024</v>
      </c>
      <c r="E2944" t="s">
        <v>8258</v>
      </c>
      <c r="F2944" t="s">
        <v>8259</v>
      </c>
      <c r="G2944">
        <v>2</v>
      </c>
      <c r="H2944">
        <v>1560</v>
      </c>
      <c r="I2944">
        <v>2</v>
      </c>
      <c r="J2944">
        <v>3.4</v>
      </c>
      <c r="K2944">
        <v>2</v>
      </c>
      <c r="L2944">
        <v>2.5999999999999999E-2</v>
      </c>
      <c r="M2944">
        <v>2</v>
      </c>
      <c r="N2944">
        <v>84</v>
      </c>
      <c r="O2944">
        <v>2</v>
      </c>
      <c r="P2944">
        <v>0.22500000000000001</v>
      </c>
      <c r="Q2944">
        <v>2</v>
      </c>
      <c r="R2944">
        <v>2E-3</v>
      </c>
      <c r="T2944" t="s">
        <v>8258</v>
      </c>
    </row>
    <row r="2945" spans="1:20" x14ac:dyDescent="0.2">
      <c r="A2945" t="s">
        <v>8260</v>
      </c>
      <c r="B2945" t="s">
        <v>2022</v>
      </c>
      <c r="C2945" t="s">
        <v>2036</v>
      </c>
      <c r="D2945" t="s">
        <v>2024</v>
      </c>
      <c r="E2945" t="s">
        <v>8261</v>
      </c>
      <c r="F2945" t="s">
        <v>8262</v>
      </c>
      <c r="G2945">
        <v>5</v>
      </c>
      <c r="H2945">
        <v>1940</v>
      </c>
      <c r="I2945">
        <v>4</v>
      </c>
      <c r="J2945">
        <v>5.8</v>
      </c>
      <c r="K2945">
        <v>5</v>
      </c>
      <c r="L2945">
        <v>0.17499999999999999</v>
      </c>
      <c r="M2945">
        <v>4</v>
      </c>
      <c r="N2945">
        <v>94</v>
      </c>
      <c r="O2945">
        <v>3</v>
      </c>
      <c r="P2945">
        <v>0.315</v>
      </c>
      <c r="Q2945">
        <v>4</v>
      </c>
      <c r="R2945">
        <v>9.2499999999999995E-3</v>
      </c>
      <c r="T2945" t="s">
        <v>8261</v>
      </c>
    </row>
    <row r="2946" spans="1:20" x14ac:dyDescent="0.2">
      <c r="A2946" t="s">
        <v>8263</v>
      </c>
      <c r="B2946" t="s">
        <v>2022</v>
      </c>
      <c r="C2946" t="s">
        <v>2053</v>
      </c>
      <c r="D2946" t="s">
        <v>2024</v>
      </c>
      <c r="E2946" t="s">
        <v>8264</v>
      </c>
      <c r="F2946" t="s">
        <v>8265</v>
      </c>
      <c r="G2946">
        <v>3</v>
      </c>
      <c r="H2946">
        <v>1700</v>
      </c>
      <c r="I2946">
        <v>2</v>
      </c>
      <c r="J2946">
        <v>4.05</v>
      </c>
      <c r="K2946">
        <v>1</v>
      </c>
      <c r="L2946">
        <v>1.4999999999999999E-2</v>
      </c>
      <c r="M2946">
        <v>3</v>
      </c>
      <c r="N2946">
        <v>93</v>
      </c>
      <c r="O2946">
        <v>2</v>
      </c>
      <c r="P2946">
        <v>0.22500000000000001</v>
      </c>
      <c r="Q2946">
        <v>1</v>
      </c>
      <c r="R2946">
        <v>8.4999999999999995E-4</v>
      </c>
      <c r="T2946" t="s">
        <v>8264</v>
      </c>
    </row>
    <row r="2947" spans="1:20" x14ac:dyDescent="0.2">
      <c r="A2947" t="s">
        <v>8266</v>
      </c>
      <c r="B2947" t="s">
        <v>2022</v>
      </c>
      <c r="C2947" t="s">
        <v>2023</v>
      </c>
      <c r="D2947" t="s">
        <v>2024</v>
      </c>
      <c r="E2947" t="s">
        <v>295</v>
      </c>
      <c r="F2947" t="s">
        <v>8267</v>
      </c>
      <c r="G2947">
        <v>1</v>
      </c>
      <c r="H2947">
        <v>1480</v>
      </c>
      <c r="I2947">
        <v>5</v>
      </c>
      <c r="J2947">
        <v>10.9</v>
      </c>
      <c r="K2947">
        <v>5</v>
      </c>
      <c r="L2947">
        <v>8.5999999999999993E-2</v>
      </c>
      <c r="M2947">
        <v>3</v>
      </c>
      <c r="N2947">
        <v>94</v>
      </c>
      <c r="O2947">
        <v>5</v>
      </c>
      <c r="P2947">
        <v>0.67500000000000004</v>
      </c>
      <c r="Q2947">
        <v>5</v>
      </c>
      <c r="R2947">
        <v>8.0000000000000002E-3</v>
      </c>
      <c r="T2947" t="s">
        <v>295</v>
      </c>
    </row>
    <row r="2948" spans="1:20" x14ac:dyDescent="0.2">
      <c r="A2948" t="s">
        <v>8268</v>
      </c>
      <c r="B2948" t="s">
        <v>2022</v>
      </c>
      <c r="C2948" t="s">
        <v>2023</v>
      </c>
      <c r="D2948" t="s">
        <v>2024</v>
      </c>
      <c r="E2948" t="s">
        <v>8269</v>
      </c>
      <c r="F2948" t="s">
        <v>8270</v>
      </c>
      <c r="G2948">
        <v>3</v>
      </c>
      <c r="H2948">
        <v>1640</v>
      </c>
      <c r="I2948">
        <v>5</v>
      </c>
      <c r="J2948">
        <v>10.9</v>
      </c>
      <c r="K2948">
        <v>5</v>
      </c>
      <c r="L2948">
        <v>8.5999999999999993E-2</v>
      </c>
      <c r="M2948">
        <v>3</v>
      </c>
      <c r="N2948">
        <v>94</v>
      </c>
      <c r="O2948">
        <v>5</v>
      </c>
      <c r="P2948">
        <v>0.67500000000000004</v>
      </c>
      <c r="Q2948">
        <v>5</v>
      </c>
      <c r="R2948">
        <v>8.0000000000000002E-3</v>
      </c>
      <c r="T2948" t="s">
        <v>8269</v>
      </c>
    </row>
    <row r="2949" spans="1:20" x14ac:dyDescent="0.2">
      <c r="A2949" t="s">
        <v>8271</v>
      </c>
      <c r="B2949" t="s">
        <v>2022</v>
      </c>
      <c r="C2949" t="s">
        <v>2023</v>
      </c>
      <c r="D2949" t="s">
        <v>2024</v>
      </c>
      <c r="E2949" t="s">
        <v>8272</v>
      </c>
      <c r="F2949" t="s">
        <v>8273</v>
      </c>
      <c r="G2949">
        <v>5</v>
      </c>
      <c r="H2949">
        <v>1800</v>
      </c>
      <c r="I2949">
        <v>2</v>
      </c>
      <c r="J2949">
        <v>3.4</v>
      </c>
      <c r="K2949">
        <v>2</v>
      </c>
      <c r="L2949">
        <v>2.5999999999999999E-2</v>
      </c>
      <c r="M2949">
        <v>3</v>
      </c>
      <c r="N2949">
        <v>94</v>
      </c>
      <c r="O2949">
        <v>1</v>
      </c>
      <c r="P2949">
        <v>7.4999999999999997E-2</v>
      </c>
      <c r="Q2949">
        <v>2</v>
      </c>
      <c r="R2949">
        <v>2E-3</v>
      </c>
      <c r="T2949" t="s">
        <v>8272</v>
      </c>
    </row>
    <row r="2950" spans="1:20" x14ac:dyDescent="0.2">
      <c r="A2950" t="s">
        <v>8274</v>
      </c>
      <c r="B2950" t="s">
        <v>2022</v>
      </c>
      <c r="C2950" t="s">
        <v>2173</v>
      </c>
      <c r="D2950" t="s">
        <v>2024</v>
      </c>
      <c r="E2950" t="s">
        <v>8275</v>
      </c>
      <c r="F2950" t="s">
        <v>8276</v>
      </c>
      <c r="G2950">
        <v>5</v>
      </c>
      <c r="H2950">
        <v>2182.5</v>
      </c>
      <c r="I2950">
        <v>3</v>
      </c>
      <c r="J2950">
        <v>9.0500000000000007</v>
      </c>
      <c r="K2950">
        <v>5</v>
      </c>
      <c r="L2950">
        <v>0.45</v>
      </c>
      <c r="M2950">
        <v>5</v>
      </c>
      <c r="N2950">
        <v>140.5</v>
      </c>
      <c r="O2950">
        <v>4</v>
      </c>
      <c r="P2950">
        <v>0.69</v>
      </c>
      <c r="Q2950">
        <v>5</v>
      </c>
      <c r="R2950">
        <v>2.58E-2</v>
      </c>
      <c r="T2950" t="s">
        <v>8275</v>
      </c>
    </row>
    <row r="2951" spans="1:20" x14ac:dyDescent="0.2">
      <c r="A2951" t="s">
        <v>8277</v>
      </c>
      <c r="B2951" t="s">
        <v>2022</v>
      </c>
      <c r="C2951" t="s">
        <v>2023</v>
      </c>
      <c r="D2951" t="s">
        <v>2024</v>
      </c>
      <c r="E2951" t="s">
        <v>357</v>
      </c>
      <c r="F2951" t="s">
        <v>447</v>
      </c>
      <c r="G2951">
        <v>1</v>
      </c>
      <c r="H2951">
        <v>1480</v>
      </c>
      <c r="I2951">
        <v>1</v>
      </c>
      <c r="J2951">
        <v>0.9</v>
      </c>
      <c r="K2951">
        <v>1</v>
      </c>
      <c r="L2951">
        <v>6.0000000000000001E-3</v>
      </c>
      <c r="M2951">
        <v>5</v>
      </c>
      <c r="N2951">
        <v>114</v>
      </c>
      <c r="O2951">
        <v>2</v>
      </c>
      <c r="P2951">
        <v>0.22500000000000001</v>
      </c>
      <c r="Q2951">
        <v>4</v>
      </c>
      <c r="R2951">
        <v>6.0000000000000001E-3</v>
      </c>
      <c r="T2951" t="s">
        <v>357</v>
      </c>
    </row>
    <row r="2952" spans="1:20" x14ac:dyDescent="0.2">
      <c r="A2952" t="s">
        <v>8278</v>
      </c>
      <c r="B2952" t="s">
        <v>2022</v>
      </c>
      <c r="C2952" t="s">
        <v>2023</v>
      </c>
      <c r="D2952" t="s">
        <v>2024</v>
      </c>
      <c r="E2952" t="s">
        <v>8279</v>
      </c>
      <c r="F2952" t="s">
        <v>8280</v>
      </c>
      <c r="G2952">
        <v>2</v>
      </c>
      <c r="H2952">
        <v>1560</v>
      </c>
      <c r="I2952">
        <v>2</v>
      </c>
      <c r="J2952">
        <v>3.4</v>
      </c>
      <c r="K2952">
        <v>2</v>
      </c>
      <c r="L2952">
        <v>2.5999999999999999E-2</v>
      </c>
      <c r="M2952">
        <v>1</v>
      </c>
      <c r="N2952">
        <v>74</v>
      </c>
      <c r="O2952">
        <v>2</v>
      </c>
      <c r="P2952">
        <v>0.22500000000000001</v>
      </c>
      <c r="Q2952">
        <v>1</v>
      </c>
      <c r="R2952">
        <v>5.0000000000000001E-4</v>
      </c>
      <c r="T2952" t="s">
        <v>8279</v>
      </c>
    </row>
    <row r="2953" spans="1:20" x14ac:dyDescent="0.2">
      <c r="A2953" t="s">
        <v>8281</v>
      </c>
      <c r="B2953" t="s">
        <v>2022</v>
      </c>
      <c r="C2953" t="s">
        <v>2023</v>
      </c>
      <c r="D2953" t="s">
        <v>2024</v>
      </c>
      <c r="E2953" t="s">
        <v>8282</v>
      </c>
      <c r="F2953" t="s">
        <v>8283</v>
      </c>
      <c r="G2953">
        <v>5</v>
      </c>
      <c r="H2953">
        <v>1800</v>
      </c>
      <c r="I2953">
        <v>4</v>
      </c>
      <c r="J2953">
        <v>8.4</v>
      </c>
      <c r="K2953">
        <v>5</v>
      </c>
      <c r="L2953">
        <v>8.5999999999999993E-2</v>
      </c>
      <c r="M2953">
        <v>3</v>
      </c>
      <c r="N2953">
        <v>94</v>
      </c>
      <c r="O2953">
        <v>3</v>
      </c>
      <c r="P2953">
        <v>0.375</v>
      </c>
      <c r="Q2953">
        <v>5</v>
      </c>
      <c r="R2953">
        <v>8.0000000000000002E-3</v>
      </c>
      <c r="T2953" t="s">
        <v>8282</v>
      </c>
    </row>
    <row r="2954" spans="1:20" x14ac:dyDescent="0.2">
      <c r="A2954" t="s">
        <v>8284</v>
      </c>
      <c r="B2954" t="s">
        <v>2022</v>
      </c>
      <c r="C2954" t="s">
        <v>2053</v>
      </c>
      <c r="D2954" t="s">
        <v>2024</v>
      </c>
      <c r="E2954" t="s">
        <v>8285</v>
      </c>
      <c r="F2954" t="s">
        <v>8286</v>
      </c>
      <c r="G2954">
        <v>1</v>
      </c>
      <c r="H2954">
        <v>1500</v>
      </c>
      <c r="I2954">
        <v>3</v>
      </c>
      <c r="J2954">
        <v>6.55</v>
      </c>
      <c r="K2954">
        <v>3</v>
      </c>
      <c r="L2954">
        <v>0.19500000000000001</v>
      </c>
      <c r="M2954">
        <v>2</v>
      </c>
      <c r="N2954">
        <v>83</v>
      </c>
      <c r="O2954">
        <v>3</v>
      </c>
      <c r="P2954">
        <v>0.375</v>
      </c>
      <c r="Q2954">
        <v>3</v>
      </c>
      <c r="R2954">
        <v>1.2200000000000001E-2</v>
      </c>
      <c r="T2954" t="s">
        <v>8285</v>
      </c>
    </row>
    <row r="2955" spans="1:20" x14ac:dyDescent="0.2">
      <c r="A2955" t="s">
        <v>8287</v>
      </c>
      <c r="B2955" t="s">
        <v>2022</v>
      </c>
      <c r="C2955" t="s">
        <v>2101</v>
      </c>
      <c r="D2955" t="s">
        <v>2024</v>
      </c>
      <c r="E2955" t="s">
        <v>212</v>
      </c>
      <c r="F2955" t="s">
        <v>8288</v>
      </c>
      <c r="G2955">
        <v>1</v>
      </c>
      <c r="H2955">
        <v>1570</v>
      </c>
      <c r="I2955">
        <v>1</v>
      </c>
      <c r="J2955">
        <v>2</v>
      </c>
      <c r="K2955">
        <v>1</v>
      </c>
      <c r="L2955">
        <v>1.15E-2</v>
      </c>
      <c r="M2955">
        <v>1</v>
      </c>
      <c r="N2955">
        <v>66</v>
      </c>
      <c r="O2955">
        <v>1</v>
      </c>
      <c r="P2955">
        <v>7.4999999999999997E-2</v>
      </c>
      <c r="Q2955">
        <v>1</v>
      </c>
      <c r="R2955">
        <v>5.0000000000000001E-4</v>
      </c>
      <c r="T2955" t="s">
        <v>212</v>
      </c>
    </row>
    <row r="2956" spans="1:20" x14ac:dyDescent="0.2">
      <c r="A2956" t="s">
        <v>8289</v>
      </c>
      <c r="B2956" t="s">
        <v>2022</v>
      </c>
      <c r="C2956" t="s">
        <v>2023</v>
      </c>
      <c r="D2956" t="s">
        <v>2024</v>
      </c>
      <c r="E2956" t="s">
        <v>212</v>
      </c>
      <c r="F2956" t="s">
        <v>8288</v>
      </c>
      <c r="G2956">
        <v>4</v>
      </c>
      <c r="H2956">
        <v>1720</v>
      </c>
      <c r="I2956">
        <v>1</v>
      </c>
      <c r="J2956">
        <v>0.9</v>
      </c>
      <c r="K2956">
        <v>1</v>
      </c>
      <c r="L2956">
        <v>6.0000000000000001E-3</v>
      </c>
      <c r="M2956">
        <v>1</v>
      </c>
      <c r="N2956">
        <v>74</v>
      </c>
      <c r="O2956">
        <v>1</v>
      </c>
      <c r="P2956">
        <v>7.4999999999999997E-2</v>
      </c>
      <c r="Q2956">
        <v>1</v>
      </c>
      <c r="R2956">
        <v>5.0000000000000001E-4</v>
      </c>
      <c r="T2956" t="s">
        <v>212</v>
      </c>
    </row>
    <row r="2957" spans="1:20" x14ac:dyDescent="0.2">
      <c r="A2957" t="s">
        <v>8290</v>
      </c>
      <c r="B2957" t="s">
        <v>2022</v>
      </c>
      <c r="C2957" t="s">
        <v>2036</v>
      </c>
      <c r="D2957" t="s">
        <v>2024</v>
      </c>
      <c r="E2957" t="s">
        <v>212</v>
      </c>
      <c r="F2957" t="s">
        <v>8288</v>
      </c>
      <c r="G2957">
        <v>1</v>
      </c>
      <c r="H2957">
        <v>1540</v>
      </c>
      <c r="I2957">
        <v>2</v>
      </c>
      <c r="J2957">
        <v>3.4</v>
      </c>
      <c r="K2957">
        <v>2</v>
      </c>
      <c r="L2957">
        <v>8.5000000000000006E-2</v>
      </c>
      <c r="M2957">
        <v>1</v>
      </c>
      <c r="N2957">
        <v>76</v>
      </c>
      <c r="O2957">
        <v>1</v>
      </c>
      <c r="P2957">
        <v>9.5000000000000001E-2</v>
      </c>
      <c r="Q2957">
        <v>2</v>
      </c>
      <c r="R2957">
        <v>4.2500000000000003E-3</v>
      </c>
      <c r="T2957" t="s">
        <v>212</v>
      </c>
    </row>
    <row r="2958" spans="1:20" x14ac:dyDescent="0.2">
      <c r="A2958" t="s">
        <v>8291</v>
      </c>
      <c r="B2958" t="s">
        <v>2022</v>
      </c>
      <c r="C2958" t="s">
        <v>2023</v>
      </c>
      <c r="D2958" t="s">
        <v>2024</v>
      </c>
      <c r="E2958" t="s">
        <v>212</v>
      </c>
      <c r="F2958" t="s">
        <v>8288</v>
      </c>
      <c r="G2958">
        <v>1</v>
      </c>
      <c r="H2958">
        <v>1480</v>
      </c>
      <c r="I2958">
        <v>1</v>
      </c>
      <c r="J2958">
        <v>0.9</v>
      </c>
      <c r="K2958">
        <v>2</v>
      </c>
      <c r="L2958">
        <v>2.5999999999999999E-2</v>
      </c>
      <c r="M2958">
        <v>1</v>
      </c>
      <c r="N2958">
        <v>74</v>
      </c>
      <c r="O2958">
        <v>1</v>
      </c>
      <c r="P2958">
        <v>7.4999999999999997E-2</v>
      </c>
      <c r="Q2958">
        <v>2</v>
      </c>
      <c r="R2958">
        <v>2E-3</v>
      </c>
      <c r="T2958" t="s">
        <v>212</v>
      </c>
    </row>
    <row r="2959" spans="1:20" x14ac:dyDescent="0.2">
      <c r="A2959" t="s">
        <v>8292</v>
      </c>
      <c r="B2959" t="s">
        <v>2022</v>
      </c>
      <c r="C2959" t="s">
        <v>2023</v>
      </c>
      <c r="D2959" t="s">
        <v>2024</v>
      </c>
      <c r="E2959" t="s">
        <v>8293</v>
      </c>
      <c r="F2959" t="s">
        <v>8294</v>
      </c>
      <c r="G2959">
        <v>4</v>
      </c>
      <c r="H2959">
        <v>1720</v>
      </c>
      <c r="I2959">
        <v>3</v>
      </c>
      <c r="J2959">
        <v>5.9</v>
      </c>
      <c r="K2959">
        <v>5</v>
      </c>
      <c r="L2959">
        <v>8.5999999999999993E-2</v>
      </c>
      <c r="M2959">
        <v>5</v>
      </c>
      <c r="N2959">
        <v>114</v>
      </c>
      <c r="O2959">
        <v>5</v>
      </c>
      <c r="P2959">
        <v>0.67500000000000004</v>
      </c>
      <c r="Q2959">
        <v>5</v>
      </c>
      <c r="R2959">
        <v>8.0000000000000002E-3</v>
      </c>
      <c r="T2959" t="s">
        <v>8293</v>
      </c>
    </row>
    <row r="2960" spans="1:20" x14ac:dyDescent="0.2">
      <c r="A2960" t="s">
        <v>8295</v>
      </c>
      <c r="B2960" t="s">
        <v>2022</v>
      </c>
      <c r="C2960" t="s">
        <v>2023</v>
      </c>
      <c r="D2960" t="s">
        <v>2024</v>
      </c>
      <c r="E2960" t="s">
        <v>8296</v>
      </c>
      <c r="F2960" t="s">
        <v>8294</v>
      </c>
      <c r="G2960">
        <v>5</v>
      </c>
      <c r="H2960">
        <v>1800</v>
      </c>
      <c r="I2960">
        <v>3</v>
      </c>
      <c r="J2960">
        <v>5.9</v>
      </c>
      <c r="K2960">
        <v>5</v>
      </c>
      <c r="L2960">
        <v>8.5999999999999993E-2</v>
      </c>
      <c r="M2960">
        <v>5</v>
      </c>
      <c r="N2960">
        <v>114</v>
      </c>
      <c r="O2960">
        <v>3</v>
      </c>
      <c r="P2960">
        <v>0.375</v>
      </c>
      <c r="Q2960">
        <v>5</v>
      </c>
      <c r="R2960">
        <v>8.0000000000000002E-3</v>
      </c>
      <c r="T2960" t="s">
        <v>8296</v>
      </c>
    </row>
    <row r="2961" spans="1:20" x14ac:dyDescent="0.2">
      <c r="A2961" t="s">
        <v>8297</v>
      </c>
      <c r="B2961" t="s">
        <v>2022</v>
      </c>
      <c r="C2961" t="s">
        <v>2053</v>
      </c>
      <c r="D2961" t="s">
        <v>2024</v>
      </c>
      <c r="E2961" t="s">
        <v>8298</v>
      </c>
      <c r="F2961" t="s">
        <v>8299</v>
      </c>
      <c r="G2961">
        <v>5</v>
      </c>
      <c r="H2961">
        <v>1900</v>
      </c>
      <c r="I2961">
        <v>3</v>
      </c>
      <c r="J2961">
        <v>6.55</v>
      </c>
      <c r="K2961">
        <v>2</v>
      </c>
      <c r="L2961">
        <v>8.5000000000000006E-2</v>
      </c>
      <c r="M2961">
        <v>5</v>
      </c>
      <c r="N2961">
        <v>113</v>
      </c>
      <c r="O2961">
        <v>3</v>
      </c>
      <c r="P2961">
        <v>0.375</v>
      </c>
      <c r="Q2961">
        <v>3</v>
      </c>
      <c r="R2961">
        <v>1.2200000000000001E-2</v>
      </c>
      <c r="T2961" t="s">
        <v>8298</v>
      </c>
    </row>
    <row r="2962" spans="1:20" x14ac:dyDescent="0.2">
      <c r="A2962" t="s">
        <v>8300</v>
      </c>
      <c r="B2962" t="s">
        <v>2022</v>
      </c>
      <c r="C2962" t="s">
        <v>2023</v>
      </c>
      <c r="D2962" t="s">
        <v>2024</v>
      </c>
      <c r="E2962" t="s">
        <v>8301</v>
      </c>
      <c r="F2962" t="s">
        <v>447</v>
      </c>
      <c r="G2962">
        <v>5</v>
      </c>
      <c r="H2962">
        <v>1800</v>
      </c>
      <c r="I2962">
        <v>3</v>
      </c>
      <c r="J2962">
        <v>5.9</v>
      </c>
      <c r="K2962">
        <v>5</v>
      </c>
      <c r="L2962">
        <v>8.5999999999999993E-2</v>
      </c>
      <c r="M2962">
        <v>2</v>
      </c>
      <c r="N2962">
        <v>84</v>
      </c>
      <c r="O2962">
        <v>3</v>
      </c>
      <c r="P2962">
        <v>0.375</v>
      </c>
      <c r="Q2962">
        <v>5</v>
      </c>
      <c r="R2962">
        <v>8.0000000000000002E-3</v>
      </c>
      <c r="T2962" t="s">
        <v>8301</v>
      </c>
    </row>
    <row r="2963" spans="1:20" x14ac:dyDescent="0.2">
      <c r="A2963" t="s">
        <v>8302</v>
      </c>
      <c r="B2963" t="s">
        <v>2022</v>
      </c>
      <c r="C2963" t="s">
        <v>2023</v>
      </c>
      <c r="D2963" t="s">
        <v>2024</v>
      </c>
      <c r="E2963" t="s">
        <v>8303</v>
      </c>
      <c r="F2963" t="s">
        <v>8304</v>
      </c>
      <c r="G2963">
        <v>2</v>
      </c>
      <c r="H2963">
        <v>1560</v>
      </c>
      <c r="I2963">
        <v>1</v>
      </c>
      <c r="J2963">
        <v>0.9</v>
      </c>
      <c r="K2963">
        <v>1</v>
      </c>
      <c r="L2963">
        <v>6.0000000000000001E-3</v>
      </c>
      <c r="M2963">
        <v>1</v>
      </c>
      <c r="N2963">
        <v>74</v>
      </c>
      <c r="O2963">
        <v>1</v>
      </c>
      <c r="P2963">
        <v>7.4999999999999997E-2</v>
      </c>
      <c r="Q2963">
        <v>1</v>
      </c>
      <c r="R2963">
        <v>5.0000000000000001E-4</v>
      </c>
      <c r="T2963" t="s">
        <v>8303</v>
      </c>
    </row>
    <row r="2964" spans="1:20" x14ac:dyDescent="0.2">
      <c r="A2964" t="s">
        <v>8305</v>
      </c>
      <c r="B2964" t="s">
        <v>2022</v>
      </c>
      <c r="C2964" t="s">
        <v>2101</v>
      </c>
      <c r="D2964" t="s">
        <v>2024</v>
      </c>
      <c r="E2964" t="s">
        <v>8306</v>
      </c>
      <c r="F2964" t="s">
        <v>8307</v>
      </c>
      <c r="G2964">
        <v>2</v>
      </c>
      <c r="H2964">
        <v>1670</v>
      </c>
      <c r="I2964">
        <v>1</v>
      </c>
      <c r="J2964">
        <v>2</v>
      </c>
      <c r="K2964">
        <v>2</v>
      </c>
      <c r="L2964">
        <v>9.6500000000000002E-2</v>
      </c>
      <c r="M2964">
        <v>1</v>
      </c>
      <c r="N2964">
        <v>66</v>
      </c>
      <c r="O2964">
        <v>1</v>
      </c>
      <c r="P2964">
        <v>7.4999999999999997E-2</v>
      </c>
      <c r="Q2964">
        <v>2</v>
      </c>
      <c r="R2964">
        <v>4.4999999999999997E-3</v>
      </c>
      <c r="T2964" t="s">
        <v>8306</v>
      </c>
    </row>
    <row r="2965" spans="1:20" x14ac:dyDescent="0.2">
      <c r="A2965" t="s">
        <v>8308</v>
      </c>
      <c r="B2965" t="s">
        <v>2022</v>
      </c>
      <c r="C2965" t="s">
        <v>2106</v>
      </c>
      <c r="D2965" t="s">
        <v>2024</v>
      </c>
      <c r="E2965" t="s">
        <v>8306</v>
      </c>
      <c r="F2965" t="s">
        <v>8307</v>
      </c>
      <c r="G2965">
        <v>3</v>
      </c>
      <c r="H2965">
        <v>1975</v>
      </c>
      <c r="I2965">
        <v>1</v>
      </c>
      <c r="J2965">
        <v>3.25</v>
      </c>
      <c r="K2965">
        <v>1</v>
      </c>
      <c r="L2965">
        <v>0.01</v>
      </c>
      <c r="M2965">
        <v>2</v>
      </c>
      <c r="N2965">
        <v>68.5</v>
      </c>
      <c r="O2965">
        <v>1</v>
      </c>
      <c r="P2965">
        <v>0.05</v>
      </c>
      <c r="Q2965">
        <v>1</v>
      </c>
      <c r="R2965">
        <v>5.0000000000000001E-4</v>
      </c>
      <c r="T2965" t="s">
        <v>8306</v>
      </c>
    </row>
    <row r="2966" spans="1:20" x14ac:dyDescent="0.2">
      <c r="A2966" t="s">
        <v>8309</v>
      </c>
      <c r="B2966" t="s">
        <v>2022</v>
      </c>
      <c r="C2966" t="s">
        <v>2023</v>
      </c>
      <c r="D2966" t="s">
        <v>2024</v>
      </c>
      <c r="E2966" t="s">
        <v>8310</v>
      </c>
      <c r="F2966" t="s">
        <v>8311</v>
      </c>
      <c r="G2966">
        <v>4</v>
      </c>
      <c r="H2966">
        <v>1720</v>
      </c>
      <c r="I2966">
        <v>2</v>
      </c>
      <c r="J2966">
        <v>3.4</v>
      </c>
      <c r="K2966">
        <v>2</v>
      </c>
      <c r="L2966">
        <v>2.5999999999999999E-2</v>
      </c>
      <c r="M2966">
        <v>2</v>
      </c>
      <c r="N2966">
        <v>84</v>
      </c>
      <c r="O2966">
        <v>2</v>
      </c>
      <c r="P2966">
        <v>0.22500000000000001</v>
      </c>
      <c r="Q2966">
        <v>2</v>
      </c>
      <c r="R2966">
        <v>2E-3</v>
      </c>
      <c r="T2966" t="s">
        <v>8310</v>
      </c>
    </row>
    <row r="2967" spans="1:20" x14ac:dyDescent="0.2">
      <c r="A2967" t="s">
        <v>8312</v>
      </c>
      <c r="B2967" t="s">
        <v>2022</v>
      </c>
      <c r="C2967" t="s">
        <v>2036</v>
      </c>
      <c r="D2967" t="s">
        <v>2024</v>
      </c>
      <c r="E2967" t="s">
        <v>8313</v>
      </c>
      <c r="F2967" t="s">
        <v>8314</v>
      </c>
      <c r="G2967">
        <v>3</v>
      </c>
      <c r="H2967">
        <v>1740</v>
      </c>
      <c r="I2967">
        <v>2</v>
      </c>
      <c r="J2967">
        <v>3.4</v>
      </c>
      <c r="K2967">
        <v>4</v>
      </c>
      <c r="L2967">
        <v>0.14499999999999999</v>
      </c>
      <c r="M2967">
        <v>5</v>
      </c>
      <c r="N2967">
        <v>100</v>
      </c>
      <c r="O2967">
        <v>2</v>
      </c>
      <c r="P2967">
        <v>0.20499999999999999</v>
      </c>
      <c r="Q2967">
        <v>3</v>
      </c>
      <c r="R2967">
        <v>6.7499999999999999E-3</v>
      </c>
      <c r="T2967" t="s">
        <v>8313</v>
      </c>
    </row>
    <row r="2968" spans="1:20" x14ac:dyDescent="0.2">
      <c r="A2968" t="s">
        <v>8315</v>
      </c>
      <c r="B2968" t="s">
        <v>2022</v>
      </c>
      <c r="C2968" t="s">
        <v>2036</v>
      </c>
      <c r="D2968" t="s">
        <v>2154</v>
      </c>
      <c r="E2968" t="s">
        <v>8316</v>
      </c>
      <c r="F2968" t="s">
        <v>8317</v>
      </c>
      <c r="G2968">
        <v>2</v>
      </c>
      <c r="H2968">
        <v>1640</v>
      </c>
      <c r="I2968">
        <v>5</v>
      </c>
      <c r="J2968">
        <v>7</v>
      </c>
      <c r="K2968">
        <v>5</v>
      </c>
      <c r="L2968">
        <v>0.17499999999999999</v>
      </c>
      <c r="M2968">
        <v>2</v>
      </c>
      <c r="N2968">
        <v>82</v>
      </c>
      <c r="O2968">
        <v>5</v>
      </c>
      <c r="P2968">
        <v>0.53500000000000003</v>
      </c>
      <c r="Q2968">
        <v>5</v>
      </c>
      <c r="R2968">
        <v>1.2E-2</v>
      </c>
      <c r="T2968" t="s">
        <v>8316</v>
      </c>
    </row>
    <row r="2969" spans="1:20" x14ac:dyDescent="0.2">
      <c r="A2969" t="s">
        <v>8318</v>
      </c>
      <c r="B2969" t="s">
        <v>2022</v>
      </c>
      <c r="C2969" t="s">
        <v>2053</v>
      </c>
      <c r="D2969" t="s">
        <v>2024</v>
      </c>
      <c r="E2969" t="s">
        <v>8319</v>
      </c>
      <c r="F2969" t="s">
        <v>8320</v>
      </c>
      <c r="G2969">
        <v>3</v>
      </c>
      <c r="H2969">
        <v>1700</v>
      </c>
      <c r="I2969">
        <v>5</v>
      </c>
      <c r="J2969">
        <v>11.55</v>
      </c>
      <c r="K2969">
        <v>5</v>
      </c>
      <c r="L2969">
        <v>0.41499999999999998</v>
      </c>
      <c r="M2969">
        <v>3</v>
      </c>
      <c r="N2969">
        <v>93</v>
      </c>
      <c r="O2969">
        <v>5</v>
      </c>
      <c r="P2969">
        <v>0.67500000000000004</v>
      </c>
      <c r="Q2969">
        <v>5</v>
      </c>
      <c r="R2969">
        <v>2.6200000000000001E-2</v>
      </c>
      <c r="T2969" t="s">
        <v>8319</v>
      </c>
    </row>
    <row r="2970" spans="1:20" x14ac:dyDescent="0.2">
      <c r="A2970" t="s">
        <v>8321</v>
      </c>
      <c r="B2970" t="s">
        <v>2022</v>
      </c>
      <c r="C2970" t="s">
        <v>2036</v>
      </c>
      <c r="D2970" t="s">
        <v>2136</v>
      </c>
      <c r="E2970" t="s">
        <v>8322</v>
      </c>
      <c r="F2970" t="s">
        <v>8323</v>
      </c>
      <c r="G2970">
        <v>1</v>
      </c>
      <c r="H2970">
        <v>1540</v>
      </c>
      <c r="I2970">
        <v>1</v>
      </c>
      <c r="J2970">
        <v>2.2000000000000002</v>
      </c>
      <c r="K2970">
        <v>2</v>
      </c>
      <c r="L2970">
        <v>8.5000000000000006E-2</v>
      </c>
      <c r="M2970">
        <v>1</v>
      </c>
      <c r="N2970">
        <v>76</v>
      </c>
      <c r="O2970">
        <v>1</v>
      </c>
      <c r="P2970">
        <v>9.5000000000000001E-2</v>
      </c>
      <c r="Q2970">
        <v>2</v>
      </c>
      <c r="R2970">
        <v>4.2500000000000003E-3</v>
      </c>
      <c r="T2970" t="s">
        <v>8322</v>
      </c>
    </row>
    <row r="2971" spans="1:20" x14ac:dyDescent="0.2">
      <c r="A2971" t="s">
        <v>8324</v>
      </c>
      <c r="B2971" t="s">
        <v>2022</v>
      </c>
      <c r="C2971" t="s">
        <v>2036</v>
      </c>
      <c r="D2971" t="s">
        <v>2024</v>
      </c>
      <c r="E2971" t="s">
        <v>8325</v>
      </c>
      <c r="F2971" t="s">
        <v>8326</v>
      </c>
      <c r="G2971">
        <v>3</v>
      </c>
      <c r="H2971">
        <v>1740</v>
      </c>
      <c r="I2971">
        <v>3</v>
      </c>
      <c r="J2971">
        <v>4.5999999999999996</v>
      </c>
      <c r="K2971">
        <v>2</v>
      </c>
      <c r="L2971">
        <v>8.5000000000000006E-2</v>
      </c>
      <c r="M2971">
        <v>3</v>
      </c>
      <c r="N2971">
        <v>88</v>
      </c>
      <c r="O2971">
        <v>2</v>
      </c>
      <c r="P2971">
        <v>0.20499999999999999</v>
      </c>
      <c r="Q2971">
        <v>2</v>
      </c>
      <c r="R2971">
        <v>4.2500000000000003E-3</v>
      </c>
      <c r="T2971" t="s">
        <v>8325</v>
      </c>
    </row>
    <row r="2972" spans="1:20" x14ac:dyDescent="0.2">
      <c r="A2972" t="s">
        <v>8327</v>
      </c>
      <c r="B2972" t="s">
        <v>2022</v>
      </c>
      <c r="C2972" t="s">
        <v>2028</v>
      </c>
      <c r="D2972" t="s">
        <v>2024</v>
      </c>
      <c r="E2972" t="s">
        <v>8328</v>
      </c>
      <c r="F2972" t="s">
        <v>8329</v>
      </c>
      <c r="G2972">
        <v>5</v>
      </c>
      <c r="H2972">
        <v>1450</v>
      </c>
      <c r="I2972">
        <v>5</v>
      </c>
      <c r="J2972">
        <v>6.65</v>
      </c>
      <c r="K2972">
        <v>4</v>
      </c>
      <c r="L2972">
        <v>0.193</v>
      </c>
      <c r="M2972">
        <v>2</v>
      </c>
      <c r="N2972">
        <v>200</v>
      </c>
      <c r="O2972">
        <v>3</v>
      </c>
      <c r="P2972">
        <v>0.75</v>
      </c>
      <c r="Q2972">
        <v>4</v>
      </c>
      <c r="R2972">
        <v>2.4750000000000001E-2</v>
      </c>
      <c r="T2972" t="s">
        <v>8328</v>
      </c>
    </row>
    <row r="2973" spans="1:20" x14ac:dyDescent="0.2">
      <c r="A2973" t="s">
        <v>8330</v>
      </c>
      <c r="B2973" t="s">
        <v>2022</v>
      </c>
      <c r="C2973" t="s">
        <v>2023</v>
      </c>
      <c r="D2973" t="s">
        <v>2154</v>
      </c>
      <c r="E2973" t="s">
        <v>8331</v>
      </c>
      <c r="F2973" t="s">
        <v>8332</v>
      </c>
      <c r="G2973">
        <v>3</v>
      </c>
      <c r="H2973">
        <v>1640</v>
      </c>
      <c r="I2973">
        <v>5</v>
      </c>
      <c r="J2973">
        <v>10.9</v>
      </c>
      <c r="K2973">
        <v>5</v>
      </c>
      <c r="L2973">
        <v>8.5999999999999993E-2</v>
      </c>
      <c r="M2973">
        <v>3</v>
      </c>
      <c r="N2973">
        <v>94</v>
      </c>
      <c r="O2973">
        <v>5</v>
      </c>
      <c r="P2973">
        <v>0.67500000000000004</v>
      </c>
      <c r="Q2973">
        <v>5</v>
      </c>
      <c r="R2973">
        <v>8.0000000000000002E-3</v>
      </c>
      <c r="T2973" t="s">
        <v>8331</v>
      </c>
    </row>
    <row r="2974" spans="1:20" x14ac:dyDescent="0.2">
      <c r="A2974" t="s">
        <v>8333</v>
      </c>
      <c r="B2974" t="s">
        <v>2022</v>
      </c>
      <c r="C2974" t="s">
        <v>2036</v>
      </c>
      <c r="D2974" t="s">
        <v>2136</v>
      </c>
      <c r="E2974" t="s">
        <v>357</v>
      </c>
      <c r="F2974" t="s">
        <v>447</v>
      </c>
      <c r="G2974">
        <v>5</v>
      </c>
      <c r="H2974">
        <v>1940</v>
      </c>
      <c r="I2974">
        <v>3</v>
      </c>
      <c r="J2974">
        <v>4.5999999999999996</v>
      </c>
      <c r="K2974">
        <v>5</v>
      </c>
      <c r="L2974">
        <v>0.17499999999999999</v>
      </c>
      <c r="M2974">
        <v>5</v>
      </c>
      <c r="N2974">
        <v>100</v>
      </c>
      <c r="O2974">
        <v>3</v>
      </c>
      <c r="P2974">
        <v>0.315</v>
      </c>
      <c r="Q2974">
        <v>5</v>
      </c>
      <c r="R2974">
        <v>1.2E-2</v>
      </c>
      <c r="T2974" t="s">
        <v>357</v>
      </c>
    </row>
    <row r="2975" spans="1:20" x14ac:dyDescent="0.2">
      <c r="A2975" t="s">
        <v>8334</v>
      </c>
      <c r="B2975" t="s">
        <v>2022</v>
      </c>
      <c r="C2975" t="s">
        <v>2036</v>
      </c>
      <c r="D2975" t="s">
        <v>2154</v>
      </c>
      <c r="E2975" t="s">
        <v>8335</v>
      </c>
      <c r="F2975" t="s">
        <v>447</v>
      </c>
      <c r="G2975">
        <v>4</v>
      </c>
      <c r="H2975">
        <v>1840</v>
      </c>
      <c r="I2975">
        <v>1</v>
      </c>
      <c r="J2975">
        <v>2.2000000000000002</v>
      </c>
      <c r="K2975">
        <v>1</v>
      </c>
      <c r="L2975">
        <v>5.5E-2</v>
      </c>
      <c r="M2975">
        <v>1</v>
      </c>
      <c r="N2975">
        <v>76</v>
      </c>
      <c r="O2975">
        <v>1</v>
      </c>
      <c r="P2975">
        <v>9.5000000000000001E-2</v>
      </c>
      <c r="Q2975">
        <v>1</v>
      </c>
      <c r="R2975">
        <v>1.5E-3</v>
      </c>
      <c r="T2975" t="s">
        <v>8335</v>
      </c>
    </row>
    <row r="2976" spans="1:20" x14ac:dyDescent="0.2">
      <c r="A2976" t="s">
        <v>8336</v>
      </c>
      <c r="B2976" t="s">
        <v>2022</v>
      </c>
      <c r="C2976" t="s">
        <v>2257</v>
      </c>
      <c r="D2976" t="s">
        <v>2024</v>
      </c>
      <c r="E2976" t="s">
        <v>357</v>
      </c>
      <c r="F2976" t="s">
        <v>447</v>
      </c>
      <c r="G2976">
        <v>5</v>
      </c>
      <c r="H2976">
        <v>1300</v>
      </c>
      <c r="I2976">
        <v>4</v>
      </c>
      <c r="J2976">
        <v>4.3499999999999996</v>
      </c>
      <c r="K2976">
        <v>5</v>
      </c>
      <c r="L2976">
        <v>0.187</v>
      </c>
      <c r="M2976">
        <v>5</v>
      </c>
      <c r="N2976">
        <v>1100</v>
      </c>
      <c r="O2976">
        <v>5</v>
      </c>
      <c r="P2976">
        <v>2.7</v>
      </c>
      <c r="Q2976">
        <v>5</v>
      </c>
      <c r="R2976">
        <v>8.1000000000000003E-2</v>
      </c>
      <c r="T2976" t="s">
        <v>357</v>
      </c>
    </row>
    <row r="2977" spans="1:20" x14ac:dyDescent="0.2">
      <c r="A2977" t="s">
        <v>8337</v>
      </c>
      <c r="B2977" t="s">
        <v>2022</v>
      </c>
      <c r="C2977" t="s">
        <v>2104</v>
      </c>
      <c r="D2977" t="s">
        <v>2024</v>
      </c>
      <c r="E2977" t="s">
        <v>8338</v>
      </c>
      <c r="F2977" t="s">
        <v>8339</v>
      </c>
      <c r="G2977">
        <v>4</v>
      </c>
      <c r="H2977">
        <v>2062.5</v>
      </c>
      <c r="I2977">
        <v>2</v>
      </c>
      <c r="J2977">
        <v>3.25</v>
      </c>
      <c r="K2977">
        <v>2</v>
      </c>
      <c r="L2977">
        <v>4.1000000000000002E-2</v>
      </c>
      <c r="M2977">
        <v>2</v>
      </c>
      <c r="N2977">
        <v>65</v>
      </c>
      <c r="P2977">
        <v>0</v>
      </c>
      <c r="Q2977">
        <v>2</v>
      </c>
      <c r="R2977">
        <v>3.2000000000000002E-3</v>
      </c>
      <c r="T2977" t="s">
        <v>8338</v>
      </c>
    </row>
    <row r="2978" spans="1:20" x14ac:dyDescent="0.2">
      <c r="A2978" t="s">
        <v>8340</v>
      </c>
      <c r="B2978" t="s">
        <v>2022</v>
      </c>
      <c r="C2978" t="s">
        <v>2053</v>
      </c>
      <c r="D2978" t="s">
        <v>2024</v>
      </c>
      <c r="E2978" t="s">
        <v>8341</v>
      </c>
      <c r="F2978" t="s">
        <v>8342</v>
      </c>
      <c r="G2978">
        <v>5</v>
      </c>
      <c r="H2978">
        <v>1900</v>
      </c>
      <c r="I2978">
        <v>3</v>
      </c>
      <c r="J2978">
        <v>6.55</v>
      </c>
      <c r="K2978">
        <v>3</v>
      </c>
      <c r="L2978">
        <v>0.19500000000000001</v>
      </c>
      <c r="M2978">
        <v>1</v>
      </c>
      <c r="N2978">
        <v>73</v>
      </c>
      <c r="O2978">
        <v>2</v>
      </c>
      <c r="P2978">
        <v>0.22500000000000001</v>
      </c>
      <c r="Q2978">
        <v>2</v>
      </c>
      <c r="R2978">
        <v>5.1999999999999998E-3</v>
      </c>
      <c r="T2978" t="s">
        <v>8341</v>
      </c>
    </row>
    <row r="2979" spans="1:20" x14ac:dyDescent="0.2">
      <c r="A2979" t="s">
        <v>8343</v>
      </c>
      <c r="B2979" t="s">
        <v>2022</v>
      </c>
      <c r="C2979" t="s">
        <v>2222</v>
      </c>
      <c r="D2979" t="s">
        <v>2024</v>
      </c>
      <c r="E2979" t="s">
        <v>8344</v>
      </c>
      <c r="F2979" t="s">
        <v>8345</v>
      </c>
      <c r="G2979">
        <v>4</v>
      </c>
      <c r="H2979">
        <v>1750</v>
      </c>
      <c r="I2979">
        <v>4</v>
      </c>
      <c r="J2979">
        <v>7.1</v>
      </c>
      <c r="K2979">
        <v>4</v>
      </c>
      <c r="L2979">
        <v>0.19500000000000001</v>
      </c>
      <c r="M2979">
        <v>1</v>
      </c>
      <c r="N2979">
        <v>59</v>
      </c>
      <c r="O2979">
        <v>3</v>
      </c>
      <c r="P2979">
        <v>0.23</v>
      </c>
      <c r="Q2979">
        <v>3</v>
      </c>
      <c r="R2979">
        <v>5.3E-3</v>
      </c>
      <c r="T2979" t="s">
        <v>8344</v>
      </c>
    </row>
    <row r="2980" spans="1:20" x14ac:dyDescent="0.2">
      <c r="A2980" t="s">
        <v>8346</v>
      </c>
      <c r="B2980" t="s">
        <v>2022</v>
      </c>
      <c r="C2980" t="s">
        <v>2053</v>
      </c>
      <c r="D2980" t="s">
        <v>2024</v>
      </c>
      <c r="E2980" t="s">
        <v>8347</v>
      </c>
      <c r="F2980" t="s">
        <v>8348</v>
      </c>
      <c r="G2980">
        <v>3</v>
      </c>
      <c r="H2980">
        <v>1700</v>
      </c>
      <c r="I2980">
        <v>5</v>
      </c>
      <c r="J2980">
        <v>11.55</v>
      </c>
      <c r="K2980">
        <v>4</v>
      </c>
      <c r="L2980">
        <v>0.30499999999999999</v>
      </c>
      <c r="M2980">
        <v>4</v>
      </c>
      <c r="N2980">
        <v>103</v>
      </c>
      <c r="O2980">
        <v>5</v>
      </c>
      <c r="P2980">
        <v>0.67500000000000004</v>
      </c>
      <c r="Q2980">
        <v>4</v>
      </c>
      <c r="R2980">
        <v>1.9199999999999998E-2</v>
      </c>
      <c r="T2980" t="s">
        <v>8347</v>
      </c>
    </row>
    <row r="2981" spans="1:20" x14ac:dyDescent="0.2">
      <c r="A2981" t="s">
        <v>8349</v>
      </c>
      <c r="B2981" t="s">
        <v>2022</v>
      </c>
      <c r="C2981" t="s">
        <v>2023</v>
      </c>
      <c r="D2981" t="s">
        <v>2136</v>
      </c>
      <c r="E2981" t="s">
        <v>8350</v>
      </c>
      <c r="F2981" t="s">
        <v>447</v>
      </c>
      <c r="G2981">
        <v>1</v>
      </c>
      <c r="H2981">
        <v>1480</v>
      </c>
      <c r="I2981">
        <v>1</v>
      </c>
      <c r="J2981">
        <v>0.9</v>
      </c>
      <c r="K2981">
        <v>1</v>
      </c>
      <c r="L2981">
        <v>6.0000000000000001E-3</v>
      </c>
      <c r="M2981">
        <v>2</v>
      </c>
      <c r="N2981">
        <v>84</v>
      </c>
      <c r="O2981">
        <v>1</v>
      </c>
      <c r="P2981">
        <v>7.4999999999999997E-2</v>
      </c>
      <c r="Q2981">
        <v>1</v>
      </c>
      <c r="R2981">
        <v>5.0000000000000001E-4</v>
      </c>
      <c r="T2981" t="s">
        <v>8350</v>
      </c>
    </row>
    <row r="2982" spans="1:20" x14ac:dyDescent="0.2">
      <c r="A2982" t="s">
        <v>8351</v>
      </c>
      <c r="B2982" t="s">
        <v>2022</v>
      </c>
      <c r="C2982" t="s">
        <v>2036</v>
      </c>
      <c r="D2982" t="s">
        <v>2024</v>
      </c>
      <c r="E2982" t="s">
        <v>8352</v>
      </c>
      <c r="F2982" t="s">
        <v>8353</v>
      </c>
      <c r="G2982">
        <v>5</v>
      </c>
      <c r="H2982">
        <v>1940</v>
      </c>
      <c r="I2982">
        <v>3</v>
      </c>
      <c r="J2982">
        <v>4.5999999999999996</v>
      </c>
      <c r="K2982">
        <v>2</v>
      </c>
      <c r="L2982">
        <v>8.5000000000000006E-2</v>
      </c>
      <c r="M2982">
        <v>1</v>
      </c>
      <c r="N2982">
        <v>76</v>
      </c>
      <c r="O2982">
        <v>2</v>
      </c>
      <c r="P2982">
        <v>0.20499999999999999</v>
      </c>
      <c r="Q2982">
        <v>2</v>
      </c>
      <c r="R2982">
        <v>4.2500000000000003E-3</v>
      </c>
      <c r="T2982" t="s">
        <v>8352</v>
      </c>
    </row>
    <row r="2983" spans="1:20" x14ac:dyDescent="0.2">
      <c r="A2983" t="s">
        <v>8354</v>
      </c>
      <c r="B2983" t="s">
        <v>2022</v>
      </c>
      <c r="C2983" t="s">
        <v>2095</v>
      </c>
      <c r="D2983" t="s">
        <v>2024</v>
      </c>
      <c r="E2983" t="s">
        <v>8355</v>
      </c>
      <c r="F2983" t="s">
        <v>8356</v>
      </c>
      <c r="G2983">
        <v>2</v>
      </c>
      <c r="H2983">
        <v>1655</v>
      </c>
      <c r="I2983">
        <v>1</v>
      </c>
      <c r="J2983">
        <v>4.5</v>
      </c>
      <c r="K2983">
        <v>1</v>
      </c>
      <c r="L2983">
        <v>1.4999999999999999E-2</v>
      </c>
      <c r="M2983">
        <v>1</v>
      </c>
      <c r="N2983">
        <v>74</v>
      </c>
      <c r="O2983">
        <v>1</v>
      </c>
      <c r="P2983">
        <v>0.15</v>
      </c>
      <c r="Q2983">
        <v>1</v>
      </c>
      <c r="R2983">
        <v>6.9999999999999999E-4</v>
      </c>
      <c r="T2983" t="s">
        <v>8355</v>
      </c>
    </row>
    <row r="2984" spans="1:20" x14ac:dyDescent="0.2">
      <c r="A2984" t="s">
        <v>8357</v>
      </c>
      <c r="B2984" t="s">
        <v>2022</v>
      </c>
      <c r="C2984" t="s">
        <v>2053</v>
      </c>
      <c r="D2984" t="s">
        <v>2024</v>
      </c>
      <c r="E2984" t="s">
        <v>8358</v>
      </c>
      <c r="F2984" t="s">
        <v>8359</v>
      </c>
      <c r="G2984">
        <v>2</v>
      </c>
      <c r="H2984">
        <v>1600</v>
      </c>
      <c r="I2984">
        <v>1</v>
      </c>
      <c r="J2984">
        <v>1.55</v>
      </c>
      <c r="K2984">
        <v>1</v>
      </c>
      <c r="L2984">
        <v>1.4999999999999999E-2</v>
      </c>
      <c r="M2984">
        <v>2</v>
      </c>
      <c r="N2984">
        <v>83</v>
      </c>
      <c r="O2984">
        <v>1</v>
      </c>
      <c r="P2984">
        <v>7.4999999999999997E-2</v>
      </c>
      <c r="Q2984">
        <v>1</v>
      </c>
      <c r="R2984">
        <v>8.4999999999999995E-4</v>
      </c>
      <c r="T2984" t="s">
        <v>8358</v>
      </c>
    </row>
    <row r="2985" spans="1:20" x14ac:dyDescent="0.2">
      <c r="A2985" t="s">
        <v>8360</v>
      </c>
      <c r="B2985" t="s">
        <v>2022</v>
      </c>
      <c r="C2985" t="s">
        <v>2028</v>
      </c>
      <c r="D2985" t="s">
        <v>2024</v>
      </c>
      <c r="E2985" t="s">
        <v>8361</v>
      </c>
      <c r="F2985" t="s">
        <v>8362</v>
      </c>
      <c r="G2985">
        <v>5</v>
      </c>
      <c r="H2985">
        <v>1450</v>
      </c>
      <c r="I2985">
        <v>3</v>
      </c>
      <c r="J2985">
        <v>3.25</v>
      </c>
      <c r="K2985">
        <v>2</v>
      </c>
      <c r="L2985">
        <v>4.4999999999999998E-2</v>
      </c>
      <c r="M2985">
        <v>1</v>
      </c>
      <c r="N2985">
        <v>100</v>
      </c>
      <c r="O2985">
        <v>1</v>
      </c>
      <c r="P2985">
        <v>0.15</v>
      </c>
      <c r="Q2985">
        <v>1</v>
      </c>
      <c r="R2985">
        <v>1.75E-3</v>
      </c>
      <c r="T2985" t="s">
        <v>8361</v>
      </c>
    </row>
    <row r="2986" spans="1:20" x14ac:dyDescent="0.2">
      <c r="A2986" t="s">
        <v>8363</v>
      </c>
      <c r="B2986" t="s">
        <v>2022</v>
      </c>
      <c r="C2986" t="s">
        <v>2023</v>
      </c>
      <c r="D2986" t="s">
        <v>2024</v>
      </c>
      <c r="E2986" t="s">
        <v>8364</v>
      </c>
      <c r="F2986" t="s">
        <v>8365</v>
      </c>
      <c r="G2986">
        <v>1</v>
      </c>
      <c r="H2986">
        <v>1480</v>
      </c>
      <c r="I2986">
        <v>3</v>
      </c>
      <c r="J2986">
        <v>5.9</v>
      </c>
      <c r="K2986">
        <v>5</v>
      </c>
      <c r="L2986">
        <v>8.5999999999999993E-2</v>
      </c>
      <c r="M2986">
        <v>1</v>
      </c>
      <c r="N2986">
        <v>74</v>
      </c>
      <c r="O2986">
        <v>2</v>
      </c>
      <c r="P2986">
        <v>0.22500000000000001</v>
      </c>
      <c r="Q2986">
        <v>4</v>
      </c>
      <c r="R2986">
        <v>6.0000000000000001E-3</v>
      </c>
      <c r="T2986" t="s">
        <v>8364</v>
      </c>
    </row>
    <row r="2987" spans="1:20" x14ac:dyDescent="0.2">
      <c r="A2987" t="s">
        <v>8366</v>
      </c>
      <c r="B2987" t="s">
        <v>2022</v>
      </c>
      <c r="C2987" t="s">
        <v>2023</v>
      </c>
      <c r="D2987" t="s">
        <v>2024</v>
      </c>
      <c r="E2987" t="s">
        <v>8367</v>
      </c>
      <c r="F2987" t="s">
        <v>8368</v>
      </c>
      <c r="G2987">
        <v>4</v>
      </c>
      <c r="H2987">
        <v>1720</v>
      </c>
      <c r="I2987">
        <v>2</v>
      </c>
      <c r="J2987">
        <v>3.4</v>
      </c>
      <c r="K2987">
        <v>2</v>
      </c>
      <c r="L2987">
        <v>2.5999999999999999E-2</v>
      </c>
      <c r="M2987">
        <v>2</v>
      </c>
      <c r="N2987">
        <v>84</v>
      </c>
      <c r="O2987">
        <v>1</v>
      </c>
      <c r="P2987">
        <v>7.4999999999999997E-2</v>
      </c>
      <c r="Q2987">
        <v>1</v>
      </c>
      <c r="R2987">
        <v>5.0000000000000001E-4</v>
      </c>
      <c r="T2987" t="s">
        <v>8367</v>
      </c>
    </row>
    <row r="2988" spans="1:20" x14ac:dyDescent="0.2">
      <c r="A2988" t="s">
        <v>8369</v>
      </c>
      <c r="B2988" t="s">
        <v>2022</v>
      </c>
      <c r="C2988" t="s">
        <v>2023</v>
      </c>
      <c r="D2988" t="s">
        <v>2024</v>
      </c>
      <c r="E2988" t="s">
        <v>357</v>
      </c>
      <c r="F2988" t="s">
        <v>8370</v>
      </c>
      <c r="G2988">
        <v>3</v>
      </c>
      <c r="H2988">
        <v>1640</v>
      </c>
      <c r="I2988">
        <v>1</v>
      </c>
      <c r="J2988">
        <v>0.9</v>
      </c>
      <c r="K2988">
        <v>2</v>
      </c>
      <c r="L2988">
        <v>2.5999999999999999E-2</v>
      </c>
      <c r="M2988">
        <v>4</v>
      </c>
      <c r="N2988">
        <v>104</v>
      </c>
      <c r="O2988">
        <v>1</v>
      </c>
      <c r="P2988">
        <v>7.4999999999999997E-2</v>
      </c>
      <c r="Q2988">
        <v>2</v>
      </c>
      <c r="R2988">
        <v>2E-3</v>
      </c>
      <c r="T2988" t="s">
        <v>357</v>
      </c>
    </row>
    <row r="2989" spans="1:20" x14ac:dyDescent="0.2">
      <c r="A2989" t="s">
        <v>8371</v>
      </c>
      <c r="B2989" t="s">
        <v>2022</v>
      </c>
      <c r="C2989" t="s">
        <v>2053</v>
      </c>
      <c r="D2989" t="s">
        <v>2024</v>
      </c>
      <c r="E2989" t="s">
        <v>8372</v>
      </c>
      <c r="F2989" t="s">
        <v>8373</v>
      </c>
      <c r="G2989">
        <v>1</v>
      </c>
      <c r="H2989">
        <v>1500</v>
      </c>
      <c r="I2989">
        <v>1</v>
      </c>
      <c r="J2989">
        <v>1.55</v>
      </c>
      <c r="K2989">
        <v>1</v>
      </c>
      <c r="L2989">
        <v>1.4999999999999999E-2</v>
      </c>
      <c r="M2989">
        <v>2</v>
      </c>
      <c r="N2989">
        <v>83</v>
      </c>
      <c r="O2989">
        <v>1</v>
      </c>
      <c r="P2989">
        <v>7.4999999999999997E-2</v>
      </c>
      <c r="Q2989">
        <v>1</v>
      </c>
      <c r="R2989">
        <v>8.4999999999999995E-4</v>
      </c>
      <c r="T2989" t="s">
        <v>8372</v>
      </c>
    </row>
    <row r="2990" spans="1:20" x14ac:dyDescent="0.2">
      <c r="A2990" t="s">
        <v>8374</v>
      </c>
      <c r="B2990" t="s">
        <v>2022</v>
      </c>
      <c r="C2990" t="s">
        <v>2053</v>
      </c>
      <c r="D2990" t="s">
        <v>2024</v>
      </c>
      <c r="E2990" t="s">
        <v>8375</v>
      </c>
      <c r="F2990" t="s">
        <v>8376</v>
      </c>
      <c r="G2990">
        <v>1</v>
      </c>
      <c r="H2990">
        <v>1500</v>
      </c>
      <c r="I2990">
        <v>1</v>
      </c>
      <c r="J2990">
        <v>1.55</v>
      </c>
      <c r="K2990">
        <v>2</v>
      </c>
      <c r="L2990">
        <v>8.5000000000000006E-2</v>
      </c>
      <c r="M2990">
        <v>1</v>
      </c>
      <c r="N2990">
        <v>73</v>
      </c>
      <c r="O2990">
        <v>1</v>
      </c>
      <c r="P2990">
        <v>7.4999999999999997E-2</v>
      </c>
      <c r="Q2990">
        <v>2</v>
      </c>
      <c r="R2990">
        <v>5.1999999999999998E-3</v>
      </c>
      <c r="T2990" t="s">
        <v>8375</v>
      </c>
    </row>
    <row r="2991" spans="1:20" x14ac:dyDescent="0.2">
      <c r="A2991" t="s">
        <v>8377</v>
      </c>
      <c r="B2991" t="s">
        <v>2022</v>
      </c>
      <c r="C2991" t="s">
        <v>2053</v>
      </c>
      <c r="D2991" t="s">
        <v>2024</v>
      </c>
      <c r="E2991" t="s">
        <v>8378</v>
      </c>
      <c r="F2991" t="s">
        <v>8379</v>
      </c>
      <c r="G2991">
        <v>3</v>
      </c>
      <c r="H2991">
        <v>1700</v>
      </c>
      <c r="I2991">
        <v>1</v>
      </c>
      <c r="J2991">
        <v>1.55</v>
      </c>
      <c r="K2991">
        <v>1</v>
      </c>
      <c r="L2991">
        <v>1.4999999999999999E-2</v>
      </c>
      <c r="M2991">
        <v>2</v>
      </c>
      <c r="N2991">
        <v>83</v>
      </c>
      <c r="O2991">
        <v>1</v>
      </c>
      <c r="P2991">
        <v>7.4999999999999997E-2</v>
      </c>
      <c r="Q2991">
        <v>1</v>
      </c>
      <c r="R2991">
        <v>8.4999999999999995E-4</v>
      </c>
      <c r="T2991" t="s">
        <v>8378</v>
      </c>
    </row>
    <row r="2992" spans="1:20" x14ac:dyDescent="0.2">
      <c r="A2992" t="s">
        <v>8380</v>
      </c>
      <c r="B2992" t="s">
        <v>2022</v>
      </c>
      <c r="C2992" t="s">
        <v>2036</v>
      </c>
      <c r="D2992" t="s">
        <v>2024</v>
      </c>
      <c r="E2992" t="s">
        <v>8381</v>
      </c>
      <c r="F2992" t="s">
        <v>8382</v>
      </c>
      <c r="G2992">
        <v>3</v>
      </c>
      <c r="H2992">
        <v>1740</v>
      </c>
      <c r="I2992">
        <v>3</v>
      </c>
      <c r="J2992">
        <v>4.5999999999999996</v>
      </c>
      <c r="K2992">
        <v>2</v>
      </c>
      <c r="L2992">
        <v>8.5000000000000006E-2</v>
      </c>
      <c r="M2992">
        <v>1</v>
      </c>
      <c r="N2992">
        <v>76</v>
      </c>
      <c r="O2992">
        <v>2</v>
      </c>
      <c r="P2992">
        <v>0.20499999999999999</v>
      </c>
      <c r="Q2992">
        <v>2</v>
      </c>
      <c r="R2992">
        <v>4.2500000000000003E-3</v>
      </c>
      <c r="T2992" t="s">
        <v>8381</v>
      </c>
    </row>
    <row r="2993" spans="1:20" x14ac:dyDescent="0.2">
      <c r="A2993" t="s">
        <v>8383</v>
      </c>
      <c r="B2993" t="s">
        <v>2022</v>
      </c>
      <c r="C2993" t="s">
        <v>2023</v>
      </c>
      <c r="D2993" t="s">
        <v>2024</v>
      </c>
      <c r="E2993" t="s">
        <v>8384</v>
      </c>
      <c r="F2993" t="s">
        <v>8385</v>
      </c>
      <c r="G2993">
        <v>1</v>
      </c>
      <c r="H2993">
        <v>1480</v>
      </c>
      <c r="I2993">
        <v>1</v>
      </c>
      <c r="J2993">
        <v>0.9</v>
      </c>
      <c r="K2993">
        <v>1</v>
      </c>
      <c r="L2993">
        <v>6.0000000000000001E-3</v>
      </c>
      <c r="M2993">
        <v>1</v>
      </c>
      <c r="N2993">
        <v>74</v>
      </c>
      <c r="O2993">
        <v>1</v>
      </c>
      <c r="P2993">
        <v>7.4999999999999997E-2</v>
      </c>
      <c r="Q2993">
        <v>1</v>
      </c>
      <c r="R2993">
        <v>5.0000000000000001E-4</v>
      </c>
      <c r="T2993" t="s">
        <v>8384</v>
      </c>
    </row>
    <row r="2994" spans="1:20" x14ac:dyDescent="0.2">
      <c r="A2994" t="s">
        <v>8386</v>
      </c>
      <c r="B2994" t="s">
        <v>2022</v>
      </c>
      <c r="C2994" t="s">
        <v>2036</v>
      </c>
      <c r="D2994" t="s">
        <v>2024</v>
      </c>
      <c r="E2994" t="s">
        <v>8387</v>
      </c>
      <c r="F2994" t="s">
        <v>8388</v>
      </c>
      <c r="G2994">
        <v>2</v>
      </c>
      <c r="H2994">
        <v>1640</v>
      </c>
      <c r="I2994">
        <v>3</v>
      </c>
      <c r="J2994">
        <v>4.5999999999999996</v>
      </c>
      <c r="K2994">
        <v>2</v>
      </c>
      <c r="L2994">
        <v>8.5000000000000006E-2</v>
      </c>
      <c r="M2994">
        <v>2</v>
      </c>
      <c r="N2994">
        <v>82</v>
      </c>
      <c r="O2994">
        <v>2</v>
      </c>
      <c r="P2994">
        <v>0.20499999999999999</v>
      </c>
      <c r="Q2994">
        <v>2</v>
      </c>
      <c r="R2994">
        <v>4.2500000000000003E-3</v>
      </c>
      <c r="T2994" t="s">
        <v>8387</v>
      </c>
    </row>
    <row r="2995" spans="1:20" x14ac:dyDescent="0.2">
      <c r="A2995" t="s">
        <v>8389</v>
      </c>
      <c r="B2995" t="s">
        <v>2022</v>
      </c>
      <c r="C2995" t="s">
        <v>2053</v>
      </c>
      <c r="D2995" t="s">
        <v>2024</v>
      </c>
      <c r="E2995" t="s">
        <v>8390</v>
      </c>
      <c r="F2995" t="s">
        <v>8391</v>
      </c>
      <c r="G2995">
        <v>1</v>
      </c>
      <c r="H2995">
        <v>1500</v>
      </c>
      <c r="I2995">
        <v>2</v>
      </c>
      <c r="J2995">
        <v>4.05</v>
      </c>
      <c r="K2995">
        <v>2</v>
      </c>
      <c r="L2995">
        <v>8.5000000000000006E-2</v>
      </c>
      <c r="M2995">
        <v>1</v>
      </c>
      <c r="N2995">
        <v>73</v>
      </c>
      <c r="O2995">
        <v>2</v>
      </c>
      <c r="P2995">
        <v>0.22500000000000001</v>
      </c>
      <c r="Q2995">
        <v>2</v>
      </c>
      <c r="R2995">
        <v>5.1999999999999998E-3</v>
      </c>
      <c r="T2995" t="s">
        <v>8390</v>
      </c>
    </row>
    <row r="2996" spans="1:20" x14ac:dyDescent="0.2">
      <c r="A2996" t="s">
        <v>8392</v>
      </c>
      <c r="B2996" t="s">
        <v>2022</v>
      </c>
      <c r="C2996" t="s">
        <v>2101</v>
      </c>
      <c r="D2996" t="s">
        <v>2024</v>
      </c>
      <c r="E2996" t="s">
        <v>8393</v>
      </c>
      <c r="F2996" t="s">
        <v>8394</v>
      </c>
      <c r="G2996">
        <v>4</v>
      </c>
      <c r="H2996">
        <v>1870</v>
      </c>
      <c r="I2996">
        <v>4</v>
      </c>
      <c r="J2996">
        <v>11</v>
      </c>
      <c r="K2996">
        <v>4</v>
      </c>
      <c r="L2996">
        <v>0.39050000000000001</v>
      </c>
      <c r="M2996">
        <v>1</v>
      </c>
      <c r="N2996">
        <v>66</v>
      </c>
      <c r="O2996">
        <v>3</v>
      </c>
      <c r="P2996">
        <v>0.375</v>
      </c>
      <c r="Q2996">
        <v>3</v>
      </c>
      <c r="R2996">
        <v>1.15E-2</v>
      </c>
      <c r="T2996" t="s">
        <v>8393</v>
      </c>
    </row>
    <row r="2997" spans="1:20" x14ac:dyDescent="0.2">
      <c r="A2997" t="s">
        <v>8395</v>
      </c>
      <c r="B2997" t="s">
        <v>2022</v>
      </c>
      <c r="C2997" t="s">
        <v>2222</v>
      </c>
      <c r="D2997" t="s">
        <v>2024</v>
      </c>
      <c r="E2997" t="s">
        <v>8393</v>
      </c>
      <c r="F2997" t="s">
        <v>8394</v>
      </c>
      <c r="G2997">
        <v>5</v>
      </c>
      <c r="H2997">
        <v>1850</v>
      </c>
      <c r="I2997">
        <v>5</v>
      </c>
      <c r="J2997">
        <v>8.6999999999999993</v>
      </c>
      <c r="K2997">
        <v>5</v>
      </c>
      <c r="L2997">
        <v>0.26500000000000001</v>
      </c>
      <c r="M2997">
        <v>4</v>
      </c>
      <c r="N2997">
        <v>71</v>
      </c>
      <c r="O2997">
        <v>4</v>
      </c>
      <c r="P2997">
        <v>0.31</v>
      </c>
      <c r="Q2997">
        <v>4</v>
      </c>
      <c r="R2997">
        <v>8.3000000000000001E-3</v>
      </c>
      <c r="T2997" t="s">
        <v>8393</v>
      </c>
    </row>
    <row r="2998" spans="1:20" x14ac:dyDescent="0.2">
      <c r="A2998" t="s">
        <v>8396</v>
      </c>
      <c r="B2998" t="s">
        <v>2022</v>
      </c>
      <c r="C2998" t="s">
        <v>2222</v>
      </c>
      <c r="D2998" t="s">
        <v>2024</v>
      </c>
      <c r="E2998" t="s">
        <v>8393</v>
      </c>
      <c r="F2998" t="s">
        <v>8394</v>
      </c>
      <c r="G2998">
        <v>5</v>
      </c>
      <c r="H2998">
        <v>1850</v>
      </c>
      <c r="I2998">
        <v>5</v>
      </c>
      <c r="J2998">
        <v>8.6999999999999993</v>
      </c>
      <c r="K2998">
        <v>5</v>
      </c>
      <c r="L2998">
        <v>0.26500000000000001</v>
      </c>
      <c r="M2998">
        <v>5</v>
      </c>
      <c r="N2998">
        <v>75</v>
      </c>
      <c r="O2998">
        <v>5</v>
      </c>
      <c r="P2998">
        <v>0.39</v>
      </c>
      <c r="Q2998">
        <v>5</v>
      </c>
      <c r="R2998">
        <v>1.1299999999999999E-2</v>
      </c>
      <c r="T2998" t="s">
        <v>8393</v>
      </c>
    </row>
    <row r="2999" spans="1:20" x14ac:dyDescent="0.2">
      <c r="A2999" t="s">
        <v>8397</v>
      </c>
      <c r="B2999" t="s">
        <v>2022</v>
      </c>
      <c r="C2999" t="s">
        <v>2222</v>
      </c>
      <c r="D2999" t="s">
        <v>2024</v>
      </c>
      <c r="E2999" t="s">
        <v>8393</v>
      </c>
      <c r="F2999" t="s">
        <v>8394</v>
      </c>
      <c r="G2999">
        <v>5</v>
      </c>
      <c r="H2999">
        <v>1850</v>
      </c>
      <c r="I2999">
        <v>4</v>
      </c>
      <c r="J2999">
        <v>7.1</v>
      </c>
      <c r="K2999">
        <v>4</v>
      </c>
      <c r="L2999">
        <v>0.19500000000000001</v>
      </c>
      <c r="M2999">
        <v>5</v>
      </c>
      <c r="N2999">
        <v>75</v>
      </c>
      <c r="O2999">
        <v>4</v>
      </c>
      <c r="P2999">
        <v>0.31</v>
      </c>
      <c r="Q2999">
        <v>3</v>
      </c>
      <c r="R2999">
        <v>5.3E-3</v>
      </c>
      <c r="T2999" t="s">
        <v>8393</v>
      </c>
    </row>
    <row r="3000" spans="1:20" x14ac:dyDescent="0.2">
      <c r="A3000" t="s">
        <v>8398</v>
      </c>
      <c r="B3000" t="s">
        <v>2022</v>
      </c>
      <c r="C3000" t="s">
        <v>2023</v>
      </c>
      <c r="D3000" t="s">
        <v>2024</v>
      </c>
      <c r="E3000" t="s">
        <v>8399</v>
      </c>
      <c r="F3000" t="s">
        <v>8400</v>
      </c>
      <c r="G3000">
        <v>5</v>
      </c>
      <c r="H3000">
        <v>1800</v>
      </c>
      <c r="I3000">
        <v>3</v>
      </c>
      <c r="J3000">
        <v>5.9</v>
      </c>
      <c r="K3000">
        <v>2</v>
      </c>
      <c r="L3000">
        <v>2.5999999999999999E-2</v>
      </c>
      <c r="M3000">
        <v>4</v>
      </c>
      <c r="N3000">
        <v>104</v>
      </c>
      <c r="O3000">
        <v>2</v>
      </c>
      <c r="P3000">
        <v>0.22500000000000001</v>
      </c>
      <c r="Q3000">
        <v>2</v>
      </c>
      <c r="R3000">
        <v>2E-3</v>
      </c>
      <c r="T3000" t="s">
        <v>8399</v>
      </c>
    </row>
    <row r="3001" spans="1:20" x14ac:dyDescent="0.2">
      <c r="A3001" t="s">
        <v>8401</v>
      </c>
      <c r="B3001" t="s">
        <v>2022</v>
      </c>
      <c r="C3001" t="s">
        <v>2023</v>
      </c>
      <c r="D3001" t="s">
        <v>2024</v>
      </c>
      <c r="E3001" t="s">
        <v>357</v>
      </c>
      <c r="F3001" t="s">
        <v>447</v>
      </c>
      <c r="G3001">
        <v>1</v>
      </c>
      <c r="H3001">
        <v>1480</v>
      </c>
      <c r="I3001">
        <v>2</v>
      </c>
      <c r="J3001">
        <v>3.4</v>
      </c>
      <c r="K3001">
        <v>5</v>
      </c>
      <c r="L3001">
        <v>8.5999999999999993E-2</v>
      </c>
      <c r="M3001">
        <v>5</v>
      </c>
      <c r="N3001">
        <v>114</v>
      </c>
      <c r="O3001">
        <v>5</v>
      </c>
      <c r="P3001">
        <v>0.67500000000000004</v>
      </c>
      <c r="Q3001">
        <v>5</v>
      </c>
      <c r="R3001">
        <v>8.0000000000000002E-3</v>
      </c>
      <c r="T3001" t="s">
        <v>357</v>
      </c>
    </row>
    <row r="3002" spans="1:20" x14ac:dyDescent="0.2">
      <c r="A3002" t="s">
        <v>8402</v>
      </c>
      <c r="B3002" t="s">
        <v>2022</v>
      </c>
      <c r="C3002" t="s">
        <v>2053</v>
      </c>
      <c r="D3002" t="s">
        <v>2024</v>
      </c>
      <c r="E3002" t="s">
        <v>8403</v>
      </c>
      <c r="F3002" t="s">
        <v>8404</v>
      </c>
      <c r="G3002">
        <v>1</v>
      </c>
      <c r="H3002">
        <v>1500</v>
      </c>
      <c r="I3002">
        <v>4</v>
      </c>
      <c r="J3002">
        <v>9.0500000000000007</v>
      </c>
      <c r="K3002">
        <v>5</v>
      </c>
      <c r="L3002">
        <v>0.41499999999999998</v>
      </c>
      <c r="M3002">
        <v>5</v>
      </c>
      <c r="N3002">
        <v>113</v>
      </c>
      <c r="O3002">
        <v>5</v>
      </c>
      <c r="P3002">
        <v>0.67500000000000004</v>
      </c>
      <c r="Q3002">
        <v>5</v>
      </c>
      <c r="R3002">
        <v>2.6200000000000001E-2</v>
      </c>
      <c r="T3002" t="s">
        <v>8403</v>
      </c>
    </row>
    <row r="3003" spans="1:20" x14ac:dyDescent="0.2">
      <c r="A3003" t="s">
        <v>8405</v>
      </c>
      <c r="B3003" t="s">
        <v>2022</v>
      </c>
      <c r="C3003" t="s">
        <v>2036</v>
      </c>
      <c r="D3003" t="s">
        <v>2024</v>
      </c>
      <c r="E3003" t="s">
        <v>8406</v>
      </c>
      <c r="F3003" t="s">
        <v>8407</v>
      </c>
      <c r="G3003">
        <v>4</v>
      </c>
      <c r="H3003">
        <v>1840</v>
      </c>
      <c r="I3003">
        <v>2</v>
      </c>
      <c r="J3003">
        <v>3.4</v>
      </c>
      <c r="K3003">
        <v>2</v>
      </c>
      <c r="L3003">
        <v>8.5000000000000006E-2</v>
      </c>
      <c r="M3003">
        <v>3</v>
      </c>
      <c r="N3003">
        <v>88</v>
      </c>
      <c r="O3003">
        <v>2</v>
      </c>
      <c r="P3003">
        <v>0.20499999999999999</v>
      </c>
      <c r="Q3003">
        <v>2</v>
      </c>
      <c r="R3003">
        <v>4.2500000000000003E-3</v>
      </c>
      <c r="T3003" t="s">
        <v>8406</v>
      </c>
    </row>
    <row r="3004" spans="1:20" x14ac:dyDescent="0.2">
      <c r="A3004" t="s">
        <v>8408</v>
      </c>
      <c r="B3004" t="s">
        <v>2022</v>
      </c>
      <c r="C3004" t="s">
        <v>2101</v>
      </c>
      <c r="D3004" t="s">
        <v>2024</v>
      </c>
      <c r="E3004" t="s">
        <v>8409</v>
      </c>
      <c r="F3004" t="s">
        <v>8410</v>
      </c>
      <c r="G3004">
        <v>4</v>
      </c>
      <c r="H3004">
        <v>1870</v>
      </c>
      <c r="I3004">
        <v>2</v>
      </c>
      <c r="J3004">
        <v>5</v>
      </c>
      <c r="K3004">
        <v>2</v>
      </c>
      <c r="L3004">
        <v>9.6500000000000002E-2</v>
      </c>
      <c r="M3004">
        <v>4</v>
      </c>
      <c r="N3004">
        <v>90</v>
      </c>
      <c r="O3004">
        <v>3</v>
      </c>
      <c r="P3004">
        <v>0.375</v>
      </c>
      <c r="Q3004">
        <v>2</v>
      </c>
      <c r="R3004">
        <v>4.4999999999999997E-3</v>
      </c>
      <c r="T3004" t="s">
        <v>8409</v>
      </c>
    </row>
    <row r="3005" spans="1:20" x14ac:dyDescent="0.2">
      <c r="A3005" t="s">
        <v>8411</v>
      </c>
      <c r="B3005" t="s">
        <v>2022</v>
      </c>
      <c r="C3005" t="s">
        <v>2101</v>
      </c>
      <c r="D3005" t="s">
        <v>2024</v>
      </c>
      <c r="E3005" t="s">
        <v>8412</v>
      </c>
      <c r="F3005" t="s">
        <v>8413</v>
      </c>
      <c r="G3005">
        <v>2</v>
      </c>
      <c r="H3005">
        <v>1670</v>
      </c>
      <c r="I3005">
        <v>2</v>
      </c>
      <c r="J3005">
        <v>5</v>
      </c>
      <c r="K3005">
        <v>2</v>
      </c>
      <c r="L3005">
        <v>9.6500000000000002E-2</v>
      </c>
      <c r="M3005">
        <v>2</v>
      </c>
      <c r="N3005">
        <v>74</v>
      </c>
      <c r="O3005">
        <v>2</v>
      </c>
      <c r="P3005">
        <v>0.22500000000000001</v>
      </c>
      <c r="Q3005">
        <v>2</v>
      </c>
      <c r="R3005">
        <v>4.4999999999999997E-3</v>
      </c>
      <c r="T3005" t="s">
        <v>8412</v>
      </c>
    </row>
    <row r="3006" spans="1:20" x14ac:dyDescent="0.2">
      <c r="A3006" t="s">
        <v>8414</v>
      </c>
      <c r="B3006" t="s">
        <v>2022</v>
      </c>
      <c r="C3006" t="s">
        <v>2101</v>
      </c>
      <c r="D3006" t="s">
        <v>2024</v>
      </c>
      <c r="E3006" t="s">
        <v>8415</v>
      </c>
      <c r="F3006" t="s">
        <v>8416</v>
      </c>
      <c r="G3006">
        <v>4</v>
      </c>
      <c r="H3006">
        <v>1870</v>
      </c>
      <c r="I3006">
        <v>2</v>
      </c>
      <c r="J3006">
        <v>5</v>
      </c>
      <c r="K3006">
        <v>3</v>
      </c>
      <c r="L3006">
        <v>0.24349999999999999</v>
      </c>
      <c r="M3006">
        <v>1</v>
      </c>
      <c r="N3006">
        <v>66</v>
      </c>
      <c r="O3006">
        <v>2</v>
      </c>
      <c r="P3006">
        <v>0.22500000000000001</v>
      </c>
      <c r="Q3006">
        <v>2</v>
      </c>
      <c r="R3006">
        <v>4.4999999999999997E-3</v>
      </c>
      <c r="T3006" t="s">
        <v>8415</v>
      </c>
    </row>
    <row r="3007" spans="1:20" x14ac:dyDescent="0.2">
      <c r="A3007" t="s">
        <v>8417</v>
      </c>
      <c r="B3007" t="s">
        <v>2022</v>
      </c>
      <c r="C3007" t="s">
        <v>2028</v>
      </c>
      <c r="D3007" t="s">
        <v>2024</v>
      </c>
      <c r="E3007" t="s">
        <v>8418</v>
      </c>
      <c r="F3007" t="s">
        <v>8419</v>
      </c>
      <c r="G3007">
        <v>1</v>
      </c>
      <c r="H3007">
        <v>650</v>
      </c>
      <c r="I3007">
        <v>1</v>
      </c>
      <c r="J3007">
        <v>0.35</v>
      </c>
      <c r="K3007">
        <v>1</v>
      </c>
      <c r="L3007">
        <v>4.0000000000000001E-3</v>
      </c>
      <c r="M3007">
        <v>5</v>
      </c>
      <c r="N3007">
        <v>500</v>
      </c>
      <c r="O3007">
        <v>3</v>
      </c>
      <c r="P3007">
        <v>0.75</v>
      </c>
      <c r="Q3007">
        <v>2</v>
      </c>
      <c r="R3007">
        <v>7.7499999999999999E-3</v>
      </c>
      <c r="T3007" t="s">
        <v>8418</v>
      </c>
    </row>
    <row r="3008" spans="1:20" x14ac:dyDescent="0.2">
      <c r="A3008" t="s">
        <v>8420</v>
      </c>
      <c r="B3008" t="s">
        <v>2022</v>
      </c>
      <c r="C3008" t="s">
        <v>2023</v>
      </c>
      <c r="D3008" t="s">
        <v>2024</v>
      </c>
      <c r="E3008" t="s">
        <v>8421</v>
      </c>
      <c r="F3008" t="s">
        <v>8422</v>
      </c>
      <c r="G3008">
        <v>3</v>
      </c>
      <c r="H3008">
        <v>1640</v>
      </c>
      <c r="I3008">
        <v>4</v>
      </c>
      <c r="J3008">
        <v>8.4</v>
      </c>
      <c r="K3008">
        <v>5</v>
      </c>
      <c r="L3008">
        <v>8.5999999999999993E-2</v>
      </c>
      <c r="M3008">
        <v>3</v>
      </c>
      <c r="N3008">
        <v>94</v>
      </c>
      <c r="O3008">
        <v>3</v>
      </c>
      <c r="P3008">
        <v>0.375</v>
      </c>
      <c r="Q3008">
        <v>5</v>
      </c>
      <c r="R3008">
        <v>8.0000000000000002E-3</v>
      </c>
      <c r="T3008" t="s">
        <v>8421</v>
      </c>
    </row>
    <row r="3009" spans="1:20" x14ac:dyDescent="0.2">
      <c r="A3009" t="s">
        <v>8423</v>
      </c>
      <c r="B3009" t="s">
        <v>2022</v>
      </c>
      <c r="C3009" t="s">
        <v>2036</v>
      </c>
      <c r="D3009" t="s">
        <v>2024</v>
      </c>
      <c r="E3009" t="s">
        <v>8424</v>
      </c>
      <c r="F3009" t="s">
        <v>8425</v>
      </c>
      <c r="G3009">
        <v>3</v>
      </c>
      <c r="H3009">
        <v>1740</v>
      </c>
      <c r="I3009">
        <v>2</v>
      </c>
      <c r="J3009">
        <v>3.4</v>
      </c>
      <c r="K3009">
        <v>2</v>
      </c>
      <c r="L3009">
        <v>8.5000000000000006E-2</v>
      </c>
      <c r="M3009">
        <v>3</v>
      </c>
      <c r="N3009">
        <v>88</v>
      </c>
      <c r="O3009">
        <v>1</v>
      </c>
      <c r="P3009">
        <v>9.5000000000000001E-2</v>
      </c>
      <c r="Q3009">
        <v>2</v>
      </c>
      <c r="R3009">
        <v>4.2500000000000003E-3</v>
      </c>
      <c r="T3009" t="s">
        <v>8424</v>
      </c>
    </row>
    <row r="3010" spans="1:20" x14ac:dyDescent="0.2">
      <c r="A3010" t="s">
        <v>8426</v>
      </c>
      <c r="B3010" t="s">
        <v>2022</v>
      </c>
      <c r="C3010" t="s">
        <v>2053</v>
      </c>
      <c r="D3010" t="s">
        <v>2024</v>
      </c>
      <c r="E3010" t="s">
        <v>8427</v>
      </c>
      <c r="F3010" t="s">
        <v>8428</v>
      </c>
      <c r="G3010">
        <v>1</v>
      </c>
      <c r="H3010">
        <v>1500</v>
      </c>
      <c r="I3010">
        <v>1</v>
      </c>
      <c r="J3010">
        <v>1.55</v>
      </c>
      <c r="K3010">
        <v>2</v>
      </c>
      <c r="L3010">
        <v>8.5000000000000006E-2</v>
      </c>
      <c r="M3010">
        <v>1</v>
      </c>
      <c r="N3010">
        <v>73</v>
      </c>
      <c r="O3010">
        <v>1</v>
      </c>
      <c r="P3010">
        <v>7.4999999999999997E-2</v>
      </c>
      <c r="Q3010">
        <v>2</v>
      </c>
      <c r="R3010">
        <v>5.1999999999999998E-3</v>
      </c>
      <c r="T3010" t="s">
        <v>8427</v>
      </c>
    </row>
    <row r="3011" spans="1:20" x14ac:dyDescent="0.2">
      <c r="A3011" t="s">
        <v>8429</v>
      </c>
      <c r="B3011" t="s">
        <v>2022</v>
      </c>
      <c r="C3011" t="s">
        <v>2053</v>
      </c>
      <c r="D3011" t="s">
        <v>2024</v>
      </c>
      <c r="E3011" t="s">
        <v>8430</v>
      </c>
      <c r="F3011" t="s">
        <v>447</v>
      </c>
      <c r="G3011">
        <v>1</v>
      </c>
      <c r="H3011">
        <v>1500</v>
      </c>
      <c r="I3011">
        <v>1</v>
      </c>
      <c r="J3011">
        <v>1.55</v>
      </c>
      <c r="K3011">
        <v>2</v>
      </c>
      <c r="L3011">
        <v>8.5000000000000006E-2</v>
      </c>
      <c r="M3011">
        <v>2</v>
      </c>
      <c r="N3011">
        <v>83</v>
      </c>
      <c r="O3011">
        <v>1</v>
      </c>
      <c r="P3011">
        <v>7.4999999999999997E-2</v>
      </c>
      <c r="Q3011">
        <v>2</v>
      </c>
      <c r="R3011">
        <v>5.1999999999999998E-3</v>
      </c>
      <c r="T3011" t="s">
        <v>8430</v>
      </c>
    </row>
    <row r="3012" spans="1:20" x14ac:dyDescent="0.2">
      <c r="A3012" t="s">
        <v>8431</v>
      </c>
      <c r="B3012" t="s">
        <v>2022</v>
      </c>
      <c r="C3012" t="s">
        <v>2049</v>
      </c>
      <c r="D3012" t="s">
        <v>2136</v>
      </c>
      <c r="E3012" t="s">
        <v>8432</v>
      </c>
      <c r="F3012" t="s">
        <v>8433</v>
      </c>
      <c r="G3012">
        <v>2</v>
      </c>
      <c r="H3012">
        <v>1450</v>
      </c>
      <c r="I3012">
        <v>2</v>
      </c>
      <c r="J3012">
        <v>3.2</v>
      </c>
      <c r="K3012">
        <v>3</v>
      </c>
      <c r="L3012">
        <v>0.14000000000000001</v>
      </c>
      <c r="M3012">
        <v>2</v>
      </c>
      <c r="N3012">
        <v>106</v>
      </c>
      <c r="O3012">
        <v>2</v>
      </c>
      <c r="P3012">
        <v>0.26</v>
      </c>
      <c r="Q3012">
        <v>2</v>
      </c>
      <c r="R3012">
        <v>6.1999999999999998E-3</v>
      </c>
      <c r="T3012" t="s">
        <v>8432</v>
      </c>
    </row>
    <row r="3013" spans="1:20" x14ac:dyDescent="0.2">
      <c r="A3013" t="s">
        <v>8434</v>
      </c>
      <c r="B3013" t="s">
        <v>2022</v>
      </c>
      <c r="C3013" t="s">
        <v>2036</v>
      </c>
      <c r="D3013" t="s">
        <v>2024</v>
      </c>
      <c r="E3013" t="s">
        <v>8435</v>
      </c>
      <c r="F3013" t="s">
        <v>8436</v>
      </c>
      <c r="G3013">
        <v>1</v>
      </c>
      <c r="H3013">
        <v>1540</v>
      </c>
      <c r="I3013">
        <v>2</v>
      </c>
      <c r="J3013">
        <v>3.4</v>
      </c>
      <c r="K3013">
        <v>2</v>
      </c>
      <c r="L3013">
        <v>8.5000000000000006E-2</v>
      </c>
      <c r="M3013">
        <v>1</v>
      </c>
      <c r="N3013">
        <v>76</v>
      </c>
      <c r="O3013">
        <v>2</v>
      </c>
      <c r="P3013">
        <v>0.20499999999999999</v>
      </c>
      <c r="Q3013">
        <v>2</v>
      </c>
      <c r="R3013">
        <v>4.2500000000000003E-3</v>
      </c>
      <c r="T3013" t="s">
        <v>8435</v>
      </c>
    </row>
    <row r="3014" spans="1:20" x14ac:dyDescent="0.2">
      <c r="A3014" t="s">
        <v>8437</v>
      </c>
      <c r="B3014" t="s">
        <v>2022</v>
      </c>
      <c r="C3014" t="s">
        <v>2049</v>
      </c>
      <c r="D3014" t="s">
        <v>2024</v>
      </c>
      <c r="E3014" t="s">
        <v>8438</v>
      </c>
      <c r="F3014" t="s">
        <v>8439</v>
      </c>
      <c r="G3014">
        <v>4</v>
      </c>
      <c r="H3014">
        <v>1650</v>
      </c>
      <c r="I3014">
        <v>5</v>
      </c>
      <c r="J3014">
        <v>8.6</v>
      </c>
      <c r="K3014">
        <v>5</v>
      </c>
      <c r="L3014">
        <v>0.3</v>
      </c>
      <c r="M3014">
        <v>5</v>
      </c>
      <c r="N3014">
        <v>166</v>
      </c>
      <c r="O3014">
        <v>5</v>
      </c>
      <c r="P3014">
        <v>0.86</v>
      </c>
      <c r="Q3014">
        <v>5</v>
      </c>
      <c r="R3014">
        <v>3.32E-2</v>
      </c>
      <c r="T3014" t="s">
        <v>8438</v>
      </c>
    </row>
    <row r="3015" spans="1:20" x14ac:dyDescent="0.2">
      <c r="A3015" t="s">
        <v>8440</v>
      </c>
      <c r="B3015" t="s">
        <v>2022</v>
      </c>
      <c r="C3015" t="s">
        <v>2508</v>
      </c>
      <c r="D3015" t="s">
        <v>2024</v>
      </c>
      <c r="E3015" t="s">
        <v>8441</v>
      </c>
      <c r="F3015" t="s">
        <v>8442</v>
      </c>
      <c r="G3015">
        <v>4</v>
      </c>
      <c r="H3015">
        <v>1550</v>
      </c>
      <c r="I3015">
        <v>1</v>
      </c>
      <c r="J3015">
        <v>1</v>
      </c>
      <c r="K3015">
        <v>2</v>
      </c>
      <c r="L3015">
        <v>0.1</v>
      </c>
      <c r="M3015">
        <v>5</v>
      </c>
      <c r="N3015">
        <v>352.5</v>
      </c>
      <c r="O3015">
        <v>2</v>
      </c>
      <c r="P3015">
        <v>0.75</v>
      </c>
      <c r="Q3015">
        <v>2</v>
      </c>
      <c r="R3015">
        <v>2.4E-2</v>
      </c>
      <c r="T3015" t="s">
        <v>8441</v>
      </c>
    </row>
    <row r="3016" spans="1:20" x14ac:dyDescent="0.2">
      <c r="A3016" t="s">
        <v>8443</v>
      </c>
      <c r="B3016" t="s">
        <v>2022</v>
      </c>
      <c r="C3016" t="s">
        <v>2053</v>
      </c>
      <c r="D3016" t="s">
        <v>2024</v>
      </c>
      <c r="E3016" t="s">
        <v>8444</v>
      </c>
      <c r="F3016" t="s">
        <v>8445</v>
      </c>
      <c r="G3016">
        <v>5</v>
      </c>
      <c r="H3016">
        <v>1900</v>
      </c>
      <c r="I3016">
        <v>1</v>
      </c>
      <c r="J3016">
        <v>1.55</v>
      </c>
      <c r="K3016">
        <v>1</v>
      </c>
      <c r="L3016">
        <v>1.4999999999999999E-2</v>
      </c>
      <c r="M3016">
        <v>5</v>
      </c>
      <c r="N3016">
        <v>113</v>
      </c>
      <c r="O3016">
        <v>1</v>
      </c>
      <c r="P3016">
        <v>7.4999999999999997E-2</v>
      </c>
      <c r="Q3016">
        <v>1</v>
      </c>
      <c r="R3016">
        <v>8.4999999999999995E-4</v>
      </c>
      <c r="T3016" t="s">
        <v>8444</v>
      </c>
    </row>
    <row r="3017" spans="1:20" x14ac:dyDescent="0.2">
      <c r="A3017" t="s">
        <v>8446</v>
      </c>
      <c r="B3017" t="s">
        <v>2022</v>
      </c>
      <c r="C3017" t="s">
        <v>2222</v>
      </c>
      <c r="D3017" t="s">
        <v>2024</v>
      </c>
      <c r="E3017" t="s">
        <v>8447</v>
      </c>
      <c r="F3017" t="s">
        <v>8448</v>
      </c>
      <c r="G3017">
        <v>4</v>
      </c>
      <c r="H3017">
        <v>1750</v>
      </c>
      <c r="I3017">
        <v>4</v>
      </c>
      <c r="J3017">
        <v>7.1</v>
      </c>
      <c r="K3017">
        <v>4</v>
      </c>
      <c r="L3017">
        <v>0.19500000000000001</v>
      </c>
      <c r="M3017">
        <v>4</v>
      </c>
      <c r="N3017">
        <v>71</v>
      </c>
      <c r="O3017">
        <v>4</v>
      </c>
      <c r="P3017">
        <v>0.31</v>
      </c>
      <c r="Q3017">
        <v>4</v>
      </c>
      <c r="R3017">
        <v>8.3000000000000001E-3</v>
      </c>
      <c r="T3017" t="s">
        <v>8447</v>
      </c>
    </row>
    <row r="3018" spans="1:20" x14ac:dyDescent="0.2">
      <c r="A3018" t="s">
        <v>8449</v>
      </c>
      <c r="B3018" t="s">
        <v>2022</v>
      </c>
      <c r="C3018" t="s">
        <v>2053</v>
      </c>
      <c r="D3018" t="s">
        <v>2136</v>
      </c>
      <c r="E3018" t="s">
        <v>337</v>
      </c>
      <c r="F3018" t="s">
        <v>8450</v>
      </c>
      <c r="G3018">
        <v>5</v>
      </c>
      <c r="H3018">
        <v>1900</v>
      </c>
      <c r="I3018">
        <v>4</v>
      </c>
      <c r="J3018">
        <v>9.0500000000000007</v>
      </c>
      <c r="K3018">
        <v>5</v>
      </c>
      <c r="L3018">
        <v>0.41499999999999998</v>
      </c>
      <c r="M3018">
        <v>4</v>
      </c>
      <c r="N3018">
        <v>103</v>
      </c>
      <c r="O3018">
        <v>4</v>
      </c>
      <c r="P3018">
        <v>0.52500000000000002</v>
      </c>
      <c r="Q3018">
        <v>4</v>
      </c>
      <c r="R3018">
        <v>1.9199999999999998E-2</v>
      </c>
      <c r="T3018" t="s">
        <v>337</v>
      </c>
    </row>
    <row r="3019" spans="1:20" x14ac:dyDescent="0.2">
      <c r="A3019" t="s">
        <v>8451</v>
      </c>
      <c r="B3019" t="s">
        <v>2022</v>
      </c>
      <c r="C3019" t="s">
        <v>2053</v>
      </c>
      <c r="D3019" t="s">
        <v>2136</v>
      </c>
      <c r="E3019" t="s">
        <v>337</v>
      </c>
      <c r="F3019" t="s">
        <v>8450</v>
      </c>
      <c r="G3019">
        <v>5</v>
      </c>
      <c r="H3019">
        <v>1900</v>
      </c>
      <c r="I3019">
        <v>5</v>
      </c>
      <c r="J3019">
        <v>11.55</v>
      </c>
      <c r="K3019">
        <v>5</v>
      </c>
      <c r="L3019">
        <v>0.41499999999999998</v>
      </c>
      <c r="M3019">
        <v>5</v>
      </c>
      <c r="N3019">
        <v>113</v>
      </c>
      <c r="O3019">
        <v>5</v>
      </c>
      <c r="P3019">
        <v>0.67500000000000004</v>
      </c>
      <c r="Q3019">
        <v>5</v>
      </c>
      <c r="R3019">
        <v>2.6200000000000001E-2</v>
      </c>
      <c r="T3019" t="s">
        <v>337</v>
      </c>
    </row>
    <row r="3020" spans="1:20" x14ac:dyDescent="0.2">
      <c r="A3020" t="s">
        <v>8452</v>
      </c>
      <c r="B3020" t="s">
        <v>2022</v>
      </c>
      <c r="C3020" t="s">
        <v>2053</v>
      </c>
      <c r="D3020" t="s">
        <v>2136</v>
      </c>
      <c r="E3020" t="s">
        <v>337</v>
      </c>
      <c r="F3020" t="s">
        <v>8450</v>
      </c>
      <c r="G3020">
        <v>5</v>
      </c>
      <c r="H3020">
        <v>1900</v>
      </c>
      <c r="I3020">
        <v>5</v>
      </c>
      <c r="J3020">
        <v>11.55</v>
      </c>
      <c r="K3020">
        <v>5</v>
      </c>
      <c r="L3020">
        <v>0.41499999999999998</v>
      </c>
      <c r="M3020">
        <v>5</v>
      </c>
      <c r="N3020">
        <v>113</v>
      </c>
      <c r="O3020">
        <v>5</v>
      </c>
      <c r="P3020">
        <v>0.67500000000000004</v>
      </c>
      <c r="Q3020">
        <v>5</v>
      </c>
      <c r="R3020">
        <v>2.6200000000000001E-2</v>
      </c>
      <c r="T3020" t="s">
        <v>337</v>
      </c>
    </row>
    <row r="3021" spans="1:20" x14ac:dyDescent="0.2">
      <c r="A3021" t="s">
        <v>8453</v>
      </c>
      <c r="B3021" t="s">
        <v>2022</v>
      </c>
      <c r="C3021" t="s">
        <v>2053</v>
      </c>
      <c r="D3021" t="s">
        <v>2136</v>
      </c>
      <c r="E3021" t="s">
        <v>337</v>
      </c>
      <c r="F3021" t="s">
        <v>8450</v>
      </c>
      <c r="G3021">
        <v>5</v>
      </c>
      <c r="H3021">
        <v>1900</v>
      </c>
      <c r="I3021">
        <v>2</v>
      </c>
      <c r="J3021">
        <v>4.05</v>
      </c>
      <c r="K3021">
        <v>3</v>
      </c>
      <c r="L3021">
        <v>0.19500000000000001</v>
      </c>
      <c r="M3021">
        <v>5</v>
      </c>
      <c r="N3021">
        <v>113</v>
      </c>
      <c r="O3021">
        <v>2</v>
      </c>
      <c r="P3021">
        <v>0.22500000000000001</v>
      </c>
      <c r="Q3021">
        <v>3</v>
      </c>
      <c r="R3021">
        <v>1.2200000000000001E-2</v>
      </c>
      <c r="T3021" t="s">
        <v>337</v>
      </c>
    </row>
    <row r="3022" spans="1:20" x14ac:dyDescent="0.2">
      <c r="A3022" t="s">
        <v>8454</v>
      </c>
      <c r="B3022" t="s">
        <v>2022</v>
      </c>
      <c r="C3022" t="s">
        <v>2053</v>
      </c>
      <c r="D3022" t="s">
        <v>2136</v>
      </c>
      <c r="E3022" t="s">
        <v>337</v>
      </c>
      <c r="F3022" t="s">
        <v>8450</v>
      </c>
      <c r="G3022">
        <v>5</v>
      </c>
      <c r="H3022">
        <v>1900</v>
      </c>
      <c r="I3022">
        <v>3</v>
      </c>
      <c r="J3022">
        <v>6.55</v>
      </c>
      <c r="K3022">
        <v>3</v>
      </c>
      <c r="L3022">
        <v>0.19500000000000001</v>
      </c>
      <c r="M3022">
        <v>5</v>
      </c>
      <c r="N3022">
        <v>113</v>
      </c>
      <c r="O3022">
        <v>3</v>
      </c>
      <c r="P3022">
        <v>0.375</v>
      </c>
      <c r="Q3022">
        <v>3</v>
      </c>
      <c r="R3022">
        <v>1.2200000000000001E-2</v>
      </c>
      <c r="T3022" t="s">
        <v>337</v>
      </c>
    </row>
    <row r="3023" spans="1:20" x14ac:dyDescent="0.2">
      <c r="A3023" t="s">
        <v>8455</v>
      </c>
      <c r="B3023" t="s">
        <v>2022</v>
      </c>
      <c r="C3023" t="s">
        <v>2053</v>
      </c>
      <c r="D3023" t="s">
        <v>2136</v>
      </c>
      <c r="E3023" t="s">
        <v>337</v>
      </c>
      <c r="F3023" t="s">
        <v>8450</v>
      </c>
      <c r="G3023">
        <v>5</v>
      </c>
      <c r="H3023">
        <v>1900</v>
      </c>
      <c r="I3023">
        <v>5</v>
      </c>
      <c r="J3023">
        <v>11.55</v>
      </c>
      <c r="K3023">
        <v>5</v>
      </c>
      <c r="L3023">
        <v>0.41499999999999998</v>
      </c>
      <c r="M3023">
        <v>5</v>
      </c>
      <c r="N3023">
        <v>113</v>
      </c>
      <c r="O3023">
        <v>5</v>
      </c>
      <c r="P3023">
        <v>0.67500000000000004</v>
      </c>
      <c r="Q3023">
        <v>5</v>
      </c>
      <c r="R3023">
        <v>2.6200000000000001E-2</v>
      </c>
      <c r="T3023" t="s">
        <v>337</v>
      </c>
    </row>
    <row r="3024" spans="1:20" x14ac:dyDescent="0.2">
      <c r="A3024" t="s">
        <v>8456</v>
      </c>
      <c r="B3024" t="s">
        <v>2022</v>
      </c>
      <c r="C3024" t="s">
        <v>2036</v>
      </c>
      <c r="D3024" t="s">
        <v>2136</v>
      </c>
      <c r="E3024" t="s">
        <v>337</v>
      </c>
      <c r="F3024" t="s">
        <v>8450</v>
      </c>
      <c r="G3024">
        <v>5</v>
      </c>
      <c r="H3024">
        <v>1940</v>
      </c>
      <c r="I3024">
        <v>5</v>
      </c>
      <c r="J3024">
        <v>7</v>
      </c>
      <c r="K3024">
        <v>5</v>
      </c>
      <c r="L3024">
        <v>0.17499999999999999</v>
      </c>
      <c r="M3024">
        <v>5</v>
      </c>
      <c r="N3024">
        <v>100</v>
      </c>
      <c r="O3024">
        <v>5</v>
      </c>
      <c r="P3024">
        <v>0.53500000000000003</v>
      </c>
      <c r="Q3024">
        <v>5</v>
      </c>
      <c r="R3024">
        <v>1.2E-2</v>
      </c>
      <c r="T3024" t="s">
        <v>337</v>
      </c>
    </row>
    <row r="3025" spans="1:20" x14ac:dyDescent="0.2">
      <c r="A3025" t="s">
        <v>8457</v>
      </c>
      <c r="B3025" t="s">
        <v>2022</v>
      </c>
      <c r="C3025" t="s">
        <v>2036</v>
      </c>
      <c r="D3025" t="s">
        <v>2136</v>
      </c>
      <c r="E3025" t="s">
        <v>357</v>
      </c>
      <c r="F3025" t="s">
        <v>8458</v>
      </c>
      <c r="G3025">
        <v>2</v>
      </c>
      <c r="H3025">
        <v>1640</v>
      </c>
      <c r="I3025">
        <v>3</v>
      </c>
      <c r="J3025">
        <v>4.5999999999999996</v>
      </c>
      <c r="K3025">
        <v>5</v>
      </c>
      <c r="L3025">
        <v>0.17499999999999999</v>
      </c>
      <c r="M3025">
        <v>1</v>
      </c>
      <c r="N3025">
        <v>76</v>
      </c>
      <c r="O3025">
        <v>2</v>
      </c>
      <c r="P3025">
        <v>0.20499999999999999</v>
      </c>
      <c r="Q3025">
        <v>4</v>
      </c>
      <c r="R3025">
        <v>9.2499999999999995E-3</v>
      </c>
      <c r="T3025" t="s">
        <v>357</v>
      </c>
    </row>
    <row r="3026" spans="1:20" x14ac:dyDescent="0.2">
      <c r="A3026" t="s">
        <v>8459</v>
      </c>
      <c r="B3026" t="s">
        <v>2022</v>
      </c>
      <c r="C3026" t="s">
        <v>2049</v>
      </c>
      <c r="D3026" t="s">
        <v>2024</v>
      </c>
      <c r="E3026" t="s">
        <v>8460</v>
      </c>
      <c r="F3026" t="s">
        <v>447</v>
      </c>
      <c r="G3026">
        <v>4</v>
      </c>
      <c r="H3026">
        <v>1650</v>
      </c>
      <c r="I3026">
        <v>3</v>
      </c>
      <c r="J3026">
        <v>5</v>
      </c>
      <c r="K3026">
        <v>2</v>
      </c>
      <c r="L3026">
        <v>0.06</v>
      </c>
      <c r="M3026">
        <v>2</v>
      </c>
      <c r="N3026">
        <v>106</v>
      </c>
      <c r="O3026">
        <v>2</v>
      </c>
      <c r="P3026">
        <v>0.26</v>
      </c>
      <c r="Q3026">
        <v>2</v>
      </c>
      <c r="R3026">
        <v>6.1999999999999998E-3</v>
      </c>
      <c r="T3026" t="s">
        <v>8460</v>
      </c>
    </row>
    <row r="3027" spans="1:20" x14ac:dyDescent="0.2">
      <c r="A3027" t="s">
        <v>8461</v>
      </c>
      <c r="B3027" t="s">
        <v>2022</v>
      </c>
      <c r="C3027" t="s">
        <v>2023</v>
      </c>
      <c r="D3027" t="s">
        <v>2024</v>
      </c>
      <c r="E3027" t="s">
        <v>8462</v>
      </c>
      <c r="F3027" t="s">
        <v>8463</v>
      </c>
      <c r="G3027">
        <v>2</v>
      </c>
      <c r="H3027">
        <v>1560</v>
      </c>
      <c r="I3027">
        <v>2</v>
      </c>
      <c r="J3027">
        <v>3.4</v>
      </c>
      <c r="K3027">
        <v>2</v>
      </c>
      <c r="L3027">
        <v>2.5999999999999999E-2</v>
      </c>
      <c r="M3027">
        <v>5</v>
      </c>
      <c r="N3027">
        <v>114</v>
      </c>
      <c r="O3027">
        <v>2</v>
      </c>
      <c r="P3027">
        <v>0.22500000000000001</v>
      </c>
      <c r="Q3027">
        <v>2</v>
      </c>
      <c r="R3027">
        <v>2E-3</v>
      </c>
      <c r="T3027" t="s">
        <v>8462</v>
      </c>
    </row>
    <row r="3028" spans="1:20" x14ac:dyDescent="0.2">
      <c r="A3028" t="s">
        <v>107</v>
      </c>
      <c r="B3028" t="s">
        <v>2022</v>
      </c>
      <c r="C3028" t="s">
        <v>2053</v>
      </c>
      <c r="D3028" t="s">
        <v>2024</v>
      </c>
      <c r="E3028" t="s">
        <v>316</v>
      </c>
      <c r="F3028" t="s">
        <v>8464</v>
      </c>
      <c r="G3028">
        <v>4</v>
      </c>
      <c r="H3028">
        <v>1800</v>
      </c>
      <c r="I3028">
        <v>4</v>
      </c>
      <c r="J3028">
        <v>9.0500000000000007</v>
      </c>
      <c r="K3028">
        <v>5</v>
      </c>
      <c r="L3028">
        <v>0.41499999999999998</v>
      </c>
      <c r="M3028">
        <v>5</v>
      </c>
      <c r="N3028">
        <v>113</v>
      </c>
      <c r="O3028">
        <v>5</v>
      </c>
      <c r="P3028">
        <v>0.67500000000000004</v>
      </c>
      <c r="Q3028">
        <v>5</v>
      </c>
      <c r="R3028">
        <v>2.6200000000000001E-2</v>
      </c>
      <c r="T3028" t="s">
        <v>316</v>
      </c>
    </row>
    <row r="3029" spans="1:20" x14ac:dyDescent="0.2">
      <c r="A3029" t="s">
        <v>8465</v>
      </c>
      <c r="B3029" t="s">
        <v>2022</v>
      </c>
      <c r="C3029" t="s">
        <v>2023</v>
      </c>
      <c r="D3029" t="s">
        <v>2024</v>
      </c>
      <c r="E3029" t="s">
        <v>357</v>
      </c>
      <c r="F3029" t="s">
        <v>8466</v>
      </c>
      <c r="G3029">
        <v>5</v>
      </c>
      <c r="H3029">
        <v>1800</v>
      </c>
      <c r="I3029">
        <v>5</v>
      </c>
      <c r="J3029">
        <v>10.9</v>
      </c>
      <c r="K3029">
        <v>5</v>
      </c>
      <c r="L3029">
        <v>8.5999999999999993E-2</v>
      </c>
      <c r="M3029">
        <v>2</v>
      </c>
      <c r="N3029">
        <v>84</v>
      </c>
      <c r="O3029">
        <v>5</v>
      </c>
      <c r="P3029">
        <v>0.67500000000000004</v>
      </c>
      <c r="Q3029">
        <v>5</v>
      </c>
      <c r="R3029">
        <v>8.0000000000000002E-3</v>
      </c>
      <c r="T3029" t="s">
        <v>357</v>
      </c>
    </row>
    <row r="3030" spans="1:20" x14ac:dyDescent="0.2">
      <c r="A3030" t="s">
        <v>8467</v>
      </c>
      <c r="B3030" t="s">
        <v>2022</v>
      </c>
      <c r="C3030" t="s">
        <v>2023</v>
      </c>
      <c r="D3030" t="s">
        <v>2024</v>
      </c>
      <c r="E3030" t="s">
        <v>8468</v>
      </c>
      <c r="F3030" t="s">
        <v>8469</v>
      </c>
      <c r="G3030">
        <v>1</v>
      </c>
      <c r="H3030">
        <v>1480</v>
      </c>
      <c r="I3030">
        <v>1</v>
      </c>
      <c r="J3030">
        <v>0.9</v>
      </c>
      <c r="K3030">
        <v>1</v>
      </c>
      <c r="L3030">
        <v>6.0000000000000001E-3</v>
      </c>
      <c r="M3030">
        <v>1</v>
      </c>
      <c r="N3030">
        <v>74</v>
      </c>
      <c r="O3030">
        <v>1</v>
      </c>
      <c r="P3030">
        <v>7.4999999999999997E-2</v>
      </c>
      <c r="Q3030">
        <v>1</v>
      </c>
      <c r="R3030">
        <v>5.0000000000000001E-4</v>
      </c>
      <c r="T3030" t="s">
        <v>8468</v>
      </c>
    </row>
    <row r="3031" spans="1:20" x14ac:dyDescent="0.2">
      <c r="A3031" t="s">
        <v>8470</v>
      </c>
      <c r="B3031" t="s">
        <v>2022</v>
      </c>
      <c r="C3031" t="s">
        <v>2036</v>
      </c>
      <c r="D3031" t="s">
        <v>2024</v>
      </c>
      <c r="E3031" t="s">
        <v>8471</v>
      </c>
      <c r="F3031" t="s">
        <v>8472</v>
      </c>
      <c r="G3031">
        <v>1</v>
      </c>
      <c r="H3031">
        <v>1540</v>
      </c>
      <c r="I3031">
        <v>1</v>
      </c>
      <c r="J3031">
        <v>2.2000000000000002</v>
      </c>
      <c r="K3031">
        <v>3</v>
      </c>
      <c r="L3031">
        <v>0.115</v>
      </c>
      <c r="M3031">
        <v>1</v>
      </c>
      <c r="N3031">
        <v>76</v>
      </c>
      <c r="O3031">
        <v>1</v>
      </c>
      <c r="P3031">
        <v>9.5000000000000001E-2</v>
      </c>
      <c r="Q3031">
        <v>2</v>
      </c>
      <c r="R3031">
        <v>4.2500000000000003E-3</v>
      </c>
      <c r="T3031" t="s">
        <v>8471</v>
      </c>
    </row>
    <row r="3032" spans="1:20" x14ac:dyDescent="0.2">
      <c r="A3032" t="s">
        <v>8473</v>
      </c>
      <c r="B3032" t="s">
        <v>2022</v>
      </c>
      <c r="C3032" t="s">
        <v>2023</v>
      </c>
      <c r="D3032" t="s">
        <v>2024</v>
      </c>
      <c r="E3032" t="s">
        <v>8474</v>
      </c>
      <c r="F3032" t="s">
        <v>8475</v>
      </c>
      <c r="G3032">
        <v>5</v>
      </c>
      <c r="H3032">
        <v>1800</v>
      </c>
      <c r="I3032">
        <v>5</v>
      </c>
      <c r="J3032">
        <v>10.9</v>
      </c>
      <c r="K3032">
        <v>5</v>
      </c>
      <c r="L3032">
        <v>8.5999999999999993E-2</v>
      </c>
      <c r="M3032">
        <v>4</v>
      </c>
      <c r="N3032">
        <v>104</v>
      </c>
      <c r="O3032">
        <v>5</v>
      </c>
      <c r="P3032">
        <v>0.67500000000000004</v>
      </c>
      <c r="Q3032">
        <v>5</v>
      </c>
      <c r="R3032">
        <v>8.0000000000000002E-3</v>
      </c>
      <c r="T3032" t="s">
        <v>8474</v>
      </c>
    </row>
    <row r="3033" spans="1:20" x14ac:dyDescent="0.2">
      <c r="A3033" t="s">
        <v>8476</v>
      </c>
      <c r="B3033" t="s">
        <v>2022</v>
      </c>
      <c r="C3033" t="s">
        <v>2028</v>
      </c>
      <c r="D3033" t="s">
        <v>2024</v>
      </c>
      <c r="E3033" t="s">
        <v>8477</v>
      </c>
      <c r="F3033" t="s">
        <v>8478</v>
      </c>
      <c r="G3033">
        <v>2</v>
      </c>
      <c r="H3033">
        <v>850</v>
      </c>
      <c r="I3033">
        <v>2</v>
      </c>
      <c r="J3033">
        <v>1.55</v>
      </c>
      <c r="K3033">
        <v>2</v>
      </c>
      <c r="L3033">
        <v>4.4999999999999998E-2</v>
      </c>
      <c r="M3033">
        <v>4</v>
      </c>
      <c r="N3033">
        <v>400</v>
      </c>
      <c r="O3033">
        <v>4</v>
      </c>
      <c r="P3033">
        <v>1.05</v>
      </c>
      <c r="Q3033">
        <v>5</v>
      </c>
      <c r="R3033">
        <v>3.3500000000000002E-2</v>
      </c>
      <c r="T3033" t="s">
        <v>8477</v>
      </c>
    </row>
    <row r="3034" spans="1:20" x14ac:dyDescent="0.2">
      <c r="A3034" t="s">
        <v>8479</v>
      </c>
      <c r="B3034" t="s">
        <v>2022</v>
      </c>
      <c r="C3034" t="s">
        <v>2173</v>
      </c>
      <c r="D3034" t="s">
        <v>2024</v>
      </c>
      <c r="E3034" t="s">
        <v>8480</v>
      </c>
      <c r="F3034" t="s">
        <v>8481</v>
      </c>
      <c r="G3034">
        <v>1</v>
      </c>
      <c r="H3034">
        <v>1882.5</v>
      </c>
      <c r="I3034">
        <v>1</v>
      </c>
      <c r="J3034">
        <v>3.65</v>
      </c>
      <c r="K3034">
        <v>2</v>
      </c>
      <c r="L3034">
        <v>0.09</v>
      </c>
      <c r="M3034">
        <v>5</v>
      </c>
      <c r="N3034">
        <v>140.5</v>
      </c>
      <c r="O3034">
        <v>3</v>
      </c>
      <c r="P3034">
        <v>0.51</v>
      </c>
      <c r="Q3034">
        <v>2</v>
      </c>
      <c r="R3034">
        <v>4.7999999999999996E-3</v>
      </c>
      <c r="T3034" t="s">
        <v>8480</v>
      </c>
    </row>
    <row r="3035" spans="1:20" x14ac:dyDescent="0.2">
      <c r="A3035" t="s">
        <v>8482</v>
      </c>
      <c r="B3035" t="s">
        <v>2022</v>
      </c>
      <c r="C3035" t="s">
        <v>2023</v>
      </c>
      <c r="D3035" t="s">
        <v>2024</v>
      </c>
      <c r="E3035" t="s">
        <v>8483</v>
      </c>
      <c r="F3035" t="s">
        <v>8484</v>
      </c>
      <c r="G3035">
        <v>3</v>
      </c>
      <c r="H3035">
        <v>1640</v>
      </c>
      <c r="I3035">
        <v>5</v>
      </c>
      <c r="J3035">
        <v>10.9</v>
      </c>
      <c r="K3035">
        <v>5</v>
      </c>
      <c r="L3035">
        <v>8.5999999999999993E-2</v>
      </c>
      <c r="M3035">
        <v>3</v>
      </c>
      <c r="N3035">
        <v>94</v>
      </c>
      <c r="O3035">
        <v>5</v>
      </c>
      <c r="P3035">
        <v>0.67500000000000004</v>
      </c>
      <c r="Q3035">
        <v>5</v>
      </c>
      <c r="R3035">
        <v>8.0000000000000002E-3</v>
      </c>
      <c r="T3035" t="s">
        <v>8483</v>
      </c>
    </row>
    <row r="3036" spans="1:20" x14ac:dyDescent="0.2">
      <c r="A3036" t="s">
        <v>8485</v>
      </c>
      <c r="B3036" t="s">
        <v>2022</v>
      </c>
      <c r="C3036" t="s">
        <v>2023</v>
      </c>
      <c r="D3036" t="s">
        <v>2024</v>
      </c>
      <c r="E3036" t="s">
        <v>8486</v>
      </c>
      <c r="F3036" t="s">
        <v>8487</v>
      </c>
      <c r="G3036">
        <v>1</v>
      </c>
      <c r="H3036">
        <v>1480</v>
      </c>
      <c r="I3036">
        <v>2</v>
      </c>
      <c r="J3036">
        <v>3.4</v>
      </c>
      <c r="K3036">
        <v>4</v>
      </c>
      <c r="L3036">
        <v>6.6000000000000003E-2</v>
      </c>
      <c r="M3036">
        <v>5</v>
      </c>
      <c r="N3036">
        <v>114</v>
      </c>
      <c r="O3036">
        <v>3</v>
      </c>
      <c r="P3036">
        <v>0.375</v>
      </c>
      <c r="Q3036">
        <v>4</v>
      </c>
      <c r="R3036">
        <v>6.0000000000000001E-3</v>
      </c>
      <c r="T3036" t="s">
        <v>8486</v>
      </c>
    </row>
    <row r="3037" spans="1:20" x14ac:dyDescent="0.2">
      <c r="A3037" t="s">
        <v>8488</v>
      </c>
      <c r="B3037" t="s">
        <v>2022</v>
      </c>
      <c r="C3037" t="s">
        <v>2095</v>
      </c>
      <c r="D3037" t="s">
        <v>2024</v>
      </c>
      <c r="E3037" t="s">
        <v>8489</v>
      </c>
      <c r="F3037" t="s">
        <v>447</v>
      </c>
      <c r="G3037">
        <v>3</v>
      </c>
      <c r="H3037">
        <v>1745</v>
      </c>
      <c r="I3037">
        <v>5</v>
      </c>
      <c r="J3037">
        <v>16.5</v>
      </c>
      <c r="K3037">
        <v>4</v>
      </c>
      <c r="L3037">
        <v>0.53</v>
      </c>
      <c r="M3037">
        <v>2</v>
      </c>
      <c r="N3037">
        <v>80</v>
      </c>
      <c r="O3037">
        <v>4</v>
      </c>
      <c r="P3037">
        <v>0.75</v>
      </c>
      <c r="Q3037">
        <v>4</v>
      </c>
      <c r="R3037">
        <v>2.3900000000000001E-2</v>
      </c>
      <c r="T3037" t="s">
        <v>8489</v>
      </c>
    </row>
    <row r="3038" spans="1:20" x14ac:dyDescent="0.2">
      <c r="A3038" t="s">
        <v>8490</v>
      </c>
      <c r="B3038" t="s">
        <v>2022</v>
      </c>
      <c r="C3038" t="s">
        <v>2053</v>
      </c>
      <c r="D3038" t="s">
        <v>2024</v>
      </c>
      <c r="E3038" t="s">
        <v>8491</v>
      </c>
      <c r="F3038" t="s">
        <v>8492</v>
      </c>
      <c r="G3038">
        <v>3</v>
      </c>
      <c r="H3038">
        <v>1700</v>
      </c>
      <c r="I3038">
        <v>3</v>
      </c>
      <c r="J3038">
        <v>6.55</v>
      </c>
      <c r="K3038">
        <v>2</v>
      </c>
      <c r="L3038">
        <v>8.5000000000000006E-2</v>
      </c>
      <c r="M3038">
        <v>4</v>
      </c>
      <c r="N3038">
        <v>103</v>
      </c>
      <c r="O3038">
        <v>3</v>
      </c>
      <c r="P3038">
        <v>0.375</v>
      </c>
      <c r="Q3038">
        <v>2</v>
      </c>
      <c r="R3038">
        <v>5.1999999999999998E-3</v>
      </c>
      <c r="T3038" t="s">
        <v>8491</v>
      </c>
    </row>
    <row r="3039" spans="1:20" x14ac:dyDescent="0.2">
      <c r="A3039" t="s">
        <v>8493</v>
      </c>
      <c r="B3039" t="s">
        <v>2022</v>
      </c>
      <c r="C3039" t="s">
        <v>2222</v>
      </c>
      <c r="D3039" t="s">
        <v>2024</v>
      </c>
      <c r="E3039" t="s">
        <v>8494</v>
      </c>
      <c r="F3039" t="s">
        <v>8495</v>
      </c>
      <c r="G3039">
        <v>3</v>
      </c>
      <c r="H3039">
        <v>1650</v>
      </c>
      <c r="I3039">
        <v>2</v>
      </c>
      <c r="J3039">
        <v>3.9</v>
      </c>
      <c r="K3039">
        <v>2</v>
      </c>
      <c r="L3039">
        <v>5.5E-2</v>
      </c>
      <c r="M3039">
        <v>3</v>
      </c>
      <c r="N3039">
        <v>67</v>
      </c>
      <c r="O3039">
        <v>2</v>
      </c>
      <c r="P3039">
        <v>0.15</v>
      </c>
      <c r="Q3039">
        <v>2</v>
      </c>
      <c r="R3039">
        <v>2.3E-3</v>
      </c>
      <c r="T3039" t="s">
        <v>8494</v>
      </c>
    </row>
    <row r="3040" spans="1:20" x14ac:dyDescent="0.2">
      <c r="A3040" t="s">
        <v>8496</v>
      </c>
      <c r="B3040" t="s">
        <v>2022</v>
      </c>
      <c r="C3040" t="s">
        <v>2036</v>
      </c>
      <c r="D3040" t="s">
        <v>2024</v>
      </c>
      <c r="E3040" t="s">
        <v>8497</v>
      </c>
      <c r="F3040" t="s">
        <v>8498</v>
      </c>
      <c r="G3040">
        <v>2</v>
      </c>
      <c r="H3040">
        <v>1640</v>
      </c>
      <c r="I3040">
        <v>1</v>
      </c>
      <c r="J3040">
        <v>2.2000000000000002</v>
      </c>
      <c r="K3040">
        <v>1</v>
      </c>
      <c r="L3040">
        <v>5.5E-2</v>
      </c>
      <c r="M3040">
        <v>2</v>
      </c>
      <c r="N3040">
        <v>82</v>
      </c>
      <c r="O3040">
        <v>1</v>
      </c>
      <c r="P3040">
        <v>9.5000000000000001E-2</v>
      </c>
      <c r="Q3040">
        <v>1</v>
      </c>
      <c r="R3040">
        <v>1.5E-3</v>
      </c>
      <c r="T3040" t="s">
        <v>8497</v>
      </c>
    </row>
    <row r="3041" spans="1:20" x14ac:dyDescent="0.2">
      <c r="A3041" t="s">
        <v>8499</v>
      </c>
      <c r="B3041" t="s">
        <v>2022</v>
      </c>
      <c r="C3041" t="s">
        <v>2023</v>
      </c>
      <c r="D3041" t="s">
        <v>2024</v>
      </c>
      <c r="E3041" t="s">
        <v>8500</v>
      </c>
      <c r="F3041" t="s">
        <v>8501</v>
      </c>
      <c r="G3041">
        <v>4</v>
      </c>
      <c r="H3041">
        <v>1720</v>
      </c>
      <c r="I3041">
        <v>5</v>
      </c>
      <c r="J3041">
        <v>10.9</v>
      </c>
      <c r="K3041">
        <v>5</v>
      </c>
      <c r="L3041">
        <v>8.5999999999999993E-2</v>
      </c>
      <c r="M3041">
        <v>3</v>
      </c>
      <c r="N3041">
        <v>94</v>
      </c>
      <c r="O3041">
        <v>5</v>
      </c>
      <c r="P3041">
        <v>0.67500000000000004</v>
      </c>
      <c r="Q3041">
        <v>5</v>
      </c>
      <c r="R3041">
        <v>8.0000000000000002E-3</v>
      </c>
      <c r="T3041" t="s">
        <v>8500</v>
      </c>
    </row>
    <row r="3042" spans="1:20" x14ac:dyDescent="0.2">
      <c r="A3042" t="s">
        <v>8502</v>
      </c>
      <c r="B3042" t="s">
        <v>2022</v>
      </c>
      <c r="C3042" t="s">
        <v>2023</v>
      </c>
      <c r="D3042" t="s">
        <v>2024</v>
      </c>
      <c r="E3042" t="s">
        <v>8503</v>
      </c>
      <c r="F3042" t="s">
        <v>8504</v>
      </c>
      <c r="G3042">
        <v>5</v>
      </c>
      <c r="H3042">
        <v>1800</v>
      </c>
      <c r="I3042">
        <v>5</v>
      </c>
      <c r="J3042">
        <v>10.9</v>
      </c>
      <c r="K3042">
        <v>5</v>
      </c>
      <c r="L3042">
        <v>8.5999999999999993E-2</v>
      </c>
      <c r="M3042">
        <v>3</v>
      </c>
      <c r="N3042">
        <v>94</v>
      </c>
      <c r="O3042">
        <v>4</v>
      </c>
      <c r="P3042">
        <v>0.52500000000000002</v>
      </c>
      <c r="Q3042">
        <v>5</v>
      </c>
      <c r="R3042">
        <v>8.0000000000000002E-3</v>
      </c>
      <c r="T3042" t="s">
        <v>8503</v>
      </c>
    </row>
    <row r="3043" spans="1:20" x14ac:dyDescent="0.2">
      <c r="A3043" t="s">
        <v>8505</v>
      </c>
      <c r="B3043" t="s">
        <v>2022</v>
      </c>
      <c r="C3043" t="s">
        <v>2053</v>
      </c>
      <c r="D3043" t="s">
        <v>2024</v>
      </c>
      <c r="E3043" t="s">
        <v>8506</v>
      </c>
      <c r="F3043" t="s">
        <v>8507</v>
      </c>
      <c r="G3043">
        <v>5</v>
      </c>
      <c r="H3043">
        <v>1900</v>
      </c>
      <c r="I3043">
        <v>3</v>
      </c>
      <c r="J3043">
        <v>6.55</v>
      </c>
      <c r="K3043">
        <v>3</v>
      </c>
      <c r="L3043">
        <v>0.19500000000000001</v>
      </c>
      <c r="M3043">
        <v>3</v>
      </c>
      <c r="N3043">
        <v>93</v>
      </c>
      <c r="O3043">
        <v>3</v>
      </c>
      <c r="P3043">
        <v>0.375</v>
      </c>
      <c r="Q3043">
        <v>3</v>
      </c>
      <c r="R3043">
        <v>1.2200000000000001E-2</v>
      </c>
      <c r="T3043" t="s">
        <v>8506</v>
      </c>
    </row>
    <row r="3044" spans="1:20" x14ac:dyDescent="0.2">
      <c r="A3044" t="s">
        <v>8508</v>
      </c>
      <c r="B3044" t="s">
        <v>2022</v>
      </c>
      <c r="C3044" t="s">
        <v>2023</v>
      </c>
      <c r="D3044" t="s">
        <v>2024</v>
      </c>
      <c r="E3044" t="s">
        <v>8509</v>
      </c>
      <c r="F3044" t="s">
        <v>8510</v>
      </c>
      <c r="G3044">
        <v>5</v>
      </c>
      <c r="H3044">
        <v>1800</v>
      </c>
      <c r="I3044">
        <v>2</v>
      </c>
      <c r="J3044">
        <v>3.4</v>
      </c>
      <c r="K3044">
        <v>4</v>
      </c>
      <c r="L3044">
        <v>6.6000000000000003E-2</v>
      </c>
      <c r="M3044">
        <v>5</v>
      </c>
      <c r="N3044">
        <v>114</v>
      </c>
      <c r="O3044">
        <v>5</v>
      </c>
      <c r="P3044">
        <v>0.67500000000000004</v>
      </c>
      <c r="Q3044">
        <v>5</v>
      </c>
      <c r="R3044">
        <v>8.0000000000000002E-3</v>
      </c>
      <c r="T3044" t="s">
        <v>8509</v>
      </c>
    </row>
    <row r="3045" spans="1:20" x14ac:dyDescent="0.2">
      <c r="A3045" t="s">
        <v>8511</v>
      </c>
      <c r="B3045" t="s">
        <v>2022</v>
      </c>
      <c r="C3045" t="s">
        <v>2036</v>
      </c>
      <c r="D3045" t="s">
        <v>2024</v>
      </c>
      <c r="E3045" t="s">
        <v>8512</v>
      </c>
      <c r="F3045" t="s">
        <v>8513</v>
      </c>
      <c r="G3045">
        <v>2</v>
      </c>
      <c r="H3045">
        <v>1640</v>
      </c>
      <c r="I3045">
        <v>1</v>
      </c>
      <c r="J3045">
        <v>2.2000000000000002</v>
      </c>
      <c r="K3045">
        <v>1</v>
      </c>
      <c r="L3045">
        <v>5.5E-2</v>
      </c>
      <c r="M3045">
        <v>2</v>
      </c>
      <c r="N3045">
        <v>82</v>
      </c>
      <c r="O3045">
        <v>1</v>
      </c>
      <c r="P3045">
        <v>9.5000000000000001E-2</v>
      </c>
      <c r="Q3045">
        <v>1</v>
      </c>
      <c r="R3045">
        <v>1.5E-3</v>
      </c>
      <c r="T3045" t="s">
        <v>8512</v>
      </c>
    </row>
    <row r="3046" spans="1:20" x14ac:dyDescent="0.2">
      <c r="A3046" t="s">
        <v>8514</v>
      </c>
      <c r="B3046" t="s">
        <v>2022</v>
      </c>
      <c r="C3046" t="s">
        <v>2023</v>
      </c>
      <c r="D3046" t="s">
        <v>2024</v>
      </c>
      <c r="E3046" t="s">
        <v>8515</v>
      </c>
      <c r="F3046" t="s">
        <v>8516</v>
      </c>
      <c r="G3046">
        <v>1</v>
      </c>
      <c r="H3046">
        <v>1480</v>
      </c>
      <c r="I3046">
        <v>1</v>
      </c>
      <c r="J3046">
        <v>0.9</v>
      </c>
      <c r="K3046">
        <v>1</v>
      </c>
      <c r="L3046">
        <v>6.0000000000000001E-3</v>
      </c>
      <c r="M3046">
        <v>1</v>
      </c>
      <c r="N3046">
        <v>74</v>
      </c>
      <c r="O3046">
        <v>1</v>
      </c>
      <c r="P3046">
        <v>7.4999999999999997E-2</v>
      </c>
      <c r="Q3046">
        <v>1</v>
      </c>
      <c r="R3046">
        <v>5.0000000000000001E-4</v>
      </c>
      <c r="T3046" t="s">
        <v>8515</v>
      </c>
    </row>
    <row r="3047" spans="1:20" x14ac:dyDescent="0.2">
      <c r="A3047" t="s">
        <v>8517</v>
      </c>
      <c r="B3047" t="s">
        <v>2022</v>
      </c>
      <c r="C3047" t="s">
        <v>2101</v>
      </c>
      <c r="D3047" t="s">
        <v>2024</v>
      </c>
      <c r="E3047" t="s">
        <v>8518</v>
      </c>
      <c r="F3047" t="s">
        <v>8519</v>
      </c>
      <c r="G3047">
        <v>3</v>
      </c>
      <c r="H3047">
        <v>1770</v>
      </c>
      <c r="I3047">
        <v>1</v>
      </c>
      <c r="J3047">
        <v>2</v>
      </c>
      <c r="K3047">
        <v>2</v>
      </c>
      <c r="L3047">
        <v>9.6500000000000002E-2</v>
      </c>
      <c r="M3047">
        <v>3</v>
      </c>
      <c r="N3047">
        <v>82</v>
      </c>
      <c r="O3047">
        <v>2</v>
      </c>
      <c r="P3047">
        <v>0.22500000000000001</v>
      </c>
      <c r="Q3047">
        <v>2</v>
      </c>
      <c r="R3047">
        <v>4.4999999999999997E-3</v>
      </c>
      <c r="T3047" t="s">
        <v>8518</v>
      </c>
    </row>
    <row r="3048" spans="1:20" x14ac:dyDescent="0.2">
      <c r="A3048" t="s">
        <v>8520</v>
      </c>
      <c r="B3048" t="s">
        <v>2022</v>
      </c>
      <c r="C3048" t="s">
        <v>2101</v>
      </c>
      <c r="D3048" t="s">
        <v>2024</v>
      </c>
      <c r="E3048" t="s">
        <v>357</v>
      </c>
      <c r="F3048" t="s">
        <v>8521</v>
      </c>
      <c r="G3048">
        <v>2</v>
      </c>
      <c r="H3048">
        <v>1670</v>
      </c>
      <c r="I3048">
        <v>2</v>
      </c>
      <c r="J3048">
        <v>5</v>
      </c>
      <c r="K3048">
        <v>2</v>
      </c>
      <c r="L3048">
        <v>9.6500000000000002E-2</v>
      </c>
      <c r="M3048">
        <v>3</v>
      </c>
      <c r="N3048">
        <v>82</v>
      </c>
      <c r="O3048">
        <v>2</v>
      </c>
      <c r="P3048">
        <v>0.22500000000000001</v>
      </c>
      <c r="Q3048">
        <v>2</v>
      </c>
      <c r="R3048">
        <v>4.4999999999999997E-3</v>
      </c>
      <c r="T3048" t="s">
        <v>357</v>
      </c>
    </row>
    <row r="3049" spans="1:20" x14ac:dyDescent="0.2">
      <c r="A3049" t="s">
        <v>8522</v>
      </c>
      <c r="B3049" t="s">
        <v>2022</v>
      </c>
      <c r="C3049" t="s">
        <v>2023</v>
      </c>
      <c r="D3049" t="s">
        <v>2024</v>
      </c>
      <c r="E3049" t="s">
        <v>8523</v>
      </c>
      <c r="F3049" t="s">
        <v>8524</v>
      </c>
      <c r="G3049">
        <v>1</v>
      </c>
      <c r="H3049">
        <v>1480</v>
      </c>
      <c r="I3049">
        <v>2</v>
      </c>
      <c r="J3049">
        <v>3.4</v>
      </c>
      <c r="K3049">
        <v>1</v>
      </c>
      <c r="L3049">
        <v>6.0000000000000001E-3</v>
      </c>
      <c r="M3049">
        <v>3</v>
      </c>
      <c r="N3049">
        <v>94</v>
      </c>
      <c r="O3049">
        <v>1</v>
      </c>
      <c r="P3049">
        <v>7.4999999999999997E-2</v>
      </c>
      <c r="Q3049">
        <v>1</v>
      </c>
      <c r="R3049">
        <v>5.0000000000000001E-4</v>
      </c>
      <c r="T3049" t="s">
        <v>8523</v>
      </c>
    </row>
    <row r="3050" spans="1:20" x14ac:dyDescent="0.2">
      <c r="A3050" t="s">
        <v>8525</v>
      </c>
      <c r="B3050" t="s">
        <v>2022</v>
      </c>
      <c r="C3050" t="s">
        <v>2053</v>
      </c>
      <c r="D3050" t="s">
        <v>2024</v>
      </c>
      <c r="E3050" t="s">
        <v>8526</v>
      </c>
      <c r="F3050" t="s">
        <v>8527</v>
      </c>
      <c r="G3050">
        <v>5</v>
      </c>
      <c r="H3050">
        <v>1900</v>
      </c>
      <c r="I3050">
        <v>4</v>
      </c>
      <c r="J3050">
        <v>9.0500000000000007</v>
      </c>
      <c r="K3050">
        <v>4</v>
      </c>
      <c r="L3050">
        <v>0.30499999999999999</v>
      </c>
      <c r="M3050">
        <v>1</v>
      </c>
      <c r="N3050">
        <v>73</v>
      </c>
      <c r="O3050">
        <v>3</v>
      </c>
      <c r="P3050">
        <v>0.375</v>
      </c>
      <c r="Q3050">
        <v>3</v>
      </c>
      <c r="R3050">
        <v>1.2200000000000001E-2</v>
      </c>
      <c r="T3050" t="s">
        <v>8526</v>
      </c>
    </row>
    <row r="3051" spans="1:20" x14ac:dyDescent="0.2">
      <c r="A3051" t="s">
        <v>8528</v>
      </c>
      <c r="B3051" t="s">
        <v>2022</v>
      </c>
      <c r="C3051" t="s">
        <v>2053</v>
      </c>
      <c r="D3051" t="s">
        <v>2024</v>
      </c>
      <c r="E3051" t="s">
        <v>8529</v>
      </c>
      <c r="F3051" t="s">
        <v>8530</v>
      </c>
      <c r="G3051">
        <v>1</v>
      </c>
      <c r="H3051">
        <v>1500</v>
      </c>
      <c r="I3051">
        <v>3</v>
      </c>
      <c r="J3051">
        <v>6.55</v>
      </c>
      <c r="K3051">
        <v>2</v>
      </c>
      <c r="L3051">
        <v>8.5000000000000006E-2</v>
      </c>
      <c r="M3051">
        <v>1</v>
      </c>
      <c r="N3051">
        <v>73</v>
      </c>
      <c r="O3051">
        <v>2</v>
      </c>
      <c r="P3051">
        <v>0.22500000000000001</v>
      </c>
      <c r="Q3051">
        <v>2</v>
      </c>
      <c r="R3051">
        <v>5.1999999999999998E-3</v>
      </c>
      <c r="T3051" t="s">
        <v>8529</v>
      </c>
    </row>
    <row r="3052" spans="1:20" x14ac:dyDescent="0.2">
      <c r="A3052" t="s">
        <v>8531</v>
      </c>
      <c r="B3052" t="s">
        <v>2022</v>
      </c>
      <c r="C3052" t="s">
        <v>2023</v>
      </c>
      <c r="D3052" t="s">
        <v>2024</v>
      </c>
      <c r="E3052" t="s">
        <v>8532</v>
      </c>
      <c r="F3052" t="s">
        <v>8533</v>
      </c>
      <c r="G3052">
        <v>2</v>
      </c>
      <c r="H3052">
        <v>1560</v>
      </c>
      <c r="I3052">
        <v>3</v>
      </c>
      <c r="J3052">
        <v>5.9</v>
      </c>
      <c r="K3052">
        <v>4</v>
      </c>
      <c r="L3052">
        <v>6.6000000000000003E-2</v>
      </c>
      <c r="M3052">
        <v>2</v>
      </c>
      <c r="N3052">
        <v>84</v>
      </c>
      <c r="O3052">
        <v>2</v>
      </c>
      <c r="P3052">
        <v>0.22500000000000001</v>
      </c>
      <c r="Q3052">
        <v>3</v>
      </c>
      <c r="R3052">
        <v>4.0000000000000001E-3</v>
      </c>
      <c r="T3052" t="s">
        <v>8532</v>
      </c>
    </row>
    <row r="3053" spans="1:20" x14ac:dyDescent="0.2">
      <c r="A3053" t="s">
        <v>8534</v>
      </c>
      <c r="B3053" t="s">
        <v>2022</v>
      </c>
      <c r="C3053" t="s">
        <v>2101</v>
      </c>
      <c r="D3053" t="s">
        <v>2024</v>
      </c>
      <c r="E3053" t="s">
        <v>8535</v>
      </c>
      <c r="F3053" t="s">
        <v>8536</v>
      </c>
      <c r="G3053">
        <v>2</v>
      </c>
      <c r="H3053">
        <v>1670</v>
      </c>
      <c r="I3053">
        <v>2</v>
      </c>
      <c r="J3053">
        <v>5</v>
      </c>
      <c r="K3053">
        <v>3</v>
      </c>
      <c r="L3053">
        <v>0.24349999999999999</v>
      </c>
      <c r="M3053">
        <v>3</v>
      </c>
      <c r="N3053">
        <v>82</v>
      </c>
      <c r="O3053">
        <v>2</v>
      </c>
      <c r="P3053">
        <v>0.22500000000000001</v>
      </c>
      <c r="Q3053">
        <v>3</v>
      </c>
      <c r="R3053">
        <v>1.15E-2</v>
      </c>
      <c r="T3053" t="s">
        <v>8535</v>
      </c>
    </row>
    <row r="3054" spans="1:20" x14ac:dyDescent="0.2">
      <c r="A3054" t="s">
        <v>8537</v>
      </c>
      <c r="B3054" t="s">
        <v>2022</v>
      </c>
      <c r="C3054" t="s">
        <v>2023</v>
      </c>
      <c r="D3054" t="s">
        <v>2136</v>
      </c>
      <c r="E3054" t="s">
        <v>8538</v>
      </c>
      <c r="F3054" t="s">
        <v>8539</v>
      </c>
      <c r="G3054">
        <v>2</v>
      </c>
      <c r="H3054">
        <v>1560</v>
      </c>
      <c r="I3054">
        <v>2</v>
      </c>
      <c r="J3054">
        <v>3.4</v>
      </c>
      <c r="K3054">
        <v>5</v>
      </c>
      <c r="L3054">
        <v>8.5999999999999993E-2</v>
      </c>
      <c r="M3054">
        <v>5</v>
      </c>
      <c r="N3054">
        <v>114</v>
      </c>
      <c r="O3054">
        <v>5</v>
      </c>
      <c r="P3054">
        <v>0.67500000000000004</v>
      </c>
      <c r="Q3054">
        <v>5</v>
      </c>
      <c r="R3054">
        <v>8.0000000000000002E-3</v>
      </c>
      <c r="T3054" t="s">
        <v>8538</v>
      </c>
    </row>
    <row r="3055" spans="1:20" x14ac:dyDescent="0.2">
      <c r="A3055" t="s">
        <v>8540</v>
      </c>
      <c r="B3055" t="s">
        <v>2022</v>
      </c>
      <c r="C3055" t="s">
        <v>2036</v>
      </c>
      <c r="D3055" t="s">
        <v>2024</v>
      </c>
      <c r="E3055" t="s">
        <v>8541</v>
      </c>
      <c r="F3055" t="s">
        <v>447</v>
      </c>
      <c r="G3055">
        <v>4</v>
      </c>
      <c r="H3055">
        <v>1840</v>
      </c>
      <c r="I3055">
        <v>4</v>
      </c>
      <c r="J3055">
        <v>5.8</v>
      </c>
      <c r="K3055">
        <v>5</v>
      </c>
      <c r="L3055">
        <v>0.17499999999999999</v>
      </c>
      <c r="M3055">
        <v>4</v>
      </c>
      <c r="N3055">
        <v>94</v>
      </c>
      <c r="O3055">
        <v>3</v>
      </c>
      <c r="P3055">
        <v>0.315</v>
      </c>
      <c r="Q3055">
        <v>4</v>
      </c>
      <c r="R3055">
        <v>9.2499999999999995E-3</v>
      </c>
      <c r="T3055" t="s">
        <v>8541</v>
      </c>
    </row>
    <row r="3056" spans="1:20" x14ac:dyDescent="0.2">
      <c r="A3056" t="s">
        <v>8542</v>
      </c>
      <c r="B3056" t="s">
        <v>2022</v>
      </c>
      <c r="C3056" t="s">
        <v>2053</v>
      </c>
      <c r="D3056" t="s">
        <v>2024</v>
      </c>
      <c r="E3056" t="s">
        <v>8543</v>
      </c>
      <c r="F3056" t="s">
        <v>447</v>
      </c>
      <c r="G3056">
        <v>4</v>
      </c>
      <c r="H3056">
        <v>1800</v>
      </c>
      <c r="I3056">
        <v>1</v>
      </c>
      <c r="J3056">
        <v>1.55</v>
      </c>
      <c r="K3056">
        <v>1</v>
      </c>
      <c r="L3056">
        <v>1.4999999999999999E-2</v>
      </c>
      <c r="M3056">
        <v>2</v>
      </c>
      <c r="N3056">
        <v>83</v>
      </c>
      <c r="O3056">
        <v>1</v>
      </c>
      <c r="P3056">
        <v>7.4999999999999997E-2</v>
      </c>
      <c r="Q3056">
        <v>1</v>
      </c>
      <c r="R3056">
        <v>8.4999999999999995E-4</v>
      </c>
      <c r="T3056" t="s">
        <v>8543</v>
      </c>
    </row>
    <row r="3057" spans="1:20" x14ac:dyDescent="0.2">
      <c r="A3057" t="s">
        <v>8544</v>
      </c>
      <c r="B3057" t="s">
        <v>2022</v>
      </c>
      <c r="C3057" t="s">
        <v>2036</v>
      </c>
      <c r="D3057" t="s">
        <v>2024</v>
      </c>
      <c r="E3057" t="s">
        <v>8545</v>
      </c>
      <c r="F3057" t="s">
        <v>8546</v>
      </c>
      <c r="G3057">
        <v>5</v>
      </c>
      <c r="H3057">
        <v>1940</v>
      </c>
      <c r="I3057">
        <v>5</v>
      </c>
      <c r="J3057">
        <v>7</v>
      </c>
      <c r="K3057">
        <v>5</v>
      </c>
      <c r="L3057">
        <v>0.17499999999999999</v>
      </c>
      <c r="M3057">
        <v>5</v>
      </c>
      <c r="N3057">
        <v>100</v>
      </c>
      <c r="O3057">
        <v>4</v>
      </c>
      <c r="P3057">
        <v>0.42499999999999999</v>
      </c>
      <c r="Q3057">
        <v>5</v>
      </c>
      <c r="R3057">
        <v>1.2E-2</v>
      </c>
      <c r="T3057" t="s">
        <v>8545</v>
      </c>
    </row>
    <row r="3058" spans="1:20" x14ac:dyDescent="0.2">
      <c r="A3058" t="s">
        <v>8547</v>
      </c>
      <c r="B3058" t="s">
        <v>2022</v>
      </c>
      <c r="C3058" t="s">
        <v>2023</v>
      </c>
      <c r="D3058" t="s">
        <v>2024</v>
      </c>
      <c r="E3058" t="s">
        <v>8548</v>
      </c>
      <c r="F3058" t="s">
        <v>8549</v>
      </c>
      <c r="G3058">
        <v>1</v>
      </c>
      <c r="H3058">
        <v>1480</v>
      </c>
      <c r="I3058">
        <v>2</v>
      </c>
      <c r="J3058">
        <v>3.4</v>
      </c>
      <c r="K3058">
        <v>3</v>
      </c>
      <c r="L3058">
        <v>4.5999999999999999E-2</v>
      </c>
      <c r="M3058">
        <v>1</v>
      </c>
      <c r="N3058">
        <v>74</v>
      </c>
      <c r="O3058">
        <v>1</v>
      </c>
      <c r="P3058">
        <v>7.4999999999999997E-2</v>
      </c>
      <c r="Q3058">
        <v>2</v>
      </c>
      <c r="R3058">
        <v>2E-3</v>
      </c>
      <c r="T3058" t="s">
        <v>8548</v>
      </c>
    </row>
    <row r="3059" spans="1:20" x14ac:dyDescent="0.2">
      <c r="A3059" t="s">
        <v>8550</v>
      </c>
      <c r="B3059" t="s">
        <v>2022</v>
      </c>
      <c r="C3059" t="s">
        <v>2023</v>
      </c>
      <c r="D3059" t="s">
        <v>2024</v>
      </c>
      <c r="E3059" t="s">
        <v>8551</v>
      </c>
      <c r="F3059" t="s">
        <v>8552</v>
      </c>
      <c r="G3059">
        <v>4</v>
      </c>
      <c r="H3059">
        <v>1720</v>
      </c>
      <c r="I3059">
        <v>4</v>
      </c>
      <c r="J3059">
        <v>8.4</v>
      </c>
      <c r="K3059">
        <v>5</v>
      </c>
      <c r="L3059">
        <v>8.5999999999999993E-2</v>
      </c>
      <c r="M3059">
        <v>3</v>
      </c>
      <c r="N3059">
        <v>94</v>
      </c>
      <c r="O3059">
        <v>3</v>
      </c>
      <c r="P3059">
        <v>0.375</v>
      </c>
      <c r="Q3059">
        <v>5</v>
      </c>
      <c r="R3059">
        <v>8.0000000000000002E-3</v>
      </c>
      <c r="T3059" t="s">
        <v>8551</v>
      </c>
    </row>
    <row r="3060" spans="1:20" x14ac:dyDescent="0.2">
      <c r="A3060" t="s">
        <v>8553</v>
      </c>
      <c r="B3060" t="s">
        <v>2022</v>
      </c>
      <c r="C3060" t="s">
        <v>2036</v>
      </c>
      <c r="D3060" t="s">
        <v>2024</v>
      </c>
      <c r="E3060" t="s">
        <v>8554</v>
      </c>
      <c r="F3060" t="s">
        <v>8555</v>
      </c>
      <c r="G3060">
        <v>1</v>
      </c>
      <c r="H3060">
        <v>1540</v>
      </c>
      <c r="I3060">
        <v>1</v>
      </c>
      <c r="J3060">
        <v>2.2000000000000002</v>
      </c>
      <c r="K3060">
        <v>1</v>
      </c>
      <c r="L3060">
        <v>5.5E-2</v>
      </c>
      <c r="M3060">
        <v>3</v>
      </c>
      <c r="N3060">
        <v>88</v>
      </c>
      <c r="O3060">
        <v>2</v>
      </c>
      <c r="P3060">
        <v>0.20499999999999999</v>
      </c>
      <c r="Q3060">
        <v>1</v>
      </c>
      <c r="R3060">
        <v>1.5E-3</v>
      </c>
      <c r="T3060" t="s">
        <v>8554</v>
      </c>
    </row>
    <row r="3061" spans="1:20" x14ac:dyDescent="0.2">
      <c r="A3061" t="s">
        <v>8556</v>
      </c>
      <c r="B3061" t="s">
        <v>2022</v>
      </c>
      <c r="C3061" t="s">
        <v>2053</v>
      </c>
      <c r="D3061" t="s">
        <v>2024</v>
      </c>
      <c r="E3061" t="s">
        <v>8557</v>
      </c>
      <c r="F3061" t="s">
        <v>8558</v>
      </c>
      <c r="G3061">
        <v>4</v>
      </c>
      <c r="H3061">
        <v>1800</v>
      </c>
      <c r="I3061">
        <v>4</v>
      </c>
      <c r="J3061">
        <v>9.0500000000000007</v>
      </c>
      <c r="K3061">
        <v>4</v>
      </c>
      <c r="L3061">
        <v>0.30499999999999999</v>
      </c>
      <c r="M3061">
        <v>2</v>
      </c>
      <c r="N3061">
        <v>83</v>
      </c>
      <c r="O3061">
        <v>3</v>
      </c>
      <c r="P3061">
        <v>0.375</v>
      </c>
      <c r="Q3061">
        <v>3</v>
      </c>
      <c r="R3061">
        <v>1.2200000000000001E-2</v>
      </c>
      <c r="T3061" t="s">
        <v>8557</v>
      </c>
    </row>
    <row r="3062" spans="1:20" x14ac:dyDescent="0.2">
      <c r="A3062" t="s">
        <v>8559</v>
      </c>
      <c r="B3062" t="s">
        <v>2022</v>
      </c>
      <c r="C3062" t="s">
        <v>2049</v>
      </c>
      <c r="D3062" t="s">
        <v>2024</v>
      </c>
      <c r="E3062" t="s">
        <v>8560</v>
      </c>
      <c r="F3062" t="s">
        <v>8561</v>
      </c>
      <c r="G3062">
        <v>5</v>
      </c>
      <c r="H3062">
        <v>1750</v>
      </c>
      <c r="I3062">
        <v>5</v>
      </c>
      <c r="J3062">
        <v>8.6</v>
      </c>
      <c r="K3062">
        <v>4</v>
      </c>
      <c r="L3062">
        <v>0.22</v>
      </c>
      <c r="M3062">
        <v>2</v>
      </c>
      <c r="N3062">
        <v>106</v>
      </c>
      <c r="O3062">
        <v>3</v>
      </c>
      <c r="P3062">
        <v>0.46</v>
      </c>
      <c r="Q3062">
        <v>3</v>
      </c>
      <c r="R3062">
        <v>1.52E-2</v>
      </c>
      <c r="T3062" t="s">
        <v>8560</v>
      </c>
    </row>
    <row r="3063" spans="1:20" x14ac:dyDescent="0.2">
      <c r="A3063" t="s">
        <v>8562</v>
      </c>
      <c r="B3063" t="s">
        <v>2022</v>
      </c>
      <c r="C3063" t="s">
        <v>2023</v>
      </c>
      <c r="D3063" t="s">
        <v>2024</v>
      </c>
      <c r="E3063" t="s">
        <v>8563</v>
      </c>
      <c r="F3063" t="s">
        <v>8564</v>
      </c>
      <c r="G3063">
        <v>2</v>
      </c>
      <c r="H3063">
        <v>1560</v>
      </c>
      <c r="I3063">
        <v>2</v>
      </c>
      <c r="J3063">
        <v>3.4</v>
      </c>
      <c r="K3063">
        <v>2</v>
      </c>
      <c r="L3063">
        <v>2.5999999999999999E-2</v>
      </c>
      <c r="M3063">
        <v>2</v>
      </c>
      <c r="N3063">
        <v>84</v>
      </c>
      <c r="O3063">
        <v>2</v>
      </c>
      <c r="P3063">
        <v>0.22500000000000001</v>
      </c>
      <c r="Q3063">
        <v>1</v>
      </c>
      <c r="R3063">
        <v>5.0000000000000001E-4</v>
      </c>
      <c r="T3063" t="s">
        <v>8563</v>
      </c>
    </row>
    <row r="3064" spans="1:20" x14ac:dyDescent="0.2">
      <c r="A3064" t="s">
        <v>8565</v>
      </c>
      <c r="B3064" t="s">
        <v>2022</v>
      </c>
      <c r="C3064" t="s">
        <v>2023</v>
      </c>
      <c r="D3064" t="s">
        <v>2024</v>
      </c>
      <c r="E3064" t="s">
        <v>357</v>
      </c>
      <c r="F3064" t="s">
        <v>8566</v>
      </c>
      <c r="G3064">
        <v>4</v>
      </c>
      <c r="H3064">
        <v>1720</v>
      </c>
      <c r="I3064">
        <v>4</v>
      </c>
      <c r="J3064">
        <v>8.4</v>
      </c>
      <c r="K3064">
        <v>5</v>
      </c>
      <c r="L3064">
        <v>8.5999999999999993E-2</v>
      </c>
      <c r="M3064">
        <v>4</v>
      </c>
      <c r="N3064">
        <v>104</v>
      </c>
      <c r="O3064">
        <v>4</v>
      </c>
      <c r="P3064">
        <v>0.52500000000000002</v>
      </c>
      <c r="Q3064">
        <v>5</v>
      </c>
      <c r="R3064">
        <v>8.0000000000000002E-3</v>
      </c>
      <c r="T3064" t="s">
        <v>357</v>
      </c>
    </row>
    <row r="3065" spans="1:20" x14ac:dyDescent="0.2">
      <c r="A3065" t="s">
        <v>8567</v>
      </c>
      <c r="B3065" t="s">
        <v>2022</v>
      </c>
      <c r="C3065" t="s">
        <v>2023</v>
      </c>
      <c r="D3065" t="s">
        <v>2024</v>
      </c>
      <c r="E3065" t="s">
        <v>8568</v>
      </c>
      <c r="F3065" t="s">
        <v>8569</v>
      </c>
      <c r="G3065">
        <v>2</v>
      </c>
      <c r="H3065">
        <v>1560</v>
      </c>
      <c r="I3065">
        <v>2</v>
      </c>
      <c r="J3065">
        <v>3.4</v>
      </c>
      <c r="K3065">
        <v>2</v>
      </c>
      <c r="L3065">
        <v>2.5999999999999999E-2</v>
      </c>
      <c r="M3065">
        <v>2</v>
      </c>
      <c r="N3065">
        <v>84</v>
      </c>
      <c r="O3065">
        <v>1</v>
      </c>
      <c r="P3065">
        <v>7.4999999999999997E-2</v>
      </c>
      <c r="Q3065">
        <v>1</v>
      </c>
      <c r="R3065">
        <v>5.0000000000000001E-4</v>
      </c>
      <c r="T3065" t="s">
        <v>8568</v>
      </c>
    </row>
    <row r="3066" spans="1:20" x14ac:dyDescent="0.2">
      <c r="A3066" t="s">
        <v>8570</v>
      </c>
      <c r="B3066" t="s">
        <v>2022</v>
      </c>
      <c r="C3066" t="s">
        <v>2095</v>
      </c>
      <c r="D3066" t="s">
        <v>2024</v>
      </c>
      <c r="E3066" t="s">
        <v>8571</v>
      </c>
      <c r="F3066" t="s">
        <v>8572</v>
      </c>
      <c r="G3066">
        <v>2</v>
      </c>
      <c r="H3066">
        <v>1655</v>
      </c>
      <c r="I3066">
        <v>3</v>
      </c>
      <c r="J3066">
        <v>10.5</v>
      </c>
      <c r="K3066">
        <v>3</v>
      </c>
      <c r="L3066">
        <v>0.33</v>
      </c>
      <c r="M3066">
        <v>3</v>
      </c>
      <c r="N3066">
        <v>86</v>
      </c>
      <c r="O3066">
        <v>3</v>
      </c>
      <c r="P3066">
        <v>0.55000000000000004</v>
      </c>
      <c r="Q3066">
        <v>3</v>
      </c>
      <c r="R3066">
        <v>1.49E-2</v>
      </c>
      <c r="T3066" t="s">
        <v>8571</v>
      </c>
    </row>
    <row r="3067" spans="1:20" x14ac:dyDescent="0.2">
      <c r="A3067" t="s">
        <v>8573</v>
      </c>
      <c r="B3067" t="s">
        <v>2022</v>
      </c>
      <c r="C3067" t="s">
        <v>2023</v>
      </c>
      <c r="D3067" t="s">
        <v>2024</v>
      </c>
      <c r="E3067" t="s">
        <v>8574</v>
      </c>
      <c r="F3067" t="s">
        <v>8575</v>
      </c>
      <c r="G3067">
        <v>3</v>
      </c>
      <c r="H3067">
        <v>1640</v>
      </c>
      <c r="I3067">
        <v>3</v>
      </c>
      <c r="J3067">
        <v>5.9</v>
      </c>
      <c r="K3067">
        <v>5</v>
      </c>
      <c r="L3067">
        <v>8.5999999999999993E-2</v>
      </c>
      <c r="M3067">
        <v>2</v>
      </c>
      <c r="N3067">
        <v>84</v>
      </c>
      <c r="O3067">
        <v>2</v>
      </c>
      <c r="P3067">
        <v>0.22500000000000001</v>
      </c>
      <c r="Q3067">
        <v>5</v>
      </c>
      <c r="R3067">
        <v>8.0000000000000002E-3</v>
      </c>
      <c r="T3067" t="s">
        <v>8574</v>
      </c>
    </row>
    <row r="3068" spans="1:20" x14ac:dyDescent="0.2">
      <c r="A3068" t="s">
        <v>8576</v>
      </c>
      <c r="B3068" t="s">
        <v>2022</v>
      </c>
      <c r="C3068" t="s">
        <v>2104</v>
      </c>
      <c r="D3068" t="s">
        <v>2024</v>
      </c>
      <c r="E3068" t="s">
        <v>8577</v>
      </c>
      <c r="F3068" t="s">
        <v>8578</v>
      </c>
      <c r="G3068">
        <v>5</v>
      </c>
      <c r="H3068">
        <v>2237.5</v>
      </c>
      <c r="I3068">
        <v>5</v>
      </c>
      <c r="J3068">
        <v>10.15</v>
      </c>
      <c r="K3068">
        <v>5</v>
      </c>
      <c r="L3068">
        <v>0.191</v>
      </c>
      <c r="M3068">
        <v>5</v>
      </c>
      <c r="N3068">
        <v>89</v>
      </c>
      <c r="P3068">
        <v>0</v>
      </c>
      <c r="Q3068">
        <v>4</v>
      </c>
      <c r="R3068">
        <v>1.32E-2</v>
      </c>
      <c r="T3068" t="s">
        <v>8577</v>
      </c>
    </row>
    <row r="3069" spans="1:20" x14ac:dyDescent="0.2">
      <c r="A3069" t="s">
        <v>8579</v>
      </c>
      <c r="B3069" t="s">
        <v>2022</v>
      </c>
      <c r="C3069" t="s">
        <v>2101</v>
      </c>
      <c r="D3069" t="s">
        <v>2024</v>
      </c>
      <c r="E3069" t="s">
        <v>8580</v>
      </c>
      <c r="F3069" t="s">
        <v>8581</v>
      </c>
      <c r="G3069">
        <v>1</v>
      </c>
      <c r="H3069">
        <v>1570</v>
      </c>
      <c r="I3069">
        <v>5</v>
      </c>
      <c r="J3069">
        <v>14</v>
      </c>
      <c r="K3069">
        <v>5</v>
      </c>
      <c r="L3069">
        <v>0.53749999999999998</v>
      </c>
      <c r="M3069">
        <v>3</v>
      </c>
      <c r="N3069">
        <v>82</v>
      </c>
      <c r="O3069">
        <v>5</v>
      </c>
      <c r="P3069">
        <v>0.67500000000000004</v>
      </c>
      <c r="Q3069">
        <v>5</v>
      </c>
      <c r="R3069">
        <v>2.5499999999999998E-2</v>
      </c>
      <c r="T3069" t="s">
        <v>8580</v>
      </c>
    </row>
    <row r="3070" spans="1:20" x14ac:dyDescent="0.2">
      <c r="A3070" t="s">
        <v>8582</v>
      </c>
      <c r="B3070" t="s">
        <v>2022</v>
      </c>
      <c r="C3070" t="s">
        <v>2173</v>
      </c>
      <c r="D3070" t="s">
        <v>2136</v>
      </c>
      <c r="E3070" t="s">
        <v>8583</v>
      </c>
      <c r="F3070" t="s">
        <v>8584</v>
      </c>
      <c r="G3070">
        <v>1</v>
      </c>
      <c r="H3070">
        <v>1882.5</v>
      </c>
      <c r="I3070">
        <v>1</v>
      </c>
      <c r="J3070">
        <v>3.65</v>
      </c>
      <c r="K3070">
        <v>1</v>
      </c>
      <c r="L3070">
        <v>1.4999999999999999E-2</v>
      </c>
      <c r="M3070">
        <v>3</v>
      </c>
      <c r="N3070">
        <v>118.5</v>
      </c>
      <c r="O3070">
        <v>1</v>
      </c>
      <c r="P3070">
        <v>0.15</v>
      </c>
      <c r="Q3070">
        <v>1</v>
      </c>
      <c r="R3070">
        <v>6.4999999999999997E-4</v>
      </c>
      <c r="T3070" t="s">
        <v>8583</v>
      </c>
    </row>
    <row r="3071" spans="1:20" x14ac:dyDescent="0.2">
      <c r="A3071" t="s">
        <v>8585</v>
      </c>
      <c r="B3071" t="s">
        <v>2022</v>
      </c>
      <c r="C3071" t="s">
        <v>2053</v>
      </c>
      <c r="D3071" t="s">
        <v>2024</v>
      </c>
      <c r="E3071" t="s">
        <v>8586</v>
      </c>
      <c r="F3071" t="s">
        <v>447</v>
      </c>
      <c r="G3071">
        <v>3</v>
      </c>
      <c r="H3071">
        <v>1700</v>
      </c>
      <c r="I3071">
        <v>2</v>
      </c>
      <c r="J3071">
        <v>4.05</v>
      </c>
      <c r="K3071">
        <v>1</v>
      </c>
      <c r="L3071">
        <v>1.4999999999999999E-2</v>
      </c>
      <c r="M3071">
        <v>3</v>
      </c>
      <c r="N3071">
        <v>93</v>
      </c>
      <c r="O3071">
        <v>2</v>
      </c>
      <c r="P3071">
        <v>0.22500000000000001</v>
      </c>
      <c r="Q3071">
        <v>1</v>
      </c>
      <c r="R3071">
        <v>8.4999999999999995E-4</v>
      </c>
      <c r="T3071" t="s">
        <v>8586</v>
      </c>
    </row>
    <row r="3072" spans="1:20" x14ac:dyDescent="0.2">
      <c r="A3072" t="s">
        <v>8587</v>
      </c>
      <c r="B3072" t="s">
        <v>2022</v>
      </c>
      <c r="C3072" t="s">
        <v>2023</v>
      </c>
      <c r="D3072" t="s">
        <v>2024</v>
      </c>
      <c r="E3072" t="s">
        <v>8588</v>
      </c>
      <c r="F3072" t="s">
        <v>8589</v>
      </c>
      <c r="G3072">
        <v>5</v>
      </c>
      <c r="H3072">
        <v>1800</v>
      </c>
      <c r="I3072">
        <v>5</v>
      </c>
      <c r="J3072">
        <v>10.9</v>
      </c>
      <c r="K3072">
        <v>5</v>
      </c>
      <c r="L3072">
        <v>8.5999999999999993E-2</v>
      </c>
      <c r="M3072">
        <v>5</v>
      </c>
      <c r="N3072">
        <v>114</v>
      </c>
      <c r="O3072">
        <v>5</v>
      </c>
      <c r="P3072">
        <v>0.67500000000000004</v>
      </c>
      <c r="Q3072">
        <v>5</v>
      </c>
      <c r="R3072">
        <v>8.0000000000000002E-3</v>
      </c>
      <c r="T3072" t="s">
        <v>8588</v>
      </c>
    </row>
    <row r="3073" spans="1:20" x14ac:dyDescent="0.2">
      <c r="A3073" t="s">
        <v>8590</v>
      </c>
      <c r="B3073" t="s">
        <v>2022</v>
      </c>
      <c r="C3073" t="s">
        <v>2104</v>
      </c>
      <c r="D3073" t="s">
        <v>2024</v>
      </c>
      <c r="E3073" t="s">
        <v>8591</v>
      </c>
      <c r="F3073" t="s">
        <v>8592</v>
      </c>
      <c r="G3073">
        <v>2</v>
      </c>
      <c r="H3073">
        <v>1712.5</v>
      </c>
      <c r="I3073">
        <v>4</v>
      </c>
      <c r="J3073">
        <v>7.85</v>
      </c>
      <c r="K3073">
        <v>3</v>
      </c>
      <c r="L3073">
        <v>9.0999999999999998E-2</v>
      </c>
      <c r="M3073">
        <v>3</v>
      </c>
      <c r="N3073">
        <v>73</v>
      </c>
      <c r="P3073">
        <v>0</v>
      </c>
      <c r="Q3073">
        <v>2</v>
      </c>
      <c r="R3073">
        <v>3.2000000000000002E-3</v>
      </c>
      <c r="T3073" t="s">
        <v>8591</v>
      </c>
    </row>
    <row r="3074" spans="1:20" x14ac:dyDescent="0.2">
      <c r="A3074" t="s">
        <v>8593</v>
      </c>
      <c r="B3074" t="s">
        <v>2022</v>
      </c>
      <c r="C3074" t="s">
        <v>2023</v>
      </c>
      <c r="D3074" t="s">
        <v>2024</v>
      </c>
      <c r="E3074" t="s">
        <v>8594</v>
      </c>
      <c r="F3074" t="s">
        <v>8595</v>
      </c>
      <c r="G3074">
        <v>3</v>
      </c>
      <c r="H3074">
        <v>1640</v>
      </c>
      <c r="I3074">
        <v>2</v>
      </c>
      <c r="J3074">
        <v>3.4</v>
      </c>
      <c r="K3074">
        <v>2</v>
      </c>
      <c r="L3074">
        <v>2.5999999999999999E-2</v>
      </c>
      <c r="M3074">
        <v>4</v>
      </c>
      <c r="N3074">
        <v>104</v>
      </c>
      <c r="O3074">
        <v>1</v>
      </c>
      <c r="P3074">
        <v>7.4999999999999997E-2</v>
      </c>
      <c r="Q3074">
        <v>2</v>
      </c>
      <c r="R3074">
        <v>2E-3</v>
      </c>
      <c r="T3074" t="s">
        <v>8594</v>
      </c>
    </row>
    <row r="3075" spans="1:20" x14ac:dyDescent="0.2">
      <c r="A3075" t="s">
        <v>8596</v>
      </c>
      <c r="B3075" t="s">
        <v>2022</v>
      </c>
      <c r="C3075" t="s">
        <v>2053</v>
      </c>
      <c r="D3075" t="s">
        <v>2024</v>
      </c>
      <c r="E3075" t="s">
        <v>8597</v>
      </c>
      <c r="F3075" t="s">
        <v>447</v>
      </c>
      <c r="G3075">
        <v>3</v>
      </c>
      <c r="H3075">
        <v>1700</v>
      </c>
      <c r="I3075">
        <v>4</v>
      </c>
      <c r="J3075">
        <v>9.0500000000000007</v>
      </c>
      <c r="K3075">
        <v>3</v>
      </c>
      <c r="L3075">
        <v>0.19500000000000001</v>
      </c>
      <c r="M3075">
        <v>3</v>
      </c>
      <c r="N3075">
        <v>93</v>
      </c>
      <c r="O3075">
        <v>4</v>
      </c>
      <c r="P3075">
        <v>0.52500000000000002</v>
      </c>
      <c r="Q3075">
        <v>3</v>
      </c>
      <c r="R3075">
        <v>1.2200000000000001E-2</v>
      </c>
      <c r="T3075" t="s">
        <v>8597</v>
      </c>
    </row>
    <row r="3076" spans="1:20" x14ac:dyDescent="0.2">
      <c r="A3076" t="s">
        <v>8598</v>
      </c>
      <c r="B3076" t="s">
        <v>2022</v>
      </c>
      <c r="C3076" t="s">
        <v>2023</v>
      </c>
      <c r="D3076" t="s">
        <v>2024</v>
      </c>
      <c r="E3076" t="s">
        <v>8599</v>
      </c>
      <c r="F3076" t="s">
        <v>8600</v>
      </c>
      <c r="G3076">
        <v>5</v>
      </c>
      <c r="H3076">
        <v>1800</v>
      </c>
      <c r="I3076">
        <v>5</v>
      </c>
      <c r="J3076">
        <v>10.9</v>
      </c>
      <c r="K3076">
        <v>5</v>
      </c>
      <c r="L3076">
        <v>8.5999999999999993E-2</v>
      </c>
      <c r="M3076">
        <v>2</v>
      </c>
      <c r="N3076">
        <v>84</v>
      </c>
      <c r="O3076">
        <v>5</v>
      </c>
      <c r="P3076">
        <v>0.67500000000000004</v>
      </c>
      <c r="Q3076">
        <v>5</v>
      </c>
      <c r="R3076">
        <v>8.0000000000000002E-3</v>
      </c>
      <c r="T3076" t="s">
        <v>8599</v>
      </c>
    </row>
    <row r="3077" spans="1:20" x14ac:dyDescent="0.2">
      <c r="A3077" t="s">
        <v>8601</v>
      </c>
      <c r="B3077" t="s">
        <v>2022</v>
      </c>
      <c r="C3077" t="s">
        <v>2036</v>
      </c>
      <c r="D3077" t="s">
        <v>2024</v>
      </c>
      <c r="E3077" t="s">
        <v>8602</v>
      </c>
      <c r="F3077" t="s">
        <v>8603</v>
      </c>
      <c r="G3077">
        <v>2</v>
      </c>
      <c r="H3077">
        <v>1640</v>
      </c>
      <c r="I3077">
        <v>2</v>
      </c>
      <c r="J3077">
        <v>3.4</v>
      </c>
      <c r="K3077">
        <v>1</v>
      </c>
      <c r="L3077">
        <v>5.5E-2</v>
      </c>
      <c r="M3077">
        <v>4</v>
      </c>
      <c r="N3077">
        <v>94</v>
      </c>
      <c r="O3077">
        <v>2</v>
      </c>
      <c r="P3077">
        <v>0.20499999999999999</v>
      </c>
      <c r="Q3077">
        <v>2</v>
      </c>
      <c r="R3077">
        <v>4.2500000000000003E-3</v>
      </c>
      <c r="T3077" t="s">
        <v>8602</v>
      </c>
    </row>
    <row r="3078" spans="1:20" x14ac:dyDescent="0.2">
      <c r="A3078" t="s">
        <v>8604</v>
      </c>
      <c r="B3078" t="s">
        <v>2022</v>
      </c>
      <c r="C3078" t="s">
        <v>2023</v>
      </c>
      <c r="D3078" t="s">
        <v>2024</v>
      </c>
      <c r="E3078" t="s">
        <v>8605</v>
      </c>
      <c r="F3078" t="s">
        <v>8606</v>
      </c>
      <c r="G3078">
        <v>3</v>
      </c>
      <c r="H3078">
        <v>1640</v>
      </c>
      <c r="I3078">
        <v>2</v>
      </c>
      <c r="J3078">
        <v>3.4</v>
      </c>
      <c r="K3078">
        <v>2</v>
      </c>
      <c r="L3078">
        <v>2.5999999999999999E-2</v>
      </c>
      <c r="M3078">
        <v>1</v>
      </c>
      <c r="N3078">
        <v>74</v>
      </c>
      <c r="O3078">
        <v>2</v>
      </c>
      <c r="P3078">
        <v>0.22500000000000001</v>
      </c>
      <c r="Q3078">
        <v>1</v>
      </c>
      <c r="R3078">
        <v>5.0000000000000001E-4</v>
      </c>
      <c r="T3078" t="s">
        <v>8605</v>
      </c>
    </row>
    <row r="3079" spans="1:20" x14ac:dyDescent="0.2">
      <c r="A3079" t="s">
        <v>8607</v>
      </c>
      <c r="B3079" t="s">
        <v>2022</v>
      </c>
      <c r="C3079" t="s">
        <v>2053</v>
      </c>
      <c r="D3079" t="s">
        <v>2024</v>
      </c>
      <c r="E3079" t="s">
        <v>8608</v>
      </c>
      <c r="F3079" t="s">
        <v>8609</v>
      </c>
      <c r="G3079">
        <v>5</v>
      </c>
      <c r="H3079">
        <v>1900</v>
      </c>
      <c r="I3079">
        <v>5</v>
      </c>
      <c r="J3079">
        <v>11.55</v>
      </c>
      <c r="K3079">
        <v>5</v>
      </c>
      <c r="L3079">
        <v>0.41499999999999998</v>
      </c>
      <c r="M3079">
        <v>2</v>
      </c>
      <c r="N3079">
        <v>83</v>
      </c>
      <c r="O3079">
        <v>4</v>
      </c>
      <c r="P3079">
        <v>0.52500000000000002</v>
      </c>
      <c r="Q3079">
        <v>4</v>
      </c>
      <c r="R3079">
        <v>1.9199999999999998E-2</v>
      </c>
      <c r="T3079" t="s">
        <v>8608</v>
      </c>
    </row>
    <row r="3080" spans="1:20" x14ac:dyDescent="0.2">
      <c r="A3080" t="s">
        <v>8610</v>
      </c>
      <c r="B3080" t="s">
        <v>2022</v>
      </c>
      <c r="C3080" t="s">
        <v>2095</v>
      </c>
      <c r="D3080" t="s">
        <v>2024</v>
      </c>
      <c r="E3080" t="s">
        <v>8611</v>
      </c>
      <c r="F3080" t="s">
        <v>447</v>
      </c>
      <c r="G3080">
        <v>5</v>
      </c>
      <c r="H3080">
        <v>1925</v>
      </c>
      <c r="I3080">
        <v>5</v>
      </c>
      <c r="J3080">
        <v>16.5</v>
      </c>
      <c r="K3080">
        <v>5</v>
      </c>
      <c r="L3080">
        <v>0.73</v>
      </c>
      <c r="M3080">
        <v>5</v>
      </c>
      <c r="N3080">
        <v>98</v>
      </c>
      <c r="O3080">
        <v>5</v>
      </c>
      <c r="P3080">
        <v>0.95</v>
      </c>
      <c r="Q3080">
        <v>5</v>
      </c>
      <c r="R3080">
        <v>3.2899999999999999E-2</v>
      </c>
      <c r="T3080" t="s">
        <v>8611</v>
      </c>
    </row>
    <row r="3081" spans="1:20" x14ac:dyDescent="0.2">
      <c r="A3081" t="s">
        <v>8612</v>
      </c>
      <c r="B3081" t="s">
        <v>2022</v>
      </c>
      <c r="C3081" t="s">
        <v>2036</v>
      </c>
      <c r="D3081" t="s">
        <v>2024</v>
      </c>
      <c r="E3081" t="s">
        <v>8613</v>
      </c>
      <c r="F3081" t="s">
        <v>8614</v>
      </c>
      <c r="G3081">
        <v>4</v>
      </c>
      <c r="H3081">
        <v>1840</v>
      </c>
      <c r="I3081">
        <v>5</v>
      </c>
      <c r="J3081">
        <v>7</v>
      </c>
      <c r="K3081">
        <v>5</v>
      </c>
      <c r="L3081">
        <v>0.17499999999999999</v>
      </c>
      <c r="M3081">
        <v>5</v>
      </c>
      <c r="N3081">
        <v>100</v>
      </c>
      <c r="O3081">
        <v>5</v>
      </c>
      <c r="P3081">
        <v>0.53500000000000003</v>
      </c>
      <c r="Q3081">
        <v>5</v>
      </c>
      <c r="R3081">
        <v>1.2E-2</v>
      </c>
      <c r="T3081" t="s">
        <v>8613</v>
      </c>
    </row>
    <row r="3082" spans="1:20" x14ac:dyDescent="0.2">
      <c r="A3082" t="s">
        <v>8615</v>
      </c>
      <c r="B3082" t="s">
        <v>2022</v>
      </c>
      <c r="C3082" t="s">
        <v>2053</v>
      </c>
      <c r="D3082" t="s">
        <v>2024</v>
      </c>
      <c r="E3082" t="s">
        <v>8616</v>
      </c>
      <c r="F3082" t="s">
        <v>447</v>
      </c>
      <c r="G3082">
        <v>2</v>
      </c>
      <c r="H3082">
        <v>1600</v>
      </c>
      <c r="I3082">
        <v>3</v>
      </c>
      <c r="J3082">
        <v>6.55</v>
      </c>
      <c r="K3082">
        <v>3</v>
      </c>
      <c r="L3082">
        <v>0.19500000000000001</v>
      </c>
      <c r="M3082">
        <v>2</v>
      </c>
      <c r="N3082">
        <v>83</v>
      </c>
      <c r="O3082">
        <v>3</v>
      </c>
      <c r="P3082">
        <v>0.375</v>
      </c>
      <c r="Q3082">
        <v>3</v>
      </c>
      <c r="R3082">
        <v>1.2200000000000001E-2</v>
      </c>
      <c r="T3082" t="s">
        <v>8616</v>
      </c>
    </row>
    <row r="3083" spans="1:20" x14ac:dyDescent="0.2">
      <c r="A3083" t="s">
        <v>8617</v>
      </c>
      <c r="B3083" t="s">
        <v>2022</v>
      </c>
      <c r="C3083" t="s">
        <v>2023</v>
      </c>
      <c r="D3083" t="s">
        <v>2024</v>
      </c>
      <c r="E3083" t="s">
        <v>8618</v>
      </c>
      <c r="F3083" t="s">
        <v>8619</v>
      </c>
      <c r="G3083">
        <v>3</v>
      </c>
      <c r="H3083">
        <v>1640</v>
      </c>
      <c r="I3083">
        <v>3</v>
      </c>
      <c r="J3083">
        <v>5.9</v>
      </c>
      <c r="K3083">
        <v>2</v>
      </c>
      <c r="L3083">
        <v>2.5999999999999999E-2</v>
      </c>
      <c r="M3083">
        <v>1</v>
      </c>
      <c r="N3083">
        <v>74</v>
      </c>
      <c r="O3083">
        <v>2</v>
      </c>
      <c r="P3083">
        <v>0.22500000000000001</v>
      </c>
      <c r="Q3083">
        <v>1</v>
      </c>
      <c r="R3083">
        <v>5.0000000000000001E-4</v>
      </c>
      <c r="T3083" t="s">
        <v>8618</v>
      </c>
    </row>
    <row r="3084" spans="1:20" x14ac:dyDescent="0.2">
      <c r="A3084" t="s">
        <v>8620</v>
      </c>
      <c r="B3084" t="s">
        <v>2022</v>
      </c>
      <c r="C3084" t="s">
        <v>2023</v>
      </c>
      <c r="D3084" t="s">
        <v>2024</v>
      </c>
      <c r="E3084" t="s">
        <v>8621</v>
      </c>
      <c r="F3084" t="s">
        <v>8622</v>
      </c>
      <c r="G3084">
        <v>5</v>
      </c>
      <c r="H3084">
        <v>1800</v>
      </c>
      <c r="I3084">
        <v>3</v>
      </c>
      <c r="J3084">
        <v>5.9</v>
      </c>
      <c r="K3084">
        <v>5</v>
      </c>
      <c r="L3084">
        <v>8.5999999999999993E-2</v>
      </c>
      <c r="M3084">
        <v>3</v>
      </c>
      <c r="N3084">
        <v>94</v>
      </c>
      <c r="O3084">
        <v>3</v>
      </c>
      <c r="P3084">
        <v>0.375</v>
      </c>
      <c r="Q3084">
        <v>5</v>
      </c>
      <c r="R3084">
        <v>8.0000000000000002E-3</v>
      </c>
      <c r="T3084" t="s">
        <v>8621</v>
      </c>
    </row>
    <row r="3085" spans="1:20" x14ac:dyDescent="0.2">
      <c r="A3085" t="s">
        <v>8623</v>
      </c>
      <c r="B3085" t="s">
        <v>2022</v>
      </c>
      <c r="C3085" t="s">
        <v>2023</v>
      </c>
      <c r="D3085" t="s">
        <v>2024</v>
      </c>
      <c r="E3085" t="s">
        <v>8624</v>
      </c>
      <c r="F3085" t="s">
        <v>8625</v>
      </c>
      <c r="G3085">
        <v>1</v>
      </c>
      <c r="H3085">
        <v>1480</v>
      </c>
      <c r="I3085">
        <v>2</v>
      </c>
      <c r="J3085">
        <v>3.4</v>
      </c>
      <c r="K3085">
        <v>4</v>
      </c>
      <c r="L3085">
        <v>6.6000000000000003E-2</v>
      </c>
      <c r="M3085">
        <v>1</v>
      </c>
      <c r="N3085">
        <v>74</v>
      </c>
      <c r="O3085">
        <v>2</v>
      </c>
      <c r="P3085">
        <v>0.22500000000000001</v>
      </c>
      <c r="Q3085">
        <v>3</v>
      </c>
      <c r="R3085">
        <v>4.0000000000000001E-3</v>
      </c>
      <c r="T3085" t="s">
        <v>8624</v>
      </c>
    </row>
    <row r="3086" spans="1:20" x14ac:dyDescent="0.2">
      <c r="A3086" t="s">
        <v>8626</v>
      </c>
      <c r="B3086" t="s">
        <v>2022</v>
      </c>
      <c r="C3086" t="s">
        <v>2104</v>
      </c>
      <c r="D3086" t="s">
        <v>2024</v>
      </c>
      <c r="E3086" t="s">
        <v>8627</v>
      </c>
      <c r="F3086" t="s">
        <v>8628</v>
      </c>
      <c r="G3086">
        <v>5</v>
      </c>
      <c r="H3086">
        <v>2237.5</v>
      </c>
      <c r="I3086">
        <v>5</v>
      </c>
      <c r="J3086">
        <v>10.15</v>
      </c>
      <c r="K3086">
        <v>5</v>
      </c>
      <c r="L3086">
        <v>0.191</v>
      </c>
      <c r="M3086">
        <v>5</v>
      </c>
      <c r="N3086">
        <v>89</v>
      </c>
      <c r="P3086">
        <v>0</v>
      </c>
      <c r="Q3086">
        <v>5</v>
      </c>
      <c r="R3086">
        <v>1.8200000000000001E-2</v>
      </c>
      <c r="T3086" t="s">
        <v>8627</v>
      </c>
    </row>
    <row r="3087" spans="1:20" x14ac:dyDescent="0.2">
      <c r="A3087" t="s">
        <v>8629</v>
      </c>
      <c r="B3087" t="s">
        <v>2022</v>
      </c>
      <c r="C3087" t="s">
        <v>2053</v>
      </c>
      <c r="D3087" t="s">
        <v>2024</v>
      </c>
      <c r="E3087" t="s">
        <v>8630</v>
      </c>
      <c r="F3087" t="s">
        <v>8631</v>
      </c>
      <c r="G3087">
        <v>1</v>
      </c>
      <c r="H3087">
        <v>1500</v>
      </c>
      <c r="I3087">
        <v>2</v>
      </c>
      <c r="J3087">
        <v>4.05</v>
      </c>
      <c r="K3087">
        <v>2</v>
      </c>
      <c r="L3087">
        <v>8.5000000000000006E-2</v>
      </c>
      <c r="M3087">
        <v>2</v>
      </c>
      <c r="N3087">
        <v>83</v>
      </c>
      <c r="O3087">
        <v>2</v>
      </c>
      <c r="P3087">
        <v>0.22500000000000001</v>
      </c>
      <c r="Q3087">
        <v>2</v>
      </c>
      <c r="R3087">
        <v>5.1999999999999998E-3</v>
      </c>
      <c r="T3087" t="s">
        <v>8630</v>
      </c>
    </row>
    <row r="3088" spans="1:20" x14ac:dyDescent="0.2">
      <c r="A3088" t="s">
        <v>8632</v>
      </c>
      <c r="B3088" t="s">
        <v>2022</v>
      </c>
      <c r="C3088" t="s">
        <v>2036</v>
      </c>
      <c r="D3088" t="s">
        <v>2024</v>
      </c>
      <c r="E3088" t="s">
        <v>270</v>
      </c>
      <c r="F3088" t="s">
        <v>8633</v>
      </c>
      <c r="G3088">
        <v>1</v>
      </c>
      <c r="H3088">
        <v>1540</v>
      </c>
      <c r="I3088">
        <v>1</v>
      </c>
      <c r="J3088">
        <v>2.2000000000000002</v>
      </c>
      <c r="K3088">
        <v>1</v>
      </c>
      <c r="L3088">
        <v>5.5E-2</v>
      </c>
      <c r="M3088">
        <v>2</v>
      </c>
      <c r="N3088">
        <v>82</v>
      </c>
      <c r="O3088">
        <v>1</v>
      </c>
      <c r="P3088">
        <v>9.5000000000000001E-2</v>
      </c>
      <c r="Q3088">
        <v>2</v>
      </c>
      <c r="R3088">
        <v>4.2500000000000003E-3</v>
      </c>
      <c r="T3088" t="s">
        <v>270</v>
      </c>
    </row>
    <row r="3089" spans="1:20" x14ac:dyDescent="0.2">
      <c r="A3089" t="s">
        <v>8634</v>
      </c>
      <c r="B3089" t="s">
        <v>2022</v>
      </c>
      <c r="C3089" t="s">
        <v>2095</v>
      </c>
      <c r="D3089" t="s">
        <v>2024</v>
      </c>
      <c r="E3089" t="s">
        <v>8635</v>
      </c>
      <c r="F3089" t="s">
        <v>8636</v>
      </c>
      <c r="G3089">
        <v>3</v>
      </c>
      <c r="H3089">
        <v>1745</v>
      </c>
      <c r="I3089">
        <v>2</v>
      </c>
      <c r="J3089">
        <v>7.5</v>
      </c>
      <c r="K3089">
        <v>2</v>
      </c>
      <c r="L3089">
        <v>0.13</v>
      </c>
      <c r="M3089">
        <v>2</v>
      </c>
      <c r="N3089">
        <v>80</v>
      </c>
      <c r="O3089">
        <v>2</v>
      </c>
      <c r="P3089">
        <v>0.35</v>
      </c>
      <c r="Q3089">
        <v>1</v>
      </c>
      <c r="R3089">
        <v>6.9999999999999999E-4</v>
      </c>
      <c r="T3089" t="s">
        <v>8635</v>
      </c>
    </row>
    <row r="3090" spans="1:20" x14ac:dyDescent="0.2">
      <c r="A3090" t="s">
        <v>8637</v>
      </c>
      <c r="B3090" t="s">
        <v>2022</v>
      </c>
      <c r="C3090" t="s">
        <v>2023</v>
      </c>
      <c r="D3090" t="s">
        <v>2024</v>
      </c>
      <c r="E3090" t="s">
        <v>8635</v>
      </c>
      <c r="F3090" t="s">
        <v>8636</v>
      </c>
      <c r="G3090">
        <v>2</v>
      </c>
      <c r="H3090">
        <v>1560</v>
      </c>
      <c r="I3090">
        <v>1</v>
      </c>
      <c r="J3090">
        <v>0.9</v>
      </c>
      <c r="K3090">
        <v>1</v>
      </c>
      <c r="L3090">
        <v>6.0000000000000001E-3</v>
      </c>
      <c r="M3090">
        <v>1</v>
      </c>
      <c r="N3090">
        <v>74</v>
      </c>
      <c r="O3090">
        <v>1</v>
      </c>
      <c r="P3090">
        <v>7.4999999999999997E-2</v>
      </c>
      <c r="Q3090">
        <v>1</v>
      </c>
      <c r="R3090">
        <v>5.0000000000000001E-4</v>
      </c>
      <c r="T3090" t="s">
        <v>8635</v>
      </c>
    </row>
    <row r="3091" spans="1:20" x14ac:dyDescent="0.2">
      <c r="A3091" t="s">
        <v>8638</v>
      </c>
      <c r="B3091" t="s">
        <v>2022</v>
      </c>
      <c r="C3091" t="s">
        <v>2023</v>
      </c>
      <c r="D3091" t="s">
        <v>2024</v>
      </c>
      <c r="E3091" t="s">
        <v>8639</v>
      </c>
      <c r="F3091" t="s">
        <v>8640</v>
      </c>
      <c r="G3091">
        <v>2</v>
      </c>
      <c r="H3091">
        <v>1560</v>
      </c>
      <c r="I3091">
        <v>1</v>
      </c>
      <c r="J3091">
        <v>0.9</v>
      </c>
      <c r="K3091">
        <v>1</v>
      </c>
      <c r="L3091">
        <v>6.0000000000000001E-3</v>
      </c>
      <c r="M3091">
        <v>2</v>
      </c>
      <c r="N3091">
        <v>84</v>
      </c>
      <c r="O3091">
        <v>1</v>
      </c>
      <c r="P3091">
        <v>7.4999999999999997E-2</v>
      </c>
      <c r="Q3091">
        <v>1</v>
      </c>
      <c r="R3091">
        <v>5.0000000000000001E-4</v>
      </c>
      <c r="T3091" t="s">
        <v>8639</v>
      </c>
    </row>
    <row r="3092" spans="1:20" x14ac:dyDescent="0.2">
      <c r="A3092" t="s">
        <v>8641</v>
      </c>
      <c r="B3092" t="s">
        <v>2022</v>
      </c>
      <c r="C3092" t="s">
        <v>2036</v>
      </c>
      <c r="D3092" t="s">
        <v>2024</v>
      </c>
      <c r="E3092" t="s">
        <v>357</v>
      </c>
      <c r="F3092" t="s">
        <v>8642</v>
      </c>
      <c r="G3092">
        <v>2</v>
      </c>
      <c r="H3092">
        <v>1640</v>
      </c>
      <c r="I3092">
        <v>3</v>
      </c>
      <c r="J3092">
        <v>4.5999999999999996</v>
      </c>
      <c r="K3092">
        <v>1</v>
      </c>
      <c r="L3092">
        <v>5.5E-2</v>
      </c>
      <c r="M3092">
        <v>2</v>
      </c>
      <c r="N3092">
        <v>82</v>
      </c>
      <c r="O3092">
        <v>2</v>
      </c>
      <c r="P3092">
        <v>0.20499999999999999</v>
      </c>
      <c r="Q3092">
        <v>1</v>
      </c>
      <c r="R3092">
        <v>1.5E-3</v>
      </c>
      <c r="T3092" t="s">
        <v>357</v>
      </c>
    </row>
    <row r="3093" spans="1:20" x14ac:dyDescent="0.2">
      <c r="A3093" t="s">
        <v>8643</v>
      </c>
      <c r="B3093" t="s">
        <v>2022</v>
      </c>
      <c r="C3093" t="s">
        <v>2023</v>
      </c>
      <c r="D3093" t="s">
        <v>2024</v>
      </c>
      <c r="E3093" t="s">
        <v>8644</v>
      </c>
      <c r="F3093" t="s">
        <v>8645</v>
      </c>
      <c r="G3093">
        <v>5</v>
      </c>
      <c r="H3093">
        <v>1800</v>
      </c>
      <c r="I3093">
        <v>2</v>
      </c>
      <c r="J3093">
        <v>3.4</v>
      </c>
      <c r="K3093">
        <v>2</v>
      </c>
      <c r="L3093">
        <v>2.5999999999999999E-2</v>
      </c>
      <c r="M3093">
        <v>3</v>
      </c>
      <c r="N3093">
        <v>94</v>
      </c>
      <c r="O3093">
        <v>1</v>
      </c>
      <c r="P3093">
        <v>7.4999999999999997E-2</v>
      </c>
      <c r="Q3093">
        <v>2</v>
      </c>
      <c r="R3093">
        <v>2E-3</v>
      </c>
      <c r="T3093" t="s">
        <v>8644</v>
      </c>
    </row>
    <row r="3094" spans="1:20" x14ac:dyDescent="0.2">
      <c r="A3094" t="s">
        <v>8646</v>
      </c>
      <c r="B3094" t="s">
        <v>2022</v>
      </c>
      <c r="C3094" t="s">
        <v>2053</v>
      </c>
      <c r="D3094" t="s">
        <v>2154</v>
      </c>
      <c r="E3094" t="s">
        <v>8647</v>
      </c>
      <c r="F3094" t="s">
        <v>8648</v>
      </c>
      <c r="G3094">
        <v>2</v>
      </c>
      <c r="H3094">
        <v>1600</v>
      </c>
      <c r="I3094">
        <v>3</v>
      </c>
      <c r="J3094">
        <v>6.55</v>
      </c>
      <c r="K3094">
        <v>3</v>
      </c>
      <c r="L3094">
        <v>0.19500000000000001</v>
      </c>
      <c r="M3094">
        <v>2</v>
      </c>
      <c r="N3094">
        <v>83</v>
      </c>
      <c r="O3094">
        <v>3</v>
      </c>
      <c r="P3094">
        <v>0.375</v>
      </c>
      <c r="Q3094">
        <v>2</v>
      </c>
      <c r="R3094">
        <v>5.1999999999999998E-3</v>
      </c>
      <c r="T3094" t="s">
        <v>8647</v>
      </c>
    </row>
    <row r="3095" spans="1:20" x14ac:dyDescent="0.2">
      <c r="A3095" t="s">
        <v>8649</v>
      </c>
      <c r="B3095" t="s">
        <v>2022</v>
      </c>
      <c r="C3095" t="s">
        <v>2023</v>
      </c>
      <c r="D3095" t="s">
        <v>2154</v>
      </c>
      <c r="E3095" t="s">
        <v>8650</v>
      </c>
      <c r="F3095" t="s">
        <v>447</v>
      </c>
      <c r="G3095">
        <v>2</v>
      </c>
      <c r="H3095">
        <v>1560</v>
      </c>
      <c r="I3095">
        <v>1</v>
      </c>
      <c r="J3095">
        <v>0.9</v>
      </c>
      <c r="K3095">
        <v>1</v>
      </c>
      <c r="L3095">
        <v>6.0000000000000001E-3</v>
      </c>
      <c r="M3095">
        <v>2</v>
      </c>
      <c r="N3095">
        <v>84</v>
      </c>
      <c r="O3095">
        <v>1</v>
      </c>
      <c r="P3095">
        <v>7.4999999999999997E-2</v>
      </c>
      <c r="Q3095">
        <v>1</v>
      </c>
      <c r="R3095">
        <v>5.0000000000000001E-4</v>
      </c>
      <c r="T3095" t="s">
        <v>8650</v>
      </c>
    </row>
    <row r="3096" spans="1:20" x14ac:dyDescent="0.2">
      <c r="A3096" t="s">
        <v>8651</v>
      </c>
      <c r="B3096" t="s">
        <v>2022</v>
      </c>
      <c r="C3096" t="s">
        <v>2023</v>
      </c>
      <c r="D3096" t="s">
        <v>2154</v>
      </c>
      <c r="E3096" t="s">
        <v>8652</v>
      </c>
      <c r="F3096" t="s">
        <v>8653</v>
      </c>
      <c r="G3096">
        <v>1</v>
      </c>
      <c r="H3096">
        <v>1480</v>
      </c>
      <c r="I3096">
        <v>1</v>
      </c>
      <c r="J3096">
        <v>0.9</v>
      </c>
      <c r="K3096">
        <v>1</v>
      </c>
      <c r="L3096">
        <v>6.0000000000000001E-3</v>
      </c>
      <c r="M3096">
        <v>2</v>
      </c>
      <c r="N3096">
        <v>84</v>
      </c>
      <c r="O3096">
        <v>1</v>
      </c>
      <c r="P3096">
        <v>7.4999999999999997E-2</v>
      </c>
      <c r="Q3096">
        <v>1</v>
      </c>
      <c r="R3096">
        <v>5.0000000000000001E-4</v>
      </c>
      <c r="T3096" t="s">
        <v>8652</v>
      </c>
    </row>
    <row r="3097" spans="1:20" x14ac:dyDescent="0.2">
      <c r="A3097" t="s">
        <v>8654</v>
      </c>
      <c r="B3097" t="s">
        <v>2022</v>
      </c>
      <c r="C3097" t="s">
        <v>2023</v>
      </c>
      <c r="D3097" t="s">
        <v>2024</v>
      </c>
      <c r="E3097" t="s">
        <v>8655</v>
      </c>
      <c r="F3097" t="s">
        <v>8656</v>
      </c>
      <c r="G3097">
        <v>1</v>
      </c>
      <c r="H3097">
        <v>1480</v>
      </c>
      <c r="I3097">
        <v>3</v>
      </c>
      <c r="J3097">
        <v>5.9</v>
      </c>
      <c r="K3097">
        <v>5</v>
      </c>
      <c r="L3097">
        <v>8.5999999999999993E-2</v>
      </c>
      <c r="M3097">
        <v>2</v>
      </c>
      <c r="N3097">
        <v>84</v>
      </c>
      <c r="O3097">
        <v>2</v>
      </c>
      <c r="P3097">
        <v>0.22500000000000001</v>
      </c>
      <c r="Q3097">
        <v>3</v>
      </c>
      <c r="R3097">
        <v>4.0000000000000001E-3</v>
      </c>
      <c r="T3097" t="s">
        <v>8655</v>
      </c>
    </row>
    <row r="3098" spans="1:20" x14ac:dyDescent="0.2">
      <c r="A3098" t="s">
        <v>8657</v>
      </c>
      <c r="B3098" t="s">
        <v>2022</v>
      </c>
      <c r="C3098" t="s">
        <v>2023</v>
      </c>
      <c r="D3098" t="s">
        <v>2024</v>
      </c>
      <c r="E3098" t="s">
        <v>8658</v>
      </c>
      <c r="F3098" t="s">
        <v>447</v>
      </c>
      <c r="G3098">
        <v>2</v>
      </c>
      <c r="H3098">
        <v>1560</v>
      </c>
      <c r="I3098">
        <v>5</v>
      </c>
      <c r="J3098">
        <v>10.9</v>
      </c>
      <c r="K3098">
        <v>5</v>
      </c>
      <c r="L3098">
        <v>8.5999999999999993E-2</v>
      </c>
      <c r="M3098">
        <v>5</v>
      </c>
      <c r="N3098">
        <v>114</v>
      </c>
      <c r="O3098">
        <v>5</v>
      </c>
      <c r="P3098">
        <v>0.67500000000000004</v>
      </c>
      <c r="Q3098">
        <v>5</v>
      </c>
      <c r="R3098">
        <v>8.0000000000000002E-3</v>
      </c>
      <c r="T3098" t="s">
        <v>8658</v>
      </c>
    </row>
    <row r="3099" spans="1:20" x14ac:dyDescent="0.2">
      <c r="A3099" t="s">
        <v>8659</v>
      </c>
      <c r="B3099" t="s">
        <v>2022</v>
      </c>
      <c r="C3099" t="s">
        <v>2053</v>
      </c>
      <c r="D3099" t="s">
        <v>2024</v>
      </c>
      <c r="E3099" t="s">
        <v>357</v>
      </c>
      <c r="F3099" t="s">
        <v>8660</v>
      </c>
      <c r="G3099">
        <v>1</v>
      </c>
      <c r="H3099">
        <v>1500</v>
      </c>
      <c r="I3099">
        <v>5</v>
      </c>
      <c r="J3099">
        <v>11.55</v>
      </c>
      <c r="K3099">
        <v>5</v>
      </c>
      <c r="L3099">
        <v>0.41499999999999998</v>
      </c>
      <c r="M3099">
        <v>5</v>
      </c>
      <c r="N3099">
        <v>113</v>
      </c>
      <c r="O3099">
        <v>5</v>
      </c>
      <c r="P3099">
        <v>0.67500000000000004</v>
      </c>
      <c r="Q3099">
        <v>5</v>
      </c>
      <c r="R3099">
        <v>2.6200000000000001E-2</v>
      </c>
      <c r="T3099" t="s">
        <v>357</v>
      </c>
    </row>
    <row r="3100" spans="1:20" x14ac:dyDescent="0.2">
      <c r="A3100" t="s">
        <v>8661</v>
      </c>
      <c r="B3100" t="s">
        <v>2022</v>
      </c>
      <c r="C3100" t="s">
        <v>2023</v>
      </c>
      <c r="D3100" t="s">
        <v>2024</v>
      </c>
      <c r="E3100" t="s">
        <v>8662</v>
      </c>
      <c r="F3100" t="s">
        <v>8663</v>
      </c>
      <c r="G3100">
        <v>4</v>
      </c>
      <c r="H3100">
        <v>1720</v>
      </c>
      <c r="I3100">
        <v>2</v>
      </c>
      <c r="J3100">
        <v>3.4</v>
      </c>
      <c r="K3100">
        <v>2</v>
      </c>
      <c r="L3100">
        <v>2.5999999999999999E-2</v>
      </c>
      <c r="M3100">
        <v>3</v>
      </c>
      <c r="N3100">
        <v>94</v>
      </c>
      <c r="O3100">
        <v>1</v>
      </c>
      <c r="P3100">
        <v>7.4999999999999997E-2</v>
      </c>
      <c r="Q3100">
        <v>1</v>
      </c>
      <c r="R3100">
        <v>5.0000000000000001E-4</v>
      </c>
      <c r="T3100" t="s">
        <v>8662</v>
      </c>
    </row>
    <row r="3101" spans="1:20" x14ac:dyDescent="0.2">
      <c r="A3101" t="s">
        <v>8664</v>
      </c>
      <c r="B3101" t="s">
        <v>2022</v>
      </c>
      <c r="C3101" t="s">
        <v>2101</v>
      </c>
      <c r="D3101" t="s">
        <v>2024</v>
      </c>
      <c r="E3101" t="s">
        <v>8662</v>
      </c>
      <c r="F3101" t="s">
        <v>8663</v>
      </c>
      <c r="G3101">
        <v>5</v>
      </c>
      <c r="H3101">
        <v>1970</v>
      </c>
      <c r="I3101">
        <v>1</v>
      </c>
      <c r="J3101">
        <v>2</v>
      </c>
      <c r="K3101">
        <v>1</v>
      </c>
      <c r="L3101">
        <v>1.15E-2</v>
      </c>
      <c r="M3101">
        <v>5</v>
      </c>
      <c r="N3101">
        <v>98</v>
      </c>
      <c r="O3101">
        <v>1</v>
      </c>
      <c r="P3101">
        <v>7.4999999999999997E-2</v>
      </c>
      <c r="Q3101">
        <v>1</v>
      </c>
      <c r="R3101">
        <v>5.0000000000000001E-4</v>
      </c>
      <c r="T3101" t="s">
        <v>8662</v>
      </c>
    </row>
    <row r="3102" spans="1:20" x14ac:dyDescent="0.2">
      <c r="A3102" t="s">
        <v>8665</v>
      </c>
      <c r="B3102" t="s">
        <v>2022</v>
      </c>
      <c r="C3102" t="s">
        <v>2023</v>
      </c>
      <c r="D3102" t="s">
        <v>2154</v>
      </c>
      <c r="E3102" t="s">
        <v>8666</v>
      </c>
      <c r="F3102" t="s">
        <v>8667</v>
      </c>
      <c r="G3102">
        <v>4</v>
      </c>
      <c r="H3102">
        <v>1720</v>
      </c>
      <c r="I3102">
        <v>3</v>
      </c>
      <c r="J3102">
        <v>5.9</v>
      </c>
      <c r="K3102">
        <v>2</v>
      </c>
      <c r="L3102">
        <v>2.5999999999999999E-2</v>
      </c>
      <c r="M3102">
        <v>2</v>
      </c>
      <c r="N3102">
        <v>84</v>
      </c>
      <c r="O3102">
        <v>2</v>
      </c>
      <c r="P3102">
        <v>0.22500000000000001</v>
      </c>
      <c r="Q3102">
        <v>2</v>
      </c>
      <c r="R3102">
        <v>2E-3</v>
      </c>
      <c r="T3102" t="s">
        <v>8666</v>
      </c>
    </row>
    <row r="3103" spans="1:20" x14ac:dyDescent="0.2">
      <c r="A3103" t="s">
        <v>8668</v>
      </c>
      <c r="B3103" t="s">
        <v>2022</v>
      </c>
      <c r="C3103" t="s">
        <v>2023</v>
      </c>
      <c r="D3103" t="s">
        <v>2024</v>
      </c>
      <c r="E3103" t="s">
        <v>8669</v>
      </c>
      <c r="F3103" t="s">
        <v>447</v>
      </c>
      <c r="G3103">
        <v>4</v>
      </c>
      <c r="H3103">
        <v>1720</v>
      </c>
      <c r="I3103">
        <v>3</v>
      </c>
      <c r="J3103">
        <v>5.9</v>
      </c>
      <c r="K3103">
        <v>5</v>
      </c>
      <c r="L3103">
        <v>8.5999999999999993E-2</v>
      </c>
      <c r="M3103">
        <v>2</v>
      </c>
      <c r="N3103">
        <v>84</v>
      </c>
      <c r="O3103">
        <v>2</v>
      </c>
      <c r="P3103">
        <v>0.22500000000000001</v>
      </c>
      <c r="Q3103">
        <v>5</v>
      </c>
      <c r="R3103">
        <v>8.0000000000000002E-3</v>
      </c>
      <c r="T3103" t="s">
        <v>8669</v>
      </c>
    </row>
    <row r="3104" spans="1:20" x14ac:dyDescent="0.2">
      <c r="A3104" t="s">
        <v>8670</v>
      </c>
      <c r="B3104" t="s">
        <v>2022</v>
      </c>
      <c r="C3104" t="s">
        <v>2053</v>
      </c>
      <c r="D3104" t="s">
        <v>2024</v>
      </c>
      <c r="E3104" t="s">
        <v>8671</v>
      </c>
      <c r="F3104" t="s">
        <v>8672</v>
      </c>
      <c r="G3104">
        <v>3</v>
      </c>
      <c r="H3104">
        <v>1700</v>
      </c>
      <c r="I3104">
        <v>2</v>
      </c>
      <c r="J3104">
        <v>4.05</v>
      </c>
      <c r="K3104">
        <v>2</v>
      </c>
      <c r="L3104">
        <v>8.5000000000000006E-2</v>
      </c>
      <c r="M3104">
        <v>2</v>
      </c>
      <c r="N3104">
        <v>83</v>
      </c>
      <c r="O3104">
        <v>2</v>
      </c>
      <c r="P3104">
        <v>0.22500000000000001</v>
      </c>
      <c r="Q3104">
        <v>2</v>
      </c>
      <c r="R3104">
        <v>5.1999999999999998E-3</v>
      </c>
      <c r="T3104" t="s">
        <v>8671</v>
      </c>
    </row>
    <row r="3105" spans="1:20" x14ac:dyDescent="0.2">
      <c r="A3105" t="s">
        <v>8673</v>
      </c>
      <c r="B3105" t="s">
        <v>2022</v>
      </c>
      <c r="C3105" t="s">
        <v>2106</v>
      </c>
      <c r="D3105" t="s">
        <v>2024</v>
      </c>
      <c r="E3105" t="s">
        <v>8674</v>
      </c>
      <c r="F3105" t="s">
        <v>2297</v>
      </c>
      <c r="G3105">
        <v>5</v>
      </c>
      <c r="H3105">
        <v>2275</v>
      </c>
      <c r="I3105">
        <v>2</v>
      </c>
      <c r="J3105">
        <v>5.75</v>
      </c>
      <c r="K3105">
        <v>3</v>
      </c>
      <c r="L3105">
        <v>0.14000000000000001</v>
      </c>
      <c r="M3105">
        <v>3</v>
      </c>
      <c r="N3105">
        <v>75.5</v>
      </c>
      <c r="O3105">
        <v>3</v>
      </c>
      <c r="P3105">
        <v>0.25</v>
      </c>
      <c r="Q3105">
        <v>3</v>
      </c>
      <c r="R3105">
        <v>4.4999999999999997E-3</v>
      </c>
      <c r="T3105" t="s">
        <v>8674</v>
      </c>
    </row>
    <row r="3106" spans="1:20" x14ac:dyDescent="0.2">
      <c r="A3106" t="s">
        <v>8675</v>
      </c>
      <c r="B3106" t="s">
        <v>2022</v>
      </c>
      <c r="C3106" t="s">
        <v>2101</v>
      </c>
      <c r="D3106" t="s">
        <v>2024</v>
      </c>
      <c r="E3106" t="s">
        <v>8676</v>
      </c>
      <c r="F3106" t="s">
        <v>8677</v>
      </c>
      <c r="G3106">
        <v>2</v>
      </c>
      <c r="H3106">
        <v>1670</v>
      </c>
      <c r="I3106">
        <v>2</v>
      </c>
      <c r="J3106">
        <v>5</v>
      </c>
      <c r="K3106">
        <v>2</v>
      </c>
      <c r="L3106">
        <v>9.6500000000000002E-2</v>
      </c>
      <c r="M3106">
        <v>3</v>
      </c>
      <c r="N3106">
        <v>82</v>
      </c>
      <c r="O3106">
        <v>2</v>
      </c>
      <c r="P3106">
        <v>0.22500000000000001</v>
      </c>
      <c r="Q3106">
        <v>2</v>
      </c>
      <c r="R3106">
        <v>4.4999999999999997E-3</v>
      </c>
      <c r="T3106" t="s">
        <v>8676</v>
      </c>
    </row>
    <row r="3107" spans="1:20" x14ac:dyDescent="0.2">
      <c r="A3107" t="s">
        <v>8675</v>
      </c>
      <c r="B3107" t="s">
        <v>2022</v>
      </c>
      <c r="C3107" t="s">
        <v>2101</v>
      </c>
      <c r="D3107" t="s">
        <v>2024</v>
      </c>
      <c r="E3107" t="s">
        <v>8676</v>
      </c>
      <c r="F3107" t="s">
        <v>8677</v>
      </c>
      <c r="G3107">
        <v>2</v>
      </c>
      <c r="H3107">
        <v>1670</v>
      </c>
      <c r="I3107">
        <v>2</v>
      </c>
      <c r="J3107">
        <v>5</v>
      </c>
      <c r="K3107">
        <v>2</v>
      </c>
      <c r="L3107">
        <v>9.6500000000000002E-2</v>
      </c>
      <c r="M3107">
        <v>3</v>
      </c>
      <c r="N3107">
        <v>82</v>
      </c>
      <c r="O3107">
        <v>2</v>
      </c>
      <c r="P3107">
        <v>0.22500000000000001</v>
      </c>
      <c r="Q3107">
        <v>2</v>
      </c>
      <c r="R3107">
        <v>4.4999999999999997E-3</v>
      </c>
      <c r="T3107" t="s">
        <v>8676</v>
      </c>
    </row>
    <row r="3108" spans="1:20" x14ac:dyDescent="0.2">
      <c r="A3108" t="s">
        <v>8678</v>
      </c>
      <c r="B3108" t="s">
        <v>2022</v>
      </c>
      <c r="C3108" t="s">
        <v>2023</v>
      </c>
      <c r="D3108" t="s">
        <v>2024</v>
      </c>
      <c r="E3108" t="s">
        <v>8679</v>
      </c>
      <c r="F3108" t="s">
        <v>8680</v>
      </c>
      <c r="G3108">
        <v>1</v>
      </c>
      <c r="H3108">
        <v>1480</v>
      </c>
      <c r="I3108">
        <v>1</v>
      </c>
      <c r="J3108">
        <v>0.9</v>
      </c>
      <c r="K3108">
        <v>1</v>
      </c>
      <c r="L3108">
        <v>6.0000000000000001E-3</v>
      </c>
      <c r="M3108">
        <v>1</v>
      </c>
      <c r="N3108">
        <v>74</v>
      </c>
      <c r="O3108">
        <v>1</v>
      </c>
      <c r="P3108">
        <v>7.4999999999999997E-2</v>
      </c>
      <c r="Q3108">
        <v>1</v>
      </c>
      <c r="R3108">
        <v>5.0000000000000001E-4</v>
      </c>
      <c r="T3108" t="s">
        <v>8679</v>
      </c>
    </row>
    <row r="3109" spans="1:20" x14ac:dyDescent="0.2">
      <c r="A3109" t="s">
        <v>8681</v>
      </c>
      <c r="B3109" t="s">
        <v>2022</v>
      </c>
      <c r="C3109" t="s">
        <v>2023</v>
      </c>
      <c r="D3109" t="s">
        <v>2136</v>
      </c>
      <c r="E3109" t="s">
        <v>8682</v>
      </c>
      <c r="F3109" t="s">
        <v>2297</v>
      </c>
      <c r="G3109">
        <v>2</v>
      </c>
      <c r="H3109">
        <v>1560</v>
      </c>
      <c r="I3109">
        <v>2</v>
      </c>
      <c r="J3109">
        <v>3.4</v>
      </c>
      <c r="K3109">
        <v>3</v>
      </c>
      <c r="L3109">
        <v>4.5999999999999999E-2</v>
      </c>
      <c r="M3109">
        <v>1</v>
      </c>
      <c r="N3109">
        <v>74</v>
      </c>
      <c r="O3109">
        <v>2</v>
      </c>
      <c r="P3109">
        <v>0.22500000000000001</v>
      </c>
      <c r="Q3109">
        <v>2</v>
      </c>
      <c r="R3109">
        <v>2E-3</v>
      </c>
      <c r="T3109" t="s">
        <v>8682</v>
      </c>
    </row>
    <row r="3110" spans="1:20" x14ac:dyDescent="0.2">
      <c r="A3110" t="s">
        <v>8683</v>
      </c>
      <c r="B3110" t="s">
        <v>2022</v>
      </c>
      <c r="C3110" t="s">
        <v>2023</v>
      </c>
      <c r="D3110" t="s">
        <v>2024</v>
      </c>
      <c r="E3110" t="s">
        <v>8684</v>
      </c>
      <c r="F3110" t="s">
        <v>8685</v>
      </c>
      <c r="G3110">
        <v>3</v>
      </c>
      <c r="H3110">
        <v>1640</v>
      </c>
      <c r="I3110">
        <v>5</v>
      </c>
      <c r="J3110">
        <v>10.9</v>
      </c>
      <c r="K3110">
        <v>5</v>
      </c>
      <c r="L3110">
        <v>8.5999999999999993E-2</v>
      </c>
      <c r="M3110">
        <v>2</v>
      </c>
      <c r="N3110">
        <v>84</v>
      </c>
      <c r="O3110">
        <v>4</v>
      </c>
      <c r="P3110">
        <v>0.52500000000000002</v>
      </c>
      <c r="Q3110">
        <v>5</v>
      </c>
      <c r="R3110">
        <v>8.0000000000000002E-3</v>
      </c>
      <c r="T3110" t="s">
        <v>8684</v>
      </c>
    </row>
    <row r="3111" spans="1:20" x14ac:dyDescent="0.2">
      <c r="A3111" t="s">
        <v>8686</v>
      </c>
      <c r="B3111" t="s">
        <v>2022</v>
      </c>
      <c r="C3111" t="s">
        <v>2023</v>
      </c>
      <c r="D3111" t="s">
        <v>2024</v>
      </c>
      <c r="E3111" t="s">
        <v>8687</v>
      </c>
      <c r="F3111" t="s">
        <v>8688</v>
      </c>
      <c r="G3111">
        <v>5</v>
      </c>
      <c r="H3111">
        <v>1800</v>
      </c>
      <c r="I3111">
        <v>2</v>
      </c>
      <c r="J3111">
        <v>3.4</v>
      </c>
      <c r="K3111">
        <v>2</v>
      </c>
      <c r="L3111">
        <v>2.5999999999999999E-2</v>
      </c>
      <c r="M3111">
        <v>3</v>
      </c>
      <c r="N3111">
        <v>94</v>
      </c>
      <c r="O3111">
        <v>2</v>
      </c>
      <c r="P3111">
        <v>0.22500000000000001</v>
      </c>
      <c r="Q3111">
        <v>1</v>
      </c>
      <c r="R3111">
        <v>5.0000000000000001E-4</v>
      </c>
      <c r="T3111" t="s">
        <v>8687</v>
      </c>
    </row>
    <row r="3112" spans="1:20" x14ac:dyDescent="0.2">
      <c r="A3112" t="s">
        <v>8689</v>
      </c>
      <c r="B3112" t="s">
        <v>2022</v>
      </c>
      <c r="C3112" t="s">
        <v>2023</v>
      </c>
      <c r="D3112" t="s">
        <v>2024</v>
      </c>
      <c r="E3112" t="s">
        <v>8690</v>
      </c>
      <c r="F3112" t="s">
        <v>447</v>
      </c>
      <c r="G3112">
        <v>4</v>
      </c>
      <c r="H3112">
        <v>1720</v>
      </c>
      <c r="I3112">
        <v>3</v>
      </c>
      <c r="J3112">
        <v>5.9</v>
      </c>
      <c r="K3112">
        <v>5</v>
      </c>
      <c r="L3112">
        <v>8.5999999999999993E-2</v>
      </c>
      <c r="M3112">
        <v>2</v>
      </c>
      <c r="N3112">
        <v>84</v>
      </c>
      <c r="O3112">
        <v>2</v>
      </c>
      <c r="P3112">
        <v>0.22500000000000001</v>
      </c>
      <c r="Q3112">
        <v>5</v>
      </c>
      <c r="R3112">
        <v>8.0000000000000002E-3</v>
      </c>
      <c r="T3112" t="s">
        <v>8690</v>
      </c>
    </row>
    <row r="3113" spans="1:20" x14ac:dyDescent="0.2">
      <c r="A3113" t="s">
        <v>8691</v>
      </c>
      <c r="B3113" t="s">
        <v>2022</v>
      </c>
      <c r="C3113" t="s">
        <v>2053</v>
      </c>
      <c r="D3113" t="s">
        <v>2024</v>
      </c>
      <c r="E3113" t="s">
        <v>8692</v>
      </c>
      <c r="F3113" t="s">
        <v>8693</v>
      </c>
      <c r="G3113">
        <v>3</v>
      </c>
      <c r="H3113">
        <v>1700</v>
      </c>
      <c r="I3113">
        <v>1</v>
      </c>
      <c r="J3113">
        <v>1.55</v>
      </c>
      <c r="K3113">
        <v>2</v>
      </c>
      <c r="L3113">
        <v>8.5000000000000006E-2</v>
      </c>
      <c r="M3113">
        <v>1</v>
      </c>
      <c r="N3113">
        <v>73</v>
      </c>
      <c r="O3113">
        <v>1</v>
      </c>
      <c r="P3113">
        <v>7.4999999999999997E-2</v>
      </c>
      <c r="Q3113">
        <v>2</v>
      </c>
      <c r="R3113">
        <v>5.1999999999999998E-3</v>
      </c>
      <c r="T3113" t="s">
        <v>8692</v>
      </c>
    </row>
    <row r="3114" spans="1:20" x14ac:dyDescent="0.2">
      <c r="A3114" t="s">
        <v>8694</v>
      </c>
      <c r="B3114" t="s">
        <v>2022</v>
      </c>
      <c r="C3114" t="s">
        <v>2023</v>
      </c>
      <c r="D3114" t="s">
        <v>2024</v>
      </c>
      <c r="E3114" t="s">
        <v>8695</v>
      </c>
      <c r="F3114" t="s">
        <v>2297</v>
      </c>
      <c r="G3114">
        <v>1</v>
      </c>
      <c r="H3114">
        <v>1480</v>
      </c>
      <c r="I3114">
        <v>2</v>
      </c>
      <c r="J3114">
        <v>3.4</v>
      </c>
      <c r="K3114">
        <v>3</v>
      </c>
      <c r="L3114">
        <v>4.5999999999999999E-2</v>
      </c>
      <c r="M3114">
        <v>1</v>
      </c>
      <c r="N3114">
        <v>74</v>
      </c>
      <c r="O3114">
        <v>2</v>
      </c>
      <c r="P3114">
        <v>0.22500000000000001</v>
      </c>
      <c r="Q3114">
        <v>2</v>
      </c>
      <c r="R3114">
        <v>2E-3</v>
      </c>
      <c r="T3114" t="s">
        <v>8695</v>
      </c>
    </row>
    <row r="3115" spans="1:20" x14ac:dyDescent="0.2">
      <c r="A3115" t="s">
        <v>8696</v>
      </c>
      <c r="B3115" t="s">
        <v>2022</v>
      </c>
      <c r="C3115" t="s">
        <v>2053</v>
      </c>
      <c r="D3115" t="s">
        <v>2024</v>
      </c>
      <c r="E3115" t="s">
        <v>8697</v>
      </c>
      <c r="F3115" t="s">
        <v>8698</v>
      </c>
      <c r="G3115">
        <v>4</v>
      </c>
      <c r="H3115">
        <v>1800</v>
      </c>
      <c r="I3115">
        <v>5</v>
      </c>
      <c r="J3115">
        <v>11.55</v>
      </c>
      <c r="K3115">
        <v>4</v>
      </c>
      <c r="L3115">
        <v>0.30499999999999999</v>
      </c>
      <c r="M3115">
        <v>4</v>
      </c>
      <c r="N3115">
        <v>103</v>
      </c>
      <c r="O3115">
        <v>5</v>
      </c>
      <c r="P3115">
        <v>0.67500000000000004</v>
      </c>
      <c r="Q3115">
        <v>4</v>
      </c>
      <c r="R3115">
        <v>1.9199999999999998E-2</v>
      </c>
      <c r="T3115" t="s">
        <v>8697</v>
      </c>
    </row>
    <row r="3116" spans="1:20" x14ac:dyDescent="0.2">
      <c r="A3116" t="s">
        <v>8699</v>
      </c>
      <c r="B3116" t="s">
        <v>2022</v>
      </c>
      <c r="C3116" t="s">
        <v>2023</v>
      </c>
      <c r="D3116" t="s">
        <v>2024</v>
      </c>
      <c r="E3116" t="s">
        <v>8700</v>
      </c>
      <c r="F3116" t="s">
        <v>2297</v>
      </c>
      <c r="G3116">
        <v>3</v>
      </c>
      <c r="H3116">
        <v>1640</v>
      </c>
      <c r="I3116">
        <v>2</v>
      </c>
      <c r="J3116">
        <v>3.4</v>
      </c>
      <c r="K3116">
        <v>4</v>
      </c>
      <c r="L3116">
        <v>6.6000000000000003E-2</v>
      </c>
      <c r="M3116">
        <v>1</v>
      </c>
      <c r="N3116">
        <v>74</v>
      </c>
      <c r="O3116">
        <v>1</v>
      </c>
      <c r="P3116">
        <v>7.4999999999999997E-2</v>
      </c>
      <c r="Q3116">
        <v>3</v>
      </c>
      <c r="R3116">
        <v>4.0000000000000001E-3</v>
      </c>
      <c r="T3116" t="s">
        <v>8700</v>
      </c>
    </row>
    <row r="3117" spans="1:20" x14ac:dyDescent="0.2">
      <c r="A3117" t="s">
        <v>8701</v>
      </c>
      <c r="B3117" t="s">
        <v>2022</v>
      </c>
      <c r="C3117" t="s">
        <v>2023</v>
      </c>
      <c r="D3117" t="s">
        <v>2024</v>
      </c>
      <c r="E3117" t="s">
        <v>8702</v>
      </c>
      <c r="F3117" t="s">
        <v>2297</v>
      </c>
      <c r="G3117">
        <v>5</v>
      </c>
      <c r="H3117">
        <v>1800</v>
      </c>
      <c r="I3117">
        <v>1</v>
      </c>
      <c r="J3117">
        <v>0.9</v>
      </c>
      <c r="K3117">
        <v>3</v>
      </c>
      <c r="L3117">
        <v>4.5999999999999999E-2</v>
      </c>
      <c r="M3117">
        <v>2</v>
      </c>
      <c r="N3117">
        <v>84</v>
      </c>
      <c r="O3117">
        <v>1</v>
      </c>
      <c r="P3117">
        <v>7.4999999999999997E-2</v>
      </c>
      <c r="Q3117">
        <v>2</v>
      </c>
      <c r="R3117">
        <v>2E-3</v>
      </c>
      <c r="T3117" t="s">
        <v>8702</v>
      </c>
    </row>
    <row r="3118" spans="1:20" x14ac:dyDescent="0.2">
      <c r="A3118" t="s">
        <v>8703</v>
      </c>
      <c r="B3118" t="s">
        <v>2022</v>
      </c>
      <c r="C3118" t="s">
        <v>2053</v>
      </c>
      <c r="D3118" t="s">
        <v>2154</v>
      </c>
      <c r="E3118" t="s">
        <v>8704</v>
      </c>
      <c r="F3118" t="s">
        <v>2297</v>
      </c>
      <c r="G3118">
        <v>4</v>
      </c>
      <c r="H3118">
        <v>1800</v>
      </c>
      <c r="I3118">
        <v>1</v>
      </c>
      <c r="J3118">
        <v>1.55</v>
      </c>
      <c r="K3118">
        <v>2</v>
      </c>
      <c r="L3118">
        <v>8.5000000000000006E-2</v>
      </c>
      <c r="M3118">
        <v>2</v>
      </c>
      <c r="N3118">
        <v>83</v>
      </c>
      <c r="O3118">
        <v>1</v>
      </c>
      <c r="P3118">
        <v>7.4999999999999997E-2</v>
      </c>
      <c r="Q3118">
        <v>2</v>
      </c>
      <c r="R3118">
        <v>5.1999999999999998E-3</v>
      </c>
      <c r="T3118" t="s">
        <v>8704</v>
      </c>
    </row>
    <row r="3119" spans="1:20" x14ac:dyDescent="0.2">
      <c r="A3119" t="s">
        <v>8705</v>
      </c>
      <c r="B3119" t="s">
        <v>2022</v>
      </c>
      <c r="C3119" t="s">
        <v>2023</v>
      </c>
      <c r="D3119" t="s">
        <v>2024</v>
      </c>
      <c r="E3119" t="s">
        <v>357</v>
      </c>
      <c r="F3119" t="s">
        <v>8706</v>
      </c>
      <c r="G3119">
        <v>2</v>
      </c>
      <c r="H3119">
        <v>1560</v>
      </c>
      <c r="I3119">
        <v>3</v>
      </c>
      <c r="J3119">
        <v>5.9</v>
      </c>
      <c r="K3119">
        <v>4</v>
      </c>
      <c r="L3119">
        <v>6.6000000000000003E-2</v>
      </c>
      <c r="M3119">
        <v>5</v>
      </c>
      <c r="N3119">
        <v>114</v>
      </c>
      <c r="O3119">
        <v>3</v>
      </c>
      <c r="P3119">
        <v>0.375</v>
      </c>
      <c r="Q3119">
        <v>4</v>
      </c>
      <c r="R3119">
        <v>6.0000000000000001E-3</v>
      </c>
      <c r="T3119" t="s">
        <v>357</v>
      </c>
    </row>
    <row r="3120" spans="1:20" x14ac:dyDescent="0.2">
      <c r="A3120" t="s">
        <v>8707</v>
      </c>
      <c r="B3120" t="s">
        <v>2022</v>
      </c>
      <c r="C3120" t="s">
        <v>2023</v>
      </c>
      <c r="D3120" t="s">
        <v>2024</v>
      </c>
      <c r="E3120" t="s">
        <v>8708</v>
      </c>
      <c r="F3120" t="s">
        <v>8709</v>
      </c>
      <c r="G3120">
        <v>5</v>
      </c>
      <c r="H3120">
        <v>1800</v>
      </c>
      <c r="I3120">
        <v>2</v>
      </c>
      <c r="J3120">
        <v>3.4</v>
      </c>
      <c r="K3120">
        <v>2</v>
      </c>
      <c r="L3120">
        <v>2.5999999999999999E-2</v>
      </c>
      <c r="M3120">
        <v>5</v>
      </c>
      <c r="N3120">
        <v>114</v>
      </c>
      <c r="O3120">
        <v>2</v>
      </c>
      <c r="P3120">
        <v>0.22500000000000001</v>
      </c>
      <c r="Q3120">
        <v>2</v>
      </c>
      <c r="R3120">
        <v>2E-3</v>
      </c>
      <c r="T3120" t="s">
        <v>8708</v>
      </c>
    </row>
    <row r="3121" spans="1:20" x14ac:dyDescent="0.2">
      <c r="A3121" t="s">
        <v>8710</v>
      </c>
      <c r="B3121" t="s">
        <v>2022</v>
      </c>
      <c r="C3121" t="s">
        <v>2106</v>
      </c>
      <c r="D3121" t="s">
        <v>2024</v>
      </c>
      <c r="E3121" t="s">
        <v>357</v>
      </c>
      <c r="F3121" t="s">
        <v>8711</v>
      </c>
      <c r="G3121">
        <v>1</v>
      </c>
      <c r="H3121">
        <v>1675</v>
      </c>
      <c r="I3121">
        <v>5</v>
      </c>
      <c r="J3121">
        <v>13.25</v>
      </c>
      <c r="K3121">
        <v>5</v>
      </c>
      <c r="L3121">
        <v>0.3</v>
      </c>
      <c r="M3121">
        <v>1</v>
      </c>
      <c r="N3121">
        <v>61.5</v>
      </c>
      <c r="O3121">
        <v>5</v>
      </c>
      <c r="P3121">
        <v>0.45</v>
      </c>
      <c r="Q3121">
        <v>5</v>
      </c>
      <c r="R3121">
        <v>8.5000000000000006E-3</v>
      </c>
      <c r="T3121" t="s">
        <v>357</v>
      </c>
    </row>
    <row r="3122" spans="1:20" x14ac:dyDescent="0.2">
      <c r="A3122" t="s">
        <v>8712</v>
      </c>
      <c r="B3122" t="s">
        <v>2022</v>
      </c>
      <c r="C3122" t="s">
        <v>2028</v>
      </c>
      <c r="D3122" t="s">
        <v>2024</v>
      </c>
      <c r="E3122" t="s">
        <v>8713</v>
      </c>
      <c r="F3122" t="s">
        <v>8714</v>
      </c>
      <c r="G3122">
        <v>5</v>
      </c>
      <c r="H3122">
        <v>1450</v>
      </c>
      <c r="I3122">
        <v>5</v>
      </c>
      <c r="J3122">
        <v>6.65</v>
      </c>
      <c r="K3122">
        <v>5</v>
      </c>
      <c r="L3122">
        <v>0.26700000000000002</v>
      </c>
      <c r="M3122">
        <v>2</v>
      </c>
      <c r="N3122">
        <v>200</v>
      </c>
      <c r="O3122">
        <v>5</v>
      </c>
      <c r="P3122">
        <v>1.35</v>
      </c>
      <c r="Q3122">
        <v>5</v>
      </c>
      <c r="R3122">
        <v>3.3500000000000002E-2</v>
      </c>
      <c r="T3122" t="s">
        <v>8713</v>
      </c>
    </row>
    <row r="3123" spans="1:20" x14ac:dyDescent="0.2">
      <c r="A3123" t="s">
        <v>8715</v>
      </c>
      <c r="B3123" t="s">
        <v>2022</v>
      </c>
      <c r="C3123" t="s">
        <v>2222</v>
      </c>
      <c r="D3123" t="s">
        <v>2024</v>
      </c>
      <c r="E3123" t="s">
        <v>8716</v>
      </c>
      <c r="F3123" t="s">
        <v>8717</v>
      </c>
      <c r="G3123">
        <v>2</v>
      </c>
      <c r="H3123">
        <v>1550</v>
      </c>
      <c r="I3123">
        <v>1</v>
      </c>
      <c r="J3123">
        <v>2.2999999999999998</v>
      </c>
      <c r="K3123">
        <v>1</v>
      </c>
      <c r="L3123">
        <v>0.01</v>
      </c>
      <c r="M3123">
        <v>2</v>
      </c>
      <c r="N3123">
        <v>63</v>
      </c>
      <c r="O3123">
        <v>2</v>
      </c>
      <c r="P3123">
        <v>0.15</v>
      </c>
      <c r="Q3123">
        <v>1</v>
      </c>
      <c r="R3123">
        <v>4.0000000000000002E-4</v>
      </c>
      <c r="T3123" t="s">
        <v>8716</v>
      </c>
    </row>
    <row r="3124" spans="1:20" x14ac:dyDescent="0.2">
      <c r="A3124" t="s">
        <v>8718</v>
      </c>
      <c r="B3124" t="s">
        <v>2022</v>
      </c>
      <c r="C3124" t="s">
        <v>2036</v>
      </c>
      <c r="D3124" t="s">
        <v>2024</v>
      </c>
      <c r="E3124" t="s">
        <v>8719</v>
      </c>
      <c r="F3124" t="s">
        <v>8720</v>
      </c>
      <c r="G3124">
        <v>1</v>
      </c>
      <c r="H3124">
        <v>1540</v>
      </c>
      <c r="I3124">
        <v>2</v>
      </c>
      <c r="J3124">
        <v>3.4</v>
      </c>
      <c r="K3124">
        <v>1</v>
      </c>
      <c r="L3124">
        <v>5.5E-2</v>
      </c>
      <c r="M3124">
        <v>3</v>
      </c>
      <c r="N3124">
        <v>88</v>
      </c>
      <c r="O3124">
        <v>2</v>
      </c>
      <c r="P3124">
        <v>0.20499999999999999</v>
      </c>
      <c r="Q3124">
        <v>1</v>
      </c>
      <c r="R3124">
        <v>1.5E-3</v>
      </c>
      <c r="T3124" t="s">
        <v>8719</v>
      </c>
    </row>
    <row r="3125" spans="1:20" x14ac:dyDescent="0.2">
      <c r="A3125" t="s">
        <v>8721</v>
      </c>
      <c r="B3125" t="s">
        <v>2022</v>
      </c>
      <c r="C3125" t="s">
        <v>2053</v>
      </c>
      <c r="D3125" t="s">
        <v>2024</v>
      </c>
      <c r="E3125" t="s">
        <v>8722</v>
      </c>
      <c r="F3125" t="s">
        <v>8723</v>
      </c>
      <c r="G3125">
        <v>3</v>
      </c>
      <c r="H3125">
        <v>1700</v>
      </c>
      <c r="I3125">
        <v>3</v>
      </c>
      <c r="J3125">
        <v>6.55</v>
      </c>
      <c r="K3125">
        <v>3</v>
      </c>
      <c r="L3125">
        <v>0.19500000000000001</v>
      </c>
      <c r="M3125">
        <v>1</v>
      </c>
      <c r="N3125">
        <v>73</v>
      </c>
      <c r="O3125">
        <v>2</v>
      </c>
      <c r="P3125">
        <v>0.22500000000000001</v>
      </c>
      <c r="Q3125">
        <v>3</v>
      </c>
      <c r="R3125">
        <v>1.2200000000000001E-2</v>
      </c>
      <c r="T3125" t="s">
        <v>8722</v>
      </c>
    </row>
    <row r="3126" spans="1:20" x14ac:dyDescent="0.2">
      <c r="A3126" t="s">
        <v>8724</v>
      </c>
      <c r="B3126" t="s">
        <v>2022</v>
      </c>
      <c r="C3126" t="s">
        <v>2053</v>
      </c>
      <c r="D3126" t="s">
        <v>2024</v>
      </c>
      <c r="E3126" t="s">
        <v>8725</v>
      </c>
      <c r="F3126" t="s">
        <v>8726</v>
      </c>
      <c r="G3126">
        <v>3</v>
      </c>
      <c r="H3126">
        <v>1700</v>
      </c>
      <c r="I3126">
        <v>2</v>
      </c>
      <c r="J3126">
        <v>4.05</v>
      </c>
      <c r="K3126">
        <v>2</v>
      </c>
      <c r="L3126">
        <v>8.5000000000000006E-2</v>
      </c>
      <c r="M3126">
        <v>1</v>
      </c>
      <c r="N3126">
        <v>73</v>
      </c>
      <c r="O3126">
        <v>2</v>
      </c>
      <c r="P3126">
        <v>0.22500000000000001</v>
      </c>
      <c r="Q3126">
        <v>2</v>
      </c>
      <c r="R3126">
        <v>5.1999999999999998E-3</v>
      </c>
      <c r="T3126" t="s">
        <v>8725</v>
      </c>
    </row>
    <row r="3127" spans="1:20" x14ac:dyDescent="0.2">
      <c r="A3127" t="s">
        <v>8727</v>
      </c>
      <c r="B3127" t="s">
        <v>2022</v>
      </c>
      <c r="C3127" t="s">
        <v>2053</v>
      </c>
      <c r="D3127" t="s">
        <v>2024</v>
      </c>
      <c r="E3127" t="s">
        <v>8728</v>
      </c>
      <c r="F3127" t="s">
        <v>447</v>
      </c>
      <c r="G3127">
        <v>5</v>
      </c>
      <c r="H3127">
        <v>1900</v>
      </c>
      <c r="I3127">
        <v>3</v>
      </c>
      <c r="J3127">
        <v>6.55</v>
      </c>
      <c r="K3127">
        <v>3</v>
      </c>
      <c r="L3127">
        <v>0.19500000000000001</v>
      </c>
      <c r="M3127">
        <v>2</v>
      </c>
      <c r="N3127">
        <v>83</v>
      </c>
      <c r="O3127">
        <v>2</v>
      </c>
      <c r="P3127">
        <v>0.22500000000000001</v>
      </c>
      <c r="Q3127">
        <v>2</v>
      </c>
      <c r="R3127">
        <v>5.1999999999999998E-3</v>
      </c>
      <c r="T3127" t="s">
        <v>8728</v>
      </c>
    </row>
    <row r="3128" spans="1:20" x14ac:dyDescent="0.2">
      <c r="A3128" t="s">
        <v>8729</v>
      </c>
      <c r="B3128" t="s">
        <v>2022</v>
      </c>
      <c r="C3128" t="s">
        <v>2036</v>
      </c>
      <c r="D3128" t="s">
        <v>2024</v>
      </c>
      <c r="E3128" t="s">
        <v>8730</v>
      </c>
      <c r="F3128" t="s">
        <v>8731</v>
      </c>
      <c r="G3128">
        <v>1</v>
      </c>
      <c r="H3128">
        <v>1540</v>
      </c>
      <c r="I3128">
        <v>2</v>
      </c>
      <c r="J3128">
        <v>3.4</v>
      </c>
      <c r="K3128">
        <v>1</v>
      </c>
      <c r="L3128">
        <v>5.5E-2</v>
      </c>
      <c r="M3128">
        <v>1</v>
      </c>
      <c r="N3128">
        <v>76</v>
      </c>
      <c r="O3128">
        <v>2</v>
      </c>
      <c r="P3128">
        <v>0.20499999999999999</v>
      </c>
      <c r="Q3128">
        <v>1</v>
      </c>
      <c r="R3128">
        <v>1.5E-3</v>
      </c>
      <c r="T3128" t="s">
        <v>8730</v>
      </c>
    </row>
    <row r="3129" spans="1:20" x14ac:dyDescent="0.2">
      <c r="A3129" t="s">
        <v>8732</v>
      </c>
      <c r="B3129" t="s">
        <v>2022</v>
      </c>
      <c r="C3129" t="s">
        <v>2053</v>
      </c>
      <c r="D3129" t="s">
        <v>2136</v>
      </c>
      <c r="E3129" t="s">
        <v>8733</v>
      </c>
      <c r="F3129" t="s">
        <v>8734</v>
      </c>
      <c r="G3129">
        <v>2</v>
      </c>
      <c r="H3129">
        <v>1600</v>
      </c>
      <c r="I3129">
        <v>5</v>
      </c>
      <c r="J3129">
        <v>11.55</v>
      </c>
      <c r="K3129">
        <v>5</v>
      </c>
      <c r="L3129">
        <v>0.41499999999999998</v>
      </c>
      <c r="M3129">
        <v>5</v>
      </c>
      <c r="N3129">
        <v>113</v>
      </c>
      <c r="O3129">
        <v>5</v>
      </c>
      <c r="P3129">
        <v>0.67500000000000004</v>
      </c>
      <c r="Q3129">
        <v>5</v>
      </c>
      <c r="R3129">
        <v>2.6200000000000001E-2</v>
      </c>
      <c r="T3129" t="s">
        <v>8733</v>
      </c>
    </row>
    <row r="3130" spans="1:20" x14ac:dyDescent="0.2">
      <c r="A3130" t="s">
        <v>8735</v>
      </c>
      <c r="B3130" t="s">
        <v>2022</v>
      </c>
      <c r="C3130" t="s">
        <v>2023</v>
      </c>
      <c r="D3130" t="s">
        <v>2024</v>
      </c>
      <c r="E3130" t="s">
        <v>8736</v>
      </c>
      <c r="F3130" t="s">
        <v>8737</v>
      </c>
      <c r="G3130">
        <v>2</v>
      </c>
      <c r="H3130">
        <v>1560</v>
      </c>
      <c r="I3130">
        <v>2</v>
      </c>
      <c r="J3130">
        <v>3.4</v>
      </c>
      <c r="K3130">
        <v>2</v>
      </c>
      <c r="L3130">
        <v>2.5999999999999999E-2</v>
      </c>
      <c r="M3130">
        <v>2</v>
      </c>
      <c r="N3130">
        <v>84</v>
      </c>
      <c r="O3130">
        <v>1</v>
      </c>
      <c r="P3130">
        <v>7.4999999999999997E-2</v>
      </c>
      <c r="Q3130">
        <v>2</v>
      </c>
      <c r="R3130">
        <v>2E-3</v>
      </c>
      <c r="T3130" t="s">
        <v>8736</v>
      </c>
    </row>
    <row r="3131" spans="1:20" x14ac:dyDescent="0.2">
      <c r="A3131" t="s">
        <v>8738</v>
      </c>
      <c r="B3131" t="s">
        <v>2022</v>
      </c>
      <c r="C3131" t="s">
        <v>2023</v>
      </c>
      <c r="D3131" t="s">
        <v>2024</v>
      </c>
      <c r="E3131" t="s">
        <v>2050</v>
      </c>
      <c r="F3131" t="s">
        <v>8739</v>
      </c>
      <c r="G3131">
        <v>1</v>
      </c>
      <c r="H3131">
        <v>1480</v>
      </c>
      <c r="I3131">
        <v>5</v>
      </c>
      <c r="J3131">
        <v>10.9</v>
      </c>
      <c r="K3131">
        <v>4</v>
      </c>
      <c r="L3131">
        <v>6.6000000000000003E-2</v>
      </c>
      <c r="M3131">
        <v>2</v>
      </c>
      <c r="N3131">
        <v>84</v>
      </c>
      <c r="O3131">
        <v>5</v>
      </c>
      <c r="P3131">
        <v>0.67500000000000004</v>
      </c>
      <c r="Q3131">
        <v>3</v>
      </c>
      <c r="R3131">
        <v>4.0000000000000001E-3</v>
      </c>
      <c r="T3131" t="s">
        <v>2050</v>
      </c>
    </row>
    <row r="3132" spans="1:20" x14ac:dyDescent="0.2">
      <c r="A3132" t="s">
        <v>8740</v>
      </c>
      <c r="B3132" t="s">
        <v>2022</v>
      </c>
      <c r="C3132" t="s">
        <v>2101</v>
      </c>
      <c r="D3132" t="s">
        <v>2024</v>
      </c>
      <c r="E3132" t="s">
        <v>8741</v>
      </c>
      <c r="F3132" t="s">
        <v>8742</v>
      </c>
      <c r="G3132">
        <v>5</v>
      </c>
      <c r="H3132">
        <v>1970</v>
      </c>
      <c r="I3132">
        <v>2</v>
      </c>
      <c r="J3132">
        <v>5</v>
      </c>
      <c r="K3132">
        <v>2</v>
      </c>
      <c r="L3132">
        <v>9.6500000000000002E-2</v>
      </c>
      <c r="M3132">
        <v>3</v>
      </c>
      <c r="N3132">
        <v>82</v>
      </c>
      <c r="O3132">
        <v>2</v>
      </c>
      <c r="P3132">
        <v>0.22500000000000001</v>
      </c>
      <c r="Q3132">
        <v>2</v>
      </c>
      <c r="R3132">
        <v>4.4999999999999997E-3</v>
      </c>
      <c r="T3132" t="s">
        <v>8741</v>
      </c>
    </row>
    <row r="3133" spans="1:20" x14ac:dyDescent="0.2">
      <c r="A3133" t="s">
        <v>8743</v>
      </c>
      <c r="B3133" t="s">
        <v>2022</v>
      </c>
      <c r="C3133" t="s">
        <v>2023</v>
      </c>
      <c r="D3133" t="s">
        <v>2024</v>
      </c>
      <c r="E3133" t="s">
        <v>8744</v>
      </c>
      <c r="F3133" t="s">
        <v>8745</v>
      </c>
      <c r="G3133">
        <v>1</v>
      </c>
      <c r="H3133">
        <v>1480</v>
      </c>
      <c r="I3133">
        <v>1</v>
      </c>
      <c r="J3133">
        <v>0.9</v>
      </c>
      <c r="K3133">
        <v>1</v>
      </c>
      <c r="L3133">
        <v>6.0000000000000001E-3</v>
      </c>
      <c r="M3133">
        <v>3</v>
      </c>
      <c r="N3133">
        <v>94</v>
      </c>
      <c r="O3133">
        <v>1</v>
      </c>
      <c r="P3133">
        <v>7.4999999999999997E-2</v>
      </c>
      <c r="Q3133">
        <v>1</v>
      </c>
      <c r="R3133">
        <v>5.0000000000000001E-4</v>
      </c>
      <c r="T3133" t="s">
        <v>8744</v>
      </c>
    </row>
    <row r="3134" spans="1:20" x14ac:dyDescent="0.2">
      <c r="A3134" t="s">
        <v>8746</v>
      </c>
      <c r="B3134" t="s">
        <v>2022</v>
      </c>
      <c r="C3134" t="s">
        <v>2036</v>
      </c>
      <c r="D3134" t="s">
        <v>2024</v>
      </c>
      <c r="E3134" t="s">
        <v>8747</v>
      </c>
      <c r="F3134" t="s">
        <v>8748</v>
      </c>
      <c r="G3134">
        <v>1</v>
      </c>
      <c r="H3134">
        <v>1540</v>
      </c>
      <c r="I3134">
        <v>2</v>
      </c>
      <c r="J3134">
        <v>3.4</v>
      </c>
      <c r="K3134">
        <v>3</v>
      </c>
      <c r="L3134">
        <v>0.115</v>
      </c>
      <c r="M3134">
        <v>3</v>
      </c>
      <c r="N3134">
        <v>88</v>
      </c>
      <c r="O3134">
        <v>2</v>
      </c>
      <c r="P3134">
        <v>0.20499999999999999</v>
      </c>
      <c r="Q3134">
        <v>3</v>
      </c>
      <c r="R3134">
        <v>6.7499999999999999E-3</v>
      </c>
      <c r="T3134" t="s">
        <v>8747</v>
      </c>
    </row>
    <row r="3135" spans="1:20" x14ac:dyDescent="0.2">
      <c r="A3135" t="s">
        <v>8749</v>
      </c>
      <c r="B3135" t="s">
        <v>2022</v>
      </c>
      <c r="C3135" t="s">
        <v>2173</v>
      </c>
      <c r="D3135" t="s">
        <v>2024</v>
      </c>
      <c r="E3135" t="s">
        <v>8750</v>
      </c>
      <c r="F3135" t="s">
        <v>8751</v>
      </c>
      <c r="G3135">
        <v>1</v>
      </c>
      <c r="H3135">
        <v>1882.5</v>
      </c>
      <c r="I3135">
        <v>3</v>
      </c>
      <c r="J3135">
        <v>9.0500000000000007</v>
      </c>
      <c r="K3135">
        <v>2</v>
      </c>
      <c r="L3135">
        <v>0.09</v>
      </c>
      <c r="M3135">
        <v>4</v>
      </c>
      <c r="N3135">
        <v>129.5</v>
      </c>
      <c r="O3135">
        <v>3</v>
      </c>
      <c r="P3135">
        <v>0.51</v>
      </c>
      <c r="Q3135">
        <v>2</v>
      </c>
      <c r="R3135">
        <v>4.7999999999999996E-3</v>
      </c>
      <c r="T3135" t="s">
        <v>8750</v>
      </c>
    </row>
    <row r="3136" spans="1:20" x14ac:dyDescent="0.2">
      <c r="A3136" t="s">
        <v>8752</v>
      </c>
      <c r="B3136" t="s">
        <v>2022</v>
      </c>
      <c r="C3136" t="s">
        <v>2023</v>
      </c>
      <c r="D3136" t="s">
        <v>2024</v>
      </c>
      <c r="E3136" t="s">
        <v>8753</v>
      </c>
      <c r="F3136" t="s">
        <v>8754</v>
      </c>
      <c r="G3136">
        <v>3</v>
      </c>
      <c r="H3136">
        <v>1640</v>
      </c>
      <c r="I3136">
        <v>2</v>
      </c>
      <c r="J3136">
        <v>3.4</v>
      </c>
      <c r="K3136">
        <v>4</v>
      </c>
      <c r="L3136">
        <v>6.6000000000000003E-2</v>
      </c>
      <c r="M3136">
        <v>3</v>
      </c>
      <c r="N3136">
        <v>94</v>
      </c>
      <c r="O3136">
        <v>2</v>
      </c>
      <c r="P3136">
        <v>0.22500000000000001</v>
      </c>
      <c r="Q3136">
        <v>3</v>
      </c>
      <c r="R3136">
        <v>4.0000000000000001E-3</v>
      </c>
      <c r="T3136" t="s">
        <v>8753</v>
      </c>
    </row>
    <row r="3137" spans="1:20" x14ac:dyDescent="0.2">
      <c r="A3137" t="s">
        <v>8755</v>
      </c>
      <c r="B3137" t="s">
        <v>2022</v>
      </c>
      <c r="C3137" t="s">
        <v>2053</v>
      </c>
      <c r="D3137" t="s">
        <v>2024</v>
      </c>
      <c r="E3137" t="s">
        <v>8756</v>
      </c>
      <c r="F3137" t="s">
        <v>8757</v>
      </c>
      <c r="G3137">
        <v>4</v>
      </c>
      <c r="H3137">
        <v>1800</v>
      </c>
      <c r="I3137">
        <v>1</v>
      </c>
      <c r="J3137">
        <v>1.55</v>
      </c>
      <c r="K3137">
        <v>1</v>
      </c>
      <c r="L3137">
        <v>1.4999999999999999E-2</v>
      </c>
      <c r="M3137">
        <v>4</v>
      </c>
      <c r="N3137">
        <v>103</v>
      </c>
      <c r="O3137">
        <v>2</v>
      </c>
      <c r="P3137">
        <v>0.22500000000000001</v>
      </c>
      <c r="Q3137">
        <v>1</v>
      </c>
      <c r="R3137">
        <v>8.4999999999999995E-4</v>
      </c>
      <c r="T3137" t="s">
        <v>8756</v>
      </c>
    </row>
    <row r="3138" spans="1:20" x14ac:dyDescent="0.2">
      <c r="A3138" t="s">
        <v>8758</v>
      </c>
      <c r="B3138" t="s">
        <v>2022</v>
      </c>
      <c r="C3138" t="s">
        <v>2023</v>
      </c>
      <c r="D3138" t="s">
        <v>2024</v>
      </c>
      <c r="E3138" t="s">
        <v>8759</v>
      </c>
      <c r="F3138" t="s">
        <v>8760</v>
      </c>
      <c r="G3138">
        <v>3</v>
      </c>
      <c r="H3138">
        <v>1640</v>
      </c>
      <c r="I3138">
        <v>5</v>
      </c>
      <c r="J3138">
        <v>10.9</v>
      </c>
      <c r="K3138">
        <v>5</v>
      </c>
      <c r="L3138">
        <v>8.5999999999999993E-2</v>
      </c>
      <c r="M3138">
        <v>4</v>
      </c>
      <c r="N3138">
        <v>104</v>
      </c>
      <c r="O3138">
        <v>5</v>
      </c>
      <c r="P3138">
        <v>0.67500000000000004</v>
      </c>
      <c r="Q3138">
        <v>5</v>
      </c>
      <c r="R3138">
        <v>8.0000000000000002E-3</v>
      </c>
      <c r="T3138" t="s">
        <v>8759</v>
      </c>
    </row>
    <row r="3139" spans="1:20" x14ac:dyDescent="0.2">
      <c r="A3139" t="s">
        <v>8761</v>
      </c>
      <c r="B3139" t="s">
        <v>2022</v>
      </c>
      <c r="C3139" t="s">
        <v>2053</v>
      </c>
      <c r="D3139" t="s">
        <v>2024</v>
      </c>
      <c r="E3139" t="s">
        <v>8762</v>
      </c>
      <c r="F3139" t="s">
        <v>8763</v>
      </c>
      <c r="G3139">
        <v>3</v>
      </c>
      <c r="H3139">
        <v>1700</v>
      </c>
      <c r="I3139">
        <v>1</v>
      </c>
      <c r="J3139">
        <v>1.55</v>
      </c>
      <c r="K3139">
        <v>1</v>
      </c>
      <c r="L3139">
        <v>1.4999999999999999E-2</v>
      </c>
      <c r="M3139">
        <v>1</v>
      </c>
      <c r="N3139">
        <v>73</v>
      </c>
      <c r="O3139">
        <v>1</v>
      </c>
      <c r="P3139">
        <v>7.4999999999999997E-2</v>
      </c>
      <c r="Q3139">
        <v>1</v>
      </c>
      <c r="R3139">
        <v>8.4999999999999995E-4</v>
      </c>
      <c r="T3139" t="s">
        <v>8762</v>
      </c>
    </row>
    <row r="3140" spans="1:20" x14ac:dyDescent="0.2">
      <c r="A3140" t="s">
        <v>8764</v>
      </c>
      <c r="B3140" t="s">
        <v>2022</v>
      </c>
      <c r="C3140" t="s">
        <v>2053</v>
      </c>
      <c r="D3140" t="s">
        <v>2024</v>
      </c>
      <c r="E3140" t="s">
        <v>8765</v>
      </c>
      <c r="F3140" t="s">
        <v>8766</v>
      </c>
      <c r="G3140">
        <v>3</v>
      </c>
      <c r="H3140">
        <v>1700</v>
      </c>
      <c r="I3140">
        <v>5</v>
      </c>
      <c r="J3140">
        <v>11.55</v>
      </c>
      <c r="K3140">
        <v>5</v>
      </c>
      <c r="L3140">
        <v>0.41499999999999998</v>
      </c>
      <c r="M3140">
        <v>1</v>
      </c>
      <c r="N3140">
        <v>73</v>
      </c>
      <c r="O3140">
        <v>5</v>
      </c>
      <c r="P3140">
        <v>0.67500000000000004</v>
      </c>
      <c r="Q3140">
        <v>5</v>
      </c>
      <c r="R3140">
        <v>2.6200000000000001E-2</v>
      </c>
      <c r="T3140" t="s">
        <v>8765</v>
      </c>
    </row>
    <row r="3141" spans="1:20" x14ac:dyDescent="0.2">
      <c r="A3141" t="s">
        <v>8767</v>
      </c>
      <c r="B3141" t="s">
        <v>2022</v>
      </c>
      <c r="C3141" t="s">
        <v>2101</v>
      </c>
      <c r="D3141" t="s">
        <v>2136</v>
      </c>
      <c r="E3141" t="s">
        <v>8768</v>
      </c>
      <c r="F3141" t="s">
        <v>8769</v>
      </c>
      <c r="G3141">
        <v>1</v>
      </c>
      <c r="H3141">
        <v>1570</v>
      </c>
      <c r="I3141">
        <v>2</v>
      </c>
      <c r="J3141">
        <v>5</v>
      </c>
      <c r="K3141">
        <v>2</v>
      </c>
      <c r="L3141">
        <v>9.6500000000000002E-2</v>
      </c>
      <c r="M3141">
        <v>1</v>
      </c>
      <c r="N3141">
        <v>66</v>
      </c>
      <c r="O3141">
        <v>2</v>
      </c>
      <c r="P3141">
        <v>0.22500000000000001</v>
      </c>
      <c r="Q3141">
        <v>2</v>
      </c>
      <c r="R3141">
        <v>4.4999999999999997E-3</v>
      </c>
      <c r="T3141" t="s">
        <v>8768</v>
      </c>
    </row>
    <row r="3142" spans="1:20" x14ac:dyDescent="0.2">
      <c r="A3142" t="s">
        <v>8770</v>
      </c>
      <c r="B3142" t="s">
        <v>2022</v>
      </c>
      <c r="C3142" t="s">
        <v>2023</v>
      </c>
      <c r="D3142" t="s">
        <v>2024</v>
      </c>
      <c r="E3142" t="s">
        <v>8771</v>
      </c>
      <c r="F3142" t="s">
        <v>8772</v>
      </c>
      <c r="G3142">
        <v>5</v>
      </c>
      <c r="H3142">
        <v>1800</v>
      </c>
      <c r="I3142">
        <v>1</v>
      </c>
      <c r="J3142">
        <v>0.9</v>
      </c>
      <c r="K3142">
        <v>1</v>
      </c>
      <c r="L3142">
        <v>6.0000000000000001E-3</v>
      </c>
      <c r="M3142">
        <v>3</v>
      </c>
      <c r="N3142">
        <v>94</v>
      </c>
      <c r="O3142">
        <v>1</v>
      </c>
      <c r="P3142">
        <v>7.4999999999999997E-2</v>
      </c>
      <c r="Q3142">
        <v>1</v>
      </c>
      <c r="R3142">
        <v>5.0000000000000001E-4</v>
      </c>
      <c r="T3142" t="s">
        <v>8771</v>
      </c>
    </row>
    <row r="3143" spans="1:20" x14ac:dyDescent="0.2">
      <c r="A3143" t="s">
        <v>8773</v>
      </c>
      <c r="B3143" t="s">
        <v>2022</v>
      </c>
      <c r="C3143" t="s">
        <v>2036</v>
      </c>
      <c r="D3143" t="s">
        <v>2024</v>
      </c>
      <c r="E3143" t="s">
        <v>8774</v>
      </c>
      <c r="F3143" t="s">
        <v>447</v>
      </c>
      <c r="G3143">
        <v>2</v>
      </c>
      <c r="H3143">
        <v>1640</v>
      </c>
      <c r="I3143">
        <v>1</v>
      </c>
      <c r="J3143">
        <v>2.2000000000000002</v>
      </c>
      <c r="K3143">
        <v>1</v>
      </c>
      <c r="L3143">
        <v>5.5E-2</v>
      </c>
      <c r="M3143">
        <v>2</v>
      </c>
      <c r="N3143">
        <v>82</v>
      </c>
      <c r="O3143">
        <v>1</v>
      </c>
      <c r="P3143">
        <v>9.5000000000000001E-2</v>
      </c>
      <c r="Q3143">
        <v>1</v>
      </c>
      <c r="R3143">
        <v>1.5E-3</v>
      </c>
      <c r="T3143" t="s">
        <v>8774</v>
      </c>
    </row>
    <row r="3144" spans="1:20" x14ac:dyDescent="0.2">
      <c r="A3144" t="s">
        <v>8775</v>
      </c>
      <c r="B3144" t="s">
        <v>2022</v>
      </c>
      <c r="C3144" t="s">
        <v>2222</v>
      </c>
      <c r="D3144" t="s">
        <v>2024</v>
      </c>
      <c r="E3144" t="s">
        <v>8776</v>
      </c>
      <c r="F3144" t="s">
        <v>8777</v>
      </c>
      <c r="G3144">
        <v>3</v>
      </c>
      <c r="H3144">
        <v>1650</v>
      </c>
      <c r="I3144">
        <v>2</v>
      </c>
      <c r="J3144">
        <v>3.9</v>
      </c>
      <c r="K3144">
        <v>3</v>
      </c>
      <c r="L3144">
        <v>0.125</v>
      </c>
      <c r="M3144">
        <v>2</v>
      </c>
      <c r="N3144">
        <v>63</v>
      </c>
      <c r="O3144">
        <v>2</v>
      </c>
      <c r="P3144">
        <v>0.15</v>
      </c>
      <c r="Q3144">
        <v>3</v>
      </c>
      <c r="R3144">
        <v>5.3E-3</v>
      </c>
      <c r="T3144" t="s">
        <v>8776</v>
      </c>
    </row>
    <row r="3145" spans="1:20" x14ac:dyDescent="0.2">
      <c r="A3145" t="s">
        <v>8778</v>
      </c>
      <c r="B3145" t="s">
        <v>2022</v>
      </c>
      <c r="C3145" t="s">
        <v>2053</v>
      </c>
      <c r="D3145" t="s">
        <v>2024</v>
      </c>
      <c r="E3145" t="s">
        <v>8779</v>
      </c>
      <c r="F3145" t="s">
        <v>8780</v>
      </c>
      <c r="G3145">
        <v>2</v>
      </c>
      <c r="H3145">
        <v>1600</v>
      </c>
      <c r="I3145">
        <v>3</v>
      </c>
      <c r="J3145">
        <v>6.55</v>
      </c>
      <c r="K3145">
        <v>2</v>
      </c>
      <c r="L3145">
        <v>8.5000000000000006E-2</v>
      </c>
      <c r="M3145">
        <v>4</v>
      </c>
      <c r="N3145">
        <v>103</v>
      </c>
      <c r="O3145">
        <v>3</v>
      </c>
      <c r="P3145">
        <v>0.375</v>
      </c>
      <c r="Q3145">
        <v>2</v>
      </c>
      <c r="R3145">
        <v>5.1999999999999998E-3</v>
      </c>
      <c r="T3145" t="s">
        <v>8779</v>
      </c>
    </row>
    <row r="3146" spans="1:20" x14ac:dyDescent="0.2">
      <c r="A3146" t="s">
        <v>8781</v>
      </c>
      <c r="B3146" t="s">
        <v>2022</v>
      </c>
      <c r="C3146" t="s">
        <v>2036</v>
      </c>
      <c r="D3146" t="s">
        <v>2024</v>
      </c>
      <c r="E3146" t="s">
        <v>8782</v>
      </c>
      <c r="F3146" t="s">
        <v>8783</v>
      </c>
      <c r="G3146">
        <v>4</v>
      </c>
      <c r="H3146">
        <v>1840</v>
      </c>
      <c r="I3146">
        <v>5</v>
      </c>
      <c r="J3146">
        <v>7</v>
      </c>
      <c r="K3146">
        <v>5</v>
      </c>
      <c r="L3146">
        <v>0.17499999999999999</v>
      </c>
      <c r="M3146">
        <v>5</v>
      </c>
      <c r="N3146">
        <v>100</v>
      </c>
      <c r="O3146">
        <v>5</v>
      </c>
      <c r="P3146">
        <v>0.53500000000000003</v>
      </c>
      <c r="Q3146">
        <v>5</v>
      </c>
      <c r="R3146">
        <v>1.2E-2</v>
      </c>
      <c r="T3146" t="s">
        <v>8782</v>
      </c>
    </row>
    <row r="3147" spans="1:20" x14ac:dyDescent="0.2">
      <c r="A3147" t="s">
        <v>8784</v>
      </c>
      <c r="B3147" t="s">
        <v>2022</v>
      </c>
      <c r="C3147" t="s">
        <v>2023</v>
      </c>
      <c r="D3147" t="s">
        <v>2024</v>
      </c>
      <c r="E3147" t="s">
        <v>8785</v>
      </c>
      <c r="F3147" t="s">
        <v>8786</v>
      </c>
      <c r="G3147">
        <v>3</v>
      </c>
      <c r="H3147">
        <v>1640</v>
      </c>
      <c r="I3147">
        <v>4</v>
      </c>
      <c r="J3147">
        <v>8.4</v>
      </c>
      <c r="K3147">
        <v>5</v>
      </c>
      <c r="L3147">
        <v>8.5999999999999993E-2</v>
      </c>
      <c r="M3147">
        <v>4</v>
      </c>
      <c r="N3147">
        <v>104</v>
      </c>
      <c r="O3147">
        <v>4</v>
      </c>
      <c r="P3147">
        <v>0.52500000000000002</v>
      </c>
      <c r="Q3147">
        <v>5</v>
      </c>
      <c r="R3147">
        <v>8.0000000000000002E-3</v>
      </c>
      <c r="T3147" t="s">
        <v>8785</v>
      </c>
    </row>
    <row r="3148" spans="1:20" x14ac:dyDescent="0.2">
      <c r="A3148" t="s">
        <v>8787</v>
      </c>
      <c r="B3148" t="s">
        <v>2022</v>
      </c>
      <c r="C3148" t="s">
        <v>2095</v>
      </c>
      <c r="D3148" t="s">
        <v>2024</v>
      </c>
      <c r="E3148" t="s">
        <v>8788</v>
      </c>
      <c r="F3148" t="s">
        <v>8789</v>
      </c>
      <c r="G3148">
        <v>2</v>
      </c>
      <c r="H3148">
        <v>1655</v>
      </c>
      <c r="I3148">
        <v>1</v>
      </c>
      <c r="J3148">
        <v>4.5</v>
      </c>
      <c r="K3148">
        <v>1</v>
      </c>
      <c r="L3148">
        <v>1.4999999999999999E-2</v>
      </c>
      <c r="M3148">
        <v>1</v>
      </c>
      <c r="N3148">
        <v>74</v>
      </c>
      <c r="O3148">
        <v>1</v>
      </c>
      <c r="P3148">
        <v>0.15</v>
      </c>
      <c r="Q3148">
        <v>1</v>
      </c>
      <c r="R3148">
        <v>6.9999999999999999E-4</v>
      </c>
      <c r="T3148" t="s">
        <v>8788</v>
      </c>
    </row>
    <row r="3149" spans="1:20" x14ac:dyDescent="0.2">
      <c r="A3149" t="s">
        <v>8790</v>
      </c>
      <c r="B3149" t="s">
        <v>2022</v>
      </c>
      <c r="C3149" t="s">
        <v>2023</v>
      </c>
      <c r="D3149" t="s">
        <v>2024</v>
      </c>
      <c r="E3149" t="s">
        <v>357</v>
      </c>
      <c r="F3149" t="s">
        <v>8791</v>
      </c>
      <c r="G3149">
        <v>3</v>
      </c>
      <c r="H3149">
        <v>1640</v>
      </c>
      <c r="I3149">
        <v>5</v>
      </c>
      <c r="J3149">
        <v>10.9</v>
      </c>
      <c r="K3149">
        <v>3</v>
      </c>
      <c r="L3149">
        <v>4.5999999999999999E-2</v>
      </c>
      <c r="M3149">
        <v>2</v>
      </c>
      <c r="N3149">
        <v>84</v>
      </c>
      <c r="O3149">
        <v>5</v>
      </c>
      <c r="P3149">
        <v>0.67500000000000004</v>
      </c>
      <c r="Q3149">
        <v>2</v>
      </c>
      <c r="R3149">
        <v>2E-3</v>
      </c>
      <c r="T3149" t="s">
        <v>357</v>
      </c>
    </row>
    <row r="3150" spans="1:20" x14ac:dyDescent="0.2">
      <c r="A3150" t="s">
        <v>8792</v>
      </c>
      <c r="B3150" t="s">
        <v>2022</v>
      </c>
      <c r="C3150" t="s">
        <v>2023</v>
      </c>
      <c r="D3150" t="s">
        <v>2024</v>
      </c>
      <c r="E3150" t="s">
        <v>8793</v>
      </c>
      <c r="F3150" t="s">
        <v>8794</v>
      </c>
      <c r="G3150">
        <v>3</v>
      </c>
      <c r="H3150">
        <v>1640</v>
      </c>
      <c r="I3150">
        <v>3</v>
      </c>
      <c r="J3150">
        <v>5.9</v>
      </c>
      <c r="K3150">
        <v>5</v>
      </c>
      <c r="L3150">
        <v>8.5999999999999993E-2</v>
      </c>
      <c r="M3150">
        <v>4</v>
      </c>
      <c r="N3150">
        <v>104</v>
      </c>
      <c r="O3150">
        <v>3</v>
      </c>
      <c r="P3150">
        <v>0.375</v>
      </c>
      <c r="Q3150">
        <v>4</v>
      </c>
      <c r="R3150">
        <v>6.0000000000000001E-3</v>
      </c>
      <c r="T3150" t="s">
        <v>8793</v>
      </c>
    </row>
    <row r="3151" spans="1:20" x14ac:dyDescent="0.2">
      <c r="A3151" t="s">
        <v>8795</v>
      </c>
      <c r="B3151" t="s">
        <v>2022</v>
      </c>
      <c r="C3151" t="s">
        <v>2053</v>
      </c>
      <c r="D3151" t="s">
        <v>2024</v>
      </c>
      <c r="E3151" t="s">
        <v>8796</v>
      </c>
      <c r="F3151" t="s">
        <v>8797</v>
      </c>
      <c r="G3151">
        <v>4</v>
      </c>
      <c r="H3151">
        <v>1800</v>
      </c>
      <c r="I3151">
        <v>3</v>
      </c>
      <c r="J3151">
        <v>6.55</v>
      </c>
      <c r="K3151">
        <v>3</v>
      </c>
      <c r="L3151">
        <v>0.19500000000000001</v>
      </c>
      <c r="M3151">
        <v>2</v>
      </c>
      <c r="N3151">
        <v>83</v>
      </c>
      <c r="O3151">
        <v>2</v>
      </c>
      <c r="P3151">
        <v>0.22500000000000001</v>
      </c>
      <c r="Q3151">
        <v>2</v>
      </c>
      <c r="R3151">
        <v>5.1999999999999998E-3</v>
      </c>
      <c r="T3151" t="s">
        <v>8796</v>
      </c>
    </row>
    <row r="3152" spans="1:20" x14ac:dyDescent="0.2">
      <c r="A3152" t="s">
        <v>8798</v>
      </c>
      <c r="B3152" t="s">
        <v>2022</v>
      </c>
      <c r="C3152" t="s">
        <v>2023</v>
      </c>
      <c r="D3152" t="s">
        <v>2024</v>
      </c>
      <c r="E3152" t="s">
        <v>8799</v>
      </c>
      <c r="F3152" t="s">
        <v>8800</v>
      </c>
      <c r="G3152">
        <v>4</v>
      </c>
      <c r="H3152">
        <v>1720</v>
      </c>
      <c r="I3152">
        <v>5</v>
      </c>
      <c r="J3152">
        <v>10.9</v>
      </c>
      <c r="K3152">
        <v>5</v>
      </c>
      <c r="L3152">
        <v>8.5999999999999993E-2</v>
      </c>
      <c r="M3152">
        <v>2</v>
      </c>
      <c r="N3152">
        <v>84</v>
      </c>
      <c r="O3152">
        <v>5</v>
      </c>
      <c r="P3152">
        <v>0.67500000000000004</v>
      </c>
      <c r="Q3152">
        <v>5</v>
      </c>
      <c r="R3152">
        <v>8.0000000000000002E-3</v>
      </c>
      <c r="T3152" t="s">
        <v>8799</v>
      </c>
    </row>
    <row r="3153" spans="1:20" x14ac:dyDescent="0.2">
      <c r="A3153" t="s">
        <v>8801</v>
      </c>
      <c r="B3153" t="s">
        <v>2022</v>
      </c>
      <c r="C3153" t="s">
        <v>2023</v>
      </c>
      <c r="D3153" t="s">
        <v>2024</v>
      </c>
      <c r="E3153" t="s">
        <v>8802</v>
      </c>
      <c r="F3153" t="s">
        <v>8803</v>
      </c>
      <c r="G3153">
        <v>2</v>
      </c>
      <c r="H3153">
        <v>1560</v>
      </c>
      <c r="I3153">
        <v>2</v>
      </c>
      <c r="J3153">
        <v>3.4</v>
      </c>
      <c r="K3153">
        <v>4</v>
      </c>
      <c r="L3153">
        <v>6.6000000000000003E-2</v>
      </c>
      <c r="M3153">
        <v>2</v>
      </c>
      <c r="N3153">
        <v>84</v>
      </c>
      <c r="O3153">
        <v>2</v>
      </c>
      <c r="P3153">
        <v>0.22500000000000001</v>
      </c>
      <c r="Q3153">
        <v>3</v>
      </c>
      <c r="R3153">
        <v>4.0000000000000001E-3</v>
      </c>
      <c r="T3153" t="s">
        <v>8802</v>
      </c>
    </row>
    <row r="3154" spans="1:20" x14ac:dyDescent="0.2">
      <c r="A3154" t="s">
        <v>8804</v>
      </c>
      <c r="B3154" t="s">
        <v>2022</v>
      </c>
      <c r="C3154" t="s">
        <v>2023</v>
      </c>
      <c r="D3154" t="s">
        <v>2024</v>
      </c>
      <c r="E3154" t="s">
        <v>8805</v>
      </c>
      <c r="F3154" t="s">
        <v>8806</v>
      </c>
      <c r="G3154">
        <v>3</v>
      </c>
      <c r="H3154">
        <v>1640</v>
      </c>
      <c r="I3154">
        <v>2</v>
      </c>
      <c r="J3154">
        <v>3.4</v>
      </c>
      <c r="K3154">
        <v>2</v>
      </c>
      <c r="L3154">
        <v>2.5999999999999999E-2</v>
      </c>
      <c r="M3154">
        <v>2</v>
      </c>
      <c r="N3154">
        <v>84</v>
      </c>
      <c r="O3154">
        <v>1</v>
      </c>
      <c r="P3154">
        <v>7.4999999999999997E-2</v>
      </c>
      <c r="Q3154">
        <v>2</v>
      </c>
      <c r="R3154">
        <v>2E-3</v>
      </c>
      <c r="T3154" t="s">
        <v>8805</v>
      </c>
    </row>
    <row r="3155" spans="1:20" x14ac:dyDescent="0.2">
      <c r="A3155" t="s">
        <v>8807</v>
      </c>
      <c r="B3155" t="s">
        <v>2022</v>
      </c>
      <c r="C3155" t="s">
        <v>2023</v>
      </c>
      <c r="D3155" t="s">
        <v>2024</v>
      </c>
      <c r="E3155" t="s">
        <v>8808</v>
      </c>
      <c r="F3155" t="s">
        <v>8809</v>
      </c>
      <c r="G3155">
        <v>4</v>
      </c>
      <c r="H3155">
        <v>1720</v>
      </c>
      <c r="I3155">
        <v>3</v>
      </c>
      <c r="J3155">
        <v>5.9</v>
      </c>
      <c r="K3155">
        <v>5</v>
      </c>
      <c r="L3155">
        <v>8.5999999999999993E-2</v>
      </c>
      <c r="M3155">
        <v>5</v>
      </c>
      <c r="N3155">
        <v>114</v>
      </c>
      <c r="O3155">
        <v>4</v>
      </c>
      <c r="P3155">
        <v>0.52500000000000002</v>
      </c>
      <c r="Q3155">
        <v>5</v>
      </c>
      <c r="R3155">
        <v>8.0000000000000002E-3</v>
      </c>
      <c r="T3155" t="s">
        <v>8808</v>
      </c>
    </row>
    <row r="3156" spans="1:20" x14ac:dyDescent="0.2">
      <c r="A3156" t="s">
        <v>8810</v>
      </c>
      <c r="B3156" t="s">
        <v>2022</v>
      </c>
      <c r="C3156" t="s">
        <v>2023</v>
      </c>
      <c r="D3156" t="s">
        <v>2154</v>
      </c>
      <c r="E3156" t="s">
        <v>8811</v>
      </c>
      <c r="F3156" t="s">
        <v>8812</v>
      </c>
      <c r="G3156">
        <v>1</v>
      </c>
      <c r="H3156">
        <v>1480</v>
      </c>
      <c r="I3156">
        <v>2</v>
      </c>
      <c r="J3156">
        <v>3.4</v>
      </c>
      <c r="K3156">
        <v>5</v>
      </c>
      <c r="L3156">
        <v>8.5999999999999993E-2</v>
      </c>
      <c r="M3156">
        <v>1</v>
      </c>
      <c r="N3156">
        <v>74</v>
      </c>
      <c r="O3156">
        <v>1</v>
      </c>
      <c r="P3156">
        <v>7.4999999999999997E-2</v>
      </c>
      <c r="Q3156">
        <v>3</v>
      </c>
      <c r="R3156">
        <v>4.0000000000000001E-3</v>
      </c>
      <c r="T3156" t="s">
        <v>8811</v>
      </c>
    </row>
    <row r="3157" spans="1:20" x14ac:dyDescent="0.2">
      <c r="A3157" t="s">
        <v>8813</v>
      </c>
      <c r="B3157" t="s">
        <v>2022</v>
      </c>
      <c r="C3157" t="s">
        <v>2053</v>
      </c>
      <c r="D3157" t="s">
        <v>2024</v>
      </c>
      <c r="E3157" t="s">
        <v>8811</v>
      </c>
      <c r="F3157" t="s">
        <v>8812</v>
      </c>
      <c r="G3157">
        <v>1</v>
      </c>
      <c r="H3157">
        <v>1500</v>
      </c>
      <c r="I3157">
        <v>2</v>
      </c>
      <c r="J3157">
        <v>4.05</v>
      </c>
      <c r="K3157">
        <v>2</v>
      </c>
      <c r="L3157">
        <v>8.5000000000000006E-2</v>
      </c>
      <c r="M3157">
        <v>1</v>
      </c>
      <c r="N3157">
        <v>73</v>
      </c>
      <c r="O3157">
        <v>2</v>
      </c>
      <c r="P3157">
        <v>0.22500000000000001</v>
      </c>
      <c r="Q3157">
        <v>2</v>
      </c>
      <c r="R3157">
        <v>5.1999999999999998E-3</v>
      </c>
      <c r="T3157" t="s">
        <v>8811</v>
      </c>
    </row>
    <row r="3158" spans="1:20" x14ac:dyDescent="0.2">
      <c r="A3158" t="s">
        <v>8814</v>
      </c>
      <c r="B3158" t="s">
        <v>2022</v>
      </c>
      <c r="C3158" t="s">
        <v>2028</v>
      </c>
      <c r="D3158" t="s">
        <v>2024</v>
      </c>
      <c r="E3158" t="s">
        <v>8815</v>
      </c>
      <c r="F3158" t="s">
        <v>447</v>
      </c>
      <c r="G3158">
        <v>1</v>
      </c>
      <c r="H3158">
        <v>650</v>
      </c>
      <c r="I3158">
        <v>1</v>
      </c>
      <c r="J3158">
        <v>0.35</v>
      </c>
      <c r="K3158">
        <v>1</v>
      </c>
      <c r="L3158">
        <v>4.0000000000000001E-3</v>
      </c>
      <c r="M3158">
        <v>5</v>
      </c>
      <c r="N3158">
        <v>500</v>
      </c>
      <c r="O3158">
        <v>5</v>
      </c>
      <c r="P3158">
        <v>1.35</v>
      </c>
      <c r="Q3158">
        <v>5</v>
      </c>
      <c r="R3158">
        <v>3.3500000000000002E-2</v>
      </c>
      <c r="T3158" t="s">
        <v>8815</v>
      </c>
    </row>
    <row r="3159" spans="1:20" x14ac:dyDescent="0.2">
      <c r="A3159" t="s">
        <v>8816</v>
      </c>
      <c r="B3159" t="s">
        <v>2022</v>
      </c>
      <c r="C3159" t="s">
        <v>2028</v>
      </c>
      <c r="D3159" t="s">
        <v>2024</v>
      </c>
      <c r="E3159" t="s">
        <v>8817</v>
      </c>
      <c r="F3159" t="s">
        <v>8818</v>
      </c>
      <c r="G3159">
        <v>2</v>
      </c>
      <c r="H3159">
        <v>850</v>
      </c>
      <c r="I3159">
        <v>3</v>
      </c>
      <c r="J3159">
        <v>3.25</v>
      </c>
      <c r="K3159">
        <v>3</v>
      </c>
      <c r="L3159">
        <v>0.11899999999999999</v>
      </c>
      <c r="M3159">
        <v>4</v>
      </c>
      <c r="N3159">
        <v>400</v>
      </c>
      <c r="O3159">
        <v>5</v>
      </c>
      <c r="P3159">
        <v>1.35</v>
      </c>
      <c r="Q3159">
        <v>5</v>
      </c>
      <c r="R3159">
        <v>3.3500000000000002E-2</v>
      </c>
      <c r="T3159" t="s">
        <v>8817</v>
      </c>
    </row>
    <row r="3160" spans="1:20" x14ac:dyDescent="0.2">
      <c r="A3160" t="s">
        <v>8819</v>
      </c>
      <c r="B3160" t="s">
        <v>2022</v>
      </c>
      <c r="C3160" t="s">
        <v>2023</v>
      </c>
      <c r="D3160" t="s">
        <v>2024</v>
      </c>
      <c r="E3160" t="s">
        <v>8820</v>
      </c>
      <c r="F3160" t="s">
        <v>8821</v>
      </c>
      <c r="G3160">
        <v>2</v>
      </c>
      <c r="H3160">
        <v>1560</v>
      </c>
      <c r="I3160">
        <v>4</v>
      </c>
      <c r="J3160">
        <v>8.4</v>
      </c>
      <c r="K3160">
        <v>5</v>
      </c>
      <c r="L3160">
        <v>8.5999999999999993E-2</v>
      </c>
      <c r="M3160">
        <v>3</v>
      </c>
      <c r="N3160">
        <v>94</v>
      </c>
      <c r="O3160">
        <v>4</v>
      </c>
      <c r="P3160">
        <v>0.52500000000000002</v>
      </c>
      <c r="Q3160">
        <v>5</v>
      </c>
      <c r="R3160">
        <v>8.0000000000000002E-3</v>
      </c>
      <c r="T3160" t="s">
        <v>8820</v>
      </c>
    </row>
    <row r="3161" spans="1:20" x14ac:dyDescent="0.2">
      <c r="A3161" t="s">
        <v>8822</v>
      </c>
      <c r="B3161" t="s">
        <v>2022</v>
      </c>
      <c r="C3161" t="s">
        <v>2023</v>
      </c>
      <c r="D3161" t="s">
        <v>2154</v>
      </c>
      <c r="E3161" t="s">
        <v>8823</v>
      </c>
      <c r="F3161" t="s">
        <v>8824</v>
      </c>
      <c r="G3161">
        <v>4</v>
      </c>
      <c r="H3161">
        <v>1720</v>
      </c>
      <c r="I3161">
        <v>4</v>
      </c>
      <c r="J3161">
        <v>8.4</v>
      </c>
      <c r="K3161">
        <v>5</v>
      </c>
      <c r="L3161">
        <v>8.5999999999999993E-2</v>
      </c>
      <c r="M3161">
        <v>4</v>
      </c>
      <c r="N3161">
        <v>104</v>
      </c>
      <c r="O3161">
        <v>4</v>
      </c>
      <c r="P3161">
        <v>0.52500000000000002</v>
      </c>
      <c r="Q3161">
        <v>5</v>
      </c>
      <c r="R3161">
        <v>8.0000000000000002E-3</v>
      </c>
      <c r="T3161" t="s">
        <v>8823</v>
      </c>
    </row>
    <row r="3162" spans="1:20" x14ac:dyDescent="0.2">
      <c r="A3162" t="s">
        <v>8825</v>
      </c>
      <c r="B3162" t="s">
        <v>2022</v>
      </c>
      <c r="C3162" t="s">
        <v>2036</v>
      </c>
      <c r="D3162" t="s">
        <v>2024</v>
      </c>
      <c r="E3162" t="s">
        <v>8826</v>
      </c>
      <c r="F3162" t="s">
        <v>8827</v>
      </c>
      <c r="G3162">
        <v>3</v>
      </c>
      <c r="H3162">
        <v>1740</v>
      </c>
      <c r="I3162">
        <v>1</v>
      </c>
      <c r="J3162">
        <v>2.2000000000000002</v>
      </c>
      <c r="K3162">
        <v>3</v>
      </c>
      <c r="L3162">
        <v>0.115</v>
      </c>
      <c r="M3162">
        <v>3</v>
      </c>
      <c r="N3162">
        <v>88</v>
      </c>
      <c r="O3162">
        <v>1</v>
      </c>
      <c r="P3162">
        <v>9.5000000000000001E-2</v>
      </c>
      <c r="Q3162">
        <v>2</v>
      </c>
      <c r="R3162">
        <v>4.2500000000000003E-3</v>
      </c>
      <c r="T3162" t="s">
        <v>8826</v>
      </c>
    </row>
    <row r="3163" spans="1:20" x14ac:dyDescent="0.2">
      <c r="A3163" t="s">
        <v>8828</v>
      </c>
      <c r="B3163" t="s">
        <v>2022</v>
      </c>
      <c r="C3163" t="s">
        <v>2023</v>
      </c>
      <c r="D3163" t="s">
        <v>2024</v>
      </c>
      <c r="E3163" t="s">
        <v>8829</v>
      </c>
      <c r="F3163" t="s">
        <v>447</v>
      </c>
      <c r="G3163">
        <v>5</v>
      </c>
      <c r="H3163">
        <v>1800</v>
      </c>
      <c r="I3163">
        <v>4</v>
      </c>
      <c r="J3163">
        <v>8.4</v>
      </c>
      <c r="K3163">
        <v>5</v>
      </c>
      <c r="L3163">
        <v>8.5999999999999993E-2</v>
      </c>
      <c r="M3163">
        <v>4</v>
      </c>
      <c r="N3163">
        <v>104</v>
      </c>
      <c r="O3163">
        <v>4</v>
      </c>
      <c r="P3163">
        <v>0.52500000000000002</v>
      </c>
      <c r="Q3163">
        <v>5</v>
      </c>
      <c r="R3163">
        <v>8.0000000000000002E-3</v>
      </c>
      <c r="T3163" t="s">
        <v>8829</v>
      </c>
    </row>
    <row r="3164" spans="1:20" x14ac:dyDescent="0.2">
      <c r="A3164" t="s">
        <v>8830</v>
      </c>
      <c r="B3164" t="s">
        <v>2022</v>
      </c>
      <c r="C3164" t="s">
        <v>2036</v>
      </c>
      <c r="D3164" t="s">
        <v>2024</v>
      </c>
      <c r="E3164" t="s">
        <v>8831</v>
      </c>
      <c r="F3164" t="s">
        <v>447</v>
      </c>
      <c r="G3164">
        <v>3</v>
      </c>
      <c r="H3164">
        <v>1740</v>
      </c>
      <c r="I3164">
        <v>2</v>
      </c>
      <c r="J3164">
        <v>3.4</v>
      </c>
      <c r="K3164">
        <v>4</v>
      </c>
      <c r="L3164">
        <v>0.14499999999999999</v>
      </c>
      <c r="M3164">
        <v>3</v>
      </c>
      <c r="N3164">
        <v>88</v>
      </c>
      <c r="O3164">
        <v>2</v>
      </c>
      <c r="P3164">
        <v>0.20499999999999999</v>
      </c>
      <c r="Q3164">
        <v>3</v>
      </c>
      <c r="R3164">
        <v>6.7499999999999999E-3</v>
      </c>
      <c r="T3164" t="s">
        <v>8831</v>
      </c>
    </row>
    <row r="3165" spans="1:20" x14ac:dyDescent="0.2">
      <c r="A3165" t="s">
        <v>8832</v>
      </c>
      <c r="B3165" t="s">
        <v>2022</v>
      </c>
      <c r="C3165" t="s">
        <v>2053</v>
      </c>
      <c r="D3165" t="s">
        <v>2136</v>
      </c>
      <c r="E3165" t="s">
        <v>8833</v>
      </c>
      <c r="F3165" t="s">
        <v>447</v>
      </c>
      <c r="G3165">
        <v>1</v>
      </c>
      <c r="H3165">
        <v>1500</v>
      </c>
      <c r="I3165">
        <v>5</v>
      </c>
      <c r="J3165">
        <v>11.55</v>
      </c>
      <c r="K3165">
        <v>5</v>
      </c>
      <c r="L3165">
        <v>0.41499999999999998</v>
      </c>
      <c r="M3165">
        <v>1</v>
      </c>
      <c r="N3165">
        <v>73</v>
      </c>
      <c r="O3165">
        <v>4</v>
      </c>
      <c r="P3165">
        <v>0.52500000000000002</v>
      </c>
      <c r="Q3165">
        <v>4</v>
      </c>
      <c r="R3165">
        <v>1.9199999999999998E-2</v>
      </c>
      <c r="T3165" t="s">
        <v>8833</v>
      </c>
    </row>
    <row r="3166" spans="1:20" x14ac:dyDescent="0.2">
      <c r="A3166" t="s">
        <v>8834</v>
      </c>
      <c r="B3166" t="s">
        <v>2022</v>
      </c>
      <c r="C3166" t="s">
        <v>2036</v>
      </c>
      <c r="D3166" t="s">
        <v>2024</v>
      </c>
      <c r="E3166" t="s">
        <v>8835</v>
      </c>
      <c r="F3166" t="s">
        <v>8836</v>
      </c>
      <c r="G3166">
        <v>4</v>
      </c>
      <c r="H3166">
        <v>1840</v>
      </c>
      <c r="I3166">
        <v>1</v>
      </c>
      <c r="J3166">
        <v>2.2000000000000002</v>
      </c>
      <c r="K3166">
        <v>1</v>
      </c>
      <c r="L3166">
        <v>5.5E-2</v>
      </c>
      <c r="M3166">
        <v>1</v>
      </c>
      <c r="N3166">
        <v>76</v>
      </c>
      <c r="O3166">
        <v>1</v>
      </c>
      <c r="P3166">
        <v>9.5000000000000001E-2</v>
      </c>
      <c r="Q3166">
        <v>1</v>
      </c>
      <c r="R3166">
        <v>1.5E-3</v>
      </c>
      <c r="T3166" t="s">
        <v>8835</v>
      </c>
    </row>
    <row r="3167" spans="1:20" x14ac:dyDescent="0.2">
      <c r="A3167" t="s">
        <v>8837</v>
      </c>
      <c r="B3167" t="s">
        <v>2022</v>
      </c>
      <c r="C3167" t="s">
        <v>2036</v>
      </c>
      <c r="D3167" t="s">
        <v>2024</v>
      </c>
      <c r="E3167" t="s">
        <v>8835</v>
      </c>
      <c r="F3167" t="s">
        <v>8836</v>
      </c>
      <c r="G3167">
        <v>1</v>
      </c>
      <c r="H3167">
        <v>1540</v>
      </c>
      <c r="I3167">
        <v>2</v>
      </c>
      <c r="J3167">
        <v>3.4</v>
      </c>
      <c r="K3167">
        <v>2</v>
      </c>
      <c r="L3167">
        <v>8.5000000000000006E-2</v>
      </c>
      <c r="M3167">
        <v>1</v>
      </c>
      <c r="N3167">
        <v>76</v>
      </c>
      <c r="O3167">
        <v>1</v>
      </c>
      <c r="P3167">
        <v>9.5000000000000001E-2</v>
      </c>
      <c r="Q3167">
        <v>2</v>
      </c>
      <c r="R3167">
        <v>4.2500000000000003E-3</v>
      </c>
      <c r="T3167" t="s">
        <v>8835</v>
      </c>
    </row>
    <row r="3168" spans="1:20" x14ac:dyDescent="0.2">
      <c r="A3168" t="s">
        <v>8838</v>
      </c>
      <c r="B3168" t="s">
        <v>2022</v>
      </c>
      <c r="C3168" t="s">
        <v>2023</v>
      </c>
      <c r="D3168" t="s">
        <v>2024</v>
      </c>
      <c r="E3168" t="s">
        <v>8839</v>
      </c>
      <c r="F3168" t="s">
        <v>8840</v>
      </c>
      <c r="G3168">
        <v>1</v>
      </c>
      <c r="H3168">
        <v>1480</v>
      </c>
      <c r="I3168">
        <v>2</v>
      </c>
      <c r="J3168">
        <v>3.4</v>
      </c>
      <c r="K3168">
        <v>5</v>
      </c>
      <c r="L3168">
        <v>8.5999999999999993E-2</v>
      </c>
      <c r="M3168">
        <v>1</v>
      </c>
      <c r="N3168">
        <v>74</v>
      </c>
      <c r="O3168">
        <v>2</v>
      </c>
      <c r="P3168">
        <v>0.22500000000000001</v>
      </c>
      <c r="Q3168">
        <v>3</v>
      </c>
      <c r="R3168">
        <v>4.0000000000000001E-3</v>
      </c>
      <c r="T3168" t="s">
        <v>8839</v>
      </c>
    </row>
    <row r="3169" spans="1:20" x14ac:dyDescent="0.2">
      <c r="A3169" t="s">
        <v>8841</v>
      </c>
      <c r="B3169" t="s">
        <v>2022</v>
      </c>
      <c r="C3169" t="s">
        <v>2023</v>
      </c>
      <c r="D3169" t="s">
        <v>2024</v>
      </c>
      <c r="E3169" t="s">
        <v>8842</v>
      </c>
      <c r="F3169" t="s">
        <v>8843</v>
      </c>
      <c r="G3169">
        <v>3</v>
      </c>
      <c r="H3169">
        <v>1640</v>
      </c>
      <c r="I3169">
        <v>3</v>
      </c>
      <c r="J3169">
        <v>5.9</v>
      </c>
      <c r="K3169">
        <v>5</v>
      </c>
      <c r="L3169">
        <v>8.5999999999999993E-2</v>
      </c>
      <c r="M3169">
        <v>3</v>
      </c>
      <c r="N3169">
        <v>94</v>
      </c>
      <c r="O3169">
        <v>2</v>
      </c>
      <c r="P3169">
        <v>0.22500000000000001</v>
      </c>
      <c r="Q3169">
        <v>5</v>
      </c>
      <c r="R3169">
        <v>8.0000000000000002E-3</v>
      </c>
      <c r="T3169" t="s">
        <v>8842</v>
      </c>
    </row>
    <row r="3170" spans="1:20" x14ac:dyDescent="0.2">
      <c r="A3170" t="s">
        <v>8844</v>
      </c>
      <c r="B3170" t="s">
        <v>2022</v>
      </c>
      <c r="C3170" t="s">
        <v>2036</v>
      </c>
      <c r="D3170" t="s">
        <v>2024</v>
      </c>
      <c r="E3170" t="s">
        <v>8845</v>
      </c>
      <c r="F3170" t="s">
        <v>8846</v>
      </c>
      <c r="G3170">
        <v>2</v>
      </c>
      <c r="H3170">
        <v>1640</v>
      </c>
      <c r="I3170">
        <v>2</v>
      </c>
      <c r="J3170">
        <v>3.4</v>
      </c>
      <c r="K3170">
        <v>2</v>
      </c>
      <c r="L3170">
        <v>8.5000000000000006E-2</v>
      </c>
      <c r="M3170">
        <v>1</v>
      </c>
      <c r="N3170">
        <v>76</v>
      </c>
      <c r="O3170">
        <v>2</v>
      </c>
      <c r="P3170">
        <v>0.20499999999999999</v>
      </c>
      <c r="Q3170">
        <v>2</v>
      </c>
      <c r="R3170">
        <v>4.2500000000000003E-3</v>
      </c>
      <c r="T3170" t="s">
        <v>8845</v>
      </c>
    </row>
    <row r="3171" spans="1:20" x14ac:dyDescent="0.2">
      <c r="A3171" t="s">
        <v>8847</v>
      </c>
      <c r="B3171" t="s">
        <v>2022</v>
      </c>
      <c r="C3171" t="s">
        <v>2101</v>
      </c>
      <c r="D3171" t="s">
        <v>2024</v>
      </c>
      <c r="E3171" t="s">
        <v>8848</v>
      </c>
      <c r="F3171" t="s">
        <v>8849</v>
      </c>
      <c r="G3171">
        <v>4</v>
      </c>
      <c r="H3171">
        <v>1870</v>
      </c>
      <c r="I3171">
        <v>3</v>
      </c>
      <c r="J3171">
        <v>8</v>
      </c>
      <c r="K3171">
        <v>3</v>
      </c>
      <c r="L3171">
        <v>0.24349999999999999</v>
      </c>
      <c r="M3171">
        <v>3</v>
      </c>
      <c r="N3171">
        <v>82</v>
      </c>
      <c r="O3171">
        <v>3</v>
      </c>
      <c r="P3171">
        <v>0.375</v>
      </c>
      <c r="Q3171">
        <v>2</v>
      </c>
      <c r="R3171">
        <v>4.4999999999999997E-3</v>
      </c>
      <c r="T3171" t="s">
        <v>8848</v>
      </c>
    </row>
    <row r="3172" spans="1:20" x14ac:dyDescent="0.2">
      <c r="A3172" t="s">
        <v>8850</v>
      </c>
      <c r="B3172" t="s">
        <v>2022</v>
      </c>
      <c r="C3172" t="s">
        <v>2095</v>
      </c>
      <c r="D3172" t="s">
        <v>2024</v>
      </c>
      <c r="E3172" t="s">
        <v>8848</v>
      </c>
      <c r="F3172" t="s">
        <v>8849</v>
      </c>
      <c r="G3172">
        <v>1</v>
      </c>
      <c r="H3172">
        <v>1565</v>
      </c>
      <c r="I3172">
        <v>1</v>
      </c>
      <c r="J3172">
        <v>4.5</v>
      </c>
      <c r="K3172">
        <v>2</v>
      </c>
      <c r="L3172">
        <v>0.13</v>
      </c>
      <c r="M3172">
        <v>1</v>
      </c>
      <c r="N3172">
        <v>74</v>
      </c>
      <c r="O3172">
        <v>1</v>
      </c>
      <c r="P3172">
        <v>0.15</v>
      </c>
      <c r="Q3172">
        <v>2</v>
      </c>
      <c r="R3172">
        <v>5.8999999999999999E-3</v>
      </c>
      <c r="T3172" t="s">
        <v>8848</v>
      </c>
    </row>
    <row r="3173" spans="1:20" x14ac:dyDescent="0.2">
      <c r="A3173" t="s">
        <v>8851</v>
      </c>
      <c r="B3173" t="s">
        <v>2022</v>
      </c>
      <c r="C3173" t="s">
        <v>2101</v>
      </c>
      <c r="D3173" t="s">
        <v>2024</v>
      </c>
      <c r="E3173" t="s">
        <v>8848</v>
      </c>
      <c r="F3173" t="s">
        <v>8849</v>
      </c>
      <c r="G3173">
        <v>2</v>
      </c>
      <c r="H3173">
        <v>1670</v>
      </c>
      <c r="I3173">
        <v>2</v>
      </c>
      <c r="J3173">
        <v>5</v>
      </c>
      <c r="K3173">
        <v>2</v>
      </c>
      <c r="L3173">
        <v>9.6500000000000002E-2</v>
      </c>
      <c r="M3173">
        <v>2</v>
      </c>
      <c r="N3173">
        <v>74</v>
      </c>
      <c r="O3173">
        <v>2</v>
      </c>
      <c r="P3173">
        <v>0.22500000000000001</v>
      </c>
      <c r="Q3173">
        <v>2</v>
      </c>
      <c r="R3173">
        <v>4.4999999999999997E-3</v>
      </c>
      <c r="T3173" t="s">
        <v>8848</v>
      </c>
    </row>
    <row r="3174" spans="1:20" x14ac:dyDescent="0.2">
      <c r="A3174" t="s">
        <v>8852</v>
      </c>
      <c r="B3174" t="s">
        <v>2022</v>
      </c>
      <c r="C3174" t="s">
        <v>2053</v>
      </c>
      <c r="D3174" t="s">
        <v>2024</v>
      </c>
      <c r="E3174" t="s">
        <v>8848</v>
      </c>
      <c r="F3174" t="s">
        <v>8849</v>
      </c>
      <c r="G3174">
        <v>2</v>
      </c>
      <c r="H3174">
        <v>1600</v>
      </c>
      <c r="I3174">
        <v>3</v>
      </c>
      <c r="J3174">
        <v>6.55</v>
      </c>
      <c r="K3174">
        <v>2</v>
      </c>
      <c r="L3174">
        <v>8.5000000000000006E-2</v>
      </c>
      <c r="M3174">
        <v>1</v>
      </c>
      <c r="N3174">
        <v>73</v>
      </c>
      <c r="O3174">
        <v>2</v>
      </c>
      <c r="P3174">
        <v>0.22500000000000001</v>
      </c>
      <c r="Q3174">
        <v>2</v>
      </c>
      <c r="R3174">
        <v>5.1999999999999998E-3</v>
      </c>
      <c r="T3174" t="s">
        <v>8848</v>
      </c>
    </row>
    <row r="3175" spans="1:20" x14ac:dyDescent="0.2">
      <c r="A3175" t="s">
        <v>8853</v>
      </c>
      <c r="B3175" t="s">
        <v>2022</v>
      </c>
      <c r="C3175" t="s">
        <v>2036</v>
      </c>
      <c r="D3175" t="s">
        <v>2024</v>
      </c>
      <c r="E3175" t="s">
        <v>8854</v>
      </c>
      <c r="F3175" t="s">
        <v>8855</v>
      </c>
      <c r="G3175">
        <v>4</v>
      </c>
      <c r="H3175">
        <v>1840</v>
      </c>
      <c r="I3175">
        <v>5</v>
      </c>
      <c r="J3175">
        <v>7</v>
      </c>
      <c r="K3175">
        <v>5</v>
      </c>
      <c r="L3175">
        <v>0.17499999999999999</v>
      </c>
      <c r="M3175">
        <v>5</v>
      </c>
      <c r="N3175">
        <v>100</v>
      </c>
      <c r="O3175">
        <v>5</v>
      </c>
      <c r="P3175">
        <v>0.53500000000000003</v>
      </c>
      <c r="Q3175">
        <v>5</v>
      </c>
      <c r="R3175">
        <v>1.2E-2</v>
      </c>
      <c r="T3175" t="s">
        <v>8854</v>
      </c>
    </row>
    <row r="3176" spans="1:20" x14ac:dyDescent="0.2">
      <c r="A3176" t="s">
        <v>8856</v>
      </c>
      <c r="B3176" t="s">
        <v>2022</v>
      </c>
      <c r="C3176" t="s">
        <v>2036</v>
      </c>
      <c r="D3176" t="s">
        <v>2024</v>
      </c>
      <c r="E3176" t="s">
        <v>8857</v>
      </c>
      <c r="F3176" t="s">
        <v>8858</v>
      </c>
      <c r="G3176">
        <v>3</v>
      </c>
      <c r="H3176">
        <v>1740</v>
      </c>
      <c r="I3176">
        <v>5</v>
      </c>
      <c r="J3176">
        <v>7</v>
      </c>
      <c r="K3176">
        <v>5</v>
      </c>
      <c r="L3176">
        <v>0.17499999999999999</v>
      </c>
      <c r="M3176">
        <v>2</v>
      </c>
      <c r="N3176">
        <v>82</v>
      </c>
      <c r="O3176">
        <v>5</v>
      </c>
      <c r="P3176">
        <v>0.53500000000000003</v>
      </c>
      <c r="Q3176">
        <v>5</v>
      </c>
      <c r="R3176">
        <v>1.2E-2</v>
      </c>
      <c r="T3176" t="s">
        <v>8857</v>
      </c>
    </row>
    <row r="3177" spans="1:20" x14ac:dyDescent="0.2">
      <c r="A3177" t="s">
        <v>8859</v>
      </c>
      <c r="B3177" t="s">
        <v>2022</v>
      </c>
      <c r="C3177" t="s">
        <v>2036</v>
      </c>
      <c r="D3177" t="s">
        <v>2024</v>
      </c>
      <c r="E3177" t="s">
        <v>8860</v>
      </c>
      <c r="F3177" t="s">
        <v>8861</v>
      </c>
      <c r="G3177">
        <v>3</v>
      </c>
      <c r="H3177">
        <v>1740</v>
      </c>
      <c r="I3177">
        <v>4</v>
      </c>
      <c r="J3177">
        <v>5.8</v>
      </c>
      <c r="K3177">
        <v>5</v>
      </c>
      <c r="L3177">
        <v>0.17499999999999999</v>
      </c>
      <c r="M3177">
        <v>1</v>
      </c>
      <c r="N3177">
        <v>76</v>
      </c>
      <c r="O3177">
        <v>2</v>
      </c>
      <c r="P3177">
        <v>0.20499999999999999</v>
      </c>
      <c r="Q3177">
        <v>4</v>
      </c>
      <c r="R3177">
        <v>9.2499999999999995E-3</v>
      </c>
      <c r="T3177" t="s">
        <v>8860</v>
      </c>
    </row>
    <row r="3178" spans="1:20" x14ac:dyDescent="0.2">
      <c r="A3178" t="s">
        <v>8862</v>
      </c>
      <c r="B3178" t="s">
        <v>2022</v>
      </c>
      <c r="C3178" t="s">
        <v>2053</v>
      </c>
      <c r="D3178" t="s">
        <v>2024</v>
      </c>
      <c r="E3178" t="s">
        <v>8863</v>
      </c>
      <c r="F3178" t="s">
        <v>8864</v>
      </c>
      <c r="G3178">
        <v>5</v>
      </c>
      <c r="H3178">
        <v>1900</v>
      </c>
      <c r="I3178">
        <v>5</v>
      </c>
      <c r="J3178">
        <v>11.55</v>
      </c>
      <c r="K3178">
        <v>5</v>
      </c>
      <c r="L3178">
        <v>0.41499999999999998</v>
      </c>
      <c r="M3178">
        <v>4</v>
      </c>
      <c r="N3178">
        <v>103</v>
      </c>
      <c r="O3178">
        <v>5</v>
      </c>
      <c r="P3178">
        <v>0.67500000000000004</v>
      </c>
      <c r="Q3178">
        <v>5</v>
      </c>
      <c r="R3178">
        <v>2.6200000000000001E-2</v>
      </c>
      <c r="T3178" t="s">
        <v>8863</v>
      </c>
    </row>
    <row r="3179" spans="1:20" x14ac:dyDescent="0.2">
      <c r="A3179" t="s">
        <v>8865</v>
      </c>
      <c r="B3179" t="s">
        <v>2022</v>
      </c>
      <c r="C3179" t="s">
        <v>2053</v>
      </c>
      <c r="D3179" t="s">
        <v>2024</v>
      </c>
      <c r="E3179" t="s">
        <v>8866</v>
      </c>
      <c r="F3179" t="s">
        <v>8867</v>
      </c>
      <c r="G3179">
        <v>5</v>
      </c>
      <c r="H3179">
        <v>1900</v>
      </c>
      <c r="I3179">
        <v>1</v>
      </c>
      <c r="J3179">
        <v>1.55</v>
      </c>
      <c r="K3179">
        <v>2</v>
      </c>
      <c r="L3179">
        <v>8.5000000000000006E-2</v>
      </c>
      <c r="M3179">
        <v>5</v>
      </c>
      <c r="N3179">
        <v>113</v>
      </c>
      <c r="O3179">
        <v>2</v>
      </c>
      <c r="P3179">
        <v>0.22500000000000001</v>
      </c>
      <c r="Q3179">
        <v>2</v>
      </c>
      <c r="R3179">
        <v>5.1999999999999998E-3</v>
      </c>
      <c r="T3179" t="s">
        <v>8866</v>
      </c>
    </row>
    <row r="3180" spans="1:20" x14ac:dyDescent="0.2">
      <c r="A3180" t="s">
        <v>8868</v>
      </c>
      <c r="B3180" t="s">
        <v>2022</v>
      </c>
      <c r="C3180" t="s">
        <v>2036</v>
      </c>
      <c r="D3180" t="s">
        <v>2136</v>
      </c>
      <c r="E3180" t="s">
        <v>8869</v>
      </c>
      <c r="F3180" t="s">
        <v>8870</v>
      </c>
      <c r="G3180">
        <v>2</v>
      </c>
      <c r="H3180">
        <v>1640</v>
      </c>
      <c r="I3180">
        <v>3</v>
      </c>
      <c r="J3180">
        <v>4.5999999999999996</v>
      </c>
      <c r="K3180">
        <v>5</v>
      </c>
      <c r="L3180">
        <v>0.17499999999999999</v>
      </c>
      <c r="M3180">
        <v>3</v>
      </c>
      <c r="N3180">
        <v>88</v>
      </c>
      <c r="O3180">
        <v>2</v>
      </c>
      <c r="P3180">
        <v>0.20499999999999999</v>
      </c>
      <c r="Q3180">
        <v>4</v>
      </c>
      <c r="R3180">
        <v>9.2499999999999995E-3</v>
      </c>
      <c r="T3180" t="s">
        <v>8869</v>
      </c>
    </row>
    <row r="3181" spans="1:20" x14ac:dyDescent="0.2">
      <c r="A3181" t="s">
        <v>8871</v>
      </c>
      <c r="B3181" t="s">
        <v>2022</v>
      </c>
      <c r="C3181" t="s">
        <v>2053</v>
      </c>
      <c r="D3181" t="s">
        <v>2154</v>
      </c>
      <c r="E3181" t="s">
        <v>357</v>
      </c>
      <c r="F3181" t="s">
        <v>447</v>
      </c>
      <c r="G3181">
        <v>1</v>
      </c>
      <c r="H3181">
        <v>1500</v>
      </c>
      <c r="I3181">
        <v>4</v>
      </c>
      <c r="J3181">
        <v>9.0500000000000007</v>
      </c>
      <c r="K3181">
        <v>5</v>
      </c>
      <c r="L3181">
        <v>0.41499999999999998</v>
      </c>
      <c r="M3181">
        <v>5</v>
      </c>
      <c r="N3181">
        <v>113</v>
      </c>
      <c r="O3181">
        <v>5</v>
      </c>
      <c r="P3181">
        <v>0.67500000000000004</v>
      </c>
      <c r="Q3181">
        <v>5</v>
      </c>
      <c r="R3181">
        <v>2.6200000000000001E-2</v>
      </c>
      <c r="T3181" t="s">
        <v>357</v>
      </c>
    </row>
    <row r="3182" spans="1:20" x14ac:dyDescent="0.2">
      <c r="A3182" t="s">
        <v>8872</v>
      </c>
      <c r="B3182" t="s">
        <v>2022</v>
      </c>
      <c r="C3182" t="s">
        <v>2104</v>
      </c>
      <c r="D3182" t="s">
        <v>2024</v>
      </c>
      <c r="E3182" t="s">
        <v>8873</v>
      </c>
      <c r="F3182" t="s">
        <v>8874</v>
      </c>
      <c r="G3182">
        <v>2</v>
      </c>
      <c r="H3182">
        <v>1712.5</v>
      </c>
      <c r="I3182">
        <v>2</v>
      </c>
      <c r="J3182">
        <v>3.25</v>
      </c>
      <c r="K3182">
        <v>2</v>
      </c>
      <c r="L3182">
        <v>4.1000000000000002E-2</v>
      </c>
      <c r="M3182">
        <v>2</v>
      </c>
      <c r="N3182">
        <v>65</v>
      </c>
      <c r="P3182">
        <v>0</v>
      </c>
      <c r="Q3182">
        <v>2</v>
      </c>
      <c r="R3182">
        <v>3.2000000000000002E-3</v>
      </c>
      <c r="T3182" t="s">
        <v>8873</v>
      </c>
    </row>
    <row r="3183" spans="1:20" x14ac:dyDescent="0.2">
      <c r="A3183" t="s">
        <v>8875</v>
      </c>
      <c r="B3183" t="s">
        <v>2022</v>
      </c>
      <c r="C3183" t="s">
        <v>2023</v>
      </c>
      <c r="D3183" t="s">
        <v>2024</v>
      </c>
      <c r="E3183" t="s">
        <v>220</v>
      </c>
      <c r="F3183" t="s">
        <v>8876</v>
      </c>
      <c r="G3183">
        <v>2</v>
      </c>
      <c r="H3183">
        <v>1560</v>
      </c>
      <c r="I3183">
        <v>1</v>
      </c>
      <c r="J3183">
        <v>0.9</v>
      </c>
      <c r="K3183">
        <v>1</v>
      </c>
      <c r="L3183">
        <v>6.0000000000000001E-3</v>
      </c>
      <c r="M3183">
        <v>4</v>
      </c>
      <c r="N3183">
        <v>104</v>
      </c>
      <c r="O3183">
        <v>1</v>
      </c>
      <c r="P3183">
        <v>7.4999999999999997E-2</v>
      </c>
      <c r="Q3183">
        <v>1</v>
      </c>
      <c r="R3183">
        <v>5.0000000000000001E-4</v>
      </c>
      <c r="T3183" t="s">
        <v>220</v>
      </c>
    </row>
    <row r="3184" spans="1:20" x14ac:dyDescent="0.2">
      <c r="A3184" t="s">
        <v>8877</v>
      </c>
      <c r="B3184" t="s">
        <v>2022</v>
      </c>
      <c r="C3184" t="s">
        <v>2053</v>
      </c>
      <c r="D3184" t="s">
        <v>2024</v>
      </c>
      <c r="E3184" t="s">
        <v>8878</v>
      </c>
      <c r="F3184" t="s">
        <v>8879</v>
      </c>
      <c r="G3184">
        <v>3</v>
      </c>
      <c r="H3184">
        <v>1700</v>
      </c>
      <c r="I3184">
        <v>5</v>
      </c>
      <c r="J3184">
        <v>11.55</v>
      </c>
      <c r="K3184">
        <v>5</v>
      </c>
      <c r="L3184">
        <v>0.41499999999999998</v>
      </c>
      <c r="M3184">
        <v>3</v>
      </c>
      <c r="N3184">
        <v>93</v>
      </c>
      <c r="O3184">
        <v>5</v>
      </c>
      <c r="P3184">
        <v>0.67500000000000004</v>
      </c>
      <c r="Q3184">
        <v>5</v>
      </c>
      <c r="R3184">
        <v>2.6200000000000001E-2</v>
      </c>
      <c r="T3184" t="s">
        <v>8878</v>
      </c>
    </row>
    <row r="3185" spans="1:20" x14ac:dyDescent="0.2">
      <c r="A3185" t="s">
        <v>8880</v>
      </c>
      <c r="B3185" t="s">
        <v>2022</v>
      </c>
      <c r="C3185" t="s">
        <v>2095</v>
      </c>
      <c r="D3185" t="s">
        <v>2136</v>
      </c>
      <c r="E3185" t="s">
        <v>8881</v>
      </c>
      <c r="F3185" t="s">
        <v>8882</v>
      </c>
      <c r="G3185">
        <v>3</v>
      </c>
      <c r="H3185">
        <v>1745</v>
      </c>
      <c r="I3185">
        <v>3</v>
      </c>
      <c r="J3185">
        <v>10.5</v>
      </c>
      <c r="K3185">
        <v>2</v>
      </c>
      <c r="L3185">
        <v>0.13</v>
      </c>
      <c r="M3185">
        <v>1</v>
      </c>
      <c r="N3185">
        <v>74</v>
      </c>
      <c r="O3185">
        <v>2</v>
      </c>
      <c r="P3185">
        <v>0.35</v>
      </c>
      <c r="Q3185">
        <v>2</v>
      </c>
      <c r="R3185">
        <v>5.8999999999999999E-3</v>
      </c>
      <c r="T3185" t="s">
        <v>8881</v>
      </c>
    </row>
    <row r="3186" spans="1:20" x14ac:dyDescent="0.2">
      <c r="A3186" t="s">
        <v>8883</v>
      </c>
      <c r="B3186" t="s">
        <v>2022</v>
      </c>
      <c r="C3186" t="s">
        <v>2053</v>
      </c>
      <c r="D3186" t="s">
        <v>2024</v>
      </c>
      <c r="E3186" t="s">
        <v>218</v>
      </c>
      <c r="F3186" t="s">
        <v>1314</v>
      </c>
      <c r="G3186">
        <v>2</v>
      </c>
      <c r="H3186">
        <v>1600</v>
      </c>
      <c r="I3186">
        <v>4</v>
      </c>
      <c r="J3186">
        <v>9.0500000000000007</v>
      </c>
      <c r="K3186">
        <v>3</v>
      </c>
      <c r="L3186">
        <v>0.19500000000000001</v>
      </c>
      <c r="M3186">
        <v>5</v>
      </c>
      <c r="N3186">
        <v>113</v>
      </c>
      <c r="O3186">
        <v>5</v>
      </c>
      <c r="P3186">
        <v>0.67500000000000004</v>
      </c>
      <c r="Q3186">
        <v>4</v>
      </c>
      <c r="R3186">
        <v>1.9199999999999998E-2</v>
      </c>
      <c r="T3186" t="s">
        <v>218</v>
      </c>
    </row>
    <row r="3187" spans="1:20" x14ac:dyDescent="0.2">
      <c r="A3187" t="s">
        <v>8884</v>
      </c>
      <c r="B3187" t="s">
        <v>2022</v>
      </c>
      <c r="C3187" t="s">
        <v>2049</v>
      </c>
      <c r="D3187" t="s">
        <v>2024</v>
      </c>
      <c r="E3187" t="s">
        <v>1864</v>
      </c>
      <c r="F3187" t="s">
        <v>1865</v>
      </c>
      <c r="G3187">
        <v>2</v>
      </c>
      <c r="H3187">
        <v>1450</v>
      </c>
      <c r="I3187">
        <v>5</v>
      </c>
      <c r="J3187">
        <v>8.6</v>
      </c>
      <c r="K3187">
        <v>3</v>
      </c>
      <c r="L3187">
        <v>0.14000000000000001</v>
      </c>
      <c r="M3187">
        <v>4</v>
      </c>
      <c r="N3187">
        <v>146</v>
      </c>
      <c r="O3187">
        <v>5</v>
      </c>
      <c r="P3187">
        <v>0.86</v>
      </c>
      <c r="Q3187">
        <v>3</v>
      </c>
      <c r="R3187">
        <v>1.52E-2</v>
      </c>
      <c r="T3187" t="s">
        <v>1864</v>
      </c>
    </row>
    <row r="3188" spans="1:20" x14ac:dyDescent="0.2">
      <c r="A3188" t="s">
        <v>8885</v>
      </c>
      <c r="B3188" t="s">
        <v>2022</v>
      </c>
      <c r="C3188" t="s">
        <v>2104</v>
      </c>
      <c r="D3188" t="s">
        <v>2024</v>
      </c>
      <c r="E3188" t="s">
        <v>8886</v>
      </c>
      <c r="F3188" t="s">
        <v>8887</v>
      </c>
      <c r="G3188">
        <v>2</v>
      </c>
      <c r="H3188">
        <v>1712.5</v>
      </c>
      <c r="I3188">
        <v>5</v>
      </c>
      <c r="J3188">
        <v>10.15</v>
      </c>
      <c r="K3188">
        <v>5</v>
      </c>
      <c r="L3188">
        <v>0.191</v>
      </c>
      <c r="M3188">
        <v>1</v>
      </c>
      <c r="N3188">
        <v>57</v>
      </c>
      <c r="P3188">
        <v>0</v>
      </c>
      <c r="Q3188">
        <v>4</v>
      </c>
      <c r="R3188">
        <v>1.32E-2</v>
      </c>
      <c r="T3188" t="s">
        <v>8886</v>
      </c>
    </row>
    <row r="3189" spans="1:20" x14ac:dyDescent="0.2">
      <c r="A3189" t="s">
        <v>8888</v>
      </c>
      <c r="B3189" t="s">
        <v>2022</v>
      </c>
      <c r="C3189" t="s">
        <v>2036</v>
      </c>
      <c r="D3189" t="s">
        <v>2024</v>
      </c>
      <c r="E3189" t="s">
        <v>357</v>
      </c>
      <c r="F3189" t="s">
        <v>447</v>
      </c>
      <c r="G3189">
        <v>1</v>
      </c>
      <c r="H3189">
        <v>1540</v>
      </c>
      <c r="I3189">
        <v>5</v>
      </c>
      <c r="J3189">
        <v>7</v>
      </c>
      <c r="K3189">
        <v>5</v>
      </c>
      <c r="L3189">
        <v>0.17499999999999999</v>
      </c>
      <c r="M3189">
        <v>2</v>
      </c>
      <c r="N3189">
        <v>82</v>
      </c>
      <c r="O3189">
        <v>4</v>
      </c>
      <c r="P3189">
        <v>0.42499999999999999</v>
      </c>
      <c r="Q3189">
        <v>5</v>
      </c>
      <c r="R3189">
        <v>1.2E-2</v>
      </c>
      <c r="T3189" t="s">
        <v>357</v>
      </c>
    </row>
    <row r="3190" spans="1:20" x14ac:dyDescent="0.2">
      <c r="A3190" t="s">
        <v>8889</v>
      </c>
      <c r="B3190" t="s">
        <v>2022</v>
      </c>
      <c r="C3190" t="s">
        <v>2053</v>
      </c>
      <c r="D3190" t="s">
        <v>2024</v>
      </c>
      <c r="E3190" t="s">
        <v>8890</v>
      </c>
      <c r="F3190" t="s">
        <v>8891</v>
      </c>
      <c r="G3190">
        <v>1</v>
      </c>
      <c r="H3190">
        <v>1500</v>
      </c>
      <c r="I3190">
        <v>2</v>
      </c>
      <c r="J3190">
        <v>4.05</v>
      </c>
      <c r="K3190">
        <v>3</v>
      </c>
      <c r="L3190">
        <v>0.19500000000000001</v>
      </c>
      <c r="M3190">
        <v>5</v>
      </c>
      <c r="N3190">
        <v>113</v>
      </c>
      <c r="O3190">
        <v>4</v>
      </c>
      <c r="P3190">
        <v>0.52500000000000002</v>
      </c>
      <c r="Q3190">
        <v>5</v>
      </c>
      <c r="R3190">
        <v>2.6200000000000001E-2</v>
      </c>
      <c r="T3190" t="s">
        <v>8890</v>
      </c>
    </row>
    <row r="3191" spans="1:20" x14ac:dyDescent="0.2">
      <c r="A3191" t="s">
        <v>8892</v>
      </c>
      <c r="B3191" t="s">
        <v>2022</v>
      </c>
      <c r="C3191" t="s">
        <v>2028</v>
      </c>
      <c r="D3191" t="s">
        <v>2024</v>
      </c>
      <c r="E3191" t="s">
        <v>8893</v>
      </c>
      <c r="F3191" t="s">
        <v>8894</v>
      </c>
      <c r="G3191">
        <v>5</v>
      </c>
      <c r="H3191">
        <v>1450</v>
      </c>
      <c r="I3191">
        <v>5</v>
      </c>
      <c r="J3191">
        <v>6.65</v>
      </c>
      <c r="K3191">
        <v>5</v>
      </c>
      <c r="L3191">
        <v>0.26700000000000002</v>
      </c>
      <c r="M3191">
        <v>1</v>
      </c>
      <c r="N3191">
        <v>100</v>
      </c>
      <c r="O3191">
        <v>3</v>
      </c>
      <c r="P3191">
        <v>0.75</v>
      </c>
      <c r="Q3191">
        <v>5</v>
      </c>
      <c r="R3191">
        <v>3.3500000000000002E-2</v>
      </c>
      <c r="T3191" t="s">
        <v>8893</v>
      </c>
    </row>
    <row r="3192" spans="1:20" x14ac:dyDescent="0.2">
      <c r="A3192" t="s">
        <v>8895</v>
      </c>
      <c r="B3192" t="s">
        <v>2022</v>
      </c>
      <c r="C3192" t="s">
        <v>2095</v>
      </c>
      <c r="D3192" t="s">
        <v>2024</v>
      </c>
      <c r="E3192" t="s">
        <v>8896</v>
      </c>
      <c r="F3192" t="s">
        <v>8897</v>
      </c>
      <c r="G3192">
        <v>1</v>
      </c>
      <c r="H3192">
        <v>1565</v>
      </c>
      <c r="I3192">
        <v>1</v>
      </c>
      <c r="J3192">
        <v>4.5</v>
      </c>
      <c r="K3192">
        <v>1</v>
      </c>
      <c r="L3192">
        <v>1.4999999999999999E-2</v>
      </c>
      <c r="M3192">
        <v>1</v>
      </c>
      <c r="N3192">
        <v>74</v>
      </c>
      <c r="O3192">
        <v>1</v>
      </c>
      <c r="P3192">
        <v>0.15</v>
      </c>
      <c r="Q3192">
        <v>1</v>
      </c>
      <c r="R3192">
        <v>6.9999999999999999E-4</v>
      </c>
      <c r="T3192" t="s">
        <v>8896</v>
      </c>
    </row>
    <row r="3193" spans="1:20" x14ac:dyDescent="0.2">
      <c r="A3193" t="s">
        <v>8898</v>
      </c>
      <c r="B3193" t="s">
        <v>2022</v>
      </c>
      <c r="C3193" t="s">
        <v>2036</v>
      </c>
      <c r="D3193" t="s">
        <v>2136</v>
      </c>
      <c r="E3193" t="s">
        <v>357</v>
      </c>
      <c r="F3193" t="s">
        <v>8899</v>
      </c>
      <c r="G3193">
        <v>4</v>
      </c>
      <c r="H3193">
        <v>1840</v>
      </c>
      <c r="I3193">
        <v>2</v>
      </c>
      <c r="J3193">
        <v>3.4</v>
      </c>
      <c r="K3193">
        <v>3</v>
      </c>
      <c r="L3193">
        <v>0.115</v>
      </c>
      <c r="M3193">
        <v>5</v>
      </c>
      <c r="N3193">
        <v>100</v>
      </c>
      <c r="O3193">
        <v>2</v>
      </c>
      <c r="P3193">
        <v>0.20499999999999999</v>
      </c>
      <c r="Q3193">
        <v>3</v>
      </c>
      <c r="R3193">
        <v>6.7499999999999999E-3</v>
      </c>
      <c r="T3193" t="s">
        <v>357</v>
      </c>
    </row>
    <row r="3194" spans="1:20" x14ac:dyDescent="0.2">
      <c r="A3194" t="s">
        <v>8900</v>
      </c>
      <c r="B3194" t="s">
        <v>2022</v>
      </c>
      <c r="C3194" t="s">
        <v>2173</v>
      </c>
      <c r="D3194" t="s">
        <v>2024</v>
      </c>
      <c r="E3194" t="s">
        <v>291</v>
      </c>
      <c r="F3194" t="s">
        <v>8901</v>
      </c>
      <c r="G3194">
        <v>3</v>
      </c>
      <c r="H3194">
        <v>2032.5</v>
      </c>
      <c r="I3194">
        <v>3</v>
      </c>
      <c r="J3194">
        <v>9.0500000000000007</v>
      </c>
      <c r="K3194">
        <v>4</v>
      </c>
      <c r="L3194">
        <v>0.33</v>
      </c>
      <c r="M3194">
        <v>2</v>
      </c>
      <c r="N3194">
        <v>107.5</v>
      </c>
      <c r="O3194">
        <v>3</v>
      </c>
      <c r="P3194">
        <v>0.51</v>
      </c>
      <c r="Q3194">
        <v>4</v>
      </c>
      <c r="R3194">
        <v>1.8800000000000001E-2</v>
      </c>
      <c r="T3194" t="s">
        <v>291</v>
      </c>
    </row>
    <row r="3195" spans="1:20" x14ac:dyDescent="0.2">
      <c r="A3195" t="s">
        <v>8902</v>
      </c>
      <c r="B3195" t="s">
        <v>2022</v>
      </c>
      <c r="C3195" t="s">
        <v>2101</v>
      </c>
      <c r="D3195" t="s">
        <v>2024</v>
      </c>
      <c r="E3195" t="s">
        <v>319</v>
      </c>
      <c r="F3195" t="s">
        <v>8903</v>
      </c>
      <c r="G3195">
        <v>2</v>
      </c>
      <c r="H3195">
        <v>1670</v>
      </c>
      <c r="I3195">
        <v>5</v>
      </c>
      <c r="J3195">
        <v>14</v>
      </c>
      <c r="K3195">
        <v>5</v>
      </c>
      <c r="L3195">
        <v>0.53749999999999998</v>
      </c>
      <c r="M3195">
        <v>5</v>
      </c>
      <c r="N3195">
        <v>98</v>
      </c>
      <c r="O3195">
        <v>5</v>
      </c>
      <c r="P3195">
        <v>0.67500000000000004</v>
      </c>
      <c r="Q3195">
        <v>5</v>
      </c>
      <c r="R3195">
        <v>2.5499999999999998E-2</v>
      </c>
      <c r="T3195" t="s">
        <v>319</v>
      </c>
    </row>
    <row r="3196" spans="1:20" x14ac:dyDescent="0.2">
      <c r="A3196" t="s">
        <v>8904</v>
      </c>
      <c r="B3196" t="s">
        <v>2022</v>
      </c>
      <c r="C3196" t="s">
        <v>2023</v>
      </c>
      <c r="D3196" t="s">
        <v>2024</v>
      </c>
      <c r="E3196" t="s">
        <v>8905</v>
      </c>
      <c r="F3196" t="s">
        <v>8906</v>
      </c>
      <c r="G3196">
        <v>1</v>
      </c>
      <c r="H3196">
        <v>1480</v>
      </c>
      <c r="I3196">
        <v>1</v>
      </c>
      <c r="J3196">
        <v>0.9</v>
      </c>
      <c r="K3196">
        <v>1</v>
      </c>
      <c r="L3196">
        <v>6.0000000000000001E-3</v>
      </c>
      <c r="M3196">
        <v>2</v>
      </c>
      <c r="N3196">
        <v>84</v>
      </c>
      <c r="O3196">
        <v>1</v>
      </c>
      <c r="P3196">
        <v>7.4999999999999997E-2</v>
      </c>
      <c r="Q3196">
        <v>1</v>
      </c>
      <c r="R3196">
        <v>5.0000000000000001E-4</v>
      </c>
      <c r="T3196" t="s">
        <v>8905</v>
      </c>
    </row>
    <row r="3197" spans="1:20" x14ac:dyDescent="0.2">
      <c r="A3197" t="s">
        <v>8907</v>
      </c>
      <c r="B3197" t="s">
        <v>2022</v>
      </c>
      <c r="C3197" t="s">
        <v>2095</v>
      </c>
      <c r="D3197" t="s">
        <v>2024</v>
      </c>
      <c r="E3197" t="s">
        <v>8908</v>
      </c>
      <c r="F3197" t="s">
        <v>8909</v>
      </c>
      <c r="G3197">
        <v>3</v>
      </c>
      <c r="H3197">
        <v>1745</v>
      </c>
      <c r="I3197">
        <v>4</v>
      </c>
      <c r="J3197">
        <v>13.5</v>
      </c>
      <c r="K3197">
        <v>4</v>
      </c>
      <c r="L3197">
        <v>0.53</v>
      </c>
      <c r="M3197">
        <v>2</v>
      </c>
      <c r="N3197">
        <v>80</v>
      </c>
      <c r="O3197">
        <v>3</v>
      </c>
      <c r="P3197">
        <v>0.55000000000000004</v>
      </c>
      <c r="Q3197">
        <v>4</v>
      </c>
      <c r="R3197">
        <v>2.3900000000000001E-2</v>
      </c>
      <c r="T3197" t="s">
        <v>8908</v>
      </c>
    </row>
    <row r="3198" spans="1:20" x14ac:dyDescent="0.2">
      <c r="A3198" t="s">
        <v>8910</v>
      </c>
      <c r="B3198" t="s">
        <v>2022</v>
      </c>
      <c r="C3198" t="s">
        <v>2053</v>
      </c>
      <c r="D3198" t="s">
        <v>2154</v>
      </c>
      <c r="E3198" t="s">
        <v>8911</v>
      </c>
      <c r="F3198" t="s">
        <v>8912</v>
      </c>
      <c r="G3198">
        <v>2</v>
      </c>
      <c r="H3198">
        <v>1600</v>
      </c>
      <c r="I3198">
        <v>4</v>
      </c>
      <c r="J3198">
        <v>9.0500000000000007</v>
      </c>
      <c r="K3198">
        <v>3</v>
      </c>
      <c r="L3198">
        <v>0.19500000000000001</v>
      </c>
      <c r="M3198">
        <v>2</v>
      </c>
      <c r="N3198">
        <v>83</v>
      </c>
      <c r="O3198">
        <v>4</v>
      </c>
      <c r="P3198">
        <v>0.52500000000000002</v>
      </c>
      <c r="Q3198">
        <v>3</v>
      </c>
      <c r="R3198">
        <v>1.2200000000000001E-2</v>
      </c>
      <c r="T3198" t="s">
        <v>8911</v>
      </c>
    </row>
    <row r="3199" spans="1:20" x14ac:dyDescent="0.2">
      <c r="A3199" t="s">
        <v>8913</v>
      </c>
      <c r="B3199" t="s">
        <v>2022</v>
      </c>
      <c r="C3199" t="s">
        <v>2023</v>
      </c>
      <c r="D3199" t="s">
        <v>2024</v>
      </c>
      <c r="E3199" t="s">
        <v>8914</v>
      </c>
      <c r="F3199" t="s">
        <v>8915</v>
      </c>
      <c r="G3199">
        <v>4</v>
      </c>
      <c r="H3199">
        <v>1720</v>
      </c>
      <c r="I3199">
        <v>4</v>
      </c>
      <c r="J3199">
        <v>8.4</v>
      </c>
      <c r="K3199">
        <v>5</v>
      </c>
      <c r="L3199">
        <v>8.5999999999999993E-2</v>
      </c>
      <c r="M3199">
        <v>1</v>
      </c>
      <c r="N3199">
        <v>74</v>
      </c>
      <c r="O3199">
        <v>3</v>
      </c>
      <c r="P3199">
        <v>0.375</v>
      </c>
      <c r="Q3199">
        <v>5</v>
      </c>
      <c r="R3199">
        <v>8.0000000000000002E-3</v>
      </c>
      <c r="T3199" t="s">
        <v>8914</v>
      </c>
    </row>
    <row r="3200" spans="1:20" x14ac:dyDescent="0.2">
      <c r="A3200" t="s">
        <v>8916</v>
      </c>
      <c r="B3200" t="s">
        <v>2022</v>
      </c>
      <c r="C3200" t="s">
        <v>2053</v>
      </c>
      <c r="D3200" t="s">
        <v>2024</v>
      </c>
      <c r="E3200" t="s">
        <v>8917</v>
      </c>
      <c r="F3200" t="s">
        <v>8918</v>
      </c>
      <c r="G3200">
        <v>4</v>
      </c>
      <c r="H3200">
        <v>1800</v>
      </c>
      <c r="I3200">
        <v>2</v>
      </c>
      <c r="J3200">
        <v>4.05</v>
      </c>
      <c r="K3200">
        <v>2</v>
      </c>
      <c r="L3200">
        <v>8.5000000000000006E-2</v>
      </c>
      <c r="M3200">
        <v>1</v>
      </c>
      <c r="N3200">
        <v>73</v>
      </c>
      <c r="O3200">
        <v>1</v>
      </c>
      <c r="P3200">
        <v>7.4999999999999997E-2</v>
      </c>
      <c r="Q3200">
        <v>2</v>
      </c>
      <c r="R3200">
        <v>5.1999999999999998E-3</v>
      </c>
      <c r="T3200" t="s">
        <v>8917</v>
      </c>
    </row>
    <row r="3201" spans="1:20" x14ac:dyDescent="0.2">
      <c r="A3201" t="s">
        <v>8919</v>
      </c>
      <c r="B3201" t="s">
        <v>2022</v>
      </c>
      <c r="C3201" t="s">
        <v>2053</v>
      </c>
      <c r="D3201" t="s">
        <v>2024</v>
      </c>
      <c r="E3201" t="s">
        <v>8920</v>
      </c>
      <c r="F3201" t="s">
        <v>8921</v>
      </c>
      <c r="G3201">
        <v>3</v>
      </c>
      <c r="H3201">
        <v>1700</v>
      </c>
      <c r="I3201">
        <v>2</v>
      </c>
      <c r="J3201">
        <v>4.05</v>
      </c>
      <c r="K3201">
        <v>2</v>
      </c>
      <c r="L3201">
        <v>8.5000000000000006E-2</v>
      </c>
      <c r="M3201">
        <v>2</v>
      </c>
      <c r="N3201">
        <v>83</v>
      </c>
      <c r="O3201">
        <v>2</v>
      </c>
      <c r="P3201">
        <v>0.22500000000000001</v>
      </c>
      <c r="Q3201">
        <v>2</v>
      </c>
      <c r="R3201">
        <v>5.1999999999999998E-3</v>
      </c>
      <c r="T3201" t="s">
        <v>8920</v>
      </c>
    </row>
    <row r="3202" spans="1:20" x14ac:dyDescent="0.2">
      <c r="A3202" t="s">
        <v>8922</v>
      </c>
      <c r="B3202" t="s">
        <v>2022</v>
      </c>
      <c r="C3202" t="s">
        <v>2101</v>
      </c>
      <c r="D3202" t="s">
        <v>2024</v>
      </c>
      <c r="E3202" t="s">
        <v>8923</v>
      </c>
      <c r="F3202" t="s">
        <v>8924</v>
      </c>
      <c r="G3202">
        <v>2</v>
      </c>
      <c r="H3202">
        <v>1670</v>
      </c>
      <c r="I3202">
        <v>1</v>
      </c>
      <c r="J3202">
        <v>2</v>
      </c>
      <c r="K3202">
        <v>1</v>
      </c>
      <c r="L3202">
        <v>1.15E-2</v>
      </c>
      <c r="M3202">
        <v>4</v>
      </c>
      <c r="N3202">
        <v>90</v>
      </c>
      <c r="O3202">
        <v>2</v>
      </c>
      <c r="P3202">
        <v>0.22500000000000001</v>
      </c>
      <c r="Q3202">
        <v>1</v>
      </c>
      <c r="R3202">
        <v>5.0000000000000001E-4</v>
      </c>
      <c r="T3202" t="s">
        <v>8923</v>
      </c>
    </row>
    <row r="3203" spans="1:20" x14ac:dyDescent="0.2">
      <c r="A3203" t="s">
        <v>8925</v>
      </c>
      <c r="B3203" t="s">
        <v>2022</v>
      </c>
      <c r="C3203" t="s">
        <v>2023</v>
      </c>
      <c r="D3203" t="s">
        <v>2024</v>
      </c>
      <c r="E3203" t="s">
        <v>8926</v>
      </c>
      <c r="F3203" t="s">
        <v>8927</v>
      </c>
      <c r="G3203">
        <v>1</v>
      </c>
      <c r="H3203">
        <v>1480</v>
      </c>
      <c r="I3203">
        <v>3</v>
      </c>
      <c r="J3203">
        <v>5.9</v>
      </c>
      <c r="K3203">
        <v>5</v>
      </c>
      <c r="L3203">
        <v>8.5999999999999993E-2</v>
      </c>
      <c r="M3203">
        <v>2</v>
      </c>
      <c r="N3203">
        <v>84</v>
      </c>
      <c r="O3203">
        <v>2</v>
      </c>
      <c r="P3203">
        <v>0.22500000000000001</v>
      </c>
      <c r="Q3203">
        <v>4</v>
      </c>
      <c r="R3203">
        <v>6.0000000000000001E-3</v>
      </c>
      <c r="T3203" t="s">
        <v>8926</v>
      </c>
    </row>
    <row r="3204" spans="1:20" x14ac:dyDescent="0.2">
      <c r="A3204" t="s">
        <v>8928</v>
      </c>
      <c r="B3204" t="s">
        <v>2022</v>
      </c>
      <c r="C3204" t="s">
        <v>2049</v>
      </c>
      <c r="D3204" t="s">
        <v>2024</v>
      </c>
      <c r="E3204" t="s">
        <v>8929</v>
      </c>
      <c r="F3204" t="s">
        <v>8930</v>
      </c>
      <c r="G3204">
        <v>5</v>
      </c>
      <c r="H3204">
        <v>1750</v>
      </c>
      <c r="I3204">
        <v>4</v>
      </c>
      <c r="J3204">
        <v>6.8</v>
      </c>
      <c r="K3204">
        <v>5</v>
      </c>
      <c r="L3204">
        <v>0.3</v>
      </c>
      <c r="M3204">
        <v>3</v>
      </c>
      <c r="N3204">
        <v>126</v>
      </c>
      <c r="O3204">
        <v>4</v>
      </c>
      <c r="P3204">
        <v>0.66</v>
      </c>
      <c r="Q3204">
        <v>4</v>
      </c>
      <c r="R3204">
        <v>2.4199999999999999E-2</v>
      </c>
      <c r="T3204" t="s">
        <v>8929</v>
      </c>
    </row>
    <row r="3205" spans="1:20" x14ac:dyDescent="0.2">
      <c r="A3205" t="s">
        <v>8931</v>
      </c>
      <c r="B3205" t="s">
        <v>2022</v>
      </c>
      <c r="C3205" t="s">
        <v>2023</v>
      </c>
      <c r="D3205" t="s">
        <v>2024</v>
      </c>
      <c r="E3205" t="s">
        <v>203</v>
      </c>
      <c r="F3205" t="s">
        <v>8930</v>
      </c>
      <c r="G3205">
        <v>2</v>
      </c>
      <c r="H3205">
        <v>1560</v>
      </c>
      <c r="I3205">
        <v>2</v>
      </c>
      <c r="J3205">
        <v>3.4</v>
      </c>
      <c r="K3205">
        <v>2</v>
      </c>
      <c r="L3205">
        <v>2.5999999999999999E-2</v>
      </c>
      <c r="M3205">
        <v>2</v>
      </c>
      <c r="N3205">
        <v>84</v>
      </c>
      <c r="O3205">
        <v>2</v>
      </c>
      <c r="P3205">
        <v>0.22500000000000001</v>
      </c>
      <c r="Q3205">
        <v>1</v>
      </c>
      <c r="R3205">
        <v>5.0000000000000001E-4</v>
      </c>
      <c r="T3205" t="s">
        <v>203</v>
      </c>
    </row>
    <row r="3206" spans="1:20" x14ac:dyDescent="0.2">
      <c r="A3206" t="s">
        <v>8932</v>
      </c>
      <c r="B3206" t="s">
        <v>2022</v>
      </c>
      <c r="C3206" t="s">
        <v>2023</v>
      </c>
      <c r="D3206" t="s">
        <v>2024</v>
      </c>
      <c r="E3206" t="s">
        <v>8933</v>
      </c>
      <c r="F3206" t="s">
        <v>8934</v>
      </c>
      <c r="G3206">
        <v>2</v>
      </c>
      <c r="H3206">
        <v>1560</v>
      </c>
      <c r="I3206">
        <v>5</v>
      </c>
      <c r="J3206">
        <v>10.9</v>
      </c>
      <c r="K3206">
        <v>5</v>
      </c>
      <c r="L3206">
        <v>8.5999999999999993E-2</v>
      </c>
      <c r="M3206">
        <v>2</v>
      </c>
      <c r="N3206">
        <v>84</v>
      </c>
      <c r="O3206">
        <v>4</v>
      </c>
      <c r="P3206">
        <v>0.52500000000000002</v>
      </c>
      <c r="Q3206">
        <v>5</v>
      </c>
      <c r="R3206">
        <v>8.0000000000000002E-3</v>
      </c>
      <c r="T3206" t="s">
        <v>8933</v>
      </c>
    </row>
    <row r="3207" spans="1:20" x14ac:dyDescent="0.2">
      <c r="A3207" t="s">
        <v>8935</v>
      </c>
      <c r="B3207" t="s">
        <v>2022</v>
      </c>
      <c r="C3207" t="s">
        <v>2036</v>
      </c>
      <c r="D3207" t="s">
        <v>2024</v>
      </c>
      <c r="E3207" t="s">
        <v>8936</v>
      </c>
      <c r="F3207" t="s">
        <v>8937</v>
      </c>
      <c r="G3207">
        <v>2</v>
      </c>
      <c r="H3207">
        <v>1640</v>
      </c>
      <c r="I3207">
        <v>2</v>
      </c>
      <c r="J3207">
        <v>3.4</v>
      </c>
      <c r="K3207">
        <v>3</v>
      </c>
      <c r="L3207">
        <v>0.115</v>
      </c>
      <c r="M3207">
        <v>2</v>
      </c>
      <c r="N3207">
        <v>82</v>
      </c>
      <c r="O3207">
        <v>2</v>
      </c>
      <c r="P3207">
        <v>0.20499999999999999</v>
      </c>
      <c r="Q3207">
        <v>2</v>
      </c>
      <c r="R3207">
        <v>4.2500000000000003E-3</v>
      </c>
      <c r="T3207" t="s">
        <v>8936</v>
      </c>
    </row>
    <row r="3208" spans="1:20" x14ac:dyDescent="0.2">
      <c r="A3208" t="s">
        <v>8938</v>
      </c>
      <c r="B3208" t="s">
        <v>2022</v>
      </c>
      <c r="C3208" t="s">
        <v>2053</v>
      </c>
      <c r="D3208" t="s">
        <v>2024</v>
      </c>
      <c r="E3208" t="s">
        <v>357</v>
      </c>
      <c r="F3208" t="s">
        <v>8939</v>
      </c>
      <c r="G3208">
        <v>3</v>
      </c>
      <c r="H3208">
        <v>1700</v>
      </c>
      <c r="I3208">
        <v>2</v>
      </c>
      <c r="J3208">
        <v>4.05</v>
      </c>
      <c r="K3208">
        <v>2</v>
      </c>
      <c r="L3208">
        <v>8.5000000000000006E-2</v>
      </c>
      <c r="M3208">
        <v>3</v>
      </c>
      <c r="N3208">
        <v>93</v>
      </c>
      <c r="O3208">
        <v>2</v>
      </c>
      <c r="P3208">
        <v>0.22500000000000001</v>
      </c>
      <c r="Q3208">
        <v>2</v>
      </c>
      <c r="R3208">
        <v>5.1999999999999998E-3</v>
      </c>
      <c r="T3208" t="s">
        <v>357</v>
      </c>
    </row>
    <row r="3209" spans="1:20" x14ac:dyDescent="0.2">
      <c r="A3209" t="s">
        <v>8940</v>
      </c>
      <c r="B3209" t="s">
        <v>2022</v>
      </c>
      <c r="C3209" t="s">
        <v>2173</v>
      </c>
      <c r="D3209" t="s">
        <v>2024</v>
      </c>
      <c r="E3209" t="s">
        <v>8941</v>
      </c>
      <c r="F3209" t="s">
        <v>8942</v>
      </c>
      <c r="G3209">
        <v>5</v>
      </c>
      <c r="H3209">
        <v>2182.5</v>
      </c>
      <c r="I3209">
        <v>2</v>
      </c>
      <c r="J3209">
        <v>6.35</v>
      </c>
      <c r="K3209">
        <v>2</v>
      </c>
      <c r="L3209">
        <v>0.09</v>
      </c>
      <c r="M3209">
        <v>2</v>
      </c>
      <c r="N3209">
        <v>107.5</v>
      </c>
      <c r="O3209">
        <v>2</v>
      </c>
      <c r="P3209">
        <v>0.33</v>
      </c>
      <c r="Q3209">
        <v>2</v>
      </c>
      <c r="R3209">
        <v>4.7999999999999996E-3</v>
      </c>
      <c r="T3209" t="s">
        <v>8941</v>
      </c>
    </row>
    <row r="3210" spans="1:20" x14ac:dyDescent="0.2">
      <c r="A3210" t="s">
        <v>8943</v>
      </c>
      <c r="B3210" t="s">
        <v>2022</v>
      </c>
      <c r="C3210" t="s">
        <v>2036</v>
      </c>
      <c r="D3210" t="s">
        <v>2136</v>
      </c>
      <c r="E3210" t="s">
        <v>8944</v>
      </c>
      <c r="F3210" t="s">
        <v>8945</v>
      </c>
      <c r="G3210">
        <v>3</v>
      </c>
      <c r="H3210">
        <v>1740</v>
      </c>
      <c r="I3210">
        <v>5</v>
      </c>
      <c r="J3210">
        <v>7</v>
      </c>
      <c r="K3210">
        <v>5</v>
      </c>
      <c r="L3210">
        <v>0.17499999999999999</v>
      </c>
      <c r="M3210">
        <v>4</v>
      </c>
      <c r="N3210">
        <v>94</v>
      </c>
      <c r="O3210">
        <v>5</v>
      </c>
      <c r="P3210">
        <v>0.53500000000000003</v>
      </c>
      <c r="Q3210">
        <v>5</v>
      </c>
      <c r="R3210">
        <v>1.2E-2</v>
      </c>
      <c r="T3210" t="s">
        <v>8944</v>
      </c>
    </row>
    <row r="3211" spans="1:20" x14ac:dyDescent="0.2">
      <c r="A3211" t="s">
        <v>8946</v>
      </c>
      <c r="B3211" t="s">
        <v>2022</v>
      </c>
      <c r="C3211" t="s">
        <v>2036</v>
      </c>
      <c r="D3211" t="s">
        <v>2024</v>
      </c>
      <c r="E3211" t="s">
        <v>8947</v>
      </c>
      <c r="F3211" t="s">
        <v>8948</v>
      </c>
      <c r="G3211">
        <v>2</v>
      </c>
      <c r="H3211">
        <v>1640</v>
      </c>
      <c r="I3211">
        <v>1</v>
      </c>
      <c r="J3211">
        <v>2.2000000000000002</v>
      </c>
      <c r="K3211">
        <v>1</v>
      </c>
      <c r="L3211">
        <v>5.5E-2</v>
      </c>
      <c r="M3211">
        <v>2</v>
      </c>
      <c r="N3211">
        <v>82</v>
      </c>
      <c r="O3211">
        <v>1</v>
      </c>
      <c r="P3211">
        <v>9.5000000000000001E-2</v>
      </c>
      <c r="Q3211">
        <v>1</v>
      </c>
      <c r="R3211">
        <v>1.5E-3</v>
      </c>
      <c r="T3211" t="s">
        <v>8947</v>
      </c>
    </row>
    <row r="3212" spans="1:20" x14ac:dyDescent="0.2">
      <c r="A3212" t="s">
        <v>8949</v>
      </c>
      <c r="B3212" t="s">
        <v>2022</v>
      </c>
      <c r="C3212" t="s">
        <v>2023</v>
      </c>
      <c r="D3212" t="s">
        <v>2024</v>
      </c>
      <c r="E3212" t="s">
        <v>8950</v>
      </c>
      <c r="F3212" t="s">
        <v>8951</v>
      </c>
      <c r="G3212">
        <v>2</v>
      </c>
      <c r="H3212">
        <v>1560</v>
      </c>
      <c r="I3212">
        <v>1</v>
      </c>
      <c r="J3212">
        <v>0.9</v>
      </c>
      <c r="K3212">
        <v>2</v>
      </c>
      <c r="L3212">
        <v>2.5999999999999999E-2</v>
      </c>
      <c r="M3212">
        <v>1</v>
      </c>
      <c r="N3212">
        <v>74</v>
      </c>
      <c r="O3212">
        <v>1</v>
      </c>
      <c r="P3212">
        <v>7.4999999999999997E-2</v>
      </c>
      <c r="Q3212">
        <v>1</v>
      </c>
      <c r="R3212">
        <v>5.0000000000000001E-4</v>
      </c>
      <c r="T3212" t="s">
        <v>8950</v>
      </c>
    </row>
    <row r="3213" spans="1:20" x14ac:dyDescent="0.2">
      <c r="A3213" t="s">
        <v>8952</v>
      </c>
      <c r="B3213" t="s">
        <v>2022</v>
      </c>
      <c r="C3213" t="s">
        <v>2036</v>
      </c>
      <c r="D3213" t="s">
        <v>2024</v>
      </c>
      <c r="E3213" t="s">
        <v>8953</v>
      </c>
      <c r="F3213" t="s">
        <v>8954</v>
      </c>
      <c r="G3213">
        <v>1</v>
      </c>
      <c r="H3213">
        <v>1540</v>
      </c>
      <c r="I3213">
        <v>1</v>
      </c>
      <c r="J3213">
        <v>2.2000000000000002</v>
      </c>
      <c r="K3213">
        <v>1</v>
      </c>
      <c r="L3213">
        <v>5.5E-2</v>
      </c>
      <c r="M3213">
        <v>1</v>
      </c>
      <c r="N3213">
        <v>76</v>
      </c>
      <c r="O3213">
        <v>1</v>
      </c>
      <c r="P3213">
        <v>9.5000000000000001E-2</v>
      </c>
      <c r="Q3213">
        <v>1</v>
      </c>
      <c r="R3213">
        <v>1.5E-3</v>
      </c>
      <c r="T3213" t="s">
        <v>8953</v>
      </c>
    </row>
    <row r="3214" spans="1:20" x14ac:dyDescent="0.2">
      <c r="A3214" t="s">
        <v>8955</v>
      </c>
      <c r="B3214" t="s">
        <v>2022</v>
      </c>
      <c r="C3214" t="s">
        <v>2023</v>
      </c>
      <c r="D3214" t="s">
        <v>2024</v>
      </c>
      <c r="E3214" t="s">
        <v>8956</v>
      </c>
      <c r="F3214" t="s">
        <v>8957</v>
      </c>
      <c r="G3214">
        <v>4</v>
      </c>
      <c r="H3214">
        <v>1720</v>
      </c>
      <c r="I3214">
        <v>3</v>
      </c>
      <c r="J3214">
        <v>5.9</v>
      </c>
      <c r="K3214">
        <v>4</v>
      </c>
      <c r="L3214">
        <v>6.6000000000000003E-2</v>
      </c>
      <c r="M3214">
        <v>3</v>
      </c>
      <c r="N3214">
        <v>94</v>
      </c>
      <c r="O3214">
        <v>3</v>
      </c>
      <c r="P3214">
        <v>0.375</v>
      </c>
      <c r="Q3214">
        <v>3</v>
      </c>
      <c r="R3214">
        <v>4.0000000000000001E-3</v>
      </c>
      <c r="T3214" t="s">
        <v>8956</v>
      </c>
    </row>
    <row r="3215" spans="1:20" x14ac:dyDescent="0.2">
      <c r="A3215" t="s">
        <v>8958</v>
      </c>
      <c r="B3215" t="s">
        <v>2022</v>
      </c>
      <c r="C3215" t="s">
        <v>2053</v>
      </c>
      <c r="D3215" t="s">
        <v>2024</v>
      </c>
      <c r="E3215" t="s">
        <v>8959</v>
      </c>
      <c r="F3215" t="s">
        <v>8960</v>
      </c>
      <c r="G3215">
        <v>1</v>
      </c>
      <c r="H3215">
        <v>1500</v>
      </c>
      <c r="I3215">
        <v>1</v>
      </c>
      <c r="J3215">
        <v>1.55</v>
      </c>
      <c r="K3215">
        <v>2</v>
      </c>
      <c r="L3215">
        <v>8.5000000000000006E-2</v>
      </c>
      <c r="M3215">
        <v>1</v>
      </c>
      <c r="N3215">
        <v>73</v>
      </c>
      <c r="O3215">
        <v>1</v>
      </c>
      <c r="P3215">
        <v>7.4999999999999997E-2</v>
      </c>
      <c r="Q3215">
        <v>2</v>
      </c>
      <c r="R3215">
        <v>5.1999999999999998E-3</v>
      </c>
      <c r="T3215" t="s">
        <v>8959</v>
      </c>
    </row>
    <row r="3216" spans="1:20" x14ac:dyDescent="0.2">
      <c r="A3216" t="s">
        <v>8961</v>
      </c>
      <c r="B3216" t="s">
        <v>2022</v>
      </c>
      <c r="C3216" t="s">
        <v>2028</v>
      </c>
      <c r="D3216" t="s">
        <v>2024</v>
      </c>
      <c r="E3216" t="s">
        <v>8962</v>
      </c>
      <c r="F3216" t="s">
        <v>8963</v>
      </c>
      <c r="G3216">
        <v>5</v>
      </c>
      <c r="H3216">
        <v>1450</v>
      </c>
      <c r="I3216">
        <v>3</v>
      </c>
      <c r="J3216">
        <v>3.25</v>
      </c>
      <c r="K3216">
        <v>2</v>
      </c>
      <c r="L3216">
        <v>4.4999999999999998E-2</v>
      </c>
      <c r="M3216">
        <v>3</v>
      </c>
      <c r="N3216">
        <v>300</v>
      </c>
      <c r="O3216">
        <v>2</v>
      </c>
      <c r="P3216">
        <v>0.45</v>
      </c>
      <c r="Q3216">
        <v>1</v>
      </c>
      <c r="R3216">
        <v>1.75E-3</v>
      </c>
      <c r="T3216" t="s">
        <v>8962</v>
      </c>
    </row>
    <row r="3217" spans="1:20" x14ac:dyDescent="0.2">
      <c r="A3217" t="s">
        <v>8964</v>
      </c>
      <c r="B3217" t="s">
        <v>2022</v>
      </c>
      <c r="C3217" t="s">
        <v>2049</v>
      </c>
      <c r="D3217" t="s">
        <v>2024</v>
      </c>
      <c r="E3217" t="s">
        <v>8965</v>
      </c>
      <c r="F3217" t="s">
        <v>8966</v>
      </c>
      <c r="G3217">
        <v>3</v>
      </c>
      <c r="H3217">
        <v>1550</v>
      </c>
      <c r="I3217">
        <v>5</v>
      </c>
      <c r="J3217">
        <v>8.6</v>
      </c>
      <c r="K3217">
        <v>5</v>
      </c>
      <c r="L3217">
        <v>0.3</v>
      </c>
      <c r="M3217">
        <v>3</v>
      </c>
      <c r="N3217">
        <v>126</v>
      </c>
      <c r="O3217">
        <v>4</v>
      </c>
      <c r="P3217">
        <v>0.66</v>
      </c>
      <c r="Q3217">
        <v>5</v>
      </c>
      <c r="R3217">
        <v>3.32E-2</v>
      </c>
      <c r="T3217" t="s">
        <v>8965</v>
      </c>
    </row>
    <row r="3218" spans="1:20" x14ac:dyDescent="0.2">
      <c r="A3218" t="s">
        <v>8967</v>
      </c>
      <c r="B3218" t="s">
        <v>2022</v>
      </c>
      <c r="C3218" t="s">
        <v>2222</v>
      </c>
      <c r="D3218" t="s">
        <v>2024</v>
      </c>
      <c r="E3218" t="s">
        <v>8968</v>
      </c>
      <c r="F3218" t="s">
        <v>8969</v>
      </c>
      <c r="G3218">
        <v>2</v>
      </c>
      <c r="H3218">
        <v>1550</v>
      </c>
      <c r="I3218">
        <v>4</v>
      </c>
      <c r="J3218">
        <v>7.1</v>
      </c>
      <c r="K3218">
        <v>4</v>
      </c>
      <c r="L3218">
        <v>0.19500000000000001</v>
      </c>
      <c r="M3218">
        <v>2</v>
      </c>
      <c r="N3218">
        <v>63</v>
      </c>
      <c r="O3218">
        <v>3</v>
      </c>
      <c r="P3218">
        <v>0.23</v>
      </c>
      <c r="Q3218">
        <v>4</v>
      </c>
      <c r="R3218">
        <v>8.3000000000000001E-3</v>
      </c>
      <c r="T3218" t="s">
        <v>8968</v>
      </c>
    </row>
    <row r="3219" spans="1:20" x14ac:dyDescent="0.2">
      <c r="A3219" t="s">
        <v>8970</v>
      </c>
      <c r="B3219" t="s">
        <v>2022</v>
      </c>
      <c r="C3219" t="s">
        <v>2023</v>
      </c>
      <c r="D3219" t="s">
        <v>2024</v>
      </c>
      <c r="E3219" t="s">
        <v>8971</v>
      </c>
      <c r="F3219" t="s">
        <v>8972</v>
      </c>
      <c r="G3219">
        <v>3</v>
      </c>
      <c r="H3219">
        <v>1640</v>
      </c>
      <c r="I3219">
        <v>3</v>
      </c>
      <c r="J3219">
        <v>5.9</v>
      </c>
      <c r="K3219">
        <v>5</v>
      </c>
      <c r="L3219">
        <v>8.5999999999999993E-2</v>
      </c>
      <c r="M3219">
        <v>1</v>
      </c>
      <c r="N3219">
        <v>74</v>
      </c>
      <c r="O3219">
        <v>3</v>
      </c>
      <c r="P3219">
        <v>0.375</v>
      </c>
      <c r="Q3219">
        <v>5</v>
      </c>
      <c r="R3219">
        <v>8.0000000000000002E-3</v>
      </c>
      <c r="T3219" t="s">
        <v>8971</v>
      </c>
    </row>
    <row r="3220" spans="1:20" x14ac:dyDescent="0.2">
      <c r="A3220" t="s">
        <v>8973</v>
      </c>
      <c r="B3220" t="s">
        <v>2022</v>
      </c>
      <c r="C3220" t="s">
        <v>2036</v>
      </c>
      <c r="D3220" t="s">
        <v>2024</v>
      </c>
      <c r="E3220" t="s">
        <v>8974</v>
      </c>
      <c r="F3220" t="s">
        <v>8975</v>
      </c>
      <c r="G3220">
        <v>3</v>
      </c>
      <c r="H3220">
        <v>1740</v>
      </c>
      <c r="I3220">
        <v>1</v>
      </c>
      <c r="J3220">
        <v>2.2000000000000002</v>
      </c>
      <c r="K3220">
        <v>1</v>
      </c>
      <c r="L3220">
        <v>5.5E-2</v>
      </c>
      <c r="M3220">
        <v>3</v>
      </c>
      <c r="N3220">
        <v>88</v>
      </c>
      <c r="O3220">
        <v>1</v>
      </c>
      <c r="P3220">
        <v>9.5000000000000001E-2</v>
      </c>
      <c r="Q3220">
        <v>1</v>
      </c>
      <c r="R3220">
        <v>1.5E-3</v>
      </c>
      <c r="T3220" t="s">
        <v>8974</v>
      </c>
    </row>
    <row r="3221" spans="1:20" x14ac:dyDescent="0.2">
      <c r="A3221" t="s">
        <v>8976</v>
      </c>
      <c r="B3221" t="s">
        <v>2022</v>
      </c>
      <c r="C3221" t="s">
        <v>2036</v>
      </c>
      <c r="D3221" t="s">
        <v>2024</v>
      </c>
      <c r="E3221" t="s">
        <v>8977</v>
      </c>
      <c r="F3221" t="s">
        <v>8978</v>
      </c>
      <c r="G3221">
        <v>1</v>
      </c>
      <c r="H3221">
        <v>1540</v>
      </c>
      <c r="I3221">
        <v>1</v>
      </c>
      <c r="J3221">
        <v>2.2000000000000002</v>
      </c>
      <c r="K3221">
        <v>1</v>
      </c>
      <c r="L3221">
        <v>5.5E-2</v>
      </c>
      <c r="M3221">
        <v>1</v>
      </c>
      <c r="N3221">
        <v>76</v>
      </c>
      <c r="O3221">
        <v>1</v>
      </c>
      <c r="P3221">
        <v>9.5000000000000001E-2</v>
      </c>
      <c r="Q3221">
        <v>1</v>
      </c>
      <c r="R3221">
        <v>1.5E-3</v>
      </c>
      <c r="T3221" t="s">
        <v>8977</v>
      </c>
    </row>
    <row r="3222" spans="1:20" x14ac:dyDescent="0.2">
      <c r="A3222" t="s">
        <v>8979</v>
      </c>
      <c r="B3222" t="s">
        <v>2022</v>
      </c>
      <c r="C3222" t="s">
        <v>2023</v>
      </c>
      <c r="D3222" t="s">
        <v>2024</v>
      </c>
      <c r="E3222" t="s">
        <v>8980</v>
      </c>
      <c r="F3222" t="s">
        <v>8981</v>
      </c>
      <c r="G3222">
        <v>3</v>
      </c>
      <c r="H3222">
        <v>1640</v>
      </c>
      <c r="I3222">
        <v>5</v>
      </c>
      <c r="J3222">
        <v>10.9</v>
      </c>
      <c r="K3222">
        <v>5</v>
      </c>
      <c r="L3222">
        <v>8.5999999999999993E-2</v>
      </c>
      <c r="M3222">
        <v>1</v>
      </c>
      <c r="N3222">
        <v>74</v>
      </c>
      <c r="O3222">
        <v>3</v>
      </c>
      <c r="P3222">
        <v>0.375</v>
      </c>
      <c r="Q3222">
        <v>5</v>
      </c>
      <c r="R3222">
        <v>8.0000000000000002E-3</v>
      </c>
      <c r="T3222" t="s">
        <v>8980</v>
      </c>
    </row>
    <row r="3223" spans="1:20" x14ac:dyDescent="0.2">
      <c r="A3223" t="s">
        <v>8982</v>
      </c>
      <c r="B3223" t="s">
        <v>2022</v>
      </c>
      <c r="C3223" t="s">
        <v>2036</v>
      </c>
      <c r="D3223" t="s">
        <v>2024</v>
      </c>
      <c r="E3223" t="s">
        <v>357</v>
      </c>
      <c r="F3223" t="s">
        <v>8983</v>
      </c>
      <c r="G3223">
        <v>1</v>
      </c>
      <c r="H3223">
        <v>1540</v>
      </c>
      <c r="I3223">
        <v>4</v>
      </c>
      <c r="J3223">
        <v>5.8</v>
      </c>
      <c r="K3223">
        <v>5</v>
      </c>
      <c r="L3223">
        <v>0.17499999999999999</v>
      </c>
      <c r="M3223">
        <v>4</v>
      </c>
      <c r="N3223">
        <v>94</v>
      </c>
      <c r="O3223">
        <v>3</v>
      </c>
      <c r="P3223">
        <v>0.315</v>
      </c>
      <c r="Q3223">
        <v>5</v>
      </c>
      <c r="R3223">
        <v>1.2E-2</v>
      </c>
      <c r="T3223" t="s">
        <v>357</v>
      </c>
    </row>
    <row r="3224" spans="1:20" x14ac:dyDescent="0.2">
      <c r="A3224" t="s">
        <v>8984</v>
      </c>
      <c r="B3224" t="s">
        <v>2022</v>
      </c>
      <c r="C3224" t="s">
        <v>2036</v>
      </c>
      <c r="D3224" t="s">
        <v>2024</v>
      </c>
      <c r="E3224" t="s">
        <v>8985</v>
      </c>
      <c r="F3224" t="s">
        <v>8986</v>
      </c>
      <c r="G3224">
        <v>2</v>
      </c>
      <c r="H3224">
        <v>1640</v>
      </c>
      <c r="I3224">
        <v>2</v>
      </c>
      <c r="J3224">
        <v>3.4</v>
      </c>
      <c r="K3224">
        <v>2</v>
      </c>
      <c r="L3224">
        <v>8.5000000000000006E-2</v>
      </c>
      <c r="M3224">
        <v>1</v>
      </c>
      <c r="N3224">
        <v>76</v>
      </c>
      <c r="O3224">
        <v>1</v>
      </c>
      <c r="P3224">
        <v>9.5000000000000001E-2</v>
      </c>
      <c r="Q3224">
        <v>2</v>
      </c>
      <c r="R3224">
        <v>4.2500000000000003E-3</v>
      </c>
      <c r="T3224" t="s">
        <v>8985</v>
      </c>
    </row>
    <row r="3225" spans="1:20" x14ac:dyDescent="0.2">
      <c r="A3225" t="s">
        <v>8987</v>
      </c>
      <c r="B3225" t="s">
        <v>2022</v>
      </c>
      <c r="C3225" t="s">
        <v>2257</v>
      </c>
      <c r="D3225" t="s">
        <v>2024</v>
      </c>
      <c r="E3225" t="s">
        <v>357</v>
      </c>
      <c r="F3225" t="s">
        <v>447</v>
      </c>
      <c r="G3225">
        <v>5</v>
      </c>
      <c r="H3225">
        <v>1300</v>
      </c>
      <c r="I3225">
        <v>4</v>
      </c>
      <c r="J3225">
        <v>4.3499999999999996</v>
      </c>
      <c r="K3225">
        <v>5</v>
      </c>
      <c r="L3225">
        <v>0.187</v>
      </c>
      <c r="M3225">
        <v>5</v>
      </c>
      <c r="N3225">
        <v>1100</v>
      </c>
      <c r="O3225">
        <v>5</v>
      </c>
      <c r="P3225">
        <v>2.7</v>
      </c>
      <c r="Q3225">
        <v>5</v>
      </c>
      <c r="R3225">
        <v>8.1000000000000003E-2</v>
      </c>
      <c r="T3225" t="s">
        <v>357</v>
      </c>
    </row>
    <row r="3226" spans="1:20" x14ac:dyDescent="0.2">
      <c r="A3226" t="s">
        <v>8988</v>
      </c>
      <c r="B3226" t="s">
        <v>2022</v>
      </c>
      <c r="C3226" t="s">
        <v>2095</v>
      </c>
      <c r="D3226" t="s">
        <v>2024</v>
      </c>
      <c r="E3226" t="s">
        <v>8989</v>
      </c>
      <c r="F3226" t="s">
        <v>447</v>
      </c>
      <c r="G3226">
        <v>4</v>
      </c>
      <c r="H3226">
        <v>1835</v>
      </c>
      <c r="I3226">
        <v>4</v>
      </c>
      <c r="J3226">
        <v>13.5</v>
      </c>
      <c r="K3226">
        <v>3</v>
      </c>
      <c r="L3226">
        <v>0.33</v>
      </c>
      <c r="M3226">
        <v>3</v>
      </c>
      <c r="N3226">
        <v>86</v>
      </c>
      <c r="O3226">
        <v>3</v>
      </c>
      <c r="P3226">
        <v>0.55000000000000004</v>
      </c>
      <c r="Q3226">
        <v>3</v>
      </c>
      <c r="R3226">
        <v>1.49E-2</v>
      </c>
      <c r="T3226" t="s">
        <v>8989</v>
      </c>
    </row>
    <row r="3227" spans="1:20" x14ac:dyDescent="0.2">
      <c r="A3227" t="s">
        <v>8990</v>
      </c>
      <c r="B3227" t="s">
        <v>2022</v>
      </c>
      <c r="C3227" t="s">
        <v>2028</v>
      </c>
      <c r="D3227" t="s">
        <v>2024</v>
      </c>
      <c r="E3227" t="s">
        <v>8991</v>
      </c>
      <c r="F3227" t="s">
        <v>8992</v>
      </c>
      <c r="G3227">
        <v>2</v>
      </c>
      <c r="H3227">
        <v>850</v>
      </c>
      <c r="I3227">
        <v>1</v>
      </c>
      <c r="J3227">
        <v>0.35</v>
      </c>
      <c r="K3227">
        <v>1</v>
      </c>
      <c r="L3227">
        <v>4.0000000000000001E-3</v>
      </c>
      <c r="M3227">
        <v>5</v>
      </c>
      <c r="N3227">
        <v>500</v>
      </c>
      <c r="O3227">
        <v>1</v>
      </c>
      <c r="P3227">
        <v>0.15</v>
      </c>
      <c r="Q3227">
        <v>2</v>
      </c>
      <c r="R3227">
        <v>7.7499999999999999E-3</v>
      </c>
      <c r="T3227" t="s">
        <v>8991</v>
      </c>
    </row>
    <row r="3228" spans="1:20" x14ac:dyDescent="0.2">
      <c r="A3228" t="s">
        <v>8993</v>
      </c>
      <c r="B3228" t="s">
        <v>2022</v>
      </c>
      <c r="C3228" t="s">
        <v>2023</v>
      </c>
      <c r="D3228" t="s">
        <v>2024</v>
      </c>
      <c r="E3228" t="s">
        <v>8994</v>
      </c>
      <c r="F3228" t="s">
        <v>8995</v>
      </c>
      <c r="G3228">
        <v>3</v>
      </c>
      <c r="H3228">
        <v>1640</v>
      </c>
      <c r="I3228">
        <v>3</v>
      </c>
      <c r="J3228">
        <v>5.9</v>
      </c>
      <c r="K3228">
        <v>5</v>
      </c>
      <c r="L3228">
        <v>8.5999999999999993E-2</v>
      </c>
      <c r="M3228">
        <v>2</v>
      </c>
      <c r="N3228">
        <v>84</v>
      </c>
      <c r="O3228">
        <v>2</v>
      </c>
      <c r="P3228">
        <v>0.22500000000000001</v>
      </c>
      <c r="Q3228">
        <v>5</v>
      </c>
      <c r="R3228">
        <v>8.0000000000000002E-3</v>
      </c>
      <c r="T3228" t="s">
        <v>8994</v>
      </c>
    </row>
    <row r="3229" spans="1:20" x14ac:dyDescent="0.2">
      <c r="A3229" t="s">
        <v>8996</v>
      </c>
      <c r="B3229" t="s">
        <v>2022</v>
      </c>
      <c r="C3229" t="s">
        <v>2222</v>
      </c>
      <c r="D3229" t="s">
        <v>2136</v>
      </c>
      <c r="E3229" t="s">
        <v>8997</v>
      </c>
      <c r="F3229" t="s">
        <v>8998</v>
      </c>
      <c r="G3229">
        <v>1</v>
      </c>
      <c r="H3229">
        <v>1450</v>
      </c>
      <c r="I3229">
        <v>1</v>
      </c>
      <c r="J3229">
        <v>2.2999999999999998</v>
      </c>
      <c r="K3229">
        <v>2</v>
      </c>
      <c r="L3229">
        <v>5.5E-2</v>
      </c>
      <c r="M3229">
        <v>1</v>
      </c>
      <c r="N3229">
        <v>59</v>
      </c>
      <c r="O3229">
        <v>1</v>
      </c>
      <c r="P3229">
        <v>7.0000000000000007E-2</v>
      </c>
      <c r="Q3229">
        <v>2</v>
      </c>
      <c r="R3229">
        <v>2.3E-3</v>
      </c>
      <c r="T3229" t="s">
        <v>8997</v>
      </c>
    </row>
    <row r="3230" spans="1:20" x14ac:dyDescent="0.2">
      <c r="A3230" t="s">
        <v>8999</v>
      </c>
      <c r="B3230" t="s">
        <v>2022</v>
      </c>
      <c r="C3230" t="s">
        <v>2023</v>
      </c>
      <c r="D3230" t="s">
        <v>2024</v>
      </c>
      <c r="E3230" t="s">
        <v>9000</v>
      </c>
      <c r="F3230" t="s">
        <v>447</v>
      </c>
      <c r="G3230">
        <v>1</v>
      </c>
      <c r="H3230">
        <v>1480</v>
      </c>
      <c r="I3230">
        <v>2</v>
      </c>
      <c r="J3230">
        <v>3.4</v>
      </c>
      <c r="K3230">
        <v>2</v>
      </c>
      <c r="L3230">
        <v>2.5999999999999999E-2</v>
      </c>
      <c r="M3230">
        <v>1</v>
      </c>
      <c r="N3230">
        <v>74</v>
      </c>
      <c r="O3230">
        <v>2</v>
      </c>
      <c r="P3230">
        <v>0.22500000000000001</v>
      </c>
      <c r="Q3230">
        <v>1</v>
      </c>
      <c r="R3230">
        <v>5.0000000000000001E-4</v>
      </c>
      <c r="T3230" t="s">
        <v>9000</v>
      </c>
    </row>
    <row r="3231" spans="1:20" x14ac:dyDescent="0.2">
      <c r="A3231" t="s">
        <v>9001</v>
      </c>
      <c r="B3231" t="s">
        <v>2022</v>
      </c>
      <c r="C3231" t="s">
        <v>2023</v>
      </c>
      <c r="D3231" t="s">
        <v>2024</v>
      </c>
      <c r="E3231" t="s">
        <v>9002</v>
      </c>
      <c r="F3231" t="s">
        <v>9003</v>
      </c>
      <c r="G3231">
        <v>2</v>
      </c>
      <c r="H3231">
        <v>1560</v>
      </c>
      <c r="I3231">
        <v>5</v>
      </c>
      <c r="J3231">
        <v>10.9</v>
      </c>
      <c r="K3231">
        <v>5</v>
      </c>
      <c r="L3231">
        <v>8.5999999999999993E-2</v>
      </c>
      <c r="M3231">
        <v>2</v>
      </c>
      <c r="N3231">
        <v>84</v>
      </c>
      <c r="O3231">
        <v>5</v>
      </c>
      <c r="P3231">
        <v>0.67500000000000004</v>
      </c>
      <c r="Q3231">
        <v>5</v>
      </c>
      <c r="R3231">
        <v>8.0000000000000002E-3</v>
      </c>
      <c r="T3231" t="s">
        <v>9002</v>
      </c>
    </row>
    <row r="3232" spans="1:20" x14ac:dyDescent="0.2">
      <c r="A3232" t="s">
        <v>9004</v>
      </c>
      <c r="B3232" t="s">
        <v>2022</v>
      </c>
      <c r="C3232" t="s">
        <v>2053</v>
      </c>
      <c r="D3232" t="s">
        <v>2154</v>
      </c>
      <c r="E3232" t="s">
        <v>9005</v>
      </c>
      <c r="F3232" t="s">
        <v>9006</v>
      </c>
      <c r="G3232">
        <v>2</v>
      </c>
      <c r="H3232">
        <v>1600</v>
      </c>
      <c r="I3232">
        <v>3</v>
      </c>
      <c r="J3232">
        <v>6.55</v>
      </c>
      <c r="K3232">
        <v>2</v>
      </c>
      <c r="L3232">
        <v>8.5000000000000006E-2</v>
      </c>
      <c r="M3232">
        <v>5</v>
      </c>
      <c r="N3232">
        <v>113</v>
      </c>
      <c r="O3232">
        <v>4</v>
      </c>
      <c r="P3232">
        <v>0.52500000000000002</v>
      </c>
      <c r="Q3232">
        <v>3</v>
      </c>
      <c r="R3232">
        <v>1.2200000000000001E-2</v>
      </c>
      <c r="T3232" t="s">
        <v>9005</v>
      </c>
    </row>
    <row r="3233" spans="1:20" x14ac:dyDescent="0.2">
      <c r="A3233" t="s">
        <v>9007</v>
      </c>
      <c r="B3233" t="s">
        <v>2022</v>
      </c>
      <c r="C3233" t="s">
        <v>2023</v>
      </c>
      <c r="D3233" t="s">
        <v>2024</v>
      </c>
      <c r="E3233" t="s">
        <v>9008</v>
      </c>
      <c r="F3233" t="s">
        <v>9009</v>
      </c>
      <c r="G3233">
        <v>1</v>
      </c>
      <c r="H3233">
        <v>1480</v>
      </c>
      <c r="I3233">
        <v>3</v>
      </c>
      <c r="J3233">
        <v>5.9</v>
      </c>
      <c r="K3233">
        <v>3</v>
      </c>
      <c r="L3233">
        <v>4.5999999999999999E-2</v>
      </c>
      <c r="M3233">
        <v>2</v>
      </c>
      <c r="N3233">
        <v>84</v>
      </c>
      <c r="O3233">
        <v>2</v>
      </c>
      <c r="P3233">
        <v>0.22500000000000001</v>
      </c>
      <c r="Q3233">
        <v>2</v>
      </c>
      <c r="R3233">
        <v>2E-3</v>
      </c>
      <c r="T3233" t="s">
        <v>9008</v>
      </c>
    </row>
    <row r="3234" spans="1:20" x14ac:dyDescent="0.2">
      <c r="A3234" t="s">
        <v>9010</v>
      </c>
      <c r="B3234" t="s">
        <v>2022</v>
      </c>
      <c r="C3234" t="s">
        <v>2023</v>
      </c>
      <c r="D3234" t="s">
        <v>2024</v>
      </c>
      <c r="E3234" t="s">
        <v>9011</v>
      </c>
      <c r="F3234" t="s">
        <v>9012</v>
      </c>
      <c r="G3234">
        <v>1</v>
      </c>
      <c r="H3234">
        <v>1480</v>
      </c>
      <c r="I3234">
        <v>1</v>
      </c>
      <c r="J3234">
        <v>0.9</v>
      </c>
      <c r="K3234">
        <v>1</v>
      </c>
      <c r="L3234">
        <v>6.0000000000000001E-3</v>
      </c>
      <c r="M3234">
        <v>3</v>
      </c>
      <c r="N3234">
        <v>94</v>
      </c>
      <c r="O3234">
        <v>1</v>
      </c>
      <c r="P3234">
        <v>7.4999999999999997E-2</v>
      </c>
      <c r="Q3234">
        <v>1</v>
      </c>
      <c r="R3234">
        <v>5.0000000000000001E-4</v>
      </c>
      <c r="T3234" t="s">
        <v>9011</v>
      </c>
    </row>
    <row r="3235" spans="1:20" x14ac:dyDescent="0.2">
      <c r="A3235" t="s">
        <v>9013</v>
      </c>
      <c r="B3235" t="s">
        <v>2022</v>
      </c>
      <c r="C3235" t="s">
        <v>2049</v>
      </c>
      <c r="D3235" t="s">
        <v>2136</v>
      </c>
      <c r="E3235" t="s">
        <v>357</v>
      </c>
      <c r="F3235" t="s">
        <v>447</v>
      </c>
      <c r="G3235">
        <v>3</v>
      </c>
      <c r="H3235">
        <v>1550</v>
      </c>
      <c r="I3235">
        <v>2</v>
      </c>
      <c r="J3235">
        <v>3.2</v>
      </c>
      <c r="K3235">
        <v>1</v>
      </c>
      <c r="L3235">
        <v>0.01</v>
      </c>
      <c r="M3235">
        <v>3</v>
      </c>
      <c r="N3235">
        <v>126</v>
      </c>
      <c r="O3235">
        <v>2</v>
      </c>
      <c r="P3235">
        <v>0.26</v>
      </c>
      <c r="Q3235">
        <v>1</v>
      </c>
      <c r="R3235">
        <v>8.4999999999999995E-4</v>
      </c>
      <c r="T3235" t="s">
        <v>357</v>
      </c>
    </row>
    <row r="3236" spans="1:20" x14ac:dyDescent="0.2">
      <c r="A3236" t="s">
        <v>9014</v>
      </c>
      <c r="B3236" t="s">
        <v>2022</v>
      </c>
      <c r="C3236" t="s">
        <v>2049</v>
      </c>
      <c r="D3236" t="s">
        <v>2136</v>
      </c>
      <c r="E3236" t="s">
        <v>9015</v>
      </c>
      <c r="F3236" t="s">
        <v>1901</v>
      </c>
      <c r="G3236">
        <v>3</v>
      </c>
      <c r="H3236">
        <v>1550</v>
      </c>
      <c r="I3236">
        <v>3</v>
      </c>
      <c r="J3236">
        <v>5</v>
      </c>
      <c r="K3236">
        <v>2</v>
      </c>
      <c r="L3236">
        <v>0.06</v>
      </c>
      <c r="M3236">
        <v>2</v>
      </c>
      <c r="N3236">
        <v>106</v>
      </c>
      <c r="O3236">
        <v>2</v>
      </c>
      <c r="P3236">
        <v>0.26</v>
      </c>
      <c r="Q3236">
        <v>2</v>
      </c>
      <c r="R3236">
        <v>6.1999999999999998E-3</v>
      </c>
      <c r="T3236" t="s">
        <v>9015</v>
      </c>
    </row>
    <row r="3237" spans="1:20" x14ac:dyDescent="0.2">
      <c r="A3237" t="s">
        <v>9016</v>
      </c>
      <c r="B3237" t="s">
        <v>2022</v>
      </c>
      <c r="C3237" t="s">
        <v>2036</v>
      </c>
      <c r="D3237" t="s">
        <v>2024</v>
      </c>
      <c r="E3237" t="s">
        <v>9017</v>
      </c>
      <c r="F3237" t="s">
        <v>9018</v>
      </c>
      <c r="G3237">
        <v>5</v>
      </c>
      <c r="H3237">
        <v>1940</v>
      </c>
      <c r="I3237">
        <v>3</v>
      </c>
      <c r="J3237">
        <v>4.5999999999999996</v>
      </c>
      <c r="K3237">
        <v>3</v>
      </c>
      <c r="L3237">
        <v>0.115</v>
      </c>
      <c r="M3237">
        <v>5</v>
      </c>
      <c r="N3237">
        <v>100</v>
      </c>
      <c r="O3237">
        <v>2</v>
      </c>
      <c r="P3237">
        <v>0.20499999999999999</v>
      </c>
      <c r="Q3237">
        <v>2</v>
      </c>
      <c r="R3237">
        <v>4.2500000000000003E-3</v>
      </c>
      <c r="T3237" t="s">
        <v>9017</v>
      </c>
    </row>
    <row r="3238" spans="1:20" x14ac:dyDescent="0.2">
      <c r="A3238" t="s">
        <v>9019</v>
      </c>
      <c r="B3238" t="s">
        <v>2022</v>
      </c>
      <c r="C3238" t="s">
        <v>2023</v>
      </c>
      <c r="D3238" t="s">
        <v>2154</v>
      </c>
      <c r="E3238" t="s">
        <v>9020</v>
      </c>
      <c r="F3238" t="s">
        <v>9021</v>
      </c>
      <c r="G3238">
        <v>1</v>
      </c>
      <c r="H3238">
        <v>1480</v>
      </c>
      <c r="I3238">
        <v>3</v>
      </c>
      <c r="J3238">
        <v>5.9</v>
      </c>
      <c r="K3238">
        <v>5</v>
      </c>
      <c r="L3238">
        <v>8.5999999999999993E-2</v>
      </c>
      <c r="M3238">
        <v>3</v>
      </c>
      <c r="N3238">
        <v>94</v>
      </c>
      <c r="O3238">
        <v>3</v>
      </c>
      <c r="P3238">
        <v>0.375</v>
      </c>
      <c r="Q3238">
        <v>5</v>
      </c>
      <c r="R3238">
        <v>8.0000000000000002E-3</v>
      </c>
      <c r="T3238" t="s">
        <v>9020</v>
      </c>
    </row>
    <row r="3239" spans="1:20" x14ac:dyDescent="0.2">
      <c r="A3239" t="s">
        <v>9022</v>
      </c>
      <c r="B3239" t="s">
        <v>2022</v>
      </c>
      <c r="C3239" t="s">
        <v>2023</v>
      </c>
      <c r="D3239" t="s">
        <v>2024</v>
      </c>
      <c r="E3239" t="s">
        <v>9023</v>
      </c>
      <c r="F3239" t="s">
        <v>9024</v>
      </c>
      <c r="G3239">
        <v>5</v>
      </c>
      <c r="H3239">
        <v>1800</v>
      </c>
      <c r="I3239">
        <v>4</v>
      </c>
      <c r="J3239">
        <v>8.4</v>
      </c>
      <c r="K3239">
        <v>5</v>
      </c>
      <c r="L3239">
        <v>8.5999999999999993E-2</v>
      </c>
      <c r="M3239">
        <v>3</v>
      </c>
      <c r="N3239">
        <v>94</v>
      </c>
      <c r="O3239">
        <v>3</v>
      </c>
      <c r="P3239">
        <v>0.375</v>
      </c>
      <c r="Q3239">
        <v>5</v>
      </c>
      <c r="R3239">
        <v>8.0000000000000002E-3</v>
      </c>
      <c r="T3239" t="s">
        <v>9023</v>
      </c>
    </row>
    <row r="3240" spans="1:20" x14ac:dyDescent="0.2">
      <c r="A3240" t="s">
        <v>9025</v>
      </c>
      <c r="B3240" t="s">
        <v>2022</v>
      </c>
      <c r="C3240" t="s">
        <v>2023</v>
      </c>
      <c r="D3240" t="s">
        <v>2024</v>
      </c>
      <c r="E3240" t="s">
        <v>9026</v>
      </c>
      <c r="F3240" t="s">
        <v>9027</v>
      </c>
      <c r="G3240">
        <v>3</v>
      </c>
      <c r="H3240">
        <v>1640</v>
      </c>
      <c r="I3240">
        <v>2</v>
      </c>
      <c r="J3240">
        <v>3.4</v>
      </c>
      <c r="K3240">
        <v>2</v>
      </c>
      <c r="L3240">
        <v>2.5999999999999999E-2</v>
      </c>
      <c r="M3240">
        <v>2</v>
      </c>
      <c r="N3240">
        <v>84</v>
      </c>
      <c r="O3240">
        <v>2</v>
      </c>
      <c r="P3240">
        <v>0.22500000000000001</v>
      </c>
      <c r="Q3240">
        <v>2</v>
      </c>
      <c r="R3240">
        <v>2E-3</v>
      </c>
      <c r="T3240" t="s">
        <v>9026</v>
      </c>
    </row>
    <row r="3241" spans="1:20" x14ac:dyDescent="0.2">
      <c r="A3241" t="s">
        <v>9028</v>
      </c>
      <c r="B3241" t="s">
        <v>2022</v>
      </c>
      <c r="C3241" t="s">
        <v>2095</v>
      </c>
      <c r="D3241" t="s">
        <v>2024</v>
      </c>
      <c r="E3241" t="s">
        <v>9029</v>
      </c>
      <c r="F3241" t="s">
        <v>9030</v>
      </c>
      <c r="G3241">
        <v>5</v>
      </c>
      <c r="H3241">
        <v>1925</v>
      </c>
      <c r="I3241">
        <v>1</v>
      </c>
      <c r="J3241">
        <v>4.5</v>
      </c>
      <c r="K3241">
        <v>1</v>
      </c>
      <c r="L3241">
        <v>1.4999999999999999E-2</v>
      </c>
      <c r="M3241">
        <v>5</v>
      </c>
      <c r="N3241">
        <v>98</v>
      </c>
      <c r="O3241">
        <v>1</v>
      </c>
      <c r="P3241">
        <v>0.15</v>
      </c>
      <c r="Q3241">
        <v>1</v>
      </c>
      <c r="R3241">
        <v>6.9999999999999999E-4</v>
      </c>
      <c r="T3241" t="s">
        <v>9029</v>
      </c>
    </row>
    <row r="3242" spans="1:20" x14ac:dyDescent="0.2">
      <c r="A3242" t="s">
        <v>9031</v>
      </c>
      <c r="B3242" t="s">
        <v>2022</v>
      </c>
      <c r="C3242" t="s">
        <v>2095</v>
      </c>
      <c r="D3242" t="s">
        <v>2154</v>
      </c>
      <c r="E3242" t="s">
        <v>9032</v>
      </c>
      <c r="F3242" t="s">
        <v>447</v>
      </c>
      <c r="G3242">
        <v>5</v>
      </c>
      <c r="H3242">
        <v>1925</v>
      </c>
      <c r="I3242">
        <v>5</v>
      </c>
      <c r="J3242">
        <v>16.5</v>
      </c>
      <c r="K3242">
        <v>4</v>
      </c>
      <c r="L3242">
        <v>0.53</v>
      </c>
      <c r="M3242">
        <v>4</v>
      </c>
      <c r="N3242">
        <v>92</v>
      </c>
      <c r="O3242">
        <v>5</v>
      </c>
      <c r="P3242">
        <v>0.95</v>
      </c>
      <c r="Q3242">
        <v>4</v>
      </c>
      <c r="R3242">
        <v>2.3900000000000001E-2</v>
      </c>
      <c r="T3242" t="s">
        <v>9032</v>
      </c>
    </row>
    <row r="3243" spans="1:20" x14ac:dyDescent="0.2">
      <c r="A3243" t="s">
        <v>9033</v>
      </c>
      <c r="B3243" t="s">
        <v>2022</v>
      </c>
      <c r="C3243" t="s">
        <v>2036</v>
      </c>
      <c r="D3243" t="s">
        <v>2154</v>
      </c>
      <c r="E3243" t="s">
        <v>9034</v>
      </c>
      <c r="F3243" t="s">
        <v>9035</v>
      </c>
      <c r="G3243">
        <v>3</v>
      </c>
      <c r="H3243">
        <v>1740</v>
      </c>
      <c r="I3243">
        <v>5</v>
      </c>
      <c r="J3243">
        <v>7</v>
      </c>
      <c r="K3243">
        <v>5</v>
      </c>
      <c r="L3243">
        <v>0.17499999999999999</v>
      </c>
      <c r="M3243">
        <v>3</v>
      </c>
      <c r="N3243">
        <v>88</v>
      </c>
      <c r="O3243">
        <v>5</v>
      </c>
      <c r="P3243">
        <v>0.53500000000000003</v>
      </c>
      <c r="Q3243">
        <v>4</v>
      </c>
      <c r="R3243">
        <v>9.2499999999999995E-3</v>
      </c>
      <c r="T3243" t="s">
        <v>9034</v>
      </c>
    </row>
    <row r="3244" spans="1:20" x14ac:dyDescent="0.2">
      <c r="A3244" t="s">
        <v>9036</v>
      </c>
      <c r="B3244" t="s">
        <v>2022</v>
      </c>
      <c r="C3244" t="s">
        <v>2053</v>
      </c>
      <c r="D3244" t="s">
        <v>2024</v>
      </c>
      <c r="E3244" t="s">
        <v>9037</v>
      </c>
      <c r="F3244" t="s">
        <v>9038</v>
      </c>
      <c r="G3244">
        <v>4</v>
      </c>
      <c r="H3244">
        <v>1800</v>
      </c>
      <c r="I3244">
        <v>3</v>
      </c>
      <c r="J3244">
        <v>6.55</v>
      </c>
      <c r="K3244">
        <v>4</v>
      </c>
      <c r="L3244">
        <v>0.30499999999999999</v>
      </c>
      <c r="M3244">
        <v>3</v>
      </c>
      <c r="N3244">
        <v>93</v>
      </c>
      <c r="O3244">
        <v>3</v>
      </c>
      <c r="P3244">
        <v>0.375</v>
      </c>
      <c r="Q3244">
        <v>3</v>
      </c>
      <c r="R3244">
        <v>1.2200000000000001E-2</v>
      </c>
      <c r="T3244" t="s">
        <v>9037</v>
      </c>
    </row>
    <row r="3245" spans="1:20" x14ac:dyDescent="0.2">
      <c r="A3245" t="s">
        <v>9039</v>
      </c>
      <c r="B3245" t="s">
        <v>2022</v>
      </c>
      <c r="C3245" t="s">
        <v>2053</v>
      </c>
      <c r="D3245" t="s">
        <v>2024</v>
      </c>
      <c r="E3245" t="s">
        <v>9040</v>
      </c>
      <c r="F3245" t="s">
        <v>9041</v>
      </c>
      <c r="G3245">
        <v>3</v>
      </c>
      <c r="H3245">
        <v>1700</v>
      </c>
      <c r="I3245">
        <v>3</v>
      </c>
      <c r="J3245">
        <v>6.55</v>
      </c>
      <c r="K3245">
        <v>3</v>
      </c>
      <c r="L3245">
        <v>0.19500000000000001</v>
      </c>
      <c r="M3245">
        <v>1</v>
      </c>
      <c r="N3245">
        <v>73</v>
      </c>
      <c r="O3245">
        <v>2</v>
      </c>
      <c r="P3245">
        <v>0.22500000000000001</v>
      </c>
      <c r="Q3245">
        <v>2</v>
      </c>
      <c r="R3245">
        <v>5.1999999999999998E-3</v>
      </c>
      <c r="T3245" t="s">
        <v>9040</v>
      </c>
    </row>
    <row r="3246" spans="1:20" x14ac:dyDescent="0.2">
      <c r="A3246" t="s">
        <v>9042</v>
      </c>
      <c r="B3246" t="s">
        <v>2022</v>
      </c>
      <c r="C3246" t="s">
        <v>2036</v>
      </c>
      <c r="D3246" t="s">
        <v>2024</v>
      </c>
      <c r="E3246" t="s">
        <v>9043</v>
      </c>
      <c r="F3246" t="s">
        <v>9044</v>
      </c>
      <c r="G3246">
        <v>5</v>
      </c>
      <c r="H3246">
        <v>1940</v>
      </c>
      <c r="I3246">
        <v>5</v>
      </c>
      <c r="J3246">
        <v>7</v>
      </c>
      <c r="K3246">
        <v>5</v>
      </c>
      <c r="L3246">
        <v>0.17499999999999999</v>
      </c>
      <c r="M3246">
        <v>5</v>
      </c>
      <c r="N3246">
        <v>100</v>
      </c>
      <c r="O3246">
        <v>5</v>
      </c>
      <c r="P3246">
        <v>0.53500000000000003</v>
      </c>
      <c r="Q3246">
        <v>5</v>
      </c>
      <c r="R3246">
        <v>1.2E-2</v>
      </c>
      <c r="T3246" t="s">
        <v>9043</v>
      </c>
    </row>
    <row r="3247" spans="1:20" x14ac:dyDescent="0.2">
      <c r="A3247" t="s">
        <v>9045</v>
      </c>
      <c r="B3247" t="s">
        <v>2022</v>
      </c>
      <c r="C3247" t="s">
        <v>2036</v>
      </c>
      <c r="D3247" t="s">
        <v>2024</v>
      </c>
      <c r="E3247" t="s">
        <v>9046</v>
      </c>
      <c r="F3247" t="s">
        <v>9047</v>
      </c>
      <c r="G3247">
        <v>5</v>
      </c>
      <c r="H3247">
        <v>1940</v>
      </c>
      <c r="I3247">
        <v>4</v>
      </c>
      <c r="J3247">
        <v>5.8</v>
      </c>
      <c r="K3247">
        <v>4</v>
      </c>
      <c r="L3247">
        <v>0.14499999999999999</v>
      </c>
      <c r="M3247">
        <v>4</v>
      </c>
      <c r="N3247">
        <v>94</v>
      </c>
      <c r="O3247">
        <v>3</v>
      </c>
      <c r="P3247">
        <v>0.315</v>
      </c>
      <c r="Q3247">
        <v>3</v>
      </c>
      <c r="R3247">
        <v>6.7499999999999999E-3</v>
      </c>
      <c r="T3247" t="s">
        <v>9046</v>
      </c>
    </row>
    <row r="3248" spans="1:20" x14ac:dyDescent="0.2">
      <c r="A3248" t="s">
        <v>9048</v>
      </c>
      <c r="B3248" t="s">
        <v>2022</v>
      </c>
      <c r="C3248" t="s">
        <v>2023</v>
      </c>
      <c r="D3248" t="s">
        <v>2024</v>
      </c>
      <c r="E3248" t="s">
        <v>9049</v>
      </c>
      <c r="F3248" t="s">
        <v>9050</v>
      </c>
      <c r="G3248">
        <v>4</v>
      </c>
      <c r="H3248">
        <v>1720</v>
      </c>
      <c r="I3248">
        <v>4</v>
      </c>
      <c r="J3248">
        <v>8.4</v>
      </c>
      <c r="K3248">
        <v>5</v>
      </c>
      <c r="L3248">
        <v>8.5999999999999993E-2</v>
      </c>
      <c r="M3248">
        <v>2</v>
      </c>
      <c r="N3248">
        <v>84</v>
      </c>
      <c r="O3248">
        <v>3</v>
      </c>
      <c r="P3248">
        <v>0.375</v>
      </c>
      <c r="Q3248">
        <v>5</v>
      </c>
      <c r="R3248">
        <v>8.0000000000000002E-3</v>
      </c>
      <c r="T3248" t="s">
        <v>9049</v>
      </c>
    </row>
    <row r="3249" spans="1:20" x14ac:dyDescent="0.2">
      <c r="A3249" t="s">
        <v>9051</v>
      </c>
      <c r="B3249" t="s">
        <v>2022</v>
      </c>
      <c r="C3249" t="s">
        <v>2173</v>
      </c>
      <c r="D3249" t="s">
        <v>2024</v>
      </c>
      <c r="E3249" t="s">
        <v>9052</v>
      </c>
      <c r="F3249" t="s">
        <v>9053</v>
      </c>
      <c r="G3249">
        <v>5</v>
      </c>
      <c r="H3249">
        <v>2182.5</v>
      </c>
      <c r="I3249">
        <v>1</v>
      </c>
      <c r="J3249">
        <v>3.65</v>
      </c>
      <c r="K3249">
        <v>1</v>
      </c>
      <c r="L3249">
        <v>1.4999999999999999E-2</v>
      </c>
      <c r="M3249">
        <v>5</v>
      </c>
      <c r="N3249">
        <v>140.5</v>
      </c>
      <c r="O3249">
        <v>2</v>
      </c>
      <c r="P3249">
        <v>0.33</v>
      </c>
      <c r="Q3249">
        <v>2</v>
      </c>
      <c r="R3249">
        <v>4.7999999999999996E-3</v>
      </c>
      <c r="T3249" t="s">
        <v>9052</v>
      </c>
    </row>
    <row r="3250" spans="1:20" x14ac:dyDescent="0.2">
      <c r="A3250" t="s">
        <v>9054</v>
      </c>
      <c r="B3250" t="s">
        <v>2022</v>
      </c>
      <c r="C3250" t="s">
        <v>2053</v>
      </c>
      <c r="D3250" t="s">
        <v>2024</v>
      </c>
      <c r="E3250" t="s">
        <v>9055</v>
      </c>
      <c r="F3250" t="s">
        <v>9056</v>
      </c>
      <c r="G3250">
        <v>2</v>
      </c>
      <c r="H3250">
        <v>1600</v>
      </c>
      <c r="I3250">
        <v>1</v>
      </c>
      <c r="J3250">
        <v>1.55</v>
      </c>
      <c r="K3250">
        <v>1</v>
      </c>
      <c r="L3250">
        <v>1.4999999999999999E-2</v>
      </c>
      <c r="M3250">
        <v>2</v>
      </c>
      <c r="N3250">
        <v>83</v>
      </c>
      <c r="O3250">
        <v>1</v>
      </c>
      <c r="P3250">
        <v>7.4999999999999997E-2</v>
      </c>
      <c r="Q3250">
        <v>1</v>
      </c>
      <c r="R3250">
        <v>8.4999999999999995E-4</v>
      </c>
      <c r="T3250" t="s">
        <v>9055</v>
      </c>
    </row>
    <row r="3251" spans="1:20" x14ac:dyDescent="0.2">
      <c r="A3251" t="s">
        <v>9057</v>
      </c>
      <c r="B3251" t="s">
        <v>2022</v>
      </c>
      <c r="C3251" t="s">
        <v>2053</v>
      </c>
      <c r="D3251" t="s">
        <v>2024</v>
      </c>
      <c r="E3251" t="s">
        <v>9058</v>
      </c>
      <c r="F3251" t="s">
        <v>9059</v>
      </c>
      <c r="G3251">
        <v>3</v>
      </c>
      <c r="H3251">
        <v>1700</v>
      </c>
      <c r="I3251">
        <v>1</v>
      </c>
      <c r="J3251">
        <v>1.55</v>
      </c>
      <c r="K3251">
        <v>2</v>
      </c>
      <c r="L3251">
        <v>8.5000000000000006E-2</v>
      </c>
      <c r="M3251">
        <v>1</v>
      </c>
      <c r="N3251">
        <v>73</v>
      </c>
      <c r="O3251">
        <v>1</v>
      </c>
      <c r="P3251">
        <v>7.4999999999999997E-2</v>
      </c>
      <c r="Q3251">
        <v>2</v>
      </c>
      <c r="R3251">
        <v>5.1999999999999998E-3</v>
      </c>
      <c r="T3251" t="s">
        <v>9058</v>
      </c>
    </row>
    <row r="3252" spans="1:20" x14ac:dyDescent="0.2">
      <c r="A3252" t="s">
        <v>9060</v>
      </c>
      <c r="B3252" t="s">
        <v>2022</v>
      </c>
      <c r="C3252" t="s">
        <v>2053</v>
      </c>
      <c r="D3252" t="s">
        <v>2024</v>
      </c>
      <c r="E3252" t="s">
        <v>9061</v>
      </c>
      <c r="F3252" t="s">
        <v>9062</v>
      </c>
      <c r="G3252">
        <v>5</v>
      </c>
      <c r="H3252">
        <v>1900</v>
      </c>
      <c r="I3252">
        <v>1</v>
      </c>
      <c r="J3252">
        <v>1.55</v>
      </c>
      <c r="K3252">
        <v>1</v>
      </c>
      <c r="L3252">
        <v>1.4999999999999999E-2</v>
      </c>
      <c r="M3252">
        <v>5</v>
      </c>
      <c r="N3252">
        <v>113</v>
      </c>
      <c r="O3252">
        <v>2</v>
      </c>
      <c r="P3252">
        <v>0.22500000000000001</v>
      </c>
      <c r="Q3252">
        <v>1</v>
      </c>
      <c r="R3252">
        <v>8.4999999999999995E-4</v>
      </c>
      <c r="T3252" t="s">
        <v>9061</v>
      </c>
    </row>
    <row r="3253" spans="1:20" x14ac:dyDescent="0.2">
      <c r="A3253" t="s">
        <v>9063</v>
      </c>
      <c r="B3253" t="s">
        <v>2022</v>
      </c>
      <c r="C3253" t="s">
        <v>2053</v>
      </c>
      <c r="D3253" t="s">
        <v>2024</v>
      </c>
      <c r="E3253" t="s">
        <v>9064</v>
      </c>
      <c r="F3253" t="s">
        <v>9065</v>
      </c>
      <c r="G3253">
        <v>3</v>
      </c>
      <c r="H3253">
        <v>1700</v>
      </c>
      <c r="I3253">
        <v>3</v>
      </c>
      <c r="J3253">
        <v>6.55</v>
      </c>
      <c r="K3253">
        <v>2</v>
      </c>
      <c r="L3253">
        <v>8.5000000000000006E-2</v>
      </c>
      <c r="M3253">
        <v>5</v>
      </c>
      <c r="N3253">
        <v>113</v>
      </c>
      <c r="O3253">
        <v>3</v>
      </c>
      <c r="P3253">
        <v>0.375</v>
      </c>
      <c r="Q3253">
        <v>2</v>
      </c>
      <c r="R3253">
        <v>5.1999999999999998E-3</v>
      </c>
      <c r="T3253" t="s">
        <v>9064</v>
      </c>
    </row>
    <row r="3254" spans="1:20" x14ac:dyDescent="0.2">
      <c r="A3254" t="s">
        <v>9066</v>
      </c>
      <c r="B3254" t="s">
        <v>2022</v>
      </c>
      <c r="C3254" t="s">
        <v>2023</v>
      </c>
      <c r="D3254" t="s">
        <v>2024</v>
      </c>
      <c r="E3254" t="s">
        <v>9067</v>
      </c>
      <c r="F3254" t="s">
        <v>9068</v>
      </c>
      <c r="G3254">
        <v>4</v>
      </c>
      <c r="H3254">
        <v>1720</v>
      </c>
      <c r="I3254">
        <v>2</v>
      </c>
      <c r="J3254">
        <v>3.4</v>
      </c>
      <c r="K3254">
        <v>4</v>
      </c>
      <c r="L3254">
        <v>6.6000000000000003E-2</v>
      </c>
      <c r="M3254">
        <v>3</v>
      </c>
      <c r="N3254">
        <v>94</v>
      </c>
      <c r="O3254">
        <v>2</v>
      </c>
      <c r="P3254">
        <v>0.22500000000000001</v>
      </c>
      <c r="Q3254">
        <v>3</v>
      </c>
      <c r="R3254">
        <v>4.0000000000000001E-3</v>
      </c>
      <c r="T3254" t="s">
        <v>9067</v>
      </c>
    </row>
    <row r="3255" spans="1:20" x14ac:dyDescent="0.2">
      <c r="A3255" t="s">
        <v>9069</v>
      </c>
      <c r="B3255" t="s">
        <v>2022</v>
      </c>
      <c r="C3255" t="s">
        <v>2049</v>
      </c>
      <c r="D3255" t="s">
        <v>2024</v>
      </c>
      <c r="E3255" t="s">
        <v>9070</v>
      </c>
      <c r="F3255" t="s">
        <v>9071</v>
      </c>
      <c r="G3255">
        <v>4</v>
      </c>
      <c r="H3255">
        <v>1650</v>
      </c>
      <c r="I3255">
        <v>1</v>
      </c>
      <c r="J3255">
        <v>1.4</v>
      </c>
      <c r="K3255">
        <v>1</v>
      </c>
      <c r="L3255">
        <v>0.01</v>
      </c>
      <c r="M3255">
        <v>2</v>
      </c>
      <c r="N3255">
        <v>106</v>
      </c>
      <c r="O3255">
        <v>1</v>
      </c>
      <c r="P3255">
        <v>0.06</v>
      </c>
      <c r="Q3255">
        <v>1</v>
      </c>
      <c r="R3255">
        <v>8.4999999999999995E-4</v>
      </c>
      <c r="T3255" t="s">
        <v>9070</v>
      </c>
    </row>
    <row r="3256" spans="1:20" x14ac:dyDescent="0.2">
      <c r="A3256" t="s">
        <v>9072</v>
      </c>
      <c r="B3256" t="s">
        <v>2022</v>
      </c>
      <c r="C3256" t="s">
        <v>2257</v>
      </c>
      <c r="D3256" t="s">
        <v>2154</v>
      </c>
      <c r="E3256" t="s">
        <v>357</v>
      </c>
      <c r="F3256" t="s">
        <v>9073</v>
      </c>
      <c r="G3256">
        <v>5</v>
      </c>
      <c r="H3256">
        <v>1300</v>
      </c>
      <c r="I3256">
        <v>1</v>
      </c>
      <c r="J3256">
        <v>0.45</v>
      </c>
      <c r="K3256">
        <v>1</v>
      </c>
      <c r="L3256">
        <v>6.0000000000000001E-3</v>
      </c>
      <c r="M3256">
        <v>3</v>
      </c>
      <c r="N3256">
        <v>700</v>
      </c>
      <c r="O3256">
        <v>1</v>
      </c>
      <c r="P3256">
        <v>0.3</v>
      </c>
      <c r="Q3256">
        <v>2</v>
      </c>
      <c r="R3256">
        <v>1.4999999999999999E-2</v>
      </c>
      <c r="T3256" t="s">
        <v>357</v>
      </c>
    </row>
    <row r="3257" spans="1:20" x14ac:dyDescent="0.2">
      <c r="A3257" t="s">
        <v>9074</v>
      </c>
      <c r="B3257" t="s">
        <v>2022</v>
      </c>
      <c r="C3257" t="s">
        <v>2053</v>
      </c>
      <c r="D3257" t="s">
        <v>2136</v>
      </c>
      <c r="E3257" t="s">
        <v>9075</v>
      </c>
      <c r="F3257" t="s">
        <v>9076</v>
      </c>
      <c r="G3257">
        <v>3</v>
      </c>
      <c r="H3257">
        <v>1700</v>
      </c>
      <c r="I3257">
        <v>5</v>
      </c>
      <c r="J3257">
        <v>11.55</v>
      </c>
      <c r="K3257">
        <v>5</v>
      </c>
      <c r="L3257">
        <v>0.41499999999999998</v>
      </c>
      <c r="M3257">
        <v>3</v>
      </c>
      <c r="N3257">
        <v>93</v>
      </c>
      <c r="O3257">
        <v>5</v>
      </c>
      <c r="P3257">
        <v>0.67500000000000004</v>
      </c>
      <c r="Q3257">
        <v>4</v>
      </c>
      <c r="R3257">
        <v>1.9199999999999998E-2</v>
      </c>
      <c r="T3257" t="s">
        <v>9075</v>
      </c>
    </row>
    <row r="3258" spans="1:20" x14ac:dyDescent="0.2">
      <c r="A3258" t="s">
        <v>9077</v>
      </c>
      <c r="B3258" t="s">
        <v>2022</v>
      </c>
      <c r="C3258" t="s">
        <v>2023</v>
      </c>
      <c r="D3258" t="s">
        <v>2136</v>
      </c>
      <c r="E3258" t="s">
        <v>9078</v>
      </c>
      <c r="F3258" t="s">
        <v>9079</v>
      </c>
      <c r="G3258">
        <v>3</v>
      </c>
      <c r="H3258">
        <v>1640</v>
      </c>
      <c r="I3258">
        <v>5</v>
      </c>
      <c r="J3258">
        <v>10.9</v>
      </c>
      <c r="K3258">
        <v>5</v>
      </c>
      <c r="L3258">
        <v>8.5999999999999993E-2</v>
      </c>
      <c r="M3258">
        <v>2</v>
      </c>
      <c r="N3258">
        <v>84</v>
      </c>
      <c r="O3258">
        <v>4</v>
      </c>
      <c r="P3258">
        <v>0.52500000000000002</v>
      </c>
      <c r="Q3258">
        <v>5</v>
      </c>
      <c r="R3258">
        <v>8.0000000000000002E-3</v>
      </c>
      <c r="T3258" t="s">
        <v>9078</v>
      </c>
    </row>
    <row r="3259" spans="1:20" x14ac:dyDescent="0.2">
      <c r="A3259" t="s">
        <v>9080</v>
      </c>
      <c r="B3259" t="s">
        <v>2022</v>
      </c>
      <c r="C3259" t="s">
        <v>2023</v>
      </c>
      <c r="D3259" t="s">
        <v>2024</v>
      </c>
      <c r="E3259" t="s">
        <v>9081</v>
      </c>
      <c r="F3259" t="s">
        <v>9082</v>
      </c>
      <c r="G3259">
        <v>3</v>
      </c>
      <c r="H3259">
        <v>1640</v>
      </c>
      <c r="I3259">
        <v>2</v>
      </c>
      <c r="J3259">
        <v>3.4</v>
      </c>
      <c r="K3259">
        <v>2</v>
      </c>
      <c r="L3259">
        <v>2.5999999999999999E-2</v>
      </c>
      <c r="M3259">
        <v>4</v>
      </c>
      <c r="N3259">
        <v>104</v>
      </c>
      <c r="O3259">
        <v>2</v>
      </c>
      <c r="P3259">
        <v>0.22500000000000001</v>
      </c>
      <c r="Q3259">
        <v>2</v>
      </c>
      <c r="R3259">
        <v>2E-3</v>
      </c>
      <c r="T3259" t="s">
        <v>9081</v>
      </c>
    </row>
    <row r="3260" spans="1:20" x14ac:dyDescent="0.2">
      <c r="A3260" t="s">
        <v>9083</v>
      </c>
      <c r="B3260" t="s">
        <v>2022</v>
      </c>
      <c r="C3260" t="s">
        <v>2053</v>
      </c>
      <c r="D3260" t="s">
        <v>2024</v>
      </c>
      <c r="E3260" t="s">
        <v>9084</v>
      </c>
      <c r="F3260" t="s">
        <v>9085</v>
      </c>
      <c r="G3260">
        <v>3</v>
      </c>
      <c r="H3260">
        <v>1700</v>
      </c>
      <c r="I3260">
        <v>2</v>
      </c>
      <c r="J3260">
        <v>4.05</v>
      </c>
      <c r="K3260">
        <v>2</v>
      </c>
      <c r="L3260">
        <v>8.5000000000000006E-2</v>
      </c>
      <c r="M3260">
        <v>2</v>
      </c>
      <c r="N3260">
        <v>83</v>
      </c>
      <c r="O3260">
        <v>1</v>
      </c>
      <c r="P3260">
        <v>7.4999999999999997E-2</v>
      </c>
      <c r="Q3260">
        <v>2</v>
      </c>
      <c r="R3260">
        <v>5.1999999999999998E-3</v>
      </c>
      <c r="T3260" t="s">
        <v>9084</v>
      </c>
    </row>
    <row r="3261" spans="1:20" x14ac:dyDescent="0.2">
      <c r="A3261" t="s">
        <v>9086</v>
      </c>
      <c r="B3261" t="s">
        <v>2022</v>
      </c>
      <c r="C3261" t="s">
        <v>2049</v>
      </c>
      <c r="D3261" t="s">
        <v>2024</v>
      </c>
      <c r="E3261" t="s">
        <v>9087</v>
      </c>
      <c r="F3261" t="s">
        <v>9088</v>
      </c>
      <c r="G3261">
        <v>2</v>
      </c>
      <c r="H3261">
        <v>1450</v>
      </c>
      <c r="I3261">
        <v>2</v>
      </c>
      <c r="J3261">
        <v>3.2</v>
      </c>
      <c r="K3261">
        <v>2</v>
      </c>
      <c r="L3261">
        <v>0.06</v>
      </c>
      <c r="M3261">
        <v>1</v>
      </c>
      <c r="N3261">
        <v>86</v>
      </c>
      <c r="O3261">
        <v>2</v>
      </c>
      <c r="P3261">
        <v>0.26</v>
      </c>
      <c r="Q3261">
        <v>1</v>
      </c>
      <c r="R3261">
        <v>8.4999999999999995E-4</v>
      </c>
      <c r="T3261" t="s">
        <v>9087</v>
      </c>
    </row>
    <row r="3262" spans="1:20" x14ac:dyDescent="0.2">
      <c r="A3262" t="s">
        <v>9089</v>
      </c>
      <c r="B3262" t="s">
        <v>2022</v>
      </c>
      <c r="C3262" t="s">
        <v>2049</v>
      </c>
      <c r="D3262" t="s">
        <v>2136</v>
      </c>
      <c r="E3262" t="s">
        <v>9090</v>
      </c>
      <c r="F3262" t="s">
        <v>9091</v>
      </c>
      <c r="G3262">
        <v>5</v>
      </c>
      <c r="H3262">
        <v>1750</v>
      </c>
      <c r="I3262">
        <v>5</v>
      </c>
      <c r="J3262">
        <v>8.6</v>
      </c>
      <c r="K3262">
        <v>4</v>
      </c>
      <c r="L3262">
        <v>0.22</v>
      </c>
      <c r="M3262">
        <v>3</v>
      </c>
      <c r="N3262">
        <v>126</v>
      </c>
      <c r="O3262">
        <v>4</v>
      </c>
      <c r="P3262">
        <v>0.66</v>
      </c>
      <c r="Q3262">
        <v>3</v>
      </c>
      <c r="R3262">
        <v>1.52E-2</v>
      </c>
      <c r="T3262" t="s">
        <v>9090</v>
      </c>
    </row>
    <row r="3263" spans="1:20" x14ac:dyDescent="0.2">
      <c r="A3263" t="s">
        <v>9092</v>
      </c>
      <c r="B3263" t="s">
        <v>2022</v>
      </c>
      <c r="C3263" t="s">
        <v>2101</v>
      </c>
      <c r="D3263" t="s">
        <v>2024</v>
      </c>
      <c r="E3263" t="s">
        <v>9093</v>
      </c>
      <c r="F3263" t="s">
        <v>9094</v>
      </c>
      <c r="G3263">
        <v>5</v>
      </c>
      <c r="H3263">
        <v>1970</v>
      </c>
      <c r="I3263">
        <v>3</v>
      </c>
      <c r="J3263">
        <v>8</v>
      </c>
      <c r="K3263">
        <v>2</v>
      </c>
      <c r="L3263">
        <v>9.6500000000000002E-2</v>
      </c>
      <c r="M3263">
        <v>3</v>
      </c>
      <c r="N3263">
        <v>82</v>
      </c>
      <c r="O3263">
        <v>2</v>
      </c>
      <c r="P3263">
        <v>0.22500000000000001</v>
      </c>
      <c r="Q3263">
        <v>2</v>
      </c>
      <c r="R3263">
        <v>4.4999999999999997E-3</v>
      </c>
      <c r="T3263" t="s">
        <v>9093</v>
      </c>
    </row>
    <row r="3264" spans="1:20" x14ac:dyDescent="0.2">
      <c r="A3264" t="s">
        <v>9095</v>
      </c>
      <c r="B3264" t="s">
        <v>2022</v>
      </c>
      <c r="C3264" t="s">
        <v>2053</v>
      </c>
      <c r="D3264" t="s">
        <v>2024</v>
      </c>
      <c r="E3264" t="s">
        <v>9096</v>
      </c>
      <c r="F3264" t="s">
        <v>9097</v>
      </c>
      <c r="G3264">
        <v>5</v>
      </c>
      <c r="H3264">
        <v>1900</v>
      </c>
      <c r="I3264">
        <v>2</v>
      </c>
      <c r="J3264">
        <v>4.05</v>
      </c>
      <c r="K3264">
        <v>2</v>
      </c>
      <c r="L3264">
        <v>8.5000000000000006E-2</v>
      </c>
      <c r="M3264">
        <v>3</v>
      </c>
      <c r="N3264">
        <v>93</v>
      </c>
      <c r="O3264">
        <v>2</v>
      </c>
      <c r="P3264">
        <v>0.22500000000000001</v>
      </c>
      <c r="Q3264">
        <v>1</v>
      </c>
      <c r="R3264">
        <v>8.4999999999999995E-4</v>
      </c>
      <c r="T3264" t="s">
        <v>9096</v>
      </c>
    </row>
    <row r="3265" spans="1:20" x14ac:dyDescent="0.2">
      <c r="A3265" t="s">
        <v>9098</v>
      </c>
      <c r="B3265" t="s">
        <v>2022</v>
      </c>
      <c r="C3265" t="s">
        <v>2104</v>
      </c>
      <c r="D3265" t="s">
        <v>2024</v>
      </c>
      <c r="E3265" t="s">
        <v>9096</v>
      </c>
      <c r="F3265" t="s">
        <v>9097</v>
      </c>
      <c r="G3265">
        <v>4</v>
      </c>
      <c r="H3265">
        <v>2062.5</v>
      </c>
      <c r="I3265">
        <v>3</v>
      </c>
      <c r="J3265">
        <v>5.55</v>
      </c>
      <c r="K3265">
        <v>3</v>
      </c>
      <c r="L3265">
        <v>9.0999999999999998E-2</v>
      </c>
      <c r="M3265">
        <v>4</v>
      </c>
      <c r="N3265">
        <v>81</v>
      </c>
      <c r="P3265">
        <v>0</v>
      </c>
      <c r="Q3265">
        <v>2</v>
      </c>
      <c r="R3265">
        <v>3.2000000000000002E-3</v>
      </c>
      <c r="T3265" t="s">
        <v>9096</v>
      </c>
    </row>
    <row r="3266" spans="1:20" x14ac:dyDescent="0.2">
      <c r="A3266" t="s">
        <v>9099</v>
      </c>
      <c r="B3266" t="s">
        <v>2022</v>
      </c>
      <c r="C3266" t="s">
        <v>2036</v>
      </c>
      <c r="D3266" t="s">
        <v>2024</v>
      </c>
      <c r="E3266" t="s">
        <v>9096</v>
      </c>
      <c r="F3266" t="s">
        <v>9097</v>
      </c>
      <c r="G3266">
        <v>5</v>
      </c>
      <c r="H3266">
        <v>1940</v>
      </c>
      <c r="I3266">
        <v>1</v>
      </c>
      <c r="J3266">
        <v>2.2000000000000002</v>
      </c>
      <c r="K3266">
        <v>1</v>
      </c>
      <c r="L3266">
        <v>5.5E-2</v>
      </c>
      <c r="M3266">
        <v>4</v>
      </c>
      <c r="N3266">
        <v>94</v>
      </c>
      <c r="O3266">
        <v>1</v>
      </c>
      <c r="P3266">
        <v>9.5000000000000001E-2</v>
      </c>
      <c r="Q3266">
        <v>1</v>
      </c>
      <c r="R3266">
        <v>1.5E-3</v>
      </c>
      <c r="T3266" t="s">
        <v>9096</v>
      </c>
    </row>
    <row r="3267" spans="1:20" x14ac:dyDescent="0.2">
      <c r="A3267" t="s">
        <v>9100</v>
      </c>
      <c r="B3267" t="s">
        <v>2022</v>
      </c>
      <c r="C3267" t="s">
        <v>2104</v>
      </c>
      <c r="D3267" t="s">
        <v>2024</v>
      </c>
      <c r="E3267" t="s">
        <v>9096</v>
      </c>
      <c r="F3267" t="s">
        <v>9097</v>
      </c>
      <c r="G3267">
        <v>3</v>
      </c>
      <c r="H3267">
        <v>1887.5</v>
      </c>
      <c r="I3267">
        <v>4</v>
      </c>
      <c r="J3267">
        <v>7.85</v>
      </c>
      <c r="K3267">
        <v>5</v>
      </c>
      <c r="L3267">
        <v>0.191</v>
      </c>
      <c r="M3267">
        <v>3</v>
      </c>
      <c r="N3267">
        <v>73</v>
      </c>
      <c r="P3267">
        <v>0</v>
      </c>
      <c r="Q3267">
        <v>4</v>
      </c>
      <c r="R3267">
        <v>1.32E-2</v>
      </c>
      <c r="T3267" t="s">
        <v>9096</v>
      </c>
    </row>
    <row r="3268" spans="1:20" x14ac:dyDescent="0.2">
      <c r="A3268" t="s">
        <v>9101</v>
      </c>
      <c r="B3268" t="s">
        <v>2022</v>
      </c>
      <c r="C3268" t="s">
        <v>2023</v>
      </c>
      <c r="D3268" t="s">
        <v>2136</v>
      </c>
      <c r="E3268" t="s">
        <v>9102</v>
      </c>
      <c r="F3268" t="s">
        <v>9103</v>
      </c>
      <c r="G3268">
        <v>5</v>
      </c>
      <c r="H3268">
        <v>1800</v>
      </c>
      <c r="I3268">
        <v>4</v>
      </c>
      <c r="J3268">
        <v>8.4</v>
      </c>
      <c r="K3268">
        <v>5</v>
      </c>
      <c r="L3268">
        <v>8.5999999999999993E-2</v>
      </c>
      <c r="M3268">
        <v>1</v>
      </c>
      <c r="N3268">
        <v>74</v>
      </c>
      <c r="O3268">
        <v>3</v>
      </c>
      <c r="P3268">
        <v>0.375</v>
      </c>
      <c r="Q3268">
        <v>5</v>
      </c>
      <c r="R3268">
        <v>8.0000000000000002E-3</v>
      </c>
      <c r="T3268" t="s">
        <v>9102</v>
      </c>
    </row>
    <row r="3269" spans="1:20" x14ac:dyDescent="0.2">
      <c r="A3269" t="s">
        <v>9104</v>
      </c>
      <c r="B3269" t="s">
        <v>2022</v>
      </c>
      <c r="C3269" t="s">
        <v>2036</v>
      </c>
      <c r="D3269" t="s">
        <v>2024</v>
      </c>
      <c r="E3269" t="s">
        <v>9105</v>
      </c>
      <c r="F3269" t="s">
        <v>9106</v>
      </c>
      <c r="G3269">
        <v>2</v>
      </c>
      <c r="H3269">
        <v>1640</v>
      </c>
      <c r="I3269">
        <v>3</v>
      </c>
      <c r="J3269">
        <v>4.5999999999999996</v>
      </c>
      <c r="K3269">
        <v>2</v>
      </c>
      <c r="L3269">
        <v>8.5000000000000006E-2</v>
      </c>
      <c r="M3269">
        <v>1</v>
      </c>
      <c r="N3269">
        <v>76</v>
      </c>
      <c r="O3269">
        <v>2</v>
      </c>
      <c r="P3269">
        <v>0.20499999999999999</v>
      </c>
      <c r="Q3269">
        <v>2</v>
      </c>
      <c r="R3269">
        <v>4.2500000000000003E-3</v>
      </c>
      <c r="T3269" t="s">
        <v>9105</v>
      </c>
    </row>
    <row r="3270" spans="1:20" x14ac:dyDescent="0.2">
      <c r="A3270" t="s">
        <v>9107</v>
      </c>
      <c r="B3270" t="s">
        <v>2022</v>
      </c>
      <c r="C3270" t="s">
        <v>2053</v>
      </c>
      <c r="D3270" t="s">
        <v>2136</v>
      </c>
      <c r="E3270" t="s">
        <v>9108</v>
      </c>
      <c r="F3270" t="s">
        <v>9109</v>
      </c>
      <c r="G3270">
        <v>2</v>
      </c>
      <c r="H3270">
        <v>1600</v>
      </c>
      <c r="I3270">
        <v>2</v>
      </c>
      <c r="J3270">
        <v>4.05</v>
      </c>
      <c r="K3270">
        <v>2</v>
      </c>
      <c r="L3270">
        <v>8.5000000000000006E-2</v>
      </c>
      <c r="M3270">
        <v>4</v>
      </c>
      <c r="N3270">
        <v>103</v>
      </c>
      <c r="O3270">
        <v>2</v>
      </c>
      <c r="P3270">
        <v>0.22500000000000001</v>
      </c>
      <c r="Q3270">
        <v>2</v>
      </c>
      <c r="R3270">
        <v>5.1999999999999998E-3</v>
      </c>
      <c r="T3270" t="s">
        <v>9108</v>
      </c>
    </row>
    <row r="3271" spans="1:20" x14ac:dyDescent="0.2">
      <c r="A3271" t="s">
        <v>9110</v>
      </c>
      <c r="B3271" t="s">
        <v>2022</v>
      </c>
      <c r="C3271" t="s">
        <v>2222</v>
      </c>
      <c r="D3271" t="s">
        <v>2024</v>
      </c>
      <c r="E3271" t="s">
        <v>9111</v>
      </c>
      <c r="F3271" t="s">
        <v>9112</v>
      </c>
      <c r="G3271">
        <v>5</v>
      </c>
      <c r="H3271">
        <v>1850</v>
      </c>
      <c r="I3271">
        <v>1</v>
      </c>
      <c r="J3271">
        <v>2.2999999999999998</v>
      </c>
      <c r="K3271">
        <v>2</v>
      </c>
      <c r="L3271">
        <v>5.5E-2</v>
      </c>
      <c r="M3271">
        <v>5</v>
      </c>
      <c r="N3271">
        <v>75</v>
      </c>
      <c r="O3271">
        <v>1</v>
      </c>
      <c r="P3271">
        <v>7.0000000000000007E-2</v>
      </c>
      <c r="Q3271">
        <v>1</v>
      </c>
      <c r="R3271">
        <v>4.0000000000000002E-4</v>
      </c>
      <c r="T3271" t="s">
        <v>9111</v>
      </c>
    </row>
    <row r="3272" spans="1:20" x14ac:dyDescent="0.2">
      <c r="A3272" t="s">
        <v>9113</v>
      </c>
      <c r="B3272" t="s">
        <v>2022</v>
      </c>
      <c r="C3272" t="s">
        <v>2222</v>
      </c>
      <c r="D3272" t="s">
        <v>2024</v>
      </c>
      <c r="E3272" t="s">
        <v>357</v>
      </c>
      <c r="F3272" t="s">
        <v>9114</v>
      </c>
      <c r="G3272">
        <v>5</v>
      </c>
      <c r="H3272">
        <v>1850</v>
      </c>
      <c r="I3272">
        <v>1</v>
      </c>
      <c r="J3272">
        <v>2.2999999999999998</v>
      </c>
      <c r="K3272">
        <v>1</v>
      </c>
      <c r="L3272">
        <v>0.01</v>
      </c>
      <c r="M3272">
        <v>4</v>
      </c>
      <c r="N3272">
        <v>71</v>
      </c>
      <c r="O3272">
        <v>1</v>
      </c>
      <c r="P3272">
        <v>7.0000000000000007E-2</v>
      </c>
      <c r="Q3272">
        <v>1</v>
      </c>
      <c r="R3272">
        <v>4.0000000000000002E-4</v>
      </c>
      <c r="T3272" t="s">
        <v>357</v>
      </c>
    </row>
    <row r="3273" spans="1:20" x14ac:dyDescent="0.2">
      <c r="A3273" t="s">
        <v>9115</v>
      </c>
      <c r="B3273" t="s">
        <v>2022</v>
      </c>
      <c r="C3273" t="s">
        <v>2049</v>
      </c>
      <c r="D3273" t="s">
        <v>2024</v>
      </c>
      <c r="E3273" t="s">
        <v>9116</v>
      </c>
      <c r="F3273" t="s">
        <v>9117</v>
      </c>
      <c r="G3273">
        <v>4</v>
      </c>
      <c r="H3273">
        <v>1650</v>
      </c>
      <c r="I3273">
        <v>4</v>
      </c>
      <c r="J3273">
        <v>6.8</v>
      </c>
      <c r="K3273">
        <v>4</v>
      </c>
      <c r="L3273">
        <v>0.22</v>
      </c>
      <c r="M3273">
        <v>2</v>
      </c>
      <c r="N3273">
        <v>106</v>
      </c>
      <c r="O3273">
        <v>3</v>
      </c>
      <c r="P3273">
        <v>0.46</v>
      </c>
      <c r="Q3273">
        <v>3</v>
      </c>
      <c r="R3273">
        <v>1.52E-2</v>
      </c>
      <c r="T3273" t="s">
        <v>9116</v>
      </c>
    </row>
    <row r="3274" spans="1:20" x14ac:dyDescent="0.2">
      <c r="A3274" t="s">
        <v>9118</v>
      </c>
      <c r="B3274" t="s">
        <v>2022</v>
      </c>
      <c r="C3274" t="s">
        <v>2023</v>
      </c>
      <c r="D3274" t="s">
        <v>2024</v>
      </c>
      <c r="E3274" t="s">
        <v>9119</v>
      </c>
      <c r="F3274" t="s">
        <v>9117</v>
      </c>
      <c r="G3274">
        <v>3</v>
      </c>
      <c r="H3274">
        <v>1640</v>
      </c>
      <c r="I3274">
        <v>2</v>
      </c>
      <c r="J3274">
        <v>3.4</v>
      </c>
      <c r="K3274">
        <v>2</v>
      </c>
      <c r="L3274">
        <v>2.5999999999999999E-2</v>
      </c>
      <c r="M3274">
        <v>2</v>
      </c>
      <c r="N3274">
        <v>84</v>
      </c>
      <c r="O3274">
        <v>2</v>
      </c>
      <c r="P3274">
        <v>0.22500000000000001</v>
      </c>
      <c r="Q3274">
        <v>2</v>
      </c>
      <c r="R3274">
        <v>2E-3</v>
      </c>
      <c r="T3274" t="s">
        <v>9119</v>
      </c>
    </row>
    <row r="3275" spans="1:20" x14ac:dyDescent="0.2">
      <c r="A3275" t="s">
        <v>9120</v>
      </c>
      <c r="B3275" t="s">
        <v>2022</v>
      </c>
      <c r="C3275" t="s">
        <v>2053</v>
      </c>
      <c r="D3275" t="s">
        <v>2024</v>
      </c>
      <c r="E3275" t="s">
        <v>9121</v>
      </c>
      <c r="F3275" t="s">
        <v>9122</v>
      </c>
      <c r="G3275">
        <v>4</v>
      </c>
      <c r="H3275">
        <v>1800</v>
      </c>
      <c r="I3275">
        <v>5</v>
      </c>
      <c r="J3275">
        <v>11.55</v>
      </c>
      <c r="K3275">
        <v>5</v>
      </c>
      <c r="L3275">
        <v>0.41499999999999998</v>
      </c>
      <c r="M3275">
        <v>2</v>
      </c>
      <c r="N3275">
        <v>83</v>
      </c>
      <c r="O3275">
        <v>5</v>
      </c>
      <c r="P3275">
        <v>0.67500000000000004</v>
      </c>
      <c r="Q3275">
        <v>5</v>
      </c>
      <c r="R3275">
        <v>2.6200000000000001E-2</v>
      </c>
      <c r="T3275" t="s">
        <v>9121</v>
      </c>
    </row>
    <row r="3276" spans="1:20" x14ac:dyDescent="0.2">
      <c r="A3276" t="s">
        <v>9123</v>
      </c>
      <c r="B3276" t="s">
        <v>2022</v>
      </c>
      <c r="C3276" t="s">
        <v>2036</v>
      </c>
      <c r="D3276" t="s">
        <v>2024</v>
      </c>
      <c r="E3276" t="s">
        <v>9124</v>
      </c>
      <c r="F3276" t="s">
        <v>9125</v>
      </c>
      <c r="G3276">
        <v>2</v>
      </c>
      <c r="H3276">
        <v>1640</v>
      </c>
      <c r="I3276">
        <v>2</v>
      </c>
      <c r="J3276">
        <v>3.4</v>
      </c>
      <c r="K3276">
        <v>2</v>
      </c>
      <c r="L3276">
        <v>8.5000000000000006E-2</v>
      </c>
      <c r="M3276">
        <v>1</v>
      </c>
      <c r="N3276">
        <v>76</v>
      </c>
      <c r="O3276">
        <v>1</v>
      </c>
      <c r="P3276">
        <v>9.5000000000000001E-2</v>
      </c>
      <c r="Q3276">
        <v>2</v>
      </c>
      <c r="R3276">
        <v>4.2500000000000003E-3</v>
      </c>
      <c r="T3276" t="s">
        <v>9124</v>
      </c>
    </row>
    <row r="3277" spans="1:20" x14ac:dyDescent="0.2">
      <c r="A3277" t="s">
        <v>9126</v>
      </c>
      <c r="B3277" t="s">
        <v>2022</v>
      </c>
      <c r="C3277" t="s">
        <v>2023</v>
      </c>
      <c r="D3277" t="s">
        <v>2024</v>
      </c>
      <c r="E3277" t="s">
        <v>9127</v>
      </c>
      <c r="F3277" t="s">
        <v>9128</v>
      </c>
      <c r="G3277">
        <v>4</v>
      </c>
      <c r="H3277">
        <v>1720</v>
      </c>
      <c r="I3277">
        <v>3</v>
      </c>
      <c r="J3277">
        <v>5.9</v>
      </c>
      <c r="K3277">
        <v>5</v>
      </c>
      <c r="L3277">
        <v>8.5999999999999993E-2</v>
      </c>
      <c r="M3277">
        <v>5</v>
      </c>
      <c r="N3277">
        <v>114</v>
      </c>
      <c r="O3277">
        <v>3</v>
      </c>
      <c r="P3277">
        <v>0.375</v>
      </c>
      <c r="Q3277">
        <v>5</v>
      </c>
      <c r="R3277">
        <v>8.0000000000000002E-3</v>
      </c>
      <c r="T3277" t="s">
        <v>9127</v>
      </c>
    </row>
    <row r="3278" spans="1:20" x14ac:dyDescent="0.2">
      <c r="A3278" t="s">
        <v>9129</v>
      </c>
      <c r="B3278" t="s">
        <v>2022</v>
      </c>
      <c r="C3278" t="s">
        <v>2023</v>
      </c>
      <c r="D3278" t="s">
        <v>2136</v>
      </c>
      <c r="E3278" t="s">
        <v>9130</v>
      </c>
      <c r="F3278" t="s">
        <v>9131</v>
      </c>
      <c r="G3278">
        <v>2</v>
      </c>
      <c r="H3278">
        <v>1560</v>
      </c>
      <c r="I3278">
        <v>1</v>
      </c>
      <c r="J3278">
        <v>0.9</v>
      </c>
      <c r="K3278">
        <v>2</v>
      </c>
      <c r="L3278">
        <v>2.5999999999999999E-2</v>
      </c>
      <c r="M3278">
        <v>2</v>
      </c>
      <c r="N3278">
        <v>84</v>
      </c>
      <c r="O3278">
        <v>1</v>
      </c>
      <c r="P3278">
        <v>7.4999999999999997E-2</v>
      </c>
      <c r="Q3278">
        <v>1</v>
      </c>
      <c r="R3278">
        <v>5.0000000000000001E-4</v>
      </c>
      <c r="T3278" t="s">
        <v>9130</v>
      </c>
    </row>
    <row r="3279" spans="1:20" x14ac:dyDescent="0.2">
      <c r="A3279" t="s">
        <v>9132</v>
      </c>
      <c r="B3279" t="s">
        <v>2022</v>
      </c>
      <c r="C3279" t="s">
        <v>2036</v>
      </c>
      <c r="D3279" t="s">
        <v>2024</v>
      </c>
      <c r="E3279" t="s">
        <v>9133</v>
      </c>
      <c r="F3279" t="s">
        <v>9134</v>
      </c>
      <c r="G3279">
        <v>3</v>
      </c>
      <c r="H3279">
        <v>1740</v>
      </c>
      <c r="I3279">
        <v>5</v>
      </c>
      <c r="J3279">
        <v>7</v>
      </c>
      <c r="K3279">
        <v>4</v>
      </c>
      <c r="L3279">
        <v>0.14499999999999999</v>
      </c>
      <c r="M3279">
        <v>1</v>
      </c>
      <c r="N3279">
        <v>76</v>
      </c>
      <c r="O3279">
        <v>5</v>
      </c>
      <c r="P3279">
        <v>0.53500000000000003</v>
      </c>
      <c r="Q3279">
        <v>3</v>
      </c>
      <c r="R3279">
        <v>6.7499999999999999E-3</v>
      </c>
      <c r="T3279" t="s">
        <v>9133</v>
      </c>
    </row>
    <row r="3280" spans="1:20" x14ac:dyDescent="0.2">
      <c r="A3280" t="s">
        <v>9135</v>
      </c>
      <c r="B3280" t="s">
        <v>2022</v>
      </c>
      <c r="C3280" t="s">
        <v>2023</v>
      </c>
      <c r="D3280" t="s">
        <v>2024</v>
      </c>
      <c r="E3280" t="s">
        <v>9136</v>
      </c>
      <c r="F3280" t="s">
        <v>9137</v>
      </c>
      <c r="G3280">
        <v>2</v>
      </c>
      <c r="H3280">
        <v>1560</v>
      </c>
      <c r="I3280">
        <v>1</v>
      </c>
      <c r="J3280">
        <v>0.9</v>
      </c>
      <c r="K3280">
        <v>2</v>
      </c>
      <c r="L3280">
        <v>2.5999999999999999E-2</v>
      </c>
      <c r="M3280">
        <v>2</v>
      </c>
      <c r="N3280">
        <v>84</v>
      </c>
      <c r="O3280">
        <v>1</v>
      </c>
      <c r="P3280">
        <v>7.4999999999999997E-2</v>
      </c>
      <c r="Q3280">
        <v>2</v>
      </c>
      <c r="R3280">
        <v>2E-3</v>
      </c>
      <c r="T3280" t="s">
        <v>9136</v>
      </c>
    </row>
    <row r="3281" spans="1:20" x14ac:dyDescent="0.2">
      <c r="A3281" t="s">
        <v>9138</v>
      </c>
      <c r="B3281" t="s">
        <v>2022</v>
      </c>
      <c r="C3281" t="s">
        <v>2023</v>
      </c>
      <c r="D3281" t="s">
        <v>2136</v>
      </c>
      <c r="E3281" t="s">
        <v>9139</v>
      </c>
      <c r="F3281" t="s">
        <v>9140</v>
      </c>
      <c r="G3281">
        <v>1</v>
      </c>
      <c r="H3281">
        <v>1480</v>
      </c>
      <c r="I3281">
        <v>1</v>
      </c>
      <c r="J3281">
        <v>0.9</v>
      </c>
      <c r="K3281">
        <v>2</v>
      </c>
      <c r="L3281">
        <v>2.5999999999999999E-2</v>
      </c>
      <c r="M3281">
        <v>2</v>
      </c>
      <c r="N3281">
        <v>84</v>
      </c>
      <c r="O3281">
        <v>1</v>
      </c>
      <c r="P3281">
        <v>7.4999999999999997E-2</v>
      </c>
      <c r="Q3281">
        <v>2</v>
      </c>
      <c r="R3281">
        <v>2E-3</v>
      </c>
      <c r="T3281" t="s">
        <v>9139</v>
      </c>
    </row>
    <row r="3282" spans="1:20" x14ac:dyDescent="0.2">
      <c r="A3282" t="s">
        <v>9141</v>
      </c>
      <c r="B3282" t="s">
        <v>2022</v>
      </c>
      <c r="C3282" t="s">
        <v>2106</v>
      </c>
      <c r="D3282" t="s">
        <v>2024</v>
      </c>
      <c r="E3282" t="s">
        <v>9142</v>
      </c>
      <c r="F3282" t="s">
        <v>9143</v>
      </c>
      <c r="G3282">
        <v>2</v>
      </c>
      <c r="H3282">
        <v>1825</v>
      </c>
      <c r="I3282">
        <v>1</v>
      </c>
      <c r="J3282">
        <v>3.25</v>
      </c>
      <c r="K3282">
        <v>2</v>
      </c>
      <c r="L3282">
        <v>0.06</v>
      </c>
      <c r="M3282">
        <v>2</v>
      </c>
      <c r="N3282">
        <v>68.5</v>
      </c>
      <c r="O3282">
        <v>2</v>
      </c>
      <c r="P3282">
        <v>0.15</v>
      </c>
      <c r="Q3282">
        <v>1</v>
      </c>
      <c r="R3282">
        <v>5.0000000000000001E-4</v>
      </c>
      <c r="T3282" t="s">
        <v>9142</v>
      </c>
    </row>
    <row r="3283" spans="1:20" x14ac:dyDescent="0.2">
      <c r="A3283" t="s">
        <v>9144</v>
      </c>
      <c r="B3283" t="s">
        <v>2022</v>
      </c>
      <c r="C3283" t="s">
        <v>2036</v>
      </c>
      <c r="D3283" t="s">
        <v>2024</v>
      </c>
      <c r="E3283" t="s">
        <v>9145</v>
      </c>
      <c r="F3283" t="s">
        <v>9146</v>
      </c>
      <c r="G3283">
        <v>4</v>
      </c>
      <c r="H3283">
        <v>1840</v>
      </c>
      <c r="I3283">
        <v>4</v>
      </c>
      <c r="J3283">
        <v>5.8</v>
      </c>
      <c r="K3283">
        <v>5</v>
      </c>
      <c r="L3283">
        <v>0.17499999999999999</v>
      </c>
      <c r="M3283">
        <v>3</v>
      </c>
      <c r="N3283">
        <v>88</v>
      </c>
      <c r="O3283">
        <v>3</v>
      </c>
      <c r="P3283">
        <v>0.315</v>
      </c>
      <c r="Q3283">
        <v>4</v>
      </c>
      <c r="R3283">
        <v>9.2499999999999995E-3</v>
      </c>
      <c r="T3283" t="s">
        <v>9145</v>
      </c>
    </row>
    <row r="3284" spans="1:20" x14ac:dyDescent="0.2">
      <c r="A3284" t="s">
        <v>9147</v>
      </c>
      <c r="B3284" t="s">
        <v>2022</v>
      </c>
      <c r="C3284" t="s">
        <v>2049</v>
      </c>
      <c r="D3284" t="s">
        <v>2136</v>
      </c>
      <c r="E3284" t="s">
        <v>9148</v>
      </c>
      <c r="F3284" t="s">
        <v>9149</v>
      </c>
      <c r="G3284">
        <v>3</v>
      </c>
      <c r="H3284">
        <v>1550</v>
      </c>
      <c r="I3284">
        <v>3</v>
      </c>
      <c r="J3284">
        <v>5</v>
      </c>
      <c r="K3284">
        <v>4</v>
      </c>
      <c r="L3284">
        <v>0.22</v>
      </c>
      <c r="M3284">
        <v>3</v>
      </c>
      <c r="N3284">
        <v>126</v>
      </c>
      <c r="O3284">
        <v>3</v>
      </c>
      <c r="P3284">
        <v>0.46</v>
      </c>
      <c r="Q3284">
        <v>3</v>
      </c>
      <c r="R3284">
        <v>1.52E-2</v>
      </c>
      <c r="T3284" t="s">
        <v>9148</v>
      </c>
    </row>
    <row r="3285" spans="1:20" x14ac:dyDescent="0.2">
      <c r="A3285" t="s">
        <v>9150</v>
      </c>
      <c r="B3285" t="s">
        <v>2022</v>
      </c>
      <c r="C3285" t="s">
        <v>2023</v>
      </c>
      <c r="D3285" t="s">
        <v>2136</v>
      </c>
      <c r="E3285" t="s">
        <v>9151</v>
      </c>
      <c r="F3285" t="s">
        <v>9152</v>
      </c>
      <c r="G3285">
        <v>2</v>
      </c>
      <c r="H3285">
        <v>1560</v>
      </c>
      <c r="I3285">
        <v>2</v>
      </c>
      <c r="J3285">
        <v>3.4</v>
      </c>
      <c r="K3285">
        <v>3</v>
      </c>
      <c r="L3285">
        <v>4.5999999999999999E-2</v>
      </c>
      <c r="M3285">
        <v>2</v>
      </c>
      <c r="N3285">
        <v>84</v>
      </c>
      <c r="O3285">
        <v>2</v>
      </c>
      <c r="P3285">
        <v>0.22500000000000001</v>
      </c>
      <c r="Q3285">
        <v>2</v>
      </c>
      <c r="R3285">
        <v>2E-3</v>
      </c>
      <c r="T3285" t="s">
        <v>9151</v>
      </c>
    </row>
    <row r="3286" spans="1:20" x14ac:dyDescent="0.2">
      <c r="A3286" t="s">
        <v>9153</v>
      </c>
      <c r="B3286" t="s">
        <v>2022</v>
      </c>
      <c r="C3286" t="s">
        <v>2023</v>
      </c>
      <c r="D3286" t="s">
        <v>2024</v>
      </c>
      <c r="E3286" t="s">
        <v>9154</v>
      </c>
      <c r="F3286" t="s">
        <v>447</v>
      </c>
      <c r="G3286">
        <v>4</v>
      </c>
      <c r="H3286">
        <v>1720</v>
      </c>
      <c r="I3286">
        <v>5</v>
      </c>
      <c r="J3286">
        <v>10.9</v>
      </c>
      <c r="K3286">
        <v>5</v>
      </c>
      <c r="L3286">
        <v>8.5999999999999993E-2</v>
      </c>
      <c r="M3286">
        <v>5</v>
      </c>
      <c r="N3286">
        <v>114</v>
      </c>
      <c r="O3286">
        <v>5</v>
      </c>
      <c r="P3286">
        <v>0.67500000000000004</v>
      </c>
      <c r="Q3286">
        <v>5</v>
      </c>
      <c r="R3286">
        <v>8.0000000000000002E-3</v>
      </c>
      <c r="T3286" t="s">
        <v>9154</v>
      </c>
    </row>
    <row r="3287" spans="1:20" x14ac:dyDescent="0.2">
      <c r="A3287" t="s">
        <v>9155</v>
      </c>
      <c r="B3287" t="s">
        <v>2022</v>
      </c>
      <c r="C3287" t="s">
        <v>2101</v>
      </c>
      <c r="D3287" t="s">
        <v>2024</v>
      </c>
      <c r="E3287" t="s">
        <v>9154</v>
      </c>
      <c r="F3287" t="s">
        <v>447</v>
      </c>
      <c r="G3287">
        <v>5</v>
      </c>
      <c r="H3287">
        <v>1970</v>
      </c>
      <c r="I3287">
        <v>5</v>
      </c>
      <c r="J3287">
        <v>14</v>
      </c>
      <c r="K3287">
        <v>5</v>
      </c>
      <c r="L3287">
        <v>0.53749999999999998</v>
      </c>
      <c r="M3287">
        <v>4</v>
      </c>
      <c r="N3287">
        <v>90</v>
      </c>
      <c r="O3287">
        <v>5</v>
      </c>
      <c r="P3287">
        <v>0.67500000000000004</v>
      </c>
      <c r="Q3287">
        <v>5</v>
      </c>
      <c r="R3287">
        <v>2.5499999999999998E-2</v>
      </c>
      <c r="T3287" t="s">
        <v>9154</v>
      </c>
    </row>
    <row r="3288" spans="1:20" x14ac:dyDescent="0.2">
      <c r="A3288" t="s">
        <v>9156</v>
      </c>
      <c r="B3288" t="s">
        <v>2022</v>
      </c>
      <c r="C3288" t="s">
        <v>2023</v>
      </c>
      <c r="D3288" t="s">
        <v>2024</v>
      </c>
      <c r="E3288" t="s">
        <v>9157</v>
      </c>
      <c r="F3288" t="s">
        <v>9158</v>
      </c>
      <c r="G3288">
        <v>2</v>
      </c>
      <c r="H3288">
        <v>1560</v>
      </c>
      <c r="I3288">
        <v>4</v>
      </c>
      <c r="J3288">
        <v>8.4</v>
      </c>
      <c r="K3288">
        <v>5</v>
      </c>
      <c r="L3288">
        <v>8.5999999999999993E-2</v>
      </c>
      <c r="M3288">
        <v>5</v>
      </c>
      <c r="N3288">
        <v>114</v>
      </c>
      <c r="O3288">
        <v>5</v>
      </c>
      <c r="P3288">
        <v>0.67500000000000004</v>
      </c>
      <c r="Q3288">
        <v>5</v>
      </c>
      <c r="R3288">
        <v>8.0000000000000002E-3</v>
      </c>
      <c r="T3288" t="s">
        <v>9157</v>
      </c>
    </row>
    <row r="3289" spans="1:20" x14ac:dyDescent="0.2">
      <c r="A3289" t="s">
        <v>9159</v>
      </c>
      <c r="B3289" t="s">
        <v>2022</v>
      </c>
      <c r="C3289" t="s">
        <v>2104</v>
      </c>
      <c r="D3289" t="s">
        <v>2136</v>
      </c>
      <c r="E3289" t="s">
        <v>357</v>
      </c>
      <c r="F3289" t="s">
        <v>447</v>
      </c>
      <c r="G3289">
        <v>5</v>
      </c>
      <c r="H3289">
        <v>2237.5</v>
      </c>
      <c r="I3289">
        <v>5</v>
      </c>
      <c r="J3289">
        <v>10.15</v>
      </c>
      <c r="K3289">
        <v>5</v>
      </c>
      <c r="L3289">
        <v>0.191</v>
      </c>
      <c r="M3289">
        <v>5</v>
      </c>
      <c r="N3289">
        <v>89</v>
      </c>
      <c r="P3289">
        <v>0</v>
      </c>
      <c r="Q3289">
        <v>5</v>
      </c>
      <c r="R3289">
        <v>1.8200000000000001E-2</v>
      </c>
      <c r="T3289" t="s">
        <v>357</v>
      </c>
    </row>
    <row r="3290" spans="1:20" x14ac:dyDescent="0.2">
      <c r="A3290" t="s">
        <v>9160</v>
      </c>
      <c r="B3290" t="s">
        <v>2022</v>
      </c>
      <c r="C3290" t="s">
        <v>2049</v>
      </c>
      <c r="D3290" t="s">
        <v>2024</v>
      </c>
      <c r="E3290" t="s">
        <v>9161</v>
      </c>
      <c r="F3290" t="s">
        <v>9162</v>
      </c>
      <c r="G3290">
        <v>3</v>
      </c>
      <c r="H3290">
        <v>1550</v>
      </c>
      <c r="I3290">
        <v>3</v>
      </c>
      <c r="J3290">
        <v>5</v>
      </c>
      <c r="K3290">
        <v>3</v>
      </c>
      <c r="L3290">
        <v>0.14000000000000001</v>
      </c>
      <c r="M3290">
        <v>2</v>
      </c>
      <c r="N3290">
        <v>106</v>
      </c>
      <c r="O3290">
        <v>2</v>
      </c>
      <c r="P3290">
        <v>0.26</v>
      </c>
      <c r="Q3290">
        <v>2</v>
      </c>
      <c r="R3290">
        <v>6.1999999999999998E-3</v>
      </c>
      <c r="T3290" t="s">
        <v>9161</v>
      </c>
    </row>
    <row r="3291" spans="1:20" x14ac:dyDescent="0.2">
      <c r="A3291" t="s">
        <v>9163</v>
      </c>
      <c r="B3291" t="s">
        <v>2022</v>
      </c>
      <c r="C3291" t="s">
        <v>2023</v>
      </c>
      <c r="D3291" t="s">
        <v>2024</v>
      </c>
      <c r="E3291" t="s">
        <v>9164</v>
      </c>
      <c r="F3291" t="s">
        <v>9162</v>
      </c>
      <c r="G3291">
        <v>2</v>
      </c>
      <c r="H3291">
        <v>1560</v>
      </c>
      <c r="I3291">
        <v>3</v>
      </c>
      <c r="J3291">
        <v>5.9</v>
      </c>
      <c r="K3291">
        <v>5</v>
      </c>
      <c r="L3291">
        <v>8.5999999999999993E-2</v>
      </c>
      <c r="M3291">
        <v>2</v>
      </c>
      <c r="N3291">
        <v>84</v>
      </c>
      <c r="O3291">
        <v>3</v>
      </c>
      <c r="P3291">
        <v>0.375</v>
      </c>
      <c r="Q3291">
        <v>4</v>
      </c>
      <c r="R3291">
        <v>6.0000000000000001E-3</v>
      </c>
      <c r="T3291" t="s">
        <v>9164</v>
      </c>
    </row>
    <row r="3292" spans="1:20" x14ac:dyDescent="0.2">
      <c r="A3292" t="s">
        <v>9165</v>
      </c>
      <c r="B3292" t="s">
        <v>2022</v>
      </c>
      <c r="C3292" t="s">
        <v>2023</v>
      </c>
      <c r="D3292" t="s">
        <v>2024</v>
      </c>
      <c r="E3292" t="s">
        <v>9166</v>
      </c>
      <c r="F3292" t="s">
        <v>9167</v>
      </c>
      <c r="G3292">
        <v>3</v>
      </c>
      <c r="H3292">
        <v>1640</v>
      </c>
      <c r="I3292">
        <v>3</v>
      </c>
      <c r="J3292">
        <v>5.9</v>
      </c>
      <c r="K3292">
        <v>3</v>
      </c>
      <c r="L3292">
        <v>4.5999999999999999E-2</v>
      </c>
      <c r="M3292">
        <v>2</v>
      </c>
      <c r="N3292">
        <v>84</v>
      </c>
      <c r="O3292">
        <v>2</v>
      </c>
      <c r="P3292">
        <v>0.22500000000000001</v>
      </c>
      <c r="Q3292">
        <v>2</v>
      </c>
      <c r="R3292">
        <v>2E-3</v>
      </c>
      <c r="T3292" t="s">
        <v>9166</v>
      </c>
    </row>
    <row r="3293" spans="1:20" x14ac:dyDescent="0.2">
      <c r="A3293" t="s">
        <v>9168</v>
      </c>
      <c r="B3293" t="s">
        <v>2022</v>
      </c>
      <c r="C3293" t="s">
        <v>2101</v>
      </c>
      <c r="D3293" t="s">
        <v>2024</v>
      </c>
      <c r="E3293" t="s">
        <v>9169</v>
      </c>
      <c r="F3293" t="s">
        <v>447</v>
      </c>
      <c r="G3293">
        <v>5</v>
      </c>
      <c r="H3293">
        <v>1970</v>
      </c>
      <c r="I3293">
        <v>2</v>
      </c>
      <c r="J3293">
        <v>5</v>
      </c>
      <c r="K3293">
        <v>1</v>
      </c>
      <c r="L3293">
        <v>1.15E-2</v>
      </c>
      <c r="M3293">
        <v>2</v>
      </c>
      <c r="N3293">
        <v>74</v>
      </c>
      <c r="O3293">
        <v>2</v>
      </c>
      <c r="P3293">
        <v>0.22500000000000001</v>
      </c>
      <c r="Q3293">
        <v>1</v>
      </c>
      <c r="R3293">
        <v>5.0000000000000001E-4</v>
      </c>
      <c r="T3293" t="s">
        <v>9169</v>
      </c>
    </row>
    <row r="3294" spans="1:20" x14ac:dyDescent="0.2">
      <c r="A3294" t="s">
        <v>9170</v>
      </c>
      <c r="B3294" t="s">
        <v>2022</v>
      </c>
      <c r="C3294" t="s">
        <v>2101</v>
      </c>
      <c r="D3294" t="s">
        <v>2024</v>
      </c>
      <c r="E3294" t="s">
        <v>9171</v>
      </c>
      <c r="F3294" t="s">
        <v>9172</v>
      </c>
      <c r="G3294">
        <v>3</v>
      </c>
      <c r="H3294">
        <v>1770</v>
      </c>
      <c r="I3294">
        <v>2</v>
      </c>
      <c r="J3294">
        <v>5</v>
      </c>
      <c r="K3294">
        <v>1</v>
      </c>
      <c r="L3294">
        <v>1.15E-2</v>
      </c>
      <c r="M3294">
        <v>3</v>
      </c>
      <c r="N3294">
        <v>82</v>
      </c>
      <c r="O3294">
        <v>2</v>
      </c>
      <c r="P3294">
        <v>0.22500000000000001</v>
      </c>
      <c r="Q3294">
        <v>1</v>
      </c>
      <c r="R3294">
        <v>5.0000000000000001E-4</v>
      </c>
      <c r="T3294" t="s">
        <v>9171</v>
      </c>
    </row>
    <row r="3295" spans="1:20" x14ac:dyDescent="0.2">
      <c r="A3295" t="s">
        <v>9173</v>
      </c>
      <c r="B3295" t="s">
        <v>2022</v>
      </c>
      <c r="C3295" t="s">
        <v>2023</v>
      </c>
      <c r="D3295" t="s">
        <v>2024</v>
      </c>
      <c r="E3295" t="s">
        <v>9174</v>
      </c>
      <c r="F3295" t="s">
        <v>9175</v>
      </c>
      <c r="G3295">
        <v>5</v>
      </c>
      <c r="H3295">
        <v>1800</v>
      </c>
      <c r="I3295">
        <v>5</v>
      </c>
      <c r="J3295">
        <v>10.9</v>
      </c>
      <c r="K3295">
        <v>5</v>
      </c>
      <c r="L3295">
        <v>8.5999999999999993E-2</v>
      </c>
      <c r="M3295">
        <v>4</v>
      </c>
      <c r="N3295">
        <v>104</v>
      </c>
      <c r="O3295">
        <v>5</v>
      </c>
      <c r="P3295">
        <v>0.67500000000000004</v>
      </c>
      <c r="Q3295">
        <v>5</v>
      </c>
      <c r="R3295">
        <v>8.0000000000000002E-3</v>
      </c>
      <c r="T3295" t="s">
        <v>9174</v>
      </c>
    </row>
    <row r="3296" spans="1:20" x14ac:dyDescent="0.2">
      <c r="A3296" t="s">
        <v>9176</v>
      </c>
      <c r="B3296" t="s">
        <v>2022</v>
      </c>
      <c r="C3296" t="s">
        <v>2036</v>
      </c>
      <c r="D3296" t="s">
        <v>2024</v>
      </c>
      <c r="E3296" t="s">
        <v>9177</v>
      </c>
      <c r="F3296" t="s">
        <v>9178</v>
      </c>
      <c r="G3296">
        <v>1</v>
      </c>
      <c r="H3296">
        <v>1540</v>
      </c>
      <c r="I3296">
        <v>3</v>
      </c>
      <c r="J3296">
        <v>4.5999999999999996</v>
      </c>
      <c r="K3296">
        <v>2</v>
      </c>
      <c r="L3296">
        <v>8.5000000000000006E-2</v>
      </c>
      <c r="M3296">
        <v>1</v>
      </c>
      <c r="N3296">
        <v>76</v>
      </c>
      <c r="O3296">
        <v>2</v>
      </c>
      <c r="P3296">
        <v>0.20499999999999999</v>
      </c>
      <c r="Q3296">
        <v>2</v>
      </c>
      <c r="R3296">
        <v>4.2500000000000003E-3</v>
      </c>
      <c r="T3296" t="s">
        <v>9177</v>
      </c>
    </row>
    <row r="3297" spans="1:20" x14ac:dyDescent="0.2">
      <c r="A3297" t="s">
        <v>9179</v>
      </c>
      <c r="B3297" t="s">
        <v>2022</v>
      </c>
      <c r="C3297" t="s">
        <v>2023</v>
      </c>
      <c r="D3297" t="s">
        <v>2024</v>
      </c>
      <c r="E3297" t="s">
        <v>9180</v>
      </c>
      <c r="F3297" t="s">
        <v>9181</v>
      </c>
      <c r="G3297">
        <v>5</v>
      </c>
      <c r="H3297">
        <v>1800</v>
      </c>
      <c r="I3297">
        <v>4</v>
      </c>
      <c r="J3297">
        <v>8.4</v>
      </c>
      <c r="K3297">
        <v>5</v>
      </c>
      <c r="L3297">
        <v>8.5999999999999993E-2</v>
      </c>
      <c r="M3297">
        <v>4</v>
      </c>
      <c r="N3297">
        <v>104</v>
      </c>
      <c r="O3297">
        <v>4</v>
      </c>
      <c r="P3297">
        <v>0.52500000000000002</v>
      </c>
      <c r="Q3297">
        <v>5</v>
      </c>
      <c r="R3297">
        <v>8.0000000000000002E-3</v>
      </c>
      <c r="T3297" t="s">
        <v>9180</v>
      </c>
    </row>
    <row r="3298" spans="1:20" x14ac:dyDescent="0.2">
      <c r="A3298" t="s">
        <v>9182</v>
      </c>
      <c r="B3298" t="s">
        <v>2022</v>
      </c>
      <c r="C3298" t="s">
        <v>2036</v>
      </c>
      <c r="D3298" t="s">
        <v>2136</v>
      </c>
      <c r="E3298" t="s">
        <v>9183</v>
      </c>
      <c r="F3298" t="s">
        <v>9184</v>
      </c>
      <c r="G3298">
        <v>4</v>
      </c>
      <c r="H3298">
        <v>1840</v>
      </c>
      <c r="I3298">
        <v>2</v>
      </c>
      <c r="J3298">
        <v>3.4</v>
      </c>
      <c r="K3298">
        <v>5</v>
      </c>
      <c r="L3298">
        <v>0.17499999999999999</v>
      </c>
      <c r="M3298">
        <v>5</v>
      </c>
      <c r="N3298">
        <v>100</v>
      </c>
      <c r="O3298">
        <v>3</v>
      </c>
      <c r="P3298">
        <v>0.315</v>
      </c>
      <c r="Q3298">
        <v>5</v>
      </c>
      <c r="R3298">
        <v>1.2E-2</v>
      </c>
      <c r="T3298" t="s">
        <v>9183</v>
      </c>
    </row>
    <row r="3299" spans="1:20" x14ac:dyDescent="0.2">
      <c r="A3299" t="s">
        <v>9185</v>
      </c>
      <c r="B3299" t="s">
        <v>2022</v>
      </c>
      <c r="C3299" t="s">
        <v>2053</v>
      </c>
      <c r="D3299" t="s">
        <v>2024</v>
      </c>
      <c r="E3299" t="s">
        <v>9186</v>
      </c>
      <c r="F3299" t="s">
        <v>9187</v>
      </c>
      <c r="G3299">
        <v>3</v>
      </c>
      <c r="H3299">
        <v>1700</v>
      </c>
      <c r="I3299">
        <v>3</v>
      </c>
      <c r="J3299">
        <v>6.55</v>
      </c>
      <c r="K3299">
        <v>3</v>
      </c>
      <c r="L3299">
        <v>0.19500000000000001</v>
      </c>
      <c r="M3299">
        <v>3</v>
      </c>
      <c r="N3299">
        <v>93</v>
      </c>
      <c r="O3299">
        <v>2</v>
      </c>
      <c r="P3299">
        <v>0.22500000000000001</v>
      </c>
      <c r="Q3299">
        <v>3</v>
      </c>
      <c r="R3299">
        <v>1.2200000000000001E-2</v>
      </c>
      <c r="T3299" t="s">
        <v>9186</v>
      </c>
    </row>
    <row r="3300" spans="1:20" x14ac:dyDescent="0.2">
      <c r="A3300" t="s">
        <v>9188</v>
      </c>
      <c r="B3300" t="s">
        <v>2022</v>
      </c>
      <c r="C3300" t="s">
        <v>2053</v>
      </c>
      <c r="D3300" t="s">
        <v>2136</v>
      </c>
      <c r="E3300" t="s">
        <v>357</v>
      </c>
      <c r="F3300" t="s">
        <v>9189</v>
      </c>
      <c r="G3300">
        <v>4</v>
      </c>
      <c r="H3300">
        <v>1800</v>
      </c>
      <c r="I3300">
        <v>4</v>
      </c>
      <c r="J3300">
        <v>9.0500000000000007</v>
      </c>
      <c r="K3300">
        <v>5</v>
      </c>
      <c r="L3300">
        <v>0.41499999999999998</v>
      </c>
      <c r="M3300">
        <v>5</v>
      </c>
      <c r="N3300">
        <v>113</v>
      </c>
      <c r="O3300">
        <v>4</v>
      </c>
      <c r="P3300">
        <v>0.52500000000000002</v>
      </c>
      <c r="Q3300">
        <v>5</v>
      </c>
      <c r="R3300">
        <v>2.6200000000000001E-2</v>
      </c>
      <c r="T3300" t="s">
        <v>357</v>
      </c>
    </row>
    <row r="3301" spans="1:20" x14ac:dyDescent="0.2">
      <c r="A3301" t="s">
        <v>9190</v>
      </c>
      <c r="B3301" t="s">
        <v>2022</v>
      </c>
      <c r="C3301" t="s">
        <v>2036</v>
      </c>
      <c r="D3301" t="s">
        <v>2024</v>
      </c>
      <c r="E3301" t="s">
        <v>9191</v>
      </c>
      <c r="F3301" t="s">
        <v>9192</v>
      </c>
      <c r="G3301">
        <v>1</v>
      </c>
      <c r="H3301">
        <v>1540</v>
      </c>
      <c r="I3301">
        <v>2</v>
      </c>
      <c r="J3301">
        <v>3.4</v>
      </c>
      <c r="K3301">
        <v>2</v>
      </c>
      <c r="L3301">
        <v>8.5000000000000006E-2</v>
      </c>
      <c r="M3301">
        <v>2</v>
      </c>
      <c r="N3301">
        <v>82</v>
      </c>
      <c r="O3301">
        <v>2</v>
      </c>
      <c r="P3301">
        <v>0.20499999999999999</v>
      </c>
      <c r="Q3301">
        <v>2</v>
      </c>
      <c r="R3301">
        <v>4.2500000000000003E-3</v>
      </c>
      <c r="T3301" t="s">
        <v>9191</v>
      </c>
    </row>
    <row r="3302" spans="1:20" x14ac:dyDescent="0.2">
      <c r="A3302" t="s">
        <v>9193</v>
      </c>
      <c r="B3302" t="s">
        <v>2022</v>
      </c>
      <c r="C3302" t="s">
        <v>2036</v>
      </c>
      <c r="D3302" t="s">
        <v>2136</v>
      </c>
      <c r="E3302" t="s">
        <v>9194</v>
      </c>
      <c r="F3302" t="s">
        <v>9195</v>
      </c>
      <c r="G3302">
        <v>5</v>
      </c>
      <c r="H3302">
        <v>1940</v>
      </c>
      <c r="I3302">
        <v>2</v>
      </c>
      <c r="J3302">
        <v>3.4</v>
      </c>
      <c r="K3302">
        <v>5</v>
      </c>
      <c r="L3302">
        <v>0.17499999999999999</v>
      </c>
      <c r="M3302">
        <v>5</v>
      </c>
      <c r="N3302">
        <v>100</v>
      </c>
      <c r="O3302">
        <v>2</v>
      </c>
      <c r="P3302">
        <v>0.20499999999999999</v>
      </c>
      <c r="Q3302">
        <v>4</v>
      </c>
      <c r="R3302">
        <v>9.2499999999999995E-3</v>
      </c>
      <c r="T3302" t="s">
        <v>9194</v>
      </c>
    </row>
    <row r="3303" spans="1:20" x14ac:dyDescent="0.2">
      <c r="A3303" t="s">
        <v>9196</v>
      </c>
      <c r="B3303" t="s">
        <v>2022</v>
      </c>
      <c r="C3303" t="s">
        <v>2053</v>
      </c>
      <c r="D3303" t="s">
        <v>2024</v>
      </c>
      <c r="E3303" t="s">
        <v>9197</v>
      </c>
      <c r="F3303" t="s">
        <v>9198</v>
      </c>
      <c r="G3303">
        <v>5</v>
      </c>
      <c r="H3303">
        <v>1900</v>
      </c>
      <c r="I3303">
        <v>1</v>
      </c>
      <c r="J3303">
        <v>1.55</v>
      </c>
      <c r="K3303">
        <v>1</v>
      </c>
      <c r="L3303">
        <v>1.4999999999999999E-2</v>
      </c>
      <c r="M3303">
        <v>2</v>
      </c>
      <c r="N3303">
        <v>83</v>
      </c>
      <c r="O3303">
        <v>1</v>
      </c>
      <c r="P3303">
        <v>7.4999999999999997E-2</v>
      </c>
      <c r="Q3303">
        <v>1</v>
      </c>
      <c r="R3303">
        <v>8.4999999999999995E-4</v>
      </c>
      <c r="T3303" t="s">
        <v>9197</v>
      </c>
    </row>
    <row r="3304" spans="1:20" x14ac:dyDescent="0.2">
      <c r="A3304" t="s">
        <v>9199</v>
      </c>
      <c r="B3304" t="s">
        <v>2022</v>
      </c>
      <c r="C3304" t="s">
        <v>2023</v>
      </c>
      <c r="D3304" t="s">
        <v>2024</v>
      </c>
      <c r="E3304" t="s">
        <v>9200</v>
      </c>
      <c r="F3304" t="s">
        <v>9201</v>
      </c>
      <c r="G3304">
        <v>4</v>
      </c>
      <c r="H3304">
        <v>1720</v>
      </c>
      <c r="I3304">
        <v>3</v>
      </c>
      <c r="J3304">
        <v>5.9</v>
      </c>
      <c r="K3304">
        <v>5</v>
      </c>
      <c r="L3304">
        <v>8.5999999999999993E-2</v>
      </c>
      <c r="M3304">
        <v>3</v>
      </c>
      <c r="N3304">
        <v>94</v>
      </c>
      <c r="O3304">
        <v>3</v>
      </c>
      <c r="P3304">
        <v>0.375</v>
      </c>
      <c r="Q3304">
        <v>5</v>
      </c>
      <c r="R3304">
        <v>8.0000000000000002E-3</v>
      </c>
      <c r="T3304" t="s">
        <v>9200</v>
      </c>
    </row>
    <row r="3305" spans="1:20" x14ac:dyDescent="0.2">
      <c r="A3305" t="s">
        <v>9202</v>
      </c>
      <c r="B3305" t="s">
        <v>2022</v>
      </c>
      <c r="C3305" t="s">
        <v>2023</v>
      </c>
      <c r="D3305" t="s">
        <v>2024</v>
      </c>
      <c r="E3305" t="s">
        <v>9203</v>
      </c>
      <c r="F3305" t="s">
        <v>9204</v>
      </c>
      <c r="G3305">
        <v>1</v>
      </c>
      <c r="H3305">
        <v>1480</v>
      </c>
      <c r="I3305">
        <v>1</v>
      </c>
      <c r="J3305">
        <v>0.9</v>
      </c>
      <c r="K3305">
        <v>2</v>
      </c>
      <c r="L3305">
        <v>2.5999999999999999E-2</v>
      </c>
      <c r="M3305">
        <v>1</v>
      </c>
      <c r="N3305">
        <v>74</v>
      </c>
      <c r="O3305">
        <v>1</v>
      </c>
      <c r="P3305">
        <v>7.4999999999999997E-2</v>
      </c>
      <c r="Q3305">
        <v>1</v>
      </c>
      <c r="R3305">
        <v>5.0000000000000001E-4</v>
      </c>
      <c r="T3305" t="s">
        <v>9203</v>
      </c>
    </row>
    <row r="3306" spans="1:20" x14ac:dyDescent="0.2">
      <c r="A3306" t="s">
        <v>9205</v>
      </c>
      <c r="B3306" t="s">
        <v>2022</v>
      </c>
      <c r="C3306" t="s">
        <v>2023</v>
      </c>
      <c r="D3306" t="s">
        <v>2024</v>
      </c>
      <c r="E3306" t="s">
        <v>9203</v>
      </c>
      <c r="F3306" t="s">
        <v>9204</v>
      </c>
      <c r="G3306">
        <v>1</v>
      </c>
      <c r="H3306">
        <v>1480</v>
      </c>
      <c r="I3306">
        <v>1</v>
      </c>
      <c r="J3306">
        <v>0.9</v>
      </c>
      <c r="K3306">
        <v>1</v>
      </c>
      <c r="L3306">
        <v>6.0000000000000001E-3</v>
      </c>
      <c r="M3306">
        <v>1</v>
      </c>
      <c r="N3306">
        <v>74</v>
      </c>
      <c r="O3306">
        <v>1</v>
      </c>
      <c r="P3306">
        <v>7.4999999999999997E-2</v>
      </c>
      <c r="Q3306">
        <v>1</v>
      </c>
      <c r="R3306">
        <v>5.0000000000000001E-4</v>
      </c>
      <c r="T3306" t="s">
        <v>9203</v>
      </c>
    </row>
    <row r="3307" spans="1:20" x14ac:dyDescent="0.2">
      <c r="A3307" t="s">
        <v>9206</v>
      </c>
      <c r="B3307" t="s">
        <v>2022</v>
      </c>
      <c r="C3307" t="s">
        <v>2101</v>
      </c>
      <c r="D3307" t="s">
        <v>2024</v>
      </c>
      <c r="E3307" t="s">
        <v>9203</v>
      </c>
      <c r="F3307" t="s">
        <v>9204</v>
      </c>
      <c r="G3307">
        <v>1</v>
      </c>
      <c r="H3307">
        <v>1570</v>
      </c>
      <c r="I3307">
        <v>1</v>
      </c>
      <c r="J3307">
        <v>2</v>
      </c>
      <c r="K3307">
        <v>1</v>
      </c>
      <c r="L3307">
        <v>1.15E-2</v>
      </c>
      <c r="M3307">
        <v>1</v>
      </c>
      <c r="N3307">
        <v>66</v>
      </c>
      <c r="O3307">
        <v>1</v>
      </c>
      <c r="P3307">
        <v>7.4999999999999997E-2</v>
      </c>
      <c r="Q3307">
        <v>1</v>
      </c>
      <c r="R3307">
        <v>5.0000000000000001E-4</v>
      </c>
      <c r="T3307" t="s">
        <v>9203</v>
      </c>
    </row>
    <row r="3308" spans="1:20" x14ac:dyDescent="0.2">
      <c r="A3308" t="s">
        <v>9207</v>
      </c>
      <c r="B3308" t="s">
        <v>2022</v>
      </c>
      <c r="C3308" t="s">
        <v>2095</v>
      </c>
      <c r="D3308" t="s">
        <v>2024</v>
      </c>
      <c r="E3308" t="s">
        <v>9203</v>
      </c>
      <c r="F3308" t="s">
        <v>9204</v>
      </c>
      <c r="G3308">
        <v>1</v>
      </c>
      <c r="H3308">
        <v>1565</v>
      </c>
      <c r="I3308">
        <v>1</v>
      </c>
      <c r="J3308">
        <v>4.5</v>
      </c>
      <c r="K3308">
        <v>1</v>
      </c>
      <c r="L3308">
        <v>1.4999999999999999E-2</v>
      </c>
      <c r="M3308">
        <v>1</v>
      </c>
      <c r="N3308">
        <v>74</v>
      </c>
      <c r="O3308">
        <v>1</v>
      </c>
      <c r="P3308">
        <v>0.15</v>
      </c>
      <c r="Q3308">
        <v>1</v>
      </c>
      <c r="R3308">
        <v>6.9999999999999999E-4</v>
      </c>
      <c r="T3308" t="s">
        <v>9203</v>
      </c>
    </row>
    <row r="3309" spans="1:20" x14ac:dyDescent="0.2">
      <c r="A3309" t="s">
        <v>9208</v>
      </c>
      <c r="B3309" t="s">
        <v>2022</v>
      </c>
      <c r="C3309" t="s">
        <v>2036</v>
      </c>
      <c r="D3309" t="s">
        <v>2024</v>
      </c>
      <c r="E3309" t="s">
        <v>9203</v>
      </c>
      <c r="F3309" t="s">
        <v>9204</v>
      </c>
      <c r="G3309">
        <v>1</v>
      </c>
      <c r="H3309">
        <v>1540</v>
      </c>
      <c r="I3309">
        <v>5</v>
      </c>
      <c r="J3309">
        <v>7</v>
      </c>
      <c r="K3309">
        <v>5</v>
      </c>
      <c r="L3309">
        <v>0.17499999999999999</v>
      </c>
      <c r="M3309">
        <v>1</v>
      </c>
      <c r="N3309">
        <v>76</v>
      </c>
      <c r="O3309">
        <v>4</v>
      </c>
      <c r="P3309">
        <v>0.42499999999999999</v>
      </c>
      <c r="Q3309">
        <v>5</v>
      </c>
      <c r="R3309">
        <v>1.2E-2</v>
      </c>
      <c r="T3309" t="s">
        <v>9203</v>
      </c>
    </row>
    <row r="3310" spans="1:20" x14ac:dyDescent="0.2">
      <c r="A3310" t="s">
        <v>9209</v>
      </c>
      <c r="B3310" t="s">
        <v>2022</v>
      </c>
      <c r="C3310" t="s">
        <v>2023</v>
      </c>
      <c r="D3310" t="s">
        <v>2024</v>
      </c>
      <c r="E3310" t="s">
        <v>9203</v>
      </c>
      <c r="F3310" t="s">
        <v>9204</v>
      </c>
      <c r="G3310">
        <v>1</v>
      </c>
      <c r="H3310">
        <v>1480</v>
      </c>
      <c r="I3310">
        <v>1</v>
      </c>
      <c r="J3310">
        <v>0.9</v>
      </c>
      <c r="K3310">
        <v>1</v>
      </c>
      <c r="L3310">
        <v>6.0000000000000001E-3</v>
      </c>
      <c r="M3310">
        <v>1</v>
      </c>
      <c r="N3310">
        <v>74</v>
      </c>
      <c r="O3310">
        <v>1</v>
      </c>
      <c r="P3310">
        <v>7.4999999999999997E-2</v>
      </c>
      <c r="Q3310">
        <v>1</v>
      </c>
      <c r="R3310">
        <v>5.0000000000000001E-4</v>
      </c>
      <c r="T3310" t="s">
        <v>9203</v>
      </c>
    </row>
    <row r="3311" spans="1:20" x14ac:dyDescent="0.2">
      <c r="A3311" t="s">
        <v>9210</v>
      </c>
      <c r="B3311" t="s">
        <v>2022</v>
      </c>
      <c r="C3311" t="s">
        <v>2095</v>
      </c>
      <c r="D3311" t="s">
        <v>2024</v>
      </c>
      <c r="E3311" t="s">
        <v>9211</v>
      </c>
      <c r="F3311" t="s">
        <v>9212</v>
      </c>
      <c r="G3311">
        <v>5</v>
      </c>
      <c r="H3311">
        <v>1925</v>
      </c>
      <c r="I3311">
        <v>4</v>
      </c>
      <c r="J3311">
        <v>13.5</v>
      </c>
      <c r="K3311">
        <v>4</v>
      </c>
      <c r="L3311">
        <v>0.53</v>
      </c>
      <c r="M3311">
        <v>5</v>
      </c>
      <c r="N3311">
        <v>98</v>
      </c>
      <c r="O3311">
        <v>4</v>
      </c>
      <c r="P3311">
        <v>0.75</v>
      </c>
      <c r="Q3311">
        <v>5</v>
      </c>
      <c r="R3311">
        <v>3.2899999999999999E-2</v>
      </c>
      <c r="T3311" t="s">
        <v>9211</v>
      </c>
    </row>
    <row r="3312" spans="1:20" x14ac:dyDescent="0.2">
      <c r="A3312" t="s">
        <v>9213</v>
      </c>
      <c r="B3312" t="s">
        <v>2022</v>
      </c>
      <c r="C3312" t="s">
        <v>2023</v>
      </c>
      <c r="D3312" t="s">
        <v>2136</v>
      </c>
      <c r="E3312" t="s">
        <v>9214</v>
      </c>
      <c r="F3312" t="s">
        <v>9215</v>
      </c>
      <c r="G3312">
        <v>2</v>
      </c>
      <c r="H3312">
        <v>1560</v>
      </c>
      <c r="I3312">
        <v>2</v>
      </c>
      <c r="J3312">
        <v>3.4</v>
      </c>
      <c r="K3312">
        <v>1</v>
      </c>
      <c r="L3312">
        <v>6.0000000000000001E-3</v>
      </c>
      <c r="M3312">
        <v>5</v>
      </c>
      <c r="N3312">
        <v>114</v>
      </c>
      <c r="O3312">
        <v>4</v>
      </c>
      <c r="P3312">
        <v>0.52500000000000002</v>
      </c>
      <c r="Q3312">
        <v>2</v>
      </c>
      <c r="R3312">
        <v>2E-3</v>
      </c>
      <c r="T3312" t="s">
        <v>9214</v>
      </c>
    </row>
    <row r="3313" spans="1:20" x14ac:dyDescent="0.2">
      <c r="A3313" t="s">
        <v>9216</v>
      </c>
      <c r="B3313" t="s">
        <v>2022</v>
      </c>
      <c r="C3313" t="s">
        <v>2023</v>
      </c>
      <c r="D3313" t="s">
        <v>2024</v>
      </c>
      <c r="E3313" t="s">
        <v>9217</v>
      </c>
      <c r="F3313" t="s">
        <v>9218</v>
      </c>
      <c r="G3313">
        <v>5</v>
      </c>
      <c r="H3313">
        <v>1800</v>
      </c>
      <c r="I3313">
        <v>3</v>
      </c>
      <c r="J3313">
        <v>5.9</v>
      </c>
      <c r="K3313">
        <v>5</v>
      </c>
      <c r="L3313">
        <v>8.5999999999999993E-2</v>
      </c>
      <c r="M3313">
        <v>3</v>
      </c>
      <c r="N3313">
        <v>94</v>
      </c>
      <c r="O3313">
        <v>3</v>
      </c>
      <c r="P3313">
        <v>0.375</v>
      </c>
      <c r="Q3313">
        <v>4</v>
      </c>
      <c r="R3313">
        <v>6.0000000000000001E-3</v>
      </c>
      <c r="T3313" t="s">
        <v>9217</v>
      </c>
    </row>
    <row r="3314" spans="1:20" x14ac:dyDescent="0.2">
      <c r="A3314" t="s">
        <v>9219</v>
      </c>
      <c r="B3314" t="s">
        <v>2022</v>
      </c>
      <c r="C3314" t="s">
        <v>2023</v>
      </c>
      <c r="D3314" t="s">
        <v>2024</v>
      </c>
      <c r="E3314" t="s">
        <v>9220</v>
      </c>
      <c r="F3314" t="s">
        <v>9221</v>
      </c>
      <c r="G3314">
        <v>2</v>
      </c>
      <c r="H3314">
        <v>1560</v>
      </c>
      <c r="I3314">
        <v>1</v>
      </c>
      <c r="J3314">
        <v>0.9</v>
      </c>
      <c r="K3314">
        <v>1</v>
      </c>
      <c r="L3314">
        <v>6.0000000000000001E-3</v>
      </c>
      <c r="M3314">
        <v>1</v>
      </c>
      <c r="N3314">
        <v>74</v>
      </c>
      <c r="O3314">
        <v>1</v>
      </c>
      <c r="P3314">
        <v>7.4999999999999997E-2</v>
      </c>
      <c r="Q3314">
        <v>1</v>
      </c>
      <c r="R3314">
        <v>5.0000000000000001E-4</v>
      </c>
      <c r="T3314" t="s">
        <v>9220</v>
      </c>
    </row>
    <row r="3315" spans="1:20" x14ac:dyDescent="0.2">
      <c r="A3315" t="s">
        <v>9222</v>
      </c>
      <c r="B3315" t="s">
        <v>2022</v>
      </c>
      <c r="C3315" t="s">
        <v>2036</v>
      </c>
      <c r="D3315" t="s">
        <v>2024</v>
      </c>
      <c r="E3315" t="s">
        <v>9223</v>
      </c>
      <c r="F3315" t="s">
        <v>9224</v>
      </c>
      <c r="G3315">
        <v>3</v>
      </c>
      <c r="H3315">
        <v>1740</v>
      </c>
      <c r="I3315">
        <v>5</v>
      </c>
      <c r="J3315">
        <v>7</v>
      </c>
      <c r="K3315">
        <v>5</v>
      </c>
      <c r="L3315">
        <v>0.17499999999999999</v>
      </c>
      <c r="M3315">
        <v>3</v>
      </c>
      <c r="N3315">
        <v>88</v>
      </c>
      <c r="O3315">
        <v>5</v>
      </c>
      <c r="P3315">
        <v>0.53500000000000003</v>
      </c>
      <c r="Q3315">
        <v>5</v>
      </c>
      <c r="R3315">
        <v>1.2E-2</v>
      </c>
      <c r="T3315" t="s">
        <v>9223</v>
      </c>
    </row>
    <row r="3316" spans="1:20" x14ac:dyDescent="0.2">
      <c r="A3316" t="s">
        <v>9225</v>
      </c>
      <c r="B3316" t="s">
        <v>2022</v>
      </c>
      <c r="C3316" t="s">
        <v>2023</v>
      </c>
      <c r="D3316" t="s">
        <v>2024</v>
      </c>
      <c r="E3316" t="s">
        <v>9226</v>
      </c>
      <c r="F3316" t="s">
        <v>9227</v>
      </c>
      <c r="G3316">
        <v>3</v>
      </c>
      <c r="H3316">
        <v>1640</v>
      </c>
      <c r="I3316">
        <v>2</v>
      </c>
      <c r="J3316">
        <v>3.4</v>
      </c>
      <c r="K3316">
        <v>2</v>
      </c>
      <c r="L3316">
        <v>2.5999999999999999E-2</v>
      </c>
      <c r="M3316">
        <v>2</v>
      </c>
      <c r="N3316">
        <v>84</v>
      </c>
      <c r="O3316">
        <v>1</v>
      </c>
      <c r="P3316">
        <v>7.4999999999999997E-2</v>
      </c>
      <c r="Q3316">
        <v>2</v>
      </c>
      <c r="R3316">
        <v>2E-3</v>
      </c>
      <c r="T3316" t="s">
        <v>9226</v>
      </c>
    </row>
    <row r="3317" spans="1:20" x14ac:dyDescent="0.2">
      <c r="A3317" t="s">
        <v>9228</v>
      </c>
      <c r="B3317" t="s">
        <v>2022</v>
      </c>
      <c r="C3317" t="s">
        <v>2049</v>
      </c>
      <c r="D3317" t="s">
        <v>2024</v>
      </c>
      <c r="E3317" t="s">
        <v>9229</v>
      </c>
      <c r="F3317" t="s">
        <v>447</v>
      </c>
      <c r="G3317">
        <v>5</v>
      </c>
      <c r="H3317">
        <v>1750</v>
      </c>
      <c r="I3317">
        <v>5</v>
      </c>
      <c r="J3317">
        <v>8.6</v>
      </c>
      <c r="K3317">
        <v>5</v>
      </c>
      <c r="L3317">
        <v>0.3</v>
      </c>
      <c r="M3317">
        <v>2</v>
      </c>
      <c r="N3317">
        <v>106</v>
      </c>
      <c r="O3317">
        <v>5</v>
      </c>
      <c r="P3317">
        <v>0.86</v>
      </c>
      <c r="Q3317">
        <v>5</v>
      </c>
      <c r="R3317">
        <v>3.32E-2</v>
      </c>
      <c r="T3317" t="s">
        <v>9229</v>
      </c>
    </row>
    <row r="3318" spans="1:20" x14ac:dyDescent="0.2">
      <c r="A3318" t="s">
        <v>9230</v>
      </c>
      <c r="B3318" t="s">
        <v>2022</v>
      </c>
      <c r="C3318" t="s">
        <v>2036</v>
      </c>
      <c r="D3318" t="s">
        <v>2024</v>
      </c>
      <c r="E3318" t="s">
        <v>252</v>
      </c>
      <c r="F3318" t="s">
        <v>9231</v>
      </c>
      <c r="G3318">
        <v>2</v>
      </c>
      <c r="H3318">
        <v>1640</v>
      </c>
      <c r="I3318">
        <v>1</v>
      </c>
      <c r="J3318">
        <v>2.2000000000000002</v>
      </c>
      <c r="K3318">
        <v>1</v>
      </c>
      <c r="L3318">
        <v>5.5E-2</v>
      </c>
      <c r="M3318">
        <v>1</v>
      </c>
      <c r="N3318">
        <v>76</v>
      </c>
      <c r="O3318">
        <v>1</v>
      </c>
      <c r="P3318">
        <v>9.5000000000000001E-2</v>
      </c>
      <c r="Q3318">
        <v>1</v>
      </c>
      <c r="R3318">
        <v>1.5E-3</v>
      </c>
      <c r="T3318" t="s">
        <v>252</v>
      </c>
    </row>
    <row r="3319" spans="1:20" x14ac:dyDescent="0.2">
      <c r="A3319" t="s">
        <v>9232</v>
      </c>
      <c r="B3319" t="s">
        <v>2022</v>
      </c>
      <c r="C3319" t="s">
        <v>2053</v>
      </c>
      <c r="D3319" t="s">
        <v>2024</v>
      </c>
      <c r="E3319" t="s">
        <v>9233</v>
      </c>
      <c r="F3319" t="s">
        <v>9234</v>
      </c>
      <c r="G3319">
        <v>3</v>
      </c>
      <c r="H3319">
        <v>1700</v>
      </c>
      <c r="I3319">
        <v>1</v>
      </c>
      <c r="J3319">
        <v>1.55</v>
      </c>
      <c r="K3319">
        <v>1</v>
      </c>
      <c r="L3319">
        <v>1.4999999999999999E-2</v>
      </c>
      <c r="M3319">
        <v>2</v>
      </c>
      <c r="N3319">
        <v>83</v>
      </c>
      <c r="O3319">
        <v>1</v>
      </c>
      <c r="P3319">
        <v>7.4999999999999997E-2</v>
      </c>
      <c r="Q3319">
        <v>1</v>
      </c>
      <c r="R3319">
        <v>8.4999999999999995E-4</v>
      </c>
      <c r="T3319" t="s">
        <v>9233</v>
      </c>
    </row>
    <row r="3320" spans="1:20" x14ac:dyDescent="0.2">
      <c r="A3320" t="s">
        <v>9235</v>
      </c>
      <c r="B3320" t="s">
        <v>2022</v>
      </c>
      <c r="C3320" t="s">
        <v>2023</v>
      </c>
      <c r="D3320" t="s">
        <v>2024</v>
      </c>
      <c r="E3320" t="s">
        <v>9236</v>
      </c>
      <c r="F3320" t="s">
        <v>9237</v>
      </c>
      <c r="G3320">
        <v>1</v>
      </c>
      <c r="H3320">
        <v>1480</v>
      </c>
      <c r="I3320">
        <v>1</v>
      </c>
      <c r="J3320">
        <v>0.9</v>
      </c>
      <c r="K3320">
        <v>2</v>
      </c>
      <c r="L3320">
        <v>2.5999999999999999E-2</v>
      </c>
      <c r="M3320">
        <v>1</v>
      </c>
      <c r="N3320">
        <v>74</v>
      </c>
      <c r="O3320">
        <v>1</v>
      </c>
      <c r="P3320">
        <v>7.4999999999999997E-2</v>
      </c>
      <c r="Q3320">
        <v>1</v>
      </c>
      <c r="R3320">
        <v>5.0000000000000001E-4</v>
      </c>
      <c r="T3320" t="s">
        <v>9236</v>
      </c>
    </row>
    <row r="3321" spans="1:20" x14ac:dyDescent="0.2">
      <c r="A3321" t="s">
        <v>9238</v>
      </c>
      <c r="B3321" t="s">
        <v>2022</v>
      </c>
      <c r="C3321" t="s">
        <v>2053</v>
      </c>
      <c r="D3321" t="s">
        <v>2136</v>
      </c>
      <c r="E3321" t="s">
        <v>9239</v>
      </c>
      <c r="F3321" t="s">
        <v>447</v>
      </c>
      <c r="G3321">
        <v>1</v>
      </c>
      <c r="H3321">
        <v>1500</v>
      </c>
      <c r="I3321">
        <v>4</v>
      </c>
      <c r="J3321">
        <v>9.0500000000000007</v>
      </c>
      <c r="K3321">
        <v>2</v>
      </c>
      <c r="L3321">
        <v>8.5000000000000006E-2</v>
      </c>
      <c r="M3321">
        <v>2</v>
      </c>
      <c r="N3321">
        <v>83</v>
      </c>
      <c r="O3321">
        <v>4</v>
      </c>
      <c r="P3321">
        <v>0.52500000000000002</v>
      </c>
      <c r="Q3321">
        <v>2</v>
      </c>
      <c r="R3321">
        <v>5.1999999999999998E-3</v>
      </c>
      <c r="T3321" t="s">
        <v>9239</v>
      </c>
    </row>
    <row r="3322" spans="1:20" x14ac:dyDescent="0.2">
      <c r="A3322" t="s">
        <v>9240</v>
      </c>
      <c r="B3322" t="s">
        <v>2022</v>
      </c>
      <c r="C3322" t="s">
        <v>2023</v>
      </c>
      <c r="D3322" t="s">
        <v>2024</v>
      </c>
      <c r="E3322" t="s">
        <v>9241</v>
      </c>
      <c r="F3322" t="s">
        <v>9242</v>
      </c>
      <c r="G3322">
        <v>5</v>
      </c>
      <c r="H3322">
        <v>1800</v>
      </c>
      <c r="I3322">
        <v>5</v>
      </c>
      <c r="J3322">
        <v>10.9</v>
      </c>
      <c r="K3322">
        <v>5</v>
      </c>
      <c r="L3322">
        <v>8.5999999999999993E-2</v>
      </c>
      <c r="M3322">
        <v>4</v>
      </c>
      <c r="N3322">
        <v>104</v>
      </c>
      <c r="O3322">
        <v>5</v>
      </c>
      <c r="P3322">
        <v>0.67500000000000004</v>
      </c>
      <c r="Q3322">
        <v>5</v>
      </c>
      <c r="R3322">
        <v>8.0000000000000002E-3</v>
      </c>
      <c r="T3322" t="s">
        <v>9241</v>
      </c>
    </row>
    <row r="3323" spans="1:20" x14ac:dyDescent="0.2">
      <c r="A3323" t="s">
        <v>9243</v>
      </c>
      <c r="B3323" t="s">
        <v>2022</v>
      </c>
      <c r="C3323" t="s">
        <v>2036</v>
      </c>
      <c r="D3323" t="s">
        <v>2024</v>
      </c>
      <c r="E3323" t="s">
        <v>9244</v>
      </c>
      <c r="F3323" t="s">
        <v>9245</v>
      </c>
      <c r="G3323">
        <v>5</v>
      </c>
      <c r="H3323">
        <v>1940</v>
      </c>
      <c r="I3323">
        <v>2</v>
      </c>
      <c r="J3323">
        <v>3.4</v>
      </c>
      <c r="K3323">
        <v>1</v>
      </c>
      <c r="L3323">
        <v>5.5E-2</v>
      </c>
      <c r="M3323">
        <v>3</v>
      </c>
      <c r="N3323">
        <v>88</v>
      </c>
      <c r="O3323">
        <v>1</v>
      </c>
      <c r="P3323">
        <v>9.5000000000000001E-2</v>
      </c>
      <c r="Q3323">
        <v>1</v>
      </c>
      <c r="R3323">
        <v>1.5E-3</v>
      </c>
      <c r="T3323" t="s">
        <v>9244</v>
      </c>
    </row>
    <row r="3324" spans="1:20" x14ac:dyDescent="0.2">
      <c r="A3324" t="s">
        <v>9246</v>
      </c>
      <c r="B3324" t="s">
        <v>2022</v>
      </c>
      <c r="C3324" t="s">
        <v>2036</v>
      </c>
      <c r="D3324" t="s">
        <v>2024</v>
      </c>
      <c r="E3324" t="s">
        <v>9247</v>
      </c>
      <c r="F3324" t="s">
        <v>9248</v>
      </c>
      <c r="G3324">
        <v>1</v>
      </c>
      <c r="H3324">
        <v>1540</v>
      </c>
      <c r="I3324">
        <v>3</v>
      </c>
      <c r="J3324">
        <v>4.5999999999999996</v>
      </c>
      <c r="K3324">
        <v>3</v>
      </c>
      <c r="L3324">
        <v>0.115</v>
      </c>
      <c r="M3324">
        <v>1</v>
      </c>
      <c r="N3324">
        <v>76</v>
      </c>
      <c r="O3324">
        <v>2</v>
      </c>
      <c r="P3324">
        <v>0.20499999999999999</v>
      </c>
      <c r="Q3324">
        <v>2</v>
      </c>
      <c r="R3324">
        <v>4.2500000000000003E-3</v>
      </c>
      <c r="T3324" t="s">
        <v>9247</v>
      </c>
    </row>
    <row r="3325" spans="1:20" x14ac:dyDescent="0.2">
      <c r="A3325" t="s">
        <v>9249</v>
      </c>
      <c r="B3325" t="s">
        <v>2022</v>
      </c>
      <c r="C3325" t="s">
        <v>2023</v>
      </c>
      <c r="D3325" t="s">
        <v>2024</v>
      </c>
      <c r="E3325" t="s">
        <v>9250</v>
      </c>
      <c r="F3325" t="s">
        <v>9251</v>
      </c>
      <c r="G3325">
        <v>2</v>
      </c>
      <c r="H3325">
        <v>1560</v>
      </c>
      <c r="I3325">
        <v>3</v>
      </c>
      <c r="J3325">
        <v>5.9</v>
      </c>
      <c r="K3325">
        <v>4</v>
      </c>
      <c r="L3325">
        <v>6.6000000000000003E-2</v>
      </c>
      <c r="M3325">
        <v>4</v>
      </c>
      <c r="N3325">
        <v>104</v>
      </c>
      <c r="O3325">
        <v>3</v>
      </c>
      <c r="P3325">
        <v>0.375</v>
      </c>
      <c r="Q3325">
        <v>3</v>
      </c>
      <c r="R3325">
        <v>4.0000000000000001E-3</v>
      </c>
      <c r="T3325" t="s">
        <v>9250</v>
      </c>
    </row>
    <row r="3326" spans="1:20" x14ac:dyDescent="0.2">
      <c r="A3326" t="s">
        <v>9252</v>
      </c>
      <c r="B3326" t="s">
        <v>2022</v>
      </c>
      <c r="C3326" t="s">
        <v>2508</v>
      </c>
      <c r="D3326" t="s">
        <v>2024</v>
      </c>
      <c r="E3326" t="s">
        <v>315</v>
      </c>
      <c r="F3326" t="s">
        <v>9253</v>
      </c>
      <c r="G3326">
        <v>4</v>
      </c>
      <c r="H3326">
        <v>1550</v>
      </c>
      <c r="I3326">
        <v>4</v>
      </c>
      <c r="J3326">
        <v>13</v>
      </c>
      <c r="K3326">
        <v>4</v>
      </c>
      <c r="L3326">
        <v>0.42</v>
      </c>
      <c r="M3326">
        <v>2</v>
      </c>
      <c r="N3326">
        <v>157.5</v>
      </c>
      <c r="O3326">
        <v>3</v>
      </c>
      <c r="P3326">
        <v>1.05</v>
      </c>
      <c r="Q3326">
        <v>3</v>
      </c>
      <c r="R3326">
        <v>3.5999999999999997E-2</v>
      </c>
      <c r="T3326" t="s">
        <v>315</v>
      </c>
    </row>
    <row r="3327" spans="1:20" x14ac:dyDescent="0.2">
      <c r="A3327" t="s">
        <v>9254</v>
      </c>
      <c r="B3327" t="s">
        <v>2022</v>
      </c>
      <c r="C3327" t="s">
        <v>2173</v>
      </c>
      <c r="D3327" t="s">
        <v>2024</v>
      </c>
      <c r="E3327" t="s">
        <v>9255</v>
      </c>
      <c r="F3327" t="s">
        <v>9256</v>
      </c>
      <c r="G3327">
        <v>1</v>
      </c>
      <c r="H3327">
        <v>1882.5</v>
      </c>
      <c r="I3327">
        <v>3</v>
      </c>
      <c r="J3327">
        <v>9.0500000000000007</v>
      </c>
      <c r="K3327">
        <v>3</v>
      </c>
      <c r="L3327">
        <v>0.21</v>
      </c>
      <c r="M3327">
        <v>2</v>
      </c>
      <c r="N3327">
        <v>107.5</v>
      </c>
      <c r="O3327">
        <v>3</v>
      </c>
      <c r="P3327">
        <v>0.51</v>
      </c>
      <c r="Q3327">
        <v>3</v>
      </c>
      <c r="R3327">
        <v>1.18E-2</v>
      </c>
      <c r="T3327" t="s">
        <v>9255</v>
      </c>
    </row>
    <row r="3328" spans="1:20" x14ac:dyDescent="0.2">
      <c r="A3328" t="s">
        <v>9257</v>
      </c>
      <c r="B3328" t="s">
        <v>2022</v>
      </c>
      <c r="C3328" t="s">
        <v>2053</v>
      </c>
      <c r="D3328" t="s">
        <v>2024</v>
      </c>
      <c r="E3328" t="s">
        <v>9258</v>
      </c>
      <c r="F3328" t="s">
        <v>9259</v>
      </c>
      <c r="G3328">
        <v>3</v>
      </c>
      <c r="H3328">
        <v>1700</v>
      </c>
      <c r="I3328">
        <v>3</v>
      </c>
      <c r="J3328">
        <v>6.55</v>
      </c>
      <c r="K3328">
        <v>2</v>
      </c>
      <c r="L3328">
        <v>8.5000000000000006E-2</v>
      </c>
      <c r="M3328">
        <v>5</v>
      </c>
      <c r="N3328">
        <v>113</v>
      </c>
      <c r="O3328">
        <v>3</v>
      </c>
      <c r="P3328">
        <v>0.375</v>
      </c>
      <c r="Q3328">
        <v>2</v>
      </c>
      <c r="R3328">
        <v>5.1999999999999998E-3</v>
      </c>
      <c r="T3328" t="s">
        <v>9258</v>
      </c>
    </row>
    <row r="3329" spans="1:20" x14ac:dyDescent="0.2">
      <c r="A3329" t="s">
        <v>9260</v>
      </c>
      <c r="B3329" t="s">
        <v>2022</v>
      </c>
      <c r="C3329" t="s">
        <v>2036</v>
      </c>
      <c r="D3329" t="s">
        <v>2024</v>
      </c>
      <c r="E3329" t="s">
        <v>9261</v>
      </c>
      <c r="F3329" t="s">
        <v>9262</v>
      </c>
      <c r="G3329">
        <v>1</v>
      </c>
      <c r="H3329">
        <v>1540</v>
      </c>
      <c r="I3329">
        <v>2</v>
      </c>
      <c r="J3329">
        <v>3.4</v>
      </c>
      <c r="K3329">
        <v>1</v>
      </c>
      <c r="L3329">
        <v>5.5E-2</v>
      </c>
      <c r="M3329">
        <v>3</v>
      </c>
      <c r="N3329">
        <v>88</v>
      </c>
      <c r="O3329">
        <v>2</v>
      </c>
      <c r="P3329">
        <v>0.20499999999999999</v>
      </c>
      <c r="Q3329">
        <v>1</v>
      </c>
      <c r="R3329">
        <v>1.5E-3</v>
      </c>
      <c r="T3329" t="s">
        <v>9261</v>
      </c>
    </row>
    <row r="3330" spans="1:20" x14ac:dyDescent="0.2">
      <c r="A3330" t="s">
        <v>9263</v>
      </c>
      <c r="B3330" t="s">
        <v>2022</v>
      </c>
      <c r="C3330" t="s">
        <v>2053</v>
      </c>
      <c r="D3330" t="s">
        <v>2024</v>
      </c>
      <c r="E3330" t="s">
        <v>9264</v>
      </c>
      <c r="F3330" t="s">
        <v>9265</v>
      </c>
      <c r="G3330">
        <v>4</v>
      </c>
      <c r="H3330">
        <v>1800</v>
      </c>
      <c r="I3330">
        <v>3</v>
      </c>
      <c r="J3330">
        <v>6.55</v>
      </c>
      <c r="K3330">
        <v>2</v>
      </c>
      <c r="L3330">
        <v>8.5000000000000006E-2</v>
      </c>
      <c r="M3330">
        <v>3</v>
      </c>
      <c r="N3330">
        <v>93</v>
      </c>
      <c r="O3330">
        <v>3</v>
      </c>
      <c r="P3330">
        <v>0.375</v>
      </c>
      <c r="Q3330">
        <v>2</v>
      </c>
      <c r="R3330">
        <v>5.1999999999999998E-3</v>
      </c>
      <c r="T3330" t="s">
        <v>9264</v>
      </c>
    </row>
    <row r="3331" spans="1:20" x14ac:dyDescent="0.2">
      <c r="A3331" t="s">
        <v>9266</v>
      </c>
      <c r="B3331" t="s">
        <v>2022</v>
      </c>
      <c r="C3331" t="s">
        <v>2023</v>
      </c>
      <c r="D3331" t="s">
        <v>2024</v>
      </c>
      <c r="E3331" t="s">
        <v>9267</v>
      </c>
      <c r="F3331" t="s">
        <v>9268</v>
      </c>
      <c r="G3331">
        <v>2</v>
      </c>
      <c r="H3331">
        <v>1560</v>
      </c>
      <c r="I3331">
        <v>2</v>
      </c>
      <c r="J3331">
        <v>3.4</v>
      </c>
      <c r="K3331">
        <v>5</v>
      </c>
      <c r="L3331">
        <v>8.5999999999999993E-2</v>
      </c>
      <c r="M3331">
        <v>2</v>
      </c>
      <c r="N3331">
        <v>84</v>
      </c>
      <c r="O3331">
        <v>2</v>
      </c>
      <c r="P3331">
        <v>0.22500000000000001</v>
      </c>
      <c r="Q3331">
        <v>4</v>
      </c>
      <c r="R3331">
        <v>6.0000000000000001E-3</v>
      </c>
      <c r="T3331" t="s">
        <v>9267</v>
      </c>
    </row>
    <row r="3332" spans="1:20" x14ac:dyDescent="0.2">
      <c r="A3332" t="s">
        <v>9269</v>
      </c>
      <c r="B3332" t="s">
        <v>2022</v>
      </c>
      <c r="C3332" t="s">
        <v>2053</v>
      </c>
      <c r="D3332" t="s">
        <v>2024</v>
      </c>
      <c r="E3332" t="s">
        <v>9270</v>
      </c>
      <c r="F3332" t="s">
        <v>9271</v>
      </c>
      <c r="G3332">
        <v>4</v>
      </c>
      <c r="H3332">
        <v>1800</v>
      </c>
      <c r="I3332">
        <v>4</v>
      </c>
      <c r="J3332">
        <v>9.0500000000000007</v>
      </c>
      <c r="K3332">
        <v>3</v>
      </c>
      <c r="L3332">
        <v>0.19500000000000001</v>
      </c>
      <c r="M3332">
        <v>3</v>
      </c>
      <c r="N3332">
        <v>93</v>
      </c>
      <c r="O3332">
        <v>3</v>
      </c>
      <c r="P3332">
        <v>0.375</v>
      </c>
      <c r="Q3332">
        <v>3</v>
      </c>
      <c r="R3332">
        <v>1.2200000000000001E-2</v>
      </c>
      <c r="T3332" t="s">
        <v>9270</v>
      </c>
    </row>
    <row r="3333" spans="1:20" x14ac:dyDescent="0.2">
      <c r="A3333" t="s">
        <v>9272</v>
      </c>
      <c r="B3333" t="s">
        <v>2022</v>
      </c>
      <c r="C3333" t="s">
        <v>2106</v>
      </c>
      <c r="D3333" t="s">
        <v>2024</v>
      </c>
      <c r="E3333" t="s">
        <v>357</v>
      </c>
      <c r="F3333" t="s">
        <v>447</v>
      </c>
      <c r="G3333">
        <v>3</v>
      </c>
      <c r="H3333">
        <v>1975</v>
      </c>
      <c r="I3333">
        <v>2</v>
      </c>
      <c r="J3333">
        <v>5.75</v>
      </c>
      <c r="K3333">
        <v>2</v>
      </c>
      <c r="L3333">
        <v>0.06</v>
      </c>
      <c r="M3333">
        <v>1</v>
      </c>
      <c r="N3333">
        <v>61.5</v>
      </c>
      <c r="O3333">
        <v>2</v>
      </c>
      <c r="P3333">
        <v>0.15</v>
      </c>
      <c r="Q3333">
        <v>2</v>
      </c>
      <c r="R3333">
        <v>2.5000000000000001E-3</v>
      </c>
      <c r="T3333" t="s">
        <v>357</v>
      </c>
    </row>
    <row r="3334" spans="1:20" x14ac:dyDescent="0.2">
      <c r="A3334" t="s">
        <v>9273</v>
      </c>
      <c r="B3334" t="s">
        <v>2022</v>
      </c>
      <c r="C3334" t="s">
        <v>2036</v>
      </c>
      <c r="D3334" t="s">
        <v>2024</v>
      </c>
      <c r="E3334" t="s">
        <v>9274</v>
      </c>
      <c r="F3334" t="s">
        <v>9275</v>
      </c>
      <c r="G3334">
        <v>1</v>
      </c>
      <c r="H3334">
        <v>1540</v>
      </c>
      <c r="I3334">
        <v>1</v>
      </c>
      <c r="J3334">
        <v>2.2000000000000002</v>
      </c>
      <c r="K3334">
        <v>3</v>
      </c>
      <c r="L3334">
        <v>0.115</v>
      </c>
      <c r="M3334">
        <v>1</v>
      </c>
      <c r="N3334">
        <v>76</v>
      </c>
      <c r="O3334">
        <v>1</v>
      </c>
      <c r="P3334">
        <v>9.5000000000000001E-2</v>
      </c>
      <c r="Q3334">
        <v>2</v>
      </c>
      <c r="R3334">
        <v>4.2500000000000003E-3</v>
      </c>
      <c r="T3334" t="s">
        <v>9274</v>
      </c>
    </row>
    <row r="3335" spans="1:20" x14ac:dyDescent="0.2">
      <c r="A3335" t="s">
        <v>9276</v>
      </c>
      <c r="B3335" t="s">
        <v>2022</v>
      </c>
      <c r="C3335" t="s">
        <v>2023</v>
      </c>
      <c r="D3335" t="s">
        <v>2024</v>
      </c>
      <c r="E3335" t="s">
        <v>9277</v>
      </c>
      <c r="F3335" t="s">
        <v>9278</v>
      </c>
      <c r="G3335">
        <v>5</v>
      </c>
      <c r="H3335">
        <v>1800</v>
      </c>
      <c r="I3335">
        <v>4</v>
      </c>
      <c r="J3335">
        <v>8.4</v>
      </c>
      <c r="K3335">
        <v>5</v>
      </c>
      <c r="L3335">
        <v>8.5999999999999993E-2</v>
      </c>
      <c r="M3335">
        <v>2</v>
      </c>
      <c r="N3335">
        <v>84</v>
      </c>
      <c r="O3335">
        <v>3</v>
      </c>
      <c r="P3335">
        <v>0.375</v>
      </c>
      <c r="Q3335">
        <v>5</v>
      </c>
      <c r="R3335">
        <v>8.0000000000000002E-3</v>
      </c>
      <c r="T3335" t="s">
        <v>9277</v>
      </c>
    </row>
    <row r="3336" spans="1:20" x14ac:dyDescent="0.2">
      <c r="A3336" t="s">
        <v>9279</v>
      </c>
      <c r="B3336" t="s">
        <v>2022</v>
      </c>
      <c r="C3336" t="s">
        <v>2023</v>
      </c>
      <c r="D3336" t="s">
        <v>2024</v>
      </c>
      <c r="E3336" t="s">
        <v>9280</v>
      </c>
      <c r="F3336" t="s">
        <v>9281</v>
      </c>
      <c r="G3336">
        <v>5</v>
      </c>
      <c r="H3336">
        <v>1800</v>
      </c>
      <c r="I3336">
        <v>5</v>
      </c>
      <c r="J3336">
        <v>10.9</v>
      </c>
      <c r="K3336">
        <v>5</v>
      </c>
      <c r="L3336">
        <v>8.5999999999999993E-2</v>
      </c>
      <c r="M3336">
        <v>4</v>
      </c>
      <c r="N3336">
        <v>104</v>
      </c>
      <c r="O3336">
        <v>5</v>
      </c>
      <c r="P3336">
        <v>0.67500000000000004</v>
      </c>
      <c r="Q3336">
        <v>5</v>
      </c>
      <c r="R3336">
        <v>8.0000000000000002E-3</v>
      </c>
      <c r="T3336" t="s">
        <v>9280</v>
      </c>
    </row>
    <row r="3337" spans="1:20" x14ac:dyDescent="0.2">
      <c r="A3337" t="s">
        <v>9282</v>
      </c>
      <c r="B3337" t="s">
        <v>2022</v>
      </c>
      <c r="C3337" t="s">
        <v>2036</v>
      </c>
      <c r="D3337" t="s">
        <v>2024</v>
      </c>
      <c r="E3337" t="s">
        <v>9283</v>
      </c>
      <c r="F3337" t="s">
        <v>9284</v>
      </c>
      <c r="G3337">
        <v>5</v>
      </c>
      <c r="H3337">
        <v>1940</v>
      </c>
      <c r="I3337">
        <v>5</v>
      </c>
      <c r="J3337">
        <v>7</v>
      </c>
      <c r="K3337">
        <v>5</v>
      </c>
      <c r="L3337">
        <v>0.17499999999999999</v>
      </c>
      <c r="M3337">
        <v>5</v>
      </c>
      <c r="N3337">
        <v>100</v>
      </c>
      <c r="O3337">
        <v>5</v>
      </c>
      <c r="P3337">
        <v>0.53500000000000003</v>
      </c>
      <c r="Q3337">
        <v>5</v>
      </c>
      <c r="R3337">
        <v>1.2E-2</v>
      </c>
      <c r="T3337" t="s">
        <v>9283</v>
      </c>
    </row>
    <row r="3338" spans="1:20" x14ac:dyDescent="0.2">
      <c r="A3338" t="s">
        <v>9285</v>
      </c>
      <c r="B3338" t="s">
        <v>2022</v>
      </c>
      <c r="C3338" t="s">
        <v>2023</v>
      </c>
      <c r="D3338" t="s">
        <v>2154</v>
      </c>
      <c r="E3338" t="s">
        <v>9286</v>
      </c>
      <c r="F3338" t="s">
        <v>9287</v>
      </c>
      <c r="G3338">
        <v>1</v>
      </c>
      <c r="H3338">
        <v>1480</v>
      </c>
      <c r="I3338">
        <v>1</v>
      </c>
      <c r="J3338">
        <v>0.9</v>
      </c>
      <c r="K3338">
        <v>1</v>
      </c>
      <c r="L3338">
        <v>6.0000000000000001E-3</v>
      </c>
      <c r="M3338">
        <v>2</v>
      </c>
      <c r="N3338">
        <v>84</v>
      </c>
      <c r="O3338">
        <v>1</v>
      </c>
      <c r="P3338">
        <v>7.4999999999999997E-2</v>
      </c>
      <c r="Q3338">
        <v>1</v>
      </c>
      <c r="R3338">
        <v>5.0000000000000001E-4</v>
      </c>
      <c r="T3338" t="s">
        <v>9286</v>
      </c>
    </row>
    <row r="3339" spans="1:20" x14ac:dyDescent="0.2">
      <c r="A3339" t="s">
        <v>9288</v>
      </c>
      <c r="B3339" t="s">
        <v>2022</v>
      </c>
      <c r="C3339" t="s">
        <v>2023</v>
      </c>
      <c r="D3339" t="s">
        <v>2154</v>
      </c>
      <c r="E3339" t="s">
        <v>9289</v>
      </c>
      <c r="F3339" t="s">
        <v>9290</v>
      </c>
      <c r="G3339">
        <v>1</v>
      </c>
      <c r="H3339">
        <v>1480</v>
      </c>
      <c r="I3339">
        <v>2</v>
      </c>
      <c r="J3339">
        <v>3.4</v>
      </c>
      <c r="K3339">
        <v>2</v>
      </c>
      <c r="L3339">
        <v>2.5999999999999999E-2</v>
      </c>
      <c r="M3339">
        <v>2</v>
      </c>
      <c r="N3339">
        <v>84</v>
      </c>
      <c r="O3339">
        <v>2</v>
      </c>
      <c r="P3339">
        <v>0.22500000000000001</v>
      </c>
      <c r="Q3339">
        <v>1</v>
      </c>
      <c r="R3339">
        <v>5.0000000000000001E-4</v>
      </c>
      <c r="T3339" t="s">
        <v>9289</v>
      </c>
    </row>
    <row r="3340" spans="1:20" x14ac:dyDescent="0.2">
      <c r="A3340" t="s">
        <v>9291</v>
      </c>
      <c r="B3340" t="s">
        <v>2022</v>
      </c>
      <c r="C3340" t="s">
        <v>2053</v>
      </c>
      <c r="D3340" t="s">
        <v>2024</v>
      </c>
      <c r="E3340" t="s">
        <v>9292</v>
      </c>
      <c r="F3340" t="s">
        <v>9293</v>
      </c>
      <c r="G3340">
        <v>1</v>
      </c>
      <c r="H3340">
        <v>1500</v>
      </c>
      <c r="I3340">
        <v>4</v>
      </c>
      <c r="J3340">
        <v>9.0500000000000007</v>
      </c>
      <c r="K3340">
        <v>4</v>
      </c>
      <c r="L3340">
        <v>0.30499999999999999</v>
      </c>
      <c r="M3340">
        <v>5</v>
      </c>
      <c r="N3340">
        <v>113</v>
      </c>
      <c r="O3340">
        <v>5</v>
      </c>
      <c r="P3340">
        <v>0.67500000000000004</v>
      </c>
      <c r="Q3340">
        <v>5</v>
      </c>
      <c r="R3340">
        <v>2.6200000000000001E-2</v>
      </c>
      <c r="T3340" t="s">
        <v>9292</v>
      </c>
    </row>
    <row r="3341" spans="1:20" x14ac:dyDescent="0.2">
      <c r="A3341" t="s">
        <v>9294</v>
      </c>
      <c r="B3341" t="s">
        <v>2022</v>
      </c>
      <c r="C3341" t="s">
        <v>2053</v>
      </c>
      <c r="D3341" t="s">
        <v>2024</v>
      </c>
      <c r="E3341" t="s">
        <v>9295</v>
      </c>
      <c r="F3341" t="s">
        <v>9296</v>
      </c>
      <c r="G3341">
        <v>2</v>
      </c>
      <c r="H3341">
        <v>1600</v>
      </c>
      <c r="I3341">
        <v>1</v>
      </c>
      <c r="J3341">
        <v>1.55</v>
      </c>
      <c r="K3341">
        <v>1</v>
      </c>
      <c r="L3341">
        <v>1.4999999999999999E-2</v>
      </c>
      <c r="M3341">
        <v>3</v>
      </c>
      <c r="N3341">
        <v>93</v>
      </c>
      <c r="O3341">
        <v>1</v>
      </c>
      <c r="P3341">
        <v>7.4999999999999997E-2</v>
      </c>
      <c r="Q3341">
        <v>1</v>
      </c>
      <c r="R3341">
        <v>8.4999999999999995E-4</v>
      </c>
      <c r="T3341" t="s">
        <v>9295</v>
      </c>
    </row>
    <row r="3342" spans="1:20" x14ac:dyDescent="0.2">
      <c r="A3342" t="s">
        <v>9297</v>
      </c>
      <c r="B3342" t="s">
        <v>2022</v>
      </c>
      <c r="C3342" t="s">
        <v>2036</v>
      </c>
      <c r="D3342" t="s">
        <v>2024</v>
      </c>
      <c r="E3342" t="s">
        <v>9298</v>
      </c>
      <c r="F3342" t="s">
        <v>9299</v>
      </c>
      <c r="G3342">
        <v>3</v>
      </c>
      <c r="H3342">
        <v>1740</v>
      </c>
      <c r="I3342">
        <v>5</v>
      </c>
      <c r="J3342">
        <v>7</v>
      </c>
      <c r="K3342">
        <v>5</v>
      </c>
      <c r="L3342">
        <v>0.17499999999999999</v>
      </c>
      <c r="M3342">
        <v>3</v>
      </c>
      <c r="N3342">
        <v>88</v>
      </c>
      <c r="O3342">
        <v>5</v>
      </c>
      <c r="P3342">
        <v>0.53500000000000003</v>
      </c>
      <c r="Q3342">
        <v>5</v>
      </c>
      <c r="R3342">
        <v>1.2E-2</v>
      </c>
      <c r="T3342" t="s">
        <v>9298</v>
      </c>
    </row>
    <row r="3343" spans="1:20" x14ac:dyDescent="0.2">
      <c r="A3343" t="s">
        <v>9300</v>
      </c>
      <c r="B3343" t="s">
        <v>2022</v>
      </c>
      <c r="C3343" t="s">
        <v>2049</v>
      </c>
      <c r="D3343" t="s">
        <v>2024</v>
      </c>
      <c r="E3343" t="s">
        <v>9301</v>
      </c>
      <c r="F3343" t="s">
        <v>9302</v>
      </c>
      <c r="G3343">
        <v>4</v>
      </c>
      <c r="H3343">
        <v>1650</v>
      </c>
      <c r="I3343">
        <v>5</v>
      </c>
      <c r="J3343">
        <v>8.6</v>
      </c>
      <c r="K3343">
        <v>5</v>
      </c>
      <c r="L3343">
        <v>0.3</v>
      </c>
      <c r="M3343">
        <v>3</v>
      </c>
      <c r="N3343">
        <v>126</v>
      </c>
      <c r="O3343">
        <v>5</v>
      </c>
      <c r="P3343">
        <v>0.86</v>
      </c>
      <c r="Q3343">
        <v>5</v>
      </c>
      <c r="R3343">
        <v>3.32E-2</v>
      </c>
      <c r="T3343" t="s">
        <v>9301</v>
      </c>
    </row>
    <row r="3344" spans="1:20" x14ac:dyDescent="0.2">
      <c r="A3344" t="s">
        <v>9303</v>
      </c>
      <c r="B3344" t="s">
        <v>2022</v>
      </c>
      <c r="C3344" t="s">
        <v>2053</v>
      </c>
      <c r="D3344" t="s">
        <v>2136</v>
      </c>
      <c r="E3344" t="s">
        <v>9304</v>
      </c>
      <c r="F3344" t="s">
        <v>9305</v>
      </c>
      <c r="G3344">
        <v>3</v>
      </c>
      <c r="H3344">
        <v>1700</v>
      </c>
      <c r="I3344">
        <v>2</v>
      </c>
      <c r="J3344">
        <v>4.05</v>
      </c>
      <c r="K3344">
        <v>2</v>
      </c>
      <c r="L3344">
        <v>8.5000000000000006E-2</v>
      </c>
      <c r="M3344">
        <v>2</v>
      </c>
      <c r="N3344">
        <v>83</v>
      </c>
      <c r="O3344">
        <v>2</v>
      </c>
      <c r="P3344">
        <v>0.22500000000000001</v>
      </c>
      <c r="Q3344">
        <v>2</v>
      </c>
      <c r="R3344">
        <v>5.1999999999999998E-3</v>
      </c>
      <c r="T3344" t="s">
        <v>9304</v>
      </c>
    </row>
    <row r="3345" spans="1:20" x14ac:dyDescent="0.2">
      <c r="A3345" t="s">
        <v>9306</v>
      </c>
      <c r="B3345" t="s">
        <v>2022</v>
      </c>
      <c r="C3345" t="s">
        <v>2023</v>
      </c>
      <c r="D3345" t="s">
        <v>2024</v>
      </c>
      <c r="E3345" t="s">
        <v>9307</v>
      </c>
      <c r="F3345" t="s">
        <v>9308</v>
      </c>
      <c r="G3345">
        <v>3</v>
      </c>
      <c r="H3345">
        <v>1640</v>
      </c>
      <c r="I3345">
        <v>2</v>
      </c>
      <c r="J3345">
        <v>3.4</v>
      </c>
      <c r="K3345">
        <v>2</v>
      </c>
      <c r="L3345">
        <v>2.5999999999999999E-2</v>
      </c>
      <c r="M3345">
        <v>1</v>
      </c>
      <c r="N3345">
        <v>74</v>
      </c>
      <c r="O3345">
        <v>2</v>
      </c>
      <c r="P3345">
        <v>0.22500000000000001</v>
      </c>
      <c r="Q3345">
        <v>1</v>
      </c>
      <c r="R3345">
        <v>5.0000000000000001E-4</v>
      </c>
      <c r="T3345" t="s">
        <v>9307</v>
      </c>
    </row>
    <row r="3346" spans="1:20" x14ac:dyDescent="0.2">
      <c r="A3346" t="s">
        <v>9309</v>
      </c>
      <c r="B3346" t="s">
        <v>2022</v>
      </c>
      <c r="C3346" t="s">
        <v>2036</v>
      </c>
      <c r="D3346" t="s">
        <v>2024</v>
      </c>
      <c r="E3346" t="s">
        <v>357</v>
      </c>
      <c r="F3346" t="s">
        <v>447</v>
      </c>
      <c r="G3346">
        <v>4</v>
      </c>
      <c r="H3346">
        <v>1840</v>
      </c>
      <c r="I3346">
        <v>3</v>
      </c>
      <c r="J3346">
        <v>4.5999999999999996</v>
      </c>
      <c r="K3346">
        <v>1</v>
      </c>
      <c r="L3346">
        <v>5.5E-2</v>
      </c>
      <c r="M3346">
        <v>5</v>
      </c>
      <c r="N3346">
        <v>100</v>
      </c>
      <c r="O3346">
        <v>3</v>
      </c>
      <c r="P3346">
        <v>0.315</v>
      </c>
      <c r="Q3346">
        <v>2</v>
      </c>
      <c r="R3346">
        <v>4.2500000000000003E-3</v>
      </c>
      <c r="T3346" t="s">
        <v>357</v>
      </c>
    </row>
    <row r="3347" spans="1:20" x14ac:dyDescent="0.2">
      <c r="A3347" t="s">
        <v>9310</v>
      </c>
      <c r="B3347" t="s">
        <v>2022</v>
      </c>
      <c r="C3347" t="s">
        <v>2101</v>
      </c>
      <c r="D3347" t="s">
        <v>2024</v>
      </c>
      <c r="E3347" t="s">
        <v>357</v>
      </c>
      <c r="F3347" t="s">
        <v>447</v>
      </c>
      <c r="G3347">
        <v>5</v>
      </c>
      <c r="H3347">
        <v>1970</v>
      </c>
      <c r="I3347">
        <v>5</v>
      </c>
      <c r="J3347">
        <v>14</v>
      </c>
      <c r="K3347">
        <v>4</v>
      </c>
      <c r="L3347">
        <v>0.39050000000000001</v>
      </c>
      <c r="M3347">
        <v>3</v>
      </c>
      <c r="N3347">
        <v>82</v>
      </c>
      <c r="O3347">
        <v>4</v>
      </c>
      <c r="P3347">
        <v>0.52500000000000002</v>
      </c>
      <c r="Q3347">
        <v>3</v>
      </c>
      <c r="R3347">
        <v>1.15E-2</v>
      </c>
      <c r="T3347" t="s">
        <v>357</v>
      </c>
    </row>
    <row r="3348" spans="1:20" x14ac:dyDescent="0.2">
      <c r="A3348" t="s">
        <v>9311</v>
      </c>
      <c r="B3348" t="s">
        <v>2022</v>
      </c>
      <c r="C3348" t="s">
        <v>2036</v>
      </c>
      <c r="D3348" t="s">
        <v>2024</v>
      </c>
      <c r="E3348" t="s">
        <v>9312</v>
      </c>
      <c r="F3348" t="s">
        <v>9313</v>
      </c>
      <c r="G3348">
        <v>2</v>
      </c>
      <c r="H3348">
        <v>1640</v>
      </c>
      <c r="I3348">
        <v>2</v>
      </c>
      <c r="J3348">
        <v>3.4</v>
      </c>
      <c r="K3348">
        <v>3</v>
      </c>
      <c r="L3348">
        <v>0.115</v>
      </c>
      <c r="M3348">
        <v>3</v>
      </c>
      <c r="N3348">
        <v>88</v>
      </c>
      <c r="O3348">
        <v>2</v>
      </c>
      <c r="P3348">
        <v>0.20499999999999999</v>
      </c>
      <c r="Q3348">
        <v>3</v>
      </c>
      <c r="R3348">
        <v>6.7499999999999999E-3</v>
      </c>
      <c r="T3348" t="s">
        <v>9312</v>
      </c>
    </row>
    <row r="3349" spans="1:20" x14ac:dyDescent="0.2">
      <c r="A3349" t="s">
        <v>9314</v>
      </c>
      <c r="B3349" t="s">
        <v>2022</v>
      </c>
      <c r="C3349" t="s">
        <v>2053</v>
      </c>
      <c r="D3349" t="s">
        <v>2024</v>
      </c>
      <c r="E3349" t="s">
        <v>9315</v>
      </c>
      <c r="F3349" t="s">
        <v>9316</v>
      </c>
      <c r="G3349">
        <v>3</v>
      </c>
      <c r="H3349">
        <v>1700</v>
      </c>
      <c r="I3349">
        <v>2</v>
      </c>
      <c r="J3349">
        <v>4.05</v>
      </c>
      <c r="K3349">
        <v>2</v>
      </c>
      <c r="L3349">
        <v>8.5000000000000006E-2</v>
      </c>
      <c r="M3349">
        <v>1</v>
      </c>
      <c r="N3349">
        <v>73</v>
      </c>
      <c r="O3349">
        <v>2</v>
      </c>
      <c r="P3349">
        <v>0.22500000000000001</v>
      </c>
      <c r="Q3349">
        <v>2</v>
      </c>
      <c r="R3349">
        <v>5.1999999999999998E-3</v>
      </c>
      <c r="T3349" t="s">
        <v>9315</v>
      </c>
    </row>
    <row r="3350" spans="1:20" x14ac:dyDescent="0.2">
      <c r="A3350" t="s">
        <v>9317</v>
      </c>
      <c r="B3350" t="s">
        <v>2022</v>
      </c>
      <c r="C3350" t="s">
        <v>2036</v>
      </c>
      <c r="D3350" t="s">
        <v>2024</v>
      </c>
      <c r="E3350" t="s">
        <v>9318</v>
      </c>
      <c r="F3350" t="s">
        <v>9319</v>
      </c>
      <c r="G3350">
        <v>2</v>
      </c>
      <c r="H3350">
        <v>1640</v>
      </c>
      <c r="I3350">
        <v>1</v>
      </c>
      <c r="J3350">
        <v>2.2000000000000002</v>
      </c>
      <c r="K3350">
        <v>1</v>
      </c>
      <c r="L3350">
        <v>5.5E-2</v>
      </c>
      <c r="M3350">
        <v>2</v>
      </c>
      <c r="N3350">
        <v>82</v>
      </c>
      <c r="O3350">
        <v>1</v>
      </c>
      <c r="P3350">
        <v>9.5000000000000001E-2</v>
      </c>
      <c r="Q3350">
        <v>2</v>
      </c>
      <c r="R3350">
        <v>4.2500000000000003E-3</v>
      </c>
      <c r="T3350" t="s">
        <v>9318</v>
      </c>
    </row>
    <row r="3351" spans="1:20" x14ac:dyDescent="0.2">
      <c r="A3351" t="s">
        <v>9320</v>
      </c>
      <c r="B3351" t="s">
        <v>2022</v>
      </c>
      <c r="C3351" t="s">
        <v>2023</v>
      </c>
      <c r="D3351" t="s">
        <v>2024</v>
      </c>
      <c r="E3351" t="s">
        <v>9321</v>
      </c>
      <c r="F3351" t="s">
        <v>9322</v>
      </c>
      <c r="G3351">
        <v>3</v>
      </c>
      <c r="H3351">
        <v>1640</v>
      </c>
      <c r="I3351">
        <v>5</v>
      </c>
      <c r="J3351">
        <v>10.9</v>
      </c>
      <c r="K3351">
        <v>5</v>
      </c>
      <c r="L3351">
        <v>8.5999999999999993E-2</v>
      </c>
      <c r="M3351">
        <v>5</v>
      </c>
      <c r="N3351">
        <v>114</v>
      </c>
      <c r="O3351">
        <v>5</v>
      </c>
      <c r="P3351">
        <v>0.67500000000000004</v>
      </c>
      <c r="Q3351">
        <v>5</v>
      </c>
      <c r="R3351">
        <v>8.0000000000000002E-3</v>
      </c>
      <c r="T3351" t="s">
        <v>9321</v>
      </c>
    </row>
    <row r="3352" spans="1:20" x14ac:dyDescent="0.2">
      <c r="A3352" t="s">
        <v>9323</v>
      </c>
      <c r="B3352" t="s">
        <v>2022</v>
      </c>
      <c r="C3352" t="s">
        <v>2053</v>
      </c>
      <c r="D3352" t="s">
        <v>2024</v>
      </c>
      <c r="E3352" t="s">
        <v>9324</v>
      </c>
      <c r="F3352" t="s">
        <v>9325</v>
      </c>
      <c r="G3352">
        <v>3</v>
      </c>
      <c r="H3352">
        <v>1700</v>
      </c>
      <c r="I3352">
        <v>2</v>
      </c>
      <c r="J3352">
        <v>4.05</v>
      </c>
      <c r="K3352">
        <v>2</v>
      </c>
      <c r="L3352">
        <v>8.5000000000000006E-2</v>
      </c>
      <c r="M3352">
        <v>2</v>
      </c>
      <c r="N3352">
        <v>83</v>
      </c>
      <c r="O3352">
        <v>2</v>
      </c>
      <c r="P3352">
        <v>0.22500000000000001</v>
      </c>
      <c r="Q3352">
        <v>2</v>
      </c>
      <c r="R3352">
        <v>5.1999999999999998E-3</v>
      </c>
      <c r="T3352" t="s">
        <v>9324</v>
      </c>
    </row>
    <row r="3353" spans="1:20" x14ac:dyDescent="0.2">
      <c r="A3353" t="s">
        <v>9326</v>
      </c>
      <c r="B3353" t="s">
        <v>2022</v>
      </c>
      <c r="C3353" t="s">
        <v>2053</v>
      </c>
      <c r="D3353" t="s">
        <v>2024</v>
      </c>
      <c r="E3353" t="s">
        <v>9327</v>
      </c>
      <c r="F3353" t="s">
        <v>9328</v>
      </c>
      <c r="G3353">
        <v>1</v>
      </c>
      <c r="H3353">
        <v>1500</v>
      </c>
      <c r="I3353">
        <v>2</v>
      </c>
      <c r="J3353">
        <v>4.05</v>
      </c>
      <c r="K3353">
        <v>2</v>
      </c>
      <c r="L3353">
        <v>8.5000000000000006E-2</v>
      </c>
      <c r="M3353">
        <v>1</v>
      </c>
      <c r="N3353">
        <v>73</v>
      </c>
      <c r="O3353">
        <v>1</v>
      </c>
      <c r="P3353">
        <v>7.4999999999999997E-2</v>
      </c>
      <c r="Q3353">
        <v>1</v>
      </c>
      <c r="R3353">
        <v>8.4999999999999995E-4</v>
      </c>
      <c r="T3353" t="s">
        <v>9327</v>
      </c>
    </row>
    <row r="3354" spans="1:20" x14ac:dyDescent="0.2">
      <c r="A3354" t="s">
        <v>9329</v>
      </c>
      <c r="B3354" t="s">
        <v>2022</v>
      </c>
      <c r="C3354" t="s">
        <v>2053</v>
      </c>
      <c r="D3354" t="s">
        <v>2024</v>
      </c>
      <c r="E3354" t="s">
        <v>9330</v>
      </c>
      <c r="F3354" t="s">
        <v>9331</v>
      </c>
      <c r="G3354">
        <v>5</v>
      </c>
      <c r="H3354">
        <v>1900</v>
      </c>
      <c r="I3354">
        <v>5</v>
      </c>
      <c r="J3354">
        <v>11.55</v>
      </c>
      <c r="K3354">
        <v>5</v>
      </c>
      <c r="L3354">
        <v>0.41499999999999998</v>
      </c>
      <c r="M3354">
        <v>3</v>
      </c>
      <c r="N3354">
        <v>93</v>
      </c>
      <c r="O3354">
        <v>5</v>
      </c>
      <c r="P3354">
        <v>0.67500000000000004</v>
      </c>
      <c r="Q3354">
        <v>5</v>
      </c>
      <c r="R3354">
        <v>2.6200000000000001E-2</v>
      </c>
      <c r="T3354" t="s">
        <v>9330</v>
      </c>
    </row>
    <row r="3355" spans="1:20" x14ac:dyDescent="0.2">
      <c r="A3355" t="s">
        <v>9332</v>
      </c>
      <c r="B3355" t="s">
        <v>2022</v>
      </c>
      <c r="C3355" t="s">
        <v>2023</v>
      </c>
      <c r="D3355" t="s">
        <v>2024</v>
      </c>
      <c r="E3355" t="s">
        <v>9333</v>
      </c>
      <c r="F3355" t="s">
        <v>447</v>
      </c>
      <c r="G3355">
        <v>3</v>
      </c>
      <c r="H3355">
        <v>1640</v>
      </c>
      <c r="I3355">
        <v>5</v>
      </c>
      <c r="J3355">
        <v>10.9</v>
      </c>
      <c r="K3355">
        <v>5</v>
      </c>
      <c r="L3355">
        <v>8.5999999999999993E-2</v>
      </c>
      <c r="M3355">
        <v>1</v>
      </c>
      <c r="N3355">
        <v>74</v>
      </c>
      <c r="O3355">
        <v>5</v>
      </c>
      <c r="P3355">
        <v>0.67500000000000004</v>
      </c>
      <c r="Q3355">
        <v>5</v>
      </c>
      <c r="R3355">
        <v>8.0000000000000002E-3</v>
      </c>
      <c r="T3355" t="s">
        <v>9333</v>
      </c>
    </row>
    <row r="3356" spans="1:20" x14ac:dyDescent="0.2">
      <c r="A3356" t="s">
        <v>9334</v>
      </c>
      <c r="B3356" t="s">
        <v>2022</v>
      </c>
      <c r="C3356" t="s">
        <v>2023</v>
      </c>
      <c r="D3356" t="s">
        <v>2024</v>
      </c>
      <c r="E3356" t="s">
        <v>9335</v>
      </c>
      <c r="F3356" t="s">
        <v>9336</v>
      </c>
      <c r="G3356">
        <v>3</v>
      </c>
      <c r="H3356">
        <v>1640</v>
      </c>
      <c r="I3356">
        <v>3</v>
      </c>
      <c r="J3356">
        <v>5.9</v>
      </c>
      <c r="K3356">
        <v>5</v>
      </c>
      <c r="L3356">
        <v>8.5999999999999993E-2</v>
      </c>
      <c r="M3356">
        <v>1</v>
      </c>
      <c r="N3356">
        <v>74</v>
      </c>
      <c r="O3356">
        <v>2</v>
      </c>
      <c r="P3356">
        <v>0.22500000000000001</v>
      </c>
      <c r="Q3356">
        <v>5</v>
      </c>
      <c r="R3356">
        <v>8.0000000000000002E-3</v>
      </c>
      <c r="T3356" t="s">
        <v>9335</v>
      </c>
    </row>
    <row r="3357" spans="1:20" x14ac:dyDescent="0.2">
      <c r="A3357" t="s">
        <v>9337</v>
      </c>
      <c r="B3357" t="s">
        <v>2022</v>
      </c>
      <c r="C3357" t="s">
        <v>2023</v>
      </c>
      <c r="D3357" t="s">
        <v>2024</v>
      </c>
      <c r="E3357" t="s">
        <v>9338</v>
      </c>
      <c r="F3357" t="s">
        <v>9339</v>
      </c>
      <c r="G3357">
        <v>5</v>
      </c>
      <c r="H3357">
        <v>1800</v>
      </c>
      <c r="I3357">
        <v>5</v>
      </c>
      <c r="J3357">
        <v>10.9</v>
      </c>
      <c r="K3357">
        <v>5</v>
      </c>
      <c r="L3357">
        <v>8.5999999999999993E-2</v>
      </c>
      <c r="M3357">
        <v>3</v>
      </c>
      <c r="N3357">
        <v>94</v>
      </c>
      <c r="O3357">
        <v>5</v>
      </c>
      <c r="P3357">
        <v>0.67500000000000004</v>
      </c>
      <c r="Q3357">
        <v>5</v>
      </c>
      <c r="R3357">
        <v>8.0000000000000002E-3</v>
      </c>
      <c r="T3357" t="s">
        <v>9338</v>
      </c>
    </row>
    <row r="3358" spans="1:20" x14ac:dyDescent="0.2">
      <c r="A3358" t="s">
        <v>9340</v>
      </c>
      <c r="B3358" t="s">
        <v>2022</v>
      </c>
      <c r="C3358" t="s">
        <v>2023</v>
      </c>
      <c r="D3358" t="s">
        <v>2024</v>
      </c>
      <c r="E3358" t="s">
        <v>9341</v>
      </c>
      <c r="F3358" t="s">
        <v>9342</v>
      </c>
      <c r="G3358">
        <v>3</v>
      </c>
      <c r="H3358">
        <v>1640</v>
      </c>
      <c r="I3358">
        <v>1</v>
      </c>
      <c r="J3358">
        <v>0.9</v>
      </c>
      <c r="K3358">
        <v>1</v>
      </c>
      <c r="L3358">
        <v>6.0000000000000001E-3</v>
      </c>
      <c r="M3358">
        <v>2</v>
      </c>
      <c r="N3358">
        <v>84</v>
      </c>
      <c r="O3358">
        <v>1</v>
      </c>
      <c r="P3358">
        <v>7.4999999999999997E-2</v>
      </c>
      <c r="Q3358">
        <v>1</v>
      </c>
      <c r="R3358">
        <v>5.0000000000000001E-4</v>
      </c>
      <c r="T3358" t="s">
        <v>9341</v>
      </c>
    </row>
    <row r="3359" spans="1:20" x14ac:dyDescent="0.2">
      <c r="A3359" t="s">
        <v>9343</v>
      </c>
      <c r="B3359" t="s">
        <v>2022</v>
      </c>
      <c r="C3359" t="s">
        <v>2023</v>
      </c>
      <c r="D3359" t="s">
        <v>2024</v>
      </c>
      <c r="E3359" t="s">
        <v>9344</v>
      </c>
      <c r="F3359" t="s">
        <v>9345</v>
      </c>
      <c r="G3359">
        <v>3</v>
      </c>
      <c r="H3359">
        <v>1640</v>
      </c>
      <c r="I3359">
        <v>2</v>
      </c>
      <c r="J3359">
        <v>3.4</v>
      </c>
      <c r="K3359">
        <v>5</v>
      </c>
      <c r="L3359">
        <v>8.5999999999999993E-2</v>
      </c>
      <c r="M3359">
        <v>3</v>
      </c>
      <c r="N3359">
        <v>94</v>
      </c>
      <c r="O3359">
        <v>2</v>
      </c>
      <c r="P3359">
        <v>0.22500000000000001</v>
      </c>
      <c r="Q3359">
        <v>3</v>
      </c>
      <c r="R3359">
        <v>4.0000000000000001E-3</v>
      </c>
      <c r="T3359" t="s">
        <v>9344</v>
      </c>
    </row>
    <row r="3360" spans="1:20" x14ac:dyDescent="0.2">
      <c r="A3360" t="s">
        <v>9346</v>
      </c>
      <c r="B3360" t="s">
        <v>2022</v>
      </c>
      <c r="C3360" t="s">
        <v>2101</v>
      </c>
      <c r="D3360" t="s">
        <v>2024</v>
      </c>
      <c r="E3360" t="s">
        <v>9347</v>
      </c>
      <c r="F3360" t="s">
        <v>9348</v>
      </c>
      <c r="G3360">
        <v>3</v>
      </c>
      <c r="H3360">
        <v>1770</v>
      </c>
      <c r="I3360">
        <v>2</v>
      </c>
      <c r="J3360">
        <v>5</v>
      </c>
      <c r="K3360">
        <v>2</v>
      </c>
      <c r="L3360">
        <v>9.6500000000000002E-2</v>
      </c>
      <c r="M3360">
        <v>4</v>
      </c>
      <c r="N3360">
        <v>90</v>
      </c>
      <c r="O3360">
        <v>2</v>
      </c>
      <c r="P3360">
        <v>0.22500000000000001</v>
      </c>
      <c r="Q3360">
        <v>2</v>
      </c>
      <c r="R3360">
        <v>4.4999999999999997E-3</v>
      </c>
      <c r="T3360" t="s">
        <v>9347</v>
      </c>
    </row>
    <row r="3361" spans="1:20" x14ac:dyDescent="0.2">
      <c r="A3361" t="s">
        <v>9349</v>
      </c>
      <c r="B3361" t="s">
        <v>2022</v>
      </c>
      <c r="C3361" t="s">
        <v>2023</v>
      </c>
      <c r="D3361" t="s">
        <v>2024</v>
      </c>
      <c r="E3361" t="s">
        <v>9350</v>
      </c>
      <c r="F3361" t="s">
        <v>9351</v>
      </c>
      <c r="G3361">
        <v>5</v>
      </c>
      <c r="H3361">
        <v>1800</v>
      </c>
      <c r="I3361">
        <v>2</v>
      </c>
      <c r="J3361">
        <v>3.4</v>
      </c>
      <c r="K3361">
        <v>2</v>
      </c>
      <c r="L3361">
        <v>2.5999999999999999E-2</v>
      </c>
      <c r="M3361">
        <v>4</v>
      </c>
      <c r="N3361">
        <v>104</v>
      </c>
      <c r="O3361">
        <v>1</v>
      </c>
      <c r="P3361">
        <v>7.4999999999999997E-2</v>
      </c>
      <c r="Q3361">
        <v>1</v>
      </c>
      <c r="R3361">
        <v>5.0000000000000001E-4</v>
      </c>
      <c r="T3361" t="s">
        <v>9350</v>
      </c>
    </row>
    <row r="3362" spans="1:20" x14ac:dyDescent="0.2">
      <c r="A3362" t="s">
        <v>9352</v>
      </c>
      <c r="B3362" t="s">
        <v>2022</v>
      </c>
      <c r="C3362" t="s">
        <v>2053</v>
      </c>
      <c r="D3362" t="s">
        <v>2024</v>
      </c>
      <c r="E3362" t="s">
        <v>9353</v>
      </c>
      <c r="F3362" t="s">
        <v>9354</v>
      </c>
      <c r="G3362">
        <v>5</v>
      </c>
      <c r="H3362">
        <v>1900</v>
      </c>
      <c r="I3362">
        <v>5</v>
      </c>
      <c r="J3362">
        <v>11.55</v>
      </c>
      <c r="K3362">
        <v>5</v>
      </c>
      <c r="L3362">
        <v>0.41499999999999998</v>
      </c>
      <c r="M3362">
        <v>5</v>
      </c>
      <c r="N3362">
        <v>113</v>
      </c>
      <c r="O3362">
        <v>5</v>
      </c>
      <c r="P3362">
        <v>0.67500000000000004</v>
      </c>
      <c r="Q3362">
        <v>5</v>
      </c>
      <c r="R3362">
        <v>2.6200000000000001E-2</v>
      </c>
      <c r="T3362" t="s">
        <v>9353</v>
      </c>
    </row>
    <row r="3363" spans="1:20" x14ac:dyDescent="0.2">
      <c r="A3363" t="s">
        <v>9355</v>
      </c>
      <c r="B3363" t="s">
        <v>2022</v>
      </c>
      <c r="C3363" t="s">
        <v>2095</v>
      </c>
      <c r="D3363" t="s">
        <v>2024</v>
      </c>
      <c r="E3363" t="s">
        <v>9356</v>
      </c>
      <c r="F3363" t="s">
        <v>9357</v>
      </c>
      <c r="G3363">
        <v>1</v>
      </c>
      <c r="H3363">
        <v>1565</v>
      </c>
      <c r="I3363">
        <v>4</v>
      </c>
      <c r="J3363">
        <v>13.5</v>
      </c>
      <c r="K3363">
        <v>3</v>
      </c>
      <c r="L3363">
        <v>0.33</v>
      </c>
      <c r="M3363">
        <v>1</v>
      </c>
      <c r="N3363">
        <v>74</v>
      </c>
      <c r="O3363">
        <v>3</v>
      </c>
      <c r="P3363">
        <v>0.55000000000000004</v>
      </c>
      <c r="Q3363">
        <v>3</v>
      </c>
      <c r="R3363">
        <v>1.49E-2</v>
      </c>
      <c r="T3363" t="s">
        <v>9356</v>
      </c>
    </row>
    <row r="3364" spans="1:20" x14ac:dyDescent="0.2">
      <c r="A3364" t="s">
        <v>9358</v>
      </c>
      <c r="B3364" t="s">
        <v>2022</v>
      </c>
      <c r="C3364" t="s">
        <v>2023</v>
      </c>
      <c r="D3364" t="s">
        <v>2024</v>
      </c>
      <c r="E3364" t="s">
        <v>9359</v>
      </c>
      <c r="F3364" t="s">
        <v>9360</v>
      </c>
      <c r="G3364">
        <v>3</v>
      </c>
      <c r="H3364">
        <v>1640</v>
      </c>
      <c r="I3364">
        <v>5</v>
      </c>
      <c r="J3364">
        <v>10.9</v>
      </c>
      <c r="K3364">
        <v>5</v>
      </c>
      <c r="L3364">
        <v>8.5999999999999993E-2</v>
      </c>
      <c r="M3364">
        <v>1</v>
      </c>
      <c r="N3364">
        <v>74</v>
      </c>
      <c r="O3364">
        <v>5</v>
      </c>
      <c r="P3364">
        <v>0.67500000000000004</v>
      </c>
      <c r="Q3364">
        <v>5</v>
      </c>
      <c r="R3364">
        <v>8.0000000000000002E-3</v>
      </c>
      <c r="T3364" t="s">
        <v>9359</v>
      </c>
    </row>
    <row r="3365" spans="1:20" x14ac:dyDescent="0.2">
      <c r="A3365" t="s">
        <v>9361</v>
      </c>
      <c r="B3365" t="s">
        <v>2022</v>
      </c>
      <c r="C3365" t="s">
        <v>2028</v>
      </c>
      <c r="D3365" t="s">
        <v>2024</v>
      </c>
      <c r="E3365" t="s">
        <v>9362</v>
      </c>
      <c r="F3365" t="s">
        <v>9363</v>
      </c>
      <c r="G3365">
        <v>4</v>
      </c>
      <c r="H3365">
        <v>1250</v>
      </c>
      <c r="I3365">
        <v>2</v>
      </c>
      <c r="J3365">
        <v>1.55</v>
      </c>
      <c r="K3365">
        <v>2</v>
      </c>
      <c r="L3365">
        <v>4.4999999999999998E-2</v>
      </c>
      <c r="M3365">
        <v>2</v>
      </c>
      <c r="N3365">
        <v>200</v>
      </c>
      <c r="O3365">
        <v>2</v>
      </c>
      <c r="P3365">
        <v>0.45</v>
      </c>
      <c r="Q3365">
        <v>3</v>
      </c>
      <c r="R3365">
        <v>1.6250000000000001E-2</v>
      </c>
      <c r="T3365" t="s">
        <v>9362</v>
      </c>
    </row>
    <row r="3366" spans="1:20" x14ac:dyDescent="0.2">
      <c r="A3366" t="s">
        <v>9364</v>
      </c>
      <c r="B3366" t="s">
        <v>2022</v>
      </c>
      <c r="C3366" t="s">
        <v>2049</v>
      </c>
      <c r="D3366" t="s">
        <v>2024</v>
      </c>
      <c r="E3366" t="s">
        <v>9365</v>
      </c>
      <c r="F3366" t="s">
        <v>9366</v>
      </c>
      <c r="G3366">
        <v>1</v>
      </c>
      <c r="H3366">
        <v>1350</v>
      </c>
      <c r="I3366">
        <v>3</v>
      </c>
      <c r="J3366">
        <v>5</v>
      </c>
      <c r="K3366">
        <v>3</v>
      </c>
      <c r="L3366">
        <v>0.14000000000000001</v>
      </c>
      <c r="M3366">
        <v>5</v>
      </c>
      <c r="N3366">
        <v>166</v>
      </c>
      <c r="O3366">
        <v>5</v>
      </c>
      <c r="P3366">
        <v>0.86</v>
      </c>
      <c r="Q3366">
        <v>5</v>
      </c>
      <c r="R3366">
        <v>3.32E-2</v>
      </c>
      <c r="T3366" t="s">
        <v>9365</v>
      </c>
    </row>
    <row r="3367" spans="1:20" x14ac:dyDescent="0.2">
      <c r="A3367" t="s">
        <v>9367</v>
      </c>
      <c r="B3367" t="s">
        <v>2022</v>
      </c>
      <c r="C3367" t="s">
        <v>2049</v>
      </c>
      <c r="D3367" t="s">
        <v>2024</v>
      </c>
      <c r="E3367" t="s">
        <v>208</v>
      </c>
      <c r="F3367" t="s">
        <v>9368</v>
      </c>
      <c r="G3367">
        <v>3</v>
      </c>
      <c r="H3367">
        <v>1550</v>
      </c>
      <c r="I3367">
        <v>3</v>
      </c>
      <c r="J3367">
        <v>5</v>
      </c>
      <c r="K3367">
        <v>3</v>
      </c>
      <c r="L3367">
        <v>0.14000000000000001</v>
      </c>
      <c r="M3367">
        <v>1</v>
      </c>
      <c r="N3367">
        <v>86</v>
      </c>
      <c r="O3367">
        <v>2</v>
      </c>
      <c r="P3367">
        <v>0.26</v>
      </c>
      <c r="Q3367">
        <v>2</v>
      </c>
      <c r="R3367">
        <v>6.1999999999999998E-3</v>
      </c>
      <c r="T3367" t="s">
        <v>208</v>
      </c>
    </row>
    <row r="3368" spans="1:20" x14ac:dyDescent="0.2">
      <c r="A3368" t="s">
        <v>9369</v>
      </c>
      <c r="B3368" t="s">
        <v>2022</v>
      </c>
      <c r="C3368" t="s">
        <v>2036</v>
      </c>
      <c r="D3368" t="s">
        <v>2024</v>
      </c>
      <c r="E3368" t="s">
        <v>9370</v>
      </c>
      <c r="F3368" t="s">
        <v>9371</v>
      </c>
      <c r="G3368">
        <v>2</v>
      </c>
      <c r="H3368">
        <v>1640</v>
      </c>
      <c r="I3368">
        <v>1</v>
      </c>
      <c r="J3368">
        <v>2.2000000000000002</v>
      </c>
      <c r="K3368">
        <v>1</v>
      </c>
      <c r="L3368">
        <v>5.5E-2</v>
      </c>
      <c r="M3368">
        <v>1</v>
      </c>
      <c r="N3368">
        <v>76</v>
      </c>
      <c r="O3368">
        <v>1</v>
      </c>
      <c r="P3368">
        <v>9.5000000000000001E-2</v>
      </c>
      <c r="Q3368">
        <v>1</v>
      </c>
      <c r="R3368">
        <v>1.5E-3</v>
      </c>
      <c r="T3368" t="s">
        <v>9370</v>
      </c>
    </row>
    <row r="3369" spans="1:20" x14ac:dyDescent="0.2">
      <c r="A3369" t="s">
        <v>9372</v>
      </c>
      <c r="B3369" t="s">
        <v>2022</v>
      </c>
      <c r="C3369" t="s">
        <v>2049</v>
      </c>
      <c r="D3369" t="s">
        <v>2024</v>
      </c>
      <c r="E3369" t="s">
        <v>357</v>
      </c>
      <c r="F3369" t="s">
        <v>447</v>
      </c>
      <c r="G3369">
        <v>3</v>
      </c>
      <c r="H3369">
        <v>1550</v>
      </c>
      <c r="I3369">
        <v>5</v>
      </c>
      <c r="J3369">
        <v>8.6</v>
      </c>
      <c r="K3369">
        <v>5</v>
      </c>
      <c r="L3369">
        <v>0.3</v>
      </c>
      <c r="M3369">
        <v>2</v>
      </c>
      <c r="N3369">
        <v>106</v>
      </c>
      <c r="O3369">
        <v>3</v>
      </c>
      <c r="P3369">
        <v>0.46</v>
      </c>
      <c r="Q3369">
        <v>5</v>
      </c>
      <c r="R3369">
        <v>3.32E-2</v>
      </c>
      <c r="T3369" t="s">
        <v>357</v>
      </c>
    </row>
    <row r="3370" spans="1:20" x14ac:dyDescent="0.2">
      <c r="A3370" t="s">
        <v>9373</v>
      </c>
      <c r="B3370" t="s">
        <v>2022</v>
      </c>
      <c r="C3370" t="s">
        <v>2023</v>
      </c>
      <c r="D3370" t="s">
        <v>2024</v>
      </c>
      <c r="E3370" t="s">
        <v>9374</v>
      </c>
      <c r="F3370" t="s">
        <v>9375</v>
      </c>
      <c r="G3370">
        <v>1</v>
      </c>
      <c r="H3370">
        <v>1480</v>
      </c>
      <c r="I3370">
        <v>2</v>
      </c>
      <c r="J3370">
        <v>3.4</v>
      </c>
      <c r="K3370">
        <v>2</v>
      </c>
      <c r="L3370">
        <v>2.5999999999999999E-2</v>
      </c>
      <c r="M3370">
        <v>1</v>
      </c>
      <c r="N3370">
        <v>74</v>
      </c>
      <c r="O3370">
        <v>2</v>
      </c>
      <c r="P3370">
        <v>0.22500000000000001</v>
      </c>
      <c r="Q3370">
        <v>2</v>
      </c>
      <c r="R3370">
        <v>2E-3</v>
      </c>
      <c r="T3370" t="s">
        <v>9374</v>
      </c>
    </row>
    <row r="3371" spans="1:20" x14ac:dyDescent="0.2">
      <c r="A3371" t="s">
        <v>9376</v>
      </c>
      <c r="B3371" t="s">
        <v>2022</v>
      </c>
      <c r="C3371" t="s">
        <v>2053</v>
      </c>
      <c r="D3371" t="s">
        <v>2024</v>
      </c>
      <c r="E3371" t="s">
        <v>9377</v>
      </c>
      <c r="F3371" t="s">
        <v>9378</v>
      </c>
      <c r="G3371">
        <v>3</v>
      </c>
      <c r="H3371">
        <v>1700</v>
      </c>
      <c r="I3371">
        <v>1</v>
      </c>
      <c r="J3371">
        <v>1.55</v>
      </c>
      <c r="K3371">
        <v>2</v>
      </c>
      <c r="L3371">
        <v>8.5000000000000006E-2</v>
      </c>
      <c r="M3371">
        <v>3</v>
      </c>
      <c r="N3371">
        <v>93</v>
      </c>
      <c r="O3371">
        <v>1</v>
      </c>
      <c r="P3371">
        <v>7.4999999999999997E-2</v>
      </c>
      <c r="Q3371">
        <v>2</v>
      </c>
      <c r="R3371">
        <v>5.1999999999999998E-3</v>
      </c>
      <c r="T3371" t="s">
        <v>9377</v>
      </c>
    </row>
    <row r="3372" spans="1:20" x14ac:dyDescent="0.2">
      <c r="A3372" t="s">
        <v>9379</v>
      </c>
      <c r="B3372" t="s">
        <v>2022</v>
      </c>
      <c r="C3372" t="s">
        <v>2023</v>
      </c>
      <c r="D3372" t="s">
        <v>2024</v>
      </c>
      <c r="E3372" t="s">
        <v>9380</v>
      </c>
      <c r="F3372" t="s">
        <v>9381</v>
      </c>
      <c r="G3372">
        <v>4</v>
      </c>
      <c r="H3372">
        <v>1720</v>
      </c>
      <c r="I3372">
        <v>1</v>
      </c>
      <c r="J3372">
        <v>0.9</v>
      </c>
      <c r="K3372">
        <v>1</v>
      </c>
      <c r="L3372">
        <v>6.0000000000000001E-3</v>
      </c>
      <c r="M3372">
        <v>2</v>
      </c>
      <c r="N3372">
        <v>84</v>
      </c>
      <c r="O3372">
        <v>1</v>
      </c>
      <c r="P3372">
        <v>7.4999999999999997E-2</v>
      </c>
      <c r="Q3372">
        <v>1</v>
      </c>
      <c r="R3372">
        <v>5.0000000000000001E-4</v>
      </c>
      <c r="T3372" t="s">
        <v>9380</v>
      </c>
    </row>
    <row r="3373" spans="1:20" x14ac:dyDescent="0.2">
      <c r="A3373" t="s">
        <v>9382</v>
      </c>
      <c r="B3373" t="s">
        <v>2022</v>
      </c>
      <c r="C3373" t="s">
        <v>2023</v>
      </c>
      <c r="D3373" t="s">
        <v>2024</v>
      </c>
      <c r="E3373" t="s">
        <v>9383</v>
      </c>
      <c r="F3373" t="s">
        <v>9384</v>
      </c>
      <c r="G3373">
        <v>2</v>
      </c>
      <c r="H3373">
        <v>1560</v>
      </c>
      <c r="I3373">
        <v>1</v>
      </c>
      <c r="J3373">
        <v>0.9</v>
      </c>
      <c r="K3373">
        <v>2</v>
      </c>
      <c r="L3373">
        <v>2.5999999999999999E-2</v>
      </c>
      <c r="M3373">
        <v>1</v>
      </c>
      <c r="N3373">
        <v>74</v>
      </c>
      <c r="O3373">
        <v>1</v>
      </c>
      <c r="P3373">
        <v>7.4999999999999997E-2</v>
      </c>
      <c r="Q3373">
        <v>1</v>
      </c>
      <c r="R3373">
        <v>5.0000000000000001E-4</v>
      </c>
      <c r="T3373" t="s">
        <v>9383</v>
      </c>
    </row>
    <row r="3374" spans="1:20" x14ac:dyDescent="0.2">
      <c r="A3374" t="s">
        <v>9385</v>
      </c>
      <c r="B3374" t="s">
        <v>2022</v>
      </c>
      <c r="C3374" t="s">
        <v>2104</v>
      </c>
      <c r="D3374" t="s">
        <v>2024</v>
      </c>
      <c r="E3374" t="s">
        <v>9386</v>
      </c>
      <c r="F3374" t="s">
        <v>9387</v>
      </c>
      <c r="G3374">
        <v>3</v>
      </c>
      <c r="H3374">
        <v>1887.5</v>
      </c>
      <c r="I3374">
        <v>4</v>
      </c>
      <c r="J3374">
        <v>7.85</v>
      </c>
      <c r="K3374">
        <v>4</v>
      </c>
      <c r="L3374">
        <v>0.14099999999999999</v>
      </c>
      <c r="M3374">
        <v>5</v>
      </c>
      <c r="N3374">
        <v>89</v>
      </c>
      <c r="P3374">
        <v>0</v>
      </c>
      <c r="Q3374">
        <v>3</v>
      </c>
      <c r="R3374">
        <v>8.2000000000000007E-3</v>
      </c>
      <c r="T3374" t="s">
        <v>9386</v>
      </c>
    </row>
    <row r="3375" spans="1:20" x14ac:dyDescent="0.2">
      <c r="A3375" t="s">
        <v>9388</v>
      </c>
      <c r="B3375" t="s">
        <v>2022</v>
      </c>
      <c r="C3375" t="s">
        <v>2049</v>
      </c>
      <c r="E3375" t="s">
        <v>9389</v>
      </c>
      <c r="F3375" t="s">
        <v>9390</v>
      </c>
      <c r="G3375">
        <v>5</v>
      </c>
      <c r="H3375">
        <v>1750</v>
      </c>
      <c r="I3375">
        <v>5</v>
      </c>
      <c r="J3375">
        <v>8.6</v>
      </c>
      <c r="K3375">
        <v>5</v>
      </c>
      <c r="L3375">
        <v>0.3</v>
      </c>
      <c r="M3375">
        <v>2</v>
      </c>
      <c r="N3375">
        <v>106</v>
      </c>
      <c r="O3375">
        <v>4</v>
      </c>
      <c r="P3375">
        <v>0.66</v>
      </c>
      <c r="Q3375">
        <v>4</v>
      </c>
      <c r="R3375">
        <v>2.4199999999999999E-2</v>
      </c>
      <c r="T3375" t="s">
        <v>9389</v>
      </c>
    </row>
    <row r="3376" spans="1:20" x14ac:dyDescent="0.2">
      <c r="A3376" t="s">
        <v>9391</v>
      </c>
      <c r="B3376" t="s">
        <v>2022</v>
      </c>
      <c r="C3376" t="s">
        <v>2049</v>
      </c>
      <c r="E3376" t="s">
        <v>9392</v>
      </c>
      <c r="F3376" t="s">
        <v>9393</v>
      </c>
      <c r="G3376">
        <v>3</v>
      </c>
      <c r="H3376">
        <v>1550</v>
      </c>
      <c r="I3376">
        <v>5</v>
      </c>
      <c r="J3376">
        <v>8.6</v>
      </c>
      <c r="K3376">
        <v>5</v>
      </c>
      <c r="L3376">
        <v>0.3</v>
      </c>
      <c r="M3376">
        <v>5</v>
      </c>
      <c r="N3376">
        <v>166</v>
      </c>
      <c r="O3376">
        <v>5</v>
      </c>
      <c r="P3376">
        <v>0.86</v>
      </c>
      <c r="Q3376">
        <v>5</v>
      </c>
      <c r="R3376">
        <v>3.32E-2</v>
      </c>
      <c r="T3376" t="s">
        <v>9392</v>
      </c>
    </row>
    <row r="3377" spans="1:20" x14ac:dyDescent="0.2">
      <c r="A3377" t="s">
        <v>9394</v>
      </c>
      <c r="B3377" t="s">
        <v>2022</v>
      </c>
      <c r="C3377" t="s">
        <v>2049</v>
      </c>
      <c r="E3377" t="s">
        <v>9395</v>
      </c>
      <c r="F3377" t="s">
        <v>9396</v>
      </c>
      <c r="G3377">
        <v>4</v>
      </c>
      <c r="H3377">
        <v>1650</v>
      </c>
      <c r="I3377">
        <v>5</v>
      </c>
      <c r="J3377">
        <v>8.6</v>
      </c>
      <c r="K3377">
        <v>5</v>
      </c>
      <c r="L3377">
        <v>0.3</v>
      </c>
      <c r="M3377">
        <v>1</v>
      </c>
      <c r="N3377">
        <v>86</v>
      </c>
      <c r="O3377">
        <v>3</v>
      </c>
      <c r="P3377">
        <v>0.46</v>
      </c>
      <c r="Q3377">
        <v>3</v>
      </c>
      <c r="R3377">
        <v>1.52E-2</v>
      </c>
      <c r="T3377" t="s">
        <v>9395</v>
      </c>
    </row>
    <row r="3378" spans="1:20" x14ac:dyDescent="0.2">
      <c r="A3378" t="s">
        <v>9397</v>
      </c>
      <c r="B3378" t="s">
        <v>2022</v>
      </c>
      <c r="C3378" t="s">
        <v>2023</v>
      </c>
      <c r="D3378" t="s">
        <v>2024</v>
      </c>
      <c r="E3378" t="s">
        <v>9398</v>
      </c>
      <c r="F3378" t="s">
        <v>9399</v>
      </c>
      <c r="G3378">
        <v>2</v>
      </c>
      <c r="H3378">
        <v>1560</v>
      </c>
      <c r="I3378">
        <v>3</v>
      </c>
      <c r="J3378">
        <v>5.9</v>
      </c>
      <c r="K3378">
        <v>5</v>
      </c>
      <c r="L3378">
        <v>8.5999999999999993E-2</v>
      </c>
      <c r="M3378">
        <v>1</v>
      </c>
      <c r="N3378">
        <v>74</v>
      </c>
      <c r="O3378">
        <v>3</v>
      </c>
      <c r="P3378">
        <v>0.375</v>
      </c>
      <c r="Q3378">
        <v>5</v>
      </c>
      <c r="R3378">
        <v>8.0000000000000002E-3</v>
      </c>
      <c r="T3378" t="s">
        <v>9398</v>
      </c>
    </row>
    <row r="3379" spans="1:20" x14ac:dyDescent="0.2">
      <c r="A3379" t="s">
        <v>9400</v>
      </c>
      <c r="B3379" t="s">
        <v>2022</v>
      </c>
      <c r="C3379" t="s">
        <v>2257</v>
      </c>
      <c r="D3379" t="s">
        <v>2024</v>
      </c>
      <c r="E3379" t="s">
        <v>357</v>
      </c>
      <c r="F3379" t="s">
        <v>9401</v>
      </c>
      <c r="G3379">
        <v>5</v>
      </c>
      <c r="H3379">
        <v>1300</v>
      </c>
      <c r="I3379">
        <v>3</v>
      </c>
      <c r="J3379">
        <v>3.05</v>
      </c>
      <c r="K3379">
        <v>2</v>
      </c>
      <c r="L3379">
        <v>3.6999999999999998E-2</v>
      </c>
      <c r="M3379">
        <v>5</v>
      </c>
      <c r="N3379">
        <v>1100</v>
      </c>
      <c r="O3379">
        <v>5</v>
      </c>
      <c r="P3379">
        <v>2.7</v>
      </c>
      <c r="Q3379">
        <v>2</v>
      </c>
      <c r="R3379">
        <v>1.4999999999999999E-2</v>
      </c>
      <c r="T3379" t="s">
        <v>357</v>
      </c>
    </row>
    <row r="3380" spans="1:20" x14ac:dyDescent="0.2">
      <c r="A3380" t="s">
        <v>9402</v>
      </c>
      <c r="B3380" t="s">
        <v>2022</v>
      </c>
      <c r="C3380" t="s">
        <v>2036</v>
      </c>
      <c r="D3380" t="s">
        <v>2024</v>
      </c>
      <c r="E3380" t="s">
        <v>9403</v>
      </c>
      <c r="F3380" t="s">
        <v>9404</v>
      </c>
      <c r="G3380">
        <v>2</v>
      </c>
      <c r="H3380">
        <v>1640</v>
      </c>
      <c r="I3380">
        <v>4</v>
      </c>
      <c r="J3380">
        <v>5.8</v>
      </c>
      <c r="K3380">
        <v>5</v>
      </c>
      <c r="L3380">
        <v>0.17499999999999999</v>
      </c>
      <c r="M3380">
        <v>2</v>
      </c>
      <c r="N3380">
        <v>82</v>
      </c>
      <c r="O3380">
        <v>3</v>
      </c>
      <c r="P3380">
        <v>0.315</v>
      </c>
      <c r="Q3380">
        <v>5</v>
      </c>
      <c r="R3380">
        <v>1.2E-2</v>
      </c>
      <c r="T3380" t="s">
        <v>9403</v>
      </c>
    </row>
    <row r="3381" spans="1:20" x14ac:dyDescent="0.2">
      <c r="A3381" t="s">
        <v>9405</v>
      </c>
      <c r="B3381" t="s">
        <v>2022</v>
      </c>
      <c r="C3381" t="s">
        <v>2036</v>
      </c>
      <c r="D3381" t="s">
        <v>2136</v>
      </c>
      <c r="E3381" t="s">
        <v>9406</v>
      </c>
      <c r="F3381" t="s">
        <v>9407</v>
      </c>
      <c r="G3381">
        <v>3</v>
      </c>
      <c r="H3381">
        <v>1740</v>
      </c>
      <c r="I3381">
        <v>2</v>
      </c>
      <c r="J3381">
        <v>3.4</v>
      </c>
      <c r="K3381">
        <v>1</v>
      </c>
      <c r="L3381">
        <v>5.5E-2</v>
      </c>
      <c r="M3381">
        <v>3</v>
      </c>
      <c r="N3381">
        <v>88</v>
      </c>
      <c r="O3381">
        <v>2</v>
      </c>
      <c r="P3381">
        <v>0.20499999999999999</v>
      </c>
      <c r="Q3381">
        <v>2</v>
      </c>
      <c r="R3381">
        <v>4.2500000000000003E-3</v>
      </c>
      <c r="T3381" t="s">
        <v>9406</v>
      </c>
    </row>
    <row r="3382" spans="1:20" x14ac:dyDescent="0.2">
      <c r="A3382" t="s">
        <v>9408</v>
      </c>
      <c r="B3382" t="s">
        <v>2022</v>
      </c>
      <c r="C3382" t="s">
        <v>2053</v>
      </c>
      <c r="D3382" t="s">
        <v>2024</v>
      </c>
      <c r="E3382" t="s">
        <v>9409</v>
      </c>
      <c r="F3382" t="s">
        <v>9410</v>
      </c>
      <c r="G3382">
        <v>4</v>
      </c>
      <c r="H3382">
        <v>1800</v>
      </c>
      <c r="I3382">
        <v>5</v>
      </c>
      <c r="J3382">
        <v>11.55</v>
      </c>
      <c r="K3382">
        <v>5</v>
      </c>
      <c r="L3382">
        <v>0.41499999999999998</v>
      </c>
      <c r="M3382">
        <v>3</v>
      </c>
      <c r="N3382">
        <v>93</v>
      </c>
      <c r="O3382">
        <v>5</v>
      </c>
      <c r="P3382">
        <v>0.67500000000000004</v>
      </c>
      <c r="Q3382">
        <v>5</v>
      </c>
      <c r="R3382">
        <v>2.6200000000000001E-2</v>
      </c>
      <c r="T3382" t="s">
        <v>9409</v>
      </c>
    </row>
    <row r="3383" spans="1:20" x14ac:dyDescent="0.2">
      <c r="A3383" t="s">
        <v>9411</v>
      </c>
      <c r="B3383" t="s">
        <v>2022</v>
      </c>
      <c r="C3383" t="s">
        <v>2036</v>
      </c>
      <c r="D3383" t="s">
        <v>2024</v>
      </c>
      <c r="E3383" t="s">
        <v>9412</v>
      </c>
      <c r="F3383" t="s">
        <v>9413</v>
      </c>
      <c r="G3383">
        <v>4</v>
      </c>
      <c r="H3383">
        <v>1840</v>
      </c>
      <c r="I3383">
        <v>4</v>
      </c>
      <c r="J3383">
        <v>5.8</v>
      </c>
      <c r="K3383">
        <v>5</v>
      </c>
      <c r="L3383">
        <v>0.17499999999999999</v>
      </c>
      <c r="M3383">
        <v>3</v>
      </c>
      <c r="N3383">
        <v>88</v>
      </c>
      <c r="O3383">
        <v>3</v>
      </c>
      <c r="P3383">
        <v>0.315</v>
      </c>
      <c r="Q3383">
        <v>4</v>
      </c>
      <c r="R3383">
        <v>9.2499999999999995E-3</v>
      </c>
      <c r="T3383" t="s">
        <v>9412</v>
      </c>
    </row>
    <row r="3384" spans="1:20" x14ac:dyDescent="0.2">
      <c r="A3384" t="s">
        <v>9414</v>
      </c>
      <c r="B3384" t="s">
        <v>2022</v>
      </c>
      <c r="C3384" t="s">
        <v>2053</v>
      </c>
      <c r="D3384" t="s">
        <v>2024</v>
      </c>
      <c r="E3384" t="s">
        <v>9415</v>
      </c>
      <c r="F3384" t="s">
        <v>9416</v>
      </c>
      <c r="G3384">
        <v>1</v>
      </c>
      <c r="H3384">
        <v>1500</v>
      </c>
      <c r="I3384">
        <v>4</v>
      </c>
      <c r="J3384">
        <v>9.0500000000000007</v>
      </c>
      <c r="K3384">
        <v>5</v>
      </c>
      <c r="L3384">
        <v>0.41499999999999998</v>
      </c>
      <c r="M3384">
        <v>3</v>
      </c>
      <c r="N3384">
        <v>93</v>
      </c>
      <c r="O3384">
        <v>5</v>
      </c>
      <c r="P3384">
        <v>0.67500000000000004</v>
      </c>
      <c r="Q3384">
        <v>5</v>
      </c>
      <c r="R3384">
        <v>2.6200000000000001E-2</v>
      </c>
      <c r="T3384" t="s">
        <v>9415</v>
      </c>
    </row>
    <row r="3385" spans="1:20" x14ac:dyDescent="0.2">
      <c r="A3385" t="s">
        <v>9417</v>
      </c>
      <c r="B3385" t="s">
        <v>2022</v>
      </c>
      <c r="C3385" t="s">
        <v>2036</v>
      </c>
      <c r="D3385" t="s">
        <v>2024</v>
      </c>
      <c r="E3385" t="s">
        <v>9418</v>
      </c>
      <c r="F3385" t="s">
        <v>9419</v>
      </c>
      <c r="G3385">
        <v>5</v>
      </c>
      <c r="H3385">
        <v>1940</v>
      </c>
      <c r="I3385">
        <v>2</v>
      </c>
      <c r="J3385">
        <v>3.4</v>
      </c>
      <c r="K3385">
        <v>2</v>
      </c>
      <c r="L3385">
        <v>8.5000000000000006E-2</v>
      </c>
      <c r="M3385">
        <v>5</v>
      </c>
      <c r="N3385">
        <v>100</v>
      </c>
      <c r="O3385">
        <v>2</v>
      </c>
      <c r="P3385">
        <v>0.20499999999999999</v>
      </c>
      <c r="Q3385">
        <v>2</v>
      </c>
      <c r="R3385">
        <v>4.2500000000000003E-3</v>
      </c>
      <c r="T3385" t="s">
        <v>9418</v>
      </c>
    </row>
    <row r="3386" spans="1:20" x14ac:dyDescent="0.2">
      <c r="A3386" t="s">
        <v>9420</v>
      </c>
      <c r="B3386" t="s">
        <v>2022</v>
      </c>
      <c r="C3386" t="s">
        <v>2053</v>
      </c>
      <c r="D3386" t="s">
        <v>2024</v>
      </c>
      <c r="E3386" t="s">
        <v>9421</v>
      </c>
      <c r="F3386" t="s">
        <v>9422</v>
      </c>
      <c r="G3386">
        <v>2</v>
      </c>
      <c r="H3386">
        <v>1600</v>
      </c>
      <c r="I3386">
        <v>2</v>
      </c>
      <c r="J3386">
        <v>4.05</v>
      </c>
      <c r="K3386">
        <v>2</v>
      </c>
      <c r="L3386">
        <v>8.5000000000000006E-2</v>
      </c>
      <c r="M3386">
        <v>5</v>
      </c>
      <c r="N3386">
        <v>113</v>
      </c>
      <c r="O3386">
        <v>3</v>
      </c>
      <c r="P3386">
        <v>0.375</v>
      </c>
      <c r="Q3386">
        <v>2</v>
      </c>
      <c r="R3386">
        <v>5.1999999999999998E-3</v>
      </c>
      <c r="T3386" t="s">
        <v>9421</v>
      </c>
    </row>
    <row r="3387" spans="1:20" x14ac:dyDescent="0.2">
      <c r="A3387" t="s">
        <v>9423</v>
      </c>
      <c r="B3387" t="s">
        <v>2022</v>
      </c>
      <c r="C3387" t="s">
        <v>2023</v>
      </c>
      <c r="D3387" t="s">
        <v>2024</v>
      </c>
      <c r="E3387" t="s">
        <v>9424</v>
      </c>
      <c r="F3387" t="s">
        <v>9425</v>
      </c>
      <c r="G3387">
        <v>3</v>
      </c>
      <c r="H3387">
        <v>1640</v>
      </c>
      <c r="I3387">
        <v>1</v>
      </c>
      <c r="J3387">
        <v>0.9</v>
      </c>
      <c r="K3387">
        <v>1</v>
      </c>
      <c r="L3387">
        <v>6.0000000000000001E-3</v>
      </c>
      <c r="M3387">
        <v>2</v>
      </c>
      <c r="N3387">
        <v>84</v>
      </c>
      <c r="O3387">
        <v>1</v>
      </c>
      <c r="P3387">
        <v>7.4999999999999997E-2</v>
      </c>
      <c r="Q3387">
        <v>1</v>
      </c>
      <c r="R3387">
        <v>5.0000000000000001E-4</v>
      </c>
      <c r="T3387" t="s">
        <v>9424</v>
      </c>
    </row>
    <row r="3388" spans="1:20" x14ac:dyDescent="0.2">
      <c r="A3388" t="s">
        <v>9426</v>
      </c>
      <c r="B3388" t="s">
        <v>2022</v>
      </c>
      <c r="C3388" t="s">
        <v>2023</v>
      </c>
      <c r="D3388" t="s">
        <v>2024</v>
      </c>
      <c r="E3388" t="s">
        <v>9427</v>
      </c>
      <c r="F3388" t="s">
        <v>9428</v>
      </c>
      <c r="G3388">
        <v>2</v>
      </c>
      <c r="H3388">
        <v>1560</v>
      </c>
      <c r="I3388">
        <v>1</v>
      </c>
      <c r="J3388">
        <v>0.9</v>
      </c>
      <c r="K3388">
        <v>1</v>
      </c>
      <c r="L3388">
        <v>6.0000000000000001E-3</v>
      </c>
      <c r="M3388">
        <v>2</v>
      </c>
      <c r="N3388">
        <v>84</v>
      </c>
      <c r="O3388">
        <v>1</v>
      </c>
      <c r="P3388">
        <v>7.4999999999999997E-2</v>
      </c>
      <c r="Q3388">
        <v>1</v>
      </c>
      <c r="R3388">
        <v>5.0000000000000001E-4</v>
      </c>
      <c r="T3388" t="s">
        <v>9427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T5408"/>
  <sheetViews>
    <sheetView workbookViewId="0">
      <selection activeCell="A451" sqref="A451"/>
    </sheetView>
  </sheetViews>
  <sheetFormatPr baseColWidth="10" defaultColWidth="8.6640625" defaultRowHeight="15" x14ac:dyDescent="0.2"/>
  <cols>
    <col min="1" max="1" width="44.6640625" customWidth="1"/>
    <col min="2" max="2" width="10.5" customWidth="1"/>
    <col min="3" max="3" width="12.6640625" customWidth="1"/>
    <col min="4" max="4" width="13.6640625" customWidth="1"/>
    <col min="5" max="5" width="10" customWidth="1"/>
    <col min="6" max="6" width="10.6640625" customWidth="1"/>
    <col min="7" max="7" width="7.6640625" customWidth="1"/>
    <col min="8" max="8" width="6.6640625" customWidth="1"/>
    <col min="9" max="9" width="8.1640625" customWidth="1"/>
    <col min="10" max="10" width="7.1640625" customWidth="1"/>
    <col min="11" max="12" width="8.5" customWidth="1"/>
    <col min="13" max="13" width="7.6640625" customWidth="1"/>
    <col min="14" max="14" width="7.1640625" customWidth="1"/>
    <col min="15" max="15" width="7.5" customWidth="1"/>
    <col min="16" max="16" width="7.1640625" customWidth="1"/>
    <col min="17" max="19" width="7.6640625" customWidth="1"/>
    <col min="20" max="20" width="8.6640625" style="8"/>
  </cols>
  <sheetData>
    <row r="1" spans="1:20" ht="36" customHeight="1" x14ac:dyDescent="0.55000000000000004">
      <c r="A1" s="18" t="s">
        <v>359</v>
      </c>
      <c r="C1" s="19" t="s">
        <v>360</v>
      </c>
      <c r="J1" s="20"/>
      <c r="K1" s="21"/>
      <c r="L1" s="21"/>
      <c r="M1" s="21"/>
      <c r="N1" s="21"/>
      <c r="O1" s="21"/>
      <c r="Q1" s="20"/>
      <c r="T1" s="10"/>
    </row>
    <row r="2" spans="1:20" x14ac:dyDescent="0.2">
      <c r="A2" s="22" t="s">
        <v>361</v>
      </c>
      <c r="J2" s="20"/>
      <c r="K2" s="21"/>
      <c r="L2" s="23" t="s">
        <v>362</v>
      </c>
      <c r="M2" s="21"/>
      <c r="N2" s="21"/>
      <c r="O2" s="21"/>
      <c r="Q2" s="20"/>
      <c r="T2" s="10"/>
    </row>
    <row r="3" spans="1:20" x14ac:dyDescent="0.2">
      <c r="A3" s="22" t="s">
        <v>363</v>
      </c>
      <c r="J3" s="20"/>
      <c r="K3" s="21"/>
      <c r="L3" s="21"/>
      <c r="M3" s="21"/>
      <c r="N3" s="21"/>
      <c r="O3" s="21"/>
      <c r="Q3" s="20"/>
      <c r="T3" s="10"/>
    </row>
    <row r="4" spans="1:20" x14ac:dyDescent="0.2">
      <c r="A4" s="22" t="s">
        <v>364</v>
      </c>
      <c r="J4" s="20"/>
      <c r="K4" s="21"/>
      <c r="L4" s="21"/>
      <c r="M4" s="21"/>
      <c r="N4" s="21"/>
      <c r="O4" s="21"/>
      <c r="Q4" s="20"/>
      <c r="T4" s="10"/>
    </row>
    <row r="5" spans="1:20" ht="16" thickBot="1" x14ac:dyDescent="0.25">
      <c r="A5" s="22"/>
      <c r="J5" s="20"/>
      <c r="K5" s="21"/>
      <c r="L5" s="21"/>
      <c r="M5" s="21"/>
      <c r="N5" s="21"/>
      <c r="O5" s="21"/>
      <c r="Q5" s="20"/>
      <c r="T5" s="10"/>
    </row>
    <row r="6" spans="1:20" ht="22" thickBot="1" x14ac:dyDescent="0.3">
      <c r="A6" s="22" t="s">
        <v>365</v>
      </c>
      <c r="G6" s="45" t="s">
        <v>366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7"/>
      <c r="T6" s="10"/>
    </row>
    <row r="7" spans="1:20" s="25" customFormat="1" ht="24" customHeight="1" thickBot="1" x14ac:dyDescent="0.3">
      <c r="A7" s="24"/>
      <c r="G7" s="48" t="s">
        <v>367</v>
      </c>
      <c r="H7" s="49"/>
      <c r="I7" s="49"/>
      <c r="J7" s="49"/>
      <c r="K7" s="49"/>
      <c r="L7" s="50"/>
      <c r="M7" s="51" t="s">
        <v>368</v>
      </c>
      <c r="N7" s="52"/>
      <c r="O7" s="52"/>
      <c r="P7" s="52"/>
      <c r="Q7" s="52"/>
      <c r="R7" s="53"/>
      <c r="S7"/>
    </row>
    <row r="8" spans="1:20" s="6" customFormat="1" ht="44.25" customHeight="1" thickBot="1" x14ac:dyDescent="0.25">
      <c r="A8" s="26" t="s">
        <v>369</v>
      </c>
      <c r="B8" s="27" t="s">
        <v>370</v>
      </c>
      <c r="C8" s="27" t="s">
        <v>371</v>
      </c>
      <c r="D8" s="27" t="s">
        <v>372</v>
      </c>
      <c r="E8" s="27" t="s">
        <v>373</v>
      </c>
      <c r="F8" s="28" t="s">
        <v>374</v>
      </c>
      <c r="G8" s="29" t="s">
        <v>375</v>
      </c>
      <c r="H8" s="30" t="s">
        <v>376</v>
      </c>
      <c r="I8" s="29" t="s">
        <v>377</v>
      </c>
      <c r="J8" s="30" t="s">
        <v>378</v>
      </c>
      <c r="K8" s="29" t="s">
        <v>379</v>
      </c>
      <c r="L8" s="30" t="s">
        <v>380</v>
      </c>
      <c r="M8" s="31" t="s">
        <v>381</v>
      </c>
      <c r="N8" s="32" t="s">
        <v>382</v>
      </c>
      <c r="O8" s="31" t="s">
        <v>383</v>
      </c>
      <c r="P8" s="32" t="s">
        <v>384</v>
      </c>
      <c r="Q8" s="31" t="s">
        <v>385</v>
      </c>
      <c r="R8" s="32" t="s">
        <v>386</v>
      </c>
      <c r="S8"/>
      <c r="T8" s="8" t="s">
        <v>202</v>
      </c>
    </row>
    <row r="9" spans="1:20" x14ac:dyDescent="0.2">
      <c r="A9" t="s">
        <v>387</v>
      </c>
      <c r="B9" t="s">
        <v>388</v>
      </c>
      <c r="C9" t="s">
        <v>388</v>
      </c>
      <c r="E9" t="s">
        <v>389</v>
      </c>
      <c r="F9" t="s">
        <v>390</v>
      </c>
      <c r="G9">
        <v>5</v>
      </c>
      <c r="H9">
        <v>2460</v>
      </c>
      <c r="I9">
        <v>5</v>
      </c>
      <c r="J9">
        <v>28.5</v>
      </c>
      <c r="K9">
        <v>5</v>
      </c>
      <c r="L9">
        <v>1.2749999999999999</v>
      </c>
      <c r="M9">
        <v>5</v>
      </c>
      <c r="N9">
        <v>492.5</v>
      </c>
      <c r="O9">
        <v>5</v>
      </c>
      <c r="P9">
        <v>3.35</v>
      </c>
      <c r="Q9">
        <v>5</v>
      </c>
      <c r="R9">
        <v>0.17699999999999999</v>
      </c>
      <c r="T9" s="8" t="s">
        <v>389</v>
      </c>
    </row>
    <row r="10" spans="1:20" x14ac:dyDescent="0.2">
      <c r="A10" t="s">
        <v>391</v>
      </c>
      <c r="B10" t="s">
        <v>388</v>
      </c>
      <c r="C10" t="s">
        <v>388</v>
      </c>
      <c r="E10" t="s">
        <v>392</v>
      </c>
      <c r="F10" t="s">
        <v>393</v>
      </c>
      <c r="G10">
        <v>5</v>
      </c>
      <c r="H10">
        <v>2460</v>
      </c>
      <c r="I10">
        <v>5</v>
      </c>
      <c r="J10">
        <v>28.5</v>
      </c>
      <c r="K10">
        <v>4</v>
      </c>
      <c r="L10">
        <v>1.0249999999999999</v>
      </c>
      <c r="M10">
        <v>5</v>
      </c>
      <c r="N10">
        <v>492.5</v>
      </c>
      <c r="O10">
        <v>5</v>
      </c>
      <c r="P10">
        <v>3.35</v>
      </c>
      <c r="Q10">
        <v>4</v>
      </c>
      <c r="R10">
        <v>0.13900000000000001</v>
      </c>
      <c r="T10" s="8" t="s">
        <v>392</v>
      </c>
    </row>
    <row r="11" spans="1:20" x14ac:dyDescent="0.2">
      <c r="A11" t="s">
        <v>394</v>
      </c>
      <c r="B11" t="s">
        <v>388</v>
      </c>
      <c r="C11" t="s">
        <v>388</v>
      </c>
      <c r="E11" t="s">
        <v>395</v>
      </c>
      <c r="F11" t="s">
        <v>396</v>
      </c>
      <c r="G11">
        <v>5</v>
      </c>
      <c r="H11">
        <v>2460</v>
      </c>
      <c r="I11">
        <v>5</v>
      </c>
      <c r="J11">
        <v>28.5</v>
      </c>
      <c r="K11">
        <v>4</v>
      </c>
      <c r="L11">
        <v>1.0249999999999999</v>
      </c>
      <c r="M11">
        <v>5</v>
      </c>
      <c r="N11">
        <v>492.5</v>
      </c>
      <c r="O11">
        <v>5</v>
      </c>
      <c r="P11">
        <v>3.35</v>
      </c>
      <c r="Q11">
        <v>4</v>
      </c>
      <c r="R11">
        <v>0.13900000000000001</v>
      </c>
      <c r="T11" s="8" t="s">
        <v>395</v>
      </c>
    </row>
    <row r="12" spans="1:20" x14ac:dyDescent="0.2">
      <c r="A12" t="s">
        <v>397</v>
      </c>
      <c r="B12" t="s">
        <v>388</v>
      </c>
      <c r="C12" t="s">
        <v>388</v>
      </c>
      <c r="E12" t="s">
        <v>398</v>
      </c>
      <c r="F12" t="s">
        <v>399</v>
      </c>
      <c r="G12">
        <v>4</v>
      </c>
      <c r="H12">
        <v>2250</v>
      </c>
      <c r="I12">
        <v>3</v>
      </c>
      <c r="J12">
        <v>18.5</v>
      </c>
      <c r="K12">
        <v>3</v>
      </c>
      <c r="L12">
        <v>0.77500000000000002</v>
      </c>
      <c r="M12">
        <v>2</v>
      </c>
      <c r="N12">
        <v>207.5</v>
      </c>
      <c r="O12">
        <v>2</v>
      </c>
      <c r="P12">
        <v>1.25</v>
      </c>
      <c r="Q12">
        <v>5</v>
      </c>
      <c r="R12">
        <v>0.17699999999999999</v>
      </c>
      <c r="T12" s="8" t="s">
        <v>398</v>
      </c>
    </row>
    <row r="13" spans="1:20" x14ac:dyDescent="0.2">
      <c r="A13" t="s">
        <v>400</v>
      </c>
      <c r="B13" t="s">
        <v>388</v>
      </c>
      <c r="C13" t="s">
        <v>388</v>
      </c>
      <c r="E13" t="s">
        <v>401</v>
      </c>
      <c r="F13" t="s">
        <v>402</v>
      </c>
      <c r="G13">
        <v>4</v>
      </c>
      <c r="H13">
        <v>2250</v>
      </c>
      <c r="I13">
        <v>5</v>
      </c>
      <c r="J13">
        <v>28.5</v>
      </c>
      <c r="K13">
        <v>4</v>
      </c>
      <c r="L13">
        <v>1.0249999999999999</v>
      </c>
      <c r="M13">
        <v>4</v>
      </c>
      <c r="N13">
        <v>397.5</v>
      </c>
      <c r="O13">
        <v>4</v>
      </c>
      <c r="P13">
        <v>2.65</v>
      </c>
      <c r="Q13">
        <v>4</v>
      </c>
      <c r="R13">
        <v>0.13900000000000001</v>
      </c>
      <c r="T13" s="8" t="s">
        <v>401</v>
      </c>
    </row>
    <row r="14" spans="1:20" x14ac:dyDescent="0.2">
      <c r="A14" t="s">
        <v>403</v>
      </c>
      <c r="B14" t="s">
        <v>388</v>
      </c>
      <c r="C14" t="s">
        <v>388</v>
      </c>
      <c r="E14" t="s">
        <v>404</v>
      </c>
      <c r="F14" t="s">
        <v>405</v>
      </c>
      <c r="G14">
        <v>4</v>
      </c>
      <c r="H14">
        <v>2250</v>
      </c>
      <c r="I14">
        <v>4</v>
      </c>
      <c r="J14">
        <v>23.5</v>
      </c>
      <c r="K14">
        <v>4</v>
      </c>
      <c r="L14">
        <v>1.0249999999999999</v>
      </c>
      <c r="M14">
        <v>4</v>
      </c>
      <c r="N14">
        <v>397.5</v>
      </c>
      <c r="O14">
        <v>4</v>
      </c>
      <c r="P14">
        <v>2.65</v>
      </c>
      <c r="Q14">
        <v>4</v>
      </c>
      <c r="R14">
        <v>0.13900000000000001</v>
      </c>
      <c r="T14" s="8" t="s">
        <v>404</v>
      </c>
    </row>
    <row r="15" spans="1:20" x14ac:dyDescent="0.2">
      <c r="A15" t="s">
        <v>406</v>
      </c>
      <c r="B15" t="s">
        <v>388</v>
      </c>
      <c r="C15" t="s">
        <v>388</v>
      </c>
      <c r="E15" t="s">
        <v>407</v>
      </c>
      <c r="F15" t="s">
        <v>408</v>
      </c>
      <c r="G15">
        <v>1</v>
      </c>
      <c r="H15">
        <v>1620</v>
      </c>
      <c r="I15">
        <v>1</v>
      </c>
      <c r="J15">
        <v>8.5</v>
      </c>
      <c r="K15">
        <v>1</v>
      </c>
      <c r="L15">
        <v>0.27500000000000002</v>
      </c>
      <c r="M15">
        <v>1</v>
      </c>
      <c r="N15">
        <v>112.5</v>
      </c>
      <c r="O15">
        <v>1</v>
      </c>
      <c r="P15">
        <v>0.55000000000000004</v>
      </c>
      <c r="Q15">
        <v>1</v>
      </c>
      <c r="R15">
        <v>2.5000000000000001E-2</v>
      </c>
      <c r="T15" s="8" t="s">
        <v>407</v>
      </c>
    </row>
    <row r="16" spans="1:20" x14ac:dyDescent="0.2">
      <c r="A16" t="s">
        <v>409</v>
      </c>
      <c r="B16" t="s">
        <v>388</v>
      </c>
      <c r="C16" t="s">
        <v>388</v>
      </c>
      <c r="E16" t="s">
        <v>410</v>
      </c>
      <c r="F16" t="s">
        <v>411</v>
      </c>
      <c r="G16">
        <v>4</v>
      </c>
      <c r="H16">
        <v>2250</v>
      </c>
      <c r="I16">
        <v>4</v>
      </c>
      <c r="J16">
        <v>23.5</v>
      </c>
      <c r="K16">
        <v>4</v>
      </c>
      <c r="L16">
        <v>1.0249999999999999</v>
      </c>
      <c r="M16">
        <v>4</v>
      </c>
      <c r="N16">
        <v>397.5</v>
      </c>
      <c r="O16">
        <v>4</v>
      </c>
      <c r="P16">
        <v>2.65</v>
      </c>
      <c r="Q16">
        <v>4</v>
      </c>
      <c r="R16">
        <v>0.13900000000000001</v>
      </c>
      <c r="T16" s="8" t="s">
        <v>410</v>
      </c>
    </row>
    <row r="17" spans="1:20" x14ac:dyDescent="0.2">
      <c r="A17" t="s">
        <v>412</v>
      </c>
      <c r="B17" t="s">
        <v>388</v>
      </c>
      <c r="C17" t="s">
        <v>388</v>
      </c>
      <c r="E17" t="s">
        <v>413</v>
      </c>
      <c r="F17" t="s">
        <v>414</v>
      </c>
      <c r="G17">
        <v>1</v>
      </c>
      <c r="H17">
        <v>1620</v>
      </c>
      <c r="I17">
        <v>1</v>
      </c>
      <c r="J17">
        <v>8.5</v>
      </c>
      <c r="K17">
        <v>1</v>
      </c>
      <c r="L17">
        <v>0.27500000000000002</v>
      </c>
      <c r="M17">
        <v>2</v>
      </c>
      <c r="N17">
        <v>207.5</v>
      </c>
      <c r="O17">
        <v>2</v>
      </c>
      <c r="P17">
        <v>1.25</v>
      </c>
      <c r="Q17">
        <v>2</v>
      </c>
      <c r="R17">
        <v>6.3E-2</v>
      </c>
      <c r="T17" s="8" t="s">
        <v>413</v>
      </c>
    </row>
    <row r="18" spans="1:20" x14ac:dyDescent="0.2">
      <c r="A18" t="s">
        <v>415</v>
      </c>
      <c r="B18" t="s">
        <v>388</v>
      </c>
      <c r="C18" t="s">
        <v>388</v>
      </c>
      <c r="E18" t="s">
        <v>416</v>
      </c>
      <c r="F18" t="s">
        <v>417</v>
      </c>
      <c r="G18">
        <v>4</v>
      </c>
      <c r="H18">
        <v>2250</v>
      </c>
      <c r="I18">
        <v>3</v>
      </c>
      <c r="J18">
        <v>18.5</v>
      </c>
      <c r="K18">
        <v>3</v>
      </c>
      <c r="L18">
        <v>0.77500000000000002</v>
      </c>
      <c r="M18">
        <v>3</v>
      </c>
      <c r="N18">
        <v>302.5</v>
      </c>
      <c r="O18">
        <v>3</v>
      </c>
      <c r="P18">
        <v>1.95</v>
      </c>
      <c r="Q18">
        <v>3</v>
      </c>
      <c r="R18">
        <v>0.10100000000000001</v>
      </c>
      <c r="T18" s="8" t="s">
        <v>416</v>
      </c>
    </row>
    <row r="19" spans="1:20" x14ac:dyDescent="0.2">
      <c r="A19" t="s">
        <v>418</v>
      </c>
      <c r="B19" t="s">
        <v>388</v>
      </c>
      <c r="C19" t="s">
        <v>388</v>
      </c>
      <c r="E19" t="s">
        <v>419</v>
      </c>
      <c r="F19" t="s">
        <v>420</v>
      </c>
      <c r="G19">
        <v>1</v>
      </c>
      <c r="H19">
        <v>1620</v>
      </c>
      <c r="I19">
        <v>1</v>
      </c>
      <c r="J19">
        <v>8.5</v>
      </c>
      <c r="K19">
        <v>1</v>
      </c>
      <c r="L19">
        <v>0.27500000000000002</v>
      </c>
      <c r="M19">
        <v>1</v>
      </c>
      <c r="N19">
        <v>112.5</v>
      </c>
      <c r="O19">
        <v>1</v>
      </c>
      <c r="P19">
        <v>0.55000000000000004</v>
      </c>
      <c r="Q19">
        <v>1</v>
      </c>
      <c r="R19">
        <v>2.5000000000000001E-2</v>
      </c>
      <c r="T19" s="8" t="s">
        <v>419</v>
      </c>
    </row>
    <row r="20" spans="1:20" x14ac:dyDescent="0.2">
      <c r="A20" t="s">
        <v>421</v>
      </c>
      <c r="B20" t="s">
        <v>388</v>
      </c>
      <c r="C20" t="s">
        <v>388</v>
      </c>
      <c r="E20" t="s">
        <v>422</v>
      </c>
      <c r="F20" t="s">
        <v>423</v>
      </c>
      <c r="G20">
        <v>3</v>
      </c>
      <c r="H20">
        <v>2040</v>
      </c>
      <c r="I20">
        <v>3</v>
      </c>
      <c r="J20">
        <v>18.5</v>
      </c>
      <c r="K20">
        <v>3</v>
      </c>
      <c r="L20">
        <v>0.77500000000000002</v>
      </c>
      <c r="M20">
        <v>3</v>
      </c>
      <c r="N20">
        <v>302.5</v>
      </c>
      <c r="O20">
        <v>3</v>
      </c>
      <c r="P20">
        <v>1.95</v>
      </c>
      <c r="Q20">
        <v>3</v>
      </c>
      <c r="R20">
        <v>0.10100000000000001</v>
      </c>
      <c r="T20" s="8" t="s">
        <v>422</v>
      </c>
    </row>
    <row r="21" spans="1:20" x14ac:dyDescent="0.2">
      <c r="A21" t="s">
        <v>424</v>
      </c>
      <c r="B21" t="s">
        <v>388</v>
      </c>
      <c r="C21" t="s">
        <v>388</v>
      </c>
      <c r="E21" t="s">
        <v>425</v>
      </c>
      <c r="F21" t="s">
        <v>426</v>
      </c>
      <c r="G21">
        <v>1</v>
      </c>
      <c r="H21">
        <v>1620</v>
      </c>
      <c r="I21">
        <v>3</v>
      </c>
      <c r="J21">
        <v>18.5</v>
      </c>
      <c r="K21">
        <v>2</v>
      </c>
      <c r="L21">
        <v>0.52500000000000002</v>
      </c>
      <c r="M21">
        <v>1</v>
      </c>
      <c r="N21">
        <v>112.5</v>
      </c>
      <c r="O21">
        <v>1</v>
      </c>
      <c r="P21">
        <v>0.55000000000000004</v>
      </c>
      <c r="Q21">
        <v>1</v>
      </c>
      <c r="R21">
        <v>2.5000000000000001E-2</v>
      </c>
      <c r="T21" s="8" t="s">
        <v>425</v>
      </c>
    </row>
    <row r="22" spans="1:20" x14ac:dyDescent="0.2">
      <c r="A22" t="s">
        <v>427</v>
      </c>
      <c r="B22" t="s">
        <v>388</v>
      </c>
      <c r="C22" t="s">
        <v>388</v>
      </c>
      <c r="E22" t="s">
        <v>428</v>
      </c>
      <c r="F22" t="s">
        <v>429</v>
      </c>
      <c r="G22">
        <v>2</v>
      </c>
      <c r="H22">
        <v>1830</v>
      </c>
      <c r="I22">
        <v>1</v>
      </c>
      <c r="J22">
        <v>8.5</v>
      </c>
      <c r="K22">
        <v>1</v>
      </c>
      <c r="L22">
        <v>0.27500000000000002</v>
      </c>
      <c r="M22">
        <v>2</v>
      </c>
      <c r="N22">
        <v>207.5</v>
      </c>
      <c r="O22">
        <v>1</v>
      </c>
      <c r="P22">
        <v>0.55000000000000004</v>
      </c>
      <c r="Q22">
        <v>1</v>
      </c>
      <c r="R22">
        <v>2.5000000000000001E-2</v>
      </c>
      <c r="T22" s="8" t="s">
        <v>428</v>
      </c>
    </row>
    <row r="23" spans="1:20" x14ac:dyDescent="0.2">
      <c r="A23" t="s">
        <v>430</v>
      </c>
      <c r="B23" t="s">
        <v>388</v>
      </c>
      <c r="C23" t="s">
        <v>388</v>
      </c>
      <c r="E23" t="s">
        <v>431</v>
      </c>
      <c r="F23" t="s">
        <v>432</v>
      </c>
      <c r="G23">
        <v>2</v>
      </c>
      <c r="H23">
        <v>1830</v>
      </c>
      <c r="I23">
        <v>2</v>
      </c>
      <c r="J23">
        <v>13.5</v>
      </c>
      <c r="K23">
        <v>2</v>
      </c>
      <c r="L23">
        <v>0.52500000000000002</v>
      </c>
      <c r="M23">
        <v>4</v>
      </c>
      <c r="N23">
        <v>397.5</v>
      </c>
      <c r="O23">
        <v>4</v>
      </c>
      <c r="P23">
        <v>2.65</v>
      </c>
      <c r="Q23">
        <v>4</v>
      </c>
      <c r="R23">
        <v>0.13900000000000001</v>
      </c>
      <c r="T23" s="8" t="s">
        <v>431</v>
      </c>
    </row>
    <row r="24" spans="1:20" x14ac:dyDescent="0.2">
      <c r="A24" t="s">
        <v>433</v>
      </c>
      <c r="B24" t="s">
        <v>388</v>
      </c>
      <c r="C24" t="s">
        <v>388</v>
      </c>
      <c r="E24" t="s">
        <v>434</v>
      </c>
      <c r="F24" t="s">
        <v>435</v>
      </c>
      <c r="G24">
        <v>5</v>
      </c>
      <c r="H24">
        <v>2460</v>
      </c>
      <c r="I24">
        <v>5</v>
      </c>
      <c r="J24">
        <v>28.5</v>
      </c>
      <c r="K24">
        <v>5</v>
      </c>
      <c r="L24">
        <v>1.2749999999999999</v>
      </c>
      <c r="M24">
        <v>5</v>
      </c>
      <c r="N24">
        <v>492.5</v>
      </c>
      <c r="O24">
        <v>5</v>
      </c>
      <c r="P24">
        <v>3.35</v>
      </c>
      <c r="Q24">
        <v>5</v>
      </c>
      <c r="R24">
        <v>0.17699999999999999</v>
      </c>
      <c r="T24" s="8" t="s">
        <v>434</v>
      </c>
    </row>
    <row r="25" spans="1:20" x14ac:dyDescent="0.2">
      <c r="A25" t="s">
        <v>436</v>
      </c>
      <c r="B25" t="s">
        <v>388</v>
      </c>
      <c r="C25" t="s">
        <v>388</v>
      </c>
      <c r="E25" t="s">
        <v>437</v>
      </c>
      <c r="F25" t="s">
        <v>438</v>
      </c>
      <c r="G25">
        <v>4</v>
      </c>
      <c r="H25">
        <v>2250</v>
      </c>
      <c r="I25">
        <v>4</v>
      </c>
      <c r="J25">
        <v>23.5</v>
      </c>
      <c r="K25">
        <v>4</v>
      </c>
      <c r="L25">
        <v>1.0249999999999999</v>
      </c>
      <c r="M25">
        <v>4</v>
      </c>
      <c r="N25">
        <v>397.5</v>
      </c>
      <c r="O25">
        <v>4</v>
      </c>
      <c r="P25">
        <v>2.65</v>
      </c>
      <c r="Q25">
        <v>5</v>
      </c>
      <c r="R25">
        <v>0.17699999999999999</v>
      </c>
      <c r="T25" s="8" t="s">
        <v>437</v>
      </c>
    </row>
    <row r="26" spans="1:20" x14ac:dyDescent="0.2">
      <c r="A26" t="s">
        <v>439</v>
      </c>
      <c r="B26" t="s">
        <v>388</v>
      </c>
      <c r="C26" t="s">
        <v>388</v>
      </c>
      <c r="E26" t="s">
        <v>440</v>
      </c>
      <c r="F26" t="s">
        <v>441</v>
      </c>
      <c r="G26">
        <v>5</v>
      </c>
      <c r="H26">
        <v>2460</v>
      </c>
      <c r="I26">
        <v>5</v>
      </c>
      <c r="J26">
        <v>28.5</v>
      </c>
      <c r="K26">
        <v>4</v>
      </c>
      <c r="L26">
        <v>1.0249999999999999</v>
      </c>
      <c r="M26">
        <v>4</v>
      </c>
      <c r="N26">
        <v>397.5</v>
      </c>
      <c r="O26">
        <v>4</v>
      </c>
      <c r="P26">
        <v>2.65</v>
      </c>
      <c r="Q26">
        <v>4</v>
      </c>
      <c r="R26">
        <v>0.13900000000000001</v>
      </c>
      <c r="T26" s="8" t="s">
        <v>440</v>
      </c>
    </row>
    <row r="27" spans="1:20" x14ac:dyDescent="0.2">
      <c r="A27" t="s">
        <v>442</v>
      </c>
      <c r="B27" t="s">
        <v>388</v>
      </c>
      <c r="C27" t="s">
        <v>388</v>
      </c>
      <c r="E27" t="s">
        <v>443</v>
      </c>
      <c r="F27" t="s">
        <v>444</v>
      </c>
      <c r="G27">
        <v>5</v>
      </c>
      <c r="H27">
        <v>2460</v>
      </c>
      <c r="I27">
        <v>5</v>
      </c>
      <c r="J27">
        <v>28.5</v>
      </c>
      <c r="K27">
        <v>4</v>
      </c>
      <c r="L27">
        <v>1.0249999999999999</v>
      </c>
      <c r="M27">
        <v>4</v>
      </c>
      <c r="N27">
        <v>397.5</v>
      </c>
      <c r="O27">
        <v>4</v>
      </c>
      <c r="P27">
        <v>2.65</v>
      </c>
      <c r="Q27">
        <v>4</v>
      </c>
      <c r="R27">
        <v>0.13900000000000001</v>
      </c>
      <c r="T27" s="8" t="s">
        <v>443</v>
      </c>
    </row>
    <row r="28" spans="1:20" x14ac:dyDescent="0.2">
      <c r="A28" t="s">
        <v>445</v>
      </c>
      <c r="B28" t="s">
        <v>388</v>
      </c>
      <c r="C28" t="s">
        <v>388</v>
      </c>
      <c r="E28" t="s">
        <v>446</v>
      </c>
      <c r="F28" t="s">
        <v>447</v>
      </c>
      <c r="G28">
        <v>1</v>
      </c>
      <c r="H28">
        <v>1620</v>
      </c>
      <c r="I28">
        <v>3</v>
      </c>
      <c r="J28">
        <v>18.5</v>
      </c>
      <c r="K28">
        <v>2</v>
      </c>
      <c r="L28">
        <v>0.52500000000000002</v>
      </c>
      <c r="M28">
        <v>1</v>
      </c>
      <c r="N28">
        <v>112.5</v>
      </c>
      <c r="O28">
        <v>1</v>
      </c>
      <c r="P28">
        <v>0.55000000000000004</v>
      </c>
      <c r="Q28">
        <v>1</v>
      </c>
      <c r="R28">
        <v>2.5000000000000001E-2</v>
      </c>
      <c r="T28" s="8" t="s">
        <v>446</v>
      </c>
    </row>
    <row r="29" spans="1:20" x14ac:dyDescent="0.2">
      <c r="A29" t="s">
        <v>448</v>
      </c>
      <c r="B29" t="s">
        <v>388</v>
      </c>
      <c r="C29" t="s">
        <v>388</v>
      </c>
      <c r="E29" t="s">
        <v>449</v>
      </c>
      <c r="F29" t="s">
        <v>447</v>
      </c>
      <c r="G29">
        <v>2</v>
      </c>
      <c r="H29">
        <v>1830</v>
      </c>
      <c r="I29">
        <v>1</v>
      </c>
      <c r="J29">
        <v>8.5</v>
      </c>
      <c r="K29">
        <v>1</v>
      </c>
      <c r="L29">
        <v>0.27500000000000002</v>
      </c>
      <c r="M29">
        <v>2</v>
      </c>
      <c r="N29">
        <v>207.5</v>
      </c>
      <c r="O29">
        <v>2</v>
      </c>
      <c r="P29">
        <v>1.25</v>
      </c>
      <c r="Q29">
        <v>2</v>
      </c>
      <c r="R29">
        <v>6.3E-2</v>
      </c>
      <c r="T29" s="8" t="s">
        <v>449</v>
      </c>
    </row>
    <row r="30" spans="1:20" x14ac:dyDescent="0.2">
      <c r="A30" t="s">
        <v>450</v>
      </c>
      <c r="B30" t="s">
        <v>388</v>
      </c>
      <c r="C30" t="s">
        <v>388</v>
      </c>
      <c r="E30" t="s">
        <v>451</v>
      </c>
      <c r="F30" t="s">
        <v>452</v>
      </c>
      <c r="G30">
        <v>4</v>
      </c>
      <c r="H30">
        <v>2250</v>
      </c>
      <c r="I30">
        <v>5</v>
      </c>
      <c r="J30">
        <v>28.5</v>
      </c>
      <c r="K30">
        <v>4</v>
      </c>
      <c r="L30">
        <v>1.0249999999999999</v>
      </c>
      <c r="M30">
        <v>5</v>
      </c>
      <c r="N30">
        <v>492.5</v>
      </c>
      <c r="O30">
        <v>5</v>
      </c>
      <c r="P30">
        <v>3.35</v>
      </c>
      <c r="Q30">
        <v>5</v>
      </c>
      <c r="R30">
        <v>0.17699999999999999</v>
      </c>
      <c r="T30" s="8" t="s">
        <v>451</v>
      </c>
    </row>
    <row r="31" spans="1:20" x14ac:dyDescent="0.2">
      <c r="A31" t="s">
        <v>453</v>
      </c>
      <c r="B31" t="s">
        <v>388</v>
      </c>
      <c r="C31" t="s">
        <v>388</v>
      </c>
      <c r="E31" t="s">
        <v>454</v>
      </c>
      <c r="F31" t="s">
        <v>455</v>
      </c>
      <c r="G31">
        <v>2</v>
      </c>
      <c r="H31">
        <v>1830</v>
      </c>
      <c r="I31">
        <v>1</v>
      </c>
      <c r="J31">
        <v>8.5</v>
      </c>
      <c r="K31">
        <v>1</v>
      </c>
      <c r="L31">
        <v>0.27500000000000002</v>
      </c>
      <c r="M31">
        <v>1</v>
      </c>
      <c r="N31">
        <v>112.5</v>
      </c>
      <c r="O31">
        <v>1</v>
      </c>
      <c r="P31">
        <v>0.55000000000000004</v>
      </c>
      <c r="Q31">
        <v>1</v>
      </c>
      <c r="R31">
        <v>2.5000000000000001E-2</v>
      </c>
      <c r="T31" s="8" t="s">
        <v>454</v>
      </c>
    </row>
    <row r="32" spans="1:20" x14ac:dyDescent="0.2">
      <c r="A32" t="s">
        <v>456</v>
      </c>
      <c r="B32" t="s">
        <v>388</v>
      </c>
      <c r="C32" t="s">
        <v>388</v>
      </c>
      <c r="E32" t="s">
        <v>457</v>
      </c>
      <c r="F32" t="s">
        <v>458</v>
      </c>
      <c r="G32">
        <v>4</v>
      </c>
      <c r="H32">
        <v>2250</v>
      </c>
      <c r="I32">
        <v>4</v>
      </c>
      <c r="J32">
        <v>23.5</v>
      </c>
      <c r="K32">
        <v>4</v>
      </c>
      <c r="L32">
        <v>1.0249999999999999</v>
      </c>
      <c r="M32">
        <v>2</v>
      </c>
      <c r="N32">
        <v>207.5</v>
      </c>
      <c r="O32">
        <v>2</v>
      </c>
      <c r="P32">
        <v>1.25</v>
      </c>
      <c r="Q32">
        <v>2</v>
      </c>
      <c r="R32">
        <v>6.3E-2</v>
      </c>
      <c r="T32" s="8" t="s">
        <v>457</v>
      </c>
    </row>
    <row r="33" spans="1:20" x14ac:dyDescent="0.2">
      <c r="A33" t="s">
        <v>459</v>
      </c>
      <c r="B33" t="s">
        <v>388</v>
      </c>
      <c r="C33" t="s">
        <v>388</v>
      </c>
      <c r="E33" t="s">
        <v>460</v>
      </c>
      <c r="F33" t="s">
        <v>461</v>
      </c>
      <c r="G33">
        <v>1</v>
      </c>
      <c r="H33">
        <v>1620</v>
      </c>
      <c r="I33">
        <v>1</v>
      </c>
      <c r="J33">
        <v>8.5</v>
      </c>
      <c r="K33">
        <v>1</v>
      </c>
      <c r="L33">
        <v>0.27500000000000002</v>
      </c>
      <c r="M33">
        <v>1</v>
      </c>
      <c r="N33">
        <v>112.5</v>
      </c>
      <c r="O33">
        <v>1</v>
      </c>
      <c r="P33">
        <v>0.55000000000000004</v>
      </c>
      <c r="Q33">
        <v>1</v>
      </c>
      <c r="R33">
        <v>2.5000000000000001E-2</v>
      </c>
      <c r="T33" s="8" t="s">
        <v>460</v>
      </c>
    </row>
    <row r="34" spans="1:20" x14ac:dyDescent="0.2">
      <c r="A34" t="s">
        <v>462</v>
      </c>
      <c r="B34" t="s">
        <v>388</v>
      </c>
      <c r="C34" t="s">
        <v>388</v>
      </c>
      <c r="E34" t="s">
        <v>357</v>
      </c>
      <c r="F34" t="s">
        <v>463</v>
      </c>
      <c r="G34">
        <v>3</v>
      </c>
      <c r="H34">
        <v>2040</v>
      </c>
      <c r="I34">
        <v>2</v>
      </c>
      <c r="J34">
        <v>13.5</v>
      </c>
      <c r="K34">
        <v>2</v>
      </c>
      <c r="L34">
        <v>0.52500000000000002</v>
      </c>
      <c r="M34">
        <v>2</v>
      </c>
      <c r="N34">
        <v>207.5</v>
      </c>
      <c r="O34">
        <v>2</v>
      </c>
      <c r="P34">
        <v>1.25</v>
      </c>
      <c r="Q34">
        <v>2</v>
      </c>
      <c r="R34">
        <v>6.3E-2</v>
      </c>
      <c r="T34" s="8" t="s">
        <v>357</v>
      </c>
    </row>
    <row r="35" spans="1:20" x14ac:dyDescent="0.2">
      <c r="A35" t="s">
        <v>464</v>
      </c>
      <c r="B35" t="s">
        <v>388</v>
      </c>
      <c r="C35" t="s">
        <v>388</v>
      </c>
      <c r="E35" t="s">
        <v>465</v>
      </c>
      <c r="F35" t="s">
        <v>466</v>
      </c>
      <c r="G35">
        <v>5</v>
      </c>
      <c r="H35">
        <v>2460</v>
      </c>
      <c r="I35">
        <v>5</v>
      </c>
      <c r="J35">
        <v>28.5</v>
      </c>
      <c r="K35">
        <v>4</v>
      </c>
      <c r="L35">
        <v>1.0249999999999999</v>
      </c>
      <c r="M35">
        <v>5</v>
      </c>
      <c r="N35">
        <v>492.5</v>
      </c>
      <c r="O35">
        <v>5</v>
      </c>
      <c r="P35">
        <v>3.35</v>
      </c>
      <c r="Q35">
        <v>5</v>
      </c>
      <c r="R35">
        <v>0.17699999999999999</v>
      </c>
      <c r="T35" s="8" t="s">
        <v>465</v>
      </c>
    </row>
    <row r="36" spans="1:20" x14ac:dyDescent="0.2">
      <c r="A36" t="s">
        <v>467</v>
      </c>
      <c r="B36" t="s">
        <v>388</v>
      </c>
      <c r="C36" t="s">
        <v>388</v>
      </c>
      <c r="E36" t="s">
        <v>468</v>
      </c>
      <c r="F36" t="s">
        <v>447</v>
      </c>
      <c r="G36">
        <v>1</v>
      </c>
      <c r="H36">
        <v>1620</v>
      </c>
      <c r="I36">
        <v>1</v>
      </c>
      <c r="J36">
        <v>8.5</v>
      </c>
      <c r="K36">
        <v>1</v>
      </c>
      <c r="L36">
        <v>0.27500000000000002</v>
      </c>
      <c r="M36">
        <v>1</v>
      </c>
      <c r="N36">
        <v>112.5</v>
      </c>
      <c r="O36">
        <v>1</v>
      </c>
      <c r="P36">
        <v>0.55000000000000004</v>
      </c>
      <c r="Q36">
        <v>1</v>
      </c>
      <c r="R36">
        <v>2.5000000000000001E-2</v>
      </c>
      <c r="T36" s="8" t="s">
        <v>468</v>
      </c>
    </row>
    <row r="37" spans="1:20" x14ac:dyDescent="0.2">
      <c r="A37" t="s">
        <v>469</v>
      </c>
      <c r="B37" t="s">
        <v>388</v>
      </c>
      <c r="C37" t="s">
        <v>388</v>
      </c>
      <c r="E37" t="s">
        <v>470</v>
      </c>
      <c r="F37" t="s">
        <v>471</v>
      </c>
      <c r="G37">
        <v>4</v>
      </c>
      <c r="H37">
        <v>2250</v>
      </c>
      <c r="I37">
        <v>4</v>
      </c>
      <c r="J37">
        <v>23.5</v>
      </c>
      <c r="K37">
        <v>4</v>
      </c>
      <c r="L37">
        <v>1.0249999999999999</v>
      </c>
      <c r="M37">
        <v>4</v>
      </c>
      <c r="N37">
        <v>397.5</v>
      </c>
      <c r="O37">
        <v>4</v>
      </c>
      <c r="P37">
        <v>2.65</v>
      </c>
      <c r="Q37">
        <v>4</v>
      </c>
      <c r="R37">
        <v>0.13900000000000001</v>
      </c>
      <c r="T37" s="8" t="s">
        <v>470</v>
      </c>
    </row>
    <row r="38" spans="1:20" x14ac:dyDescent="0.2">
      <c r="A38" t="s">
        <v>472</v>
      </c>
      <c r="B38" t="s">
        <v>388</v>
      </c>
      <c r="C38" t="s">
        <v>388</v>
      </c>
      <c r="E38" t="s">
        <v>473</v>
      </c>
      <c r="F38" t="s">
        <v>474</v>
      </c>
      <c r="G38">
        <v>5</v>
      </c>
      <c r="H38">
        <v>2460</v>
      </c>
      <c r="I38">
        <v>5</v>
      </c>
      <c r="J38">
        <v>28.5</v>
      </c>
      <c r="K38">
        <v>4</v>
      </c>
      <c r="L38">
        <v>1.0249999999999999</v>
      </c>
      <c r="M38">
        <v>5</v>
      </c>
      <c r="N38">
        <v>492.5</v>
      </c>
      <c r="O38">
        <v>5</v>
      </c>
      <c r="P38">
        <v>3.35</v>
      </c>
      <c r="Q38">
        <v>4</v>
      </c>
      <c r="R38">
        <v>0.13900000000000001</v>
      </c>
      <c r="T38" s="8" t="s">
        <v>473</v>
      </c>
    </row>
    <row r="39" spans="1:20" x14ac:dyDescent="0.2">
      <c r="A39" t="s">
        <v>475</v>
      </c>
      <c r="B39" t="s">
        <v>388</v>
      </c>
      <c r="C39" t="s">
        <v>388</v>
      </c>
      <c r="E39" t="s">
        <v>476</v>
      </c>
      <c r="F39" t="s">
        <v>477</v>
      </c>
      <c r="G39">
        <v>1</v>
      </c>
      <c r="H39">
        <v>1620</v>
      </c>
      <c r="I39">
        <v>3</v>
      </c>
      <c r="J39">
        <v>18.5</v>
      </c>
      <c r="K39">
        <v>2</v>
      </c>
      <c r="L39">
        <v>0.52500000000000002</v>
      </c>
      <c r="M39">
        <v>1</v>
      </c>
      <c r="N39">
        <v>112.5</v>
      </c>
      <c r="O39">
        <v>1</v>
      </c>
      <c r="P39">
        <v>0.55000000000000004</v>
      </c>
      <c r="Q39">
        <v>1</v>
      </c>
      <c r="R39">
        <v>2.5000000000000001E-2</v>
      </c>
      <c r="T39" s="8" t="s">
        <v>476</v>
      </c>
    </row>
    <row r="40" spans="1:20" x14ac:dyDescent="0.2">
      <c r="A40" t="s">
        <v>478</v>
      </c>
      <c r="B40" t="s">
        <v>388</v>
      </c>
      <c r="C40" t="s">
        <v>388</v>
      </c>
      <c r="E40" t="s">
        <v>479</v>
      </c>
      <c r="F40" t="s">
        <v>477</v>
      </c>
      <c r="G40">
        <v>4</v>
      </c>
      <c r="H40">
        <v>2250</v>
      </c>
      <c r="I40">
        <v>4</v>
      </c>
      <c r="J40">
        <v>23.5</v>
      </c>
      <c r="K40">
        <v>3</v>
      </c>
      <c r="L40">
        <v>0.77500000000000002</v>
      </c>
      <c r="M40">
        <v>4</v>
      </c>
      <c r="N40">
        <v>397.5</v>
      </c>
      <c r="O40">
        <v>4</v>
      </c>
      <c r="P40">
        <v>2.65</v>
      </c>
      <c r="Q40">
        <v>3</v>
      </c>
      <c r="R40">
        <v>0.10100000000000001</v>
      </c>
      <c r="T40" s="8" t="s">
        <v>479</v>
      </c>
    </row>
    <row r="41" spans="1:20" x14ac:dyDescent="0.2">
      <c r="A41" t="s">
        <v>480</v>
      </c>
      <c r="B41" t="s">
        <v>388</v>
      </c>
      <c r="C41" t="s">
        <v>388</v>
      </c>
      <c r="E41" t="s">
        <v>357</v>
      </c>
      <c r="F41" t="s">
        <v>477</v>
      </c>
      <c r="G41">
        <v>1</v>
      </c>
      <c r="H41">
        <v>1620</v>
      </c>
      <c r="I41">
        <v>1</v>
      </c>
      <c r="J41">
        <v>8.5</v>
      </c>
      <c r="K41">
        <v>2</v>
      </c>
      <c r="L41">
        <v>0.52500000000000002</v>
      </c>
      <c r="M41">
        <v>2</v>
      </c>
      <c r="N41">
        <v>207.5</v>
      </c>
      <c r="O41">
        <v>2</v>
      </c>
      <c r="P41">
        <v>1.25</v>
      </c>
      <c r="Q41">
        <v>2</v>
      </c>
      <c r="R41">
        <v>6.3E-2</v>
      </c>
      <c r="T41" s="8" t="s">
        <v>357</v>
      </c>
    </row>
    <row r="42" spans="1:20" x14ac:dyDescent="0.2">
      <c r="A42" t="s">
        <v>481</v>
      </c>
      <c r="B42" t="s">
        <v>388</v>
      </c>
      <c r="C42" t="s">
        <v>388</v>
      </c>
      <c r="E42" t="s">
        <v>476</v>
      </c>
      <c r="F42" t="s">
        <v>477</v>
      </c>
      <c r="G42">
        <v>1</v>
      </c>
      <c r="H42">
        <v>1620</v>
      </c>
      <c r="I42">
        <v>3</v>
      </c>
      <c r="J42">
        <v>18.5</v>
      </c>
      <c r="K42">
        <v>2</v>
      </c>
      <c r="L42">
        <v>0.52500000000000002</v>
      </c>
      <c r="M42">
        <v>1</v>
      </c>
      <c r="N42">
        <v>112.5</v>
      </c>
      <c r="O42">
        <v>1</v>
      </c>
      <c r="P42">
        <v>0.55000000000000004</v>
      </c>
      <c r="Q42">
        <v>1</v>
      </c>
      <c r="R42">
        <v>2.5000000000000001E-2</v>
      </c>
      <c r="T42" s="8" t="s">
        <v>476</v>
      </c>
    </row>
    <row r="43" spans="1:20" x14ac:dyDescent="0.2">
      <c r="A43" t="s">
        <v>482</v>
      </c>
      <c r="B43" t="s">
        <v>388</v>
      </c>
      <c r="C43" t="s">
        <v>388</v>
      </c>
      <c r="E43" t="s">
        <v>483</v>
      </c>
      <c r="F43" t="s">
        <v>477</v>
      </c>
      <c r="G43">
        <v>2</v>
      </c>
      <c r="H43">
        <v>1830</v>
      </c>
      <c r="I43">
        <v>2</v>
      </c>
      <c r="J43">
        <v>13.5</v>
      </c>
      <c r="K43">
        <v>2</v>
      </c>
      <c r="L43">
        <v>0.52500000000000002</v>
      </c>
      <c r="M43">
        <v>2</v>
      </c>
      <c r="N43">
        <v>207.5</v>
      </c>
      <c r="O43">
        <v>2</v>
      </c>
      <c r="P43">
        <v>1.25</v>
      </c>
      <c r="Q43">
        <v>2</v>
      </c>
      <c r="R43">
        <v>6.3E-2</v>
      </c>
      <c r="T43" s="8" t="s">
        <v>483</v>
      </c>
    </row>
    <row r="44" spans="1:20" x14ac:dyDescent="0.2">
      <c r="A44" t="s">
        <v>484</v>
      </c>
      <c r="B44" t="s">
        <v>388</v>
      </c>
      <c r="C44" t="s">
        <v>388</v>
      </c>
      <c r="E44" t="s">
        <v>485</v>
      </c>
      <c r="F44" t="s">
        <v>486</v>
      </c>
      <c r="G44">
        <v>5</v>
      </c>
      <c r="H44">
        <v>2460</v>
      </c>
      <c r="I44">
        <v>5</v>
      </c>
      <c r="J44">
        <v>28.5</v>
      </c>
      <c r="K44">
        <v>5</v>
      </c>
      <c r="L44">
        <v>1.2749999999999999</v>
      </c>
      <c r="M44">
        <v>5</v>
      </c>
      <c r="N44">
        <v>492.5</v>
      </c>
      <c r="O44">
        <v>5</v>
      </c>
      <c r="P44">
        <v>3.35</v>
      </c>
      <c r="Q44">
        <v>5</v>
      </c>
      <c r="R44">
        <v>0.17699999999999999</v>
      </c>
      <c r="T44" s="8" t="s">
        <v>485</v>
      </c>
    </row>
    <row r="45" spans="1:20" x14ac:dyDescent="0.2">
      <c r="A45" t="s">
        <v>487</v>
      </c>
      <c r="B45" t="s">
        <v>388</v>
      </c>
      <c r="C45" t="s">
        <v>388</v>
      </c>
      <c r="E45" t="s">
        <v>357</v>
      </c>
      <c r="F45" t="s">
        <v>488</v>
      </c>
      <c r="G45">
        <v>1</v>
      </c>
      <c r="H45">
        <v>1620</v>
      </c>
      <c r="I45">
        <v>2</v>
      </c>
      <c r="J45">
        <v>13.5</v>
      </c>
      <c r="K45">
        <v>1</v>
      </c>
      <c r="L45">
        <v>0.27500000000000002</v>
      </c>
      <c r="M45">
        <v>3</v>
      </c>
      <c r="N45">
        <v>302.5</v>
      </c>
      <c r="O45">
        <v>3</v>
      </c>
      <c r="P45">
        <v>1.95</v>
      </c>
      <c r="Q45">
        <v>4</v>
      </c>
      <c r="R45">
        <v>0.13900000000000001</v>
      </c>
      <c r="T45" s="8" t="s">
        <v>357</v>
      </c>
    </row>
    <row r="46" spans="1:20" x14ac:dyDescent="0.2">
      <c r="A46" t="s">
        <v>489</v>
      </c>
      <c r="B46" t="s">
        <v>388</v>
      </c>
      <c r="C46" t="s">
        <v>388</v>
      </c>
      <c r="E46" t="s">
        <v>490</v>
      </c>
      <c r="F46" t="s">
        <v>491</v>
      </c>
      <c r="G46">
        <v>4</v>
      </c>
      <c r="H46">
        <v>2250</v>
      </c>
      <c r="I46">
        <v>5</v>
      </c>
      <c r="J46">
        <v>28.5</v>
      </c>
      <c r="K46">
        <v>4</v>
      </c>
      <c r="L46">
        <v>1.0249999999999999</v>
      </c>
      <c r="M46">
        <v>4</v>
      </c>
      <c r="N46">
        <v>397.5</v>
      </c>
      <c r="O46">
        <v>4</v>
      </c>
      <c r="P46">
        <v>2.65</v>
      </c>
      <c r="Q46">
        <v>4</v>
      </c>
      <c r="R46">
        <v>0.13900000000000001</v>
      </c>
      <c r="T46" s="8" t="s">
        <v>490</v>
      </c>
    </row>
    <row r="47" spans="1:20" x14ac:dyDescent="0.2">
      <c r="A47" t="s">
        <v>492</v>
      </c>
      <c r="B47" t="s">
        <v>388</v>
      </c>
      <c r="C47" t="s">
        <v>388</v>
      </c>
      <c r="E47" t="s">
        <v>493</v>
      </c>
      <c r="F47" t="s">
        <v>494</v>
      </c>
      <c r="G47">
        <v>1</v>
      </c>
      <c r="H47">
        <v>1620</v>
      </c>
      <c r="I47">
        <v>1</v>
      </c>
      <c r="J47">
        <v>8.5</v>
      </c>
      <c r="K47">
        <v>1</v>
      </c>
      <c r="L47">
        <v>0.27500000000000002</v>
      </c>
      <c r="M47">
        <v>1</v>
      </c>
      <c r="N47">
        <v>112.5</v>
      </c>
      <c r="O47">
        <v>1</v>
      </c>
      <c r="P47">
        <v>0.55000000000000004</v>
      </c>
      <c r="Q47">
        <v>1</v>
      </c>
      <c r="R47">
        <v>2.5000000000000001E-2</v>
      </c>
      <c r="T47" s="8" t="s">
        <v>493</v>
      </c>
    </row>
    <row r="48" spans="1:20" x14ac:dyDescent="0.2">
      <c r="A48" t="s">
        <v>495</v>
      </c>
      <c r="B48" t="s">
        <v>388</v>
      </c>
      <c r="C48" t="s">
        <v>388</v>
      </c>
      <c r="E48" t="s">
        <v>496</v>
      </c>
      <c r="F48" t="s">
        <v>497</v>
      </c>
      <c r="G48">
        <v>2</v>
      </c>
      <c r="H48">
        <v>1830</v>
      </c>
      <c r="I48">
        <v>2</v>
      </c>
      <c r="J48">
        <v>13.5</v>
      </c>
      <c r="K48">
        <v>2</v>
      </c>
      <c r="L48">
        <v>0.52500000000000002</v>
      </c>
      <c r="M48">
        <v>2</v>
      </c>
      <c r="N48">
        <v>207.5</v>
      </c>
      <c r="O48">
        <v>2</v>
      </c>
      <c r="P48">
        <v>1.25</v>
      </c>
      <c r="Q48">
        <v>2</v>
      </c>
      <c r="R48">
        <v>6.3E-2</v>
      </c>
      <c r="T48" s="8" t="s">
        <v>496</v>
      </c>
    </row>
    <row r="49" spans="1:20" x14ac:dyDescent="0.2">
      <c r="A49" t="s">
        <v>498</v>
      </c>
      <c r="B49" t="s">
        <v>388</v>
      </c>
      <c r="C49" t="s">
        <v>388</v>
      </c>
      <c r="E49" t="s">
        <v>499</v>
      </c>
      <c r="F49" t="s">
        <v>500</v>
      </c>
      <c r="G49">
        <v>3</v>
      </c>
      <c r="H49">
        <v>2040</v>
      </c>
      <c r="I49">
        <v>3</v>
      </c>
      <c r="J49">
        <v>18.5</v>
      </c>
      <c r="K49">
        <v>3</v>
      </c>
      <c r="L49">
        <v>0.77500000000000002</v>
      </c>
      <c r="M49">
        <v>3</v>
      </c>
      <c r="N49">
        <v>302.5</v>
      </c>
      <c r="O49">
        <v>3</v>
      </c>
      <c r="P49">
        <v>1.95</v>
      </c>
      <c r="Q49">
        <v>2</v>
      </c>
      <c r="R49">
        <v>6.3E-2</v>
      </c>
      <c r="T49" s="8" t="s">
        <v>499</v>
      </c>
    </row>
    <row r="50" spans="1:20" x14ac:dyDescent="0.2">
      <c r="A50" t="s">
        <v>501</v>
      </c>
      <c r="B50" t="s">
        <v>388</v>
      </c>
      <c r="C50" t="s">
        <v>388</v>
      </c>
      <c r="E50" t="s">
        <v>357</v>
      </c>
      <c r="F50" t="s">
        <v>502</v>
      </c>
      <c r="G50">
        <v>5</v>
      </c>
      <c r="H50">
        <v>2460</v>
      </c>
      <c r="I50">
        <v>5</v>
      </c>
      <c r="J50">
        <v>28.5</v>
      </c>
      <c r="K50">
        <v>5</v>
      </c>
      <c r="L50">
        <v>1.2749999999999999</v>
      </c>
      <c r="M50">
        <v>5</v>
      </c>
      <c r="N50">
        <v>492.5</v>
      </c>
      <c r="O50">
        <v>5</v>
      </c>
      <c r="P50">
        <v>3.35</v>
      </c>
      <c r="Q50">
        <v>4</v>
      </c>
      <c r="R50">
        <v>0.13900000000000001</v>
      </c>
      <c r="T50" s="8" t="s">
        <v>357</v>
      </c>
    </row>
    <row r="51" spans="1:20" x14ac:dyDescent="0.2">
      <c r="A51" t="s">
        <v>503</v>
      </c>
      <c r="B51" t="s">
        <v>388</v>
      </c>
      <c r="C51" t="s">
        <v>388</v>
      </c>
      <c r="E51" t="s">
        <v>504</v>
      </c>
      <c r="F51" t="s">
        <v>505</v>
      </c>
      <c r="G51">
        <v>4</v>
      </c>
      <c r="H51">
        <v>2250</v>
      </c>
      <c r="I51">
        <v>4</v>
      </c>
      <c r="J51">
        <v>23.5</v>
      </c>
      <c r="K51">
        <v>4</v>
      </c>
      <c r="L51">
        <v>1.0249999999999999</v>
      </c>
      <c r="M51">
        <v>4</v>
      </c>
      <c r="N51">
        <v>397.5</v>
      </c>
      <c r="O51">
        <v>4</v>
      </c>
      <c r="P51">
        <v>2.65</v>
      </c>
      <c r="Q51">
        <v>4</v>
      </c>
      <c r="R51">
        <v>0.13900000000000001</v>
      </c>
      <c r="T51" s="8" t="s">
        <v>504</v>
      </c>
    </row>
    <row r="52" spans="1:20" x14ac:dyDescent="0.2">
      <c r="A52" t="s">
        <v>506</v>
      </c>
      <c r="B52" t="s">
        <v>388</v>
      </c>
      <c r="C52" t="s">
        <v>388</v>
      </c>
      <c r="E52" t="s">
        <v>507</v>
      </c>
      <c r="F52" t="s">
        <v>508</v>
      </c>
      <c r="G52">
        <v>2</v>
      </c>
      <c r="H52">
        <v>1830</v>
      </c>
      <c r="I52">
        <v>1</v>
      </c>
      <c r="J52">
        <v>8.5</v>
      </c>
      <c r="K52">
        <v>1</v>
      </c>
      <c r="L52">
        <v>0.27500000000000002</v>
      </c>
      <c r="M52">
        <v>1</v>
      </c>
      <c r="N52">
        <v>112.5</v>
      </c>
      <c r="O52">
        <v>1</v>
      </c>
      <c r="P52">
        <v>0.55000000000000004</v>
      </c>
      <c r="Q52">
        <v>1</v>
      </c>
      <c r="R52">
        <v>2.5000000000000001E-2</v>
      </c>
      <c r="T52" s="8" t="s">
        <v>507</v>
      </c>
    </row>
    <row r="53" spans="1:20" x14ac:dyDescent="0.2">
      <c r="A53" t="s">
        <v>509</v>
      </c>
      <c r="B53" t="s">
        <v>388</v>
      </c>
      <c r="C53" t="s">
        <v>388</v>
      </c>
      <c r="E53" t="s">
        <v>510</v>
      </c>
      <c r="F53" t="s">
        <v>447</v>
      </c>
      <c r="G53">
        <v>2</v>
      </c>
      <c r="H53">
        <v>1830</v>
      </c>
      <c r="I53">
        <v>2</v>
      </c>
      <c r="J53">
        <v>13.5</v>
      </c>
      <c r="K53">
        <v>2</v>
      </c>
      <c r="L53">
        <v>0.52500000000000002</v>
      </c>
      <c r="M53">
        <v>2</v>
      </c>
      <c r="N53">
        <v>207.5</v>
      </c>
      <c r="O53">
        <v>2</v>
      </c>
      <c r="P53">
        <v>1.25</v>
      </c>
      <c r="Q53">
        <v>2</v>
      </c>
      <c r="R53">
        <v>6.3E-2</v>
      </c>
      <c r="T53" s="8" t="s">
        <v>510</v>
      </c>
    </row>
    <row r="54" spans="1:20" x14ac:dyDescent="0.2">
      <c r="A54" t="s">
        <v>511</v>
      </c>
      <c r="B54" t="s">
        <v>388</v>
      </c>
      <c r="C54" t="s">
        <v>388</v>
      </c>
      <c r="E54" t="s">
        <v>512</v>
      </c>
      <c r="F54" t="s">
        <v>513</v>
      </c>
      <c r="G54">
        <v>3</v>
      </c>
      <c r="H54">
        <v>2040</v>
      </c>
      <c r="I54">
        <v>2</v>
      </c>
      <c r="J54">
        <v>13.5</v>
      </c>
      <c r="K54">
        <v>2</v>
      </c>
      <c r="L54">
        <v>0.52500000000000002</v>
      </c>
      <c r="M54">
        <v>3</v>
      </c>
      <c r="N54">
        <v>302.5</v>
      </c>
      <c r="O54">
        <v>3</v>
      </c>
      <c r="P54">
        <v>1.95</v>
      </c>
      <c r="Q54">
        <v>4</v>
      </c>
      <c r="R54">
        <v>0.13900000000000001</v>
      </c>
      <c r="T54" s="8" t="s">
        <v>512</v>
      </c>
    </row>
    <row r="55" spans="1:20" x14ac:dyDescent="0.2">
      <c r="A55" t="s">
        <v>514</v>
      </c>
      <c r="B55" t="s">
        <v>388</v>
      </c>
      <c r="C55" t="s">
        <v>388</v>
      </c>
      <c r="E55" t="s">
        <v>515</v>
      </c>
      <c r="F55" t="s">
        <v>516</v>
      </c>
      <c r="G55">
        <v>5</v>
      </c>
      <c r="H55">
        <v>2460</v>
      </c>
      <c r="I55">
        <v>5</v>
      </c>
      <c r="J55">
        <v>28.5</v>
      </c>
      <c r="K55">
        <v>5</v>
      </c>
      <c r="L55">
        <v>1.2749999999999999</v>
      </c>
      <c r="M55">
        <v>5</v>
      </c>
      <c r="N55">
        <v>492.5</v>
      </c>
      <c r="O55">
        <v>5</v>
      </c>
      <c r="P55">
        <v>3.35</v>
      </c>
      <c r="Q55">
        <v>4</v>
      </c>
      <c r="R55">
        <v>0.13900000000000001</v>
      </c>
      <c r="T55" s="8" t="s">
        <v>515</v>
      </c>
    </row>
    <row r="56" spans="1:20" x14ac:dyDescent="0.2">
      <c r="A56" t="s">
        <v>517</v>
      </c>
      <c r="B56" t="s">
        <v>388</v>
      </c>
      <c r="C56" t="s">
        <v>388</v>
      </c>
      <c r="E56" t="s">
        <v>518</v>
      </c>
      <c r="F56" t="s">
        <v>447</v>
      </c>
      <c r="G56">
        <v>5</v>
      </c>
      <c r="H56">
        <v>2460</v>
      </c>
      <c r="I56">
        <v>5</v>
      </c>
      <c r="J56">
        <v>28.5</v>
      </c>
      <c r="K56">
        <v>5</v>
      </c>
      <c r="L56">
        <v>1.2749999999999999</v>
      </c>
      <c r="M56">
        <v>5</v>
      </c>
      <c r="N56">
        <v>492.5</v>
      </c>
      <c r="O56">
        <v>5</v>
      </c>
      <c r="P56">
        <v>3.35</v>
      </c>
      <c r="Q56">
        <v>5</v>
      </c>
      <c r="R56">
        <v>0.17699999999999999</v>
      </c>
      <c r="T56" s="8" t="s">
        <v>518</v>
      </c>
    </row>
    <row r="57" spans="1:20" x14ac:dyDescent="0.2">
      <c r="A57" t="s">
        <v>519</v>
      </c>
      <c r="B57" t="s">
        <v>388</v>
      </c>
      <c r="C57" t="s">
        <v>388</v>
      </c>
      <c r="E57" t="s">
        <v>520</v>
      </c>
      <c r="F57" t="s">
        <v>521</v>
      </c>
      <c r="G57">
        <v>1</v>
      </c>
      <c r="H57">
        <v>1620</v>
      </c>
      <c r="I57">
        <v>3</v>
      </c>
      <c r="J57">
        <v>18.5</v>
      </c>
      <c r="K57">
        <v>2</v>
      </c>
      <c r="L57">
        <v>0.52500000000000002</v>
      </c>
      <c r="M57">
        <v>1</v>
      </c>
      <c r="N57">
        <v>112.5</v>
      </c>
      <c r="O57">
        <v>1</v>
      </c>
      <c r="P57">
        <v>0.55000000000000004</v>
      </c>
      <c r="Q57">
        <v>1</v>
      </c>
      <c r="R57">
        <v>2.5000000000000001E-2</v>
      </c>
      <c r="T57" s="8" t="s">
        <v>520</v>
      </c>
    </row>
    <row r="58" spans="1:20" x14ac:dyDescent="0.2">
      <c r="A58" t="s">
        <v>522</v>
      </c>
      <c r="B58" t="s">
        <v>388</v>
      </c>
      <c r="C58" t="s">
        <v>388</v>
      </c>
      <c r="E58" t="s">
        <v>523</v>
      </c>
      <c r="F58" t="s">
        <v>524</v>
      </c>
      <c r="G58">
        <v>5</v>
      </c>
      <c r="H58">
        <v>2460</v>
      </c>
      <c r="I58">
        <v>5</v>
      </c>
      <c r="J58">
        <v>28.5</v>
      </c>
      <c r="K58">
        <v>5</v>
      </c>
      <c r="L58">
        <v>1.2749999999999999</v>
      </c>
      <c r="M58">
        <v>5</v>
      </c>
      <c r="N58">
        <v>492.5</v>
      </c>
      <c r="O58">
        <v>5</v>
      </c>
      <c r="P58">
        <v>3.35</v>
      </c>
      <c r="Q58">
        <v>5</v>
      </c>
      <c r="R58">
        <v>0.17699999999999999</v>
      </c>
      <c r="T58" s="8" t="s">
        <v>523</v>
      </c>
    </row>
    <row r="59" spans="1:20" x14ac:dyDescent="0.2">
      <c r="A59" t="s">
        <v>525</v>
      </c>
      <c r="B59" t="s">
        <v>388</v>
      </c>
      <c r="C59" t="s">
        <v>388</v>
      </c>
      <c r="E59" t="s">
        <v>526</v>
      </c>
      <c r="F59" t="s">
        <v>527</v>
      </c>
      <c r="G59">
        <v>1</v>
      </c>
      <c r="H59">
        <v>1620</v>
      </c>
      <c r="I59">
        <v>1</v>
      </c>
      <c r="J59">
        <v>8.5</v>
      </c>
      <c r="K59">
        <v>1</v>
      </c>
      <c r="L59">
        <v>0.27500000000000002</v>
      </c>
      <c r="M59">
        <v>2</v>
      </c>
      <c r="N59">
        <v>207.5</v>
      </c>
      <c r="O59">
        <v>2</v>
      </c>
      <c r="P59">
        <v>1.25</v>
      </c>
      <c r="Q59">
        <v>2</v>
      </c>
      <c r="R59">
        <v>6.3E-2</v>
      </c>
      <c r="T59" s="8" t="s">
        <v>526</v>
      </c>
    </row>
    <row r="60" spans="1:20" x14ac:dyDescent="0.2">
      <c r="A60" t="s">
        <v>528</v>
      </c>
      <c r="B60" t="s">
        <v>388</v>
      </c>
      <c r="C60" t="s">
        <v>388</v>
      </c>
      <c r="E60" t="s">
        <v>529</v>
      </c>
      <c r="F60" t="s">
        <v>530</v>
      </c>
      <c r="G60">
        <v>5</v>
      </c>
      <c r="H60">
        <v>2460</v>
      </c>
      <c r="I60">
        <v>5</v>
      </c>
      <c r="J60">
        <v>28.5</v>
      </c>
      <c r="K60">
        <v>5</v>
      </c>
      <c r="L60">
        <v>1.2749999999999999</v>
      </c>
      <c r="M60">
        <v>5</v>
      </c>
      <c r="N60">
        <v>492.5</v>
      </c>
      <c r="O60">
        <v>5</v>
      </c>
      <c r="P60">
        <v>3.35</v>
      </c>
      <c r="Q60">
        <v>5</v>
      </c>
      <c r="R60">
        <v>0.17699999999999999</v>
      </c>
      <c r="T60" s="8" t="s">
        <v>529</v>
      </c>
    </row>
    <row r="61" spans="1:20" x14ac:dyDescent="0.2">
      <c r="A61" t="s">
        <v>531</v>
      </c>
      <c r="B61" t="s">
        <v>388</v>
      </c>
      <c r="C61" t="s">
        <v>388</v>
      </c>
      <c r="E61" t="s">
        <v>532</v>
      </c>
      <c r="F61" t="s">
        <v>533</v>
      </c>
      <c r="G61">
        <v>5</v>
      </c>
      <c r="H61">
        <v>2460</v>
      </c>
      <c r="I61">
        <v>5</v>
      </c>
      <c r="J61">
        <v>28.5</v>
      </c>
      <c r="K61">
        <v>5</v>
      </c>
      <c r="L61">
        <v>1.2749999999999999</v>
      </c>
      <c r="M61">
        <v>5</v>
      </c>
      <c r="N61">
        <v>492.5</v>
      </c>
      <c r="O61">
        <v>5</v>
      </c>
      <c r="P61">
        <v>3.35</v>
      </c>
      <c r="Q61">
        <v>4</v>
      </c>
      <c r="R61">
        <v>0.13900000000000001</v>
      </c>
      <c r="T61" s="8" t="s">
        <v>532</v>
      </c>
    </row>
    <row r="62" spans="1:20" x14ac:dyDescent="0.2">
      <c r="A62" t="s">
        <v>534</v>
      </c>
      <c r="B62" t="s">
        <v>388</v>
      </c>
      <c r="C62" t="s">
        <v>388</v>
      </c>
      <c r="E62" t="s">
        <v>535</v>
      </c>
      <c r="F62" t="s">
        <v>536</v>
      </c>
      <c r="G62">
        <v>2</v>
      </c>
      <c r="H62">
        <v>1830</v>
      </c>
      <c r="I62">
        <v>3</v>
      </c>
      <c r="J62">
        <v>18.5</v>
      </c>
      <c r="K62">
        <v>3</v>
      </c>
      <c r="L62">
        <v>0.77500000000000002</v>
      </c>
      <c r="M62">
        <v>4</v>
      </c>
      <c r="N62">
        <v>397.5</v>
      </c>
      <c r="O62">
        <v>4</v>
      </c>
      <c r="P62">
        <v>2.65</v>
      </c>
      <c r="Q62">
        <v>3</v>
      </c>
      <c r="R62">
        <v>0.10100000000000001</v>
      </c>
      <c r="T62" s="8" t="s">
        <v>535</v>
      </c>
    </row>
    <row r="63" spans="1:20" x14ac:dyDescent="0.2">
      <c r="A63" t="s">
        <v>537</v>
      </c>
      <c r="B63" t="s">
        <v>388</v>
      </c>
      <c r="C63" t="s">
        <v>388</v>
      </c>
      <c r="E63" t="s">
        <v>538</v>
      </c>
      <c r="F63" t="s">
        <v>539</v>
      </c>
      <c r="G63">
        <v>2</v>
      </c>
      <c r="H63">
        <v>1830</v>
      </c>
      <c r="I63">
        <v>1</v>
      </c>
      <c r="J63">
        <v>8.5</v>
      </c>
      <c r="K63">
        <v>1</v>
      </c>
      <c r="L63">
        <v>0.27500000000000002</v>
      </c>
      <c r="M63">
        <v>2</v>
      </c>
      <c r="N63">
        <v>207.5</v>
      </c>
      <c r="O63">
        <v>2</v>
      </c>
      <c r="P63">
        <v>1.25</v>
      </c>
      <c r="Q63">
        <v>2</v>
      </c>
      <c r="R63">
        <v>6.3E-2</v>
      </c>
      <c r="T63" s="8" t="s">
        <v>538</v>
      </c>
    </row>
    <row r="64" spans="1:20" x14ac:dyDescent="0.2">
      <c r="A64" t="s">
        <v>540</v>
      </c>
      <c r="B64" t="s">
        <v>388</v>
      </c>
      <c r="C64" t="s">
        <v>388</v>
      </c>
      <c r="E64" t="s">
        <v>357</v>
      </c>
      <c r="F64" t="s">
        <v>541</v>
      </c>
      <c r="G64">
        <v>3</v>
      </c>
      <c r="H64">
        <v>2040</v>
      </c>
      <c r="I64">
        <v>3</v>
      </c>
      <c r="J64">
        <v>18.5</v>
      </c>
      <c r="K64">
        <v>3</v>
      </c>
      <c r="L64">
        <v>0.77500000000000002</v>
      </c>
      <c r="M64">
        <v>4</v>
      </c>
      <c r="N64">
        <v>397.5</v>
      </c>
      <c r="O64">
        <v>3</v>
      </c>
      <c r="P64">
        <v>1.95</v>
      </c>
      <c r="Q64">
        <v>3</v>
      </c>
      <c r="R64">
        <v>0.10100000000000001</v>
      </c>
      <c r="T64" s="8" t="s">
        <v>357</v>
      </c>
    </row>
    <row r="65" spans="1:20" x14ac:dyDescent="0.2">
      <c r="A65" t="s">
        <v>542</v>
      </c>
      <c r="B65" t="s">
        <v>388</v>
      </c>
      <c r="C65" t="s">
        <v>388</v>
      </c>
      <c r="E65" t="s">
        <v>543</v>
      </c>
      <c r="F65" t="s">
        <v>544</v>
      </c>
      <c r="G65">
        <v>2</v>
      </c>
      <c r="H65">
        <v>1830</v>
      </c>
      <c r="I65">
        <v>3</v>
      </c>
      <c r="J65">
        <v>18.5</v>
      </c>
      <c r="K65">
        <v>3</v>
      </c>
      <c r="L65">
        <v>0.77500000000000002</v>
      </c>
      <c r="M65">
        <v>1</v>
      </c>
      <c r="N65">
        <v>112.5</v>
      </c>
      <c r="O65">
        <v>2</v>
      </c>
      <c r="P65">
        <v>1.25</v>
      </c>
      <c r="Q65">
        <v>2</v>
      </c>
      <c r="R65">
        <v>6.3E-2</v>
      </c>
      <c r="T65" s="8" t="s">
        <v>543</v>
      </c>
    </row>
    <row r="66" spans="1:20" x14ac:dyDescent="0.2">
      <c r="A66" t="s">
        <v>545</v>
      </c>
      <c r="B66" t="s">
        <v>388</v>
      </c>
      <c r="C66" t="s">
        <v>388</v>
      </c>
      <c r="E66" t="s">
        <v>546</v>
      </c>
      <c r="F66" t="s">
        <v>547</v>
      </c>
      <c r="G66">
        <v>5</v>
      </c>
      <c r="H66">
        <v>2460</v>
      </c>
      <c r="I66">
        <v>5</v>
      </c>
      <c r="J66">
        <v>28.5</v>
      </c>
      <c r="K66">
        <v>5</v>
      </c>
      <c r="L66">
        <v>1.2749999999999999</v>
      </c>
      <c r="M66">
        <v>5</v>
      </c>
      <c r="N66">
        <v>492.5</v>
      </c>
      <c r="O66">
        <v>5</v>
      </c>
      <c r="P66">
        <v>3.35</v>
      </c>
      <c r="Q66">
        <v>5</v>
      </c>
      <c r="R66">
        <v>0.17699999999999999</v>
      </c>
      <c r="T66" s="8" t="s">
        <v>546</v>
      </c>
    </row>
    <row r="67" spans="1:20" x14ac:dyDescent="0.2">
      <c r="A67" t="s">
        <v>548</v>
      </c>
      <c r="B67" t="s">
        <v>388</v>
      </c>
      <c r="C67" t="s">
        <v>388</v>
      </c>
      <c r="E67" t="s">
        <v>549</v>
      </c>
      <c r="F67" t="s">
        <v>550</v>
      </c>
      <c r="G67">
        <v>5</v>
      </c>
      <c r="H67">
        <v>2460</v>
      </c>
      <c r="I67">
        <v>4</v>
      </c>
      <c r="J67">
        <v>23.5</v>
      </c>
      <c r="K67">
        <v>5</v>
      </c>
      <c r="L67">
        <v>1.2749999999999999</v>
      </c>
      <c r="M67">
        <v>5</v>
      </c>
      <c r="N67">
        <v>492.5</v>
      </c>
      <c r="O67">
        <v>5</v>
      </c>
      <c r="P67">
        <v>3.35</v>
      </c>
      <c r="Q67">
        <v>5</v>
      </c>
      <c r="R67">
        <v>0.17699999999999999</v>
      </c>
      <c r="T67" s="8" t="s">
        <v>549</v>
      </c>
    </row>
    <row r="68" spans="1:20" x14ac:dyDescent="0.2">
      <c r="A68" t="s">
        <v>551</v>
      </c>
      <c r="B68" t="s">
        <v>388</v>
      </c>
      <c r="C68" t="s">
        <v>388</v>
      </c>
      <c r="E68" t="s">
        <v>552</v>
      </c>
      <c r="F68" t="s">
        <v>553</v>
      </c>
      <c r="G68">
        <v>4</v>
      </c>
      <c r="H68">
        <v>2250</v>
      </c>
      <c r="I68">
        <v>5</v>
      </c>
      <c r="J68">
        <v>28.5</v>
      </c>
      <c r="K68">
        <v>4</v>
      </c>
      <c r="L68">
        <v>1.0249999999999999</v>
      </c>
      <c r="M68">
        <v>3</v>
      </c>
      <c r="N68">
        <v>302.5</v>
      </c>
      <c r="O68">
        <v>3</v>
      </c>
      <c r="P68">
        <v>1.95</v>
      </c>
      <c r="Q68">
        <v>3</v>
      </c>
      <c r="R68">
        <v>0.10100000000000001</v>
      </c>
      <c r="T68" s="8" t="s">
        <v>552</v>
      </c>
    </row>
    <row r="69" spans="1:20" x14ac:dyDescent="0.2">
      <c r="A69" t="s">
        <v>554</v>
      </c>
      <c r="B69" t="s">
        <v>388</v>
      </c>
      <c r="C69" t="s">
        <v>388</v>
      </c>
      <c r="E69" t="s">
        <v>555</v>
      </c>
      <c r="F69" t="s">
        <v>556</v>
      </c>
      <c r="G69">
        <v>5</v>
      </c>
      <c r="H69">
        <v>2460</v>
      </c>
      <c r="I69">
        <v>5</v>
      </c>
      <c r="J69">
        <v>28.5</v>
      </c>
      <c r="K69">
        <v>4</v>
      </c>
      <c r="L69">
        <v>1.0249999999999999</v>
      </c>
      <c r="M69">
        <v>4</v>
      </c>
      <c r="N69">
        <v>397.5</v>
      </c>
      <c r="O69">
        <v>5</v>
      </c>
      <c r="P69">
        <v>3.35</v>
      </c>
      <c r="Q69">
        <v>4</v>
      </c>
      <c r="R69">
        <v>0.13900000000000001</v>
      </c>
      <c r="T69" s="8" t="s">
        <v>555</v>
      </c>
    </row>
    <row r="70" spans="1:20" x14ac:dyDescent="0.2">
      <c r="A70" t="s">
        <v>557</v>
      </c>
      <c r="B70" t="s">
        <v>388</v>
      </c>
      <c r="C70" t="s">
        <v>388</v>
      </c>
      <c r="E70" t="s">
        <v>558</v>
      </c>
      <c r="F70" t="s">
        <v>447</v>
      </c>
      <c r="G70">
        <v>5</v>
      </c>
      <c r="H70">
        <v>2460</v>
      </c>
      <c r="I70">
        <v>5</v>
      </c>
      <c r="J70">
        <v>28.5</v>
      </c>
      <c r="K70">
        <v>4</v>
      </c>
      <c r="L70">
        <v>1.0249999999999999</v>
      </c>
      <c r="M70">
        <v>5</v>
      </c>
      <c r="N70">
        <v>492.5</v>
      </c>
      <c r="O70">
        <v>5</v>
      </c>
      <c r="P70">
        <v>3.35</v>
      </c>
      <c r="Q70">
        <v>4</v>
      </c>
      <c r="R70">
        <v>0.13900000000000001</v>
      </c>
      <c r="T70" s="8" t="s">
        <v>558</v>
      </c>
    </row>
    <row r="71" spans="1:20" x14ac:dyDescent="0.2">
      <c r="A71" t="s">
        <v>559</v>
      </c>
      <c r="B71" t="s">
        <v>388</v>
      </c>
      <c r="C71" t="s">
        <v>388</v>
      </c>
      <c r="E71" t="s">
        <v>560</v>
      </c>
      <c r="F71" t="s">
        <v>561</v>
      </c>
      <c r="G71">
        <v>4</v>
      </c>
      <c r="H71">
        <v>2250</v>
      </c>
      <c r="I71">
        <v>4</v>
      </c>
      <c r="J71">
        <v>23.5</v>
      </c>
      <c r="K71">
        <v>4</v>
      </c>
      <c r="L71">
        <v>1.0249999999999999</v>
      </c>
      <c r="M71">
        <v>4</v>
      </c>
      <c r="N71">
        <v>397.5</v>
      </c>
      <c r="O71">
        <v>4</v>
      </c>
      <c r="P71">
        <v>2.65</v>
      </c>
      <c r="Q71">
        <v>4</v>
      </c>
      <c r="R71">
        <v>0.13900000000000001</v>
      </c>
      <c r="T71" s="8" t="s">
        <v>560</v>
      </c>
    </row>
    <row r="72" spans="1:20" x14ac:dyDescent="0.2">
      <c r="A72" t="s">
        <v>562</v>
      </c>
      <c r="B72" t="s">
        <v>388</v>
      </c>
      <c r="C72" t="s">
        <v>388</v>
      </c>
      <c r="E72" t="s">
        <v>563</v>
      </c>
      <c r="F72" t="s">
        <v>564</v>
      </c>
      <c r="G72">
        <v>4</v>
      </c>
      <c r="H72">
        <v>2250</v>
      </c>
      <c r="I72">
        <v>4</v>
      </c>
      <c r="J72">
        <v>23.5</v>
      </c>
      <c r="K72">
        <v>4</v>
      </c>
      <c r="L72">
        <v>1.0249999999999999</v>
      </c>
      <c r="M72">
        <v>4</v>
      </c>
      <c r="N72">
        <v>397.5</v>
      </c>
      <c r="O72">
        <v>4</v>
      </c>
      <c r="P72">
        <v>2.65</v>
      </c>
      <c r="Q72">
        <v>4</v>
      </c>
      <c r="R72">
        <v>0.13900000000000001</v>
      </c>
      <c r="T72" s="8" t="s">
        <v>563</v>
      </c>
    </row>
    <row r="73" spans="1:20" x14ac:dyDescent="0.2">
      <c r="A73" t="s">
        <v>565</v>
      </c>
      <c r="B73" t="s">
        <v>388</v>
      </c>
      <c r="C73" t="s">
        <v>388</v>
      </c>
      <c r="E73" t="s">
        <v>566</v>
      </c>
      <c r="F73" t="s">
        <v>567</v>
      </c>
      <c r="G73">
        <v>3</v>
      </c>
      <c r="H73">
        <v>2040</v>
      </c>
      <c r="I73">
        <v>3</v>
      </c>
      <c r="J73">
        <v>18.5</v>
      </c>
      <c r="K73">
        <v>3</v>
      </c>
      <c r="L73">
        <v>0.77500000000000002</v>
      </c>
      <c r="M73">
        <v>3</v>
      </c>
      <c r="N73">
        <v>302.5</v>
      </c>
      <c r="O73">
        <v>3</v>
      </c>
      <c r="P73">
        <v>1.95</v>
      </c>
      <c r="Q73">
        <v>3</v>
      </c>
      <c r="R73">
        <v>0.10100000000000001</v>
      </c>
      <c r="T73" s="8" t="s">
        <v>566</v>
      </c>
    </row>
    <row r="74" spans="1:20" x14ac:dyDescent="0.2">
      <c r="A74" t="s">
        <v>568</v>
      </c>
      <c r="B74" t="s">
        <v>388</v>
      </c>
      <c r="C74" t="s">
        <v>388</v>
      </c>
      <c r="E74" t="s">
        <v>569</v>
      </c>
      <c r="F74" t="s">
        <v>570</v>
      </c>
      <c r="G74">
        <v>4</v>
      </c>
      <c r="H74">
        <v>2250</v>
      </c>
      <c r="I74">
        <v>5</v>
      </c>
      <c r="J74">
        <v>28.5</v>
      </c>
      <c r="K74">
        <v>4</v>
      </c>
      <c r="L74">
        <v>1.0249999999999999</v>
      </c>
      <c r="M74">
        <v>4</v>
      </c>
      <c r="N74">
        <v>397.5</v>
      </c>
      <c r="O74">
        <v>4</v>
      </c>
      <c r="P74">
        <v>2.65</v>
      </c>
      <c r="Q74">
        <v>4</v>
      </c>
      <c r="R74">
        <v>0.13900000000000001</v>
      </c>
      <c r="T74" s="8" t="s">
        <v>569</v>
      </c>
    </row>
    <row r="75" spans="1:20" x14ac:dyDescent="0.2">
      <c r="A75" t="s">
        <v>571</v>
      </c>
      <c r="B75" t="s">
        <v>388</v>
      </c>
      <c r="C75" t="s">
        <v>388</v>
      </c>
      <c r="E75" t="s">
        <v>572</v>
      </c>
      <c r="F75" t="s">
        <v>573</v>
      </c>
      <c r="G75">
        <v>5</v>
      </c>
      <c r="H75">
        <v>2460</v>
      </c>
      <c r="I75">
        <v>5</v>
      </c>
      <c r="J75">
        <v>28.5</v>
      </c>
      <c r="K75">
        <v>4</v>
      </c>
      <c r="L75">
        <v>1.0249999999999999</v>
      </c>
      <c r="M75">
        <v>4</v>
      </c>
      <c r="N75">
        <v>397.5</v>
      </c>
      <c r="O75">
        <v>5</v>
      </c>
      <c r="P75">
        <v>3.35</v>
      </c>
      <c r="Q75">
        <v>4</v>
      </c>
      <c r="R75">
        <v>0.13900000000000001</v>
      </c>
      <c r="T75" s="8" t="s">
        <v>572</v>
      </c>
    </row>
    <row r="76" spans="1:20" x14ac:dyDescent="0.2">
      <c r="A76" t="s">
        <v>574</v>
      </c>
      <c r="B76" t="s">
        <v>388</v>
      </c>
      <c r="C76" t="s">
        <v>388</v>
      </c>
      <c r="E76" t="s">
        <v>575</v>
      </c>
      <c r="F76" t="s">
        <v>576</v>
      </c>
      <c r="G76">
        <v>4</v>
      </c>
      <c r="H76">
        <v>2250</v>
      </c>
      <c r="I76">
        <v>4</v>
      </c>
      <c r="J76">
        <v>23.5</v>
      </c>
      <c r="K76">
        <v>4</v>
      </c>
      <c r="L76">
        <v>1.0249999999999999</v>
      </c>
      <c r="M76">
        <v>4</v>
      </c>
      <c r="N76">
        <v>397.5</v>
      </c>
      <c r="O76">
        <v>4</v>
      </c>
      <c r="P76">
        <v>2.65</v>
      </c>
      <c r="Q76">
        <v>4</v>
      </c>
      <c r="R76">
        <v>0.13900000000000001</v>
      </c>
      <c r="T76" s="8" t="s">
        <v>575</v>
      </c>
    </row>
    <row r="77" spans="1:20" x14ac:dyDescent="0.2">
      <c r="A77" t="s">
        <v>577</v>
      </c>
      <c r="B77" t="s">
        <v>388</v>
      </c>
      <c r="C77" t="s">
        <v>388</v>
      </c>
      <c r="E77" t="s">
        <v>578</v>
      </c>
      <c r="F77" t="s">
        <v>579</v>
      </c>
      <c r="G77">
        <v>5</v>
      </c>
      <c r="H77">
        <v>2460</v>
      </c>
      <c r="I77">
        <v>5</v>
      </c>
      <c r="J77">
        <v>28.5</v>
      </c>
      <c r="K77">
        <v>5</v>
      </c>
      <c r="L77">
        <v>1.2749999999999999</v>
      </c>
      <c r="M77">
        <v>5</v>
      </c>
      <c r="N77">
        <v>492.5</v>
      </c>
      <c r="O77">
        <v>5</v>
      </c>
      <c r="P77">
        <v>3.35</v>
      </c>
      <c r="Q77">
        <v>5</v>
      </c>
      <c r="R77">
        <v>0.17699999999999999</v>
      </c>
      <c r="T77" s="8" t="s">
        <v>578</v>
      </c>
    </row>
    <row r="78" spans="1:20" x14ac:dyDescent="0.2">
      <c r="A78" t="s">
        <v>580</v>
      </c>
      <c r="B78" t="s">
        <v>388</v>
      </c>
      <c r="C78" t="s">
        <v>388</v>
      </c>
      <c r="E78" t="s">
        <v>581</v>
      </c>
      <c r="F78" t="s">
        <v>582</v>
      </c>
      <c r="G78">
        <v>1</v>
      </c>
      <c r="H78">
        <v>1620</v>
      </c>
      <c r="I78">
        <v>1</v>
      </c>
      <c r="J78">
        <v>8.5</v>
      </c>
      <c r="K78">
        <v>1</v>
      </c>
      <c r="L78">
        <v>0.27500000000000002</v>
      </c>
      <c r="M78">
        <v>4</v>
      </c>
      <c r="N78">
        <v>397.5</v>
      </c>
      <c r="O78">
        <v>4</v>
      </c>
      <c r="P78">
        <v>2.65</v>
      </c>
      <c r="Q78">
        <v>3</v>
      </c>
      <c r="R78">
        <v>0.10100000000000001</v>
      </c>
      <c r="T78" s="8" t="s">
        <v>581</v>
      </c>
    </row>
    <row r="79" spans="1:20" x14ac:dyDescent="0.2">
      <c r="A79" t="s">
        <v>583</v>
      </c>
      <c r="B79" t="s">
        <v>388</v>
      </c>
      <c r="C79" t="s">
        <v>388</v>
      </c>
      <c r="E79" t="s">
        <v>584</v>
      </c>
      <c r="F79" t="s">
        <v>447</v>
      </c>
      <c r="G79">
        <v>1</v>
      </c>
      <c r="H79">
        <v>1620</v>
      </c>
      <c r="I79">
        <v>1</v>
      </c>
      <c r="J79">
        <v>8.5</v>
      </c>
      <c r="K79">
        <v>1</v>
      </c>
      <c r="L79">
        <v>0.27500000000000002</v>
      </c>
      <c r="M79">
        <v>1</v>
      </c>
      <c r="N79">
        <v>112.5</v>
      </c>
      <c r="O79">
        <v>1</v>
      </c>
      <c r="P79">
        <v>0.55000000000000004</v>
      </c>
      <c r="Q79">
        <v>1</v>
      </c>
      <c r="R79">
        <v>2.5000000000000001E-2</v>
      </c>
      <c r="T79" s="8" t="s">
        <v>584</v>
      </c>
    </row>
    <row r="80" spans="1:20" x14ac:dyDescent="0.2">
      <c r="A80" t="s">
        <v>585</v>
      </c>
      <c r="B80" t="s">
        <v>388</v>
      </c>
      <c r="C80" t="s">
        <v>388</v>
      </c>
      <c r="E80" t="s">
        <v>586</v>
      </c>
      <c r="F80" t="s">
        <v>587</v>
      </c>
      <c r="G80">
        <v>4</v>
      </c>
      <c r="H80">
        <v>2250</v>
      </c>
      <c r="I80">
        <v>4</v>
      </c>
      <c r="J80">
        <v>23.5</v>
      </c>
      <c r="K80">
        <v>4</v>
      </c>
      <c r="L80">
        <v>1.0249999999999999</v>
      </c>
      <c r="M80">
        <v>4</v>
      </c>
      <c r="N80">
        <v>397.5</v>
      </c>
      <c r="O80">
        <v>4</v>
      </c>
      <c r="P80">
        <v>2.65</v>
      </c>
      <c r="Q80">
        <v>4</v>
      </c>
      <c r="R80">
        <v>0.13900000000000001</v>
      </c>
      <c r="T80" s="8" t="s">
        <v>586</v>
      </c>
    </row>
    <row r="81" spans="1:20" x14ac:dyDescent="0.2">
      <c r="A81" t="s">
        <v>588</v>
      </c>
      <c r="B81" t="s">
        <v>388</v>
      </c>
      <c r="C81" t="s">
        <v>388</v>
      </c>
      <c r="E81" t="s">
        <v>589</v>
      </c>
      <c r="F81" t="s">
        <v>590</v>
      </c>
      <c r="G81">
        <v>1</v>
      </c>
      <c r="H81">
        <v>1620</v>
      </c>
      <c r="I81">
        <v>1</v>
      </c>
      <c r="J81">
        <v>8.5</v>
      </c>
      <c r="K81">
        <v>1</v>
      </c>
      <c r="L81">
        <v>0.27500000000000002</v>
      </c>
      <c r="M81">
        <v>1</v>
      </c>
      <c r="N81">
        <v>112.5</v>
      </c>
      <c r="O81">
        <v>1</v>
      </c>
      <c r="P81">
        <v>0.55000000000000004</v>
      </c>
      <c r="Q81">
        <v>1</v>
      </c>
      <c r="R81">
        <v>2.5000000000000001E-2</v>
      </c>
      <c r="T81" s="8" t="s">
        <v>589</v>
      </c>
    </row>
    <row r="82" spans="1:20" x14ac:dyDescent="0.2">
      <c r="A82" t="s">
        <v>591</v>
      </c>
      <c r="B82" t="s">
        <v>388</v>
      </c>
      <c r="C82" t="s">
        <v>388</v>
      </c>
      <c r="E82" t="s">
        <v>592</v>
      </c>
      <c r="F82" t="s">
        <v>593</v>
      </c>
      <c r="G82">
        <v>1</v>
      </c>
      <c r="H82">
        <v>1620</v>
      </c>
      <c r="I82">
        <v>1</v>
      </c>
      <c r="J82">
        <v>8.5</v>
      </c>
      <c r="K82">
        <v>1</v>
      </c>
      <c r="L82">
        <v>0.27500000000000002</v>
      </c>
      <c r="M82">
        <v>2</v>
      </c>
      <c r="N82">
        <v>207.5</v>
      </c>
      <c r="O82">
        <v>2</v>
      </c>
      <c r="P82">
        <v>1.25</v>
      </c>
      <c r="Q82">
        <v>2</v>
      </c>
      <c r="R82">
        <v>6.3E-2</v>
      </c>
      <c r="T82" s="8" t="s">
        <v>592</v>
      </c>
    </row>
    <row r="83" spans="1:20" x14ac:dyDescent="0.2">
      <c r="A83" t="s">
        <v>594</v>
      </c>
      <c r="B83" t="s">
        <v>388</v>
      </c>
      <c r="C83" t="s">
        <v>388</v>
      </c>
      <c r="E83" t="s">
        <v>595</v>
      </c>
      <c r="F83" t="s">
        <v>596</v>
      </c>
      <c r="G83">
        <v>2</v>
      </c>
      <c r="H83">
        <v>1830</v>
      </c>
      <c r="I83">
        <v>2</v>
      </c>
      <c r="J83">
        <v>13.5</v>
      </c>
      <c r="K83">
        <v>2</v>
      </c>
      <c r="L83">
        <v>0.52500000000000002</v>
      </c>
      <c r="M83">
        <v>2</v>
      </c>
      <c r="N83">
        <v>207.5</v>
      </c>
      <c r="O83">
        <v>2</v>
      </c>
      <c r="P83">
        <v>1.25</v>
      </c>
      <c r="Q83">
        <v>2</v>
      </c>
      <c r="R83">
        <v>6.3E-2</v>
      </c>
      <c r="T83" s="8" t="s">
        <v>595</v>
      </c>
    </row>
    <row r="84" spans="1:20" x14ac:dyDescent="0.2">
      <c r="A84" t="s">
        <v>597</v>
      </c>
      <c r="B84" t="s">
        <v>388</v>
      </c>
      <c r="C84" t="s">
        <v>388</v>
      </c>
      <c r="E84" t="s">
        <v>598</v>
      </c>
      <c r="F84" t="s">
        <v>599</v>
      </c>
      <c r="G84">
        <v>5</v>
      </c>
      <c r="H84">
        <v>2460</v>
      </c>
      <c r="I84">
        <v>5</v>
      </c>
      <c r="J84">
        <v>28.5</v>
      </c>
      <c r="K84">
        <v>5</v>
      </c>
      <c r="L84">
        <v>1.2749999999999999</v>
      </c>
      <c r="M84">
        <v>5</v>
      </c>
      <c r="N84">
        <v>492.5</v>
      </c>
      <c r="O84">
        <v>5</v>
      </c>
      <c r="P84">
        <v>3.35</v>
      </c>
      <c r="Q84">
        <v>5</v>
      </c>
      <c r="R84">
        <v>0.17699999999999999</v>
      </c>
      <c r="T84" s="8" t="s">
        <v>598</v>
      </c>
    </row>
    <row r="85" spans="1:20" x14ac:dyDescent="0.2">
      <c r="A85" t="s">
        <v>600</v>
      </c>
      <c r="B85" t="s">
        <v>388</v>
      </c>
      <c r="C85" t="s">
        <v>388</v>
      </c>
      <c r="E85" t="s">
        <v>601</v>
      </c>
      <c r="F85" t="s">
        <v>602</v>
      </c>
      <c r="G85">
        <v>5</v>
      </c>
      <c r="H85">
        <v>2460</v>
      </c>
      <c r="I85">
        <v>4</v>
      </c>
      <c r="J85">
        <v>23.5</v>
      </c>
      <c r="K85">
        <v>4</v>
      </c>
      <c r="L85">
        <v>1.0249999999999999</v>
      </c>
      <c r="M85">
        <v>5</v>
      </c>
      <c r="N85">
        <v>492.5</v>
      </c>
      <c r="O85">
        <v>5</v>
      </c>
      <c r="P85">
        <v>3.35</v>
      </c>
      <c r="Q85">
        <v>5</v>
      </c>
      <c r="R85">
        <v>0.17699999999999999</v>
      </c>
      <c r="T85" s="8" t="s">
        <v>601</v>
      </c>
    </row>
    <row r="86" spans="1:20" x14ac:dyDescent="0.2">
      <c r="A86" t="s">
        <v>603</v>
      </c>
      <c r="B86" t="s">
        <v>388</v>
      </c>
      <c r="C86" t="s">
        <v>388</v>
      </c>
      <c r="E86" t="s">
        <v>604</v>
      </c>
      <c r="F86" t="s">
        <v>605</v>
      </c>
      <c r="G86">
        <v>3</v>
      </c>
      <c r="H86">
        <v>2040</v>
      </c>
      <c r="I86">
        <v>3</v>
      </c>
      <c r="J86">
        <v>18.5</v>
      </c>
      <c r="K86">
        <v>2</v>
      </c>
      <c r="L86">
        <v>0.52500000000000002</v>
      </c>
      <c r="M86">
        <v>3</v>
      </c>
      <c r="N86">
        <v>302.5</v>
      </c>
      <c r="O86">
        <v>3</v>
      </c>
      <c r="P86">
        <v>1.95</v>
      </c>
      <c r="Q86">
        <v>2</v>
      </c>
      <c r="R86">
        <v>6.3E-2</v>
      </c>
      <c r="T86" s="8" t="s">
        <v>604</v>
      </c>
    </row>
    <row r="87" spans="1:20" x14ac:dyDescent="0.2">
      <c r="A87" t="s">
        <v>606</v>
      </c>
      <c r="B87" t="s">
        <v>388</v>
      </c>
      <c r="C87" t="s">
        <v>388</v>
      </c>
      <c r="E87" t="s">
        <v>607</v>
      </c>
      <c r="F87" t="s">
        <v>608</v>
      </c>
      <c r="G87">
        <v>2</v>
      </c>
      <c r="H87">
        <v>1830</v>
      </c>
      <c r="I87">
        <v>1</v>
      </c>
      <c r="J87">
        <v>8.5</v>
      </c>
      <c r="K87">
        <v>1</v>
      </c>
      <c r="L87">
        <v>0.27500000000000002</v>
      </c>
      <c r="M87">
        <v>1</v>
      </c>
      <c r="N87">
        <v>112.5</v>
      </c>
      <c r="O87">
        <v>1</v>
      </c>
      <c r="P87">
        <v>0.55000000000000004</v>
      </c>
      <c r="Q87">
        <v>1</v>
      </c>
      <c r="R87">
        <v>2.5000000000000001E-2</v>
      </c>
      <c r="T87" s="8" t="s">
        <v>607</v>
      </c>
    </row>
    <row r="88" spans="1:20" x14ac:dyDescent="0.2">
      <c r="A88" t="s">
        <v>609</v>
      </c>
      <c r="B88" t="s">
        <v>388</v>
      </c>
      <c r="C88" t="s">
        <v>388</v>
      </c>
      <c r="E88" t="s">
        <v>610</v>
      </c>
      <c r="F88" t="s">
        <v>447</v>
      </c>
      <c r="G88">
        <v>4</v>
      </c>
      <c r="H88">
        <v>2250</v>
      </c>
      <c r="I88">
        <v>4</v>
      </c>
      <c r="J88">
        <v>23.5</v>
      </c>
      <c r="K88">
        <v>4</v>
      </c>
      <c r="L88">
        <v>1.0249999999999999</v>
      </c>
      <c r="M88">
        <v>4</v>
      </c>
      <c r="N88">
        <v>397.5</v>
      </c>
      <c r="O88">
        <v>4</v>
      </c>
      <c r="P88">
        <v>2.65</v>
      </c>
      <c r="Q88">
        <v>4</v>
      </c>
      <c r="R88">
        <v>0.13900000000000001</v>
      </c>
      <c r="T88" s="8" t="s">
        <v>610</v>
      </c>
    </row>
    <row r="89" spans="1:20" x14ac:dyDescent="0.2">
      <c r="A89" t="s">
        <v>611</v>
      </c>
      <c r="B89" t="s">
        <v>388</v>
      </c>
      <c r="C89" t="s">
        <v>388</v>
      </c>
      <c r="E89" t="s">
        <v>612</v>
      </c>
      <c r="F89" t="s">
        <v>613</v>
      </c>
      <c r="G89">
        <v>4</v>
      </c>
      <c r="H89">
        <v>2250</v>
      </c>
      <c r="I89">
        <v>4</v>
      </c>
      <c r="J89">
        <v>23.5</v>
      </c>
      <c r="K89">
        <v>4</v>
      </c>
      <c r="L89">
        <v>1.0249999999999999</v>
      </c>
      <c r="M89">
        <v>4</v>
      </c>
      <c r="N89">
        <v>397.5</v>
      </c>
      <c r="O89">
        <v>4</v>
      </c>
      <c r="P89">
        <v>2.65</v>
      </c>
      <c r="Q89">
        <v>4</v>
      </c>
      <c r="R89">
        <v>0.13900000000000001</v>
      </c>
      <c r="T89" s="8" t="s">
        <v>612</v>
      </c>
    </row>
    <row r="90" spans="1:20" x14ac:dyDescent="0.2">
      <c r="A90" t="s">
        <v>614</v>
      </c>
      <c r="B90" t="s">
        <v>388</v>
      </c>
      <c r="C90" t="s">
        <v>388</v>
      </c>
      <c r="E90" t="s">
        <v>615</v>
      </c>
      <c r="F90" t="s">
        <v>616</v>
      </c>
      <c r="G90">
        <v>3</v>
      </c>
      <c r="H90">
        <v>2040</v>
      </c>
      <c r="I90">
        <v>2</v>
      </c>
      <c r="J90">
        <v>13.5</v>
      </c>
      <c r="K90">
        <v>2</v>
      </c>
      <c r="L90">
        <v>0.52500000000000002</v>
      </c>
      <c r="M90">
        <v>2</v>
      </c>
      <c r="N90">
        <v>207.5</v>
      </c>
      <c r="O90">
        <v>2</v>
      </c>
      <c r="P90">
        <v>1.25</v>
      </c>
      <c r="Q90">
        <v>5</v>
      </c>
      <c r="R90">
        <v>0.17699999999999999</v>
      </c>
      <c r="T90" s="8" t="s">
        <v>615</v>
      </c>
    </row>
    <row r="91" spans="1:20" x14ac:dyDescent="0.2">
      <c r="A91" t="s">
        <v>617</v>
      </c>
      <c r="B91" t="s">
        <v>388</v>
      </c>
      <c r="C91" t="s">
        <v>388</v>
      </c>
      <c r="E91" t="s">
        <v>618</v>
      </c>
      <c r="F91" t="s">
        <v>619</v>
      </c>
      <c r="G91">
        <v>2</v>
      </c>
      <c r="H91">
        <v>1830</v>
      </c>
      <c r="I91">
        <v>1</v>
      </c>
      <c r="J91">
        <v>8.5</v>
      </c>
      <c r="K91">
        <v>1</v>
      </c>
      <c r="L91">
        <v>0.27500000000000002</v>
      </c>
      <c r="M91">
        <v>1</v>
      </c>
      <c r="N91">
        <v>112.5</v>
      </c>
      <c r="O91">
        <v>1</v>
      </c>
      <c r="P91">
        <v>0.55000000000000004</v>
      </c>
      <c r="Q91">
        <v>1</v>
      </c>
      <c r="R91">
        <v>2.5000000000000001E-2</v>
      </c>
      <c r="T91" s="8" t="s">
        <v>618</v>
      </c>
    </row>
    <row r="92" spans="1:20" x14ac:dyDescent="0.2">
      <c r="A92" t="s">
        <v>620</v>
      </c>
      <c r="B92" t="s">
        <v>388</v>
      </c>
      <c r="C92" t="s">
        <v>388</v>
      </c>
      <c r="E92" t="s">
        <v>621</v>
      </c>
      <c r="F92" t="s">
        <v>622</v>
      </c>
      <c r="G92">
        <v>3</v>
      </c>
      <c r="H92">
        <v>2040</v>
      </c>
      <c r="I92">
        <v>4</v>
      </c>
      <c r="J92">
        <v>23.5</v>
      </c>
      <c r="K92">
        <v>3</v>
      </c>
      <c r="L92">
        <v>0.77500000000000002</v>
      </c>
      <c r="M92">
        <v>3</v>
      </c>
      <c r="N92">
        <v>302.5</v>
      </c>
      <c r="O92">
        <v>3</v>
      </c>
      <c r="P92">
        <v>1.95</v>
      </c>
      <c r="Q92">
        <v>4</v>
      </c>
      <c r="R92">
        <v>0.13900000000000001</v>
      </c>
      <c r="T92" s="8" t="s">
        <v>621</v>
      </c>
    </row>
    <row r="93" spans="1:20" x14ac:dyDescent="0.2">
      <c r="A93" t="s">
        <v>623</v>
      </c>
      <c r="B93" t="s">
        <v>388</v>
      </c>
      <c r="C93" t="s">
        <v>388</v>
      </c>
      <c r="E93" t="s">
        <v>624</v>
      </c>
      <c r="F93" t="s">
        <v>625</v>
      </c>
      <c r="G93">
        <v>4</v>
      </c>
      <c r="H93">
        <v>2250</v>
      </c>
      <c r="I93">
        <v>4</v>
      </c>
      <c r="J93">
        <v>23.5</v>
      </c>
      <c r="K93">
        <v>4</v>
      </c>
      <c r="L93">
        <v>1.0249999999999999</v>
      </c>
      <c r="M93">
        <v>4</v>
      </c>
      <c r="N93">
        <v>397.5</v>
      </c>
      <c r="O93">
        <v>4</v>
      </c>
      <c r="P93">
        <v>2.65</v>
      </c>
      <c r="Q93">
        <v>4</v>
      </c>
      <c r="R93">
        <v>0.13900000000000001</v>
      </c>
      <c r="T93" s="8" t="s">
        <v>624</v>
      </c>
    </row>
    <row r="94" spans="1:20" x14ac:dyDescent="0.2">
      <c r="A94" t="s">
        <v>626</v>
      </c>
      <c r="B94" t="s">
        <v>388</v>
      </c>
      <c r="C94" t="s">
        <v>388</v>
      </c>
      <c r="E94" t="s">
        <v>627</v>
      </c>
      <c r="F94" t="s">
        <v>628</v>
      </c>
      <c r="G94">
        <v>4</v>
      </c>
      <c r="H94">
        <v>2250</v>
      </c>
      <c r="I94">
        <v>4</v>
      </c>
      <c r="J94">
        <v>23.5</v>
      </c>
      <c r="K94">
        <v>4</v>
      </c>
      <c r="L94">
        <v>1.0249999999999999</v>
      </c>
      <c r="M94">
        <v>4</v>
      </c>
      <c r="N94">
        <v>397.5</v>
      </c>
      <c r="O94">
        <v>4</v>
      </c>
      <c r="P94">
        <v>2.65</v>
      </c>
      <c r="Q94">
        <v>4</v>
      </c>
      <c r="R94">
        <v>0.13900000000000001</v>
      </c>
      <c r="T94" s="8" t="s">
        <v>627</v>
      </c>
    </row>
    <row r="95" spans="1:20" x14ac:dyDescent="0.2">
      <c r="A95" t="s">
        <v>629</v>
      </c>
      <c r="B95" t="s">
        <v>388</v>
      </c>
      <c r="C95" t="s">
        <v>388</v>
      </c>
      <c r="E95" t="s">
        <v>630</v>
      </c>
      <c r="F95" t="s">
        <v>631</v>
      </c>
      <c r="G95">
        <v>5</v>
      </c>
      <c r="H95">
        <v>2460</v>
      </c>
      <c r="I95">
        <v>5</v>
      </c>
      <c r="J95">
        <v>28.5</v>
      </c>
      <c r="K95">
        <v>4</v>
      </c>
      <c r="L95">
        <v>1.0249999999999999</v>
      </c>
      <c r="M95">
        <v>5</v>
      </c>
      <c r="N95">
        <v>492.5</v>
      </c>
      <c r="O95">
        <v>5</v>
      </c>
      <c r="P95">
        <v>3.35</v>
      </c>
      <c r="Q95">
        <v>4</v>
      </c>
      <c r="R95">
        <v>0.13900000000000001</v>
      </c>
      <c r="T95" s="8" t="s">
        <v>630</v>
      </c>
    </row>
    <row r="96" spans="1:20" x14ac:dyDescent="0.2">
      <c r="A96" t="s">
        <v>632</v>
      </c>
      <c r="B96" t="s">
        <v>388</v>
      </c>
      <c r="C96" t="s">
        <v>388</v>
      </c>
      <c r="E96" t="s">
        <v>633</v>
      </c>
      <c r="F96" t="s">
        <v>634</v>
      </c>
      <c r="G96">
        <v>4</v>
      </c>
      <c r="H96">
        <v>2250</v>
      </c>
      <c r="I96">
        <v>4</v>
      </c>
      <c r="J96">
        <v>23.5</v>
      </c>
      <c r="K96">
        <v>4</v>
      </c>
      <c r="L96">
        <v>1.0249999999999999</v>
      </c>
      <c r="M96">
        <v>4</v>
      </c>
      <c r="N96">
        <v>397.5</v>
      </c>
      <c r="O96">
        <v>4</v>
      </c>
      <c r="P96">
        <v>2.65</v>
      </c>
      <c r="Q96">
        <v>4</v>
      </c>
      <c r="R96">
        <v>0.13900000000000001</v>
      </c>
      <c r="T96" s="8" t="s">
        <v>633</v>
      </c>
    </row>
    <row r="97" spans="1:20" x14ac:dyDescent="0.2">
      <c r="A97" t="s">
        <v>635</v>
      </c>
      <c r="B97" t="s">
        <v>388</v>
      </c>
      <c r="C97" t="s">
        <v>388</v>
      </c>
      <c r="E97" t="s">
        <v>636</v>
      </c>
      <c r="F97" t="s">
        <v>637</v>
      </c>
      <c r="G97">
        <v>4</v>
      </c>
      <c r="H97">
        <v>2250</v>
      </c>
      <c r="I97">
        <v>4</v>
      </c>
      <c r="J97">
        <v>23.5</v>
      </c>
      <c r="K97">
        <v>4</v>
      </c>
      <c r="L97">
        <v>1.0249999999999999</v>
      </c>
      <c r="M97">
        <v>4</v>
      </c>
      <c r="N97">
        <v>397.5</v>
      </c>
      <c r="O97">
        <v>4</v>
      </c>
      <c r="P97">
        <v>2.65</v>
      </c>
      <c r="Q97">
        <v>4</v>
      </c>
      <c r="R97">
        <v>0.13900000000000001</v>
      </c>
      <c r="T97" s="8" t="s">
        <v>636</v>
      </c>
    </row>
    <row r="98" spans="1:20" x14ac:dyDescent="0.2">
      <c r="A98" t="s">
        <v>638</v>
      </c>
      <c r="B98" t="s">
        <v>388</v>
      </c>
      <c r="C98" t="s">
        <v>388</v>
      </c>
      <c r="E98" t="s">
        <v>639</v>
      </c>
      <c r="F98" t="s">
        <v>640</v>
      </c>
      <c r="G98">
        <v>1</v>
      </c>
      <c r="H98">
        <v>1620</v>
      </c>
      <c r="I98">
        <v>1</v>
      </c>
      <c r="J98">
        <v>8.5</v>
      </c>
      <c r="K98">
        <v>1</v>
      </c>
      <c r="L98">
        <v>0.27500000000000002</v>
      </c>
      <c r="M98">
        <v>1</v>
      </c>
      <c r="N98">
        <v>112.5</v>
      </c>
      <c r="O98">
        <v>1</v>
      </c>
      <c r="P98">
        <v>0.55000000000000004</v>
      </c>
      <c r="Q98">
        <v>1</v>
      </c>
      <c r="R98">
        <v>2.5000000000000001E-2</v>
      </c>
      <c r="T98" s="8" t="s">
        <v>639</v>
      </c>
    </row>
    <row r="99" spans="1:20" x14ac:dyDescent="0.2">
      <c r="A99" t="s">
        <v>641</v>
      </c>
      <c r="B99" t="s">
        <v>388</v>
      </c>
      <c r="C99" t="s">
        <v>388</v>
      </c>
      <c r="E99" t="s">
        <v>642</v>
      </c>
      <c r="F99" t="s">
        <v>643</v>
      </c>
      <c r="G99">
        <v>4</v>
      </c>
      <c r="H99">
        <v>2250</v>
      </c>
      <c r="I99">
        <v>5</v>
      </c>
      <c r="J99">
        <v>28.5</v>
      </c>
      <c r="K99">
        <v>4</v>
      </c>
      <c r="L99">
        <v>1.0249999999999999</v>
      </c>
      <c r="M99">
        <v>5</v>
      </c>
      <c r="N99">
        <v>492.5</v>
      </c>
      <c r="O99">
        <v>5</v>
      </c>
      <c r="P99">
        <v>3.35</v>
      </c>
      <c r="Q99">
        <v>4</v>
      </c>
      <c r="R99">
        <v>0.13900000000000001</v>
      </c>
      <c r="T99" s="8" t="s">
        <v>642</v>
      </c>
    </row>
    <row r="100" spans="1:20" x14ac:dyDescent="0.2">
      <c r="A100" t="s">
        <v>644</v>
      </c>
      <c r="B100" t="s">
        <v>388</v>
      </c>
      <c r="C100" t="s">
        <v>388</v>
      </c>
      <c r="E100" t="s">
        <v>645</v>
      </c>
      <c r="F100" t="s">
        <v>646</v>
      </c>
      <c r="G100">
        <v>4</v>
      </c>
      <c r="H100">
        <v>2250</v>
      </c>
      <c r="I100">
        <v>5</v>
      </c>
      <c r="J100">
        <v>28.5</v>
      </c>
      <c r="K100">
        <v>4</v>
      </c>
      <c r="L100">
        <v>1.0249999999999999</v>
      </c>
      <c r="M100">
        <v>4</v>
      </c>
      <c r="N100">
        <v>397.5</v>
      </c>
      <c r="O100">
        <v>4</v>
      </c>
      <c r="P100">
        <v>2.65</v>
      </c>
      <c r="Q100">
        <v>4</v>
      </c>
      <c r="R100">
        <v>0.13900000000000001</v>
      </c>
      <c r="T100" s="8" t="s">
        <v>645</v>
      </c>
    </row>
    <row r="101" spans="1:20" x14ac:dyDescent="0.2">
      <c r="A101" t="s">
        <v>647</v>
      </c>
      <c r="B101" t="s">
        <v>388</v>
      </c>
      <c r="C101" t="s">
        <v>388</v>
      </c>
      <c r="E101" t="s">
        <v>648</v>
      </c>
      <c r="F101" t="s">
        <v>649</v>
      </c>
      <c r="G101">
        <v>2</v>
      </c>
      <c r="H101">
        <v>1830</v>
      </c>
      <c r="I101">
        <v>2</v>
      </c>
      <c r="J101">
        <v>13.5</v>
      </c>
      <c r="K101">
        <v>1</v>
      </c>
      <c r="L101">
        <v>0.27500000000000002</v>
      </c>
      <c r="M101">
        <v>2</v>
      </c>
      <c r="N101">
        <v>207.5</v>
      </c>
      <c r="O101">
        <v>1</v>
      </c>
      <c r="P101">
        <v>0.55000000000000004</v>
      </c>
      <c r="Q101">
        <v>1</v>
      </c>
      <c r="R101">
        <v>2.5000000000000001E-2</v>
      </c>
      <c r="T101" s="8" t="s">
        <v>648</v>
      </c>
    </row>
    <row r="102" spans="1:20" x14ac:dyDescent="0.2">
      <c r="A102" t="s">
        <v>650</v>
      </c>
      <c r="B102" t="s">
        <v>388</v>
      </c>
      <c r="C102" t="s">
        <v>388</v>
      </c>
      <c r="E102" t="s">
        <v>651</v>
      </c>
      <c r="F102" t="s">
        <v>652</v>
      </c>
      <c r="G102">
        <v>2</v>
      </c>
      <c r="H102">
        <v>1830</v>
      </c>
      <c r="I102">
        <v>1</v>
      </c>
      <c r="J102">
        <v>8.5</v>
      </c>
      <c r="K102">
        <v>1</v>
      </c>
      <c r="L102">
        <v>0.27500000000000002</v>
      </c>
      <c r="M102">
        <v>1</v>
      </c>
      <c r="N102">
        <v>112.5</v>
      </c>
      <c r="O102">
        <v>1</v>
      </c>
      <c r="P102">
        <v>0.55000000000000004</v>
      </c>
      <c r="Q102">
        <v>1</v>
      </c>
      <c r="R102">
        <v>2.5000000000000001E-2</v>
      </c>
      <c r="T102" s="8" t="s">
        <v>651</v>
      </c>
    </row>
    <row r="103" spans="1:20" x14ac:dyDescent="0.2">
      <c r="A103" t="s">
        <v>653</v>
      </c>
      <c r="B103" t="s">
        <v>388</v>
      </c>
      <c r="C103" t="s">
        <v>388</v>
      </c>
      <c r="E103" t="s">
        <v>654</v>
      </c>
      <c r="F103" t="s">
        <v>655</v>
      </c>
      <c r="G103">
        <v>2</v>
      </c>
      <c r="H103">
        <v>1830</v>
      </c>
      <c r="I103">
        <v>2</v>
      </c>
      <c r="J103">
        <v>13.5</v>
      </c>
      <c r="K103">
        <v>2</v>
      </c>
      <c r="L103">
        <v>0.52500000000000002</v>
      </c>
      <c r="M103">
        <v>2</v>
      </c>
      <c r="N103">
        <v>207.5</v>
      </c>
      <c r="O103">
        <v>2</v>
      </c>
      <c r="P103">
        <v>1.25</v>
      </c>
      <c r="Q103">
        <v>1</v>
      </c>
      <c r="R103">
        <v>2.5000000000000001E-2</v>
      </c>
      <c r="T103" s="8" t="s">
        <v>654</v>
      </c>
    </row>
    <row r="104" spans="1:20" x14ac:dyDescent="0.2">
      <c r="A104" t="s">
        <v>656</v>
      </c>
      <c r="B104" t="s">
        <v>388</v>
      </c>
      <c r="C104" t="s">
        <v>388</v>
      </c>
      <c r="E104" t="s">
        <v>657</v>
      </c>
      <c r="F104" t="s">
        <v>658</v>
      </c>
      <c r="G104">
        <v>4</v>
      </c>
      <c r="H104">
        <v>2250</v>
      </c>
      <c r="I104">
        <v>4</v>
      </c>
      <c r="J104">
        <v>23.5</v>
      </c>
      <c r="K104">
        <v>4</v>
      </c>
      <c r="L104">
        <v>1.0249999999999999</v>
      </c>
      <c r="M104">
        <v>4</v>
      </c>
      <c r="N104">
        <v>397.5</v>
      </c>
      <c r="O104">
        <v>4</v>
      </c>
      <c r="P104">
        <v>2.65</v>
      </c>
      <c r="Q104">
        <v>5</v>
      </c>
      <c r="R104">
        <v>0.17699999999999999</v>
      </c>
      <c r="T104" s="8" t="s">
        <v>657</v>
      </c>
    </row>
    <row r="105" spans="1:20" x14ac:dyDescent="0.2">
      <c r="A105" t="s">
        <v>659</v>
      </c>
      <c r="B105" t="s">
        <v>388</v>
      </c>
      <c r="C105" t="s">
        <v>388</v>
      </c>
      <c r="E105" t="s">
        <v>660</v>
      </c>
      <c r="F105" t="s">
        <v>447</v>
      </c>
      <c r="G105">
        <v>3</v>
      </c>
      <c r="H105">
        <v>2040</v>
      </c>
      <c r="I105">
        <v>3</v>
      </c>
      <c r="J105">
        <v>18.5</v>
      </c>
      <c r="K105">
        <v>3</v>
      </c>
      <c r="L105">
        <v>0.77500000000000002</v>
      </c>
      <c r="M105">
        <v>3</v>
      </c>
      <c r="N105">
        <v>302.5</v>
      </c>
      <c r="O105">
        <v>3</v>
      </c>
      <c r="P105">
        <v>1.95</v>
      </c>
      <c r="Q105">
        <v>3</v>
      </c>
      <c r="R105">
        <v>0.10100000000000001</v>
      </c>
      <c r="T105" s="8" t="s">
        <v>660</v>
      </c>
    </row>
    <row r="106" spans="1:20" x14ac:dyDescent="0.2">
      <c r="A106" t="s">
        <v>661</v>
      </c>
      <c r="B106" t="s">
        <v>388</v>
      </c>
      <c r="C106" t="s">
        <v>388</v>
      </c>
      <c r="E106" t="s">
        <v>662</v>
      </c>
      <c r="F106" t="s">
        <v>447</v>
      </c>
      <c r="G106">
        <v>1</v>
      </c>
      <c r="H106">
        <v>1620</v>
      </c>
      <c r="I106">
        <v>1</v>
      </c>
      <c r="J106">
        <v>8.5</v>
      </c>
      <c r="K106">
        <v>1</v>
      </c>
      <c r="L106">
        <v>0.27500000000000002</v>
      </c>
      <c r="M106">
        <v>1</v>
      </c>
      <c r="N106">
        <v>112.5</v>
      </c>
      <c r="O106">
        <v>1</v>
      </c>
      <c r="P106">
        <v>0.55000000000000004</v>
      </c>
      <c r="Q106">
        <v>1</v>
      </c>
      <c r="R106">
        <v>2.5000000000000001E-2</v>
      </c>
      <c r="T106" s="8" t="s">
        <v>662</v>
      </c>
    </row>
    <row r="107" spans="1:20" x14ac:dyDescent="0.2">
      <c r="A107" t="s">
        <v>663</v>
      </c>
      <c r="B107" t="s">
        <v>388</v>
      </c>
      <c r="C107" t="s">
        <v>388</v>
      </c>
      <c r="E107" t="s">
        <v>664</v>
      </c>
      <c r="F107" t="s">
        <v>665</v>
      </c>
      <c r="G107">
        <v>4</v>
      </c>
      <c r="H107">
        <v>2250</v>
      </c>
      <c r="I107">
        <v>4</v>
      </c>
      <c r="J107">
        <v>23.5</v>
      </c>
      <c r="K107">
        <v>3</v>
      </c>
      <c r="L107">
        <v>0.77500000000000002</v>
      </c>
      <c r="M107">
        <v>3</v>
      </c>
      <c r="N107">
        <v>302.5</v>
      </c>
      <c r="O107">
        <v>3</v>
      </c>
      <c r="P107">
        <v>1.95</v>
      </c>
      <c r="Q107">
        <v>3</v>
      </c>
      <c r="R107">
        <v>0.10100000000000001</v>
      </c>
      <c r="T107" s="8" t="s">
        <v>664</v>
      </c>
    </row>
    <row r="108" spans="1:20" x14ac:dyDescent="0.2">
      <c r="A108" t="s">
        <v>666</v>
      </c>
      <c r="B108" t="s">
        <v>388</v>
      </c>
      <c r="C108" t="s">
        <v>388</v>
      </c>
      <c r="E108" t="s">
        <v>667</v>
      </c>
      <c r="F108" t="s">
        <v>668</v>
      </c>
      <c r="G108">
        <v>3</v>
      </c>
      <c r="H108">
        <v>2040</v>
      </c>
      <c r="I108">
        <v>4</v>
      </c>
      <c r="J108">
        <v>23.5</v>
      </c>
      <c r="K108">
        <v>3</v>
      </c>
      <c r="L108">
        <v>0.77500000000000002</v>
      </c>
      <c r="M108">
        <v>4</v>
      </c>
      <c r="N108">
        <v>397.5</v>
      </c>
      <c r="O108">
        <v>4</v>
      </c>
      <c r="P108">
        <v>2.65</v>
      </c>
      <c r="Q108">
        <v>4</v>
      </c>
      <c r="R108">
        <v>0.13900000000000001</v>
      </c>
      <c r="T108" s="8" t="s">
        <v>667</v>
      </c>
    </row>
    <row r="109" spans="1:20" x14ac:dyDescent="0.2">
      <c r="A109" t="s">
        <v>669</v>
      </c>
      <c r="B109" t="s">
        <v>388</v>
      </c>
      <c r="C109" t="s">
        <v>388</v>
      </c>
      <c r="E109" t="s">
        <v>670</v>
      </c>
      <c r="F109" t="s">
        <v>671</v>
      </c>
      <c r="G109">
        <v>4</v>
      </c>
      <c r="H109">
        <v>2250</v>
      </c>
      <c r="I109">
        <v>4</v>
      </c>
      <c r="J109">
        <v>23.5</v>
      </c>
      <c r="K109">
        <v>4</v>
      </c>
      <c r="L109">
        <v>1.0249999999999999</v>
      </c>
      <c r="M109">
        <v>4</v>
      </c>
      <c r="N109">
        <v>397.5</v>
      </c>
      <c r="O109">
        <v>4</v>
      </c>
      <c r="P109">
        <v>2.65</v>
      </c>
      <c r="Q109">
        <v>4</v>
      </c>
      <c r="R109">
        <v>0.13900000000000001</v>
      </c>
      <c r="T109" s="8" t="s">
        <v>670</v>
      </c>
    </row>
    <row r="110" spans="1:20" x14ac:dyDescent="0.2">
      <c r="A110" t="s">
        <v>672</v>
      </c>
      <c r="B110" t="s">
        <v>388</v>
      </c>
      <c r="C110" t="s">
        <v>388</v>
      </c>
      <c r="E110" t="s">
        <v>673</v>
      </c>
      <c r="F110" t="s">
        <v>674</v>
      </c>
      <c r="G110">
        <v>1</v>
      </c>
      <c r="H110">
        <v>1620</v>
      </c>
      <c r="I110">
        <v>1</v>
      </c>
      <c r="J110">
        <v>8.5</v>
      </c>
      <c r="K110">
        <v>1</v>
      </c>
      <c r="L110">
        <v>0.27500000000000002</v>
      </c>
      <c r="M110">
        <v>1</v>
      </c>
      <c r="N110">
        <v>112.5</v>
      </c>
      <c r="O110">
        <v>1</v>
      </c>
      <c r="P110">
        <v>0.55000000000000004</v>
      </c>
      <c r="Q110">
        <v>1</v>
      </c>
      <c r="R110">
        <v>2.5000000000000001E-2</v>
      </c>
      <c r="T110" s="8" t="s">
        <v>673</v>
      </c>
    </row>
    <row r="111" spans="1:20" x14ac:dyDescent="0.2">
      <c r="A111" t="s">
        <v>675</v>
      </c>
      <c r="B111" t="s">
        <v>388</v>
      </c>
      <c r="C111" t="s">
        <v>388</v>
      </c>
      <c r="E111" t="s">
        <v>676</v>
      </c>
      <c r="F111" t="s">
        <v>677</v>
      </c>
      <c r="G111">
        <v>3</v>
      </c>
      <c r="H111">
        <v>2040</v>
      </c>
      <c r="I111">
        <v>2</v>
      </c>
      <c r="J111">
        <v>13.5</v>
      </c>
      <c r="K111">
        <v>2</v>
      </c>
      <c r="L111">
        <v>0.52500000000000002</v>
      </c>
      <c r="M111">
        <v>2</v>
      </c>
      <c r="N111">
        <v>207.5</v>
      </c>
      <c r="O111">
        <v>3</v>
      </c>
      <c r="P111">
        <v>1.95</v>
      </c>
      <c r="Q111">
        <v>5</v>
      </c>
      <c r="R111">
        <v>0.17699999999999999</v>
      </c>
      <c r="T111" s="8" t="s">
        <v>676</v>
      </c>
    </row>
    <row r="112" spans="1:20" x14ac:dyDescent="0.2">
      <c r="A112" t="s">
        <v>678</v>
      </c>
      <c r="B112" t="s">
        <v>388</v>
      </c>
      <c r="C112" t="s">
        <v>388</v>
      </c>
      <c r="E112" t="s">
        <v>679</v>
      </c>
      <c r="F112" t="s">
        <v>680</v>
      </c>
      <c r="G112">
        <v>4</v>
      </c>
      <c r="H112">
        <v>2250</v>
      </c>
      <c r="I112">
        <v>4</v>
      </c>
      <c r="J112">
        <v>23.5</v>
      </c>
      <c r="K112">
        <v>4</v>
      </c>
      <c r="L112">
        <v>1.0249999999999999</v>
      </c>
      <c r="M112">
        <v>4</v>
      </c>
      <c r="N112">
        <v>397.5</v>
      </c>
      <c r="O112">
        <v>4</v>
      </c>
      <c r="P112">
        <v>2.65</v>
      </c>
      <c r="Q112">
        <v>4</v>
      </c>
      <c r="R112">
        <v>0.13900000000000001</v>
      </c>
      <c r="T112" s="8" t="s">
        <v>679</v>
      </c>
    </row>
    <row r="113" spans="1:20" x14ac:dyDescent="0.2">
      <c r="A113" t="s">
        <v>681</v>
      </c>
      <c r="B113" t="s">
        <v>388</v>
      </c>
      <c r="C113" t="s">
        <v>388</v>
      </c>
      <c r="E113" t="s">
        <v>682</v>
      </c>
      <c r="F113" t="s">
        <v>683</v>
      </c>
      <c r="G113">
        <v>4</v>
      </c>
      <c r="H113">
        <v>2250</v>
      </c>
      <c r="I113">
        <v>4</v>
      </c>
      <c r="J113">
        <v>23.5</v>
      </c>
      <c r="K113">
        <v>4</v>
      </c>
      <c r="L113">
        <v>1.0249999999999999</v>
      </c>
      <c r="M113">
        <v>4</v>
      </c>
      <c r="N113">
        <v>397.5</v>
      </c>
      <c r="O113">
        <v>4</v>
      </c>
      <c r="P113">
        <v>2.65</v>
      </c>
      <c r="Q113">
        <v>5</v>
      </c>
      <c r="R113">
        <v>0.17699999999999999</v>
      </c>
      <c r="T113" s="8" t="s">
        <v>682</v>
      </c>
    </row>
    <row r="114" spans="1:20" x14ac:dyDescent="0.2">
      <c r="A114" t="s">
        <v>684</v>
      </c>
      <c r="B114" t="s">
        <v>388</v>
      </c>
      <c r="C114" t="s">
        <v>388</v>
      </c>
      <c r="E114" t="s">
        <v>685</v>
      </c>
      <c r="F114" t="s">
        <v>686</v>
      </c>
      <c r="G114">
        <v>1</v>
      </c>
      <c r="H114">
        <v>1620</v>
      </c>
      <c r="I114">
        <v>1</v>
      </c>
      <c r="J114">
        <v>8.5</v>
      </c>
      <c r="K114">
        <v>1</v>
      </c>
      <c r="L114">
        <v>0.27500000000000002</v>
      </c>
      <c r="M114">
        <v>1</v>
      </c>
      <c r="N114">
        <v>112.5</v>
      </c>
      <c r="O114">
        <v>1</v>
      </c>
      <c r="P114">
        <v>0.55000000000000004</v>
      </c>
      <c r="Q114">
        <v>1</v>
      </c>
      <c r="R114">
        <v>2.5000000000000001E-2</v>
      </c>
      <c r="T114" s="8" t="s">
        <v>685</v>
      </c>
    </row>
    <row r="115" spans="1:20" x14ac:dyDescent="0.2">
      <c r="A115" t="s">
        <v>687</v>
      </c>
      <c r="B115" t="s">
        <v>388</v>
      </c>
      <c r="C115" t="s">
        <v>388</v>
      </c>
      <c r="E115" t="s">
        <v>688</v>
      </c>
      <c r="F115" t="s">
        <v>689</v>
      </c>
      <c r="G115">
        <v>4</v>
      </c>
      <c r="H115">
        <v>2250</v>
      </c>
      <c r="I115">
        <v>4</v>
      </c>
      <c r="J115">
        <v>23.5</v>
      </c>
      <c r="K115">
        <v>4</v>
      </c>
      <c r="L115">
        <v>1.0249999999999999</v>
      </c>
      <c r="M115">
        <v>4</v>
      </c>
      <c r="N115">
        <v>397.5</v>
      </c>
      <c r="O115">
        <v>4</v>
      </c>
      <c r="P115">
        <v>2.65</v>
      </c>
      <c r="Q115">
        <v>5</v>
      </c>
      <c r="R115">
        <v>0.17699999999999999</v>
      </c>
      <c r="T115" s="8" t="s">
        <v>688</v>
      </c>
    </row>
    <row r="116" spans="1:20" x14ac:dyDescent="0.2">
      <c r="A116" t="s">
        <v>690</v>
      </c>
      <c r="B116" t="s">
        <v>388</v>
      </c>
      <c r="C116" t="s">
        <v>388</v>
      </c>
      <c r="E116" t="s">
        <v>691</v>
      </c>
      <c r="F116" t="s">
        <v>692</v>
      </c>
      <c r="G116">
        <v>5</v>
      </c>
      <c r="H116">
        <v>2460</v>
      </c>
      <c r="I116">
        <v>5</v>
      </c>
      <c r="J116">
        <v>28.5</v>
      </c>
      <c r="K116">
        <v>4</v>
      </c>
      <c r="L116">
        <v>1.0249999999999999</v>
      </c>
      <c r="M116">
        <v>4</v>
      </c>
      <c r="N116">
        <v>397.5</v>
      </c>
      <c r="O116">
        <v>4</v>
      </c>
      <c r="P116">
        <v>2.65</v>
      </c>
      <c r="Q116">
        <v>5</v>
      </c>
      <c r="R116">
        <v>0.17699999999999999</v>
      </c>
      <c r="T116" s="8" t="s">
        <v>691</v>
      </c>
    </row>
    <row r="117" spans="1:20" x14ac:dyDescent="0.2">
      <c r="A117" t="s">
        <v>693</v>
      </c>
      <c r="B117" t="s">
        <v>388</v>
      </c>
      <c r="C117" t="s">
        <v>388</v>
      </c>
      <c r="E117" t="s">
        <v>694</v>
      </c>
      <c r="F117" t="s">
        <v>695</v>
      </c>
      <c r="G117">
        <v>3</v>
      </c>
      <c r="H117">
        <v>2040</v>
      </c>
      <c r="I117">
        <v>3</v>
      </c>
      <c r="J117">
        <v>18.5</v>
      </c>
      <c r="K117">
        <v>3</v>
      </c>
      <c r="L117">
        <v>0.77500000000000002</v>
      </c>
      <c r="M117">
        <v>3</v>
      </c>
      <c r="N117">
        <v>302.5</v>
      </c>
      <c r="O117">
        <v>3</v>
      </c>
      <c r="P117">
        <v>1.95</v>
      </c>
      <c r="Q117">
        <v>3</v>
      </c>
      <c r="R117">
        <v>0.10100000000000001</v>
      </c>
      <c r="T117" s="8" t="s">
        <v>694</v>
      </c>
    </row>
    <row r="118" spans="1:20" x14ac:dyDescent="0.2">
      <c r="A118" t="s">
        <v>696</v>
      </c>
      <c r="B118" t="s">
        <v>388</v>
      </c>
      <c r="C118" t="s">
        <v>388</v>
      </c>
      <c r="E118" t="s">
        <v>697</v>
      </c>
      <c r="F118" t="s">
        <v>698</v>
      </c>
      <c r="G118">
        <v>1</v>
      </c>
      <c r="H118">
        <v>1620</v>
      </c>
      <c r="I118">
        <v>1</v>
      </c>
      <c r="J118">
        <v>8.5</v>
      </c>
      <c r="K118">
        <v>1</v>
      </c>
      <c r="L118">
        <v>0.27500000000000002</v>
      </c>
      <c r="M118">
        <v>1</v>
      </c>
      <c r="N118">
        <v>112.5</v>
      </c>
      <c r="O118">
        <v>1</v>
      </c>
      <c r="P118">
        <v>0.55000000000000004</v>
      </c>
      <c r="Q118">
        <v>1</v>
      </c>
      <c r="R118">
        <v>2.5000000000000001E-2</v>
      </c>
      <c r="T118" s="8" t="s">
        <v>697</v>
      </c>
    </row>
    <row r="119" spans="1:20" x14ac:dyDescent="0.2">
      <c r="A119" t="s">
        <v>699</v>
      </c>
      <c r="B119" t="s">
        <v>388</v>
      </c>
      <c r="C119" t="s">
        <v>388</v>
      </c>
      <c r="E119" t="s">
        <v>357</v>
      </c>
      <c r="F119" t="s">
        <v>447</v>
      </c>
      <c r="G119">
        <v>1</v>
      </c>
      <c r="H119">
        <v>1620</v>
      </c>
      <c r="I119">
        <v>1</v>
      </c>
      <c r="J119">
        <v>8.5</v>
      </c>
      <c r="K119">
        <v>1</v>
      </c>
      <c r="L119">
        <v>0.27500000000000002</v>
      </c>
      <c r="M119">
        <v>1</v>
      </c>
      <c r="N119">
        <v>112.5</v>
      </c>
      <c r="O119">
        <v>1</v>
      </c>
      <c r="P119">
        <v>0.55000000000000004</v>
      </c>
      <c r="Q119">
        <v>1</v>
      </c>
      <c r="R119">
        <v>2.5000000000000001E-2</v>
      </c>
      <c r="T119" s="8" t="s">
        <v>357</v>
      </c>
    </row>
    <row r="120" spans="1:20" x14ac:dyDescent="0.2">
      <c r="A120" t="s">
        <v>700</v>
      </c>
      <c r="B120" t="s">
        <v>388</v>
      </c>
      <c r="C120" t="s">
        <v>388</v>
      </c>
      <c r="E120" t="s">
        <v>701</v>
      </c>
      <c r="F120" t="s">
        <v>702</v>
      </c>
      <c r="G120">
        <v>3</v>
      </c>
      <c r="H120">
        <v>2040</v>
      </c>
      <c r="I120">
        <v>3</v>
      </c>
      <c r="J120">
        <v>18.5</v>
      </c>
      <c r="K120">
        <v>3</v>
      </c>
      <c r="L120">
        <v>0.77500000000000002</v>
      </c>
      <c r="M120">
        <v>3</v>
      </c>
      <c r="N120">
        <v>302.5</v>
      </c>
      <c r="O120">
        <v>3</v>
      </c>
      <c r="P120">
        <v>1.95</v>
      </c>
      <c r="Q120">
        <v>3</v>
      </c>
      <c r="R120">
        <v>0.10100000000000001</v>
      </c>
      <c r="T120" s="8" t="s">
        <v>701</v>
      </c>
    </row>
    <row r="121" spans="1:20" x14ac:dyDescent="0.2">
      <c r="A121" t="s">
        <v>703</v>
      </c>
      <c r="B121" t="s">
        <v>388</v>
      </c>
      <c r="C121" t="s">
        <v>388</v>
      </c>
      <c r="E121" t="s">
        <v>704</v>
      </c>
      <c r="F121" t="s">
        <v>705</v>
      </c>
      <c r="G121">
        <v>4</v>
      </c>
      <c r="H121">
        <v>2250</v>
      </c>
      <c r="I121">
        <v>4</v>
      </c>
      <c r="J121">
        <v>23.5</v>
      </c>
      <c r="K121">
        <v>4</v>
      </c>
      <c r="L121">
        <v>1.0249999999999999</v>
      </c>
      <c r="M121">
        <v>4</v>
      </c>
      <c r="N121">
        <v>397.5</v>
      </c>
      <c r="O121">
        <v>4</v>
      </c>
      <c r="P121">
        <v>2.65</v>
      </c>
      <c r="Q121">
        <v>3</v>
      </c>
      <c r="R121">
        <v>0.10100000000000001</v>
      </c>
      <c r="T121" s="8" t="s">
        <v>704</v>
      </c>
    </row>
    <row r="122" spans="1:20" x14ac:dyDescent="0.2">
      <c r="A122" t="s">
        <v>706</v>
      </c>
      <c r="B122" t="s">
        <v>388</v>
      </c>
      <c r="C122" t="s">
        <v>388</v>
      </c>
      <c r="E122" t="s">
        <v>707</v>
      </c>
      <c r="F122" t="s">
        <v>708</v>
      </c>
      <c r="G122">
        <v>1</v>
      </c>
      <c r="H122">
        <v>1620</v>
      </c>
      <c r="I122">
        <v>3</v>
      </c>
      <c r="J122">
        <v>18.5</v>
      </c>
      <c r="K122">
        <v>2</v>
      </c>
      <c r="L122">
        <v>0.52500000000000002</v>
      </c>
      <c r="M122">
        <v>1</v>
      </c>
      <c r="N122">
        <v>112.5</v>
      </c>
      <c r="O122">
        <v>1</v>
      </c>
      <c r="P122">
        <v>0.55000000000000004</v>
      </c>
      <c r="Q122">
        <v>1</v>
      </c>
      <c r="R122">
        <v>2.5000000000000001E-2</v>
      </c>
      <c r="T122" s="8" t="s">
        <v>707</v>
      </c>
    </row>
    <row r="123" spans="1:20" x14ac:dyDescent="0.2">
      <c r="A123" t="s">
        <v>709</v>
      </c>
      <c r="B123" t="s">
        <v>388</v>
      </c>
      <c r="C123" t="s">
        <v>388</v>
      </c>
      <c r="E123" t="s">
        <v>285</v>
      </c>
      <c r="F123" t="s">
        <v>710</v>
      </c>
      <c r="G123">
        <v>4</v>
      </c>
      <c r="H123">
        <v>2250</v>
      </c>
      <c r="I123">
        <v>4</v>
      </c>
      <c r="J123">
        <v>23.5</v>
      </c>
      <c r="K123">
        <v>3</v>
      </c>
      <c r="L123">
        <v>0.77500000000000002</v>
      </c>
      <c r="M123">
        <v>4</v>
      </c>
      <c r="N123">
        <v>397.5</v>
      </c>
      <c r="O123">
        <v>4</v>
      </c>
      <c r="P123">
        <v>2.65</v>
      </c>
      <c r="Q123">
        <v>3</v>
      </c>
      <c r="R123">
        <v>0.10100000000000001</v>
      </c>
      <c r="T123" s="8" t="s">
        <v>285</v>
      </c>
    </row>
    <row r="124" spans="1:20" x14ac:dyDescent="0.2">
      <c r="A124" t="s">
        <v>711</v>
      </c>
      <c r="B124" t="s">
        <v>388</v>
      </c>
      <c r="C124" t="s">
        <v>388</v>
      </c>
      <c r="E124" t="s">
        <v>712</v>
      </c>
      <c r="F124" t="s">
        <v>713</v>
      </c>
      <c r="G124">
        <v>1</v>
      </c>
      <c r="H124">
        <v>1620</v>
      </c>
      <c r="I124">
        <v>1</v>
      </c>
      <c r="J124">
        <v>8.5</v>
      </c>
      <c r="K124">
        <v>1</v>
      </c>
      <c r="L124">
        <v>0.27500000000000002</v>
      </c>
      <c r="M124">
        <v>1</v>
      </c>
      <c r="N124">
        <v>112.5</v>
      </c>
      <c r="O124">
        <v>1</v>
      </c>
      <c r="P124">
        <v>0.55000000000000004</v>
      </c>
      <c r="Q124">
        <v>1</v>
      </c>
      <c r="R124">
        <v>2.5000000000000001E-2</v>
      </c>
      <c r="T124" s="8" t="s">
        <v>712</v>
      </c>
    </row>
    <row r="125" spans="1:20" x14ac:dyDescent="0.2">
      <c r="A125" t="s">
        <v>714</v>
      </c>
      <c r="B125" t="s">
        <v>388</v>
      </c>
      <c r="C125" t="s">
        <v>388</v>
      </c>
      <c r="E125" t="s">
        <v>715</v>
      </c>
      <c r="F125" t="s">
        <v>716</v>
      </c>
      <c r="G125">
        <v>5</v>
      </c>
      <c r="H125">
        <v>2460</v>
      </c>
      <c r="I125">
        <v>4</v>
      </c>
      <c r="J125">
        <v>23.5</v>
      </c>
      <c r="K125">
        <v>5</v>
      </c>
      <c r="L125">
        <v>1.2749999999999999</v>
      </c>
      <c r="M125">
        <v>5</v>
      </c>
      <c r="N125">
        <v>492.5</v>
      </c>
      <c r="O125">
        <v>5</v>
      </c>
      <c r="P125">
        <v>3.35</v>
      </c>
      <c r="Q125">
        <v>5</v>
      </c>
      <c r="R125">
        <v>0.17699999999999999</v>
      </c>
      <c r="T125" s="8" t="s">
        <v>715</v>
      </c>
    </row>
    <row r="126" spans="1:20" x14ac:dyDescent="0.2">
      <c r="A126" t="s">
        <v>717</v>
      </c>
      <c r="B126" t="s">
        <v>388</v>
      </c>
      <c r="C126" t="s">
        <v>388</v>
      </c>
      <c r="E126" t="s">
        <v>718</v>
      </c>
      <c r="F126" t="s">
        <v>719</v>
      </c>
      <c r="G126">
        <v>5</v>
      </c>
      <c r="H126">
        <v>2460</v>
      </c>
      <c r="I126">
        <v>5</v>
      </c>
      <c r="J126">
        <v>28.5</v>
      </c>
      <c r="K126">
        <v>4</v>
      </c>
      <c r="L126">
        <v>1.0249999999999999</v>
      </c>
      <c r="M126">
        <v>5</v>
      </c>
      <c r="N126">
        <v>492.5</v>
      </c>
      <c r="O126">
        <v>5</v>
      </c>
      <c r="P126">
        <v>3.35</v>
      </c>
      <c r="Q126">
        <v>4</v>
      </c>
      <c r="R126">
        <v>0.13900000000000001</v>
      </c>
      <c r="T126" s="8" t="s">
        <v>718</v>
      </c>
    </row>
    <row r="127" spans="1:20" x14ac:dyDescent="0.2">
      <c r="A127" t="s">
        <v>720</v>
      </c>
      <c r="B127" t="s">
        <v>388</v>
      </c>
      <c r="C127" t="s">
        <v>388</v>
      </c>
      <c r="E127" t="s">
        <v>721</v>
      </c>
      <c r="F127" t="s">
        <v>722</v>
      </c>
      <c r="G127">
        <v>2</v>
      </c>
      <c r="H127">
        <v>1830</v>
      </c>
      <c r="I127">
        <v>3</v>
      </c>
      <c r="J127">
        <v>18.5</v>
      </c>
      <c r="K127">
        <v>2</v>
      </c>
      <c r="L127">
        <v>0.52500000000000002</v>
      </c>
      <c r="M127">
        <v>2</v>
      </c>
      <c r="N127">
        <v>207.5</v>
      </c>
      <c r="O127">
        <v>2</v>
      </c>
      <c r="P127">
        <v>1.25</v>
      </c>
      <c r="Q127">
        <v>4</v>
      </c>
      <c r="R127">
        <v>0.13900000000000001</v>
      </c>
      <c r="T127" s="8" t="s">
        <v>721</v>
      </c>
    </row>
    <row r="128" spans="1:20" x14ac:dyDescent="0.2">
      <c r="A128" t="s">
        <v>723</v>
      </c>
      <c r="B128" t="s">
        <v>388</v>
      </c>
      <c r="C128" t="s">
        <v>388</v>
      </c>
      <c r="E128" t="s">
        <v>724</v>
      </c>
      <c r="F128" t="s">
        <v>725</v>
      </c>
      <c r="G128">
        <v>5</v>
      </c>
      <c r="H128">
        <v>2460</v>
      </c>
      <c r="I128">
        <v>5</v>
      </c>
      <c r="J128">
        <v>28.5</v>
      </c>
      <c r="K128">
        <v>5</v>
      </c>
      <c r="L128">
        <v>1.2749999999999999</v>
      </c>
      <c r="M128">
        <v>5</v>
      </c>
      <c r="N128">
        <v>492.5</v>
      </c>
      <c r="O128">
        <v>5</v>
      </c>
      <c r="P128">
        <v>3.35</v>
      </c>
      <c r="Q128">
        <v>4</v>
      </c>
      <c r="R128">
        <v>0.13900000000000001</v>
      </c>
      <c r="T128" s="8" t="s">
        <v>724</v>
      </c>
    </row>
    <row r="129" spans="1:20" x14ac:dyDescent="0.2">
      <c r="A129" t="s">
        <v>726</v>
      </c>
      <c r="B129" t="s">
        <v>388</v>
      </c>
      <c r="C129" t="s">
        <v>388</v>
      </c>
      <c r="E129" t="s">
        <v>727</v>
      </c>
      <c r="F129" t="s">
        <v>728</v>
      </c>
      <c r="G129">
        <v>2</v>
      </c>
      <c r="H129">
        <v>1830</v>
      </c>
      <c r="I129">
        <v>2</v>
      </c>
      <c r="J129">
        <v>13.5</v>
      </c>
      <c r="K129">
        <v>2</v>
      </c>
      <c r="L129">
        <v>0.52500000000000002</v>
      </c>
      <c r="M129">
        <v>2</v>
      </c>
      <c r="N129">
        <v>207.5</v>
      </c>
      <c r="O129">
        <v>2</v>
      </c>
      <c r="P129">
        <v>1.25</v>
      </c>
      <c r="Q129">
        <v>2</v>
      </c>
      <c r="R129">
        <v>6.3E-2</v>
      </c>
      <c r="T129" s="8" t="s">
        <v>727</v>
      </c>
    </row>
    <row r="130" spans="1:20" x14ac:dyDescent="0.2">
      <c r="A130" t="s">
        <v>729</v>
      </c>
      <c r="B130" t="s">
        <v>388</v>
      </c>
      <c r="C130" t="s">
        <v>388</v>
      </c>
      <c r="E130" t="s">
        <v>357</v>
      </c>
      <c r="F130" t="s">
        <v>447</v>
      </c>
      <c r="G130">
        <v>2</v>
      </c>
      <c r="H130">
        <v>1830</v>
      </c>
      <c r="I130">
        <v>2</v>
      </c>
      <c r="J130">
        <v>13.5</v>
      </c>
      <c r="K130">
        <v>2</v>
      </c>
      <c r="L130">
        <v>0.52500000000000002</v>
      </c>
      <c r="M130">
        <v>2</v>
      </c>
      <c r="N130">
        <v>207.5</v>
      </c>
      <c r="O130">
        <v>2</v>
      </c>
      <c r="P130">
        <v>1.25</v>
      </c>
      <c r="Q130">
        <v>2</v>
      </c>
      <c r="R130">
        <v>6.3E-2</v>
      </c>
      <c r="T130" s="8" t="s">
        <v>357</v>
      </c>
    </row>
    <row r="131" spans="1:20" x14ac:dyDescent="0.2">
      <c r="A131" t="s">
        <v>730</v>
      </c>
      <c r="B131" t="s">
        <v>388</v>
      </c>
      <c r="C131" t="s">
        <v>388</v>
      </c>
      <c r="E131" t="s">
        <v>731</v>
      </c>
      <c r="F131" t="s">
        <v>732</v>
      </c>
      <c r="G131">
        <v>1</v>
      </c>
      <c r="H131">
        <v>1620</v>
      </c>
      <c r="I131">
        <v>3</v>
      </c>
      <c r="J131">
        <v>18.5</v>
      </c>
      <c r="K131">
        <v>2</v>
      </c>
      <c r="L131">
        <v>0.52500000000000002</v>
      </c>
      <c r="M131">
        <v>1</v>
      </c>
      <c r="N131">
        <v>112.5</v>
      </c>
      <c r="O131">
        <v>1</v>
      </c>
      <c r="P131">
        <v>0.55000000000000004</v>
      </c>
      <c r="Q131">
        <v>1</v>
      </c>
      <c r="R131">
        <v>2.5000000000000001E-2</v>
      </c>
      <c r="T131" s="8" t="s">
        <v>731</v>
      </c>
    </row>
    <row r="132" spans="1:20" x14ac:dyDescent="0.2">
      <c r="A132" t="s">
        <v>733</v>
      </c>
      <c r="B132" t="s">
        <v>388</v>
      </c>
      <c r="C132" t="s">
        <v>388</v>
      </c>
      <c r="E132" t="s">
        <v>734</v>
      </c>
      <c r="F132" t="s">
        <v>735</v>
      </c>
      <c r="G132">
        <v>2</v>
      </c>
      <c r="H132">
        <v>1830</v>
      </c>
      <c r="I132">
        <v>2</v>
      </c>
      <c r="J132">
        <v>13.5</v>
      </c>
      <c r="K132">
        <v>2</v>
      </c>
      <c r="L132">
        <v>0.52500000000000002</v>
      </c>
      <c r="M132">
        <v>2</v>
      </c>
      <c r="N132">
        <v>207.5</v>
      </c>
      <c r="O132">
        <v>2</v>
      </c>
      <c r="P132">
        <v>1.25</v>
      </c>
      <c r="Q132">
        <v>2</v>
      </c>
      <c r="R132">
        <v>6.3E-2</v>
      </c>
      <c r="T132" s="8" t="s">
        <v>734</v>
      </c>
    </row>
    <row r="133" spans="1:20" x14ac:dyDescent="0.2">
      <c r="A133" t="s">
        <v>736</v>
      </c>
      <c r="B133" t="s">
        <v>388</v>
      </c>
      <c r="C133" t="s">
        <v>388</v>
      </c>
      <c r="E133" t="s">
        <v>737</v>
      </c>
      <c r="F133" t="s">
        <v>738</v>
      </c>
      <c r="G133">
        <v>5</v>
      </c>
      <c r="H133">
        <v>2460</v>
      </c>
      <c r="I133">
        <v>5</v>
      </c>
      <c r="J133">
        <v>28.5</v>
      </c>
      <c r="K133">
        <v>4</v>
      </c>
      <c r="L133">
        <v>1.0249999999999999</v>
      </c>
      <c r="M133">
        <v>4</v>
      </c>
      <c r="N133">
        <v>397.5</v>
      </c>
      <c r="O133">
        <v>5</v>
      </c>
      <c r="P133">
        <v>3.35</v>
      </c>
      <c r="Q133">
        <v>4</v>
      </c>
      <c r="R133">
        <v>0.13900000000000001</v>
      </c>
      <c r="T133" s="8" t="s">
        <v>737</v>
      </c>
    </row>
    <row r="134" spans="1:20" x14ac:dyDescent="0.2">
      <c r="A134" t="s">
        <v>739</v>
      </c>
      <c r="B134" t="s">
        <v>388</v>
      </c>
      <c r="C134" t="s">
        <v>388</v>
      </c>
      <c r="E134" t="s">
        <v>740</v>
      </c>
      <c r="F134" t="s">
        <v>741</v>
      </c>
      <c r="G134">
        <v>5</v>
      </c>
      <c r="H134">
        <v>2460</v>
      </c>
      <c r="I134">
        <v>5</v>
      </c>
      <c r="J134">
        <v>28.5</v>
      </c>
      <c r="K134">
        <v>4</v>
      </c>
      <c r="L134">
        <v>1.0249999999999999</v>
      </c>
      <c r="M134">
        <v>5</v>
      </c>
      <c r="N134">
        <v>492.5</v>
      </c>
      <c r="O134">
        <v>5</v>
      </c>
      <c r="P134">
        <v>3.35</v>
      </c>
      <c r="Q134">
        <v>4</v>
      </c>
      <c r="R134">
        <v>0.13900000000000001</v>
      </c>
      <c r="T134" s="8" t="s">
        <v>740</v>
      </c>
    </row>
    <row r="135" spans="1:20" x14ac:dyDescent="0.2">
      <c r="A135" t="s">
        <v>742</v>
      </c>
      <c r="B135" t="s">
        <v>388</v>
      </c>
      <c r="C135" t="s">
        <v>388</v>
      </c>
      <c r="E135" t="s">
        <v>357</v>
      </c>
      <c r="F135" t="s">
        <v>743</v>
      </c>
      <c r="G135">
        <v>2</v>
      </c>
      <c r="H135">
        <v>1830</v>
      </c>
      <c r="I135">
        <v>3</v>
      </c>
      <c r="J135">
        <v>18.5</v>
      </c>
      <c r="K135">
        <v>3</v>
      </c>
      <c r="L135">
        <v>0.77500000000000002</v>
      </c>
      <c r="M135">
        <v>2</v>
      </c>
      <c r="N135">
        <v>207.5</v>
      </c>
      <c r="O135">
        <v>2</v>
      </c>
      <c r="P135">
        <v>1.25</v>
      </c>
      <c r="Q135">
        <v>2</v>
      </c>
      <c r="R135">
        <v>6.3E-2</v>
      </c>
      <c r="T135" s="8" t="s">
        <v>357</v>
      </c>
    </row>
    <row r="136" spans="1:20" x14ac:dyDescent="0.2">
      <c r="A136" t="s">
        <v>744</v>
      </c>
      <c r="B136" t="s">
        <v>388</v>
      </c>
      <c r="C136" t="s">
        <v>388</v>
      </c>
      <c r="E136" t="s">
        <v>745</v>
      </c>
      <c r="F136" t="s">
        <v>746</v>
      </c>
      <c r="G136">
        <v>4</v>
      </c>
      <c r="H136">
        <v>2250</v>
      </c>
      <c r="I136">
        <v>4</v>
      </c>
      <c r="J136">
        <v>23.5</v>
      </c>
      <c r="K136">
        <v>4</v>
      </c>
      <c r="L136">
        <v>1.0249999999999999</v>
      </c>
      <c r="M136">
        <v>4</v>
      </c>
      <c r="N136">
        <v>397.5</v>
      </c>
      <c r="O136">
        <v>4</v>
      </c>
      <c r="P136">
        <v>2.65</v>
      </c>
      <c r="Q136">
        <v>4</v>
      </c>
      <c r="R136">
        <v>0.13900000000000001</v>
      </c>
      <c r="T136" s="8" t="s">
        <v>745</v>
      </c>
    </row>
    <row r="137" spans="1:20" x14ac:dyDescent="0.2">
      <c r="A137" t="s">
        <v>747</v>
      </c>
      <c r="B137" t="s">
        <v>388</v>
      </c>
      <c r="C137" t="s">
        <v>388</v>
      </c>
      <c r="E137" t="s">
        <v>748</v>
      </c>
      <c r="F137" t="s">
        <v>749</v>
      </c>
      <c r="G137">
        <v>4</v>
      </c>
      <c r="H137">
        <v>2250</v>
      </c>
      <c r="I137">
        <v>4</v>
      </c>
      <c r="J137">
        <v>23.5</v>
      </c>
      <c r="K137">
        <v>4</v>
      </c>
      <c r="L137">
        <v>1.0249999999999999</v>
      </c>
      <c r="M137">
        <v>4</v>
      </c>
      <c r="N137">
        <v>397.5</v>
      </c>
      <c r="O137">
        <v>4</v>
      </c>
      <c r="P137">
        <v>2.65</v>
      </c>
      <c r="Q137">
        <v>4</v>
      </c>
      <c r="R137">
        <v>0.13900000000000001</v>
      </c>
      <c r="T137" s="8" t="s">
        <v>748</v>
      </c>
    </row>
    <row r="138" spans="1:20" x14ac:dyDescent="0.2">
      <c r="A138" t="s">
        <v>750</v>
      </c>
      <c r="B138" t="s">
        <v>388</v>
      </c>
      <c r="C138" t="s">
        <v>388</v>
      </c>
      <c r="E138" t="s">
        <v>751</v>
      </c>
      <c r="F138" t="s">
        <v>752</v>
      </c>
      <c r="G138">
        <v>4</v>
      </c>
      <c r="H138">
        <v>2250</v>
      </c>
      <c r="I138">
        <v>4</v>
      </c>
      <c r="J138">
        <v>23.5</v>
      </c>
      <c r="K138">
        <v>3</v>
      </c>
      <c r="L138">
        <v>0.77500000000000002</v>
      </c>
      <c r="M138">
        <v>4</v>
      </c>
      <c r="N138">
        <v>397.5</v>
      </c>
      <c r="O138">
        <v>4</v>
      </c>
      <c r="P138">
        <v>2.65</v>
      </c>
      <c r="Q138">
        <v>4</v>
      </c>
      <c r="R138">
        <v>0.13900000000000001</v>
      </c>
      <c r="T138" s="8" t="s">
        <v>751</v>
      </c>
    </row>
    <row r="139" spans="1:20" x14ac:dyDescent="0.2">
      <c r="A139" t="s">
        <v>753</v>
      </c>
      <c r="B139" t="s">
        <v>388</v>
      </c>
      <c r="C139" t="s">
        <v>388</v>
      </c>
      <c r="E139" t="s">
        <v>754</v>
      </c>
      <c r="F139" t="s">
        <v>755</v>
      </c>
      <c r="G139">
        <v>4</v>
      </c>
      <c r="H139">
        <v>2250</v>
      </c>
      <c r="I139">
        <v>4</v>
      </c>
      <c r="J139">
        <v>23.5</v>
      </c>
      <c r="K139">
        <v>4</v>
      </c>
      <c r="L139">
        <v>1.0249999999999999</v>
      </c>
      <c r="M139">
        <v>4</v>
      </c>
      <c r="N139">
        <v>397.5</v>
      </c>
      <c r="O139">
        <v>4</v>
      </c>
      <c r="P139">
        <v>2.65</v>
      </c>
      <c r="Q139">
        <v>4</v>
      </c>
      <c r="R139">
        <v>0.13900000000000001</v>
      </c>
      <c r="T139" s="8" t="s">
        <v>754</v>
      </c>
    </row>
    <row r="140" spans="1:20" x14ac:dyDescent="0.2">
      <c r="A140" t="s">
        <v>756</v>
      </c>
      <c r="B140" t="s">
        <v>388</v>
      </c>
      <c r="C140" t="s">
        <v>388</v>
      </c>
      <c r="E140" t="s">
        <v>757</v>
      </c>
      <c r="F140" t="s">
        <v>758</v>
      </c>
      <c r="G140">
        <v>1</v>
      </c>
      <c r="H140">
        <v>1620</v>
      </c>
      <c r="I140">
        <v>4</v>
      </c>
      <c r="J140">
        <v>23.5</v>
      </c>
      <c r="K140">
        <v>3</v>
      </c>
      <c r="L140">
        <v>0.77500000000000002</v>
      </c>
      <c r="M140">
        <v>1</v>
      </c>
      <c r="N140">
        <v>112.5</v>
      </c>
      <c r="O140">
        <v>1</v>
      </c>
      <c r="P140">
        <v>0.55000000000000004</v>
      </c>
      <c r="Q140">
        <v>1</v>
      </c>
      <c r="R140">
        <v>2.5000000000000001E-2</v>
      </c>
      <c r="T140" s="8" t="s">
        <v>757</v>
      </c>
    </row>
    <row r="141" spans="1:20" x14ac:dyDescent="0.2">
      <c r="A141" t="s">
        <v>759</v>
      </c>
      <c r="B141" t="s">
        <v>388</v>
      </c>
      <c r="C141" t="s">
        <v>388</v>
      </c>
      <c r="E141" t="s">
        <v>760</v>
      </c>
      <c r="F141" t="s">
        <v>761</v>
      </c>
      <c r="G141">
        <v>4</v>
      </c>
      <c r="H141">
        <v>2250</v>
      </c>
      <c r="I141">
        <v>4</v>
      </c>
      <c r="J141">
        <v>23.5</v>
      </c>
      <c r="K141">
        <v>4</v>
      </c>
      <c r="L141">
        <v>1.0249999999999999</v>
      </c>
      <c r="M141">
        <v>4</v>
      </c>
      <c r="N141">
        <v>397.5</v>
      </c>
      <c r="O141">
        <v>4</v>
      </c>
      <c r="P141">
        <v>2.65</v>
      </c>
      <c r="Q141">
        <v>5</v>
      </c>
      <c r="R141">
        <v>0.17699999999999999</v>
      </c>
      <c r="T141" s="8" t="s">
        <v>760</v>
      </c>
    </row>
    <row r="142" spans="1:20" x14ac:dyDescent="0.2">
      <c r="A142" t="s">
        <v>762</v>
      </c>
      <c r="B142" t="s">
        <v>388</v>
      </c>
      <c r="C142" t="s">
        <v>388</v>
      </c>
      <c r="E142" t="s">
        <v>763</v>
      </c>
      <c r="F142" t="s">
        <v>764</v>
      </c>
      <c r="G142">
        <v>3</v>
      </c>
      <c r="H142">
        <v>2040</v>
      </c>
      <c r="I142">
        <v>3</v>
      </c>
      <c r="J142">
        <v>18.5</v>
      </c>
      <c r="K142">
        <v>3</v>
      </c>
      <c r="L142">
        <v>0.77500000000000002</v>
      </c>
      <c r="M142">
        <v>3</v>
      </c>
      <c r="N142">
        <v>302.5</v>
      </c>
      <c r="O142">
        <v>3</v>
      </c>
      <c r="P142">
        <v>1.95</v>
      </c>
      <c r="Q142">
        <v>3</v>
      </c>
      <c r="R142">
        <v>0.10100000000000001</v>
      </c>
      <c r="T142" s="8" t="s">
        <v>763</v>
      </c>
    </row>
    <row r="143" spans="1:20" x14ac:dyDescent="0.2">
      <c r="A143" t="s">
        <v>765</v>
      </c>
      <c r="B143" t="s">
        <v>388</v>
      </c>
      <c r="C143" t="s">
        <v>388</v>
      </c>
      <c r="E143" t="s">
        <v>240</v>
      </c>
      <c r="F143" t="s">
        <v>766</v>
      </c>
      <c r="G143">
        <v>4</v>
      </c>
      <c r="H143">
        <v>2250</v>
      </c>
      <c r="I143">
        <v>3</v>
      </c>
      <c r="J143">
        <v>18.5</v>
      </c>
      <c r="K143">
        <v>3</v>
      </c>
      <c r="L143">
        <v>0.77500000000000002</v>
      </c>
      <c r="M143">
        <v>4</v>
      </c>
      <c r="N143">
        <v>397.5</v>
      </c>
      <c r="O143">
        <v>4</v>
      </c>
      <c r="P143">
        <v>2.65</v>
      </c>
      <c r="Q143">
        <v>3</v>
      </c>
      <c r="R143">
        <v>0.10100000000000001</v>
      </c>
      <c r="T143" s="8" t="s">
        <v>240</v>
      </c>
    </row>
    <row r="144" spans="1:20" x14ac:dyDescent="0.2">
      <c r="A144" t="s">
        <v>767</v>
      </c>
      <c r="B144" t="s">
        <v>388</v>
      </c>
      <c r="C144" t="s">
        <v>388</v>
      </c>
      <c r="E144" t="s">
        <v>768</v>
      </c>
      <c r="F144" t="s">
        <v>769</v>
      </c>
      <c r="G144">
        <v>1</v>
      </c>
      <c r="H144">
        <v>1620</v>
      </c>
      <c r="I144">
        <v>1</v>
      </c>
      <c r="J144">
        <v>8.5</v>
      </c>
      <c r="K144">
        <v>2</v>
      </c>
      <c r="L144">
        <v>0.52500000000000002</v>
      </c>
      <c r="M144">
        <v>1</v>
      </c>
      <c r="N144">
        <v>112.5</v>
      </c>
      <c r="O144">
        <v>1</v>
      </c>
      <c r="P144">
        <v>0.55000000000000004</v>
      </c>
      <c r="Q144">
        <v>1</v>
      </c>
      <c r="R144">
        <v>2.5000000000000001E-2</v>
      </c>
      <c r="T144" s="8" t="s">
        <v>768</v>
      </c>
    </row>
    <row r="145" spans="1:20" x14ac:dyDescent="0.2">
      <c r="A145" t="s">
        <v>770</v>
      </c>
      <c r="B145" t="s">
        <v>388</v>
      </c>
      <c r="C145" t="s">
        <v>388</v>
      </c>
      <c r="E145" t="s">
        <v>771</v>
      </c>
      <c r="F145" t="s">
        <v>772</v>
      </c>
      <c r="G145">
        <v>1</v>
      </c>
      <c r="H145">
        <v>1620</v>
      </c>
      <c r="I145">
        <v>1</v>
      </c>
      <c r="J145">
        <v>8.5</v>
      </c>
      <c r="K145">
        <v>1</v>
      </c>
      <c r="L145">
        <v>0.27500000000000002</v>
      </c>
      <c r="M145">
        <v>1</v>
      </c>
      <c r="N145">
        <v>112.5</v>
      </c>
      <c r="O145">
        <v>1</v>
      </c>
      <c r="P145">
        <v>0.55000000000000004</v>
      </c>
      <c r="Q145">
        <v>2</v>
      </c>
      <c r="R145">
        <v>6.3E-2</v>
      </c>
      <c r="T145" s="8" t="s">
        <v>771</v>
      </c>
    </row>
    <row r="146" spans="1:20" x14ac:dyDescent="0.2">
      <c r="A146" t="s">
        <v>773</v>
      </c>
      <c r="B146" t="s">
        <v>388</v>
      </c>
      <c r="C146" t="s">
        <v>388</v>
      </c>
      <c r="E146" t="s">
        <v>774</v>
      </c>
      <c r="F146" t="s">
        <v>775</v>
      </c>
      <c r="G146">
        <v>3</v>
      </c>
      <c r="H146">
        <v>2040</v>
      </c>
      <c r="I146">
        <v>3</v>
      </c>
      <c r="J146">
        <v>18.5</v>
      </c>
      <c r="K146">
        <v>3</v>
      </c>
      <c r="L146">
        <v>0.77500000000000002</v>
      </c>
      <c r="M146">
        <v>3</v>
      </c>
      <c r="N146">
        <v>302.5</v>
      </c>
      <c r="O146">
        <v>3</v>
      </c>
      <c r="P146">
        <v>1.95</v>
      </c>
      <c r="Q146">
        <v>4</v>
      </c>
      <c r="R146">
        <v>0.13900000000000001</v>
      </c>
      <c r="T146" s="8" t="s">
        <v>774</v>
      </c>
    </row>
    <row r="147" spans="1:20" x14ac:dyDescent="0.2">
      <c r="A147" t="s">
        <v>776</v>
      </c>
      <c r="B147" t="s">
        <v>388</v>
      </c>
      <c r="C147" t="s">
        <v>388</v>
      </c>
      <c r="E147" t="s">
        <v>777</v>
      </c>
      <c r="F147" t="s">
        <v>778</v>
      </c>
      <c r="G147">
        <v>4</v>
      </c>
      <c r="H147">
        <v>2250</v>
      </c>
      <c r="I147">
        <v>3</v>
      </c>
      <c r="J147">
        <v>18.5</v>
      </c>
      <c r="K147">
        <v>3</v>
      </c>
      <c r="L147">
        <v>0.77500000000000002</v>
      </c>
      <c r="M147">
        <v>4</v>
      </c>
      <c r="N147">
        <v>397.5</v>
      </c>
      <c r="O147">
        <v>4</v>
      </c>
      <c r="P147">
        <v>2.65</v>
      </c>
      <c r="Q147">
        <v>5</v>
      </c>
      <c r="R147">
        <v>0.17699999999999999</v>
      </c>
      <c r="T147" s="8" t="s">
        <v>777</v>
      </c>
    </row>
    <row r="148" spans="1:20" x14ac:dyDescent="0.2">
      <c r="A148" t="s">
        <v>779</v>
      </c>
      <c r="B148" t="s">
        <v>388</v>
      </c>
      <c r="C148" t="s">
        <v>388</v>
      </c>
      <c r="E148" t="s">
        <v>780</v>
      </c>
      <c r="F148" t="s">
        <v>781</v>
      </c>
      <c r="G148">
        <v>1</v>
      </c>
      <c r="H148">
        <v>1620</v>
      </c>
      <c r="I148">
        <v>1</v>
      </c>
      <c r="J148">
        <v>8.5</v>
      </c>
      <c r="K148">
        <v>1</v>
      </c>
      <c r="L148">
        <v>0.27500000000000002</v>
      </c>
      <c r="M148">
        <v>1</v>
      </c>
      <c r="N148">
        <v>112.5</v>
      </c>
      <c r="O148">
        <v>1</v>
      </c>
      <c r="P148">
        <v>0.55000000000000004</v>
      </c>
      <c r="Q148">
        <v>1</v>
      </c>
      <c r="R148">
        <v>2.5000000000000001E-2</v>
      </c>
      <c r="T148" s="8" t="s">
        <v>780</v>
      </c>
    </row>
    <row r="149" spans="1:20" x14ac:dyDescent="0.2">
      <c r="A149" t="s">
        <v>782</v>
      </c>
      <c r="B149" t="s">
        <v>388</v>
      </c>
      <c r="C149" t="s">
        <v>388</v>
      </c>
      <c r="E149" t="s">
        <v>783</v>
      </c>
      <c r="F149" t="s">
        <v>784</v>
      </c>
      <c r="G149">
        <v>1</v>
      </c>
      <c r="H149">
        <v>1620</v>
      </c>
      <c r="I149">
        <v>1</v>
      </c>
      <c r="J149">
        <v>8.5</v>
      </c>
      <c r="K149">
        <v>1</v>
      </c>
      <c r="L149">
        <v>0.27500000000000002</v>
      </c>
      <c r="M149">
        <v>1</v>
      </c>
      <c r="N149">
        <v>112.5</v>
      </c>
      <c r="O149">
        <v>1</v>
      </c>
      <c r="P149">
        <v>0.55000000000000004</v>
      </c>
      <c r="Q149">
        <v>1</v>
      </c>
      <c r="R149">
        <v>2.5000000000000001E-2</v>
      </c>
      <c r="T149" s="8" t="s">
        <v>783</v>
      </c>
    </row>
    <row r="150" spans="1:20" x14ac:dyDescent="0.2">
      <c r="A150" t="s">
        <v>785</v>
      </c>
      <c r="B150" t="s">
        <v>388</v>
      </c>
      <c r="C150" t="s">
        <v>388</v>
      </c>
      <c r="E150" t="s">
        <v>786</v>
      </c>
      <c r="F150" t="s">
        <v>787</v>
      </c>
      <c r="G150">
        <v>5</v>
      </c>
      <c r="H150">
        <v>2460</v>
      </c>
      <c r="I150">
        <v>5</v>
      </c>
      <c r="J150">
        <v>28.5</v>
      </c>
      <c r="K150">
        <v>5</v>
      </c>
      <c r="L150">
        <v>1.2749999999999999</v>
      </c>
      <c r="M150">
        <v>5</v>
      </c>
      <c r="N150">
        <v>492.5</v>
      </c>
      <c r="O150">
        <v>5</v>
      </c>
      <c r="P150">
        <v>3.35</v>
      </c>
      <c r="Q150">
        <v>5</v>
      </c>
      <c r="R150">
        <v>0.17699999999999999</v>
      </c>
      <c r="T150" s="8" t="s">
        <v>786</v>
      </c>
    </row>
    <row r="151" spans="1:20" x14ac:dyDescent="0.2">
      <c r="A151" t="s">
        <v>788</v>
      </c>
      <c r="B151" t="s">
        <v>388</v>
      </c>
      <c r="C151" t="s">
        <v>388</v>
      </c>
      <c r="E151" t="s">
        <v>789</v>
      </c>
      <c r="F151" t="s">
        <v>790</v>
      </c>
      <c r="G151">
        <v>5</v>
      </c>
      <c r="H151">
        <v>2460</v>
      </c>
      <c r="I151">
        <v>3</v>
      </c>
      <c r="J151">
        <v>18.5</v>
      </c>
      <c r="K151">
        <v>4</v>
      </c>
      <c r="L151">
        <v>1.0249999999999999</v>
      </c>
      <c r="M151">
        <v>2</v>
      </c>
      <c r="N151">
        <v>207.5</v>
      </c>
      <c r="O151">
        <v>2</v>
      </c>
      <c r="P151">
        <v>1.25</v>
      </c>
      <c r="Q151">
        <v>2</v>
      </c>
      <c r="R151">
        <v>6.3E-2</v>
      </c>
      <c r="T151" s="8" t="s">
        <v>789</v>
      </c>
    </row>
    <row r="152" spans="1:20" x14ac:dyDescent="0.2">
      <c r="A152" t="s">
        <v>791</v>
      </c>
      <c r="B152" t="s">
        <v>388</v>
      </c>
      <c r="C152" t="s">
        <v>388</v>
      </c>
      <c r="E152" t="s">
        <v>792</v>
      </c>
      <c r="F152" t="s">
        <v>793</v>
      </c>
      <c r="G152">
        <v>5</v>
      </c>
      <c r="H152">
        <v>2460</v>
      </c>
      <c r="I152">
        <v>5</v>
      </c>
      <c r="J152">
        <v>28.5</v>
      </c>
      <c r="K152">
        <v>5</v>
      </c>
      <c r="L152">
        <v>1.2749999999999999</v>
      </c>
      <c r="M152">
        <v>5</v>
      </c>
      <c r="N152">
        <v>492.5</v>
      </c>
      <c r="O152">
        <v>5</v>
      </c>
      <c r="P152">
        <v>3.35</v>
      </c>
      <c r="Q152">
        <v>4</v>
      </c>
      <c r="R152">
        <v>0.13900000000000001</v>
      </c>
      <c r="T152" s="8" t="s">
        <v>792</v>
      </c>
    </row>
    <row r="153" spans="1:20" x14ac:dyDescent="0.2">
      <c r="A153" t="s">
        <v>794</v>
      </c>
      <c r="B153" t="s">
        <v>388</v>
      </c>
      <c r="C153" t="s">
        <v>388</v>
      </c>
      <c r="E153" t="s">
        <v>248</v>
      </c>
      <c r="F153" t="s">
        <v>795</v>
      </c>
      <c r="G153">
        <v>3</v>
      </c>
      <c r="H153">
        <v>2040</v>
      </c>
      <c r="I153">
        <v>2</v>
      </c>
      <c r="J153">
        <v>13.5</v>
      </c>
      <c r="K153">
        <v>2</v>
      </c>
      <c r="L153">
        <v>0.52500000000000002</v>
      </c>
      <c r="M153">
        <v>2</v>
      </c>
      <c r="N153">
        <v>207.5</v>
      </c>
      <c r="O153">
        <v>2</v>
      </c>
      <c r="P153">
        <v>1.25</v>
      </c>
      <c r="Q153">
        <v>2</v>
      </c>
      <c r="R153">
        <v>6.3E-2</v>
      </c>
      <c r="T153" s="8" t="s">
        <v>248</v>
      </c>
    </row>
    <row r="154" spans="1:20" x14ac:dyDescent="0.2">
      <c r="A154" t="s">
        <v>796</v>
      </c>
      <c r="B154" t="s">
        <v>388</v>
      </c>
      <c r="C154" t="s">
        <v>388</v>
      </c>
      <c r="E154" t="s">
        <v>797</v>
      </c>
      <c r="F154" t="s">
        <v>798</v>
      </c>
      <c r="G154">
        <v>4</v>
      </c>
      <c r="H154">
        <v>2250</v>
      </c>
      <c r="I154">
        <v>4</v>
      </c>
      <c r="J154">
        <v>23.5</v>
      </c>
      <c r="K154">
        <v>4</v>
      </c>
      <c r="L154">
        <v>1.0249999999999999</v>
      </c>
      <c r="M154">
        <v>4</v>
      </c>
      <c r="N154">
        <v>397.5</v>
      </c>
      <c r="O154">
        <v>4</v>
      </c>
      <c r="P154">
        <v>2.65</v>
      </c>
      <c r="Q154">
        <v>4</v>
      </c>
      <c r="R154">
        <v>0.13900000000000001</v>
      </c>
      <c r="T154" s="8" t="s">
        <v>797</v>
      </c>
    </row>
    <row r="155" spans="1:20" x14ac:dyDescent="0.2">
      <c r="A155" t="s">
        <v>799</v>
      </c>
      <c r="B155" t="s">
        <v>388</v>
      </c>
      <c r="C155" t="s">
        <v>388</v>
      </c>
      <c r="E155" t="s">
        <v>800</v>
      </c>
      <c r="F155" t="s">
        <v>801</v>
      </c>
      <c r="G155">
        <v>2</v>
      </c>
      <c r="H155">
        <v>1830</v>
      </c>
      <c r="I155">
        <v>2</v>
      </c>
      <c r="J155">
        <v>13.5</v>
      </c>
      <c r="K155">
        <v>2</v>
      </c>
      <c r="L155">
        <v>0.52500000000000002</v>
      </c>
      <c r="M155">
        <v>2</v>
      </c>
      <c r="N155">
        <v>207.5</v>
      </c>
      <c r="O155">
        <v>2</v>
      </c>
      <c r="P155">
        <v>1.25</v>
      </c>
      <c r="Q155">
        <v>2</v>
      </c>
      <c r="R155">
        <v>6.3E-2</v>
      </c>
      <c r="T155" s="8" t="s">
        <v>800</v>
      </c>
    </row>
    <row r="156" spans="1:20" x14ac:dyDescent="0.2">
      <c r="A156" t="s">
        <v>802</v>
      </c>
      <c r="B156" t="s">
        <v>388</v>
      </c>
      <c r="C156" t="s">
        <v>388</v>
      </c>
      <c r="E156" t="s">
        <v>803</v>
      </c>
      <c r="F156" t="s">
        <v>447</v>
      </c>
      <c r="G156">
        <v>2</v>
      </c>
      <c r="H156">
        <v>1830</v>
      </c>
      <c r="I156">
        <v>1</v>
      </c>
      <c r="J156">
        <v>8.5</v>
      </c>
      <c r="K156">
        <v>1</v>
      </c>
      <c r="L156">
        <v>0.27500000000000002</v>
      </c>
      <c r="M156">
        <v>2</v>
      </c>
      <c r="N156">
        <v>207.5</v>
      </c>
      <c r="O156">
        <v>2</v>
      </c>
      <c r="P156">
        <v>1.25</v>
      </c>
      <c r="Q156">
        <v>2</v>
      </c>
      <c r="R156">
        <v>6.3E-2</v>
      </c>
      <c r="T156" s="8" t="s">
        <v>803</v>
      </c>
    </row>
    <row r="157" spans="1:20" x14ac:dyDescent="0.2">
      <c r="A157" t="s">
        <v>804</v>
      </c>
      <c r="B157" t="s">
        <v>388</v>
      </c>
      <c r="C157" t="s">
        <v>388</v>
      </c>
      <c r="E157" t="s">
        <v>805</v>
      </c>
      <c r="F157" t="s">
        <v>806</v>
      </c>
      <c r="G157">
        <v>5</v>
      </c>
      <c r="H157">
        <v>2460</v>
      </c>
      <c r="I157">
        <v>5</v>
      </c>
      <c r="J157">
        <v>28.5</v>
      </c>
      <c r="K157">
        <v>5</v>
      </c>
      <c r="L157">
        <v>1.2749999999999999</v>
      </c>
      <c r="M157">
        <v>5</v>
      </c>
      <c r="N157">
        <v>492.5</v>
      </c>
      <c r="O157">
        <v>5</v>
      </c>
      <c r="P157">
        <v>3.35</v>
      </c>
      <c r="Q157">
        <v>5</v>
      </c>
      <c r="R157">
        <v>0.17699999999999999</v>
      </c>
      <c r="T157" s="8" t="s">
        <v>805</v>
      </c>
    </row>
    <row r="158" spans="1:20" x14ac:dyDescent="0.2">
      <c r="A158" t="s">
        <v>807</v>
      </c>
      <c r="B158" t="s">
        <v>388</v>
      </c>
      <c r="C158" t="s">
        <v>388</v>
      </c>
      <c r="E158" t="s">
        <v>808</v>
      </c>
      <c r="F158" t="s">
        <v>809</v>
      </c>
      <c r="G158">
        <v>4</v>
      </c>
      <c r="H158">
        <v>2250</v>
      </c>
      <c r="I158">
        <v>4</v>
      </c>
      <c r="J158">
        <v>23.5</v>
      </c>
      <c r="K158">
        <v>5</v>
      </c>
      <c r="L158">
        <v>1.2749999999999999</v>
      </c>
      <c r="M158">
        <v>5</v>
      </c>
      <c r="N158">
        <v>492.5</v>
      </c>
      <c r="O158">
        <v>5</v>
      </c>
      <c r="P158">
        <v>3.35</v>
      </c>
      <c r="Q158">
        <v>5</v>
      </c>
      <c r="R158">
        <v>0.17699999999999999</v>
      </c>
      <c r="T158" s="8" t="s">
        <v>808</v>
      </c>
    </row>
    <row r="159" spans="1:20" x14ac:dyDescent="0.2">
      <c r="A159" t="s">
        <v>810</v>
      </c>
      <c r="B159" t="s">
        <v>388</v>
      </c>
      <c r="C159" t="s">
        <v>388</v>
      </c>
      <c r="E159" t="s">
        <v>811</v>
      </c>
      <c r="F159" t="s">
        <v>812</v>
      </c>
      <c r="G159">
        <v>4</v>
      </c>
      <c r="H159">
        <v>2250</v>
      </c>
      <c r="I159">
        <v>4</v>
      </c>
      <c r="J159">
        <v>23.5</v>
      </c>
      <c r="K159">
        <v>4</v>
      </c>
      <c r="L159">
        <v>1.0249999999999999</v>
      </c>
      <c r="M159">
        <v>4</v>
      </c>
      <c r="N159">
        <v>397.5</v>
      </c>
      <c r="O159">
        <v>4</v>
      </c>
      <c r="P159">
        <v>2.65</v>
      </c>
      <c r="Q159">
        <v>4</v>
      </c>
      <c r="R159">
        <v>0.13900000000000001</v>
      </c>
      <c r="T159" s="8" t="s">
        <v>811</v>
      </c>
    </row>
    <row r="160" spans="1:20" x14ac:dyDescent="0.2">
      <c r="A160" t="s">
        <v>813</v>
      </c>
      <c r="B160" t="s">
        <v>388</v>
      </c>
      <c r="C160" t="s">
        <v>388</v>
      </c>
      <c r="E160" t="s">
        <v>814</v>
      </c>
      <c r="F160" t="s">
        <v>815</v>
      </c>
      <c r="G160">
        <v>3</v>
      </c>
      <c r="H160">
        <v>2040</v>
      </c>
      <c r="I160">
        <v>3</v>
      </c>
      <c r="J160">
        <v>18.5</v>
      </c>
      <c r="K160">
        <v>3</v>
      </c>
      <c r="L160">
        <v>0.77500000000000002</v>
      </c>
      <c r="M160">
        <v>3</v>
      </c>
      <c r="N160">
        <v>302.5</v>
      </c>
      <c r="O160">
        <v>3</v>
      </c>
      <c r="P160">
        <v>1.95</v>
      </c>
      <c r="Q160">
        <v>3</v>
      </c>
      <c r="R160">
        <v>0.10100000000000001</v>
      </c>
      <c r="T160" s="8" t="s">
        <v>814</v>
      </c>
    </row>
    <row r="161" spans="1:20" x14ac:dyDescent="0.2">
      <c r="A161" t="s">
        <v>816</v>
      </c>
      <c r="B161" t="s">
        <v>388</v>
      </c>
      <c r="C161" t="s">
        <v>388</v>
      </c>
      <c r="E161" t="s">
        <v>817</v>
      </c>
      <c r="F161" t="s">
        <v>818</v>
      </c>
      <c r="G161">
        <v>4</v>
      </c>
      <c r="H161">
        <v>2250</v>
      </c>
      <c r="I161">
        <v>4</v>
      </c>
      <c r="J161">
        <v>23.5</v>
      </c>
      <c r="K161">
        <v>4</v>
      </c>
      <c r="L161">
        <v>1.0249999999999999</v>
      </c>
      <c r="M161">
        <v>4</v>
      </c>
      <c r="N161">
        <v>397.5</v>
      </c>
      <c r="O161">
        <v>4</v>
      </c>
      <c r="P161">
        <v>2.65</v>
      </c>
      <c r="Q161">
        <v>4</v>
      </c>
      <c r="R161">
        <v>0.13900000000000001</v>
      </c>
      <c r="T161" s="8" t="s">
        <v>817</v>
      </c>
    </row>
    <row r="162" spans="1:20" x14ac:dyDescent="0.2">
      <c r="A162" t="s">
        <v>819</v>
      </c>
      <c r="B162" t="s">
        <v>388</v>
      </c>
      <c r="C162" t="s">
        <v>388</v>
      </c>
      <c r="E162" t="s">
        <v>205</v>
      </c>
      <c r="F162" t="s">
        <v>820</v>
      </c>
      <c r="G162">
        <v>1</v>
      </c>
      <c r="H162">
        <v>1620</v>
      </c>
      <c r="I162">
        <v>1</v>
      </c>
      <c r="J162">
        <v>8.5</v>
      </c>
      <c r="K162">
        <v>1</v>
      </c>
      <c r="L162">
        <v>0.27500000000000002</v>
      </c>
      <c r="M162">
        <v>1</v>
      </c>
      <c r="N162">
        <v>112.5</v>
      </c>
      <c r="O162">
        <v>1</v>
      </c>
      <c r="P162">
        <v>0.55000000000000004</v>
      </c>
      <c r="Q162">
        <v>1</v>
      </c>
      <c r="R162">
        <v>2.5000000000000001E-2</v>
      </c>
      <c r="T162" s="8" t="s">
        <v>205</v>
      </c>
    </row>
    <row r="163" spans="1:20" x14ac:dyDescent="0.2">
      <c r="A163" t="s">
        <v>821</v>
      </c>
      <c r="B163" t="s">
        <v>388</v>
      </c>
      <c r="C163" t="s">
        <v>388</v>
      </c>
      <c r="E163" t="s">
        <v>822</v>
      </c>
      <c r="F163" t="s">
        <v>447</v>
      </c>
      <c r="G163">
        <v>4</v>
      </c>
      <c r="H163">
        <v>2250</v>
      </c>
      <c r="I163">
        <v>3</v>
      </c>
      <c r="J163">
        <v>18.5</v>
      </c>
      <c r="K163">
        <v>3</v>
      </c>
      <c r="L163">
        <v>0.77500000000000002</v>
      </c>
      <c r="M163">
        <v>4</v>
      </c>
      <c r="N163">
        <v>397.5</v>
      </c>
      <c r="O163">
        <v>5</v>
      </c>
      <c r="P163">
        <v>3.35</v>
      </c>
      <c r="Q163">
        <v>5</v>
      </c>
      <c r="R163">
        <v>0.17699999999999999</v>
      </c>
      <c r="T163" s="8" t="s">
        <v>822</v>
      </c>
    </row>
    <row r="164" spans="1:20" x14ac:dyDescent="0.2">
      <c r="A164" t="s">
        <v>823</v>
      </c>
      <c r="B164" t="s">
        <v>388</v>
      </c>
      <c r="C164" t="s">
        <v>388</v>
      </c>
      <c r="E164" t="s">
        <v>824</v>
      </c>
      <c r="F164" t="s">
        <v>825</v>
      </c>
      <c r="G164">
        <v>5</v>
      </c>
      <c r="H164">
        <v>2460</v>
      </c>
      <c r="I164">
        <v>5</v>
      </c>
      <c r="J164">
        <v>28.5</v>
      </c>
      <c r="K164">
        <v>5</v>
      </c>
      <c r="L164">
        <v>1.2749999999999999</v>
      </c>
      <c r="M164">
        <v>5</v>
      </c>
      <c r="N164">
        <v>492.5</v>
      </c>
      <c r="O164">
        <v>5</v>
      </c>
      <c r="P164">
        <v>3.35</v>
      </c>
      <c r="Q164">
        <v>5</v>
      </c>
      <c r="R164">
        <v>0.17699999999999999</v>
      </c>
      <c r="T164" s="8" t="s">
        <v>824</v>
      </c>
    </row>
    <row r="165" spans="1:20" x14ac:dyDescent="0.2">
      <c r="A165" t="s">
        <v>826</v>
      </c>
      <c r="B165" t="s">
        <v>388</v>
      </c>
      <c r="C165" t="s">
        <v>388</v>
      </c>
      <c r="E165" t="s">
        <v>827</v>
      </c>
      <c r="F165" t="s">
        <v>828</v>
      </c>
      <c r="G165">
        <v>2</v>
      </c>
      <c r="H165">
        <v>1830</v>
      </c>
      <c r="I165">
        <v>2</v>
      </c>
      <c r="J165">
        <v>13.5</v>
      </c>
      <c r="K165">
        <v>2</v>
      </c>
      <c r="L165">
        <v>0.52500000000000002</v>
      </c>
      <c r="M165">
        <v>1</v>
      </c>
      <c r="N165">
        <v>112.5</v>
      </c>
      <c r="O165">
        <v>1</v>
      </c>
      <c r="P165">
        <v>0.55000000000000004</v>
      </c>
      <c r="Q165">
        <v>1</v>
      </c>
      <c r="R165">
        <v>2.5000000000000001E-2</v>
      </c>
      <c r="T165" s="8" t="s">
        <v>827</v>
      </c>
    </row>
    <row r="166" spans="1:20" x14ac:dyDescent="0.2">
      <c r="A166" t="s">
        <v>829</v>
      </c>
      <c r="B166" t="s">
        <v>388</v>
      </c>
      <c r="C166" t="s">
        <v>388</v>
      </c>
      <c r="E166" t="s">
        <v>830</v>
      </c>
      <c r="F166" t="s">
        <v>831</v>
      </c>
      <c r="G166">
        <v>1</v>
      </c>
      <c r="H166">
        <v>1620</v>
      </c>
      <c r="I166">
        <v>1</v>
      </c>
      <c r="J166">
        <v>8.5</v>
      </c>
      <c r="K166">
        <v>1</v>
      </c>
      <c r="L166">
        <v>0.27500000000000002</v>
      </c>
      <c r="M166">
        <v>1</v>
      </c>
      <c r="N166">
        <v>112.5</v>
      </c>
      <c r="O166">
        <v>1</v>
      </c>
      <c r="P166">
        <v>0.55000000000000004</v>
      </c>
      <c r="Q166">
        <v>1</v>
      </c>
      <c r="R166">
        <v>2.5000000000000001E-2</v>
      </c>
      <c r="T166" s="8" t="s">
        <v>830</v>
      </c>
    </row>
    <row r="167" spans="1:20" x14ac:dyDescent="0.2">
      <c r="A167" t="s">
        <v>832</v>
      </c>
      <c r="B167" t="s">
        <v>388</v>
      </c>
      <c r="C167" t="s">
        <v>388</v>
      </c>
      <c r="E167" t="s">
        <v>833</v>
      </c>
      <c r="F167" t="s">
        <v>834</v>
      </c>
      <c r="G167">
        <v>4</v>
      </c>
      <c r="H167">
        <v>2250</v>
      </c>
      <c r="I167">
        <v>4</v>
      </c>
      <c r="J167">
        <v>23.5</v>
      </c>
      <c r="K167">
        <v>4</v>
      </c>
      <c r="L167">
        <v>1.0249999999999999</v>
      </c>
      <c r="M167">
        <v>4</v>
      </c>
      <c r="N167">
        <v>397.5</v>
      </c>
      <c r="O167">
        <v>4</v>
      </c>
      <c r="P167">
        <v>2.65</v>
      </c>
      <c r="Q167">
        <v>4</v>
      </c>
      <c r="R167">
        <v>0.13900000000000001</v>
      </c>
      <c r="T167" s="8" t="s">
        <v>833</v>
      </c>
    </row>
    <row r="168" spans="1:20" x14ac:dyDescent="0.2">
      <c r="A168" t="s">
        <v>835</v>
      </c>
      <c r="B168" t="s">
        <v>388</v>
      </c>
      <c r="C168" t="s">
        <v>388</v>
      </c>
      <c r="E168" t="s">
        <v>836</v>
      </c>
      <c r="F168" t="s">
        <v>837</v>
      </c>
      <c r="G168">
        <v>2</v>
      </c>
      <c r="H168">
        <v>1830</v>
      </c>
      <c r="I168">
        <v>3</v>
      </c>
      <c r="J168">
        <v>18.5</v>
      </c>
      <c r="K168">
        <v>3</v>
      </c>
      <c r="L168">
        <v>0.77500000000000002</v>
      </c>
      <c r="M168">
        <v>3</v>
      </c>
      <c r="N168">
        <v>302.5</v>
      </c>
      <c r="O168">
        <v>3</v>
      </c>
      <c r="P168">
        <v>1.95</v>
      </c>
      <c r="Q168">
        <v>3</v>
      </c>
      <c r="R168">
        <v>0.10100000000000001</v>
      </c>
      <c r="T168" s="8" t="s">
        <v>836</v>
      </c>
    </row>
    <row r="169" spans="1:20" x14ac:dyDescent="0.2">
      <c r="A169" t="s">
        <v>838</v>
      </c>
      <c r="B169" t="s">
        <v>388</v>
      </c>
      <c r="C169" t="s">
        <v>388</v>
      </c>
      <c r="E169" t="s">
        <v>839</v>
      </c>
      <c r="F169" t="s">
        <v>840</v>
      </c>
      <c r="G169">
        <v>2</v>
      </c>
      <c r="H169">
        <v>1830</v>
      </c>
      <c r="I169">
        <v>1</v>
      </c>
      <c r="J169">
        <v>8.5</v>
      </c>
      <c r="K169">
        <v>1</v>
      </c>
      <c r="L169">
        <v>0.27500000000000002</v>
      </c>
      <c r="M169">
        <v>2</v>
      </c>
      <c r="N169">
        <v>207.5</v>
      </c>
      <c r="O169">
        <v>1</v>
      </c>
      <c r="P169">
        <v>0.55000000000000004</v>
      </c>
      <c r="Q169">
        <v>1</v>
      </c>
      <c r="R169">
        <v>2.5000000000000001E-2</v>
      </c>
      <c r="T169" s="8" t="s">
        <v>839</v>
      </c>
    </row>
    <row r="170" spans="1:20" x14ac:dyDescent="0.2">
      <c r="A170" t="s">
        <v>841</v>
      </c>
      <c r="B170" t="s">
        <v>388</v>
      </c>
      <c r="C170" t="s">
        <v>388</v>
      </c>
      <c r="E170" t="s">
        <v>842</v>
      </c>
      <c r="F170" t="s">
        <v>843</v>
      </c>
      <c r="G170">
        <v>4</v>
      </c>
      <c r="H170">
        <v>2250</v>
      </c>
      <c r="I170">
        <v>3</v>
      </c>
      <c r="J170">
        <v>18.5</v>
      </c>
      <c r="K170">
        <v>3</v>
      </c>
      <c r="L170">
        <v>0.77500000000000002</v>
      </c>
      <c r="M170">
        <v>4</v>
      </c>
      <c r="N170">
        <v>397.5</v>
      </c>
      <c r="O170">
        <v>4</v>
      </c>
      <c r="P170">
        <v>2.65</v>
      </c>
      <c r="Q170">
        <v>4</v>
      </c>
      <c r="R170">
        <v>0.13900000000000001</v>
      </c>
      <c r="T170" s="8" t="s">
        <v>842</v>
      </c>
    </row>
    <row r="171" spans="1:20" x14ac:dyDescent="0.2">
      <c r="A171" t="s">
        <v>844</v>
      </c>
      <c r="B171" t="s">
        <v>388</v>
      </c>
      <c r="C171" t="s">
        <v>388</v>
      </c>
      <c r="E171" t="s">
        <v>357</v>
      </c>
      <c r="F171" t="s">
        <v>845</v>
      </c>
      <c r="G171">
        <v>1</v>
      </c>
      <c r="H171">
        <v>1620</v>
      </c>
      <c r="I171">
        <v>1</v>
      </c>
      <c r="J171">
        <v>8.5</v>
      </c>
      <c r="K171">
        <v>1</v>
      </c>
      <c r="L171">
        <v>0.27500000000000002</v>
      </c>
      <c r="M171">
        <v>1</v>
      </c>
      <c r="N171">
        <v>112.5</v>
      </c>
      <c r="O171">
        <v>1</v>
      </c>
      <c r="P171">
        <v>0.55000000000000004</v>
      </c>
      <c r="Q171">
        <v>1</v>
      </c>
      <c r="R171">
        <v>2.5000000000000001E-2</v>
      </c>
      <c r="T171" s="8" t="s">
        <v>357</v>
      </c>
    </row>
    <row r="172" spans="1:20" x14ac:dyDescent="0.2">
      <c r="A172" t="s">
        <v>846</v>
      </c>
      <c r="B172" t="s">
        <v>388</v>
      </c>
      <c r="C172" t="s">
        <v>388</v>
      </c>
      <c r="E172" t="s">
        <v>847</v>
      </c>
      <c r="F172" t="s">
        <v>848</v>
      </c>
      <c r="G172">
        <v>5</v>
      </c>
      <c r="H172">
        <v>2460</v>
      </c>
      <c r="I172">
        <v>5</v>
      </c>
      <c r="J172">
        <v>28.5</v>
      </c>
      <c r="K172">
        <v>4</v>
      </c>
      <c r="L172">
        <v>1.0249999999999999</v>
      </c>
      <c r="M172">
        <v>5</v>
      </c>
      <c r="N172">
        <v>492.5</v>
      </c>
      <c r="O172">
        <v>5</v>
      </c>
      <c r="P172">
        <v>3.35</v>
      </c>
      <c r="Q172">
        <v>4</v>
      </c>
      <c r="R172">
        <v>0.13900000000000001</v>
      </c>
      <c r="T172" s="8" t="s">
        <v>847</v>
      </c>
    </row>
    <row r="173" spans="1:20" x14ac:dyDescent="0.2">
      <c r="A173" t="s">
        <v>849</v>
      </c>
      <c r="B173" t="s">
        <v>388</v>
      </c>
      <c r="C173" t="s">
        <v>388</v>
      </c>
      <c r="E173" t="s">
        <v>850</v>
      </c>
      <c r="F173" t="s">
        <v>851</v>
      </c>
      <c r="G173">
        <v>3</v>
      </c>
      <c r="H173">
        <v>2040</v>
      </c>
      <c r="I173">
        <v>3</v>
      </c>
      <c r="J173">
        <v>18.5</v>
      </c>
      <c r="K173">
        <v>3</v>
      </c>
      <c r="L173">
        <v>0.77500000000000002</v>
      </c>
      <c r="M173">
        <v>3</v>
      </c>
      <c r="N173">
        <v>302.5</v>
      </c>
      <c r="O173">
        <v>3</v>
      </c>
      <c r="P173">
        <v>1.95</v>
      </c>
      <c r="Q173">
        <v>3</v>
      </c>
      <c r="R173">
        <v>0.10100000000000001</v>
      </c>
      <c r="T173" s="8" t="s">
        <v>850</v>
      </c>
    </row>
    <row r="174" spans="1:20" x14ac:dyDescent="0.2">
      <c r="A174" t="s">
        <v>852</v>
      </c>
      <c r="B174" t="s">
        <v>388</v>
      </c>
      <c r="C174" t="s">
        <v>388</v>
      </c>
      <c r="E174" t="s">
        <v>264</v>
      </c>
      <c r="F174" t="s">
        <v>853</v>
      </c>
      <c r="G174">
        <v>1</v>
      </c>
      <c r="H174">
        <v>1620</v>
      </c>
      <c r="I174">
        <v>1</v>
      </c>
      <c r="J174">
        <v>8.5</v>
      </c>
      <c r="K174">
        <v>1</v>
      </c>
      <c r="L174">
        <v>0.27500000000000002</v>
      </c>
      <c r="M174">
        <v>2</v>
      </c>
      <c r="N174">
        <v>207.5</v>
      </c>
      <c r="O174">
        <v>2</v>
      </c>
      <c r="P174">
        <v>1.25</v>
      </c>
      <c r="Q174">
        <v>1</v>
      </c>
      <c r="R174">
        <v>2.5000000000000001E-2</v>
      </c>
      <c r="T174" s="8" t="s">
        <v>264</v>
      </c>
    </row>
    <row r="175" spans="1:20" x14ac:dyDescent="0.2">
      <c r="A175" t="s">
        <v>854</v>
      </c>
      <c r="B175" t="s">
        <v>388</v>
      </c>
      <c r="C175" t="s">
        <v>388</v>
      </c>
      <c r="E175" t="s">
        <v>855</v>
      </c>
      <c r="F175" t="s">
        <v>856</v>
      </c>
      <c r="G175">
        <v>1</v>
      </c>
      <c r="H175">
        <v>1620</v>
      </c>
      <c r="I175">
        <v>1</v>
      </c>
      <c r="J175">
        <v>8.5</v>
      </c>
      <c r="K175">
        <v>1</v>
      </c>
      <c r="L175">
        <v>0.27500000000000002</v>
      </c>
      <c r="M175">
        <v>1</v>
      </c>
      <c r="N175">
        <v>112.5</v>
      </c>
      <c r="O175">
        <v>1</v>
      </c>
      <c r="P175">
        <v>0.55000000000000004</v>
      </c>
      <c r="Q175">
        <v>1</v>
      </c>
      <c r="R175">
        <v>2.5000000000000001E-2</v>
      </c>
      <c r="T175" s="8" t="s">
        <v>855</v>
      </c>
    </row>
    <row r="176" spans="1:20" x14ac:dyDescent="0.2">
      <c r="A176" t="s">
        <v>857</v>
      </c>
      <c r="B176" t="s">
        <v>388</v>
      </c>
      <c r="C176" t="s">
        <v>388</v>
      </c>
      <c r="E176" t="s">
        <v>858</v>
      </c>
      <c r="F176" t="s">
        <v>859</v>
      </c>
      <c r="G176">
        <v>3</v>
      </c>
      <c r="H176">
        <v>2040</v>
      </c>
      <c r="I176">
        <v>2</v>
      </c>
      <c r="J176">
        <v>13.5</v>
      </c>
      <c r="K176">
        <v>2</v>
      </c>
      <c r="L176">
        <v>0.52500000000000002</v>
      </c>
      <c r="M176">
        <v>4</v>
      </c>
      <c r="N176">
        <v>397.5</v>
      </c>
      <c r="O176">
        <v>4</v>
      </c>
      <c r="P176">
        <v>2.65</v>
      </c>
      <c r="Q176">
        <v>4</v>
      </c>
      <c r="R176">
        <v>0.13900000000000001</v>
      </c>
      <c r="T176" s="8" t="s">
        <v>858</v>
      </c>
    </row>
    <row r="177" spans="1:20" x14ac:dyDescent="0.2">
      <c r="A177" t="s">
        <v>860</v>
      </c>
      <c r="B177" t="s">
        <v>388</v>
      </c>
      <c r="C177" t="s">
        <v>388</v>
      </c>
      <c r="E177" t="s">
        <v>861</v>
      </c>
      <c r="F177" t="s">
        <v>862</v>
      </c>
      <c r="G177">
        <v>1</v>
      </c>
      <c r="H177">
        <v>1620</v>
      </c>
      <c r="I177">
        <v>1</v>
      </c>
      <c r="J177">
        <v>8.5</v>
      </c>
      <c r="K177">
        <v>1</v>
      </c>
      <c r="L177">
        <v>0.27500000000000002</v>
      </c>
      <c r="M177">
        <v>1</v>
      </c>
      <c r="N177">
        <v>112.5</v>
      </c>
      <c r="O177">
        <v>1</v>
      </c>
      <c r="P177">
        <v>0.55000000000000004</v>
      </c>
      <c r="Q177">
        <v>1</v>
      </c>
      <c r="R177">
        <v>2.5000000000000001E-2</v>
      </c>
      <c r="T177" s="8" t="s">
        <v>861</v>
      </c>
    </row>
    <row r="178" spans="1:20" x14ac:dyDescent="0.2">
      <c r="A178" t="s">
        <v>863</v>
      </c>
      <c r="B178" t="s">
        <v>388</v>
      </c>
      <c r="C178" t="s">
        <v>388</v>
      </c>
      <c r="E178" t="s">
        <v>864</v>
      </c>
      <c r="F178" t="s">
        <v>865</v>
      </c>
      <c r="G178">
        <v>3</v>
      </c>
      <c r="H178">
        <v>2040</v>
      </c>
      <c r="I178">
        <v>4</v>
      </c>
      <c r="J178">
        <v>23.5</v>
      </c>
      <c r="K178">
        <v>4</v>
      </c>
      <c r="L178">
        <v>1.0249999999999999</v>
      </c>
      <c r="M178">
        <v>2</v>
      </c>
      <c r="N178">
        <v>207.5</v>
      </c>
      <c r="O178">
        <v>2</v>
      </c>
      <c r="P178">
        <v>1.25</v>
      </c>
      <c r="Q178">
        <v>2</v>
      </c>
      <c r="R178">
        <v>6.3E-2</v>
      </c>
      <c r="T178" s="8" t="s">
        <v>864</v>
      </c>
    </row>
    <row r="179" spans="1:20" x14ac:dyDescent="0.2">
      <c r="A179" t="s">
        <v>866</v>
      </c>
      <c r="B179" t="s">
        <v>388</v>
      </c>
      <c r="C179" t="s">
        <v>388</v>
      </c>
      <c r="E179" t="s">
        <v>357</v>
      </c>
      <c r="F179" t="s">
        <v>447</v>
      </c>
      <c r="G179">
        <v>3</v>
      </c>
      <c r="H179">
        <v>2040</v>
      </c>
      <c r="I179">
        <v>3</v>
      </c>
      <c r="J179">
        <v>18.5</v>
      </c>
      <c r="K179">
        <v>3</v>
      </c>
      <c r="L179">
        <v>0.77500000000000002</v>
      </c>
      <c r="M179">
        <v>4</v>
      </c>
      <c r="N179">
        <v>397.5</v>
      </c>
      <c r="O179">
        <v>4</v>
      </c>
      <c r="P179">
        <v>2.65</v>
      </c>
      <c r="Q179">
        <v>5</v>
      </c>
      <c r="R179">
        <v>0.17699999999999999</v>
      </c>
      <c r="T179" s="8" t="s">
        <v>357</v>
      </c>
    </row>
    <row r="180" spans="1:20" x14ac:dyDescent="0.2">
      <c r="A180" t="s">
        <v>867</v>
      </c>
      <c r="B180" t="s">
        <v>388</v>
      </c>
      <c r="C180" t="s">
        <v>388</v>
      </c>
      <c r="E180" t="s">
        <v>868</v>
      </c>
      <c r="F180" t="s">
        <v>869</v>
      </c>
      <c r="G180">
        <v>2</v>
      </c>
      <c r="H180">
        <v>1830</v>
      </c>
      <c r="I180">
        <v>2</v>
      </c>
      <c r="J180">
        <v>13.5</v>
      </c>
      <c r="K180">
        <v>2</v>
      </c>
      <c r="L180">
        <v>0.52500000000000002</v>
      </c>
      <c r="M180">
        <v>2</v>
      </c>
      <c r="N180">
        <v>207.5</v>
      </c>
      <c r="O180">
        <v>2</v>
      </c>
      <c r="P180">
        <v>1.25</v>
      </c>
      <c r="Q180">
        <v>2</v>
      </c>
      <c r="R180">
        <v>6.3E-2</v>
      </c>
      <c r="T180" s="8" t="s">
        <v>868</v>
      </c>
    </row>
    <row r="181" spans="1:20" x14ac:dyDescent="0.2">
      <c r="A181" t="s">
        <v>870</v>
      </c>
      <c r="B181" t="s">
        <v>388</v>
      </c>
      <c r="C181" t="s">
        <v>388</v>
      </c>
      <c r="E181" t="s">
        <v>871</v>
      </c>
      <c r="F181" t="s">
        <v>872</v>
      </c>
      <c r="G181">
        <v>5</v>
      </c>
      <c r="H181">
        <v>2460</v>
      </c>
      <c r="I181">
        <v>5</v>
      </c>
      <c r="J181">
        <v>28.5</v>
      </c>
      <c r="K181">
        <v>5</v>
      </c>
      <c r="L181">
        <v>1.2749999999999999</v>
      </c>
      <c r="M181">
        <v>5</v>
      </c>
      <c r="N181">
        <v>492.5</v>
      </c>
      <c r="O181">
        <v>5</v>
      </c>
      <c r="P181">
        <v>3.35</v>
      </c>
      <c r="Q181">
        <v>5</v>
      </c>
      <c r="R181">
        <v>0.17699999999999999</v>
      </c>
      <c r="T181" s="8" t="s">
        <v>871</v>
      </c>
    </row>
    <row r="182" spans="1:20" x14ac:dyDescent="0.2">
      <c r="A182" t="s">
        <v>873</v>
      </c>
      <c r="B182" t="s">
        <v>388</v>
      </c>
      <c r="C182" t="s">
        <v>388</v>
      </c>
      <c r="E182" t="s">
        <v>874</v>
      </c>
      <c r="F182" t="s">
        <v>875</v>
      </c>
      <c r="G182">
        <v>4</v>
      </c>
      <c r="H182">
        <v>2250</v>
      </c>
      <c r="I182">
        <v>4</v>
      </c>
      <c r="J182">
        <v>23.5</v>
      </c>
      <c r="K182">
        <v>4</v>
      </c>
      <c r="L182">
        <v>1.0249999999999999</v>
      </c>
      <c r="M182">
        <v>4</v>
      </c>
      <c r="N182">
        <v>397.5</v>
      </c>
      <c r="O182">
        <v>4</v>
      </c>
      <c r="P182">
        <v>2.65</v>
      </c>
      <c r="Q182">
        <v>4</v>
      </c>
      <c r="R182">
        <v>0.13900000000000001</v>
      </c>
      <c r="T182" s="8" t="s">
        <v>874</v>
      </c>
    </row>
    <row r="183" spans="1:20" x14ac:dyDescent="0.2">
      <c r="A183" t="s">
        <v>876</v>
      </c>
      <c r="B183" t="s">
        <v>388</v>
      </c>
      <c r="C183" t="s">
        <v>388</v>
      </c>
      <c r="E183" t="s">
        <v>877</v>
      </c>
      <c r="F183" t="s">
        <v>878</v>
      </c>
      <c r="G183">
        <v>5</v>
      </c>
      <c r="H183">
        <v>2460</v>
      </c>
      <c r="I183">
        <v>5</v>
      </c>
      <c r="J183">
        <v>28.5</v>
      </c>
      <c r="K183">
        <v>2</v>
      </c>
      <c r="L183">
        <v>0.52500000000000002</v>
      </c>
      <c r="M183">
        <v>2</v>
      </c>
      <c r="N183">
        <v>207.5</v>
      </c>
      <c r="O183">
        <v>2</v>
      </c>
      <c r="P183">
        <v>1.25</v>
      </c>
      <c r="Q183">
        <v>2</v>
      </c>
      <c r="R183">
        <v>6.3E-2</v>
      </c>
      <c r="T183" s="8" t="s">
        <v>877</v>
      </c>
    </row>
    <row r="184" spans="1:20" x14ac:dyDescent="0.2">
      <c r="A184" t="s">
        <v>879</v>
      </c>
      <c r="B184" t="s">
        <v>388</v>
      </c>
      <c r="C184" t="s">
        <v>388</v>
      </c>
      <c r="E184" t="s">
        <v>298</v>
      </c>
      <c r="F184" t="s">
        <v>880</v>
      </c>
      <c r="G184">
        <v>3</v>
      </c>
      <c r="H184">
        <v>2040</v>
      </c>
      <c r="I184">
        <v>3</v>
      </c>
      <c r="J184">
        <v>18.5</v>
      </c>
      <c r="K184">
        <v>3</v>
      </c>
      <c r="L184">
        <v>0.77500000000000002</v>
      </c>
      <c r="M184">
        <v>4</v>
      </c>
      <c r="N184">
        <v>397.5</v>
      </c>
      <c r="O184">
        <v>4</v>
      </c>
      <c r="P184">
        <v>2.65</v>
      </c>
      <c r="Q184">
        <v>4</v>
      </c>
      <c r="R184">
        <v>0.13900000000000001</v>
      </c>
      <c r="T184" s="8" t="s">
        <v>298</v>
      </c>
    </row>
    <row r="185" spans="1:20" x14ac:dyDescent="0.2">
      <c r="A185" t="s">
        <v>881</v>
      </c>
      <c r="B185" t="s">
        <v>388</v>
      </c>
      <c r="C185" t="s">
        <v>388</v>
      </c>
      <c r="E185" t="s">
        <v>882</v>
      </c>
      <c r="F185" t="s">
        <v>883</v>
      </c>
      <c r="G185">
        <v>4</v>
      </c>
      <c r="H185">
        <v>2250</v>
      </c>
      <c r="I185">
        <v>3</v>
      </c>
      <c r="J185">
        <v>18.5</v>
      </c>
      <c r="K185">
        <v>3</v>
      </c>
      <c r="L185">
        <v>0.77500000000000002</v>
      </c>
      <c r="M185">
        <v>4</v>
      </c>
      <c r="N185">
        <v>397.5</v>
      </c>
      <c r="O185">
        <v>4</v>
      </c>
      <c r="P185">
        <v>2.65</v>
      </c>
      <c r="Q185">
        <v>3</v>
      </c>
      <c r="R185">
        <v>0.10100000000000001</v>
      </c>
      <c r="T185" s="8" t="s">
        <v>882</v>
      </c>
    </row>
    <row r="186" spans="1:20" x14ac:dyDescent="0.2">
      <c r="A186" t="s">
        <v>884</v>
      </c>
      <c r="B186" t="s">
        <v>388</v>
      </c>
      <c r="C186" t="s">
        <v>388</v>
      </c>
      <c r="E186" t="s">
        <v>885</v>
      </c>
      <c r="F186" t="s">
        <v>886</v>
      </c>
      <c r="G186">
        <v>1</v>
      </c>
      <c r="H186">
        <v>1620</v>
      </c>
      <c r="I186">
        <v>1</v>
      </c>
      <c r="J186">
        <v>8.5</v>
      </c>
      <c r="K186">
        <v>1</v>
      </c>
      <c r="L186">
        <v>0.27500000000000002</v>
      </c>
      <c r="M186">
        <v>2</v>
      </c>
      <c r="N186">
        <v>207.5</v>
      </c>
      <c r="O186">
        <v>2</v>
      </c>
      <c r="P186">
        <v>1.25</v>
      </c>
      <c r="Q186">
        <v>3</v>
      </c>
      <c r="R186">
        <v>0.10100000000000001</v>
      </c>
      <c r="T186" s="8" t="s">
        <v>885</v>
      </c>
    </row>
    <row r="187" spans="1:20" x14ac:dyDescent="0.2">
      <c r="A187" t="s">
        <v>887</v>
      </c>
      <c r="B187" t="s">
        <v>388</v>
      </c>
      <c r="C187" t="s">
        <v>388</v>
      </c>
      <c r="E187" t="s">
        <v>888</v>
      </c>
      <c r="F187" t="s">
        <v>889</v>
      </c>
      <c r="G187">
        <v>1</v>
      </c>
      <c r="H187">
        <v>1620</v>
      </c>
      <c r="I187">
        <v>1</v>
      </c>
      <c r="J187">
        <v>8.5</v>
      </c>
      <c r="K187">
        <v>1</v>
      </c>
      <c r="L187">
        <v>0.27500000000000002</v>
      </c>
      <c r="M187">
        <v>2</v>
      </c>
      <c r="N187">
        <v>207.5</v>
      </c>
      <c r="O187">
        <v>2</v>
      </c>
      <c r="P187">
        <v>1.25</v>
      </c>
      <c r="Q187">
        <v>2</v>
      </c>
      <c r="R187">
        <v>6.3E-2</v>
      </c>
      <c r="T187" s="8" t="s">
        <v>888</v>
      </c>
    </row>
    <row r="188" spans="1:20" x14ac:dyDescent="0.2">
      <c r="A188" t="s">
        <v>890</v>
      </c>
      <c r="B188" t="s">
        <v>388</v>
      </c>
      <c r="C188" t="s">
        <v>388</v>
      </c>
      <c r="E188" t="s">
        <v>891</v>
      </c>
      <c r="F188" t="s">
        <v>892</v>
      </c>
      <c r="G188">
        <v>4</v>
      </c>
      <c r="H188">
        <v>2250</v>
      </c>
      <c r="I188">
        <v>4</v>
      </c>
      <c r="J188">
        <v>23.5</v>
      </c>
      <c r="K188">
        <v>4</v>
      </c>
      <c r="L188">
        <v>1.0249999999999999</v>
      </c>
      <c r="M188">
        <v>5</v>
      </c>
      <c r="N188">
        <v>492.5</v>
      </c>
      <c r="O188">
        <v>5</v>
      </c>
      <c r="P188">
        <v>3.35</v>
      </c>
      <c r="Q188">
        <v>4</v>
      </c>
      <c r="R188">
        <v>0.13900000000000001</v>
      </c>
      <c r="T188" s="8" t="s">
        <v>891</v>
      </c>
    </row>
    <row r="189" spans="1:20" x14ac:dyDescent="0.2">
      <c r="A189" t="s">
        <v>893</v>
      </c>
      <c r="B189" t="s">
        <v>388</v>
      </c>
      <c r="C189" t="s">
        <v>388</v>
      </c>
      <c r="E189" t="s">
        <v>894</v>
      </c>
      <c r="F189" t="s">
        <v>895</v>
      </c>
      <c r="G189">
        <v>1</v>
      </c>
      <c r="H189">
        <v>1620</v>
      </c>
      <c r="I189">
        <v>2</v>
      </c>
      <c r="J189">
        <v>13.5</v>
      </c>
      <c r="K189">
        <v>2</v>
      </c>
      <c r="L189">
        <v>0.52500000000000002</v>
      </c>
      <c r="M189">
        <v>5</v>
      </c>
      <c r="N189">
        <v>492.5</v>
      </c>
      <c r="O189">
        <v>4</v>
      </c>
      <c r="P189">
        <v>2.65</v>
      </c>
      <c r="Q189">
        <v>3</v>
      </c>
      <c r="R189">
        <v>0.10100000000000001</v>
      </c>
      <c r="T189" s="8" t="s">
        <v>894</v>
      </c>
    </row>
    <row r="190" spans="1:20" x14ac:dyDescent="0.2">
      <c r="A190" t="s">
        <v>896</v>
      </c>
      <c r="B190" t="s">
        <v>388</v>
      </c>
      <c r="C190" t="s">
        <v>388</v>
      </c>
      <c r="E190" t="s">
        <v>288</v>
      </c>
      <c r="F190" t="s">
        <v>897</v>
      </c>
      <c r="G190">
        <v>4</v>
      </c>
      <c r="H190">
        <v>2250</v>
      </c>
      <c r="I190">
        <v>4</v>
      </c>
      <c r="J190">
        <v>23.5</v>
      </c>
      <c r="K190">
        <v>4</v>
      </c>
      <c r="L190">
        <v>1.0249999999999999</v>
      </c>
      <c r="M190">
        <v>4</v>
      </c>
      <c r="N190">
        <v>397.5</v>
      </c>
      <c r="O190">
        <v>4</v>
      </c>
      <c r="P190">
        <v>2.65</v>
      </c>
      <c r="Q190">
        <v>4</v>
      </c>
      <c r="R190">
        <v>0.13900000000000001</v>
      </c>
      <c r="T190" s="8" t="s">
        <v>288</v>
      </c>
    </row>
    <row r="191" spans="1:20" x14ac:dyDescent="0.2">
      <c r="A191" t="s">
        <v>898</v>
      </c>
      <c r="B191" t="s">
        <v>388</v>
      </c>
      <c r="C191" t="s">
        <v>388</v>
      </c>
      <c r="E191" t="s">
        <v>899</v>
      </c>
      <c r="F191" t="s">
        <v>900</v>
      </c>
      <c r="G191">
        <v>4</v>
      </c>
      <c r="H191">
        <v>2250</v>
      </c>
      <c r="I191">
        <v>4</v>
      </c>
      <c r="J191">
        <v>23.5</v>
      </c>
      <c r="K191">
        <v>3</v>
      </c>
      <c r="L191">
        <v>0.77500000000000002</v>
      </c>
      <c r="M191">
        <v>3</v>
      </c>
      <c r="N191">
        <v>302.5</v>
      </c>
      <c r="O191">
        <v>4</v>
      </c>
      <c r="P191">
        <v>2.65</v>
      </c>
      <c r="Q191">
        <v>4</v>
      </c>
      <c r="R191">
        <v>0.13900000000000001</v>
      </c>
      <c r="T191" s="8" t="s">
        <v>899</v>
      </c>
    </row>
    <row r="192" spans="1:20" x14ac:dyDescent="0.2">
      <c r="A192" t="s">
        <v>901</v>
      </c>
      <c r="B192" t="s">
        <v>388</v>
      </c>
      <c r="C192" t="s">
        <v>388</v>
      </c>
      <c r="E192" t="s">
        <v>902</v>
      </c>
      <c r="F192" t="s">
        <v>903</v>
      </c>
      <c r="G192">
        <v>5</v>
      </c>
      <c r="H192">
        <v>2460</v>
      </c>
      <c r="I192">
        <v>5</v>
      </c>
      <c r="J192">
        <v>28.5</v>
      </c>
      <c r="K192">
        <v>5</v>
      </c>
      <c r="L192">
        <v>1.2749999999999999</v>
      </c>
      <c r="M192">
        <v>5</v>
      </c>
      <c r="N192">
        <v>492.5</v>
      </c>
      <c r="O192">
        <v>5</v>
      </c>
      <c r="P192">
        <v>3.35</v>
      </c>
      <c r="Q192">
        <v>4</v>
      </c>
      <c r="R192">
        <v>0.13900000000000001</v>
      </c>
      <c r="T192" s="8" t="s">
        <v>902</v>
      </c>
    </row>
    <row r="193" spans="1:20" x14ac:dyDescent="0.2">
      <c r="A193" t="s">
        <v>904</v>
      </c>
      <c r="B193" t="s">
        <v>388</v>
      </c>
      <c r="C193" t="s">
        <v>388</v>
      </c>
      <c r="E193" t="s">
        <v>905</v>
      </c>
      <c r="F193" t="s">
        <v>906</v>
      </c>
      <c r="G193">
        <v>1</v>
      </c>
      <c r="H193">
        <v>1620</v>
      </c>
      <c r="I193">
        <v>1</v>
      </c>
      <c r="J193">
        <v>8.5</v>
      </c>
      <c r="K193">
        <v>1</v>
      </c>
      <c r="L193">
        <v>0.27500000000000002</v>
      </c>
      <c r="M193">
        <v>1</v>
      </c>
      <c r="N193">
        <v>112.5</v>
      </c>
      <c r="O193">
        <v>1</v>
      </c>
      <c r="P193">
        <v>0.55000000000000004</v>
      </c>
      <c r="Q193">
        <v>1</v>
      </c>
      <c r="R193">
        <v>2.5000000000000001E-2</v>
      </c>
      <c r="T193" s="8" t="s">
        <v>905</v>
      </c>
    </row>
    <row r="194" spans="1:20" x14ac:dyDescent="0.2">
      <c r="A194" t="s">
        <v>907</v>
      </c>
      <c r="B194" t="s">
        <v>388</v>
      </c>
      <c r="C194" t="s">
        <v>388</v>
      </c>
      <c r="E194" t="s">
        <v>908</v>
      </c>
      <c r="F194" t="s">
        <v>909</v>
      </c>
      <c r="G194">
        <v>3</v>
      </c>
      <c r="H194">
        <v>2040</v>
      </c>
      <c r="I194">
        <v>3</v>
      </c>
      <c r="J194">
        <v>18.5</v>
      </c>
      <c r="K194">
        <v>3</v>
      </c>
      <c r="L194">
        <v>0.77500000000000002</v>
      </c>
      <c r="M194">
        <v>3</v>
      </c>
      <c r="N194">
        <v>302.5</v>
      </c>
      <c r="O194">
        <v>4</v>
      </c>
      <c r="P194">
        <v>2.65</v>
      </c>
      <c r="Q194">
        <v>5</v>
      </c>
      <c r="R194">
        <v>0.17699999999999999</v>
      </c>
      <c r="T194" s="8" t="s">
        <v>908</v>
      </c>
    </row>
    <row r="195" spans="1:20" x14ac:dyDescent="0.2">
      <c r="A195" t="s">
        <v>910</v>
      </c>
      <c r="B195" t="s">
        <v>388</v>
      </c>
      <c r="C195" t="s">
        <v>388</v>
      </c>
      <c r="E195" t="s">
        <v>911</v>
      </c>
      <c r="F195" t="s">
        <v>912</v>
      </c>
      <c r="G195">
        <v>2</v>
      </c>
      <c r="H195">
        <v>1830</v>
      </c>
      <c r="I195">
        <v>3</v>
      </c>
      <c r="J195">
        <v>18.5</v>
      </c>
      <c r="K195">
        <v>2</v>
      </c>
      <c r="L195">
        <v>0.52500000000000002</v>
      </c>
      <c r="M195">
        <v>2</v>
      </c>
      <c r="N195">
        <v>207.5</v>
      </c>
      <c r="O195">
        <v>3</v>
      </c>
      <c r="P195">
        <v>1.95</v>
      </c>
      <c r="Q195">
        <v>3</v>
      </c>
      <c r="R195">
        <v>0.10100000000000001</v>
      </c>
      <c r="T195" s="8" t="s">
        <v>911</v>
      </c>
    </row>
    <row r="196" spans="1:20" x14ac:dyDescent="0.2">
      <c r="A196" t="s">
        <v>913</v>
      </c>
      <c r="B196" t="s">
        <v>388</v>
      </c>
      <c r="C196" t="s">
        <v>388</v>
      </c>
      <c r="E196" t="s">
        <v>914</v>
      </c>
      <c r="F196" t="s">
        <v>915</v>
      </c>
      <c r="G196">
        <v>1</v>
      </c>
      <c r="H196">
        <v>1620</v>
      </c>
      <c r="I196">
        <v>1</v>
      </c>
      <c r="J196">
        <v>8.5</v>
      </c>
      <c r="K196">
        <v>1</v>
      </c>
      <c r="L196">
        <v>0.27500000000000002</v>
      </c>
      <c r="M196">
        <v>4</v>
      </c>
      <c r="N196">
        <v>397.5</v>
      </c>
      <c r="O196">
        <v>2</v>
      </c>
      <c r="P196">
        <v>1.25</v>
      </c>
      <c r="Q196">
        <v>1</v>
      </c>
      <c r="R196">
        <v>2.5000000000000001E-2</v>
      </c>
      <c r="T196" s="8" t="s">
        <v>914</v>
      </c>
    </row>
    <row r="197" spans="1:20" x14ac:dyDescent="0.2">
      <c r="A197" t="s">
        <v>916</v>
      </c>
      <c r="B197" t="s">
        <v>388</v>
      </c>
      <c r="C197" t="s">
        <v>388</v>
      </c>
      <c r="E197" t="s">
        <v>917</v>
      </c>
      <c r="F197" t="s">
        <v>918</v>
      </c>
      <c r="G197">
        <v>5</v>
      </c>
      <c r="H197">
        <v>2460</v>
      </c>
      <c r="I197">
        <v>5</v>
      </c>
      <c r="J197">
        <v>28.5</v>
      </c>
      <c r="K197">
        <v>5</v>
      </c>
      <c r="L197">
        <v>1.2749999999999999</v>
      </c>
      <c r="M197">
        <v>5</v>
      </c>
      <c r="N197">
        <v>492.5</v>
      </c>
      <c r="O197">
        <v>5</v>
      </c>
      <c r="P197">
        <v>3.35</v>
      </c>
      <c r="Q197">
        <v>5</v>
      </c>
      <c r="R197">
        <v>0.17699999999999999</v>
      </c>
      <c r="T197" s="8" t="s">
        <v>917</v>
      </c>
    </row>
    <row r="198" spans="1:20" x14ac:dyDescent="0.2">
      <c r="A198" t="s">
        <v>919</v>
      </c>
      <c r="B198" t="s">
        <v>388</v>
      </c>
      <c r="C198" t="s">
        <v>388</v>
      </c>
      <c r="E198" t="s">
        <v>204</v>
      </c>
      <c r="F198" t="s">
        <v>920</v>
      </c>
      <c r="G198">
        <v>4</v>
      </c>
      <c r="H198">
        <v>2250</v>
      </c>
      <c r="I198">
        <v>4</v>
      </c>
      <c r="J198">
        <v>23.5</v>
      </c>
      <c r="K198">
        <v>3</v>
      </c>
      <c r="L198">
        <v>0.77500000000000002</v>
      </c>
      <c r="M198">
        <v>4</v>
      </c>
      <c r="N198">
        <v>397.5</v>
      </c>
      <c r="O198">
        <v>4</v>
      </c>
      <c r="P198">
        <v>2.65</v>
      </c>
      <c r="Q198">
        <v>3</v>
      </c>
      <c r="R198">
        <v>0.10100000000000001</v>
      </c>
      <c r="T198" s="8" t="s">
        <v>204</v>
      </c>
    </row>
    <row r="199" spans="1:20" x14ac:dyDescent="0.2">
      <c r="A199" t="s">
        <v>921</v>
      </c>
      <c r="B199" t="s">
        <v>388</v>
      </c>
      <c r="C199" t="s">
        <v>388</v>
      </c>
      <c r="E199" t="s">
        <v>922</v>
      </c>
      <c r="F199" t="s">
        <v>923</v>
      </c>
      <c r="G199">
        <v>4</v>
      </c>
      <c r="H199">
        <v>2250</v>
      </c>
      <c r="I199">
        <v>4</v>
      </c>
      <c r="J199">
        <v>23.5</v>
      </c>
      <c r="K199">
        <v>3</v>
      </c>
      <c r="L199">
        <v>0.77500000000000002</v>
      </c>
      <c r="M199">
        <v>4</v>
      </c>
      <c r="N199">
        <v>397.5</v>
      </c>
      <c r="O199">
        <v>4</v>
      </c>
      <c r="P199">
        <v>2.65</v>
      </c>
      <c r="Q199">
        <v>3</v>
      </c>
      <c r="R199">
        <v>0.10100000000000001</v>
      </c>
      <c r="T199" s="8" t="s">
        <v>922</v>
      </c>
    </row>
    <row r="200" spans="1:20" x14ac:dyDescent="0.2">
      <c r="A200" t="s">
        <v>924</v>
      </c>
      <c r="B200" t="s">
        <v>388</v>
      </c>
      <c r="C200" t="s">
        <v>388</v>
      </c>
      <c r="E200" t="s">
        <v>922</v>
      </c>
      <c r="F200" t="s">
        <v>923</v>
      </c>
      <c r="G200">
        <v>1</v>
      </c>
      <c r="H200">
        <v>1620</v>
      </c>
      <c r="I200">
        <v>3</v>
      </c>
      <c r="J200">
        <v>18.5</v>
      </c>
      <c r="K200">
        <v>2</v>
      </c>
      <c r="L200">
        <v>0.52500000000000002</v>
      </c>
      <c r="M200">
        <v>1</v>
      </c>
      <c r="N200">
        <v>112.5</v>
      </c>
      <c r="O200">
        <v>1</v>
      </c>
      <c r="P200">
        <v>0.55000000000000004</v>
      </c>
      <c r="Q200">
        <v>1</v>
      </c>
      <c r="R200">
        <v>2.5000000000000001E-2</v>
      </c>
      <c r="T200" s="8" t="s">
        <v>922</v>
      </c>
    </row>
    <row r="201" spans="1:20" x14ac:dyDescent="0.2">
      <c r="A201" t="s">
        <v>925</v>
      </c>
      <c r="B201" t="s">
        <v>388</v>
      </c>
      <c r="C201" t="s">
        <v>388</v>
      </c>
      <c r="E201" t="s">
        <v>922</v>
      </c>
      <c r="F201" t="s">
        <v>923</v>
      </c>
      <c r="G201">
        <v>2</v>
      </c>
      <c r="H201">
        <v>1830</v>
      </c>
      <c r="I201">
        <v>1</v>
      </c>
      <c r="J201">
        <v>8.5</v>
      </c>
      <c r="K201">
        <v>1</v>
      </c>
      <c r="L201">
        <v>0.27500000000000002</v>
      </c>
      <c r="M201">
        <v>1</v>
      </c>
      <c r="N201">
        <v>112.5</v>
      </c>
      <c r="O201">
        <v>1</v>
      </c>
      <c r="P201">
        <v>0.55000000000000004</v>
      </c>
      <c r="Q201">
        <v>1</v>
      </c>
      <c r="R201">
        <v>2.5000000000000001E-2</v>
      </c>
      <c r="T201" s="8" t="s">
        <v>922</v>
      </c>
    </row>
    <row r="202" spans="1:20" x14ac:dyDescent="0.2">
      <c r="A202" t="s">
        <v>926</v>
      </c>
      <c r="B202" t="s">
        <v>388</v>
      </c>
      <c r="C202" t="s">
        <v>388</v>
      </c>
      <c r="E202" t="s">
        <v>922</v>
      </c>
      <c r="F202" t="s">
        <v>923</v>
      </c>
      <c r="G202">
        <v>3</v>
      </c>
      <c r="H202">
        <v>2040</v>
      </c>
      <c r="I202">
        <v>3</v>
      </c>
      <c r="J202">
        <v>18.5</v>
      </c>
      <c r="K202">
        <v>3</v>
      </c>
      <c r="L202">
        <v>0.77500000000000002</v>
      </c>
      <c r="M202">
        <v>3</v>
      </c>
      <c r="N202">
        <v>302.5</v>
      </c>
      <c r="O202">
        <v>3</v>
      </c>
      <c r="P202">
        <v>1.95</v>
      </c>
      <c r="Q202">
        <v>3</v>
      </c>
      <c r="R202">
        <v>0.10100000000000001</v>
      </c>
      <c r="T202" s="8" t="s">
        <v>922</v>
      </c>
    </row>
    <row r="203" spans="1:20" x14ac:dyDescent="0.2">
      <c r="A203" t="s">
        <v>927</v>
      </c>
      <c r="B203" t="s">
        <v>388</v>
      </c>
      <c r="C203" t="s">
        <v>388</v>
      </c>
      <c r="E203" t="s">
        <v>928</v>
      </c>
      <c r="F203" t="s">
        <v>929</v>
      </c>
      <c r="G203">
        <v>3</v>
      </c>
      <c r="H203">
        <v>2040</v>
      </c>
      <c r="I203">
        <v>3</v>
      </c>
      <c r="J203">
        <v>18.5</v>
      </c>
      <c r="K203">
        <v>3</v>
      </c>
      <c r="L203">
        <v>0.77500000000000002</v>
      </c>
      <c r="M203">
        <v>3</v>
      </c>
      <c r="N203">
        <v>302.5</v>
      </c>
      <c r="O203">
        <v>3</v>
      </c>
      <c r="P203">
        <v>1.95</v>
      </c>
      <c r="Q203">
        <v>3</v>
      </c>
      <c r="R203">
        <v>0.10100000000000001</v>
      </c>
      <c r="T203" s="8" t="s">
        <v>928</v>
      </c>
    </row>
    <row r="204" spans="1:20" x14ac:dyDescent="0.2">
      <c r="A204" t="s">
        <v>930</v>
      </c>
      <c r="B204" t="s">
        <v>388</v>
      </c>
      <c r="C204" t="s">
        <v>388</v>
      </c>
      <c r="E204" t="s">
        <v>931</v>
      </c>
      <c r="F204" t="s">
        <v>932</v>
      </c>
      <c r="G204">
        <v>1</v>
      </c>
      <c r="H204">
        <v>1620</v>
      </c>
      <c r="I204">
        <v>1</v>
      </c>
      <c r="J204">
        <v>8.5</v>
      </c>
      <c r="K204">
        <v>1</v>
      </c>
      <c r="L204">
        <v>0.27500000000000002</v>
      </c>
      <c r="M204">
        <v>1</v>
      </c>
      <c r="N204">
        <v>112.5</v>
      </c>
      <c r="O204">
        <v>1</v>
      </c>
      <c r="P204">
        <v>0.55000000000000004</v>
      </c>
      <c r="Q204">
        <v>1</v>
      </c>
      <c r="R204">
        <v>2.5000000000000001E-2</v>
      </c>
      <c r="T204" s="8" t="s">
        <v>931</v>
      </c>
    </row>
    <row r="205" spans="1:20" x14ac:dyDescent="0.2">
      <c r="A205" t="s">
        <v>933</v>
      </c>
      <c r="B205" t="s">
        <v>388</v>
      </c>
      <c r="C205" t="s">
        <v>388</v>
      </c>
      <c r="E205" t="s">
        <v>357</v>
      </c>
      <c r="F205" t="s">
        <v>934</v>
      </c>
      <c r="G205">
        <v>1</v>
      </c>
      <c r="H205">
        <v>1620</v>
      </c>
      <c r="I205">
        <v>1</v>
      </c>
      <c r="J205">
        <v>8.5</v>
      </c>
      <c r="K205">
        <v>1</v>
      </c>
      <c r="L205">
        <v>0.27500000000000002</v>
      </c>
      <c r="M205">
        <v>2</v>
      </c>
      <c r="N205">
        <v>207.5</v>
      </c>
      <c r="O205">
        <v>2</v>
      </c>
      <c r="P205">
        <v>1.25</v>
      </c>
      <c r="Q205">
        <v>3</v>
      </c>
      <c r="R205">
        <v>0.10100000000000001</v>
      </c>
      <c r="T205" s="8" t="s">
        <v>357</v>
      </c>
    </row>
    <row r="206" spans="1:20" x14ac:dyDescent="0.2">
      <c r="A206" t="s">
        <v>935</v>
      </c>
      <c r="B206" t="s">
        <v>388</v>
      </c>
      <c r="C206" t="s">
        <v>388</v>
      </c>
      <c r="E206" t="s">
        <v>936</v>
      </c>
      <c r="F206" t="s">
        <v>937</v>
      </c>
      <c r="G206">
        <v>4</v>
      </c>
      <c r="H206">
        <v>2250</v>
      </c>
      <c r="I206">
        <v>4</v>
      </c>
      <c r="J206">
        <v>23.5</v>
      </c>
      <c r="K206">
        <v>4</v>
      </c>
      <c r="L206">
        <v>1.0249999999999999</v>
      </c>
      <c r="M206">
        <v>4</v>
      </c>
      <c r="N206">
        <v>397.5</v>
      </c>
      <c r="O206">
        <v>4</v>
      </c>
      <c r="P206">
        <v>2.65</v>
      </c>
      <c r="Q206">
        <v>4</v>
      </c>
      <c r="R206">
        <v>0.13900000000000001</v>
      </c>
      <c r="T206" s="8" t="s">
        <v>936</v>
      </c>
    </row>
    <row r="207" spans="1:20" x14ac:dyDescent="0.2">
      <c r="A207" t="s">
        <v>938</v>
      </c>
      <c r="B207" t="s">
        <v>388</v>
      </c>
      <c r="C207" t="s">
        <v>388</v>
      </c>
      <c r="E207" t="s">
        <v>939</v>
      </c>
      <c r="F207" t="s">
        <v>940</v>
      </c>
      <c r="G207">
        <v>1</v>
      </c>
      <c r="H207">
        <v>1620</v>
      </c>
      <c r="I207">
        <v>1</v>
      </c>
      <c r="J207">
        <v>8.5</v>
      </c>
      <c r="K207">
        <v>1</v>
      </c>
      <c r="L207">
        <v>0.27500000000000002</v>
      </c>
      <c r="M207">
        <v>1</v>
      </c>
      <c r="N207">
        <v>112.5</v>
      </c>
      <c r="O207">
        <v>1</v>
      </c>
      <c r="P207">
        <v>0.55000000000000004</v>
      </c>
      <c r="Q207">
        <v>1</v>
      </c>
      <c r="R207">
        <v>2.5000000000000001E-2</v>
      </c>
      <c r="T207" s="8" t="s">
        <v>939</v>
      </c>
    </row>
    <row r="208" spans="1:20" x14ac:dyDescent="0.2">
      <c r="A208" t="s">
        <v>941</v>
      </c>
      <c r="B208" t="s">
        <v>388</v>
      </c>
      <c r="C208" t="s">
        <v>388</v>
      </c>
      <c r="E208" t="s">
        <v>942</v>
      </c>
      <c r="F208" t="s">
        <v>447</v>
      </c>
      <c r="G208">
        <v>5</v>
      </c>
      <c r="H208">
        <v>2460</v>
      </c>
      <c r="I208">
        <v>5</v>
      </c>
      <c r="J208">
        <v>28.5</v>
      </c>
      <c r="K208">
        <v>5</v>
      </c>
      <c r="L208">
        <v>1.2749999999999999</v>
      </c>
      <c r="M208">
        <v>5</v>
      </c>
      <c r="N208">
        <v>492.5</v>
      </c>
      <c r="O208">
        <v>5</v>
      </c>
      <c r="P208">
        <v>3.35</v>
      </c>
      <c r="Q208">
        <v>5</v>
      </c>
      <c r="R208">
        <v>0.17699999999999999</v>
      </c>
      <c r="T208" s="8" t="s">
        <v>942</v>
      </c>
    </row>
    <row r="209" spans="1:20" x14ac:dyDescent="0.2">
      <c r="A209" t="s">
        <v>943</v>
      </c>
      <c r="B209" t="s">
        <v>388</v>
      </c>
      <c r="C209" t="s">
        <v>388</v>
      </c>
      <c r="E209" t="s">
        <v>357</v>
      </c>
      <c r="F209" t="s">
        <v>447</v>
      </c>
      <c r="G209">
        <v>5</v>
      </c>
      <c r="H209">
        <v>2460</v>
      </c>
      <c r="I209">
        <v>5</v>
      </c>
      <c r="J209">
        <v>28.5</v>
      </c>
      <c r="K209">
        <v>5</v>
      </c>
      <c r="L209">
        <v>1.2749999999999999</v>
      </c>
      <c r="M209">
        <v>5</v>
      </c>
      <c r="N209">
        <v>492.5</v>
      </c>
      <c r="O209">
        <v>5</v>
      </c>
      <c r="P209">
        <v>3.35</v>
      </c>
      <c r="Q209">
        <v>5</v>
      </c>
      <c r="R209">
        <v>0.17699999999999999</v>
      </c>
      <c r="T209" s="8" t="s">
        <v>357</v>
      </c>
    </row>
    <row r="210" spans="1:20" x14ac:dyDescent="0.2">
      <c r="A210" t="s">
        <v>944</v>
      </c>
      <c r="B210" t="s">
        <v>388</v>
      </c>
      <c r="C210" t="s">
        <v>388</v>
      </c>
      <c r="E210" t="s">
        <v>945</v>
      </c>
      <c r="F210" t="s">
        <v>447</v>
      </c>
      <c r="G210">
        <v>2</v>
      </c>
      <c r="H210">
        <v>1830</v>
      </c>
      <c r="I210">
        <v>3</v>
      </c>
      <c r="J210">
        <v>18.5</v>
      </c>
      <c r="K210">
        <v>3</v>
      </c>
      <c r="L210">
        <v>0.77500000000000002</v>
      </c>
      <c r="M210">
        <v>3</v>
      </c>
      <c r="N210">
        <v>302.5</v>
      </c>
      <c r="O210">
        <v>3</v>
      </c>
      <c r="P210">
        <v>1.95</v>
      </c>
      <c r="Q210">
        <v>3</v>
      </c>
      <c r="R210">
        <v>0.10100000000000001</v>
      </c>
      <c r="T210" s="8" t="s">
        <v>945</v>
      </c>
    </row>
    <row r="211" spans="1:20" x14ac:dyDescent="0.2">
      <c r="A211" t="s">
        <v>946</v>
      </c>
      <c r="B211" t="s">
        <v>388</v>
      </c>
      <c r="C211" t="s">
        <v>388</v>
      </c>
      <c r="E211" t="s">
        <v>947</v>
      </c>
      <c r="F211" t="s">
        <v>447</v>
      </c>
      <c r="G211">
        <v>2</v>
      </c>
      <c r="H211">
        <v>1830</v>
      </c>
      <c r="I211">
        <v>1</v>
      </c>
      <c r="J211">
        <v>8.5</v>
      </c>
      <c r="K211">
        <v>1</v>
      </c>
      <c r="L211">
        <v>0.27500000000000002</v>
      </c>
      <c r="M211">
        <v>5</v>
      </c>
      <c r="N211">
        <v>492.5</v>
      </c>
      <c r="O211">
        <v>5</v>
      </c>
      <c r="P211">
        <v>3.35</v>
      </c>
      <c r="Q211">
        <v>5</v>
      </c>
      <c r="R211">
        <v>0.17699999999999999</v>
      </c>
      <c r="T211" s="8" t="s">
        <v>947</v>
      </c>
    </row>
    <row r="212" spans="1:20" x14ac:dyDescent="0.2">
      <c r="A212" t="s">
        <v>948</v>
      </c>
      <c r="B212" t="s">
        <v>388</v>
      </c>
      <c r="C212" t="s">
        <v>388</v>
      </c>
      <c r="E212" t="s">
        <v>949</v>
      </c>
      <c r="F212" t="s">
        <v>950</v>
      </c>
      <c r="G212">
        <v>3</v>
      </c>
      <c r="H212">
        <v>2040</v>
      </c>
      <c r="I212">
        <v>3</v>
      </c>
      <c r="J212">
        <v>18.5</v>
      </c>
      <c r="K212">
        <v>3</v>
      </c>
      <c r="L212">
        <v>0.77500000000000002</v>
      </c>
      <c r="M212">
        <v>3</v>
      </c>
      <c r="N212">
        <v>302.5</v>
      </c>
      <c r="O212">
        <v>3</v>
      </c>
      <c r="P212">
        <v>1.95</v>
      </c>
      <c r="Q212">
        <v>3</v>
      </c>
      <c r="R212">
        <v>0.10100000000000001</v>
      </c>
      <c r="T212" s="8" t="s">
        <v>949</v>
      </c>
    </row>
    <row r="213" spans="1:20" x14ac:dyDescent="0.2">
      <c r="A213" t="s">
        <v>951</v>
      </c>
      <c r="B213" t="s">
        <v>388</v>
      </c>
      <c r="C213" t="s">
        <v>388</v>
      </c>
      <c r="E213" t="s">
        <v>952</v>
      </c>
      <c r="F213" t="s">
        <v>447</v>
      </c>
      <c r="G213">
        <v>4</v>
      </c>
      <c r="H213">
        <v>2250</v>
      </c>
      <c r="I213">
        <v>4</v>
      </c>
      <c r="J213">
        <v>23.5</v>
      </c>
      <c r="K213">
        <v>4</v>
      </c>
      <c r="L213">
        <v>1.0249999999999999</v>
      </c>
      <c r="M213">
        <v>4</v>
      </c>
      <c r="N213">
        <v>397.5</v>
      </c>
      <c r="O213">
        <v>4</v>
      </c>
      <c r="P213">
        <v>2.65</v>
      </c>
      <c r="Q213">
        <v>5</v>
      </c>
      <c r="R213">
        <v>0.17699999999999999</v>
      </c>
      <c r="T213" s="8" t="s">
        <v>952</v>
      </c>
    </row>
    <row r="214" spans="1:20" x14ac:dyDescent="0.2">
      <c r="A214" t="s">
        <v>953</v>
      </c>
      <c r="B214" t="s">
        <v>388</v>
      </c>
      <c r="C214" t="s">
        <v>388</v>
      </c>
      <c r="E214" t="s">
        <v>954</v>
      </c>
      <c r="F214" t="s">
        <v>955</v>
      </c>
      <c r="G214">
        <v>1</v>
      </c>
      <c r="H214">
        <v>1620</v>
      </c>
      <c r="I214">
        <v>3</v>
      </c>
      <c r="J214">
        <v>18.5</v>
      </c>
      <c r="K214">
        <v>2</v>
      </c>
      <c r="L214">
        <v>0.52500000000000002</v>
      </c>
      <c r="M214">
        <v>1</v>
      </c>
      <c r="N214">
        <v>112.5</v>
      </c>
      <c r="O214">
        <v>2</v>
      </c>
      <c r="P214">
        <v>1.25</v>
      </c>
      <c r="Q214">
        <v>5</v>
      </c>
      <c r="R214">
        <v>0.17699999999999999</v>
      </c>
      <c r="T214" s="8" t="s">
        <v>954</v>
      </c>
    </row>
    <row r="215" spans="1:20" x14ac:dyDescent="0.2">
      <c r="A215" t="s">
        <v>956</v>
      </c>
      <c r="B215" t="s">
        <v>388</v>
      </c>
      <c r="C215" t="s">
        <v>388</v>
      </c>
      <c r="E215" t="s">
        <v>957</v>
      </c>
      <c r="F215" t="s">
        <v>958</v>
      </c>
      <c r="G215">
        <v>5</v>
      </c>
      <c r="H215">
        <v>2460</v>
      </c>
      <c r="I215">
        <v>5</v>
      </c>
      <c r="J215">
        <v>28.5</v>
      </c>
      <c r="K215">
        <v>4</v>
      </c>
      <c r="L215">
        <v>1.0249999999999999</v>
      </c>
      <c r="M215">
        <v>5</v>
      </c>
      <c r="N215">
        <v>492.5</v>
      </c>
      <c r="O215">
        <v>5</v>
      </c>
      <c r="P215">
        <v>3.35</v>
      </c>
      <c r="Q215">
        <v>4</v>
      </c>
      <c r="R215">
        <v>0.13900000000000001</v>
      </c>
      <c r="T215" s="8" t="s">
        <v>957</v>
      </c>
    </row>
    <row r="216" spans="1:20" x14ac:dyDescent="0.2">
      <c r="A216" t="s">
        <v>959</v>
      </c>
      <c r="B216" t="s">
        <v>388</v>
      </c>
      <c r="C216" t="s">
        <v>388</v>
      </c>
      <c r="E216" t="s">
        <v>960</v>
      </c>
      <c r="F216" t="s">
        <v>961</v>
      </c>
      <c r="G216">
        <v>4</v>
      </c>
      <c r="H216">
        <v>2250</v>
      </c>
      <c r="I216">
        <v>4</v>
      </c>
      <c r="J216">
        <v>23.5</v>
      </c>
      <c r="K216">
        <v>4</v>
      </c>
      <c r="L216">
        <v>1.0249999999999999</v>
      </c>
      <c r="M216">
        <v>4</v>
      </c>
      <c r="N216">
        <v>397.5</v>
      </c>
      <c r="O216">
        <v>4</v>
      </c>
      <c r="P216">
        <v>2.65</v>
      </c>
      <c r="Q216">
        <v>4</v>
      </c>
      <c r="R216">
        <v>0.13900000000000001</v>
      </c>
      <c r="T216" s="8" t="s">
        <v>960</v>
      </c>
    </row>
    <row r="217" spans="1:20" x14ac:dyDescent="0.2">
      <c r="A217" t="s">
        <v>962</v>
      </c>
      <c r="B217" t="s">
        <v>388</v>
      </c>
      <c r="C217" t="s">
        <v>388</v>
      </c>
      <c r="E217" t="s">
        <v>963</v>
      </c>
      <c r="F217" t="s">
        <v>964</v>
      </c>
      <c r="G217">
        <v>5</v>
      </c>
      <c r="H217">
        <v>2460</v>
      </c>
      <c r="I217">
        <v>5</v>
      </c>
      <c r="J217">
        <v>28.5</v>
      </c>
      <c r="K217">
        <v>5</v>
      </c>
      <c r="L217">
        <v>1.2749999999999999</v>
      </c>
      <c r="M217">
        <v>5</v>
      </c>
      <c r="N217">
        <v>492.5</v>
      </c>
      <c r="O217">
        <v>5</v>
      </c>
      <c r="P217">
        <v>3.35</v>
      </c>
      <c r="Q217">
        <v>4</v>
      </c>
      <c r="R217">
        <v>0.13900000000000001</v>
      </c>
      <c r="T217" s="8" t="s">
        <v>963</v>
      </c>
    </row>
    <row r="218" spans="1:20" x14ac:dyDescent="0.2">
      <c r="A218" t="s">
        <v>965</v>
      </c>
      <c r="B218" t="s">
        <v>388</v>
      </c>
      <c r="C218" t="s">
        <v>388</v>
      </c>
      <c r="E218" t="s">
        <v>966</v>
      </c>
      <c r="F218" t="s">
        <v>967</v>
      </c>
      <c r="G218">
        <v>1</v>
      </c>
      <c r="H218">
        <v>1620</v>
      </c>
      <c r="I218">
        <v>1</v>
      </c>
      <c r="J218">
        <v>8.5</v>
      </c>
      <c r="K218">
        <v>1</v>
      </c>
      <c r="L218">
        <v>0.27500000000000002</v>
      </c>
      <c r="M218">
        <v>4</v>
      </c>
      <c r="N218">
        <v>397.5</v>
      </c>
      <c r="O218">
        <v>4</v>
      </c>
      <c r="P218">
        <v>2.65</v>
      </c>
      <c r="Q218">
        <v>3</v>
      </c>
      <c r="R218">
        <v>0.10100000000000001</v>
      </c>
      <c r="T218" s="8" t="s">
        <v>966</v>
      </c>
    </row>
    <row r="219" spans="1:20" x14ac:dyDescent="0.2">
      <c r="A219" t="s">
        <v>968</v>
      </c>
      <c r="B219" t="s">
        <v>388</v>
      </c>
      <c r="C219" t="s">
        <v>388</v>
      </c>
      <c r="E219" t="s">
        <v>969</v>
      </c>
      <c r="F219" t="s">
        <v>447</v>
      </c>
      <c r="G219">
        <v>1</v>
      </c>
      <c r="H219">
        <v>1620</v>
      </c>
      <c r="I219">
        <v>3</v>
      </c>
      <c r="J219">
        <v>18.5</v>
      </c>
      <c r="K219">
        <v>2</v>
      </c>
      <c r="L219">
        <v>0.52500000000000002</v>
      </c>
      <c r="M219">
        <v>1</v>
      </c>
      <c r="N219">
        <v>112.5</v>
      </c>
      <c r="O219">
        <v>1</v>
      </c>
      <c r="P219">
        <v>0.55000000000000004</v>
      </c>
      <c r="Q219">
        <v>1</v>
      </c>
      <c r="R219">
        <v>2.5000000000000001E-2</v>
      </c>
      <c r="T219" s="8" t="s">
        <v>969</v>
      </c>
    </row>
    <row r="220" spans="1:20" x14ac:dyDescent="0.2">
      <c r="A220" t="s">
        <v>970</v>
      </c>
      <c r="B220" t="s">
        <v>388</v>
      </c>
      <c r="C220" t="s">
        <v>388</v>
      </c>
      <c r="E220" t="s">
        <v>357</v>
      </c>
      <c r="F220" t="s">
        <v>971</v>
      </c>
      <c r="G220">
        <v>3</v>
      </c>
      <c r="H220">
        <v>2040</v>
      </c>
      <c r="I220">
        <v>3</v>
      </c>
      <c r="J220">
        <v>18.5</v>
      </c>
      <c r="K220">
        <v>3</v>
      </c>
      <c r="L220">
        <v>0.77500000000000002</v>
      </c>
      <c r="M220">
        <v>4</v>
      </c>
      <c r="N220">
        <v>397.5</v>
      </c>
      <c r="O220">
        <v>4</v>
      </c>
      <c r="P220">
        <v>2.65</v>
      </c>
      <c r="Q220">
        <v>4</v>
      </c>
      <c r="R220">
        <v>0.13900000000000001</v>
      </c>
      <c r="T220" s="8" t="s">
        <v>357</v>
      </c>
    </row>
    <row r="221" spans="1:20" x14ac:dyDescent="0.2">
      <c r="A221" t="s">
        <v>972</v>
      </c>
      <c r="B221" t="s">
        <v>388</v>
      </c>
      <c r="C221" t="s">
        <v>388</v>
      </c>
      <c r="E221" t="s">
        <v>973</v>
      </c>
      <c r="F221" t="s">
        <v>974</v>
      </c>
      <c r="G221">
        <v>1</v>
      </c>
      <c r="H221">
        <v>1620</v>
      </c>
      <c r="I221">
        <v>1</v>
      </c>
      <c r="J221">
        <v>8.5</v>
      </c>
      <c r="K221">
        <v>1</v>
      </c>
      <c r="L221">
        <v>0.27500000000000002</v>
      </c>
      <c r="M221">
        <v>2</v>
      </c>
      <c r="N221">
        <v>207.5</v>
      </c>
      <c r="O221">
        <v>2</v>
      </c>
      <c r="P221">
        <v>1.25</v>
      </c>
      <c r="Q221">
        <v>2</v>
      </c>
      <c r="R221">
        <v>6.3E-2</v>
      </c>
      <c r="T221" s="8" t="s">
        <v>973</v>
      </c>
    </row>
    <row r="222" spans="1:20" x14ac:dyDescent="0.2">
      <c r="A222" t="s">
        <v>975</v>
      </c>
      <c r="B222" t="s">
        <v>388</v>
      </c>
      <c r="C222" t="s">
        <v>388</v>
      </c>
      <c r="E222" t="s">
        <v>976</v>
      </c>
      <c r="F222" t="s">
        <v>977</v>
      </c>
      <c r="G222">
        <v>4</v>
      </c>
      <c r="H222">
        <v>2250</v>
      </c>
      <c r="I222">
        <v>4</v>
      </c>
      <c r="J222">
        <v>23.5</v>
      </c>
      <c r="K222">
        <v>4</v>
      </c>
      <c r="L222">
        <v>1.0249999999999999</v>
      </c>
      <c r="M222">
        <v>4</v>
      </c>
      <c r="N222">
        <v>397.5</v>
      </c>
      <c r="O222">
        <v>4</v>
      </c>
      <c r="P222">
        <v>2.65</v>
      </c>
      <c r="Q222">
        <v>4</v>
      </c>
      <c r="R222">
        <v>0.13900000000000001</v>
      </c>
      <c r="T222" s="8" t="s">
        <v>976</v>
      </c>
    </row>
    <row r="223" spans="1:20" x14ac:dyDescent="0.2">
      <c r="A223" t="s">
        <v>978</v>
      </c>
      <c r="B223" t="s">
        <v>388</v>
      </c>
      <c r="C223" t="s">
        <v>388</v>
      </c>
      <c r="E223" t="s">
        <v>979</v>
      </c>
      <c r="F223" t="s">
        <v>980</v>
      </c>
      <c r="G223">
        <v>5</v>
      </c>
      <c r="H223">
        <v>2460</v>
      </c>
      <c r="I223">
        <v>5</v>
      </c>
      <c r="J223">
        <v>28.5</v>
      </c>
      <c r="K223">
        <v>4</v>
      </c>
      <c r="L223">
        <v>1.0249999999999999</v>
      </c>
      <c r="M223">
        <v>4</v>
      </c>
      <c r="N223">
        <v>397.5</v>
      </c>
      <c r="O223">
        <v>5</v>
      </c>
      <c r="P223">
        <v>3.35</v>
      </c>
      <c r="Q223">
        <v>4</v>
      </c>
      <c r="R223">
        <v>0.13900000000000001</v>
      </c>
      <c r="T223" s="8" t="s">
        <v>979</v>
      </c>
    </row>
    <row r="224" spans="1:20" x14ac:dyDescent="0.2">
      <c r="A224" t="s">
        <v>981</v>
      </c>
      <c r="B224" t="s">
        <v>388</v>
      </c>
      <c r="C224" t="s">
        <v>388</v>
      </c>
      <c r="E224" t="s">
        <v>357</v>
      </c>
      <c r="F224" t="s">
        <v>447</v>
      </c>
      <c r="G224">
        <v>1</v>
      </c>
      <c r="H224">
        <v>1620</v>
      </c>
      <c r="I224">
        <v>1</v>
      </c>
      <c r="J224">
        <v>8.5</v>
      </c>
      <c r="K224">
        <v>1</v>
      </c>
      <c r="L224">
        <v>0.27500000000000002</v>
      </c>
      <c r="M224">
        <v>1</v>
      </c>
      <c r="N224">
        <v>112.5</v>
      </c>
      <c r="O224">
        <v>1</v>
      </c>
      <c r="P224">
        <v>0.55000000000000004</v>
      </c>
      <c r="Q224">
        <v>1</v>
      </c>
      <c r="R224">
        <v>2.5000000000000001E-2</v>
      </c>
      <c r="T224" s="8" t="s">
        <v>357</v>
      </c>
    </row>
    <row r="225" spans="1:20" x14ac:dyDescent="0.2">
      <c r="A225" t="s">
        <v>982</v>
      </c>
      <c r="B225" t="s">
        <v>388</v>
      </c>
      <c r="C225" t="s">
        <v>388</v>
      </c>
      <c r="E225" t="s">
        <v>983</v>
      </c>
      <c r="F225" t="s">
        <v>984</v>
      </c>
      <c r="G225">
        <v>1</v>
      </c>
      <c r="H225">
        <v>1620</v>
      </c>
      <c r="I225">
        <v>1</v>
      </c>
      <c r="J225">
        <v>8.5</v>
      </c>
      <c r="K225">
        <v>1</v>
      </c>
      <c r="L225">
        <v>0.27500000000000002</v>
      </c>
      <c r="M225">
        <v>1</v>
      </c>
      <c r="N225">
        <v>112.5</v>
      </c>
      <c r="O225">
        <v>1</v>
      </c>
      <c r="P225">
        <v>0.55000000000000004</v>
      </c>
      <c r="Q225">
        <v>1</v>
      </c>
      <c r="R225">
        <v>2.5000000000000001E-2</v>
      </c>
      <c r="T225" s="8" t="s">
        <v>983</v>
      </c>
    </row>
    <row r="226" spans="1:20" x14ac:dyDescent="0.2">
      <c r="A226" t="s">
        <v>985</v>
      </c>
      <c r="B226" t="s">
        <v>388</v>
      </c>
      <c r="C226" t="s">
        <v>388</v>
      </c>
      <c r="E226" t="s">
        <v>357</v>
      </c>
      <c r="F226" t="s">
        <v>986</v>
      </c>
      <c r="G226">
        <v>5</v>
      </c>
      <c r="H226">
        <v>2460</v>
      </c>
      <c r="I226">
        <v>5</v>
      </c>
      <c r="J226">
        <v>28.5</v>
      </c>
      <c r="K226">
        <v>5</v>
      </c>
      <c r="L226">
        <v>1.2749999999999999</v>
      </c>
      <c r="M226">
        <v>5</v>
      </c>
      <c r="N226">
        <v>492.5</v>
      </c>
      <c r="O226">
        <v>5</v>
      </c>
      <c r="P226">
        <v>3.35</v>
      </c>
      <c r="Q226">
        <v>5</v>
      </c>
      <c r="R226">
        <v>0.17699999999999999</v>
      </c>
      <c r="T226" s="8" t="s">
        <v>357</v>
      </c>
    </row>
    <row r="227" spans="1:20" x14ac:dyDescent="0.2">
      <c r="A227" t="s">
        <v>987</v>
      </c>
      <c r="B227" t="s">
        <v>388</v>
      </c>
      <c r="C227" t="s">
        <v>388</v>
      </c>
      <c r="E227" t="s">
        <v>988</v>
      </c>
      <c r="F227" t="s">
        <v>989</v>
      </c>
      <c r="G227">
        <v>4</v>
      </c>
      <c r="H227">
        <v>2250</v>
      </c>
      <c r="I227">
        <v>4</v>
      </c>
      <c r="J227">
        <v>23.5</v>
      </c>
      <c r="K227">
        <v>4</v>
      </c>
      <c r="L227">
        <v>1.0249999999999999</v>
      </c>
      <c r="M227">
        <v>4</v>
      </c>
      <c r="N227">
        <v>397.5</v>
      </c>
      <c r="O227">
        <v>4</v>
      </c>
      <c r="P227">
        <v>2.65</v>
      </c>
      <c r="Q227">
        <v>4</v>
      </c>
      <c r="R227">
        <v>0.13900000000000001</v>
      </c>
      <c r="T227" s="8" t="s">
        <v>988</v>
      </c>
    </row>
    <row r="228" spans="1:20" x14ac:dyDescent="0.2">
      <c r="A228" t="s">
        <v>990</v>
      </c>
      <c r="B228" t="s">
        <v>388</v>
      </c>
      <c r="C228" t="s">
        <v>388</v>
      </c>
      <c r="E228" t="s">
        <v>991</v>
      </c>
      <c r="F228" t="s">
        <v>992</v>
      </c>
      <c r="G228">
        <v>4</v>
      </c>
      <c r="H228">
        <v>2250</v>
      </c>
      <c r="I228">
        <v>4</v>
      </c>
      <c r="J228">
        <v>23.5</v>
      </c>
      <c r="K228">
        <v>4</v>
      </c>
      <c r="L228">
        <v>1.0249999999999999</v>
      </c>
      <c r="M228">
        <v>4</v>
      </c>
      <c r="N228">
        <v>397.5</v>
      </c>
      <c r="O228">
        <v>4</v>
      </c>
      <c r="P228">
        <v>2.65</v>
      </c>
      <c r="Q228">
        <v>4</v>
      </c>
      <c r="R228">
        <v>0.13900000000000001</v>
      </c>
      <c r="T228" s="8" t="s">
        <v>991</v>
      </c>
    </row>
    <row r="229" spans="1:20" x14ac:dyDescent="0.2">
      <c r="A229" t="s">
        <v>993</v>
      </c>
      <c r="B229" t="s">
        <v>388</v>
      </c>
      <c r="C229" t="s">
        <v>388</v>
      </c>
      <c r="E229" t="s">
        <v>994</v>
      </c>
      <c r="F229" t="s">
        <v>995</v>
      </c>
      <c r="G229">
        <v>3</v>
      </c>
      <c r="H229">
        <v>2040</v>
      </c>
      <c r="I229">
        <v>3</v>
      </c>
      <c r="J229">
        <v>18.5</v>
      </c>
      <c r="K229">
        <v>3</v>
      </c>
      <c r="L229">
        <v>0.77500000000000002</v>
      </c>
      <c r="M229">
        <v>1</v>
      </c>
      <c r="N229">
        <v>112.5</v>
      </c>
      <c r="O229">
        <v>1</v>
      </c>
      <c r="P229">
        <v>0.55000000000000004</v>
      </c>
      <c r="Q229">
        <v>1</v>
      </c>
      <c r="R229">
        <v>2.5000000000000001E-2</v>
      </c>
      <c r="T229" s="8" t="s">
        <v>994</v>
      </c>
    </row>
    <row r="230" spans="1:20" x14ac:dyDescent="0.2">
      <c r="A230" t="s">
        <v>996</v>
      </c>
      <c r="B230" t="s">
        <v>388</v>
      </c>
      <c r="C230" t="s">
        <v>388</v>
      </c>
      <c r="E230" t="s">
        <v>997</v>
      </c>
      <c r="F230" t="s">
        <v>998</v>
      </c>
      <c r="G230">
        <v>5</v>
      </c>
      <c r="H230">
        <v>2460</v>
      </c>
      <c r="I230">
        <v>5</v>
      </c>
      <c r="J230">
        <v>28.5</v>
      </c>
      <c r="K230">
        <v>4</v>
      </c>
      <c r="L230">
        <v>1.0249999999999999</v>
      </c>
      <c r="M230">
        <v>5</v>
      </c>
      <c r="N230">
        <v>492.5</v>
      </c>
      <c r="O230">
        <v>5</v>
      </c>
      <c r="P230">
        <v>3.35</v>
      </c>
      <c r="Q230">
        <v>4</v>
      </c>
      <c r="R230">
        <v>0.13900000000000001</v>
      </c>
      <c r="T230" s="8" t="s">
        <v>997</v>
      </c>
    </row>
    <row r="231" spans="1:20" x14ac:dyDescent="0.2">
      <c r="A231" t="s">
        <v>999</v>
      </c>
      <c r="B231" t="s">
        <v>388</v>
      </c>
      <c r="C231" t="s">
        <v>388</v>
      </c>
      <c r="E231" t="s">
        <v>1000</v>
      </c>
      <c r="F231" t="s">
        <v>1001</v>
      </c>
      <c r="G231">
        <v>2</v>
      </c>
      <c r="H231">
        <v>1830</v>
      </c>
      <c r="I231">
        <v>2</v>
      </c>
      <c r="J231">
        <v>13.5</v>
      </c>
      <c r="K231">
        <v>2</v>
      </c>
      <c r="L231">
        <v>0.52500000000000002</v>
      </c>
      <c r="M231">
        <v>3</v>
      </c>
      <c r="N231">
        <v>302.5</v>
      </c>
      <c r="O231">
        <v>3</v>
      </c>
      <c r="P231">
        <v>1.95</v>
      </c>
      <c r="Q231">
        <v>3</v>
      </c>
      <c r="R231">
        <v>0.10100000000000001</v>
      </c>
      <c r="T231" s="8" t="s">
        <v>1000</v>
      </c>
    </row>
    <row r="232" spans="1:20" x14ac:dyDescent="0.2">
      <c r="A232" t="s">
        <v>1002</v>
      </c>
      <c r="B232" t="s">
        <v>388</v>
      </c>
      <c r="C232" t="s">
        <v>388</v>
      </c>
      <c r="E232" t="s">
        <v>357</v>
      </c>
      <c r="F232" t="s">
        <v>1003</v>
      </c>
      <c r="G232">
        <v>5</v>
      </c>
      <c r="H232">
        <v>2460</v>
      </c>
      <c r="I232">
        <v>5</v>
      </c>
      <c r="J232">
        <v>28.5</v>
      </c>
      <c r="K232">
        <v>4</v>
      </c>
      <c r="L232">
        <v>1.0249999999999999</v>
      </c>
      <c r="M232">
        <v>5</v>
      </c>
      <c r="N232">
        <v>492.5</v>
      </c>
      <c r="O232">
        <v>5</v>
      </c>
      <c r="P232">
        <v>3.35</v>
      </c>
      <c r="Q232">
        <v>4</v>
      </c>
      <c r="R232">
        <v>0.13900000000000001</v>
      </c>
      <c r="T232" s="8" t="s">
        <v>357</v>
      </c>
    </row>
    <row r="233" spans="1:20" x14ac:dyDescent="0.2">
      <c r="A233" t="s">
        <v>1004</v>
      </c>
      <c r="B233" t="s">
        <v>388</v>
      </c>
      <c r="C233" t="s">
        <v>388</v>
      </c>
      <c r="E233" t="s">
        <v>1005</v>
      </c>
      <c r="F233" t="s">
        <v>447</v>
      </c>
      <c r="G233">
        <v>1</v>
      </c>
      <c r="H233">
        <v>1620</v>
      </c>
      <c r="I233">
        <v>3</v>
      </c>
      <c r="J233">
        <v>18.5</v>
      </c>
      <c r="K233">
        <v>2</v>
      </c>
      <c r="L233">
        <v>0.52500000000000002</v>
      </c>
      <c r="M233">
        <v>1</v>
      </c>
      <c r="N233">
        <v>112.5</v>
      </c>
      <c r="O233">
        <v>1</v>
      </c>
      <c r="P233">
        <v>0.55000000000000004</v>
      </c>
      <c r="Q233">
        <v>1</v>
      </c>
      <c r="R233">
        <v>2.5000000000000001E-2</v>
      </c>
      <c r="T233" s="8" t="s">
        <v>1005</v>
      </c>
    </row>
    <row r="234" spans="1:20" x14ac:dyDescent="0.2">
      <c r="A234" t="s">
        <v>1006</v>
      </c>
      <c r="B234" t="s">
        <v>388</v>
      </c>
      <c r="C234" t="s">
        <v>388</v>
      </c>
      <c r="E234" t="s">
        <v>1007</v>
      </c>
      <c r="F234" t="s">
        <v>1008</v>
      </c>
      <c r="G234">
        <v>3</v>
      </c>
      <c r="H234">
        <v>2040</v>
      </c>
      <c r="I234">
        <v>3</v>
      </c>
      <c r="J234">
        <v>18.5</v>
      </c>
      <c r="K234">
        <v>3</v>
      </c>
      <c r="L234">
        <v>0.77500000000000002</v>
      </c>
      <c r="M234">
        <v>3</v>
      </c>
      <c r="N234">
        <v>302.5</v>
      </c>
      <c r="O234">
        <v>3</v>
      </c>
      <c r="P234">
        <v>1.95</v>
      </c>
      <c r="Q234">
        <v>3</v>
      </c>
      <c r="R234">
        <v>0.10100000000000001</v>
      </c>
      <c r="T234" s="8" t="s">
        <v>1007</v>
      </c>
    </row>
    <row r="235" spans="1:20" x14ac:dyDescent="0.2">
      <c r="A235" t="s">
        <v>1009</v>
      </c>
      <c r="B235" t="s">
        <v>388</v>
      </c>
      <c r="C235" t="s">
        <v>388</v>
      </c>
      <c r="E235" t="s">
        <v>1010</v>
      </c>
      <c r="F235" t="s">
        <v>447</v>
      </c>
      <c r="G235">
        <v>5</v>
      </c>
      <c r="H235">
        <v>2460</v>
      </c>
      <c r="I235">
        <v>4</v>
      </c>
      <c r="J235">
        <v>23.5</v>
      </c>
      <c r="K235">
        <v>5</v>
      </c>
      <c r="L235">
        <v>1.2749999999999999</v>
      </c>
      <c r="M235">
        <v>5</v>
      </c>
      <c r="N235">
        <v>492.5</v>
      </c>
      <c r="O235">
        <v>5</v>
      </c>
      <c r="P235">
        <v>3.35</v>
      </c>
      <c r="Q235">
        <v>5</v>
      </c>
      <c r="R235">
        <v>0.17699999999999999</v>
      </c>
      <c r="T235" s="8" t="s">
        <v>1010</v>
      </c>
    </row>
    <row r="236" spans="1:20" x14ac:dyDescent="0.2">
      <c r="A236" t="s">
        <v>1011</v>
      </c>
      <c r="B236" t="s">
        <v>388</v>
      </c>
      <c r="C236" t="s">
        <v>388</v>
      </c>
      <c r="E236" t="s">
        <v>1012</v>
      </c>
      <c r="F236" t="s">
        <v>447</v>
      </c>
      <c r="G236">
        <v>5</v>
      </c>
      <c r="H236">
        <v>2460</v>
      </c>
      <c r="I236">
        <v>5</v>
      </c>
      <c r="J236">
        <v>28.5</v>
      </c>
      <c r="K236">
        <v>5</v>
      </c>
      <c r="L236">
        <v>1.2749999999999999</v>
      </c>
      <c r="M236">
        <v>5</v>
      </c>
      <c r="N236">
        <v>492.5</v>
      </c>
      <c r="O236">
        <v>5</v>
      </c>
      <c r="P236">
        <v>3.35</v>
      </c>
      <c r="Q236">
        <v>5</v>
      </c>
      <c r="R236">
        <v>0.17699999999999999</v>
      </c>
      <c r="T236" s="8" t="s">
        <v>1012</v>
      </c>
    </row>
    <row r="237" spans="1:20" x14ac:dyDescent="0.2">
      <c r="A237" t="s">
        <v>1013</v>
      </c>
      <c r="B237" t="s">
        <v>388</v>
      </c>
      <c r="C237" t="s">
        <v>388</v>
      </c>
      <c r="E237" t="s">
        <v>1014</v>
      </c>
      <c r="F237" t="s">
        <v>1015</v>
      </c>
      <c r="G237">
        <v>2</v>
      </c>
      <c r="H237">
        <v>1830</v>
      </c>
      <c r="I237">
        <v>2</v>
      </c>
      <c r="J237">
        <v>13.5</v>
      </c>
      <c r="K237">
        <v>1</v>
      </c>
      <c r="L237">
        <v>0.27500000000000002</v>
      </c>
      <c r="M237">
        <v>2</v>
      </c>
      <c r="N237">
        <v>207.5</v>
      </c>
      <c r="O237">
        <v>2</v>
      </c>
      <c r="P237">
        <v>1.25</v>
      </c>
      <c r="Q237">
        <v>1</v>
      </c>
      <c r="R237">
        <v>2.5000000000000001E-2</v>
      </c>
      <c r="T237" s="8" t="s">
        <v>1014</v>
      </c>
    </row>
    <row r="238" spans="1:20" x14ac:dyDescent="0.2">
      <c r="A238" t="s">
        <v>1016</v>
      </c>
      <c r="B238" t="s">
        <v>388</v>
      </c>
      <c r="C238" t="s">
        <v>388</v>
      </c>
      <c r="E238" t="s">
        <v>357</v>
      </c>
      <c r="F238" t="s">
        <v>447</v>
      </c>
      <c r="G238">
        <v>2</v>
      </c>
      <c r="H238">
        <v>1830</v>
      </c>
      <c r="I238">
        <v>1</v>
      </c>
      <c r="J238">
        <v>8.5</v>
      </c>
      <c r="K238">
        <v>1</v>
      </c>
      <c r="L238">
        <v>0.27500000000000002</v>
      </c>
      <c r="M238">
        <v>2</v>
      </c>
      <c r="N238">
        <v>207.5</v>
      </c>
      <c r="O238">
        <v>2</v>
      </c>
      <c r="P238">
        <v>1.25</v>
      </c>
      <c r="Q238">
        <v>2</v>
      </c>
      <c r="R238">
        <v>6.3E-2</v>
      </c>
      <c r="T238" s="8" t="s">
        <v>357</v>
      </c>
    </row>
    <row r="239" spans="1:20" x14ac:dyDescent="0.2">
      <c r="A239" t="s">
        <v>1017</v>
      </c>
      <c r="B239" t="s">
        <v>388</v>
      </c>
      <c r="C239" t="s">
        <v>388</v>
      </c>
      <c r="E239" t="s">
        <v>1018</v>
      </c>
      <c r="F239" t="s">
        <v>1019</v>
      </c>
      <c r="G239">
        <v>4</v>
      </c>
      <c r="H239">
        <v>2250</v>
      </c>
      <c r="I239">
        <v>4</v>
      </c>
      <c r="J239">
        <v>23.5</v>
      </c>
      <c r="K239">
        <v>4</v>
      </c>
      <c r="L239">
        <v>1.0249999999999999</v>
      </c>
      <c r="M239">
        <v>4</v>
      </c>
      <c r="N239">
        <v>397.5</v>
      </c>
      <c r="O239">
        <v>4</v>
      </c>
      <c r="P239">
        <v>2.65</v>
      </c>
      <c r="Q239">
        <v>4</v>
      </c>
      <c r="R239">
        <v>0.13900000000000001</v>
      </c>
      <c r="T239" s="8" t="s">
        <v>1018</v>
      </c>
    </row>
    <row r="240" spans="1:20" x14ac:dyDescent="0.2">
      <c r="A240" t="s">
        <v>1020</v>
      </c>
      <c r="B240" t="s">
        <v>388</v>
      </c>
      <c r="C240" t="s">
        <v>388</v>
      </c>
      <c r="E240" t="s">
        <v>1021</v>
      </c>
      <c r="F240" t="s">
        <v>1022</v>
      </c>
      <c r="G240">
        <v>4</v>
      </c>
      <c r="H240">
        <v>2250</v>
      </c>
      <c r="I240">
        <v>4</v>
      </c>
      <c r="J240">
        <v>23.5</v>
      </c>
      <c r="K240">
        <v>4</v>
      </c>
      <c r="L240">
        <v>1.0249999999999999</v>
      </c>
      <c r="M240">
        <v>4</v>
      </c>
      <c r="N240">
        <v>397.5</v>
      </c>
      <c r="O240">
        <v>4</v>
      </c>
      <c r="P240">
        <v>2.65</v>
      </c>
      <c r="Q240">
        <v>4</v>
      </c>
      <c r="R240">
        <v>0.13900000000000001</v>
      </c>
      <c r="T240" s="8" t="s">
        <v>1021</v>
      </c>
    </row>
    <row r="241" spans="1:20" x14ac:dyDescent="0.2">
      <c r="A241" t="s">
        <v>1023</v>
      </c>
      <c r="B241" t="s">
        <v>388</v>
      </c>
      <c r="C241" t="s">
        <v>388</v>
      </c>
      <c r="E241" t="s">
        <v>1024</v>
      </c>
      <c r="F241" t="s">
        <v>1025</v>
      </c>
      <c r="G241">
        <v>1</v>
      </c>
      <c r="H241">
        <v>1620</v>
      </c>
      <c r="I241">
        <v>3</v>
      </c>
      <c r="J241">
        <v>18.5</v>
      </c>
      <c r="K241">
        <v>2</v>
      </c>
      <c r="L241">
        <v>0.52500000000000002</v>
      </c>
      <c r="M241">
        <v>1</v>
      </c>
      <c r="N241">
        <v>112.5</v>
      </c>
      <c r="O241">
        <v>1</v>
      </c>
      <c r="P241">
        <v>0.55000000000000004</v>
      </c>
      <c r="Q241">
        <v>1</v>
      </c>
      <c r="R241">
        <v>2.5000000000000001E-2</v>
      </c>
      <c r="T241" s="8" t="s">
        <v>1024</v>
      </c>
    </row>
    <row r="242" spans="1:20" x14ac:dyDescent="0.2">
      <c r="A242" t="s">
        <v>1026</v>
      </c>
      <c r="B242" t="s">
        <v>388</v>
      </c>
      <c r="C242" t="s">
        <v>388</v>
      </c>
      <c r="E242" t="s">
        <v>1027</v>
      </c>
      <c r="F242" t="s">
        <v>1028</v>
      </c>
      <c r="G242">
        <v>4</v>
      </c>
      <c r="H242">
        <v>2250</v>
      </c>
      <c r="I242">
        <v>4</v>
      </c>
      <c r="J242">
        <v>23.5</v>
      </c>
      <c r="K242">
        <v>4</v>
      </c>
      <c r="L242">
        <v>1.0249999999999999</v>
      </c>
      <c r="M242">
        <v>4</v>
      </c>
      <c r="N242">
        <v>397.5</v>
      </c>
      <c r="O242">
        <v>4</v>
      </c>
      <c r="P242">
        <v>2.65</v>
      </c>
      <c r="Q242">
        <v>4</v>
      </c>
      <c r="R242">
        <v>0.13900000000000001</v>
      </c>
      <c r="T242" s="8" t="s">
        <v>1027</v>
      </c>
    </row>
    <row r="243" spans="1:20" x14ac:dyDescent="0.2">
      <c r="A243" t="s">
        <v>1029</v>
      </c>
      <c r="B243" t="s">
        <v>388</v>
      </c>
      <c r="C243" t="s">
        <v>388</v>
      </c>
      <c r="E243" t="s">
        <v>1030</v>
      </c>
      <c r="F243" t="s">
        <v>1031</v>
      </c>
      <c r="G243">
        <v>5</v>
      </c>
      <c r="H243">
        <v>2460</v>
      </c>
      <c r="I243">
        <v>5</v>
      </c>
      <c r="J243">
        <v>28.5</v>
      </c>
      <c r="K243">
        <v>5</v>
      </c>
      <c r="L243">
        <v>1.2749999999999999</v>
      </c>
      <c r="M243">
        <v>5</v>
      </c>
      <c r="N243">
        <v>492.5</v>
      </c>
      <c r="O243">
        <v>5</v>
      </c>
      <c r="P243">
        <v>3.35</v>
      </c>
      <c r="Q243">
        <v>5</v>
      </c>
      <c r="R243">
        <v>0.17699999999999999</v>
      </c>
      <c r="T243" s="8" t="s">
        <v>1030</v>
      </c>
    </row>
    <row r="244" spans="1:20" x14ac:dyDescent="0.2">
      <c r="A244" t="s">
        <v>1032</v>
      </c>
      <c r="B244" t="s">
        <v>388</v>
      </c>
      <c r="C244" t="s">
        <v>388</v>
      </c>
      <c r="E244" t="s">
        <v>1033</v>
      </c>
      <c r="F244" t="s">
        <v>447</v>
      </c>
      <c r="G244">
        <v>5</v>
      </c>
      <c r="H244">
        <v>2460</v>
      </c>
      <c r="I244">
        <v>5</v>
      </c>
      <c r="J244">
        <v>28.5</v>
      </c>
      <c r="K244">
        <v>5</v>
      </c>
      <c r="L244">
        <v>1.2749999999999999</v>
      </c>
      <c r="M244">
        <v>5</v>
      </c>
      <c r="N244">
        <v>492.5</v>
      </c>
      <c r="O244">
        <v>5</v>
      </c>
      <c r="P244">
        <v>3.35</v>
      </c>
      <c r="Q244">
        <v>4</v>
      </c>
      <c r="R244">
        <v>0.13900000000000001</v>
      </c>
      <c r="T244" s="8" t="s">
        <v>1033</v>
      </c>
    </row>
    <row r="245" spans="1:20" x14ac:dyDescent="0.2">
      <c r="A245" t="s">
        <v>1034</v>
      </c>
      <c r="B245" t="s">
        <v>388</v>
      </c>
      <c r="C245" t="s">
        <v>388</v>
      </c>
      <c r="E245" t="s">
        <v>1035</v>
      </c>
      <c r="F245" t="s">
        <v>1036</v>
      </c>
      <c r="G245">
        <v>4</v>
      </c>
      <c r="H245">
        <v>2250</v>
      </c>
      <c r="I245">
        <v>4</v>
      </c>
      <c r="J245">
        <v>23.5</v>
      </c>
      <c r="K245">
        <v>4</v>
      </c>
      <c r="L245">
        <v>1.0249999999999999</v>
      </c>
      <c r="M245">
        <v>4</v>
      </c>
      <c r="N245">
        <v>397.5</v>
      </c>
      <c r="O245">
        <v>4</v>
      </c>
      <c r="P245">
        <v>2.65</v>
      </c>
      <c r="Q245">
        <v>4</v>
      </c>
      <c r="R245">
        <v>0.13900000000000001</v>
      </c>
      <c r="T245" s="8" t="s">
        <v>1035</v>
      </c>
    </row>
    <row r="246" spans="1:20" x14ac:dyDescent="0.2">
      <c r="A246" t="s">
        <v>1037</v>
      </c>
      <c r="B246" t="s">
        <v>388</v>
      </c>
      <c r="C246" t="s">
        <v>388</v>
      </c>
      <c r="E246" t="s">
        <v>1038</v>
      </c>
      <c r="F246" t="s">
        <v>1039</v>
      </c>
      <c r="G246">
        <v>5</v>
      </c>
      <c r="H246">
        <v>2460</v>
      </c>
      <c r="I246">
        <v>4</v>
      </c>
      <c r="J246">
        <v>23.5</v>
      </c>
      <c r="K246">
        <v>4</v>
      </c>
      <c r="L246">
        <v>1.0249999999999999</v>
      </c>
      <c r="M246">
        <v>5</v>
      </c>
      <c r="N246">
        <v>492.5</v>
      </c>
      <c r="O246">
        <v>5</v>
      </c>
      <c r="P246">
        <v>3.35</v>
      </c>
      <c r="Q246">
        <v>5</v>
      </c>
      <c r="R246">
        <v>0.17699999999999999</v>
      </c>
      <c r="T246" s="8" t="s">
        <v>1038</v>
      </c>
    </row>
    <row r="247" spans="1:20" x14ac:dyDescent="0.2">
      <c r="A247" t="s">
        <v>1040</v>
      </c>
      <c r="B247" t="s">
        <v>388</v>
      </c>
      <c r="C247" t="s">
        <v>388</v>
      </c>
      <c r="E247" t="s">
        <v>1041</v>
      </c>
      <c r="F247" t="s">
        <v>1042</v>
      </c>
      <c r="G247">
        <v>5</v>
      </c>
      <c r="H247">
        <v>2460</v>
      </c>
      <c r="I247">
        <v>5</v>
      </c>
      <c r="J247">
        <v>28.5</v>
      </c>
      <c r="K247">
        <v>5</v>
      </c>
      <c r="L247">
        <v>1.2749999999999999</v>
      </c>
      <c r="M247">
        <v>5</v>
      </c>
      <c r="N247">
        <v>492.5</v>
      </c>
      <c r="O247">
        <v>5</v>
      </c>
      <c r="P247">
        <v>3.35</v>
      </c>
      <c r="Q247">
        <v>5</v>
      </c>
      <c r="R247">
        <v>0.17699999999999999</v>
      </c>
      <c r="T247" s="8" t="s">
        <v>1041</v>
      </c>
    </row>
    <row r="248" spans="1:20" x14ac:dyDescent="0.2">
      <c r="A248" t="s">
        <v>1043</v>
      </c>
      <c r="B248" t="s">
        <v>388</v>
      </c>
      <c r="C248" t="s">
        <v>388</v>
      </c>
      <c r="E248" t="s">
        <v>1044</v>
      </c>
      <c r="F248" t="s">
        <v>1045</v>
      </c>
      <c r="G248">
        <v>4</v>
      </c>
      <c r="H248">
        <v>2250</v>
      </c>
      <c r="I248">
        <v>4</v>
      </c>
      <c r="J248">
        <v>23.5</v>
      </c>
      <c r="K248">
        <v>4</v>
      </c>
      <c r="L248">
        <v>1.0249999999999999</v>
      </c>
      <c r="M248">
        <v>4</v>
      </c>
      <c r="N248">
        <v>397.5</v>
      </c>
      <c r="O248">
        <v>4</v>
      </c>
      <c r="P248">
        <v>2.65</v>
      </c>
      <c r="Q248">
        <v>4</v>
      </c>
      <c r="R248">
        <v>0.13900000000000001</v>
      </c>
      <c r="T248" s="8" t="s">
        <v>1044</v>
      </c>
    </row>
    <row r="249" spans="1:20" x14ac:dyDescent="0.2">
      <c r="A249" t="s">
        <v>1046</v>
      </c>
      <c r="B249" t="s">
        <v>388</v>
      </c>
      <c r="C249" t="s">
        <v>388</v>
      </c>
      <c r="E249" t="s">
        <v>1047</v>
      </c>
      <c r="F249" t="s">
        <v>1048</v>
      </c>
      <c r="G249">
        <v>1</v>
      </c>
      <c r="H249">
        <v>1620</v>
      </c>
      <c r="I249">
        <v>1</v>
      </c>
      <c r="J249">
        <v>8.5</v>
      </c>
      <c r="K249">
        <v>1</v>
      </c>
      <c r="L249">
        <v>0.27500000000000002</v>
      </c>
      <c r="M249">
        <v>1</v>
      </c>
      <c r="N249">
        <v>112.5</v>
      </c>
      <c r="O249">
        <v>1</v>
      </c>
      <c r="P249">
        <v>0.55000000000000004</v>
      </c>
      <c r="Q249">
        <v>1</v>
      </c>
      <c r="R249">
        <v>2.5000000000000001E-2</v>
      </c>
      <c r="T249" s="8" t="s">
        <v>1047</v>
      </c>
    </row>
    <row r="250" spans="1:20" x14ac:dyDescent="0.2">
      <c r="A250" t="s">
        <v>1049</v>
      </c>
      <c r="B250" t="s">
        <v>388</v>
      </c>
      <c r="C250" t="s">
        <v>388</v>
      </c>
      <c r="E250" t="s">
        <v>1050</v>
      </c>
      <c r="F250" t="s">
        <v>1051</v>
      </c>
      <c r="G250">
        <v>1</v>
      </c>
      <c r="H250">
        <v>1620</v>
      </c>
      <c r="I250">
        <v>1</v>
      </c>
      <c r="J250">
        <v>8.5</v>
      </c>
      <c r="K250">
        <v>1</v>
      </c>
      <c r="L250">
        <v>0.27500000000000002</v>
      </c>
      <c r="M250">
        <v>1</v>
      </c>
      <c r="N250">
        <v>112.5</v>
      </c>
      <c r="O250">
        <v>1</v>
      </c>
      <c r="P250">
        <v>0.55000000000000004</v>
      </c>
      <c r="Q250">
        <v>1</v>
      </c>
      <c r="R250">
        <v>2.5000000000000001E-2</v>
      </c>
      <c r="T250" s="8" t="s">
        <v>1050</v>
      </c>
    </row>
    <row r="251" spans="1:20" x14ac:dyDescent="0.2">
      <c r="A251" t="s">
        <v>1052</v>
      </c>
      <c r="B251" t="s">
        <v>388</v>
      </c>
      <c r="C251" t="s">
        <v>388</v>
      </c>
      <c r="E251" t="s">
        <v>1053</v>
      </c>
      <c r="F251" t="s">
        <v>1054</v>
      </c>
      <c r="G251">
        <v>4</v>
      </c>
      <c r="H251">
        <v>2250</v>
      </c>
      <c r="I251">
        <v>3</v>
      </c>
      <c r="J251">
        <v>18.5</v>
      </c>
      <c r="K251">
        <v>3</v>
      </c>
      <c r="L251">
        <v>0.77500000000000002</v>
      </c>
      <c r="M251">
        <v>3</v>
      </c>
      <c r="N251">
        <v>302.5</v>
      </c>
      <c r="O251">
        <v>3</v>
      </c>
      <c r="P251">
        <v>1.95</v>
      </c>
      <c r="Q251">
        <v>3</v>
      </c>
      <c r="R251">
        <v>0.10100000000000001</v>
      </c>
      <c r="T251" s="8" t="s">
        <v>1053</v>
      </c>
    </row>
    <row r="252" spans="1:20" x14ac:dyDescent="0.2">
      <c r="A252" t="s">
        <v>1055</v>
      </c>
      <c r="B252" t="s">
        <v>388</v>
      </c>
      <c r="C252" t="s">
        <v>388</v>
      </c>
      <c r="E252" t="s">
        <v>1056</v>
      </c>
      <c r="F252" t="s">
        <v>1057</v>
      </c>
      <c r="G252">
        <v>4</v>
      </c>
      <c r="H252">
        <v>2250</v>
      </c>
      <c r="I252">
        <v>4</v>
      </c>
      <c r="J252">
        <v>23.5</v>
      </c>
      <c r="K252">
        <v>4</v>
      </c>
      <c r="L252">
        <v>1.0249999999999999</v>
      </c>
      <c r="M252">
        <v>5</v>
      </c>
      <c r="N252">
        <v>492.5</v>
      </c>
      <c r="O252">
        <v>5</v>
      </c>
      <c r="P252">
        <v>3.35</v>
      </c>
      <c r="Q252">
        <v>4</v>
      </c>
      <c r="R252">
        <v>0.13900000000000001</v>
      </c>
      <c r="T252" s="8" t="s">
        <v>1056</v>
      </c>
    </row>
    <row r="253" spans="1:20" x14ac:dyDescent="0.2">
      <c r="A253" t="s">
        <v>1058</v>
      </c>
      <c r="B253" t="s">
        <v>388</v>
      </c>
      <c r="C253" t="s">
        <v>388</v>
      </c>
      <c r="E253" t="s">
        <v>1059</v>
      </c>
      <c r="F253" t="s">
        <v>1060</v>
      </c>
      <c r="G253">
        <v>5</v>
      </c>
      <c r="H253">
        <v>2460</v>
      </c>
      <c r="I253">
        <v>5</v>
      </c>
      <c r="J253">
        <v>28.5</v>
      </c>
      <c r="K253">
        <v>4</v>
      </c>
      <c r="L253">
        <v>1.0249999999999999</v>
      </c>
      <c r="M253">
        <v>5</v>
      </c>
      <c r="N253">
        <v>492.5</v>
      </c>
      <c r="O253">
        <v>5</v>
      </c>
      <c r="P253">
        <v>3.35</v>
      </c>
      <c r="Q253">
        <v>4</v>
      </c>
      <c r="R253">
        <v>0.13900000000000001</v>
      </c>
      <c r="T253" s="8" t="s">
        <v>1059</v>
      </c>
    </row>
    <row r="254" spans="1:20" x14ac:dyDescent="0.2">
      <c r="A254" t="s">
        <v>1061</v>
      </c>
      <c r="B254" t="s">
        <v>388</v>
      </c>
      <c r="C254" t="s">
        <v>388</v>
      </c>
      <c r="E254" t="s">
        <v>1062</v>
      </c>
      <c r="F254" t="s">
        <v>1063</v>
      </c>
      <c r="G254">
        <v>1</v>
      </c>
      <c r="H254">
        <v>1620</v>
      </c>
      <c r="I254">
        <v>1</v>
      </c>
      <c r="J254">
        <v>8.5</v>
      </c>
      <c r="K254">
        <v>1</v>
      </c>
      <c r="L254">
        <v>0.27500000000000002</v>
      </c>
      <c r="M254">
        <v>1</v>
      </c>
      <c r="N254">
        <v>112.5</v>
      </c>
      <c r="O254">
        <v>1</v>
      </c>
      <c r="P254">
        <v>0.55000000000000004</v>
      </c>
      <c r="Q254">
        <v>1</v>
      </c>
      <c r="R254">
        <v>2.5000000000000001E-2</v>
      </c>
      <c r="T254" s="8" t="s">
        <v>1062</v>
      </c>
    </row>
    <row r="255" spans="1:20" x14ac:dyDescent="0.2">
      <c r="A255" t="s">
        <v>1064</v>
      </c>
      <c r="B255" t="s">
        <v>388</v>
      </c>
      <c r="C255" t="s">
        <v>388</v>
      </c>
      <c r="E255" t="s">
        <v>1065</v>
      </c>
      <c r="F255" t="s">
        <v>1066</v>
      </c>
      <c r="G255">
        <v>5</v>
      </c>
      <c r="H255">
        <v>2460</v>
      </c>
      <c r="I255">
        <v>5</v>
      </c>
      <c r="J255">
        <v>28.5</v>
      </c>
      <c r="K255">
        <v>4</v>
      </c>
      <c r="L255">
        <v>1.0249999999999999</v>
      </c>
      <c r="M255">
        <v>5</v>
      </c>
      <c r="N255">
        <v>492.5</v>
      </c>
      <c r="O255">
        <v>5</v>
      </c>
      <c r="P255">
        <v>3.35</v>
      </c>
      <c r="Q255">
        <v>4</v>
      </c>
      <c r="R255">
        <v>0.13900000000000001</v>
      </c>
      <c r="T255" s="8" t="s">
        <v>1065</v>
      </c>
    </row>
    <row r="256" spans="1:20" x14ac:dyDescent="0.2">
      <c r="A256" t="s">
        <v>1067</v>
      </c>
      <c r="B256" t="s">
        <v>388</v>
      </c>
      <c r="C256" t="s">
        <v>388</v>
      </c>
      <c r="E256" t="s">
        <v>1068</v>
      </c>
      <c r="F256" t="s">
        <v>1069</v>
      </c>
      <c r="G256">
        <v>2</v>
      </c>
      <c r="H256">
        <v>1830</v>
      </c>
      <c r="I256">
        <v>3</v>
      </c>
      <c r="J256">
        <v>18.5</v>
      </c>
      <c r="K256">
        <v>3</v>
      </c>
      <c r="L256">
        <v>0.77500000000000002</v>
      </c>
      <c r="M256">
        <v>3</v>
      </c>
      <c r="N256">
        <v>302.5</v>
      </c>
      <c r="O256">
        <v>4</v>
      </c>
      <c r="P256">
        <v>2.65</v>
      </c>
      <c r="Q256">
        <v>4</v>
      </c>
      <c r="R256">
        <v>0.13900000000000001</v>
      </c>
      <c r="T256" s="8" t="s">
        <v>1068</v>
      </c>
    </row>
    <row r="257" spans="1:20" x14ac:dyDescent="0.2">
      <c r="A257" t="s">
        <v>1070</v>
      </c>
      <c r="B257" t="s">
        <v>388</v>
      </c>
      <c r="C257" t="s">
        <v>388</v>
      </c>
      <c r="E257" t="s">
        <v>1071</v>
      </c>
      <c r="F257" t="s">
        <v>1072</v>
      </c>
      <c r="G257">
        <v>2</v>
      </c>
      <c r="H257">
        <v>1830</v>
      </c>
      <c r="I257">
        <v>2</v>
      </c>
      <c r="J257">
        <v>13.5</v>
      </c>
      <c r="K257">
        <v>2</v>
      </c>
      <c r="L257">
        <v>0.52500000000000002</v>
      </c>
      <c r="M257">
        <v>2</v>
      </c>
      <c r="N257">
        <v>207.5</v>
      </c>
      <c r="O257">
        <v>3</v>
      </c>
      <c r="P257">
        <v>1.95</v>
      </c>
      <c r="Q257">
        <v>3</v>
      </c>
      <c r="R257">
        <v>0.10100000000000001</v>
      </c>
      <c r="T257" s="8" t="s">
        <v>1071</v>
      </c>
    </row>
    <row r="258" spans="1:20" x14ac:dyDescent="0.2">
      <c r="A258" t="s">
        <v>1073</v>
      </c>
      <c r="B258" t="s">
        <v>388</v>
      </c>
      <c r="C258" t="s">
        <v>388</v>
      </c>
      <c r="E258" t="s">
        <v>1074</v>
      </c>
      <c r="F258" t="s">
        <v>1075</v>
      </c>
      <c r="G258">
        <v>3</v>
      </c>
      <c r="H258">
        <v>2040</v>
      </c>
      <c r="I258">
        <v>4</v>
      </c>
      <c r="J258">
        <v>23.5</v>
      </c>
      <c r="K258">
        <v>3</v>
      </c>
      <c r="L258">
        <v>0.77500000000000002</v>
      </c>
      <c r="M258">
        <v>3</v>
      </c>
      <c r="N258">
        <v>302.5</v>
      </c>
      <c r="O258">
        <v>3</v>
      </c>
      <c r="P258">
        <v>1.95</v>
      </c>
      <c r="Q258">
        <v>4</v>
      </c>
      <c r="R258">
        <v>0.13900000000000001</v>
      </c>
      <c r="T258" s="8" t="s">
        <v>1074</v>
      </c>
    </row>
    <row r="259" spans="1:20" x14ac:dyDescent="0.2">
      <c r="A259" t="s">
        <v>1076</v>
      </c>
      <c r="B259" t="s">
        <v>388</v>
      </c>
      <c r="C259" t="s">
        <v>388</v>
      </c>
      <c r="E259" t="s">
        <v>1077</v>
      </c>
      <c r="F259" t="s">
        <v>1078</v>
      </c>
      <c r="G259">
        <v>3</v>
      </c>
      <c r="H259">
        <v>2040</v>
      </c>
      <c r="I259">
        <v>3</v>
      </c>
      <c r="J259">
        <v>18.5</v>
      </c>
      <c r="K259">
        <v>3</v>
      </c>
      <c r="L259">
        <v>0.77500000000000002</v>
      </c>
      <c r="M259">
        <v>3</v>
      </c>
      <c r="N259">
        <v>302.5</v>
      </c>
      <c r="O259">
        <v>3</v>
      </c>
      <c r="P259">
        <v>1.95</v>
      </c>
      <c r="Q259">
        <v>3</v>
      </c>
      <c r="R259">
        <v>0.10100000000000001</v>
      </c>
      <c r="T259" s="8" t="s">
        <v>1077</v>
      </c>
    </row>
    <row r="260" spans="1:20" x14ac:dyDescent="0.2">
      <c r="A260" t="s">
        <v>1079</v>
      </c>
      <c r="B260" t="s">
        <v>388</v>
      </c>
      <c r="C260" t="s">
        <v>388</v>
      </c>
      <c r="E260" t="s">
        <v>1080</v>
      </c>
      <c r="F260" t="s">
        <v>1081</v>
      </c>
      <c r="G260">
        <v>3</v>
      </c>
      <c r="H260">
        <v>2040</v>
      </c>
      <c r="I260">
        <v>3</v>
      </c>
      <c r="J260">
        <v>18.5</v>
      </c>
      <c r="K260">
        <v>3</v>
      </c>
      <c r="L260">
        <v>0.77500000000000002</v>
      </c>
      <c r="M260">
        <v>2</v>
      </c>
      <c r="N260">
        <v>207.5</v>
      </c>
      <c r="O260">
        <v>2</v>
      </c>
      <c r="P260">
        <v>1.25</v>
      </c>
      <c r="Q260">
        <v>3</v>
      </c>
      <c r="R260">
        <v>0.10100000000000001</v>
      </c>
      <c r="T260" s="8" t="s">
        <v>1080</v>
      </c>
    </row>
    <row r="261" spans="1:20" x14ac:dyDescent="0.2">
      <c r="A261" t="s">
        <v>1082</v>
      </c>
      <c r="B261" t="s">
        <v>388</v>
      </c>
      <c r="C261" t="s">
        <v>388</v>
      </c>
      <c r="E261" t="s">
        <v>1083</v>
      </c>
      <c r="F261" t="s">
        <v>1084</v>
      </c>
      <c r="G261">
        <v>4</v>
      </c>
      <c r="H261">
        <v>2250</v>
      </c>
      <c r="I261">
        <v>4</v>
      </c>
      <c r="J261">
        <v>23.5</v>
      </c>
      <c r="K261">
        <v>4</v>
      </c>
      <c r="L261">
        <v>1.0249999999999999</v>
      </c>
      <c r="M261">
        <v>4</v>
      </c>
      <c r="N261">
        <v>397.5</v>
      </c>
      <c r="O261">
        <v>4</v>
      </c>
      <c r="P261">
        <v>2.65</v>
      </c>
      <c r="Q261">
        <v>4</v>
      </c>
      <c r="R261">
        <v>0.13900000000000001</v>
      </c>
      <c r="T261" s="8" t="s">
        <v>1083</v>
      </c>
    </row>
    <row r="262" spans="1:20" x14ac:dyDescent="0.2">
      <c r="A262" t="s">
        <v>1085</v>
      </c>
      <c r="B262" t="s">
        <v>388</v>
      </c>
      <c r="C262" t="s">
        <v>388</v>
      </c>
      <c r="E262" t="s">
        <v>357</v>
      </c>
      <c r="F262" t="s">
        <v>1086</v>
      </c>
      <c r="G262">
        <v>1</v>
      </c>
      <c r="H262">
        <v>1620</v>
      </c>
      <c r="I262">
        <v>1</v>
      </c>
      <c r="J262">
        <v>8.5</v>
      </c>
      <c r="K262">
        <v>1</v>
      </c>
      <c r="L262">
        <v>0.27500000000000002</v>
      </c>
      <c r="M262">
        <v>3</v>
      </c>
      <c r="N262">
        <v>302.5</v>
      </c>
      <c r="O262">
        <v>3</v>
      </c>
      <c r="P262">
        <v>1.95</v>
      </c>
      <c r="Q262">
        <v>2</v>
      </c>
      <c r="R262">
        <v>6.3E-2</v>
      </c>
      <c r="T262" s="8" t="s">
        <v>357</v>
      </c>
    </row>
    <row r="263" spans="1:20" x14ac:dyDescent="0.2">
      <c r="A263" t="s">
        <v>1087</v>
      </c>
      <c r="B263" t="s">
        <v>388</v>
      </c>
      <c r="C263" t="s">
        <v>388</v>
      </c>
      <c r="E263" t="s">
        <v>1088</v>
      </c>
      <c r="F263" t="s">
        <v>1089</v>
      </c>
      <c r="G263">
        <v>4</v>
      </c>
      <c r="H263">
        <v>2250</v>
      </c>
      <c r="I263">
        <v>3</v>
      </c>
      <c r="J263">
        <v>18.5</v>
      </c>
      <c r="K263">
        <v>4</v>
      </c>
      <c r="L263">
        <v>1.0249999999999999</v>
      </c>
      <c r="M263">
        <v>5</v>
      </c>
      <c r="N263">
        <v>492.5</v>
      </c>
      <c r="O263">
        <v>5</v>
      </c>
      <c r="P263">
        <v>3.35</v>
      </c>
      <c r="Q263">
        <v>5</v>
      </c>
      <c r="R263">
        <v>0.17699999999999999</v>
      </c>
      <c r="T263" s="8" t="s">
        <v>1088</v>
      </c>
    </row>
    <row r="264" spans="1:20" x14ac:dyDescent="0.2">
      <c r="A264" t="s">
        <v>1090</v>
      </c>
      <c r="B264" t="s">
        <v>388</v>
      </c>
      <c r="C264" t="s">
        <v>388</v>
      </c>
      <c r="E264" t="s">
        <v>1091</v>
      </c>
      <c r="F264" t="s">
        <v>1092</v>
      </c>
      <c r="G264">
        <v>2</v>
      </c>
      <c r="H264">
        <v>1830</v>
      </c>
      <c r="I264">
        <v>3</v>
      </c>
      <c r="J264">
        <v>18.5</v>
      </c>
      <c r="K264">
        <v>3</v>
      </c>
      <c r="L264">
        <v>0.77500000000000002</v>
      </c>
      <c r="M264">
        <v>2</v>
      </c>
      <c r="N264">
        <v>207.5</v>
      </c>
      <c r="O264">
        <v>2</v>
      </c>
      <c r="P264">
        <v>1.25</v>
      </c>
      <c r="Q264">
        <v>5</v>
      </c>
      <c r="R264">
        <v>0.17699999999999999</v>
      </c>
      <c r="T264" s="8" t="s">
        <v>1091</v>
      </c>
    </row>
    <row r="265" spans="1:20" x14ac:dyDescent="0.2">
      <c r="A265" t="s">
        <v>1093</v>
      </c>
      <c r="B265" t="s">
        <v>388</v>
      </c>
      <c r="C265" t="s">
        <v>388</v>
      </c>
      <c r="E265" t="s">
        <v>1094</v>
      </c>
      <c r="F265" t="s">
        <v>1095</v>
      </c>
      <c r="G265">
        <v>3</v>
      </c>
      <c r="H265">
        <v>2040</v>
      </c>
      <c r="I265">
        <v>3</v>
      </c>
      <c r="J265">
        <v>18.5</v>
      </c>
      <c r="K265">
        <v>3</v>
      </c>
      <c r="L265">
        <v>0.77500000000000002</v>
      </c>
      <c r="M265">
        <v>4</v>
      </c>
      <c r="N265">
        <v>397.5</v>
      </c>
      <c r="O265">
        <v>4</v>
      </c>
      <c r="P265">
        <v>2.65</v>
      </c>
      <c r="Q265">
        <v>4</v>
      </c>
      <c r="R265">
        <v>0.13900000000000001</v>
      </c>
      <c r="T265" s="8" t="s">
        <v>1094</v>
      </c>
    </row>
    <row r="266" spans="1:20" x14ac:dyDescent="0.2">
      <c r="A266" t="s">
        <v>1096</v>
      </c>
      <c r="B266" t="s">
        <v>388</v>
      </c>
      <c r="C266" t="s">
        <v>388</v>
      </c>
      <c r="E266" t="s">
        <v>1097</v>
      </c>
      <c r="F266" t="s">
        <v>1098</v>
      </c>
      <c r="G266">
        <v>4</v>
      </c>
      <c r="H266">
        <v>2250</v>
      </c>
      <c r="I266">
        <v>4</v>
      </c>
      <c r="J266">
        <v>23.5</v>
      </c>
      <c r="K266">
        <v>4</v>
      </c>
      <c r="L266">
        <v>1.0249999999999999</v>
      </c>
      <c r="M266">
        <v>4</v>
      </c>
      <c r="N266">
        <v>397.5</v>
      </c>
      <c r="O266">
        <v>4</v>
      </c>
      <c r="P266">
        <v>2.65</v>
      </c>
      <c r="Q266">
        <v>4</v>
      </c>
      <c r="R266">
        <v>0.13900000000000001</v>
      </c>
      <c r="T266" s="8" t="s">
        <v>1097</v>
      </c>
    </row>
    <row r="267" spans="1:20" x14ac:dyDescent="0.2">
      <c r="A267" t="s">
        <v>1099</v>
      </c>
      <c r="B267" t="s">
        <v>388</v>
      </c>
      <c r="C267" t="s">
        <v>388</v>
      </c>
      <c r="E267" t="s">
        <v>1100</v>
      </c>
      <c r="F267" t="s">
        <v>1101</v>
      </c>
      <c r="G267">
        <v>4</v>
      </c>
      <c r="H267">
        <v>2250</v>
      </c>
      <c r="I267">
        <v>4</v>
      </c>
      <c r="J267">
        <v>23.5</v>
      </c>
      <c r="K267">
        <v>4</v>
      </c>
      <c r="L267">
        <v>1.0249999999999999</v>
      </c>
      <c r="M267">
        <v>4</v>
      </c>
      <c r="N267">
        <v>397.5</v>
      </c>
      <c r="O267">
        <v>5</v>
      </c>
      <c r="P267">
        <v>3.35</v>
      </c>
      <c r="Q267">
        <v>5</v>
      </c>
      <c r="R267">
        <v>0.17699999999999999</v>
      </c>
      <c r="T267" s="8" t="s">
        <v>1100</v>
      </c>
    </row>
    <row r="268" spans="1:20" x14ac:dyDescent="0.2">
      <c r="A268" t="s">
        <v>1102</v>
      </c>
      <c r="B268" t="s">
        <v>388</v>
      </c>
      <c r="C268" t="s">
        <v>388</v>
      </c>
      <c r="E268" t="s">
        <v>1103</v>
      </c>
      <c r="F268" t="s">
        <v>1104</v>
      </c>
      <c r="G268">
        <v>3</v>
      </c>
      <c r="H268">
        <v>2040</v>
      </c>
      <c r="I268">
        <v>3</v>
      </c>
      <c r="J268">
        <v>18.5</v>
      </c>
      <c r="K268">
        <v>2</v>
      </c>
      <c r="L268">
        <v>0.52500000000000002</v>
      </c>
      <c r="M268">
        <v>3</v>
      </c>
      <c r="N268">
        <v>302.5</v>
      </c>
      <c r="O268">
        <v>3</v>
      </c>
      <c r="P268">
        <v>1.95</v>
      </c>
      <c r="Q268">
        <v>2</v>
      </c>
      <c r="R268">
        <v>6.3E-2</v>
      </c>
      <c r="T268" s="8" t="s">
        <v>1103</v>
      </c>
    </row>
    <row r="269" spans="1:20" x14ac:dyDescent="0.2">
      <c r="A269" t="s">
        <v>1105</v>
      </c>
      <c r="B269" t="s">
        <v>388</v>
      </c>
      <c r="C269" t="s">
        <v>388</v>
      </c>
      <c r="E269" t="s">
        <v>1106</v>
      </c>
      <c r="F269" t="s">
        <v>1107</v>
      </c>
      <c r="G269">
        <v>3</v>
      </c>
      <c r="H269">
        <v>2040</v>
      </c>
      <c r="I269">
        <v>4</v>
      </c>
      <c r="J269">
        <v>23.5</v>
      </c>
      <c r="K269">
        <v>4</v>
      </c>
      <c r="L269">
        <v>1.0249999999999999</v>
      </c>
      <c r="M269">
        <v>3</v>
      </c>
      <c r="N269">
        <v>302.5</v>
      </c>
      <c r="O269">
        <v>3</v>
      </c>
      <c r="P269">
        <v>1.95</v>
      </c>
      <c r="Q269">
        <v>3</v>
      </c>
      <c r="R269">
        <v>0.10100000000000001</v>
      </c>
      <c r="T269" s="8" t="s">
        <v>1106</v>
      </c>
    </row>
    <row r="270" spans="1:20" x14ac:dyDescent="0.2">
      <c r="A270" t="s">
        <v>1108</v>
      </c>
      <c r="B270" t="s">
        <v>388</v>
      </c>
      <c r="C270" t="s">
        <v>388</v>
      </c>
      <c r="E270" t="s">
        <v>1109</v>
      </c>
      <c r="F270" t="s">
        <v>447</v>
      </c>
      <c r="G270">
        <v>3</v>
      </c>
      <c r="H270">
        <v>2040</v>
      </c>
      <c r="I270">
        <v>3</v>
      </c>
      <c r="J270">
        <v>18.5</v>
      </c>
      <c r="K270">
        <v>2</v>
      </c>
      <c r="L270">
        <v>0.52500000000000002</v>
      </c>
      <c r="M270">
        <v>3</v>
      </c>
      <c r="N270">
        <v>302.5</v>
      </c>
      <c r="O270">
        <v>3</v>
      </c>
      <c r="P270">
        <v>1.95</v>
      </c>
      <c r="Q270">
        <v>3</v>
      </c>
      <c r="R270">
        <v>0.10100000000000001</v>
      </c>
      <c r="T270" s="8" t="s">
        <v>1109</v>
      </c>
    </row>
    <row r="271" spans="1:20" x14ac:dyDescent="0.2">
      <c r="A271" t="s">
        <v>1110</v>
      </c>
      <c r="B271" t="s">
        <v>388</v>
      </c>
      <c r="C271" t="s">
        <v>388</v>
      </c>
      <c r="E271" t="s">
        <v>1111</v>
      </c>
      <c r="F271" t="s">
        <v>1112</v>
      </c>
      <c r="G271">
        <v>5</v>
      </c>
      <c r="H271">
        <v>2460</v>
      </c>
      <c r="I271">
        <v>5</v>
      </c>
      <c r="J271">
        <v>28.5</v>
      </c>
      <c r="K271">
        <v>4</v>
      </c>
      <c r="L271">
        <v>1.0249999999999999</v>
      </c>
      <c r="M271">
        <v>4</v>
      </c>
      <c r="N271">
        <v>397.5</v>
      </c>
      <c r="O271">
        <v>5</v>
      </c>
      <c r="P271">
        <v>3.35</v>
      </c>
      <c r="Q271">
        <v>4</v>
      </c>
      <c r="R271">
        <v>0.13900000000000001</v>
      </c>
      <c r="T271" s="8" t="s">
        <v>1111</v>
      </c>
    </row>
    <row r="272" spans="1:20" x14ac:dyDescent="0.2">
      <c r="A272" t="s">
        <v>1113</v>
      </c>
      <c r="B272" t="s">
        <v>388</v>
      </c>
      <c r="C272" t="s">
        <v>388</v>
      </c>
      <c r="E272" t="s">
        <v>1114</v>
      </c>
      <c r="F272" t="s">
        <v>1115</v>
      </c>
      <c r="G272">
        <v>4</v>
      </c>
      <c r="H272">
        <v>2250</v>
      </c>
      <c r="I272">
        <v>4</v>
      </c>
      <c r="J272">
        <v>23.5</v>
      </c>
      <c r="K272">
        <v>4</v>
      </c>
      <c r="L272">
        <v>1.0249999999999999</v>
      </c>
      <c r="M272">
        <v>5</v>
      </c>
      <c r="N272">
        <v>492.5</v>
      </c>
      <c r="O272">
        <v>5</v>
      </c>
      <c r="P272">
        <v>3.35</v>
      </c>
      <c r="Q272">
        <v>4</v>
      </c>
      <c r="R272">
        <v>0.13900000000000001</v>
      </c>
      <c r="T272" s="8" t="s">
        <v>1114</v>
      </c>
    </row>
    <row r="273" spans="1:20" x14ac:dyDescent="0.2">
      <c r="A273" t="s">
        <v>1116</v>
      </c>
      <c r="B273" t="s">
        <v>388</v>
      </c>
      <c r="C273" t="s">
        <v>388</v>
      </c>
      <c r="E273" t="s">
        <v>1117</v>
      </c>
      <c r="F273" t="s">
        <v>1118</v>
      </c>
      <c r="G273">
        <v>4</v>
      </c>
      <c r="H273">
        <v>2250</v>
      </c>
      <c r="I273">
        <v>3</v>
      </c>
      <c r="J273">
        <v>18.5</v>
      </c>
      <c r="K273">
        <v>3</v>
      </c>
      <c r="L273">
        <v>0.77500000000000002</v>
      </c>
      <c r="M273">
        <v>4</v>
      </c>
      <c r="N273">
        <v>397.5</v>
      </c>
      <c r="O273">
        <v>4</v>
      </c>
      <c r="P273">
        <v>2.65</v>
      </c>
      <c r="Q273">
        <v>4</v>
      </c>
      <c r="R273">
        <v>0.13900000000000001</v>
      </c>
      <c r="T273" s="8" t="s">
        <v>1117</v>
      </c>
    </row>
    <row r="274" spans="1:20" x14ac:dyDescent="0.2">
      <c r="A274" t="s">
        <v>1119</v>
      </c>
      <c r="B274" t="s">
        <v>388</v>
      </c>
      <c r="C274" t="s">
        <v>388</v>
      </c>
      <c r="E274" t="s">
        <v>1120</v>
      </c>
      <c r="F274" t="s">
        <v>1121</v>
      </c>
      <c r="G274">
        <v>1</v>
      </c>
      <c r="H274">
        <v>1620</v>
      </c>
      <c r="I274">
        <v>3</v>
      </c>
      <c r="J274">
        <v>18.5</v>
      </c>
      <c r="K274">
        <v>2</v>
      </c>
      <c r="L274">
        <v>0.52500000000000002</v>
      </c>
      <c r="M274">
        <v>1</v>
      </c>
      <c r="N274">
        <v>112.5</v>
      </c>
      <c r="O274">
        <v>1</v>
      </c>
      <c r="P274">
        <v>0.55000000000000004</v>
      </c>
      <c r="Q274">
        <v>1</v>
      </c>
      <c r="R274">
        <v>2.5000000000000001E-2</v>
      </c>
      <c r="T274" s="8" t="s">
        <v>1120</v>
      </c>
    </row>
    <row r="275" spans="1:20" x14ac:dyDescent="0.2">
      <c r="A275" t="s">
        <v>1122</v>
      </c>
      <c r="B275" t="s">
        <v>388</v>
      </c>
      <c r="C275" t="s">
        <v>388</v>
      </c>
      <c r="E275" t="s">
        <v>357</v>
      </c>
      <c r="F275" t="s">
        <v>447</v>
      </c>
      <c r="G275">
        <v>4</v>
      </c>
      <c r="H275">
        <v>2250</v>
      </c>
      <c r="I275">
        <v>4</v>
      </c>
      <c r="J275">
        <v>23.5</v>
      </c>
      <c r="K275">
        <v>3</v>
      </c>
      <c r="L275">
        <v>0.77500000000000002</v>
      </c>
      <c r="M275">
        <v>4</v>
      </c>
      <c r="N275">
        <v>397.5</v>
      </c>
      <c r="O275">
        <v>4</v>
      </c>
      <c r="P275">
        <v>2.65</v>
      </c>
      <c r="Q275">
        <v>4</v>
      </c>
      <c r="R275">
        <v>0.13900000000000001</v>
      </c>
      <c r="T275" s="8" t="s">
        <v>357</v>
      </c>
    </row>
    <row r="276" spans="1:20" x14ac:dyDescent="0.2">
      <c r="A276" t="s">
        <v>1123</v>
      </c>
      <c r="B276" t="s">
        <v>388</v>
      </c>
      <c r="C276" t="s">
        <v>388</v>
      </c>
      <c r="E276" t="s">
        <v>247</v>
      </c>
      <c r="F276" t="s">
        <v>1124</v>
      </c>
      <c r="G276">
        <v>5</v>
      </c>
      <c r="H276">
        <v>2460</v>
      </c>
      <c r="I276">
        <v>5</v>
      </c>
      <c r="J276">
        <v>28.5</v>
      </c>
      <c r="K276">
        <v>4</v>
      </c>
      <c r="L276">
        <v>1.0249999999999999</v>
      </c>
      <c r="M276">
        <v>5</v>
      </c>
      <c r="N276">
        <v>492.5</v>
      </c>
      <c r="O276">
        <v>5</v>
      </c>
      <c r="P276">
        <v>3.35</v>
      </c>
      <c r="Q276">
        <v>4</v>
      </c>
      <c r="R276">
        <v>0.13900000000000001</v>
      </c>
      <c r="T276" s="8" t="s">
        <v>247</v>
      </c>
    </row>
    <row r="277" spans="1:20" x14ac:dyDescent="0.2">
      <c r="A277" t="s">
        <v>1125</v>
      </c>
      <c r="B277" t="s">
        <v>388</v>
      </c>
      <c r="C277" t="s">
        <v>388</v>
      </c>
      <c r="E277" t="s">
        <v>1126</v>
      </c>
      <c r="F277" t="s">
        <v>1127</v>
      </c>
      <c r="G277">
        <v>5</v>
      </c>
      <c r="H277">
        <v>2460</v>
      </c>
      <c r="I277">
        <v>5</v>
      </c>
      <c r="J277">
        <v>28.5</v>
      </c>
      <c r="K277">
        <v>5</v>
      </c>
      <c r="L277">
        <v>1.2749999999999999</v>
      </c>
      <c r="M277">
        <v>5</v>
      </c>
      <c r="N277">
        <v>492.5</v>
      </c>
      <c r="O277">
        <v>5</v>
      </c>
      <c r="P277">
        <v>3.35</v>
      </c>
      <c r="Q277">
        <v>4</v>
      </c>
      <c r="R277">
        <v>0.13900000000000001</v>
      </c>
      <c r="T277" s="8" t="s">
        <v>1126</v>
      </c>
    </row>
    <row r="278" spans="1:20" x14ac:dyDescent="0.2">
      <c r="A278" t="s">
        <v>1128</v>
      </c>
      <c r="B278" t="s">
        <v>388</v>
      </c>
      <c r="C278" t="s">
        <v>388</v>
      </c>
      <c r="E278" t="s">
        <v>1129</v>
      </c>
      <c r="F278" t="s">
        <v>1130</v>
      </c>
      <c r="G278">
        <v>4</v>
      </c>
      <c r="H278">
        <v>2250</v>
      </c>
      <c r="I278">
        <v>4</v>
      </c>
      <c r="J278">
        <v>23.5</v>
      </c>
      <c r="K278">
        <v>4</v>
      </c>
      <c r="L278">
        <v>1.0249999999999999</v>
      </c>
      <c r="M278">
        <v>4</v>
      </c>
      <c r="N278">
        <v>397.5</v>
      </c>
      <c r="O278">
        <v>4</v>
      </c>
      <c r="P278">
        <v>2.65</v>
      </c>
      <c r="Q278">
        <v>4</v>
      </c>
      <c r="R278">
        <v>0.13900000000000001</v>
      </c>
      <c r="T278" s="8" t="s">
        <v>1129</v>
      </c>
    </row>
    <row r="279" spans="1:20" x14ac:dyDescent="0.2">
      <c r="A279" t="s">
        <v>1131</v>
      </c>
      <c r="B279" t="s">
        <v>388</v>
      </c>
      <c r="C279" t="s">
        <v>388</v>
      </c>
      <c r="E279" t="s">
        <v>1132</v>
      </c>
      <c r="F279" t="s">
        <v>447</v>
      </c>
      <c r="G279">
        <v>2</v>
      </c>
      <c r="H279">
        <v>1830</v>
      </c>
      <c r="I279">
        <v>2</v>
      </c>
      <c r="J279">
        <v>13.5</v>
      </c>
      <c r="K279">
        <v>2</v>
      </c>
      <c r="L279">
        <v>0.52500000000000002</v>
      </c>
      <c r="M279">
        <v>4</v>
      </c>
      <c r="N279">
        <v>397.5</v>
      </c>
      <c r="O279">
        <v>4</v>
      </c>
      <c r="P279">
        <v>2.65</v>
      </c>
      <c r="Q279">
        <v>4</v>
      </c>
      <c r="R279">
        <v>0.13900000000000001</v>
      </c>
      <c r="T279" s="8" t="s">
        <v>1132</v>
      </c>
    </row>
    <row r="280" spans="1:20" x14ac:dyDescent="0.2">
      <c r="A280" t="s">
        <v>1133</v>
      </c>
      <c r="B280" t="s">
        <v>388</v>
      </c>
      <c r="C280" t="s">
        <v>388</v>
      </c>
      <c r="E280" t="s">
        <v>1134</v>
      </c>
      <c r="F280" t="s">
        <v>1135</v>
      </c>
      <c r="G280">
        <v>1</v>
      </c>
      <c r="H280">
        <v>1620</v>
      </c>
      <c r="I280">
        <v>1</v>
      </c>
      <c r="J280">
        <v>8.5</v>
      </c>
      <c r="K280">
        <v>1</v>
      </c>
      <c r="L280">
        <v>0.27500000000000002</v>
      </c>
      <c r="M280">
        <v>1</v>
      </c>
      <c r="N280">
        <v>112.5</v>
      </c>
      <c r="O280">
        <v>1</v>
      </c>
      <c r="P280">
        <v>0.55000000000000004</v>
      </c>
      <c r="Q280">
        <v>1</v>
      </c>
      <c r="R280">
        <v>2.5000000000000001E-2</v>
      </c>
      <c r="T280" s="8" t="s">
        <v>1134</v>
      </c>
    </row>
    <row r="281" spans="1:20" x14ac:dyDescent="0.2">
      <c r="A281" t="s">
        <v>1136</v>
      </c>
      <c r="B281" t="s">
        <v>388</v>
      </c>
      <c r="C281" t="s">
        <v>388</v>
      </c>
      <c r="E281" t="s">
        <v>1134</v>
      </c>
      <c r="F281" t="s">
        <v>1135</v>
      </c>
      <c r="G281">
        <v>5</v>
      </c>
      <c r="H281">
        <v>2460</v>
      </c>
      <c r="I281">
        <v>5</v>
      </c>
      <c r="J281">
        <v>28.5</v>
      </c>
      <c r="K281">
        <v>5</v>
      </c>
      <c r="L281">
        <v>1.2749999999999999</v>
      </c>
      <c r="M281">
        <v>5</v>
      </c>
      <c r="N281">
        <v>492.5</v>
      </c>
      <c r="O281">
        <v>5</v>
      </c>
      <c r="P281">
        <v>3.35</v>
      </c>
      <c r="Q281">
        <v>4</v>
      </c>
      <c r="R281">
        <v>0.13900000000000001</v>
      </c>
      <c r="T281" s="8" t="s">
        <v>1134</v>
      </c>
    </row>
    <row r="282" spans="1:20" x14ac:dyDescent="0.2">
      <c r="A282" t="s">
        <v>1137</v>
      </c>
      <c r="B282" t="s">
        <v>388</v>
      </c>
      <c r="C282" t="s">
        <v>388</v>
      </c>
      <c r="E282" t="s">
        <v>1138</v>
      </c>
      <c r="F282" t="s">
        <v>1139</v>
      </c>
      <c r="G282">
        <v>4</v>
      </c>
      <c r="H282">
        <v>2250</v>
      </c>
      <c r="I282">
        <v>4</v>
      </c>
      <c r="J282">
        <v>23.5</v>
      </c>
      <c r="K282">
        <v>3</v>
      </c>
      <c r="L282">
        <v>0.77500000000000002</v>
      </c>
      <c r="M282">
        <v>4</v>
      </c>
      <c r="N282">
        <v>397.5</v>
      </c>
      <c r="O282">
        <v>4</v>
      </c>
      <c r="P282">
        <v>2.65</v>
      </c>
      <c r="Q282">
        <v>3</v>
      </c>
      <c r="R282">
        <v>0.10100000000000001</v>
      </c>
      <c r="T282" s="8" t="s">
        <v>1138</v>
      </c>
    </row>
    <row r="283" spans="1:20" x14ac:dyDescent="0.2">
      <c r="A283" t="s">
        <v>1140</v>
      </c>
      <c r="B283" t="s">
        <v>388</v>
      </c>
      <c r="C283" t="s">
        <v>388</v>
      </c>
      <c r="E283" t="s">
        <v>1141</v>
      </c>
      <c r="F283" t="s">
        <v>1142</v>
      </c>
      <c r="G283">
        <v>4</v>
      </c>
      <c r="H283">
        <v>2250</v>
      </c>
      <c r="I283">
        <v>4</v>
      </c>
      <c r="J283">
        <v>23.5</v>
      </c>
      <c r="K283">
        <v>4</v>
      </c>
      <c r="L283">
        <v>1.0249999999999999</v>
      </c>
      <c r="M283">
        <v>4</v>
      </c>
      <c r="N283">
        <v>397.5</v>
      </c>
      <c r="O283">
        <v>5</v>
      </c>
      <c r="P283">
        <v>3.35</v>
      </c>
      <c r="Q283">
        <v>4</v>
      </c>
      <c r="R283">
        <v>0.13900000000000001</v>
      </c>
      <c r="T283" s="8" t="s">
        <v>1141</v>
      </c>
    </row>
    <row r="284" spans="1:20" x14ac:dyDescent="0.2">
      <c r="A284" t="s">
        <v>1143</v>
      </c>
      <c r="B284" t="s">
        <v>388</v>
      </c>
      <c r="C284" t="s">
        <v>388</v>
      </c>
      <c r="E284" t="s">
        <v>1144</v>
      </c>
      <c r="F284" t="s">
        <v>1145</v>
      </c>
      <c r="G284">
        <v>3</v>
      </c>
      <c r="H284">
        <v>2040</v>
      </c>
      <c r="I284">
        <v>2</v>
      </c>
      <c r="J284">
        <v>13.5</v>
      </c>
      <c r="K284">
        <v>2</v>
      </c>
      <c r="L284">
        <v>0.52500000000000002</v>
      </c>
      <c r="M284">
        <v>3</v>
      </c>
      <c r="N284">
        <v>302.5</v>
      </c>
      <c r="O284">
        <v>3</v>
      </c>
      <c r="P284">
        <v>1.95</v>
      </c>
      <c r="Q284">
        <v>3</v>
      </c>
      <c r="R284">
        <v>0.10100000000000001</v>
      </c>
      <c r="T284" s="8" t="s">
        <v>1144</v>
      </c>
    </row>
    <row r="285" spans="1:20" x14ac:dyDescent="0.2">
      <c r="A285" t="s">
        <v>1146</v>
      </c>
      <c r="B285" t="s">
        <v>388</v>
      </c>
      <c r="C285" t="s">
        <v>388</v>
      </c>
      <c r="E285" t="s">
        <v>1147</v>
      </c>
      <c r="F285" t="s">
        <v>1148</v>
      </c>
      <c r="G285">
        <v>1</v>
      </c>
      <c r="H285">
        <v>1620</v>
      </c>
      <c r="I285">
        <v>1</v>
      </c>
      <c r="J285">
        <v>8.5</v>
      </c>
      <c r="K285">
        <v>1</v>
      </c>
      <c r="L285">
        <v>0.27500000000000002</v>
      </c>
      <c r="M285">
        <v>1</v>
      </c>
      <c r="N285">
        <v>112.5</v>
      </c>
      <c r="O285">
        <v>1</v>
      </c>
      <c r="P285">
        <v>0.55000000000000004</v>
      </c>
      <c r="Q285">
        <v>1</v>
      </c>
      <c r="R285">
        <v>2.5000000000000001E-2</v>
      </c>
      <c r="T285" s="8" t="s">
        <v>1147</v>
      </c>
    </row>
    <row r="286" spans="1:20" x14ac:dyDescent="0.2">
      <c r="A286" t="s">
        <v>1149</v>
      </c>
      <c r="B286" t="s">
        <v>388</v>
      </c>
      <c r="C286" t="s">
        <v>388</v>
      </c>
      <c r="E286" t="s">
        <v>1150</v>
      </c>
      <c r="F286" t="s">
        <v>1151</v>
      </c>
      <c r="G286">
        <v>3</v>
      </c>
      <c r="H286">
        <v>2040</v>
      </c>
      <c r="I286">
        <v>3</v>
      </c>
      <c r="J286">
        <v>18.5</v>
      </c>
      <c r="K286">
        <v>3</v>
      </c>
      <c r="L286">
        <v>0.77500000000000002</v>
      </c>
      <c r="M286">
        <v>3</v>
      </c>
      <c r="N286">
        <v>302.5</v>
      </c>
      <c r="O286">
        <v>3</v>
      </c>
      <c r="P286">
        <v>1.95</v>
      </c>
      <c r="Q286">
        <v>3</v>
      </c>
      <c r="R286">
        <v>0.10100000000000001</v>
      </c>
      <c r="T286" s="8" t="s">
        <v>1150</v>
      </c>
    </row>
    <row r="287" spans="1:20" x14ac:dyDescent="0.2">
      <c r="A287" t="s">
        <v>1152</v>
      </c>
      <c r="B287" t="s">
        <v>388</v>
      </c>
      <c r="C287" t="s">
        <v>388</v>
      </c>
      <c r="E287" t="s">
        <v>1153</v>
      </c>
      <c r="F287" t="s">
        <v>1154</v>
      </c>
      <c r="G287">
        <v>3</v>
      </c>
      <c r="H287">
        <v>2040</v>
      </c>
      <c r="I287">
        <v>4</v>
      </c>
      <c r="J287">
        <v>23.5</v>
      </c>
      <c r="K287">
        <v>3</v>
      </c>
      <c r="L287">
        <v>0.77500000000000002</v>
      </c>
      <c r="M287">
        <v>3</v>
      </c>
      <c r="N287">
        <v>302.5</v>
      </c>
      <c r="O287">
        <v>3</v>
      </c>
      <c r="P287">
        <v>1.95</v>
      </c>
      <c r="Q287">
        <v>3</v>
      </c>
      <c r="R287">
        <v>0.10100000000000001</v>
      </c>
      <c r="T287" s="8" t="s">
        <v>1153</v>
      </c>
    </row>
    <row r="288" spans="1:20" x14ac:dyDescent="0.2">
      <c r="A288" t="s">
        <v>1155</v>
      </c>
      <c r="B288" t="s">
        <v>388</v>
      </c>
      <c r="C288" t="s">
        <v>388</v>
      </c>
      <c r="E288" t="s">
        <v>1156</v>
      </c>
      <c r="F288" t="s">
        <v>1157</v>
      </c>
      <c r="G288">
        <v>5</v>
      </c>
      <c r="H288">
        <v>2460</v>
      </c>
      <c r="I288">
        <v>5</v>
      </c>
      <c r="J288">
        <v>28.5</v>
      </c>
      <c r="K288">
        <v>5</v>
      </c>
      <c r="L288">
        <v>1.2749999999999999</v>
      </c>
      <c r="M288">
        <v>5</v>
      </c>
      <c r="N288">
        <v>492.5</v>
      </c>
      <c r="O288">
        <v>5</v>
      </c>
      <c r="P288">
        <v>3.35</v>
      </c>
      <c r="Q288">
        <v>5</v>
      </c>
      <c r="R288">
        <v>0.17699999999999999</v>
      </c>
      <c r="T288" s="8" t="s">
        <v>1156</v>
      </c>
    </row>
    <row r="289" spans="1:20" x14ac:dyDescent="0.2">
      <c r="A289" t="s">
        <v>1158</v>
      </c>
      <c r="B289" t="s">
        <v>388</v>
      </c>
      <c r="C289" t="s">
        <v>388</v>
      </c>
      <c r="E289" t="s">
        <v>1159</v>
      </c>
      <c r="F289" t="s">
        <v>1160</v>
      </c>
      <c r="G289">
        <v>2</v>
      </c>
      <c r="H289">
        <v>1830</v>
      </c>
      <c r="I289">
        <v>1</v>
      </c>
      <c r="J289">
        <v>8.5</v>
      </c>
      <c r="K289">
        <v>1</v>
      </c>
      <c r="L289">
        <v>0.27500000000000002</v>
      </c>
      <c r="M289">
        <v>1</v>
      </c>
      <c r="N289">
        <v>112.5</v>
      </c>
      <c r="O289">
        <v>1</v>
      </c>
      <c r="P289">
        <v>0.55000000000000004</v>
      </c>
      <c r="Q289">
        <v>1</v>
      </c>
      <c r="R289">
        <v>2.5000000000000001E-2</v>
      </c>
      <c r="T289" s="8" t="s">
        <v>1159</v>
      </c>
    </row>
    <row r="290" spans="1:20" x14ac:dyDescent="0.2">
      <c r="A290" t="s">
        <v>1161</v>
      </c>
      <c r="B290" t="s">
        <v>388</v>
      </c>
      <c r="C290" t="s">
        <v>388</v>
      </c>
      <c r="E290" t="s">
        <v>1162</v>
      </c>
      <c r="F290" t="s">
        <v>1163</v>
      </c>
      <c r="G290">
        <v>2</v>
      </c>
      <c r="H290">
        <v>1830</v>
      </c>
      <c r="I290">
        <v>1</v>
      </c>
      <c r="J290">
        <v>8.5</v>
      </c>
      <c r="K290">
        <v>1</v>
      </c>
      <c r="L290">
        <v>0.27500000000000002</v>
      </c>
      <c r="M290">
        <v>1</v>
      </c>
      <c r="N290">
        <v>112.5</v>
      </c>
      <c r="O290">
        <v>1</v>
      </c>
      <c r="P290">
        <v>0.55000000000000004</v>
      </c>
      <c r="Q290">
        <v>1</v>
      </c>
      <c r="R290">
        <v>2.5000000000000001E-2</v>
      </c>
      <c r="T290" s="8" t="s">
        <v>1162</v>
      </c>
    </row>
    <row r="291" spans="1:20" x14ac:dyDescent="0.2">
      <c r="A291" t="s">
        <v>1164</v>
      </c>
      <c r="B291" t="s">
        <v>388</v>
      </c>
      <c r="C291" t="s">
        <v>388</v>
      </c>
      <c r="E291" t="s">
        <v>1165</v>
      </c>
      <c r="F291" t="s">
        <v>1166</v>
      </c>
      <c r="G291">
        <v>5</v>
      </c>
      <c r="H291">
        <v>2460</v>
      </c>
      <c r="I291">
        <v>5</v>
      </c>
      <c r="J291">
        <v>28.5</v>
      </c>
      <c r="K291">
        <v>4</v>
      </c>
      <c r="L291">
        <v>1.0249999999999999</v>
      </c>
      <c r="M291">
        <v>4</v>
      </c>
      <c r="N291">
        <v>397.5</v>
      </c>
      <c r="O291">
        <v>5</v>
      </c>
      <c r="P291">
        <v>3.35</v>
      </c>
      <c r="Q291">
        <v>4</v>
      </c>
      <c r="R291">
        <v>0.13900000000000001</v>
      </c>
      <c r="T291" s="8" t="s">
        <v>1165</v>
      </c>
    </row>
    <row r="292" spans="1:20" x14ac:dyDescent="0.2">
      <c r="A292" t="s">
        <v>1167</v>
      </c>
      <c r="B292" t="s">
        <v>388</v>
      </c>
      <c r="C292" t="s">
        <v>388</v>
      </c>
      <c r="E292" t="s">
        <v>1168</v>
      </c>
      <c r="F292" t="s">
        <v>1169</v>
      </c>
      <c r="G292">
        <v>3</v>
      </c>
      <c r="H292">
        <v>2040</v>
      </c>
      <c r="I292">
        <v>3</v>
      </c>
      <c r="J292">
        <v>18.5</v>
      </c>
      <c r="K292">
        <v>3</v>
      </c>
      <c r="L292">
        <v>0.77500000000000002</v>
      </c>
      <c r="M292">
        <v>3</v>
      </c>
      <c r="N292">
        <v>302.5</v>
      </c>
      <c r="O292">
        <v>3</v>
      </c>
      <c r="P292">
        <v>1.95</v>
      </c>
      <c r="Q292">
        <v>3</v>
      </c>
      <c r="R292">
        <v>0.10100000000000001</v>
      </c>
      <c r="T292" s="8" t="s">
        <v>1168</v>
      </c>
    </row>
    <row r="293" spans="1:20" x14ac:dyDescent="0.2">
      <c r="A293" t="s">
        <v>1170</v>
      </c>
      <c r="B293" t="s">
        <v>388</v>
      </c>
      <c r="C293" t="s">
        <v>388</v>
      </c>
      <c r="E293" t="s">
        <v>1171</v>
      </c>
      <c r="F293" t="s">
        <v>1172</v>
      </c>
      <c r="G293">
        <v>5</v>
      </c>
      <c r="H293">
        <v>2460</v>
      </c>
      <c r="I293">
        <v>4</v>
      </c>
      <c r="J293">
        <v>23.5</v>
      </c>
      <c r="K293">
        <v>4</v>
      </c>
      <c r="L293">
        <v>1.0249999999999999</v>
      </c>
      <c r="M293">
        <v>5</v>
      </c>
      <c r="N293">
        <v>492.5</v>
      </c>
      <c r="O293">
        <v>5</v>
      </c>
      <c r="P293">
        <v>3.35</v>
      </c>
      <c r="Q293">
        <v>5</v>
      </c>
      <c r="R293">
        <v>0.17699999999999999</v>
      </c>
      <c r="T293" s="8" t="s">
        <v>1171</v>
      </c>
    </row>
    <row r="294" spans="1:20" x14ac:dyDescent="0.2">
      <c r="A294" t="s">
        <v>1173</v>
      </c>
      <c r="B294" t="s">
        <v>388</v>
      </c>
      <c r="C294" t="s">
        <v>388</v>
      </c>
      <c r="E294" t="s">
        <v>1174</v>
      </c>
      <c r="F294" t="s">
        <v>1175</v>
      </c>
      <c r="G294">
        <v>3</v>
      </c>
      <c r="H294">
        <v>2040</v>
      </c>
      <c r="I294">
        <v>3</v>
      </c>
      <c r="J294">
        <v>18.5</v>
      </c>
      <c r="K294">
        <v>3</v>
      </c>
      <c r="L294">
        <v>0.77500000000000002</v>
      </c>
      <c r="M294">
        <v>3</v>
      </c>
      <c r="N294">
        <v>302.5</v>
      </c>
      <c r="O294">
        <v>3</v>
      </c>
      <c r="P294">
        <v>1.95</v>
      </c>
      <c r="Q294">
        <v>3</v>
      </c>
      <c r="R294">
        <v>0.10100000000000001</v>
      </c>
      <c r="T294" s="8" t="s">
        <v>1174</v>
      </c>
    </row>
    <row r="295" spans="1:20" x14ac:dyDescent="0.2">
      <c r="A295" t="s">
        <v>1176</v>
      </c>
      <c r="B295" t="s">
        <v>388</v>
      </c>
      <c r="C295" t="s">
        <v>388</v>
      </c>
      <c r="E295" t="s">
        <v>1177</v>
      </c>
      <c r="F295" t="s">
        <v>447</v>
      </c>
      <c r="G295">
        <v>2</v>
      </c>
      <c r="H295">
        <v>1830</v>
      </c>
      <c r="I295">
        <v>1</v>
      </c>
      <c r="J295">
        <v>8.5</v>
      </c>
      <c r="K295">
        <v>1</v>
      </c>
      <c r="L295">
        <v>0.27500000000000002</v>
      </c>
      <c r="M295">
        <v>2</v>
      </c>
      <c r="N295">
        <v>207.5</v>
      </c>
      <c r="O295">
        <v>2</v>
      </c>
      <c r="P295">
        <v>1.25</v>
      </c>
      <c r="Q295">
        <v>1</v>
      </c>
      <c r="R295">
        <v>2.5000000000000001E-2</v>
      </c>
      <c r="T295" s="8" t="s">
        <v>1177</v>
      </c>
    </row>
    <row r="296" spans="1:20" x14ac:dyDescent="0.2">
      <c r="A296" t="s">
        <v>1178</v>
      </c>
      <c r="B296" t="s">
        <v>388</v>
      </c>
      <c r="C296" t="s">
        <v>388</v>
      </c>
      <c r="E296" t="s">
        <v>1179</v>
      </c>
      <c r="F296" t="s">
        <v>1180</v>
      </c>
      <c r="G296">
        <v>4</v>
      </c>
      <c r="H296">
        <v>2250</v>
      </c>
      <c r="I296">
        <v>4</v>
      </c>
      <c r="J296">
        <v>23.5</v>
      </c>
      <c r="K296">
        <v>4</v>
      </c>
      <c r="L296">
        <v>1.0249999999999999</v>
      </c>
      <c r="M296">
        <v>4</v>
      </c>
      <c r="N296">
        <v>397.5</v>
      </c>
      <c r="O296">
        <v>4</v>
      </c>
      <c r="P296">
        <v>2.65</v>
      </c>
      <c r="Q296">
        <v>4</v>
      </c>
      <c r="R296">
        <v>0.13900000000000001</v>
      </c>
      <c r="T296" s="8" t="s">
        <v>1179</v>
      </c>
    </row>
    <row r="297" spans="1:20" x14ac:dyDescent="0.2">
      <c r="A297" t="s">
        <v>1181</v>
      </c>
      <c r="B297" t="s">
        <v>388</v>
      </c>
      <c r="C297" t="s">
        <v>388</v>
      </c>
      <c r="E297" t="s">
        <v>357</v>
      </c>
      <c r="F297" t="s">
        <v>1182</v>
      </c>
      <c r="G297">
        <v>5</v>
      </c>
      <c r="H297">
        <v>2460</v>
      </c>
      <c r="I297">
        <v>5</v>
      </c>
      <c r="J297">
        <v>28.5</v>
      </c>
      <c r="K297">
        <v>5</v>
      </c>
      <c r="L297">
        <v>1.2749999999999999</v>
      </c>
      <c r="M297">
        <v>5</v>
      </c>
      <c r="N297">
        <v>492.5</v>
      </c>
      <c r="O297">
        <v>5</v>
      </c>
      <c r="P297">
        <v>3.35</v>
      </c>
      <c r="Q297">
        <v>5</v>
      </c>
      <c r="R297">
        <v>0.17699999999999999</v>
      </c>
      <c r="T297" s="8" t="s">
        <v>357</v>
      </c>
    </row>
    <row r="298" spans="1:20" x14ac:dyDescent="0.2">
      <c r="A298" t="s">
        <v>1183</v>
      </c>
      <c r="B298" t="s">
        <v>388</v>
      </c>
      <c r="C298" t="s">
        <v>388</v>
      </c>
      <c r="E298" t="s">
        <v>1184</v>
      </c>
      <c r="F298" t="s">
        <v>1185</v>
      </c>
      <c r="G298">
        <v>2</v>
      </c>
      <c r="H298">
        <v>1830</v>
      </c>
      <c r="I298">
        <v>2</v>
      </c>
      <c r="J298">
        <v>13.5</v>
      </c>
      <c r="K298">
        <v>2</v>
      </c>
      <c r="L298">
        <v>0.52500000000000002</v>
      </c>
      <c r="M298">
        <v>2</v>
      </c>
      <c r="N298">
        <v>207.5</v>
      </c>
      <c r="O298">
        <v>2</v>
      </c>
      <c r="P298">
        <v>1.25</v>
      </c>
      <c r="Q298">
        <v>1</v>
      </c>
      <c r="R298">
        <v>2.5000000000000001E-2</v>
      </c>
      <c r="T298" s="8" t="s">
        <v>1184</v>
      </c>
    </row>
    <row r="299" spans="1:20" x14ac:dyDescent="0.2">
      <c r="A299" t="s">
        <v>1186</v>
      </c>
      <c r="B299" t="s">
        <v>388</v>
      </c>
      <c r="C299" t="s">
        <v>388</v>
      </c>
      <c r="E299" t="s">
        <v>1187</v>
      </c>
      <c r="F299" t="s">
        <v>1188</v>
      </c>
      <c r="G299">
        <v>4</v>
      </c>
      <c r="H299">
        <v>2250</v>
      </c>
      <c r="I299">
        <v>5</v>
      </c>
      <c r="J299">
        <v>28.5</v>
      </c>
      <c r="K299">
        <v>4</v>
      </c>
      <c r="L299">
        <v>1.0249999999999999</v>
      </c>
      <c r="M299">
        <v>4</v>
      </c>
      <c r="N299">
        <v>397.5</v>
      </c>
      <c r="O299">
        <v>4</v>
      </c>
      <c r="P299">
        <v>2.65</v>
      </c>
      <c r="Q299">
        <v>4</v>
      </c>
      <c r="R299">
        <v>0.13900000000000001</v>
      </c>
      <c r="T299" s="8" t="s">
        <v>1187</v>
      </c>
    </row>
    <row r="300" spans="1:20" x14ac:dyDescent="0.2">
      <c r="A300" t="s">
        <v>1189</v>
      </c>
      <c r="B300" t="s">
        <v>388</v>
      </c>
      <c r="C300" t="s">
        <v>388</v>
      </c>
      <c r="E300" t="s">
        <v>357</v>
      </c>
      <c r="F300" t="s">
        <v>447</v>
      </c>
      <c r="G300">
        <v>4</v>
      </c>
      <c r="H300">
        <v>2250</v>
      </c>
      <c r="I300">
        <v>3</v>
      </c>
      <c r="J300">
        <v>18.5</v>
      </c>
      <c r="K300">
        <v>4</v>
      </c>
      <c r="L300">
        <v>1.0249999999999999</v>
      </c>
      <c r="M300">
        <v>4</v>
      </c>
      <c r="N300">
        <v>397.5</v>
      </c>
      <c r="O300">
        <v>4</v>
      </c>
      <c r="P300">
        <v>2.65</v>
      </c>
      <c r="Q300">
        <v>5</v>
      </c>
      <c r="R300">
        <v>0.17699999999999999</v>
      </c>
      <c r="T300" s="8" t="s">
        <v>357</v>
      </c>
    </row>
    <row r="301" spans="1:20" x14ac:dyDescent="0.2">
      <c r="A301" t="s">
        <v>1190</v>
      </c>
      <c r="B301" t="s">
        <v>388</v>
      </c>
      <c r="C301" t="s">
        <v>388</v>
      </c>
      <c r="E301" t="s">
        <v>1191</v>
      </c>
      <c r="F301" t="s">
        <v>1192</v>
      </c>
      <c r="G301">
        <v>4</v>
      </c>
      <c r="H301">
        <v>2250</v>
      </c>
      <c r="I301">
        <v>5</v>
      </c>
      <c r="J301">
        <v>28.5</v>
      </c>
      <c r="K301">
        <v>4</v>
      </c>
      <c r="L301">
        <v>1.0249999999999999</v>
      </c>
      <c r="M301">
        <v>2</v>
      </c>
      <c r="N301">
        <v>207.5</v>
      </c>
      <c r="O301">
        <v>3</v>
      </c>
      <c r="P301">
        <v>1.95</v>
      </c>
      <c r="Q301">
        <v>3</v>
      </c>
      <c r="R301">
        <v>0.10100000000000001</v>
      </c>
      <c r="T301" s="8" t="s">
        <v>1191</v>
      </c>
    </row>
    <row r="302" spans="1:20" x14ac:dyDescent="0.2">
      <c r="A302" t="s">
        <v>1193</v>
      </c>
      <c r="B302" t="s">
        <v>388</v>
      </c>
      <c r="C302" t="s">
        <v>388</v>
      </c>
      <c r="E302" t="s">
        <v>1194</v>
      </c>
      <c r="F302" t="s">
        <v>447</v>
      </c>
      <c r="G302">
        <v>4</v>
      </c>
      <c r="H302">
        <v>2250</v>
      </c>
      <c r="I302">
        <v>4</v>
      </c>
      <c r="J302">
        <v>23.5</v>
      </c>
      <c r="K302">
        <v>3</v>
      </c>
      <c r="L302">
        <v>0.77500000000000002</v>
      </c>
      <c r="M302">
        <v>3</v>
      </c>
      <c r="N302">
        <v>302.5</v>
      </c>
      <c r="O302">
        <v>4</v>
      </c>
      <c r="P302">
        <v>2.65</v>
      </c>
      <c r="Q302">
        <v>4</v>
      </c>
      <c r="R302">
        <v>0.13900000000000001</v>
      </c>
      <c r="T302" s="8" t="s">
        <v>1194</v>
      </c>
    </row>
    <row r="303" spans="1:20" x14ac:dyDescent="0.2">
      <c r="A303" t="s">
        <v>1195</v>
      </c>
      <c r="B303" t="s">
        <v>388</v>
      </c>
      <c r="C303" t="s">
        <v>388</v>
      </c>
      <c r="E303" t="s">
        <v>1196</v>
      </c>
      <c r="F303" t="s">
        <v>1197</v>
      </c>
      <c r="G303">
        <v>4</v>
      </c>
      <c r="H303">
        <v>2250</v>
      </c>
      <c r="I303">
        <v>4</v>
      </c>
      <c r="J303">
        <v>23.5</v>
      </c>
      <c r="K303">
        <v>4</v>
      </c>
      <c r="L303">
        <v>1.0249999999999999</v>
      </c>
      <c r="M303">
        <v>4</v>
      </c>
      <c r="N303">
        <v>397.5</v>
      </c>
      <c r="O303">
        <v>4</v>
      </c>
      <c r="P303">
        <v>2.65</v>
      </c>
      <c r="Q303">
        <v>4</v>
      </c>
      <c r="R303">
        <v>0.13900000000000001</v>
      </c>
      <c r="T303" s="8" t="s">
        <v>1196</v>
      </c>
    </row>
    <row r="304" spans="1:20" x14ac:dyDescent="0.2">
      <c r="A304" t="s">
        <v>1198</v>
      </c>
      <c r="B304" t="s">
        <v>388</v>
      </c>
      <c r="C304" t="s">
        <v>388</v>
      </c>
      <c r="E304" t="s">
        <v>357</v>
      </c>
      <c r="F304" t="s">
        <v>1199</v>
      </c>
      <c r="G304">
        <v>4</v>
      </c>
      <c r="H304">
        <v>2250</v>
      </c>
      <c r="I304">
        <v>4</v>
      </c>
      <c r="J304">
        <v>23.5</v>
      </c>
      <c r="K304">
        <v>4</v>
      </c>
      <c r="L304">
        <v>1.0249999999999999</v>
      </c>
      <c r="M304">
        <v>4</v>
      </c>
      <c r="N304">
        <v>397.5</v>
      </c>
      <c r="O304">
        <v>4</v>
      </c>
      <c r="P304">
        <v>2.65</v>
      </c>
      <c r="Q304">
        <v>4</v>
      </c>
      <c r="R304">
        <v>0.13900000000000001</v>
      </c>
      <c r="T304" s="8" t="s">
        <v>357</v>
      </c>
    </row>
    <row r="305" spans="1:20" x14ac:dyDescent="0.2">
      <c r="A305" t="s">
        <v>1200</v>
      </c>
      <c r="B305" t="s">
        <v>388</v>
      </c>
      <c r="C305" t="s">
        <v>388</v>
      </c>
      <c r="E305" t="s">
        <v>1201</v>
      </c>
      <c r="F305" t="s">
        <v>1202</v>
      </c>
      <c r="G305">
        <v>1</v>
      </c>
      <c r="H305">
        <v>1620</v>
      </c>
      <c r="I305">
        <v>1</v>
      </c>
      <c r="J305">
        <v>8.5</v>
      </c>
      <c r="K305">
        <v>1</v>
      </c>
      <c r="L305">
        <v>0.27500000000000002</v>
      </c>
      <c r="M305">
        <v>1</v>
      </c>
      <c r="N305">
        <v>112.5</v>
      </c>
      <c r="O305">
        <v>1</v>
      </c>
      <c r="P305">
        <v>0.55000000000000004</v>
      </c>
      <c r="Q305">
        <v>1</v>
      </c>
      <c r="R305">
        <v>2.5000000000000001E-2</v>
      </c>
      <c r="T305" s="8" t="s">
        <v>1201</v>
      </c>
    </row>
    <row r="306" spans="1:20" x14ac:dyDescent="0.2">
      <c r="A306" t="s">
        <v>1203</v>
      </c>
      <c r="B306" t="s">
        <v>388</v>
      </c>
      <c r="C306" t="s">
        <v>388</v>
      </c>
      <c r="E306" t="s">
        <v>1204</v>
      </c>
      <c r="F306" t="s">
        <v>447</v>
      </c>
      <c r="G306">
        <v>4</v>
      </c>
      <c r="H306">
        <v>2250</v>
      </c>
      <c r="I306">
        <v>3</v>
      </c>
      <c r="J306">
        <v>18.5</v>
      </c>
      <c r="K306">
        <v>3</v>
      </c>
      <c r="L306">
        <v>0.77500000000000002</v>
      </c>
      <c r="M306">
        <v>3</v>
      </c>
      <c r="N306">
        <v>302.5</v>
      </c>
      <c r="O306">
        <v>3</v>
      </c>
      <c r="P306">
        <v>1.95</v>
      </c>
      <c r="Q306">
        <v>3</v>
      </c>
      <c r="R306">
        <v>0.10100000000000001</v>
      </c>
      <c r="T306" s="8" t="s">
        <v>1204</v>
      </c>
    </row>
    <row r="307" spans="1:20" x14ac:dyDescent="0.2">
      <c r="A307" t="s">
        <v>1205</v>
      </c>
      <c r="B307" t="s">
        <v>388</v>
      </c>
      <c r="C307" t="s">
        <v>388</v>
      </c>
      <c r="E307" t="s">
        <v>213</v>
      </c>
      <c r="F307" t="s">
        <v>1206</v>
      </c>
      <c r="G307">
        <v>5</v>
      </c>
      <c r="H307">
        <v>2460</v>
      </c>
      <c r="I307">
        <v>5</v>
      </c>
      <c r="J307">
        <v>28.5</v>
      </c>
      <c r="K307">
        <v>5</v>
      </c>
      <c r="L307">
        <v>1.2749999999999999</v>
      </c>
      <c r="M307">
        <v>5</v>
      </c>
      <c r="N307">
        <v>492.5</v>
      </c>
      <c r="O307">
        <v>5</v>
      </c>
      <c r="P307">
        <v>3.35</v>
      </c>
      <c r="Q307">
        <v>5</v>
      </c>
      <c r="R307">
        <v>0.17699999999999999</v>
      </c>
      <c r="T307" s="8" t="s">
        <v>213</v>
      </c>
    </row>
    <row r="308" spans="1:20" x14ac:dyDescent="0.2">
      <c r="A308" t="s">
        <v>1207</v>
      </c>
      <c r="B308" t="s">
        <v>388</v>
      </c>
      <c r="C308" t="s">
        <v>388</v>
      </c>
      <c r="E308" t="s">
        <v>213</v>
      </c>
      <c r="F308" t="s">
        <v>1208</v>
      </c>
      <c r="G308">
        <v>5</v>
      </c>
      <c r="H308">
        <v>2460</v>
      </c>
      <c r="I308">
        <v>5</v>
      </c>
      <c r="J308">
        <v>28.5</v>
      </c>
      <c r="K308">
        <v>5</v>
      </c>
      <c r="L308">
        <v>1.2749999999999999</v>
      </c>
      <c r="M308">
        <v>5</v>
      </c>
      <c r="N308">
        <v>492.5</v>
      </c>
      <c r="O308">
        <v>5</v>
      </c>
      <c r="P308">
        <v>3.35</v>
      </c>
      <c r="Q308">
        <v>5</v>
      </c>
      <c r="R308">
        <v>0.17699999999999999</v>
      </c>
      <c r="T308" s="8" t="s">
        <v>213</v>
      </c>
    </row>
    <row r="309" spans="1:20" x14ac:dyDescent="0.2">
      <c r="A309" t="s">
        <v>1209</v>
      </c>
      <c r="B309" t="s">
        <v>388</v>
      </c>
      <c r="C309" t="s">
        <v>388</v>
      </c>
      <c r="E309" t="s">
        <v>213</v>
      </c>
      <c r="F309" t="s">
        <v>1208</v>
      </c>
      <c r="G309">
        <v>5</v>
      </c>
      <c r="H309">
        <v>2460</v>
      </c>
      <c r="I309">
        <v>5</v>
      </c>
      <c r="J309">
        <v>28.5</v>
      </c>
      <c r="K309">
        <v>5</v>
      </c>
      <c r="L309">
        <v>1.2749999999999999</v>
      </c>
      <c r="M309">
        <v>5</v>
      </c>
      <c r="N309">
        <v>492.5</v>
      </c>
      <c r="O309">
        <v>5</v>
      </c>
      <c r="P309">
        <v>3.35</v>
      </c>
      <c r="Q309">
        <v>5</v>
      </c>
      <c r="R309">
        <v>0.17699999999999999</v>
      </c>
      <c r="T309" s="8" t="s">
        <v>213</v>
      </c>
    </row>
    <row r="310" spans="1:20" x14ac:dyDescent="0.2">
      <c r="A310" t="s">
        <v>1210</v>
      </c>
      <c r="B310" t="s">
        <v>388</v>
      </c>
      <c r="C310" t="s">
        <v>388</v>
      </c>
      <c r="E310" t="s">
        <v>213</v>
      </c>
      <c r="F310" t="s">
        <v>1208</v>
      </c>
      <c r="G310">
        <v>5</v>
      </c>
      <c r="H310">
        <v>2460</v>
      </c>
      <c r="I310">
        <v>5</v>
      </c>
      <c r="J310">
        <v>28.5</v>
      </c>
      <c r="K310">
        <v>5</v>
      </c>
      <c r="L310">
        <v>1.2749999999999999</v>
      </c>
      <c r="M310">
        <v>5</v>
      </c>
      <c r="N310">
        <v>492.5</v>
      </c>
      <c r="O310">
        <v>5</v>
      </c>
      <c r="P310">
        <v>3.35</v>
      </c>
      <c r="Q310">
        <v>5</v>
      </c>
      <c r="R310">
        <v>0.17699999999999999</v>
      </c>
      <c r="T310" s="8" t="s">
        <v>213</v>
      </c>
    </row>
    <row r="311" spans="1:20" x14ac:dyDescent="0.2">
      <c r="A311" t="s">
        <v>1211</v>
      </c>
      <c r="B311" t="s">
        <v>388</v>
      </c>
      <c r="C311" t="s">
        <v>388</v>
      </c>
      <c r="E311" t="s">
        <v>213</v>
      </c>
      <c r="F311" t="s">
        <v>1208</v>
      </c>
      <c r="G311">
        <v>5</v>
      </c>
      <c r="H311">
        <v>2460</v>
      </c>
      <c r="I311">
        <v>5</v>
      </c>
      <c r="J311">
        <v>28.5</v>
      </c>
      <c r="K311">
        <v>5</v>
      </c>
      <c r="L311">
        <v>1.2749999999999999</v>
      </c>
      <c r="M311">
        <v>5</v>
      </c>
      <c r="N311">
        <v>492.5</v>
      </c>
      <c r="O311">
        <v>5</v>
      </c>
      <c r="P311">
        <v>3.35</v>
      </c>
      <c r="Q311">
        <v>5</v>
      </c>
      <c r="R311">
        <v>0.17699999999999999</v>
      </c>
      <c r="T311" s="8" t="s">
        <v>213</v>
      </c>
    </row>
    <row r="312" spans="1:20" x14ac:dyDescent="0.2">
      <c r="A312" t="s">
        <v>1212</v>
      </c>
      <c r="B312" t="s">
        <v>388</v>
      </c>
      <c r="C312" t="s">
        <v>388</v>
      </c>
      <c r="E312" t="s">
        <v>1213</v>
      </c>
      <c r="F312" t="s">
        <v>1214</v>
      </c>
      <c r="G312">
        <v>2</v>
      </c>
      <c r="H312">
        <v>1830</v>
      </c>
      <c r="I312">
        <v>2</v>
      </c>
      <c r="J312">
        <v>13.5</v>
      </c>
      <c r="K312">
        <v>2</v>
      </c>
      <c r="L312">
        <v>0.52500000000000002</v>
      </c>
      <c r="M312">
        <v>3</v>
      </c>
      <c r="N312">
        <v>302.5</v>
      </c>
      <c r="O312">
        <v>3</v>
      </c>
      <c r="P312">
        <v>1.95</v>
      </c>
      <c r="Q312">
        <v>4</v>
      </c>
      <c r="R312">
        <v>0.13900000000000001</v>
      </c>
      <c r="T312" s="8" t="s">
        <v>1213</v>
      </c>
    </row>
    <row r="313" spans="1:20" x14ac:dyDescent="0.2">
      <c r="A313" t="s">
        <v>1215</v>
      </c>
      <c r="B313" t="s">
        <v>388</v>
      </c>
      <c r="C313" t="s">
        <v>388</v>
      </c>
      <c r="E313" t="s">
        <v>1216</v>
      </c>
      <c r="F313" t="s">
        <v>1217</v>
      </c>
      <c r="G313">
        <v>4</v>
      </c>
      <c r="H313">
        <v>2250</v>
      </c>
      <c r="I313">
        <v>4</v>
      </c>
      <c r="J313">
        <v>23.5</v>
      </c>
      <c r="K313">
        <v>4</v>
      </c>
      <c r="L313">
        <v>1.0249999999999999</v>
      </c>
      <c r="M313">
        <v>4</v>
      </c>
      <c r="N313">
        <v>397.5</v>
      </c>
      <c r="O313">
        <v>4</v>
      </c>
      <c r="P313">
        <v>2.65</v>
      </c>
      <c r="Q313">
        <v>4</v>
      </c>
      <c r="R313">
        <v>0.13900000000000001</v>
      </c>
      <c r="T313" s="8" t="s">
        <v>1216</v>
      </c>
    </row>
    <row r="314" spans="1:20" x14ac:dyDescent="0.2">
      <c r="A314" t="s">
        <v>1218</v>
      </c>
      <c r="B314" t="s">
        <v>388</v>
      </c>
      <c r="C314" t="s">
        <v>388</v>
      </c>
      <c r="E314" t="s">
        <v>1219</v>
      </c>
      <c r="F314" t="s">
        <v>1220</v>
      </c>
      <c r="G314">
        <v>5</v>
      </c>
      <c r="H314">
        <v>2460</v>
      </c>
      <c r="I314">
        <v>5</v>
      </c>
      <c r="J314">
        <v>28.5</v>
      </c>
      <c r="K314">
        <v>5</v>
      </c>
      <c r="L314">
        <v>1.2749999999999999</v>
      </c>
      <c r="M314">
        <v>5</v>
      </c>
      <c r="N314">
        <v>492.5</v>
      </c>
      <c r="O314">
        <v>5</v>
      </c>
      <c r="P314">
        <v>3.35</v>
      </c>
      <c r="Q314">
        <v>5</v>
      </c>
      <c r="R314">
        <v>0.17699999999999999</v>
      </c>
      <c r="T314" s="8" t="s">
        <v>1219</v>
      </c>
    </row>
    <row r="315" spans="1:20" x14ac:dyDescent="0.2">
      <c r="A315" t="s">
        <v>1221</v>
      </c>
      <c r="B315" t="s">
        <v>388</v>
      </c>
      <c r="C315" t="s">
        <v>388</v>
      </c>
      <c r="E315" t="s">
        <v>1222</v>
      </c>
      <c r="F315" t="s">
        <v>1223</v>
      </c>
      <c r="G315">
        <v>2</v>
      </c>
      <c r="H315">
        <v>1830</v>
      </c>
      <c r="I315">
        <v>2</v>
      </c>
      <c r="J315">
        <v>13.5</v>
      </c>
      <c r="K315">
        <v>2</v>
      </c>
      <c r="L315">
        <v>0.52500000000000002</v>
      </c>
      <c r="M315">
        <v>3</v>
      </c>
      <c r="N315">
        <v>302.5</v>
      </c>
      <c r="O315">
        <v>3</v>
      </c>
      <c r="P315">
        <v>1.95</v>
      </c>
      <c r="Q315">
        <v>3</v>
      </c>
      <c r="R315">
        <v>0.10100000000000001</v>
      </c>
      <c r="T315" s="8" t="s">
        <v>1222</v>
      </c>
    </row>
    <row r="316" spans="1:20" x14ac:dyDescent="0.2">
      <c r="A316" t="s">
        <v>1224</v>
      </c>
      <c r="B316" t="s">
        <v>388</v>
      </c>
      <c r="C316" t="s">
        <v>388</v>
      </c>
      <c r="E316" t="s">
        <v>1225</v>
      </c>
      <c r="F316" t="s">
        <v>1226</v>
      </c>
      <c r="G316">
        <v>5</v>
      </c>
      <c r="H316">
        <v>2460</v>
      </c>
      <c r="I316">
        <v>5</v>
      </c>
      <c r="J316">
        <v>28.5</v>
      </c>
      <c r="K316">
        <v>4</v>
      </c>
      <c r="L316">
        <v>1.0249999999999999</v>
      </c>
      <c r="M316">
        <v>5</v>
      </c>
      <c r="N316">
        <v>492.5</v>
      </c>
      <c r="O316">
        <v>5</v>
      </c>
      <c r="P316">
        <v>3.35</v>
      </c>
      <c r="Q316">
        <v>4</v>
      </c>
      <c r="R316">
        <v>0.13900000000000001</v>
      </c>
      <c r="T316" s="8" t="s">
        <v>1225</v>
      </c>
    </row>
    <row r="317" spans="1:20" x14ac:dyDescent="0.2">
      <c r="A317" t="s">
        <v>1227</v>
      </c>
      <c r="B317" t="s">
        <v>388</v>
      </c>
      <c r="C317" t="s">
        <v>388</v>
      </c>
      <c r="E317" t="s">
        <v>1228</v>
      </c>
      <c r="F317" t="s">
        <v>447</v>
      </c>
      <c r="G317">
        <v>1</v>
      </c>
      <c r="H317">
        <v>1620</v>
      </c>
      <c r="I317">
        <v>1</v>
      </c>
      <c r="J317">
        <v>8.5</v>
      </c>
      <c r="K317">
        <v>1</v>
      </c>
      <c r="L317">
        <v>0.27500000000000002</v>
      </c>
      <c r="M317">
        <v>1</v>
      </c>
      <c r="N317">
        <v>112.5</v>
      </c>
      <c r="O317">
        <v>1</v>
      </c>
      <c r="P317">
        <v>0.55000000000000004</v>
      </c>
      <c r="Q317">
        <v>1</v>
      </c>
      <c r="R317">
        <v>2.5000000000000001E-2</v>
      </c>
      <c r="T317" s="8" t="s">
        <v>1228</v>
      </c>
    </row>
    <row r="318" spans="1:20" x14ac:dyDescent="0.2">
      <c r="A318" t="s">
        <v>1229</v>
      </c>
      <c r="B318" t="s">
        <v>388</v>
      </c>
      <c r="C318" t="s">
        <v>388</v>
      </c>
      <c r="E318" t="s">
        <v>1230</v>
      </c>
      <c r="F318" t="s">
        <v>1231</v>
      </c>
      <c r="G318">
        <v>1</v>
      </c>
      <c r="H318">
        <v>1620</v>
      </c>
      <c r="I318">
        <v>1</v>
      </c>
      <c r="J318">
        <v>8.5</v>
      </c>
      <c r="K318">
        <v>1</v>
      </c>
      <c r="L318">
        <v>0.27500000000000002</v>
      </c>
      <c r="M318">
        <v>1</v>
      </c>
      <c r="N318">
        <v>112.5</v>
      </c>
      <c r="O318">
        <v>1</v>
      </c>
      <c r="P318">
        <v>0.55000000000000004</v>
      </c>
      <c r="Q318">
        <v>1</v>
      </c>
      <c r="R318">
        <v>2.5000000000000001E-2</v>
      </c>
      <c r="T318" s="8" t="s">
        <v>1230</v>
      </c>
    </row>
    <row r="319" spans="1:20" x14ac:dyDescent="0.2">
      <c r="A319" t="s">
        <v>1232</v>
      </c>
      <c r="B319" t="s">
        <v>388</v>
      </c>
      <c r="C319" t="s">
        <v>388</v>
      </c>
      <c r="E319" t="s">
        <v>1233</v>
      </c>
      <c r="F319" t="s">
        <v>1234</v>
      </c>
      <c r="G319">
        <v>1</v>
      </c>
      <c r="H319">
        <v>1620</v>
      </c>
      <c r="I319">
        <v>1</v>
      </c>
      <c r="J319">
        <v>8.5</v>
      </c>
      <c r="K319">
        <v>1</v>
      </c>
      <c r="L319">
        <v>0.27500000000000002</v>
      </c>
      <c r="M319">
        <v>1</v>
      </c>
      <c r="N319">
        <v>112.5</v>
      </c>
      <c r="O319">
        <v>1</v>
      </c>
      <c r="P319">
        <v>0.55000000000000004</v>
      </c>
      <c r="Q319">
        <v>1</v>
      </c>
      <c r="R319">
        <v>2.5000000000000001E-2</v>
      </c>
      <c r="T319" s="8" t="s">
        <v>1233</v>
      </c>
    </row>
    <row r="320" spans="1:20" x14ac:dyDescent="0.2">
      <c r="A320" t="s">
        <v>1235</v>
      </c>
      <c r="B320" t="s">
        <v>388</v>
      </c>
      <c r="C320" t="s">
        <v>388</v>
      </c>
      <c r="E320" t="s">
        <v>1236</v>
      </c>
      <c r="F320" t="s">
        <v>1237</v>
      </c>
      <c r="G320">
        <v>5</v>
      </c>
      <c r="H320">
        <v>2460</v>
      </c>
      <c r="I320">
        <v>5</v>
      </c>
      <c r="J320">
        <v>28.5</v>
      </c>
      <c r="K320">
        <v>4</v>
      </c>
      <c r="L320">
        <v>1.0249999999999999</v>
      </c>
      <c r="M320">
        <v>5</v>
      </c>
      <c r="N320">
        <v>492.5</v>
      </c>
      <c r="O320">
        <v>5</v>
      </c>
      <c r="P320">
        <v>3.35</v>
      </c>
      <c r="Q320">
        <v>4</v>
      </c>
      <c r="R320">
        <v>0.13900000000000001</v>
      </c>
      <c r="T320" s="8" t="s">
        <v>1236</v>
      </c>
    </row>
    <row r="321" spans="1:20" x14ac:dyDescent="0.2">
      <c r="A321" t="s">
        <v>1238</v>
      </c>
      <c r="B321" t="s">
        <v>388</v>
      </c>
      <c r="C321" t="s">
        <v>388</v>
      </c>
      <c r="E321" t="s">
        <v>1239</v>
      </c>
      <c r="F321" t="s">
        <v>1240</v>
      </c>
      <c r="G321">
        <v>5</v>
      </c>
      <c r="H321">
        <v>2460</v>
      </c>
      <c r="I321">
        <v>5</v>
      </c>
      <c r="J321">
        <v>28.5</v>
      </c>
      <c r="K321">
        <v>4</v>
      </c>
      <c r="L321">
        <v>1.0249999999999999</v>
      </c>
      <c r="M321">
        <v>5</v>
      </c>
      <c r="N321">
        <v>492.5</v>
      </c>
      <c r="O321">
        <v>5</v>
      </c>
      <c r="P321">
        <v>3.35</v>
      </c>
      <c r="Q321">
        <v>4</v>
      </c>
      <c r="R321">
        <v>0.13900000000000001</v>
      </c>
      <c r="T321" s="8" t="s">
        <v>1239</v>
      </c>
    </row>
    <row r="322" spans="1:20" x14ac:dyDescent="0.2">
      <c r="A322" t="s">
        <v>1241</v>
      </c>
      <c r="B322" t="s">
        <v>388</v>
      </c>
      <c r="C322" t="s">
        <v>388</v>
      </c>
      <c r="E322" t="s">
        <v>1242</v>
      </c>
      <c r="F322" t="s">
        <v>1243</v>
      </c>
      <c r="G322">
        <v>4</v>
      </c>
      <c r="H322">
        <v>2250</v>
      </c>
      <c r="I322">
        <v>4</v>
      </c>
      <c r="J322">
        <v>23.5</v>
      </c>
      <c r="K322">
        <v>4</v>
      </c>
      <c r="L322">
        <v>1.0249999999999999</v>
      </c>
      <c r="M322">
        <v>4</v>
      </c>
      <c r="N322">
        <v>397.5</v>
      </c>
      <c r="O322">
        <v>4</v>
      </c>
      <c r="P322">
        <v>2.65</v>
      </c>
      <c r="Q322">
        <v>4</v>
      </c>
      <c r="R322">
        <v>0.13900000000000001</v>
      </c>
      <c r="T322" s="8" t="s">
        <v>1242</v>
      </c>
    </row>
    <row r="323" spans="1:20" x14ac:dyDescent="0.2">
      <c r="A323" t="s">
        <v>1244</v>
      </c>
      <c r="B323" t="s">
        <v>388</v>
      </c>
      <c r="C323" t="s">
        <v>388</v>
      </c>
      <c r="E323" t="s">
        <v>1245</v>
      </c>
      <c r="F323" t="s">
        <v>1246</v>
      </c>
      <c r="G323">
        <v>5</v>
      </c>
      <c r="H323">
        <v>2460</v>
      </c>
      <c r="I323">
        <v>5</v>
      </c>
      <c r="J323">
        <v>28.5</v>
      </c>
      <c r="K323">
        <v>5</v>
      </c>
      <c r="L323">
        <v>1.2749999999999999</v>
      </c>
      <c r="M323">
        <v>5</v>
      </c>
      <c r="N323">
        <v>492.5</v>
      </c>
      <c r="O323">
        <v>5</v>
      </c>
      <c r="P323">
        <v>3.35</v>
      </c>
      <c r="Q323">
        <v>4</v>
      </c>
      <c r="R323">
        <v>0.13900000000000001</v>
      </c>
      <c r="T323" s="8" t="s">
        <v>1245</v>
      </c>
    </row>
    <row r="324" spans="1:20" x14ac:dyDescent="0.2">
      <c r="A324" t="s">
        <v>1247</v>
      </c>
      <c r="B324" t="s">
        <v>388</v>
      </c>
      <c r="C324" t="s">
        <v>388</v>
      </c>
      <c r="E324" t="s">
        <v>357</v>
      </c>
      <c r="F324" t="s">
        <v>447</v>
      </c>
      <c r="G324">
        <v>1</v>
      </c>
      <c r="H324">
        <v>1620</v>
      </c>
      <c r="I324">
        <v>1</v>
      </c>
      <c r="J324">
        <v>8.5</v>
      </c>
      <c r="K324">
        <v>1</v>
      </c>
      <c r="L324">
        <v>0.27500000000000002</v>
      </c>
      <c r="M324">
        <v>1</v>
      </c>
      <c r="N324">
        <v>112.5</v>
      </c>
      <c r="O324">
        <v>1</v>
      </c>
      <c r="P324">
        <v>0.55000000000000004</v>
      </c>
      <c r="Q324">
        <v>1</v>
      </c>
      <c r="R324">
        <v>2.5000000000000001E-2</v>
      </c>
      <c r="T324" s="8" t="s">
        <v>357</v>
      </c>
    </row>
    <row r="325" spans="1:20" x14ac:dyDescent="0.2">
      <c r="A325" t="s">
        <v>1248</v>
      </c>
      <c r="B325" t="s">
        <v>388</v>
      </c>
      <c r="C325" t="s">
        <v>388</v>
      </c>
      <c r="E325" t="s">
        <v>1249</v>
      </c>
      <c r="F325" t="s">
        <v>1250</v>
      </c>
      <c r="G325">
        <v>2</v>
      </c>
      <c r="H325">
        <v>1830</v>
      </c>
      <c r="I325">
        <v>2</v>
      </c>
      <c r="J325">
        <v>13.5</v>
      </c>
      <c r="K325">
        <v>2</v>
      </c>
      <c r="L325">
        <v>0.52500000000000002</v>
      </c>
      <c r="M325">
        <v>4</v>
      </c>
      <c r="N325">
        <v>397.5</v>
      </c>
      <c r="O325">
        <v>4</v>
      </c>
      <c r="P325">
        <v>2.65</v>
      </c>
      <c r="Q325">
        <v>3</v>
      </c>
      <c r="R325">
        <v>0.10100000000000001</v>
      </c>
      <c r="T325" s="8" t="s">
        <v>1249</v>
      </c>
    </row>
    <row r="326" spans="1:20" x14ac:dyDescent="0.2">
      <c r="A326" t="s">
        <v>1251</v>
      </c>
      <c r="B326" t="s">
        <v>388</v>
      </c>
      <c r="C326" t="s">
        <v>388</v>
      </c>
      <c r="E326" t="s">
        <v>1252</v>
      </c>
      <c r="F326" t="s">
        <v>1253</v>
      </c>
      <c r="G326">
        <v>4</v>
      </c>
      <c r="H326">
        <v>2250</v>
      </c>
      <c r="I326">
        <v>5</v>
      </c>
      <c r="J326">
        <v>28.5</v>
      </c>
      <c r="K326">
        <v>4</v>
      </c>
      <c r="L326">
        <v>1.0249999999999999</v>
      </c>
      <c r="M326">
        <v>4</v>
      </c>
      <c r="N326">
        <v>397.5</v>
      </c>
      <c r="O326">
        <v>4</v>
      </c>
      <c r="P326">
        <v>2.65</v>
      </c>
      <c r="Q326">
        <v>4</v>
      </c>
      <c r="R326">
        <v>0.13900000000000001</v>
      </c>
      <c r="T326" s="8" t="s">
        <v>1252</v>
      </c>
    </row>
    <row r="327" spans="1:20" x14ac:dyDescent="0.2">
      <c r="A327" t="s">
        <v>1254</v>
      </c>
      <c r="B327" t="s">
        <v>388</v>
      </c>
      <c r="C327" t="s">
        <v>388</v>
      </c>
      <c r="E327" t="s">
        <v>1255</v>
      </c>
      <c r="F327" t="s">
        <v>1256</v>
      </c>
      <c r="G327">
        <v>3</v>
      </c>
      <c r="H327">
        <v>2040</v>
      </c>
      <c r="I327">
        <v>3</v>
      </c>
      <c r="J327">
        <v>18.5</v>
      </c>
      <c r="K327">
        <v>3</v>
      </c>
      <c r="L327">
        <v>0.77500000000000002</v>
      </c>
      <c r="M327">
        <v>3</v>
      </c>
      <c r="N327">
        <v>302.5</v>
      </c>
      <c r="O327">
        <v>3</v>
      </c>
      <c r="P327">
        <v>1.95</v>
      </c>
      <c r="Q327">
        <v>3</v>
      </c>
      <c r="R327">
        <v>0.10100000000000001</v>
      </c>
      <c r="T327" s="8" t="s">
        <v>1255</v>
      </c>
    </row>
    <row r="328" spans="1:20" x14ac:dyDescent="0.2">
      <c r="A328" t="s">
        <v>1257</v>
      </c>
      <c r="B328" t="s">
        <v>388</v>
      </c>
      <c r="C328" t="s">
        <v>388</v>
      </c>
      <c r="E328" t="s">
        <v>1258</v>
      </c>
      <c r="F328" t="s">
        <v>1259</v>
      </c>
      <c r="G328">
        <v>5</v>
      </c>
      <c r="H328">
        <v>2460</v>
      </c>
      <c r="I328">
        <v>5</v>
      </c>
      <c r="J328">
        <v>28.5</v>
      </c>
      <c r="K328">
        <v>5</v>
      </c>
      <c r="L328">
        <v>1.2749999999999999</v>
      </c>
      <c r="M328">
        <v>5</v>
      </c>
      <c r="N328">
        <v>492.5</v>
      </c>
      <c r="O328">
        <v>5</v>
      </c>
      <c r="P328">
        <v>3.35</v>
      </c>
      <c r="Q328">
        <v>5</v>
      </c>
      <c r="R328">
        <v>0.17699999999999999</v>
      </c>
      <c r="T328" s="8" t="s">
        <v>1258</v>
      </c>
    </row>
    <row r="329" spans="1:20" x14ac:dyDescent="0.2">
      <c r="A329" t="s">
        <v>1260</v>
      </c>
      <c r="B329" t="s">
        <v>388</v>
      </c>
      <c r="C329" t="s">
        <v>388</v>
      </c>
      <c r="E329" t="s">
        <v>1261</v>
      </c>
      <c r="F329" t="s">
        <v>447</v>
      </c>
      <c r="G329">
        <v>5</v>
      </c>
      <c r="H329">
        <v>2460</v>
      </c>
      <c r="I329">
        <v>5</v>
      </c>
      <c r="J329">
        <v>28.5</v>
      </c>
      <c r="K329">
        <v>5</v>
      </c>
      <c r="L329">
        <v>1.2749999999999999</v>
      </c>
      <c r="M329">
        <v>5</v>
      </c>
      <c r="N329">
        <v>492.5</v>
      </c>
      <c r="O329">
        <v>5</v>
      </c>
      <c r="P329">
        <v>3.35</v>
      </c>
      <c r="Q329">
        <v>5</v>
      </c>
      <c r="R329">
        <v>0.17699999999999999</v>
      </c>
      <c r="T329" s="8" t="s">
        <v>1261</v>
      </c>
    </row>
    <row r="330" spans="1:20" x14ac:dyDescent="0.2">
      <c r="A330" t="s">
        <v>1262</v>
      </c>
      <c r="B330" t="s">
        <v>388</v>
      </c>
      <c r="C330" t="s">
        <v>388</v>
      </c>
      <c r="E330" t="s">
        <v>1263</v>
      </c>
      <c r="F330" t="s">
        <v>1264</v>
      </c>
      <c r="G330">
        <v>2</v>
      </c>
      <c r="H330">
        <v>1830</v>
      </c>
      <c r="I330">
        <v>2</v>
      </c>
      <c r="J330">
        <v>13.5</v>
      </c>
      <c r="K330">
        <v>2</v>
      </c>
      <c r="L330">
        <v>0.52500000000000002</v>
      </c>
      <c r="M330">
        <v>4</v>
      </c>
      <c r="N330">
        <v>397.5</v>
      </c>
      <c r="O330">
        <v>4</v>
      </c>
      <c r="P330">
        <v>2.65</v>
      </c>
      <c r="Q330">
        <v>5</v>
      </c>
      <c r="R330">
        <v>0.17699999999999999</v>
      </c>
      <c r="T330" s="8" t="s">
        <v>1263</v>
      </c>
    </row>
    <row r="331" spans="1:20" x14ac:dyDescent="0.2">
      <c r="A331" t="s">
        <v>1265</v>
      </c>
      <c r="B331" t="s">
        <v>388</v>
      </c>
      <c r="C331" t="s">
        <v>388</v>
      </c>
      <c r="E331" t="s">
        <v>1266</v>
      </c>
      <c r="F331" t="s">
        <v>1267</v>
      </c>
      <c r="G331">
        <v>1</v>
      </c>
      <c r="H331">
        <v>1620</v>
      </c>
      <c r="I331">
        <v>1</v>
      </c>
      <c r="J331">
        <v>8.5</v>
      </c>
      <c r="K331">
        <v>1</v>
      </c>
      <c r="L331">
        <v>0.27500000000000002</v>
      </c>
      <c r="M331">
        <v>3</v>
      </c>
      <c r="N331">
        <v>302.5</v>
      </c>
      <c r="O331">
        <v>3</v>
      </c>
      <c r="P331">
        <v>1.95</v>
      </c>
      <c r="Q331">
        <v>3</v>
      </c>
      <c r="R331">
        <v>0.10100000000000001</v>
      </c>
      <c r="T331" s="8" t="s">
        <v>1266</v>
      </c>
    </row>
    <row r="332" spans="1:20" x14ac:dyDescent="0.2">
      <c r="A332" t="s">
        <v>1268</v>
      </c>
      <c r="B332" t="s">
        <v>388</v>
      </c>
      <c r="C332" t="s">
        <v>388</v>
      </c>
      <c r="E332" t="s">
        <v>1269</v>
      </c>
      <c r="F332" t="s">
        <v>1270</v>
      </c>
      <c r="G332">
        <v>5</v>
      </c>
      <c r="H332">
        <v>2460</v>
      </c>
      <c r="I332">
        <v>4</v>
      </c>
      <c r="J332">
        <v>23.5</v>
      </c>
      <c r="K332">
        <v>4</v>
      </c>
      <c r="L332">
        <v>1.0249999999999999</v>
      </c>
      <c r="M332">
        <v>4</v>
      </c>
      <c r="N332">
        <v>397.5</v>
      </c>
      <c r="O332">
        <v>5</v>
      </c>
      <c r="P332">
        <v>3.35</v>
      </c>
      <c r="Q332">
        <v>5</v>
      </c>
      <c r="R332">
        <v>0.17699999999999999</v>
      </c>
      <c r="T332" s="8" t="s">
        <v>1269</v>
      </c>
    </row>
    <row r="333" spans="1:20" x14ac:dyDescent="0.2">
      <c r="A333" t="s">
        <v>1271</v>
      </c>
      <c r="B333" t="s">
        <v>388</v>
      </c>
      <c r="C333" t="s">
        <v>388</v>
      </c>
      <c r="E333" t="s">
        <v>1272</v>
      </c>
      <c r="F333" t="s">
        <v>1273</v>
      </c>
      <c r="G333">
        <v>5</v>
      </c>
      <c r="H333">
        <v>2460</v>
      </c>
      <c r="I333">
        <v>5</v>
      </c>
      <c r="J333">
        <v>28.5</v>
      </c>
      <c r="K333">
        <v>4</v>
      </c>
      <c r="L333">
        <v>1.0249999999999999</v>
      </c>
      <c r="M333">
        <v>5</v>
      </c>
      <c r="N333">
        <v>492.5</v>
      </c>
      <c r="O333">
        <v>5</v>
      </c>
      <c r="P333">
        <v>3.35</v>
      </c>
      <c r="Q333">
        <v>4</v>
      </c>
      <c r="R333">
        <v>0.13900000000000001</v>
      </c>
      <c r="T333" s="8" t="s">
        <v>1272</v>
      </c>
    </row>
    <row r="334" spans="1:20" x14ac:dyDescent="0.2">
      <c r="A334" t="s">
        <v>1274</v>
      </c>
      <c r="B334" t="s">
        <v>388</v>
      </c>
      <c r="C334" t="s">
        <v>388</v>
      </c>
      <c r="E334" t="s">
        <v>1275</v>
      </c>
      <c r="F334" t="s">
        <v>1276</v>
      </c>
      <c r="G334">
        <v>4</v>
      </c>
      <c r="H334">
        <v>2200</v>
      </c>
      <c r="I334">
        <v>4</v>
      </c>
      <c r="J334">
        <v>25.5</v>
      </c>
      <c r="K334">
        <v>4</v>
      </c>
      <c r="L334">
        <v>1</v>
      </c>
      <c r="M334">
        <v>3</v>
      </c>
      <c r="N334">
        <v>300</v>
      </c>
      <c r="O334">
        <v>3</v>
      </c>
      <c r="P334">
        <v>1.95</v>
      </c>
      <c r="Q334">
        <v>3</v>
      </c>
      <c r="R334">
        <v>0.11</v>
      </c>
      <c r="T334" s="8" t="s">
        <v>1275</v>
      </c>
    </row>
    <row r="335" spans="1:20" x14ac:dyDescent="0.2">
      <c r="A335" t="s">
        <v>1277</v>
      </c>
      <c r="B335" t="s">
        <v>388</v>
      </c>
      <c r="C335" t="s">
        <v>388</v>
      </c>
      <c r="E335" t="s">
        <v>1278</v>
      </c>
      <c r="F335" t="s">
        <v>447</v>
      </c>
      <c r="G335">
        <v>2</v>
      </c>
      <c r="H335">
        <v>1830</v>
      </c>
      <c r="I335">
        <v>1</v>
      </c>
      <c r="J335">
        <v>8.5</v>
      </c>
      <c r="K335">
        <v>1</v>
      </c>
      <c r="L335">
        <v>0.27500000000000002</v>
      </c>
      <c r="M335">
        <v>1</v>
      </c>
      <c r="N335">
        <v>112.5</v>
      </c>
      <c r="O335">
        <v>1</v>
      </c>
      <c r="P335">
        <v>0.55000000000000004</v>
      </c>
      <c r="Q335">
        <v>1</v>
      </c>
      <c r="R335">
        <v>2.5000000000000001E-2</v>
      </c>
      <c r="T335" s="8" t="s">
        <v>1278</v>
      </c>
    </row>
    <row r="336" spans="1:20" x14ac:dyDescent="0.2">
      <c r="A336" t="s">
        <v>1279</v>
      </c>
      <c r="B336" t="s">
        <v>388</v>
      </c>
      <c r="C336" t="s">
        <v>388</v>
      </c>
      <c r="E336" t="s">
        <v>1280</v>
      </c>
      <c r="F336" t="s">
        <v>1281</v>
      </c>
      <c r="G336">
        <v>4</v>
      </c>
      <c r="H336">
        <v>2250</v>
      </c>
      <c r="I336">
        <v>4</v>
      </c>
      <c r="J336">
        <v>23.5</v>
      </c>
      <c r="K336">
        <v>4</v>
      </c>
      <c r="L336">
        <v>1.0249999999999999</v>
      </c>
      <c r="M336">
        <v>4</v>
      </c>
      <c r="N336">
        <v>397.5</v>
      </c>
      <c r="O336">
        <v>4</v>
      </c>
      <c r="P336">
        <v>2.65</v>
      </c>
      <c r="Q336">
        <v>4</v>
      </c>
      <c r="R336">
        <v>0.13900000000000001</v>
      </c>
      <c r="T336" s="8" t="s">
        <v>1280</v>
      </c>
    </row>
    <row r="337" spans="1:20" x14ac:dyDescent="0.2">
      <c r="A337" t="s">
        <v>1282</v>
      </c>
      <c r="B337" t="s">
        <v>388</v>
      </c>
      <c r="C337" t="s">
        <v>388</v>
      </c>
      <c r="E337" t="s">
        <v>1283</v>
      </c>
      <c r="F337" t="s">
        <v>1284</v>
      </c>
      <c r="G337">
        <v>5</v>
      </c>
      <c r="H337">
        <v>2460</v>
      </c>
      <c r="I337">
        <v>4</v>
      </c>
      <c r="J337">
        <v>23.5</v>
      </c>
      <c r="K337">
        <v>4</v>
      </c>
      <c r="L337">
        <v>1.0249999999999999</v>
      </c>
      <c r="M337">
        <v>5</v>
      </c>
      <c r="N337">
        <v>492.5</v>
      </c>
      <c r="O337">
        <v>5</v>
      </c>
      <c r="P337">
        <v>3.35</v>
      </c>
      <c r="Q337">
        <v>5</v>
      </c>
      <c r="R337">
        <v>0.17699999999999999</v>
      </c>
      <c r="T337" s="8" t="s">
        <v>1283</v>
      </c>
    </row>
    <row r="338" spans="1:20" x14ac:dyDescent="0.2">
      <c r="A338" t="s">
        <v>1285</v>
      </c>
      <c r="B338" t="s">
        <v>388</v>
      </c>
      <c r="C338" t="s">
        <v>388</v>
      </c>
      <c r="E338" t="s">
        <v>1286</v>
      </c>
      <c r="F338" t="s">
        <v>1287</v>
      </c>
      <c r="G338">
        <v>4</v>
      </c>
      <c r="H338">
        <v>2250</v>
      </c>
      <c r="I338">
        <v>4</v>
      </c>
      <c r="J338">
        <v>23.5</v>
      </c>
      <c r="K338">
        <v>4</v>
      </c>
      <c r="L338">
        <v>1.0249999999999999</v>
      </c>
      <c r="M338">
        <v>4</v>
      </c>
      <c r="N338">
        <v>397.5</v>
      </c>
      <c r="O338">
        <v>4</v>
      </c>
      <c r="P338">
        <v>2.65</v>
      </c>
      <c r="Q338">
        <v>4</v>
      </c>
      <c r="R338">
        <v>0.13900000000000001</v>
      </c>
      <c r="T338" s="8" t="s">
        <v>1286</v>
      </c>
    </row>
    <row r="339" spans="1:20" x14ac:dyDescent="0.2">
      <c r="A339" t="s">
        <v>1288</v>
      </c>
      <c r="B339" t="s">
        <v>388</v>
      </c>
      <c r="C339" t="s">
        <v>388</v>
      </c>
      <c r="E339" t="s">
        <v>1289</v>
      </c>
      <c r="F339" t="s">
        <v>1290</v>
      </c>
      <c r="G339">
        <v>5</v>
      </c>
      <c r="H339">
        <v>2460</v>
      </c>
      <c r="I339">
        <v>4</v>
      </c>
      <c r="J339">
        <v>23.5</v>
      </c>
      <c r="K339">
        <v>5</v>
      </c>
      <c r="L339">
        <v>1.2749999999999999</v>
      </c>
      <c r="M339">
        <v>5</v>
      </c>
      <c r="N339">
        <v>492.5</v>
      </c>
      <c r="O339">
        <v>5</v>
      </c>
      <c r="P339">
        <v>3.35</v>
      </c>
      <c r="Q339">
        <v>5</v>
      </c>
      <c r="R339">
        <v>0.17699999999999999</v>
      </c>
      <c r="T339" s="8" t="s">
        <v>1289</v>
      </c>
    </row>
    <row r="340" spans="1:20" x14ac:dyDescent="0.2">
      <c r="A340" t="s">
        <v>1291</v>
      </c>
      <c r="B340" t="s">
        <v>388</v>
      </c>
      <c r="C340" t="s">
        <v>388</v>
      </c>
      <c r="E340" t="s">
        <v>357</v>
      </c>
      <c r="F340" t="s">
        <v>447</v>
      </c>
      <c r="G340">
        <v>2</v>
      </c>
      <c r="H340">
        <v>1830</v>
      </c>
      <c r="I340">
        <v>2</v>
      </c>
      <c r="J340">
        <v>13.5</v>
      </c>
      <c r="K340">
        <v>2</v>
      </c>
      <c r="L340">
        <v>0.52500000000000002</v>
      </c>
      <c r="M340">
        <v>5</v>
      </c>
      <c r="N340">
        <v>492.5</v>
      </c>
      <c r="O340">
        <v>5</v>
      </c>
      <c r="P340">
        <v>3.35</v>
      </c>
      <c r="Q340">
        <v>5</v>
      </c>
      <c r="R340">
        <v>0.17699999999999999</v>
      </c>
      <c r="T340" s="8" t="s">
        <v>357</v>
      </c>
    </row>
    <row r="341" spans="1:20" x14ac:dyDescent="0.2">
      <c r="A341" t="s">
        <v>1292</v>
      </c>
      <c r="B341" t="s">
        <v>388</v>
      </c>
      <c r="C341" t="s">
        <v>388</v>
      </c>
      <c r="E341" t="s">
        <v>1293</v>
      </c>
      <c r="F341" t="s">
        <v>1294</v>
      </c>
      <c r="G341">
        <v>4</v>
      </c>
      <c r="H341">
        <v>2250</v>
      </c>
      <c r="I341">
        <v>4</v>
      </c>
      <c r="J341">
        <v>23.5</v>
      </c>
      <c r="K341">
        <v>4</v>
      </c>
      <c r="L341">
        <v>1.0249999999999999</v>
      </c>
      <c r="M341">
        <v>4</v>
      </c>
      <c r="N341">
        <v>397.5</v>
      </c>
      <c r="O341">
        <v>4</v>
      </c>
      <c r="P341">
        <v>2.65</v>
      </c>
      <c r="Q341">
        <v>4</v>
      </c>
      <c r="R341">
        <v>0.13900000000000001</v>
      </c>
      <c r="T341" s="8" t="s">
        <v>1293</v>
      </c>
    </row>
    <row r="342" spans="1:20" x14ac:dyDescent="0.2">
      <c r="A342" t="s">
        <v>1295</v>
      </c>
      <c r="B342" t="s">
        <v>388</v>
      </c>
      <c r="C342" t="s">
        <v>388</v>
      </c>
      <c r="E342" t="s">
        <v>1296</v>
      </c>
      <c r="F342" t="s">
        <v>1297</v>
      </c>
      <c r="G342">
        <v>5</v>
      </c>
      <c r="H342">
        <v>2460</v>
      </c>
      <c r="I342">
        <v>5</v>
      </c>
      <c r="J342">
        <v>28.5</v>
      </c>
      <c r="K342">
        <v>4</v>
      </c>
      <c r="L342">
        <v>1.0249999999999999</v>
      </c>
      <c r="M342">
        <v>5</v>
      </c>
      <c r="N342">
        <v>492.5</v>
      </c>
      <c r="O342">
        <v>5</v>
      </c>
      <c r="P342">
        <v>3.35</v>
      </c>
      <c r="Q342">
        <v>4</v>
      </c>
      <c r="R342">
        <v>0.13900000000000001</v>
      </c>
      <c r="T342" s="8" t="s">
        <v>1296</v>
      </c>
    </row>
    <row r="343" spans="1:20" x14ac:dyDescent="0.2">
      <c r="A343" t="s">
        <v>1298</v>
      </c>
      <c r="B343" t="s">
        <v>388</v>
      </c>
      <c r="C343" t="s">
        <v>388</v>
      </c>
      <c r="E343" t="s">
        <v>357</v>
      </c>
      <c r="F343" t="s">
        <v>1299</v>
      </c>
      <c r="G343">
        <v>1</v>
      </c>
      <c r="H343">
        <v>1620</v>
      </c>
      <c r="I343">
        <v>1</v>
      </c>
      <c r="J343">
        <v>8.5</v>
      </c>
      <c r="K343">
        <v>1</v>
      </c>
      <c r="L343">
        <v>0.27500000000000002</v>
      </c>
      <c r="M343">
        <v>3</v>
      </c>
      <c r="N343">
        <v>302.5</v>
      </c>
      <c r="O343">
        <v>3</v>
      </c>
      <c r="P343">
        <v>1.95</v>
      </c>
      <c r="Q343">
        <v>4</v>
      </c>
      <c r="R343">
        <v>0.13900000000000001</v>
      </c>
      <c r="T343" s="8" t="s">
        <v>357</v>
      </c>
    </row>
    <row r="344" spans="1:20" x14ac:dyDescent="0.2">
      <c r="A344" t="s">
        <v>1300</v>
      </c>
      <c r="B344" t="s">
        <v>388</v>
      </c>
      <c r="C344" t="s">
        <v>388</v>
      </c>
      <c r="E344" t="s">
        <v>1301</v>
      </c>
      <c r="F344" t="s">
        <v>1302</v>
      </c>
      <c r="G344">
        <v>1</v>
      </c>
      <c r="H344">
        <v>1620</v>
      </c>
      <c r="I344">
        <v>1</v>
      </c>
      <c r="J344">
        <v>8.5</v>
      </c>
      <c r="K344">
        <v>2</v>
      </c>
      <c r="L344">
        <v>0.52500000000000002</v>
      </c>
      <c r="M344">
        <v>4</v>
      </c>
      <c r="N344">
        <v>397.5</v>
      </c>
      <c r="O344">
        <v>4</v>
      </c>
      <c r="P344">
        <v>2.65</v>
      </c>
      <c r="Q344">
        <v>4</v>
      </c>
      <c r="R344">
        <v>0.13900000000000001</v>
      </c>
      <c r="T344" s="8" t="s">
        <v>1301</v>
      </c>
    </row>
    <row r="345" spans="1:20" x14ac:dyDescent="0.2">
      <c r="A345" t="s">
        <v>1303</v>
      </c>
      <c r="B345" t="s">
        <v>388</v>
      </c>
      <c r="C345" t="s">
        <v>388</v>
      </c>
      <c r="E345" t="s">
        <v>1304</v>
      </c>
      <c r="F345" t="s">
        <v>447</v>
      </c>
      <c r="G345">
        <v>3</v>
      </c>
      <c r="H345">
        <v>2040</v>
      </c>
      <c r="I345">
        <v>3</v>
      </c>
      <c r="J345">
        <v>18.5</v>
      </c>
      <c r="K345">
        <v>2</v>
      </c>
      <c r="L345">
        <v>0.52500000000000002</v>
      </c>
      <c r="M345">
        <v>3</v>
      </c>
      <c r="N345">
        <v>302.5</v>
      </c>
      <c r="O345">
        <v>3</v>
      </c>
      <c r="P345">
        <v>1.95</v>
      </c>
      <c r="Q345">
        <v>3</v>
      </c>
      <c r="R345">
        <v>0.10100000000000001</v>
      </c>
      <c r="T345" s="8" t="s">
        <v>1304</v>
      </c>
    </row>
    <row r="346" spans="1:20" x14ac:dyDescent="0.2">
      <c r="A346" t="s">
        <v>1305</v>
      </c>
      <c r="B346" t="s">
        <v>388</v>
      </c>
      <c r="C346" t="s">
        <v>388</v>
      </c>
      <c r="E346" t="s">
        <v>357</v>
      </c>
      <c r="F346" t="s">
        <v>1306</v>
      </c>
      <c r="G346">
        <v>4</v>
      </c>
      <c r="H346">
        <v>2250</v>
      </c>
      <c r="I346">
        <v>4</v>
      </c>
      <c r="J346">
        <v>23.5</v>
      </c>
      <c r="K346">
        <v>4</v>
      </c>
      <c r="L346">
        <v>1.0249999999999999</v>
      </c>
      <c r="M346">
        <v>4</v>
      </c>
      <c r="N346">
        <v>397.5</v>
      </c>
      <c r="O346">
        <v>4</v>
      </c>
      <c r="P346">
        <v>2.65</v>
      </c>
      <c r="Q346">
        <v>4</v>
      </c>
      <c r="R346">
        <v>0.13900000000000001</v>
      </c>
      <c r="T346" s="8" t="s">
        <v>357</v>
      </c>
    </row>
    <row r="347" spans="1:20" x14ac:dyDescent="0.2">
      <c r="A347" t="s">
        <v>1307</v>
      </c>
      <c r="B347" t="s">
        <v>388</v>
      </c>
      <c r="C347" t="s">
        <v>388</v>
      </c>
      <c r="E347" t="s">
        <v>1308</v>
      </c>
      <c r="F347" t="s">
        <v>1309</v>
      </c>
      <c r="G347">
        <v>5</v>
      </c>
      <c r="H347">
        <v>2460</v>
      </c>
      <c r="I347">
        <v>5</v>
      </c>
      <c r="J347">
        <v>28.5</v>
      </c>
      <c r="K347">
        <v>4</v>
      </c>
      <c r="L347">
        <v>1.0249999999999999</v>
      </c>
      <c r="M347">
        <v>4</v>
      </c>
      <c r="N347">
        <v>397.5</v>
      </c>
      <c r="O347">
        <v>5</v>
      </c>
      <c r="P347">
        <v>3.35</v>
      </c>
      <c r="Q347">
        <v>4</v>
      </c>
      <c r="R347">
        <v>0.13900000000000001</v>
      </c>
      <c r="T347" s="8" t="s">
        <v>1308</v>
      </c>
    </row>
    <row r="348" spans="1:20" x14ac:dyDescent="0.2">
      <c r="A348" t="s">
        <v>1310</v>
      </c>
      <c r="B348" t="s">
        <v>388</v>
      </c>
      <c r="C348" t="s">
        <v>388</v>
      </c>
      <c r="E348" t="s">
        <v>1311</v>
      </c>
      <c r="F348" t="s">
        <v>1312</v>
      </c>
      <c r="G348">
        <v>1</v>
      </c>
      <c r="H348">
        <v>1620</v>
      </c>
      <c r="I348">
        <v>4</v>
      </c>
      <c r="J348">
        <v>23.5</v>
      </c>
      <c r="K348">
        <v>3</v>
      </c>
      <c r="L348">
        <v>0.77500000000000002</v>
      </c>
      <c r="M348">
        <v>1</v>
      </c>
      <c r="N348">
        <v>112.5</v>
      </c>
      <c r="O348">
        <v>1</v>
      </c>
      <c r="P348">
        <v>0.55000000000000004</v>
      </c>
      <c r="Q348">
        <v>1</v>
      </c>
      <c r="R348">
        <v>2.5000000000000001E-2</v>
      </c>
      <c r="T348" s="8" t="s">
        <v>1311</v>
      </c>
    </row>
    <row r="349" spans="1:20" x14ac:dyDescent="0.2">
      <c r="A349" t="s">
        <v>1313</v>
      </c>
      <c r="B349" t="s">
        <v>388</v>
      </c>
      <c r="C349" t="s">
        <v>388</v>
      </c>
      <c r="E349" t="s">
        <v>218</v>
      </c>
      <c r="F349" t="s">
        <v>1314</v>
      </c>
      <c r="G349">
        <v>5</v>
      </c>
      <c r="H349">
        <v>2460</v>
      </c>
      <c r="I349">
        <v>5</v>
      </c>
      <c r="J349">
        <v>28.5</v>
      </c>
      <c r="K349">
        <v>5</v>
      </c>
      <c r="L349">
        <v>1.2749999999999999</v>
      </c>
      <c r="M349">
        <v>5</v>
      </c>
      <c r="N349">
        <v>492.5</v>
      </c>
      <c r="O349">
        <v>5</v>
      </c>
      <c r="P349">
        <v>3.35</v>
      </c>
      <c r="Q349">
        <v>5</v>
      </c>
      <c r="R349">
        <v>0.17699999999999999</v>
      </c>
      <c r="T349" s="8" t="s">
        <v>218</v>
      </c>
    </row>
    <row r="350" spans="1:20" x14ac:dyDescent="0.2">
      <c r="A350" t="s">
        <v>1315</v>
      </c>
      <c r="B350" t="s">
        <v>388</v>
      </c>
      <c r="C350" t="s">
        <v>388</v>
      </c>
      <c r="E350" t="s">
        <v>1316</v>
      </c>
      <c r="F350" t="s">
        <v>1317</v>
      </c>
      <c r="G350">
        <v>5</v>
      </c>
      <c r="H350">
        <v>2460</v>
      </c>
      <c r="I350">
        <v>4</v>
      </c>
      <c r="J350">
        <v>23.5</v>
      </c>
      <c r="K350">
        <v>5</v>
      </c>
      <c r="L350">
        <v>1.2749999999999999</v>
      </c>
      <c r="M350">
        <v>5</v>
      </c>
      <c r="N350">
        <v>492.5</v>
      </c>
      <c r="O350">
        <v>5</v>
      </c>
      <c r="P350">
        <v>3.35</v>
      </c>
      <c r="Q350">
        <v>5</v>
      </c>
      <c r="R350">
        <v>0.17699999999999999</v>
      </c>
      <c r="T350" s="8" t="s">
        <v>1316</v>
      </c>
    </row>
    <row r="351" spans="1:20" x14ac:dyDescent="0.2">
      <c r="A351" t="s">
        <v>1318</v>
      </c>
      <c r="B351" t="s">
        <v>388</v>
      </c>
      <c r="C351" t="s">
        <v>388</v>
      </c>
      <c r="E351" t="s">
        <v>1319</v>
      </c>
      <c r="F351" t="s">
        <v>1320</v>
      </c>
      <c r="G351">
        <v>3</v>
      </c>
      <c r="H351">
        <v>2040</v>
      </c>
      <c r="I351">
        <v>2</v>
      </c>
      <c r="J351">
        <v>13.5</v>
      </c>
      <c r="K351">
        <v>2</v>
      </c>
      <c r="L351">
        <v>0.52500000000000002</v>
      </c>
      <c r="M351">
        <v>3</v>
      </c>
      <c r="N351">
        <v>302.5</v>
      </c>
      <c r="O351">
        <v>3</v>
      </c>
      <c r="P351">
        <v>1.95</v>
      </c>
      <c r="Q351">
        <v>4</v>
      </c>
      <c r="R351">
        <v>0.13900000000000001</v>
      </c>
      <c r="T351" s="8" t="s">
        <v>1319</v>
      </c>
    </row>
    <row r="352" spans="1:20" x14ac:dyDescent="0.2">
      <c r="A352" t="s">
        <v>1321</v>
      </c>
      <c r="B352" t="s">
        <v>388</v>
      </c>
      <c r="C352" t="s">
        <v>388</v>
      </c>
      <c r="E352" t="s">
        <v>1322</v>
      </c>
      <c r="F352" t="s">
        <v>1323</v>
      </c>
      <c r="G352">
        <v>5</v>
      </c>
      <c r="H352">
        <v>2460</v>
      </c>
      <c r="I352">
        <v>5</v>
      </c>
      <c r="J352">
        <v>28.5</v>
      </c>
      <c r="K352">
        <v>5</v>
      </c>
      <c r="L352">
        <v>1.2749999999999999</v>
      </c>
      <c r="M352">
        <v>5</v>
      </c>
      <c r="N352">
        <v>492.5</v>
      </c>
      <c r="O352">
        <v>5</v>
      </c>
      <c r="P352">
        <v>3.35</v>
      </c>
      <c r="Q352">
        <v>4</v>
      </c>
      <c r="R352">
        <v>0.13900000000000001</v>
      </c>
      <c r="T352" s="8" t="s">
        <v>1322</v>
      </c>
    </row>
    <row r="353" spans="1:20" x14ac:dyDescent="0.2">
      <c r="A353" t="s">
        <v>1324</v>
      </c>
      <c r="B353" t="s">
        <v>388</v>
      </c>
      <c r="C353" t="s">
        <v>388</v>
      </c>
      <c r="E353" t="s">
        <v>1325</v>
      </c>
      <c r="F353" t="s">
        <v>447</v>
      </c>
      <c r="G353">
        <v>5</v>
      </c>
      <c r="H353">
        <v>2460</v>
      </c>
      <c r="I353">
        <v>5</v>
      </c>
      <c r="J353">
        <v>28.5</v>
      </c>
      <c r="K353">
        <v>4</v>
      </c>
      <c r="L353">
        <v>1.0249999999999999</v>
      </c>
      <c r="M353">
        <v>4</v>
      </c>
      <c r="N353">
        <v>397.5</v>
      </c>
      <c r="O353">
        <v>4</v>
      </c>
      <c r="P353">
        <v>2.65</v>
      </c>
      <c r="Q353">
        <v>4</v>
      </c>
      <c r="R353">
        <v>0.13900000000000001</v>
      </c>
      <c r="T353" s="8" t="s">
        <v>1325</v>
      </c>
    </row>
    <row r="354" spans="1:20" x14ac:dyDescent="0.2">
      <c r="A354" t="s">
        <v>1326</v>
      </c>
      <c r="B354" t="s">
        <v>388</v>
      </c>
      <c r="C354" t="s">
        <v>388</v>
      </c>
      <c r="E354" t="s">
        <v>1327</v>
      </c>
      <c r="F354" t="s">
        <v>1328</v>
      </c>
      <c r="G354">
        <v>1</v>
      </c>
      <c r="H354">
        <v>1620</v>
      </c>
      <c r="I354">
        <v>1</v>
      </c>
      <c r="J354">
        <v>8.5</v>
      </c>
      <c r="K354">
        <v>1</v>
      </c>
      <c r="L354">
        <v>0.27500000000000002</v>
      </c>
      <c r="M354">
        <v>1</v>
      </c>
      <c r="N354">
        <v>112.5</v>
      </c>
      <c r="O354">
        <v>1</v>
      </c>
      <c r="P354">
        <v>0.55000000000000004</v>
      </c>
      <c r="Q354">
        <v>1</v>
      </c>
      <c r="R354">
        <v>2.5000000000000001E-2</v>
      </c>
      <c r="T354" s="8" t="s">
        <v>1327</v>
      </c>
    </row>
    <row r="355" spans="1:20" x14ac:dyDescent="0.2">
      <c r="A355" t="s">
        <v>1329</v>
      </c>
      <c r="B355" t="s">
        <v>388</v>
      </c>
      <c r="C355" t="s">
        <v>388</v>
      </c>
      <c r="E355" t="s">
        <v>1330</v>
      </c>
      <c r="F355" t="s">
        <v>1331</v>
      </c>
      <c r="G355">
        <v>1</v>
      </c>
      <c r="H355">
        <v>1620</v>
      </c>
      <c r="I355">
        <v>1</v>
      </c>
      <c r="J355">
        <v>8.5</v>
      </c>
      <c r="K355">
        <v>1</v>
      </c>
      <c r="L355">
        <v>0.27500000000000002</v>
      </c>
      <c r="M355">
        <v>1</v>
      </c>
      <c r="N355">
        <v>112.5</v>
      </c>
      <c r="O355">
        <v>1</v>
      </c>
      <c r="P355">
        <v>0.55000000000000004</v>
      </c>
      <c r="Q355">
        <v>1</v>
      </c>
      <c r="R355">
        <v>2.5000000000000001E-2</v>
      </c>
      <c r="T355" s="8" t="s">
        <v>1330</v>
      </c>
    </row>
    <row r="356" spans="1:20" x14ac:dyDescent="0.2">
      <c r="A356" t="s">
        <v>1332</v>
      </c>
      <c r="B356" t="s">
        <v>388</v>
      </c>
      <c r="C356" t="s">
        <v>388</v>
      </c>
      <c r="E356" t="s">
        <v>1333</v>
      </c>
      <c r="F356" t="s">
        <v>1334</v>
      </c>
      <c r="G356">
        <v>1</v>
      </c>
      <c r="H356">
        <v>1620</v>
      </c>
      <c r="I356">
        <v>1</v>
      </c>
      <c r="J356">
        <v>8.5</v>
      </c>
      <c r="K356">
        <v>1</v>
      </c>
      <c r="L356">
        <v>0.27500000000000002</v>
      </c>
      <c r="M356">
        <v>1</v>
      </c>
      <c r="N356">
        <v>112.5</v>
      </c>
      <c r="O356">
        <v>1</v>
      </c>
      <c r="P356">
        <v>0.55000000000000004</v>
      </c>
      <c r="Q356">
        <v>1</v>
      </c>
      <c r="R356">
        <v>2.5000000000000001E-2</v>
      </c>
      <c r="T356" s="8" t="s">
        <v>1333</v>
      </c>
    </row>
    <row r="357" spans="1:20" x14ac:dyDescent="0.2">
      <c r="A357" t="s">
        <v>1335</v>
      </c>
      <c r="B357" t="s">
        <v>388</v>
      </c>
      <c r="C357" t="s">
        <v>388</v>
      </c>
      <c r="E357" t="s">
        <v>1336</v>
      </c>
      <c r="F357" t="s">
        <v>1337</v>
      </c>
      <c r="G357">
        <v>2</v>
      </c>
      <c r="H357">
        <v>1830</v>
      </c>
      <c r="I357">
        <v>1</v>
      </c>
      <c r="J357">
        <v>8.5</v>
      </c>
      <c r="K357">
        <v>1</v>
      </c>
      <c r="L357">
        <v>0.27500000000000002</v>
      </c>
      <c r="M357">
        <v>3</v>
      </c>
      <c r="N357">
        <v>302.5</v>
      </c>
      <c r="O357">
        <v>3</v>
      </c>
      <c r="P357">
        <v>1.95</v>
      </c>
      <c r="Q357">
        <v>3</v>
      </c>
      <c r="R357">
        <v>0.10100000000000001</v>
      </c>
      <c r="T357" s="8" t="s">
        <v>1336</v>
      </c>
    </row>
    <row r="358" spans="1:20" x14ac:dyDescent="0.2">
      <c r="A358" t="s">
        <v>1338</v>
      </c>
      <c r="B358" t="s">
        <v>388</v>
      </c>
      <c r="C358" t="s">
        <v>388</v>
      </c>
      <c r="E358" t="s">
        <v>1339</v>
      </c>
      <c r="F358" t="s">
        <v>1340</v>
      </c>
      <c r="G358">
        <v>2</v>
      </c>
      <c r="H358">
        <v>1830</v>
      </c>
      <c r="I358">
        <v>2</v>
      </c>
      <c r="J358">
        <v>13.5</v>
      </c>
      <c r="K358">
        <v>2</v>
      </c>
      <c r="L358">
        <v>0.52500000000000002</v>
      </c>
      <c r="M358">
        <v>2</v>
      </c>
      <c r="N358">
        <v>207.5</v>
      </c>
      <c r="O358">
        <v>2</v>
      </c>
      <c r="P358">
        <v>1.25</v>
      </c>
      <c r="Q358">
        <v>2</v>
      </c>
      <c r="R358">
        <v>6.3E-2</v>
      </c>
      <c r="T358" s="8" t="s">
        <v>1339</v>
      </c>
    </row>
    <row r="359" spans="1:20" x14ac:dyDescent="0.2">
      <c r="A359" t="s">
        <v>1341</v>
      </c>
      <c r="B359" t="s">
        <v>388</v>
      </c>
      <c r="C359" t="s">
        <v>388</v>
      </c>
      <c r="E359" t="s">
        <v>1342</v>
      </c>
      <c r="F359" t="s">
        <v>1343</v>
      </c>
      <c r="G359">
        <v>3</v>
      </c>
      <c r="H359">
        <v>2040</v>
      </c>
      <c r="I359">
        <v>2</v>
      </c>
      <c r="J359">
        <v>13.5</v>
      </c>
      <c r="K359">
        <v>2</v>
      </c>
      <c r="L359">
        <v>0.52500000000000002</v>
      </c>
      <c r="M359">
        <v>3</v>
      </c>
      <c r="N359">
        <v>302.5</v>
      </c>
      <c r="O359">
        <v>3</v>
      </c>
      <c r="P359">
        <v>1.95</v>
      </c>
      <c r="Q359">
        <v>3</v>
      </c>
      <c r="R359">
        <v>0.10100000000000001</v>
      </c>
      <c r="T359" s="8" t="s">
        <v>1342</v>
      </c>
    </row>
    <row r="360" spans="1:20" x14ac:dyDescent="0.2">
      <c r="A360" t="s">
        <v>1344</v>
      </c>
      <c r="B360" t="s">
        <v>388</v>
      </c>
      <c r="C360" t="s">
        <v>388</v>
      </c>
      <c r="E360" t="s">
        <v>1345</v>
      </c>
      <c r="F360" t="s">
        <v>447</v>
      </c>
      <c r="G360">
        <v>3</v>
      </c>
      <c r="H360">
        <v>2040</v>
      </c>
      <c r="I360">
        <v>3</v>
      </c>
      <c r="J360">
        <v>18.5</v>
      </c>
      <c r="K360">
        <v>3</v>
      </c>
      <c r="L360">
        <v>0.77500000000000002</v>
      </c>
      <c r="M360">
        <v>5</v>
      </c>
      <c r="N360">
        <v>492.5</v>
      </c>
      <c r="O360">
        <v>5</v>
      </c>
      <c r="P360">
        <v>3.35</v>
      </c>
      <c r="Q360">
        <v>4</v>
      </c>
      <c r="R360">
        <v>0.13900000000000001</v>
      </c>
      <c r="T360" s="8" t="s">
        <v>1345</v>
      </c>
    </row>
    <row r="361" spans="1:20" x14ac:dyDescent="0.2">
      <c r="A361" t="s">
        <v>1346</v>
      </c>
      <c r="B361" t="s">
        <v>388</v>
      </c>
      <c r="C361" t="s">
        <v>388</v>
      </c>
      <c r="E361" t="s">
        <v>1347</v>
      </c>
      <c r="F361" t="s">
        <v>1348</v>
      </c>
      <c r="G361">
        <v>5</v>
      </c>
      <c r="H361">
        <v>2460</v>
      </c>
      <c r="I361">
        <v>5</v>
      </c>
      <c r="J361">
        <v>28.5</v>
      </c>
      <c r="K361">
        <v>4</v>
      </c>
      <c r="L361">
        <v>1.0249999999999999</v>
      </c>
      <c r="M361">
        <v>4</v>
      </c>
      <c r="N361">
        <v>397.5</v>
      </c>
      <c r="O361">
        <v>5</v>
      </c>
      <c r="P361">
        <v>3.35</v>
      </c>
      <c r="Q361">
        <v>4</v>
      </c>
      <c r="R361">
        <v>0.13900000000000001</v>
      </c>
      <c r="T361" s="8" t="s">
        <v>1347</v>
      </c>
    </row>
    <row r="362" spans="1:20" x14ac:dyDescent="0.2">
      <c r="A362" t="s">
        <v>1349</v>
      </c>
      <c r="B362" t="s">
        <v>388</v>
      </c>
      <c r="C362" t="s">
        <v>388</v>
      </c>
      <c r="E362" t="s">
        <v>1350</v>
      </c>
      <c r="F362" t="s">
        <v>1351</v>
      </c>
      <c r="G362">
        <v>5</v>
      </c>
      <c r="H362">
        <v>2460</v>
      </c>
      <c r="I362">
        <v>5</v>
      </c>
      <c r="J362">
        <v>28.5</v>
      </c>
      <c r="K362">
        <v>5</v>
      </c>
      <c r="L362">
        <v>1.2749999999999999</v>
      </c>
      <c r="M362">
        <v>5</v>
      </c>
      <c r="N362">
        <v>492.5</v>
      </c>
      <c r="O362">
        <v>5</v>
      </c>
      <c r="P362">
        <v>3.35</v>
      </c>
      <c r="Q362">
        <v>4</v>
      </c>
      <c r="R362">
        <v>0.13900000000000001</v>
      </c>
      <c r="T362" s="8" t="s">
        <v>1350</v>
      </c>
    </row>
    <row r="363" spans="1:20" x14ac:dyDescent="0.2">
      <c r="A363" t="s">
        <v>1352</v>
      </c>
      <c r="B363" t="s">
        <v>388</v>
      </c>
      <c r="C363" t="s">
        <v>388</v>
      </c>
      <c r="E363" t="s">
        <v>1353</v>
      </c>
      <c r="F363" t="s">
        <v>447</v>
      </c>
      <c r="G363">
        <v>4</v>
      </c>
      <c r="H363">
        <v>2250</v>
      </c>
      <c r="I363">
        <v>5</v>
      </c>
      <c r="J363">
        <v>28.5</v>
      </c>
      <c r="K363">
        <v>4</v>
      </c>
      <c r="L363">
        <v>1.0249999999999999</v>
      </c>
      <c r="M363">
        <v>4</v>
      </c>
      <c r="N363">
        <v>397.5</v>
      </c>
      <c r="O363">
        <v>4</v>
      </c>
      <c r="P363">
        <v>2.65</v>
      </c>
      <c r="Q363">
        <v>4</v>
      </c>
      <c r="R363">
        <v>0.13900000000000001</v>
      </c>
      <c r="T363" s="8" t="s">
        <v>1353</v>
      </c>
    </row>
    <row r="364" spans="1:20" x14ac:dyDescent="0.2">
      <c r="A364" t="s">
        <v>1354</v>
      </c>
      <c r="B364" t="s">
        <v>388</v>
      </c>
      <c r="C364" t="s">
        <v>388</v>
      </c>
      <c r="E364" t="s">
        <v>1355</v>
      </c>
      <c r="F364" t="s">
        <v>1356</v>
      </c>
      <c r="G364">
        <v>4</v>
      </c>
      <c r="H364">
        <v>2250</v>
      </c>
      <c r="I364">
        <v>5</v>
      </c>
      <c r="J364">
        <v>28.5</v>
      </c>
      <c r="K364">
        <v>4</v>
      </c>
      <c r="L364">
        <v>1.0249999999999999</v>
      </c>
      <c r="M364">
        <v>4</v>
      </c>
      <c r="N364">
        <v>397.5</v>
      </c>
      <c r="O364">
        <v>4</v>
      </c>
      <c r="P364">
        <v>2.65</v>
      </c>
      <c r="Q364">
        <v>4</v>
      </c>
      <c r="R364">
        <v>0.13900000000000001</v>
      </c>
      <c r="T364" s="8" t="s">
        <v>1355</v>
      </c>
    </row>
    <row r="365" spans="1:20" x14ac:dyDescent="0.2">
      <c r="A365" t="s">
        <v>1357</v>
      </c>
      <c r="B365" t="s">
        <v>388</v>
      </c>
      <c r="C365" t="s">
        <v>388</v>
      </c>
      <c r="E365" t="s">
        <v>1358</v>
      </c>
      <c r="F365" t="s">
        <v>1356</v>
      </c>
      <c r="G365">
        <v>1</v>
      </c>
      <c r="H365">
        <v>1620</v>
      </c>
      <c r="I365">
        <v>1</v>
      </c>
      <c r="J365">
        <v>8.5</v>
      </c>
      <c r="K365">
        <v>1</v>
      </c>
      <c r="L365">
        <v>0.27500000000000002</v>
      </c>
      <c r="M365">
        <v>1</v>
      </c>
      <c r="N365">
        <v>112.5</v>
      </c>
      <c r="O365">
        <v>1</v>
      </c>
      <c r="P365">
        <v>0.55000000000000004</v>
      </c>
      <c r="Q365">
        <v>1</v>
      </c>
      <c r="R365">
        <v>2.5000000000000001E-2</v>
      </c>
      <c r="T365" s="8" t="s">
        <v>1358</v>
      </c>
    </row>
    <row r="366" spans="1:20" x14ac:dyDescent="0.2">
      <c r="A366" t="s">
        <v>1359</v>
      </c>
      <c r="B366" t="s">
        <v>388</v>
      </c>
      <c r="C366" t="s">
        <v>388</v>
      </c>
      <c r="E366" t="s">
        <v>1360</v>
      </c>
      <c r="F366" t="s">
        <v>1356</v>
      </c>
      <c r="G366">
        <v>5</v>
      </c>
      <c r="H366">
        <v>2460</v>
      </c>
      <c r="I366">
        <v>4</v>
      </c>
      <c r="J366">
        <v>23.5</v>
      </c>
      <c r="K366">
        <v>5</v>
      </c>
      <c r="L366">
        <v>1.2749999999999999</v>
      </c>
      <c r="M366">
        <v>4</v>
      </c>
      <c r="N366">
        <v>397.5</v>
      </c>
      <c r="O366">
        <v>5</v>
      </c>
      <c r="P366">
        <v>3.35</v>
      </c>
      <c r="Q366">
        <v>5</v>
      </c>
      <c r="R366">
        <v>0.17699999999999999</v>
      </c>
      <c r="T366" s="8" t="s">
        <v>1360</v>
      </c>
    </row>
    <row r="367" spans="1:20" x14ac:dyDescent="0.2">
      <c r="A367" t="s">
        <v>1361</v>
      </c>
      <c r="B367" t="s">
        <v>388</v>
      </c>
      <c r="C367" t="s">
        <v>388</v>
      </c>
      <c r="E367" t="s">
        <v>1362</v>
      </c>
      <c r="F367" t="s">
        <v>447</v>
      </c>
      <c r="G367">
        <v>3</v>
      </c>
      <c r="H367">
        <v>2040</v>
      </c>
      <c r="I367">
        <v>3</v>
      </c>
      <c r="J367">
        <v>18.5</v>
      </c>
      <c r="K367">
        <v>3</v>
      </c>
      <c r="L367">
        <v>0.77500000000000002</v>
      </c>
      <c r="M367">
        <v>2</v>
      </c>
      <c r="N367">
        <v>207.5</v>
      </c>
      <c r="O367">
        <v>2</v>
      </c>
      <c r="P367">
        <v>1.25</v>
      </c>
      <c r="Q367">
        <v>5</v>
      </c>
      <c r="R367">
        <v>0.17699999999999999</v>
      </c>
      <c r="T367" s="8" t="s">
        <v>1362</v>
      </c>
    </row>
    <row r="368" spans="1:20" x14ac:dyDescent="0.2">
      <c r="A368" t="s">
        <v>1363</v>
      </c>
      <c r="B368" t="s">
        <v>388</v>
      </c>
      <c r="C368" t="s">
        <v>388</v>
      </c>
      <c r="E368" t="s">
        <v>1364</v>
      </c>
      <c r="F368" t="s">
        <v>1365</v>
      </c>
      <c r="G368">
        <v>4</v>
      </c>
      <c r="H368">
        <v>2250</v>
      </c>
      <c r="I368">
        <v>5</v>
      </c>
      <c r="J368">
        <v>28.5</v>
      </c>
      <c r="K368">
        <v>4</v>
      </c>
      <c r="L368">
        <v>1.0249999999999999</v>
      </c>
      <c r="M368">
        <v>4</v>
      </c>
      <c r="N368">
        <v>397.5</v>
      </c>
      <c r="O368">
        <v>4</v>
      </c>
      <c r="P368">
        <v>2.65</v>
      </c>
      <c r="Q368">
        <v>4</v>
      </c>
      <c r="R368">
        <v>0.13900000000000001</v>
      </c>
      <c r="T368" s="8" t="s">
        <v>1364</v>
      </c>
    </row>
    <row r="369" spans="1:20" x14ac:dyDescent="0.2">
      <c r="A369" t="s">
        <v>1366</v>
      </c>
      <c r="B369" t="s">
        <v>388</v>
      </c>
      <c r="C369" t="s">
        <v>388</v>
      </c>
      <c r="E369" t="s">
        <v>1367</v>
      </c>
      <c r="F369" t="s">
        <v>447</v>
      </c>
      <c r="G369">
        <v>4</v>
      </c>
      <c r="H369">
        <v>2250</v>
      </c>
      <c r="I369">
        <v>4</v>
      </c>
      <c r="J369">
        <v>23.5</v>
      </c>
      <c r="K369">
        <v>4</v>
      </c>
      <c r="L369">
        <v>1.0249999999999999</v>
      </c>
      <c r="M369">
        <v>4</v>
      </c>
      <c r="N369">
        <v>397.5</v>
      </c>
      <c r="O369">
        <v>4</v>
      </c>
      <c r="P369">
        <v>2.65</v>
      </c>
      <c r="Q369">
        <v>4</v>
      </c>
      <c r="R369">
        <v>0.13900000000000001</v>
      </c>
      <c r="T369" s="8" t="s">
        <v>1367</v>
      </c>
    </row>
    <row r="370" spans="1:20" x14ac:dyDescent="0.2">
      <c r="A370" t="s">
        <v>1368</v>
      </c>
      <c r="B370" t="s">
        <v>388</v>
      </c>
      <c r="C370" t="s">
        <v>388</v>
      </c>
      <c r="E370" t="s">
        <v>1369</v>
      </c>
      <c r="F370" t="s">
        <v>1370</v>
      </c>
      <c r="G370">
        <v>4</v>
      </c>
      <c r="H370">
        <v>2250</v>
      </c>
      <c r="I370">
        <v>4</v>
      </c>
      <c r="J370">
        <v>23.5</v>
      </c>
      <c r="K370">
        <v>4</v>
      </c>
      <c r="L370">
        <v>1.0249999999999999</v>
      </c>
      <c r="M370">
        <v>5</v>
      </c>
      <c r="N370">
        <v>492.5</v>
      </c>
      <c r="O370">
        <v>5</v>
      </c>
      <c r="P370">
        <v>3.35</v>
      </c>
      <c r="Q370">
        <v>4</v>
      </c>
      <c r="R370">
        <v>0.13900000000000001</v>
      </c>
      <c r="T370" s="8" t="s">
        <v>1369</v>
      </c>
    </row>
    <row r="371" spans="1:20" x14ac:dyDescent="0.2">
      <c r="A371" t="s">
        <v>1371</v>
      </c>
      <c r="B371" t="s">
        <v>388</v>
      </c>
      <c r="C371" t="s">
        <v>388</v>
      </c>
      <c r="E371" t="s">
        <v>1372</v>
      </c>
      <c r="F371" t="s">
        <v>1373</v>
      </c>
      <c r="G371">
        <v>4</v>
      </c>
      <c r="H371">
        <v>2250</v>
      </c>
      <c r="I371">
        <v>4</v>
      </c>
      <c r="J371">
        <v>23.5</v>
      </c>
      <c r="K371">
        <v>4</v>
      </c>
      <c r="L371">
        <v>1.0249999999999999</v>
      </c>
      <c r="M371">
        <v>4</v>
      </c>
      <c r="N371">
        <v>397.5</v>
      </c>
      <c r="O371">
        <v>4</v>
      </c>
      <c r="P371">
        <v>2.65</v>
      </c>
      <c r="Q371">
        <v>4</v>
      </c>
      <c r="R371">
        <v>0.13900000000000001</v>
      </c>
      <c r="T371" s="8" t="s">
        <v>1372</v>
      </c>
    </row>
    <row r="372" spans="1:20" x14ac:dyDescent="0.2">
      <c r="A372" t="s">
        <v>1374</v>
      </c>
      <c r="B372" t="s">
        <v>388</v>
      </c>
      <c r="C372" t="s">
        <v>388</v>
      </c>
      <c r="E372" t="s">
        <v>1375</v>
      </c>
      <c r="F372" t="s">
        <v>1376</v>
      </c>
      <c r="G372">
        <v>5</v>
      </c>
      <c r="H372">
        <v>2460</v>
      </c>
      <c r="I372">
        <v>5</v>
      </c>
      <c r="J372">
        <v>28.5</v>
      </c>
      <c r="K372">
        <v>5</v>
      </c>
      <c r="L372">
        <v>1.2749999999999999</v>
      </c>
      <c r="M372">
        <v>5</v>
      </c>
      <c r="N372">
        <v>492.5</v>
      </c>
      <c r="O372">
        <v>5</v>
      </c>
      <c r="P372">
        <v>3.35</v>
      </c>
      <c r="Q372">
        <v>4</v>
      </c>
      <c r="R372">
        <v>0.13900000000000001</v>
      </c>
      <c r="T372" s="8" t="s">
        <v>1375</v>
      </c>
    </row>
    <row r="373" spans="1:20" x14ac:dyDescent="0.2">
      <c r="A373" t="s">
        <v>1377</v>
      </c>
      <c r="B373" t="s">
        <v>388</v>
      </c>
      <c r="C373" t="s">
        <v>388</v>
      </c>
      <c r="E373" t="s">
        <v>1378</v>
      </c>
      <c r="F373" t="s">
        <v>1379</v>
      </c>
      <c r="G373">
        <v>4</v>
      </c>
      <c r="H373">
        <v>2250</v>
      </c>
      <c r="I373">
        <v>4</v>
      </c>
      <c r="J373">
        <v>23.5</v>
      </c>
      <c r="K373">
        <v>4</v>
      </c>
      <c r="L373">
        <v>1.0249999999999999</v>
      </c>
      <c r="M373">
        <v>4</v>
      </c>
      <c r="N373">
        <v>397.5</v>
      </c>
      <c r="O373">
        <v>4</v>
      </c>
      <c r="P373">
        <v>2.65</v>
      </c>
      <c r="Q373">
        <v>4</v>
      </c>
      <c r="R373">
        <v>0.13900000000000001</v>
      </c>
      <c r="T373" s="8" t="s">
        <v>1378</v>
      </c>
    </row>
    <row r="374" spans="1:20" x14ac:dyDescent="0.2">
      <c r="A374" t="s">
        <v>1380</v>
      </c>
      <c r="B374" t="s">
        <v>388</v>
      </c>
      <c r="C374" t="s">
        <v>388</v>
      </c>
      <c r="E374" t="s">
        <v>1381</v>
      </c>
      <c r="F374" t="s">
        <v>1382</v>
      </c>
      <c r="G374">
        <v>1</v>
      </c>
      <c r="H374">
        <v>1620</v>
      </c>
      <c r="I374">
        <v>1</v>
      </c>
      <c r="J374">
        <v>8.5</v>
      </c>
      <c r="K374">
        <v>1</v>
      </c>
      <c r="L374">
        <v>0.27500000000000002</v>
      </c>
      <c r="M374">
        <v>1</v>
      </c>
      <c r="N374">
        <v>112.5</v>
      </c>
      <c r="O374">
        <v>1</v>
      </c>
      <c r="P374">
        <v>0.55000000000000004</v>
      </c>
      <c r="Q374">
        <v>1</v>
      </c>
      <c r="R374">
        <v>2.5000000000000001E-2</v>
      </c>
      <c r="T374" s="8" t="s">
        <v>1381</v>
      </c>
    </row>
    <row r="375" spans="1:20" x14ac:dyDescent="0.2">
      <c r="A375" t="s">
        <v>1383</v>
      </c>
      <c r="B375" t="s">
        <v>388</v>
      </c>
      <c r="C375" t="s">
        <v>388</v>
      </c>
      <c r="E375" t="s">
        <v>1384</v>
      </c>
      <c r="F375" t="s">
        <v>1385</v>
      </c>
      <c r="G375">
        <v>4</v>
      </c>
      <c r="H375">
        <v>2250</v>
      </c>
      <c r="I375">
        <v>5</v>
      </c>
      <c r="J375">
        <v>28.5</v>
      </c>
      <c r="K375">
        <v>4</v>
      </c>
      <c r="L375">
        <v>1.0249999999999999</v>
      </c>
      <c r="M375">
        <v>5</v>
      </c>
      <c r="N375">
        <v>492.5</v>
      </c>
      <c r="O375">
        <v>5</v>
      </c>
      <c r="P375">
        <v>3.35</v>
      </c>
      <c r="Q375">
        <v>5</v>
      </c>
      <c r="R375">
        <v>0.17699999999999999</v>
      </c>
      <c r="T375" s="8" t="s">
        <v>1384</v>
      </c>
    </row>
    <row r="376" spans="1:20" x14ac:dyDescent="0.2">
      <c r="A376" t="s">
        <v>1386</v>
      </c>
      <c r="B376" t="s">
        <v>388</v>
      </c>
      <c r="C376" t="s">
        <v>388</v>
      </c>
      <c r="E376" t="s">
        <v>1387</v>
      </c>
      <c r="F376" t="s">
        <v>1388</v>
      </c>
      <c r="G376">
        <v>2</v>
      </c>
      <c r="H376">
        <v>1830</v>
      </c>
      <c r="I376">
        <v>2</v>
      </c>
      <c r="J376">
        <v>13.5</v>
      </c>
      <c r="K376">
        <v>2</v>
      </c>
      <c r="L376">
        <v>0.52500000000000002</v>
      </c>
      <c r="M376">
        <v>2</v>
      </c>
      <c r="N376">
        <v>207.5</v>
      </c>
      <c r="O376">
        <v>3</v>
      </c>
      <c r="P376">
        <v>1.95</v>
      </c>
      <c r="Q376">
        <v>2</v>
      </c>
      <c r="R376">
        <v>6.3E-2</v>
      </c>
      <c r="T376" s="8" t="s">
        <v>1387</v>
      </c>
    </row>
    <row r="377" spans="1:20" x14ac:dyDescent="0.2">
      <c r="A377" t="s">
        <v>1389</v>
      </c>
      <c r="B377" t="s">
        <v>388</v>
      </c>
      <c r="C377" t="s">
        <v>388</v>
      </c>
      <c r="E377" t="s">
        <v>1390</v>
      </c>
      <c r="F377" t="s">
        <v>1391</v>
      </c>
      <c r="G377">
        <v>5</v>
      </c>
      <c r="H377">
        <v>2460</v>
      </c>
      <c r="I377">
        <v>5</v>
      </c>
      <c r="J377">
        <v>28.5</v>
      </c>
      <c r="K377">
        <v>5</v>
      </c>
      <c r="L377">
        <v>1.2749999999999999</v>
      </c>
      <c r="M377">
        <v>5</v>
      </c>
      <c r="N377">
        <v>492.5</v>
      </c>
      <c r="O377">
        <v>5</v>
      </c>
      <c r="P377">
        <v>3.35</v>
      </c>
      <c r="Q377">
        <v>5</v>
      </c>
      <c r="R377">
        <v>0.17699999999999999</v>
      </c>
      <c r="T377" s="8" t="s">
        <v>1390</v>
      </c>
    </row>
    <row r="378" spans="1:20" x14ac:dyDescent="0.2">
      <c r="A378" t="s">
        <v>1389</v>
      </c>
      <c r="B378" t="s">
        <v>388</v>
      </c>
      <c r="C378" t="s">
        <v>388</v>
      </c>
      <c r="E378" t="s">
        <v>1390</v>
      </c>
      <c r="F378" t="s">
        <v>1391</v>
      </c>
      <c r="G378">
        <v>5</v>
      </c>
      <c r="H378">
        <v>2460</v>
      </c>
      <c r="I378">
        <v>5</v>
      </c>
      <c r="J378">
        <v>28.5</v>
      </c>
      <c r="K378">
        <v>5</v>
      </c>
      <c r="L378">
        <v>1.2749999999999999</v>
      </c>
      <c r="M378">
        <v>5</v>
      </c>
      <c r="N378">
        <v>492.5</v>
      </c>
      <c r="O378">
        <v>5</v>
      </c>
      <c r="P378">
        <v>3.35</v>
      </c>
      <c r="Q378">
        <v>5</v>
      </c>
      <c r="R378">
        <v>0.17699999999999999</v>
      </c>
      <c r="T378" s="8" t="s">
        <v>1390</v>
      </c>
    </row>
    <row r="379" spans="1:20" x14ac:dyDescent="0.2">
      <c r="A379" t="s">
        <v>1392</v>
      </c>
      <c r="B379" t="s">
        <v>388</v>
      </c>
      <c r="C379" t="s">
        <v>388</v>
      </c>
      <c r="E379" t="s">
        <v>1393</v>
      </c>
      <c r="F379" t="s">
        <v>447</v>
      </c>
      <c r="G379">
        <v>2</v>
      </c>
      <c r="H379">
        <v>1830</v>
      </c>
      <c r="I379">
        <v>3</v>
      </c>
      <c r="J379">
        <v>18.5</v>
      </c>
      <c r="K379">
        <v>3</v>
      </c>
      <c r="L379">
        <v>0.77500000000000002</v>
      </c>
      <c r="M379">
        <v>2</v>
      </c>
      <c r="N379">
        <v>207.5</v>
      </c>
      <c r="O379">
        <v>2</v>
      </c>
      <c r="P379">
        <v>1.25</v>
      </c>
      <c r="Q379">
        <v>2</v>
      </c>
      <c r="R379">
        <v>6.3E-2</v>
      </c>
      <c r="T379" s="8" t="s">
        <v>1393</v>
      </c>
    </row>
    <row r="380" spans="1:20" x14ac:dyDescent="0.2">
      <c r="A380" t="s">
        <v>1394</v>
      </c>
      <c r="B380" t="s">
        <v>388</v>
      </c>
      <c r="C380" t="s">
        <v>388</v>
      </c>
      <c r="E380" t="s">
        <v>1395</v>
      </c>
      <c r="F380" t="s">
        <v>1396</v>
      </c>
      <c r="G380">
        <v>3</v>
      </c>
      <c r="H380">
        <v>2040</v>
      </c>
      <c r="I380">
        <v>3</v>
      </c>
      <c r="J380">
        <v>18.5</v>
      </c>
      <c r="K380">
        <v>3</v>
      </c>
      <c r="L380">
        <v>0.77500000000000002</v>
      </c>
      <c r="M380">
        <v>4</v>
      </c>
      <c r="N380">
        <v>397.5</v>
      </c>
      <c r="O380">
        <v>4</v>
      </c>
      <c r="P380">
        <v>2.65</v>
      </c>
      <c r="Q380">
        <v>4</v>
      </c>
      <c r="R380">
        <v>0.13900000000000001</v>
      </c>
      <c r="T380" s="8" t="s">
        <v>1395</v>
      </c>
    </row>
    <row r="381" spans="1:20" x14ac:dyDescent="0.2">
      <c r="A381" t="s">
        <v>1397</v>
      </c>
      <c r="B381" t="s">
        <v>388</v>
      </c>
      <c r="C381" t="s">
        <v>388</v>
      </c>
      <c r="E381" t="s">
        <v>1398</v>
      </c>
      <c r="F381" t="s">
        <v>1399</v>
      </c>
      <c r="G381">
        <v>4</v>
      </c>
      <c r="H381">
        <v>2250</v>
      </c>
      <c r="I381">
        <v>3</v>
      </c>
      <c r="J381">
        <v>18.5</v>
      </c>
      <c r="K381">
        <v>4</v>
      </c>
      <c r="L381">
        <v>1.0249999999999999</v>
      </c>
      <c r="M381">
        <v>5</v>
      </c>
      <c r="N381">
        <v>492.5</v>
      </c>
      <c r="O381">
        <v>5</v>
      </c>
      <c r="P381">
        <v>3.35</v>
      </c>
      <c r="Q381">
        <v>5</v>
      </c>
      <c r="R381">
        <v>0.17699999999999999</v>
      </c>
      <c r="T381" s="8" t="s">
        <v>1398</v>
      </c>
    </row>
    <row r="382" spans="1:20" x14ac:dyDescent="0.2">
      <c r="A382" t="s">
        <v>1400</v>
      </c>
      <c r="B382" t="s">
        <v>388</v>
      </c>
      <c r="C382" t="s">
        <v>388</v>
      </c>
      <c r="E382" t="s">
        <v>357</v>
      </c>
      <c r="F382" t="s">
        <v>447</v>
      </c>
      <c r="G382">
        <v>2</v>
      </c>
      <c r="H382">
        <v>1830</v>
      </c>
      <c r="I382">
        <v>2</v>
      </c>
      <c r="J382">
        <v>13.5</v>
      </c>
      <c r="K382">
        <v>2</v>
      </c>
      <c r="L382">
        <v>0.52500000000000002</v>
      </c>
      <c r="M382">
        <v>3</v>
      </c>
      <c r="N382">
        <v>302.5</v>
      </c>
      <c r="O382">
        <v>3</v>
      </c>
      <c r="P382">
        <v>1.95</v>
      </c>
      <c r="Q382">
        <v>4</v>
      </c>
      <c r="R382">
        <v>0.13900000000000001</v>
      </c>
      <c r="T382" s="8" t="s">
        <v>357</v>
      </c>
    </row>
    <row r="383" spans="1:20" x14ac:dyDescent="0.2">
      <c r="A383" t="s">
        <v>1401</v>
      </c>
      <c r="B383" t="s">
        <v>388</v>
      </c>
      <c r="C383" t="s">
        <v>388</v>
      </c>
      <c r="E383" t="s">
        <v>1402</v>
      </c>
      <c r="F383" t="s">
        <v>1403</v>
      </c>
      <c r="G383">
        <v>1</v>
      </c>
      <c r="H383">
        <v>1620</v>
      </c>
      <c r="I383">
        <v>1</v>
      </c>
      <c r="J383">
        <v>8.5</v>
      </c>
      <c r="K383">
        <v>1</v>
      </c>
      <c r="L383">
        <v>0.27500000000000002</v>
      </c>
      <c r="M383">
        <v>2</v>
      </c>
      <c r="N383">
        <v>207.5</v>
      </c>
      <c r="O383">
        <v>2</v>
      </c>
      <c r="P383">
        <v>1.25</v>
      </c>
      <c r="Q383">
        <v>2</v>
      </c>
      <c r="R383">
        <v>6.3E-2</v>
      </c>
      <c r="T383" s="8" t="s">
        <v>1402</v>
      </c>
    </row>
    <row r="384" spans="1:20" x14ac:dyDescent="0.2">
      <c r="A384" t="s">
        <v>1404</v>
      </c>
      <c r="B384" t="s">
        <v>388</v>
      </c>
      <c r="C384" t="s">
        <v>388</v>
      </c>
      <c r="E384" t="s">
        <v>1405</v>
      </c>
      <c r="F384" t="s">
        <v>1406</v>
      </c>
      <c r="G384">
        <v>4</v>
      </c>
      <c r="H384">
        <v>2250</v>
      </c>
      <c r="I384">
        <v>2</v>
      </c>
      <c r="J384">
        <v>13.5</v>
      </c>
      <c r="K384">
        <v>3</v>
      </c>
      <c r="L384">
        <v>0.77500000000000002</v>
      </c>
      <c r="M384">
        <v>4</v>
      </c>
      <c r="N384">
        <v>397.5</v>
      </c>
      <c r="O384">
        <v>4</v>
      </c>
      <c r="P384">
        <v>2.65</v>
      </c>
      <c r="Q384">
        <v>5</v>
      </c>
      <c r="R384">
        <v>0.17699999999999999</v>
      </c>
      <c r="T384" s="8" t="s">
        <v>1405</v>
      </c>
    </row>
    <row r="385" spans="1:20" x14ac:dyDescent="0.2">
      <c r="A385" t="s">
        <v>1407</v>
      </c>
      <c r="B385" t="s">
        <v>388</v>
      </c>
      <c r="C385" t="s">
        <v>388</v>
      </c>
      <c r="E385" t="s">
        <v>1408</v>
      </c>
      <c r="F385" t="s">
        <v>1409</v>
      </c>
      <c r="G385">
        <v>3</v>
      </c>
      <c r="H385">
        <v>2040</v>
      </c>
      <c r="I385">
        <v>3</v>
      </c>
      <c r="J385">
        <v>18.5</v>
      </c>
      <c r="K385">
        <v>2</v>
      </c>
      <c r="L385">
        <v>0.52500000000000002</v>
      </c>
      <c r="M385">
        <v>3</v>
      </c>
      <c r="N385">
        <v>302.5</v>
      </c>
      <c r="O385">
        <v>3</v>
      </c>
      <c r="P385">
        <v>1.95</v>
      </c>
      <c r="Q385">
        <v>2</v>
      </c>
      <c r="R385">
        <v>6.3E-2</v>
      </c>
      <c r="T385" s="8" t="s">
        <v>1408</v>
      </c>
    </row>
    <row r="386" spans="1:20" x14ac:dyDescent="0.2">
      <c r="A386" t="s">
        <v>1410</v>
      </c>
      <c r="B386" t="s">
        <v>388</v>
      </c>
      <c r="C386" t="s">
        <v>388</v>
      </c>
      <c r="E386" t="s">
        <v>1411</v>
      </c>
      <c r="F386" t="s">
        <v>447</v>
      </c>
      <c r="G386">
        <v>1</v>
      </c>
      <c r="H386">
        <v>1620</v>
      </c>
      <c r="I386">
        <v>1</v>
      </c>
      <c r="J386">
        <v>8.5</v>
      </c>
      <c r="K386">
        <v>1</v>
      </c>
      <c r="L386">
        <v>0.27500000000000002</v>
      </c>
      <c r="M386">
        <v>1</v>
      </c>
      <c r="N386">
        <v>112.5</v>
      </c>
      <c r="O386">
        <v>1</v>
      </c>
      <c r="P386">
        <v>0.55000000000000004</v>
      </c>
      <c r="Q386">
        <v>1</v>
      </c>
      <c r="R386">
        <v>2.5000000000000001E-2</v>
      </c>
      <c r="T386" s="8" t="s">
        <v>1411</v>
      </c>
    </row>
    <row r="387" spans="1:20" x14ac:dyDescent="0.2">
      <c r="A387" t="s">
        <v>1412</v>
      </c>
      <c r="B387" t="s">
        <v>388</v>
      </c>
      <c r="C387" t="s">
        <v>388</v>
      </c>
      <c r="E387" t="s">
        <v>1413</v>
      </c>
      <c r="F387" t="s">
        <v>1414</v>
      </c>
      <c r="G387">
        <v>4</v>
      </c>
      <c r="H387">
        <v>2250</v>
      </c>
      <c r="I387">
        <v>4</v>
      </c>
      <c r="J387">
        <v>23.5</v>
      </c>
      <c r="K387">
        <v>4</v>
      </c>
      <c r="L387">
        <v>1.0249999999999999</v>
      </c>
      <c r="M387">
        <v>4</v>
      </c>
      <c r="N387">
        <v>397.5</v>
      </c>
      <c r="O387">
        <v>4</v>
      </c>
      <c r="P387">
        <v>2.65</v>
      </c>
      <c r="Q387">
        <v>4</v>
      </c>
      <c r="R387">
        <v>0.13900000000000001</v>
      </c>
      <c r="T387" s="8" t="s">
        <v>1413</v>
      </c>
    </row>
    <row r="388" spans="1:20" x14ac:dyDescent="0.2">
      <c r="A388" t="s">
        <v>1415</v>
      </c>
      <c r="B388" t="s">
        <v>388</v>
      </c>
      <c r="C388" t="s">
        <v>388</v>
      </c>
      <c r="E388" t="s">
        <v>1416</v>
      </c>
      <c r="F388" t="s">
        <v>1417</v>
      </c>
      <c r="G388">
        <v>2</v>
      </c>
      <c r="H388">
        <v>1830</v>
      </c>
      <c r="I388">
        <v>2</v>
      </c>
      <c r="J388">
        <v>13.5</v>
      </c>
      <c r="K388">
        <v>2</v>
      </c>
      <c r="L388">
        <v>0.52500000000000002</v>
      </c>
      <c r="M388">
        <v>2</v>
      </c>
      <c r="N388">
        <v>207.5</v>
      </c>
      <c r="O388">
        <v>2</v>
      </c>
      <c r="P388">
        <v>1.25</v>
      </c>
      <c r="Q388">
        <v>2</v>
      </c>
      <c r="R388">
        <v>6.3E-2</v>
      </c>
      <c r="T388" s="8" t="s">
        <v>1416</v>
      </c>
    </row>
    <row r="389" spans="1:20" x14ac:dyDescent="0.2">
      <c r="A389" t="s">
        <v>1418</v>
      </c>
      <c r="B389" t="s">
        <v>388</v>
      </c>
      <c r="C389" t="s">
        <v>388</v>
      </c>
      <c r="E389" t="s">
        <v>1419</v>
      </c>
      <c r="F389" t="s">
        <v>1420</v>
      </c>
      <c r="G389">
        <v>4</v>
      </c>
      <c r="H389">
        <v>2250</v>
      </c>
      <c r="I389">
        <v>3</v>
      </c>
      <c r="J389">
        <v>18.5</v>
      </c>
      <c r="K389">
        <v>3</v>
      </c>
      <c r="L389">
        <v>0.77500000000000002</v>
      </c>
      <c r="M389">
        <v>3</v>
      </c>
      <c r="N389">
        <v>302.5</v>
      </c>
      <c r="O389">
        <v>4</v>
      </c>
      <c r="P389">
        <v>2.65</v>
      </c>
      <c r="Q389">
        <v>4</v>
      </c>
      <c r="R389">
        <v>0.13900000000000001</v>
      </c>
      <c r="T389" s="8" t="s">
        <v>1419</v>
      </c>
    </row>
    <row r="390" spans="1:20" x14ac:dyDescent="0.2">
      <c r="A390" t="s">
        <v>1421</v>
      </c>
      <c r="B390" t="s">
        <v>388</v>
      </c>
      <c r="C390" t="s">
        <v>388</v>
      </c>
      <c r="E390" t="s">
        <v>357</v>
      </c>
      <c r="F390" t="s">
        <v>447</v>
      </c>
      <c r="G390">
        <v>5</v>
      </c>
      <c r="H390">
        <v>2460</v>
      </c>
      <c r="I390">
        <v>5</v>
      </c>
      <c r="J390">
        <v>28.5</v>
      </c>
      <c r="K390">
        <v>5</v>
      </c>
      <c r="L390">
        <v>1.2749999999999999</v>
      </c>
      <c r="M390">
        <v>5</v>
      </c>
      <c r="N390">
        <v>492.5</v>
      </c>
      <c r="O390">
        <v>5</v>
      </c>
      <c r="P390">
        <v>3.35</v>
      </c>
      <c r="Q390">
        <v>5</v>
      </c>
      <c r="R390">
        <v>0.17699999999999999</v>
      </c>
      <c r="T390" s="8" t="s">
        <v>357</v>
      </c>
    </row>
    <row r="391" spans="1:20" x14ac:dyDescent="0.2">
      <c r="A391" t="s">
        <v>1422</v>
      </c>
      <c r="B391" t="s">
        <v>388</v>
      </c>
      <c r="C391" t="s">
        <v>388</v>
      </c>
      <c r="E391" t="s">
        <v>1423</v>
      </c>
      <c r="F391" t="s">
        <v>1424</v>
      </c>
      <c r="G391">
        <v>5</v>
      </c>
      <c r="H391">
        <v>2460</v>
      </c>
      <c r="I391">
        <v>4</v>
      </c>
      <c r="J391">
        <v>23.5</v>
      </c>
      <c r="K391">
        <v>5</v>
      </c>
      <c r="L391">
        <v>1.2749999999999999</v>
      </c>
      <c r="M391">
        <v>5</v>
      </c>
      <c r="N391">
        <v>492.5</v>
      </c>
      <c r="O391">
        <v>5</v>
      </c>
      <c r="P391">
        <v>3.35</v>
      </c>
      <c r="Q391">
        <v>5</v>
      </c>
      <c r="R391">
        <v>0.17699999999999999</v>
      </c>
      <c r="T391" s="8" t="s">
        <v>1423</v>
      </c>
    </row>
    <row r="392" spans="1:20" x14ac:dyDescent="0.2">
      <c r="A392" t="s">
        <v>1425</v>
      </c>
      <c r="B392" t="s">
        <v>388</v>
      </c>
      <c r="C392" t="s">
        <v>388</v>
      </c>
      <c r="E392" t="s">
        <v>1426</v>
      </c>
      <c r="F392" t="s">
        <v>1427</v>
      </c>
      <c r="G392">
        <v>4</v>
      </c>
      <c r="H392">
        <v>2250</v>
      </c>
      <c r="I392">
        <v>4</v>
      </c>
      <c r="J392">
        <v>23.5</v>
      </c>
      <c r="K392">
        <v>4</v>
      </c>
      <c r="L392">
        <v>1.0249999999999999</v>
      </c>
      <c r="M392">
        <v>4</v>
      </c>
      <c r="N392">
        <v>397.5</v>
      </c>
      <c r="O392">
        <v>4</v>
      </c>
      <c r="P392">
        <v>2.65</v>
      </c>
      <c r="Q392">
        <v>4</v>
      </c>
      <c r="R392">
        <v>0.13900000000000001</v>
      </c>
      <c r="T392" s="8" t="s">
        <v>1426</v>
      </c>
    </row>
    <row r="393" spans="1:20" x14ac:dyDescent="0.2">
      <c r="A393" t="s">
        <v>1428</v>
      </c>
      <c r="B393" t="s">
        <v>388</v>
      </c>
      <c r="C393" t="s">
        <v>388</v>
      </c>
      <c r="E393" t="s">
        <v>1429</v>
      </c>
      <c r="F393" t="s">
        <v>1430</v>
      </c>
      <c r="G393">
        <v>2</v>
      </c>
      <c r="H393">
        <v>1830</v>
      </c>
      <c r="I393">
        <v>3</v>
      </c>
      <c r="J393">
        <v>18.5</v>
      </c>
      <c r="K393">
        <v>3</v>
      </c>
      <c r="L393">
        <v>0.77500000000000002</v>
      </c>
      <c r="M393">
        <v>3</v>
      </c>
      <c r="N393">
        <v>302.5</v>
      </c>
      <c r="O393">
        <v>3</v>
      </c>
      <c r="P393">
        <v>1.95</v>
      </c>
      <c r="Q393">
        <v>3</v>
      </c>
      <c r="R393">
        <v>0.10100000000000001</v>
      </c>
      <c r="T393" s="8" t="s">
        <v>1429</v>
      </c>
    </row>
    <row r="394" spans="1:20" x14ac:dyDescent="0.2">
      <c r="A394" t="s">
        <v>1431</v>
      </c>
      <c r="B394" t="s">
        <v>388</v>
      </c>
      <c r="C394" t="s">
        <v>388</v>
      </c>
      <c r="E394" t="s">
        <v>1432</v>
      </c>
      <c r="F394" t="s">
        <v>1433</v>
      </c>
      <c r="G394">
        <v>4</v>
      </c>
      <c r="H394">
        <v>2250</v>
      </c>
      <c r="I394">
        <v>4</v>
      </c>
      <c r="J394">
        <v>23.5</v>
      </c>
      <c r="K394">
        <v>4</v>
      </c>
      <c r="L394">
        <v>1.0249999999999999</v>
      </c>
      <c r="M394">
        <v>4</v>
      </c>
      <c r="N394">
        <v>397.5</v>
      </c>
      <c r="O394">
        <v>4</v>
      </c>
      <c r="P394">
        <v>2.65</v>
      </c>
      <c r="Q394">
        <v>5</v>
      </c>
      <c r="R394">
        <v>0.17699999999999999</v>
      </c>
      <c r="T394" s="8" t="s">
        <v>1432</v>
      </c>
    </row>
    <row r="395" spans="1:20" x14ac:dyDescent="0.2">
      <c r="A395" t="s">
        <v>1434</v>
      </c>
      <c r="B395" t="s">
        <v>388</v>
      </c>
      <c r="C395" t="s">
        <v>388</v>
      </c>
      <c r="E395" t="s">
        <v>1435</v>
      </c>
      <c r="F395" t="s">
        <v>1436</v>
      </c>
      <c r="G395">
        <v>3</v>
      </c>
      <c r="H395">
        <v>2040</v>
      </c>
      <c r="I395">
        <v>4</v>
      </c>
      <c r="J395">
        <v>23.5</v>
      </c>
      <c r="K395">
        <v>3</v>
      </c>
      <c r="L395">
        <v>0.77500000000000002</v>
      </c>
      <c r="M395">
        <v>3</v>
      </c>
      <c r="N395">
        <v>302.5</v>
      </c>
      <c r="O395">
        <v>3</v>
      </c>
      <c r="P395">
        <v>1.95</v>
      </c>
      <c r="Q395">
        <v>3</v>
      </c>
      <c r="R395">
        <v>0.10100000000000001</v>
      </c>
      <c r="T395" s="8" t="s">
        <v>1435</v>
      </c>
    </row>
    <row r="396" spans="1:20" x14ac:dyDescent="0.2">
      <c r="A396" t="s">
        <v>1437</v>
      </c>
      <c r="B396" t="s">
        <v>388</v>
      </c>
      <c r="C396" t="s">
        <v>388</v>
      </c>
      <c r="E396" t="s">
        <v>1438</v>
      </c>
      <c r="F396" t="s">
        <v>1439</v>
      </c>
      <c r="G396">
        <v>5</v>
      </c>
      <c r="H396">
        <v>2460</v>
      </c>
      <c r="I396">
        <v>5</v>
      </c>
      <c r="J396">
        <v>28.5</v>
      </c>
      <c r="K396">
        <v>5</v>
      </c>
      <c r="L396">
        <v>1.2749999999999999</v>
      </c>
      <c r="M396">
        <v>5</v>
      </c>
      <c r="N396">
        <v>492.5</v>
      </c>
      <c r="O396">
        <v>5</v>
      </c>
      <c r="P396">
        <v>3.35</v>
      </c>
      <c r="Q396">
        <v>5</v>
      </c>
      <c r="R396">
        <v>0.17699999999999999</v>
      </c>
      <c r="T396" s="8" t="s">
        <v>1438</v>
      </c>
    </row>
    <row r="397" spans="1:20" x14ac:dyDescent="0.2">
      <c r="A397" t="s">
        <v>1440</v>
      </c>
      <c r="B397" t="s">
        <v>388</v>
      </c>
      <c r="C397" t="s">
        <v>388</v>
      </c>
      <c r="E397" t="s">
        <v>1441</v>
      </c>
      <c r="F397" t="s">
        <v>1442</v>
      </c>
      <c r="G397">
        <v>5</v>
      </c>
      <c r="H397">
        <v>2460</v>
      </c>
      <c r="I397">
        <v>5</v>
      </c>
      <c r="J397">
        <v>28.5</v>
      </c>
      <c r="K397">
        <v>5</v>
      </c>
      <c r="L397">
        <v>1.2749999999999999</v>
      </c>
      <c r="M397">
        <v>5</v>
      </c>
      <c r="N397">
        <v>492.5</v>
      </c>
      <c r="O397">
        <v>5</v>
      </c>
      <c r="P397">
        <v>3.35</v>
      </c>
      <c r="Q397">
        <v>4</v>
      </c>
      <c r="R397">
        <v>0.13900000000000001</v>
      </c>
      <c r="T397" s="8" t="s">
        <v>1441</v>
      </c>
    </row>
    <row r="398" spans="1:20" x14ac:dyDescent="0.2">
      <c r="A398" t="s">
        <v>1443</v>
      </c>
      <c r="B398" t="s">
        <v>388</v>
      </c>
      <c r="C398" t="s">
        <v>388</v>
      </c>
      <c r="E398" t="s">
        <v>1444</v>
      </c>
      <c r="F398" t="s">
        <v>1445</v>
      </c>
      <c r="G398">
        <v>2</v>
      </c>
      <c r="H398">
        <v>1830</v>
      </c>
      <c r="I398">
        <v>1</v>
      </c>
      <c r="J398">
        <v>8.5</v>
      </c>
      <c r="K398">
        <v>1</v>
      </c>
      <c r="L398">
        <v>0.27500000000000002</v>
      </c>
      <c r="M398">
        <v>1</v>
      </c>
      <c r="N398">
        <v>112.5</v>
      </c>
      <c r="O398">
        <v>1</v>
      </c>
      <c r="P398">
        <v>0.55000000000000004</v>
      </c>
      <c r="Q398">
        <v>1</v>
      </c>
      <c r="R398">
        <v>2.5000000000000001E-2</v>
      </c>
      <c r="T398" s="8" t="s">
        <v>1444</v>
      </c>
    </row>
    <row r="399" spans="1:20" x14ac:dyDescent="0.2">
      <c r="A399" t="s">
        <v>1446</v>
      </c>
      <c r="B399" t="s">
        <v>388</v>
      </c>
      <c r="C399" t="s">
        <v>388</v>
      </c>
      <c r="E399" t="s">
        <v>1447</v>
      </c>
      <c r="F399" t="s">
        <v>1448</v>
      </c>
      <c r="G399">
        <v>4</v>
      </c>
      <c r="H399">
        <v>2250</v>
      </c>
      <c r="I399">
        <v>4</v>
      </c>
      <c r="J399">
        <v>23.5</v>
      </c>
      <c r="K399">
        <v>3</v>
      </c>
      <c r="L399">
        <v>0.77500000000000002</v>
      </c>
      <c r="M399">
        <v>4</v>
      </c>
      <c r="N399">
        <v>397.5</v>
      </c>
      <c r="O399">
        <v>4</v>
      </c>
      <c r="P399">
        <v>2.65</v>
      </c>
      <c r="Q399">
        <v>3</v>
      </c>
      <c r="R399">
        <v>0.10100000000000001</v>
      </c>
      <c r="T399" s="8" t="s">
        <v>1447</v>
      </c>
    </row>
    <row r="400" spans="1:20" x14ac:dyDescent="0.2">
      <c r="A400" t="s">
        <v>1449</v>
      </c>
      <c r="B400" t="s">
        <v>388</v>
      </c>
      <c r="C400" t="s">
        <v>388</v>
      </c>
      <c r="E400" t="s">
        <v>1450</v>
      </c>
      <c r="F400" t="s">
        <v>1451</v>
      </c>
      <c r="G400">
        <v>5</v>
      </c>
      <c r="H400">
        <v>2460</v>
      </c>
      <c r="I400">
        <v>5</v>
      </c>
      <c r="J400">
        <v>28.5</v>
      </c>
      <c r="K400">
        <v>5</v>
      </c>
      <c r="L400">
        <v>1.2749999999999999</v>
      </c>
      <c r="M400">
        <v>5</v>
      </c>
      <c r="N400">
        <v>492.5</v>
      </c>
      <c r="O400">
        <v>5</v>
      </c>
      <c r="P400">
        <v>3.35</v>
      </c>
      <c r="Q400">
        <v>5</v>
      </c>
      <c r="R400">
        <v>0.17699999999999999</v>
      </c>
      <c r="T400" s="8" t="s">
        <v>1450</v>
      </c>
    </row>
    <row r="401" spans="1:20" x14ac:dyDescent="0.2">
      <c r="A401" t="s">
        <v>1452</v>
      </c>
      <c r="B401" t="s">
        <v>388</v>
      </c>
      <c r="C401" t="s">
        <v>388</v>
      </c>
      <c r="E401" t="s">
        <v>1453</v>
      </c>
      <c r="F401" t="s">
        <v>1454</v>
      </c>
      <c r="G401">
        <v>2</v>
      </c>
      <c r="H401">
        <v>1830</v>
      </c>
      <c r="I401">
        <v>2</v>
      </c>
      <c r="J401">
        <v>13.5</v>
      </c>
      <c r="K401">
        <v>2</v>
      </c>
      <c r="L401">
        <v>0.52500000000000002</v>
      </c>
      <c r="M401">
        <v>3</v>
      </c>
      <c r="N401">
        <v>302.5</v>
      </c>
      <c r="O401">
        <v>3</v>
      </c>
      <c r="P401">
        <v>1.95</v>
      </c>
      <c r="Q401">
        <v>3</v>
      </c>
      <c r="R401">
        <v>0.10100000000000001</v>
      </c>
      <c r="T401" s="8" t="s">
        <v>1453</v>
      </c>
    </row>
    <row r="402" spans="1:20" x14ac:dyDescent="0.2">
      <c r="A402" t="s">
        <v>1455</v>
      </c>
      <c r="B402" t="s">
        <v>388</v>
      </c>
      <c r="C402" t="s">
        <v>388</v>
      </c>
      <c r="E402" t="s">
        <v>209</v>
      </c>
      <c r="F402" t="s">
        <v>1456</v>
      </c>
      <c r="G402">
        <v>2</v>
      </c>
      <c r="H402">
        <v>1830</v>
      </c>
      <c r="I402">
        <v>2</v>
      </c>
      <c r="J402">
        <v>13.5</v>
      </c>
      <c r="K402">
        <v>2</v>
      </c>
      <c r="L402">
        <v>0.52500000000000002</v>
      </c>
      <c r="M402">
        <v>2</v>
      </c>
      <c r="N402">
        <v>207.5</v>
      </c>
      <c r="O402">
        <v>2</v>
      </c>
      <c r="P402">
        <v>1.25</v>
      </c>
      <c r="Q402">
        <v>2</v>
      </c>
      <c r="R402">
        <v>6.3E-2</v>
      </c>
      <c r="T402" s="8" t="s">
        <v>209</v>
      </c>
    </row>
    <row r="403" spans="1:20" x14ac:dyDescent="0.2">
      <c r="A403" t="s">
        <v>1457</v>
      </c>
      <c r="B403" t="s">
        <v>388</v>
      </c>
      <c r="C403" t="s">
        <v>388</v>
      </c>
      <c r="E403" t="s">
        <v>1458</v>
      </c>
      <c r="F403" t="s">
        <v>1459</v>
      </c>
      <c r="G403">
        <v>3</v>
      </c>
      <c r="H403">
        <v>2040</v>
      </c>
      <c r="I403">
        <v>3</v>
      </c>
      <c r="J403">
        <v>18.5</v>
      </c>
      <c r="K403">
        <v>3</v>
      </c>
      <c r="L403">
        <v>0.77500000000000002</v>
      </c>
      <c r="M403">
        <v>3</v>
      </c>
      <c r="N403">
        <v>302.5</v>
      </c>
      <c r="O403">
        <v>3</v>
      </c>
      <c r="P403">
        <v>1.95</v>
      </c>
      <c r="Q403">
        <v>3</v>
      </c>
      <c r="R403">
        <v>0.10100000000000001</v>
      </c>
      <c r="T403" s="8" t="s">
        <v>1458</v>
      </c>
    </row>
    <row r="404" spans="1:20" x14ac:dyDescent="0.2">
      <c r="A404" t="s">
        <v>1460</v>
      </c>
      <c r="B404" t="s">
        <v>388</v>
      </c>
      <c r="C404" t="s">
        <v>388</v>
      </c>
      <c r="E404" t="s">
        <v>1461</v>
      </c>
      <c r="F404" t="s">
        <v>1462</v>
      </c>
      <c r="G404">
        <v>1</v>
      </c>
      <c r="H404">
        <v>1620</v>
      </c>
      <c r="I404">
        <v>1</v>
      </c>
      <c r="J404">
        <v>8.5</v>
      </c>
      <c r="K404">
        <v>1</v>
      </c>
      <c r="L404">
        <v>0.27500000000000002</v>
      </c>
      <c r="M404">
        <v>1</v>
      </c>
      <c r="N404">
        <v>112.5</v>
      </c>
      <c r="O404">
        <v>1</v>
      </c>
      <c r="P404">
        <v>0.55000000000000004</v>
      </c>
      <c r="Q404">
        <v>1</v>
      </c>
      <c r="R404">
        <v>2.5000000000000001E-2</v>
      </c>
      <c r="T404" s="8" t="s">
        <v>1461</v>
      </c>
    </row>
    <row r="405" spans="1:20" x14ac:dyDescent="0.2">
      <c r="A405" t="s">
        <v>1463</v>
      </c>
      <c r="B405" t="s">
        <v>388</v>
      </c>
      <c r="C405" t="s">
        <v>388</v>
      </c>
      <c r="E405" t="s">
        <v>1464</v>
      </c>
      <c r="F405" t="s">
        <v>1465</v>
      </c>
      <c r="G405">
        <v>3</v>
      </c>
      <c r="H405">
        <v>2040</v>
      </c>
      <c r="I405">
        <v>3</v>
      </c>
      <c r="J405">
        <v>18.5</v>
      </c>
      <c r="K405">
        <v>3</v>
      </c>
      <c r="L405">
        <v>0.77500000000000002</v>
      </c>
      <c r="M405">
        <v>4</v>
      </c>
      <c r="N405">
        <v>397.5</v>
      </c>
      <c r="O405">
        <v>4</v>
      </c>
      <c r="P405">
        <v>2.65</v>
      </c>
      <c r="Q405">
        <v>5</v>
      </c>
      <c r="R405">
        <v>0.17699999999999999</v>
      </c>
      <c r="T405" s="8" t="s">
        <v>1464</v>
      </c>
    </row>
    <row r="406" spans="1:20" x14ac:dyDescent="0.2">
      <c r="A406" t="s">
        <v>1466</v>
      </c>
      <c r="B406" t="s">
        <v>388</v>
      </c>
      <c r="C406" t="s">
        <v>388</v>
      </c>
      <c r="E406" t="s">
        <v>1467</v>
      </c>
      <c r="F406" t="s">
        <v>1468</v>
      </c>
      <c r="G406">
        <v>3</v>
      </c>
      <c r="H406">
        <v>2040</v>
      </c>
      <c r="I406">
        <v>3</v>
      </c>
      <c r="J406">
        <v>18.5</v>
      </c>
      <c r="K406">
        <v>3</v>
      </c>
      <c r="L406">
        <v>0.77500000000000002</v>
      </c>
      <c r="M406">
        <v>3</v>
      </c>
      <c r="N406">
        <v>302.5</v>
      </c>
      <c r="O406">
        <v>3</v>
      </c>
      <c r="P406">
        <v>1.95</v>
      </c>
      <c r="Q406">
        <v>2</v>
      </c>
      <c r="R406">
        <v>6.3E-2</v>
      </c>
      <c r="T406" s="8" t="s">
        <v>1467</v>
      </c>
    </row>
    <row r="407" spans="1:20" x14ac:dyDescent="0.2">
      <c r="A407" t="s">
        <v>1469</v>
      </c>
      <c r="B407" t="s">
        <v>388</v>
      </c>
      <c r="C407" t="s">
        <v>388</v>
      </c>
      <c r="E407" t="s">
        <v>1470</v>
      </c>
      <c r="F407" t="s">
        <v>1471</v>
      </c>
      <c r="G407">
        <v>5</v>
      </c>
      <c r="H407">
        <v>2460</v>
      </c>
      <c r="I407">
        <v>5</v>
      </c>
      <c r="J407">
        <v>28.5</v>
      </c>
      <c r="K407">
        <v>5</v>
      </c>
      <c r="L407">
        <v>1.2749999999999999</v>
      </c>
      <c r="M407">
        <v>5</v>
      </c>
      <c r="N407">
        <v>492.5</v>
      </c>
      <c r="O407">
        <v>5</v>
      </c>
      <c r="P407">
        <v>3.35</v>
      </c>
      <c r="Q407">
        <v>4</v>
      </c>
      <c r="R407">
        <v>0.13900000000000001</v>
      </c>
      <c r="T407" s="8" t="s">
        <v>1470</v>
      </c>
    </row>
    <row r="408" spans="1:20" x14ac:dyDescent="0.2">
      <c r="A408" t="s">
        <v>1472</v>
      </c>
      <c r="B408" t="s">
        <v>388</v>
      </c>
      <c r="C408" t="s">
        <v>388</v>
      </c>
      <c r="E408" t="s">
        <v>1473</v>
      </c>
      <c r="F408" t="s">
        <v>1474</v>
      </c>
      <c r="G408">
        <v>1</v>
      </c>
      <c r="H408">
        <v>1620</v>
      </c>
      <c r="I408">
        <v>3</v>
      </c>
      <c r="J408">
        <v>18.5</v>
      </c>
      <c r="K408">
        <v>2</v>
      </c>
      <c r="L408">
        <v>0.52500000000000002</v>
      </c>
      <c r="M408">
        <v>1</v>
      </c>
      <c r="N408">
        <v>112.5</v>
      </c>
      <c r="O408">
        <v>1</v>
      </c>
      <c r="P408">
        <v>0.55000000000000004</v>
      </c>
      <c r="Q408">
        <v>1</v>
      </c>
      <c r="R408">
        <v>2.5000000000000001E-2</v>
      </c>
      <c r="T408" s="8" t="s">
        <v>1473</v>
      </c>
    </row>
    <row r="409" spans="1:20" x14ac:dyDescent="0.2">
      <c r="A409" t="s">
        <v>1475</v>
      </c>
      <c r="B409" t="s">
        <v>388</v>
      </c>
      <c r="C409" t="s">
        <v>388</v>
      </c>
      <c r="E409" t="s">
        <v>1476</v>
      </c>
      <c r="F409" t="s">
        <v>1477</v>
      </c>
      <c r="G409">
        <v>3</v>
      </c>
      <c r="H409">
        <v>2040</v>
      </c>
      <c r="I409">
        <v>2</v>
      </c>
      <c r="J409">
        <v>13.5</v>
      </c>
      <c r="K409">
        <v>2</v>
      </c>
      <c r="L409">
        <v>0.52500000000000002</v>
      </c>
      <c r="M409">
        <v>2</v>
      </c>
      <c r="N409">
        <v>207.5</v>
      </c>
      <c r="O409">
        <v>2</v>
      </c>
      <c r="P409">
        <v>1.25</v>
      </c>
      <c r="Q409">
        <v>2</v>
      </c>
      <c r="R409">
        <v>6.3E-2</v>
      </c>
      <c r="T409" s="8" t="s">
        <v>1476</v>
      </c>
    </row>
    <row r="410" spans="1:20" x14ac:dyDescent="0.2">
      <c r="A410" t="s">
        <v>1478</v>
      </c>
      <c r="B410" t="s">
        <v>388</v>
      </c>
      <c r="C410" t="s">
        <v>388</v>
      </c>
      <c r="E410" t="s">
        <v>1479</v>
      </c>
      <c r="F410" t="s">
        <v>1480</v>
      </c>
      <c r="G410">
        <v>1</v>
      </c>
      <c r="H410">
        <v>1620</v>
      </c>
      <c r="I410">
        <v>1</v>
      </c>
      <c r="J410">
        <v>8.5</v>
      </c>
      <c r="K410">
        <v>1</v>
      </c>
      <c r="L410">
        <v>0.27500000000000002</v>
      </c>
      <c r="M410">
        <v>1</v>
      </c>
      <c r="N410">
        <v>112.5</v>
      </c>
      <c r="O410">
        <v>1</v>
      </c>
      <c r="P410">
        <v>0.55000000000000004</v>
      </c>
      <c r="Q410">
        <v>1</v>
      </c>
      <c r="R410">
        <v>2.5000000000000001E-2</v>
      </c>
      <c r="T410" s="8" t="s">
        <v>1479</v>
      </c>
    </row>
    <row r="411" spans="1:20" x14ac:dyDescent="0.2">
      <c r="A411" t="s">
        <v>1481</v>
      </c>
      <c r="B411" t="s">
        <v>388</v>
      </c>
      <c r="C411" t="s">
        <v>388</v>
      </c>
      <c r="E411" t="s">
        <v>1482</v>
      </c>
      <c r="F411" t="s">
        <v>1483</v>
      </c>
      <c r="G411">
        <v>5</v>
      </c>
      <c r="H411">
        <v>2460</v>
      </c>
      <c r="I411">
        <v>5</v>
      </c>
      <c r="J411">
        <v>28.5</v>
      </c>
      <c r="K411">
        <v>4</v>
      </c>
      <c r="L411">
        <v>1.0249999999999999</v>
      </c>
      <c r="M411">
        <v>5</v>
      </c>
      <c r="N411">
        <v>492.5</v>
      </c>
      <c r="O411">
        <v>5</v>
      </c>
      <c r="P411">
        <v>3.35</v>
      </c>
      <c r="Q411">
        <v>4</v>
      </c>
      <c r="R411">
        <v>0.13900000000000001</v>
      </c>
      <c r="T411" s="8" t="s">
        <v>1482</v>
      </c>
    </row>
    <row r="412" spans="1:20" x14ac:dyDescent="0.2">
      <c r="A412" t="s">
        <v>1484</v>
      </c>
      <c r="B412" t="s">
        <v>388</v>
      </c>
      <c r="C412" t="s">
        <v>388</v>
      </c>
      <c r="E412" t="s">
        <v>1485</v>
      </c>
      <c r="F412" t="s">
        <v>1486</v>
      </c>
      <c r="G412">
        <v>4</v>
      </c>
      <c r="H412">
        <v>2250</v>
      </c>
      <c r="I412">
        <v>3</v>
      </c>
      <c r="J412">
        <v>18.5</v>
      </c>
      <c r="K412">
        <v>3</v>
      </c>
      <c r="L412">
        <v>0.77500000000000002</v>
      </c>
      <c r="M412">
        <v>3</v>
      </c>
      <c r="N412">
        <v>302.5</v>
      </c>
      <c r="O412">
        <v>3</v>
      </c>
      <c r="P412">
        <v>1.95</v>
      </c>
      <c r="Q412">
        <v>3</v>
      </c>
      <c r="R412">
        <v>0.10100000000000001</v>
      </c>
      <c r="T412" s="8" t="s">
        <v>1485</v>
      </c>
    </row>
    <row r="413" spans="1:20" x14ac:dyDescent="0.2">
      <c r="A413" t="s">
        <v>1487</v>
      </c>
      <c r="B413" t="s">
        <v>388</v>
      </c>
      <c r="C413" t="s">
        <v>388</v>
      </c>
      <c r="E413" t="s">
        <v>1488</v>
      </c>
      <c r="F413" t="s">
        <v>1489</v>
      </c>
      <c r="G413">
        <v>1</v>
      </c>
      <c r="H413">
        <v>1620</v>
      </c>
      <c r="I413">
        <v>1</v>
      </c>
      <c r="J413">
        <v>8.5</v>
      </c>
      <c r="K413">
        <v>1</v>
      </c>
      <c r="L413">
        <v>0.27500000000000002</v>
      </c>
      <c r="M413">
        <v>1</v>
      </c>
      <c r="N413">
        <v>112.5</v>
      </c>
      <c r="O413">
        <v>1</v>
      </c>
      <c r="P413">
        <v>0.55000000000000004</v>
      </c>
      <c r="Q413">
        <v>1</v>
      </c>
      <c r="R413">
        <v>2.5000000000000001E-2</v>
      </c>
      <c r="T413" s="8" t="s">
        <v>1488</v>
      </c>
    </row>
    <row r="414" spans="1:20" x14ac:dyDescent="0.2">
      <c r="A414" t="s">
        <v>1490</v>
      </c>
      <c r="B414" t="s">
        <v>388</v>
      </c>
      <c r="C414" t="s">
        <v>388</v>
      </c>
      <c r="E414" t="s">
        <v>1491</v>
      </c>
      <c r="F414" t="s">
        <v>1492</v>
      </c>
      <c r="G414">
        <v>3</v>
      </c>
      <c r="H414">
        <v>2040</v>
      </c>
      <c r="I414">
        <v>3</v>
      </c>
      <c r="J414">
        <v>18.5</v>
      </c>
      <c r="K414">
        <v>3</v>
      </c>
      <c r="L414">
        <v>0.77500000000000002</v>
      </c>
      <c r="M414">
        <v>4</v>
      </c>
      <c r="N414">
        <v>397.5</v>
      </c>
      <c r="O414">
        <v>4</v>
      </c>
      <c r="P414">
        <v>2.65</v>
      </c>
      <c r="Q414">
        <v>4</v>
      </c>
      <c r="R414">
        <v>0.13900000000000001</v>
      </c>
      <c r="T414" s="8" t="s">
        <v>1491</v>
      </c>
    </row>
    <row r="415" spans="1:20" x14ac:dyDescent="0.2">
      <c r="A415" t="s">
        <v>1493</v>
      </c>
      <c r="B415" t="s">
        <v>388</v>
      </c>
      <c r="C415" t="s">
        <v>388</v>
      </c>
      <c r="E415" t="s">
        <v>1494</v>
      </c>
      <c r="F415" t="s">
        <v>1495</v>
      </c>
      <c r="G415">
        <v>2</v>
      </c>
      <c r="H415">
        <v>1830</v>
      </c>
      <c r="I415">
        <v>1</v>
      </c>
      <c r="J415">
        <v>8.5</v>
      </c>
      <c r="K415">
        <v>1</v>
      </c>
      <c r="L415">
        <v>0.27500000000000002</v>
      </c>
      <c r="M415">
        <v>2</v>
      </c>
      <c r="N415">
        <v>207.5</v>
      </c>
      <c r="O415">
        <v>2</v>
      </c>
      <c r="P415">
        <v>1.25</v>
      </c>
      <c r="Q415">
        <v>2</v>
      </c>
      <c r="R415">
        <v>6.3E-2</v>
      </c>
      <c r="T415" s="8" t="s">
        <v>1494</v>
      </c>
    </row>
    <row r="416" spans="1:20" x14ac:dyDescent="0.2">
      <c r="A416" t="s">
        <v>1496</v>
      </c>
      <c r="B416" t="s">
        <v>388</v>
      </c>
      <c r="C416" t="s">
        <v>388</v>
      </c>
      <c r="E416" t="s">
        <v>1497</v>
      </c>
      <c r="F416" t="s">
        <v>1498</v>
      </c>
      <c r="G416">
        <v>3</v>
      </c>
      <c r="H416">
        <v>2040</v>
      </c>
      <c r="I416">
        <v>3</v>
      </c>
      <c r="J416">
        <v>18.5</v>
      </c>
      <c r="K416">
        <v>3</v>
      </c>
      <c r="L416">
        <v>0.77500000000000002</v>
      </c>
      <c r="M416">
        <v>3</v>
      </c>
      <c r="N416">
        <v>302.5</v>
      </c>
      <c r="O416">
        <v>3</v>
      </c>
      <c r="P416">
        <v>1.95</v>
      </c>
      <c r="Q416">
        <v>2</v>
      </c>
      <c r="R416">
        <v>6.3E-2</v>
      </c>
      <c r="T416" s="8" t="s">
        <v>1497</v>
      </c>
    </row>
    <row r="417" spans="1:20" x14ac:dyDescent="0.2">
      <c r="A417" t="s">
        <v>1499</v>
      </c>
      <c r="B417" t="s">
        <v>388</v>
      </c>
      <c r="C417" t="s">
        <v>388</v>
      </c>
      <c r="E417" t="s">
        <v>357</v>
      </c>
      <c r="F417" t="s">
        <v>447</v>
      </c>
      <c r="G417">
        <v>1</v>
      </c>
      <c r="H417">
        <v>1620</v>
      </c>
      <c r="I417">
        <v>1</v>
      </c>
      <c r="J417">
        <v>8.5</v>
      </c>
      <c r="K417">
        <v>1</v>
      </c>
      <c r="L417">
        <v>0.27500000000000002</v>
      </c>
      <c r="M417">
        <v>1</v>
      </c>
      <c r="N417">
        <v>112.5</v>
      </c>
      <c r="O417">
        <v>1</v>
      </c>
      <c r="P417">
        <v>0.55000000000000004</v>
      </c>
      <c r="Q417">
        <v>1</v>
      </c>
      <c r="R417">
        <v>2.5000000000000001E-2</v>
      </c>
      <c r="T417" s="8" t="s">
        <v>357</v>
      </c>
    </row>
    <row r="418" spans="1:20" x14ac:dyDescent="0.2">
      <c r="A418" t="s">
        <v>1500</v>
      </c>
      <c r="B418" t="s">
        <v>388</v>
      </c>
      <c r="C418" t="s">
        <v>388</v>
      </c>
      <c r="E418" t="s">
        <v>1501</v>
      </c>
      <c r="F418" t="s">
        <v>1502</v>
      </c>
      <c r="G418">
        <v>5</v>
      </c>
      <c r="H418">
        <v>2460</v>
      </c>
      <c r="I418">
        <v>5</v>
      </c>
      <c r="J418">
        <v>28.5</v>
      </c>
      <c r="K418">
        <v>5</v>
      </c>
      <c r="L418">
        <v>1.2749999999999999</v>
      </c>
      <c r="M418">
        <v>5</v>
      </c>
      <c r="N418">
        <v>492.5</v>
      </c>
      <c r="O418">
        <v>5</v>
      </c>
      <c r="P418">
        <v>3.35</v>
      </c>
      <c r="Q418">
        <v>5</v>
      </c>
      <c r="R418">
        <v>0.17699999999999999</v>
      </c>
      <c r="T418" s="8" t="s">
        <v>1501</v>
      </c>
    </row>
    <row r="419" spans="1:20" x14ac:dyDescent="0.2">
      <c r="A419" t="s">
        <v>1503</v>
      </c>
      <c r="B419" t="s">
        <v>388</v>
      </c>
      <c r="C419" t="s">
        <v>388</v>
      </c>
      <c r="E419" t="s">
        <v>1504</v>
      </c>
      <c r="F419" t="s">
        <v>1505</v>
      </c>
      <c r="G419">
        <v>3</v>
      </c>
      <c r="H419">
        <v>2040</v>
      </c>
      <c r="I419">
        <v>3</v>
      </c>
      <c r="J419">
        <v>18.5</v>
      </c>
      <c r="K419">
        <v>3</v>
      </c>
      <c r="L419">
        <v>0.77500000000000002</v>
      </c>
      <c r="M419">
        <v>3</v>
      </c>
      <c r="N419">
        <v>302.5</v>
      </c>
      <c r="O419">
        <v>3</v>
      </c>
      <c r="P419">
        <v>1.95</v>
      </c>
      <c r="Q419">
        <v>3</v>
      </c>
      <c r="R419">
        <v>0.10100000000000001</v>
      </c>
      <c r="T419" s="8" t="s">
        <v>1504</v>
      </c>
    </row>
    <row r="420" spans="1:20" x14ac:dyDescent="0.2">
      <c r="A420" t="s">
        <v>1506</v>
      </c>
      <c r="B420" t="s">
        <v>388</v>
      </c>
      <c r="C420" t="s">
        <v>388</v>
      </c>
      <c r="E420" t="s">
        <v>1507</v>
      </c>
      <c r="F420" t="s">
        <v>1508</v>
      </c>
      <c r="G420">
        <v>3</v>
      </c>
      <c r="H420">
        <v>2040</v>
      </c>
      <c r="I420">
        <v>3</v>
      </c>
      <c r="J420">
        <v>18.5</v>
      </c>
      <c r="K420">
        <v>3</v>
      </c>
      <c r="L420">
        <v>0.77500000000000002</v>
      </c>
      <c r="M420">
        <v>3</v>
      </c>
      <c r="N420">
        <v>302.5</v>
      </c>
      <c r="O420">
        <v>3</v>
      </c>
      <c r="P420">
        <v>1.95</v>
      </c>
      <c r="Q420">
        <v>3</v>
      </c>
      <c r="R420">
        <v>0.10100000000000001</v>
      </c>
      <c r="T420" s="8" t="s">
        <v>1507</v>
      </c>
    </row>
    <row r="421" spans="1:20" x14ac:dyDescent="0.2">
      <c r="A421" t="s">
        <v>1509</v>
      </c>
      <c r="B421" t="s">
        <v>388</v>
      </c>
      <c r="C421" t="s">
        <v>388</v>
      </c>
      <c r="E421" t="s">
        <v>1510</v>
      </c>
      <c r="F421" t="s">
        <v>1511</v>
      </c>
      <c r="G421">
        <v>4</v>
      </c>
      <c r="H421">
        <v>2250</v>
      </c>
      <c r="I421">
        <v>4</v>
      </c>
      <c r="J421">
        <v>23.5</v>
      </c>
      <c r="K421">
        <v>4</v>
      </c>
      <c r="L421">
        <v>1.0249999999999999</v>
      </c>
      <c r="M421">
        <v>4</v>
      </c>
      <c r="N421">
        <v>397.5</v>
      </c>
      <c r="O421">
        <v>4</v>
      </c>
      <c r="P421">
        <v>2.65</v>
      </c>
      <c r="Q421">
        <v>4</v>
      </c>
      <c r="R421">
        <v>0.13900000000000001</v>
      </c>
      <c r="T421" s="8" t="s">
        <v>1510</v>
      </c>
    </row>
    <row r="422" spans="1:20" x14ac:dyDescent="0.2">
      <c r="A422" t="s">
        <v>1512</v>
      </c>
      <c r="B422" t="s">
        <v>388</v>
      </c>
      <c r="C422" t="s">
        <v>388</v>
      </c>
      <c r="E422" t="s">
        <v>1513</v>
      </c>
      <c r="F422" t="s">
        <v>1514</v>
      </c>
      <c r="G422">
        <v>4</v>
      </c>
      <c r="H422">
        <v>2250</v>
      </c>
      <c r="I422">
        <v>3</v>
      </c>
      <c r="J422">
        <v>18.5</v>
      </c>
      <c r="K422">
        <v>3</v>
      </c>
      <c r="L422">
        <v>0.77500000000000002</v>
      </c>
      <c r="M422">
        <v>3</v>
      </c>
      <c r="N422">
        <v>302.5</v>
      </c>
      <c r="O422">
        <v>3</v>
      </c>
      <c r="P422">
        <v>1.95</v>
      </c>
      <c r="Q422">
        <v>4</v>
      </c>
      <c r="R422">
        <v>0.13900000000000001</v>
      </c>
      <c r="T422" s="8" t="s">
        <v>1513</v>
      </c>
    </row>
    <row r="423" spans="1:20" x14ac:dyDescent="0.2">
      <c r="A423" t="s">
        <v>1515</v>
      </c>
      <c r="B423" t="s">
        <v>388</v>
      </c>
      <c r="C423" t="s">
        <v>388</v>
      </c>
      <c r="E423" t="s">
        <v>1516</v>
      </c>
      <c r="F423" t="s">
        <v>1517</v>
      </c>
      <c r="G423">
        <v>3</v>
      </c>
      <c r="H423">
        <v>2040</v>
      </c>
      <c r="I423">
        <v>2</v>
      </c>
      <c r="J423">
        <v>13.5</v>
      </c>
      <c r="K423">
        <v>2</v>
      </c>
      <c r="L423">
        <v>0.52500000000000002</v>
      </c>
      <c r="M423">
        <v>3</v>
      </c>
      <c r="N423">
        <v>302.5</v>
      </c>
      <c r="O423">
        <v>3</v>
      </c>
      <c r="P423">
        <v>1.95</v>
      </c>
      <c r="Q423">
        <v>3</v>
      </c>
      <c r="R423">
        <v>0.10100000000000001</v>
      </c>
      <c r="T423" s="8" t="s">
        <v>1516</v>
      </c>
    </row>
    <row r="424" spans="1:20" x14ac:dyDescent="0.2">
      <c r="A424" t="s">
        <v>1518</v>
      </c>
      <c r="B424" t="s">
        <v>388</v>
      </c>
      <c r="C424" t="s">
        <v>388</v>
      </c>
      <c r="E424" t="s">
        <v>1519</v>
      </c>
      <c r="F424" t="s">
        <v>447</v>
      </c>
      <c r="G424">
        <v>4</v>
      </c>
      <c r="H424">
        <v>2250</v>
      </c>
      <c r="I424">
        <v>4</v>
      </c>
      <c r="J424">
        <v>23.5</v>
      </c>
      <c r="K424">
        <v>3</v>
      </c>
      <c r="L424">
        <v>0.77500000000000002</v>
      </c>
      <c r="M424">
        <v>3</v>
      </c>
      <c r="N424">
        <v>302.5</v>
      </c>
      <c r="O424">
        <v>3</v>
      </c>
      <c r="P424">
        <v>1.95</v>
      </c>
      <c r="Q424">
        <v>4</v>
      </c>
      <c r="R424">
        <v>0.13900000000000001</v>
      </c>
      <c r="T424" s="8" t="s">
        <v>1519</v>
      </c>
    </row>
    <row r="425" spans="1:20" x14ac:dyDescent="0.2">
      <c r="A425" t="s">
        <v>1520</v>
      </c>
      <c r="B425" t="s">
        <v>388</v>
      </c>
      <c r="C425" t="s">
        <v>388</v>
      </c>
      <c r="E425" t="s">
        <v>1521</v>
      </c>
      <c r="F425" t="s">
        <v>1522</v>
      </c>
      <c r="G425">
        <v>2</v>
      </c>
      <c r="H425">
        <v>1830</v>
      </c>
      <c r="I425">
        <v>2</v>
      </c>
      <c r="J425">
        <v>13.5</v>
      </c>
      <c r="K425">
        <v>2</v>
      </c>
      <c r="L425">
        <v>0.52500000000000002</v>
      </c>
      <c r="M425">
        <v>2</v>
      </c>
      <c r="N425">
        <v>207.5</v>
      </c>
      <c r="O425">
        <v>2</v>
      </c>
      <c r="P425">
        <v>1.25</v>
      </c>
      <c r="Q425">
        <v>2</v>
      </c>
      <c r="R425">
        <v>6.3E-2</v>
      </c>
      <c r="T425" s="8" t="s">
        <v>1521</v>
      </c>
    </row>
    <row r="426" spans="1:20" x14ac:dyDescent="0.2">
      <c r="A426" t="s">
        <v>1523</v>
      </c>
      <c r="B426" t="s">
        <v>388</v>
      </c>
      <c r="C426" t="s">
        <v>388</v>
      </c>
      <c r="E426" t="s">
        <v>1524</v>
      </c>
      <c r="F426" t="s">
        <v>1525</v>
      </c>
      <c r="G426">
        <v>5</v>
      </c>
      <c r="H426">
        <v>2460</v>
      </c>
      <c r="I426">
        <v>5</v>
      </c>
      <c r="J426">
        <v>28.5</v>
      </c>
      <c r="K426">
        <v>4</v>
      </c>
      <c r="L426">
        <v>1.0249999999999999</v>
      </c>
      <c r="M426">
        <v>4</v>
      </c>
      <c r="N426">
        <v>397.5</v>
      </c>
      <c r="O426">
        <v>5</v>
      </c>
      <c r="P426">
        <v>3.35</v>
      </c>
      <c r="Q426">
        <v>4</v>
      </c>
      <c r="R426">
        <v>0.13900000000000001</v>
      </c>
      <c r="T426" s="8" t="s">
        <v>1524</v>
      </c>
    </row>
    <row r="427" spans="1:20" x14ac:dyDescent="0.2">
      <c r="A427" t="s">
        <v>1526</v>
      </c>
      <c r="B427" t="s">
        <v>388</v>
      </c>
      <c r="C427" t="s">
        <v>388</v>
      </c>
      <c r="E427" t="s">
        <v>1527</v>
      </c>
      <c r="F427" t="s">
        <v>1528</v>
      </c>
      <c r="G427">
        <v>5</v>
      </c>
      <c r="H427">
        <v>2460</v>
      </c>
      <c r="I427">
        <v>5</v>
      </c>
      <c r="J427">
        <v>28.5</v>
      </c>
      <c r="K427">
        <v>5</v>
      </c>
      <c r="L427">
        <v>1.2749999999999999</v>
      </c>
      <c r="M427">
        <v>5</v>
      </c>
      <c r="N427">
        <v>492.5</v>
      </c>
      <c r="O427">
        <v>5</v>
      </c>
      <c r="P427">
        <v>3.35</v>
      </c>
      <c r="Q427">
        <v>5</v>
      </c>
      <c r="R427">
        <v>0.17699999999999999</v>
      </c>
      <c r="T427" s="8" t="s">
        <v>1527</v>
      </c>
    </row>
    <row r="428" spans="1:20" x14ac:dyDescent="0.2">
      <c r="A428" t="s">
        <v>1529</v>
      </c>
      <c r="B428" t="s">
        <v>388</v>
      </c>
      <c r="C428" t="s">
        <v>388</v>
      </c>
      <c r="E428" t="s">
        <v>1530</v>
      </c>
      <c r="F428" t="s">
        <v>447</v>
      </c>
      <c r="G428">
        <v>2</v>
      </c>
      <c r="H428">
        <v>1830</v>
      </c>
      <c r="I428">
        <v>2</v>
      </c>
      <c r="J428">
        <v>13.5</v>
      </c>
      <c r="K428">
        <v>2</v>
      </c>
      <c r="L428">
        <v>0.52500000000000002</v>
      </c>
      <c r="M428">
        <v>2</v>
      </c>
      <c r="N428">
        <v>207.5</v>
      </c>
      <c r="O428">
        <v>2</v>
      </c>
      <c r="P428">
        <v>1.25</v>
      </c>
      <c r="Q428">
        <v>3</v>
      </c>
      <c r="R428">
        <v>0.10100000000000001</v>
      </c>
      <c r="T428" s="8" t="s">
        <v>1530</v>
      </c>
    </row>
    <row r="429" spans="1:20" x14ac:dyDescent="0.2">
      <c r="A429" t="s">
        <v>1531</v>
      </c>
      <c r="B429" t="s">
        <v>388</v>
      </c>
      <c r="C429" t="s">
        <v>388</v>
      </c>
      <c r="E429" t="s">
        <v>1532</v>
      </c>
      <c r="F429" t="s">
        <v>1533</v>
      </c>
      <c r="G429">
        <v>5</v>
      </c>
      <c r="H429">
        <v>2460</v>
      </c>
      <c r="I429">
        <v>5</v>
      </c>
      <c r="J429">
        <v>28.5</v>
      </c>
      <c r="K429">
        <v>5</v>
      </c>
      <c r="L429">
        <v>1.2749999999999999</v>
      </c>
      <c r="M429">
        <v>5</v>
      </c>
      <c r="N429">
        <v>492.5</v>
      </c>
      <c r="O429">
        <v>5</v>
      </c>
      <c r="P429">
        <v>3.35</v>
      </c>
      <c r="Q429">
        <v>4</v>
      </c>
      <c r="R429">
        <v>0.13900000000000001</v>
      </c>
      <c r="T429" s="8" t="s">
        <v>1532</v>
      </c>
    </row>
    <row r="430" spans="1:20" x14ac:dyDescent="0.2">
      <c r="A430" t="s">
        <v>1534</v>
      </c>
      <c r="B430" t="s">
        <v>388</v>
      </c>
      <c r="C430" t="s">
        <v>388</v>
      </c>
      <c r="E430" t="s">
        <v>1535</v>
      </c>
      <c r="F430" t="s">
        <v>447</v>
      </c>
      <c r="G430">
        <v>1</v>
      </c>
      <c r="H430">
        <v>1620</v>
      </c>
      <c r="I430">
        <v>3</v>
      </c>
      <c r="J430">
        <v>18.5</v>
      </c>
      <c r="K430">
        <v>2</v>
      </c>
      <c r="L430">
        <v>0.52500000000000002</v>
      </c>
      <c r="M430">
        <v>1</v>
      </c>
      <c r="N430">
        <v>112.5</v>
      </c>
      <c r="O430">
        <v>1</v>
      </c>
      <c r="P430">
        <v>0.55000000000000004</v>
      </c>
      <c r="Q430">
        <v>1</v>
      </c>
      <c r="R430">
        <v>2.5000000000000001E-2</v>
      </c>
      <c r="T430" s="8" t="s">
        <v>1535</v>
      </c>
    </row>
    <row r="431" spans="1:20" x14ac:dyDescent="0.2">
      <c r="A431" t="s">
        <v>1536</v>
      </c>
      <c r="B431" t="s">
        <v>388</v>
      </c>
      <c r="C431" t="s">
        <v>388</v>
      </c>
      <c r="E431" t="s">
        <v>1537</v>
      </c>
      <c r="F431" t="s">
        <v>1538</v>
      </c>
      <c r="G431">
        <v>5</v>
      </c>
      <c r="H431">
        <v>2460</v>
      </c>
      <c r="I431">
        <v>5</v>
      </c>
      <c r="J431">
        <v>28.5</v>
      </c>
      <c r="K431">
        <v>4</v>
      </c>
      <c r="L431">
        <v>1.0249999999999999</v>
      </c>
      <c r="M431">
        <v>5</v>
      </c>
      <c r="N431">
        <v>492.5</v>
      </c>
      <c r="O431">
        <v>5</v>
      </c>
      <c r="P431">
        <v>3.35</v>
      </c>
      <c r="Q431">
        <v>4</v>
      </c>
      <c r="R431">
        <v>0.13900000000000001</v>
      </c>
      <c r="T431" s="8" t="s">
        <v>1537</v>
      </c>
    </row>
    <row r="432" spans="1:20" x14ac:dyDescent="0.2">
      <c r="A432" t="s">
        <v>1539</v>
      </c>
      <c r="B432" t="s">
        <v>388</v>
      </c>
      <c r="C432" t="s">
        <v>388</v>
      </c>
      <c r="E432" t="s">
        <v>1540</v>
      </c>
      <c r="F432" t="s">
        <v>1541</v>
      </c>
      <c r="G432">
        <v>3</v>
      </c>
      <c r="H432">
        <v>2040</v>
      </c>
      <c r="I432">
        <v>4</v>
      </c>
      <c r="J432">
        <v>23.5</v>
      </c>
      <c r="K432">
        <v>3</v>
      </c>
      <c r="L432">
        <v>0.77500000000000002</v>
      </c>
      <c r="M432">
        <v>2</v>
      </c>
      <c r="N432">
        <v>207.5</v>
      </c>
      <c r="O432">
        <v>2</v>
      </c>
      <c r="P432">
        <v>1.25</v>
      </c>
      <c r="Q432">
        <v>3</v>
      </c>
      <c r="R432">
        <v>0.10100000000000001</v>
      </c>
      <c r="T432" s="8" t="s">
        <v>1540</v>
      </c>
    </row>
    <row r="433" spans="1:20" x14ac:dyDescent="0.2">
      <c r="A433" t="s">
        <v>1542</v>
      </c>
      <c r="B433" t="s">
        <v>388</v>
      </c>
      <c r="C433" t="s">
        <v>388</v>
      </c>
      <c r="E433" t="s">
        <v>1543</v>
      </c>
      <c r="F433" t="s">
        <v>1544</v>
      </c>
      <c r="G433">
        <v>5</v>
      </c>
      <c r="H433">
        <v>2460</v>
      </c>
      <c r="I433">
        <v>4</v>
      </c>
      <c r="J433">
        <v>23.5</v>
      </c>
      <c r="K433">
        <v>5</v>
      </c>
      <c r="L433">
        <v>1.2749999999999999</v>
      </c>
      <c r="M433">
        <v>5</v>
      </c>
      <c r="N433">
        <v>492.5</v>
      </c>
      <c r="O433">
        <v>5</v>
      </c>
      <c r="P433">
        <v>3.35</v>
      </c>
      <c r="Q433">
        <v>5</v>
      </c>
      <c r="R433">
        <v>0.17699999999999999</v>
      </c>
      <c r="T433" s="8" t="s">
        <v>1543</v>
      </c>
    </row>
    <row r="434" spans="1:20" x14ac:dyDescent="0.2">
      <c r="A434" t="s">
        <v>1545</v>
      </c>
      <c r="B434" t="s">
        <v>388</v>
      </c>
      <c r="C434" t="s">
        <v>388</v>
      </c>
      <c r="E434" t="s">
        <v>1546</v>
      </c>
      <c r="F434" t="s">
        <v>1547</v>
      </c>
      <c r="G434">
        <v>4</v>
      </c>
      <c r="H434">
        <v>2250</v>
      </c>
      <c r="I434">
        <v>4</v>
      </c>
      <c r="J434">
        <v>23.5</v>
      </c>
      <c r="K434">
        <v>4</v>
      </c>
      <c r="L434">
        <v>1.0249999999999999</v>
      </c>
      <c r="M434">
        <v>3</v>
      </c>
      <c r="N434">
        <v>302.5</v>
      </c>
      <c r="O434">
        <v>3</v>
      </c>
      <c r="P434">
        <v>1.95</v>
      </c>
      <c r="Q434">
        <v>5</v>
      </c>
      <c r="R434">
        <v>0.17699999999999999</v>
      </c>
      <c r="T434" s="8" t="s">
        <v>1546</v>
      </c>
    </row>
    <row r="435" spans="1:20" x14ac:dyDescent="0.2">
      <c r="A435" t="s">
        <v>1548</v>
      </c>
      <c r="B435" t="s">
        <v>388</v>
      </c>
      <c r="C435" t="s">
        <v>388</v>
      </c>
      <c r="E435" t="s">
        <v>1549</v>
      </c>
      <c r="F435" t="s">
        <v>1550</v>
      </c>
      <c r="G435">
        <v>5</v>
      </c>
      <c r="H435">
        <v>2460</v>
      </c>
      <c r="I435">
        <v>5</v>
      </c>
      <c r="J435">
        <v>28.5</v>
      </c>
      <c r="K435">
        <v>4</v>
      </c>
      <c r="L435">
        <v>1.0249999999999999</v>
      </c>
      <c r="M435">
        <v>4</v>
      </c>
      <c r="N435">
        <v>397.5</v>
      </c>
      <c r="O435">
        <v>4</v>
      </c>
      <c r="P435">
        <v>2.65</v>
      </c>
      <c r="Q435">
        <v>4</v>
      </c>
      <c r="R435">
        <v>0.13900000000000001</v>
      </c>
      <c r="T435" s="8" t="s">
        <v>1549</v>
      </c>
    </row>
    <row r="436" spans="1:20" x14ac:dyDescent="0.2">
      <c r="A436" t="s">
        <v>1551</v>
      </c>
      <c r="B436" t="s">
        <v>388</v>
      </c>
      <c r="C436" t="s">
        <v>388</v>
      </c>
      <c r="E436" t="s">
        <v>1552</v>
      </c>
      <c r="F436" t="s">
        <v>1553</v>
      </c>
      <c r="G436">
        <v>2</v>
      </c>
      <c r="H436">
        <v>1830</v>
      </c>
      <c r="I436">
        <v>2</v>
      </c>
      <c r="J436">
        <v>13.5</v>
      </c>
      <c r="K436">
        <v>2</v>
      </c>
      <c r="L436">
        <v>0.52500000000000002</v>
      </c>
      <c r="M436">
        <v>2</v>
      </c>
      <c r="N436">
        <v>207.5</v>
      </c>
      <c r="O436">
        <v>2</v>
      </c>
      <c r="P436">
        <v>1.25</v>
      </c>
      <c r="Q436">
        <v>2</v>
      </c>
      <c r="R436">
        <v>6.3E-2</v>
      </c>
      <c r="T436" s="8" t="s">
        <v>1552</v>
      </c>
    </row>
    <row r="437" spans="1:20" x14ac:dyDescent="0.2">
      <c r="A437" t="s">
        <v>1554</v>
      </c>
      <c r="B437" t="s">
        <v>388</v>
      </c>
      <c r="C437" t="s">
        <v>388</v>
      </c>
      <c r="E437" t="s">
        <v>1555</v>
      </c>
      <c r="F437" t="s">
        <v>447</v>
      </c>
      <c r="G437">
        <v>4</v>
      </c>
      <c r="H437">
        <v>2250</v>
      </c>
      <c r="I437">
        <v>4</v>
      </c>
      <c r="J437">
        <v>23.5</v>
      </c>
      <c r="K437">
        <v>4</v>
      </c>
      <c r="L437">
        <v>1.0249999999999999</v>
      </c>
      <c r="M437">
        <v>4</v>
      </c>
      <c r="N437">
        <v>397.5</v>
      </c>
      <c r="O437">
        <v>5</v>
      </c>
      <c r="P437">
        <v>3.35</v>
      </c>
      <c r="Q437">
        <v>5</v>
      </c>
      <c r="R437">
        <v>0.17699999999999999</v>
      </c>
      <c r="T437" s="8" t="s">
        <v>1555</v>
      </c>
    </row>
    <row r="438" spans="1:20" x14ac:dyDescent="0.2">
      <c r="A438" t="s">
        <v>1556</v>
      </c>
      <c r="B438" t="s">
        <v>388</v>
      </c>
      <c r="C438" t="s">
        <v>388</v>
      </c>
      <c r="E438" t="s">
        <v>1557</v>
      </c>
      <c r="F438" t="s">
        <v>1558</v>
      </c>
      <c r="G438">
        <v>5</v>
      </c>
      <c r="H438">
        <v>2460</v>
      </c>
      <c r="I438">
        <v>5</v>
      </c>
      <c r="J438">
        <v>28.5</v>
      </c>
      <c r="K438">
        <v>5</v>
      </c>
      <c r="L438">
        <v>1.2749999999999999</v>
      </c>
      <c r="M438">
        <v>5</v>
      </c>
      <c r="N438">
        <v>492.5</v>
      </c>
      <c r="O438">
        <v>5</v>
      </c>
      <c r="P438">
        <v>3.35</v>
      </c>
      <c r="Q438">
        <v>5</v>
      </c>
      <c r="R438">
        <v>0.17699999999999999</v>
      </c>
      <c r="T438" s="8" t="s">
        <v>1557</v>
      </c>
    </row>
    <row r="439" spans="1:20" x14ac:dyDescent="0.2">
      <c r="A439" t="s">
        <v>1559</v>
      </c>
      <c r="B439" t="s">
        <v>388</v>
      </c>
      <c r="C439" t="s">
        <v>388</v>
      </c>
      <c r="E439" t="s">
        <v>1560</v>
      </c>
      <c r="F439" t="s">
        <v>1561</v>
      </c>
      <c r="G439">
        <v>5</v>
      </c>
      <c r="H439">
        <v>2460</v>
      </c>
      <c r="I439">
        <v>5</v>
      </c>
      <c r="J439">
        <v>28.5</v>
      </c>
      <c r="K439">
        <v>4</v>
      </c>
      <c r="L439">
        <v>1.0249999999999999</v>
      </c>
      <c r="M439">
        <v>5</v>
      </c>
      <c r="N439">
        <v>492.5</v>
      </c>
      <c r="O439">
        <v>5</v>
      </c>
      <c r="P439">
        <v>3.35</v>
      </c>
      <c r="Q439">
        <v>4</v>
      </c>
      <c r="R439">
        <v>0.13900000000000001</v>
      </c>
      <c r="T439" s="8" t="s">
        <v>1560</v>
      </c>
    </row>
    <row r="440" spans="1:20" x14ac:dyDescent="0.2">
      <c r="A440" t="s">
        <v>1562</v>
      </c>
      <c r="B440" t="s">
        <v>388</v>
      </c>
      <c r="C440" t="s">
        <v>388</v>
      </c>
      <c r="E440" t="s">
        <v>1563</v>
      </c>
      <c r="F440" t="s">
        <v>1564</v>
      </c>
      <c r="G440">
        <v>4</v>
      </c>
      <c r="H440">
        <v>2250</v>
      </c>
      <c r="I440">
        <v>4</v>
      </c>
      <c r="J440">
        <v>23.5</v>
      </c>
      <c r="K440">
        <v>4</v>
      </c>
      <c r="L440">
        <v>1.0249999999999999</v>
      </c>
      <c r="M440">
        <v>4</v>
      </c>
      <c r="N440">
        <v>397.5</v>
      </c>
      <c r="O440">
        <v>4</v>
      </c>
      <c r="P440">
        <v>2.65</v>
      </c>
      <c r="Q440">
        <v>4</v>
      </c>
      <c r="R440">
        <v>0.13900000000000001</v>
      </c>
      <c r="T440" s="8" t="s">
        <v>1563</v>
      </c>
    </row>
    <row r="441" spans="1:20" x14ac:dyDescent="0.2">
      <c r="A441" t="s">
        <v>1565</v>
      </c>
      <c r="B441" t="s">
        <v>388</v>
      </c>
      <c r="C441" t="s">
        <v>388</v>
      </c>
      <c r="E441" t="s">
        <v>1566</v>
      </c>
      <c r="F441" t="s">
        <v>1567</v>
      </c>
      <c r="G441">
        <v>5</v>
      </c>
      <c r="H441">
        <v>2460</v>
      </c>
      <c r="I441">
        <v>5</v>
      </c>
      <c r="J441">
        <v>28.5</v>
      </c>
      <c r="K441">
        <v>5</v>
      </c>
      <c r="L441">
        <v>1.2749999999999999</v>
      </c>
      <c r="M441">
        <v>5</v>
      </c>
      <c r="N441">
        <v>492.5</v>
      </c>
      <c r="O441">
        <v>5</v>
      </c>
      <c r="P441">
        <v>3.35</v>
      </c>
      <c r="Q441">
        <v>5</v>
      </c>
      <c r="R441">
        <v>0.17699999999999999</v>
      </c>
      <c r="T441" s="8" t="s">
        <v>1566</v>
      </c>
    </row>
    <row r="442" spans="1:20" x14ac:dyDescent="0.2">
      <c r="A442" t="s">
        <v>1568</v>
      </c>
      <c r="B442" t="s">
        <v>388</v>
      </c>
      <c r="C442" t="s">
        <v>388</v>
      </c>
      <c r="E442" t="s">
        <v>1569</v>
      </c>
      <c r="F442" t="s">
        <v>1570</v>
      </c>
      <c r="G442">
        <v>4</v>
      </c>
      <c r="H442">
        <v>2250</v>
      </c>
      <c r="I442">
        <v>5</v>
      </c>
      <c r="J442">
        <v>28.5</v>
      </c>
      <c r="K442">
        <v>4</v>
      </c>
      <c r="L442">
        <v>1.0249999999999999</v>
      </c>
      <c r="M442">
        <v>4</v>
      </c>
      <c r="N442">
        <v>397.5</v>
      </c>
      <c r="O442">
        <v>4</v>
      </c>
      <c r="P442">
        <v>2.65</v>
      </c>
      <c r="Q442">
        <v>4</v>
      </c>
      <c r="R442">
        <v>0.13900000000000001</v>
      </c>
      <c r="T442" s="8" t="s">
        <v>1569</v>
      </c>
    </row>
    <row r="443" spans="1:20" x14ac:dyDescent="0.2">
      <c r="A443" t="s">
        <v>1571</v>
      </c>
      <c r="B443" t="s">
        <v>388</v>
      </c>
      <c r="C443" t="s">
        <v>388</v>
      </c>
      <c r="E443" t="s">
        <v>1572</v>
      </c>
      <c r="F443" t="s">
        <v>1573</v>
      </c>
      <c r="G443">
        <v>2</v>
      </c>
      <c r="H443">
        <v>1830</v>
      </c>
      <c r="I443">
        <v>2</v>
      </c>
      <c r="J443">
        <v>13.5</v>
      </c>
      <c r="K443">
        <v>2</v>
      </c>
      <c r="L443">
        <v>0.52500000000000002</v>
      </c>
      <c r="M443">
        <v>2</v>
      </c>
      <c r="N443">
        <v>207.5</v>
      </c>
      <c r="O443">
        <v>2</v>
      </c>
      <c r="P443">
        <v>1.25</v>
      </c>
      <c r="Q443">
        <v>2</v>
      </c>
      <c r="R443">
        <v>6.3E-2</v>
      </c>
      <c r="T443" s="8" t="s">
        <v>1572</v>
      </c>
    </row>
    <row r="444" spans="1:20" x14ac:dyDescent="0.2">
      <c r="A444" t="s">
        <v>1574</v>
      </c>
      <c r="B444" t="s">
        <v>388</v>
      </c>
      <c r="C444" t="s">
        <v>388</v>
      </c>
      <c r="E444" t="s">
        <v>1575</v>
      </c>
      <c r="F444" t="s">
        <v>1576</v>
      </c>
      <c r="G444">
        <v>5</v>
      </c>
      <c r="H444">
        <v>2460</v>
      </c>
      <c r="I444">
        <v>5</v>
      </c>
      <c r="J444">
        <v>28.5</v>
      </c>
      <c r="K444">
        <v>5</v>
      </c>
      <c r="L444">
        <v>1.2749999999999999</v>
      </c>
      <c r="M444">
        <v>5</v>
      </c>
      <c r="N444">
        <v>492.5</v>
      </c>
      <c r="O444">
        <v>5</v>
      </c>
      <c r="P444">
        <v>3.35</v>
      </c>
      <c r="Q444">
        <v>5</v>
      </c>
      <c r="R444">
        <v>0.17699999999999999</v>
      </c>
      <c r="T444" s="8" t="s">
        <v>1575</v>
      </c>
    </row>
    <row r="445" spans="1:20" x14ac:dyDescent="0.2">
      <c r="A445" t="s">
        <v>1577</v>
      </c>
      <c r="B445" t="s">
        <v>388</v>
      </c>
      <c r="C445" t="s">
        <v>388</v>
      </c>
      <c r="E445" t="s">
        <v>1578</v>
      </c>
      <c r="F445" t="s">
        <v>1579</v>
      </c>
      <c r="G445">
        <v>1</v>
      </c>
      <c r="H445">
        <v>1620</v>
      </c>
      <c r="I445">
        <v>3</v>
      </c>
      <c r="J445">
        <v>18.5</v>
      </c>
      <c r="K445">
        <v>2</v>
      </c>
      <c r="L445">
        <v>0.52500000000000002</v>
      </c>
      <c r="M445">
        <v>1</v>
      </c>
      <c r="N445">
        <v>112.5</v>
      </c>
      <c r="O445">
        <v>1</v>
      </c>
      <c r="P445">
        <v>0.55000000000000004</v>
      </c>
      <c r="Q445">
        <v>1</v>
      </c>
      <c r="R445">
        <v>2.5000000000000001E-2</v>
      </c>
      <c r="T445" s="8" t="s">
        <v>1578</v>
      </c>
    </row>
    <row r="446" spans="1:20" x14ac:dyDescent="0.2">
      <c r="A446" t="s">
        <v>1580</v>
      </c>
      <c r="B446" t="s">
        <v>388</v>
      </c>
      <c r="C446" t="s">
        <v>388</v>
      </c>
      <c r="E446" t="s">
        <v>1578</v>
      </c>
      <c r="F446" t="s">
        <v>1579</v>
      </c>
      <c r="G446">
        <v>5</v>
      </c>
      <c r="H446">
        <v>2460</v>
      </c>
      <c r="I446">
        <v>5</v>
      </c>
      <c r="J446">
        <v>28.5</v>
      </c>
      <c r="K446">
        <v>5</v>
      </c>
      <c r="L446">
        <v>1.2749999999999999</v>
      </c>
      <c r="M446">
        <v>5</v>
      </c>
      <c r="N446">
        <v>492.5</v>
      </c>
      <c r="O446">
        <v>5</v>
      </c>
      <c r="P446">
        <v>3.35</v>
      </c>
      <c r="Q446">
        <v>5</v>
      </c>
      <c r="R446">
        <v>0.17699999999999999</v>
      </c>
      <c r="T446" s="8" t="s">
        <v>1578</v>
      </c>
    </row>
    <row r="447" spans="1:20" x14ac:dyDescent="0.2">
      <c r="A447" t="s">
        <v>1581</v>
      </c>
      <c r="B447" t="s">
        <v>388</v>
      </c>
      <c r="C447" t="s">
        <v>388</v>
      </c>
      <c r="E447" t="s">
        <v>1582</v>
      </c>
      <c r="F447" t="s">
        <v>1583</v>
      </c>
      <c r="G447">
        <v>5</v>
      </c>
      <c r="H447">
        <v>2460</v>
      </c>
      <c r="I447">
        <v>5</v>
      </c>
      <c r="J447">
        <v>28.5</v>
      </c>
      <c r="K447">
        <v>5</v>
      </c>
      <c r="L447">
        <v>1.2749999999999999</v>
      </c>
      <c r="M447">
        <v>5</v>
      </c>
      <c r="N447">
        <v>492.5</v>
      </c>
      <c r="O447">
        <v>5</v>
      </c>
      <c r="P447">
        <v>3.35</v>
      </c>
      <c r="Q447">
        <v>5</v>
      </c>
      <c r="R447">
        <v>0.17699999999999999</v>
      </c>
      <c r="T447" s="8" t="s">
        <v>1582</v>
      </c>
    </row>
    <row r="448" spans="1:20" x14ac:dyDescent="0.2">
      <c r="A448" t="s">
        <v>1584</v>
      </c>
      <c r="B448" t="s">
        <v>388</v>
      </c>
      <c r="C448" t="s">
        <v>388</v>
      </c>
      <c r="E448" t="s">
        <v>1585</v>
      </c>
      <c r="F448" t="s">
        <v>1586</v>
      </c>
      <c r="G448">
        <v>5</v>
      </c>
      <c r="H448">
        <v>2460</v>
      </c>
      <c r="I448">
        <v>5</v>
      </c>
      <c r="J448">
        <v>28.5</v>
      </c>
      <c r="K448">
        <v>5</v>
      </c>
      <c r="L448">
        <v>1.2749999999999999</v>
      </c>
      <c r="M448">
        <v>4</v>
      </c>
      <c r="N448">
        <v>397.5</v>
      </c>
      <c r="O448">
        <v>4</v>
      </c>
      <c r="P448">
        <v>2.65</v>
      </c>
      <c r="Q448">
        <v>4</v>
      </c>
      <c r="R448">
        <v>0.13900000000000001</v>
      </c>
      <c r="T448" s="8" t="s">
        <v>1585</v>
      </c>
    </row>
    <row r="449" spans="1:20" x14ac:dyDescent="0.2">
      <c r="A449" t="s">
        <v>1587</v>
      </c>
      <c r="B449" t="s">
        <v>388</v>
      </c>
      <c r="C449" t="s">
        <v>388</v>
      </c>
      <c r="E449" t="s">
        <v>1588</v>
      </c>
      <c r="F449" t="s">
        <v>1589</v>
      </c>
      <c r="G449">
        <v>5</v>
      </c>
      <c r="H449">
        <v>2460</v>
      </c>
      <c r="I449">
        <v>5</v>
      </c>
      <c r="J449">
        <v>28.5</v>
      </c>
      <c r="K449">
        <v>5</v>
      </c>
      <c r="L449">
        <v>1.2749999999999999</v>
      </c>
      <c r="M449">
        <v>5</v>
      </c>
      <c r="N449">
        <v>492.5</v>
      </c>
      <c r="O449">
        <v>5</v>
      </c>
      <c r="P449">
        <v>3.35</v>
      </c>
      <c r="Q449">
        <v>5</v>
      </c>
      <c r="R449">
        <v>0.17699999999999999</v>
      </c>
      <c r="T449" s="8" t="s">
        <v>1588</v>
      </c>
    </row>
    <row r="450" spans="1:20" x14ac:dyDescent="0.2">
      <c r="A450" t="s">
        <v>1590</v>
      </c>
      <c r="B450" t="s">
        <v>388</v>
      </c>
      <c r="C450" t="s">
        <v>388</v>
      </c>
      <c r="E450" t="s">
        <v>1591</v>
      </c>
      <c r="F450" t="s">
        <v>1592</v>
      </c>
      <c r="G450">
        <v>1</v>
      </c>
      <c r="H450">
        <v>1620</v>
      </c>
      <c r="I450">
        <v>1</v>
      </c>
      <c r="J450">
        <v>8.5</v>
      </c>
      <c r="K450">
        <v>1</v>
      </c>
      <c r="L450">
        <v>0.27500000000000002</v>
      </c>
      <c r="M450">
        <v>1</v>
      </c>
      <c r="N450">
        <v>112.5</v>
      </c>
      <c r="O450">
        <v>1</v>
      </c>
      <c r="P450">
        <v>0.55000000000000004</v>
      </c>
      <c r="Q450">
        <v>1</v>
      </c>
      <c r="R450">
        <v>2.5000000000000001E-2</v>
      </c>
      <c r="T450" s="8" t="s">
        <v>1591</v>
      </c>
    </row>
    <row r="451" spans="1:20" x14ac:dyDescent="0.2">
      <c r="A451" t="s">
        <v>1593</v>
      </c>
      <c r="B451" t="s">
        <v>388</v>
      </c>
      <c r="C451" t="s">
        <v>388</v>
      </c>
      <c r="E451" t="s">
        <v>357</v>
      </c>
      <c r="F451" t="s">
        <v>447</v>
      </c>
      <c r="G451">
        <v>1</v>
      </c>
      <c r="H451">
        <v>1620</v>
      </c>
      <c r="I451">
        <v>1</v>
      </c>
      <c r="J451">
        <v>8.5</v>
      </c>
      <c r="K451">
        <v>1</v>
      </c>
      <c r="L451">
        <v>0.27500000000000002</v>
      </c>
      <c r="M451">
        <v>2</v>
      </c>
      <c r="N451">
        <v>207.5</v>
      </c>
      <c r="O451">
        <v>2</v>
      </c>
      <c r="P451">
        <v>1.25</v>
      </c>
      <c r="Q451">
        <v>2</v>
      </c>
      <c r="R451">
        <v>6.3E-2</v>
      </c>
      <c r="T451" s="8" t="s">
        <v>357</v>
      </c>
    </row>
    <row r="452" spans="1:20" x14ac:dyDescent="0.2">
      <c r="A452" t="s">
        <v>1594</v>
      </c>
      <c r="B452" t="s">
        <v>388</v>
      </c>
      <c r="C452" t="s">
        <v>388</v>
      </c>
      <c r="E452" t="s">
        <v>1595</v>
      </c>
      <c r="F452" t="s">
        <v>1596</v>
      </c>
      <c r="G452">
        <v>5</v>
      </c>
      <c r="H452">
        <v>2460</v>
      </c>
      <c r="I452">
        <v>5</v>
      </c>
      <c r="J452">
        <v>28.5</v>
      </c>
      <c r="K452">
        <v>5</v>
      </c>
      <c r="L452">
        <v>1.2749999999999999</v>
      </c>
      <c r="M452">
        <v>5</v>
      </c>
      <c r="N452">
        <v>492.5</v>
      </c>
      <c r="O452">
        <v>5</v>
      </c>
      <c r="P452">
        <v>3.35</v>
      </c>
      <c r="Q452">
        <v>5</v>
      </c>
      <c r="R452">
        <v>0.17699999999999999</v>
      </c>
      <c r="T452" s="8" t="s">
        <v>1595</v>
      </c>
    </row>
    <row r="453" spans="1:20" x14ac:dyDescent="0.2">
      <c r="A453" t="s">
        <v>1597</v>
      </c>
      <c r="B453" t="s">
        <v>388</v>
      </c>
      <c r="C453" t="s">
        <v>388</v>
      </c>
      <c r="E453" t="s">
        <v>1598</v>
      </c>
      <c r="F453" t="s">
        <v>1599</v>
      </c>
      <c r="G453">
        <v>1</v>
      </c>
      <c r="H453">
        <v>1620</v>
      </c>
      <c r="I453">
        <v>1</v>
      </c>
      <c r="J453">
        <v>8.5</v>
      </c>
      <c r="K453">
        <v>1</v>
      </c>
      <c r="L453">
        <v>0.27500000000000002</v>
      </c>
      <c r="M453">
        <v>1</v>
      </c>
      <c r="N453">
        <v>112.5</v>
      </c>
      <c r="O453">
        <v>1</v>
      </c>
      <c r="P453">
        <v>0.55000000000000004</v>
      </c>
      <c r="Q453">
        <v>1</v>
      </c>
      <c r="R453">
        <v>2.5000000000000001E-2</v>
      </c>
      <c r="T453" s="8" t="s">
        <v>1598</v>
      </c>
    </row>
    <row r="454" spans="1:20" x14ac:dyDescent="0.2">
      <c r="A454" t="s">
        <v>1600</v>
      </c>
      <c r="B454" t="s">
        <v>388</v>
      </c>
      <c r="C454" t="s">
        <v>388</v>
      </c>
      <c r="E454" t="s">
        <v>1601</v>
      </c>
      <c r="F454" t="s">
        <v>1602</v>
      </c>
      <c r="G454">
        <v>4</v>
      </c>
      <c r="H454">
        <v>2250</v>
      </c>
      <c r="I454">
        <v>4</v>
      </c>
      <c r="J454">
        <v>23.5</v>
      </c>
      <c r="K454">
        <v>4</v>
      </c>
      <c r="L454">
        <v>1.0249999999999999</v>
      </c>
      <c r="M454">
        <v>4</v>
      </c>
      <c r="N454">
        <v>397.5</v>
      </c>
      <c r="O454">
        <v>4</v>
      </c>
      <c r="P454">
        <v>2.65</v>
      </c>
      <c r="Q454">
        <v>5</v>
      </c>
      <c r="R454">
        <v>0.17699999999999999</v>
      </c>
      <c r="T454" s="8" t="s">
        <v>1601</v>
      </c>
    </row>
    <row r="455" spans="1:20" x14ac:dyDescent="0.2">
      <c r="A455" t="s">
        <v>1603</v>
      </c>
      <c r="B455" t="s">
        <v>388</v>
      </c>
      <c r="C455" t="s">
        <v>388</v>
      </c>
      <c r="E455" t="s">
        <v>1604</v>
      </c>
      <c r="F455" t="s">
        <v>1605</v>
      </c>
      <c r="G455">
        <v>2</v>
      </c>
      <c r="H455">
        <v>1830</v>
      </c>
      <c r="I455">
        <v>1</v>
      </c>
      <c r="J455">
        <v>8.5</v>
      </c>
      <c r="K455">
        <v>1</v>
      </c>
      <c r="L455">
        <v>0.27500000000000002</v>
      </c>
      <c r="M455">
        <v>1</v>
      </c>
      <c r="N455">
        <v>112.5</v>
      </c>
      <c r="O455">
        <v>1</v>
      </c>
      <c r="P455">
        <v>0.55000000000000004</v>
      </c>
      <c r="Q455">
        <v>1</v>
      </c>
      <c r="R455">
        <v>2.5000000000000001E-2</v>
      </c>
      <c r="T455" s="8" t="s">
        <v>1604</v>
      </c>
    </row>
    <row r="456" spans="1:20" x14ac:dyDescent="0.2">
      <c r="A456" t="s">
        <v>1606</v>
      </c>
      <c r="B456" t="s">
        <v>388</v>
      </c>
      <c r="C456" t="s">
        <v>388</v>
      </c>
      <c r="E456" t="s">
        <v>1607</v>
      </c>
      <c r="F456" t="s">
        <v>1608</v>
      </c>
      <c r="G456">
        <v>2</v>
      </c>
      <c r="H456">
        <v>1830</v>
      </c>
      <c r="I456">
        <v>2</v>
      </c>
      <c r="J456">
        <v>13.5</v>
      </c>
      <c r="K456">
        <v>2</v>
      </c>
      <c r="L456">
        <v>0.52500000000000002</v>
      </c>
      <c r="M456">
        <v>3</v>
      </c>
      <c r="N456">
        <v>302.5</v>
      </c>
      <c r="O456">
        <v>3</v>
      </c>
      <c r="P456">
        <v>1.95</v>
      </c>
      <c r="Q456">
        <v>2</v>
      </c>
      <c r="R456">
        <v>6.3E-2</v>
      </c>
      <c r="T456" s="8" t="s">
        <v>1607</v>
      </c>
    </row>
    <row r="457" spans="1:20" x14ac:dyDescent="0.2">
      <c r="A457" t="s">
        <v>1609</v>
      </c>
      <c r="B457" t="s">
        <v>388</v>
      </c>
      <c r="C457" t="s">
        <v>388</v>
      </c>
      <c r="E457" t="s">
        <v>803</v>
      </c>
      <c r="F457" t="s">
        <v>1267</v>
      </c>
      <c r="G457">
        <v>3</v>
      </c>
      <c r="H457">
        <v>2040</v>
      </c>
      <c r="I457">
        <v>3</v>
      </c>
      <c r="J457">
        <v>18.5</v>
      </c>
      <c r="K457">
        <v>3</v>
      </c>
      <c r="L457">
        <v>0.77500000000000002</v>
      </c>
      <c r="M457">
        <v>3</v>
      </c>
      <c r="N457">
        <v>302.5</v>
      </c>
      <c r="O457">
        <v>3</v>
      </c>
      <c r="P457">
        <v>1.95</v>
      </c>
      <c r="Q457">
        <v>3</v>
      </c>
      <c r="R457">
        <v>0.10100000000000001</v>
      </c>
      <c r="T457" s="8" t="s">
        <v>803</v>
      </c>
    </row>
    <row r="458" spans="1:20" x14ac:dyDescent="0.2">
      <c r="A458" t="s">
        <v>1610</v>
      </c>
      <c r="B458" t="s">
        <v>388</v>
      </c>
      <c r="C458" t="s">
        <v>388</v>
      </c>
      <c r="E458" t="s">
        <v>1611</v>
      </c>
      <c r="F458" t="s">
        <v>1612</v>
      </c>
      <c r="G458">
        <v>2</v>
      </c>
      <c r="H458">
        <v>1830</v>
      </c>
      <c r="I458">
        <v>1</v>
      </c>
      <c r="J458">
        <v>8.5</v>
      </c>
      <c r="K458">
        <v>1</v>
      </c>
      <c r="L458">
        <v>0.27500000000000002</v>
      </c>
      <c r="M458">
        <v>1</v>
      </c>
      <c r="N458">
        <v>112.5</v>
      </c>
      <c r="O458">
        <v>1</v>
      </c>
      <c r="P458">
        <v>0.55000000000000004</v>
      </c>
      <c r="Q458">
        <v>1</v>
      </c>
      <c r="R458">
        <v>2.5000000000000001E-2</v>
      </c>
      <c r="T458" s="8" t="s">
        <v>1611</v>
      </c>
    </row>
    <row r="459" spans="1:20" x14ac:dyDescent="0.2">
      <c r="A459" t="s">
        <v>1613</v>
      </c>
      <c r="B459" t="s">
        <v>388</v>
      </c>
      <c r="C459" t="s">
        <v>388</v>
      </c>
      <c r="E459" t="s">
        <v>337</v>
      </c>
      <c r="F459" t="s">
        <v>1614</v>
      </c>
      <c r="G459">
        <v>1</v>
      </c>
      <c r="H459">
        <v>1620</v>
      </c>
      <c r="I459">
        <v>2</v>
      </c>
      <c r="J459">
        <v>13.5</v>
      </c>
      <c r="K459">
        <v>1</v>
      </c>
      <c r="L459">
        <v>0.27500000000000002</v>
      </c>
      <c r="M459">
        <v>1</v>
      </c>
      <c r="N459">
        <v>112.5</v>
      </c>
      <c r="O459">
        <v>2</v>
      </c>
      <c r="P459">
        <v>1.25</v>
      </c>
      <c r="Q459">
        <v>4</v>
      </c>
      <c r="R459">
        <v>0.13900000000000001</v>
      </c>
      <c r="T459" s="8" t="s">
        <v>337</v>
      </c>
    </row>
    <row r="460" spans="1:20" x14ac:dyDescent="0.2">
      <c r="A460" t="s">
        <v>1615</v>
      </c>
      <c r="B460" t="s">
        <v>388</v>
      </c>
      <c r="C460" t="s">
        <v>388</v>
      </c>
      <c r="E460" t="s">
        <v>1616</v>
      </c>
      <c r="F460" t="s">
        <v>1617</v>
      </c>
      <c r="G460">
        <v>5</v>
      </c>
      <c r="H460">
        <v>2460</v>
      </c>
      <c r="I460">
        <v>5</v>
      </c>
      <c r="J460">
        <v>28.5</v>
      </c>
      <c r="K460">
        <v>4</v>
      </c>
      <c r="L460">
        <v>1.0249999999999999</v>
      </c>
      <c r="M460">
        <v>4</v>
      </c>
      <c r="N460">
        <v>397.5</v>
      </c>
      <c r="O460">
        <v>5</v>
      </c>
      <c r="P460">
        <v>3.35</v>
      </c>
      <c r="Q460">
        <v>4</v>
      </c>
      <c r="R460">
        <v>0.13900000000000001</v>
      </c>
      <c r="T460" s="8" t="s">
        <v>1616</v>
      </c>
    </row>
    <row r="461" spans="1:20" x14ac:dyDescent="0.2">
      <c r="A461" t="s">
        <v>1618</v>
      </c>
      <c r="B461" t="s">
        <v>388</v>
      </c>
      <c r="C461" t="s">
        <v>388</v>
      </c>
      <c r="E461" t="s">
        <v>1619</v>
      </c>
      <c r="F461" t="s">
        <v>1620</v>
      </c>
      <c r="G461">
        <v>3</v>
      </c>
      <c r="H461">
        <v>2040</v>
      </c>
      <c r="I461">
        <v>3</v>
      </c>
      <c r="J461">
        <v>18.5</v>
      </c>
      <c r="K461">
        <v>3</v>
      </c>
      <c r="L461">
        <v>0.77500000000000002</v>
      </c>
      <c r="M461">
        <v>3</v>
      </c>
      <c r="N461">
        <v>302.5</v>
      </c>
      <c r="O461">
        <v>3</v>
      </c>
      <c r="P461">
        <v>1.95</v>
      </c>
      <c r="Q461">
        <v>3</v>
      </c>
      <c r="R461">
        <v>0.10100000000000001</v>
      </c>
      <c r="T461" s="8" t="s">
        <v>1619</v>
      </c>
    </row>
    <row r="462" spans="1:20" x14ac:dyDescent="0.2">
      <c r="A462" t="s">
        <v>1621</v>
      </c>
      <c r="B462" t="s">
        <v>388</v>
      </c>
      <c r="C462" t="s">
        <v>388</v>
      </c>
      <c r="E462" t="s">
        <v>1622</v>
      </c>
      <c r="F462" t="s">
        <v>1623</v>
      </c>
      <c r="G462">
        <v>5</v>
      </c>
      <c r="H462">
        <v>2460</v>
      </c>
      <c r="I462">
        <v>5</v>
      </c>
      <c r="J462">
        <v>28.5</v>
      </c>
      <c r="K462">
        <v>5</v>
      </c>
      <c r="L462">
        <v>1.2749999999999999</v>
      </c>
      <c r="M462">
        <v>5</v>
      </c>
      <c r="N462">
        <v>492.5</v>
      </c>
      <c r="O462">
        <v>5</v>
      </c>
      <c r="P462">
        <v>3.35</v>
      </c>
      <c r="Q462">
        <v>5</v>
      </c>
      <c r="R462">
        <v>0.17699999999999999</v>
      </c>
      <c r="T462" s="8" t="s">
        <v>1622</v>
      </c>
    </row>
    <row r="463" spans="1:20" x14ac:dyDescent="0.2">
      <c r="A463" t="s">
        <v>1624</v>
      </c>
      <c r="B463" t="s">
        <v>388</v>
      </c>
      <c r="C463" t="s">
        <v>388</v>
      </c>
      <c r="E463" t="s">
        <v>1622</v>
      </c>
      <c r="F463" t="s">
        <v>1623</v>
      </c>
      <c r="G463">
        <v>4</v>
      </c>
      <c r="H463">
        <v>2250</v>
      </c>
      <c r="I463">
        <v>4</v>
      </c>
      <c r="J463">
        <v>23.5</v>
      </c>
      <c r="K463">
        <v>4</v>
      </c>
      <c r="L463">
        <v>1.0249999999999999</v>
      </c>
      <c r="M463">
        <v>4</v>
      </c>
      <c r="N463">
        <v>397.5</v>
      </c>
      <c r="O463">
        <v>4</v>
      </c>
      <c r="P463">
        <v>2.65</v>
      </c>
      <c r="Q463">
        <v>4</v>
      </c>
      <c r="R463">
        <v>0.13900000000000001</v>
      </c>
      <c r="T463" s="8" t="s">
        <v>1622</v>
      </c>
    </row>
    <row r="464" spans="1:20" x14ac:dyDescent="0.2">
      <c r="A464" t="s">
        <v>1625</v>
      </c>
      <c r="B464" t="s">
        <v>388</v>
      </c>
      <c r="C464" t="s">
        <v>388</v>
      </c>
      <c r="E464" t="s">
        <v>1622</v>
      </c>
      <c r="F464" t="s">
        <v>1623</v>
      </c>
      <c r="G464">
        <v>5</v>
      </c>
      <c r="H464">
        <v>2460</v>
      </c>
      <c r="I464">
        <v>5</v>
      </c>
      <c r="J464">
        <v>28.5</v>
      </c>
      <c r="K464">
        <v>5</v>
      </c>
      <c r="L464">
        <v>1.2749999999999999</v>
      </c>
      <c r="M464">
        <v>5</v>
      </c>
      <c r="N464">
        <v>492.5</v>
      </c>
      <c r="O464">
        <v>5</v>
      </c>
      <c r="P464">
        <v>3.35</v>
      </c>
      <c r="Q464">
        <v>5</v>
      </c>
      <c r="R464">
        <v>0.17699999999999999</v>
      </c>
      <c r="T464" s="8" t="s">
        <v>1622</v>
      </c>
    </row>
    <row r="465" spans="1:20" x14ac:dyDescent="0.2">
      <c r="A465" t="s">
        <v>1626</v>
      </c>
      <c r="B465" t="s">
        <v>388</v>
      </c>
      <c r="C465" t="s">
        <v>388</v>
      </c>
      <c r="E465" t="s">
        <v>1627</v>
      </c>
      <c r="F465" t="s">
        <v>1628</v>
      </c>
      <c r="G465">
        <v>1</v>
      </c>
      <c r="H465">
        <v>1620</v>
      </c>
      <c r="I465">
        <v>3</v>
      </c>
      <c r="J465">
        <v>18.5</v>
      </c>
      <c r="K465">
        <v>2</v>
      </c>
      <c r="L465">
        <v>0.52500000000000002</v>
      </c>
      <c r="M465">
        <v>1</v>
      </c>
      <c r="N465">
        <v>112.5</v>
      </c>
      <c r="O465">
        <v>2</v>
      </c>
      <c r="P465">
        <v>1.25</v>
      </c>
      <c r="Q465">
        <v>2</v>
      </c>
      <c r="R465">
        <v>6.3E-2</v>
      </c>
      <c r="T465" s="8" t="s">
        <v>1627</v>
      </c>
    </row>
    <row r="466" spans="1:20" x14ac:dyDescent="0.2">
      <c r="A466" t="s">
        <v>1629</v>
      </c>
      <c r="B466" t="s">
        <v>388</v>
      </c>
      <c r="C466" t="s">
        <v>388</v>
      </c>
      <c r="E466" t="s">
        <v>1630</v>
      </c>
      <c r="F466" t="s">
        <v>1631</v>
      </c>
      <c r="G466">
        <v>2</v>
      </c>
      <c r="H466">
        <v>1830</v>
      </c>
      <c r="I466">
        <v>1</v>
      </c>
      <c r="J466">
        <v>8.5</v>
      </c>
      <c r="K466">
        <v>2</v>
      </c>
      <c r="L466">
        <v>0.52500000000000002</v>
      </c>
      <c r="M466">
        <v>4</v>
      </c>
      <c r="N466">
        <v>397.5</v>
      </c>
      <c r="O466">
        <v>5</v>
      </c>
      <c r="P466">
        <v>3.35</v>
      </c>
      <c r="Q466">
        <v>5</v>
      </c>
      <c r="R466">
        <v>0.17699999999999999</v>
      </c>
      <c r="T466" s="8" t="s">
        <v>1630</v>
      </c>
    </row>
    <row r="467" spans="1:20" x14ac:dyDescent="0.2">
      <c r="A467" t="s">
        <v>1632</v>
      </c>
      <c r="B467" t="s">
        <v>388</v>
      </c>
      <c r="C467" t="s">
        <v>388</v>
      </c>
      <c r="E467" t="s">
        <v>1633</v>
      </c>
      <c r="F467" t="s">
        <v>1634</v>
      </c>
      <c r="G467">
        <v>5</v>
      </c>
      <c r="H467">
        <v>2460</v>
      </c>
      <c r="I467">
        <v>5</v>
      </c>
      <c r="J467">
        <v>28.5</v>
      </c>
      <c r="K467">
        <v>5</v>
      </c>
      <c r="L467">
        <v>1.2749999999999999</v>
      </c>
      <c r="M467">
        <v>5</v>
      </c>
      <c r="N467">
        <v>492.5</v>
      </c>
      <c r="O467">
        <v>5</v>
      </c>
      <c r="P467">
        <v>3.35</v>
      </c>
      <c r="Q467">
        <v>5</v>
      </c>
      <c r="R467">
        <v>0.17699999999999999</v>
      </c>
      <c r="T467" s="8" t="s">
        <v>1633</v>
      </c>
    </row>
    <row r="468" spans="1:20" x14ac:dyDescent="0.2">
      <c r="A468" t="s">
        <v>1635</v>
      </c>
      <c r="B468" t="s">
        <v>388</v>
      </c>
      <c r="C468" t="s">
        <v>388</v>
      </c>
      <c r="E468" t="s">
        <v>1636</v>
      </c>
      <c r="F468" t="s">
        <v>1637</v>
      </c>
      <c r="G468">
        <v>5</v>
      </c>
      <c r="H468">
        <v>2460</v>
      </c>
      <c r="I468">
        <v>5</v>
      </c>
      <c r="J468">
        <v>28.5</v>
      </c>
      <c r="K468">
        <v>4</v>
      </c>
      <c r="L468">
        <v>1.0249999999999999</v>
      </c>
      <c r="M468">
        <v>4</v>
      </c>
      <c r="N468">
        <v>397.5</v>
      </c>
      <c r="O468">
        <v>4</v>
      </c>
      <c r="P468">
        <v>2.65</v>
      </c>
      <c r="Q468">
        <v>5</v>
      </c>
      <c r="R468">
        <v>0.17699999999999999</v>
      </c>
      <c r="T468" s="8" t="s">
        <v>1636</v>
      </c>
    </row>
    <row r="469" spans="1:20" x14ac:dyDescent="0.2">
      <c r="A469" t="s">
        <v>1638</v>
      </c>
      <c r="B469" t="s">
        <v>388</v>
      </c>
      <c r="C469" t="s">
        <v>388</v>
      </c>
      <c r="E469" t="s">
        <v>1639</v>
      </c>
      <c r="F469" t="s">
        <v>1640</v>
      </c>
      <c r="G469">
        <v>3</v>
      </c>
      <c r="H469">
        <v>2040</v>
      </c>
      <c r="I469">
        <v>3</v>
      </c>
      <c r="J469">
        <v>18.5</v>
      </c>
      <c r="K469">
        <v>3</v>
      </c>
      <c r="L469">
        <v>0.77500000000000002</v>
      </c>
      <c r="M469">
        <v>3</v>
      </c>
      <c r="N469">
        <v>302.5</v>
      </c>
      <c r="O469">
        <v>3</v>
      </c>
      <c r="P469">
        <v>1.95</v>
      </c>
      <c r="Q469">
        <v>3</v>
      </c>
      <c r="R469">
        <v>0.10100000000000001</v>
      </c>
      <c r="T469" s="8" t="s">
        <v>1639</v>
      </c>
    </row>
    <row r="470" spans="1:20" x14ac:dyDescent="0.2">
      <c r="A470" t="s">
        <v>1641</v>
      </c>
      <c r="B470" t="s">
        <v>388</v>
      </c>
      <c r="C470" t="s">
        <v>388</v>
      </c>
      <c r="E470" t="s">
        <v>1642</v>
      </c>
      <c r="F470" t="s">
        <v>447</v>
      </c>
      <c r="G470">
        <v>2</v>
      </c>
      <c r="H470">
        <v>1830</v>
      </c>
      <c r="I470">
        <v>2</v>
      </c>
      <c r="J470">
        <v>13.5</v>
      </c>
      <c r="K470">
        <v>2</v>
      </c>
      <c r="L470">
        <v>0.52500000000000002</v>
      </c>
      <c r="M470">
        <v>2</v>
      </c>
      <c r="N470">
        <v>207.5</v>
      </c>
      <c r="O470">
        <v>2</v>
      </c>
      <c r="P470">
        <v>1.25</v>
      </c>
      <c r="Q470">
        <v>2</v>
      </c>
      <c r="R470">
        <v>6.3E-2</v>
      </c>
      <c r="T470" s="8" t="s">
        <v>1642</v>
      </c>
    </row>
    <row r="471" spans="1:20" x14ac:dyDescent="0.2">
      <c r="A471" t="s">
        <v>1643</v>
      </c>
      <c r="B471" t="s">
        <v>388</v>
      </c>
      <c r="C471" t="s">
        <v>388</v>
      </c>
      <c r="E471" t="s">
        <v>1644</v>
      </c>
      <c r="F471" t="s">
        <v>1645</v>
      </c>
      <c r="G471">
        <v>2</v>
      </c>
      <c r="H471">
        <v>1830</v>
      </c>
      <c r="I471">
        <v>1</v>
      </c>
      <c r="J471">
        <v>8.5</v>
      </c>
      <c r="K471">
        <v>1</v>
      </c>
      <c r="L471">
        <v>0.27500000000000002</v>
      </c>
      <c r="M471">
        <v>1</v>
      </c>
      <c r="N471">
        <v>112.5</v>
      </c>
      <c r="O471">
        <v>1</v>
      </c>
      <c r="P471">
        <v>0.55000000000000004</v>
      </c>
      <c r="Q471">
        <v>1</v>
      </c>
      <c r="R471">
        <v>2.5000000000000001E-2</v>
      </c>
      <c r="T471" s="8" t="s">
        <v>1644</v>
      </c>
    </row>
    <row r="472" spans="1:20" x14ac:dyDescent="0.2">
      <c r="A472" t="s">
        <v>1646</v>
      </c>
      <c r="B472" t="s">
        <v>388</v>
      </c>
      <c r="C472" t="s">
        <v>388</v>
      </c>
      <c r="E472" t="s">
        <v>1647</v>
      </c>
      <c r="F472" t="s">
        <v>1648</v>
      </c>
      <c r="G472">
        <v>5</v>
      </c>
      <c r="H472">
        <v>2460</v>
      </c>
      <c r="I472">
        <v>5</v>
      </c>
      <c r="J472">
        <v>28.5</v>
      </c>
      <c r="K472">
        <v>5</v>
      </c>
      <c r="L472">
        <v>1.2749999999999999</v>
      </c>
      <c r="M472">
        <v>5</v>
      </c>
      <c r="N472">
        <v>492.5</v>
      </c>
      <c r="O472">
        <v>5</v>
      </c>
      <c r="P472">
        <v>3.35</v>
      </c>
      <c r="Q472">
        <v>5</v>
      </c>
      <c r="R472">
        <v>0.17699999999999999</v>
      </c>
      <c r="T472" s="8" t="s">
        <v>1647</v>
      </c>
    </row>
    <row r="473" spans="1:20" x14ac:dyDescent="0.2">
      <c r="A473" t="s">
        <v>1649</v>
      </c>
      <c r="B473" t="s">
        <v>388</v>
      </c>
      <c r="C473" t="s">
        <v>388</v>
      </c>
      <c r="E473" t="s">
        <v>1650</v>
      </c>
      <c r="F473" t="s">
        <v>1651</v>
      </c>
      <c r="G473">
        <v>1</v>
      </c>
      <c r="H473">
        <v>1620</v>
      </c>
      <c r="I473">
        <v>1</v>
      </c>
      <c r="J473">
        <v>8.5</v>
      </c>
      <c r="K473">
        <v>1</v>
      </c>
      <c r="L473">
        <v>0.27500000000000002</v>
      </c>
      <c r="M473">
        <v>2</v>
      </c>
      <c r="N473">
        <v>207.5</v>
      </c>
      <c r="O473">
        <v>2</v>
      </c>
      <c r="P473">
        <v>1.25</v>
      </c>
      <c r="Q473">
        <v>2</v>
      </c>
      <c r="R473">
        <v>6.3E-2</v>
      </c>
      <c r="T473" s="8" t="s">
        <v>1650</v>
      </c>
    </row>
    <row r="474" spans="1:20" x14ac:dyDescent="0.2">
      <c r="A474" t="s">
        <v>1652</v>
      </c>
      <c r="B474" t="s">
        <v>388</v>
      </c>
      <c r="C474" t="s">
        <v>388</v>
      </c>
      <c r="E474" t="s">
        <v>1653</v>
      </c>
      <c r="F474" t="s">
        <v>1654</v>
      </c>
      <c r="G474">
        <v>1</v>
      </c>
      <c r="H474">
        <v>1620</v>
      </c>
      <c r="I474">
        <v>3</v>
      </c>
      <c r="J474">
        <v>18.5</v>
      </c>
      <c r="K474">
        <v>2</v>
      </c>
      <c r="L474">
        <v>0.52500000000000002</v>
      </c>
      <c r="M474">
        <v>1</v>
      </c>
      <c r="N474">
        <v>112.5</v>
      </c>
      <c r="O474">
        <v>1</v>
      </c>
      <c r="P474">
        <v>0.55000000000000004</v>
      </c>
      <c r="Q474">
        <v>1</v>
      </c>
      <c r="R474">
        <v>2.5000000000000001E-2</v>
      </c>
      <c r="T474" s="8" t="s">
        <v>1653</v>
      </c>
    </row>
    <row r="475" spans="1:20" x14ac:dyDescent="0.2">
      <c r="A475" t="s">
        <v>1655</v>
      </c>
      <c r="B475" t="s">
        <v>388</v>
      </c>
      <c r="C475" t="s">
        <v>388</v>
      </c>
      <c r="E475" t="s">
        <v>1656</v>
      </c>
      <c r="F475" t="s">
        <v>1657</v>
      </c>
      <c r="G475">
        <v>1</v>
      </c>
      <c r="H475">
        <v>1620</v>
      </c>
      <c r="I475">
        <v>1</v>
      </c>
      <c r="J475">
        <v>8.5</v>
      </c>
      <c r="K475">
        <v>1</v>
      </c>
      <c r="L475">
        <v>0.27500000000000002</v>
      </c>
      <c r="M475">
        <v>1</v>
      </c>
      <c r="N475">
        <v>112.5</v>
      </c>
      <c r="O475">
        <v>1</v>
      </c>
      <c r="P475">
        <v>0.55000000000000004</v>
      </c>
      <c r="Q475">
        <v>1</v>
      </c>
      <c r="R475">
        <v>2.5000000000000001E-2</v>
      </c>
      <c r="T475" s="8" t="s">
        <v>1656</v>
      </c>
    </row>
    <row r="476" spans="1:20" x14ac:dyDescent="0.2">
      <c r="A476" t="s">
        <v>1658</v>
      </c>
      <c r="B476" t="s">
        <v>388</v>
      </c>
      <c r="C476" t="s">
        <v>388</v>
      </c>
      <c r="E476" t="s">
        <v>1659</v>
      </c>
      <c r="F476" t="s">
        <v>1660</v>
      </c>
      <c r="G476">
        <v>2</v>
      </c>
      <c r="H476">
        <v>1830</v>
      </c>
      <c r="I476">
        <v>2</v>
      </c>
      <c r="J476">
        <v>13.5</v>
      </c>
      <c r="K476">
        <v>2</v>
      </c>
      <c r="L476">
        <v>0.52500000000000002</v>
      </c>
      <c r="M476">
        <v>2</v>
      </c>
      <c r="N476">
        <v>207.5</v>
      </c>
      <c r="O476">
        <v>2</v>
      </c>
      <c r="P476">
        <v>1.25</v>
      </c>
      <c r="Q476">
        <v>2</v>
      </c>
      <c r="R476">
        <v>6.3E-2</v>
      </c>
      <c r="T476" s="8" t="s">
        <v>1659</v>
      </c>
    </row>
    <row r="477" spans="1:20" x14ac:dyDescent="0.2">
      <c r="A477" t="s">
        <v>1661</v>
      </c>
      <c r="B477" t="s">
        <v>388</v>
      </c>
      <c r="C477" t="s">
        <v>388</v>
      </c>
      <c r="E477" t="s">
        <v>1662</v>
      </c>
      <c r="F477" t="s">
        <v>1663</v>
      </c>
      <c r="G477">
        <v>5</v>
      </c>
      <c r="H477">
        <v>2460</v>
      </c>
      <c r="I477">
        <v>5</v>
      </c>
      <c r="J477">
        <v>28.5</v>
      </c>
      <c r="K477">
        <v>4</v>
      </c>
      <c r="L477">
        <v>1.0249999999999999</v>
      </c>
      <c r="M477">
        <v>4</v>
      </c>
      <c r="N477">
        <v>397.5</v>
      </c>
      <c r="O477">
        <v>5</v>
      </c>
      <c r="P477">
        <v>3.35</v>
      </c>
      <c r="Q477">
        <v>4</v>
      </c>
      <c r="R477">
        <v>0.13900000000000001</v>
      </c>
      <c r="T477" s="8" t="s">
        <v>1662</v>
      </c>
    </row>
    <row r="478" spans="1:20" x14ac:dyDescent="0.2">
      <c r="A478" t="s">
        <v>1664</v>
      </c>
      <c r="B478" t="s">
        <v>388</v>
      </c>
      <c r="C478" t="s">
        <v>388</v>
      </c>
      <c r="E478" t="s">
        <v>1665</v>
      </c>
      <c r="F478" t="s">
        <v>1666</v>
      </c>
      <c r="G478">
        <v>1</v>
      </c>
      <c r="H478">
        <v>1620</v>
      </c>
      <c r="I478">
        <v>3</v>
      </c>
      <c r="J478">
        <v>18.5</v>
      </c>
      <c r="K478">
        <v>3</v>
      </c>
      <c r="L478">
        <v>0.77500000000000002</v>
      </c>
      <c r="M478">
        <v>2</v>
      </c>
      <c r="N478">
        <v>207.5</v>
      </c>
      <c r="O478">
        <v>2</v>
      </c>
      <c r="P478">
        <v>1.25</v>
      </c>
      <c r="Q478">
        <v>2</v>
      </c>
      <c r="R478">
        <v>6.3E-2</v>
      </c>
      <c r="T478" s="8" t="s">
        <v>1665</v>
      </c>
    </row>
    <row r="479" spans="1:20" x14ac:dyDescent="0.2">
      <c r="A479" t="s">
        <v>1667</v>
      </c>
      <c r="B479" t="s">
        <v>388</v>
      </c>
      <c r="C479" t="s">
        <v>388</v>
      </c>
      <c r="E479" t="s">
        <v>1668</v>
      </c>
      <c r="F479" t="s">
        <v>1669</v>
      </c>
      <c r="G479">
        <v>4</v>
      </c>
      <c r="H479">
        <v>2250</v>
      </c>
      <c r="I479">
        <v>4</v>
      </c>
      <c r="J479">
        <v>23.5</v>
      </c>
      <c r="K479">
        <v>4</v>
      </c>
      <c r="L479">
        <v>1.0249999999999999</v>
      </c>
      <c r="M479">
        <v>4</v>
      </c>
      <c r="N479">
        <v>397.5</v>
      </c>
      <c r="O479">
        <v>4</v>
      </c>
      <c r="P479">
        <v>2.65</v>
      </c>
      <c r="Q479">
        <v>4</v>
      </c>
      <c r="R479">
        <v>0.13900000000000001</v>
      </c>
      <c r="T479" s="8" t="s">
        <v>1668</v>
      </c>
    </row>
    <row r="480" spans="1:20" x14ac:dyDescent="0.2">
      <c r="A480" t="s">
        <v>1670</v>
      </c>
      <c r="B480" t="s">
        <v>388</v>
      </c>
      <c r="C480" t="s">
        <v>388</v>
      </c>
      <c r="E480" t="s">
        <v>1671</v>
      </c>
      <c r="F480" t="s">
        <v>1672</v>
      </c>
      <c r="G480">
        <v>1</v>
      </c>
      <c r="H480">
        <v>1620</v>
      </c>
      <c r="I480">
        <v>1</v>
      </c>
      <c r="J480">
        <v>8.5</v>
      </c>
      <c r="K480">
        <v>1</v>
      </c>
      <c r="L480">
        <v>0.27500000000000002</v>
      </c>
      <c r="M480">
        <v>1</v>
      </c>
      <c r="N480">
        <v>112.5</v>
      </c>
      <c r="O480">
        <v>1</v>
      </c>
      <c r="P480">
        <v>0.55000000000000004</v>
      </c>
      <c r="Q480">
        <v>1</v>
      </c>
      <c r="R480">
        <v>2.5000000000000001E-2</v>
      </c>
      <c r="T480" s="8" t="s">
        <v>1671</v>
      </c>
    </row>
    <row r="481" spans="1:20" x14ac:dyDescent="0.2">
      <c r="A481" t="s">
        <v>1673</v>
      </c>
      <c r="B481" t="s">
        <v>388</v>
      </c>
      <c r="C481" t="s">
        <v>388</v>
      </c>
      <c r="E481" t="s">
        <v>1674</v>
      </c>
      <c r="F481" t="s">
        <v>1675</v>
      </c>
      <c r="G481">
        <v>5</v>
      </c>
      <c r="H481">
        <v>2460</v>
      </c>
      <c r="I481">
        <v>5</v>
      </c>
      <c r="J481">
        <v>28.5</v>
      </c>
      <c r="K481">
        <v>4</v>
      </c>
      <c r="L481">
        <v>1.0249999999999999</v>
      </c>
      <c r="M481">
        <v>5</v>
      </c>
      <c r="N481">
        <v>492.5</v>
      </c>
      <c r="O481">
        <v>5</v>
      </c>
      <c r="P481">
        <v>3.35</v>
      </c>
      <c r="Q481">
        <v>5</v>
      </c>
      <c r="R481">
        <v>0.17699999999999999</v>
      </c>
      <c r="T481" s="8" t="s">
        <v>1674</v>
      </c>
    </row>
    <row r="482" spans="1:20" x14ac:dyDescent="0.2">
      <c r="A482" t="s">
        <v>1676</v>
      </c>
      <c r="B482" t="s">
        <v>388</v>
      </c>
      <c r="C482" t="s">
        <v>388</v>
      </c>
      <c r="E482" t="s">
        <v>1677</v>
      </c>
      <c r="F482" t="s">
        <v>1678</v>
      </c>
      <c r="G482">
        <v>4</v>
      </c>
      <c r="H482">
        <v>2250</v>
      </c>
      <c r="I482">
        <v>4</v>
      </c>
      <c r="J482">
        <v>23.5</v>
      </c>
      <c r="K482">
        <v>4</v>
      </c>
      <c r="L482">
        <v>1.0249999999999999</v>
      </c>
      <c r="M482">
        <v>4</v>
      </c>
      <c r="N482">
        <v>397.5</v>
      </c>
      <c r="O482">
        <v>4</v>
      </c>
      <c r="P482">
        <v>2.65</v>
      </c>
      <c r="Q482">
        <v>4</v>
      </c>
      <c r="R482">
        <v>0.13900000000000001</v>
      </c>
      <c r="T482" s="8" t="s">
        <v>1677</v>
      </c>
    </row>
    <row r="483" spans="1:20" x14ac:dyDescent="0.2">
      <c r="A483" t="s">
        <v>1679</v>
      </c>
      <c r="B483" t="s">
        <v>388</v>
      </c>
      <c r="C483" t="s">
        <v>388</v>
      </c>
      <c r="E483" t="s">
        <v>1680</v>
      </c>
      <c r="F483" t="s">
        <v>1681</v>
      </c>
      <c r="G483">
        <v>5</v>
      </c>
      <c r="H483">
        <v>2460</v>
      </c>
      <c r="I483">
        <v>5</v>
      </c>
      <c r="J483">
        <v>28.5</v>
      </c>
      <c r="K483">
        <v>5</v>
      </c>
      <c r="L483">
        <v>1.2749999999999999</v>
      </c>
      <c r="M483">
        <v>5</v>
      </c>
      <c r="N483">
        <v>492.5</v>
      </c>
      <c r="O483">
        <v>5</v>
      </c>
      <c r="P483">
        <v>3.35</v>
      </c>
      <c r="Q483">
        <v>5</v>
      </c>
      <c r="R483">
        <v>0.17699999999999999</v>
      </c>
      <c r="T483" s="8" t="s">
        <v>1680</v>
      </c>
    </row>
    <row r="484" spans="1:20" x14ac:dyDescent="0.2">
      <c r="A484" t="s">
        <v>1682</v>
      </c>
      <c r="B484" t="s">
        <v>388</v>
      </c>
      <c r="C484" t="s">
        <v>388</v>
      </c>
      <c r="E484" t="s">
        <v>1683</v>
      </c>
      <c r="F484" t="s">
        <v>1684</v>
      </c>
      <c r="G484">
        <v>4</v>
      </c>
      <c r="H484">
        <v>2250</v>
      </c>
      <c r="I484">
        <v>5</v>
      </c>
      <c r="J484">
        <v>28.5</v>
      </c>
      <c r="K484">
        <v>4</v>
      </c>
      <c r="L484">
        <v>1.0249999999999999</v>
      </c>
      <c r="M484">
        <v>4</v>
      </c>
      <c r="N484">
        <v>397.5</v>
      </c>
      <c r="O484">
        <v>4</v>
      </c>
      <c r="P484">
        <v>2.65</v>
      </c>
      <c r="Q484">
        <v>4</v>
      </c>
      <c r="R484">
        <v>0.13900000000000001</v>
      </c>
      <c r="T484" s="8" t="s">
        <v>1683</v>
      </c>
    </row>
    <row r="485" spans="1:20" x14ac:dyDescent="0.2">
      <c r="A485" t="s">
        <v>1685</v>
      </c>
      <c r="B485" t="s">
        <v>388</v>
      </c>
      <c r="C485" t="s">
        <v>388</v>
      </c>
      <c r="E485" t="s">
        <v>1686</v>
      </c>
      <c r="F485" t="s">
        <v>1687</v>
      </c>
      <c r="G485">
        <v>4</v>
      </c>
      <c r="H485">
        <v>2250</v>
      </c>
      <c r="I485">
        <v>5</v>
      </c>
      <c r="J485">
        <v>28.5</v>
      </c>
      <c r="K485">
        <v>4</v>
      </c>
      <c r="L485">
        <v>1.0249999999999999</v>
      </c>
      <c r="M485">
        <v>4</v>
      </c>
      <c r="N485">
        <v>397.5</v>
      </c>
      <c r="O485">
        <v>4</v>
      </c>
      <c r="P485">
        <v>2.65</v>
      </c>
      <c r="Q485">
        <v>4</v>
      </c>
      <c r="R485">
        <v>0.13900000000000001</v>
      </c>
      <c r="T485" s="8" t="s">
        <v>1686</v>
      </c>
    </row>
    <row r="486" spans="1:20" x14ac:dyDescent="0.2">
      <c r="A486" t="s">
        <v>1688</v>
      </c>
      <c r="B486" t="s">
        <v>388</v>
      </c>
      <c r="C486" t="s">
        <v>388</v>
      </c>
      <c r="E486" t="s">
        <v>1689</v>
      </c>
      <c r="F486" t="s">
        <v>1690</v>
      </c>
      <c r="G486">
        <v>5</v>
      </c>
      <c r="H486">
        <v>2460</v>
      </c>
      <c r="I486">
        <v>5</v>
      </c>
      <c r="J486">
        <v>28.5</v>
      </c>
      <c r="K486">
        <v>5</v>
      </c>
      <c r="L486">
        <v>1.2749999999999999</v>
      </c>
      <c r="M486">
        <v>5</v>
      </c>
      <c r="N486">
        <v>492.5</v>
      </c>
      <c r="O486">
        <v>5</v>
      </c>
      <c r="P486">
        <v>3.35</v>
      </c>
      <c r="Q486">
        <v>5</v>
      </c>
      <c r="R486">
        <v>0.17699999999999999</v>
      </c>
      <c r="T486" s="8" t="s">
        <v>1689</v>
      </c>
    </row>
    <row r="487" spans="1:20" x14ac:dyDescent="0.2">
      <c r="A487" t="s">
        <v>1691</v>
      </c>
      <c r="B487" t="s">
        <v>388</v>
      </c>
      <c r="C487" t="s">
        <v>388</v>
      </c>
      <c r="E487" t="s">
        <v>1692</v>
      </c>
      <c r="F487" t="s">
        <v>1693</v>
      </c>
      <c r="G487">
        <v>4</v>
      </c>
      <c r="H487">
        <v>2250</v>
      </c>
      <c r="I487">
        <v>3</v>
      </c>
      <c r="J487">
        <v>18.5</v>
      </c>
      <c r="K487">
        <v>4</v>
      </c>
      <c r="L487">
        <v>1.0249999999999999</v>
      </c>
      <c r="M487">
        <v>5</v>
      </c>
      <c r="N487">
        <v>492.5</v>
      </c>
      <c r="O487">
        <v>5</v>
      </c>
      <c r="P487">
        <v>3.35</v>
      </c>
      <c r="Q487">
        <v>5</v>
      </c>
      <c r="R487">
        <v>0.17699999999999999</v>
      </c>
      <c r="T487" s="8" t="s">
        <v>1692</v>
      </c>
    </row>
    <row r="488" spans="1:20" x14ac:dyDescent="0.2">
      <c r="A488" t="s">
        <v>1694</v>
      </c>
      <c r="B488" t="s">
        <v>388</v>
      </c>
      <c r="C488" t="s">
        <v>388</v>
      </c>
      <c r="E488" t="s">
        <v>1695</v>
      </c>
      <c r="F488" t="s">
        <v>1696</v>
      </c>
      <c r="G488">
        <v>4</v>
      </c>
      <c r="H488">
        <v>2250</v>
      </c>
      <c r="I488">
        <v>4</v>
      </c>
      <c r="J488">
        <v>23.5</v>
      </c>
      <c r="K488">
        <v>3</v>
      </c>
      <c r="L488">
        <v>0.77500000000000002</v>
      </c>
      <c r="M488">
        <v>2</v>
      </c>
      <c r="N488">
        <v>207.5</v>
      </c>
      <c r="O488">
        <v>3</v>
      </c>
      <c r="P488">
        <v>1.95</v>
      </c>
      <c r="Q488">
        <v>5</v>
      </c>
      <c r="R488">
        <v>0.17699999999999999</v>
      </c>
      <c r="T488" s="8" t="s">
        <v>1695</v>
      </c>
    </row>
    <row r="489" spans="1:20" x14ac:dyDescent="0.2">
      <c r="A489" t="s">
        <v>1697</v>
      </c>
      <c r="B489" t="s">
        <v>388</v>
      </c>
      <c r="C489" t="s">
        <v>388</v>
      </c>
      <c r="E489" t="s">
        <v>1698</v>
      </c>
      <c r="F489" t="s">
        <v>1699</v>
      </c>
      <c r="G489">
        <v>5</v>
      </c>
      <c r="H489">
        <v>2460</v>
      </c>
      <c r="I489">
        <v>5</v>
      </c>
      <c r="J489">
        <v>28.5</v>
      </c>
      <c r="K489">
        <v>5</v>
      </c>
      <c r="L489">
        <v>1.2749999999999999</v>
      </c>
      <c r="M489">
        <v>5</v>
      </c>
      <c r="N489">
        <v>492.5</v>
      </c>
      <c r="O489">
        <v>5</v>
      </c>
      <c r="P489">
        <v>3.35</v>
      </c>
      <c r="Q489">
        <v>5</v>
      </c>
      <c r="R489">
        <v>0.17699999999999999</v>
      </c>
      <c r="T489" s="8" t="s">
        <v>1698</v>
      </c>
    </row>
    <row r="490" spans="1:20" x14ac:dyDescent="0.2">
      <c r="A490" t="s">
        <v>1700</v>
      </c>
      <c r="B490" t="s">
        <v>388</v>
      </c>
      <c r="C490" t="s">
        <v>388</v>
      </c>
      <c r="E490" t="s">
        <v>1701</v>
      </c>
      <c r="F490" t="s">
        <v>1702</v>
      </c>
      <c r="G490">
        <v>4</v>
      </c>
      <c r="H490">
        <v>2250</v>
      </c>
      <c r="I490">
        <v>4</v>
      </c>
      <c r="J490">
        <v>23.5</v>
      </c>
      <c r="K490">
        <v>4</v>
      </c>
      <c r="L490">
        <v>1.0249999999999999</v>
      </c>
      <c r="M490">
        <v>3</v>
      </c>
      <c r="N490">
        <v>302.5</v>
      </c>
      <c r="O490">
        <v>4</v>
      </c>
      <c r="P490">
        <v>2.65</v>
      </c>
      <c r="Q490">
        <v>3</v>
      </c>
      <c r="R490">
        <v>0.10100000000000001</v>
      </c>
      <c r="T490" s="8" t="s">
        <v>1701</v>
      </c>
    </row>
    <row r="491" spans="1:20" x14ac:dyDescent="0.2">
      <c r="A491" t="s">
        <v>1703</v>
      </c>
      <c r="B491" t="s">
        <v>388</v>
      </c>
      <c r="C491" t="s">
        <v>388</v>
      </c>
      <c r="E491" t="s">
        <v>1704</v>
      </c>
      <c r="F491" t="s">
        <v>1705</v>
      </c>
      <c r="G491">
        <v>5</v>
      </c>
      <c r="H491">
        <v>2460</v>
      </c>
      <c r="I491">
        <v>5</v>
      </c>
      <c r="J491">
        <v>28.5</v>
      </c>
      <c r="K491">
        <v>5</v>
      </c>
      <c r="L491">
        <v>1.2749999999999999</v>
      </c>
      <c r="M491">
        <v>5</v>
      </c>
      <c r="N491">
        <v>492.5</v>
      </c>
      <c r="O491">
        <v>5</v>
      </c>
      <c r="P491">
        <v>3.35</v>
      </c>
      <c r="Q491">
        <v>5</v>
      </c>
      <c r="R491">
        <v>0.17699999999999999</v>
      </c>
      <c r="T491" s="8" t="s">
        <v>1704</v>
      </c>
    </row>
    <row r="492" spans="1:20" x14ac:dyDescent="0.2">
      <c r="A492" t="s">
        <v>1706</v>
      </c>
      <c r="B492" t="s">
        <v>388</v>
      </c>
      <c r="C492" t="s">
        <v>388</v>
      </c>
      <c r="E492" t="s">
        <v>1707</v>
      </c>
      <c r="F492" t="s">
        <v>1708</v>
      </c>
      <c r="G492">
        <v>4</v>
      </c>
      <c r="H492">
        <v>2250</v>
      </c>
      <c r="I492">
        <v>3</v>
      </c>
      <c r="J492">
        <v>18.5</v>
      </c>
      <c r="K492">
        <v>3</v>
      </c>
      <c r="L492">
        <v>0.77500000000000002</v>
      </c>
      <c r="M492">
        <v>4</v>
      </c>
      <c r="N492">
        <v>397.5</v>
      </c>
      <c r="O492">
        <v>4</v>
      </c>
      <c r="P492">
        <v>2.65</v>
      </c>
      <c r="Q492">
        <v>4</v>
      </c>
      <c r="R492">
        <v>0.13900000000000001</v>
      </c>
      <c r="T492" s="8" t="s">
        <v>1707</v>
      </c>
    </row>
    <row r="493" spans="1:20" x14ac:dyDescent="0.2">
      <c r="A493" t="s">
        <v>1709</v>
      </c>
      <c r="B493" t="s">
        <v>388</v>
      </c>
      <c r="C493" t="s">
        <v>388</v>
      </c>
      <c r="E493" t="s">
        <v>1710</v>
      </c>
      <c r="F493" t="s">
        <v>1711</v>
      </c>
      <c r="G493">
        <v>5</v>
      </c>
      <c r="H493">
        <v>2460</v>
      </c>
      <c r="I493">
        <v>5</v>
      </c>
      <c r="J493">
        <v>28.5</v>
      </c>
      <c r="K493">
        <v>5</v>
      </c>
      <c r="L493">
        <v>1.2749999999999999</v>
      </c>
      <c r="M493">
        <v>5</v>
      </c>
      <c r="N493">
        <v>492.5</v>
      </c>
      <c r="O493">
        <v>5</v>
      </c>
      <c r="P493">
        <v>3.35</v>
      </c>
      <c r="Q493">
        <v>5</v>
      </c>
      <c r="R493">
        <v>0.17699999999999999</v>
      </c>
      <c r="T493" s="8" t="s">
        <v>1710</v>
      </c>
    </row>
    <row r="494" spans="1:20" x14ac:dyDescent="0.2">
      <c r="A494" t="s">
        <v>1712</v>
      </c>
      <c r="B494" t="s">
        <v>388</v>
      </c>
      <c r="C494" t="s">
        <v>388</v>
      </c>
      <c r="E494" t="s">
        <v>1713</v>
      </c>
      <c r="F494" t="s">
        <v>1714</v>
      </c>
      <c r="G494">
        <v>2</v>
      </c>
      <c r="H494">
        <v>1830</v>
      </c>
      <c r="I494">
        <v>3</v>
      </c>
      <c r="J494">
        <v>18.5</v>
      </c>
      <c r="K494">
        <v>4</v>
      </c>
      <c r="L494">
        <v>1.0249999999999999</v>
      </c>
      <c r="M494">
        <v>5</v>
      </c>
      <c r="N494">
        <v>492.5</v>
      </c>
      <c r="O494">
        <v>5</v>
      </c>
      <c r="P494">
        <v>3.35</v>
      </c>
      <c r="Q494">
        <v>5</v>
      </c>
      <c r="R494">
        <v>0.17699999999999999</v>
      </c>
      <c r="T494" s="8" t="s">
        <v>1713</v>
      </c>
    </row>
    <row r="495" spans="1:20" x14ac:dyDescent="0.2">
      <c r="A495" t="s">
        <v>1715</v>
      </c>
      <c r="B495" t="s">
        <v>388</v>
      </c>
      <c r="C495" t="s">
        <v>388</v>
      </c>
      <c r="E495" t="s">
        <v>1716</v>
      </c>
      <c r="F495" t="s">
        <v>1717</v>
      </c>
      <c r="G495">
        <v>1</v>
      </c>
      <c r="H495">
        <v>1620</v>
      </c>
      <c r="I495">
        <v>1</v>
      </c>
      <c r="J495">
        <v>8.5</v>
      </c>
      <c r="K495">
        <v>1</v>
      </c>
      <c r="L495">
        <v>0.27500000000000002</v>
      </c>
      <c r="M495">
        <v>1</v>
      </c>
      <c r="N495">
        <v>112.5</v>
      </c>
      <c r="O495">
        <v>1</v>
      </c>
      <c r="P495">
        <v>0.55000000000000004</v>
      </c>
      <c r="Q495">
        <v>1</v>
      </c>
      <c r="R495">
        <v>2.5000000000000001E-2</v>
      </c>
      <c r="T495" s="8" t="s">
        <v>1716</v>
      </c>
    </row>
    <row r="496" spans="1:20" x14ac:dyDescent="0.2">
      <c r="A496" t="s">
        <v>1718</v>
      </c>
      <c r="B496" t="s">
        <v>388</v>
      </c>
      <c r="C496" t="s">
        <v>388</v>
      </c>
      <c r="E496" t="s">
        <v>1719</v>
      </c>
      <c r="F496" t="s">
        <v>1720</v>
      </c>
      <c r="G496">
        <v>5</v>
      </c>
      <c r="H496">
        <v>2460</v>
      </c>
      <c r="I496">
        <v>5</v>
      </c>
      <c r="J496">
        <v>28.5</v>
      </c>
      <c r="K496">
        <v>5</v>
      </c>
      <c r="L496">
        <v>1.2749999999999999</v>
      </c>
      <c r="M496">
        <v>5</v>
      </c>
      <c r="N496">
        <v>492.5</v>
      </c>
      <c r="O496">
        <v>5</v>
      </c>
      <c r="P496">
        <v>3.35</v>
      </c>
      <c r="Q496">
        <v>4</v>
      </c>
      <c r="R496">
        <v>0.13900000000000001</v>
      </c>
      <c r="T496" s="8" t="s">
        <v>1719</v>
      </c>
    </row>
    <row r="497" spans="1:20" x14ac:dyDescent="0.2">
      <c r="A497" t="s">
        <v>1721</v>
      </c>
      <c r="B497" t="s">
        <v>388</v>
      </c>
      <c r="C497" t="s">
        <v>388</v>
      </c>
      <c r="E497" t="s">
        <v>1722</v>
      </c>
      <c r="F497" t="s">
        <v>1723</v>
      </c>
      <c r="G497">
        <v>5</v>
      </c>
      <c r="H497">
        <v>2460</v>
      </c>
      <c r="I497">
        <v>5</v>
      </c>
      <c r="J497">
        <v>28.5</v>
      </c>
      <c r="K497">
        <v>5</v>
      </c>
      <c r="L497">
        <v>1.2749999999999999</v>
      </c>
      <c r="M497">
        <v>5</v>
      </c>
      <c r="N497">
        <v>492.5</v>
      </c>
      <c r="O497">
        <v>5</v>
      </c>
      <c r="P497">
        <v>3.35</v>
      </c>
      <c r="Q497">
        <v>4</v>
      </c>
      <c r="R497">
        <v>0.13900000000000001</v>
      </c>
      <c r="T497" s="8" t="s">
        <v>1722</v>
      </c>
    </row>
    <row r="498" spans="1:20" x14ac:dyDescent="0.2">
      <c r="A498" t="s">
        <v>1724</v>
      </c>
      <c r="B498" t="s">
        <v>388</v>
      </c>
      <c r="C498" t="s">
        <v>388</v>
      </c>
      <c r="E498" t="s">
        <v>1725</v>
      </c>
      <c r="F498" t="s">
        <v>447</v>
      </c>
      <c r="G498">
        <v>2</v>
      </c>
      <c r="H498">
        <v>1830</v>
      </c>
      <c r="I498">
        <v>2</v>
      </c>
      <c r="J498">
        <v>13.5</v>
      </c>
      <c r="K498">
        <v>2</v>
      </c>
      <c r="L498">
        <v>0.52500000000000002</v>
      </c>
      <c r="M498">
        <v>2</v>
      </c>
      <c r="N498">
        <v>207.5</v>
      </c>
      <c r="O498">
        <v>2</v>
      </c>
      <c r="P498">
        <v>1.25</v>
      </c>
      <c r="Q498">
        <v>2</v>
      </c>
      <c r="R498">
        <v>6.3E-2</v>
      </c>
      <c r="T498" s="8" t="s">
        <v>1725</v>
      </c>
    </row>
    <row r="499" spans="1:20" x14ac:dyDescent="0.2">
      <c r="A499" t="s">
        <v>1726</v>
      </c>
      <c r="B499" t="s">
        <v>388</v>
      </c>
      <c r="C499" t="s">
        <v>388</v>
      </c>
      <c r="E499" t="s">
        <v>1727</v>
      </c>
      <c r="F499" t="s">
        <v>1728</v>
      </c>
      <c r="G499">
        <v>5</v>
      </c>
      <c r="H499">
        <v>2460</v>
      </c>
      <c r="I499">
        <v>5</v>
      </c>
      <c r="J499">
        <v>28.5</v>
      </c>
      <c r="K499">
        <v>5</v>
      </c>
      <c r="L499">
        <v>1.2749999999999999</v>
      </c>
      <c r="M499">
        <v>5</v>
      </c>
      <c r="N499">
        <v>492.5</v>
      </c>
      <c r="O499">
        <v>5</v>
      </c>
      <c r="P499">
        <v>3.35</v>
      </c>
      <c r="Q499">
        <v>5</v>
      </c>
      <c r="R499">
        <v>0.17699999999999999</v>
      </c>
      <c r="T499" s="8" t="s">
        <v>1727</v>
      </c>
    </row>
    <row r="500" spans="1:20" x14ac:dyDescent="0.2">
      <c r="A500" t="s">
        <v>1729</v>
      </c>
      <c r="B500" t="s">
        <v>388</v>
      </c>
      <c r="C500" t="s">
        <v>388</v>
      </c>
      <c r="E500" t="s">
        <v>1730</v>
      </c>
      <c r="F500" t="s">
        <v>1731</v>
      </c>
      <c r="G500">
        <v>4</v>
      </c>
      <c r="H500">
        <v>2250</v>
      </c>
      <c r="I500">
        <v>4</v>
      </c>
      <c r="J500">
        <v>23.5</v>
      </c>
      <c r="K500">
        <v>4</v>
      </c>
      <c r="L500">
        <v>1.0249999999999999</v>
      </c>
      <c r="M500">
        <v>4</v>
      </c>
      <c r="N500">
        <v>397.5</v>
      </c>
      <c r="O500">
        <v>4</v>
      </c>
      <c r="P500">
        <v>2.65</v>
      </c>
      <c r="Q500">
        <v>4</v>
      </c>
      <c r="R500">
        <v>0.13900000000000001</v>
      </c>
      <c r="T500" s="8" t="s">
        <v>1730</v>
      </c>
    </row>
    <row r="501" spans="1:20" x14ac:dyDescent="0.2">
      <c r="A501" t="s">
        <v>1732</v>
      </c>
      <c r="B501" t="s">
        <v>388</v>
      </c>
      <c r="C501" t="s">
        <v>388</v>
      </c>
      <c r="E501" t="s">
        <v>1733</v>
      </c>
      <c r="F501" t="s">
        <v>1734</v>
      </c>
      <c r="G501">
        <v>5</v>
      </c>
      <c r="H501">
        <v>2460</v>
      </c>
      <c r="I501">
        <v>5</v>
      </c>
      <c r="J501">
        <v>28.5</v>
      </c>
      <c r="K501">
        <v>4</v>
      </c>
      <c r="L501">
        <v>1.0249999999999999</v>
      </c>
      <c r="M501">
        <v>5</v>
      </c>
      <c r="N501">
        <v>492.5</v>
      </c>
      <c r="O501">
        <v>5</v>
      </c>
      <c r="P501">
        <v>3.35</v>
      </c>
      <c r="Q501">
        <v>4</v>
      </c>
      <c r="R501">
        <v>0.13900000000000001</v>
      </c>
      <c r="T501" s="8" t="s">
        <v>1733</v>
      </c>
    </row>
    <row r="502" spans="1:20" x14ac:dyDescent="0.2">
      <c r="A502" t="s">
        <v>1735</v>
      </c>
      <c r="B502" t="s">
        <v>388</v>
      </c>
      <c r="C502" t="s">
        <v>388</v>
      </c>
      <c r="E502" t="s">
        <v>1736</v>
      </c>
      <c r="F502" t="s">
        <v>1737</v>
      </c>
      <c r="G502">
        <v>3</v>
      </c>
      <c r="H502">
        <v>2040</v>
      </c>
      <c r="I502">
        <v>3</v>
      </c>
      <c r="J502">
        <v>18.5</v>
      </c>
      <c r="K502">
        <v>3</v>
      </c>
      <c r="L502">
        <v>0.77500000000000002</v>
      </c>
      <c r="M502">
        <v>3</v>
      </c>
      <c r="N502">
        <v>302.5</v>
      </c>
      <c r="O502">
        <v>3</v>
      </c>
      <c r="P502">
        <v>1.95</v>
      </c>
      <c r="Q502">
        <v>3</v>
      </c>
      <c r="R502">
        <v>0.10100000000000001</v>
      </c>
      <c r="T502" s="8" t="s">
        <v>1736</v>
      </c>
    </row>
    <row r="503" spans="1:20" x14ac:dyDescent="0.2">
      <c r="A503" t="s">
        <v>1738</v>
      </c>
      <c r="B503" t="s">
        <v>388</v>
      </c>
      <c r="C503" t="s">
        <v>388</v>
      </c>
      <c r="E503" t="s">
        <v>1739</v>
      </c>
      <c r="F503" t="s">
        <v>1740</v>
      </c>
      <c r="G503">
        <v>2</v>
      </c>
      <c r="H503">
        <v>1830</v>
      </c>
      <c r="I503">
        <v>3</v>
      </c>
      <c r="J503">
        <v>18.5</v>
      </c>
      <c r="K503">
        <v>3</v>
      </c>
      <c r="L503">
        <v>0.77500000000000002</v>
      </c>
      <c r="M503">
        <v>3</v>
      </c>
      <c r="N503">
        <v>302.5</v>
      </c>
      <c r="O503">
        <v>3</v>
      </c>
      <c r="P503">
        <v>1.95</v>
      </c>
      <c r="Q503">
        <v>3</v>
      </c>
      <c r="R503">
        <v>0.10100000000000001</v>
      </c>
      <c r="T503" s="8" t="s">
        <v>1739</v>
      </c>
    </row>
    <row r="504" spans="1:20" x14ac:dyDescent="0.2">
      <c r="A504" t="s">
        <v>1741</v>
      </c>
      <c r="B504" t="s">
        <v>388</v>
      </c>
      <c r="C504" t="s">
        <v>388</v>
      </c>
      <c r="E504" t="s">
        <v>1742</v>
      </c>
      <c r="F504" t="s">
        <v>1743</v>
      </c>
      <c r="G504">
        <v>3</v>
      </c>
      <c r="H504">
        <v>2040</v>
      </c>
      <c r="I504">
        <v>2</v>
      </c>
      <c r="J504">
        <v>13.5</v>
      </c>
      <c r="K504">
        <v>3</v>
      </c>
      <c r="L504">
        <v>0.77500000000000002</v>
      </c>
      <c r="M504">
        <v>3</v>
      </c>
      <c r="N504">
        <v>302.5</v>
      </c>
      <c r="O504">
        <v>3</v>
      </c>
      <c r="P504">
        <v>1.95</v>
      </c>
      <c r="Q504">
        <v>4</v>
      </c>
      <c r="R504">
        <v>0.13900000000000001</v>
      </c>
      <c r="T504" s="8" t="s">
        <v>1742</v>
      </c>
    </row>
    <row r="505" spans="1:20" x14ac:dyDescent="0.2">
      <c r="A505" t="s">
        <v>1744</v>
      </c>
      <c r="B505" t="s">
        <v>388</v>
      </c>
      <c r="C505" t="s">
        <v>388</v>
      </c>
      <c r="E505" t="s">
        <v>1745</v>
      </c>
      <c r="F505" t="s">
        <v>1746</v>
      </c>
      <c r="G505">
        <v>3</v>
      </c>
      <c r="H505">
        <v>2040</v>
      </c>
      <c r="I505">
        <v>2</v>
      </c>
      <c r="J505">
        <v>13.5</v>
      </c>
      <c r="K505">
        <v>2</v>
      </c>
      <c r="L505">
        <v>0.52500000000000002</v>
      </c>
      <c r="M505">
        <v>3</v>
      </c>
      <c r="N505">
        <v>302.5</v>
      </c>
      <c r="O505">
        <v>3</v>
      </c>
      <c r="P505">
        <v>1.95</v>
      </c>
      <c r="Q505">
        <v>3</v>
      </c>
      <c r="R505">
        <v>0.10100000000000001</v>
      </c>
      <c r="T505" s="8" t="s">
        <v>1745</v>
      </c>
    </row>
    <row r="506" spans="1:20" x14ac:dyDescent="0.2">
      <c r="A506" t="s">
        <v>1747</v>
      </c>
      <c r="B506" t="s">
        <v>388</v>
      </c>
      <c r="C506" t="s">
        <v>388</v>
      </c>
      <c r="E506" t="s">
        <v>1748</v>
      </c>
      <c r="F506" t="s">
        <v>1749</v>
      </c>
      <c r="G506">
        <v>5</v>
      </c>
      <c r="H506">
        <v>2460</v>
      </c>
      <c r="I506">
        <v>5</v>
      </c>
      <c r="J506">
        <v>28.5</v>
      </c>
      <c r="K506">
        <v>5</v>
      </c>
      <c r="L506">
        <v>1.2749999999999999</v>
      </c>
      <c r="M506">
        <v>5</v>
      </c>
      <c r="N506">
        <v>492.5</v>
      </c>
      <c r="O506">
        <v>5</v>
      </c>
      <c r="P506">
        <v>3.35</v>
      </c>
      <c r="Q506">
        <v>4</v>
      </c>
      <c r="R506">
        <v>0.13900000000000001</v>
      </c>
      <c r="T506" s="8" t="s">
        <v>1748</v>
      </c>
    </row>
    <row r="507" spans="1:20" x14ac:dyDescent="0.2">
      <c r="A507" t="s">
        <v>1750</v>
      </c>
      <c r="B507" t="s">
        <v>388</v>
      </c>
      <c r="C507" t="s">
        <v>388</v>
      </c>
      <c r="E507" t="s">
        <v>1751</v>
      </c>
      <c r="F507" t="s">
        <v>1752</v>
      </c>
      <c r="G507">
        <v>2</v>
      </c>
      <c r="H507">
        <v>1830</v>
      </c>
      <c r="I507">
        <v>1</v>
      </c>
      <c r="J507">
        <v>8.5</v>
      </c>
      <c r="K507">
        <v>1</v>
      </c>
      <c r="L507">
        <v>0.27500000000000002</v>
      </c>
      <c r="M507">
        <v>1</v>
      </c>
      <c r="N507">
        <v>112.5</v>
      </c>
      <c r="O507">
        <v>1</v>
      </c>
      <c r="P507">
        <v>0.55000000000000004</v>
      </c>
      <c r="Q507">
        <v>1</v>
      </c>
      <c r="R507">
        <v>2.5000000000000001E-2</v>
      </c>
      <c r="T507" s="8" t="s">
        <v>1751</v>
      </c>
    </row>
    <row r="508" spans="1:20" x14ac:dyDescent="0.2">
      <c r="A508" t="s">
        <v>1753</v>
      </c>
      <c r="B508" t="s">
        <v>388</v>
      </c>
      <c r="C508" t="s">
        <v>388</v>
      </c>
      <c r="E508" t="s">
        <v>1754</v>
      </c>
      <c r="F508" t="s">
        <v>1755</v>
      </c>
      <c r="G508">
        <v>1</v>
      </c>
      <c r="H508">
        <v>1620</v>
      </c>
      <c r="I508">
        <v>3</v>
      </c>
      <c r="J508">
        <v>18.5</v>
      </c>
      <c r="K508">
        <v>2</v>
      </c>
      <c r="L508">
        <v>0.52500000000000002</v>
      </c>
      <c r="M508">
        <v>1</v>
      </c>
      <c r="N508">
        <v>112.5</v>
      </c>
      <c r="O508">
        <v>1</v>
      </c>
      <c r="P508">
        <v>0.55000000000000004</v>
      </c>
      <c r="Q508">
        <v>1</v>
      </c>
      <c r="R508">
        <v>2.5000000000000001E-2</v>
      </c>
      <c r="T508" s="8" t="s">
        <v>1754</v>
      </c>
    </row>
    <row r="509" spans="1:20" x14ac:dyDescent="0.2">
      <c r="A509" t="s">
        <v>1756</v>
      </c>
      <c r="B509" t="s">
        <v>388</v>
      </c>
      <c r="C509" t="s">
        <v>388</v>
      </c>
      <c r="E509" t="s">
        <v>357</v>
      </c>
      <c r="F509" t="s">
        <v>1757</v>
      </c>
      <c r="G509">
        <v>1</v>
      </c>
      <c r="H509">
        <v>1620</v>
      </c>
      <c r="I509">
        <v>3</v>
      </c>
      <c r="J509">
        <v>18.5</v>
      </c>
      <c r="K509">
        <v>2</v>
      </c>
      <c r="L509">
        <v>0.52500000000000002</v>
      </c>
      <c r="M509">
        <v>1</v>
      </c>
      <c r="N509">
        <v>112.5</v>
      </c>
      <c r="O509">
        <v>2</v>
      </c>
      <c r="P509">
        <v>1.25</v>
      </c>
      <c r="Q509">
        <v>1</v>
      </c>
      <c r="R509">
        <v>2.5000000000000001E-2</v>
      </c>
      <c r="T509" s="8" t="s">
        <v>357</v>
      </c>
    </row>
    <row r="510" spans="1:20" x14ac:dyDescent="0.2">
      <c r="A510" t="s">
        <v>1758</v>
      </c>
      <c r="B510" t="s">
        <v>388</v>
      </c>
      <c r="C510" t="s">
        <v>388</v>
      </c>
      <c r="E510" t="s">
        <v>1759</v>
      </c>
      <c r="F510" t="s">
        <v>1760</v>
      </c>
      <c r="G510">
        <v>3</v>
      </c>
      <c r="H510">
        <v>2040</v>
      </c>
      <c r="I510">
        <v>3</v>
      </c>
      <c r="J510">
        <v>18.5</v>
      </c>
      <c r="K510">
        <v>3</v>
      </c>
      <c r="L510">
        <v>0.77500000000000002</v>
      </c>
      <c r="M510">
        <v>4</v>
      </c>
      <c r="N510">
        <v>397.5</v>
      </c>
      <c r="O510">
        <v>4</v>
      </c>
      <c r="P510">
        <v>2.65</v>
      </c>
      <c r="Q510">
        <v>4</v>
      </c>
      <c r="R510">
        <v>0.13900000000000001</v>
      </c>
      <c r="T510" s="8" t="s">
        <v>1759</v>
      </c>
    </row>
    <row r="511" spans="1:20" x14ac:dyDescent="0.2">
      <c r="A511" t="s">
        <v>1761</v>
      </c>
      <c r="B511" t="s">
        <v>388</v>
      </c>
      <c r="C511" t="s">
        <v>388</v>
      </c>
      <c r="E511" t="s">
        <v>1762</v>
      </c>
      <c r="F511" t="s">
        <v>1763</v>
      </c>
      <c r="G511">
        <v>5</v>
      </c>
      <c r="H511">
        <v>2460</v>
      </c>
      <c r="I511">
        <v>5</v>
      </c>
      <c r="J511">
        <v>28.5</v>
      </c>
      <c r="K511">
        <v>4</v>
      </c>
      <c r="L511">
        <v>1.0249999999999999</v>
      </c>
      <c r="M511">
        <v>5</v>
      </c>
      <c r="N511">
        <v>492.5</v>
      </c>
      <c r="O511">
        <v>5</v>
      </c>
      <c r="P511">
        <v>3.35</v>
      </c>
      <c r="Q511">
        <v>4</v>
      </c>
      <c r="R511">
        <v>0.13900000000000001</v>
      </c>
      <c r="T511" s="8" t="s">
        <v>1762</v>
      </c>
    </row>
    <row r="512" spans="1:20" x14ac:dyDescent="0.2">
      <c r="A512" t="s">
        <v>1764</v>
      </c>
      <c r="B512" t="s">
        <v>388</v>
      </c>
      <c r="C512" t="s">
        <v>388</v>
      </c>
      <c r="E512" t="s">
        <v>1765</v>
      </c>
      <c r="F512" t="s">
        <v>1766</v>
      </c>
      <c r="G512">
        <v>5</v>
      </c>
      <c r="H512">
        <v>2460</v>
      </c>
      <c r="I512">
        <v>5</v>
      </c>
      <c r="J512">
        <v>28.5</v>
      </c>
      <c r="K512">
        <v>4</v>
      </c>
      <c r="L512">
        <v>1.0249999999999999</v>
      </c>
      <c r="M512">
        <v>5</v>
      </c>
      <c r="N512">
        <v>492.5</v>
      </c>
      <c r="O512">
        <v>5</v>
      </c>
      <c r="P512">
        <v>3.35</v>
      </c>
      <c r="Q512">
        <v>4</v>
      </c>
      <c r="R512">
        <v>0.13900000000000001</v>
      </c>
      <c r="T512" s="8" t="s">
        <v>1765</v>
      </c>
    </row>
    <row r="513" spans="1:20" x14ac:dyDescent="0.2">
      <c r="A513" t="s">
        <v>1767</v>
      </c>
      <c r="B513" t="s">
        <v>388</v>
      </c>
      <c r="C513" t="s">
        <v>388</v>
      </c>
      <c r="E513" t="s">
        <v>1768</v>
      </c>
      <c r="F513" t="s">
        <v>1769</v>
      </c>
      <c r="G513">
        <v>1</v>
      </c>
      <c r="H513">
        <v>1620</v>
      </c>
      <c r="I513">
        <v>1</v>
      </c>
      <c r="J513">
        <v>8.5</v>
      </c>
      <c r="K513">
        <v>1</v>
      </c>
      <c r="L513">
        <v>0.27500000000000002</v>
      </c>
      <c r="M513">
        <v>1</v>
      </c>
      <c r="N513">
        <v>112.5</v>
      </c>
      <c r="O513">
        <v>1</v>
      </c>
      <c r="P513">
        <v>0.55000000000000004</v>
      </c>
      <c r="Q513">
        <v>1</v>
      </c>
      <c r="R513">
        <v>2.5000000000000001E-2</v>
      </c>
      <c r="T513" s="8" t="s">
        <v>1768</v>
      </c>
    </row>
    <row r="514" spans="1:20" x14ac:dyDescent="0.2">
      <c r="A514" t="s">
        <v>1770</v>
      </c>
      <c r="B514" t="s">
        <v>388</v>
      </c>
      <c r="C514" t="s">
        <v>388</v>
      </c>
      <c r="E514" t="s">
        <v>1771</v>
      </c>
      <c r="F514" t="s">
        <v>447</v>
      </c>
      <c r="G514">
        <v>4</v>
      </c>
      <c r="H514">
        <v>2250</v>
      </c>
      <c r="I514">
        <v>4</v>
      </c>
      <c r="J514">
        <v>23.5</v>
      </c>
      <c r="K514">
        <v>4</v>
      </c>
      <c r="L514">
        <v>1.0249999999999999</v>
      </c>
      <c r="M514">
        <v>4</v>
      </c>
      <c r="N514">
        <v>397.5</v>
      </c>
      <c r="O514">
        <v>4</v>
      </c>
      <c r="P514">
        <v>2.65</v>
      </c>
      <c r="Q514">
        <v>5</v>
      </c>
      <c r="R514">
        <v>0.17699999999999999</v>
      </c>
      <c r="T514" s="8" t="s">
        <v>1771</v>
      </c>
    </row>
    <row r="515" spans="1:20" x14ac:dyDescent="0.2">
      <c r="A515" t="s">
        <v>1772</v>
      </c>
      <c r="B515" t="s">
        <v>388</v>
      </c>
      <c r="C515" t="s">
        <v>388</v>
      </c>
      <c r="E515" t="s">
        <v>1773</v>
      </c>
      <c r="F515" t="s">
        <v>447</v>
      </c>
      <c r="G515">
        <v>4</v>
      </c>
      <c r="H515">
        <v>2250</v>
      </c>
      <c r="I515">
        <v>4</v>
      </c>
      <c r="J515">
        <v>23.5</v>
      </c>
      <c r="K515">
        <v>4</v>
      </c>
      <c r="L515">
        <v>1.0249999999999999</v>
      </c>
      <c r="M515">
        <v>4</v>
      </c>
      <c r="N515">
        <v>397.5</v>
      </c>
      <c r="O515">
        <v>4</v>
      </c>
      <c r="P515">
        <v>2.65</v>
      </c>
      <c r="Q515">
        <v>5</v>
      </c>
      <c r="R515">
        <v>0.17699999999999999</v>
      </c>
      <c r="T515" s="8" t="s">
        <v>1773</v>
      </c>
    </row>
    <row r="516" spans="1:20" x14ac:dyDescent="0.2">
      <c r="A516" t="s">
        <v>1774</v>
      </c>
      <c r="B516" t="s">
        <v>388</v>
      </c>
      <c r="C516" t="s">
        <v>388</v>
      </c>
      <c r="E516" t="s">
        <v>1775</v>
      </c>
      <c r="F516" t="s">
        <v>447</v>
      </c>
      <c r="G516">
        <v>2</v>
      </c>
      <c r="H516">
        <v>1830</v>
      </c>
      <c r="I516">
        <v>1</v>
      </c>
      <c r="J516">
        <v>8.5</v>
      </c>
      <c r="K516">
        <v>2</v>
      </c>
      <c r="L516">
        <v>0.52500000000000002</v>
      </c>
      <c r="M516">
        <v>2</v>
      </c>
      <c r="N516">
        <v>207.5</v>
      </c>
      <c r="O516">
        <v>2</v>
      </c>
      <c r="P516">
        <v>1.25</v>
      </c>
      <c r="Q516">
        <v>2</v>
      </c>
      <c r="R516">
        <v>6.3E-2</v>
      </c>
      <c r="T516" s="8" t="s">
        <v>1775</v>
      </c>
    </row>
    <row r="517" spans="1:20" x14ac:dyDescent="0.2">
      <c r="A517" t="s">
        <v>1776</v>
      </c>
      <c r="B517" t="s">
        <v>388</v>
      </c>
      <c r="C517" t="s">
        <v>388</v>
      </c>
      <c r="E517" t="s">
        <v>1777</v>
      </c>
      <c r="F517" t="s">
        <v>1778</v>
      </c>
      <c r="G517">
        <v>4</v>
      </c>
      <c r="H517">
        <v>2250</v>
      </c>
      <c r="I517">
        <v>4</v>
      </c>
      <c r="J517">
        <v>23.5</v>
      </c>
      <c r="K517">
        <v>4</v>
      </c>
      <c r="L517">
        <v>1.0249999999999999</v>
      </c>
      <c r="M517">
        <v>4</v>
      </c>
      <c r="N517">
        <v>397.5</v>
      </c>
      <c r="O517">
        <v>4</v>
      </c>
      <c r="P517">
        <v>2.65</v>
      </c>
      <c r="Q517">
        <v>4</v>
      </c>
      <c r="R517">
        <v>0.13900000000000001</v>
      </c>
      <c r="T517" s="8" t="s">
        <v>1777</v>
      </c>
    </row>
    <row r="518" spans="1:20" x14ac:dyDescent="0.2">
      <c r="A518" t="s">
        <v>1779</v>
      </c>
      <c r="B518" t="s">
        <v>388</v>
      </c>
      <c r="C518" t="s">
        <v>388</v>
      </c>
      <c r="E518" t="s">
        <v>1780</v>
      </c>
      <c r="F518" t="s">
        <v>1781</v>
      </c>
      <c r="G518">
        <v>3</v>
      </c>
      <c r="H518">
        <v>2040</v>
      </c>
      <c r="I518">
        <v>2</v>
      </c>
      <c r="J518">
        <v>13.5</v>
      </c>
      <c r="K518">
        <v>2</v>
      </c>
      <c r="L518">
        <v>0.52500000000000002</v>
      </c>
      <c r="M518">
        <v>2</v>
      </c>
      <c r="N518">
        <v>207.5</v>
      </c>
      <c r="O518">
        <v>2</v>
      </c>
      <c r="P518">
        <v>1.25</v>
      </c>
      <c r="Q518">
        <v>2</v>
      </c>
      <c r="R518">
        <v>6.3E-2</v>
      </c>
      <c r="T518" s="8" t="s">
        <v>1780</v>
      </c>
    </row>
    <row r="519" spans="1:20" x14ac:dyDescent="0.2">
      <c r="A519" t="s">
        <v>1782</v>
      </c>
      <c r="B519" t="s">
        <v>388</v>
      </c>
      <c r="C519" t="s">
        <v>388</v>
      </c>
      <c r="E519" t="s">
        <v>1783</v>
      </c>
      <c r="F519" t="s">
        <v>447</v>
      </c>
      <c r="G519">
        <v>2</v>
      </c>
      <c r="H519">
        <v>1830</v>
      </c>
      <c r="I519">
        <v>2</v>
      </c>
      <c r="J519">
        <v>13.5</v>
      </c>
      <c r="K519">
        <v>2</v>
      </c>
      <c r="L519">
        <v>0.52500000000000002</v>
      </c>
      <c r="M519">
        <v>3</v>
      </c>
      <c r="N519">
        <v>302.5</v>
      </c>
      <c r="O519">
        <v>3</v>
      </c>
      <c r="P519">
        <v>1.95</v>
      </c>
      <c r="Q519">
        <v>3</v>
      </c>
      <c r="R519">
        <v>0.10100000000000001</v>
      </c>
      <c r="T519" s="8" t="s">
        <v>1783</v>
      </c>
    </row>
    <row r="520" spans="1:20" x14ac:dyDescent="0.2">
      <c r="A520" t="s">
        <v>1784</v>
      </c>
      <c r="B520" t="s">
        <v>388</v>
      </c>
      <c r="C520" t="s">
        <v>388</v>
      </c>
      <c r="E520" t="s">
        <v>1785</v>
      </c>
      <c r="F520" t="s">
        <v>1786</v>
      </c>
      <c r="G520">
        <v>2</v>
      </c>
      <c r="H520">
        <v>1830</v>
      </c>
      <c r="I520">
        <v>1</v>
      </c>
      <c r="J520">
        <v>8.5</v>
      </c>
      <c r="K520">
        <v>1</v>
      </c>
      <c r="L520">
        <v>0.27500000000000002</v>
      </c>
      <c r="M520">
        <v>2</v>
      </c>
      <c r="N520">
        <v>207.5</v>
      </c>
      <c r="O520">
        <v>2</v>
      </c>
      <c r="P520">
        <v>1.25</v>
      </c>
      <c r="Q520">
        <v>3</v>
      </c>
      <c r="R520">
        <v>0.10100000000000001</v>
      </c>
      <c r="T520" s="8" t="s">
        <v>1785</v>
      </c>
    </row>
    <row r="521" spans="1:20" x14ac:dyDescent="0.2">
      <c r="A521" t="s">
        <v>1787</v>
      </c>
      <c r="B521" t="s">
        <v>388</v>
      </c>
      <c r="C521" t="s">
        <v>388</v>
      </c>
      <c r="E521" t="s">
        <v>1788</v>
      </c>
      <c r="F521" t="s">
        <v>1789</v>
      </c>
      <c r="G521">
        <v>4</v>
      </c>
      <c r="H521">
        <v>2250</v>
      </c>
      <c r="I521">
        <v>4</v>
      </c>
      <c r="J521">
        <v>23.5</v>
      </c>
      <c r="K521">
        <v>4</v>
      </c>
      <c r="L521">
        <v>1.0249999999999999</v>
      </c>
      <c r="M521">
        <v>4</v>
      </c>
      <c r="N521">
        <v>397.5</v>
      </c>
      <c r="O521">
        <v>4</v>
      </c>
      <c r="P521">
        <v>2.65</v>
      </c>
      <c r="Q521">
        <v>4</v>
      </c>
      <c r="R521">
        <v>0.13900000000000001</v>
      </c>
      <c r="T521" s="8" t="s">
        <v>1788</v>
      </c>
    </row>
    <row r="522" spans="1:20" x14ac:dyDescent="0.2">
      <c r="A522" t="s">
        <v>1790</v>
      </c>
      <c r="B522" t="s">
        <v>388</v>
      </c>
      <c r="C522" t="s">
        <v>388</v>
      </c>
      <c r="E522" t="s">
        <v>1791</v>
      </c>
      <c r="F522" t="s">
        <v>1792</v>
      </c>
      <c r="G522">
        <v>3</v>
      </c>
      <c r="H522">
        <v>2040</v>
      </c>
      <c r="I522">
        <v>3</v>
      </c>
      <c r="J522">
        <v>18.5</v>
      </c>
      <c r="K522">
        <v>3</v>
      </c>
      <c r="L522">
        <v>0.77500000000000002</v>
      </c>
      <c r="M522">
        <v>4</v>
      </c>
      <c r="N522">
        <v>397.5</v>
      </c>
      <c r="O522">
        <v>4</v>
      </c>
      <c r="P522">
        <v>2.65</v>
      </c>
      <c r="Q522">
        <v>4</v>
      </c>
      <c r="R522">
        <v>0.13900000000000001</v>
      </c>
      <c r="T522" s="8" t="s">
        <v>1791</v>
      </c>
    </row>
    <row r="523" spans="1:20" x14ac:dyDescent="0.2">
      <c r="A523" t="s">
        <v>1793</v>
      </c>
      <c r="B523" t="s">
        <v>388</v>
      </c>
      <c r="C523" t="s">
        <v>388</v>
      </c>
      <c r="E523" t="s">
        <v>1794</v>
      </c>
      <c r="F523" t="s">
        <v>1792</v>
      </c>
      <c r="G523">
        <v>1</v>
      </c>
      <c r="H523">
        <v>1620</v>
      </c>
      <c r="I523">
        <v>2</v>
      </c>
      <c r="J523">
        <v>13.5</v>
      </c>
      <c r="K523">
        <v>1</v>
      </c>
      <c r="L523">
        <v>0.27500000000000002</v>
      </c>
      <c r="M523">
        <v>2</v>
      </c>
      <c r="N523">
        <v>207.5</v>
      </c>
      <c r="O523">
        <v>2</v>
      </c>
      <c r="P523">
        <v>1.25</v>
      </c>
      <c r="Q523">
        <v>2</v>
      </c>
      <c r="R523">
        <v>6.3E-2</v>
      </c>
      <c r="T523" s="8" t="s">
        <v>1794</v>
      </c>
    </row>
    <row r="524" spans="1:20" x14ac:dyDescent="0.2">
      <c r="A524" t="s">
        <v>1795</v>
      </c>
      <c r="B524" t="s">
        <v>388</v>
      </c>
      <c r="C524" t="s">
        <v>388</v>
      </c>
      <c r="E524" t="s">
        <v>1796</v>
      </c>
      <c r="F524" t="s">
        <v>447</v>
      </c>
      <c r="G524">
        <v>5</v>
      </c>
      <c r="H524">
        <v>2460</v>
      </c>
      <c r="I524">
        <v>5</v>
      </c>
      <c r="J524">
        <v>28.5</v>
      </c>
      <c r="K524">
        <v>5</v>
      </c>
      <c r="L524">
        <v>1.2749999999999999</v>
      </c>
      <c r="M524">
        <v>5</v>
      </c>
      <c r="N524">
        <v>492.5</v>
      </c>
      <c r="O524">
        <v>5</v>
      </c>
      <c r="P524">
        <v>3.35</v>
      </c>
      <c r="Q524">
        <v>5</v>
      </c>
      <c r="R524">
        <v>0.17699999999999999</v>
      </c>
      <c r="T524" s="8" t="s">
        <v>1796</v>
      </c>
    </row>
    <row r="525" spans="1:20" x14ac:dyDescent="0.2">
      <c r="A525" t="s">
        <v>1797</v>
      </c>
      <c r="B525" t="s">
        <v>388</v>
      </c>
      <c r="C525" t="s">
        <v>388</v>
      </c>
      <c r="E525" t="s">
        <v>357</v>
      </c>
      <c r="F525" t="s">
        <v>447</v>
      </c>
      <c r="G525">
        <v>1</v>
      </c>
      <c r="H525">
        <v>1620</v>
      </c>
      <c r="I525">
        <v>1</v>
      </c>
      <c r="J525">
        <v>8.5</v>
      </c>
      <c r="K525">
        <v>1</v>
      </c>
      <c r="L525">
        <v>0.27500000000000002</v>
      </c>
      <c r="M525">
        <v>1</v>
      </c>
      <c r="N525">
        <v>112.5</v>
      </c>
      <c r="O525">
        <v>1</v>
      </c>
      <c r="P525">
        <v>0.55000000000000004</v>
      </c>
      <c r="Q525">
        <v>1</v>
      </c>
      <c r="R525">
        <v>2.5000000000000001E-2</v>
      </c>
      <c r="T525" s="8" t="s">
        <v>357</v>
      </c>
    </row>
    <row r="526" spans="1:20" x14ac:dyDescent="0.2">
      <c r="A526" t="s">
        <v>1798</v>
      </c>
      <c r="B526" t="s">
        <v>388</v>
      </c>
      <c r="C526" t="s">
        <v>388</v>
      </c>
      <c r="E526" t="s">
        <v>357</v>
      </c>
      <c r="F526" t="s">
        <v>447</v>
      </c>
      <c r="G526">
        <v>1</v>
      </c>
      <c r="H526">
        <v>1620</v>
      </c>
      <c r="I526">
        <v>1</v>
      </c>
      <c r="J526">
        <v>8.5</v>
      </c>
      <c r="K526">
        <v>1</v>
      </c>
      <c r="L526">
        <v>0.27500000000000002</v>
      </c>
      <c r="M526">
        <v>2</v>
      </c>
      <c r="N526">
        <v>207.5</v>
      </c>
      <c r="O526">
        <v>1</v>
      </c>
      <c r="P526">
        <v>0.55000000000000004</v>
      </c>
      <c r="Q526">
        <v>1</v>
      </c>
      <c r="R526">
        <v>2.5000000000000001E-2</v>
      </c>
      <c r="T526" s="8" t="s">
        <v>357</v>
      </c>
    </row>
    <row r="527" spans="1:20" x14ac:dyDescent="0.2">
      <c r="A527" t="s">
        <v>1799</v>
      </c>
      <c r="B527" t="s">
        <v>388</v>
      </c>
      <c r="C527" t="s">
        <v>388</v>
      </c>
      <c r="E527" t="s">
        <v>357</v>
      </c>
      <c r="F527" t="s">
        <v>447</v>
      </c>
      <c r="G527">
        <v>4</v>
      </c>
      <c r="H527">
        <v>2250</v>
      </c>
      <c r="I527">
        <v>4</v>
      </c>
      <c r="J527">
        <v>23.5</v>
      </c>
      <c r="K527">
        <v>3</v>
      </c>
      <c r="L527">
        <v>0.77500000000000002</v>
      </c>
      <c r="M527">
        <v>4</v>
      </c>
      <c r="N527">
        <v>397.5</v>
      </c>
      <c r="O527">
        <v>4</v>
      </c>
      <c r="P527">
        <v>2.65</v>
      </c>
      <c r="Q527">
        <v>3</v>
      </c>
      <c r="R527">
        <v>0.10100000000000001</v>
      </c>
      <c r="T527" s="8" t="s">
        <v>357</v>
      </c>
    </row>
    <row r="528" spans="1:20" x14ac:dyDescent="0.2">
      <c r="A528" t="s">
        <v>1800</v>
      </c>
      <c r="B528" t="s">
        <v>388</v>
      </c>
      <c r="C528" t="s">
        <v>388</v>
      </c>
      <c r="E528" t="s">
        <v>1801</v>
      </c>
      <c r="F528" t="s">
        <v>1802</v>
      </c>
      <c r="G528">
        <v>4</v>
      </c>
      <c r="H528">
        <v>2250</v>
      </c>
      <c r="I528">
        <v>4</v>
      </c>
      <c r="J528">
        <v>23.5</v>
      </c>
      <c r="K528">
        <v>4</v>
      </c>
      <c r="L528">
        <v>1.0249999999999999</v>
      </c>
      <c r="M528">
        <v>4</v>
      </c>
      <c r="N528">
        <v>397.5</v>
      </c>
      <c r="O528">
        <v>4</v>
      </c>
      <c r="P528">
        <v>2.65</v>
      </c>
      <c r="Q528">
        <v>4</v>
      </c>
      <c r="R528">
        <v>0.13900000000000001</v>
      </c>
      <c r="T528" s="8" t="s">
        <v>1801</v>
      </c>
    </row>
    <row r="529" spans="1:20" x14ac:dyDescent="0.2">
      <c r="A529" t="s">
        <v>1803</v>
      </c>
      <c r="B529" t="s">
        <v>388</v>
      </c>
      <c r="C529" t="s">
        <v>388</v>
      </c>
      <c r="E529" t="s">
        <v>1804</v>
      </c>
      <c r="F529" t="s">
        <v>1805</v>
      </c>
      <c r="G529">
        <v>5</v>
      </c>
      <c r="H529">
        <v>2460</v>
      </c>
      <c r="I529">
        <v>5</v>
      </c>
      <c r="J529">
        <v>28.5</v>
      </c>
      <c r="K529">
        <v>5</v>
      </c>
      <c r="L529">
        <v>1.2749999999999999</v>
      </c>
      <c r="M529">
        <v>5</v>
      </c>
      <c r="N529">
        <v>492.5</v>
      </c>
      <c r="O529">
        <v>5</v>
      </c>
      <c r="P529">
        <v>3.35</v>
      </c>
      <c r="Q529">
        <v>4</v>
      </c>
      <c r="R529">
        <v>0.13900000000000001</v>
      </c>
      <c r="T529" s="8" t="s">
        <v>1804</v>
      </c>
    </row>
    <row r="530" spans="1:20" x14ac:dyDescent="0.2">
      <c r="A530" t="s">
        <v>1806</v>
      </c>
      <c r="B530" t="s">
        <v>388</v>
      </c>
      <c r="C530" t="s">
        <v>388</v>
      </c>
      <c r="E530" t="s">
        <v>1807</v>
      </c>
      <c r="F530" t="s">
        <v>1808</v>
      </c>
      <c r="G530">
        <v>3</v>
      </c>
      <c r="H530">
        <v>2040</v>
      </c>
      <c r="I530">
        <v>2</v>
      </c>
      <c r="J530">
        <v>13.5</v>
      </c>
      <c r="K530">
        <v>2</v>
      </c>
      <c r="L530">
        <v>0.52500000000000002</v>
      </c>
      <c r="M530">
        <v>2</v>
      </c>
      <c r="N530">
        <v>207.5</v>
      </c>
      <c r="O530">
        <v>2</v>
      </c>
      <c r="P530">
        <v>1.25</v>
      </c>
      <c r="Q530">
        <v>2</v>
      </c>
      <c r="R530">
        <v>6.3E-2</v>
      </c>
      <c r="T530" s="8" t="s">
        <v>1807</v>
      </c>
    </row>
    <row r="531" spans="1:20" x14ac:dyDescent="0.2">
      <c r="A531" t="s">
        <v>1809</v>
      </c>
      <c r="B531" t="s">
        <v>388</v>
      </c>
      <c r="C531" t="s">
        <v>388</v>
      </c>
      <c r="E531" t="s">
        <v>1810</v>
      </c>
      <c r="F531" t="s">
        <v>1811</v>
      </c>
      <c r="G531">
        <v>5</v>
      </c>
      <c r="H531">
        <v>2460</v>
      </c>
      <c r="I531">
        <v>5</v>
      </c>
      <c r="J531">
        <v>28.5</v>
      </c>
      <c r="K531">
        <v>5</v>
      </c>
      <c r="L531">
        <v>1.2749999999999999</v>
      </c>
      <c r="M531">
        <v>5</v>
      </c>
      <c r="N531">
        <v>492.5</v>
      </c>
      <c r="O531">
        <v>5</v>
      </c>
      <c r="P531">
        <v>3.35</v>
      </c>
      <c r="Q531">
        <v>5</v>
      </c>
      <c r="R531">
        <v>0.17699999999999999</v>
      </c>
      <c r="T531" s="8" t="s">
        <v>1810</v>
      </c>
    </row>
    <row r="532" spans="1:20" x14ac:dyDescent="0.2">
      <c r="A532" t="s">
        <v>1812</v>
      </c>
      <c r="B532" t="s">
        <v>388</v>
      </c>
      <c r="C532" t="s">
        <v>388</v>
      </c>
      <c r="E532" t="s">
        <v>1813</v>
      </c>
      <c r="F532" t="s">
        <v>447</v>
      </c>
      <c r="G532">
        <v>2</v>
      </c>
      <c r="H532">
        <v>1830</v>
      </c>
      <c r="I532">
        <v>2</v>
      </c>
      <c r="J532">
        <v>13.5</v>
      </c>
      <c r="K532">
        <v>2</v>
      </c>
      <c r="L532">
        <v>0.52500000000000002</v>
      </c>
      <c r="M532">
        <v>1</v>
      </c>
      <c r="N532">
        <v>112.5</v>
      </c>
      <c r="O532">
        <v>2</v>
      </c>
      <c r="P532">
        <v>1.25</v>
      </c>
      <c r="Q532">
        <v>1</v>
      </c>
      <c r="R532">
        <v>2.5000000000000001E-2</v>
      </c>
      <c r="T532" s="8" t="s">
        <v>1813</v>
      </c>
    </row>
    <row r="533" spans="1:20" x14ac:dyDescent="0.2">
      <c r="A533" t="s">
        <v>1814</v>
      </c>
      <c r="B533" t="s">
        <v>388</v>
      </c>
      <c r="C533" t="s">
        <v>388</v>
      </c>
      <c r="E533" t="s">
        <v>1815</v>
      </c>
      <c r="F533" t="s">
        <v>1816</v>
      </c>
      <c r="G533">
        <v>3</v>
      </c>
      <c r="H533">
        <v>2040</v>
      </c>
      <c r="I533">
        <v>3</v>
      </c>
      <c r="J533">
        <v>18.5</v>
      </c>
      <c r="K533">
        <v>2</v>
      </c>
      <c r="L533">
        <v>0.52500000000000002</v>
      </c>
      <c r="M533">
        <v>3</v>
      </c>
      <c r="N533">
        <v>302.5</v>
      </c>
      <c r="O533">
        <v>3</v>
      </c>
      <c r="P533">
        <v>1.95</v>
      </c>
      <c r="Q533">
        <v>2</v>
      </c>
      <c r="R533">
        <v>6.3E-2</v>
      </c>
      <c r="T533" s="8" t="s">
        <v>1815</v>
      </c>
    </row>
    <row r="534" spans="1:20" x14ac:dyDescent="0.2">
      <c r="A534" t="s">
        <v>1817</v>
      </c>
      <c r="B534" t="s">
        <v>388</v>
      </c>
      <c r="C534" t="s">
        <v>388</v>
      </c>
      <c r="E534" t="s">
        <v>1818</v>
      </c>
      <c r="F534" t="s">
        <v>1819</v>
      </c>
      <c r="G534">
        <v>1</v>
      </c>
      <c r="H534">
        <v>1620</v>
      </c>
      <c r="I534">
        <v>2</v>
      </c>
      <c r="J534">
        <v>13.5</v>
      </c>
      <c r="K534">
        <v>2</v>
      </c>
      <c r="L534">
        <v>0.52500000000000002</v>
      </c>
      <c r="M534">
        <v>1</v>
      </c>
      <c r="N534">
        <v>112.5</v>
      </c>
      <c r="O534">
        <v>1</v>
      </c>
      <c r="P534">
        <v>0.55000000000000004</v>
      </c>
      <c r="Q534">
        <v>1</v>
      </c>
      <c r="R534">
        <v>2.5000000000000001E-2</v>
      </c>
      <c r="T534" s="8" t="s">
        <v>1818</v>
      </c>
    </row>
    <row r="535" spans="1:20" x14ac:dyDescent="0.2">
      <c r="A535" t="s">
        <v>1820</v>
      </c>
      <c r="B535" t="s">
        <v>388</v>
      </c>
      <c r="C535" t="s">
        <v>388</v>
      </c>
      <c r="E535" t="s">
        <v>1821</v>
      </c>
      <c r="F535" t="s">
        <v>1822</v>
      </c>
      <c r="G535">
        <v>5</v>
      </c>
      <c r="H535">
        <v>2460</v>
      </c>
      <c r="I535">
        <v>5</v>
      </c>
      <c r="J535">
        <v>28.5</v>
      </c>
      <c r="K535">
        <v>4</v>
      </c>
      <c r="L535">
        <v>1.0249999999999999</v>
      </c>
      <c r="M535">
        <v>4</v>
      </c>
      <c r="N535">
        <v>397.5</v>
      </c>
      <c r="O535">
        <v>4</v>
      </c>
      <c r="P535">
        <v>2.65</v>
      </c>
      <c r="Q535">
        <v>4</v>
      </c>
      <c r="R535">
        <v>0.13900000000000001</v>
      </c>
      <c r="T535" s="8" t="s">
        <v>1821</v>
      </c>
    </row>
    <row r="536" spans="1:20" x14ac:dyDescent="0.2">
      <c r="A536" t="s">
        <v>1823</v>
      </c>
      <c r="B536" t="s">
        <v>388</v>
      </c>
      <c r="C536" t="s">
        <v>388</v>
      </c>
      <c r="E536" t="s">
        <v>1824</v>
      </c>
      <c r="F536" t="s">
        <v>1825</v>
      </c>
      <c r="G536">
        <v>5</v>
      </c>
      <c r="H536">
        <v>2460</v>
      </c>
      <c r="I536">
        <v>5</v>
      </c>
      <c r="J536">
        <v>28.5</v>
      </c>
      <c r="K536">
        <v>5</v>
      </c>
      <c r="L536">
        <v>1.2749999999999999</v>
      </c>
      <c r="M536">
        <v>5</v>
      </c>
      <c r="N536">
        <v>492.5</v>
      </c>
      <c r="O536">
        <v>5</v>
      </c>
      <c r="P536">
        <v>3.35</v>
      </c>
      <c r="Q536">
        <v>5</v>
      </c>
      <c r="R536">
        <v>0.17699999999999999</v>
      </c>
      <c r="T536" s="8" t="s">
        <v>1824</v>
      </c>
    </row>
    <row r="537" spans="1:20" x14ac:dyDescent="0.2">
      <c r="A537" t="s">
        <v>1826</v>
      </c>
      <c r="B537" t="s">
        <v>388</v>
      </c>
      <c r="C537" t="s">
        <v>388</v>
      </c>
      <c r="E537" t="s">
        <v>1827</v>
      </c>
      <c r="F537" t="s">
        <v>1828</v>
      </c>
      <c r="G537">
        <v>5</v>
      </c>
      <c r="H537">
        <v>2460</v>
      </c>
      <c r="I537">
        <v>5</v>
      </c>
      <c r="J537">
        <v>28.5</v>
      </c>
      <c r="K537">
        <v>5</v>
      </c>
      <c r="L537">
        <v>1.2749999999999999</v>
      </c>
      <c r="M537">
        <v>5</v>
      </c>
      <c r="N537">
        <v>492.5</v>
      </c>
      <c r="O537">
        <v>5</v>
      </c>
      <c r="P537">
        <v>3.35</v>
      </c>
      <c r="Q537">
        <v>4</v>
      </c>
      <c r="R537">
        <v>0.13900000000000001</v>
      </c>
      <c r="T537" s="8" t="s">
        <v>1827</v>
      </c>
    </row>
    <row r="538" spans="1:20" x14ac:dyDescent="0.2">
      <c r="A538" t="s">
        <v>1829</v>
      </c>
      <c r="B538" t="s">
        <v>388</v>
      </c>
      <c r="C538" t="s">
        <v>388</v>
      </c>
      <c r="E538" t="s">
        <v>1830</v>
      </c>
      <c r="F538" t="s">
        <v>1831</v>
      </c>
      <c r="G538">
        <v>4</v>
      </c>
      <c r="H538">
        <v>2250</v>
      </c>
      <c r="I538">
        <v>4</v>
      </c>
      <c r="J538">
        <v>23.5</v>
      </c>
      <c r="K538">
        <v>4</v>
      </c>
      <c r="L538">
        <v>1.0249999999999999</v>
      </c>
      <c r="M538">
        <v>4</v>
      </c>
      <c r="N538">
        <v>397.5</v>
      </c>
      <c r="O538">
        <v>4</v>
      </c>
      <c r="P538">
        <v>2.65</v>
      </c>
      <c r="Q538">
        <v>4</v>
      </c>
      <c r="R538">
        <v>0.13900000000000001</v>
      </c>
      <c r="T538" s="8" t="s">
        <v>1830</v>
      </c>
    </row>
    <row r="539" spans="1:20" x14ac:dyDescent="0.2">
      <c r="A539" t="s">
        <v>1832</v>
      </c>
      <c r="B539" t="s">
        <v>388</v>
      </c>
      <c r="C539" t="s">
        <v>388</v>
      </c>
      <c r="E539" t="s">
        <v>1833</v>
      </c>
      <c r="F539" t="s">
        <v>1834</v>
      </c>
      <c r="G539">
        <v>1</v>
      </c>
      <c r="H539">
        <v>1620</v>
      </c>
      <c r="I539">
        <v>3</v>
      </c>
      <c r="J539">
        <v>18.5</v>
      </c>
      <c r="K539">
        <v>2</v>
      </c>
      <c r="L539">
        <v>0.52500000000000002</v>
      </c>
      <c r="M539">
        <v>1</v>
      </c>
      <c r="N539">
        <v>112.5</v>
      </c>
      <c r="O539">
        <v>1</v>
      </c>
      <c r="P539">
        <v>0.55000000000000004</v>
      </c>
      <c r="Q539">
        <v>1</v>
      </c>
      <c r="R539">
        <v>2.5000000000000001E-2</v>
      </c>
      <c r="T539" s="8" t="s">
        <v>1833</v>
      </c>
    </row>
    <row r="540" spans="1:20" x14ac:dyDescent="0.2">
      <c r="A540" t="s">
        <v>1835</v>
      </c>
      <c r="B540" t="s">
        <v>388</v>
      </c>
      <c r="C540" t="s">
        <v>388</v>
      </c>
      <c r="E540" t="s">
        <v>1836</v>
      </c>
      <c r="F540" t="s">
        <v>1837</v>
      </c>
      <c r="G540">
        <v>3</v>
      </c>
      <c r="H540">
        <v>2040</v>
      </c>
      <c r="I540">
        <v>3</v>
      </c>
      <c r="J540">
        <v>18.5</v>
      </c>
      <c r="K540">
        <v>3</v>
      </c>
      <c r="L540">
        <v>0.77500000000000002</v>
      </c>
      <c r="M540">
        <v>3</v>
      </c>
      <c r="N540">
        <v>302.5</v>
      </c>
      <c r="O540">
        <v>3</v>
      </c>
      <c r="P540">
        <v>1.95</v>
      </c>
      <c r="Q540">
        <v>5</v>
      </c>
      <c r="R540">
        <v>0.17699999999999999</v>
      </c>
      <c r="T540" s="8" t="s">
        <v>1836</v>
      </c>
    </row>
    <row r="541" spans="1:20" x14ac:dyDescent="0.2">
      <c r="A541" t="s">
        <v>1838</v>
      </c>
      <c r="B541" t="s">
        <v>388</v>
      </c>
      <c r="C541" t="s">
        <v>388</v>
      </c>
      <c r="E541" t="s">
        <v>1839</v>
      </c>
      <c r="F541" t="s">
        <v>1840</v>
      </c>
      <c r="G541">
        <v>2</v>
      </c>
      <c r="H541">
        <v>1830</v>
      </c>
      <c r="I541">
        <v>3</v>
      </c>
      <c r="J541">
        <v>18.5</v>
      </c>
      <c r="K541">
        <v>2</v>
      </c>
      <c r="L541">
        <v>0.52500000000000002</v>
      </c>
      <c r="M541">
        <v>2</v>
      </c>
      <c r="N541">
        <v>207.5</v>
      </c>
      <c r="O541">
        <v>2</v>
      </c>
      <c r="P541">
        <v>1.25</v>
      </c>
      <c r="Q541">
        <v>2</v>
      </c>
      <c r="R541">
        <v>6.3E-2</v>
      </c>
      <c r="T541" s="8" t="s">
        <v>1839</v>
      </c>
    </row>
    <row r="542" spans="1:20" x14ac:dyDescent="0.2">
      <c r="A542" t="s">
        <v>1841</v>
      </c>
      <c r="B542" t="s">
        <v>388</v>
      </c>
      <c r="C542" t="s">
        <v>388</v>
      </c>
      <c r="E542" t="s">
        <v>1842</v>
      </c>
      <c r="F542" t="s">
        <v>1843</v>
      </c>
      <c r="G542">
        <v>4</v>
      </c>
      <c r="H542">
        <v>2250</v>
      </c>
      <c r="I542">
        <v>4</v>
      </c>
      <c r="J542">
        <v>23.5</v>
      </c>
      <c r="K542">
        <v>4</v>
      </c>
      <c r="L542">
        <v>1.0249999999999999</v>
      </c>
      <c r="M542">
        <v>4</v>
      </c>
      <c r="N542">
        <v>397.5</v>
      </c>
      <c r="O542">
        <v>4</v>
      </c>
      <c r="P542">
        <v>2.65</v>
      </c>
      <c r="Q542">
        <v>4</v>
      </c>
      <c r="R542">
        <v>0.13900000000000001</v>
      </c>
      <c r="T542" s="8" t="s">
        <v>1842</v>
      </c>
    </row>
    <row r="543" spans="1:20" x14ac:dyDescent="0.2">
      <c r="A543" t="s">
        <v>1844</v>
      </c>
      <c r="B543" t="s">
        <v>388</v>
      </c>
      <c r="C543" t="s">
        <v>388</v>
      </c>
      <c r="E543" t="s">
        <v>1845</v>
      </c>
      <c r="F543" t="s">
        <v>1846</v>
      </c>
      <c r="G543">
        <v>3</v>
      </c>
      <c r="H543">
        <v>2040</v>
      </c>
      <c r="I543">
        <v>1</v>
      </c>
      <c r="J543">
        <v>8.5</v>
      </c>
      <c r="K543">
        <v>1</v>
      </c>
      <c r="L543">
        <v>0.27500000000000002</v>
      </c>
      <c r="M543">
        <v>1</v>
      </c>
      <c r="N543">
        <v>112.5</v>
      </c>
      <c r="O543">
        <v>1</v>
      </c>
      <c r="P543">
        <v>0.55000000000000004</v>
      </c>
      <c r="Q543">
        <v>1</v>
      </c>
      <c r="R543">
        <v>2.5000000000000001E-2</v>
      </c>
      <c r="T543" s="8" t="s">
        <v>1845</v>
      </c>
    </row>
    <row r="544" spans="1:20" x14ac:dyDescent="0.2">
      <c r="A544" t="s">
        <v>1847</v>
      </c>
      <c r="B544" t="s">
        <v>388</v>
      </c>
      <c r="C544" t="s">
        <v>388</v>
      </c>
      <c r="E544" t="s">
        <v>357</v>
      </c>
      <c r="F544" t="s">
        <v>447</v>
      </c>
      <c r="G544">
        <v>5</v>
      </c>
      <c r="H544">
        <v>2460</v>
      </c>
      <c r="I544">
        <v>5</v>
      </c>
      <c r="J544">
        <v>28.5</v>
      </c>
      <c r="K544">
        <v>4</v>
      </c>
      <c r="L544">
        <v>1.0249999999999999</v>
      </c>
      <c r="M544">
        <v>5</v>
      </c>
      <c r="N544">
        <v>492.5</v>
      </c>
      <c r="O544">
        <v>5</v>
      </c>
      <c r="P544">
        <v>3.35</v>
      </c>
      <c r="Q544">
        <v>4</v>
      </c>
      <c r="R544">
        <v>0.13900000000000001</v>
      </c>
      <c r="T544" s="8" t="s">
        <v>357</v>
      </c>
    </row>
    <row r="545" spans="1:20" x14ac:dyDescent="0.2">
      <c r="A545" t="s">
        <v>1848</v>
      </c>
      <c r="B545" t="s">
        <v>388</v>
      </c>
      <c r="C545" t="s">
        <v>388</v>
      </c>
      <c r="E545" t="s">
        <v>1849</v>
      </c>
      <c r="F545" t="s">
        <v>1850</v>
      </c>
      <c r="G545">
        <v>5</v>
      </c>
      <c r="H545">
        <v>2460</v>
      </c>
      <c r="I545">
        <v>5</v>
      </c>
      <c r="J545">
        <v>28.5</v>
      </c>
      <c r="K545">
        <v>4</v>
      </c>
      <c r="L545">
        <v>1.0249999999999999</v>
      </c>
      <c r="M545">
        <v>5</v>
      </c>
      <c r="N545">
        <v>492.5</v>
      </c>
      <c r="O545">
        <v>5</v>
      </c>
      <c r="P545">
        <v>3.35</v>
      </c>
      <c r="Q545">
        <v>4</v>
      </c>
      <c r="R545">
        <v>0.13900000000000001</v>
      </c>
      <c r="T545" s="8" t="s">
        <v>1849</v>
      </c>
    </row>
    <row r="546" spans="1:20" x14ac:dyDescent="0.2">
      <c r="A546" t="s">
        <v>1851</v>
      </c>
      <c r="B546" t="s">
        <v>388</v>
      </c>
      <c r="C546" t="s">
        <v>388</v>
      </c>
      <c r="E546" t="s">
        <v>1852</v>
      </c>
      <c r="F546" t="s">
        <v>1853</v>
      </c>
      <c r="G546">
        <v>2</v>
      </c>
      <c r="H546">
        <v>1830</v>
      </c>
      <c r="I546">
        <v>2</v>
      </c>
      <c r="J546">
        <v>13.5</v>
      </c>
      <c r="K546">
        <v>2</v>
      </c>
      <c r="L546">
        <v>0.52500000000000002</v>
      </c>
      <c r="M546">
        <v>2</v>
      </c>
      <c r="N546">
        <v>207.5</v>
      </c>
      <c r="O546">
        <v>2</v>
      </c>
      <c r="P546">
        <v>1.25</v>
      </c>
      <c r="Q546">
        <v>2</v>
      </c>
      <c r="R546">
        <v>6.3E-2</v>
      </c>
      <c r="T546" s="8" t="s">
        <v>1852</v>
      </c>
    </row>
    <row r="547" spans="1:20" x14ac:dyDescent="0.2">
      <c r="A547" t="s">
        <v>1854</v>
      </c>
      <c r="B547" t="s">
        <v>388</v>
      </c>
      <c r="C547" t="s">
        <v>388</v>
      </c>
      <c r="E547" t="s">
        <v>1855</v>
      </c>
      <c r="F547" t="s">
        <v>1856</v>
      </c>
      <c r="G547">
        <v>1</v>
      </c>
      <c r="H547">
        <v>1620</v>
      </c>
      <c r="I547">
        <v>1</v>
      </c>
      <c r="J547">
        <v>8.5</v>
      </c>
      <c r="K547">
        <v>1</v>
      </c>
      <c r="L547">
        <v>0.27500000000000002</v>
      </c>
      <c r="M547">
        <v>1</v>
      </c>
      <c r="N547">
        <v>112.5</v>
      </c>
      <c r="O547">
        <v>1</v>
      </c>
      <c r="P547">
        <v>0.55000000000000004</v>
      </c>
      <c r="Q547">
        <v>1</v>
      </c>
      <c r="R547">
        <v>2.5000000000000001E-2</v>
      </c>
      <c r="T547" s="8" t="s">
        <v>1855</v>
      </c>
    </row>
    <row r="548" spans="1:20" x14ac:dyDescent="0.2">
      <c r="A548" t="s">
        <v>1857</v>
      </c>
      <c r="B548" t="s">
        <v>388</v>
      </c>
      <c r="C548" t="s">
        <v>388</v>
      </c>
      <c r="E548" t="s">
        <v>1858</v>
      </c>
      <c r="F548" t="s">
        <v>1859</v>
      </c>
      <c r="G548">
        <v>1</v>
      </c>
      <c r="H548">
        <v>1620</v>
      </c>
      <c r="I548">
        <v>3</v>
      </c>
      <c r="J548">
        <v>18.5</v>
      </c>
      <c r="K548">
        <v>2</v>
      </c>
      <c r="L548">
        <v>0.52500000000000002</v>
      </c>
      <c r="M548">
        <v>1</v>
      </c>
      <c r="N548">
        <v>112.5</v>
      </c>
      <c r="O548">
        <v>1</v>
      </c>
      <c r="P548">
        <v>0.55000000000000004</v>
      </c>
      <c r="Q548">
        <v>1</v>
      </c>
      <c r="R548">
        <v>2.5000000000000001E-2</v>
      </c>
      <c r="T548" s="8" t="s">
        <v>1858</v>
      </c>
    </row>
    <row r="549" spans="1:20" x14ac:dyDescent="0.2">
      <c r="A549" t="s">
        <v>1860</v>
      </c>
      <c r="B549" t="s">
        <v>388</v>
      </c>
      <c r="C549" t="s">
        <v>388</v>
      </c>
      <c r="E549" t="s">
        <v>1861</v>
      </c>
      <c r="F549" t="s">
        <v>1862</v>
      </c>
      <c r="G549">
        <v>5</v>
      </c>
      <c r="H549">
        <v>2460</v>
      </c>
      <c r="I549">
        <v>5</v>
      </c>
      <c r="J549">
        <v>28.5</v>
      </c>
      <c r="K549">
        <v>4</v>
      </c>
      <c r="L549">
        <v>1.0249999999999999</v>
      </c>
      <c r="M549">
        <v>4</v>
      </c>
      <c r="N549">
        <v>397.5</v>
      </c>
      <c r="O549">
        <v>4</v>
      </c>
      <c r="P549">
        <v>2.65</v>
      </c>
      <c r="Q549">
        <v>4</v>
      </c>
      <c r="R549">
        <v>0.13900000000000001</v>
      </c>
      <c r="T549" s="8" t="s">
        <v>1861</v>
      </c>
    </row>
    <row r="550" spans="1:20" x14ac:dyDescent="0.2">
      <c r="A550" t="s">
        <v>1863</v>
      </c>
      <c r="B550" t="s">
        <v>388</v>
      </c>
      <c r="C550" t="s">
        <v>388</v>
      </c>
      <c r="E550" t="s">
        <v>1864</v>
      </c>
      <c r="F550" t="s">
        <v>1865</v>
      </c>
      <c r="G550">
        <v>5</v>
      </c>
      <c r="H550">
        <v>2460</v>
      </c>
      <c r="I550">
        <v>5</v>
      </c>
      <c r="J550">
        <v>28.5</v>
      </c>
      <c r="K550">
        <v>5</v>
      </c>
      <c r="L550">
        <v>1.2749999999999999</v>
      </c>
      <c r="M550">
        <v>5</v>
      </c>
      <c r="N550">
        <v>492.5</v>
      </c>
      <c r="O550">
        <v>5</v>
      </c>
      <c r="P550">
        <v>3.35</v>
      </c>
      <c r="Q550">
        <v>5</v>
      </c>
      <c r="R550">
        <v>0.17699999999999999</v>
      </c>
      <c r="T550" s="8" t="s">
        <v>1864</v>
      </c>
    </row>
    <row r="551" spans="1:20" x14ac:dyDescent="0.2">
      <c r="A551" t="s">
        <v>1866</v>
      </c>
      <c r="B551" t="s">
        <v>388</v>
      </c>
      <c r="C551" t="s">
        <v>388</v>
      </c>
      <c r="E551" t="s">
        <v>1867</v>
      </c>
      <c r="F551" t="s">
        <v>1868</v>
      </c>
      <c r="G551">
        <v>2</v>
      </c>
      <c r="H551">
        <v>1830</v>
      </c>
      <c r="I551">
        <v>2</v>
      </c>
      <c r="J551">
        <v>13.5</v>
      </c>
      <c r="K551">
        <v>2</v>
      </c>
      <c r="L551">
        <v>0.52500000000000002</v>
      </c>
      <c r="M551">
        <v>3</v>
      </c>
      <c r="N551">
        <v>302.5</v>
      </c>
      <c r="O551">
        <v>3</v>
      </c>
      <c r="P551">
        <v>1.95</v>
      </c>
      <c r="Q551">
        <v>2</v>
      </c>
      <c r="R551">
        <v>6.3E-2</v>
      </c>
      <c r="T551" s="8" t="s">
        <v>1867</v>
      </c>
    </row>
    <row r="552" spans="1:20" x14ac:dyDescent="0.2">
      <c r="A552" t="s">
        <v>1869</v>
      </c>
      <c r="B552" t="s">
        <v>388</v>
      </c>
      <c r="C552" t="s">
        <v>388</v>
      </c>
      <c r="E552" t="s">
        <v>1867</v>
      </c>
      <c r="F552" t="s">
        <v>1868</v>
      </c>
      <c r="G552">
        <v>2</v>
      </c>
      <c r="H552">
        <v>1830</v>
      </c>
      <c r="I552">
        <v>2</v>
      </c>
      <c r="J552">
        <v>13.5</v>
      </c>
      <c r="K552">
        <v>2</v>
      </c>
      <c r="L552">
        <v>0.52500000000000002</v>
      </c>
      <c r="M552">
        <v>2</v>
      </c>
      <c r="N552">
        <v>207.5</v>
      </c>
      <c r="O552">
        <v>2</v>
      </c>
      <c r="P552">
        <v>1.25</v>
      </c>
      <c r="Q552">
        <v>2</v>
      </c>
      <c r="R552">
        <v>6.3E-2</v>
      </c>
      <c r="T552" s="8" t="s">
        <v>1867</v>
      </c>
    </row>
    <row r="553" spans="1:20" x14ac:dyDescent="0.2">
      <c r="A553" t="s">
        <v>1870</v>
      </c>
      <c r="B553" t="s">
        <v>388</v>
      </c>
      <c r="C553" t="s">
        <v>388</v>
      </c>
      <c r="E553" t="s">
        <v>203</v>
      </c>
      <c r="F553" t="s">
        <v>447</v>
      </c>
      <c r="G553">
        <v>2</v>
      </c>
      <c r="H553">
        <v>1830</v>
      </c>
      <c r="I553">
        <v>1</v>
      </c>
      <c r="J553">
        <v>8.5</v>
      </c>
      <c r="K553">
        <v>2</v>
      </c>
      <c r="L553">
        <v>0.52500000000000002</v>
      </c>
      <c r="M553">
        <v>2</v>
      </c>
      <c r="N553">
        <v>207.5</v>
      </c>
      <c r="O553">
        <v>2</v>
      </c>
      <c r="P553">
        <v>1.25</v>
      </c>
      <c r="Q553">
        <v>3</v>
      </c>
      <c r="R553">
        <v>0.10100000000000001</v>
      </c>
      <c r="T553" s="8" t="s">
        <v>203</v>
      </c>
    </row>
    <row r="554" spans="1:20" x14ac:dyDescent="0.2">
      <c r="A554" t="s">
        <v>1871</v>
      </c>
      <c r="B554" t="s">
        <v>388</v>
      </c>
      <c r="C554" t="s">
        <v>388</v>
      </c>
      <c r="E554" t="s">
        <v>203</v>
      </c>
      <c r="F554" t="s">
        <v>447</v>
      </c>
      <c r="G554">
        <v>3</v>
      </c>
      <c r="H554">
        <v>2040</v>
      </c>
      <c r="I554">
        <v>3</v>
      </c>
      <c r="J554">
        <v>18.5</v>
      </c>
      <c r="K554">
        <v>3</v>
      </c>
      <c r="L554">
        <v>0.77500000000000002</v>
      </c>
      <c r="M554">
        <v>2</v>
      </c>
      <c r="N554">
        <v>207.5</v>
      </c>
      <c r="O554">
        <v>2</v>
      </c>
      <c r="P554">
        <v>1.25</v>
      </c>
      <c r="Q554">
        <v>2</v>
      </c>
      <c r="R554">
        <v>6.3E-2</v>
      </c>
      <c r="T554" s="8" t="s">
        <v>203</v>
      </c>
    </row>
    <row r="555" spans="1:20" x14ac:dyDescent="0.2">
      <c r="A555" t="s">
        <v>1872</v>
      </c>
      <c r="B555" t="s">
        <v>388</v>
      </c>
      <c r="C555" t="s">
        <v>388</v>
      </c>
      <c r="E555" t="s">
        <v>1873</v>
      </c>
      <c r="F555" t="s">
        <v>1874</v>
      </c>
      <c r="G555">
        <v>5</v>
      </c>
      <c r="H555">
        <v>2460</v>
      </c>
      <c r="I555">
        <v>4</v>
      </c>
      <c r="J555">
        <v>23.5</v>
      </c>
      <c r="K555">
        <v>5</v>
      </c>
      <c r="L555">
        <v>1.2749999999999999</v>
      </c>
      <c r="M555">
        <v>5</v>
      </c>
      <c r="N555">
        <v>492.5</v>
      </c>
      <c r="O555">
        <v>5</v>
      </c>
      <c r="P555">
        <v>3.35</v>
      </c>
      <c r="Q555">
        <v>5</v>
      </c>
      <c r="R555">
        <v>0.17699999999999999</v>
      </c>
      <c r="T555" s="8" t="s">
        <v>1873</v>
      </c>
    </row>
    <row r="556" spans="1:20" x14ac:dyDescent="0.2">
      <c r="A556" t="s">
        <v>1875</v>
      </c>
      <c r="B556" t="s">
        <v>388</v>
      </c>
      <c r="C556" t="s">
        <v>388</v>
      </c>
      <c r="E556" t="s">
        <v>1876</v>
      </c>
      <c r="F556" t="s">
        <v>1877</v>
      </c>
      <c r="G556">
        <v>5</v>
      </c>
      <c r="H556">
        <v>2460</v>
      </c>
      <c r="I556">
        <v>5</v>
      </c>
      <c r="J556">
        <v>28.5</v>
      </c>
      <c r="K556">
        <v>5</v>
      </c>
      <c r="L556">
        <v>1.2749999999999999</v>
      </c>
      <c r="M556">
        <v>5</v>
      </c>
      <c r="N556">
        <v>492.5</v>
      </c>
      <c r="O556">
        <v>5</v>
      </c>
      <c r="P556">
        <v>3.35</v>
      </c>
      <c r="Q556">
        <v>5</v>
      </c>
      <c r="R556">
        <v>0.17699999999999999</v>
      </c>
      <c r="T556" s="8" t="s">
        <v>1876</v>
      </c>
    </row>
    <row r="557" spans="1:20" x14ac:dyDescent="0.2">
      <c r="A557" t="s">
        <v>1878</v>
      </c>
      <c r="B557" t="s">
        <v>388</v>
      </c>
      <c r="C557" t="s">
        <v>388</v>
      </c>
      <c r="E557" t="s">
        <v>1879</v>
      </c>
      <c r="F557" t="s">
        <v>1880</v>
      </c>
      <c r="G557">
        <v>3</v>
      </c>
      <c r="H557">
        <v>2040</v>
      </c>
      <c r="I557">
        <v>3</v>
      </c>
      <c r="J557">
        <v>18.5</v>
      </c>
      <c r="K557">
        <v>3</v>
      </c>
      <c r="L557">
        <v>0.77500000000000002</v>
      </c>
      <c r="M557">
        <v>3</v>
      </c>
      <c r="N557">
        <v>302.5</v>
      </c>
      <c r="O557">
        <v>3</v>
      </c>
      <c r="P557">
        <v>1.95</v>
      </c>
      <c r="Q557">
        <v>3</v>
      </c>
      <c r="R557">
        <v>0.10100000000000001</v>
      </c>
      <c r="T557" s="8" t="s">
        <v>1879</v>
      </c>
    </row>
    <row r="558" spans="1:20" x14ac:dyDescent="0.2">
      <c r="A558" t="s">
        <v>1881</v>
      </c>
      <c r="B558" t="s">
        <v>388</v>
      </c>
      <c r="C558" t="s">
        <v>388</v>
      </c>
      <c r="E558" t="s">
        <v>357</v>
      </c>
      <c r="F558" t="s">
        <v>447</v>
      </c>
      <c r="G558">
        <v>2</v>
      </c>
      <c r="H558">
        <v>1830</v>
      </c>
      <c r="I558">
        <v>2</v>
      </c>
      <c r="J558">
        <v>13.5</v>
      </c>
      <c r="K558">
        <v>2</v>
      </c>
      <c r="L558">
        <v>0.52500000000000002</v>
      </c>
      <c r="M558">
        <v>3</v>
      </c>
      <c r="N558">
        <v>302.5</v>
      </c>
      <c r="O558">
        <v>3</v>
      </c>
      <c r="P558">
        <v>1.95</v>
      </c>
      <c r="Q558">
        <v>3</v>
      </c>
      <c r="R558">
        <v>0.10100000000000001</v>
      </c>
      <c r="T558" s="8" t="s">
        <v>357</v>
      </c>
    </row>
    <row r="559" spans="1:20" x14ac:dyDescent="0.2">
      <c r="A559" t="s">
        <v>1882</v>
      </c>
      <c r="B559" t="s">
        <v>388</v>
      </c>
      <c r="C559" t="s">
        <v>388</v>
      </c>
      <c r="E559" t="s">
        <v>1883</v>
      </c>
      <c r="F559" t="s">
        <v>447</v>
      </c>
      <c r="G559">
        <v>4</v>
      </c>
      <c r="H559">
        <v>2250</v>
      </c>
      <c r="I559">
        <v>4</v>
      </c>
      <c r="J559">
        <v>23.5</v>
      </c>
      <c r="K559">
        <v>4</v>
      </c>
      <c r="L559">
        <v>1.0249999999999999</v>
      </c>
      <c r="M559">
        <v>4</v>
      </c>
      <c r="N559">
        <v>397.5</v>
      </c>
      <c r="O559">
        <v>4</v>
      </c>
      <c r="P559">
        <v>2.65</v>
      </c>
      <c r="Q559">
        <v>4</v>
      </c>
      <c r="R559">
        <v>0.13900000000000001</v>
      </c>
      <c r="T559" s="8" t="s">
        <v>1883</v>
      </c>
    </row>
    <row r="560" spans="1:20" x14ac:dyDescent="0.2">
      <c r="A560" t="s">
        <v>1884</v>
      </c>
      <c r="B560" t="s">
        <v>388</v>
      </c>
      <c r="C560" t="s">
        <v>388</v>
      </c>
      <c r="E560" t="s">
        <v>1885</v>
      </c>
      <c r="F560" t="s">
        <v>1886</v>
      </c>
      <c r="G560">
        <v>4</v>
      </c>
      <c r="H560">
        <v>2250</v>
      </c>
      <c r="I560">
        <v>4</v>
      </c>
      <c r="J560">
        <v>23.5</v>
      </c>
      <c r="K560">
        <v>4</v>
      </c>
      <c r="L560">
        <v>1.0249999999999999</v>
      </c>
      <c r="M560">
        <v>4</v>
      </c>
      <c r="N560">
        <v>397.5</v>
      </c>
      <c r="O560">
        <v>4</v>
      </c>
      <c r="P560">
        <v>2.65</v>
      </c>
      <c r="Q560">
        <v>4</v>
      </c>
      <c r="R560">
        <v>0.13900000000000001</v>
      </c>
      <c r="T560" s="8" t="s">
        <v>1885</v>
      </c>
    </row>
    <row r="561" spans="1:20" x14ac:dyDescent="0.2">
      <c r="A561" t="s">
        <v>1887</v>
      </c>
      <c r="B561" t="s">
        <v>388</v>
      </c>
      <c r="C561" t="s">
        <v>388</v>
      </c>
      <c r="E561" t="s">
        <v>1888</v>
      </c>
      <c r="F561" t="s">
        <v>1889</v>
      </c>
      <c r="G561">
        <v>1</v>
      </c>
      <c r="H561">
        <v>1620</v>
      </c>
      <c r="I561">
        <v>1</v>
      </c>
      <c r="J561">
        <v>8.5</v>
      </c>
      <c r="K561">
        <v>1</v>
      </c>
      <c r="L561">
        <v>0.27500000000000002</v>
      </c>
      <c r="M561">
        <v>1</v>
      </c>
      <c r="N561">
        <v>112.5</v>
      </c>
      <c r="O561">
        <v>1</v>
      </c>
      <c r="P561">
        <v>0.55000000000000004</v>
      </c>
      <c r="Q561">
        <v>1</v>
      </c>
      <c r="R561">
        <v>2.5000000000000001E-2</v>
      </c>
      <c r="T561" s="8" t="s">
        <v>1888</v>
      </c>
    </row>
    <row r="562" spans="1:20" x14ac:dyDescent="0.2">
      <c r="A562" t="s">
        <v>1890</v>
      </c>
      <c r="B562" t="s">
        <v>388</v>
      </c>
      <c r="C562" t="s">
        <v>388</v>
      </c>
      <c r="E562" t="s">
        <v>1891</v>
      </c>
      <c r="F562" t="s">
        <v>1892</v>
      </c>
      <c r="G562">
        <v>3</v>
      </c>
      <c r="H562">
        <v>2040</v>
      </c>
      <c r="I562">
        <v>3</v>
      </c>
      <c r="J562">
        <v>18.5</v>
      </c>
      <c r="K562">
        <v>3</v>
      </c>
      <c r="L562">
        <v>0.77500000000000002</v>
      </c>
      <c r="M562">
        <v>3</v>
      </c>
      <c r="N562">
        <v>302.5</v>
      </c>
      <c r="O562">
        <v>4</v>
      </c>
      <c r="P562">
        <v>2.65</v>
      </c>
      <c r="Q562">
        <v>5</v>
      </c>
      <c r="R562">
        <v>0.17699999999999999</v>
      </c>
      <c r="T562" s="8" t="s">
        <v>1891</v>
      </c>
    </row>
    <row r="563" spans="1:20" x14ac:dyDescent="0.2">
      <c r="A563" t="s">
        <v>1893</v>
      </c>
      <c r="B563" t="s">
        <v>388</v>
      </c>
      <c r="C563" t="s">
        <v>388</v>
      </c>
      <c r="E563" t="s">
        <v>1894</v>
      </c>
      <c r="F563" t="s">
        <v>1895</v>
      </c>
      <c r="G563">
        <v>5</v>
      </c>
      <c r="H563">
        <v>2460</v>
      </c>
      <c r="I563">
        <v>5</v>
      </c>
      <c r="J563">
        <v>28.5</v>
      </c>
      <c r="K563">
        <v>5</v>
      </c>
      <c r="L563">
        <v>1.2749999999999999</v>
      </c>
      <c r="M563">
        <v>5</v>
      </c>
      <c r="N563">
        <v>492.5</v>
      </c>
      <c r="O563">
        <v>5</v>
      </c>
      <c r="P563">
        <v>3.35</v>
      </c>
      <c r="Q563">
        <v>5</v>
      </c>
      <c r="R563">
        <v>0.17699999999999999</v>
      </c>
      <c r="T563" s="8" t="s">
        <v>1894</v>
      </c>
    </row>
    <row r="564" spans="1:20" x14ac:dyDescent="0.2">
      <c r="A564" t="s">
        <v>1896</v>
      </c>
      <c r="B564" t="s">
        <v>388</v>
      </c>
      <c r="C564" t="s">
        <v>388</v>
      </c>
      <c r="E564" t="s">
        <v>1897</v>
      </c>
      <c r="F564" t="s">
        <v>1898</v>
      </c>
      <c r="G564">
        <v>1</v>
      </c>
      <c r="H564">
        <v>1620</v>
      </c>
      <c r="I564">
        <v>1</v>
      </c>
      <c r="J564">
        <v>8.5</v>
      </c>
      <c r="K564">
        <v>1</v>
      </c>
      <c r="L564">
        <v>0.27500000000000002</v>
      </c>
      <c r="M564">
        <v>1</v>
      </c>
      <c r="N564">
        <v>112.5</v>
      </c>
      <c r="O564">
        <v>1</v>
      </c>
      <c r="P564">
        <v>0.55000000000000004</v>
      </c>
      <c r="Q564">
        <v>1</v>
      </c>
      <c r="R564">
        <v>2.5000000000000001E-2</v>
      </c>
      <c r="T564" s="8" t="s">
        <v>1897</v>
      </c>
    </row>
    <row r="565" spans="1:20" x14ac:dyDescent="0.2">
      <c r="A565" t="s">
        <v>1899</v>
      </c>
      <c r="B565" t="s">
        <v>388</v>
      </c>
      <c r="C565" t="s">
        <v>388</v>
      </c>
      <c r="E565" t="s">
        <v>1900</v>
      </c>
      <c r="F565" t="s">
        <v>1901</v>
      </c>
      <c r="G565">
        <v>2</v>
      </c>
      <c r="H565">
        <v>1830</v>
      </c>
      <c r="I565">
        <v>2</v>
      </c>
      <c r="J565">
        <v>13.5</v>
      </c>
      <c r="K565">
        <v>2</v>
      </c>
      <c r="L565">
        <v>0.52500000000000002</v>
      </c>
      <c r="M565">
        <v>4</v>
      </c>
      <c r="N565">
        <v>397.5</v>
      </c>
      <c r="O565">
        <v>4</v>
      </c>
      <c r="P565">
        <v>2.65</v>
      </c>
      <c r="Q565">
        <v>3</v>
      </c>
      <c r="R565">
        <v>0.10100000000000001</v>
      </c>
      <c r="T565" s="8" t="s">
        <v>1900</v>
      </c>
    </row>
    <row r="566" spans="1:20" x14ac:dyDescent="0.2">
      <c r="A566" t="s">
        <v>1902</v>
      </c>
      <c r="B566" t="s">
        <v>388</v>
      </c>
      <c r="C566" t="s">
        <v>388</v>
      </c>
      <c r="E566" t="s">
        <v>1903</v>
      </c>
      <c r="F566" t="s">
        <v>1904</v>
      </c>
      <c r="G566">
        <v>4</v>
      </c>
      <c r="H566">
        <v>2250</v>
      </c>
      <c r="I566">
        <v>4</v>
      </c>
      <c r="J566">
        <v>23.5</v>
      </c>
      <c r="K566">
        <v>3</v>
      </c>
      <c r="L566">
        <v>0.77500000000000002</v>
      </c>
      <c r="M566">
        <v>4</v>
      </c>
      <c r="N566">
        <v>397.5</v>
      </c>
      <c r="O566">
        <v>4</v>
      </c>
      <c r="P566">
        <v>2.65</v>
      </c>
      <c r="Q566">
        <v>4</v>
      </c>
      <c r="R566">
        <v>0.13900000000000001</v>
      </c>
      <c r="T566" s="8" t="s">
        <v>1903</v>
      </c>
    </row>
    <row r="567" spans="1:20" x14ac:dyDescent="0.2">
      <c r="A567" t="s">
        <v>1905</v>
      </c>
      <c r="B567" t="s">
        <v>388</v>
      </c>
      <c r="C567" t="s">
        <v>388</v>
      </c>
      <c r="E567" t="s">
        <v>1906</v>
      </c>
      <c r="F567" t="s">
        <v>1907</v>
      </c>
      <c r="G567">
        <v>1</v>
      </c>
      <c r="H567">
        <v>1620</v>
      </c>
      <c r="I567">
        <v>3</v>
      </c>
      <c r="J567">
        <v>18.5</v>
      </c>
      <c r="K567">
        <v>3</v>
      </c>
      <c r="L567">
        <v>0.77500000000000002</v>
      </c>
      <c r="M567">
        <v>1</v>
      </c>
      <c r="N567">
        <v>112.5</v>
      </c>
      <c r="O567">
        <v>1</v>
      </c>
      <c r="P567">
        <v>0.55000000000000004</v>
      </c>
      <c r="Q567">
        <v>1</v>
      </c>
      <c r="R567">
        <v>2.5000000000000001E-2</v>
      </c>
      <c r="T567" s="8" t="s">
        <v>1906</v>
      </c>
    </row>
    <row r="568" spans="1:20" x14ac:dyDescent="0.2">
      <c r="A568" t="s">
        <v>1908</v>
      </c>
      <c r="B568" t="s">
        <v>388</v>
      </c>
      <c r="C568" t="s">
        <v>388</v>
      </c>
      <c r="E568" t="s">
        <v>1909</v>
      </c>
      <c r="F568" t="s">
        <v>1910</v>
      </c>
      <c r="G568">
        <v>5</v>
      </c>
      <c r="H568">
        <v>2460</v>
      </c>
      <c r="I568">
        <v>5</v>
      </c>
      <c r="J568">
        <v>28.5</v>
      </c>
      <c r="K568">
        <v>5</v>
      </c>
      <c r="L568">
        <v>1.2749999999999999</v>
      </c>
      <c r="M568">
        <v>5</v>
      </c>
      <c r="N568">
        <v>492.5</v>
      </c>
      <c r="O568">
        <v>5</v>
      </c>
      <c r="P568">
        <v>3.35</v>
      </c>
      <c r="Q568">
        <v>4</v>
      </c>
      <c r="R568">
        <v>0.13900000000000001</v>
      </c>
      <c r="T568" s="8" t="s">
        <v>1909</v>
      </c>
    </row>
    <row r="569" spans="1:20" x14ac:dyDescent="0.2">
      <c r="A569" t="s">
        <v>1911</v>
      </c>
      <c r="B569" t="s">
        <v>388</v>
      </c>
      <c r="C569" t="s">
        <v>388</v>
      </c>
      <c r="E569" t="s">
        <v>1912</v>
      </c>
      <c r="F569" t="s">
        <v>1913</v>
      </c>
      <c r="G569">
        <v>5</v>
      </c>
      <c r="H569">
        <v>2460</v>
      </c>
      <c r="I569">
        <v>5</v>
      </c>
      <c r="J569">
        <v>28.5</v>
      </c>
      <c r="K569">
        <v>5</v>
      </c>
      <c r="L569">
        <v>1.2749999999999999</v>
      </c>
      <c r="M569">
        <v>5</v>
      </c>
      <c r="N569">
        <v>492.5</v>
      </c>
      <c r="O569">
        <v>5</v>
      </c>
      <c r="P569">
        <v>3.35</v>
      </c>
      <c r="Q569">
        <v>5</v>
      </c>
      <c r="R569">
        <v>0.17699999999999999</v>
      </c>
      <c r="T569" s="8" t="s">
        <v>1912</v>
      </c>
    </row>
    <row r="570" spans="1:20" x14ac:dyDescent="0.2">
      <c r="A570" t="s">
        <v>1914</v>
      </c>
      <c r="B570" t="s">
        <v>388</v>
      </c>
      <c r="C570" t="s">
        <v>388</v>
      </c>
      <c r="E570" t="s">
        <v>1915</v>
      </c>
      <c r="F570" t="s">
        <v>1916</v>
      </c>
      <c r="G570">
        <v>2</v>
      </c>
      <c r="H570">
        <v>1830</v>
      </c>
      <c r="I570">
        <v>1</v>
      </c>
      <c r="J570">
        <v>8.5</v>
      </c>
      <c r="K570">
        <v>1</v>
      </c>
      <c r="L570">
        <v>0.27500000000000002</v>
      </c>
      <c r="M570">
        <v>1</v>
      </c>
      <c r="N570">
        <v>112.5</v>
      </c>
      <c r="O570">
        <v>1</v>
      </c>
      <c r="P570">
        <v>0.55000000000000004</v>
      </c>
      <c r="Q570">
        <v>1</v>
      </c>
      <c r="R570">
        <v>2.5000000000000001E-2</v>
      </c>
      <c r="T570" s="8" t="s">
        <v>1915</v>
      </c>
    </row>
    <row r="571" spans="1:20" x14ac:dyDescent="0.2">
      <c r="A571" t="s">
        <v>1917</v>
      </c>
      <c r="B571" t="s">
        <v>388</v>
      </c>
      <c r="C571" t="s">
        <v>388</v>
      </c>
      <c r="E571" t="s">
        <v>1918</v>
      </c>
      <c r="F571" t="s">
        <v>1919</v>
      </c>
      <c r="G571">
        <v>2</v>
      </c>
      <c r="H571">
        <v>1830</v>
      </c>
      <c r="I571">
        <v>2</v>
      </c>
      <c r="J571">
        <v>13.5</v>
      </c>
      <c r="K571">
        <v>2</v>
      </c>
      <c r="L571">
        <v>0.52500000000000002</v>
      </c>
      <c r="M571">
        <v>3</v>
      </c>
      <c r="N571">
        <v>302.5</v>
      </c>
      <c r="O571">
        <v>3</v>
      </c>
      <c r="P571">
        <v>1.95</v>
      </c>
      <c r="Q571">
        <v>2</v>
      </c>
      <c r="R571">
        <v>6.3E-2</v>
      </c>
      <c r="T571" s="8" t="s">
        <v>1918</v>
      </c>
    </row>
    <row r="572" spans="1:20" x14ac:dyDescent="0.2">
      <c r="A572" t="s">
        <v>1920</v>
      </c>
      <c r="B572" t="s">
        <v>388</v>
      </c>
      <c r="C572" t="s">
        <v>388</v>
      </c>
      <c r="E572" t="s">
        <v>1921</v>
      </c>
      <c r="F572" t="s">
        <v>1922</v>
      </c>
      <c r="G572">
        <v>2</v>
      </c>
      <c r="H572">
        <v>1830</v>
      </c>
      <c r="I572">
        <v>2</v>
      </c>
      <c r="J572">
        <v>13.5</v>
      </c>
      <c r="K572">
        <v>2</v>
      </c>
      <c r="L572">
        <v>0.52500000000000002</v>
      </c>
      <c r="M572">
        <v>2</v>
      </c>
      <c r="N572">
        <v>207.5</v>
      </c>
      <c r="O572">
        <v>2</v>
      </c>
      <c r="P572">
        <v>1.25</v>
      </c>
      <c r="Q572">
        <v>2</v>
      </c>
      <c r="R572">
        <v>6.3E-2</v>
      </c>
      <c r="T572" s="8" t="s">
        <v>1921</v>
      </c>
    </row>
    <row r="573" spans="1:20" x14ac:dyDescent="0.2">
      <c r="A573" t="s">
        <v>1923</v>
      </c>
      <c r="B573" t="s">
        <v>388</v>
      </c>
      <c r="C573" t="s">
        <v>388</v>
      </c>
      <c r="E573" t="s">
        <v>1924</v>
      </c>
      <c r="F573" t="s">
        <v>1925</v>
      </c>
      <c r="G573">
        <v>3</v>
      </c>
      <c r="H573">
        <v>2040</v>
      </c>
      <c r="I573">
        <v>3</v>
      </c>
      <c r="J573">
        <v>18.5</v>
      </c>
      <c r="K573">
        <v>3</v>
      </c>
      <c r="L573">
        <v>0.77500000000000002</v>
      </c>
      <c r="M573">
        <v>3</v>
      </c>
      <c r="N573">
        <v>302.5</v>
      </c>
      <c r="O573">
        <v>3</v>
      </c>
      <c r="P573">
        <v>1.95</v>
      </c>
      <c r="Q573">
        <v>4</v>
      </c>
      <c r="R573">
        <v>0.13900000000000001</v>
      </c>
      <c r="T573" s="8" t="s">
        <v>1924</v>
      </c>
    </row>
    <row r="574" spans="1:20" x14ac:dyDescent="0.2">
      <c r="A574" t="s">
        <v>1926</v>
      </c>
      <c r="B574" t="s">
        <v>388</v>
      </c>
      <c r="C574" t="s">
        <v>388</v>
      </c>
      <c r="E574" t="s">
        <v>1927</v>
      </c>
      <c r="F574" t="s">
        <v>1928</v>
      </c>
      <c r="G574">
        <v>4</v>
      </c>
      <c r="H574">
        <v>2250</v>
      </c>
      <c r="I574">
        <v>5</v>
      </c>
      <c r="J574">
        <v>28.5</v>
      </c>
      <c r="K574">
        <v>4</v>
      </c>
      <c r="L574">
        <v>1.0249999999999999</v>
      </c>
      <c r="M574">
        <v>4</v>
      </c>
      <c r="N574">
        <v>397.5</v>
      </c>
      <c r="O574">
        <v>4</v>
      </c>
      <c r="P574">
        <v>2.65</v>
      </c>
      <c r="Q574">
        <v>4</v>
      </c>
      <c r="R574">
        <v>0.13900000000000001</v>
      </c>
      <c r="T574" s="8" t="s">
        <v>1927</v>
      </c>
    </row>
    <row r="575" spans="1:20" x14ac:dyDescent="0.2">
      <c r="A575" t="s">
        <v>1929</v>
      </c>
      <c r="B575" t="s">
        <v>388</v>
      </c>
      <c r="C575" t="s">
        <v>388</v>
      </c>
      <c r="E575" t="s">
        <v>1930</v>
      </c>
      <c r="F575" t="s">
        <v>1931</v>
      </c>
      <c r="G575">
        <v>4</v>
      </c>
      <c r="H575">
        <v>2250</v>
      </c>
      <c r="I575">
        <v>4</v>
      </c>
      <c r="J575">
        <v>23.5</v>
      </c>
      <c r="K575">
        <v>4</v>
      </c>
      <c r="L575">
        <v>1.0249999999999999</v>
      </c>
      <c r="M575">
        <v>4</v>
      </c>
      <c r="N575">
        <v>397.5</v>
      </c>
      <c r="O575">
        <v>4</v>
      </c>
      <c r="P575">
        <v>2.65</v>
      </c>
      <c r="Q575">
        <v>4</v>
      </c>
      <c r="R575">
        <v>0.13900000000000001</v>
      </c>
      <c r="T575" s="8" t="s">
        <v>1930</v>
      </c>
    </row>
    <row r="576" spans="1:20" x14ac:dyDescent="0.2">
      <c r="A576" t="s">
        <v>1932</v>
      </c>
      <c r="B576" t="s">
        <v>388</v>
      </c>
      <c r="C576" t="s">
        <v>388</v>
      </c>
      <c r="E576" t="s">
        <v>1933</v>
      </c>
      <c r="F576" t="s">
        <v>1934</v>
      </c>
      <c r="G576">
        <v>3</v>
      </c>
      <c r="H576">
        <v>2040</v>
      </c>
      <c r="I576">
        <v>2</v>
      </c>
      <c r="J576">
        <v>13.5</v>
      </c>
      <c r="K576">
        <v>2</v>
      </c>
      <c r="L576">
        <v>0.52500000000000002</v>
      </c>
      <c r="M576">
        <v>2</v>
      </c>
      <c r="N576">
        <v>207.5</v>
      </c>
      <c r="O576">
        <v>2</v>
      </c>
      <c r="P576">
        <v>1.25</v>
      </c>
      <c r="Q576">
        <v>2</v>
      </c>
      <c r="R576">
        <v>6.3E-2</v>
      </c>
      <c r="T576" s="8" t="s">
        <v>1933</v>
      </c>
    </row>
    <row r="577" spans="1:20" x14ac:dyDescent="0.2">
      <c r="A577" t="s">
        <v>1935</v>
      </c>
      <c r="B577" t="s">
        <v>388</v>
      </c>
      <c r="C577" t="s">
        <v>388</v>
      </c>
      <c r="E577" t="s">
        <v>1936</v>
      </c>
      <c r="F577" t="s">
        <v>1937</v>
      </c>
      <c r="G577">
        <v>4</v>
      </c>
      <c r="H577">
        <v>2250</v>
      </c>
      <c r="I577">
        <v>4</v>
      </c>
      <c r="J577">
        <v>23.5</v>
      </c>
      <c r="K577">
        <v>4</v>
      </c>
      <c r="L577">
        <v>1.0249999999999999</v>
      </c>
      <c r="M577">
        <v>3</v>
      </c>
      <c r="N577">
        <v>302.5</v>
      </c>
      <c r="O577">
        <v>3</v>
      </c>
      <c r="P577">
        <v>1.95</v>
      </c>
      <c r="Q577">
        <v>3</v>
      </c>
      <c r="R577">
        <v>0.10100000000000001</v>
      </c>
      <c r="T577" s="8" t="s">
        <v>1936</v>
      </c>
    </row>
    <row r="578" spans="1:20" x14ac:dyDescent="0.2">
      <c r="A578" t="s">
        <v>1938</v>
      </c>
      <c r="B578" t="s">
        <v>388</v>
      </c>
      <c r="C578" t="s">
        <v>388</v>
      </c>
      <c r="E578" t="s">
        <v>1939</v>
      </c>
      <c r="F578" t="s">
        <v>1940</v>
      </c>
      <c r="G578">
        <v>3</v>
      </c>
      <c r="H578">
        <v>2040</v>
      </c>
      <c r="I578">
        <v>3</v>
      </c>
      <c r="J578">
        <v>18.5</v>
      </c>
      <c r="K578">
        <v>3</v>
      </c>
      <c r="L578">
        <v>0.77500000000000002</v>
      </c>
      <c r="M578">
        <v>3</v>
      </c>
      <c r="N578">
        <v>302.5</v>
      </c>
      <c r="O578">
        <v>3</v>
      </c>
      <c r="P578">
        <v>1.95</v>
      </c>
      <c r="Q578">
        <v>3</v>
      </c>
      <c r="R578">
        <v>0.10100000000000001</v>
      </c>
      <c r="T578" s="8" t="s">
        <v>1939</v>
      </c>
    </row>
    <row r="579" spans="1:20" x14ac:dyDescent="0.2">
      <c r="A579" t="s">
        <v>1941</v>
      </c>
      <c r="B579" t="s">
        <v>388</v>
      </c>
      <c r="C579" t="s">
        <v>388</v>
      </c>
      <c r="E579" t="s">
        <v>1942</v>
      </c>
      <c r="F579" t="s">
        <v>1943</v>
      </c>
      <c r="G579">
        <v>5</v>
      </c>
      <c r="H579">
        <v>2460</v>
      </c>
      <c r="I579">
        <v>5</v>
      </c>
      <c r="J579">
        <v>28.5</v>
      </c>
      <c r="K579">
        <v>4</v>
      </c>
      <c r="L579">
        <v>1.0249999999999999</v>
      </c>
      <c r="M579">
        <v>5</v>
      </c>
      <c r="N579">
        <v>492.5</v>
      </c>
      <c r="O579">
        <v>5</v>
      </c>
      <c r="P579">
        <v>3.35</v>
      </c>
      <c r="Q579">
        <v>4</v>
      </c>
      <c r="R579">
        <v>0.13900000000000001</v>
      </c>
      <c r="T579" s="8" t="s">
        <v>1942</v>
      </c>
    </row>
    <row r="580" spans="1:20" x14ac:dyDescent="0.2">
      <c r="A580" t="s">
        <v>1944</v>
      </c>
      <c r="B580" t="s">
        <v>388</v>
      </c>
      <c r="C580" t="s">
        <v>388</v>
      </c>
      <c r="E580" t="s">
        <v>1945</v>
      </c>
      <c r="F580" t="s">
        <v>1946</v>
      </c>
      <c r="G580">
        <v>4</v>
      </c>
      <c r="H580">
        <v>2250</v>
      </c>
      <c r="I580">
        <v>3</v>
      </c>
      <c r="J580">
        <v>18.5</v>
      </c>
      <c r="K580">
        <v>3</v>
      </c>
      <c r="L580">
        <v>0.77500000000000002</v>
      </c>
      <c r="M580">
        <v>3</v>
      </c>
      <c r="N580">
        <v>302.5</v>
      </c>
      <c r="O580">
        <v>3</v>
      </c>
      <c r="P580">
        <v>1.95</v>
      </c>
      <c r="Q580">
        <v>3</v>
      </c>
      <c r="R580">
        <v>0.10100000000000001</v>
      </c>
      <c r="T580" s="8" t="s">
        <v>1945</v>
      </c>
    </row>
    <row r="581" spans="1:20" x14ac:dyDescent="0.2">
      <c r="A581" t="s">
        <v>1947</v>
      </c>
      <c r="B581" t="s">
        <v>388</v>
      </c>
      <c r="C581" t="s">
        <v>388</v>
      </c>
      <c r="E581" t="s">
        <v>1948</v>
      </c>
      <c r="F581" t="s">
        <v>447</v>
      </c>
      <c r="G581">
        <v>2</v>
      </c>
      <c r="H581">
        <v>1830</v>
      </c>
      <c r="I581">
        <v>1</v>
      </c>
      <c r="J581">
        <v>8.5</v>
      </c>
      <c r="K581">
        <v>1</v>
      </c>
      <c r="L581">
        <v>0.27500000000000002</v>
      </c>
      <c r="M581">
        <v>2</v>
      </c>
      <c r="N581">
        <v>207.5</v>
      </c>
      <c r="O581">
        <v>2</v>
      </c>
      <c r="P581">
        <v>1.25</v>
      </c>
      <c r="Q581">
        <v>1</v>
      </c>
      <c r="R581">
        <v>2.5000000000000001E-2</v>
      </c>
      <c r="T581" s="8" t="s">
        <v>1948</v>
      </c>
    </row>
    <row r="582" spans="1:20" x14ac:dyDescent="0.2">
      <c r="A582" t="s">
        <v>1949</v>
      </c>
      <c r="B582" t="s">
        <v>388</v>
      </c>
      <c r="C582" t="s">
        <v>388</v>
      </c>
      <c r="E582" t="s">
        <v>1950</v>
      </c>
      <c r="F582" t="s">
        <v>447</v>
      </c>
      <c r="G582">
        <v>3</v>
      </c>
      <c r="H582">
        <v>2040</v>
      </c>
      <c r="I582">
        <v>3</v>
      </c>
      <c r="J582">
        <v>18.5</v>
      </c>
      <c r="K582">
        <v>3</v>
      </c>
      <c r="L582">
        <v>0.77500000000000002</v>
      </c>
      <c r="M582">
        <v>3</v>
      </c>
      <c r="N582">
        <v>302.5</v>
      </c>
      <c r="O582">
        <v>3</v>
      </c>
      <c r="P582">
        <v>1.95</v>
      </c>
      <c r="Q582">
        <v>3</v>
      </c>
      <c r="R582">
        <v>0.10100000000000001</v>
      </c>
      <c r="T582" s="8" t="s">
        <v>1950</v>
      </c>
    </row>
    <row r="583" spans="1:20" x14ac:dyDescent="0.2">
      <c r="A583" t="s">
        <v>1951</v>
      </c>
      <c r="B583" t="s">
        <v>388</v>
      </c>
      <c r="C583" t="s">
        <v>388</v>
      </c>
      <c r="E583" t="s">
        <v>1952</v>
      </c>
      <c r="F583" t="s">
        <v>1953</v>
      </c>
      <c r="G583">
        <v>2</v>
      </c>
      <c r="H583">
        <v>1830</v>
      </c>
      <c r="I583">
        <v>2</v>
      </c>
      <c r="J583">
        <v>13.5</v>
      </c>
      <c r="K583">
        <v>2</v>
      </c>
      <c r="L583">
        <v>0.52500000000000002</v>
      </c>
      <c r="M583">
        <v>2</v>
      </c>
      <c r="N583">
        <v>207.5</v>
      </c>
      <c r="O583">
        <v>2</v>
      </c>
      <c r="P583">
        <v>1.25</v>
      </c>
      <c r="Q583">
        <v>2</v>
      </c>
      <c r="R583">
        <v>6.3E-2</v>
      </c>
      <c r="T583" s="8" t="s">
        <v>1952</v>
      </c>
    </row>
    <row r="584" spans="1:20" x14ac:dyDescent="0.2">
      <c r="A584" t="s">
        <v>1954</v>
      </c>
      <c r="B584" t="s">
        <v>388</v>
      </c>
      <c r="C584" t="s">
        <v>388</v>
      </c>
      <c r="E584" t="s">
        <v>1955</v>
      </c>
      <c r="F584" t="s">
        <v>1956</v>
      </c>
      <c r="G584">
        <v>4</v>
      </c>
      <c r="H584">
        <v>2250</v>
      </c>
      <c r="I584">
        <v>4</v>
      </c>
      <c r="J584">
        <v>23.5</v>
      </c>
      <c r="K584">
        <v>3</v>
      </c>
      <c r="L584">
        <v>0.77500000000000002</v>
      </c>
      <c r="M584">
        <v>3</v>
      </c>
      <c r="N584">
        <v>302.5</v>
      </c>
      <c r="O584">
        <v>4</v>
      </c>
      <c r="P584">
        <v>2.65</v>
      </c>
      <c r="Q584">
        <v>3</v>
      </c>
      <c r="R584">
        <v>0.10100000000000001</v>
      </c>
      <c r="T584" s="8" t="s">
        <v>1955</v>
      </c>
    </row>
    <row r="585" spans="1:20" x14ac:dyDescent="0.2">
      <c r="A585" t="s">
        <v>1957</v>
      </c>
      <c r="B585" t="s">
        <v>388</v>
      </c>
      <c r="C585" t="s">
        <v>388</v>
      </c>
      <c r="E585" t="s">
        <v>1958</v>
      </c>
      <c r="F585" t="s">
        <v>1959</v>
      </c>
      <c r="G585">
        <v>4</v>
      </c>
      <c r="H585">
        <v>2250</v>
      </c>
      <c r="I585">
        <v>5</v>
      </c>
      <c r="J585">
        <v>28.5</v>
      </c>
      <c r="K585">
        <v>4</v>
      </c>
      <c r="L585">
        <v>1.0249999999999999</v>
      </c>
      <c r="M585">
        <v>4</v>
      </c>
      <c r="N585">
        <v>397.5</v>
      </c>
      <c r="O585">
        <v>4</v>
      </c>
      <c r="P585">
        <v>2.65</v>
      </c>
      <c r="Q585">
        <v>4</v>
      </c>
      <c r="R585">
        <v>0.13900000000000001</v>
      </c>
      <c r="T585" s="8" t="s">
        <v>1958</v>
      </c>
    </row>
    <row r="586" spans="1:20" x14ac:dyDescent="0.2">
      <c r="A586" t="s">
        <v>1960</v>
      </c>
      <c r="B586" t="s">
        <v>388</v>
      </c>
      <c r="C586" t="s">
        <v>388</v>
      </c>
      <c r="E586" t="s">
        <v>1961</v>
      </c>
      <c r="F586" t="s">
        <v>1962</v>
      </c>
      <c r="G586">
        <v>2</v>
      </c>
      <c r="H586">
        <v>1830</v>
      </c>
      <c r="I586">
        <v>2</v>
      </c>
      <c r="J586">
        <v>13.5</v>
      </c>
      <c r="K586">
        <v>2</v>
      </c>
      <c r="L586">
        <v>0.52500000000000002</v>
      </c>
      <c r="M586">
        <v>3</v>
      </c>
      <c r="N586">
        <v>302.5</v>
      </c>
      <c r="O586">
        <v>3</v>
      </c>
      <c r="P586">
        <v>1.95</v>
      </c>
      <c r="Q586">
        <v>5</v>
      </c>
      <c r="R586">
        <v>0.17699999999999999</v>
      </c>
      <c r="T586" s="8" t="s">
        <v>1961</v>
      </c>
    </row>
    <row r="587" spans="1:20" x14ac:dyDescent="0.2">
      <c r="A587" t="s">
        <v>1963</v>
      </c>
      <c r="B587" t="s">
        <v>388</v>
      </c>
      <c r="C587" t="s">
        <v>388</v>
      </c>
      <c r="E587" t="s">
        <v>1964</v>
      </c>
      <c r="F587" t="s">
        <v>1965</v>
      </c>
      <c r="G587">
        <v>1</v>
      </c>
      <c r="H587">
        <v>1620</v>
      </c>
      <c r="I587">
        <v>2</v>
      </c>
      <c r="J587">
        <v>13.5</v>
      </c>
      <c r="K587">
        <v>2</v>
      </c>
      <c r="L587">
        <v>0.52500000000000002</v>
      </c>
      <c r="M587">
        <v>2</v>
      </c>
      <c r="N587">
        <v>207.5</v>
      </c>
      <c r="O587">
        <v>1</v>
      </c>
      <c r="P587">
        <v>0.55000000000000004</v>
      </c>
      <c r="Q587">
        <v>2</v>
      </c>
      <c r="R587">
        <v>6.3E-2</v>
      </c>
      <c r="T587" s="8" t="s">
        <v>1964</v>
      </c>
    </row>
    <row r="588" spans="1:20" x14ac:dyDescent="0.2">
      <c r="A588" t="s">
        <v>1966</v>
      </c>
      <c r="B588" t="s">
        <v>388</v>
      </c>
      <c r="C588" t="s">
        <v>388</v>
      </c>
      <c r="E588" t="s">
        <v>1967</v>
      </c>
      <c r="F588" t="s">
        <v>1968</v>
      </c>
      <c r="G588">
        <v>1</v>
      </c>
      <c r="H588">
        <v>1620</v>
      </c>
      <c r="I588">
        <v>4</v>
      </c>
      <c r="J588">
        <v>23.5</v>
      </c>
      <c r="K588">
        <v>3</v>
      </c>
      <c r="L588">
        <v>0.77500000000000002</v>
      </c>
      <c r="M588">
        <v>1</v>
      </c>
      <c r="N588">
        <v>112.5</v>
      </c>
      <c r="O588">
        <v>1</v>
      </c>
      <c r="P588">
        <v>0.55000000000000004</v>
      </c>
      <c r="Q588">
        <v>2</v>
      </c>
      <c r="R588">
        <v>6.3E-2</v>
      </c>
      <c r="T588" s="8" t="s">
        <v>1967</v>
      </c>
    </row>
    <row r="589" spans="1:20" x14ac:dyDescent="0.2">
      <c r="A589" t="s">
        <v>1969</v>
      </c>
      <c r="B589" t="s">
        <v>388</v>
      </c>
      <c r="C589" t="s">
        <v>388</v>
      </c>
      <c r="E589" t="s">
        <v>1970</v>
      </c>
      <c r="F589" t="s">
        <v>1971</v>
      </c>
      <c r="G589">
        <v>5</v>
      </c>
      <c r="H589">
        <v>2460</v>
      </c>
      <c r="I589">
        <v>4</v>
      </c>
      <c r="J589">
        <v>23.5</v>
      </c>
      <c r="K589">
        <v>4</v>
      </c>
      <c r="L589">
        <v>1.0249999999999999</v>
      </c>
      <c r="M589">
        <v>5</v>
      </c>
      <c r="N589">
        <v>492.5</v>
      </c>
      <c r="O589">
        <v>5</v>
      </c>
      <c r="P589">
        <v>3.35</v>
      </c>
      <c r="Q589">
        <v>5</v>
      </c>
      <c r="R589">
        <v>0.17699999999999999</v>
      </c>
      <c r="T589" s="8" t="s">
        <v>1970</v>
      </c>
    </row>
    <row r="590" spans="1:20" x14ac:dyDescent="0.2">
      <c r="A590" t="s">
        <v>1972</v>
      </c>
      <c r="B590" t="s">
        <v>388</v>
      </c>
      <c r="C590" t="s">
        <v>388</v>
      </c>
      <c r="E590" t="s">
        <v>1973</v>
      </c>
      <c r="F590" t="s">
        <v>1974</v>
      </c>
      <c r="G590">
        <v>4</v>
      </c>
      <c r="H590">
        <v>2250</v>
      </c>
      <c r="I590">
        <v>4</v>
      </c>
      <c r="J590">
        <v>23.5</v>
      </c>
      <c r="K590">
        <v>4</v>
      </c>
      <c r="L590">
        <v>1.0249999999999999</v>
      </c>
      <c r="M590">
        <v>4</v>
      </c>
      <c r="N590">
        <v>397.5</v>
      </c>
      <c r="O590">
        <v>4</v>
      </c>
      <c r="P590">
        <v>2.65</v>
      </c>
      <c r="Q590">
        <v>5</v>
      </c>
      <c r="R590">
        <v>0.17699999999999999</v>
      </c>
      <c r="T590" s="8" t="s">
        <v>1973</v>
      </c>
    </row>
    <row r="591" spans="1:20" x14ac:dyDescent="0.2">
      <c r="A591" t="s">
        <v>1975</v>
      </c>
      <c r="B591" t="s">
        <v>388</v>
      </c>
      <c r="C591" t="s">
        <v>388</v>
      </c>
      <c r="E591" t="s">
        <v>1976</v>
      </c>
      <c r="F591" t="s">
        <v>447</v>
      </c>
      <c r="G591">
        <v>5</v>
      </c>
      <c r="H591">
        <v>2460</v>
      </c>
      <c r="I591">
        <v>5</v>
      </c>
      <c r="J591">
        <v>28.5</v>
      </c>
      <c r="K591">
        <v>5</v>
      </c>
      <c r="L591">
        <v>1.2749999999999999</v>
      </c>
      <c r="M591">
        <v>5</v>
      </c>
      <c r="N591">
        <v>492.5</v>
      </c>
      <c r="O591">
        <v>5</v>
      </c>
      <c r="P591">
        <v>3.35</v>
      </c>
      <c r="Q591">
        <v>5</v>
      </c>
      <c r="R591">
        <v>0.17699999999999999</v>
      </c>
      <c r="T591" s="8" t="s">
        <v>1976</v>
      </c>
    </row>
    <row r="592" spans="1:20" x14ac:dyDescent="0.2">
      <c r="A592" t="s">
        <v>1977</v>
      </c>
      <c r="B592" t="s">
        <v>388</v>
      </c>
      <c r="C592" t="s">
        <v>388</v>
      </c>
      <c r="E592" t="s">
        <v>1978</v>
      </c>
      <c r="F592" t="s">
        <v>1979</v>
      </c>
      <c r="G592">
        <v>4</v>
      </c>
      <c r="H592">
        <v>2250</v>
      </c>
      <c r="I592">
        <v>4</v>
      </c>
      <c r="J592">
        <v>23.5</v>
      </c>
      <c r="K592">
        <v>4</v>
      </c>
      <c r="L592">
        <v>1.0249999999999999</v>
      </c>
      <c r="M592">
        <v>2</v>
      </c>
      <c r="N592">
        <v>207.5</v>
      </c>
      <c r="O592">
        <v>3</v>
      </c>
      <c r="P592">
        <v>1.95</v>
      </c>
      <c r="Q592">
        <v>5</v>
      </c>
      <c r="R592">
        <v>0.17699999999999999</v>
      </c>
      <c r="T592" s="8" t="s">
        <v>1978</v>
      </c>
    </row>
    <row r="593" spans="1:20" x14ac:dyDescent="0.2">
      <c r="A593" t="s">
        <v>1980</v>
      </c>
      <c r="B593" t="s">
        <v>388</v>
      </c>
      <c r="C593" t="s">
        <v>388</v>
      </c>
      <c r="E593" t="s">
        <v>1981</v>
      </c>
      <c r="F593" t="s">
        <v>1982</v>
      </c>
      <c r="G593">
        <v>2</v>
      </c>
      <c r="H593">
        <v>1830</v>
      </c>
      <c r="I593">
        <v>2</v>
      </c>
      <c r="J593">
        <v>13.5</v>
      </c>
      <c r="K593">
        <v>2</v>
      </c>
      <c r="L593">
        <v>0.52500000000000002</v>
      </c>
      <c r="M593">
        <v>2</v>
      </c>
      <c r="N593">
        <v>207.5</v>
      </c>
      <c r="O593">
        <v>2</v>
      </c>
      <c r="P593">
        <v>1.25</v>
      </c>
      <c r="Q593">
        <v>2</v>
      </c>
      <c r="R593">
        <v>6.3E-2</v>
      </c>
      <c r="T593" s="8" t="s">
        <v>1981</v>
      </c>
    </row>
    <row r="594" spans="1:20" x14ac:dyDescent="0.2">
      <c r="A594" t="s">
        <v>1983</v>
      </c>
      <c r="B594" t="s">
        <v>388</v>
      </c>
      <c r="C594" t="s">
        <v>388</v>
      </c>
      <c r="E594" t="s">
        <v>1984</v>
      </c>
      <c r="F594" t="s">
        <v>1985</v>
      </c>
      <c r="G594">
        <v>1</v>
      </c>
      <c r="H594">
        <v>1620</v>
      </c>
      <c r="I594">
        <v>1</v>
      </c>
      <c r="J594">
        <v>8.5</v>
      </c>
      <c r="K594">
        <v>1</v>
      </c>
      <c r="L594">
        <v>0.27500000000000002</v>
      </c>
      <c r="M594">
        <v>1</v>
      </c>
      <c r="N594">
        <v>112.5</v>
      </c>
      <c r="O594">
        <v>1</v>
      </c>
      <c r="P594">
        <v>0.55000000000000004</v>
      </c>
      <c r="Q594">
        <v>1</v>
      </c>
      <c r="R594">
        <v>2.5000000000000001E-2</v>
      </c>
      <c r="T594" s="8" t="s">
        <v>1984</v>
      </c>
    </row>
    <row r="595" spans="1:20" x14ac:dyDescent="0.2">
      <c r="A595" t="s">
        <v>1986</v>
      </c>
      <c r="B595" t="s">
        <v>388</v>
      </c>
      <c r="C595" t="s">
        <v>388</v>
      </c>
      <c r="E595" t="s">
        <v>357</v>
      </c>
      <c r="F595" t="s">
        <v>1987</v>
      </c>
      <c r="G595">
        <v>1</v>
      </c>
      <c r="H595">
        <v>1620</v>
      </c>
      <c r="I595">
        <v>1</v>
      </c>
      <c r="J595">
        <v>8.5</v>
      </c>
      <c r="K595">
        <v>1</v>
      </c>
      <c r="L595">
        <v>0.27500000000000002</v>
      </c>
      <c r="M595">
        <v>1</v>
      </c>
      <c r="N595">
        <v>112.5</v>
      </c>
      <c r="O595">
        <v>1</v>
      </c>
      <c r="P595">
        <v>0.55000000000000004</v>
      </c>
      <c r="Q595">
        <v>1</v>
      </c>
      <c r="R595">
        <v>2.5000000000000001E-2</v>
      </c>
      <c r="T595" s="8" t="s">
        <v>357</v>
      </c>
    </row>
    <row r="596" spans="1:20" x14ac:dyDescent="0.2">
      <c r="A596" t="s">
        <v>1988</v>
      </c>
      <c r="B596" t="s">
        <v>1989</v>
      </c>
      <c r="E596" t="s">
        <v>225</v>
      </c>
      <c r="F596" t="s">
        <v>1990</v>
      </c>
      <c r="H596">
        <v>1225</v>
      </c>
      <c r="J596">
        <v>18.5</v>
      </c>
      <c r="L596">
        <v>0.5</v>
      </c>
      <c r="N596">
        <v>30</v>
      </c>
      <c r="P596">
        <v>0.42499999999999999</v>
      </c>
      <c r="R596">
        <v>1.4E-2</v>
      </c>
      <c r="T596" s="8" t="s">
        <v>225</v>
      </c>
    </row>
    <row r="597" spans="1:20" x14ac:dyDescent="0.2">
      <c r="A597" t="s">
        <v>1991</v>
      </c>
      <c r="B597" t="s">
        <v>1989</v>
      </c>
      <c r="E597" t="s">
        <v>1992</v>
      </c>
      <c r="F597" t="s">
        <v>1078</v>
      </c>
      <c r="H597">
        <v>1225</v>
      </c>
      <c r="J597">
        <v>17.5</v>
      </c>
      <c r="L597">
        <v>0.48</v>
      </c>
      <c r="N597">
        <v>40</v>
      </c>
      <c r="P597">
        <v>0.47499999999999998</v>
      </c>
      <c r="R597">
        <v>1.6E-2</v>
      </c>
      <c r="T597" s="8" t="s">
        <v>1992</v>
      </c>
    </row>
    <row r="598" spans="1:20" x14ac:dyDescent="0.2">
      <c r="A598" t="s">
        <v>1993</v>
      </c>
      <c r="B598" t="s">
        <v>1989</v>
      </c>
      <c r="E598" t="s">
        <v>1994</v>
      </c>
      <c r="F598" t="s">
        <v>1995</v>
      </c>
      <c r="H598">
        <v>1075</v>
      </c>
      <c r="J598">
        <v>18.5</v>
      </c>
      <c r="L598">
        <v>0.5</v>
      </c>
      <c r="N598">
        <v>30</v>
      </c>
      <c r="P598">
        <v>0.42499999999999999</v>
      </c>
      <c r="R598">
        <v>1.4E-2</v>
      </c>
      <c r="T598" s="8" t="s">
        <v>1994</v>
      </c>
    </row>
    <row r="599" spans="1:20" x14ac:dyDescent="0.2">
      <c r="A599" t="s">
        <v>1996</v>
      </c>
      <c r="B599" t="s">
        <v>1989</v>
      </c>
      <c r="E599" t="s">
        <v>1994</v>
      </c>
      <c r="F599" t="s">
        <v>1995</v>
      </c>
      <c r="H599">
        <v>1525</v>
      </c>
      <c r="J599">
        <v>15.5</v>
      </c>
      <c r="L599">
        <v>0.44</v>
      </c>
      <c r="N599">
        <v>60</v>
      </c>
      <c r="P599">
        <v>0.42499999999999999</v>
      </c>
      <c r="R599">
        <v>1.6E-2</v>
      </c>
      <c r="T599" s="8" t="s">
        <v>1994</v>
      </c>
    </row>
    <row r="600" spans="1:20" x14ac:dyDescent="0.2">
      <c r="A600" t="s">
        <v>1997</v>
      </c>
      <c r="B600" t="s">
        <v>1989</v>
      </c>
      <c r="E600" t="s">
        <v>210</v>
      </c>
      <c r="F600" t="s">
        <v>1998</v>
      </c>
      <c r="H600">
        <v>1075</v>
      </c>
      <c r="J600">
        <v>16.5</v>
      </c>
      <c r="L600">
        <v>0.44</v>
      </c>
      <c r="N600">
        <v>30</v>
      </c>
      <c r="P600">
        <v>0.375</v>
      </c>
      <c r="R600">
        <v>0.01</v>
      </c>
      <c r="T600" s="8" t="s">
        <v>210</v>
      </c>
    </row>
    <row r="601" spans="1:20" x14ac:dyDescent="0.2">
      <c r="A601" t="s">
        <v>1999</v>
      </c>
      <c r="B601" t="s">
        <v>1989</v>
      </c>
      <c r="E601" t="s">
        <v>2000</v>
      </c>
      <c r="F601" t="s">
        <v>2001</v>
      </c>
      <c r="H601">
        <v>1375</v>
      </c>
      <c r="J601">
        <v>15.5</v>
      </c>
      <c r="L601">
        <v>0.46</v>
      </c>
      <c r="N601">
        <v>30</v>
      </c>
      <c r="P601">
        <v>0.42499999999999999</v>
      </c>
      <c r="R601">
        <v>1.2E-2</v>
      </c>
      <c r="T601" s="8" t="s">
        <v>2000</v>
      </c>
    </row>
    <row r="602" spans="1:20" x14ac:dyDescent="0.2">
      <c r="A602" t="s">
        <v>2002</v>
      </c>
      <c r="B602" t="s">
        <v>1989</v>
      </c>
      <c r="E602" t="s">
        <v>2000</v>
      </c>
      <c r="F602" t="s">
        <v>2001</v>
      </c>
      <c r="H602">
        <v>1675</v>
      </c>
      <c r="J602">
        <v>15.5</v>
      </c>
      <c r="L602">
        <v>0.44</v>
      </c>
      <c r="N602">
        <v>60</v>
      </c>
      <c r="P602">
        <v>0.375</v>
      </c>
      <c r="R602">
        <v>1.2E-2</v>
      </c>
      <c r="T602" s="8" t="s">
        <v>2000</v>
      </c>
    </row>
    <row r="603" spans="1:20" x14ac:dyDescent="0.2">
      <c r="A603" t="s">
        <v>2003</v>
      </c>
      <c r="B603" t="s">
        <v>1989</v>
      </c>
      <c r="E603" t="s">
        <v>2004</v>
      </c>
      <c r="F603" t="s">
        <v>2005</v>
      </c>
      <c r="H603">
        <v>1525</v>
      </c>
      <c r="J603">
        <v>15.5</v>
      </c>
      <c r="L603">
        <v>0.52</v>
      </c>
      <c r="N603">
        <v>70</v>
      </c>
      <c r="P603">
        <v>0.57499999999999996</v>
      </c>
      <c r="R603">
        <v>1.7999999999999999E-2</v>
      </c>
      <c r="T603" s="8" t="s">
        <v>2004</v>
      </c>
    </row>
    <row r="604" spans="1:20" x14ac:dyDescent="0.2">
      <c r="A604" t="s">
        <v>2006</v>
      </c>
      <c r="B604" t="s">
        <v>1989</v>
      </c>
      <c r="E604" t="s">
        <v>242</v>
      </c>
      <c r="F604" t="s">
        <v>2007</v>
      </c>
      <c r="H604">
        <v>1675</v>
      </c>
      <c r="J604">
        <v>15.5</v>
      </c>
      <c r="L604">
        <v>0.44</v>
      </c>
      <c r="N604">
        <v>70</v>
      </c>
      <c r="P604">
        <v>0.375</v>
      </c>
      <c r="R604">
        <v>0.01</v>
      </c>
      <c r="T604" s="8" t="s">
        <v>242</v>
      </c>
    </row>
    <row r="605" spans="1:20" x14ac:dyDescent="0.2">
      <c r="A605" t="s">
        <v>2008</v>
      </c>
      <c r="B605" t="s">
        <v>1989</v>
      </c>
      <c r="E605" t="s">
        <v>211</v>
      </c>
      <c r="F605" t="s">
        <v>2009</v>
      </c>
      <c r="H605">
        <v>1075</v>
      </c>
      <c r="J605">
        <v>16.5</v>
      </c>
      <c r="L605">
        <v>0.46</v>
      </c>
      <c r="N605">
        <v>30</v>
      </c>
      <c r="P605">
        <v>0.42499999999999999</v>
      </c>
      <c r="R605">
        <v>1.4E-2</v>
      </c>
      <c r="T605" s="8" t="s">
        <v>211</v>
      </c>
    </row>
    <row r="606" spans="1:20" x14ac:dyDescent="0.2">
      <c r="A606" t="s">
        <v>2010</v>
      </c>
      <c r="B606" t="s">
        <v>1989</v>
      </c>
      <c r="E606" t="s">
        <v>2011</v>
      </c>
      <c r="F606" t="s">
        <v>2012</v>
      </c>
      <c r="H606">
        <v>1225</v>
      </c>
      <c r="J606">
        <v>17.5</v>
      </c>
      <c r="L606">
        <v>0.5</v>
      </c>
      <c r="N606">
        <v>40</v>
      </c>
      <c r="P606">
        <v>0.52500000000000002</v>
      </c>
      <c r="R606">
        <v>1.6E-2</v>
      </c>
      <c r="T606" s="8" t="s">
        <v>2011</v>
      </c>
    </row>
    <row r="607" spans="1:20" x14ac:dyDescent="0.2">
      <c r="A607" t="s">
        <v>2013</v>
      </c>
      <c r="B607" t="s">
        <v>1989</v>
      </c>
      <c r="E607" t="s">
        <v>2014</v>
      </c>
      <c r="F607" t="s">
        <v>2015</v>
      </c>
      <c r="H607">
        <v>1225</v>
      </c>
      <c r="J607">
        <v>15.5</v>
      </c>
      <c r="L607">
        <v>0.44</v>
      </c>
      <c r="N607">
        <v>70</v>
      </c>
      <c r="P607">
        <v>0.57499999999999996</v>
      </c>
      <c r="R607">
        <v>1.7999999999999999E-2</v>
      </c>
      <c r="T607" s="8" t="s">
        <v>2014</v>
      </c>
    </row>
    <row r="608" spans="1:20" x14ac:dyDescent="0.2">
      <c r="A608" t="s">
        <v>2016</v>
      </c>
      <c r="B608" t="s">
        <v>1989</v>
      </c>
      <c r="E608" t="s">
        <v>2017</v>
      </c>
      <c r="F608" t="s">
        <v>2018</v>
      </c>
      <c r="H608">
        <v>1075</v>
      </c>
      <c r="J608">
        <v>17.5</v>
      </c>
      <c r="L608">
        <v>0.48</v>
      </c>
      <c r="N608">
        <v>30</v>
      </c>
      <c r="P608">
        <v>0.42499999999999999</v>
      </c>
      <c r="R608">
        <v>1.2E-2</v>
      </c>
      <c r="T608" s="8" t="s">
        <v>2017</v>
      </c>
    </row>
    <row r="609" spans="1:20" x14ac:dyDescent="0.2">
      <c r="A609" t="s">
        <v>2019</v>
      </c>
      <c r="B609" t="s">
        <v>1989</v>
      </c>
      <c r="E609" t="s">
        <v>206</v>
      </c>
      <c r="F609" t="s">
        <v>2020</v>
      </c>
      <c r="H609">
        <v>1675</v>
      </c>
      <c r="J609">
        <v>15.5</v>
      </c>
      <c r="L609">
        <v>0.46</v>
      </c>
      <c r="N609">
        <v>70</v>
      </c>
      <c r="P609">
        <v>0.57499999999999996</v>
      </c>
      <c r="R609">
        <v>1.7999999999999999E-2</v>
      </c>
      <c r="T609" s="8" t="s">
        <v>206</v>
      </c>
    </row>
    <row r="610" spans="1:20" x14ac:dyDescent="0.2">
      <c r="A610" t="s">
        <v>2021</v>
      </c>
      <c r="B610" t="s">
        <v>2022</v>
      </c>
      <c r="C610" t="s">
        <v>2023</v>
      </c>
      <c r="D610" t="s">
        <v>2024</v>
      </c>
      <c r="E610" t="s">
        <v>2025</v>
      </c>
      <c r="F610" t="s">
        <v>2026</v>
      </c>
      <c r="G610">
        <v>2</v>
      </c>
      <c r="H610">
        <v>1560</v>
      </c>
      <c r="I610">
        <v>3</v>
      </c>
      <c r="J610">
        <v>5.9</v>
      </c>
      <c r="K610">
        <v>5</v>
      </c>
      <c r="L610">
        <v>8.5999999999999993E-2</v>
      </c>
      <c r="M610">
        <v>1</v>
      </c>
      <c r="N610">
        <v>74</v>
      </c>
      <c r="O610">
        <v>3</v>
      </c>
      <c r="P610">
        <v>0.375</v>
      </c>
      <c r="Q610">
        <v>5</v>
      </c>
      <c r="R610">
        <v>8.0000000000000002E-3</v>
      </c>
      <c r="T610" s="8" t="s">
        <v>2025</v>
      </c>
    </row>
    <row r="611" spans="1:20" x14ac:dyDescent="0.2">
      <c r="A611" t="s">
        <v>2027</v>
      </c>
      <c r="B611" t="s">
        <v>2022</v>
      </c>
      <c r="C611" t="s">
        <v>2028</v>
      </c>
      <c r="D611" t="s">
        <v>2024</v>
      </c>
      <c r="E611" t="s">
        <v>2029</v>
      </c>
      <c r="F611" t="s">
        <v>2030</v>
      </c>
      <c r="G611">
        <v>2</v>
      </c>
      <c r="H611">
        <v>850</v>
      </c>
      <c r="I611">
        <v>2</v>
      </c>
      <c r="J611">
        <v>1.55</v>
      </c>
      <c r="K611">
        <v>2</v>
      </c>
      <c r="L611">
        <v>4.4999999999999998E-2</v>
      </c>
      <c r="M611">
        <v>4</v>
      </c>
      <c r="N611">
        <v>400</v>
      </c>
      <c r="O611">
        <v>3</v>
      </c>
      <c r="P611">
        <v>0.75</v>
      </c>
      <c r="Q611">
        <v>5</v>
      </c>
      <c r="R611">
        <v>3.3500000000000002E-2</v>
      </c>
      <c r="T611" s="8" t="s">
        <v>2029</v>
      </c>
    </row>
    <row r="612" spans="1:20" x14ac:dyDescent="0.2">
      <c r="A612" t="s">
        <v>2031</v>
      </c>
      <c r="B612" t="s">
        <v>2022</v>
      </c>
      <c r="C612" t="s">
        <v>2023</v>
      </c>
      <c r="D612" t="s">
        <v>2024</v>
      </c>
      <c r="E612" t="s">
        <v>2032</v>
      </c>
      <c r="F612" t="s">
        <v>447</v>
      </c>
      <c r="G612">
        <v>2</v>
      </c>
      <c r="H612">
        <v>1560</v>
      </c>
      <c r="I612">
        <v>2</v>
      </c>
      <c r="J612">
        <v>3.4</v>
      </c>
      <c r="K612">
        <v>2</v>
      </c>
      <c r="L612">
        <v>2.5999999999999999E-2</v>
      </c>
      <c r="M612">
        <v>2</v>
      </c>
      <c r="N612">
        <v>84</v>
      </c>
      <c r="O612">
        <v>2</v>
      </c>
      <c r="P612">
        <v>0.22500000000000001</v>
      </c>
      <c r="Q612">
        <v>2</v>
      </c>
      <c r="R612">
        <v>2E-3</v>
      </c>
      <c r="T612" s="8" t="s">
        <v>2032</v>
      </c>
    </row>
    <row r="613" spans="1:20" x14ac:dyDescent="0.2">
      <c r="A613" t="s">
        <v>2033</v>
      </c>
      <c r="B613" t="s">
        <v>2022</v>
      </c>
      <c r="C613" t="s">
        <v>2023</v>
      </c>
      <c r="D613" t="s">
        <v>2024</v>
      </c>
      <c r="E613" t="s">
        <v>2034</v>
      </c>
      <c r="F613" t="s">
        <v>447</v>
      </c>
      <c r="G613">
        <v>5</v>
      </c>
      <c r="H613">
        <v>1800</v>
      </c>
      <c r="I613">
        <v>3</v>
      </c>
      <c r="J613">
        <v>5.9</v>
      </c>
      <c r="K613">
        <v>5</v>
      </c>
      <c r="L613">
        <v>8.5999999999999993E-2</v>
      </c>
      <c r="M613">
        <v>2</v>
      </c>
      <c r="N613">
        <v>84</v>
      </c>
      <c r="O613">
        <v>2</v>
      </c>
      <c r="P613">
        <v>0.22500000000000001</v>
      </c>
      <c r="Q613">
        <v>4</v>
      </c>
      <c r="R613">
        <v>6.0000000000000001E-3</v>
      </c>
      <c r="T613" s="8" t="s">
        <v>2034</v>
      </c>
    </row>
    <row r="614" spans="1:20" x14ac:dyDescent="0.2">
      <c r="A614" t="s">
        <v>2035</v>
      </c>
      <c r="B614" t="s">
        <v>2022</v>
      </c>
      <c r="C614" t="s">
        <v>2036</v>
      </c>
      <c r="D614" t="s">
        <v>2024</v>
      </c>
      <c r="E614" t="s">
        <v>2037</v>
      </c>
      <c r="F614" t="s">
        <v>447</v>
      </c>
      <c r="G614">
        <v>2</v>
      </c>
      <c r="H614">
        <v>1640</v>
      </c>
      <c r="I614">
        <v>5</v>
      </c>
      <c r="J614">
        <v>7</v>
      </c>
      <c r="K614">
        <v>5</v>
      </c>
      <c r="L614">
        <v>0.17499999999999999</v>
      </c>
      <c r="M614">
        <v>2</v>
      </c>
      <c r="N614">
        <v>82</v>
      </c>
      <c r="O614">
        <v>4</v>
      </c>
      <c r="P614">
        <v>0.42499999999999999</v>
      </c>
      <c r="Q614">
        <v>5</v>
      </c>
      <c r="R614">
        <v>1.2E-2</v>
      </c>
      <c r="T614" s="8" t="s">
        <v>2037</v>
      </c>
    </row>
    <row r="615" spans="1:20" x14ac:dyDescent="0.2">
      <c r="A615" t="s">
        <v>2038</v>
      </c>
      <c r="B615" t="s">
        <v>2022</v>
      </c>
      <c r="C615" t="s">
        <v>2023</v>
      </c>
      <c r="D615" t="s">
        <v>2024</v>
      </c>
      <c r="E615" t="s">
        <v>2039</v>
      </c>
      <c r="F615" t="s">
        <v>447</v>
      </c>
      <c r="G615">
        <v>3</v>
      </c>
      <c r="H615">
        <v>1640</v>
      </c>
      <c r="I615">
        <v>4</v>
      </c>
      <c r="J615">
        <v>8.4</v>
      </c>
      <c r="K615">
        <v>5</v>
      </c>
      <c r="L615">
        <v>8.5999999999999993E-2</v>
      </c>
      <c r="M615">
        <v>2</v>
      </c>
      <c r="N615">
        <v>84</v>
      </c>
      <c r="O615">
        <v>3</v>
      </c>
      <c r="P615">
        <v>0.375</v>
      </c>
      <c r="Q615">
        <v>5</v>
      </c>
      <c r="R615">
        <v>8.0000000000000002E-3</v>
      </c>
      <c r="T615" s="8" t="s">
        <v>2039</v>
      </c>
    </row>
    <row r="616" spans="1:20" x14ac:dyDescent="0.2">
      <c r="A616" t="s">
        <v>2040</v>
      </c>
      <c r="B616" t="s">
        <v>2022</v>
      </c>
      <c r="C616" t="s">
        <v>2023</v>
      </c>
      <c r="D616" t="s">
        <v>2024</v>
      </c>
      <c r="E616" t="s">
        <v>2041</v>
      </c>
      <c r="F616" t="s">
        <v>2042</v>
      </c>
      <c r="G616">
        <v>2</v>
      </c>
      <c r="H616">
        <v>1560</v>
      </c>
      <c r="I616">
        <v>3</v>
      </c>
      <c r="J616">
        <v>5.9</v>
      </c>
      <c r="K616">
        <v>5</v>
      </c>
      <c r="L616">
        <v>8.5999999999999993E-2</v>
      </c>
      <c r="M616">
        <v>2</v>
      </c>
      <c r="N616">
        <v>84</v>
      </c>
      <c r="O616">
        <v>2</v>
      </c>
      <c r="P616">
        <v>0.22500000000000001</v>
      </c>
      <c r="Q616">
        <v>4</v>
      </c>
      <c r="R616">
        <v>6.0000000000000001E-3</v>
      </c>
      <c r="T616" s="8" t="s">
        <v>2041</v>
      </c>
    </row>
    <row r="617" spans="1:20" x14ac:dyDescent="0.2">
      <c r="A617" t="s">
        <v>2043</v>
      </c>
      <c r="B617" t="s">
        <v>2022</v>
      </c>
      <c r="C617" t="s">
        <v>2023</v>
      </c>
      <c r="D617" t="s">
        <v>2024</v>
      </c>
      <c r="E617" t="s">
        <v>2044</v>
      </c>
      <c r="F617" t="s">
        <v>2045</v>
      </c>
      <c r="G617">
        <v>4</v>
      </c>
      <c r="H617">
        <v>1720</v>
      </c>
      <c r="I617">
        <v>4</v>
      </c>
      <c r="J617">
        <v>8.4</v>
      </c>
      <c r="K617">
        <v>5</v>
      </c>
      <c r="L617">
        <v>8.5999999999999993E-2</v>
      </c>
      <c r="M617">
        <v>5</v>
      </c>
      <c r="N617">
        <v>114</v>
      </c>
      <c r="O617">
        <v>4</v>
      </c>
      <c r="P617">
        <v>0.52500000000000002</v>
      </c>
      <c r="Q617">
        <v>5</v>
      </c>
      <c r="R617">
        <v>8.0000000000000002E-3</v>
      </c>
      <c r="T617" s="8" t="s">
        <v>2044</v>
      </c>
    </row>
    <row r="618" spans="1:20" x14ac:dyDescent="0.2">
      <c r="A618" t="s">
        <v>2046</v>
      </c>
      <c r="B618" t="s">
        <v>2022</v>
      </c>
      <c r="C618" t="s">
        <v>2023</v>
      </c>
      <c r="D618" t="s">
        <v>2024</v>
      </c>
      <c r="E618" t="s">
        <v>2047</v>
      </c>
      <c r="F618" t="s">
        <v>447</v>
      </c>
      <c r="G618">
        <v>2</v>
      </c>
      <c r="H618">
        <v>1560</v>
      </c>
      <c r="I618">
        <v>3</v>
      </c>
      <c r="J618">
        <v>5.9</v>
      </c>
      <c r="K618">
        <v>5</v>
      </c>
      <c r="L618">
        <v>8.5999999999999993E-2</v>
      </c>
      <c r="M618">
        <v>3</v>
      </c>
      <c r="N618">
        <v>94</v>
      </c>
      <c r="O618">
        <v>3</v>
      </c>
      <c r="P618">
        <v>0.375</v>
      </c>
      <c r="Q618">
        <v>4</v>
      </c>
      <c r="R618">
        <v>6.0000000000000001E-3</v>
      </c>
      <c r="T618" s="8" t="s">
        <v>2047</v>
      </c>
    </row>
    <row r="619" spans="1:20" x14ac:dyDescent="0.2">
      <c r="A619" t="s">
        <v>2048</v>
      </c>
      <c r="B619" t="s">
        <v>2022</v>
      </c>
      <c r="C619" t="s">
        <v>2049</v>
      </c>
      <c r="D619" t="s">
        <v>2024</v>
      </c>
      <c r="E619" t="s">
        <v>2050</v>
      </c>
      <c r="F619" t="s">
        <v>2051</v>
      </c>
      <c r="G619">
        <v>3</v>
      </c>
      <c r="H619">
        <v>1550</v>
      </c>
      <c r="I619">
        <v>1</v>
      </c>
      <c r="J619">
        <v>1.4</v>
      </c>
      <c r="K619">
        <v>1</v>
      </c>
      <c r="L619">
        <v>0.01</v>
      </c>
      <c r="M619">
        <v>4</v>
      </c>
      <c r="N619">
        <v>146</v>
      </c>
      <c r="O619">
        <v>1</v>
      </c>
      <c r="P619">
        <v>0.06</v>
      </c>
      <c r="Q619">
        <v>1</v>
      </c>
      <c r="R619">
        <v>8.4999999999999995E-4</v>
      </c>
      <c r="T619" s="8" t="s">
        <v>2050</v>
      </c>
    </row>
    <row r="620" spans="1:20" x14ac:dyDescent="0.2">
      <c r="A620" t="s">
        <v>2052</v>
      </c>
      <c r="B620" t="s">
        <v>2022</v>
      </c>
      <c r="C620" t="s">
        <v>2053</v>
      </c>
      <c r="D620" t="s">
        <v>2024</v>
      </c>
      <c r="E620" t="s">
        <v>2054</v>
      </c>
      <c r="F620" t="s">
        <v>2051</v>
      </c>
      <c r="G620">
        <v>4</v>
      </c>
      <c r="H620">
        <v>1800</v>
      </c>
      <c r="I620">
        <v>1</v>
      </c>
      <c r="J620">
        <v>1.55</v>
      </c>
      <c r="K620">
        <v>1</v>
      </c>
      <c r="L620">
        <v>1.4999999999999999E-2</v>
      </c>
      <c r="M620">
        <v>5</v>
      </c>
      <c r="N620">
        <v>113</v>
      </c>
      <c r="O620">
        <v>1</v>
      </c>
      <c r="P620">
        <v>7.4999999999999997E-2</v>
      </c>
      <c r="Q620">
        <v>1</v>
      </c>
      <c r="R620">
        <v>8.4999999999999995E-4</v>
      </c>
      <c r="T620" s="8" t="s">
        <v>2054</v>
      </c>
    </row>
    <row r="621" spans="1:20" x14ac:dyDescent="0.2">
      <c r="A621" t="s">
        <v>2055</v>
      </c>
      <c r="B621" t="s">
        <v>2022</v>
      </c>
      <c r="C621" t="s">
        <v>2053</v>
      </c>
      <c r="E621" t="s">
        <v>2054</v>
      </c>
      <c r="F621" t="s">
        <v>2051</v>
      </c>
      <c r="G621">
        <v>5</v>
      </c>
      <c r="H621">
        <v>1900</v>
      </c>
      <c r="I621">
        <v>5</v>
      </c>
      <c r="J621">
        <v>11.55</v>
      </c>
      <c r="K621">
        <v>5</v>
      </c>
      <c r="L621">
        <v>0.41499999999999998</v>
      </c>
      <c r="M621">
        <v>5</v>
      </c>
      <c r="N621">
        <v>113</v>
      </c>
      <c r="O621">
        <v>5</v>
      </c>
      <c r="P621">
        <v>0.67500000000000004</v>
      </c>
      <c r="Q621">
        <v>5</v>
      </c>
      <c r="R621">
        <v>2.6200000000000001E-2</v>
      </c>
      <c r="T621" s="8" t="s">
        <v>2054</v>
      </c>
    </row>
    <row r="622" spans="1:20" x14ac:dyDescent="0.2">
      <c r="A622" t="s">
        <v>2056</v>
      </c>
      <c r="B622" t="s">
        <v>2022</v>
      </c>
      <c r="C622" t="s">
        <v>2053</v>
      </c>
      <c r="D622" t="s">
        <v>2024</v>
      </c>
      <c r="E622" t="s">
        <v>2057</v>
      </c>
      <c r="F622" t="s">
        <v>2058</v>
      </c>
      <c r="G622">
        <v>4</v>
      </c>
      <c r="H622">
        <v>1800</v>
      </c>
      <c r="I622">
        <v>3</v>
      </c>
      <c r="J622">
        <v>6.55</v>
      </c>
      <c r="K622">
        <v>1</v>
      </c>
      <c r="L622">
        <v>1.4999999999999999E-2</v>
      </c>
      <c r="M622">
        <v>5</v>
      </c>
      <c r="N622">
        <v>113</v>
      </c>
      <c r="O622">
        <v>4</v>
      </c>
      <c r="P622">
        <v>0.52500000000000002</v>
      </c>
      <c r="Q622">
        <v>2</v>
      </c>
      <c r="R622">
        <v>5.1999999999999998E-3</v>
      </c>
      <c r="T622" s="8" t="s">
        <v>2057</v>
      </c>
    </row>
    <row r="623" spans="1:20" x14ac:dyDescent="0.2">
      <c r="A623" t="s">
        <v>2059</v>
      </c>
      <c r="B623" t="s">
        <v>2022</v>
      </c>
      <c r="C623" t="s">
        <v>2036</v>
      </c>
      <c r="D623" t="s">
        <v>2024</v>
      </c>
      <c r="E623" t="s">
        <v>2060</v>
      </c>
      <c r="F623" t="s">
        <v>2061</v>
      </c>
      <c r="G623">
        <v>5</v>
      </c>
      <c r="H623">
        <v>1940</v>
      </c>
      <c r="I623">
        <v>5</v>
      </c>
      <c r="J623">
        <v>7</v>
      </c>
      <c r="K623">
        <v>5</v>
      </c>
      <c r="L623">
        <v>0.17499999999999999</v>
      </c>
      <c r="M623">
        <v>3</v>
      </c>
      <c r="N623">
        <v>88</v>
      </c>
      <c r="O623">
        <v>4</v>
      </c>
      <c r="P623">
        <v>0.42499999999999999</v>
      </c>
      <c r="Q623">
        <v>5</v>
      </c>
      <c r="R623">
        <v>1.2E-2</v>
      </c>
      <c r="T623" s="8" t="s">
        <v>2060</v>
      </c>
    </row>
    <row r="624" spans="1:20" x14ac:dyDescent="0.2">
      <c r="A624" t="s">
        <v>2062</v>
      </c>
      <c r="B624" t="s">
        <v>2022</v>
      </c>
      <c r="C624" t="s">
        <v>2023</v>
      </c>
      <c r="D624" t="s">
        <v>2024</v>
      </c>
      <c r="E624" t="s">
        <v>2063</v>
      </c>
      <c r="F624" t="s">
        <v>2064</v>
      </c>
      <c r="G624">
        <v>2</v>
      </c>
      <c r="H624">
        <v>1560</v>
      </c>
      <c r="I624">
        <v>1</v>
      </c>
      <c r="J624">
        <v>0.9</v>
      </c>
      <c r="K624">
        <v>1</v>
      </c>
      <c r="L624">
        <v>6.0000000000000001E-3</v>
      </c>
      <c r="M624">
        <v>1</v>
      </c>
      <c r="N624">
        <v>74</v>
      </c>
      <c r="O624">
        <v>1</v>
      </c>
      <c r="P624">
        <v>7.4999999999999997E-2</v>
      </c>
      <c r="Q624">
        <v>1</v>
      </c>
      <c r="R624">
        <v>5.0000000000000001E-4</v>
      </c>
      <c r="T624" s="8" t="s">
        <v>2063</v>
      </c>
    </row>
    <row r="625" spans="1:20" x14ac:dyDescent="0.2">
      <c r="A625" t="s">
        <v>2065</v>
      </c>
      <c r="B625" t="s">
        <v>2022</v>
      </c>
      <c r="C625" t="s">
        <v>2023</v>
      </c>
      <c r="D625" t="s">
        <v>2024</v>
      </c>
      <c r="E625" t="s">
        <v>2066</v>
      </c>
      <c r="F625" t="s">
        <v>2067</v>
      </c>
      <c r="G625">
        <v>3</v>
      </c>
      <c r="H625">
        <v>1640</v>
      </c>
      <c r="I625">
        <v>3</v>
      </c>
      <c r="J625">
        <v>5.9</v>
      </c>
      <c r="K625">
        <v>5</v>
      </c>
      <c r="L625">
        <v>8.5999999999999993E-2</v>
      </c>
      <c r="M625">
        <v>1</v>
      </c>
      <c r="N625">
        <v>74</v>
      </c>
      <c r="O625">
        <v>2</v>
      </c>
      <c r="P625">
        <v>0.22500000000000001</v>
      </c>
      <c r="Q625">
        <v>3</v>
      </c>
      <c r="R625">
        <v>4.0000000000000001E-3</v>
      </c>
      <c r="T625" s="8" t="s">
        <v>2066</v>
      </c>
    </row>
    <row r="626" spans="1:20" x14ac:dyDescent="0.2">
      <c r="A626" t="s">
        <v>2068</v>
      </c>
      <c r="B626" t="s">
        <v>2022</v>
      </c>
      <c r="C626" t="s">
        <v>2023</v>
      </c>
      <c r="D626" t="s">
        <v>2024</v>
      </c>
      <c r="E626" t="s">
        <v>2069</v>
      </c>
      <c r="F626" t="s">
        <v>2070</v>
      </c>
      <c r="G626">
        <v>1</v>
      </c>
      <c r="H626">
        <v>1480</v>
      </c>
      <c r="I626">
        <v>5</v>
      </c>
      <c r="J626">
        <v>10.9</v>
      </c>
      <c r="K626">
        <v>5</v>
      </c>
      <c r="L626">
        <v>8.5999999999999993E-2</v>
      </c>
      <c r="M626">
        <v>1</v>
      </c>
      <c r="N626">
        <v>74</v>
      </c>
      <c r="O626">
        <v>4</v>
      </c>
      <c r="P626">
        <v>0.52500000000000002</v>
      </c>
      <c r="Q626">
        <v>5</v>
      </c>
      <c r="R626">
        <v>8.0000000000000002E-3</v>
      </c>
      <c r="T626" s="8" t="s">
        <v>2069</v>
      </c>
    </row>
    <row r="627" spans="1:20" x14ac:dyDescent="0.2">
      <c r="A627" t="s">
        <v>2071</v>
      </c>
      <c r="B627" t="s">
        <v>2022</v>
      </c>
      <c r="C627" t="s">
        <v>2053</v>
      </c>
      <c r="D627" t="s">
        <v>2024</v>
      </c>
      <c r="E627" t="s">
        <v>2072</v>
      </c>
      <c r="F627" t="s">
        <v>2073</v>
      </c>
      <c r="G627">
        <v>5</v>
      </c>
      <c r="H627">
        <v>1900</v>
      </c>
      <c r="I627">
        <v>5</v>
      </c>
      <c r="J627">
        <v>11.55</v>
      </c>
      <c r="K627">
        <v>5</v>
      </c>
      <c r="L627">
        <v>0.41499999999999998</v>
      </c>
      <c r="M627">
        <v>4</v>
      </c>
      <c r="N627">
        <v>103</v>
      </c>
      <c r="O627">
        <v>4</v>
      </c>
      <c r="P627">
        <v>0.52500000000000002</v>
      </c>
      <c r="Q627">
        <v>5</v>
      </c>
      <c r="R627">
        <v>2.6200000000000001E-2</v>
      </c>
      <c r="T627" s="8" t="s">
        <v>2072</v>
      </c>
    </row>
    <row r="628" spans="1:20" x14ac:dyDescent="0.2">
      <c r="A628" t="s">
        <v>2074</v>
      </c>
      <c r="B628" t="s">
        <v>2022</v>
      </c>
      <c r="C628" t="s">
        <v>2036</v>
      </c>
      <c r="D628" t="s">
        <v>2024</v>
      </c>
      <c r="E628" t="s">
        <v>2075</v>
      </c>
      <c r="F628" t="s">
        <v>2076</v>
      </c>
      <c r="G628">
        <v>4</v>
      </c>
      <c r="H628">
        <v>1840</v>
      </c>
      <c r="I628">
        <v>2</v>
      </c>
      <c r="J628">
        <v>3.4</v>
      </c>
      <c r="K628">
        <v>3</v>
      </c>
      <c r="L628">
        <v>0.115</v>
      </c>
      <c r="M628">
        <v>3</v>
      </c>
      <c r="N628">
        <v>88</v>
      </c>
      <c r="O628">
        <v>2</v>
      </c>
      <c r="P628">
        <v>0.20499999999999999</v>
      </c>
      <c r="Q628">
        <v>2</v>
      </c>
      <c r="R628">
        <v>4.2500000000000003E-3</v>
      </c>
      <c r="T628" s="8" t="s">
        <v>2075</v>
      </c>
    </row>
    <row r="629" spans="1:20" x14ac:dyDescent="0.2">
      <c r="A629" t="s">
        <v>2077</v>
      </c>
      <c r="B629" t="s">
        <v>2022</v>
      </c>
      <c r="C629" t="s">
        <v>2036</v>
      </c>
      <c r="D629" t="s">
        <v>2024</v>
      </c>
      <c r="E629" t="s">
        <v>2078</v>
      </c>
      <c r="F629" t="s">
        <v>447</v>
      </c>
      <c r="G629">
        <v>4</v>
      </c>
      <c r="H629">
        <v>1840</v>
      </c>
      <c r="I629">
        <v>3</v>
      </c>
      <c r="J629">
        <v>4.5999999999999996</v>
      </c>
      <c r="K629">
        <v>2</v>
      </c>
      <c r="L629">
        <v>8.5000000000000006E-2</v>
      </c>
      <c r="M629">
        <v>5</v>
      </c>
      <c r="N629">
        <v>100</v>
      </c>
      <c r="O629">
        <v>2</v>
      </c>
      <c r="P629">
        <v>0.20499999999999999</v>
      </c>
      <c r="Q629">
        <v>2</v>
      </c>
      <c r="R629">
        <v>4.2500000000000003E-3</v>
      </c>
      <c r="T629" s="8" t="s">
        <v>2078</v>
      </c>
    </row>
    <row r="630" spans="1:20" x14ac:dyDescent="0.2">
      <c r="A630" t="s">
        <v>2079</v>
      </c>
      <c r="B630" t="s">
        <v>2022</v>
      </c>
      <c r="C630" t="s">
        <v>2049</v>
      </c>
      <c r="D630" t="s">
        <v>2024</v>
      </c>
      <c r="E630" t="s">
        <v>2080</v>
      </c>
      <c r="F630" t="s">
        <v>2081</v>
      </c>
      <c r="G630">
        <v>3</v>
      </c>
      <c r="H630">
        <v>1550</v>
      </c>
      <c r="I630">
        <v>5</v>
      </c>
      <c r="J630">
        <v>8.6</v>
      </c>
      <c r="K630">
        <v>5</v>
      </c>
      <c r="L630">
        <v>0.3</v>
      </c>
      <c r="M630">
        <v>4</v>
      </c>
      <c r="N630">
        <v>146</v>
      </c>
      <c r="O630">
        <v>5</v>
      </c>
      <c r="P630">
        <v>0.86</v>
      </c>
      <c r="Q630">
        <v>4</v>
      </c>
      <c r="R630">
        <v>2.4199999999999999E-2</v>
      </c>
      <c r="T630" s="8" t="s">
        <v>2080</v>
      </c>
    </row>
    <row r="631" spans="1:20" x14ac:dyDescent="0.2">
      <c r="A631" t="s">
        <v>2082</v>
      </c>
      <c r="B631" t="s">
        <v>2022</v>
      </c>
      <c r="C631" t="s">
        <v>2053</v>
      </c>
      <c r="D631" t="s">
        <v>2024</v>
      </c>
      <c r="E631" t="s">
        <v>2083</v>
      </c>
      <c r="F631" t="s">
        <v>2084</v>
      </c>
      <c r="G631">
        <v>5</v>
      </c>
      <c r="H631">
        <v>1900</v>
      </c>
      <c r="I631">
        <v>1</v>
      </c>
      <c r="J631">
        <v>1.55</v>
      </c>
      <c r="K631">
        <v>1</v>
      </c>
      <c r="L631">
        <v>1.4999999999999999E-2</v>
      </c>
      <c r="M631">
        <v>5</v>
      </c>
      <c r="N631">
        <v>113</v>
      </c>
      <c r="O631">
        <v>1</v>
      </c>
      <c r="P631">
        <v>7.4999999999999997E-2</v>
      </c>
      <c r="Q631">
        <v>1</v>
      </c>
      <c r="R631">
        <v>8.4999999999999995E-4</v>
      </c>
      <c r="T631" s="8" t="s">
        <v>2083</v>
      </c>
    </row>
    <row r="632" spans="1:20" x14ac:dyDescent="0.2">
      <c r="A632" t="s">
        <v>2085</v>
      </c>
      <c r="B632" t="s">
        <v>2022</v>
      </c>
      <c r="C632" t="s">
        <v>2028</v>
      </c>
      <c r="D632" t="s">
        <v>2024</v>
      </c>
      <c r="E632" t="s">
        <v>2086</v>
      </c>
      <c r="F632" t="s">
        <v>2087</v>
      </c>
      <c r="G632">
        <v>5</v>
      </c>
      <c r="H632">
        <v>1450</v>
      </c>
      <c r="I632">
        <v>1</v>
      </c>
      <c r="J632">
        <v>0.35</v>
      </c>
      <c r="K632">
        <v>1</v>
      </c>
      <c r="L632">
        <v>4.0000000000000001E-3</v>
      </c>
      <c r="M632">
        <v>3</v>
      </c>
      <c r="N632">
        <v>300</v>
      </c>
      <c r="O632">
        <v>1</v>
      </c>
      <c r="P632">
        <v>0.15</v>
      </c>
      <c r="Q632">
        <v>1</v>
      </c>
      <c r="R632">
        <v>1.75E-3</v>
      </c>
      <c r="T632" s="8" t="s">
        <v>2086</v>
      </c>
    </row>
    <row r="633" spans="1:20" x14ac:dyDescent="0.2">
      <c r="A633" t="s">
        <v>2088</v>
      </c>
      <c r="B633" t="s">
        <v>2022</v>
      </c>
      <c r="C633" t="s">
        <v>2036</v>
      </c>
      <c r="D633" t="s">
        <v>2024</v>
      </c>
      <c r="E633" t="s">
        <v>2089</v>
      </c>
      <c r="F633" t="s">
        <v>2090</v>
      </c>
      <c r="G633">
        <v>1</v>
      </c>
      <c r="H633">
        <v>1540</v>
      </c>
      <c r="I633">
        <v>3</v>
      </c>
      <c r="J633">
        <v>4.5999999999999996</v>
      </c>
      <c r="K633">
        <v>5</v>
      </c>
      <c r="L633">
        <v>0.17499999999999999</v>
      </c>
      <c r="M633">
        <v>1</v>
      </c>
      <c r="N633">
        <v>76</v>
      </c>
      <c r="O633">
        <v>2</v>
      </c>
      <c r="P633">
        <v>0.20499999999999999</v>
      </c>
      <c r="Q633">
        <v>4</v>
      </c>
      <c r="R633">
        <v>9.2499999999999995E-3</v>
      </c>
      <c r="T633" s="8" t="s">
        <v>2089</v>
      </c>
    </row>
    <row r="634" spans="1:20" x14ac:dyDescent="0.2">
      <c r="A634" t="s">
        <v>2091</v>
      </c>
      <c r="B634" t="s">
        <v>2022</v>
      </c>
      <c r="C634" t="s">
        <v>2036</v>
      </c>
      <c r="D634" t="s">
        <v>2024</v>
      </c>
      <c r="E634" t="s">
        <v>2092</v>
      </c>
      <c r="F634" t="s">
        <v>2093</v>
      </c>
      <c r="G634">
        <v>2</v>
      </c>
      <c r="H634">
        <v>1640</v>
      </c>
      <c r="I634">
        <v>1</v>
      </c>
      <c r="J634">
        <v>2.2000000000000002</v>
      </c>
      <c r="K634">
        <v>1</v>
      </c>
      <c r="L634">
        <v>5.5E-2</v>
      </c>
      <c r="M634">
        <v>1</v>
      </c>
      <c r="N634">
        <v>76</v>
      </c>
      <c r="O634">
        <v>1</v>
      </c>
      <c r="P634">
        <v>9.5000000000000001E-2</v>
      </c>
      <c r="Q634">
        <v>1</v>
      </c>
      <c r="R634">
        <v>1.5E-3</v>
      </c>
      <c r="T634" s="8" t="s">
        <v>2092</v>
      </c>
    </row>
    <row r="635" spans="1:20" x14ac:dyDescent="0.2">
      <c r="A635" t="s">
        <v>2094</v>
      </c>
      <c r="B635" t="s">
        <v>2022</v>
      </c>
      <c r="C635" t="s">
        <v>2095</v>
      </c>
      <c r="D635" t="s">
        <v>2024</v>
      </c>
      <c r="E635" t="s">
        <v>2096</v>
      </c>
      <c r="F635" t="s">
        <v>447</v>
      </c>
      <c r="G635">
        <v>5</v>
      </c>
      <c r="H635">
        <v>1925</v>
      </c>
      <c r="I635">
        <v>3</v>
      </c>
      <c r="J635">
        <v>10.5</v>
      </c>
      <c r="K635">
        <v>3</v>
      </c>
      <c r="L635">
        <v>0.33</v>
      </c>
      <c r="M635">
        <v>3</v>
      </c>
      <c r="N635">
        <v>86</v>
      </c>
      <c r="O635">
        <v>3</v>
      </c>
      <c r="P635">
        <v>0.55000000000000004</v>
      </c>
      <c r="Q635">
        <v>3</v>
      </c>
      <c r="R635">
        <v>1.49E-2</v>
      </c>
      <c r="T635" s="8" t="s">
        <v>2096</v>
      </c>
    </row>
    <row r="636" spans="1:20" x14ac:dyDescent="0.2">
      <c r="A636" t="s">
        <v>2097</v>
      </c>
      <c r="B636" t="s">
        <v>2022</v>
      </c>
      <c r="C636" t="s">
        <v>2023</v>
      </c>
      <c r="D636" t="s">
        <v>2024</v>
      </c>
      <c r="E636" t="s">
        <v>2098</v>
      </c>
      <c r="F636" t="s">
        <v>2099</v>
      </c>
      <c r="G636">
        <v>4</v>
      </c>
      <c r="H636">
        <v>1720</v>
      </c>
      <c r="I636">
        <v>4</v>
      </c>
      <c r="J636">
        <v>8.4</v>
      </c>
      <c r="K636">
        <v>5</v>
      </c>
      <c r="L636">
        <v>8.5999999999999993E-2</v>
      </c>
      <c r="M636">
        <v>2</v>
      </c>
      <c r="N636">
        <v>84</v>
      </c>
      <c r="O636">
        <v>3</v>
      </c>
      <c r="P636">
        <v>0.375</v>
      </c>
      <c r="Q636">
        <v>4</v>
      </c>
      <c r="R636">
        <v>6.0000000000000001E-3</v>
      </c>
      <c r="T636" s="8" t="s">
        <v>2098</v>
      </c>
    </row>
    <row r="637" spans="1:20" x14ac:dyDescent="0.2">
      <c r="A637" t="s">
        <v>2100</v>
      </c>
      <c r="B637" t="s">
        <v>2022</v>
      </c>
      <c r="C637" t="s">
        <v>2101</v>
      </c>
      <c r="D637" t="s">
        <v>2024</v>
      </c>
      <c r="E637" t="s">
        <v>2102</v>
      </c>
      <c r="F637" t="s">
        <v>2099</v>
      </c>
      <c r="G637">
        <v>4</v>
      </c>
      <c r="H637">
        <v>1870</v>
      </c>
      <c r="I637">
        <v>4</v>
      </c>
      <c r="J637">
        <v>11</v>
      </c>
      <c r="K637">
        <v>2</v>
      </c>
      <c r="L637">
        <v>9.6500000000000002E-2</v>
      </c>
      <c r="M637">
        <v>2</v>
      </c>
      <c r="N637">
        <v>74</v>
      </c>
      <c r="O637">
        <v>3</v>
      </c>
      <c r="P637">
        <v>0.375</v>
      </c>
      <c r="Q637">
        <v>2</v>
      </c>
      <c r="R637">
        <v>4.4999999999999997E-3</v>
      </c>
      <c r="T637" s="8" t="s">
        <v>2102</v>
      </c>
    </row>
    <row r="638" spans="1:20" x14ac:dyDescent="0.2">
      <c r="A638" t="s">
        <v>2103</v>
      </c>
      <c r="B638" t="s">
        <v>2022</v>
      </c>
      <c r="C638" t="s">
        <v>2104</v>
      </c>
      <c r="D638" t="s">
        <v>2024</v>
      </c>
      <c r="E638" t="s">
        <v>2098</v>
      </c>
      <c r="F638" t="s">
        <v>2099</v>
      </c>
      <c r="G638">
        <v>2</v>
      </c>
      <c r="H638">
        <v>1712.5</v>
      </c>
      <c r="I638">
        <v>3</v>
      </c>
      <c r="J638">
        <v>5.55</v>
      </c>
      <c r="K638">
        <v>2</v>
      </c>
      <c r="L638">
        <v>4.1000000000000002E-2</v>
      </c>
      <c r="M638">
        <v>2</v>
      </c>
      <c r="N638">
        <v>65</v>
      </c>
      <c r="P638">
        <v>0</v>
      </c>
      <c r="Q638">
        <v>2</v>
      </c>
      <c r="R638">
        <v>3.2000000000000002E-3</v>
      </c>
      <c r="T638" s="8" t="s">
        <v>2098</v>
      </c>
    </row>
    <row r="639" spans="1:20" x14ac:dyDescent="0.2">
      <c r="A639" t="s">
        <v>2105</v>
      </c>
      <c r="B639" t="s">
        <v>2022</v>
      </c>
      <c r="C639" t="s">
        <v>2106</v>
      </c>
      <c r="D639" t="s">
        <v>2024</v>
      </c>
      <c r="E639" t="s">
        <v>296</v>
      </c>
      <c r="F639" t="s">
        <v>2107</v>
      </c>
      <c r="G639">
        <v>4</v>
      </c>
      <c r="H639">
        <v>2125</v>
      </c>
      <c r="I639">
        <v>2</v>
      </c>
      <c r="J639">
        <v>5.75</v>
      </c>
      <c r="K639">
        <v>4</v>
      </c>
      <c r="L639">
        <v>0.22</v>
      </c>
      <c r="M639">
        <v>5</v>
      </c>
      <c r="N639">
        <v>89.5</v>
      </c>
      <c r="O639">
        <v>4</v>
      </c>
      <c r="P639">
        <v>0.35</v>
      </c>
      <c r="Q639">
        <v>5</v>
      </c>
      <c r="R639">
        <v>8.5000000000000006E-3</v>
      </c>
      <c r="T639" s="8" t="s">
        <v>296</v>
      </c>
    </row>
    <row r="640" spans="1:20" x14ac:dyDescent="0.2">
      <c r="A640" t="s">
        <v>2108</v>
      </c>
      <c r="B640" t="s">
        <v>2022</v>
      </c>
      <c r="C640" t="s">
        <v>2023</v>
      </c>
      <c r="D640" t="s">
        <v>2024</v>
      </c>
      <c r="E640" t="s">
        <v>2109</v>
      </c>
      <c r="F640" t="s">
        <v>2110</v>
      </c>
      <c r="G640">
        <v>2</v>
      </c>
      <c r="H640">
        <v>1560</v>
      </c>
      <c r="I640">
        <v>2</v>
      </c>
      <c r="J640">
        <v>3.4</v>
      </c>
      <c r="K640">
        <v>2</v>
      </c>
      <c r="L640">
        <v>2.5999999999999999E-2</v>
      </c>
      <c r="M640">
        <v>4</v>
      </c>
      <c r="N640">
        <v>104</v>
      </c>
      <c r="O640">
        <v>2</v>
      </c>
      <c r="P640">
        <v>0.22500000000000001</v>
      </c>
      <c r="Q640">
        <v>2</v>
      </c>
      <c r="R640">
        <v>2E-3</v>
      </c>
      <c r="T640" s="8" t="s">
        <v>2109</v>
      </c>
    </row>
    <row r="641" spans="1:20" x14ac:dyDescent="0.2">
      <c r="A641" t="s">
        <v>2111</v>
      </c>
      <c r="B641" t="s">
        <v>2022</v>
      </c>
      <c r="C641" t="s">
        <v>2104</v>
      </c>
      <c r="D641" t="s">
        <v>2024</v>
      </c>
      <c r="E641" t="s">
        <v>2112</v>
      </c>
      <c r="F641" t="s">
        <v>2113</v>
      </c>
      <c r="G641">
        <v>1</v>
      </c>
      <c r="H641">
        <v>1537.5</v>
      </c>
      <c r="I641">
        <v>1</v>
      </c>
      <c r="J641">
        <v>0.95</v>
      </c>
      <c r="K641">
        <v>1</v>
      </c>
      <c r="L641">
        <v>8.0000000000000002E-3</v>
      </c>
      <c r="M641">
        <v>5</v>
      </c>
      <c r="N641">
        <v>89</v>
      </c>
      <c r="P641">
        <v>0</v>
      </c>
      <c r="Q641">
        <v>3</v>
      </c>
      <c r="R641">
        <v>8.2000000000000007E-3</v>
      </c>
      <c r="T641" s="8" t="s">
        <v>2112</v>
      </c>
    </row>
    <row r="642" spans="1:20" x14ac:dyDescent="0.2">
      <c r="A642" t="s">
        <v>2114</v>
      </c>
      <c r="B642" t="s">
        <v>2022</v>
      </c>
      <c r="C642" t="s">
        <v>2049</v>
      </c>
      <c r="D642" t="s">
        <v>2024</v>
      </c>
      <c r="E642" t="s">
        <v>287</v>
      </c>
      <c r="F642" t="s">
        <v>2115</v>
      </c>
      <c r="G642">
        <v>4</v>
      </c>
      <c r="H642">
        <v>1650</v>
      </c>
      <c r="I642">
        <v>3</v>
      </c>
      <c r="J642">
        <v>5</v>
      </c>
      <c r="K642">
        <v>3</v>
      </c>
      <c r="L642">
        <v>0.14000000000000001</v>
      </c>
      <c r="M642">
        <v>3</v>
      </c>
      <c r="N642">
        <v>126</v>
      </c>
      <c r="O642">
        <v>3</v>
      </c>
      <c r="P642">
        <v>0.46</v>
      </c>
      <c r="Q642">
        <v>3</v>
      </c>
      <c r="R642">
        <v>1.52E-2</v>
      </c>
      <c r="T642" s="8" t="s">
        <v>287</v>
      </c>
    </row>
    <row r="643" spans="1:20" x14ac:dyDescent="0.2">
      <c r="A643" t="s">
        <v>2116</v>
      </c>
      <c r="B643" t="s">
        <v>2022</v>
      </c>
      <c r="C643" t="s">
        <v>2036</v>
      </c>
      <c r="D643" t="s">
        <v>2024</v>
      </c>
      <c r="E643" t="s">
        <v>2117</v>
      </c>
      <c r="F643" t="s">
        <v>2118</v>
      </c>
      <c r="G643">
        <v>4</v>
      </c>
      <c r="H643">
        <v>1840</v>
      </c>
      <c r="I643">
        <v>4</v>
      </c>
      <c r="J643">
        <v>5.8</v>
      </c>
      <c r="K643">
        <v>5</v>
      </c>
      <c r="L643">
        <v>0.17499999999999999</v>
      </c>
      <c r="M643">
        <v>4</v>
      </c>
      <c r="N643">
        <v>94</v>
      </c>
      <c r="O643">
        <v>3</v>
      </c>
      <c r="P643">
        <v>0.315</v>
      </c>
      <c r="Q643">
        <v>4</v>
      </c>
      <c r="R643">
        <v>9.2499999999999995E-3</v>
      </c>
      <c r="T643" s="8" t="s">
        <v>2117</v>
      </c>
    </row>
    <row r="644" spans="1:20" x14ac:dyDescent="0.2">
      <c r="A644" t="s">
        <v>2119</v>
      </c>
      <c r="B644" t="s">
        <v>2022</v>
      </c>
      <c r="C644" t="s">
        <v>2101</v>
      </c>
      <c r="D644" t="s">
        <v>2024</v>
      </c>
      <c r="E644" t="s">
        <v>2120</v>
      </c>
      <c r="F644" t="s">
        <v>2121</v>
      </c>
      <c r="G644">
        <v>1</v>
      </c>
      <c r="H644">
        <v>1570</v>
      </c>
      <c r="I644">
        <v>5</v>
      </c>
      <c r="J644">
        <v>14</v>
      </c>
      <c r="K644">
        <v>5</v>
      </c>
      <c r="L644">
        <v>0.53749999999999998</v>
      </c>
      <c r="M644">
        <v>1</v>
      </c>
      <c r="N644">
        <v>66</v>
      </c>
      <c r="O644">
        <v>4</v>
      </c>
      <c r="P644">
        <v>0.52500000000000002</v>
      </c>
      <c r="Q644">
        <v>4</v>
      </c>
      <c r="R644">
        <v>1.8499999999999999E-2</v>
      </c>
      <c r="T644" s="8" t="s">
        <v>2120</v>
      </c>
    </row>
    <row r="645" spans="1:20" x14ac:dyDescent="0.2">
      <c r="A645" t="s">
        <v>2122</v>
      </c>
      <c r="B645" t="s">
        <v>2022</v>
      </c>
      <c r="C645" t="s">
        <v>2023</v>
      </c>
      <c r="D645" t="s">
        <v>2024</v>
      </c>
      <c r="E645" t="s">
        <v>2123</v>
      </c>
      <c r="F645" t="s">
        <v>2124</v>
      </c>
      <c r="G645">
        <v>3</v>
      </c>
      <c r="H645">
        <v>1640</v>
      </c>
      <c r="I645">
        <v>3</v>
      </c>
      <c r="J645">
        <v>5.9</v>
      </c>
      <c r="K645">
        <v>2</v>
      </c>
      <c r="L645">
        <v>2.5999999999999999E-2</v>
      </c>
      <c r="M645">
        <v>1</v>
      </c>
      <c r="N645">
        <v>74</v>
      </c>
      <c r="O645">
        <v>3</v>
      </c>
      <c r="P645">
        <v>0.375</v>
      </c>
      <c r="Q645">
        <v>2</v>
      </c>
      <c r="R645">
        <v>2E-3</v>
      </c>
      <c r="T645" s="8" t="s">
        <v>2123</v>
      </c>
    </row>
    <row r="646" spans="1:20" x14ac:dyDescent="0.2">
      <c r="A646" t="s">
        <v>2125</v>
      </c>
      <c r="B646" t="s">
        <v>2022</v>
      </c>
      <c r="C646" t="s">
        <v>2023</v>
      </c>
      <c r="D646" t="s">
        <v>2024</v>
      </c>
      <c r="E646" t="s">
        <v>2126</v>
      </c>
      <c r="F646" t="s">
        <v>2127</v>
      </c>
      <c r="G646">
        <v>1</v>
      </c>
      <c r="H646">
        <v>1480</v>
      </c>
      <c r="I646">
        <v>2</v>
      </c>
      <c r="J646">
        <v>3.4</v>
      </c>
      <c r="K646">
        <v>2</v>
      </c>
      <c r="L646">
        <v>2.5999999999999999E-2</v>
      </c>
      <c r="M646">
        <v>5</v>
      </c>
      <c r="N646">
        <v>114</v>
      </c>
      <c r="O646">
        <v>3</v>
      </c>
      <c r="P646">
        <v>0.375</v>
      </c>
      <c r="Q646">
        <v>2</v>
      </c>
      <c r="R646">
        <v>2E-3</v>
      </c>
      <c r="T646" s="8" t="s">
        <v>2126</v>
      </c>
    </row>
    <row r="647" spans="1:20" x14ac:dyDescent="0.2">
      <c r="A647" t="s">
        <v>2128</v>
      </c>
      <c r="B647" t="s">
        <v>2022</v>
      </c>
      <c r="C647" t="s">
        <v>2023</v>
      </c>
      <c r="D647" t="s">
        <v>2024</v>
      </c>
      <c r="E647" t="s">
        <v>2129</v>
      </c>
      <c r="F647" t="s">
        <v>2130</v>
      </c>
      <c r="G647">
        <v>3</v>
      </c>
      <c r="H647">
        <v>1640</v>
      </c>
      <c r="I647">
        <v>2</v>
      </c>
      <c r="J647">
        <v>3.4</v>
      </c>
      <c r="K647">
        <v>2</v>
      </c>
      <c r="L647">
        <v>2.5999999999999999E-2</v>
      </c>
      <c r="M647">
        <v>3</v>
      </c>
      <c r="N647">
        <v>94</v>
      </c>
      <c r="O647">
        <v>2</v>
      </c>
      <c r="P647">
        <v>0.22500000000000001</v>
      </c>
      <c r="Q647">
        <v>2</v>
      </c>
      <c r="R647">
        <v>2E-3</v>
      </c>
      <c r="T647" s="8" t="s">
        <v>2129</v>
      </c>
    </row>
    <row r="648" spans="1:20" x14ac:dyDescent="0.2">
      <c r="A648" t="s">
        <v>2131</v>
      </c>
      <c r="B648" t="s">
        <v>2022</v>
      </c>
      <c r="C648" t="s">
        <v>2036</v>
      </c>
      <c r="D648" t="s">
        <v>2024</v>
      </c>
      <c r="E648" t="s">
        <v>2132</v>
      </c>
      <c r="F648" t="s">
        <v>2133</v>
      </c>
      <c r="G648">
        <v>5</v>
      </c>
      <c r="H648">
        <v>1940</v>
      </c>
      <c r="I648">
        <v>5</v>
      </c>
      <c r="J648">
        <v>7</v>
      </c>
      <c r="K648">
        <v>5</v>
      </c>
      <c r="L648">
        <v>0.17499999999999999</v>
      </c>
      <c r="M648">
        <v>5</v>
      </c>
      <c r="N648">
        <v>100</v>
      </c>
      <c r="O648">
        <v>5</v>
      </c>
      <c r="P648">
        <v>0.53500000000000003</v>
      </c>
      <c r="Q648">
        <v>5</v>
      </c>
      <c r="R648">
        <v>1.2E-2</v>
      </c>
      <c r="T648" s="8" t="s">
        <v>2132</v>
      </c>
    </row>
    <row r="649" spans="1:20" x14ac:dyDescent="0.2">
      <c r="A649" t="s">
        <v>2134</v>
      </c>
      <c r="B649" t="s">
        <v>2022</v>
      </c>
      <c r="C649" t="s">
        <v>2023</v>
      </c>
      <c r="D649" t="s">
        <v>2024</v>
      </c>
      <c r="E649" t="s">
        <v>2135</v>
      </c>
      <c r="F649" t="s">
        <v>447</v>
      </c>
      <c r="G649">
        <v>4</v>
      </c>
      <c r="H649">
        <v>1720</v>
      </c>
      <c r="I649">
        <v>2</v>
      </c>
      <c r="J649">
        <v>3.4</v>
      </c>
      <c r="K649">
        <v>3</v>
      </c>
      <c r="L649">
        <v>4.5999999999999999E-2</v>
      </c>
      <c r="M649">
        <v>2</v>
      </c>
      <c r="N649">
        <v>84</v>
      </c>
      <c r="O649">
        <v>2</v>
      </c>
      <c r="P649">
        <v>0.22500000000000001</v>
      </c>
      <c r="Q649">
        <v>2</v>
      </c>
      <c r="R649">
        <v>2E-3</v>
      </c>
      <c r="T649" s="8" t="s">
        <v>2135</v>
      </c>
    </row>
    <row r="650" spans="1:20" x14ac:dyDescent="0.2">
      <c r="A650" t="s">
        <v>57</v>
      </c>
      <c r="B650" t="s">
        <v>2022</v>
      </c>
      <c r="C650" t="s">
        <v>2049</v>
      </c>
      <c r="D650" t="s">
        <v>2136</v>
      </c>
      <c r="E650" t="s">
        <v>254</v>
      </c>
      <c r="F650" t="s">
        <v>2137</v>
      </c>
      <c r="G650">
        <v>3</v>
      </c>
      <c r="H650">
        <v>1550</v>
      </c>
      <c r="I650">
        <v>4</v>
      </c>
      <c r="J650">
        <v>6.8</v>
      </c>
      <c r="K650">
        <v>5</v>
      </c>
      <c r="L650">
        <v>0.3</v>
      </c>
      <c r="M650">
        <v>3</v>
      </c>
      <c r="N650">
        <v>126</v>
      </c>
      <c r="O650">
        <v>3</v>
      </c>
      <c r="P650">
        <v>0.46</v>
      </c>
      <c r="Q650">
        <v>4</v>
      </c>
      <c r="R650">
        <v>2.4199999999999999E-2</v>
      </c>
      <c r="T650" s="8" t="s">
        <v>254</v>
      </c>
    </row>
    <row r="651" spans="1:20" x14ac:dyDescent="0.2">
      <c r="A651" t="s">
        <v>2138</v>
      </c>
      <c r="B651" t="s">
        <v>2022</v>
      </c>
      <c r="C651" t="s">
        <v>2036</v>
      </c>
      <c r="D651" t="s">
        <v>2024</v>
      </c>
      <c r="E651" t="s">
        <v>2139</v>
      </c>
      <c r="F651" t="s">
        <v>2140</v>
      </c>
      <c r="G651">
        <v>3</v>
      </c>
      <c r="H651">
        <v>1740</v>
      </c>
      <c r="I651">
        <v>5</v>
      </c>
      <c r="J651">
        <v>7</v>
      </c>
      <c r="K651">
        <v>5</v>
      </c>
      <c r="L651">
        <v>0.17499999999999999</v>
      </c>
      <c r="M651">
        <v>3</v>
      </c>
      <c r="N651">
        <v>88</v>
      </c>
      <c r="O651">
        <v>3</v>
      </c>
      <c r="P651">
        <v>0.315</v>
      </c>
      <c r="Q651">
        <v>5</v>
      </c>
      <c r="R651">
        <v>1.2E-2</v>
      </c>
      <c r="T651" s="8" t="s">
        <v>2139</v>
      </c>
    </row>
    <row r="652" spans="1:20" x14ac:dyDescent="0.2">
      <c r="A652" t="s">
        <v>2141</v>
      </c>
      <c r="B652" t="s">
        <v>2022</v>
      </c>
      <c r="C652" t="s">
        <v>2036</v>
      </c>
      <c r="D652" t="s">
        <v>2024</v>
      </c>
      <c r="E652" t="s">
        <v>2142</v>
      </c>
      <c r="F652" t="s">
        <v>2143</v>
      </c>
      <c r="G652">
        <v>5</v>
      </c>
      <c r="H652">
        <v>1940</v>
      </c>
      <c r="I652">
        <v>3</v>
      </c>
      <c r="J652">
        <v>4.5999999999999996</v>
      </c>
      <c r="K652">
        <v>5</v>
      </c>
      <c r="L652">
        <v>0.17499999999999999</v>
      </c>
      <c r="M652">
        <v>5</v>
      </c>
      <c r="N652">
        <v>100</v>
      </c>
      <c r="O652">
        <v>3</v>
      </c>
      <c r="P652">
        <v>0.315</v>
      </c>
      <c r="Q652">
        <v>4</v>
      </c>
      <c r="R652">
        <v>9.2499999999999995E-3</v>
      </c>
      <c r="T652" s="8" t="s">
        <v>2142</v>
      </c>
    </row>
    <row r="653" spans="1:20" x14ac:dyDescent="0.2">
      <c r="A653" t="s">
        <v>2144</v>
      </c>
      <c r="B653" t="s">
        <v>2022</v>
      </c>
      <c r="C653" t="s">
        <v>2095</v>
      </c>
      <c r="D653" t="s">
        <v>2024</v>
      </c>
      <c r="E653" t="s">
        <v>2145</v>
      </c>
      <c r="F653" t="s">
        <v>2146</v>
      </c>
      <c r="G653">
        <v>2</v>
      </c>
      <c r="H653">
        <v>1655</v>
      </c>
      <c r="I653">
        <v>2</v>
      </c>
      <c r="J653">
        <v>7.5</v>
      </c>
      <c r="K653">
        <v>3</v>
      </c>
      <c r="L653">
        <v>0.33</v>
      </c>
      <c r="M653">
        <v>2</v>
      </c>
      <c r="N653">
        <v>80</v>
      </c>
      <c r="O653">
        <v>2</v>
      </c>
      <c r="P653">
        <v>0.35</v>
      </c>
      <c r="Q653">
        <v>3</v>
      </c>
      <c r="R653">
        <v>1.49E-2</v>
      </c>
      <c r="T653" s="8" t="s">
        <v>2145</v>
      </c>
    </row>
    <row r="654" spans="1:20" x14ac:dyDescent="0.2">
      <c r="A654" t="s">
        <v>2147</v>
      </c>
      <c r="B654" t="s">
        <v>2022</v>
      </c>
      <c r="C654" t="s">
        <v>2049</v>
      </c>
      <c r="E654" t="s">
        <v>2148</v>
      </c>
      <c r="F654" t="s">
        <v>2149</v>
      </c>
      <c r="G654">
        <v>3</v>
      </c>
      <c r="H654">
        <v>1550</v>
      </c>
      <c r="I654">
        <v>3</v>
      </c>
      <c r="J654">
        <v>5</v>
      </c>
      <c r="K654">
        <v>4</v>
      </c>
      <c r="L654">
        <v>0.22</v>
      </c>
      <c r="M654">
        <v>3</v>
      </c>
      <c r="N654">
        <v>126</v>
      </c>
      <c r="O654">
        <v>3</v>
      </c>
      <c r="P654">
        <v>0.46</v>
      </c>
      <c r="Q654">
        <v>3</v>
      </c>
      <c r="R654">
        <v>1.52E-2</v>
      </c>
      <c r="T654" s="8" t="s">
        <v>2148</v>
      </c>
    </row>
    <row r="655" spans="1:20" x14ac:dyDescent="0.2">
      <c r="A655" t="s">
        <v>2150</v>
      </c>
      <c r="B655" t="s">
        <v>2022</v>
      </c>
      <c r="C655" t="s">
        <v>2023</v>
      </c>
      <c r="D655" t="s">
        <v>2024</v>
      </c>
      <c r="E655" t="s">
        <v>2151</v>
      </c>
      <c r="F655" t="s">
        <v>2152</v>
      </c>
      <c r="G655">
        <v>3</v>
      </c>
      <c r="H655">
        <v>1640</v>
      </c>
      <c r="I655">
        <v>3</v>
      </c>
      <c r="J655">
        <v>5.9</v>
      </c>
      <c r="K655">
        <v>4</v>
      </c>
      <c r="L655">
        <v>6.6000000000000003E-2</v>
      </c>
      <c r="M655">
        <v>3</v>
      </c>
      <c r="N655">
        <v>94</v>
      </c>
      <c r="O655">
        <v>2</v>
      </c>
      <c r="P655">
        <v>0.22500000000000001</v>
      </c>
      <c r="Q655">
        <v>3</v>
      </c>
      <c r="R655">
        <v>4.0000000000000001E-3</v>
      </c>
      <c r="T655" s="8" t="s">
        <v>2151</v>
      </c>
    </row>
    <row r="656" spans="1:20" x14ac:dyDescent="0.2">
      <c r="A656" t="s">
        <v>2153</v>
      </c>
      <c r="B656" t="s">
        <v>2022</v>
      </c>
      <c r="C656" t="s">
        <v>2036</v>
      </c>
      <c r="D656" t="s">
        <v>2154</v>
      </c>
      <c r="E656" t="s">
        <v>2155</v>
      </c>
      <c r="F656" t="s">
        <v>2156</v>
      </c>
      <c r="G656">
        <v>5</v>
      </c>
      <c r="H656">
        <v>1940</v>
      </c>
      <c r="I656">
        <v>5</v>
      </c>
      <c r="J656">
        <v>7</v>
      </c>
      <c r="K656">
        <v>5</v>
      </c>
      <c r="L656">
        <v>0.17499999999999999</v>
      </c>
      <c r="M656">
        <v>5</v>
      </c>
      <c r="N656">
        <v>100</v>
      </c>
      <c r="O656">
        <v>5</v>
      </c>
      <c r="P656">
        <v>0.53500000000000003</v>
      </c>
      <c r="Q656">
        <v>5</v>
      </c>
      <c r="R656">
        <v>1.2E-2</v>
      </c>
      <c r="T656" s="8" t="s">
        <v>2155</v>
      </c>
    </row>
    <row r="657" spans="1:20" x14ac:dyDescent="0.2">
      <c r="A657" t="s">
        <v>2157</v>
      </c>
      <c r="B657" t="s">
        <v>2022</v>
      </c>
      <c r="C657" t="s">
        <v>2095</v>
      </c>
      <c r="D657" t="s">
        <v>2024</v>
      </c>
      <c r="E657" t="s">
        <v>2158</v>
      </c>
      <c r="F657" t="s">
        <v>2159</v>
      </c>
      <c r="G657">
        <v>2</v>
      </c>
      <c r="H657">
        <v>1655</v>
      </c>
      <c r="I657">
        <v>2</v>
      </c>
      <c r="J657">
        <v>7.5</v>
      </c>
      <c r="K657">
        <v>2</v>
      </c>
      <c r="L657">
        <v>0.13</v>
      </c>
      <c r="M657">
        <v>2</v>
      </c>
      <c r="N657">
        <v>80</v>
      </c>
      <c r="O657">
        <v>2</v>
      </c>
      <c r="P657">
        <v>0.35</v>
      </c>
      <c r="Q657">
        <v>2</v>
      </c>
      <c r="R657">
        <v>5.8999999999999999E-3</v>
      </c>
      <c r="T657" s="8" t="s">
        <v>2158</v>
      </c>
    </row>
    <row r="658" spans="1:20" x14ac:dyDescent="0.2">
      <c r="A658" t="s">
        <v>2160</v>
      </c>
      <c r="B658" t="s">
        <v>2022</v>
      </c>
      <c r="C658" t="s">
        <v>2036</v>
      </c>
      <c r="D658" t="s">
        <v>2024</v>
      </c>
      <c r="E658" t="s">
        <v>2161</v>
      </c>
      <c r="F658" t="s">
        <v>2162</v>
      </c>
      <c r="G658">
        <v>5</v>
      </c>
      <c r="H658">
        <v>1940</v>
      </c>
      <c r="I658">
        <v>5</v>
      </c>
      <c r="J658">
        <v>7</v>
      </c>
      <c r="K658">
        <v>5</v>
      </c>
      <c r="L658">
        <v>0.17499999999999999</v>
      </c>
      <c r="M658">
        <v>4</v>
      </c>
      <c r="N658">
        <v>94</v>
      </c>
      <c r="O658">
        <v>4</v>
      </c>
      <c r="P658">
        <v>0.42499999999999999</v>
      </c>
      <c r="Q658">
        <v>5</v>
      </c>
      <c r="R658">
        <v>1.2E-2</v>
      </c>
      <c r="T658" s="8" t="s">
        <v>2161</v>
      </c>
    </row>
    <row r="659" spans="1:20" x14ac:dyDescent="0.2">
      <c r="A659" t="s">
        <v>2163</v>
      </c>
      <c r="B659" t="s">
        <v>2022</v>
      </c>
      <c r="C659" t="s">
        <v>2023</v>
      </c>
      <c r="D659" t="s">
        <v>2024</v>
      </c>
      <c r="E659" t="s">
        <v>2164</v>
      </c>
      <c r="F659" t="s">
        <v>2165</v>
      </c>
      <c r="G659">
        <v>3</v>
      </c>
      <c r="H659">
        <v>1640</v>
      </c>
      <c r="I659">
        <v>4</v>
      </c>
      <c r="J659">
        <v>8.4</v>
      </c>
      <c r="K659">
        <v>5</v>
      </c>
      <c r="L659">
        <v>8.5999999999999993E-2</v>
      </c>
      <c r="M659">
        <v>1</v>
      </c>
      <c r="N659">
        <v>74</v>
      </c>
      <c r="O659">
        <v>3</v>
      </c>
      <c r="P659">
        <v>0.375</v>
      </c>
      <c r="Q659">
        <v>5</v>
      </c>
      <c r="R659">
        <v>8.0000000000000002E-3</v>
      </c>
      <c r="T659" s="8" t="s">
        <v>2164</v>
      </c>
    </row>
    <row r="660" spans="1:20" x14ac:dyDescent="0.2">
      <c r="A660" t="s">
        <v>2166</v>
      </c>
      <c r="B660" t="s">
        <v>2022</v>
      </c>
      <c r="C660" t="s">
        <v>2053</v>
      </c>
      <c r="D660" t="s">
        <v>2024</v>
      </c>
      <c r="E660" t="s">
        <v>2167</v>
      </c>
      <c r="F660" t="s">
        <v>2168</v>
      </c>
      <c r="G660">
        <v>3</v>
      </c>
      <c r="H660">
        <v>1700</v>
      </c>
      <c r="I660">
        <v>5</v>
      </c>
      <c r="J660">
        <v>11.55</v>
      </c>
      <c r="K660">
        <v>4</v>
      </c>
      <c r="L660">
        <v>0.30499999999999999</v>
      </c>
      <c r="M660">
        <v>2</v>
      </c>
      <c r="N660">
        <v>83</v>
      </c>
      <c r="O660">
        <v>4</v>
      </c>
      <c r="P660">
        <v>0.52500000000000002</v>
      </c>
      <c r="Q660">
        <v>3</v>
      </c>
      <c r="R660">
        <v>1.2200000000000001E-2</v>
      </c>
      <c r="T660" s="8" t="s">
        <v>2167</v>
      </c>
    </row>
    <row r="661" spans="1:20" x14ac:dyDescent="0.2">
      <c r="A661" t="s">
        <v>2169</v>
      </c>
      <c r="B661" t="s">
        <v>2022</v>
      </c>
      <c r="C661" t="s">
        <v>2053</v>
      </c>
      <c r="D661" t="s">
        <v>2024</v>
      </c>
      <c r="E661" t="s">
        <v>2170</v>
      </c>
      <c r="F661" t="s">
        <v>2171</v>
      </c>
      <c r="G661">
        <v>2</v>
      </c>
      <c r="H661">
        <v>1600</v>
      </c>
      <c r="I661">
        <v>1</v>
      </c>
      <c r="J661">
        <v>1.55</v>
      </c>
      <c r="K661">
        <v>1</v>
      </c>
      <c r="L661">
        <v>1.4999999999999999E-2</v>
      </c>
      <c r="M661">
        <v>5</v>
      </c>
      <c r="N661">
        <v>113</v>
      </c>
      <c r="O661">
        <v>1</v>
      </c>
      <c r="P661">
        <v>7.4999999999999997E-2</v>
      </c>
      <c r="Q661">
        <v>1</v>
      </c>
      <c r="R661">
        <v>8.4999999999999995E-4</v>
      </c>
      <c r="T661" s="8" t="s">
        <v>2170</v>
      </c>
    </row>
    <row r="662" spans="1:20" x14ac:dyDescent="0.2">
      <c r="A662" t="s">
        <v>2172</v>
      </c>
      <c r="B662" t="s">
        <v>2022</v>
      </c>
      <c r="C662" t="s">
        <v>2173</v>
      </c>
      <c r="D662" t="s">
        <v>2024</v>
      </c>
      <c r="E662" t="s">
        <v>2174</v>
      </c>
      <c r="F662" t="s">
        <v>2175</v>
      </c>
      <c r="G662">
        <v>5</v>
      </c>
      <c r="H662">
        <v>2182.5</v>
      </c>
      <c r="I662">
        <v>1</v>
      </c>
      <c r="J662">
        <v>3.65</v>
      </c>
      <c r="K662">
        <v>2</v>
      </c>
      <c r="L662">
        <v>0.09</v>
      </c>
      <c r="M662">
        <v>4</v>
      </c>
      <c r="N662">
        <v>129.5</v>
      </c>
      <c r="O662">
        <v>2</v>
      </c>
      <c r="P662">
        <v>0.33</v>
      </c>
      <c r="Q662">
        <v>2</v>
      </c>
      <c r="R662">
        <v>4.7999999999999996E-3</v>
      </c>
      <c r="T662" s="8" t="s">
        <v>2174</v>
      </c>
    </row>
    <row r="663" spans="1:20" x14ac:dyDescent="0.2">
      <c r="A663" t="s">
        <v>2176</v>
      </c>
      <c r="B663" t="s">
        <v>2022</v>
      </c>
      <c r="C663" t="s">
        <v>2023</v>
      </c>
      <c r="D663" t="s">
        <v>2024</v>
      </c>
      <c r="E663" t="s">
        <v>2177</v>
      </c>
      <c r="F663" t="s">
        <v>447</v>
      </c>
      <c r="G663">
        <v>2</v>
      </c>
      <c r="H663">
        <v>1560</v>
      </c>
      <c r="I663">
        <v>2</v>
      </c>
      <c r="J663">
        <v>3.4</v>
      </c>
      <c r="K663">
        <v>4</v>
      </c>
      <c r="L663">
        <v>6.6000000000000003E-2</v>
      </c>
      <c r="M663">
        <v>1</v>
      </c>
      <c r="N663">
        <v>74</v>
      </c>
      <c r="O663">
        <v>1</v>
      </c>
      <c r="P663">
        <v>7.4999999999999997E-2</v>
      </c>
      <c r="Q663">
        <v>2</v>
      </c>
      <c r="R663">
        <v>2E-3</v>
      </c>
      <c r="T663" s="8" t="s">
        <v>2177</v>
      </c>
    </row>
    <row r="664" spans="1:20" x14ac:dyDescent="0.2">
      <c r="A664" t="s">
        <v>2178</v>
      </c>
      <c r="B664" t="s">
        <v>2022</v>
      </c>
      <c r="C664" t="s">
        <v>2101</v>
      </c>
      <c r="D664" t="s">
        <v>2024</v>
      </c>
      <c r="E664" t="s">
        <v>2179</v>
      </c>
      <c r="F664" t="s">
        <v>2180</v>
      </c>
      <c r="G664">
        <v>1</v>
      </c>
      <c r="H664">
        <v>1570</v>
      </c>
      <c r="I664">
        <v>5</v>
      </c>
      <c r="J664">
        <v>14</v>
      </c>
      <c r="K664">
        <v>5</v>
      </c>
      <c r="L664">
        <v>0.53749999999999998</v>
      </c>
      <c r="M664">
        <v>3</v>
      </c>
      <c r="N664">
        <v>82</v>
      </c>
      <c r="O664">
        <v>5</v>
      </c>
      <c r="P664">
        <v>0.67500000000000004</v>
      </c>
      <c r="Q664">
        <v>5</v>
      </c>
      <c r="R664">
        <v>2.5499999999999998E-2</v>
      </c>
      <c r="T664" s="8" t="s">
        <v>2179</v>
      </c>
    </row>
    <row r="665" spans="1:20" x14ac:dyDescent="0.2">
      <c r="A665" t="s">
        <v>2181</v>
      </c>
      <c r="B665" t="s">
        <v>2022</v>
      </c>
      <c r="C665" t="s">
        <v>2053</v>
      </c>
      <c r="D665" t="s">
        <v>2024</v>
      </c>
      <c r="E665" t="s">
        <v>2182</v>
      </c>
      <c r="F665" t="s">
        <v>2183</v>
      </c>
      <c r="G665">
        <v>1</v>
      </c>
      <c r="H665">
        <v>1500</v>
      </c>
      <c r="I665">
        <v>1</v>
      </c>
      <c r="J665">
        <v>1.55</v>
      </c>
      <c r="K665">
        <v>1</v>
      </c>
      <c r="L665">
        <v>1.4999999999999999E-2</v>
      </c>
      <c r="M665">
        <v>5</v>
      </c>
      <c r="N665">
        <v>113</v>
      </c>
      <c r="O665">
        <v>2</v>
      </c>
      <c r="P665">
        <v>0.22500000000000001</v>
      </c>
      <c r="Q665">
        <v>2</v>
      </c>
      <c r="R665">
        <v>5.1999999999999998E-3</v>
      </c>
      <c r="T665" s="8" t="s">
        <v>2182</v>
      </c>
    </row>
    <row r="666" spans="1:20" x14ac:dyDescent="0.2">
      <c r="A666" t="s">
        <v>2184</v>
      </c>
      <c r="B666" t="s">
        <v>2022</v>
      </c>
      <c r="C666" t="s">
        <v>2049</v>
      </c>
      <c r="D666" t="s">
        <v>2136</v>
      </c>
      <c r="E666" t="s">
        <v>2185</v>
      </c>
      <c r="F666" t="s">
        <v>2186</v>
      </c>
      <c r="G666">
        <v>3</v>
      </c>
      <c r="H666">
        <v>1550</v>
      </c>
      <c r="I666">
        <v>1</v>
      </c>
      <c r="J666">
        <v>1.4</v>
      </c>
      <c r="K666">
        <v>1</v>
      </c>
      <c r="L666">
        <v>0.01</v>
      </c>
      <c r="M666">
        <v>3</v>
      </c>
      <c r="N666">
        <v>126</v>
      </c>
      <c r="O666">
        <v>2</v>
      </c>
      <c r="P666">
        <v>0.26</v>
      </c>
      <c r="Q666">
        <v>1</v>
      </c>
      <c r="R666">
        <v>8.4999999999999995E-4</v>
      </c>
      <c r="T666" s="8" t="s">
        <v>2185</v>
      </c>
    </row>
    <row r="667" spans="1:20" x14ac:dyDescent="0.2">
      <c r="A667" t="s">
        <v>2187</v>
      </c>
      <c r="B667" t="s">
        <v>2022</v>
      </c>
      <c r="C667" t="s">
        <v>2106</v>
      </c>
      <c r="D667" t="s">
        <v>2024</v>
      </c>
      <c r="E667" t="s">
        <v>2188</v>
      </c>
      <c r="F667" t="s">
        <v>2189</v>
      </c>
      <c r="G667">
        <v>1</v>
      </c>
      <c r="H667">
        <v>1675</v>
      </c>
      <c r="I667">
        <v>5</v>
      </c>
      <c r="J667">
        <v>13.25</v>
      </c>
      <c r="K667">
        <v>5</v>
      </c>
      <c r="L667">
        <v>0.3</v>
      </c>
      <c r="M667">
        <v>1</v>
      </c>
      <c r="N667">
        <v>61.5</v>
      </c>
      <c r="O667">
        <v>5</v>
      </c>
      <c r="P667">
        <v>0.45</v>
      </c>
      <c r="Q667">
        <v>5</v>
      </c>
      <c r="R667">
        <v>8.5000000000000006E-3</v>
      </c>
      <c r="T667" s="8" t="s">
        <v>2188</v>
      </c>
    </row>
    <row r="668" spans="1:20" x14ac:dyDescent="0.2">
      <c r="A668" t="s">
        <v>2190</v>
      </c>
      <c r="B668" t="s">
        <v>2022</v>
      </c>
      <c r="C668" t="s">
        <v>2049</v>
      </c>
      <c r="D668" t="s">
        <v>2024</v>
      </c>
      <c r="E668" t="s">
        <v>2191</v>
      </c>
      <c r="F668" t="s">
        <v>2192</v>
      </c>
      <c r="G668">
        <v>4</v>
      </c>
      <c r="H668">
        <v>1650</v>
      </c>
      <c r="I668">
        <v>5</v>
      </c>
      <c r="J668">
        <v>8.6</v>
      </c>
      <c r="K668">
        <v>5</v>
      </c>
      <c r="L668">
        <v>0.3</v>
      </c>
      <c r="M668">
        <v>2</v>
      </c>
      <c r="N668">
        <v>106</v>
      </c>
      <c r="O668">
        <v>5</v>
      </c>
      <c r="P668">
        <v>0.86</v>
      </c>
      <c r="Q668">
        <v>5</v>
      </c>
      <c r="R668">
        <v>3.32E-2</v>
      </c>
      <c r="T668" s="8" t="s">
        <v>2191</v>
      </c>
    </row>
    <row r="669" spans="1:20" x14ac:dyDescent="0.2">
      <c r="A669" t="s">
        <v>2193</v>
      </c>
      <c r="B669" t="s">
        <v>2022</v>
      </c>
      <c r="C669" t="s">
        <v>2101</v>
      </c>
      <c r="D669" t="s">
        <v>2024</v>
      </c>
      <c r="E669" t="s">
        <v>309</v>
      </c>
      <c r="F669" t="s">
        <v>2194</v>
      </c>
      <c r="G669">
        <v>1</v>
      </c>
      <c r="H669">
        <v>1570</v>
      </c>
      <c r="I669">
        <v>4</v>
      </c>
      <c r="J669">
        <v>11</v>
      </c>
      <c r="K669">
        <v>4</v>
      </c>
      <c r="L669">
        <v>0.39050000000000001</v>
      </c>
      <c r="M669">
        <v>5</v>
      </c>
      <c r="N669">
        <v>98</v>
      </c>
      <c r="O669">
        <v>5</v>
      </c>
      <c r="P669">
        <v>0.67500000000000004</v>
      </c>
      <c r="Q669">
        <v>5</v>
      </c>
      <c r="R669">
        <v>2.5499999999999998E-2</v>
      </c>
      <c r="T669" s="8" t="s">
        <v>309</v>
      </c>
    </row>
    <row r="670" spans="1:20" x14ac:dyDescent="0.2">
      <c r="A670" t="s">
        <v>2195</v>
      </c>
      <c r="B670" t="s">
        <v>2022</v>
      </c>
      <c r="C670" t="s">
        <v>2023</v>
      </c>
      <c r="D670" t="s">
        <v>2024</v>
      </c>
      <c r="E670" t="s">
        <v>2196</v>
      </c>
      <c r="F670" t="s">
        <v>2197</v>
      </c>
      <c r="G670">
        <v>3</v>
      </c>
      <c r="H670">
        <v>1640</v>
      </c>
      <c r="I670">
        <v>5</v>
      </c>
      <c r="J670">
        <v>10.9</v>
      </c>
      <c r="K670">
        <v>5</v>
      </c>
      <c r="L670">
        <v>8.5999999999999993E-2</v>
      </c>
      <c r="M670">
        <v>3</v>
      </c>
      <c r="N670">
        <v>94</v>
      </c>
      <c r="O670">
        <v>5</v>
      </c>
      <c r="P670">
        <v>0.67500000000000004</v>
      </c>
      <c r="Q670">
        <v>5</v>
      </c>
      <c r="R670">
        <v>8.0000000000000002E-3</v>
      </c>
      <c r="T670" s="8" t="s">
        <v>2196</v>
      </c>
    </row>
    <row r="671" spans="1:20" x14ac:dyDescent="0.2">
      <c r="A671" t="s">
        <v>2198</v>
      </c>
      <c r="B671" t="s">
        <v>2022</v>
      </c>
      <c r="C671" t="s">
        <v>2049</v>
      </c>
      <c r="D671" t="s">
        <v>2136</v>
      </c>
      <c r="E671" t="s">
        <v>2199</v>
      </c>
      <c r="F671" t="s">
        <v>2200</v>
      </c>
      <c r="G671">
        <v>3</v>
      </c>
      <c r="H671">
        <v>1550</v>
      </c>
      <c r="I671">
        <v>1</v>
      </c>
      <c r="J671">
        <v>1.4</v>
      </c>
      <c r="K671">
        <v>1</v>
      </c>
      <c r="L671">
        <v>0.01</v>
      </c>
      <c r="M671">
        <v>2</v>
      </c>
      <c r="N671">
        <v>106</v>
      </c>
      <c r="O671">
        <v>1</v>
      </c>
      <c r="P671">
        <v>0.06</v>
      </c>
      <c r="Q671">
        <v>1</v>
      </c>
      <c r="R671">
        <v>8.4999999999999995E-4</v>
      </c>
      <c r="T671" s="8" t="s">
        <v>2199</v>
      </c>
    </row>
    <row r="672" spans="1:20" x14ac:dyDescent="0.2">
      <c r="A672" t="s">
        <v>2201</v>
      </c>
      <c r="B672" t="s">
        <v>2022</v>
      </c>
      <c r="C672" t="s">
        <v>2053</v>
      </c>
      <c r="D672" t="s">
        <v>2024</v>
      </c>
      <c r="E672" t="s">
        <v>2202</v>
      </c>
      <c r="F672" t="s">
        <v>2203</v>
      </c>
      <c r="G672">
        <v>5</v>
      </c>
      <c r="H672">
        <v>1900</v>
      </c>
      <c r="I672">
        <v>2</v>
      </c>
      <c r="J672">
        <v>4.05</v>
      </c>
      <c r="K672">
        <v>1</v>
      </c>
      <c r="L672">
        <v>1.4999999999999999E-2</v>
      </c>
      <c r="M672">
        <v>3</v>
      </c>
      <c r="N672">
        <v>93</v>
      </c>
      <c r="O672">
        <v>2</v>
      </c>
      <c r="P672">
        <v>0.22500000000000001</v>
      </c>
      <c r="Q672">
        <v>1</v>
      </c>
      <c r="R672">
        <v>8.4999999999999995E-4</v>
      </c>
      <c r="T672" s="8" t="s">
        <v>2202</v>
      </c>
    </row>
    <row r="673" spans="1:20" x14ac:dyDescent="0.2">
      <c r="A673" t="s">
        <v>2204</v>
      </c>
      <c r="B673" t="s">
        <v>2022</v>
      </c>
      <c r="C673" t="s">
        <v>2023</v>
      </c>
      <c r="D673" t="s">
        <v>2024</v>
      </c>
      <c r="E673" t="s">
        <v>2205</v>
      </c>
      <c r="F673" t="s">
        <v>2206</v>
      </c>
      <c r="G673">
        <v>3</v>
      </c>
      <c r="H673">
        <v>1640</v>
      </c>
      <c r="I673">
        <v>2</v>
      </c>
      <c r="J673">
        <v>3.4</v>
      </c>
      <c r="K673">
        <v>5</v>
      </c>
      <c r="L673">
        <v>8.5999999999999993E-2</v>
      </c>
      <c r="M673">
        <v>5</v>
      </c>
      <c r="N673">
        <v>114</v>
      </c>
      <c r="O673">
        <v>2</v>
      </c>
      <c r="P673">
        <v>0.22500000000000001</v>
      </c>
      <c r="Q673">
        <v>4</v>
      </c>
      <c r="R673">
        <v>6.0000000000000001E-3</v>
      </c>
      <c r="T673" s="8" t="s">
        <v>2205</v>
      </c>
    </row>
    <row r="674" spans="1:20" x14ac:dyDescent="0.2">
      <c r="A674" t="s">
        <v>2207</v>
      </c>
      <c r="B674" t="s">
        <v>2022</v>
      </c>
      <c r="C674" t="s">
        <v>2053</v>
      </c>
      <c r="D674" t="s">
        <v>2024</v>
      </c>
      <c r="E674" t="s">
        <v>2208</v>
      </c>
      <c r="F674" t="s">
        <v>447</v>
      </c>
      <c r="G674">
        <v>4</v>
      </c>
      <c r="H674">
        <v>1800</v>
      </c>
      <c r="I674">
        <v>1</v>
      </c>
      <c r="J674">
        <v>1.55</v>
      </c>
      <c r="K674">
        <v>1</v>
      </c>
      <c r="L674">
        <v>1.4999999999999999E-2</v>
      </c>
      <c r="M674">
        <v>4</v>
      </c>
      <c r="N674">
        <v>103</v>
      </c>
      <c r="O674">
        <v>2</v>
      </c>
      <c r="P674">
        <v>0.22500000000000001</v>
      </c>
      <c r="Q674">
        <v>1</v>
      </c>
      <c r="R674">
        <v>8.4999999999999995E-4</v>
      </c>
      <c r="T674" s="8" t="s">
        <v>2208</v>
      </c>
    </row>
    <row r="675" spans="1:20" x14ac:dyDescent="0.2">
      <c r="A675" t="s">
        <v>2209</v>
      </c>
      <c r="B675" t="s">
        <v>2022</v>
      </c>
      <c r="C675" t="s">
        <v>2053</v>
      </c>
      <c r="D675" t="s">
        <v>2024</v>
      </c>
      <c r="E675" t="s">
        <v>2210</v>
      </c>
      <c r="F675" t="s">
        <v>2211</v>
      </c>
      <c r="G675">
        <v>2</v>
      </c>
      <c r="H675">
        <v>1600</v>
      </c>
      <c r="I675">
        <v>3</v>
      </c>
      <c r="J675">
        <v>6.55</v>
      </c>
      <c r="K675">
        <v>2</v>
      </c>
      <c r="L675">
        <v>8.5000000000000006E-2</v>
      </c>
      <c r="M675">
        <v>1</v>
      </c>
      <c r="N675">
        <v>73</v>
      </c>
      <c r="O675">
        <v>2</v>
      </c>
      <c r="P675">
        <v>0.22500000000000001</v>
      </c>
      <c r="Q675">
        <v>2</v>
      </c>
      <c r="R675">
        <v>5.1999999999999998E-3</v>
      </c>
      <c r="T675" s="8" t="s">
        <v>2210</v>
      </c>
    </row>
    <row r="676" spans="1:20" x14ac:dyDescent="0.2">
      <c r="A676" t="s">
        <v>2212</v>
      </c>
      <c r="B676" t="s">
        <v>2022</v>
      </c>
      <c r="C676" t="s">
        <v>2053</v>
      </c>
      <c r="D676" t="s">
        <v>2136</v>
      </c>
      <c r="E676" t="s">
        <v>2213</v>
      </c>
      <c r="F676" t="s">
        <v>2214</v>
      </c>
      <c r="G676">
        <v>5</v>
      </c>
      <c r="H676">
        <v>1900</v>
      </c>
      <c r="I676">
        <v>5</v>
      </c>
      <c r="J676">
        <v>11.55</v>
      </c>
      <c r="K676">
        <v>4</v>
      </c>
      <c r="L676">
        <v>0.30499999999999999</v>
      </c>
      <c r="M676">
        <v>2</v>
      </c>
      <c r="N676">
        <v>83</v>
      </c>
      <c r="O676">
        <v>4</v>
      </c>
      <c r="P676">
        <v>0.52500000000000002</v>
      </c>
      <c r="Q676">
        <v>3</v>
      </c>
      <c r="R676">
        <v>1.2200000000000001E-2</v>
      </c>
      <c r="T676" s="8" t="s">
        <v>2213</v>
      </c>
    </row>
    <row r="677" spans="1:20" x14ac:dyDescent="0.2">
      <c r="A677" t="s">
        <v>2215</v>
      </c>
      <c r="B677" t="s">
        <v>2022</v>
      </c>
      <c r="C677" t="s">
        <v>2036</v>
      </c>
      <c r="D677" t="s">
        <v>2024</v>
      </c>
      <c r="E677" t="s">
        <v>2216</v>
      </c>
      <c r="F677" t="s">
        <v>2217</v>
      </c>
      <c r="G677">
        <v>5</v>
      </c>
      <c r="H677">
        <v>1940</v>
      </c>
      <c r="I677">
        <v>2</v>
      </c>
      <c r="J677">
        <v>3.4</v>
      </c>
      <c r="K677">
        <v>2</v>
      </c>
      <c r="L677">
        <v>8.5000000000000006E-2</v>
      </c>
      <c r="M677">
        <v>4</v>
      </c>
      <c r="N677">
        <v>94</v>
      </c>
      <c r="O677">
        <v>2</v>
      </c>
      <c r="P677">
        <v>0.20499999999999999</v>
      </c>
      <c r="Q677">
        <v>2</v>
      </c>
      <c r="R677">
        <v>4.2500000000000003E-3</v>
      </c>
      <c r="T677" s="8" t="s">
        <v>2216</v>
      </c>
    </row>
    <row r="678" spans="1:20" x14ac:dyDescent="0.2">
      <c r="A678" t="s">
        <v>2218</v>
      </c>
      <c r="B678" t="s">
        <v>2022</v>
      </c>
      <c r="C678" t="s">
        <v>2023</v>
      </c>
      <c r="D678" t="s">
        <v>2024</v>
      </c>
      <c r="E678" t="s">
        <v>2219</v>
      </c>
      <c r="F678" t="s">
        <v>2220</v>
      </c>
      <c r="G678">
        <v>1</v>
      </c>
      <c r="H678">
        <v>1480</v>
      </c>
      <c r="I678">
        <v>1</v>
      </c>
      <c r="J678">
        <v>0.9</v>
      </c>
      <c r="K678">
        <v>2</v>
      </c>
      <c r="L678">
        <v>2.5999999999999999E-2</v>
      </c>
      <c r="M678">
        <v>1</v>
      </c>
      <c r="N678">
        <v>74</v>
      </c>
      <c r="O678">
        <v>1</v>
      </c>
      <c r="P678">
        <v>7.4999999999999997E-2</v>
      </c>
      <c r="Q678">
        <v>1</v>
      </c>
      <c r="R678">
        <v>5.0000000000000001E-4</v>
      </c>
      <c r="T678" s="8" t="s">
        <v>2219</v>
      </c>
    </row>
    <row r="679" spans="1:20" x14ac:dyDescent="0.2">
      <c r="A679" t="s">
        <v>2221</v>
      </c>
      <c r="B679" t="s">
        <v>2022</v>
      </c>
      <c r="C679" t="s">
        <v>2222</v>
      </c>
      <c r="D679" t="s">
        <v>2136</v>
      </c>
      <c r="E679" t="s">
        <v>2223</v>
      </c>
      <c r="G679">
        <v>3</v>
      </c>
      <c r="H679">
        <v>1650</v>
      </c>
      <c r="I679">
        <v>2</v>
      </c>
      <c r="J679">
        <v>3.9</v>
      </c>
      <c r="K679">
        <v>2</v>
      </c>
      <c r="L679">
        <v>5.5E-2</v>
      </c>
      <c r="M679">
        <v>5</v>
      </c>
      <c r="N679">
        <v>75</v>
      </c>
      <c r="O679">
        <v>3</v>
      </c>
      <c r="P679">
        <v>0.23</v>
      </c>
      <c r="Q679">
        <v>2</v>
      </c>
      <c r="R679">
        <v>2.3E-3</v>
      </c>
      <c r="T679" s="8" t="s">
        <v>2223</v>
      </c>
    </row>
    <row r="680" spans="1:20" x14ac:dyDescent="0.2">
      <c r="A680" t="s">
        <v>2224</v>
      </c>
      <c r="B680" t="s">
        <v>2022</v>
      </c>
      <c r="C680" t="s">
        <v>2101</v>
      </c>
      <c r="D680" t="s">
        <v>2024</v>
      </c>
      <c r="E680" t="s">
        <v>2225</v>
      </c>
      <c r="F680" t="s">
        <v>2226</v>
      </c>
      <c r="G680">
        <v>3</v>
      </c>
      <c r="H680">
        <v>1770</v>
      </c>
      <c r="I680">
        <v>5</v>
      </c>
      <c r="J680">
        <v>14</v>
      </c>
      <c r="K680">
        <v>5</v>
      </c>
      <c r="L680">
        <v>0.53749999999999998</v>
      </c>
      <c r="M680">
        <v>3</v>
      </c>
      <c r="N680">
        <v>82</v>
      </c>
      <c r="O680">
        <v>5</v>
      </c>
      <c r="P680">
        <v>0.67500000000000004</v>
      </c>
      <c r="Q680">
        <v>5</v>
      </c>
      <c r="R680">
        <v>2.5499999999999998E-2</v>
      </c>
      <c r="T680" s="8" t="s">
        <v>2225</v>
      </c>
    </row>
    <row r="681" spans="1:20" x14ac:dyDescent="0.2">
      <c r="A681" t="s">
        <v>2227</v>
      </c>
      <c r="B681" t="s">
        <v>2022</v>
      </c>
      <c r="C681" t="s">
        <v>2095</v>
      </c>
      <c r="D681" t="s">
        <v>2024</v>
      </c>
      <c r="E681" t="s">
        <v>2228</v>
      </c>
      <c r="F681" t="s">
        <v>2229</v>
      </c>
      <c r="G681">
        <v>5</v>
      </c>
      <c r="H681">
        <v>1925</v>
      </c>
      <c r="I681">
        <v>1</v>
      </c>
      <c r="J681">
        <v>4.5</v>
      </c>
      <c r="K681">
        <v>2</v>
      </c>
      <c r="L681">
        <v>0.13</v>
      </c>
      <c r="M681">
        <v>3</v>
      </c>
      <c r="N681">
        <v>86</v>
      </c>
      <c r="O681">
        <v>1</v>
      </c>
      <c r="P681">
        <v>0.15</v>
      </c>
      <c r="Q681">
        <v>2</v>
      </c>
      <c r="R681">
        <v>5.8999999999999999E-3</v>
      </c>
      <c r="T681" s="8" t="s">
        <v>2228</v>
      </c>
    </row>
    <row r="682" spans="1:20" x14ac:dyDescent="0.2">
      <c r="A682" t="s">
        <v>2230</v>
      </c>
      <c r="B682" t="s">
        <v>2022</v>
      </c>
      <c r="C682" t="s">
        <v>2222</v>
      </c>
      <c r="D682" t="s">
        <v>2024</v>
      </c>
      <c r="E682" t="s">
        <v>2231</v>
      </c>
      <c r="F682" t="s">
        <v>2232</v>
      </c>
      <c r="G682">
        <v>3</v>
      </c>
      <c r="H682">
        <v>1650</v>
      </c>
      <c r="I682">
        <v>1</v>
      </c>
      <c r="J682">
        <v>2.2999999999999998</v>
      </c>
      <c r="K682">
        <v>2</v>
      </c>
      <c r="L682">
        <v>5.5E-2</v>
      </c>
      <c r="M682">
        <v>3</v>
      </c>
      <c r="N682">
        <v>67</v>
      </c>
      <c r="O682">
        <v>2</v>
      </c>
      <c r="P682">
        <v>0.15</v>
      </c>
      <c r="Q682">
        <v>2</v>
      </c>
      <c r="R682">
        <v>2.3E-3</v>
      </c>
      <c r="T682" s="8" t="s">
        <v>2231</v>
      </c>
    </row>
    <row r="683" spans="1:20" x14ac:dyDescent="0.2">
      <c r="A683" t="s">
        <v>2233</v>
      </c>
      <c r="B683" t="s">
        <v>2022</v>
      </c>
      <c r="C683" t="s">
        <v>2036</v>
      </c>
      <c r="D683" t="s">
        <v>2024</v>
      </c>
      <c r="E683" t="s">
        <v>2234</v>
      </c>
      <c r="F683" t="s">
        <v>447</v>
      </c>
      <c r="G683">
        <v>1</v>
      </c>
      <c r="H683">
        <v>1540</v>
      </c>
      <c r="I683">
        <v>1</v>
      </c>
      <c r="J683">
        <v>2.2000000000000002</v>
      </c>
      <c r="K683">
        <v>1</v>
      </c>
      <c r="L683">
        <v>5.5E-2</v>
      </c>
      <c r="M683">
        <v>1</v>
      </c>
      <c r="N683">
        <v>76</v>
      </c>
      <c r="O683">
        <v>1</v>
      </c>
      <c r="P683">
        <v>9.5000000000000001E-2</v>
      </c>
      <c r="Q683">
        <v>1</v>
      </c>
      <c r="R683">
        <v>1.5E-3</v>
      </c>
      <c r="T683" s="8" t="s">
        <v>2234</v>
      </c>
    </row>
    <row r="684" spans="1:20" x14ac:dyDescent="0.2">
      <c r="A684" t="s">
        <v>2235</v>
      </c>
      <c r="B684" t="s">
        <v>2022</v>
      </c>
      <c r="C684" t="s">
        <v>2036</v>
      </c>
      <c r="D684" t="s">
        <v>2024</v>
      </c>
      <c r="E684" t="s">
        <v>2236</v>
      </c>
      <c r="F684" t="s">
        <v>2237</v>
      </c>
      <c r="G684">
        <v>4</v>
      </c>
      <c r="H684">
        <v>1840</v>
      </c>
      <c r="I684">
        <v>4</v>
      </c>
      <c r="J684">
        <v>5.8</v>
      </c>
      <c r="K684">
        <v>4</v>
      </c>
      <c r="L684">
        <v>0.14499999999999999</v>
      </c>
      <c r="M684">
        <v>3</v>
      </c>
      <c r="N684">
        <v>88</v>
      </c>
      <c r="O684">
        <v>3</v>
      </c>
      <c r="P684">
        <v>0.315</v>
      </c>
      <c r="Q684">
        <v>3</v>
      </c>
      <c r="R684">
        <v>6.7499999999999999E-3</v>
      </c>
      <c r="T684" s="8" t="s">
        <v>2236</v>
      </c>
    </row>
    <row r="685" spans="1:20" x14ac:dyDescent="0.2">
      <c r="A685" t="s">
        <v>2238</v>
      </c>
      <c r="B685" t="s">
        <v>2022</v>
      </c>
      <c r="C685" t="s">
        <v>2036</v>
      </c>
      <c r="D685" t="s">
        <v>2024</v>
      </c>
      <c r="E685" t="s">
        <v>2239</v>
      </c>
      <c r="F685" t="s">
        <v>2240</v>
      </c>
      <c r="G685">
        <v>3</v>
      </c>
      <c r="H685">
        <v>1740</v>
      </c>
      <c r="I685">
        <v>3</v>
      </c>
      <c r="J685">
        <v>4.5999999999999996</v>
      </c>
      <c r="K685">
        <v>2</v>
      </c>
      <c r="L685">
        <v>8.5000000000000006E-2</v>
      </c>
      <c r="M685">
        <v>1</v>
      </c>
      <c r="N685">
        <v>76</v>
      </c>
      <c r="O685">
        <v>2</v>
      </c>
      <c r="P685">
        <v>0.20499999999999999</v>
      </c>
      <c r="Q685">
        <v>2</v>
      </c>
      <c r="R685">
        <v>4.2500000000000003E-3</v>
      </c>
      <c r="T685" s="8" t="s">
        <v>2239</v>
      </c>
    </row>
    <row r="686" spans="1:20" x14ac:dyDescent="0.2">
      <c r="A686" t="s">
        <v>2241</v>
      </c>
      <c r="B686" t="s">
        <v>2022</v>
      </c>
      <c r="C686" t="s">
        <v>2053</v>
      </c>
      <c r="D686" t="s">
        <v>2154</v>
      </c>
      <c r="E686" t="s">
        <v>2242</v>
      </c>
      <c r="F686" t="s">
        <v>2243</v>
      </c>
      <c r="G686">
        <v>5</v>
      </c>
      <c r="H686">
        <v>1900</v>
      </c>
      <c r="I686">
        <v>2</v>
      </c>
      <c r="J686">
        <v>4.05</v>
      </c>
      <c r="K686">
        <v>2</v>
      </c>
      <c r="L686">
        <v>8.5000000000000006E-2</v>
      </c>
      <c r="M686">
        <v>5</v>
      </c>
      <c r="N686">
        <v>113</v>
      </c>
      <c r="O686">
        <v>2</v>
      </c>
      <c r="P686">
        <v>0.22500000000000001</v>
      </c>
      <c r="Q686">
        <v>2</v>
      </c>
      <c r="R686">
        <v>5.1999999999999998E-3</v>
      </c>
      <c r="T686" s="8" t="s">
        <v>2242</v>
      </c>
    </row>
    <row r="687" spans="1:20" x14ac:dyDescent="0.2">
      <c r="A687" t="s">
        <v>2244</v>
      </c>
      <c r="B687" t="s">
        <v>2022</v>
      </c>
      <c r="C687" t="s">
        <v>2053</v>
      </c>
      <c r="D687" t="s">
        <v>2024</v>
      </c>
      <c r="E687" t="s">
        <v>2245</v>
      </c>
      <c r="F687" t="s">
        <v>2246</v>
      </c>
      <c r="G687">
        <v>2</v>
      </c>
      <c r="H687">
        <v>1600</v>
      </c>
      <c r="I687">
        <v>2</v>
      </c>
      <c r="J687">
        <v>4.05</v>
      </c>
      <c r="K687">
        <v>2</v>
      </c>
      <c r="L687">
        <v>8.5000000000000006E-2</v>
      </c>
      <c r="M687">
        <v>1</v>
      </c>
      <c r="N687">
        <v>73</v>
      </c>
      <c r="O687">
        <v>2</v>
      </c>
      <c r="P687">
        <v>0.22500000000000001</v>
      </c>
      <c r="Q687">
        <v>1</v>
      </c>
      <c r="R687">
        <v>8.4999999999999995E-4</v>
      </c>
      <c r="T687" s="8" t="s">
        <v>2245</v>
      </c>
    </row>
    <row r="688" spans="1:20" x14ac:dyDescent="0.2">
      <c r="A688" t="s">
        <v>2247</v>
      </c>
      <c r="B688" t="s">
        <v>2022</v>
      </c>
      <c r="C688" t="s">
        <v>2023</v>
      </c>
      <c r="D688" t="s">
        <v>2024</v>
      </c>
      <c r="E688" t="s">
        <v>2248</v>
      </c>
      <c r="F688" t="s">
        <v>2249</v>
      </c>
      <c r="G688">
        <v>2</v>
      </c>
      <c r="H688">
        <v>1560</v>
      </c>
      <c r="I688">
        <v>2</v>
      </c>
      <c r="J688">
        <v>3.4</v>
      </c>
      <c r="K688">
        <v>5</v>
      </c>
      <c r="L688">
        <v>8.5999999999999993E-2</v>
      </c>
      <c r="M688">
        <v>3</v>
      </c>
      <c r="N688">
        <v>94</v>
      </c>
      <c r="O688">
        <v>2</v>
      </c>
      <c r="P688">
        <v>0.22500000000000001</v>
      </c>
      <c r="Q688">
        <v>5</v>
      </c>
      <c r="R688">
        <v>8.0000000000000002E-3</v>
      </c>
      <c r="T688" s="8" t="s">
        <v>2248</v>
      </c>
    </row>
    <row r="689" spans="1:20" x14ac:dyDescent="0.2">
      <c r="A689" t="s">
        <v>2250</v>
      </c>
      <c r="B689" t="s">
        <v>2022</v>
      </c>
      <c r="C689" t="s">
        <v>2053</v>
      </c>
      <c r="D689" t="s">
        <v>2024</v>
      </c>
      <c r="E689" t="s">
        <v>2251</v>
      </c>
      <c r="F689" t="s">
        <v>2252</v>
      </c>
      <c r="G689">
        <v>1</v>
      </c>
      <c r="H689">
        <v>1500</v>
      </c>
      <c r="I689">
        <v>1</v>
      </c>
      <c r="J689">
        <v>1.55</v>
      </c>
      <c r="K689">
        <v>1</v>
      </c>
      <c r="L689">
        <v>1.4999999999999999E-2</v>
      </c>
      <c r="M689">
        <v>5</v>
      </c>
      <c r="N689">
        <v>113</v>
      </c>
      <c r="O689">
        <v>2</v>
      </c>
      <c r="P689">
        <v>0.22500000000000001</v>
      </c>
      <c r="Q689">
        <v>1</v>
      </c>
      <c r="R689">
        <v>8.4999999999999995E-4</v>
      </c>
      <c r="T689" s="8" t="s">
        <v>2251</v>
      </c>
    </row>
    <row r="690" spans="1:20" x14ac:dyDescent="0.2">
      <c r="A690" t="s">
        <v>2253</v>
      </c>
      <c r="B690" t="s">
        <v>2022</v>
      </c>
      <c r="C690" t="s">
        <v>2053</v>
      </c>
      <c r="D690" t="s">
        <v>2136</v>
      </c>
      <c r="E690" t="s">
        <v>2254</v>
      </c>
      <c r="F690" t="s">
        <v>2255</v>
      </c>
      <c r="G690">
        <v>1</v>
      </c>
      <c r="H690">
        <v>1500</v>
      </c>
      <c r="I690">
        <v>5</v>
      </c>
      <c r="J690">
        <v>11.55</v>
      </c>
      <c r="K690">
        <v>5</v>
      </c>
      <c r="L690">
        <v>0.41499999999999998</v>
      </c>
      <c r="M690">
        <v>4</v>
      </c>
      <c r="N690">
        <v>103</v>
      </c>
      <c r="O690">
        <v>5</v>
      </c>
      <c r="P690">
        <v>0.67500000000000004</v>
      </c>
      <c r="Q690">
        <v>5</v>
      </c>
      <c r="R690">
        <v>2.6200000000000001E-2</v>
      </c>
      <c r="T690" s="8" t="s">
        <v>2254</v>
      </c>
    </row>
    <row r="691" spans="1:20" x14ac:dyDescent="0.2">
      <c r="A691" t="s">
        <v>2256</v>
      </c>
      <c r="B691" t="s">
        <v>2022</v>
      </c>
      <c r="C691" t="s">
        <v>2257</v>
      </c>
      <c r="D691" t="s">
        <v>2024</v>
      </c>
      <c r="E691" t="s">
        <v>2258</v>
      </c>
      <c r="F691" t="s">
        <v>2259</v>
      </c>
      <c r="G691">
        <v>5</v>
      </c>
      <c r="H691">
        <v>1300</v>
      </c>
      <c r="I691">
        <v>2</v>
      </c>
      <c r="J691">
        <v>1.75</v>
      </c>
      <c r="K691">
        <v>2</v>
      </c>
      <c r="L691">
        <v>3.6999999999999998E-2</v>
      </c>
      <c r="M691">
        <v>1</v>
      </c>
      <c r="N691">
        <v>300</v>
      </c>
      <c r="O691">
        <v>1</v>
      </c>
      <c r="P691">
        <v>0.3</v>
      </c>
      <c r="Q691">
        <v>1</v>
      </c>
      <c r="R691">
        <v>2E-3</v>
      </c>
      <c r="T691" s="8" t="s">
        <v>2258</v>
      </c>
    </row>
    <row r="692" spans="1:20" x14ac:dyDescent="0.2">
      <c r="A692" t="s">
        <v>2260</v>
      </c>
      <c r="B692" t="s">
        <v>2022</v>
      </c>
      <c r="C692" t="s">
        <v>2023</v>
      </c>
      <c r="D692" t="s">
        <v>2024</v>
      </c>
      <c r="E692" t="s">
        <v>2261</v>
      </c>
      <c r="F692" t="s">
        <v>2262</v>
      </c>
      <c r="G692">
        <v>1</v>
      </c>
      <c r="H692">
        <v>1480</v>
      </c>
      <c r="I692">
        <v>1</v>
      </c>
      <c r="J692">
        <v>0.9</v>
      </c>
      <c r="K692">
        <v>1</v>
      </c>
      <c r="L692">
        <v>6.0000000000000001E-3</v>
      </c>
      <c r="M692">
        <v>2</v>
      </c>
      <c r="N692">
        <v>84</v>
      </c>
      <c r="O692">
        <v>1</v>
      </c>
      <c r="P692">
        <v>7.4999999999999997E-2</v>
      </c>
      <c r="Q692">
        <v>1</v>
      </c>
      <c r="R692">
        <v>5.0000000000000001E-4</v>
      </c>
      <c r="T692" s="8" t="s">
        <v>2261</v>
      </c>
    </row>
    <row r="693" spans="1:20" x14ac:dyDescent="0.2">
      <c r="A693" t="s">
        <v>2263</v>
      </c>
      <c r="B693" t="s">
        <v>2022</v>
      </c>
      <c r="C693" t="s">
        <v>2028</v>
      </c>
      <c r="D693" t="s">
        <v>2024</v>
      </c>
      <c r="E693" t="s">
        <v>2264</v>
      </c>
      <c r="F693" t="s">
        <v>2265</v>
      </c>
      <c r="G693">
        <v>5</v>
      </c>
      <c r="H693">
        <v>1450</v>
      </c>
      <c r="I693">
        <v>5</v>
      </c>
      <c r="J693">
        <v>6.65</v>
      </c>
      <c r="K693">
        <v>3</v>
      </c>
      <c r="L693">
        <v>0.11899999999999999</v>
      </c>
      <c r="M693">
        <v>1</v>
      </c>
      <c r="N693">
        <v>100</v>
      </c>
      <c r="O693">
        <v>1</v>
      </c>
      <c r="P693">
        <v>0.15</v>
      </c>
      <c r="Q693">
        <v>2</v>
      </c>
      <c r="R693">
        <v>7.7499999999999999E-3</v>
      </c>
      <c r="T693" s="8" t="s">
        <v>2264</v>
      </c>
    </row>
    <row r="694" spans="1:20" x14ac:dyDescent="0.2">
      <c r="A694" t="s">
        <v>2266</v>
      </c>
      <c r="B694" t="s">
        <v>2022</v>
      </c>
      <c r="C694" t="s">
        <v>2095</v>
      </c>
      <c r="D694" t="s">
        <v>2024</v>
      </c>
      <c r="E694" t="s">
        <v>2267</v>
      </c>
      <c r="F694" t="s">
        <v>2268</v>
      </c>
      <c r="G694">
        <v>4</v>
      </c>
      <c r="H694">
        <v>1835</v>
      </c>
      <c r="I694">
        <v>3</v>
      </c>
      <c r="J694">
        <v>10.5</v>
      </c>
      <c r="K694">
        <v>3</v>
      </c>
      <c r="L694">
        <v>0.33</v>
      </c>
      <c r="M694">
        <v>5</v>
      </c>
      <c r="N694">
        <v>98</v>
      </c>
      <c r="O694">
        <v>5</v>
      </c>
      <c r="P694">
        <v>0.95</v>
      </c>
      <c r="Q694">
        <v>4</v>
      </c>
      <c r="R694">
        <v>2.3900000000000001E-2</v>
      </c>
      <c r="T694" s="8" t="s">
        <v>2267</v>
      </c>
    </row>
    <row r="695" spans="1:20" x14ac:dyDescent="0.2">
      <c r="A695" t="s">
        <v>2269</v>
      </c>
      <c r="B695" t="s">
        <v>2022</v>
      </c>
      <c r="C695" t="s">
        <v>2257</v>
      </c>
      <c r="D695" t="s">
        <v>2024</v>
      </c>
      <c r="E695" t="s">
        <v>357</v>
      </c>
      <c r="F695" t="s">
        <v>447</v>
      </c>
      <c r="G695">
        <v>1</v>
      </c>
      <c r="H695">
        <v>900</v>
      </c>
      <c r="I695">
        <v>1</v>
      </c>
      <c r="J695">
        <v>0.45</v>
      </c>
      <c r="K695">
        <v>1</v>
      </c>
      <c r="L695">
        <v>6.0000000000000001E-3</v>
      </c>
      <c r="M695">
        <v>3</v>
      </c>
      <c r="N695">
        <v>700</v>
      </c>
      <c r="O695">
        <v>1</v>
      </c>
      <c r="P695">
        <v>0.3</v>
      </c>
      <c r="Q695">
        <v>2</v>
      </c>
      <c r="R695">
        <v>1.4999999999999999E-2</v>
      </c>
      <c r="T695" s="8" t="s">
        <v>357</v>
      </c>
    </row>
    <row r="696" spans="1:20" x14ac:dyDescent="0.2">
      <c r="A696" t="s">
        <v>2270</v>
      </c>
      <c r="B696" t="s">
        <v>2022</v>
      </c>
      <c r="C696" t="s">
        <v>2023</v>
      </c>
      <c r="D696" t="s">
        <v>2024</v>
      </c>
      <c r="E696" t="s">
        <v>2271</v>
      </c>
      <c r="F696" t="s">
        <v>2272</v>
      </c>
      <c r="G696">
        <v>3</v>
      </c>
      <c r="H696">
        <v>1640</v>
      </c>
      <c r="I696">
        <v>1</v>
      </c>
      <c r="J696">
        <v>0.9</v>
      </c>
      <c r="K696">
        <v>1</v>
      </c>
      <c r="L696">
        <v>6.0000000000000001E-3</v>
      </c>
      <c r="M696">
        <v>3</v>
      </c>
      <c r="N696">
        <v>94</v>
      </c>
      <c r="O696">
        <v>1</v>
      </c>
      <c r="P696">
        <v>7.4999999999999997E-2</v>
      </c>
      <c r="Q696">
        <v>1</v>
      </c>
      <c r="R696">
        <v>5.0000000000000001E-4</v>
      </c>
      <c r="T696" s="8" t="s">
        <v>2271</v>
      </c>
    </row>
    <row r="697" spans="1:20" x14ac:dyDescent="0.2">
      <c r="A697" t="s">
        <v>2273</v>
      </c>
      <c r="B697" t="s">
        <v>2022</v>
      </c>
      <c r="C697" t="s">
        <v>2104</v>
      </c>
      <c r="D697" t="s">
        <v>2136</v>
      </c>
      <c r="E697" t="s">
        <v>2274</v>
      </c>
      <c r="F697" t="s">
        <v>2275</v>
      </c>
      <c r="G697">
        <v>5</v>
      </c>
      <c r="H697">
        <v>2237.5</v>
      </c>
      <c r="I697">
        <v>3</v>
      </c>
      <c r="J697">
        <v>5.55</v>
      </c>
      <c r="K697">
        <v>3</v>
      </c>
      <c r="L697">
        <v>9.0999999999999998E-2</v>
      </c>
      <c r="M697">
        <v>5</v>
      </c>
      <c r="N697">
        <v>89</v>
      </c>
      <c r="P697">
        <v>0</v>
      </c>
      <c r="Q697">
        <v>2</v>
      </c>
      <c r="R697">
        <v>3.2000000000000002E-3</v>
      </c>
      <c r="T697" s="8" t="s">
        <v>2274</v>
      </c>
    </row>
    <row r="698" spans="1:20" x14ac:dyDescent="0.2">
      <c r="A698" t="s">
        <v>2276</v>
      </c>
      <c r="B698" t="s">
        <v>2022</v>
      </c>
      <c r="C698" t="s">
        <v>2104</v>
      </c>
      <c r="D698" t="s">
        <v>2024</v>
      </c>
      <c r="E698" t="s">
        <v>2274</v>
      </c>
      <c r="F698" t="s">
        <v>2275</v>
      </c>
      <c r="G698">
        <v>5</v>
      </c>
      <c r="H698">
        <v>2237.5</v>
      </c>
      <c r="I698">
        <v>5</v>
      </c>
      <c r="J698">
        <v>10.15</v>
      </c>
      <c r="K698">
        <v>2</v>
      </c>
      <c r="L698">
        <v>4.1000000000000002E-2</v>
      </c>
      <c r="M698">
        <v>5</v>
      </c>
      <c r="N698">
        <v>89</v>
      </c>
      <c r="P698">
        <v>0</v>
      </c>
      <c r="Q698">
        <v>2</v>
      </c>
      <c r="R698">
        <v>3.2000000000000002E-3</v>
      </c>
      <c r="T698" s="8" t="s">
        <v>2274</v>
      </c>
    </row>
    <row r="699" spans="1:20" x14ac:dyDescent="0.2">
      <c r="A699" t="s">
        <v>2277</v>
      </c>
      <c r="B699" t="s">
        <v>2022</v>
      </c>
      <c r="C699" t="s">
        <v>2053</v>
      </c>
      <c r="D699" t="s">
        <v>2154</v>
      </c>
      <c r="E699" t="s">
        <v>2274</v>
      </c>
      <c r="F699" t="s">
        <v>2275</v>
      </c>
      <c r="G699">
        <v>5</v>
      </c>
      <c r="H699">
        <v>1900</v>
      </c>
      <c r="I699">
        <v>4</v>
      </c>
      <c r="J699">
        <v>9.0500000000000007</v>
      </c>
      <c r="K699">
        <v>5</v>
      </c>
      <c r="L699">
        <v>0.41499999999999998</v>
      </c>
      <c r="M699">
        <v>3</v>
      </c>
      <c r="N699">
        <v>93</v>
      </c>
      <c r="O699">
        <v>3</v>
      </c>
      <c r="P699">
        <v>0.375</v>
      </c>
      <c r="Q699">
        <v>4</v>
      </c>
      <c r="R699">
        <v>1.9199999999999998E-2</v>
      </c>
      <c r="T699" s="8" t="s">
        <v>2274</v>
      </c>
    </row>
    <row r="700" spans="1:20" x14ac:dyDescent="0.2">
      <c r="A700" t="s">
        <v>2278</v>
      </c>
      <c r="B700" t="s">
        <v>2022</v>
      </c>
      <c r="C700" t="s">
        <v>2023</v>
      </c>
      <c r="D700" t="s">
        <v>2024</v>
      </c>
      <c r="E700" t="s">
        <v>2274</v>
      </c>
      <c r="F700" t="s">
        <v>2275</v>
      </c>
      <c r="G700">
        <v>1</v>
      </c>
      <c r="H700">
        <v>1480</v>
      </c>
      <c r="I700">
        <v>2</v>
      </c>
      <c r="J700">
        <v>3.4</v>
      </c>
      <c r="K700">
        <v>2</v>
      </c>
      <c r="L700">
        <v>2.5999999999999999E-2</v>
      </c>
      <c r="M700">
        <v>1</v>
      </c>
      <c r="N700">
        <v>74</v>
      </c>
      <c r="O700">
        <v>2</v>
      </c>
      <c r="P700">
        <v>0.22500000000000001</v>
      </c>
      <c r="Q700">
        <v>2</v>
      </c>
      <c r="R700">
        <v>2E-3</v>
      </c>
      <c r="T700" s="8" t="s">
        <v>2274</v>
      </c>
    </row>
    <row r="701" spans="1:20" x14ac:dyDescent="0.2">
      <c r="A701" t="s">
        <v>2279</v>
      </c>
      <c r="B701" t="s">
        <v>2022</v>
      </c>
      <c r="C701" t="s">
        <v>2053</v>
      </c>
      <c r="D701" t="s">
        <v>2024</v>
      </c>
      <c r="E701" t="s">
        <v>2280</v>
      </c>
      <c r="F701" t="s">
        <v>2281</v>
      </c>
      <c r="G701">
        <v>5</v>
      </c>
      <c r="H701">
        <v>1900</v>
      </c>
      <c r="I701">
        <v>5</v>
      </c>
      <c r="J701">
        <v>11.55</v>
      </c>
      <c r="K701">
        <v>4</v>
      </c>
      <c r="L701">
        <v>0.30499999999999999</v>
      </c>
      <c r="M701">
        <v>3</v>
      </c>
      <c r="N701">
        <v>93</v>
      </c>
      <c r="O701">
        <v>3</v>
      </c>
      <c r="P701">
        <v>0.375</v>
      </c>
      <c r="Q701">
        <v>3</v>
      </c>
      <c r="R701">
        <v>1.2200000000000001E-2</v>
      </c>
      <c r="T701" s="8" t="s">
        <v>2280</v>
      </c>
    </row>
    <row r="702" spans="1:20" x14ac:dyDescent="0.2">
      <c r="A702" t="s">
        <v>2282</v>
      </c>
      <c r="B702" t="s">
        <v>2022</v>
      </c>
      <c r="C702" t="s">
        <v>2023</v>
      </c>
      <c r="D702" t="s">
        <v>2024</v>
      </c>
      <c r="E702" t="s">
        <v>2283</v>
      </c>
      <c r="F702" t="s">
        <v>2284</v>
      </c>
      <c r="G702">
        <v>2</v>
      </c>
      <c r="H702">
        <v>1560</v>
      </c>
      <c r="I702">
        <v>2</v>
      </c>
      <c r="J702">
        <v>3.4</v>
      </c>
      <c r="K702">
        <v>2</v>
      </c>
      <c r="L702">
        <v>2.5999999999999999E-2</v>
      </c>
      <c r="M702">
        <v>1</v>
      </c>
      <c r="N702">
        <v>74</v>
      </c>
      <c r="O702">
        <v>1</v>
      </c>
      <c r="P702">
        <v>7.4999999999999997E-2</v>
      </c>
      <c r="Q702">
        <v>2</v>
      </c>
      <c r="R702">
        <v>2E-3</v>
      </c>
      <c r="T702" s="8" t="s">
        <v>2283</v>
      </c>
    </row>
    <row r="703" spans="1:20" x14ac:dyDescent="0.2">
      <c r="A703" t="s">
        <v>2285</v>
      </c>
      <c r="B703" t="s">
        <v>2022</v>
      </c>
      <c r="C703" t="s">
        <v>2053</v>
      </c>
      <c r="D703" t="s">
        <v>2024</v>
      </c>
      <c r="E703" t="s">
        <v>2286</v>
      </c>
      <c r="F703" t="s">
        <v>2287</v>
      </c>
      <c r="G703">
        <v>1</v>
      </c>
      <c r="H703">
        <v>1500</v>
      </c>
      <c r="I703">
        <v>1</v>
      </c>
      <c r="J703">
        <v>1.55</v>
      </c>
      <c r="K703">
        <v>1</v>
      </c>
      <c r="L703">
        <v>1.4999999999999999E-2</v>
      </c>
      <c r="M703">
        <v>5</v>
      </c>
      <c r="N703">
        <v>113</v>
      </c>
      <c r="O703">
        <v>4</v>
      </c>
      <c r="P703">
        <v>0.52500000000000002</v>
      </c>
      <c r="Q703">
        <v>2</v>
      </c>
      <c r="R703">
        <v>5.1999999999999998E-3</v>
      </c>
      <c r="T703" s="8" t="s">
        <v>2286</v>
      </c>
    </row>
    <row r="704" spans="1:20" x14ac:dyDescent="0.2">
      <c r="A704" t="s">
        <v>2288</v>
      </c>
      <c r="B704" t="s">
        <v>2022</v>
      </c>
      <c r="C704" t="s">
        <v>2036</v>
      </c>
      <c r="D704" t="s">
        <v>2136</v>
      </c>
      <c r="E704" t="s">
        <v>2289</v>
      </c>
      <c r="F704" t="s">
        <v>2290</v>
      </c>
      <c r="G704">
        <v>3</v>
      </c>
      <c r="H704">
        <v>1740</v>
      </c>
      <c r="I704">
        <v>4</v>
      </c>
      <c r="J704">
        <v>5.8</v>
      </c>
      <c r="K704">
        <v>5</v>
      </c>
      <c r="L704">
        <v>0.17499999999999999</v>
      </c>
      <c r="M704">
        <v>4</v>
      </c>
      <c r="N704">
        <v>94</v>
      </c>
      <c r="O704">
        <v>3</v>
      </c>
      <c r="P704">
        <v>0.315</v>
      </c>
      <c r="Q704">
        <v>5</v>
      </c>
      <c r="R704">
        <v>1.2E-2</v>
      </c>
      <c r="T704" s="8" t="s">
        <v>2289</v>
      </c>
    </row>
    <row r="705" spans="1:20" x14ac:dyDescent="0.2">
      <c r="A705" t="s">
        <v>2291</v>
      </c>
      <c r="B705" t="s">
        <v>2022</v>
      </c>
      <c r="C705" t="s">
        <v>2053</v>
      </c>
      <c r="D705" t="s">
        <v>2136</v>
      </c>
      <c r="E705" t="s">
        <v>2289</v>
      </c>
      <c r="F705" t="s">
        <v>2292</v>
      </c>
      <c r="G705">
        <v>2</v>
      </c>
      <c r="H705">
        <v>1600</v>
      </c>
      <c r="I705">
        <v>3</v>
      </c>
      <c r="J705">
        <v>6.55</v>
      </c>
      <c r="K705">
        <v>3</v>
      </c>
      <c r="L705">
        <v>0.19500000000000001</v>
      </c>
      <c r="M705">
        <v>2</v>
      </c>
      <c r="N705">
        <v>83</v>
      </c>
      <c r="O705">
        <v>2</v>
      </c>
      <c r="P705">
        <v>0.22500000000000001</v>
      </c>
      <c r="Q705">
        <v>3</v>
      </c>
      <c r="R705">
        <v>1.2200000000000001E-2</v>
      </c>
      <c r="T705" s="8" t="s">
        <v>2289</v>
      </c>
    </row>
    <row r="706" spans="1:20" x14ac:dyDescent="0.2">
      <c r="A706" t="s">
        <v>2293</v>
      </c>
      <c r="B706" t="s">
        <v>2022</v>
      </c>
      <c r="C706" t="s">
        <v>2036</v>
      </c>
      <c r="D706" t="s">
        <v>2136</v>
      </c>
      <c r="E706" t="s">
        <v>2289</v>
      </c>
      <c r="F706" t="s">
        <v>2294</v>
      </c>
      <c r="G706">
        <v>2</v>
      </c>
      <c r="H706">
        <v>1640</v>
      </c>
      <c r="I706">
        <v>3</v>
      </c>
      <c r="J706">
        <v>4.5999999999999996</v>
      </c>
      <c r="K706">
        <v>5</v>
      </c>
      <c r="L706">
        <v>0.17499999999999999</v>
      </c>
      <c r="M706">
        <v>4</v>
      </c>
      <c r="N706">
        <v>94</v>
      </c>
      <c r="O706">
        <v>3</v>
      </c>
      <c r="P706">
        <v>0.315</v>
      </c>
      <c r="Q706">
        <v>4</v>
      </c>
      <c r="R706">
        <v>9.2499999999999995E-3</v>
      </c>
      <c r="T706" s="8" t="s">
        <v>2289</v>
      </c>
    </row>
    <row r="707" spans="1:20" x14ac:dyDescent="0.2">
      <c r="A707" t="s">
        <v>2295</v>
      </c>
      <c r="B707" t="s">
        <v>2022</v>
      </c>
      <c r="C707" t="s">
        <v>2023</v>
      </c>
      <c r="D707" t="s">
        <v>2136</v>
      </c>
      <c r="E707" t="s">
        <v>2296</v>
      </c>
      <c r="F707" t="s">
        <v>2297</v>
      </c>
      <c r="G707">
        <v>2</v>
      </c>
      <c r="H707">
        <v>1560</v>
      </c>
      <c r="I707">
        <v>1</v>
      </c>
      <c r="J707">
        <v>0.9</v>
      </c>
      <c r="K707">
        <v>1</v>
      </c>
      <c r="L707">
        <v>6.0000000000000001E-3</v>
      </c>
      <c r="M707">
        <v>5</v>
      </c>
      <c r="N707">
        <v>114</v>
      </c>
      <c r="O707">
        <v>2</v>
      </c>
      <c r="P707">
        <v>0.22500000000000001</v>
      </c>
      <c r="Q707">
        <v>2</v>
      </c>
      <c r="R707">
        <v>2E-3</v>
      </c>
      <c r="T707" s="8" t="s">
        <v>2296</v>
      </c>
    </row>
    <row r="708" spans="1:20" x14ac:dyDescent="0.2">
      <c r="A708" t="s">
        <v>2298</v>
      </c>
      <c r="B708" t="s">
        <v>2022</v>
      </c>
      <c r="C708" t="s">
        <v>2023</v>
      </c>
      <c r="D708" t="s">
        <v>2136</v>
      </c>
      <c r="E708" t="s">
        <v>357</v>
      </c>
      <c r="F708" t="s">
        <v>447</v>
      </c>
      <c r="G708">
        <v>2</v>
      </c>
      <c r="H708">
        <v>1560</v>
      </c>
      <c r="I708">
        <v>5</v>
      </c>
      <c r="J708">
        <v>10.9</v>
      </c>
      <c r="K708">
        <v>5</v>
      </c>
      <c r="L708">
        <v>8.5999999999999993E-2</v>
      </c>
      <c r="M708">
        <v>3</v>
      </c>
      <c r="N708">
        <v>94</v>
      </c>
      <c r="O708">
        <v>5</v>
      </c>
      <c r="P708">
        <v>0.67500000000000004</v>
      </c>
      <c r="Q708">
        <v>5</v>
      </c>
      <c r="R708">
        <v>8.0000000000000002E-3</v>
      </c>
      <c r="T708" s="8" t="s">
        <v>357</v>
      </c>
    </row>
    <row r="709" spans="1:20" x14ac:dyDescent="0.2">
      <c r="A709" t="s">
        <v>2299</v>
      </c>
      <c r="B709" t="s">
        <v>2022</v>
      </c>
      <c r="C709" t="s">
        <v>2257</v>
      </c>
      <c r="D709" t="s">
        <v>2024</v>
      </c>
      <c r="E709" t="s">
        <v>2300</v>
      </c>
      <c r="F709" t="s">
        <v>447</v>
      </c>
      <c r="G709">
        <v>4</v>
      </c>
      <c r="H709">
        <v>1200</v>
      </c>
      <c r="I709">
        <v>5</v>
      </c>
      <c r="J709">
        <v>5.65</v>
      </c>
      <c r="K709">
        <v>5</v>
      </c>
      <c r="L709">
        <v>0.187</v>
      </c>
      <c r="M709">
        <v>1</v>
      </c>
      <c r="N709">
        <v>300</v>
      </c>
      <c r="O709">
        <v>2</v>
      </c>
      <c r="P709">
        <v>0.9</v>
      </c>
      <c r="Q709">
        <v>3</v>
      </c>
      <c r="R709">
        <v>3.6999999999999998E-2</v>
      </c>
      <c r="T709" s="8" t="s">
        <v>2300</v>
      </c>
    </row>
    <row r="710" spans="1:20" x14ac:dyDescent="0.2">
      <c r="A710" t="s">
        <v>2301</v>
      </c>
      <c r="B710" t="s">
        <v>2022</v>
      </c>
      <c r="C710" t="s">
        <v>2053</v>
      </c>
      <c r="D710" t="s">
        <v>2024</v>
      </c>
      <c r="E710" t="s">
        <v>2302</v>
      </c>
      <c r="F710" t="s">
        <v>2303</v>
      </c>
      <c r="G710">
        <v>2</v>
      </c>
      <c r="H710">
        <v>1600</v>
      </c>
      <c r="I710">
        <v>2</v>
      </c>
      <c r="J710">
        <v>4.05</v>
      </c>
      <c r="K710">
        <v>1</v>
      </c>
      <c r="L710">
        <v>1.4999999999999999E-2</v>
      </c>
      <c r="M710">
        <v>4</v>
      </c>
      <c r="N710">
        <v>103</v>
      </c>
      <c r="O710">
        <v>2</v>
      </c>
      <c r="P710">
        <v>0.22500000000000001</v>
      </c>
      <c r="Q710">
        <v>1</v>
      </c>
      <c r="R710">
        <v>8.4999999999999995E-4</v>
      </c>
      <c r="T710" s="8" t="s">
        <v>2302</v>
      </c>
    </row>
    <row r="711" spans="1:20" x14ac:dyDescent="0.2">
      <c r="A711" t="s">
        <v>2304</v>
      </c>
      <c r="B711" t="s">
        <v>2022</v>
      </c>
      <c r="C711" t="s">
        <v>2036</v>
      </c>
      <c r="D711" t="s">
        <v>2024</v>
      </c>
      <c r="E711" t="s">
        <v>2305</v>
      </c>
      <c r="F711" t="s">
        <v>2306</v>
      </c>
      <c r="G711">
        <v>3</v>
      </c>
      <c r="H711">
        <v>1740</v>
      </c>
      <c r="I711">
        <v>4</v>
      </c>
      <c r="J711">
        <v>5.8</v>
      </c>
      <c r="K711">
        <v>4</v>
      </c>
      <c r="L711">
        <v>0.14499999999999999</v>
      </c>
      <c r="M711">
        <v>1</v>
      </c>
      <c r="N711">
        <v>76</v>
      </c>
      <c r="O711">
        <v>2</v>
      </c>
      <c r="P711">
        <v>0.20499999999999999</v>
      </c>
      <c r="Q711">
        <v>3</v>
      </c>
      <c r="R711">
        <v>6.7499999999999999E-3</v>
      </c>
      <c r="T711" s="8" t="s">
        <v>2305</v>
      </c>
    </row>
    <row r="712" spans="1:20" x14ac:dyDescent="0.2">
      <c r="A712" t="s">
        <v>2307</v>
      </c>
      <c r="B712" t="s">
        <v>2022</v>
      </c>
      <c r="C712" t="s">
        <v>2053</v>
      </c>
      <c r="D712" t="s">
        <v>2024</v>
      </c>
      <c r="E712" t="s">
        <v>2308</v>
      </c>
      <c r="F712" t="s">
        <v>2309</v>
      </c>
      <c r="G712">
        <v>1</v>
      </c>
      <c r="H712">
        <v>1500</v>
      </c>
      <c r="I712">
        <v>2</v>
      </c>
      <c r="J712">
        <v>4.05</v>
      </c>
      <c r="K712">
        <v>2</v>
      </c>
      <c r="L712">
        <v>8.5000000000000006E-2</v>
      </c>
      <c r="M712">
        <v>5</v>
      </c>
      <c r="N712">
        <v>113</v>
      </c>
      <c r="O712">
        <v>2</v>
      </c>
      <c r="P712">
        <v>0.22500000000000001</v>
      </c>
      <c r="Q712">
        <v>2</v>
      </c>
      <c r="R712">
        <v>5.1999999999999998E-3</v>
      </c>
      <c r="T712" s="8" t="s">
        <v>2308</v>
      </c>
    </row>
    <row r="713" spans="1:20" x14ac:dyDescent="0.2">
      <c r="A713" t="s">
        <v>2310</v>
      </c>
      <c r="B713" t="s">
        <v>2022</v>
      </c>
      <c r="C713" t="s">
        <v>2023</v>
      </c>
      <c r="D713" t="s">
        <v>2024</v>
      </c>
      <c r="E713" t="s">
        <v>2311</v>
      </c>
      <c r="F713" t="s">
        <v>2312</v>
      </c>
      <c r="G713">
        <v>2</v>
      </c>
      <c r="H713">
        <v>1560</v>
      </c>
      <c r="I713">
        <v>5</v>
      </c>
      <c r="J713">
        <v>10.9</v>
      </c>
      <c r="K713">
        <v>5</v>
      </c>
      <c r="L713">
        <v>8.5999999999999993E-2</v>
      </c>
      <c r="M713">
        <v>5</v>
      </c>
      <c r="N713">
        <v>114</v>
      </c>
      <c r="O713">
        <v>5</v>
      </c>
      <c r="P713">
        <v>0.67500000000000004</v>
      </c>
      <c r="Q713">
        <v>5</v>
      </c>
      <c r="R713">
        <v>8.0000000000000002E-3</v>
      </c>
      <c r="T713" s="8" t="s">
        <v>2311</v>
      </c>
    </row>
    <row r="714" spans="1:20" x14ac:dyDescent="0.2">
      <c r="A714" t="s">
        <v>2313</v>
      </c>
      <c r="B714" t="s">
        <v>2022</v>
      </c>
      <c r="C714" t="s">
        <v>2023</v>
      </c>
      <c r="D714" t="s">
        <v>2136</v>
      </c>
      <c r="E714" t="s">
        <v>2314</v>
      </c>
      <c r="F714" t="s">
        <v>2315</v>
      </c>
      <c r="G714">
        <v>5</v>
      </c>
      <c r="H714">
        <v>1800</v>
      </c>
      <c r="I714">
        <v>5</v>
      </c>
      <c r="J714">
        <v>10.9</v>
      </c>
      <c r="K714">
        <v>5</v>
      </c>
      <c r="L714">
        <v>8.5999999999999993E-2</v>
      </c>
      <c r="M714">
        <v>5</v>
      </c>
      <c r="N714">
        <v>114</v>
      </c>
      <c r="O714">
        <v>5</v>
      </c>
      <c r="P714">
        <v>0.67500000000000004</v>
      </c>
      <c r="Q714">
        <v>5</v>
      </c>
      <c r="R714">
        <v>8.0000000000000002E-3</v>
      </c>
      <c r="T714" s="8" t="s">
        <v>2314</v>
      </c>
    </row>
    <row r="715" spans="1:20" x14ac:dyDescent="0.2">
      <c r="A715" t="s">
        <v>2316</v>
      </c>
      <c r="B715" t="s">
        <v>2022</v>
      </c>
      <c r="C715" t="s">
        <v>2023</v>
      </c>
      <c r="D715" t="s">
        <v>2024</v>
      </c>
      <c r="E715" t="s">
        <v>2317</v>
      </c>
      <c r="F715" t="s">
        <v>2318</v>
      </c>
      <c r="G715">
        <v>3</v>
      </c>
      <c r="H715">
        <v>1640</v>
      </c>
      <c r="I715">
        <v>2</v>
      </c>
      <c r="J715">
        <v>3.4</v>
      </c>
      <c r="K715">
        <v>4</v>
      </c>
      <c r="L715">
        <v>6.6000000000000003E-2</v>
      </c>
      <c r="M715">
        <v>3</v>
      </c>
      <c r="N715">
        <v>94</v>
      </c>
      <c r="O715">
        <v>2</v>
      </c>
      <c r="P715">
        <v>0.22500000000000001</v>
      </c>
      <c r="Q715">
        <v>3</v>
      </c>
      <c r="R715">
        <v>4.0000000000000001E-3</v>
      </c>
      <c r="T715" s="8" t="s">
        <v>2317</v>
      </c>
    </row>
    <row r="716" spans="1:20" x14ac:dyDescent="0.2">
      <c r="A716" t="s">
        <v>2319</v>
      </c>
      <c r="B716" t="s">
        <v>2022</v>
      </c>
      <c r="C716" t="s">
        <v>2028</v>
      </c>
      <c r="D716" t="s">
        <v>2024</v>
      </c>
      <c r="E716" t="s">
        <v>2320</v>
      </c>
      <c r="F716" t="s">
        <v>2321</v>
      </c>
      <c r="G716">
        <v>2</v>
      </c>
      <c r="H716">
        <v>850</v>
      </c>
      <c r="I716">
        <v>2</v>
      </c>
      <c r="J716">
        <v>1.55</v>
      </c>
      <c r="K716">
        <v>2</v>
      </c>
      <c r="L716">
        <v>4.4999999999999998E-2</v>
      </c>
      <c r="M716">
        <v>5</v>
      </c>
      <c r="N716">
        <v>500</v>
      </c>
      <c r="O716">
        <v>5</v>
      </c>
      <c r="P716">
        <v>1.35</v>
      </c>
      <c r="Q716">
        <v>5</v>
      </c>
      <c r="R716">
        <v>3.3500000000000002E-2</v>
      </c>
      <c r="T716" s="8" t="s">
        <v>2320</v>
      </c>
    </row>
    <row r="717" spans="1:20" x14ac:dyDescent="0.2">
      <c r="A717" t="s">
        <v>2322</v>
      </c>
      <c r="B717" t="s">
        <v>2022</v>
      </c>
      <c r="C717" t="s">
        <v>2095</v>
      </c>
      <c r="D717" t="s">
        <v>2024</v>
      </c>
      <c r="E717" t="s">
        <v>2323</v>
      </c>
      <c r="F717" t="s">
        <v>2324</v>
      </c>
      <c r="G717">
        <v>1</v>
      </c>
      <c r="H717">
        <v>1565</v>
      </c>
      <c r="I717">
        <v>4</v>
      </c>
      <c r="J717">
        <v>13.5</v>
      </c>
      <c r="K717">
        <v>3</v>
      </c>
      <c r="L717">
        <v>0.33</v>
      </c>
      <c r="M717">
        <v>1</v>
      </c>
      <c r="N717">
        <v>74</v>
      </c>
      <c r="O717">
        <v>3</v>
      </c>
      <c r="P717">
        <v>0.55000000000000004</v>
      </c>
      <c r="Q717">
        <v>3</v>
      </c>
      <c r="R717">
        <v>1.49E-2</v>
      </c>
      <c r="T717" s="8" t="s">
        <v>2323</v>
      </c>
    </row>
    <row r="718" spans="1:20" x14ac:dyDescent="0.2">
      <c r="A718" t="s">
        <v>2325</v>
      </c>
      <c r="B718" t="s">
        <v>2022</v>
      </c>
      <c r="C718" t="s">
        <v>2053</v>
      </c>
      <c r="D718" t="s">
        <v>2024</v>
      </c>
      <c r="E718" t="s">
        <v>2326</v>
      </c>
      <c r="F718" t="s">
        <v>447</v>
      </c>
      <c r="G718">
        <v>3</v>
      </c>
      <c r="H718">
        <v>1700</v>
      </c>
      <c r="I718">
        <v>2</v>
      </c>
      <c r="J718">
        <v>4.05</v>
      </c>
      <c r="K718">
        <v>2</v>
      </c>
      <c r="L718">
        <v>8.5000000000000006E-2</v>
      </c>
      <c r="M718">
        <v>2</v>
      </c>
      <c r="N718">
        <v>83</v>
      </c>
      <c r="O718">
        <v>2</v>
      </c>
      <c r="P718">
        <v>0.22500000000000001</v>
      </c>
      <c r="Q718">
        <v>2</v>
      </c>
      <c r="R718">
        <v>5.1999999999999998E-3</v>
      </c>
      <c r="T718" s="8" t="s">
        <v>2326</v>
      </c>
    </row>
    <row r="719" spans="1:20" x14ac:dyDescent="0.2">
      <c r="A719" t="s">
        <v>2327</v>
      </c>
      <c r="B719" t="s">
        <v>2022</v>
      </c>
      <c r="C719" t="s">
        <v>2036</v>
      </c>
      <c r="D719" t="s">
        <v>2024</v>
      </c>
      <c r="E719" t="s">
        <v>2328</v>
      </c>
      <c r="F719" t="s">
        <v>2329</v>
      </c>
      <c r="G719">
        <v>4</v>
      </c>
      <c r="H719">
        <v>1840</v>
      </c>
      <c r="I719">
        <v>3</v>
      </c>
      <c r="J719">
        <v>4.5999999999999996</v>
      </c>
      <c r="K719">
        <v>2</v>
      </c>
      <c r="L719">
        <v>8.5000000000000006E-2</v>
      </c>
      <c r="M719">
        <v>5</v>
      </c>
      <c r="N719">
        <v>100</v>
      </c>
      <c r="O719">
        <v>3</v>
      </c>
      <c r="P719">
        <v>0.315</v>
      </c>
      <c r="Q719">
        <v>2</v>
      </c>
      <c r="R719">
        <v>4.2500000000000003E-3</v>
      </c>
      <c r="T719" s="8" t="s">
        <v>2328</v>
      </c>
    </row>
    <row r="720" spans="1:20" x14ac:dyDescent="0.2">
      <c r="A720" t="s">
        <v>2330</v>
      </c>
      <c r="B720" t="s">
        <v>2022</v>
      </c>
      <c r="C720" t="s">
        <v>2106</v>
      </c>
      <c r="D720" t="s">
        <v>2024</v>
      </c>
      <c r="E720" t="s">
        <v>2331</v>
      </c>
      <c r="F720" t="s">
        <v>2332</v>
      </c>
      <c r="G720">
        <v>4</v>
      </c>
      <c r="H720">
        <v>2125</v>
      </c>
      <c r="I720">
        <v>2</v>
      </c>
      <c r="J720">
        <v>5.75</v>
      </c>
      <c r="K720">
        <v>3</v>
      </c>
      <c r="L720">
        <v>0.14000000000000001</v>
      </c>
      <c r="M720">
        <v>3</v>
      </c>
      <c r="N720">
        <v>75.5</v>
      </c>
      <c r="O720">
        <v>3</v>
      </c>
      <c r="P720">
        <v>0.25</v>
      </c>
      <c r="Q720">
        <v>3</v>
      </c>
      <c r="R720">
        <v>4.4999999999999997E-3</v>
      </c>
      <c r="T720" s="8" t="s">
        <v>2331</v>
      </c>
    </row>
    <row r="721" spans="1:20" x14ac:dyDescent="0.2">
      <c r="A721" t="s">
        <v>2333</v>
      </c>
      <c r="B721" t="s">
        <v>2022</v>
      </c>
      <c r="C721" t="s">
        <v>2036</v>
      </c>
      <c r="D721" t="s">
        <v>2024</v>
      </c>
      <c r="E721" t="s">
        <v>2331</v>
      </c>
      <c r="F721" t="s">
        <v>2332</v>
      </c>
      <c r="G721">
        <v>4</v>
      </c>
      <c r="H721">
        <v>1840</v>
      </c>
      <c r="I721">
        <v>3</v>
      </c>
      <c r="J721">
        <v>4.5999999999999996</v>
      </c>
      <c r="K721">
        <v>4</v>
      </c>
      <c r="L721">
        <v>0.14499999999999999</v>
      </c>
      <c r="M721">
        <v>2</v>
      </c>
      <c r="N721">
        <v>82</v>
      </c>
      <c r="O721">
        <v>2</v>
      </c>
      <c r="P721">
        <v>0.20499999999999999</v>
      </c>
      <c r="Q721">
        <v>3</v>
      </c>
      <c r="R721">
        <v>6.7499999999999999E-3</v>
      </c>
      <c r="T721" s="8" t="s">
        <v>2331</v>
      </c>
    </row>
    <row r="722" spans="1:20" x14ac:dyDescent="0.2">
      <c r="A722" t="s">
        <v>2334</v>
      </c>
      <c r="B722" t="s">
        <v>2022</v>
      </c>
      <c r="C722" t="s">
        <v>2023</v>
      </c>
      <c r="D722" t="s">
        <v>2024</v>
      </c>
      <c r="E722" t="s">
        <v>2335</v>
      </c>
      <c r="F722" t="s">
        <v>2336</v>
      </c>
      <c r="G722">
        <v>3</v>
      </c>
      <c r="H722">
        <v>1640</v>
      </c>
      <c r="I722">
        <v>2</v>
      </c>
      <c r="J722">
        <v>3.4</v>
      </c>
      <c r="K722">
        <v>3</v>
      </c>
      <c r="L722">
        <v>4.5999999999999999E-2</v>
      </c>
      <c r="M722">
        <v>3</v>
      </c>
      <c r="N722">
        <v>94</v>
      </c>
      <c r="O722">
        <v>1</v>
      </c>
      <c r="P722">
        <v>7.4999999999999997E-2</v>
      </c>
      <c r="Q722">
        <v>2</v>
      </c>
      <c r="R722">
        <v>2E-3</v>
      </c>
      <c r="T722" s="8" t="s">
        <v>2335</v>
      </c>
    </row>
    <row r="723" spans="1:20" x14ac:dyDescent="0.2">
      <c r="A723" t="s">
        <v>2337</v>
      </c>
      <c r="B723" t="s">
        <v>2022</v>
      </c>
      <c r="C723" t="s">
        <v>2036</v>
      </c>
      <c r="D723" t="s">
        <v>2024</v>
      </c>
      <c r="E723" t="s">
        <v>2338</v>
      </c>
      <c r="F723" t="s">
        <v>2339</v>
      </c>
      <c r="G723">
        <v>5</v>
      </c>
      <c r="H723">
        <v>1940</v>
      </c>
      <c r="I723">
        <v>5</v>
      </c>
      <c r="J723">
        <v>7</v>
      </c>
      <c r="K723">
        <v>5</v>
      </c>
      <c r="L723">
        <v>0.17499999999999999</v>
      </c>
      <c r="M723">
        <v>3</v>
      </c>
      <c r="N723">
        <v>88</v>
      </c>
      <c r="O723">
        <v>4</v>
      </c>
      <c r="P723">
        <v>0.42499999999999999</v>
      </c>
      <c r="Q723">
        <v>3</v>
      </c>
      <c r="R723">
        <v>6.7499999999999999E-3</v>
      </c>
      <c r="T723" s="8" t="s">
        <v>2338</v>
      </c>
    </row>
    <row r="724" spans="1:20" x14ac:dyDescent="0.2">
      <c r="A724" t="s">
        <v>2340</v>
      </c>
      <c r="B724" t="s">
        <v>2022</v>
      </c>
      <c r="C724" t="s">
        <v>2222</v>
      </c>
      <c r="D724" t="s">
        <v>2024</v>
      </c>
      <c r="E724" t="s">
        <v>2341</v>
      </c>
      <c r="F724" t="s">
        <v>2342</v>
      </c>
      <c r="G724">
        <v>4</v>
      </c>
      <c r="H724">
        <v>1750</v>
      </c>
      <c r="I724">
        <v>4</v>
      </c>
      <c r="J724">
        <v>7.1</v>
      </c>
      <c r="K724">
        <v>4</v>
      </c>
      <c r="L724">
        <v>0.19500000000000001</v>
      </c>
      <c r="M724">
        <v>5</v>
      </c>
      <c r="N724">
        <v>75</v>
      </c>
      <c r="O724">
        <v>4</v>
      </c>
      <c r="P724">
        <v>0.31</v>
      </c>
      <c r="Q724">
        <v>4</v>
      </c>
      <c r="R724">
        <v>8.3000000000000001E-3</v>
      </c>
      <c r="T724" s="8" t="s">
        <v>2341</v>
      </c>
    </row>
    <row r="725" spans="1:20" x14ac:dyDescent="0.2">
      <c r="A725" t="s">
        <v>2343</v>
      </c>
      <c r="B725" t="s">
        <v>2022</v>
      </c>
      <c r="C725" t="s">
        <v>2023</v>
      </c>
      <c r="D725" t="s">
        <v>2154</v>
      </c>
      <c r="E725" t="s">
        <v>2344</v>
      </c>
      <c r="F725" t="s">
        <v>2297</v>
      </c>
      <c r="G725">
        <v>2</v>
      </c>
      <c r="H725">
        <v>1560</v>
      </c>
      <c r="I725">
        <v>2</v>
      </c>
      <c r="J725">
        <v>3.4</v>
      </c>
      <c r="K725">
        <v>2</v>
      </c>
      <c r="L725">
        <v>2.5999999999999999E-2</v>
      </c>
      <c r="M725">
        <v>1</v>
      </c>
      <c r="N725">
        <v>74</v>
      </c>
      <c r="O725">
        <v>1</v>
      </c>
      <c r="P725">
        <v>7.4999999999999997E-2</v>
      </c>
      <c r="Q725">
        <v>2</v>
      </c>
      <c r="R725">
        <v>2E-3</v>
      </c>
      <c r="T725" s="8" t="s">
        <v>2344</v>
      </c>
    </row>
    <row r="726" spans="1:20" x14ac:dyDescent="0.2">
      <c r="A726" t="s">
        <v>2345</v>
      </c>
      <c r="B726" t="s">
        <v>2022</v>
      </c>
      <c r="C726" t="s">
        <v>2023</v>
      </c>
      <c r="D726" t="s">
        <v>2024</v>
      </c>
      <c r="E726" t="s">
        <v>2346</v>
      </c>
      <c r="F726" t="s">
        <v>2347</v>
      </c>
      <c r="G726">
        <v>3</v>
      </c>
      <c r="H726">
        <v>1640</v>
      </c>
      <c r="I726">
        <v>5</v>
      </c>
      <c r="J726">
        <v>10.9</v>
      </c>
      <c r="K726">
        <v>5</v>
      </c>
      <c r="L726">
        <v>8.5999999999999993E-2</v>
      </c>
      <c r="M726">
        <v>2</v>
      </c>
      <c r="N726">
        <v>84</v>
      </c>
      <c r="O726">
        <v>5</v>
      </c>
      <c r="P726">
        <v>0.67500000000000004</v>
      </c>
      <c r="Q726">
        <v>5</v>
      </c>
      <c r="R726">
        <v>8.0000000000000002E-3</v>
      </c>
      <c r="T726" s="8" t="s">
        <v>2346</v>
      </c>
    </row>
    <row r="727" spans="1:20" x14ac:dyDescent="0.2">
      <c r="A727" t="s">
        <v>2348</v>
      </c>
      <c r="B727" t="s">
        <v>2022</v>
      </c>
      <c r="C727" t="s">
        <v>2101</v>
      </c>
      <c r="D727" t="s">
        <v>2024</v>
      </c>
      <c r="E727" t="s">
        <v>2349</v>
      </c>
      <c r="F727" t="s">
        <v>2350</v>
      </c>
      <c r="G727">
        <v>3</v>
      </c>
      <c r="H727">
        <v>1770</v>
      </c>
      <c r="I727">
        <v>5</v>
      </c>
      <c r="J727">
        <v>14</v>
      </c>
      <c r="K727">
        <v>4</v>
      </c>
      <c r="L727">
        <v>0.39050000000000001</v>
      </c>
      <c r="M727">
        <v>3</v>
      </c>
      <c r="N727">
        <v>82</v>
      </c>
      <c r="O727">
        <v>5</v>
      </c>
      <c r="P727">
        <v>0.67500000000000004</v>
      </c>
      <c r="Q727">
        <v>4</v>
      </c>
      <c r="R727">
        <v>1.8499999999999999E-2</v>
      </c>
      <c r="T727" s="8" t="s">
        <v>2349</v>
      </c>
    </row>
    <row r="728" spans="1:20" x14ac:dyDescent="0.2">
      <c r="A728" t="s">
        <v>2351</v>
      </c>
      <c r="B728" t="s">
        <v>2022</v>
      </c>
      <c r="C728" t="s">
        <v>2106</v>
      </c>
      <c r="D728" t="s">
        <v>2024</v>
      </c>
      <c r="E728" t="s">
        <v>2349</v>
      </c>
      <c r="F728" t="s">
        <v>2350</v>
      </c>
      <c r="G728">
        <v>2</v>
      </c>
      <c r="H728">
        <v>1825</v>
      </c>
      <c r="I728">
        <v>5</v>
      </c>
      <c r="J728">
        <v>13.25</v>
      </c>
      <c r="K728">
        <v>5</v>
      </c>
      <c r="L728">
        <v>0.3</v>
      </c>
      <c r="M728">
        <v>4</v>
      </c>
      <c r="N728">
        <v>82.5</v>
      </c>
      <c r="O728">
        <v>5</v>
      </c>
      <c r="P728">
        <v>0.45</v>
      </c>
      <c r="Q728">
        <v>5</v>
      </c>
      <c r="R728">
        <v>8.5000000000000006E-3</v>
      </c>
      <c r="T728" s="8" t="s">
        <v>2349</v>
      </c>
    </row>
    <row r="729" spans="1:20" x14ac:dyDescent="0.2">
      <c r="A729" t="s">
        <v>2352</v>
      </c>
      <c r="B729" t="s">
        <v>2022</v>
      </c>
      <c r="C729" t="s">
        <v>2023</v>
      </c>
      <c r="D729" t="s">
        <v>2024</v>
      </c>
      <c r="E729" t="s">
        <v>2349</v>
      </c>
      <c r="F729" t="s">
        <v>2350</v>
      </c>
      <c r="G729">
        <v>5</v>
      </c>
      <c r="H729">
        <v>1800</v>
      </c>
      <c r="I729">
        <v>5</v>
      </c>
      <c r="J729">
        <v>10.9</v>
      </c>
      <c r="K729">
        <v>5</v>
      </c>
      <c r="L729">
        <v>8.5999999999999993E-2</v>
      </c>
      <c r="M729">
        <v>4</v>
      </c>
      <c r="N729">
        <v>104</v>
      </c>
      <c r="O729">
        <v>5</v>
      </c>
      <c r="P729">
        <v>0.67500000000000004</v>
      </c>
      <c r="Q729">
        <v>5</v>
      </c>
      <c r="R729">
        <v>8.0000000000000002E-3</v>
      </c>
      <c r="T729" s="8" t="s">
        <v>2349</v>
      </c>
    </row>
    <row r="730" spans="1:20" x14ac:dyDescent="0.2">
      <c r="A730" t="s">
        <v>2353</v>
      </c>
      <c r="B730" t="s">
        <v>2022</v>
      </c>
      <c r="C730" t="s">
        <v>2036</v>
      </c>
      <c r="D730" t="s">
        <v>2024</v>
      </c>
      <c r="E730" t="s">
        <v>2354</v>
      </c>
      <c r="F730" t="s">
        <v>2355</v>
      </c>
      <c r="G730">
        <v>2</v>
      </c>
      <c r="H730">
        <v>1640</v>
      </c>
      <c r="I730">
        <v>3</v>
      </c>
      <c r="J730">
        <v>4.5999999999999996</v>
      </c>
      <c r="K730">
        <v>3</v>
      </c>
      <c r="L730">
        <v>0.115</v>
      </c>
      <c r="M730">
        <v>2</v>
      </c>
      <c r="N730">
        <v>82</v>
      </c>
      <c r="O730">
        <v>2</v>
      </c>
      <c r="P730">
        <v>0.20499999999999999</v>
      </c>
      <c r="Q730">
        <v>3</v>
      </c>
      <c r="R730">
        <v>6.7499999999999999E-3</v>
      </c>
      <c r="T730" s="8" t="s">
        <v>2354</v>
      </c>
    </row>
    <row r="731" spans="1:20" x14ac:dyDescent="0.2">
      <c r="A731" t="s">
        <v>2356</v>
      </c>
      <c r="B731" t="s">
        <v>2022</v>
      </c>
      <c r="C731" t="s">
        <v>2036</v>
      </c>
      <c r="D731" t="s">
        <v>2024</v>
      </c>
      <c r="E731" t="s">
        <v>2357</v>
      </c>
      <c r="F731" t="s">
        <v>2358</v>
      </c>
      <c r="G731">
        <v>1</v>
      </c>
      <c r="H731">
        <v>1540</v>
      </c>
      <c r="I731">
        <v>4</v>
      </c>
      <c r="J731">
        <v>5.8</v>
      </c>
      <c r="K731">
        <v>3</v>
      </c>
      <c r="L731">
        <v>0.115</v>
      </c>
      <c r="M731">
        <v>1</v>
      </c>
      <c r="N731">
        <v>76</v>
      </c>
      <c r="O731">
        <v>3</v>
      </c>
      <c r="P731">
        <v>0.315</v>
      </c>
      <c r="Q731">
        <v>3</v>
      </c>
      <c r="R731">
        <v>6.7499999999999999E-3</v>
      </c>
      <c r="T731" s="8" t="s">
        <v>2357</v>
      </c>
    </row>
    <row r="732" spans="1:20" x14ac:dyDescent="0.2">
      <c r="A732" t="s">
        <v>2359</v>
      </c>
      <c r="B732" t="s">
        <v>2022</v>
      </c>
      <c r="C732" t="s">
        <v>2095</v>
      </c>
      <c r="D732" t="s">
        <v>2024</v>
      </c>
      <c r="E732" t="s">
        <v>2360</v>
      </c>
      <c r="F732" t="s">
        <v>2361</v>
      </c>
      <c r="G732">
        <v>5</v>
      </c>
      <c r="H732">
        <v>1925</v>
      </c>
      <c r="I732">
        <v>1</v>
      </c>
      <c r="J732">
        <v>4.5</v>
      </c>
      <c r="K732">
        <v>1</v>
      </c>
      <c r="L732">
        <v>1.4999999999999999E-2</v>
      </c>
      <c r="M732">
        <v>2</v>
      </c>
      <c r="N732">
        <v>80</v>
      </c>
      <c r="O732">
        <v>1</v>
      </c>
      <c r="P732">
        <v>0.15</v>
      </c>
      <c r="Q732">
        <v>1</v>
      </c>
      <c r="R732">
        <v>6.9999999999999999E-4</v>
      </c>
      <c r="T732" s="8" t="s">
        <v>2360</v>
      </c>
    </row>
    <row r="733" spans="1:20" x14ac:dyDescent="0.2">
      <c r="A733" t="s">
        <v>2362</v>
      </c>
      <c r="B733" t="s">
        <v>2022</v>
      </c>
      <c r="C733" t="s">
        <v>2023</v>
      </c>
      <c r="D733" t="s">
        <v>2024</v>
      </c>
      <c r="E733" t="s">
        <v>2363</v>
      </c>
      <c r="F733" t="s">
        <v>2364</v>
      </c>
      <c r="G733">
        <v>1</v>
      </c>
      <c r="H733">
        <v>1480</v>
      </c>
      <c r="I733">
        <v>1</v>
      </c>
      <c r="J733">
        <v>0.9</v>
      </c>
      <c r="K733">
        <v>2</v>
      </c>
      <c r="L733">
        <v>2.5999999999999999E-2</v>
      </c>
      <c r="M733">
        <v>3</v>
      </c>
      <c r="N733">
        <v>94</v>
      </c>
      <c r="O733">
        <v>1</v>
      </c>
      <c r="P733">
        <v>7.4999999999999997E-2</v>
      </c>
      <c r="Q733">
        <v>2</v>
      </c>
      <c r="R733">
        <v>2E-3</v>
      </c>
      <c r="T733" s="8" t="s">
        <v>2363</v>
      </c>
    </row>
    <row r="734" spans="1:20" x14ac:dyDescent="0.2">
      <c r="A734" t="s">
        <v>2365</v>
      </c>
      <c r="B734" t="s">
        <v>2022</v>
      </c>
      <c r="C734" t="s">
        <v>2036</v>
      </c>
      <c r="D734" t="s">
        <v>2024</v>
      </c>
      <c r="E734" t="s">
        <v>2366</v>
      </c>
      <c r="F734" t="s">
        <v>2367</v>
      </c>
      <c r="G734">
        <v>3</v>
      </c>
      <c r="H734">
        <v>1740</v>
      </c>
      <c r="I734">
        <v>2</v>
      </c>
      <c r="J734">
        <v>3.4</v>
      </c>
      <c r="K734">
        <v>1</v>
      </c>
      <c r="L734">
        <v>5.5E-2</v>
      </c>
      <c r="M734">
        <v>3</v>
      </c>
      <c r="N734">
        <v>88</v>
      </c>
      <c r="O734">
        <v>2</v>
      </c>
      <c r="P734">
        <v>0.20499999999999999</v>
      </c>
      <c r="Q734">
        <v>1</v>
      </c>
      <c r="R734">
        <v>1.5E-3</v>
      </c>
      <c r="T734" s="8" t="s">
        <v>2366</v>
      </c>
    </row>
    <row r="735" spans="1:20" x14ac:dyDescent="0.2">
      <c r="A735" t="s">
        <v>2368</v>
      </c>
      <c r="B735" t="s">
        <v>2022</v>
      </c>
      <c r="C735" t="s">
        <v>2023</v>
      </c>
      <c r="D735" t="s">
        <v>2024</v>
      </c>
      <c r="E735" t="s">
        <v>2369</v>
      </c>
      <c r="F735" t="s">
        <v>2370</v>
      </c>
      <c r="G735">
        <v>3</v>
      </c>
      <c r="H735">
        <v>1640</v>
      </c>
      <c r="I735">
        <v>2</v>
      </c>
      <c r="J735">
        <v>3.4</v>
      </c>
      <c r="K735">
        <v>2</v>
      </c>
      <c r="L735">
        <v>2.5999999999999999E-2</v>
      </c>
      <c r="M735">
        <v>5</v>
      </c>
      <c r="N735">
        <v>114</v>
      </c>
      <c r="O735">
        <v>2</v>
      </c>
      <c r="P735">
        <v>0.22500000000000001</v>
      </c>
      <c r="Q735">
        <v>2</v>
      </c>
      <c r="R735">
        <v>2E-3</v>
      </c>
      <c r="T735" s="8" t="s">
        <v>2369</v>
      </c>
    </row>
    <row r="736" spans="1:20" x14ac:dyDescent="0.2">
      <c r="A736" t="s">
        <v>2371</v>
      </c>
      <c r="B736" t="s">
        <v>2022</v>
      </c>
      <c r="C736" t="s">
        <v>2036</v>
      </c>
      <c r="D736" t="s">
        <v>2024</v>
      </c>
      <c r="E736" t="s">
        <v>2372</v>
      </c>
      <c r="F736" t="s">
        <v>2373</v>
      </c>
      <c r="G736">
        <v>3</v>
      </c>
      <c r="H736">
        <v>1740</v>
      </c>
      <c r="I736">
        <v>1</v>
      </c>
      <c r="J736">
        <v>2.2000000000000002</v>
      </c>
      <c r="K736">
        <v>1</v>
      </c>
      <c r="L736">
        <v>5.5E-2</v>
      </c>
      <c r="M736">
        <v>3</v>
      </c>
      <c r="N736">
        <v>88</v>
      </c>
      <c r="O736">
        <v>1</v>
      </c>
      <c r="P736">
        <v>9.5000000000000001E-2</v>
      </c>
      <c r="Q736">
        <v>1</v>
      </c>
      <c r="R736">
        <v>1.5E-3</v>
      </c>
      <c r="T736" s="8" t="s">
        <v>2372</v>
      </c>
    </row>
    <row r="737" spans="1:20" x14ac:dyDescent="0.2">
      <c r="A737" t="s">
        <v>2374</v>
      </c>
      <c r="B737" t="s">
        <v>2022</v>
      </c>
      <c r="C737" t="s">
        <v>2023</v>
      </c>
      <c r="D737" t="s">
        <v>2024</v>
      </c>
      <c r="E737" t="s">
        <v>2375</v>
      </c>
      <c r="F737" t="s">
        <v>2376</v>
      </c>
      <c r="G737">
        <v>3</v>
      </c>
      <c r="H737">
        <v>1640</v>
      </c>
      <c r="I737">
        <v>2</v>
      </c>
      <c r="J737">
        <v>3.4</v>
      </c>
      <c r="K737">
        <v>2</v>
      </c>
      <c r="L737">
        <v>2.5999999999999999E-2</v>
      </c>
      <c r="M737">
        <v>1</v>
      </c>
      <c r="N737">
        <v>74</v>
      </c>
      <c r="O737">
        <v>2</v>
      </c>
      <c r="P737">
        <v>0.22500000000000001</v>
      </c>
      <c r="Q737">
        <v>1</v>
      </c>
      <c r="R737">
        <v>5.0000000000000001E-4</v>
      </c>
      <c r="T737" s="8" t="s">
        <v>2375</v>
      </c>
    </row>
    <row r="738" spans="1:20" x14ac:dyDescent="0.2">
      <c r="A738" t="s">
        <v>2377</v>
      </c>
      <c r="B738" t="s">
        <v>2022</v>
      </c>
      <c r="C738" t="s">
        <v>2095</v>
      </c>
      <c r="D738" t="s">
        <v>2024</v>
      </c>
      <c r="E738" t="s">
        <v>2378</v>
      </c>
      <c r="F738" t="s">
        <v>2379</v>
      </c>
      <c r="G738">
        <v>3</v>
      </c>
      <c r="H738">
        <v>1745</v>
      </c>
      <c r="I738">
        <v>2</v>
      </c>
      <c r="J738">
        <v>7.5</v>
      </c>
      <c r="K738">
        <v>1</v>
      </c>
      <c r="L738">
        <v>1.4999999999999999E-2</v>
      </c>
      <c r="M738">
        <v>4</v>
      </c>
      <c r="N738">
        <v>92</v>
      </c>
      <c r="O738">
        <v>2</v>
      </c>
      <c r="P738">
        <v>0.35</v>
      </c>
      <c r="Q738">
        <v>1</v>
      </c>
      <c r="R738">
        <v>6.9999999999999999E-4</v>
      </c>
      <c r="T738" s="8" t="s">
        <v>2378</v>
      </c>
    </row>
    <row r="739" spans="1:20" x14ac:dyDescent="0.2">
      <c r="A739" t="s">
        <v>2380</v>
      </c>
      <c r="B739" t="s">
        <v>2022</v>
      </c>
      <c r="C739" t="s">
        <v>2053</v>
      </c>
      <c r="D739" t="s">
        <v>2024</v>
      </c>
      <c r="E739" t="s">
        <v>2381</v>
      </c>
      <c r="F739" t="s">
        <v>2382</v>
      </c>
      <c r="G739">
        <v>3</v>
      </c>
      <c r="H739">
        <v>1700</v>
      </c>
      <c r="I739">
        <v>2</v>
      </c>
      <c r="J739">
        <v>4.05</v>
      </c>
      <c r="K739">
        <v>2</v>
      </c>
      <c r="L739">
        <v>8.5000000000000006E-2</v>
      </c>
      <c r="M739">
        <v>1</v>
      </c>
      <c r="N739">
        <v>73</v>
      </c>
      <c r="O739">
        <v>2</v>
      </c>
      <c r="P739">
        <v>0.22500000000000001</v>
      </c>
      <c r="Q739">
        <v>1</v>
      </c>
      <c r="R739">
        <v>8.4999999999999995E-4</v>
      </c>
      <c r="T739" s="8" t="s">
        <v>2381</v>
      </c>
    </row>
    <row r="740" spans="1:20" x14ac:dyDescent="0.2">
      <c r="A740" t="s">
        <v>2383</v>
      </c>
      <c r="B740" t="s">
        <v>2022</v>
      </c>
      <c r="C740" t="s">
        <v>2023</v>
      </c>
      <c r="D740" t="s">
        <v>2024</v>
      </c>
      <c r="E740" t="s">
        <v>2384</v>
      </c>
      <c r="F740" t="s">
        <v>2385</v>
      </c>
      <c r="G740">
        <v>5</v>
      </c>
      <c r="H740">
        <v>1800</v>
      </c>
      <c r="I740">
        <v>3</v>
      </c>
      <c r="J740">
        <v>5.9</v>
      </c>
      <c r="K740">
        <v>2</v>
      </c>
      <c r="L740">
        <v>2.5999999999999999E-2</v>
      </c>
      <c r="M740">
        <v>5</v>
      </c>
      <c r="N740">
        <v>114</v>
      </c>
      <c r="O740">
        <v>3</v>
      </c>
      <c r="P740">
        <v>0.375</v>
      </c>
      <c r="Q740">
        <v>2</v>
      </c>
      <c r="R740">
        <v>2E-3</v>
      </c>
      <c r="T740" s="8" t="s">
        <v>2384</v>
      </c>
    </row>
    <row r="741" spans="1:20" x14ac:dyDescent="0.2">
      <c r="A741" t="s">
        <v>2386</v>
      </c>
      <c r="B741" t="s">
        <v>2022</v>
      </c>
      <c r="C741" t="s">
        <v>2023</v>
      </c>
      <c r="D741" t="s">
        <v>2024</v>
      </c>
      <c r="E741" t="s">
        <v>2387</v>
      </c>
      <c r="F741" t="s">
        <v>2388</v>
      </c>
      <c r="G741">
        <v>5</v>
      </c>
      <c r="H741">
        <v>1800</v>
      </c>
      <c r="I741">
        <v>1</v>
      </c>
      <c r="J741">
        <v>0.9</v>
      </c>
      <c r="K741">
        <v>2</v>
      </c>
      <c r="L741">
        <v>2.5999999999999999E-2</v>
      </c>
      <c r="M741">
        <v>5</v>
      </c>
      <c r="N741">
        <v>114</v>
      </c>
      <c r="O741">
        <v>1</v>
      </c>
      <c r="P741">
        <v>7.4999999999999997E-2</v>
      </c>
      <c r="Q741">
        <v>2</v>
      </c>
      <c r="R741">
        <v>2E-3</v>
      </c>
      <c r="T741" s="8" t="s">
        <v>2387</v>
      </c>
    </row>
    <row r="742" spans="1:20" x14ac:dyDescent="0.2">
      <c r="A742" t="s">
        <v>2389</v>
      </c>
      <c r="B742" t="s">
        <v>2022</v>
      </c>
      <c r="C742" t="s">
        <v>2036</v>
      </c>
      <c r="D742" t="s">
        <v>2024</v>
      </c>
      <c r="E742" t="s">
        <v>2390</v>
      </c>
      <c r="F742" t="s">
        <v>2391</v>
      </c>
      <c r="G742">
        <v>2</v>
      </c>
      <c r="H742">
        <v>1640</v>
      </c>
      <c r="I742">
        <v>1</v>
      </c>
      <c r="J742">
        <v>2.2000000000000002</v>
      </c>
      <c r="K742">
        <v>2</v>
      </c>
      <c r="L742">
        <v>8.5000000000000006E-2</v>
      </c>
      <c r="M742">
        <v>4</v>
      </c>
      <c r="N742">
        <v>94</v>
      </c>
      <c r="O742">
        <v>1</v>
      </c>
      <c r="P742">
        <v>9.5000000000000001E-2</v>
      </c>
      <c r="Q742">
        <v>2</v>
      </c>
      <c r="R742">
        <v>4.2500000000000003E-3</v>
      </c>
      <c r="T742" s="8" t="s">
        <v>2390</v>
      </c>
    </row>
    <row r="743" spans="1:20" x14ac:dyDescent="0.2">
      <c r="A743" t="s">
        <v>2392</v>
      </c>
      <c r="B743" t="s">
        <v>2022</v>
      </c>
      <c r="C743" t="s">
        <v>2101</v>
      </c>
      <c r="D743" t="s">
        <v>2024</v>
      </c>
      <c r="E743" t="s">
        <v>2393</v>
      </c>
      <c r="F743" t="s">
        <v>2394</v>
      </c>
      <c r="G743">
        <v>4</v>
      </c>
      <c r="H743">
        <v>1870</v>
      </c>
      <c r="I743">
        <v>5</v>
      </c>
      <c r="J743">
        <v>14</v>
      </c>
      <c r="K743">
        <v>5</v>
      </c>
      <c r="L743">
        <v>0.53749999999999998</v>
      </c>
      <c r="M743">
        <v>3</v>
      </c>
      <c r="N743">
        <v>82</v>
      </c>
      <c r="O743">
        <v>5</v>
      </c>
      <c r="P743">
        <v>0.67500000000000004</v>
      </c>
      <c r="Q743">
        <v>5</v>
      </c>
      <c r="R743">
        <v>2.5499999999999998E-2</v>
      </c>
      <c r="T743" s="8" t="s">
        <v>2393</v>
      </c>
    </row>
    <row r="744" spans="1:20" x14ac:dyDescent="0.2">
      <c r="A744" t="s">
        <v>2395</v>
      </c>
      <c r="B744" t="s">
        <v>2022</v>
      </c>
      <c r="C744" t="s">
        <v>2036</v>
      </c>
      <c r="D744" t="s">
        <v>2024</v>
      </c>
      <c r="E744" t="s">
        <v>2396</v>
      </c>
      <c r="F744" t="s">
        <v>2397</v>
      </c>
      <c r="G744">
        <v>2</v>
      </c>
      <c r="H744">
        <v>1640</v>
      </c>
      <c r="I744">
        <v>5</v>
      </c>
      <c r="J744">
        <v>7</v>
      </c>
      <c r="K744">
        <v>5</v>
      </c>
      <c r="L744">
        <v>0.17499999999999999</v>
      </c>
      <c r="M744">
        <v>1</v>
      </c>
      <c r="N744">
        <v>76</v>
      </c>
      <c r="O744">
        <v>4</v>
      </c>
      <c r="P744">
        <v>0.42499999999999999</v>
      </c>
      <c r="Q744">
        <v>5</v>
      </c>
      <c r="R744">
        <v>1.2E-2</v>
      </c>
      <c r="T744" s="8" t="s">
        <v>2396</v>
      </c>
    </row>
    <row r="745" spans="1:20" x14ac:dyDescent="0.2">
      <c r="A745" t="s">
        <v>2398</v>
      </c>
      <c r="B745" t="s">
        <v>2022</v>
      </c>
      <c r="C745" t="s">
        <v>2023</v>
      </c>
      <c r="D745" t="s">
        <v>2024</v>
      </c>
      <c r="E745" t="s">
        <v>2399</v>
      </c>
      <c r="F745" t="s">
        <v>2400</v>
      </c>
      <c r="G745">
        <v>3</v>
      </c>
      <c r="H745">
        <v>1640</v>
      </c>
      <c r="I745">
        <v>1</v>
      </c>
      <c r="J745">
        <v>0.9</v>
      </c>
      <c r="K745">
        <v>3</v>
      </c>
      <c r="L745">
        <v>4.5999999999999999E-2</v>
      </c>
      <c r="M745">
        <v>3</v>
      </c>
      <c r="N745">
        <v>94</v>
      </c>
      <c r="O745">
        <v>1</v>
      </c>
      <c r="P745">
        <v>7.4999999999999997E-2</v>
      </c>
      <c r="Q745">
        <v>2</v>
      </c>
      <c r="R745">
        <v>2E-3</v>
      </c>
      <c r="T745" s="8" t="s">
        <v>2399</v>
      </c>
    </row>
    <row r="746" spans="1:20" x14ac:dyDescent="0.2">
      <c r="A746" t="s">
        <v>2401</v>
      </c>
      <c r="B746" t="s">
        <v>2022</v>
      </c>
      <c r="C746" t="s">
        <v>2257</v>
      </c>
      <c r="D746" t="s">
        <v>2136</v>
      </c>
      <c r="E746" t="s">
        <v>357</v>
      </c>
      <c r="F746" t="s">
        <v>447</v>
      </c>
      <c r="G746">
        <v>2</v>
      </c>
      <c r="H746">
        <v>1000</v>
      </c>
      <c r="I746">
        <v>2</v>
      </c>
      <c r="J746">
        <v>1.75</v>
      </c>
      <c r="K746">
        <v>2</v>
      </c>
      <c r="L746">
        <v>3.6999999999999998E-2</v>
      </c>
      <c r="M746">
        <v>1</v>
      </c>
      <c r="N746">
        <v>300</v>
      </c>
      <c r="O746">
        <v>1</v>
      </c>
      <c r="P746">
        <v>0.3</v>
      </c>
      <c r="Q746">
        <v>2</v>
      </c>
      <c r="R746">
        <v>1.4999999999999999E-2</v>
      </c>
      <c r="T746" s="8" t="s">
        <v>357</v>
      </c>
    </row>
    <row r="747" spans="1:20" x14ac:dyDescent="0.2">
      <c r="A747" t="s">
        <v>2402</v>
      </c>
      <c r="B747" t="s">
        <v>2022</v>
      </c>
      <c r="C747" t="s">
        <v>2257</v>
      </c>
      <c r="D747" t="s">
        <v>2136</v>
      </c>
      <c r="E747" t="s">
        <v>357</v>
      </c>
      <c r="F747" t="s">
        <v>447</v>
      </c>
      <c r="G747">
        <v>2</v>
      </c>
      <c r="H747">
        <v>1000</v>
      </c>
      <c r="I747">
        <v>2</v>
      </c>
      <c r="J747">
        <v>1.75</v>
      </c>
      <c r="K747">
        <v>2</v>
      </c>
      <c r="L747">
        <v>3.6999999999999998E-2</v>
      </c>
      <c r="M747">
        <v>1</v>
      </c>
      <c r="N747">
        <v>300</v>
      </c>
      <c r="O747">
        <v>2</v>
      </c>
      <c r="P747">
        <v>0.9</v>
      </c>
      <c r="Q747">
        <v>2</v>
      </c>
      <c r="R747">
        <v>1.4999999999999999E-2</v>
      </c>
      <c r="T747" s="8" t="s">
        <v>357</v>
      </c>
    </row>
    <row r="748" spans="1:20" x14ac:dyDescent="0.2">
      <c r="A748" t="s">
        <v>2403</v>
      </c>
      <c r="B748" t="s">
        <v>2022</v>
      </c>
      <c r="C748" t="s">
        <v>2023</v>
      </c>
      <c r="D748" t="s">
        <v>2024</v>
      </c>
      <c r="E748" t="s">
        <v>2404</v>
      </c>
      <c r="F748" t="s">
        <v>2405</v>
      </c>
      <c r="G748">
        <v>3</v>
      </c>
      <c r="H748">
        <v>1640</v>
      </c>
      <c r="I748">
        <v>4</v>
      </c>
      <c r="J748">
        <v>8.4</v>
      </c>
      <c r="K748">
        <v>5</v>
      </c>
      <c r="L748">
        <v>8.5999999999999993E-2</v>
      </c>
      <c r="M748">
        <v>2</v>
      </c>
      <c r="N748">
        <v>84</v>
      </c>
      <c r="O748">
        <v>4</v>
      </c>
      <c r="P748">
        <v>0.52500000000000002</v>
      </c>
      <c r="Q748">
        <v>5</v>
      </c>
      <c r="R748">
        <v>8.0000000000000002E-3</v>
      </c>
      <c r="T748" s="8" t="s">
        <v>2404</v>
      </c>
    </row>
    <row r="749" spans="1:20" x14ac:dyDescent="0.2">
      <c r="A749" t="s">
        <v>2406</v>
      </c>
      <c r="B749" t="s">
        <v>2022</v>
      </c>
      <c r="C749" t="s">
        <v>2036</v>
      </c>
      <c r="D749" t="s">
        <v>2024</v>
      </c>
      <c r="E749" t="s">
        <v>2407</v>
      </c>
      <c r="F749" t="s">
        <v>2408</v>
      </c>
      <c r="G749">
        <v>4</v>
      </c>
      <c r="H749">
        <v>1840</v>
      </c>
      <c r="I749">
        <v>1</v>
      </c>
      <c r="J749">
        <v>2.2000000000000002</v>
      </c>
      <c r="K749">
        <v>2</v>
      </c>
      <c r="L749">
        <v>8.5000000000000006E-2</v>
      </c>
      <c r="M749">
        <v>3</v>
      </c>
      <c r="N749">
        <v>88</v>
      </c>
      <c r="O749">
        <v>1</v>
      </c>
      <c r="P749">
        <v>9.5000000000000001E-2</v>
      </c>
      <c r="Q749">
        <v>2</v>
      </c>
      <c r="R749">
        <v>4.2500000000000003E-3</v>
      </c>
      <c r="T749" s="8" t="s">
        <v>2407</v>
      </c>
    </row>
    <row r="750" spans="1:20" x14ac:dyDescent="0.2">
      <c r="A750" t="s">
        <v>2409</v>
      </c>
      <c r="B750" t="s">
        <v>2022</v>
      </c>
      <c r="C750" t="s">
        <v>2028</v>
      </c>
      <c r="D750" t="s">
        <v>2024</v>
      </c>
      <c r="E750" t="s">
        <v>2410</v>
      </c>
      <c r="F750" t="s">
        <v>2411</v>
      </c>
      <c r="G750">
        <v>2</v>
      </c>
      <c r="H750">
        <v>850</v>
      </c>
      <c r="I750">
        <v>3</v>
      </c>
      <c r="J750">
        <v>3.25</v>
      </c>
      <c r="K750">
        <v>3</v>
      </c>
      <c r="L750">
        <v>0.11899999999999999</v>
      </c>
      <c r="M750">
        <v>3</v>
      </c>
      <c r="N750">
        <v>300</v>
      </c>
      <c r="O750">
        <v>5</v>
      </c>
      <c r="P750">
        <v>1.35</v>
      </c>
      <c r="Q750">
        <v>5</v>
      </c>
      <c r="R750">
        <v>3.3500000000000002E-2</v>
      </c>
      <c r="T750" s="8" t="s">
        <v>2410</v>
      </c>
    </row>
    <row r="751" spans="1:20" x14ac:dyDescent="0.2">
      <c r="A751" t="s">
        <v>2412</v>
      </c>
      <c r="B751" t="s">
        <v>2022</v>
      </c>
      <c r="C751" t="s">
        <v>2049</v>
      </c>
      <c r="D751" t="s">
        <v>2136</v>
      </c>
      <c r="E751" t="s">
        <v>357</v>
      </c>
      <c r="F751" t="s">
        <v>2413</v>
      </c>
      <c r="G751">
        <v>1</v>
      </c>
      <c r="H751">
        <v>1350</v>
      </c>
      <c r="I751">
        <v>1</v>
      </c>
      <c r="J751">
        <v>1.4</v>
      </c>
      <c r="K751">
        <v>1</v>
      </c>
      <c r="L751">
        <v>0.01</v>
      </c>
      <c r="M751">
        <v>2</v>
      </c>
      <c r="N751">
        <v>106</v>
      </c>
      <c r="O751">
        <v>1</v>
      </c>
      <c r="P751">
        <v>0.06</v>
      </c>
      <c r="Q751">
        <v>1</v>
      </c>
      <c r="R751">
        <v>8.4999999999999995E-4</v>
      </c>
      <c r="T751" s="8" t="s">
        <v>357</v>
      </c>
    </row>
    <row r="752" spans="1:20" x14ac:dyDescent="0.2">
      <c r="A752" t="s">
        <v>2414</v>
      </c>
      <c r="B752" t="s">
        <v>2022</v>
      </c>
      <c r="C752" t="s">
        <v>2036</v>
      </c>
      <c r="D752" t="s">
        <v>2024</v>
      </c>
      <c r="E752" t="s">
        <v>241</v>
      </c>
      <c r="F752" t="s">
        <v>2415</v>
      </c>
      <c r="G752">
        <v>4</v>
      </c>
      <c r="H752">
        <v>1840</v>
      </c>
      <c r="I752">
        <v>4</v>
      </c>
      <c r="J752">
        <v>5.8</v>
      </c>
      <c r="K752">
        <v>1</v>
      </c>
      <c r="L752">
        <v>5.5E-2</v>
      </c>
      <c r="M752">
        <v>4</v>
      </c>
      <c r="N752">
        <v>94</v>
      </c>
      <c r="O752">
        <v>3</v>
      </c>
      <c r="P752">
        <v>0.315</v>
      </c>
      <c r="Q752">
        <v>2</v>
      </c>
      <c r="R752">
        <v>4.2500000000000003E-3</v>
      </c>
      <c r="T752" s="8" t="s">
        <v>241</v>
      </c>
    </row>
    <row r="753" spans="1:20" x14ac:dyDescent="0.2">
      <c r="A753" t="s">
        <v>2416</v>
      </c>
      <c r="B753" t="s">
        <v>2022</v>
      </c>
      <c r="C753" t="s">
        <v>2036</v>
      </c>
      <c r="D753" t="s">
        <v>2136</v>
      </c>
      <c r="E753" t="s">
        <v>357</v>
      </c>
      <c r="F753" t="s">
        <v>447</v>
      </c>
      <c r="G753">
        <v>2</v>
      </c>
      <c r="H753">
        <v>1640</v>
      </c>
      <c r="I753">
        <v>2</v>
      </c>
      <c r="J753">
        <v>3.4</v>
      </c>
      <c r="K753">
        <v>4</v>
      </c>
      <c r="L753">
        <v>0.14499999999999999</v>
      </c>
      <c r="M753">
        <v>3</v>
      </c>
      <c r="N753">
        <v>88</v>
      </c>
      <c r="O753">
        <v>2</v>
      </c>
      <c r="P753">
        <v>0.20499999999999999</v>
      </c>
      <c r="Q753">
        <v>4</v>
      </c>
      <c r="R753">
        <v>9.2499999999999995E-3</v>
      </c>
      <c r="T753" s="8" t="s">
        <v>357</v>
      </c>
    </row>
    <row r="754" spans="1:20" x14ac:dyDescent="0.2">
      <c r="A754" t="s">
        <v>2417</v>
      </c>
      <c r="B754" t="s">
        <v>2022</v>
      </c>
      <c r="C754" t="s">
        <v>2036</v>
      </c>
      <c r="D754" t="s">
        <v>2136</v>
      </c>
      <c r="E754" t="s">
        <v>357</v>
      </c>
      <c r="F754" t="s">
        <v>447</v>
      </c>
      <c r="G754">
        <v>3</v>
      </c>
      <c r="H754">
        <v>1740</v>
      </c>
      <c r="I754">
        <v>2</v>
      </c>
      <c r="J754">
        <v>3.4</v>
      </c>
      <c r="K754">
        <v>5</v>
      </c>
      <c r="L754">
        <v>0.17499999999999999</v>
      </c>
      <c r="M754">
        <v>4</v>
      </c>
      <c r="N754">
        <v>94</v>
      </c>
      <c r="O754">
        <v>2</v>
      </c>
      <c r="P754">
        <v>0.20499999999999999</v>
      </c>
      <c r="Q754">
        <v>4</v>
      </c>
      <c r="R754">
        <v>9.2499999999999995E-3</v>
      </c>
      <c r="T754" s="8" t="s">
        <v>357</v>
      </c>
    </row>
    <row r="755" spans="1:20" x14ac:dyDescent="0.2">
      <c r="A755" t="s">
        <v>2418</v>
      </c>
      <c r="B755" t="s">
        <v>2022</v>
      </c>
      <c r="C755" t="s">
        <v>2023</v>
      </c>
      <c r="D755" t="s">
        <v>2024</v>
      </c>
      <c r="E755" t="s">
        <v>2419</v>
      </c>
      <c r="F755" t="s">
        <v>2420</v>
      </c>
      <c r="G755">
        <v>2</v>
      </c>
      <c r="H755">
        <v>1560</v>
      </c>
      <c r="I755">
        <v>2</v>
      </c>
      <c r="J755">
        <v>3.4</v>
      </c>
      <c r="K755">
        <v>5</v>
      </c>
      <c r="L755">
        <v>8.5999999999999993E-2</v>
      </c>
      <c r="M755">
        <v>1</v>
      </c>
      <c r="N755">
        <v>74</v>
      </c>
      <c r="O755">
        <v>1</v>
      </c>
      <c r="P755">
        <v>7.4999999999999997E-2</v>
      </c>
      <c r="Q755">
        <v>3</v>
      </c>
      <c r="R755">
        <v>4.0000000000000001E-3</v>
      </c>
      <c r="T755" s="8" t="s">
        <v>2419</v>
      </c>
    </row>
    <row r="756" spans="1:20" x14ac:dyDescent="0.2">
      <c r="A756" t="s">
        <v>2421</v>
      </c>
      <c r="B756" t="s">
        <v>2022</v>
      </c>
      <c r="C756" t="s">
        <v>2222</v>
      </c>
      <c r="D756" t="s">
        <v>2136</v>
      </c>
      <c r="E756" t="s">
        <v>2422</v>
      </c>
      <c r="F756" t="s">
        <v>2423</v>
      </c>
      <c r="G756">
        <v>4</v>
      </c>
      <c r="H756">
        <v>1750</v>
      </c>
      <c r="I756">
        <v>4</v>
      </c>
      <c r="J756">
        <v>7.1</v>
      </c>
      <c r="K756">
        <v>2</v>
      </c>
      <c r="L756">
        <v>5.5E-2</v>
      </c>
      <c r="M756">
        <v>4</v>
      </c>
      <c r="N756">
        <v>71</v>
      </c>
      <c r="O756">
        <v>4</v>
      </c>
      <c r="P756">
        <v>0.31</v>
      </c>
      <c r="Q756">
        <v>2</v>
      </c>
      <c r="R756">
        <v>2.3E-3</v>
      </c>
      <c r="T756" s="8" t="s">
        <v>2422</v>
      </c>
    </row>
    <row r="757" spans="1:20" x14ac:dyDescent="0.2">
      <c r="A757" t="s">
        <v>2424</v>
      </c>
      <c r="B757" t="s">
        <v>2022</v>
      </c>
      <c r="C757" t="s">
        <v>2023</v>
      </c>
      <c r="D757" t="s">
        <v>2024</v>
      </c>
      <c r="E757" t="s">
        <v>2425</v>
      </c>
      <c r="F757" t="s">
        <v>2426</v>
      </c>
      <c r="G757">
        <v>1</v>
      </c>
      <c r="H757">
        <v>1480</v>
      </c>
      <c r="I757">
        <v>1</v>
      </c>
      <c r="J757">
        <v>0.9</v>
      </c>
      <c r="K757">
        <v>5</v>
      </c>
      <c r="L757">
        <v>8.5999999999999993E-2</v>
      </c>
      <c r="M757">
        <v>5</v>
      </c>
      <c r="N757">
        <v>114</v>
      </c>
      <c r="O757">
        <v>5</v>
      </c>
      <c r="P757">
        <v>0.67500000000000004</v>
      </c>
      <c r="Q757">
        <v>5</v>
      </c>
      <c r="R757">
        <v>8.0000000000000002E-3</v>
      </c>
      <c r="T757" s="8" t="s">
        <v>2425</v>
      </c>
    </row>
    <row r="758" spans="1:20" x14ac:dyDescent="0.2">
      <c r="A758" t="s">
        <v>2427</v>
      </c>
      <c r="B758" t="s">
        <v>2022</v>
      </c>
      <c r="C758" t="s">
        <v>2023</v>
      </c>
      <c r="D758" t="s">
        <v>2024</v>
      </c>
      <c r="E758" t="s">
        <v>2428</v>
      </c>
      <c r="F758" t="s">
        <v>2429</v>
      </c>
      <c r="G758">
        <v>1</v>
      </c>
      <c r="H758">
        <v>1480</v>
      </c>
      <c r="I758">
        <v>1</v>
      </c>
      <c r="J758">
        <v>0.9</v>
      </c>
      <c r="K758">
        <v>1</v>
      </c>
      <c r="L758">
        <v>6.0000000000000001E-3</v>
      </c>
      <c r="M758">
        <v>1</v>
      </c>
      <c r="N758">
        <v>74</v>
      </c>
      <c r="O758">
        <v>1</v>
      </c>
      <c r="P758">
        <v>7.4999999999999997E-2</v>
      </c>
      <c r="Q758">
        <v>1</v>
      </c>
      <c r="R758">
        <v>5.0000000000000001E-4</v>
      </c>
      <c r="T758" s="8" t="s">
        <v>2428</v>
      </c>
    </row>
    <row r="759" spans="1:20" x14ac:dyDescent="0.2">
      <c r="A759" t="s">
        <v>2430</v>
      </c>
      <c r="B759" t="s">
        <v>2022</v>
      </c>
      <c r="C759" t="s">
        <v>2036</v>
      </c>
      <c r="D759" t="s">
        <v>2024</v>
      </c>
      <c r="E759" t="s">
        <v>2431</v>
      </c>
      <c r="F759" t="s">
        <v>447</v>
      </c>
      <c r="G759">
        <v>5</v>
      </c>
      <c r="H759">
        <v>1940</v>
      </c>
      <c r="I759">
        <v>3</v>
      </c>
      <c r="J759">
        <v>4.5999999999999996</v>
      </c>
      <c r="K759">
        <v>2</v>
      </c>
      <c r="L759">
        <v>8.5000000000000006E-2</v>
      </c>
      <c r="M759">
        <v>3</v>
      </c>
      <c r="N759">
        <v>88</v>
      </c>
      <c r="O759">
        <v>2</v>
      </c>
      <c r="P759">
        <v>0.20499999999999999</v>
      </c>
      <c r="Q759">
        <v>2</v>
      </c>
      <c r="R759">
        <v>4.2500000000000003E-3</v>
      </c>
      <c r="T759" s="8" t="s">
        <v>2431</v>
      </c>
    </row>
    <row r="760" spans="1:20" x14ac:dyDescent="0.2">
      <c r="A760" t="s">
        <v>2432</v>
      </c>
      <c r="B760" t="s">
        <v>2022</v>
      </c>
      <c r="C760" t="s">
        <v>2053</v>
      </c>
      <c r="D760" t="s">
        <v>2024</v>
      </c>
      <c r="E760" t="s">
        <v>2433</v>
      </c>
      <c r="F760" t="s">
        <v>2434</v>
      </c>
      <c r="G760">
        <v>3</v>
      </c>
      <c r="H760">
        <v>1700</v>
      </c>
      <c r="I760">
        <v>2</v>
      </c>
      <c r="J760">
        <v>4.05</v>
      </c>
      <c r="K760">
        <v>1</v>
      </c>
      <c r="L760">
        <v>1.4999999999999999E-2</v>
      </c>
      <c r="M760">
        <v>2</v>
      </c>
      <c r="N760">
        <v>83</v>
      </c>
      <c r="O760">
        <v>1</v>
      </c>
      <c r="P760">
        <v>7.4999999999999997E-2</v>
      </c>
      <c r="Q760">
        <v>1</v>
      </c>
      <c r="R760">
        <v>8.4999999999999995E-4</v>
      </c>
      <c r="T760" s="8" t="s">
        <v>2433</v>
      </c>
    </row>
    <row r="761" spans="1:20" x14ac:dyDescent="0.2">
      <c r="A761" t="s">
        <v>2435</v>
      </c>
      <c r="B761" t="s">
        <v>2022</v>
      </c>
      <c r="C761" t="s">
        <v>2023</v>
      </c>
      <c r="D761" t="s">
        <v>2024</v>
      </c>
      <c r="E761" t="s">
        <v>357</v>
      </c>
      <c r="F761" t="s">
        <v>2436</v>
      </c>
      <c r="G761">
        <v>1</v>
      </c>
      <c r="H761">
        <v>1480</v>
      </c>
      <c r="I761">
        <v>3</v>
      </c>
      <c r="J761">
        <v>5.9</v>
      </c>
      <c r="K761">
        <v>5</v>
      </c>
      <c r="L761">
        <v>8.5999999999999993E-2</v>
      </c>
      <c r="M761">
        <v>5</v>
      </c>
      <c r="N761">
        <v>114</v>
      </c>
      <c r="O761">
        <v>4</v>
      </c>
      <c r="P761">
        <v>0.52500000000000002</v>
      </c>
      <c r="Q761">
        <v>5</v>
      </c>
      <c r="R761">
        <v>8.0000000000000002E-3</v>
      </c>
      <c r="T761" s="8" t="s">
        <v>357</v>
      </c>
    </row>
    <row r="762" spans="1:20" x14ac:dyDescent="0.2">
      <c r="A762" t="s">
        <v>2437</v>
      </c>
      <c r="B762" t="s">
        <v>2022</v>
      </c>
      <c r="C762" t="s">
        <v>2053</v>
      </c>
      <c r="D762" t="s">
        <v>2024</v>
      </c>
      <c r="E762" t="s">
        <v>2438</v>
      </c>
      <c r="F762" t="s">
        <v>2439</v>
      </c>
      <c r="G762">
        <v>1</v>
      </c>
      <c r="H762">
        <v>1500</v>
      </c>
      <c r="I762">
        <v>5</v>
      </c>
      <c r="J762">
        <v>11.55</v>
      </c>
      <c r="K762">
        <v>5</v>
      </c>
      <c r="L762">
        <v>0.41499999999999998</v>
      </c>
      <c r="M762">
        <v>5</v>
      </c>
      <c r="N762">
        <v>113</v>
      </c>
      <c r="O762">
        <v>5</v>
      </c>
      <c r="P762">
        <v>0.67500000000000004</v>
      </c>
      <c r="Q762">
        <v>5</v>
      </c>
      <c r="R762">
        <v>2.6200000000000001E-2</v>
      </c>
      <c r="T762" s="8" t="s">
        <v>2438</v>
      </c>
    </row>
    <row r="763" spans="1:20" x14ac:dyDescent="0.2">
      <c r="A763" t="s">
        <v>2440</v>
      </c>
      <c r="B763" t="s">
        <v>2022</v>
      </c>
      <c r="C763" t="s">
        <v>2036</v>
      </c>
      <c r="D763" t="s">
        <v>2024</v>
      </c>
      <c r="E763" t="s">
        <v>2441</v>
      </c>
      <c r="F763" t="s">
        <v>447</v>
      </c>
      <c r="G763">
        <v>3</v>
      </c>
      <c r="H763">
        <v>1740</v>
      </c>
      <c r="I763">
        <v>2</v>
      </c>
      <c r="J763">
        <v>3.4</v>
      </c>
      <c r="K763">
        <v>3</v>
      </c>
      <c r="L763">
        <v>0.115</v>
      </c>
      <c r="M763">
        <v>2</v>
      </c>
      <c r="N763">
        <v>82</v>
      </c>
      <c r="O763">
        <v>2</v>
      </c>
      <c r="P763">
        <v>0.20499999999999999</v>
      </c>
      <c r="Q763">
        <v>2</v>
      </c>
      <c r="R763">
        <v>4.2500000000000003E-3</v>
      </c>
      <c r="T763" s="8" t="s">
        <v>2441</v>
      </c>
    </row>
    <row r="764" spans="1:20" x14ac:dyDescent="0.2">
      <c r="A764" t="s">
        <v>2442</v>
      </c>
      <c r="B764" t="s">
        <v>2022</v>
      </c>
      <c r="C764" t="s">
        <v>2049</v>
      </c>
      <c r="D764" t="s">
        <v>2024</v>
      </c>
      <c r="E764" t="s">
        <v>2443</v>
      </c>
      <c r="F764" t="s">
        <v>447</v>
      </c>
      <c r="G764">
        <v>3</v>
      </c>
      <c r="H764">
        <v>1550</v>
      </c>
      <c r="I764">
        <v>5</v>
      </c>
      <c r="J764">
        <v>8.6</v>
      </c>
      <c r="K764">
        <v>5</v>
      </c>
      <c r="L764">
        <v>0.3</v>
      </c>
      <c r="M764">
        <v>2</v>
      </c>
      <c r="N764">
        <v>106</v>
      </c>
      <c r="O764">
        <v>5</v>
      </c>
      <c r="P764">
        <v>0.86</v>
      </c>
      <c r="Q764">
        <v>5</v>
      </c>
      <c r="R764">
        <v>3.32E-2</v>
      </c>
      <c r="T764" s="8" t="s">
        <v>2443</v>
      </c>
    </row>
    <row r="765" spans="1:20" x14ac:dyDescent="0.2">
      <c r="A765" t="s">
        <v>2444</v>
      </c>
      <c r="B765" t="s">
        <v>2022</v>
      </c>
      <c r="C765" t="s">
        <v>2023</v>
      </c>
      <c r="D765" t="s">
        <v>2024</v>
      </c>
      <c r="E765" t="s">
        <v>2445</v>
      </c>
      <c r="F765" t="s">
        <v>2446</v>
      </c>
      <c r="G765">
        <v>2</v>
      </c>
      <c r="H765">
        <v>1560</v>
      </c>
      <c r="I765">
        <v>3</v>
      </c>
      <c r="J765">
        <v>5.9</v>
      </c>
      <c r="K765">
        <v>5</v>
      </c>
      <c r="L765">
        <v>8.5999999999999993E-2</v>
      </c>
      <c r="M765">
        <v>2</v>
      </c>
      <c r="N765">
        <v>84</v>
      </c>
      <c r="O765">
        <v>2</v>
      </c>
      <c r="P765">
        <v>0.22500000000000001</v>
      </c>
      <c r="Q765">
        <v>3</v>
      </c>
      <c r="R765">
        <v>4.0000000000000001E-3</v>
      </c>
      <c r="T765" s="8" t="s">
        <v>2445</v>
      </c>
    </row>
    <row r="766" spans="1:20" x14ac:dyDescent="0.2">
      <c r="A766" t="s">
        <v>2447</v>
      </c>
      <c r="B766" t="s">
        <v>2022</v>
      </c>
      <c r="C766" t="s">
        <v>2036</v>
      </c>
      <c r="D766" t="s">
        <v>2024</v>
      </c>
      <c r="E766" t="s">
        <v>2448</v>
      </c>
      <c r="F766" t="s">
        <v>2449</v>
      </c>
      <c r="G766">
        <v>2</v>
      </c>
      <c r="H766">
        <v>1640</v>
      </c>
      <c r="I766">
        <v>5</v>
      </c>
      <c r="J766">
        <v>7</v>
      </c>
      <c r="K766">
        <v>5</v>
      </c>
      <c r="L766">
        <v>0.17499999999999999</v>
      </c>
      <c r="M766">
        <v>1</v>
      </c>
      <c r="N766">
        <v>76</v>
      </c>
      <c r="O766">
        <v>5</v>
      </c>
      <c r="P766">
        <v>0.53500000000000003</v>
      </c>
      <c r="Q766">
        <v>5</v>
      </c>
      <c r="R766">
        <v>1.2E-2</v>
      </c>
      <c r="T766" s="8" t="s">
        <v>2448</v>
      </c>
    </row>
    <row r="767" spans="1:20" x14ac:dyDescent="0.2">
      <c r="A767" t="s">
        <v>2450</v>
      </c>
      <c r="B767" t="s">
        <v>2022</v>
      </c>
      <c r="C767" t="s">
        <v>2053</v>
      </c>
      <c r="D767" t="s">
        <v>2024</v>
      </c>
      <c r="E767" t="s">
        <v>2451</v>
      </c>
      <c r="F767" t="s">
        <v>447</v>
      </c>
      <c r="G767">
        <v>3</v>
      </c>
      <c r="H767">
        <v>1700</v>
      </c>
      <c r="I767">
        <v>1</v>
      </c>
      <c r="J767">
        <v>1.55</v>
      </c>
      <c r="K767">
        <v>1</v>
      </c>
      <c r="L767">
        <v>1.4999999999999999E-2</v>
      </c>
      <c r="M767">
        <v>5</v>
      </c>
      <c r="N767">
        <v>113</v>
      </c>
      <c r="O767">
        <v>1</v>
      </c>
      <c r="P767">
        <v>7.4999999999999997E-2</v>
      </c>
      <c r="Q767">
        <v>1</v>
      </c>
      <c r="R767">
        <v>8.4999999999999995E-4</v>
      </c>
      <c r="T767" s="8" t="s">
        <v>2451</v>
      </c>
    </row>
    <row r="768" spans="1:20" x14ac:dyDescent="0.2">
      <c r="A768" t="s">
        <v>2452</v>
      </c>
      <c r="B768" t="s">
        <v>2022</v>
      </c>
      <c r="C768" t="s">
        <v>2023</v>
      </c>
      <c r="D768" t="s">
        <v>2024</v>
      </c>
      <c r="E768" t="s">
        <v>2453</v>
      </c>
      <c r="F768" t="s">
        <v>2454</v>
      </c>
      <c r="G768">
        <v>5</v>
      </c>
      <c r="H768">
        <v>1800</v>
      </c>
      <c r="I768">
        <v>5</v>
      </c>
      <c r="J768">
        <v>10.9</v>
      </c>
      <c r="K768">
        <v>5</v>
      </c>
      <c r="L768">
        <v>8.5999999999999993E-2</v>
      </c>
      <c r="M768">
        <v>4</v>
      </c>
      <c r="N768">
        <v>104</v>
      </c>
      <c r="O768">
        <v>4</v>
      </c>
      <c r="P768">
        <v>0.52500000000000002</v>
      </c>
      <c r="Q768">
        <v>5</v>
      </c>
      <c r="R768">
        <v>8.0000000000000002E-3</v>
      </c>
      <c r="T768" s="8" t="s">
        <v>2453</v>
      </c>
    </row>
    <row r="769" spans="1:20" x14ac:dyDescent="0.2">
      <c r="A769" t="s">
        <v>2455</v>
      </c>
      <c r="B769" t="s">
        <v>2022</v>
      </c>
      <c r="C769" t="s">
        <v>2036</v>
      </c>
      <c r="D769" t="s">
        <v>2024</v>
      </c>
      <c r="E769" t="s">
        <v>2456</v>
      </c>
      <c r="F769" t="s">
        <v>2457</v>
      </c>
      <c r="G769">
        <v>3</v>
      </c>
      <c r="H769">
        <v>1740</v>
      </c>
      <c r="I769">
        <v>2</v>
      </c>
      <c r="J769">
        <v>3.4</v>
      </c>
      <c r="K769">
        <v>3</v>
      </c>
      <c r="L769">
        <v>0.115</v>
      </c>
      <c r="M769">
        <v>3</v>
      </c>
      <c r="N769">
        <v>88</v>
      </c>
      <c r="O769">
        <v>2</v>
      </c>
      <c r="P769">
        <v>0.20499999999999999</v>
      </c>
      <c r="Q769">
        <v>2</v>
      </c>
      <c r="R769">
        <v>4.2500000000000003E-3</v>
      </c>
      <c r="T769" s="8" t="s">
        <v>2456</v>
      </c>
    </row>
    <row r="770" spans="1:20" x14ac:dyDescent="0.2">
      <c r="A770" t="s">
        <v>2458</v>
      </c>
      <c r="B770" t="s">
        <v>2022</v>
      </c>
      <c r="C770" t="s">
        <v>2023</v>
      </c>
      <c r="D770" t="s">
        <v>2024</v>
      </c>
      <c r="E770" t="s">
        <v>2459</v>
      </c>
      <c r="F770" t="s">
        <v>2460</v>
      </c>
      <c r="G770">
        <v>4</v>
      </c>
      <c r="H770">
        <v>1720</v>
      </c>
      <c r="I770">
        <v>4</v>
      </c>
      <c r="J770">
        <v>8.4</v>
      </c>
      <c r="K770">
        <v>5</v>
      </c>
      <c r="L770">
        <v>8.5999999999999993E-2</v>
      </c>
      <c r="M770">
        <v>3</v>
      </c>
      <c r="N770">
        <v>94</v>
      </c>
      <c r="O770">
        <v>4</v>
      </c>
      <c r="P770">
        <v>0.52500000000000002</v>
      </c>
      <c r="Q770">
        <v>5</v>
      </c>
      <c r="R770">
        <v>8.0000000000000002E-3</v>
      </c>
      <c r="T770" s="8" t="s">
        <v>2459</v>
      </c>
    </row>
    <row r="771" spans="1:20" x14ac:dyDescent="0.2">
      <c r="A771" t="s">
        <v>2461</v>
      </c>
      <c r="B771" t="s">
        <v>2022</v>
      </c>
      <c r="C771" t="s">
        <v>2023</v>
      </c>
      <c r="D771" t="s">
        <v>2024</v>
      </c>
      <c r="E771" t="s">
        <v>2462</v>
      </c>
      <c r="F771" t="s">
        <v>2463</v>
      </c>
      <c r="G771">
        <v>3</v>
      </c>
      <c r="H771">
        <v>1640</v>
      </c>
      <c r="I771">
        <v>2</v>
      </c>
      <c r="J771">
        <v>3.4</v>
      </c>
      <c r="K771">
        <v>2</v>
      </c>
      <c r="L771">
        <v>2.5999999999999999E-2</v>
      </c>
      <c r="M771">
        <v>2</v>
      </c>
      <c r="N771">
        <v>84</v>
      </c>
      <c r="O771">
        <v>2</v>
      </c>
      <c r="P771">
        <v>0.22500000000000001</v>
      </c>
      <c r="Q771">
        <v>2</v>
      </c>
      <c r="R771">
        <v>2E-3</v>
      </c>
      <c r="T771" s="8" t="s">
        <v>2462</v>
      </c>
    </row>
    <row r="772" spans="1:20" x14ac:dyDescent="0.2">
      <c r="A772" t="s">
        <v>2464</v>
      </c>
      <c r="B772" t="s">
        <v>2022</v>
      </c>
      <c r="C772" t="s">
        <v>2053</v>
      </c>
      <c r="D772" t="s">
        <v>2024</v>
      </c>
      <c r="E772" t="s">
        <v>2465</v>
      </c>
      <c r="F772" t="s">
        <v>2466</v>
      </c>
      <c r="G772">
        <v>5</v>
      </c>
      <c r="H772">
        <v>1900</v>
      </c>
      <c r="I772">
        <v>5</v>
      </c>
      <c r="J772">
        <v>11.55</v>
      </c>
      <c r="K772">
        <v>5</v>
      </c>
      <c r="L772">
        <v>0.41499999999999998</v>
      </c>
      <c r="M772">
        <v>2</v>
      </c>
      <c r="N772">
        <v>83</v>
      </c>
      <c r="O772">
        <v>5</v>
      </c>
      <c r="P772">
        <v>0.67500000000000004</v>
      </c>
      <c r="Q772">
        <v>5</v>
      </c>
      <c r="R772">
        <v>2.6200000000000001E-2</v>
      </c>
      <c r="T772" s="8" t="s">
        <v>2465</v>
      </c>
    </row>
    <row r="773" spans="1:20" x14ac:dyDescent="0.2">
      <c r="A773" t="s">
        <v>2467</v>
      </c>
      <c r="B773" t="s">
        <v>2022</v>
      </c>
      <c r="C773" t="s">
        <v>2023</v>
      </c>
      <c r="D773" t="s">
        <v>2024</v>
      </c>
      <c r="E773" t="s">
        <v>2468</v>
      </c>
      <c r="F773" t="s">
        <v>2469</v>
      </c>
      <c r="G773">
        <v>2</v>
      </c>
      <c r="H773">
        <v>1560</v>
      </c>
      <c r="I773">
        <v>2</v>
      </c>
      <c r="J773">
        <v>3.4</v>
      </c>
      <c r="K773">
        <v>4</v>
      </c>
      <c r="L773">
        <v>6.6000000000000003E-2</v>
      </c>
      <c r="M773">
        <v>1</v>
      </c>
      <c r="N773">
        <v>74</v>
      </c>
      <c r="O773">
        <v>1</v>
      </c>
      <c r="P773">
        <v>7.4999999999999997E-2</v>
      </c>
      <c r="Q773">
        <v>3</v>
      </c>
      <c r="R773">
        <v>4.0000000000000001E-3</v>
      </c>
      <c r="T773" s="8" t="s">
        <v>2468</v>
      </c>
    </row>
    <row r="774" spans="1:20" x14ac:dyDescent="0.2">
      <c r="A774" t="s">
        <v>2470</v>
      </c>
      <c r="B774" t="s">
        <v>2022</v>
      </c>
      <c r="C774" t="s">
        <v>2257</v>
      </c>
      <c r="D774" t="s">
        <v>2024</v>
      </c>
      <c r="E774" t="s">
        <v>357</v>
      </c>
      <c r="F774" t="s">
        <v>447</v>
      </c>
      <c r="G774">
        <v>5</v>
      </c>
      <c r="H774">
        <v>1300</v>
      </c>
      <c r="I774">
        <v>4</v>
      </c>
      <c r="J774">
        <v>4.3499999999999996</v>
      </c>
      <c r="K774">
        <v>5</v>
      </c>
      <c r="L774">
        <v>0.187</v>
      </c>
      <c r="M774">
        <v>5</v>
      </c>
      <c r="N774">
        <v>1100</v>
      </c>
      <c r="O774">
        <v>5</v>
      </c>
      <c r="P774">
        <v>2.7</v>
      </c>
      <c r="Q774">
        <v>5</v>
      </c>
      <c r="R774">
        <v>8.1000000000000003E-2</v>
      </c>
      <c r="T774" s="8" t="s">
        <v>357</v>
      </c>
    </row>
    <row r="775" spans="1:20" x14ac:dyDescent="0.2">
      <c r="A775" t="s">
        <v>2471</v>
      </c>
      <c r="B775" t="s">
        <v>2022</v>
      </c>
      <c r="C775" t="s">
        <v>2023</v>
      </c>
      <c r="D775" t="s">
        <v>2024</v>
      </c>
      <c r="E775" t="s">
        <v>2472</v>
      </c>
      <c r="F775" t="s">
        <v>2473</v>
      </c>
      <c r="G775">
        <v>3</v>
      </c>
      <c r="H775">
        <v>1640</v>
      </c>
      <c r="I775">
        <v>3</v>
      </c>
      <c r="J775">
        <v>5.9</v>
      </c>
      <c r="K775">
        <v>3</v>
      </c>
      <c r="L775">
        <v>4.5999999999999999E-2</v>
      </c>
      <c r="M775">
        <v>3</v>
      </c>
      <c r="N775">
        <v>94</v>
      </c>
      <c r="O775">
        <v>3</v>
      </c>
      <c r="P775">
        <v>0.375</v>
      </c>
      <c r="Q775">
        <v>2</v>
      </c>
      <c r="R775">
        <v>2E-3</v>
      </c>
      <c r="T775" s="8" t="s">
        <v>2472</v>
      </c>
    </row>
    <row r="776" spans="1:20" x14ac:dyDescent="0.2">
      <c r="A776" t="s">
        <v>2474</v>
      </c>
      <c r="B776" t="s">
        <v>2022</v>
      </c>
      <c r="C776" t="s">
        <v>2095</v>
      </c>
      <c r="D776" t="s">
        <v>2024</v>
      </c>
      <c r="E776" t="s">
        <v>2475</v>
      </c>
      <c r="F776" t="s">
        <v>2476</v>
      </c>
      <c r="G776">
        <v>3</v>
      </c>
      <c r="H776">
        <v>1745</v>
      </c>
      <c r="I776">
        <v>5</v>
      </c>
      <c r="J776">
        <v>16.5</v>
      </c>
      <c r="K776">
        <v>4</v>
      </c>
      <c r="L776">
        <v>0.53</v>
      </c>
      <c r="M776">
        <v>2</v>
      </c>
      <c r="N776">
        <v>80</v>
      </c>
      <c r="O776">
        <v>4</v>
      </c>
      <c r="P776">
        <v>0.75</v>
      </c>
      <c r="Q776">
        <v>4</v>
      </c>
      <c r="R776">
        <v>2.3900000000000001E-2</v>
      </c>
      <c r="T776" s="8" t="s">
        <v>2475</v>
      </c>
    </row>
    <row r="777" spans="1:20" x14ac:dyDescent="0.2">
      <c r="A777" t="s">
        <v>2477</v>
      </c>
      <c r="B777" t="s">
        <v>2022</v>
      </c>
      <c r="C777" t="s">
        <v>2104</v>
      </c>
      <c r="D777" t="s">
        <v>2024</v>
      </c>
      <c r="E777" t="s">
        <v>2478</v>
      </c>
      <c r="F777" t="s">
        <v>2479</v>
      </c>
      <c r="G777">
        <v>3</v>
      </c>
      <c r="H777">
        <v>1887.5</v>
      </c>
      <c r="I777">
        <v>2</v>
      </c>
      <c r="J777">
        <v>3.25</v>
      </c>
      <c r="K777">
        <v>1</v>
      </c>
      <c r="L777">
        <v>8.0000000000000002E-3</v>
      </c>
      <c r="M777">
        <v>3</v>
      </c>
      <c r="N777">
        <v>73</v>
      </c>
      <c r="P777">
        <v>0</v>
      </c>
      <c r="Q777">
        <v>1</v>
      </c>
      <c r="R777">
        <v>3.5E-4</v>
      </c>
      <c r="T777" s="8" t="s">
        <v>2478</v>
      </c>
    </row>
    <row r="778" spans="1:20" x14ac:dyDescent="0.2">
      <c r="A778" t="s">
        <v>2480</v>
      </c>
      <c r="B778" t="s">
        <v>2022</v>
      </c>
      <c r="C778" t="s">
        <v>2101</v>
      </c>
      <c r="D778" t="s">
        <v>2024</v>
      </c>
      <c r="E778" t="s">
        <v>2478</v>
      </c>
      <c r="F778" t="s">
        <v>2479</v>
      </c>
      <c r="G778">
        <v>4</v>
      </c>
      <c r="H778">
        <v>1870</v>
      </c>
      <c r="I778">
        <v>2</v>
      </c>
      <c r="J778">
        <v>5</v>
      </c>
      <c r="K778">
        <v>2</v>
      </c>
      <c r="L778">
        <v>9.6500000000000002E-2</v>
      </c>
      <c r="M778">
        <v>2</v>
      </c>
      <c r="N778">
        <v>74</v>
      </c>
      <c r="O778">
        <v>1</v>
      </c>
      <c r="P778">
        <v>7.4999999999999997E-2</v>
      </c>
      <c r="Q778">
        <v>2</v>
      </c>
      <c r="R778">
        <v>4.4999999999999997E-3</v>
      </c>
      <c r="T778" s="8" t="s">
        <v>2478</v>
      </c>
    </row>
    <row r="779" spans="1:20" x14ac:dyDescent="0.2">
      <c r="A779" t="s">
        <v>2481</v>
      </c>
      <c r="B779" t="s">
        <v>2022</v>
      </c>
      <c r="C779" t="s">
        <v>2104</v>
      </c>
      <c r="D779" t="s">
        <v>2024</v>
      </c>
      <c r="E779" t="s">
        <v>2478</v>
      </c>
      <c r="F779" t="s">
        <v>2479</v>
      </c>
      <c r="G779">
        <v>4</v>
      </c>
      <c r="H779">
        <v>2062.5</v>
      </c>
      <c r="I779">
        <v>2</v>
      </c>
      <c r="J779">
        <v>3.25</v>
      </c>
      <c r="K779">
        <v>1</v>
      </c>
      <c r="L779">
        <v>8.0000000000000002E-3</v>
      </c>
      <c r="M779">
        <v>1</v>
      </c>
      <c r="N779">
        <v>57</v>
      </c>
      <c r="P779">
        <v>0</v>
      </c>
      <c r="Q779">
        <v>1</v>
      </c>
      <c r="R779">
        <v>3.5E-4</v>
      </c>
      <c r="T779" s="8" t="s">
        <v>2478</v>
      </c>
    </row>
    <row r="780" spans="1:20" x14ac:dyDescent="0.2">
      <c r="A780" t="s">
        <v>2482</v>
      </c>
      <c r="B780" t="s">
        <v>2022</v>
      </c>
      <c r="C780" t="s">
        <v>2104</v>
      </c>
      <c r="D780" t="s">
        <v>2024</v>
      </c>
      <c r="E780" t="s">
        <v>2478</v>
      </c>
      <c r="F780" t="s">
        <v>2479</v>
      </c>
      <c r="G780">
        <v>4</v>
      </c>
      <c r="H780">
        <v>2062.5</v>
      </c>
      <c r="I780">
        <v>2</v>
      </c>
      <c r="J780">
        <v>3.25</v>
      </c>
      <c r="K780">
        <v>2</v>
      </c>
      <c r="L780">
        <v>4.1000000000000002E-2</v>
      </c>
      <c r="M780">
        <v>1</v>
      </c>
      <c r="N780">
        <v>57</v>
      </c>
      <c r="P780">
        <v>0</v>
      </c>
      <c r="Q780">
        <v>2</v>
      </c>
      <c r="R780">
        <v>3.2000000000000002E-3</v>
      </c>
      <c r="T780" s="8" t="s">
        <v>2478</v>
      </c>
    </row>
    <row r="781" spans="1:20" x14ac:dyDescent="0.2">
      <c r="A781" t="s">
        <v>2483</v>
      </c>
      <c r="B781" t="s">
        <v>2022</v>
      </c>
      <c r="C781" t="s">
        <v>2104</v>
      </c>
      <c r="D781" t="s">
        <v>2024</v>
      </c>
      <c r="E781" t="s">
        <v>2478</v>
      </c>
      <c r="F781" t="s">
        <v>2479</v>
      </c>
      <c r="G781">
        <v>4</v>
      </c>
      <c r="H781">
        <v>2062.5</v>
      </c>
      <c r="I781">
        <v>1</v>
      </c>
      <c r="J781">
        <v>0.95</v>
      </c>
      <c r="K781">
        <v>1</v>
      </c>
      <c r="L781">
        <v>8.0000000000000002E-3</v>
      </c>
      <c r="M781">
        <v>1</v>
      </c>
      <c r="N781">
        <v>57</v>
      </c>
      <c r="P781">
        <v>0</v>
      </c>
      <c r="Q781">
        <v>1</v>
      </c>
      <c r="R781">
        <v>3.5E-4</v>
      </c>
      <c r="T781" s="8" t="s">
        <v>2478</v>
      </c>
    </row>
    <row r="782" spans="1:20" x14ac:dyDescent="0.2">
      <c r="A782" t="s">
        <v>2484</v>
      </c>
      <c r="B782" t="s">
        <v>2022</v>
      </c>
      <c r="C782" t="s">
        <v>2104</v>
      </c>
      <c r="D782" t="s">
        <v>2154</v>
      </c>
      <c r="E782" t="s">
        <v>2478</v>
      </c>
      <c r="F782" t="s">
        <v>2479</v>
      </c>
      <c r="G782">
        <v>4</v>
      </c>
      <c r="H782">
        <v>2062.5</v>
      </c>
      <c r="I782">
        <v>1</v>
      </c>
      <c r="J782">
        <v>0.95</v>
      </c>
      <c r="K782">
        <v>1</v>
      </c>
      <c r="L782">
        <v>8.0000000000000002E-3</v>
      </c>
      <c r="M782">
        <v>1</v>
      </c>
      <c r="N782">
        <v>57</v>
      </c>
      <c r="P782">
        <v>0</v>
      </c>
      <c r="Q782">
        <v>1</v>
      </c>
      <c r="R782">
        <v>3.5E-4</v>
      </c>
      <c r="T782" s="8" t="s">
        <v>2478</v>
      </c>
    </row>
    <row r="783" spans="1:20" x14ac:dyDescent="0.2">
      <c r="A783" t="s">
        <v>2485</v>
      </c>
      <c r="B783" t="s">
        <v>2022</v>
      </c>
      <c r="C783" t="s">
        <v>2036</v>
      </c>
      <c r="D783" t="s">
        <v>2024</v>
      </c>
      <c r="E783" t="s">
        <v>2486</v>
      </c>
      <c r="F783" t="s">
        <v>2487</v>
      </c>
      <c r="G783">
        <v>2</v>
      </c>
      <c r="H783">
        <v>1640</v>
      </c>
      <c r="I783">
        <v>2</v>
      </c>
      <c r="J783">
        <v>3.4</v>
      </c>
      <c r="K783">
        <v>1</v>
      </c>
      <c r="L783">
        <v>5.5E-2</v>
      </c>
      <c r="M783">
        <v>4</v>
      </c>
      <c r="N783">
        <v>94</v>
      </c>
      <c r="O783">
        <v>2</v>
      </c>
      <c r="P783">
        <v>0.20499999999999999</v>
      </c>
      <c r="Q783">
        <v>2</v>
      </c>
      <c r="R783">
        <v>4.2500000000000003E-3</v>
      </c>
      <c r="T783" s="8" t="s">
        <v>2486</v>
      </c>
    </row>
    <row r="784" spans="1:20" x14ac:dyDescent="0.2">
      <c r="A784" t="s">
        <v>2488</v>
      </c>
      <c r="B784" t="s">
        <v>2022</v>
      </c>
      <c r="C784" t="s">
        <v>2101</v>
      </c>
      <c r="D784" t="s">
        <v>2024</v>
      </c>
      <c r="E784" t="s">
        <v>2489</v>
      </c>
      <c r="F784" t="s">
        <v>2490</v>
      </c>
      <c r="G784">
        <v>4</v>
      </c>
      <c r="H784">
        <v>1870</v>
      </c>
      <c r="I784">
        <v>1</v>
      </c>
      <c r="J784">
        <v>2</v>
      </c>
      <c r="K784">
        <v>2</v>
      </c>
      <c r="L784">
        <v>9.6500000000000002E-2</v>
      </c>
      <c r="M784">
        <v>4</v>
      </c>
      <c r="N784">
        <v>90</v>
      </c>
      <c r="O784">
        <v>2</v>
      </c>
      <c r="P784">
        <v>0.22500000000000001</v>
      </c>
      <c r="Q784">
        <v>2</v>
      </c>
      <c r="R784">
        <v>4.4999999999999997E-3</v>
      </c>
      <c r="T784" s="8" t="s">
        <v>2489</v>
      </c>
    </row>
    <row r="785" spans="1:20" x14ac:dyDescent="0.2">
      <c r="A785" t="s">
        <v>2491</v>
      </c>
      <c r="B785" t="s">
        <v>2022</v>
      </c>
      <c r="C785" t="s">
        <v>2053</v>
      </c>
      <c r="D785" t="s">
        <v>2024</v>
      </c>
      <c r="E785" t="s">
        <v>2489</v>
      </c>
      <c r="F785" t="s">
        <v>2490</v>
      </c>
      <c r="G785">
        <v>3</v>
      </c>
      <c r="H785">
        <v>1700</v>
      </c>
      <c r="I785">
        <v>2</v>
      </c>
      <c r="J785">
        <v>4.05</v>
      </c>
      <c r="K785">
        <v>3</v>
      </c>
      <c r="L785">
        <v>0.19500000000000001</v>
      </c>
      <c r="M785">
        <v>2</v>
      </c>
      <c r="N785">
        <v>83</v>
      </c>
      <c r="O785">
        <v>2</v>
      </c>
      <c r="P785">
        <v>0.22500000000000001</v>
      </c>
      <c r="Q785">
        <v>2</v>
      </c>
      <c r="R785">
        <v>5.1999999999999998E-3</v>
      </c>
      <c r="T785" s="8" t="s">
        <v>2489</v>
      </c>
    </row>
    <row r="786" spans="1:20" x14ac:dyDescent="0.2">
      <c r="A786" t="s">
        <v>2492</v>
      </c>
      <c r="B786" t="s">
        <v>2022</v>
      </c>
      <c r="C786" t="s">
        <v>2023</v>
      </c>
      <c r="D786" t="s">
        <v>2024</v>
      </c>
      <c r="E786" t="s">
        <v>2493</v>
      </c>
      <c r="F786" t="s">
        <v>2494</v>
      </c>
      <c r="G786">
        <v>5</v>
      </c>
      <c r="H786">
        <v>1800</v>
      </c>
      <c r="I786">
        <v>4</v>
      </c>
      <c r="J786">
        <v>8.4</v>
      </c>
      <c r="K786">
        <v>5</v>
      </c>
      <c r="L786">
        <v>8.5999999999999993E-2</v>
      </c>
      <c r="M786">
        <v>3</v>
      </c>
      <c r="N786">
        <v>94</v>
      </c>
      <c r="O786">
        <v>4</v>
      </c>
      <c r="P786">
        <v>0.52500000000000002</v>
      </c>
      <c r="Q786">
        <v>5</v>
      </c>
      <c r="R786">
        <v>8.0000000000000002E-3</v>
      </c>
      <c r="T786" s="8" t="s">
        <v>2493</v>
      </c>
    </row>
    <row r="787" spans="1:20" x14ac:dyDescent="0.2">
      <c r="A787" t="s">
        <v>2495</v>
      </c>
      <c r="B787" t="s">
        <v>2022</v>
      </c>
      <c r="C787" t="s">
        <v>2023</v>
      </c>
      <c r="D787" t="s">
        <v>2136</v>
      </c>
      <c r="E787" t="s">
        <v>2496</v>
      </c>
      <c r="F787" t="s">
        <v>447</v>
      </c>
      <c r="G787">
        <v>2</v>
      </c>
      <c r="H787">
        <v>1560</v>
      </c>
      <c r="I787">
        <v>5</v>
      </c>
      <c r="J787">
        <v>10.9</v>
      </c>
      <c r="K787">
        <v>5</v>
      </c>
      <c r="L787">
        <v>8.5999999999999993E-2</v>
      </c>
      <c r="M787">
        <v>3</v>
      </c>
      <c r="N787">
        <v>94</v>
      </c>
      <c r="O787">
        <v>5</v>
      </c>
      <c r="P787">
        <v>0.67500000000000004</v>
      </c>
      <c r="Q787">
        <v>3</v>
      </c>
      <c r="R787">
        <v>4.0000000000000001E-3</v>
      </c>
      <c r="T787" s="8" t="s">
        <v>2496</v>
      </c>
    </row>
    <row r="788" spans="1:20" x14ac:dyDescent="0.2">
      <c r="A788" t="s">
        <v>2497</v>
      </c>
      <c r="B788" t="s">
        <v>2022</v>
      </c>
      <c r="C788" t="s">
        <v>2101</v>
      </c>
      <c r="D788" t="s">
        <v>2154</v>
      </c>
      <c r="E788" t="s">
        <v>2498</v>
      </c>
      <c r="F788" t="s">
        <v>447</v>
      </c>
      <c r="G788">
        <v>1</v>
      </c>
      <c r="H788">
        <v>1570</v>
      </c>
      <c r="I788">
        <v>3</v>
      </c>
      <c r="J788">
        <v>8</v>
      </c>
      <c r="K788">
        <v>3</v>
      </c>
      <c r="L788">
        <v>0.24349999999999999</v>
      </c>
      <c r="M788">
        <v>5</v>
      </c>
      <c r="N788">
        <v>98</v>
      </c>
      <c r="O788">
        <v>5</v>
      </c>
      <c r="P788">
        <v>0.67500000000000004</v>
      </c>
      <c r="Q788">
        <v>5</v>
      </c>
      <c r="R788">
        <v>2.5499999999999998E-2</v>
      </c>
      <c r="T788" s="8" t="s">
        <v>2498</v>
      </c>
    </row>
    <row r="789" spans="1:20" x14ac:dyDescent="0.2">
      <c r="A789" t="s">
        <v>2499</v>
      </c>
      <c r="B789" t="s">
        <v>2022</v>
      </c>
      <c r="C789" t="s">
        <v>2053</v>
      </c>
      <c r="D789" t="s">
        <v>2024</v>
      </c>
      <c r="E789" t="s">
        <v>2498</v>
      </c>
      <c r="F789" t="s">
        <v>447</v>
      </c>
      <c r="G789">
        <v>3</v>
      </c>
      <c r="H789">
        <v>1700</v>
      </c>
      <c r="I789">
        <v>2</v>
      </c>
      <c r="J789">
        <v>4.05</v>
      </c>
      <c r="K789">
        <v>2</v>
      </c>
      <c r="L789">
        <v>8.5000000000000006E-2</v>
      </c>
      <c r="M789">
        <v>2</v>
      </c>
      <c r="N789">
        <v>83</v>
      </c>
      <c r="O789">
        <v>2</v>
      </c>
      <c r="P789">
        <v>0.22500000000000001</v>
      </c>
      <c r="Q789">
        <v>2</v>
      </c>
      <c r="R789">
        <v>5.1999999999999998E-3</v>
      </c>
      <c r="T789" s="8" t="s">
        <v>2498</v>
      </c>
    </row>
    <row r="790" spans="1:20" x14ac:dyDescent="0.2">
      <c r="A790" t="s">
        <v>2500</v>
      </c>
      <c r="B790" t="s">
        <v>2022</v>
      </c>
      <c r="C790" t="s">
        <v>2101</v>
      </c>
      <c r="D790" t="s">
        <v>2024</v>
      </c>
      <c r="E790" t="s">
        <v>2501</v>
      </c>
      <c r="F790" t="s">
        <v>2502</v>
      </c>
      <c r="G790">
        <v>2</v>
      </c>
      <c r="H790">
        <v>1670</v>
      </c>
      <c r="I790">
        <v>1</v>
      </c>
      <c r="J790">
        <v>2</v>
      </c>
      <c r="K790">
        <v>1</v>
      </c>
      <c r="L790">
        <v>1.15E-2</v>
      </c>
      <c r="M790">
        <v>2</v>
      </c>
      <c r="N790">
        <v>74</v>
      </c>
      <c r="O790">
        <v>1</v>
      </c>
      <c r="P790">
        <v>7.4999999999999997E-2</v>
      </c>
      <c r="Q790">
        <v>1</v>
      </c>
      <c r="R790">
        <v>5.0000000000000001E-4</v>
      </c>
      <c r="T790" s="8" t="s">
        <v>2501</v>
      </c>
    </row>
    <row r="791" spans="1:20" x14ac:dyDescent="0.2">
      <c r="A791" t="s">
        <v>2503</v>
      </c>
      <c r="B791" t="s">
        <v>2022</v>
      </c>
      <c r="C791" t="s">
        <v>2023</v>
      </c>
      <c r="D791" t="s">
        <v>2024</v>
      </c>
      <c r="E791" t="s">
        <v>2501</v>
      </c>
      <c r="F791" t="s">
        <v>2502</v>
      </c>
      <c r="G791">
        <v>3</v>
      </c>
      <c r="H791">
        <v>1640</v>
      </c>
      <c r="I791">
        <v>2</v>
      </c>
      <c r="J791">
        <v>3.4</v>
      </c>
      <c r="K791">
        <v>3</v>
      </c>
      <c r="L791">
        <v>4.5999999999999999E-2</v>
      </c>
      <c r="M791">
        <v>3</v>
      </c>
      <c r="N791">
        <v>94</v>
      </c>
      <c r="O791">
        <v>1</v>
      </c>
      <c r="P791">
        <v>7.4999999999999997E-2</v>
      </c>
      <c r="Q791">
        <v>2</v>
      </c>
      <c r="R791">
        <v>2E-3</v>
      </c>
      <c r="T791" s="8" t="s">
        <v>2501</v>
      </c>
    </row>
    <row r="792" spans="1:20" x14ac:dyDescent="0.2">
      <c r="A792" t="s">
        <v>2504</v>
      </c>
      <c r="B792" t="s">
        <v>2022</v>
      </c>
      <c r="C792" t="s">
        <v>2023</v>
      </c>
      <c r="D792" t="s">
        <v>2024</v>
      </c>
      <c r="E792" t="s">
        <v>2505</v>
      </c>
      <c r="F792" t="s">
        <v>2506</v>
      </c>
      <c r="G792">
        <v>3</v>
      </c>
      <c r="H792">
        <v>1640</v>
      </c>
      <c r="I792">
        <v>2</v>
      </c>
      <c r="J792">
        <v>3.4</v>
      </c>
      <c r="K792">
        <v>1</v>
      </c>
      <c r="L792">
        <v>6.0000000000000001E-3</v>
      </c>
      <c r="M792">
        <v>2</v>
      </c>
      <c r="N792">
        <v>84</v>
      </c>
      <c r="O792">
        <v>2</v>
      </c>
      <c r="P792">
        <v>0.22500000000000001</v>
      </c>
      <c r="Q792">
        <v>1</v>
      </c>
      <c r="R792">
        <v>5.0000000000000001E-4</v>
      </c>
      <c r="T792" s="8" t="s">
        <v>2505</v>
      </c>
    </row>
    <row r="793" spans="1:20" x14ac:dyDescent="0.2">
      <c r="A793" t="s">
        <v>2507</v>
      </c>
      <c r="B793" t="s">
        <v>2022</v>
      </c>
      <c r="C793" t="s">
        <v>2508</v>
      </c>
      <c r="D793" t="s">
        <v>2024</v>
      </c>
      <c r="E793" t="s">
        <v>357</v>
      </c>
      <c r="F793" t="s">
        <v>2509</v>
      </c>
      <c r="G793">
        <v>2</v>
      </c>
      <c r="H793">
        <v>1350</v>
      </c>
      <c r="I793">
        <v>4</v>
      </c>
      <c r="J793">
        <v>13</v>
      </c>
      <c r="K793">
        <v>4</v>
      </c>
      <c r="L793">
        <v>0.42</v>
      </c>
      <c r="M793">
        <v>1</v>
      </c>
      <c r="N793">
        <v>92.5</v>
      </c>
      <c r="O793">
        <v>3</v>
      </c>
      <c r="P793">
        <v>1.05</v>
      </c>
      <c r="Q793">
        <v>3</v>
      </c>
      <c r="R793">
        <v>3.5999999999999997E-2</v>
      </c>
      <c r="T793" s="8" t="s">
        <v>357</v>
      </c>
    </row>
    <row r="794" spans="1:20" x14ac:dyDescent="0.2">
      <c r="A794" t="s">
        <v>2510</v>
      </c>
      <c r="B794" t="s">
        <v>2022</v>
      </c>
      <c r="C794" t="s">
        <v>2023</v>
      </c>
      <c r="D794" t="s">
        <v>2024</v>
      </c>
      <c r="E794" t="s">
        <v>2511</v>
      </c>
      <c r="F794" t="s">
        <v>2512</v>
      </c>
      <c r="G794">
        <v>4</v>
      </c>
      <c r="H794">
        <v>1720</v>
      </c>
      <c r="I794">
        <v>4</v>
      </c>
      <c r="J794">
        <v>8.4</v>
      </c>
      <c r="K794">
        <v>5</v>
      </c>
      <c r="L794">
        <v>8.5999999999999993E-2</v>
      </c>
      <c r="M794">
        <v>3</v>
      </c>
      <c r="N794">
        <v>94</v>
      </c>
      <c r="O794">
        <v>3</v>
      </c>
      <c r="P794">
        <v>0.375</v>
      </c>
      <c r="Q794">
        <v>5</v>
      </c>
      <c r="R794">
        <v>8.0000000000000002E-3</v>
      </c>
      <c r="T794" s="8" t="s">
        <v>2511</v>
      </c>
    </row>
    <row r="795" spans="1:20" x14ac:dyDescent="0.2">
      <c r="A795" t="s">
        <v>2513</v>
      </c>
      <c r="B795" t="s">
        <v>2022</v>
      </c>
      <c r="C795" t="s">
        <v>2053</v>
      </c>
      <c r="D795" t="s">
        <v>2024</v>
      </c>
      <c r="E795" t="s">
        <v>2514</v>
      </c>
      <c r="F795" t="s">
        <v>2515</v>
      </c>
      <c r="G795">
        <v>1</v>
      </c>
      <c r="H795">
        <v>1500</v>
      </c>
      <c r="I795">
        <v>2</v>
      </c>
      <c r="J795">
        <v>4.05</v>
      </c>
      <c r="K795">
        <v>3</v>
      </c>
      <c r="L795">
        <v>0.19500000000000001</v>
      </c>
      <c r="M795">
        <v>5</v>
      </c>
      <c r="N795">
        <v>113</v>
      </c>
      <c r="O795">
        <v>5</v>
      </c>
      <c r="P795">
        <v>0.67500000000000004</v>
      </c>
      <c r="Q795">
        <v>5</v>
      </c>
      <c r="R795">
        <v>2.6200000000000001E-2</v>
      </c>
      <c r="T795" s="8" t="s">
        <v>2514</v>
      </c>
    </row>
    <row r="796" spans="1:20" x14ac:dyDescent="0.2">
      <c r="A796" t="s">
        <v>2516</v>
      </c>
      <c r="B796" t="s">
        <v>2022</v>
      </c>
      <c r="C796" t="s">
        <v>2101</v>
      </c>
      <c r="D796" t="s">
        <v>2136</v>
      </c>
      <c r="E796" t="s">
        <v>357</v>
      </c>
      <c r="F796" t="s">
        <v>447</v>
      </c>
      <c r="G796">
        <v>5</v>
      </c>
      <c r="H796">
        <v>1970</v>
      </c>
      <c r="I796">
        <v>2</v>
      </c>
      <c r="J796">
        <v>5</v>
      </c>
      <c r="K796">
        <v>3</v>
      </c>
      <c r="L796">
        <v>0.24349999999999999</v>
      </c>
      <c r="M796">
        <v>3</v>
      </c>
      <c r="N796">
        <v>82</v>
      </c>
      <c r="O796">
        <v>2</v>
      </c>
      <c r="P796">
        <v>0.22500000000000001</v>
      </c>
      <c r="Q796">
        <v>2</v>
      </c>
      <c r="R796">
        <v>4.4999999999999997E-3</v>
      </c>
      <c r="T796" s="8" t="s">
        <v>357</v>
      </c>
    </row>
    <row r="797" spans="1:20" x14ac:dyDescent="0.2">
      <c r="A797" t="s">
        <v>2517</v>
      </c>
      <c r="B797" t="s">
        <v>2022</v>
      </c>
      <c r="C797" t="s">
        <v>2101</v>
      </c>
      <c r="D797" t="s">
        <v>2136</v>
      </c>
      <c r="E797" t="s">
        <v>357</v>
      </c>
      <c r="F797" t="s">
        <v>447</v>
      </c>
      <c r="G797">
        <v>5</v>
      </c>
      <c r="H797">
        <v>1970</v>
      </c>
      <c r="I797">
        <v>1</v>
      </c>
      <c r="J797">
        <v>2</v>
      </c>
      <c r="K797">
        <v>2</v>
      </c>
      <c r="L797">
        <v>9.6500000000000002E-2</v>
      </c>
      <c r="M797">
        <v>5</v>
      </c>
      <c r="N797">
        <v>98</v>
      </c>
      <c r="O797">
        <v>1</v>
      </c>
      <c r="P797">
        <v>7.4999999999999997E-2</v>
      </c>
      <c r="Q797">
        <v>2</v>
      </c>
      <c r="R797">
        <v>4.4999999999999997E-3</v>
      </c>
      <c r="T797" s="8" t="s">
        <v>357</v>
      </c>
    </row>
    <row r="798" spans="1:20" x14ac:dyDescent="0.2">
      <c r="A798" t="s">
        <v>2518</v>
      </c>
      <c r="B798" t="s">
        <v>2022</v>
      </c>
      <c r="C798" t="s">
        <v>2053</v>
      </c>
      <c r="D798" t="s">
        <v>2024</v>
      </c>
      <c r="E798" t="s">
        <v>2519</v>
      </c>
      <c r="F798" t="s">
        <v>2520</v>
      </c>
      <c r="G798">
        <v>1</v>
      </c>
      <c r="H798">
        <v>1500</v>
      </c>
      <c r="I798">
        <v>2</v>
      </c>
      <c r="J798">
        <v>4.05</v>
      </c>
      <c r="K798">
        <v>3</v>
      </c>
      <c r="L798">
        <v>0.19500000000000001</v>
      </c>
      <c r="M798">
        <v>5</v>
      </c>
      <c r="N798">
        <v>113</v>
      </c>
      <c r="O798">
        <v>5</v>
      </c>
      <c r="P798">
        <v>0.67500000000000004</v>
      </c>
      <c r="Q798">
        <v>5</v>
      </c>
      <c r="R798">
        <v>2.6200000000000001E-2</v>
      </c>
      <c r="T798" s="8" t="s">
        <v>2519</v>
      </c>
    </row>
    <row r="799" spans="1:20" x14ac:dyDescent="0.2">
      <c r="A799" t="s">
        <v>2521</v>
      </c>
      <c r="B799" t="s">
        <v>2022</v>
      </c>
      <c r="C799" t="s">
        <v>2023</v>
      </c>
      <c r="D799" t="s">
        <v>2136</v>
      </c>
      <c r="E799" t="s">
        <v>2522</v>
      </c>
      <c r="F799" t="s">
        <v>447</v>
      </c>
      <c r="G799">
        <v>5</v>
      </c>
      <c r="H799">
        <v>1800</v>
      </c>
      <c r="I799">
        <v>2</v>
      </c>
      <c r="J799">
        <v>3.4</v>
      </c>
      <c r="K799">
        <v>4</v>
      </c>
      <c r="L799">
        <v>6.6000000000000003E-2</v>
      </c>
      <c r="M799">
        <v>1</v>
      </c>
      <c r="N799">
        <v>74</v>
      </c>
      <c r="O799">
        <v>1</v>
      </c>
      <c r="P799">
        <v>7.4999999999999997E-2</v>
      </c>
      <c r="Q799">
        <v>2</v>
      </c>
      <c r="R799">
        <v>2E-3</v>
      </c>
      <c r="T799" s="8" t="s">
        <v>2522</v>
      </c>
    </row>
    <row r="800" spans="1:20" x14ac:dyDescent="0.2">
      <c r="A800" t="s">
        <v>2523</v>
      </c>
      <c r="B800" t="s">
        <v>2022</v>
      </c>
      <c r="C800" t="s">
        <v>2023</v>
      </c>
      <c r="D800" t="s">
        <v>2136</v>
      </c>
      <c r="E800" t="s">
        <v>2522</v>
      </c>
      <c r="F800" t="s">
        <v>447</v>
      </c>
      <c r="G800">
        <v>5</v>
      </c>
      <c r="H800">
        <v>1800</v>
      </c>
      <c r="I800">
        <v>5</v>
      </c>
      <c r="J800">
        <v>10.9</v>
      </c>
      <c r="K800">
        <v>5</v>
      </c>
      <c r="L800">
        <v>8.5999999999999993E-2</v>
      </c>
      <c r="M800">
        <v>1</v>
      </c>
      <c r="N800">
        <v>74</v>
      </c>
      <c r="O800">
        <v>2</v>
      </c>
      <c r="P800">
        <v>0.22500000000000001</v>
      </c>
      <c r="Q800">
        <v>5</v>
      </c>
      <c r="R800">
        <v>8.0000000000000002E-3</v>
      </c>
      <c r="T800" s="8" t="s">
        <v>2522</v>
      </c>
    </row>
    <row r="801" spans="1:20" x14ac:dyDescent="0.2">
      <c r="A801" t="s">
        <v>2524</v>
      </c>
      <c r="B801" t="s">
        <v>2022</v>
      </c>
      <c r="C801" t="s">
        <v>2023</v>
      </c>
      <c r="D801" t="s">
        <v>2136</v>
      </c>
      <c r="E801" t="s">
        <v>2522</v>
      </c>
      <c r="F801" t="s">
        <v>447</v>
      </c>
      <c r="G801">
        <v>5</v>
      </c>
      <c r="H801">
        <v>1800</v>
      </c>
      <c r="I801">
        <v>3</v>
      </c>
      <c r="J801">
        <v>5.9</v>
      </c>
      <c r="K801">
        <v>5</v>
      </c>
      <c r="L801">
        <v>8.5999999999999993E-2</v>
      </c>
      <c r="M801">
        <v>1</v>
      </c>
      <c r="N801">
        <v>74</v>
      </c>
      <c r="O801">
        <v>2</v>
      </c>
      <c r="P801">
        <v>0.22500000000000001</v>
      </c>
      <c r="Q801">
        <v>5</v>
      </c>
      <c r="R801">
        <v>8.0000000000000002E-3</v>
      </c>
      <c r="T801" s="8" t="s">
        <v>2522</v>
      </c>
    </row>
    <row r="802" spans="1:20" x14ac:dyDescent="0.2">
      <c r="A802" t="s">
        <v>2525</v>
      </c>
      <c r="B802" t="s">
        <v>2022</v>
      </c>
      <c r="C802" t="s">
        <v>2023</v>
      </c>
      <c r="D802" t="s">
        <v>2136</v>
      </c>
      <c r="E802" t="s">
        <v>2522</v>
      </c>
      <c r="F802" t="s">
        <v>447</v>
      </c>
      <c r="G802">
        <v>5</v>
      </c>
      <c r="H802">
        <v>1800</v>
      </c>
      <c r="I802">
        <v>2</v>
      </c>
      <c r="J802">
        <v>3.4</v>
      </c>
      <c r="K802">
        <v>4</v>
      </c>
      <c r="L802">
        <v>6.6000000000000003E-2</v>
      </c>
      <c r="M802">
        <v>1</v>
      </c>
      <c r="N802">
        <v>74</v>
      </c>
      <c r="O802">
        <v>1</v>
      </c>
      <c r="P802">
        <v>7.4999999999999997E-2</v>
      </c>
      <c r="Q802">
        <v>2</v>
      </c>
      <c r="R802">
        <v>2E-3</v>
      </c>
      <c r="T802" s="8" t="s">
        <v>2522</v>
      </c>
    </row>
    <row r="803" spans="1:20" x14ac:dyDescent="0.2">
      <c r="A803" t="s">
        <v>2526</v>
      </c>
      <c r="B803" t="s">
        <v>2022</v>
      </c>
      <c r="C803" t="s">
        <v>2023</v>
      </c>
      <c r="D803" t="s">
        <v>2136</v>
      </c>
      <c r="E803" t="s">
        <v>2522</v>
      </c>
      <c r="F803" t="s">
        <v>447</v>
      </c>
      <c r="G803">
        <v>5</v>
      </c>
      <c r="H803">
        <v>1800</v>
      </c>
      <c r="I803">
        <v>3</v>
      </c>
      <c r="J803">
        <v>5.9</v>
      </c>
      <c r="K803">
        <v>5</v>
      </c>
      <c r="L803">
        <v>8.5999999999999993E-2</v>
      </c>
      <c r="M803">
        <v>2</v>
      </c>
      <c r="N803">
        <v>84</v>
      </c>
      <c r="O803">
        <v>2</v>
      </c>
      <c r="P803">
        <v>0.22500000000000001</v>
      </c>
      <c r="Q803">
        <v>3</v>
      </c>
      <c r="R803">
        <v>4.0000000000000001E-3</v>
      </c>
      <c r="T803" s="8" t="s">
        <v>2522</v>
      </c>
    </row>
    <row r="804" spans="1:20" x14ac:dyDescent="0.2">
      <c r="A804" t="s">
        <v>2527</v>
      </c>
      <c r="B804" t="s">
        <v>2022</v>
      </c>
      <c r="C804" t="s">
        <v>2104</v>
      </c>
      <c r="D804" t="s">
        <v>2136</v>
      </c>
      <c r="E804" t="s">
        <v>2522</v>
      </c>
      <c r="F804" t="s">
        <v>447</v>
      </c>
      <c r="G804">
        <v>5</v>
      </c>
      <c r="H804">
        <v>2237.5</v>
      </c>
      <c r="I804">
        <v>2</v>
      </c>
      <c r="J804">
        <v>3.25</v>
      </c>
      <c r="K804">
        <v>2</v>
      </c>
      <c r="L804">
        <v>4.1000000000000002E-2</v>
      </c>
      <c r="M804">
        <v>1</v>
      </c>
      <c r="N804">
        <v>57</v>
      </c>
      <c r="P804">
        <v>0</v>
      </c>
      <c r="Q804">
        <v>2</v>
      </c>
      <c r="R804">
        <v>3.2000000000000002E-3</v>
      </c>
      <c r="T804" s="8" t="s">
        <v>2522</v>
      </c>
    </row>
    <row r="805" spans="1:20" x14ac:dyDescent="0.2">
      <c r="A805" t="s">
        <v>2528</v>
      </c>
      <c r="B805" t="s">
        <v>2022</v>
      </c>
      <c r="C805" t="s">
        <v>2104</v>
      </c>
      <c r="D805" t="s">
        <v>2136</v>
      </c>
      <c r="E805" t="s">
        <v>2522</v>
      </c>
      <c r="F805" t="s">
        <v>447</v>
      </c>
      <c r="G805">
        <v>5</v>
      </c>
      <c r="H805">
        <v>2237.5</v>
      </c>
      <c r="I805">
        <v>2</v>
      </c>
      <c r="J805">
        <v>3.25</v>
      </c>
      <c r="K805">
        <v>2</v>
      </c>
      <c r="L805">
        <v>4.1000000000000002E-2</v>
      </c>
      <c r="M805">
        <v>1</v>
      </c>
      <c r="N805">
        <v>57</v>
      </c>
      <c r="P805">
        <v>0</v>
      </c>
      <c r="Q805">
        <v>1</v>
      </c>
      <c r="R805">
        <v>3.5E-4</v>
      </c>
      <c r="T805" s="8" t="s">
        <v>2522</v>
      </c>
    </row>
    <row r="806" spans="1:20" x14ac:dyDescent="0.2">
      <c r="A806" t="s">
        <v>2529</v>
      </c>
      <c r="B806" t="s">
        <v>2022</v>
      </c>
      <c r="C806" t="s">
        <v>2104</v>
      </c>
      <c r="D806" t="s">
        <v>2136</v>
      </c>
      <c r="E806" t="s">
        <v>2522</v>
      </c>
      <c r="F806" t="s">
        <v>447</v>
      </c>
      <c r="G806">
        <v>5</v>
      </c>
      <c r="H806">
        <v>2237.5</v>
      </c>
      <c r="I806">
        <v>2</v>
      </c>
      <c r="J806">
        <v>3.25</v>
      </c>
      <c r="K806">
        <v>1</v>
      </c>
      <c r="L806">
        <v>8.0000000000000002E-3</v>
      </c>
      <c r="M806">
        <v>1</v>
      </c>
      <c r="N806">
        <v>57</v>
      </c>
      <c r="P806">
        <v>0</v>
      </c>
      <c r="Q806">
        <v>1</v>
      </c>
      <c r="R806">
        <v>3.5E-4</v>
      </c>
      <c r="T806" s="8" t="s">
        <v>2522</v>
      </c>
    </row>
    <row r="807" spans="1:20" x14ac:dyDescent="0.2">
      <c r="A807" t="s">
        <v>2530</v>
      </c>
      <c r="B807" t="s">
        <v>2022</v>
      </c>
      <c r="C807" t="s">
        <v>2104</v>
      </c>
      <c r="D807" t="s">
        <v>2024</v>
      </c>
      <c r="E807" t="s">
        <v>2531</v>
      </c>
      <c r="F807" t="s">
        <v>2532</v>
      </c>
      <c r="G807">
        <v>5</v>
      </c>
      <c r="H807">
        <v>2237.5</v>
      </c>
      <c r="I807">
        <v>3</v>
      </c>
      <c r="J807">
        <v>5.55</v>
      </c>
      <c r="K807">
        <v>2</v>
      </c>
      <c r="L807">
        <v>4.1000000000000002E-2</v>
      </c>
      <c r="M807">
        <v>3</v>
      </c>
      <c r="N807">
        <v>73</v>
      </c>
      <c r="P807">
        <v>0</v>
      </c>
      <c r="Q807">
        <v>2</v>
      </c>
      <c r="R807">
        <v>3.2000000000000002E-3</v>
      </c>
      <c r="T807" s="8" t="s">
        <v>2531</v>
      </c>
    </row>
    <row r="808" spans="1:20" x14ac:dyDescent="0.2">
      <c r="A808" t="s">
        <v>2533</v>
      </c>
      <c r="B808" t="s">
        <v>2022</v>
      </c>
      <c r="C808" t="s">
        <v>2023</v>
      </c>
      <c r="D808" t="s">
        <v>2024</v>
      </c>
      <c r="E808" t="s">
        <v>2534</v>
      </c>
      <c r="F808" t="s">
        <v>2535</v>
      </c>
      <c r="G808">
        <v>1</v>
      </c>
      <c r="H808">
        <v>1480</v>
      </c>
      <c r="I808">
        <v>2</v>
      </c>
      <c r="J808">
        <v>3.4</v>
      </c>
      <c r="K808">
        <v>5</v>
      </c>
      <c r="L808">
        <v>8.5999999999999993E-2</v>
      </c>
      <c r="M808">
        <v>1</v>
      </c>
      <c r="N808">
        <v>74</v>
      </c>
      <c r="O808">
        <v>2</v>
      </c>
      <c r="P808">
        <v>0.22500000000000001</v>
      </c>
      <c r="Q808">
        <v>3</v>
      </c>
      <c r="R808">
        <v>4.0000000000000001E-3</v>
      </c>
      <c r="T808" s="8" t="s">
        <v>2534</v>
      </c>
    </row>
    <row r="809" spans="1:20" x14ac:dyDescent="0.2">
      <c r="A809" t="s">
        <v>2536</v>
      </c>
      <c r="B809" t="s">
        <v>2022</v>
      </c>
      <c r="C809" t="s">
        <v>2508</v>
      </c>
      <c r="D809" t="s">
        <v>2024</v>
      </c>
      <c r="E809" t="s">
        <v>357</v>
      </c>
      <c r="F809" t="s">
        <v>2537</v>
      </c>
      <c r="G809">
        <v>1</v>
      </c>
      <c r="H809">
        <v>1250</v>
      </c>
      <c r="I809">
        <v>1</v>
      </c>
      <c r="J809">
        <v>1</v>
      </c>
      <c r="K809">
        <v>1</v>
      </c>
      <c r="L809">
        <v>0.01</v>
      </c>
      <c r="M809">
        <v>5</v>
      </c>
      <c r="N809">
        <v>352.5</v>
      </c>
      <c r="O809">
        <v>3</v>
      </c>
      <c r="P809">
        <v>1.05</v>
      </c>
      <c r="Q809">
        <v>1</v>
      </c>
      <c r="R809">
        <v>1.2E-2</v>
      </c>
      <c r="T809" s="8" t="s">
        <v>357</v>
      </c>
    </row>
    <row r="810" spans="1:20" x14ac:dyDescent="0.2">
      <c r="A810" t="s">
        <v>2538</v>
      </c>
      <c r="B810" t="s">
        <v>2022</v>
      </c>
      <c r="C810" t="s">
        <v>2028</v>
      </c>
      <c r="D810" t="s">
        <v>2024</v>
      </c>
      <c r="E810" t="s">
        <v>2539</v>
      </c>
      <c r="F810" t="s">
        <v>2540</v>
      </c>
      <c r="G810">
        <v>2</v>
      </c>
      <c r="H810">
        <v>850</v>
      </c>
      <c r="I810">
        <v>2</v>
      </c>
      <c r="J810">
        <v>1.55</v>
      </c>
      <c r="K810">
        <v>2</v>
      </c>
      <c r="L810">
        <v>4.4999999999999998E-2</v>
      </c>
      <c r="M810">
        <v>2</v>
      </c>
      <c r="N810">
        <v>200</v>
      </c>
      <c r="O810">
        <v>2</v>
      </c>
      <c r="P810">
        <v>0.45</v>
      </c>
      <c r="Q810">
        <v>3</v>
      </c>
      <c r="R810">
        <v>1.6250000000000001E-2</v>
      </c>
      <c r="T810" s="8" t="s">
        <v>2539</v>
      </c>
    </row>
    <row r="811" spans="1:20" x14ac:dyDescent="0.2">
      <c r="A811" t="s">
        <v>2541</v>
      </c>
      <c r="B811" t="s">
        <v>2022</v>
      </c>
      <c r="C811" t="s">
        <v>2095</v>
      </c>
      <c r="D811" t="s">
        <v>2024</v>
      </c>
      <c r="E811" t="s">
        <v>2542</v>
      </c>
      <c r="F811" t="s">
        <v>2543</v>
      </c>
      <c r="G811">
        <v>3</v>
      </c>
      <c r="H811">
        <v>1745</v>
      </c>
      <c r="I811">
        <v>4</v>
      </c>
      <c r="J811">
        <v>13.5</v>
      </c>
      <c r="K811">
        <v>4</v>
      </c>
      <c r="L811">
        <v>0.53</v>
      </c>
      <c r="M811">
        <v>2</v>
      </c>
      <c r="N811">
        <v>80</v>
      </c>
      <c r="O811">
        <v>3</v>
      </c>
      <c r="P811">
        <v>0.55000000000000004</v>
      </c>
      <c r="Q811">
        <v>4</v>
      </c>
      <c r="R811">
        <v>2.3900000000000001E-2</v>
      </c>
      <c r="T811" s="8" t="s">
        <v>2542</v>
      </c>
    </row>
    <row r="812" spans="1:20" x14ac:dyDescent="0.2">
      <c r="A812" t="s">
        <v>2544</v>
      </c>
      <c r="B812" t="s">
        <v>2022</v>
      </c>
      <c r="C812" t="s">
        <v>2023</v>
      </c>
      <c r="D812" t="s">
        <v>2136</v>
      </c>
      <c r="E812" t="s">
        <v>2545</v>
      </c>
      <c r="F812" t="s">
        <v>2546</v>
      </c>
      <c r="G812">
        <v>5</v>
      </c>
      <c r="H812">
        <v>1800</v>
      </c>
      <c r="I812">
        <v>1</v>
      </c>
      <c r="J812">
        <v>0.9</v>
      </c>
      <c r="K812">
        <v>2</v>
      </c>
      <c r="L812">
        <v>2.5999999999999999E-2</v>
      </c>
      <c r="M812">
        <v>5</v>
      </c>
      <c r="N812">
        <v>114</v>
      </c>
      <c r="O812">
        <v>1</v>
      </c>
      <c r="P812">
        <v>7.4999999999999997E-2</v>
      </c>
      <c r="Q812">
        <v>2</v>
      </c>
      <c r="R812">
        <v>2E-3</v>
      </c>
      <c r="T812" s="8" t="s">
        <v>2545</v>
      </c>
    </row>
    <row r="813" spans="1:20" x14ac:dyDescent="0.2">
      <c r="A813" t="s">
        <v>2547</v>
      </c>
      <c r="B813" t="s">
        <v>2022</v>
      </c>
      <c r="C813" t="s">
        <v>2023</v>
      </c>
      <c r="D813" t="s">
        <v>2024</v>
      </c>
      <c r="E813" t="s">
        <v>2548</v>
      </c>
      <c r="F813" t="s">
        <v>2549</v>
      </c>
      <c r="G813">
        <v>1</v>
      </c>
      <c r="H813">
        <v>1480</v>
      </c>
      <c r="I813">
        <v>4</v>
      </c>
      <c r="J813">
        <v>8.4</v>
      </c>
      <c r="K813">
        <v>3</v>
      </c>
      <c r="L813">
        <v>4.5999999999999999E-2</v>
      </c>
      <c r="M813">
        <v>1</v>
      </c>
      <c r="N813">
        <v>74</v>
      </c>
      <c r="O813">
        <v>3</v>
      </c>
      <c r="P813">
        <v>0.375</v>
      </c>
      <c r="Q813">
        <v>2</v>
      </c>
      <c r="R813">
        <v>2E-3</v>
      </c>
      <c r="T813" s="8" t="s">
        <v>2548</v>
      </c>
    </row>
    <row r="814" spans="1:20" x14ac:dyDescent="0.2">
      <c r="A814" t="s">
        <v>2550</v>
      </c>
      <c r="B814" t="s">
        <v>2022</v>
      </c>
      <c r="C814" t="s">
        <v>2222</v>
      </c>
      <c r="D814" t="s">
        <v>2024</v>
      </c>
      <c r="E814" t="s">
        <v>2551</v>
      </c>
      <c r="F814" t="s">
        <v>2552</v>
      </c>
      <c r="G814">
        <v>5</v>
      </c>
      <c r="H814">
        <v>1850</v>
      </c>
      <c r="I814">
        <v>5</v>
      </c>
      <c r="J814">
        <v>8.6999999999999993</v>
      </c>
      <c r="K814">
        <v>5</v>
      </c>
      <c r="L814">
        <v>0.26500000000000001</v>
      </c>
      <c r="M814">
        <v>5</v>
      </c>
      <c r="N814">
        <v>75</v>
      </c>
      <c r="O814">
        <v>5</v>
      </c>
      <c r="P814">
        <v>0.39</v>
      </c>
      <c r="Q814">
        <v>5</v>
      </c>
      <c r="R814">
        <v>1.1299999999999999E-2</v>
      </c>
      <c r="T814" s="8" t="s">
        <v>2551</v>
      </c>
    </row>
    <row r="815" spans="1:20" x14ac:dyDescent="0.2">
      <c r="A815" t="s">
        <v>2553</v>
      </c>
      <c r="B815" t="s">
        <v>2022</v>
      </c>
      <c r="C815" t="s">
        <v>2028</v>
      </c>
      <c r="D815" t="s">
        <v>2024</v>
      </c>
      <c r="E815" t="s">
        <v>2554</v>
      </c>
      <c r="F815" t="s">
        <v>2555</v>
      </c>
      <c r="G815">
        <v>5</v>
      </c>
      <c r="H815">
        <v>1450</v>
      </c>
      <c r="I815">
        <v>5</v>
      </c>
      <c r="J815">
        <v>6.65</v>
      </c>
      <c r="K815">
        <v>5</v>
      </c>
      <c r="L815">
        <v>0.26700000000000002</v>
      </c>
      <c r="M815">
        <v>1</v>
      </c>
      <c r="N815">
        <v>100</v>
      </c>
      <c r="O815">
        <v>3</v>
      </c>
      <c r="P815">
        <v>0.75</v>
      </c>
      <c r="Q815">
        <v>4</v>
      </c>
      <c r="R815">
        <v>2.4750000000000001E-2</v>
      </c>
      <c r="T815" s="8" t="s">
        <v>2554</v>
      </c>
    </row>
    <row r="816" spans="1:20" x14ac:dyDescent="0.2">
      <c r="A816" t="s">
        <v>2556</v>
      </c>
      <c r="B816" t="s">
        <v>2022</v>
      </c>
      <c r="C816" t="s">
        <v>2028</v>
      </c>
      <c r="D816" t="s">
        <v>2024</v>
      </c>
      <c r="E816" t="s">
        <v>2557</v>
      </c>
      <c r="F816" t="s">
        <v>2558</v>
      </c>
      <c r="G816">
        <v>1</v>
      </c>
      <c r="H816">
        <v>650</v>
      </c>
      <c r="I816">
        <v>1</v>
      </c>
      <c r="J816">
        <v>0.35</v>
      </c>
      <c r="K816">
        <v>1</v>
      </c>
      <c r="L816">
        <v>4.0000000000000001E-3</v>
      </c>
      <c r="M816">
        <v>5</v>
      </c>
      <c r="N816">
        <v>500</v>
      </c>
      <c r="O816">
        <v>2</v>
      </c>
      <c r="P816">
        <v>0.45</v>
      </c>
      <c r="Q816">
        <v>2</v>
      </c>
      <c r="R816">
        <v>7.7499999999999999E-3</v>
      </c>
      <c r="T816" s="8" t="s">
        <v>2557</v>
      </c>
    </row>
    <row r="817" spans="1:20" x14ac:dyDescent="0.2">
      <c r="A817" t="s">
        <v>2559</v>
      </c>
      <c r="B817" t="s">
        <v>2022</v>
      </c>
      <c r="C817" t="s">
        <v>2053</v>
      </c>
      <c r="D817" t="s">
        <v>2024</v>
      </c>
      <c r="E817" t="s">
        <v>2560</v>
      </c>
      <c r="F817" t="s">
        <v>447</v>
      </c>
      <c r="G817">
        <v>3</v>
      </c>
      <c r="H817">
        <v>1700</v>
      </c>
      <c r="I817">
        <v>3</v>
      </c>
      <c r="J817">
        <v>6.55</v>
      </c>
      <c r="K817">
        <v>2</v>
      </c>
      <c r="L817">
        <v>8.5000000000000006E-2</v>
      </c>
      <c r="M817">
        <v>2</v>
      </c>
      <c r="N817">
        <v>83</v>
      </c>
      <c r="O817">
        <v>3</v>
      </c>
      <c r="P817">
        <v>0.375</v>
      </c>
      <c r="Q817">
        <v>2</v>
      </c>
      <c r="R817">
        <v>5.1999999999999998E-3</v>
      </c>
      <c r="T817" s="8" t="s">
        <v>2560</v>
      </c>
    </row>
    <row r="818" spans="1:20" x14ac:dyDescent="0.2">
      <c r="A818" t="s">
        <v>2561</v>
      </c>
      <c r="B818" t="s">
        <v>2022</v>
      </c>
      <c r="C818" t="s">
        <v>2222</v>
      </c>
      <c r="D818" t="s">
        <v>2024</v>
      </c>
      <c r="E818" t="s">
        <v>2562</v>
      </c>
      <c r="F818" t="s">
        <v>2563</v>
      </c>
      <c r="G818">
        <v>3</v>
      </c>
      <c r="H818">
        <v>1650</v>
      </c>
      <c r="I818">
        <v>2</v>
      </c>
      <c r="J818">
        <v>3.9</v>
      </c>
      <c r="K818">
        <v>2</v>
      </c>
      <c r="L818">
        <v>5.5E-2</v>
      </c>
      <c r="M818">
        <v>4</v>
      </c>
      <c r="N818">
        <v>71</v>
      </c>
      <c r="O818">
        <v>2</v>
      </c>
      <c r="P818">
        <v>0.15</v>
      </c>
      <c r="Q818">
        <v>2</v>
      </c>
      <c r="R818">
        <v>2.3E-3</v>
      </c>
      <c r="T818" s="8" t="s">
        <v>2562</v>
      </c>
    </row>
    <row r="819" spans="1:20" x14ac:dyDescent="0.2">
      <c r="A819" t="s">
        <v>2564</v>
      </c>
      <c r="B819" t="s">
        <v>2022</v>
      </c>
      <c r="C819" t="s">
        <v>2036</v>
      </c>
      <c r="D819" t="s">
        <v>2024</v>
      </c>
      <c r="E819" t="s">
        <v>2565</v>
      </c>
      <c r="F819" t="s">
        <v>2566</v>
      </c>
      <c r="G819">
        <v>2</v>
      </c>
      <c r="H819">
        <v>1640</v>
      </c>
      <c r="I819">
        <v>5</v>
      </c>
      <c r="J819">
        <v>7</v>
      </c>
      <c r="K819">
        <v>5</v>
      </c>
      <c r="L819">
        <v>0.17499999999999999</v>
      </c>
      <c r="M819">
        <v>1</v>
      </c>
      <c r="N819">
        <v>76</v>
      </c>
      <c r="O819">
        <v>5</v>
      </c>
      <c r="P819">
        <v>0.53500000000000003</v>
      </c>
      <c r="Q819">
        <v>5</v>
      </c>
      <c r="R819">
        <v>1.2E-2</v>
      </c>
      <c r="T819" s="8" t="s">
        <v>2565</v>
      </c>
    </row>
    <row r="820" spans="1:20" x14ac:dyDescent="0.2">
      <c r="A820" t="s">
        <v>2567</v>
      </c>
      <c r="B820" t="s">
        <v>2022</v>
      </c>
      <c r="C820" t="s">
        <v>2023</v>
      </c>
      <c r="D820" t="s">
        <v>2024</v>
      </c>
      <c r="E820" t="s">
        <v>2568</v>
      </c>
      <c r="F820" t="s">
        <v>2569</v>
      </c>
      <c r="G820">
        <v>5</v>
      </c>
      <c r="H820">
        <v>1800</v>
      </c>
      <c r="I820">
        <v>5</v>
      </c>
      <c r="J820">
        <v>10.9</v>
      </c>
      <c r="K820">
        <v>5</v>
      </c>
      <c r="L820">
        <v>8.5999999999999993E-2</v>
      </c>
      <c r="M820">
        <v>2</v>
      </c>
      <c r="N820">
        <v>84</v>
      </c>
      <c r="O820">
        <v>5</v>
      </c>
      <c r="P820">
        <v>0.67500000000000004</v>
      </c>
      <c r="Q820">
        <v>5</v>
      </c>
      <c r="R820">
        <v>8.0000000000000002E-3</v>
      </c>
      <c r="T820" s="8" t="s">
        <v>2568</v>
      </c>
    </row>
    <row r="821" spans="1:20" x14ac:dyDescent="0.2">
      <c r="A821" t="s">
        <v>2570</v>
      </c>
      <c r="B821" t="s">
        <v>2022</v>
      </c>
      <c r="C821" t="s">
        <v>2101</v>
      </c>
      <c r="D821" t="s">
        <v>2024</v>
      </c>
      <c r="E821" t="s">
        <v>231</v>
      </c>
      <c r="F821" t="s">
        <v>2571</v>
      </c>
      <c r="G821">
        <v>2</v>
      </c>
      <c r="H821">
        <v>1670</v>
      </c>
      <c r="I821">
        <v>5</v>
      </c>
      <c r="J821">
        <v>14</v>
      </c>
      <c r="K821">
        <v>4</v>
      </c>
      <c r="L821">
        <v>0.39050000000000001</v>
      </c>
      <c r="M821">
        <v>2</v>
      </c>
      <c r="N821">
        <v>74</v>
      </c>
      <c r="O821">
        <v>4</v>
      </c>
      <c r="P821">
        <v>0.52500000000000002</v>
      </c>
      <c r="Q821">
        <v>4</v>
      </c>
      <c r="R821">
        <v>1.8499999999999999E-2</v>
      </c>
      <c r="T821" s="8" t="s">
        <v>231</v>
      </c>
    </row>
    <row r="822" spans="1:20" x14ac:dyDescent="0.2">
      <c r="A822" t="s">
        <v>2572</v>
      </c>
      <c r="B822" t="s">
        <v>2022</v>
      </c>
      <c r="C822" t="s">
        <v>2053</v>
      </c>
      <c r="D822" t="s">
        <v>2024</v>
      </c>
      <c r="E822" t="s">
        <v>2573</v>
      </c>
      <c r="F822" t="s">
        <v>2574</v>
      </c>
      <c r="G822">
        <v>4</v>
      </c>
      <c r="H822">
        <v>1800</v>
      </c>
      <c r="I822">
        <v>5</v>
      </c>
      <c r="J822">
        <v>11.55</v>
      </c>
      <c r="K822">
        <v>3</v>
      </c>
      <c r="L822">
        <v>0.19500000000000001</v>
      </c>
      <c r="M822">
        <v>2</v>
      </c>
      <c r="N822">
        <v>83</v>
      </c>
      <c r="O822">
        <v>5</v>
      </c>
      <c r="P822">
        <v>0.67500000000000004</v>
      </c>
      <c r="Q822">
        <v>3</v>
      </c>
      <c r="R822">
        <v>1.2200000000000001E-2</v>
      </c>
      <c r="T822" s="8" t="s">
        <v>2573</v>
      </c>
    </row>
    <row r="823" spans="1:20" x14ac:dyDescent="0.2">
      <c r="A823" t="s">
        <v>2575</v>
      </c>
      <c r="B823" t="s">
        <v>2022</v>
      </c>
      <c r="C823" t="s">
        <v>2053</v>
      </c>
      <c r="D823" t="s">
        <v>2024</v>
      </c>
      <c r="E823" t="s">
        <v>2576</v>
      </c>
      <c r="F823" t="s">
        <v>2577</v>
      </c>
      <c r="G823">
        <v>4</v>
      </c>
      <c r="H823">
        <v>1800</v>
      </c>
      <c r="I823">
        <v>2</v>
      </c>
      <c r="J823">
        <v>4.05</v>
      </c>
      <c r="K823">
        <v>1</v>
      </c>
      <c r="L823">
        <v>1.4999999999999999E-2</v>
      </c>
      <c r="M823">
        <v>1</v>
      </c>
      <c r="N823">
        <v>73</v>
      </c>
      <c r="O823">
        <v>1</v>
      </c>
      <c r="P823">
        <v>7.4999999999999997E-2</v>
      </c>
      <c r="Q823">
        <v>1</v>
      </c>
      <c r="R823">
        <v>8.4999999999999995E-4</v>
      </c>
      <c r="T823" s="8" t="s">
        <v>2576</v>
      </c>
    </row>
    <row r="824" spans="1:20" x14ac:dyDescent="0.2">
      <c r="A824" t="s">
        <v>2578</v>
      </c>
      <c r="B824" t="s">
        <v>2022</v>
      </c>
      <c r="C824" t="s">
        <v>2023</v>
      </c>
      <c r="D824" t="s">
        <v>2024</v>
      </c>
      <c r="E824" t="s">
        <v>2579</v>
      </c>
      <c r="F824" t="s">
        <v>2580</v>
      </c>
      <c r="G824">
        <v>2</v>
      </c>
      <c r="H824">
        <v>1560</v>
      </c>
      <c r="I824">
        <v>2</v>
      </c>
      <c r="J824">
        <v>3.4</v>
      </c>
      <c r="K824">
        <v>2</v>
      </c>
      <c r="L824">
        <v>2.5999999999999999E-2</v>
      </c>
      <c r="M824">
        <v>1</v>
      </c>
      <c r="N824">
        <v>74</v>
      </c>
      <c r="O824">
        <v>2</v>
      </c>
      <c r="P824">
        <v>0.22500000000000001</v>
      </c>
      <c r="Q824">
        <v>2</v>
      </c>
      <c r="R824">
        <v>2E-3</v>
      </c>
      <c r="T824" s="8" t="s">
        <v>2579</v>
      </c>
    </row>
    <row r="825" spans="1:20" x14ac:dyDescent="0.2">
      <c r="A825" t="s">
        <v>2581</v>
      </c>
      <c r="B825" t="s">
        <v>2022</v>
      </c>
      <c r="C825" t="s">
        <v>2023</v>
      </c>
      <c r="D825" t="s">
        <v>2024</v>
      </c>
      <c r="E825" t="s">
        <v>2582</v>
      </c>
      <c r="F825" t="s">
        <v>2583</v>
      </c>
      <c r="G825">
        <v>3</v>
      </c>
      <c r="H825">
        <v>1640</v>
      </c>
      <c r="I825">
        <v>5</v>
      </c>
      <c r="J825">
        <v>10.9</v>
      </c>
      <c r="K825">
        <v>5</v>
      </c>
      <c r="L825">
        <v>8.5999999999999993E-2</v>
      </c>
      <c r="M825">
        <v>4</v>
      </c>
      <c r="N825">
        <v>104</v>
      </c>
      <c r="O825">
        <v>5</v>
      </c>
      <c r="P825">
        <v>0.67500000000000004</v>
      </c>
      <c r="Q825">
        <v>5</v>
      </c>
      <c r="R825">
        <v>8.0000000000000002E-3</v>
      </c>
      <c r="T825" s="8" t="s">
        <v>2582</v>
      </c>
    </row>
    <row r="826" spans="1:20" x14ac:dyDescent="0.2">
      <c r="A826" t="s">
        <v>2584</v>
      </c>
      <c r="B826" t="s">
        <v>2022</v>
      </c>
      <c r="C826" t="s">
        <v>2173</v>
      </c>
      <c r="D826" t="s">
        <v>2024</v>
      </c>
      <c r="E826" t="s">
        <v>2585</v>
      </c>
      <c r="F826" t="s">
        <v>2586</v>
      </c>
      <c r="G826">
        <v>4</v>
      </c>
      <c r="H826">
        <v>2107.5</v>
      </c>
      <c r="I826">
        <v>3</v>
      </c>
      <c r="J826">
        <v>9.0500000000000007</v>
      </c>
      <c r="K826">
        <v>3</v>
      </c>
      <c r="L826">
        <v>0.21</v>
      </c>
      <c r="M826">
        <v>3</v>
      </c>
      <c r="N826">
        <v>118.5</v>
      </c>
      <c r="O826">
        <v>3</v>
      </c>
      <c r="P826">
        <v>0.51</v>
      </c>
      <c r="Q826">
        <v>3</v>
      </c>
      <c r="R826">
        <v>1.18E-2</v>
      </c>
      <c r="T826" s="8" t="s">
        <v>2585</v>
      </c>
    </row>
    <row r="827" spans="1:20" x14ac:dyDescent="0.2">
      <c r="A827" t="s">
        <v>2587</v>
      </c>
      <c r="B827" t="s">
        <v>2022</v>
      </c>
      <c r="C827" t="s">
        <v>2173</v>
      </c>
      <c r="D827" t="s">
        <v>2024</v>
      </c>
      <c r="E827" t="s">
        <v>2588</v>
      </c>
      <c r="F827" t="s">
        <v>2589</v>
      </c>
      <c r="G827">
        <v>2</v>
      </c>
      <c r="H827">
        <v>1957.5</v>
      </c>
      <c r="I827">
        <v>5</v>
      </c>
      <c r="J827">
        <v>14.45</v>
      </c>
      <c r="K827">
        <v>5</v>
      </c>
      <c r="L827">
        <v>0.45</v>
      </c>
      <c r="M827">
        <v>3</v>
      </c>
      <c r="N827">
        <v>118.5</v>
      </c>
      <c r="O827">
        <v>5</v>
      </c>
      <c r="P827">
        <v>0.87</v>
      </c>
      <c r="Q827">
        <v>5</v>
      </c>
      <c r="R827">
        <v>2.58E-2</v>
      </c>
      <c r="T827" s="8" t="s">
        <v>2588</v>
      </c>
    </row>
    <row r="828" spans="1:20" x14ac:dyDescent="0.2">
      <c r="A828" t="s">
        <v>2590</v>
      </c>
      <c r="B828" t="s">
        <v>2022</v>
      </c>
      <c r="C828" t="s">
        <v>2023</v>
      </c>
      <c r="D828" t="s">
        <v>2024</v>
      </c>
      <c r="E828" t="s">
        <v>2591</v>
      </c>
      <c r="F828" t="s">
        <v>447</v>
      </c>
      <c r="G828">
        <v>1</v>
      </c>
      <c r="H828">
        <v>1480</v>
      </c>
      <c r="I828">
        <v>3</v>
      </c>
      <c r="J828">
        <v>5.9</v>
      </c>
      <c r="K828">
        <v>5</v>
      </c>
      <c r="L828">
        <v>8.5999999999999993E-2</v>
      </c>
      <c r="M828">
        <v>2</v>
      </c>
      <c r="N828">
        <v>84</v>
      </c>
      <c r="O828">
        <v>3</v>
      </c>
      <c r="P828">
        <v>0.375</v>
      </c>
      <c r="Q828">
        <v>5</v>
      </c>
      <c r="R828">
        <v>8.0000000000000002E-3</v>
      </c>
      <c r="T828" s="8" t="s">
        <v>2591</v>
      </c>
    </row>
    <row r="829" spans="1:20" x14ac:dyDescent="0.2">
      <c r="A829" t="s">
        <v>2592</v>
      </c>
      <c r="B829" t="s">
        <v>2022</v>
      </c>
      <c r="C829" t="s">
        <v>2023</v>
      </c>
      <c r="D829" t="s">
        <v>2024</v>
      </c>
      <c r="E829" t="s">
        <v>2593</v>
      </c>
      <c r="F829" t="s">
        <v>2594</v>
      </c>
      <c r="G829">
        <v>5</v>
      </c>
      <c r="H829">
        <v>1800</v>
      </c>
      <c r="I829">
        <v>5</v>
      </c>
      <c r="J829">
        <v>10.9</v>
      </c>
      <c r="K829">
        <v>5</v>
      </c>
      <c r="L829">
        <v>8.5999999999999993E-2</v>
      </c>
      <c r="M829">
        <v>2</v>
      </c>
      <c r="N829">
        <v>84</v>
      </c>
      <c r="O829">
        <v>4</v>
      </c>
      <c r="P829">
        <v>0.52500000000000002</v>
      </c>
      <c r="Q829">
        <v>5</v>
      </c>
      <c r="R829">
        <v>8.0000000000000002E-3</v>
      </c>
      <c r="T829" s="8" t="s">
        <v>2593</v>
      </c>
    </row>
    <row r="830" spans="1:20" x14ac:dyDescent="0.2">
      <c r="A830" t="s">
        <v>2595</v>
      </c>
      <c r="B830" t="s">
        <v>2022</v>
      </c>
      <c r="C830" t="s">
        <v>2053</v>
      </c>
      <c r="D830" t="s">
        <v>2024</v>
      </c>
      <c r="E830" t="s">
        <v>2596</v>
      </c>
      <c r="F830" t="s">
        <v>2597</v>
      </c>
      <c r="G830">
        <v>4</v>
      </c>
      <c r="H830">
        <v>1800</v>
      </c>
      <c r="I830">
        <v>4</v>
      </c>
      <c r="J830">
        <v>9.0500000000000007</v>
      </c>
      <c r="K830">
        <v>4</v>
      </c>
      <c r="L830">
        <v>0.30499999999999999</v>
      </c>
      <c r="M830">
        <v>2</v>
      </c>
      <c r="N830">
        <v>83</v>
      </c>
      <c r="O830">
        <v>3</v>
      </c>
      <c r="P830">
        <v>0.375</v>
      </c>
      <c r="Q830">
        <v>3</v>
      </c>
      <c r="R830">
        <v>1.2200000000000001E-2</v>
      </c>
      <c r="T830" s="8" t="s">
        <v>2596</v>
      </c>
    </row>
    <row r="831" spans="1:20" x14ac:dyDescent="0.2">
      <c r="A831" t="s">
        <v>40</v>
      </c>
      <c r="B831" t="s">
        <v>2022</v>
      </c>
      <c r="C831" t="s">
        <v>2053</v>
      </c>
      <c r="D831" t="s">
        <v>2024</v>
      </c>
      <c r="E831" t="s">
        <v>230</v>
      </c>
      <c r="F831" t="s">
        <v>2598</v>
      </c>
      <c r="G831">
        <v>2</v>
      </c>
      <c r="H831">
        <v>1600</v>
      </c>
      <c r="I831">
        <v>1</v>
      </c>
      <c r="J831">
        <v>1.55</v>
      </c>
      <c r="K831">
        <v>2</v>
      </c>
      <c r="L831">
        <v>8.5000000000000006E-2</v>
      </c>
      <c r="M831">
        <v>4</v>
      </c>
      <c r="N831">
        <v>103</v>
      </c>
      <c r="O831">
        <v>1</v>
      </c>
      <c r="P831">
        <v>7.4999999999999997E-2</v>
      </c>
      <c r="Q831">
        <v>2</v>
      </c>
      <c r="R831">
        <v>5.1999999999999998E-3</v>
      </c>
      <c r="T831" s="8" t="s">
        <v>230</v>
      </c>
    </row>
    <row r="832" spans="1:20" x14ac:dyDescent="0.2">
      <c r="A832" t="s">
        <v>2599</v>
      </c>
      <c r="B832" t="s">
        <v>2022</v>
      </c>
      <c r="C832" t="s">
        <v>2257</v>
      </c>
      <c r="D832" t="s">
        <v>2024</v>
      </c>
      <c r="E832" t="s">
        <v>357</v>
      </c>
      <c r="F832" t="s">
        <v>2600</v>
      </c>
      <c r="G832">
        <v>2</v>
      </c>
      <c r="H832">
        <v>1000</v>
      </c>
      <c r="I832">
        <v>2</v>
      </c>
      <c r="J832">
        <v>1.75</v>
      </c>
      <c r="K832">
        <v>2</v>
      </c>
      <c r="L832">
        <v>3.6999999999999998E-2</v>
      </c>
      <c r="M832">
        <v>5</v>
      </c>
      <c r="N832">
        <v>1100</v>
      </c>
      <c r="O832">
        <v>5</v>
      </c>
      <c r="P832">
        <v>2.7</v>
      </c>
      <c r="Q832">
        <v>2</v>
      </c>
      <c r="R832">
        <v>1.4999999999999999E-2</v>
      </c>
      <c r="T832" s="8" t="s">
        <v>357</v>
      </c>
    </row>
    <row r="833" spans="1:20" x14ac:dyDescent="0.2">
      <c r="A833" t="s">
        <v>2601</v>
      </c>
      <c r="B833" t="s">
        <v>2022</v>
      </c>
      <c r="C833" t="s">
        <v>2023</v>
      </c>
      <c r="D833" t="s">
        <v>2024</v>
      </c>
      <c r="E833" t="s">
        <v>2602</v>
      </c>
      <c r="F833" t="s">
        <v>447</v>
      </c>
      <c r="G833">
        <v>4</v>
      </c>
      <c r="H833">
        <v>1720</v>
      </c>
      <c r="I833">
        <v>2</v>
      </c>
      <c r="J833">
        <v>3.4</v>
      </c>
      <c r="K833">
        <v>2</v>
      </c>
      <c r="L833">
        <v>2.5999999999999999E-2</v>
      </c>
      <c r="M833">
        <v>3</v>
      </c>
      <c r="N833">
        <v>94</v>
      </c>
      <c r="O833">
        <v>2</v>
      </c>
      <c r="P833">
        <v>0.22500000000000001</v>
      </c>
      <c r="Q833">
        <v>1</v>
      </c>
      <c r="R833">
        <v>5.0000000000000001E-4</v>
      </c>
      <c r="T833" s="8" t="s">
        <v>2602</v>
      </c>
    </row>
    <row r="834" spans="1:20" x14ac:dyDescent="0.2">
      <c r="A834" t="s">
        <v>2603</v>
      </c>
      <c r="B834" t="s">
        <v>2022</v>
      </c>
      <c r="C834" t="s">
        <v>2101</v>
      </c>
      <c r="D834" t="s">
        <v>2024</v>
      </c>
      <c r="E834" t="s">
        <v>2604</v>
      </c>
      <c r="F834" t="s">
        <v>2605</v>
      </c>
      <c r="G834">
        <v>2</v>
      </c>
      <c r="H834">
        <v>1670</v>
      </c>
      <c r="I834">
        <v>2</v>
      </c>
      <c r="J834">
        <v>5</v>
      </c>
      <c r="K834">
        <v>2</v>
      </c>
      <c r="L834">
        <v>9.6500000000000002E-2</v>
      </c>
      <c r="M834">
        <v>3</v>
      </c>
      <c r="N834">
        <v>82</v>
      </c>
      <c r="O834">
        <v>2</v>
      </c>
      <c r="P834">
        <v>0.22500000000000001</v>
      </c>
      <c r="Q834">
        <v>2</v>
      </c>
      <c r="R834">
        <v>4.4999999999999997E-3</v>
      </c>
      <c r="T834" s="8" t="s">
        <v>2604</v>
      </c>
    </row>
    <row r="835" spans="1:20" x14ac:dyDescent="0.2">
      <c r="A835" t="s">
        <v>2606</v>
      </c>
      <c r="B835" t="s">
        <v>2022</v>
      </c>
      <c r="C835" t="s">
        <v>2049</v>
      </c>
      <c r="D835" t="s">
        <v>2136</v>
      </c>
      <c r="E835" t="s">
        <v>357</v>
      </c>
      <c r="F835" t="s">
        <v>2607</v>
      </c>
      <c r="G835">
        <v>1</v>
      </c>
      <c r="H835">
        <v>1350</v>
      </c>
      <c r="I835">
        <v>1</v>
      </c>
      <c r="J835">
        <v>1.4</v>
      </c>
      <c r="K835">
        <v>1</v>
      </c>
      <c r="L835">
        <v>0.01</v>
      </c>
      <c r="M835">
        <v>5</v>
      </c>
      <c r="N835">
        <v>166</v>
      </c>
      <c r="O835">
        <v>5</v>
      </c>
      <c r="P835">
        <v>0.86</v>
      </c>
      <c r="Q835">
        <v>2</v>
      </c>
      <c r="R835">
        <v>6.1999999999999998E-3</v>
      </c>
      <c r="T835" s="8" t="s">
        <v>357</v>
      </c>
    </row>
    <row r="836" spans="1:20" x14ac:dyDescent="0.2">
      <c r="A836" t="s">
        <v>2608</v>
      </c>
      <c r="B836" t="s">
        <v>2022</v>
      </c>
      <c r="C836" t="s">
        <v>2023</v>
      </c>
      <c r="D836" t="s">
        <v>2024</v>
      </c>
      <c r="E836" t="s">
        <v>2609</v>
      </c>
      <c r="F836" t="s">
        <v>2610</v>
      </c>
      <c r="G836">
        <v>3</v>
      </c>
      <c r="H836">
        <v>1640</v>
      </c>
      <c r="I836">
        <v>5</v>
      </c>
      <c r="J836">
        <v>10.9</v>
      </c>
      <c r="K836">
        <v>5</v>
      </c>
      <c r="L836">
        <v>8.5999999999999993E-2</v>
      </c>
      <c r="M836">
        <v>3</v>
      </c>
      <c r="N836">
        <v>94</v>
      </c>
      <c r="O836">
        <v>5</v>
      </c>
      <c r="P836">
        <v>0.67500000000000004</v>
      </c>
      <c r="Q836">
        <v>5</v>
      </c>
      <c r="R836">
        <v>8.0000000000000002E-3</v>
      </c>
      <c r="T836" s="8" t="s">
        <v>2609</v>
      </c>
    </row>
    <row r="837" spans="1:20" x14ac:dyDescent="0.2">
      <c r="A837" t="s">
        <v>2611</v>
      </c>
      <c r="B837" t="s">
        <v>2022</v>
      </c>
      <c r="C837" t="s">
        <v>2023</v>
      </c>
      <c r="D837" t="s">
        <v>2024</v>
      </c>
      <c r="E837" t="s">
        <v>2612</v>
      </c>
      <c r="F837" t="s">
        <v>2613</v>
      </c>
      <c r="G837">
        <v>4</v>
      </c>
      <c r="H837">
        <v>1720</v>
      </c>
      <c r="I837">
        <v>3</v>
      </c>
      <c r="J837">
        <v>5.9</v>
      </c>
      <c r="K837">
        <v>5</v>
      </c>
      <c r="L837">
        <v>8.5999999999999993E-2</v>
      </c>
      <c r="M837">
        <v>3</v>
      </c>
      <c r="N837">
        <v>94</v>
      </c>
      <c r="O837">
        <v>3</v>
      </c>
      <c r="P837">
        <v>0.375</v>
      </c>
      <c r="Q837">
        <v>5</v>
      </c>
      <c r="R837">
        <v>8.0000000000000002E-3</v>
      </c>
      <c r="T837" s="8" t="s">
        <v>2612</v>
      </c>
    </row>
    <row r="838" spans="1:20" x14ac:dyDescent="0.2">
      <c r="A838" t="s">
        <v>2614</v>
      </c>
      <c r="B838" t="s">
        <v>2022</v>
      </c>
      <c r="C838" t="s">
        <v>2036</v>
      </c>
      <c r="D838" t="s">
        <v>2024</v>
      </c>
      <c r="E838" t="s">
        <v>2615</v>
      </c>
      <c r="F838" t="s">
        <v>2616</v>
      </c>
      <c r="G838">
        <v>2</v>
      </c>
      <c r="H838">
        <v>1640</v>
      </c>
      <c r="I838">
        <v>2</v>
      </c>
      <c r="J838">
        <v>3.4</v>
      </c>
      <c r="K838">
        <v>2</v>
      </c>
      <c r="L838">
        <v>8.5000000000000006E-2</v>
      </c>
      <c r="M838">
        <v>1</v>
      </c>
      <c r="N838">
        <v>76</v>
      </c>
      <c r="O838">
        <v>1</v>
      </c>
      <c r="P838">
        <v>9.5000000000000001E-2</v>
      </c>
      <c r="Q838">
        <v>2</v>
      </c>
      <c r="R838">
        <v>4.2500000000000003E-3</v>
      </c>
      <c r="T838" s="8" t="s">
        <v>2615</v>
      </c>
    </row>
    <row r="839" spans="1:20" x14ac:dyDescent="0.2">
      <c r="A839" t="s">
        <v>2617</v>
      </c>
      <c r="B839" t="s">
        <v>2022</v>
      </c>
      <c r="C839" t="s">
        <v>2049</v>
      </c>
      <c r="D839" t="s">
        <v>2024</v>
      </c>
      <c r="E839" t="s">
        <v>2618</v>
      </c>
      <c r="F839" t="s">
        <v>2619</v>
      </c>
      <c r="G839">
        <v>3</v>
      </c>
      <c r="H839">
        <v>1550</v>
      </c>
      <c r="I839">
        <v>1</v>
      </c>
      <c r="J839">
        <v>1.4</v>
      </c>
      <c r="K839">
        <v>1</v>
      </c>
      <c r="L839">
        <v>0.01</v>
      </c>
      <c r="M839">
        <v>5</v>
      </c>
      <c r="N839">
        <v>166</v>
      </c>
      <c r="O839">
        <v>1</v>
      </c>
      <c r="P839">
        <v>0.06</v>
      </c>
      <c r="Q839">
        <v>1</v>
      </c>
      <c r="R839">
        <v>8.4999999999999995E-4</v>
      </c>
      <c r="T839" s="8" t="s">
        <v>2618</v>
      </c>
    </row>
    <row r="840" spans="1:20" x14ac:dyDescent="0.2">
      <c r="A840" t="s">
        <v>2620</v>
      </c>
      <c r="B840" t="s">
        <v>2022</v>
      </c>
      <c r="C840" t="s">
        <v>2053</v>
      </c>
      <c r="D840" t="s">
        <v>2024</v>
      </c>
      <c r="E840" t="s">
        <v>2621</v>
      </c>
      <c r="F840" t="s">
        <v>2622</v>
      </c>
      <c r="G840">
        <v>2</v>
      </c>
      <c r="H840">
        <v>1600</v>
      </c>
      <c r="I840">
        <v>3</v>
      </c>
      <c r="J840">
        <v>6.55</v>
      </c>
      <c r="K840">
        <v>2</v>
      </c>
      <c r="L840">
        <v>8.5000000000000006E-2</v>
      </c>
      <c r="M840">
        <v>2</v>
      </c>
      <c r="N840">
        <v>83</v>
      </c>
      <c r="O840">
        <v>3</v>
      </c>
      <c r="P840">
        <v>0.375</v>
      </c>
      <c r="Q840">
        <v>2</v>
      </c>
      <c r="R840">
        <v>5.1999999999999998E-3</v>
      </c>
      <c r="T840" s="8" t="s">
        <v>2621</v>
      </c>
    </row>
    <row r="841" spans="1:20" x14ac:dyDescent="0.2">
      <c r="A841" t="s">
        <v>2623</v>
      </c>
      <c r="B841" t="s">
        <v>2022</v>
      </c>
      <c r="C841" t="s">
        <v>2023</v>
      </c>
      <c r="D841" t="s">
        <v>2154</v>
      </c>
      <c r="E841" t="s">
        <v>2624</v>
      </c>
      <c r="F841" t="s">
        <v>2625</v>
      </c>
      <c r="G841">
        <v>3</v>
      </c>
      <c r="H841">
        <v>1640</v>
      </c>
      <c r="I841">
        <v>5</v>
      </c>
      <c r="J841">
        <v>10.9</v>
      </c>
      <c r="K841">
        <v>5</v>
      </c>
      <c r="L841">
        <v>8.5999999999999993E-2</v>
      </c>
      <c r="M841">
        <v>1</v>
      </c>
      <c r="N841">
        <v>74</v>
      </c>
      <c r="O841">
        <v>5</v>
      </c>
      <c r="P841">
        <v>0.67500000000000004</v>
      </c>
      <c r="Q841">
        <v>5</v>
      </c>
      <c r="R841">
        <v>8.0000000000000002E-3</v>
      </c>
      <c r="T841" s="8" t="s">
        <v>2624</v>
      </c>
    </row>
    <row r="842" spans="1:20" x14ac:dyDescent="0.2">
      <c r="A842" t="s">
        <v>2626</v>
      </c>
      <c r="B842" t="s">
        <v>2022</v>
      </c>
      <c r="C842" t="s">
        <v>2222</v>
      </c>
      <c r="D842" t="s">
        <v>2024</v>
      </c>
      <c r="E842" t="s">
        <v>2627</v>
      </c>
      <c r="F842" t="s">
        <v>2628</v>
      </c>
      <c r="G842">
        <v>4</v>
      </c>
      <c r="H842">
        <v>1750</v>
      </c>
      <c r="I842">
        <v>2</v>
      </c>
      <c r="J842">
        <v>3.9</v>
      </c>
      <c r="K842">
        <v>2</v>
      </c>
      <c r="L842">
        <v>5.5E-2</v>
      </c>
      <c r="M842">
        <v>3</v>
      </c>
      <c r="N842">
        <v>67</v>
      </c>
      <c r="O842">
        <v>2</v>
      </c>
      <c r="P842">
        <v>0.15</v>
      </c>
      <c r="Q842">
        <v>2</v>
      </c>
      <c r="R842">
        <v>2.3E-3</v>
      </c>
      <c r="T842" s="8" t="s">
        <v>2627</v>
      </c>
    </row>
    <row r="843" spans="1:20" x14ac:dyDescent="0.2">
      <c r="A843" t="s">
        <v>2629</v>
      </c>
      <c r="B843" t="s">
        <v>2022</v>
      </c>
      <c r="C843" t="s">
        <v>2023</v>
      </c>
      <c r="D843" t="s">
        <v>2024</v>
      </c>
      <c r="E843" t="s">
        <v>2627</v>
      </c>
      <c r="F843" t="s">
        <v>2628</v>
      </c>
      <c r="G843">
        <v>4</v>
      </c>
      <c r="H843">
        <v>1720</v>
      </c>
      <c r="I843">
        <v>5</v>
      </c>
      <c r="J843">
        <v>10.9</v>
      </c>
      <c r="K843">
        <v>5</v>
      </c>
      <c r="L843">
        <v>8.5999999999999993E-2</v>
      </c>
      <c r="M843">
        <v>1</v>
      </c>
      <c r="N843">
        <v>74</v>
      </c>
      <c r="O843">
        <v>4</v>
      </c>
      <c r="P843">
        <v>0.52500000000000002</v>
      </c>
      <c r="Q843">
        <v>5</v>
      </c>
      <c r="R843">
        <v>8.0000000000000002E-3</v>
      </c>
      <c r="T843" s="8" t="s">
        <v>2627</v>
      </c>
    </row>
    <row r="844" spans="1:20" x14ac:dyDescent="0.2">
      <c r="A844" t="s">
        <v>2630</v>
      </c>
      <c r="B844" t="s">
        <v>2022</v>
      </c>
      <c r="C844" t="s">
        <v>2023</v>
      </c>
      <c r="D844" t="s">
        <v>2024</v>
      </c>
      <c r="E844" t="s">
        <v>2631</v>
      </c>
      <c r="F844" t="s">
        <v>2632</v>
      </c>
      <c r="G844">
        <v>5</v>
      </c>
      <c r="H844">
        <v>1800</v>
      </c>
      <c r="I844">
        <v>2</v>
      </c>
      <c r="J844">
        <v>3.4</v>
      </c>
      <c r="K844">
        <v>2</v>
      </c>
      <c r="L844">
        <v>2.5999999999999999E-2</v>
      </c>
      <c r="M844">
        <v>2</v>
      </c>
      <c r="N844">
        <v>84</v>
      </c>
      <c r="O844">
        <v>1</v>
      </c>
      <c r="P844">
        <v>7.4999999999999997E-2</v>
      </c>
      <c r="Q844">
        <v>1</v>
      </c>
      <c r="R844">
        <v>5.0000000000000001E-4</v>
      </c>
      <c r="T844" s="8" t="s">
        <v>2631</v>
      </c>
    </row>
    <row r="845" spans="1:20" x14ac:dyDescent="0.2">
      <c r="A845" t="s">
        <v>2633</v>
      </c>
      <c r="B845" t="s">
        <v>2022</v>
      </c>
      <c r="C845" t="s">
        <v>2023</v>
      </c>
      <c r="D845" t="s">
        <v>2024</v>
      </c>
      <c r="E845" t="s">
        <v>651</v>
      </c>
      <c r="F845" t="s">
        <v>2634</v>
      </c>
      <c r="G845">
        <v>2</v>
      </c>
      <c r="H845">
        <v>1560</v>
      </c>
      <c r="I845">
        <v>3</v>
      </c>
      <c r="J845">
        <v>5.9</v>
      </c>
      <c r="K845">
        <v>2</v>
      </c>
      <c r="L845">
        <v>2.5999999999999999E-2</v>
      </c>
      <c r="M845">
        <v>1</v>
      </c>
      <c r="N845">
        <v>74</v>
      </c>
      <c r="O845">
        <v>3</v>
      </c>
      <c r="P845">
        <v>0.375</v>
      </c>
      <c r="Q845">
        <v>1</v>
      </c>
      <c r="R845">
        <v>5.0000000000000001E-4</v>
      </c>
      <c r="T845" s="8" t="s">
        <v>651</v>
      </c>
    </row>
    <row r="846" spans="1:20" x14ac:dyDescent="0.2">
      <c r="A846" t="s">
        <v>2635</v>
      </c>
      <c r="B846" t="s">
        <v>2022</v>
      </c>
      <c r="C846" t="s">
        <v>2023</v>
      </c>
      <c r="D846" t="s">
        <v>2024</v>
      </c>
      <c r="E846" t="s">
        <v>2636</v>
      </c>
      <c r="F846" t="s">
        <v>2637</v>
      </c>
      <c r="G846">
        <v>3</v>
      </c>
      <c r="H846">
        <v>1640</v>
      </c>
      <c r="I846">
        <v>5</v>
      </c>
      <c r="J846">
        <v>10.9</v>
      </c>
      <c r="K846">
        <v>5</v>
      </c>
      <c r="L846">
        <v>8.5999999999999993E-2</v>
      </c>
      <c r="M846">
        <v>3</v>
      </c>
      <c r="N846">
        <v>94</v>
      </c>
      <c r="O846">
        <v>5</v>
      </c>
      <c r="P846">
        <v>0.67500000000000004</v>
      </c>
      <c r="Q846">
        <v>5</v>
      </c>
      <c r="R846">
        <v>8.0000000000000002E-3</v>
      </c>
      <c r="T846" s="8" t="s">
        <v>2636</v>
      </c>
    </row>
    <row r="847" spans="1:20" x14ac:dyDescent="0.2">
      <c r="A847" t="s">
        <v>2638</v>
      </c>
      <c r="B847" t="s">
        <v>2022</v>
      </c>
      <c r="C847" t="s">
        <v>2023</v>
      </c>
      <c r="D847" t="s">
        <v>2024</v>
      </c>
      <c r="E847" t="s">
        <v>2639</v>
      </c>
      <c r="F847" t="s">
        <v>2640</v>
      </c>
      <c r="G847">
        <v>3</v>
      </c>
      <c r="H847">
        <v>1640</v>
      </c>
      <c r="I847">
        <v>3</v>
      </c>
      <c r="J847">
        <v>5.9</v>
      </c>
      <c r="K847">
        <v>5</v>
      </c>
      <c r="L847">
        <v>8.5999999999999993E-2</v>
      </c>
      <c r="M847">
        <v>2</v>
      </c>
      <c r="N847">
        <v>84</v>
      </c>
      <c r="O847">
        <v>3</v>
      </c>
      <c r="P847">
        <v>0.375</v>
      </c>
      <c r="Q847">
        <v>4</v>
      </c>
      <c r="R847">
        <v>6.0000000000000001E-3</v>
      </c>
      <c r="T847" s="8" t="s">
        <v>2639</v>
      </c>
    </row>
    <row r="848" spans="1:20" x14ac:dyDescent="0.2">
      <c r="A848" t="s">
        <v>2641</v>
      </c>
      <c r="B848" t="s">
        <v>2022</v>
      </c>
      <c r="C848" t="s">
        <v>2023</v>
      </c>
      <c r="D848" t="s">
        <v>2024</v>
      </c>
      <c r="E848" t="s">
        <v>2642</v>
      </c>
      <c r="F848" t="s">
        <v>2643</v>
      </c>
      <c r="G848">
        <v>2</v>
      </c>
      <c r="H848">
        <v>1560</v>
      </c>
      <c r="I848">
        <v>2</v>
      </c>
      <c r="J848">
        <v>3.4</v>
      </c>
      <c r="K848">
        <v>5</v>
      </c>
      <c r="L848">
        <v>8.5999999999999993E-2</v>
      </c>
      <c r="M848">
        <v>5</v>
      </c>
      <c r="N848">
        <v>114</v>
      </c>
      <c r="O848">
        <v>2</v>
      </c>
      <c r="P848">
        <v>0.22500000000000001</v>
      </c>
      <c r="Q848">
        <v>5</v>
      </c>
      <c r="R848">
        <v>8.0000000000000002E-3</v>
      </c>
      <c r="T848" s="8" t="s">
        <v>2642</v>
      </c>
    </row>
    <row r="849" spans="1:20" x14ac:dyDescent="0.2">
      <c r="A849" t="s">
        <v>2644</v>
      </c>
      <c r="B849" t="s">
        <v>2022</v>
      </c>
      <c r="C849" t="s">
        <v>2101</v>
      </c>
      <c r="D849" t="s">
        <v>2024</v>
      </c>
      <c r="E849" t="s">
        <v>2645</v>
      </c>
      <c r="F849" t="s">
        <v>2646</v>
      </c>
      <c r="G849">
        <v>1</v>
      </c>
      <c r="H849">
        <v>1570</v>
      </c>
      <c r="I849">
        <v>2</v>
      </c>
      <c r="J849">
        <v>5</v>
      </c>
      <c r="K849">
        <v>2</v>
      </c>
      <c r="L849">
        <v>9.6500000000000002E-2</v>
      </c>
      <c r="M849">
        <v>1</v>
      </c>
      <c r="N849">
        <v>66</v>
      </c>
      <c r="O849">
        <v>2</v>
      </c>
      <c r="P849">
        <v>0.22500000000000001</v>
      </c>
      <c r="Q849">
        <v>2</v>
      </c>
      <c r="R849">
        <v>4.4999999999999997E-3</v>
      </c>
      <c r="T849" s="8" t="s">
        <v>2645</v>
      </c>
    </row>
    <row r="850" spans="1:20" x14ac:dyDescent="0.2">
      <c r="A850" t="s">
        <v>2647</v>
      </c>
      <c r="B850" t="s">
        <v>2022</v>
      </c>
      <c r="C850" t="s">
        <v>2023</v>
      </c>
      <c r="D850" t="s">
        <v>2024</v>
      </c>
      <c r="E850" t="s">
        <v>2648</v>
      </c>
      <c r="F850" t="s">
        <v>2649</v>
      </c>
      <c r="G850">
        <v>2</v>
      </c>
      <c r="H850">
        <v>1560</v>
      </c>
      <c r="I850">
        <v>2</v>
      </c>
      <c r="J850">
        <v>3.4</v>
      </c>
      <c r="K850">
        <v>2</v>
      </c>
      <c r="L850">
        <v>2.5999999999999999E-2</v>
      </c>
      <c r="M850">
        <v>1</v>
      </c>
      <c r="N850">
        <v>74</v>
      </c>
      <c r="O850">
        <v>1</v>
      </c>
      <c r="P850">
        <v>7.4999999999999997E-2</v>
      </c>
      <c r="Q850">
        <v>2</v>
      </c>
      <c r="R850">
        <v>2E-3</v>
      </c>
      <c r="T850" s="8" t="s">
        <v>2648</v>
      </c>
    </row>
    <row r="851" spans="1:20" x14ac:dyDescent="0.2">
      <c r="A851" t="s">
        <v>2650</v>
      </c>
      <c r="B851" t="s">
        <v>2022</v>
      </c>
      <c r="C851" t="s">
        <v>2036</v>
      </c>
      <c r="D851" t="s">
        <v>2024</v>
      </c>
      <c r="E851" t="s">
        <v>2651</v>
      </c>
      <c r="F851" t="s">
        <v>2652</v>
      </c>
      <c r="G851">
        <v>3</v>
      </c>
      <c r="H851">
        <v>1740</v>
      </c>
      <c r="I851">
        <v>3</v>
      </c>
      <c r="J851">
        <v>4.5999999999999996</v>
      </c>
      <c r="K851">
        <v>2</v>
      </c>
      <c r="L851">
        <v>8.5000000000000006E-2</v>
      </c>
      <c r="M851">
        <v>2</v>
      </c>
      <c r="N851">
        <v>82</v>
      </c>
      <c r="O851">
        <v>2</v>
      </c>
      <c r="P851">
        <v>0.20499999999999999</v>
      </c>
      <c r="Q851">
        <v>2</v>
      </c>
      <c r="R851">
        <v>4.2500000000000003E-3</v>
      </c>
      <c r="T851" s="8" t="s">
        <v>2651</v>
      </c>
    </row>
    <row r="852" spans="1:20" x14ac:dyDescent="0.2">
      <c r="A852" t="s">
        <v>2653</v>
      </c>
      <c r="B852" t="s">
        <v>2022</v>
      </c>
      <c r="C852" t="s">
        <v>2023</v>
      </c>
      <c r="D852" t="s">
        <v>2024</v>
      </c>
      <c r="E852" t="s">
        <v>2654</v>
      </c>
      <c r="F852" t="s">
        <v>2655</v>
      </c>
      <c r="G852">
        <v>3</v>
      </c>
      <c r="H852">
        <v>1640</v>
      </c>
      <c r="I852">
        <v>3</v>
      </c>
      <c r="J852">
        <v>5.9</v>
      </c>
      <c r="K852">
        <v>5</v>
      </c>
      <c r="L852">
        <v>8.5999999999999993E-2</v>
      </c>
      <c r="M852">
        <v>2</v>
      </c>
      <c r="N852">
        <v>84</v>
      </c>
      <c r="O852">
        <v>2</v>
      </c>
      <c r="P852">
        <v>0.22500000000000001</v>
      </c>
      <c r="Q852">
        <v>4</v>
      </c>
      <c r="R852">
        <v>6.0000000000000001E-3</v>
      </c>
      <c r="T852" s="8" t="s">
        <v>2654</v>
      </c>
    </row>
    <row r="853" spans="1:20" x14ac:dyDescent="0.2">
      <c r="A853" t="s">
        <v>2656</v>
      </c>
      <c r="B853" t="s">
        <v>2022</v>
      </c>
      <c r="C853" t="s">
        <v>2023</v>
      </c>
      <c r="D853" t="s">
        <v>2024</v>
      </c>
      <c r="E853" t="s">
        <v>2657</v>
      </c>
      <c r="F853" t="s">
        <v>2658</v>
      </c>
      <c r="G853">
        <v>2</v>
      </c>
      <c r="H853">
        <v>1560</v>
      </c>
      <c r="I853">
        <v>3</v>
      </c>
      <c r="J853">
        <v>5.9</v>
      </c>
      <c r="K853">
        <v>2</v>
      </c>
      <c r="L853">
        <v>2.5999999999999999E-2</v>
      </c>
      <c r="M853">
        <v>3</v>
      </c>
      <c r="N853">
        <v>94</v>
      </c>
      <c r="O853">
        <v>3</v>
      </c>
      <c r="P853">
        <v>0.375</v>
      </c>
      <c r="Q853">
        <v>2</v>
      </c>
      <c r="R853">
        <v>2E-3</v>
      </c>
      <c r="T853" s="8" t="s">
        <v>2657</v>
      </c>
    </row>
    <row r="854" spans="1:20" x14ac:dyDescent="0.2">
      <c r="A854" t="s">
        <v>2659</v>
      </c>
      <c r="B854" t="s">
        <v>2022</v>
      </c>
      <c r="C854" t="s">
        <v>2053</v>
      </c>
      <c r="D854" t="s">
        <v>2024</v>
      </c>
      <c r="E854" t="s">
        <v>2660</v>
      </c>
      <c r="F854" t="s">
        <v>2661</v>
      </c>
      <c r="G854">
        <v>5</v>
      </c>
      <c r="H854">
        <v>1900</v>
      </c>
      <c r="I854">
        <v>5</v>
      </c>
      <c r="J854">
        <v>11.55</v>
      </c>
      <c r="K854">
        <v>3</v>
      </c>
      <c r="L854">
        <v>0.19500000000000001</v>
      </c>
      <c r="M854">
        <v>5</v>
      </c>
      <c r="N854">
        <v>113</v>
      </c>
      <c r="O854">
        <v>5</v>
      </c>
      <c r="P854">
        <v>0.67500000000000004</v>
      </c>
      <c r="Q854">
        <v>3</v>
      </c>
      <c r="R854">
        <v>1.2200000000000001E-2</v>
      </c>
      <c r="T854" s="8" t="s">
        <v>2660</v>
      </c>
    </row>
    <row r="855" spans="1:20" x14ac:dyDescent="0.2">
      <c r="A855" t="s">
        <v>2662</v>
      </c>
      <c r="B855" t="s">
        <v>2022</v>
      </c>
      <c r="C855" t="s">
        <v>2095</v>
      </c>
      <c r="D855" t="s">
        <v>2024</v>
      </c>
      <c r="E855" t="s">
        <v>2663</v>
      </c>
      <c r="F855" t="s">
        <v>2664</v>
      </c>
      <c r="G855">
        <v>5</v>
      </c>
      <c r="H855">
        <v>1925</v>
      </c>
      <c r="I855">
        <v>5</v>
      </c>
      <c r="J855">
        <v>16.5</v>
      </c>
      <c r="K855">
        <v>2</v>
      </c>
      <c r="L855">
        <v>0.13</v>
      </c>
      <c r="M855">
        <v>5</v>
      </c>
      <c r="N855">
        <v>98</v>
      </c>
      <c r="O855">
        <v>4</v>
      </c>
      <c r="P855">
        <v>0.75</v>
      </c>
      <c r="Q855">
        <v>2</v>
      </c>
      <c r="R855">
        <v>5.8999999999999999E-3</v>
      </c>
      <c r="T855" s="8" t="s">
        <v>2663</v>
      </c>
    </row>
    <row r="856" spans="1:20" x14ac:dyDescent="0.2">
      <c r="A856" t="s">
        <v>2665</v>
      </c>
      <c r="B856" t="s">
        <v>2022</v>
      </c>
      <c r="C856" t="s">
        <v>2023</v>
      </c>
      <c r="D856" t="s">
        <v>2024</v>
      </c>
      <c r="E856" t="s">
        <v>2663</v>
      </c>
      <c r="F856" t="s">
        <v>2664</v>
      </c>
      <c r="G856">
        <v>5</v>
      </c>
      <c r="H856">
        <v>1800</v>
      </c>
      <c r="I856">
        <v>3</v>
      </c>
      <c r="J856">
        <v>5.9</v>
      </c>
      <c r="K856">
        <v>2</v>
      </c>
      <c r="L856">
        <v>2.5999999999999999E-2</v>
      </c>
      <c r="M856">
        <v>5</v>
      </c>
      <c r="N856">
        <v>114</v>
      </c>
      <c r="O856">
        <v>3</v>
      </c>
      <c r="P856">
        <v>0.375</v>
      </c>
      <c r="Q856">
        <v>2</v>
      </c>
      <c r="R856">
        <v>2E-3</v>
      </c>
      <c r="T856" s="8" t="s">
        <v>2663</v>
      </c>
    </row>
    <row r="857" spans="1:20" x14ac:dyDescent="0.2">
      <c r="A857" t="s">
        <v>2666</v>
      </c>
      <c r="B857" t="s">
        <v>2022</v>
      </c>
      <c r="C857" t="s">
        <v>2101</v>
      </c>
      <c r="D857" t="s">
        <v>2024</v>
      </c>
      <c r="E857" t="s">
        <v>2667</v>
      </c>
      <c r="F857" t="s">
        <v>2668</v>
      </c>
      <c r="G857">
        <v>5</v>
      </c>
      <c r="H857">
        <v>1970</v>
      </c>
      <c r="I857">
        <v>3</v>
      </c>
      <c r="J857">
        <v>8</v>
      </c>
      <c r="K857">
        <v>3</v>
      </c>
      <c r="L857">
        <v>0.24349999999999999</v>
      </c>
      <c r="M857">
        <v>4</v>
      </c>
      <c r="N857">
        <v>90</v>
      </c>
      <c r="O857">
        <v>3</v>
      </c>
      <c r="P857">
        <v>0.375</v>
      </c>
      <c r="Q857">
        <v>3</v>
      </c>
      <c r="R857">
        <v>1.15E-2</v>
      </c>
      <c r="T857" s="8" t="s">
        <v>2667</v>
      </c>
    </row>
    <row r="858" spans="1:20" x14ac:dyDescent="0.2">
      <c r="A858" t="s">
        <v>2669</v>
      </c>
      <c r="B858" t="s">
        <v>2022</v>
      </c>
      <c r="C858" t="s">
        <v>2106</v>
      </c>
      <c r="D858" t="s">
        <v>2024</v>
      </c>
      <c r="E858" t="s">
        <v>2667</v>
      </c>
      <c r="F858" t="s">
        <v>2668</v>
      </c>
      <c r="G858">
        <v>5</v>
      </c>
      <c r="H858">
        <v>2275</v>
      </c>
      <c r="I858">
        <v>2</v>
      </c>
      <c r="J858">
        <v>5.75</v>
      </c>
      <c r="K858">
        <v>3</v>
      </c>
      <c r="L858">
        <v>0.14000000000000001</v>
      </c>
      <c r="M858">
        <v>5</v>
      </c>
      <c r="N858">
        <v>89.5</v>
      </c>
      <c r="O858">
        <v>2</v>
      </c>
      <c r="P858">
        <v>0.15</v>
      </c>
      <c r="Q858">
        <v>3</v>
      </c>
      <c r="R858">
        <v>4.4999999999999997E-3</v>
      </c>
      <c r="T858" s="8" t="s">
        <v>2667</v>
      </c>
    </row>
    <row r="859" spans="1:20" x14ac:dyDescent="0.2">
      <c r="A859" t="s">
        <v>2670</v>
      </c>
      <c r="B859" t="s">
        <v>2022</v>
      </c>
      <c r="C859" t="s">
        <v>2036</v>
      </c>
      <c r="D859" t="s">
        <v>2024</v>
      </c>
      <c r="E859" t="s">
        <v>2671</v>
      </c>
      <c r="F859" t="s">
        <v>2672</v>
      </c>
      <c r="G859">
        <v>2</v>
      </c>
      <c r="H859">
        <v>1640</v>
      </c>
      <c r="I859">
        <v>2</v>
      </c>
      <c r="J859">
        <v>3.4</v>
      </c>
      <c r="K859">
        <v>2</v>
      </c>
      <c r="L859">
        <v>8.5000000000000006E-2</v>
      </c>
      <c r="M859">
        <v>2</v>
      </c>
      <c r="N859">
        <v>82</v>
      </c>
      <c r="O859">
        <v>2</v>
      </c>
      <c r="P859">
        <v>0.20499999999999999</v>
      </c>
      <c r="Q859">
        <v>2</v>
      </c>
      <c r="R859">
        <v>4.2500000000000003E-3</v>
      </c>
      <c r="T859" s="8" t="s">
        <v>2671</v>
      </c>
    </row>
    <row r="860" spans="1:20" x14ac:dyDescent="0.2">
      <c r="A860" t="s">
        <v>2673</v>
      </c>
      <c r="B860" t="s">
        <v>2022</v>
      </c>
      <c r="C860" t="s">
        <v>2023</v>
      </c>
      <c r="D860" t="s">
        <v>2024</v>
      </c>
      <c r="E860" t="s">
        <v>2674</v>
      </c>
      <c r="F860" t="s">
        <v>2675</v>
      </c>
      <c r="G860">
        <v>5</v>
      </c>
      <c r="H860">
        <v>1800</v>
      </c>
      <c r="I860">
        <v>3</v>
      </c>
      <c r="J860">
        <v>5.9</v>
      </c>
      <c r="K860">
        <v>2</v>
      </c>
      <c r="L860">
        <v>2.5999999999999999E-2</v>
      </c>
      <c r="M860">
        <v>4</v>
      </c>
      <c r="N860">
        <v>104</v>
      </c>
      <c r="O860">
        <v>3</v>
      </c>
      <c r="P860">
        <v>0.375</v>
      </c>
      <c r="Q860">
        <v>2</v>
      </c>
      <c r="R860">
        <v>2E-3</v>
      </c>
      <c r="T860" s="8" t="s">
        <v>2674</v>
      </c>
    </row>
    <row r="861" spans="1:20" x14ac:dyDescent="0.2">
      <c r="A861" t="s">
        <v>2676</v>
      </c>
      <c r="B861" t="s">
        <v>2022</v>
      </c>
      <c r="C861" t="s">
        <v>2023</v>
      </c>
      <c r="D861" t="s">
        <v>2024</v>
      </c>
      <c r="E861" t="s">
        <v>2677</v>
      </c>
      <c r="F861" t="s">
        <v>2678</v>
      </c>
      <c r="G861">
        <v>1</v>
      </c>
      <c r="H861">
        <v>1480</v>
      </c>
      <c r="I861">
        <v>2</v>
      </c>
      <c r="J861">
        <v>3.4</v>
      </c>
      <c r="K861">
        <v>2</v>
      </c>
      <c r="L861">
        <v>2.5999999999999999E-2</v>
      </c>
      <c r="M861">
        <v>3</v>
      </c>
      <c r="N861">
        <v>94</v>
      </c>
      <c r="O861">
        <v>2</v>
      </c>
      <c r="P861">
        <v>0.22500000000000001</v>
      </c>
      <c r="Q861">
        <v>2</v>
      </c>
      <c r="R861">
        <v>2E-3</v>
      </c>
      <c r="T861" s="8" t="s">
        <v>2677</v>
      </c>
    </row>
    <row r="862" spans="1:20" x14ac:dyDescent="0.2">
      <c r="A862" t="s">
        <v>2679</v>
      </c>
      <c r="B862" t="s">
        <v>2022</v>
      </c>
      <c r="C862" t="s">
        <v>2028</v>
      </c>
      <c r="D862" t="s">
        <v>2024</v>
      </c>
      <c r="E862" t="s">
        <v>2680</v>
      </c>
      <c r="F862" t="s">
        <v>2681</v>
      </c>
      <c r="G862">
        <v>4</v>
      </c>
      <c r="H862">
        <v>1250</v>
      </c>
      <c r="I862">
        <v>3</v>
      </c>
      <c r="J862">
        <v>3.25</v>
      </c>
      <c r="K862">
        <v>3</v>
      </c>
      <c r="L862">
        <v>0.11899999999999999</v>
      </c>
      <c r="M862">
        <v>2</v>
      </c>
      <c r="N862">
        <v>200</v>
      </c>
      <c r="O862">
        <v>3</v>
      </c>
      <c r="P862">
        <v>0.75</v>
      </c>
      <c r="Q862">
        <v>4</v>
      </c>
      <c r="R862">
        <v>2.4750000000000001E-2</v>
      </c>
      <c r="T862" s="8" t="s">
        <v>2680</v>
      </c>
    </row>
    <row r="863" spans="1:20" x14ac:dyDescent="0.2">
      <c r="A863" t="s">
        <v>2682</v>
      </c>
      <c r="B863" t="s">
        <v>2022</v>
      </c>
      <c r="C863" t="s">
        <v>2508</v>
      </c>
      <c r="D863" t="s">
        <v>2136</v>
      </c>
      <c r="E863" t="s">
        <v>2683</v>
      </c>
      <c r="F863" t="s">
        <v>2684</v>
      </c>
      <c r="G863">
        <v>5</v>
      </c>
      <c r="H863">
        <v>1650</v>
      </c>
      <c r="I863">
        <v>2</v>
      </c>
      <c r="J863">
        <v>5</v>
      </c>
      <c r="K863">
        <v>2</v>
      </c>
      <c r="L863">
        <v>0.1</v>
      </c>
      <c r="M863">
        <v>5</v>
      </c>
      <c r="N863">
        <v>352.5</v>
      </c>
      <c r="O863">
        <v>2</v>
      </c>
      <c r="P863">
        <v>0.75</v>
      </c>
      <c r="Q863">
        <v>2</v>
      </c>
      <c r="R863">
        <v>2.4E-2</v>
      </c>
      <c r="T863" s="8" t="s">
        <v>2683</v>
      </c>
    </row>
    <row r="864" spans="1:20" x14ac:dyDescent="0.2">
      <c r="A864" t="s">
        <v>2685</v>
      </c>
      <c r="B864" t="s">
        <v>2022</v>
      </c>
      <c r="C864" t="s">
        <v>2257</v>
      </c>
      <c r="D864" t="s">
        <v>2136</v>
      </c>
      <c r="E864" t="s">
        <v>2686</v>
      </c>
      <c r="F864" t="s">
        <v>447</v>
      </c>
      <c r="G864">
        <v>4</v>
      </c>
      <c r="H864">
        <v>1200</v>
      </c>
      <c r="I864">
        <v>1</v>
      </c>
      <c r="J864">
        <v>0.45</v>
      </c>
      <c r="K864">
        <v>1</v>
      </c>
      <c r="L864">
        <v>6.0000000000000001E-3</v>
      </c>
      <c r="M864">
        <v>1</v>
      </c>
      <c r="N864">
        <v>300</v>
      </c>
      <c r="O864">
        <v>1</v>
      </c>
      <c r="P864">
        <v>0.3</v>
      </c>
      <c r="Q864">
        <v>1</v>
      </c>
      <c r="R864">
        <v>2E-3</v>
      </c>
      <c r="T864" s="8" t="s">
        <v>2686</v>
      </c>
    </row>
    <row r="865" spans="1:20" x14ac:dyDescent="0.2">
      <c r="A865" t="s">
        <v>2687</v>
      </c>
      <c r="B865" t="s">
        <v>2022</v>
      </c>
      <c r="C865" t="s">
        <v>2053</v>
      </c>
      <c r="D865" t="s">
        <v>2024</v>
      </c>
      <c r="E865" t="s">
        <v>2688</v>
      </c>
      <c r="F865" t="s">
        <v>2689</v>
      </c>
      <c r="G865">
        <v>1</v>
      </c>
      <c r="H865">
        <v>1500</v>
      </c>
      <c r="I865">
        <v>1</v>
      </c>
      <c r="J865">
        <v>1.55</v>
      </c>
      <c r="K865">
        <v>2</v>
      </c>
      <c r="L865">
        <v>8.5000000000000006E-2</v>
      </c>
      <c r="M865">
        <v>1</v>
      </c>
      <c r="N865">
        <v>73</v>
      </c>
      <c r="O865">
        <v>1</v>
      </c>
      <c r="P865">
        <v>7.4999999999999997E-2</v>
      </c>
      <c r="Q865">
        <v>2</v>
      </c>
      <c r="R865">
        <v>5.1999999999999998E-3</v>
      </c>
      <c r="T865" s="8" t="s">
        <v>2688</v>
      </c>
    </row>
    <row r="866" spans="1:20" x14ac:dyDescent="0.2">
      <c r="A866" t="s">
        <v>2690</v>
      </c>
      <c r="B866" t="s">
        <v>2022</v>
      </c>
      <c r="C866" t="s">
        <v>2023</v>
      </c>
      <c r="D866" t="s">
        <v>2024</v>
      </c>
      <c r="E866" t="s">
        <v>2691</v>
      </c>
      <c r="F866" t="s">
        <v>2692</v>
      </c>
      <c r="G866">
        <v>5</v>
      </c>
      <c r="H866">
        <v>1800</v>
      </c>
      <c r="I866">
        <v>3</v>
      </c>
      <c r="J866">
        <v>5.9</v>
      </c>
      <c r="K866">
        <v>5</v>
      </c>
      <c r="L866">
        <v>8.5999999999999993E-2</v>
      </c>
      <c r="M866">
        <v>3</v>
      </c>
      <c r="N866">
        <v>94</v>
      </c>
      <c r="O866">
        <v>2</v>
      </c>
      <c r="P866">
        <v>0.22500000000000001</v>
      </c>
      <c r="Q866">
        <v>3</v>
      </c>
      <c r="R866">
        <v>4.0000000000000001E-3</v>
      </c>
      <c r="T866" s="8" t="s">
        <v>2691</v>
      </c>
    </row>
    <row r="867" spans="1:20" x14ac:dyDescent="0.2">
      <c r="A867" t="s">
        <v>2693</v>
      </c>
      <c r="B867" t="s">
        <v>2022</v>
      </c>
      <c r="C867" t="s">
        <v>2095</v>
      </c>
      <c r="D867" t="s">
        <v>2024</v>
      </c>
      <c r="E867" t="s">
        <v>2694</v>
      </c>
      <c r="F867" t="s">
        <v>2695</v>
      </c>
      <c r="G867">
        <v>4</v>
      </c>
      <c r="H867">
        <v>1835</v>
      </c>
      <c r="I867">
        <v>2</v>
      </c>
      <c r="J867">
        <v>7.5</v>
      </c>
      <c r="K867">
        <v>3</v>
      </c>
      <c r="L867">
        <v>0.33</v>
      </c>
      <c r="M867">
        <v>5</v>
      </c>
      <c r="N867">
        <v>98</v>
      </c>
      <c r="O867">
        <v>3</v>
      </c>
      <c r="P867">
        <v>0.55000000000000004</v>
      </c>
      <c r="Q867">
        <v>3</v>
      </c>
      <c r="R867">
        <v>1.49E-2</v>
      </c>
      <c r="T867" s="8" t="s">
        <v>2694</v>
      </c>
    </row>
    <row r="868" spans="1:20" x14ac:dyDescent="0.2">
      <c r="A868" t="s">
        <v>2696</v>
      </c>
      <c r="B868" t="s">
        <v>2022</v>
      </c>
      <c r="C868" t="s">
        <v>2036</v>
      </c>
      <c r="D868" t="s">
        <v>2024</v>
      </c>
      <c r="E868" t="s">
        <v>2697</v>
      </c>
      <c r="F868" t="s">
        <v>2698</v>
      </c>
      <c r="G868">
        <v>4</v>
      </c>
      <c r="H868">
        <v>1840</v>
      </c>
      <c r="I868">
        <v>5</v>
      </c>
      <c r="J868">
        <v>7</v>
      </c>
      <c r="K868">
        <v>2</v>
      </c>
      <c r="L868">
        <v>8.5000000000000006E-2</v>
      </c>
      <c r="M868">
        <v>3</v>
      </c>
      <c r="N868">
        <v>88</v>
      </c>
      <c r="O868">
        <v>4</v>
      </c>
      <c r="P868">
        <v>0.42499999999999999</v>
      </c>
      <c r="Q868">
        <v>2</v>
      </c>
      <c r="R868">
        <v>4.2500000000000003E-3</v>
      </c>
      <c r="T868" s="8" t="s">
        <v>2697</v>
      </c>
    </row>
    <row r="869" spans="1:20" x14ac:dyDescent="0.2">
      <c r="A869" t="s">
        <v>2699</v>
      </c>
      <c r="B869" t="s">
        <v>2022</v>
      </c>
      <c r="C869" t="s">
        <v>2053</v>
      </c>
      <c r="D869" t="s">
        <v>2024</v>
      </c>
      <c r="E869" t="s">
        <v>2700</v>
      </c>
      <c r="F869" t="s">
        <v>2701</v>
      </c>
      <c r="G869">
        <v>3</v>
      </c>
      <c r="H869">
        <v>1700</v>
      </c>
      <c r="I869">
        <v>2</v>
      </c>
      <c r="J869">
        <v>4.05</v>
      </c>
      <c r="K869">
        <v>1</v>
      </c>
      <c r="L869">
        <v>1.4999999999999999E-2</v>
      </c>
      <c r="M869">
        <v>5</v>
      </c>
      <c r="N869">
        <v>113</v>
      </c>
      <c r="O869">
        <v>3</v>
      </c>
      <c r="P869">
        <v>0.375</v>
      </c>
      <c r="Q869">
        <v>2</v>
      </c>
      <c r="R869">
        <v>5.1999999999999998E-3</v>
      </c>
      <c r="T869" s="8" t="s">
        <v>2700</v>
      </c>
    </row>
    <row r="870" spans="1:20" x14ac:dyDescent="0.2">
      <c r="A870" t="s">
        <v>2702</v>
      </c>
      <c r="B870" t="s">
        <v>2022</v>
      </c>
      <c r="C870" t="s">
        <v>2023</v>
      </c>
      <c r="D870" t="s">
        <v>2024</v>
      </c>
      <c r="E870" t="s">
        <v>2703</v>
      </c>
      <c r="F870" t="s">
        <v>2704</v>
      </c>
      <c r="G870">
        <v>3</v>
      </c>
      <c r="H870">
        <v>1640</v>
      </c>
      <c r="I870">
        <v>1</v>
      </c>
      <c r="J870">
        <v>0.9</v>
      </c>
      <c r="K870">
        <v>2</v>
      </c>
      <c r="L870">
        <v>2.5999999999999999E-2</v>
      </c>
      <c r="M870">
        <v>1</v>
      </c>
      <c r="N870">
        <v>74</v>
      </c>
      <c r="O870">
        <v>1</v>
      </c>
      <c r="P870">
        <v>7.4999999999999997E-2</v>
      </c>
      <c r="Q870">
        <v>1</v>
      </c>
      <c r="R870">
        <v>5.0000000000000001E-4</v>
      </c>
      <c r="T870" s="8" t="s">
        <v>2703</v>
      </c>
    </row>
    <row r="871" spans="1:20" x14ac:dyDescent="0.2">
      <c r="A871" t="s">
        <v>2705</v>
      </c>
      <c r="B871" t="s">
        <v>2022</v>
      </c>
      <c r="C871" t="s">
        <v>2023</v>
      </c>
      <c r="D871" t="s">
        <v>2024</v>
      </c>
      <c r="E871" t="s">
        <v>2706</v>
      </c>
      <c r="F871" t="s">
        <v>2707</v>
      </c>
      <c r="G871">
        <v>1</v>
      </c>
      <c r="H871">
        <v>1480</v>
      </c>
      <c r="I871">
        <v>3</v>
      </c>
      <c r="J871">
        <v>5.9</v>
      </c>
      <c r="K871">
        <v>5</v>
      </c>
      <c r="L871">
        <v>8.5999999999999993E-2</v>
      </c>
      <c r="M871">
        <v>1</v>
      </c>
      <c r="N871">
        <v>74</v>
      </c>
      <c r="O871">
        <v>2</v>
      </c>
      <c r="P871">
        <v>0.22500000000000001</v>
      </c>
      <c r="Q871">
        <v>4</v>
      </c>
      <c r="R871">
        <v>6.0000000000000001E-3</v>
      </c>
      <c r="T871" s="8" t="s">
        <v>2706</v>
      </c>
    </row>
    <row r="872" spans="1:20" x14ac:dyDescent="0.2">
      <c r="A872" t="s">
        <v>2708</v>
      </c>
      <c r="B872" t="s">
        <v>2022</v>
      </c>
      <c r="C872" t="s">
        <v>2023</v>
      </c>
      <c r="D872" t="s">
        <v>2024</v>
      </c>
      <c r="E872" t="s">
        <v>2709</v>
      </c>
      <c r="F872" t="s">
        <v>2710</v>
      </c>
      <c r="G872">
        <v>1</v>
      </c>
      <c r="H872">
        <v>1480</v>
      </c>
      <c r="I872">
        <v>1</v>
      </c>
      <c r="J872">
        <v>0.9</v>
      </c>
      <c r="K872">
        <v>2</v>
      </c>
      <c r="L872">
        <v>2.5999999999999999E-2</v>
      </c>
      <c r="M872">
        <v>5</v>
      </c>
      <c r="N872">
        <v>114</v>
      </c>
      <c r="O872">
        <v>2</v>
      </c>
      <c r="P872">
        <v>0.22500000000000001</v>
      </c>
      <c r="Q872">
        <v>2</v>
      </c>
      <c r="R872">
        <v>2E-3</v>
      </c>
      <c r="T872" s="8" t="s">
        <v>2709</v>
      </c>
    </row>
    <row r="873" spans="1:20" x14ac:dyDescent="0.2">
      <c r="A873" t="s">
        <v>2711</v>
      </c>
      <c r="B873" t="s">
        <v>2022</v>
      </c>
      <c r="C873" t="s">
        <v>2023</v>
      </c>
      <c r="D873" t="s">
        <v>2024</v>
      </c>
      <c r="E873" t="s">
        <v>2712</v>
      </c>
      <c r="F873" t="s">
        <v>2713</v>
      </c>
      <c r="G873">
        <v>1</v>
      </c>
      <c r="H873">
        <v>1480</v>
      </c>
      <c r="I873">
        <v>2</v>
      </c>
      <c r="J873">
        <v>3.4</v>
      </c>
      <c r="K873">
        <v>2</v>
      </c>
      <c r="L873">
        <v>2.5999999999999999E-2</v>
      </c>
      <c r="M873">
        <v>2</v>
      </c>
      <c r="N873">
        <v>84</v>
      </c>
      <c r="O873">
        <v>2</v>
      </c>
      <c r="P873">
        <v>0.22500000000000001</v>
      </c>
      <c r="Q873">
        <v>1</v>
      </c>
      <c r="R873">
        <v>5.0000000000000001E-4</v>
      </c>
      <c r="T873" s="8" t="s">
        <v>2712</v>
      </c>
    </row>
    <row r="874" spans="1:20" x14ac:dyDescent="0.2">
      <c r="A874" t="s">
        <v>2714</v>
      </c>
      <c r="B874" t="s">
        <v>2022</v>
      </c>
      <c r="C874" t="s">
        <v>2053</v>
      </c>
      <c r="D874" t="s">
        <v>2024</v>
      </c>
      <c r="E874" t="s">
        <v>2715</v>
      </c>
      <c r="F874" t="s">
        <v>2716</v>
      </c>
      <c r="G874">
        <v>1</v>
      </c>
      <c r="H874">
        <v>1500</v>
      </c>
      <c r="I874">
        <v>2</v>
      </c>
      <c r="J874">
        <v>4.05</v>
      </c>
      <c r="K874">
        <v>2</v>
      </c>
      <c r="L874">
        <v>8.5000000000000006E-2</v>
      </c>
      <c r="M874">
        <v>3</v>
      </c>
      <c r="N874">
        <v>93</v>
      </c>
      <c r="O874">
        <v>3</v>
      </c>
      <c r="P874">
        <v>0.375</v>
      </c>
      <c r="Q874">
        <v>2</v>
      </c>
      <c r="R874">
        <v>5.1999999999999998E-3</v>
      </c>
      <c r="T874" s="8" t="s">
        <v>2715</v>
      </c>
    </row>
    <row r="875" spans="1:20" x14ac:dyDescent="0.2">
      <c r="A875" t="s">
        <v>2717</v>
      </c>
      <c r="B875" t="s">
        <v>2022</v>
      </c>
      <c r="C875" t="s">
        <v>2023</v>
      </c>
      <c r="D875" t="s">
        <v>2024</v>
      </c>
      <c r="E875" t="s">
        <v>2718</v>
      </c>
      <c r="F875" t="s">
        <v>2719</v>
      </c>
      <c r="G875">
        <v>3</v>
      </c>
      <c r="H875">
        <v>1640</v>
      </c>
      <c r="I875">
        <v>3</v>
      </c>
      <c r="J875">
        <v>5.9</v>
      </c>
      <c r="K875">
        <v>2</v>
      </c>
      <c r="L875">
        <v>2.5999999999999999E-2</v>
      </c>
      <c r="M875">
        <v>1</v>
      </c>
      <c r="N875">
        <v>74</v>
      </c>
      <c r="O875">
        <v>2</v>
      </c>
      <c r="P875">
        <v>0.22500000000000001</v>
      </c>
      <c r="Q875">
        <v>2</v>
      </c>
      <c r="R875">
        <v>2E-3</v>
      </c>
      <c r="T875" s="8" t="s">
        <v>2718</v>
      </c>
    </row>
    <row r="876" spans="1:20" x14ac:dyDescent="0.2">
      <c r="A876" t="s">
        <v>2720</v>
      </c>
      <c r="B876" t="s">
        <v>2022</v>
      </c>
      <c r="C876" t="s">
        <v>2036</v>
      </c>
      <c r="D876" t="s">
        <v>2024</v>
      </c>
      <c r="E876" t="s">
        <v>2721</v>
      </c>
      <c r="F876" t="s">
        <v>2722</v>
      </c>
      <c r="G876">
        <v>1</v>
      </c>
      <c r="H876">
        <v>1540</v>
      </c>
      <c r="I876">
        <v>2</v>
      </c>
      <c r="J876">
        <v>3.4</v>
      </c>
      <c r="K876">
        <v>2</v>
      </c>
      <c r="L876">
        <v>8.5000000000000006E-2</v>
      </c>
      <c r="M876">
        <v>1</v>
      </c>
      <c r="N876">
        <v>76</v>
      </c>
      <c r="O876">
        <v>1</v>
      </c>
      <c r="P876">
        <v>9.5000000000000001E-2</v>
      </c>
      <c r="Q876">
        <v>2</v>
      </c>
      <c r="R876">
        <v>4.2500000000000003E-3</v>
      </c>
      <c r="T876" s="8" t="s">
        <v>2721</v>
      </c>
    </row>
    <row r="877" spans="1:20" x14ac:dyDescent="0.2">
      <c r="A877" t="s">
        <v>2723</v>
      </c>
      <c r="B877" t="s">
        <v>2022</v>
      </c>
      <c r="C877" t="s">
        <v>2023</v>
      </c>
      <c r="D877" t="s">
        <v>2024</v>
      </c>
      <c r="E877" t="s">
        <v>2724</v>
      </c>
      <c r="F877" t="s">
        <v>2725</v>
      </c>
      <c r="G877">
        <v>3</v>
      </c>
      <c r="H877">
        <v>1640</v>
      </c>
      <c r="I877">
        <v>2</v>
      </c>
      <c r="J877">
        <v>3.4</v>
      </c>
      <c r="K877">
        <v>3</v>
      </c>
      <c r="L877">
        <v>4.5999999999999999E-2</v>
      </c>
      <c r="M877">
        <v>1</v>
      </c>
      <c r="N877">
        <v>74</v>
      </c>
      <c r="O877">
        <v>2</v>
      </c>
      <c r="P877">
        <v>0.22500000000000001</v>
      </c>
      <c r="Q877">
        <v>2</v>
      </c>
      <c r="R877">
        <v>2E-3</v>
      </c>
      <c r="T877" s="8" t="s">
        <v>2724</v>
      </c>
    </row>
    <row r="878" spans="1:20" x14ac:dyDescent="0.2">
      <c r="A878" t="s">
        <v>2726</v>
      </c>
      <c r="B878" t="s">
        <v>2022</v>
      </c>
      <c r="C878" t="s">
        <v>2023</v>
      </c>
      <c r="D878" t="s">
        <v>2024</v>
      </c>
      <c r="E878" t="s">
        <v>2727</v>
      </c>
      <c r="F878" t="s">
        <v>2728</v>
      </c>
      <c r="G878">
        <v>5</v>
      </c>
      <c r="H878">
        <v>1800</v>
      </c>
      <c r="I878">
        <v>3</v>
      </c>
      <c r="J878">
        <v>5.9</v>
      </c>
      <c r="K878">
        <v>5</v>
      </c>
      <c r="L878">
        <v>8.5999999999999993E-2</v>
      </c>
      <c r="M878">
        <v>3</v>
      </c>
      <c r="N878">
        <v>94</v>
      </c>
      <c r="O878">
        <v>3</v>
      </c>
      <c r="P878">
        <v>0.375</v>
      </c>
      <c r="Q878">
        <v>5</v>
      </c>
      <c r="R878">
        <v>8.0000000000000002E-3</v>
      </c>
      <c r="T878" s="8" t="s">
        <v>2727</v>
      </c>
    </row>
    <row r="879" spans="1:20" x14ac:dyDescent="0.2">
      <c r="A879" t="s">
        <v>2729</v>
      </c>
      <c r="B879" t="s">
        <v>2022</v>
      </c>
      <c r="C879" t="s">
        <v>2053</v>
      </c>
      <c r="D879" t="s">
        <v>2024</v>
      </c>
      <c r="E879" t="s">
        <v>2730</v>
      </c>
      <c r="F879" t="s">
        <v>2731</v>
      </c>
      <c r="G879">
        <v>1</v>
      </c>
      <c r="H879">
        <v>1500</v>
      </c>
      <c r="I879">
        <v>5</v>
      </c>
      <c r="J879">
        <v>11.55</v>
      </c>
      <c r="K879">
        <v>5</v>
      </c>
      <c r="L879">
        <v>0.41499999999999998</v>
      </c>
      <c r="M879">
        <v>5</v>
      </c>
      <c r="N879">
        <v>113</v>
      </c>
      <c r="O879">
        <v>5</v>
      </c>
      <c r="P879">
        <v>0.67500000000000004</v>
      </c>
      <c r="Q879">
        <v>5</v>
      </c>
      <c r="R879">
        <v>2.6200000000000001E-2</v>
      </c>
      <c r="T879" s="8" t="s">
        <v>2730</v>
      </c>
    </row>
    <row r="880" spans="1:20" x14ac:dyDescent="0.2">
      <c r="A880" t="s">
        <v>2732</v>
      </c>
      <c r="B880" t="s">
        <v>2022</v>
      </c>
      <c r="C880" t="s">
        <v>2053</v>
      </c>
      <c r="D880" t="s">
        <v>2024</v>
      </c>
      <c r="E880" t="s">
        <v>2733</v>
      </c>
      <c r="F880" t="s">
        <v>2734</v>
      </c>
      <c r="G880">
        <v>5</v>
      </c>
      <c r="H880">
        <v>1900</v>
      </c>
      <c r="I880">
        <v>5</v>
      </c>
      <c r="J880">
        <v>11.55</v>
      </c>
      <c r="K880">
        <v>5</v>
      </c>
      <c r="L880">
        <v>0.41499999999999998</v>
      </c>
      <c r="M880">
        <v>2</v>
      </c>
      <c r="N880">
        <v>83</v>
      </c>
      <c r="O880">
        <v>5</v>
      </c>
      <c r="P880">
        <v>0.67500000000000004</v>
      </c>
      <c r="Q880">
        <v>5</v>
      </c>
      <c r="R880">
        <v>2.6200000000000001E-2</v>
      </c>
      <c r="T880" s="8" t="s">
        <v>2733</v>
      </c>
    </row>
    <row r="881" spans="1:20" x14ac:dyDescent="0.2">
      <c r="A881" t="s">
        <v>2735</v>
      </c>
      <c r="B881" t="s">
        <v>2022</v>
      </c>
      <c r="C881" t="s">
        <v>2053</v>
      </c>
      <c r="D881" t="s">
        <v>2024</v>
      </c>
      <c r="E881" t="s">
        <v>2736</v>
      </c>
      <c r="F881" t="s">
        <v>447</v>
      </c>
      <c r="G881">
        <v>5</v>
      </c>
      <c r="H881">
        <v>1900</v>
      </c>
      <c r="I881">
        <v>4</v>
      </c>
      <c r="J881">
        <v>9.0500000000000007</v>
      </c>
      <c r="K881">
        <v>2</v>
      </c>
      <c r="L881">
        <v>8.5000000000000006E-2</v>
      </c>
      <c r="M881">
        <v>1</v>
      </c>
      <c r="N881">
        <v>73</v>
      </c>
      <c r="O881">
        <v>2</v>
      </c>
      <c r="P881">
        <v>0.22500000000000001</v>
      </c>
      <c r="Q881">
        <v>2</v>
      </c>
      <c r="R881">
        <v>5.1999999999999998E-3</v>
      </c>
      <c r="T881" s="8" t="s">
        <v>2736</v>
      </c>
    </row>
    <row r="882" spans="1:20" x14ac:dyDescent="0.2">
      <c r="A882" t="s">
        <v>2737</v>
      </c>
      <c r="B882" t="s">
        <v>2022</v>
      </c>
      <c r="C882" t="s">
        <v>2036</v>
      </c>
      <c r="D882" t="s">
        <v>2024</v>
      </c>
      <c r="E882" t="s">
        <v>2738</v>
      </c>
      <c r="F882" t="s">
        <v>2739</v>
      </c>
      <c r="G882">
        <v>2</v>
      </c>
      <c r="H882">
        <v>1640</v>
      </c>
      <c r="I882">
        <v>2</v>
      </c>
      <c r="J882">
        <v>3.4</v>
      </c>
      <c r="K882">
        <v>2</v>
      </c>
      <c r="L882">
        <v>8.5000000000000006E-2</v>
      </c>
      <c r="M882">
        <v>2</v>
      </c>
      <c r="N882">
        <v>82</v>
      </c>
      <c r="O882">
        <v>2</v>
      </c>
      <c r="P882">
        <v>0.20499999999999999</v>
      </c>
      <c r="Q882">
        <v>2</v>
      </c>
      <c r="R882">
        <v>4.2500000000000003E-3</v>
      </c>
      <c r="T882" s="8" t="s">
        <v>2738</v>
      </c>
    </row>
    <row r="883" spans="1:20" x14ac:dyDescent="0.2">
      <c r="A883" t="s">
        <v>2740</v>
      </c>
      <c r="B883" t="s">
        <v>2022</v>
      </c>
      <c r="C883" t="s">
        <v>2023</v>
      </c>
      <c r="D883" t="s">
        <v>2024</v>
      </c>
      <c r="E883" t="s">
        <v>2741</v>
      </c>
      <c r="F883" t="s">
        <v>2742</v>
      </c>
      <c r="G883">
        <v>2</v>
      </c>
      <c r="H883">
        <v>1560</v>
      </c>
      <c r="I883">
        <v>2</v>
      </c>
      <c r="J883">
        <v>3.4</v>
      </c>
      <c r="K883">
        <v>2</v>
      </c>
      <c r="L883">
        <v>2.5999999999999999E-2</v>
      </c>
      <c r="M883">
        <v>3</v>
      </c>
      <c r="N883">
        <v>94</v>
      </c>
      <c r="O883">
        <v>2</v>
      </c>
      <c r="P883">
        <v>0.22500000000000001</v>
      </c>
      <c r="Q883">
        <v>2</v>
      </c>
      <c r="R883">
        <v>2E-3</v>
      </c>
      <c r="T883" s="8" t="s">
        <v>2741</v>
      </c>
    </row>
    <row r="884" spans="1:20" x14ac:dyDescent="0.2">
      <c r="A884" t="s">
        <v>2743</v>
      </c>
      <c r="B884" t="s">
        <v>2022</v>
      </c>
      <c r="C884" t="s">
        <v>2036</v>
      </c>
      <c r="D884" t="s">
        <v>2024</v>
      </c>
      <c r="E884" t="s">
        <v>2744</v>
      </c>
      <c r="F884" t="s">
        <v>2745</v>
      </c>
      <c r="G884">
        <v>4</v>
      </c>
      <c r="H884">
        <v>1840</v>
      </c>
      <c r="I884">
        <v>3</v>
      </c>
      <c r="J884">
        <v>4.5999999999999996</v>
      </c>
      <c r="K884">
        <v>5</v>
      </c>
      <c r="L884">
        <v>0.17499999999999999</v>
      </c>
      <c r="M884">
        <v>4</v>
      </c>
      <c r="N884">
        <v>94</v>
      </c>
      <c r="O884">
        <v>2</v>
      </c>
      <c r="P884">
        <v>0.20499999999999999</v>
      </c>
      <c r="Q884">
        <v>4</v>
      </c>
      <c r="R884">
        <v>9.2499999999999995E-3</v>
      </c>
      <c r="T884" s="8" t="s">
        <v>2744</v>
      </c>
    </row>
    <row r="885" spans="1:20" x14ac:dyDescent="0.2">
      <c r="A885" t="s">
        <v>2746</v>
      </c>
      <c r="B885" t="s">
        <v>2022</v>
      </c>
      <c r="C885" t="s">
        <v>2023</v>
      </c>
      <c r="D885" t="s">
        <v>2024</v>
      </c>
      <c r="E885" t="s">
        <v>2747</v>
      </c>
      <c r="F885" t="s">
        <v>2748</v>
      </c>
      <c r="G885">
        <v>5</v>
      </c>
      <c r="H885">
        <v>1800</v>
      </c>
      <c r="I885">
        <v>5</v>
      </c>
      <c r="J885">
        <v>10.9</v>
      </c>
      <c r="K885">
        <v>5</v>
      </c>
      <c r="L885">
        <v>8.5999999999999993E-2</v>
      </c>
      <c r="M885">
        <v>3</v>
      </c>
      <c r="N885">
        <v>94</v>
      </c>
      <c r="O885">
        <v>4</v>
      </c>
      <c r="P885">
        <v>0.52500000000000002</v>
      </c>
      <c r="Q885">
        <v>5</v>
      </c>
      <c r="R885">
        <v>8.0000000000000002E-3</v>
      </c>
      <c r="T885" s="8" t="s">
        <v>2747</v>
      </c>
    </row>
    <row r="886" spans="1:20" x14ac:dyDescent="0.2">
      <c r="A886" t="s">
        <v>2749</v>
      </c>
      <c r="B886" t="s">
        <v>2022</v>
      </c>
      <c r="C886" t="s">
        <v>2101</v>
      </c>
      <c r="D886" t="s">
        <v>2024</v>
      </c>
      <c r="E886" t="s">
        <v>2750</v>
      </c>
      <c r="F886" t="s">
        <v>2751</v>
      </c>
      <c r="G886">
        <v>5</v>
      </c>
      <c r="H886">
        <v>1970</v>
      </c>
      <c r="I886">
        <v>2</v>
      </c>
      <c r="J886">
        <v>5</v>
      </c>
      <c r="K886">
        <v>3</v>
      </c>
      <c r="L886">
        <v>0.24349999999999999</v>
      </c>
      <c r="M886">
        <v>5</v>
      </c>
      <c r="N886">
        <v>98</v>
      </c>
      <c r="O886">
        <v>2</v>
      </c>
      <c r="P886">
        <v>0.22500000000000001</v>
      </c>
      <c r="Q886">
        <v>2</v>
      </c>
      <c r="R886">
        <v>4.4999999999999997E-3</v>
      </c>
      <c r="T886" s="8" t="s">
        <v>2750</v>
      </c>
    </row>
    <row r="887" spans="1:20" x14ac:dyDescent="0.2">
      <c r="A887" t="s">
        <v>2752</v>
      </c>
      <c r="B887" t="s">
        <v>2022</v>
      </c>
      <c r="C887" t="s">
        <v>2023</v>
      </c>
      <c r="D887" t="s">
        <v>2024</v>
      </c>
      <c r="E887" t="s">
        <v>2753</v>
      </c>
      <c r="F887" t="s">
        <v>2754</v>
      </c>
      <c r="G887">
        <v>4</v>
      </c>
      <c r="H887">
        <v>1720</v>
      </c>
      <c r="I887">
        <v>3</v>
      </c>
      <c r="J887">
        <v>5.9</v>
      </c>
      <c r="K887">
        <v>2</v>
      </c>
      <c r="L887">
        <v>2.5999999999999999E-2</v>
      </c>
      <c r="M887">
        <v>3</v>
      </c>
      <c r="N887">
        <v>94</v>
      </c>
      <c r="O887">
        <v>2</v>
      </c>
      <c r="P887">
        <v>0.22500000000000001</v>
      </c>
      <c r="Q887">
        <v>2</v>
      </c>
      <c r="R887">
        <v>2E-3</v>
      </c>
      <c r="T887" s="8" t="s">
        <v>2753</v>
      </c>
    </row>
    <row r="888" spans="1:20" x14ac:dyDescent="0.2">
      <c r="A888" t="s">
        <v>2755</v>
      </c>
      <c r="B888" t="s">
        <v>2022</v>
      </c>
      <c r="C888" t="s">
        <v>2053</v>
      </c>
      <c r="D888" t="s">
        <v>2136</v>
      </c>
      <c r="E888" t="s">
        <v>2756</v>
      </c>
      <c r="F888" t="s">
        <v>2757</v>
      </c>
      <c r="G888">
        <v>2</v>
      </c>
      <c r="H888">
        <v>1600</v>
      </c>
      <c r="I888">
        <v>1</v>
      </c>
      <c r="J888">
        <v>1.55</v>
      </c>
      <c r="K888">
        <v>1</v>
      </c>
      <c r="L888">
        <v>1.4999999999999999E-2</v>
      </c>
      <c r="M888">
        <v>4</v>
      </c>
      <c r="N888">
        <v>103</v>
      </c>
      <c r="O888">
        <v>1</v>
      </c>
      <c r="P888">
        <v>7.4999999999999997E-2</v>
      </c>
      <c r="Q888">
        <v>1</v>
      </c>
      <c r="R888">
        <v>8.4999999999999995E-4</v>
      </c>
      <c r="T888" s="8" t="s">
        <v>2756</v>
      </c>
    </row>
    <row r="889" spans="1:20" x14ac:dyDescent="0.2">
      <c r="A889" t="s">
        <v>2758</v>
      </c>
      <c r="B889" t="s">
        <v>2022</v>
      </c>
      <c r="C889" t="s">
        <v>2101</v>
      </c>
      <c r="D889" t="s">
        <v>2024</v>
      </c>
      <c r="E889" t="s">
        <v>286</v>
      </c>
      <c r="F889" t="s">
        <v>2759</v>
      </c>
      <c r="G889">
        <v>2</v>
      </c>
      <c r="H889">
        <v>1670</v>
      </c>
      <c r="I889">
        <v>2</v>
      </c>
      <c r="J889">
        <v>5</v>
      </c>
      <c r="K889">
        <v>2</v>
      </c>
      <c r="L889">
        <v>9.6500000000000002E-2</v>
      </c>
      <c r="M889">
        <v>4</v>
      </c>
      <c r="N889">
        <v>90</v>
      </c>
      <c r="O889">
        <v>3</v>
      </c>
      <c r="P889">
        <v>0.375</v>
      </c>
      <c r="Q889">
        <v>2</v>
      </c>
      <c r="R889">
        <v>4.4999999999999997E-3</v>
      </c>
      <c r="T889" s="8" t="s">
        <v>286</v>
      </c>
    </row>
    <row r="890" spans="1:20" x14ac:dyDescent="0.2">
      <c r="A890" t="s">
        <v>2760</v>
      </c>
      <c r="B890" t="s">
        <v>2022</v>
      </c>
      <c r="C890" t="s">
        <v>2036</v>
      </c>
      <c r="D890" t="s">
        <v>2024</v>
      </c>
      <c r="E890" t="s">
        <v>2761</v>
      </c>
      <c r="F890" t="s">
        <v>2762</v>
      </c>
      <c r="G890">
        <v>1</v>
      </c>
      <c r="H890">
        <v>1540</v>
      </c>
      <c r="I890">
        <v>1</v>
      </c>
      <c r="J890">
        <v>2.2000000000000002</v>
      </c>
      <c r="K890">
        <v>1</v>
      </c>
      <c r="L890">
        <v>5.5E-2</v>
      </c>
      <c r="M890">
        <v>1</v>
      </c>
      <c r="N890">
        <v>76</v>
      </c>
      <c r="O890">
        <v>1</v>
      </c>
      <c r="P890">
        <v>9.5000000000000001E-2</v>
      </c>
      <c r="Q890">
        <v>1</v>
      </c>
      <c r="R890">
        <v>1.5E-3</v>
      </c>
      <c r="T890" s="8" t="s">
        <v>2761</v>
      </c>
    </row>
    <row r="891" spans="1:20" x14ac:dyDescent="0.2">
      <c r="A891" t="s">
        <v>2763</v>
      </c>
      <c r="B891" t="s">
        <v>2022</v>
      </c>
      <c r="C891" t="s">
        <v>2023</v>
      </c>
      <c r="D891" t="s">
        <v>2024</v>
      </c>
      <c r="E891" t="s">
        <v>2764</v>
      </c>
      <c r="F891" t="s">
        <v>2765</v>
      </c>
      <c r="G891">
        <v>3</v>
      </c>
      <c r="H891">
        <v>1640</v>
      </c>
      <c r="I891">
        <v>1</v>
      </c>
      <c r="J891">
        <v>0.9</v>
      </c>
      <c r="K891">
        <v>2</v>
      </c>
      <c r="L891">
        <v>2.5999999999999999E-2</v>
      </c>
      <c r="M891">
        <v>2</v>
      </c>
      <c r="N891">
        <v>84</v>
      </c>
      <c r="O891">
        <v>1</v>
      </c>
      <c r="P891">
        <v>7.4999999999999997E-2</v>
      </c>
      <c r="Q891">
        <v>2</v>
      </c>
      <c r="R891">
        <v>2E-3</v>
      </c>
      <c r="T891" s="8" t="s">
        <v>2764</v>
      </c>
    </row>
    <row r="892" spans="1:20" x14ac:dyDescent="0.2">
      <c r="A892" t="s">
        <v>2766</v>
      </c>
      <c r="B892" t="s">
        <v>2022</v>
      </c>
      <c r="C892" t="s">
        <v>2053</v>
      </c>
      <c r="D892" t="s">
        <v>2024</v>
      </c>
      <c r="E892" t="s">
        <v>2767</v>
      </c>
      <c r="F892" t="s">
        <v>2768</v>
      </c>
      <c r="G892">
        <v>4</v>
      </c>
      <c r="H892">
        <v>1800</v>
      </c>
      <c r="I892">
        <v>4</v>
      </c>
      <c r="J892">
        <v>9.0500000000000007</v>
      </c>
      <c r="K892">
        <v>4</v>
      </c>
      <c r="L892">
        <v>0.30499999999999999</v>
      </c>
      <c r="M892">
        <v>3</v>
      </c>
      <c r="N892">
        <v>93</v>
      </c>
      <c r="O892">
        <v>4</v>
      </c>
      <c r="P892">
        <v>0.52500000000000002</v>
      </c>
      <c r="Q892">
        <v>3</v>
      </c>
      <c r="R892">
        <v>1.2200000000000001E-2</v>
      </c>
      <c r="T892" s="8" t="s">
        <v>2767</v>
      </c>
    </row>
    <row r="893" spans="1:20" x14ac:dyDescent="0.2">
      <c r="A893" t="s">
        <v>2769</v>
      </c>
      <c r="B893" t="s">
        <v>2022</v>
      </c>
      <c r="C893" t="s">
        <v>2036</v>
      </c>
      <c r="D893" t="s">
        <v>2024</v>
      </c>
      <c r="E893" t="s">
        <v>2770</v>
      </c>
      <c r="F893" t="s">
        <v>2771</v>
      </c>
      <c r="G893">
        <v>1</v>
      </c>
      <c r="H893">
        <v>1540</v>
      </c>
      <c r="I893">
        <v>1</v>
      </c>
      <c r="J893">
        <v>2.2000000000000002</v>
      </c>
      <c r="K893">
        <v>1</v>
      </c>
      <c r="L893">
        <v>5.5E-2</v>
      </c>
      <c r="M893">
        <v>4</v>
      </c>
      <c r="N893">
        <v>94</v>
      </c>
      <c r="O893">
        <v>1</v>
      </c>
      <c r="P893">
        <v>9.5000000000000001E-2</v>
      </c>
      <c r="Q893">
        <v>2</v>
      </c>
      <c r="R893">
        <v>4.2500000000000003E-3</v>
      </c>
      <c r="T893" s="8" t="s">
        <v>2770</v>
      </c>
    </row>
    <row r="894" spans="1:20" x14ac:dyDescent="0.2">
      <c r="A894" t="s">
        <v>2772</v>
      </c>
      <c r="B894" t="s">
        <v>2022</v>
      </c>
      <c r="C894" t="s">
        <v>2023</v>
      </c>
      <c r="D894" t="s">
        <v>2024</v>
      </c>
      <c r="E894" t="s">
        <v>2773</v>
      </c>
      <c r="F894" t="s">
        <v>2774</v>
      </c>
      <c r="G894">
        <v>3</v>
      </c>
      <c r="H894">
        <v>1640</v>
      </c>
      <c r="I894">
        <v>2</v>
      </c>
      <c r="J894">
        <v>3.4</v>
      </c>
      <c r="K894">
        <v>5</v>
      </c>
      <c r="L894">
        <v>8.5999999999999993E-2</v>
      </c>
      <c r="M894">
        <v>3</v>
      </c>
      <c r="N894">
        <v>94</v>
      </c>
      <c r="O894">
        <v>2</v>
      </c>
      <c r="P894">
        <v>0.22500000000000001</v>
      </c>
      <c r="Q894">
        <v>5</v>
      </c>
      <c r="R894">
        <v>8.0000000000000002E-3</v>
      </c>
      <c r="T894" s="8" t="s">
        <v>2773</v>
      </c>
    </row>
    <row r="895" spans="1:20" x14ac:dyDescent="0.2">
      <c r="A895" t="s">
        <v>2775</v>
      </c>
      <c r="B895" t="s">
        <v>2022</v>
      </c>
      <c r="C895" t="s">
        <v>2023</v>
      </c>
      <c r="D895" t="s">
        <v>2024</v>
      </c>
      <c r="E895" t="s">
        <v>2776</v>
      </c>
      <c r="F895" t="s">
        <v>2777</v>
      </c>
      <c r="G895">
        <v>2</v>
      </c>
      <c r="H895">
        <v>1560</v>
      </c>
      <c r="I895">
        <v>2</v>
      </c>
      <c r="J895">
        <v>3.4</v>
      </c>
      <c r="K895">
        <v>5</v>
      </c>
      <c r="L895">
        <v>8.5999999999999993E-2</v>
      </c>
      <c r="M895">
        <v>4</v>
      </c>
      <c r="N895">
        <v>104</v>
      </c>
      <c r="O895">
        <v>2</v>
      </c>
      <c r="P895">
        <v>0.22500000000000001</v>
      </c>
      <c r="Q895">
        <v>5</v>
      </c>
      <c r="R895">
        <v>8.0000000000000002E-3</v>
      </c>
      <c r="T895" s="8" t="s">
        <v>2776</v>
      </c>
    </row>
    <row r="896" spans="1:20" x14ac:dyDescent="0.2">
      <c r="A896" t="s">
        <v>2778</v>
      </c>
      <c r="B896" t="s">
        <v>2022</v>
      </c>
      <c r="C896" t="s">
        <v>2101</v>
      </c>
      <c r="D896" t="s">
        <v>2024</v>
      </c>
      <c r="E896" t="s">
        <v>2779</v>
      </c>
      <c r="F896" t="s">
        <v>2780</v>
      </c>
      <c r="G896">
        <v>2</v>
      </c>
      <c r="H896">
        <v>1670</v>
      </c>
      <c r="I896">
        <v>1</v>
      </c>
      <c r="J896">
        <v>2</v>
      </c>
      <c r="K896">
        <v>1</v>
      </c>
      <c r="L896">
        <v>1.15E-2</v>
      </c>
      <c r="M896">
        <v>2</v>
      </c>
      <c r="N896">
        <v>74</v>
      </c>
      <c r="O896">
        <v>1</v>
      </c>
      <c r="P896">
        <v>7.4999999999999997E-2</v>
      </c>
      <c r="Q896">
        <v>1</v>
      </c>
      <c r="R896">
        <v>5.0000000000000001E-4</v>
      </c>
      <c r="T896" s="8" t="s">
        <v>2779</v>
      </c>
    </row>
    <row r="897" spans="1:20" x14ac:dyDescent="0.2">
      <c r="A897" t="s">
        <v>2781</v>
      </c>
      <c r="B897" t="s">
        <v>2022</v>
      </c>
      <c r="C897" t="s">
        <v>2095</v>
      </c>
      <c r="D897" t="s">
        <v>2024</v>
      </c>
      <c r="E897" t="s">
        <v>2782</v>
      </c>
      <c r="F897" t="s">
        <v>2783</v>
      </c>
      <c r="G897">
        <v>5</v>
      </c>
      <c r="H897">
        <v>1925</v>
      </c>
      <c r="I897">
        <v>2</v>
      </c>
      <c r="J897">
        <v>7.5</v>
      </c>
      <c r="K897">
        <v>1</v>
      </c>
      <c r="L897">
        <v>1.4999999999999999E-2</v>
      </c>
      <c r="M897">
        <v>3</v>
      </c>
      <c r="N897">
        <v>86</v>
      </c>
      <c r="O897">
        <v>2</v>
      </c>
      <c r="P897">
        <v>0.35</v>
      </c>
      <c r="Q897">
        <v>1</v>
      </c>
      <c r="R897">
        <v>6.9999999999999999E-4</v>
      </c>
      <c r="T897" s="8" t="s">
        <v>2782</v>
      </c>
    </row>
    <row r="898" spans="1:20" x14ac:dyDescent="0.2">
      <c r="A898" t="s">
        <v>2784</v>
      </c>
      <c r="B898" t="s">
        <v>2022</v>
      </c>
      <c r="C898" t="s">
        <v>2023</v>
      </c>
      <c r="D898" t="s">
        <v>2024</v>
      </c>
      <c r="E898" t="s">
        <v>2785</v>
      </c>
      <c r="F898" t="s">
        <v>2786</v>
      </c>
      <c r="G898">
        <v>2</v>
      </c>
      <c r="H898">
        <v>1560</v>
      </c>
      <c r="I898">
        <v>4</v>
      </c>
      <c r="J898">
        <v>8.4</v>
      </c>
      <c r="K898">
        <v>5</v>
      </c>
      <c r="L898">
        <v>8.5999999999999993E-2</v>
      </c>
      <c r="M898">
        <v>3</v>
      </c>
      <c r="N898">
        <v>94</v>
      </c>
      <c r="O898">
        <v>4</v>
      </c>
      <c r="P898">
        <v>0.52500000000000002</v>
      </c>
      <c r="Q898">
        <v>5</v>
      </c>
      <c r="R898">
        <v>8.0000000000000002E-3</v>
      </c>
      <c r="T898" s="8" t="s">
        <v>2785</v>
      </c>
    </row>
    <row r="899" spans="1:20" x14ac:dyDescent="0.2">
      <c r="A899" t="s">
        <v>2787</v>
      </c>
      <c r="B899" t="s">
        <v>2022</v>
      </c>
      <c r="C899" t="s">
        <v>2023</v>
      </c>
      <c r="D899" t="s">
        <v>2024</v>
      </c>
      <c r="E899" t="s">
        <v>2788</v>
      </c>
      <c r="F899" t="s">
        <v>2789</v>
      </c>
      <c r="G899">
        <v>3</v>
      </c>
      <c r="H899">
        <v>1640</v>
      </c>
      <c r="I899">
        <v>4</v>
      </c>
      <c r="J899">
        <v>8.4</v>
      </c>
      <c r="K899">
        <v>5</v>
      </c>
      <c r="L899">
        <v>8.5999999999999993E-2</v>
      </c>
      <c r="M899">
        <v>2</v>
      </c>
      <c r="N899">
        <v>84</v>
      </c>
      <c r="O899">
        <v>3</v>
      </c>
      <c r="P899">
        <v>0.375</v>
      </c>
      <c r="Q899">
        <v>5</v>
      </c>
      <c r="R899">
        <v>8.0000000000000002E-3</v>
      </c>
      <c r="T899" s="8" t="s">
        <v>2788</v>
      </c>
    </row>
    <row r="900" spans="1:20" x14ac:dyDescent="0.2">
      <c r="A900" t="s">
        <v>2790</v>
      </c>
      <c r="B900" t="s">
        <v>2022</v>
      </c>
      <c r="C900" t="s">
        <v>2023</v>
      </c>
      <c r="D900" t="s">
        <v>2024</v>
      </c>
      <c r="E900" t="s">
        <v>2791</v>
      </c>
      <c r="F900" t="s">
        <v>2792</v>
      </c>
      <c r="G900">
        <v>5</v>
      </c>
      <c r="H900">
        <v>1800</v>
      </c>
      <c r="I900">
        <v>3</v>
      </c>
      <c r="J900">
        <v>5.9</v>
      </c>
      <c r="K900">
        <v>5</v>
      </c>
      <c r="L900">
        <v>8.5999999999999993E-2</v>
      </c>
      <c r="M900">
        <v>3</v>
      </c>
      <c r="N900">
        <v>94</v>
      </c>
      <c r="O900">
        <v>3</v>
      </c>
      <c r="P900">
        <v>0.375</v>
      </c>
      <c r="Q900">
        <v>5</v>
      </c>
      <c r="R900">
        <v>8.0000000000000002E-3</v>
      </c>
      <c r="T900" s="8" t="s">
        <v>2791</v>
      </c>
    </row>
    <row r="901" spans="1:20" x14ac:dyDescent="0.2">
      <c r="A901" t="s">
        <v>2793</v>
      </c>
      <c r="B901" t="s">
        <v>2022</v>
      </c>
      <c r="C901" t="s">
        <v>2023</v>
      </c>
      <c r="D901" t="s">
        <v>2024</v>
      </c>
      <c r="E901" t="s">
        <v>595</v>
      </c>
      <c r="F901" t="s">
        <v>2794</v>
      </c>
      <c r="G901">
        <v>5</v>
      </c>
      <c r="H901">
        <v>1800</v>
      </c>
      <c r="I901">
        <v>2</v>
      </c>
      <c r="J901">
        <v>3.4</v>
      </c>
      <c r="K901">
        <v>3</v>
      </c>
      <c r="L901">
        <v>4.5999999999999999E-2</v>
      </c>
      <c r="M901">
        <v>2</v>
      </c>
      <c r="N901">
        <v>84</v>
      </c>
      <c r="O901">
        <v>2</v>
      </c>
      <c r="P901">
        <v>0.22500000000000001</v>
      </c>
      <c r="Q901">
        <v>2</v>
      </c>
      <c r="R901">
        <v>2E-3</v>
      </c>
      <c r="T901" s="8" t="s">
        <v>595</v>
      </c>
    </row>
    <row r="902" spans="1:20" x14ac:dyDescent="0.2">
      <c r="A902" t="s">
        <v>2795</v>
      </c>
      <c r="B902" t="s">
        <v>2022</v>
      </c>
      <c r="C902" t="s">
        <v>2053</v>
      </c>
      <c r="D902" t="s">
        <v>2136</v>
      </c>
      <c r="E902" t="s">
        <v>357</v>
      </c>
      <c r="F902" t="s">
        <v>447</v>
      </c>
      <c r="G902">
        <v>4</v>
      </c>
      <c r="H902">
        <v>1800</v>
      </c>
      <c r="I902">
        <v>5</v>
      </c>
      <c r="J902">
        <v>11.55</v>
      </c>
      <c r="K902">
        <v>4</v>
      </c>
      <c r="L902">
        <v>0.30499999999999999</v>
      </c>
      <c r="M902">
        <v>3</v>
      </c>
      <c r="N902">
        <v>93</v>
      </c>
      <c r="O902">
        <v>5</v>
      </c>
      <c r="P902">
        <v>0.67500000000000004</v>
      </c>
      <c r="Q902">
        <v>4</v>
      </c>
      <c r="R902">
        <v>1.9199999999999998E-2</v>
      </c>
      <c r="T902" s="8" t="s">
        <v>357</v>
      </c>
    </row>
    <row r="903" spans="1:20" x14ac:dyDescent="0.2">
      <c r="A903" t="s">
        <v>2796</v>
      </c>
      <c r="B903" t="s">
        <v>2022</v>
      </c>
      <c r="C903" t="s">
        <v>2023</v>
      </c>
      <c r="D903" t="s">
        <v>2024</v>
      </c>
      <c r="E903" t="s">
        <v>2797</v>
      </c>
      <c r="F903" t="s">
        <v>2798</v>
      </c>
      <c r="G903">
        <v>2</v>
      </c>
      <c r="H903">
        <v>1560</v>
      </c>
      <c r="I903">
        <v>2</v>
      </c>
      <c r="J903">
        <v>3.4</v>
      </c>
      <c r="K903">
        <v>3</v>
      </c>
      <c r="L903">
        <v>4.5999999999999999E-2</v>
      </c>
      <c r="M903">
        <v>1</v>
      </c>
      <c r="N903">
        <v>74</v>
      </c>
      <c r="O903">
        <v>2</v>
      </c>
      <c r="P903">
        <v>0.22500000000000001</v>
      </c>
      <c r="Q903">
        <v>2</v>
      </c>
      <c r="R903">
        <v>2E-3</v>
      </c>
      <c r="T903" s="8" t="s">
        <v>2797</v>
      </c>
    </row>
    <row r="904" spans="1:20" x14ac:dyDescent="0.2">
      <c r="A904" t="s">
        <v>2799</v>
      </c>
      <c r="B904" t="s">
        <v>2022</v>
      </c>
      <c r="C904" t="s">
        <v>2053</v>
      </c>
      <c r="D904" t="s">
        <v>2024</v>
      </c>
      <c r="E904" t="s">
        <v>2800</v>
      </c>
      <c r="F904" t="s">
        <v>2801</v>
      </c>
      <c r="G904">
        <v>3</v>
      </c>
      <c r="H904">
        <v>1700</v>
      </c>
      <c r="I904">
        <v>1</v>
      </c>
      <c r="J904">
        <v>1.55</v>
      </c>
      <c r="K904">
        <v>2</v>
      </c>
      <c r="L904">
        <v>8.5000000000000006E-2</v>
      </c>
      <c r="M904">
        <v>2</v>
      </c>
      <c r="N904">
        <v>83</v>
      </c>
      <c r="O904">
        <v>1</v>
      </c>
      <c r="P904">
        <v>7.4999999999999997E-2</v>
      </c>
      <c r="Q904">
        <v>2</v>
      </c>
      <c r="R904">
        <v>5.1999999999999998E-3</v>
      </c>
      <c r="T904" s="8" t="s">
        <v>2800</v>
      </c>
    </row>
    <row r="905" spans="1:20" x14ac:dyDescent="0.2">
      <c r="A905" t="s">
        <v>2802</v>
      </c>
      <c r="B905" t="s">
        <v>2022</v>
      </c>
      <c r="C905" t="s">
        <v>2023</v>
      </c>
      <c r="D905" t="s">
        <v>2024</v>
      </c>
      <c r="E905" t="s">
        <v>2803</v>
      </c>
      <c r="F905" t="s">
        <v>2804</v>
      </c>
      <c r="G905">
        <v>3</v>
      </c>
      <c r="H905">
        <v>1640</v>
      </c>
      <c r="I905">
        <v>1</v>
      </c>
      <c r="J905">
        <v>0.9</v>
      </c>
      <c r="K905">
        <v>2</v>
      </c>
      <c r="L905">
        <v>2.5999999999999999E-2</v>
      </c>
      <c r="M905">
        <v>4</v>
      </c>
      <c r="N905">
        <v>104</v>
      </c>
      <c r="O905">
        <v>1</v>
      </c>
      <c r="P905">
        <v>7.4999999999999997E-2</v>
      </c>
      <c r="Q905">
        <v>2</v>
      </c>
      <c r="R905">
        <v>2E-3</v>
      </c>
      <c r="T905" s="8" t="s">
        <v>2803</v>
      </c>
    </row>
    <row r="906" spans="1:20" x14ac:dyDescent="0.2">
      <c r="A906" t="s">
        <v>2805</v>
      </c>
      <c r="B906" t="s">
        <v>2022</v>
      </c>
      <c r="C906" t="s">
        <v>2095</v>
      </c>
      <c r="D906" t="s">
        <v>2154</v>
      </c>
      <c r="E906" t="s">
        <v>2806</v>
      </c>
      <c r="F906" t="s">
        <v>2807</v>
      </c>
      <c r="G906">
        <v>2</v>
      </c>
      <c r="H906">
        <v>1655</v>
      </c>
      <c r="I906">
        <v>2</v>
      </c>
      <c r="J906">
        <v>7.5</v>
      </c>
      <c r="K906">
        <v>1</v>
      </c>
      <c r="L906">
        <v>1.4999999999999999E-2</v>
      </c>
      <c r="M906">
        <v>2</v>
      </c>
      <c r="N906">
        <v>80</v>
      </c>
      <c r="O906">
        <v>2</v>
      </c>
      <c r="P906">
        <v>0.35</v>
      </c>
      <c r="Q906">
        <v>1</v>
      </c>
      <c r="R906">
        <v>6.9999999999999999E-4</v>
      </c>
      <c r="T906" s="8" t="s">
        <v>2806</v>
      </c>
    </row>
    <row r="907" spans="1:20" x14ac:dyDescent="0.2">
      <c r="A907" t="s">
        <v>2808</v>
      </c>
      <c r="B907" t="s">
        <v>2022</v>
      </c>
      <c r="C907" t="s">
        <v>2023</v>
      </c>
      <c r="D907" t="s">
        <v>2154</v>
      </c>
      <c r="E907" t="s">
        <v>2806</v>
      </c>
      <c r="F907" t="s">
        <v>2807</v>
      </c>
      <c r="G907">
        <v>4</v>
      </c>
      <c r="H907">
        <v>1720</v>
      </c>
      <c r="I907">
        <v>3</v>
      </c>
      <c r="J907">
        <v>5.9</v>
      </c>
      <c r="K907">
        <v>2</v>
      </c>
      <c r="L907">
        <v>2.5999999999999999E-2</v>
      </c>
      <c r="M907">
        <v>2</v>
      </c>
      <c r="N907">
        <v>84</v>
      </c>
      <c r="O907">
        <v>2</v>
      </c>
      <c r="P907">
        <v>0.22500000000000001</v>
      </c>
      <c r="Q907">
        <v>1</v>
      </c>
      <c r="R907">
        <v>5.0000000000000001E-4</v>
      </c>
      <c r="T907" s="8" t="s">
        <v>2806</v>
      </c>
    </row>
    <row r="908" spans="1:20" x14ac:dyDescent="0.2">
      <c r="A908" t="s">
        <v>2809</v>
      </c>
      <c r="B908" t="s">
        <v>2022</v>
      </c>
      <c r="C908" t="s">
        <v>2049</v>
      </c>
      <c r="D908" t="s">
        <v>2024</v>
      </c>
      <c r="E908" t="s">
        <v>357</v>
      </c>
      <c r="F908" t="s">
        <v>2810</v>
      </c>
      <c r="G908">
        <v>2</v>
      </c>
      <c r="H908">
        <v>1450</v>
      </c>
      <c r="I908">
        <v>2</v>
      </c>
      <c r="J908">
        <v>3.2</v>
      </c>
      <c r="K908">
        <v>5</v>
      </c>
      <c r="L908">
        <v>0.3</v>
      </c>
      <c r="M908">
        <v>5</v>
      </c>
      <c r="N908">
        <v>166</v>
      </c>
      <c r="O908">
        <v>5</v>
      </c>
      <c r="P908">
        <v>0.86</v>
      </c>
      <c r="Q908">
        <v>5</v>
      </c>
      <c r="R908">
        <v>3.32E-2</v>
      </c>
      <c r="T908" s="8" t="s">
        <v>357</v>
      </c>
    </row>
    <row r="909" spans="1:20" x14ac:dyDescent="0.2">
      <c r="A909" t="s">
        <v>2811</v>
      </c>
      <c r="B909" t="s">
        <v>2022</v>
      </c>
      <c r="C909" t="s">
        <v>2101</v>
      </c>
      <c r="D909" t="s">
        <v>2024</v>
      </c>
      <c r="E909" t="s">
        <v>2812</v>
      </c>
      <c r="F909" t="s">
        <v>2813</v>
      </c>
      <c r="G909">
        <v>3</v>
      </c>
      <c r="H909">
        <v>1770</v>
      </c>
      <c r="I909">
        <v>5</v>
      </c>
      <c r="J909">
        <v>14</v>
      </c>
      <c r="K909">
        <v>5</v>
      </c>
      <c r="L909">
        <v>0.53749999999999998</v>
      </c>
      <c r="M909">
        <v>2</v>
      </c>
      <c r="N909">
        <v>74</v>
      </c>
      <c r="O909">
        <v>5</v>
      </c>
      <c r="P909">
        <v>0.67500000000000004</v>
      </c>
      <c r="Q909">
        <v>5</v>
      </c>
      <c r="R909">
        <v>2.5499999999999998E-2</v>
      </c>
      <c r="T909" s="8" t="s">
        <v>2812</v>
      </c>
    </row>
    <row r="910" spans="1:20" x14ac:dyDescent="0.2">
      <c r="A910" t="s">
        <v>2814</v>
      </c>
      <c r="B910" t="s">
        <v>2022</v>
      </c>
      <c r="C910" t="s">
        <v>2036</v>
      </c>
      <c r="D910" t="s">
        <v>2024</v>
      </c>
      <c r="E910" t="s">
        <v>2815</v>
      </c>
      <c r="F910" t="s">
        <v>2816</v>
      </c>
      <c r="G910">
        <v>1</v>
      </c>
      <c r="H910">
        <v>1540</v>
      </c>
      <c r="I910">
        <v>1</v>
      </c>
      <c r="J910">
        <v>2.2000000000000002</v>
      </c>
      <c r="K910">
        <v>1</v>
      </c>
      <c r="L910">
        <v>5.5E-2</v>
      </c>
      <c r="M910">
        <v>1</v>
      </c>
      <c r="N910">
        <v>76</v>
      </c>
      <c r="O910">
        <v>1</v>
      </c>
      <c r="P910">
        <v>9.5000000000000001E-2</v>
      </c>
      <c r="Q910">
        <v>1</v>
      </c>
      <c r="R910">
        <v>1.5E-3</v>
      </c>
      <c r="T910" s="8" t="s">
        <v>2815</v>
      </c>
    </row>
    <row r="911" spans="1:20" x14ac:dyDescent="0.2">
      <c r="A911" t="s">
        <v>2817</v>
      </c>
      <c r="B911" t="s">
        <v>2022</v>
      </c>
      <c r="C911" t="s">
        <v>2036</v>
      </c>
      <c r="D911" t="s">
        <v>2024</v>
      </c>
      <c r="E911" t="s">
        <v>2818</v>
      </c>
      <c r="F911" t="s">
        <v>2819</v>
      </c>
      <c r="G911">
        <v>4</v>
      </c>
      <c r="H911">
        <v>1840</v>
      </c>
      <c r="I911">
        <v>3</v>
      </c>
      <c r="J911">
        <v>4.5999999999999996</v>
      </c>
      <c r="K911">
        <v>1</v>
      </c>
      <c r="L911">
        <v>5.5E-2</v>
      </c>
      <c r="M911">
        <v>3</v>
      </c>
      <c r="N911">
        <v>88</v>
      </c>
      <c r="O911">
        <v>2</v>
      </c>
      <c r="P911">
        <v>0.20499999999999999</v>
      </c>
      <c r="Q911">
        <v>1</v>
      </c>
      <c r="R911">
        <v>1.5E-3</v>
      </c>
      <c r="T911" s="8" t="s">
        <v>2818</v>
      </c>
    </row>
    <row r="912" spans="1:20" x14ac:dyDescent="0.2">
      <c r="A912" t="s">
        <v>2820</v>
      </c>
      <c r="B912" t="s">
        <v>2022</v>
      </c>
      <c r="C912" t="s">
        <v>2053</v>
      </c>
      <c r="D912" t="s">
        <v>2024</v>
      </c>
      <c r="E912" t="s">
        <v>2821</v>
      </c>
      <c r="F912" t="s">
        <v>2822</v>
      </c>
      <c r="G912">
        <v>5</v>
      </c>
      <c r="H912">
        <v>1900</v>
      </c>
      <c r="I912">
        <v>4</v>
      </c>
      <c r="J912">
        <v>9.0500000000000007</v>
      </c>
      <c r="K912">
        <v>3</v>
      </c>
      <c r="L912">
        <v>0.19500000000000001</v>
      </c>
      <c r="M912">
        <v>1</v>
      </c>
      <c r="N912">
        <v>73</v>
      </c>
      <c r="O912">
        <v>2</v>
      </c>
      <c r="P912">
        <v>0.22500000000000001</v>
      </c>
      <c r="Q912">
        <v>2</v>
      </c>
      <c r="R912">
        <v>5.1999999999999998E-3</v>
      </c>
      <c r="T912" s="8" t="s">
        <v>2821</v>
      </c>
    </row>
    <row r="913" spans="1:20" x14ac:dyDescent="0.2">
      <c r="A913" t="s">
        <v>2823</v>
      </c>
      <c r="B913" t="s">
        <v>2022</v>
      </c>
      <c r="C913" t="s">
        <v>2023</v>
      </c>
      <c r="D913" t="s">
        <v>2024</v>
      </c>
      <c r="E913" t="s">
        <v>357</v>
      </c>
      <c r="F913" t="s">
        <v>2824</v>
      </c>
      <c r="G913">
        <v>3</v>
      </c>
      <c r="H913">
        <v>1640</v>
      </c>
      <c r="I913">
        <v>5</v>
      </c>
      <c r="J913">
        <v>10.9</v>
      </c>
      <c r="K913">
        <v>5</v>
      </c>
      <c r="L913">
        <v>8.5999999999999993E-2</v>
      </c>
      <c r="M913">
        <v>4</v>
      </c>
      <c r="N913">
        <v>104</v>
      </c>
      <c r="O913">
        <v>5</v>
      </c>
      <c r="P913">
        <v>0.67500000000000004</v>
      </c>
      <c r="Q913">
        <v>5</v>
      </c>
      <c r="R913">
        <v>8.0000000000000002E-3</v>
      </c>
      <c r="T913" s="8" t="s">
        <v>357</v>
      </c>
    </row>
    <row r="914" spans="1:20" x14ac:dyDescent="0.2">
      <c r="A914" t="s">
        <v>2825</v>
      </c>
      <c r="B914" t="s">
        <v>2022</v>
      </c>
      <c r="C914" t="s">
        <v>2023</v>
      </c>
      <c r="D914" t="s">
        <v>2136</v>
      </c>
      <c r="E914" t="s">
        <v>357</v>
      </c>
      <c r="F914" t="s">
        <v>2826</v>
      </c>
      <c r="G914">
        <v>1</v>
      </c>
      <c r="H914">
        <v>1480</v>
      </c>
      <c r="I914">
        <v>2</v>
      </c>
      <c r="J914">
        <v>3.4</v>
      </c>
      <c r="K914">
        <v>5</v>
      </c>
      <c r="L914">
        <v>8.5999999999999993E-2</v>
      </c>
      <c r="M914">
        <v>5</v>
      </c>
      <c r="N914">
        <v>114</v>
      </c>
      <c r="O914">
        <v>4</v>
      </c>
      <c r="P914">
        <v>0.52500000000000002</v>
      </c>
      <c r="Q914">
        <v>5</v>
      </c>
      <c r="R914">
        <v>8.0000000000000002E-3</v>
      </c>
      <c r="T914" s="8" t="s">
        <v>357</v>
      </c>
    </row>
    <row r="915" spans="1:20" x14ac:dyDescent="0.2">
      <c r="A915" t="s">
        <v>2827</v>
      </c>
      <c r="B915" t="s">
        <v>2022</v>
      </c>
      <c r="C915" t="s">
        <v>2036</v>
      </c>
      <c r="D915" t="s">
        <v>2024</v>
      </c>
      <c r="E915" t="s">
        <v>2828</v>
      </c>
      <c r="F915" t="s">
        <v>447</v>
      </c>
      <c r="G915">
        <v>1</v>
      </c>
      <c r="H915">
        <v>1540</v>
      </c>
      <c r="I915">
        <v>3</v>
      </c>
      <c r="J915">
        <v>4.5999999999999996</v>
      </c>
      <c r="K915">
        <v>4</v>
      </c>
      <c r="L915">
        <v>0.14499999999999999</v>
      </c>
      <c r="M915">
        <v>1</v>
      </c>
      <c r="N915">
        <v>76</v>
      </c>
      <c r="O915">
        <v>2</v>
      </c>
      <c r="P915">
        <v>0.20499999999999999</v>
      </c>
      <c r="Q915">
        <v>3</v>
      </c>
      <c r="R915">
        <v>6.7499999999999999E-3</v>
      </c>
      <c r="T915" s="8" t="s">
        <v>2828</v>
      </c>
    </row>
    <row r="916" spans="1:20" x14ac:dyDescent="0.2">
      <c r="A916" t="s">
        <v>2829</v>
      </c>
      <c r="B916" t="s">
        <v>2022</v>
      </c>
      <c r="C916" t="s">
        <v>2023</v>
      </c>
      <c r="D916" t="s">
        <v>2024</v>
      </c>
      <c r="E916" t="s">
        <v>2830</v>
      </c>
      <c r="F916" t="s">
        <v>2831</v>
      </c>
      <c r="G916">
        <v>5</v>
      </c>
      <c r="H916">
        <v>1800</v>
      </c>
      <c r="I916">
        <v>5</v>
      </c>
      <c r="J916">
        <v>10.9</v>
      </c>
      <c r="K916">
        <v>5</v>
      </c>
      <c r="L916">
        <v>8.5999999999999993E-2</v>
      </c>
      <c r="M916">
        <v>4</v>
      </c>
      <c r="N916">
        <v>104</v>
      </c>
      <c r="O916">
        <v>5</v>
      </c>
      <c r="P916">
        <v>0.67500000000000004</v>
      </c>
      <c r="Q916">
        <v>5</v>
      </c>
      <c r="R916">
        <v>8.0000000000000002E-3</v>
      </c>
      <c r="T916" s="8" t="s">
        <v>2830</v>
      </c>
    </row>
    <row r="917" spans="1:20" x14ac:dyDescent="0.2">
      <c r="A917" t="s">
        <v>2832</v>
      </c>
      <c r="B917" t="s">
        <v>2022</v>
      </c>
      <c r="C917" t="s">
        <v>2023</v>
      </c>
      <c r="D917" t="s">
        <v>2024</v>
      </c>
      <c r="E917" t="s">
        <v>307</v>
      </c>
      <c r="F917" t="s">
        <v>447</v>
      </c>
      <c r="G917">
        <v>1</v>
      </c>
      <c r="H917">
        <v>1480</v>
      </c>
      <c r="I917">
        <v>1</v>
      </c>
      <c r="J917">
        <v>0.9</v>
      </c>
      <c r="K917">
        <v>2</v>
      </c>
      <c r="L917">
        <v>2.5999999999999999E-2</v>
      </c>
      <c r="M917">
        <v>1</v>
      </c>
      <c r="N917">
        <v>74</v>
      </c>
      <c r="O917">
        <v>1</v>
      </c>
      <c r="P917">
        <v>7.4999999999999997E-2</v>
      </c>
      <c r="Q917">
        <v>1</v>
      </c>
      <c r="R917">
        <v>5.0000000000000001E-4</v>
      </c>
      <c r="T917" s="8" t="s">
        <v>307</v>
      </c>
    </row>
    <row r="918" spans="1:20" x14ac:dyDescent="0.2">
      <c r="A918" t="s">
        <v>2833</v>
      </c>
      <c r="B918" t="s">
        <v>2022</v>
      </c>
      <c r="C918" t="s">
        <v>2036</v>
      </c>
      <c r="D918" t="s">
        <v>2024</v>
      </c>
      <c r="E918" t="s">
        <v>307</v>
      </c>
      <c r="F918" t="s">
        <v>447</v>
      </c>
      <c r="G918">
        <v>2</v>
      </c>
      <c r="H918">
        <v>1640</v>
      </c>
      <c r="I918">
        <v>2</v>
      </c>
      <c r="J918">
        <v>3.4</v>
      </c>
      <c r="K918">
        <v>3</v>
      </c>
      <c r="L918">
        <v>0.115</v>
      </c>
      <c r="M918">
        <v>1</v>
      </c>
      <c r="N918">
        <v>76</v>
      </c>
      <c r="O918">
        <v>1</v>
      </c>
      <c r="P918">
        <v>9.5000000000000001E-2</v>
      </c>
      <c r="Q918">
        <v>2</v>
      </c>
      <c r="R918">
        <v>4.2500000000000003E-3</v>
      </c>
      <c r="T918" s="8" t="s">
        <v>307</v>
      </c>
    </row>
    <row r="919" spans="1:20" x14ac:dyDescent="0.2">
      <c r="A919" t="s">
        <v>2834</v>
      </c>
      <c r="B919" t="s">
        <v>2022</v>
      </c>
      <c r="C919" t="s">
        <v>2053</v>
      </c>
      <c r="D919" t="s">
        <v>2024</v>
      </c>
      <c r="E919" t="s">
        <v>2835</v>
      </c>
      <c r="F919" t="s">
        <v>2836</v>
      </c>
      <c r="G919">
        <v>5</v>
      </c>
      <c r="H919">
        <v>1900</v>
      </c>
      <c r="I919">
        <v>5</v>
      </c>
      <c r="J919">
        <v>11.55</v>
      </c>
      <c r="K919">
        <v>5</v>
      </c>
      <c r="L919">
        <v>0.41499999999999998</v>
      </c>
      <c r="M919">
        <v>5</v>
      </c>
      <c r="N919">
        <v>113</v>
      </c>
      <c r="O919">
        <v>5</v>
      </c>
      <c r="P919">
        <v>0.67500000000000004</v>
      </c>
      <c r="Q919">
        <v>5</v>
      </c>
      <c r="R919">
        <v>2.6200000000000001E-2</v>
      </c>
      <c r="T919" s="8" t="s">
        <v>2835</v>
      </c>
    </row>
    <row r="920" spans="1:20" x14ac:dyDescent="0.2">
      <c r="A920" t="s">
        <v>2837</v>
      </c>
      <c r="B920" t="s">
        <v>2022</v>
      </c>
      <c r="C920" t="s">
        <v>2053</v>
      </c>
      <c r="D920" t="s">
        <v>2024</v>
      </c>
      <c r="E920" t="s">
        <v>2838</v>
      </c>
      <c r="F920" t="s">
        <v>2839</v>
      </c>
      <c r="G920">
        <v>2</v>
      </c>
      <c r="H920">
        <v>1600</v>
      </c>
      <c r="I920">
        <v>2</v>
      </c>
      <c r="J920">
        <v>4.05</v>
      </c>
      <c r="K920">
        <v>2</v>
      </c>
      <c r="L920">
        <v>8.5000000000000006E-2</v>
      </c>
      <c r="M920">
        <v>2</v>
      </c>
      <c r="N920">
        <v>83</v>
      </c>
      <c r="O920">
        <v>2</v>
      </c>
      <c r="P920">
        <v>0.22500000000000001</v>
      </c>
      <c r="Q920">
        <v>2</v>
      </c>
      <c r="R920">
        <v>5.1999999999999998E-3</v>
      </c>
      <c r="T920" s="8" t="s">
        <v>2838</v>
      </c>
    </row>
    <row r="921" spans="1:20" x14ac:dyDescent="0.2">
      <c r="A921" t="s">
        <v>2840</v>
      </c>
      <c r="B921" t="s">
        <v>2022</v>
      </c>
      <c r="C921" t="s">
        <v>2053</v>
      </c>
      <c r="D921" t="s">
        <v>2154</v>
      </c>
      <c r="E921" t="s">
        <v>357</v>
      </c>
      <c r="F921" t="s">
        <v>2841</v>
      </c>
      <c r="G921">
        <v>1</v>
      </c>
      <c r="H921">
        <v>1500</v>
      </c>
      <c r="I921">
        <v>1</v>
      </c>
      <c r="J921">
        <v>1.55</v>
      </c>
      <c r="K921">
        <v>1</v>
      </c>
      <c r="L921">
        <v>1.4999999999999999E-2</v>
      </c>
      <c r="M921">
        <v>3</v>
      </c>
      <c r="N921">
        <v>93</v>
      </c>
      <c r="O921">
        <v>1</v>
      </c>
      <c r="P921">
        <v>7.4999999999999997E-2</v>
      </c>
      <c r="Q921">
        <v>1</v>
      </c>
      <c r="R921">
        <v>8.4999999999999995E-4</v>
      </c>
      <c r="T921" s="8" t="s">
        <v>357</v>
      </c>
    </row>
    <row r="922" spans="1:20" x14ac:dyDescent="0.2">
      <c r="A922" t="s">
        <v>2842</v>
      </c>
      <c r="B922" t="s">
        <v>2022</v>
      </c>
      <c r="C922" t="s">
        <v>2023</v>
      </c>
      <c r="D922" t="s">
        <v>2154</v>
      </c>
      <c r="E922" t="s">
        <v>2843</v>
      </c>
      <c r="F922" t="s">
        <v>2844</v>
      </c>
      <c r="G922">
        <v>2</v>
      </c>
      <c r="H922">
        <v>1560</v>
      </c>
      <c r="I922">
        <v>2</v>
      </c>
      <c r="J922">
        <v>3.4</v>
      </c>
      <c r="K922">
        <v>2</v>
      </c>
      <c r="L922">
        <v>2.5999999999999999E-2</v>
      </c>
      <c r="M922">
        <v>2</v>
      </c>
      <c r="N922">
        <v>84</v>
      </c>
      <c r="O922">
        <v>2</v>
      </c>
      <c r="P922">
        <v>0.22500000000000001</v>
      </c>
      <c r="Q922">
        <v>2</v>
      </c>
      <c r="R922">
        <v>2E-3</v>
      </c>
      <c r="T922" s="8" t="s">
        <v>2843</v>
      </c>
    </row>
    <row r="923" spans="1:20" x14ac:dyDescent="0.2">
      <c r="A923" t="s">
        <v>2845</v>
      </c>
      <c r="B923" t="s">
        <v>2022</v>
      </c>
      <c r="C923" t="s">
        <v>2095</v>
      </c>
      <c r="D923" t="s">
        <v>2024</v>
      </c>
      <c r="E923" t="s">
        <v>2846</v>
      </c>
      <c r="F923" t="s">
        <v>2847</v>
      </c>
      <c r="G923">
        <v>3</v>
      </c>
      <c r="H923">
        <v>1745</v>
      </c>
      <c r="I923">
        <v>5</v>
      </c>
      <c r="J923">
        <v>16.5</v>
      </c>
      <c r="K923">
        <v>5</v>
      </c>
      <c r="L923">
        <v>0.73</v>
      </c>
      <c r="M923">
        <v>5</v>
      </c>
      <c r="N923">
        <v>98</v>
      </c>
      <c r="O923">
        <v>5</v>
      </c>
      <c r="P923">
        <v>0.95</v>
      </c>
      <c r="Q923">
        <v>5</v>
      </c>
      <c r="R923">
        <v>3.2899999999999999E-2</v>
      </c>
      <c r="T923" s="8" t="s">
        <v>2846</v>
      </c>
    </row>
    <row r="924" spans="1:20" x14ac:dyDescent="0.2">
      <c r="A924" t="s">
        <v>2848</v>
      </c>
      <c r="B924" t="s">
        <v>2022</v>
      </c>
      <c r="C924" t="s">
        <v>2049</v>
      </c>
      <c r="D924" t="s">
        <v>2024</v>
      </c>
      <c r="E924" t="s">
        <v>2849</v>
      </c>
      <c r="F924" t="s">
        <v>2850</v>
      </c>
      <c r="G924">
        <v>1</v>
      </c>
      <c r="H924">
        <v>1350</v>
      </c>
      <c r="I924">
        <v>1</v>
      </c>
      <c r="J924">
        <v>1.4</v>
      </c>
      <c r="K924">
        <v>1</v>
      </c>
      <c r="L924">
        <v>0.01</v>
      </c>
      <c r="M924">
        <v>5</v>
      </c>
      <c r="N924">
        <v>166</v>
      </c>
      <c r="O924">
        <v>2</v>
      </c>
      <c r="P924">
        <v>0.26</v>
      </c>
      <c r="Q924">
        <v>2</v>
      </c>
      <c r="R924">
        <v>6.1999999999999998E-3</v>
      </c>
      <c r="T924" s="8" t="s">
        <v>2849</v>
      </c>
    </row>
    <row r="925" spans="1:20" x14ac:dyDescent="0.2">
      <c r="A925" t="s">
        <v>2851</v>
      </c>
      <c r="B925" t="s">
        <v>2022</v>
      </c>
      <c r="C925" t="s">
        <v>2036</v>
      </c>
      <c r="D925" t="s">
        <v>2024</v>
      </c>
      <c r="E925" t="s">
        <v>2852</v>
      </c>
      <c r="F925" t="s">
        <v>2853</v>
      </c>
      <c r="G925">
        <v>1</v>
      </c>
      <c r="H925">
        <v>1540</v>
      </c>
      <c r="I925">
        <v>1</v>
      </c>
      <c r="J925">
        <v>2.2000000000000002</v>
      </c>
      <c r="K925">
        <v>1</v>
      </c>
      <c r="L925">
        <v>5.5E-2</v>
      </c>
      <c r="M925">
        <v>1</v>
      </c>
      <c r="N925">
        <v>76</v>
      </c>
      <c r="O925">
        <v>1</v>
      </c>
      <c r="P925">
        <v>9.5000000000000001E-2</v>
      </c>
      <c r="Q925">
        <v>1</v>
      </c>
      <c r="R925">
        <v>1.5E-3</v>
      </c>
      <c r="T925" s="8" t="s">
        <v>2852</v>
      </c>
    </row>
    <row r="926" spans="1:20" x14ac:dyDescent="0.2">
      <c r="A926" t="s">
        <v>2854</v>
      </c>
      <c r="B926" t="s">
        <v>2022</v>
      </c>
      <c r="C926" t="s">
        <v>2036</v>
      </c>
      <c r="D926" t="s">
        <v>2136</v>
      </c>
      <c r="E926" t="s">
        <v>2855</v>
      </c>
      <c r="F926" t="s">
        <v>2856</v>
      </c>
      <c r="G926">
        <v>1</v>
      </c>
      <c r="H926">
        <v>1540</v>
      </c>
      <c r="I926">
        <v>3</v>
      </c>
      <c r="J926">
        <v>4.5999999999999996</v>
      </c>
      <c r="K926">
        <v>3</v>
      </c>
      <c r="L926">
        <v>0.115</v>
      </c>
      <c r="M926">
        <v>2</v>
      </c>
      <c r="N926">
        <v>82</v>
      </c>
      <c r="O926">
        <v>2</v>
      </c>
      <c r="P926">
        <v>0.20499999999999999</v>
      </c>
      <c r="Q926">
        <v>3</v>
      </c>
      <c r="R926">
        <v>6.7499999999999999E-3</v>
      </c>
      <c r="T926" s="8" t="s">
        <v>2855</v>
      </c>
    </row>
    <row r="927" spans="1:20" x14ac:dyDescent="0.2">
      <c r="A927" t="s">
        <v>2857</v>
      </c>
      <c r="B927" t="s">
        <v>2022</v>
      </c>
      <c r="C927" t="s">
        <v>2053</v>
      </c>
      <c r="D927" t="s">
        <v>2024</v>
      </c>
      <c r="E927" t="s">
        <v>2858</v>
      </c>
      <c r="F927" t="s">
        <v>2859</v>
      </c>
      <c r="G927">
        <v>1</v>
      </c>
      <c r="H927">
        <v>1500</v>
      </c>
      <c r="I927">
        <v>1</v>
      </c>
      <c r="J927">
        <v>1.55</v>
      </c>
      <c r="K927">
        <v>1</v>
      </c>
      <c r="L927">
        <v>1.4999999999999999E-2</v>
      </c>
      <c r="M927">
        <v>5</v>
      </c>
      <c r="N927">
        <v>113</v>
      </c>
      <c r="O927">
        <v>2</v>
      </c>
      <c r="P927">
        <v>0.22500000000000001</v>
      </c>
      <c r="Q927">
        <v>2</v>
      </c>
      <c r="R927">
        <v>5.1999999999999998E-3</v>
      </c>
      <c r="T927" s="8" t="s">
        <v>2858</v>
      </c>
    </row>
    <row r="928" spans="1:20" x14ac:dyDescent="0.2">
      <c r="A928" t="s">
        <v>2860</v>
      </c>
      <c r="B928" t="s">
        <v>2022</v>
      </c>
      <c r="C928" t="s">
        <v>2036</v>
      </c>
      <c r="D928" t="s">
        <v>2024</v>
      </c>
      <c r="E928" t="s">
        <v>2861</v>
      </c>
      <c r="F928" t="s">
        <v>2862</v>
      </c>
      <c r="G928">
        <v>1</v>
      </c>
      <c r="H928">
        <v>1540</v>
      </c>
      <c r="I928">
        <v>1</v>
      </c>
      <c r="J928">
        <v>2.2000000000000002</v>
      </c>
      <c r="K928">
        <v>1</v>
      </c>
      <c r="L928">
        <v>5.5E-2</v>
      </c>
      <c r="M928">
        <v>2</v>
      </c>
      <c r="N928">
        <v>82</v>
      </c>
      <c r="O928">
        <v>1</v>
      </c>
      <c r="P928">
        <v>9.5000000000000001E-2</v>
      </c>
      <c r="Q928">
        <v>1</v>
      </c>
      <c r="R928">
        <v>1.5E-3</v>
      </c>
      <c r="T928" s="8" t="s">
        <v>2861</v>
      </c>
    </row>
    <row r="929" spans="1:20" x14ac:dyDescent="0.2">
      <c r="A929" t="s">
        <v>2863</v>
      </c>
      <c r="B929" t="s">
        <v>2022</v>
      </c>
      <c r="C929" t="s">
        <v>2023</v>
      </c>
      <c r="D929" t="s">
        <v>2024</v>
      </c>
      <c r="E929" t="s">
        <v>2864</v>
      </c>
      <c r="F929" t="s">
        <v>2865</v>
      </c>
      <c r="G929">
        <v>3</v>
      </c>
      <c r="H929">
        <v>1640</v>
      </c>
      <c r="I929">
        <v>5</v>
      </c>
      <c r="J929">
        <v>10.9</v>
      </c>
      <c r="K929">
        <v>5</v>
      </c>
      <c r="L929">
        <v>8.5999999999999993E-2</v>
      </c>
      <c r="M929">
        <v>2</v>
      </c>
      <c r="N929">
        <v>84</v>
      </c>
      <c r="O929">
        <v>4</v>
      </c>
      <c r="P929">
        <v>0.52500000000000002</v>
      </c>
      <c r="Q929">
        <v>5</v>
      </c>
      <c r="R929">
        <v>8.0000000000000002E-3</v>
      </c>
      <c r="T929" s="8" t="s">
        <v>2864</v>
      </c>
    </row>
    <row r="930" spans="1:20" x14ac:dyDescent="0.2">
      <c r="A930" t="s">
        <v>2866</v>
      </c>
      <c r="B930" t="s">
        <v>2022</v>
      </c>
      <c r="C930" t="s">
        <v>2023</v>
      </c>
      <c r="D930" t="s">
        <v>2024</v>
      </c>
      <c r="E930" t="s">
        <v>2867</v>
      </c>
      <c r="F930" t="s">
        <v>2868</v>
      </c>
      <c r="G930">
        <v>3</v>
      </c>
      <c r="H930">
        <v>1640</v>
      </c>
      <c r="I930">
        <v>5</v>
      </c>
      <c r="J930">
        <v>10.9</v>
      </c>
      <c r="K930">
        <v>5</v>
      </c>
      <c r="L930">
        <v>8.5999999999999993E-2</v>
      </c>
      <c r="M930">
        <v>3</v>
      </c>
      <c r="N930">
        <v>94</v>
      </c>
      <c r="O930">
        <v>5</v>
      </c>
      <c r="P930">
        <v>0.67500000000000004</v>
      </c>
      <c r="Q930">
        <v>5</v>
      </c>
      <c r="R930">
        <v>8.0000000000000002E-3</v>
      </c>
      <c r="T930" s="8" t="s">
        <v>2867</v>
      </c>
    </row>
    <row r="931" spans="1:20" x14ac:dyDescent="0.2">
      <c r="A931" t="s">
        <v>2869</v>
      </c>
      <c r="B931" t="s">
        <v>2022</v>
      </c>
      <c r="C931" t="s">
        <v>2023</v>
      </c>
      <c r="D931" t="s">
        <v>2024</v>
      </c>
      <c r="E931" t="s">
        <v>2870</v>
      </c>
      <c r="F931" t="s">
        <v>2871</v>
      </c>
      <c r="G931">
        <v>2</v>
      </c>
      <c r="H931">
        <v>1560</v>
      </c>
      <c r="I931">
        <v>2</v>
      </c>
      <c r="J931">
        <v>3.4</v>
      </c>
      <c r="K931">
        <v>2</v>
      </c>
      <c r="L931">
        <v>2.5999999999999999E-2</v>
      </c>
      <c r="M931">
        <v>2</v>
      </c>
      <c r="N931">
        <v>84</v>
      </c>
      <c r="O931">
        <v>2</v>
      </c>
      <c r="P931">
        <v>0.22500000000000001</v>
      </c>
      <c r="Q931">
        <v>1</v>
      </c>
      <c r="R931">
        <v>5.0000000000000001E-4</v>
      </c>
      <c r="T931" s="8" t="s">
        <v>2870</v>
      </c>
    </row>
    <row r="932" spans="1:20" x14ac:dyDescent="0.2">
      <c r="A932" t="s">
        <v>2872</v>
      </c>
      <c r="B932" t="s">
        <v>2022</v>
      </c>
      <c r="C932" t="s">
        <v>2101</v>
      </c>
      <c r="D932" t="s">
        <v>2136</v>
      </c>
      <c r="E932" t="s">
        <v>2873</v>
      </c>
      <c r="F932" t="s">
        <v>2874</v>
      </c>
      <c r="G932">
        <v>2</v>
      </c>
      <c r="H932">
        <v>1670</v>
      </c>
      <c r="I932">
        <v>4</v>
      </c>
      <c r="J932">
        <v>11</v>
      </c>
      <c r="K932">
        <v>5</v>
      </c>
      <c r="L932">
        <v>0.53749999999999998</v>
      </c>
      <c r="M932">
        <v>4</v>
      </c>
      <c r="N932">
        <v>90</v>
      </c>
      <c r="O932">
        <v>5</v>
      </c>
      <c r="P932">
        <v>0.67500000000000004</v>
      </c>
      <c r="Q932">
        <v>5</v>
      </c>
      <c r="R932">
        <v>2.5499999999999998E-2</v>
      </c>
      <c r="T932" s="8" t="s">
        <v>2873</v>
      </c>
    </row>
    <row r="933" spans="1:20" x14ac:dyDescent="0.2">
      <c r="A933" t="s">
        <v>2875</v>
      </c>
      <c r="B933" t="s">
        <v>2022</v>
      </c>
      <c r="C933" t="s">
        <v>2023</v>
      </c>
      <c r="D933" t="s">
        <v>2024</v>
      </c>
      <c r="E933" t="s">
        <v>2876</v>
      </c>
      <c r="F933" t="s">
        <v>2877</v>
      </c>
      <c r="G933">
        <v>5</v>
      </c>
      <c r="H933">
        <v>1800</v>
      </c>
      <c r="I933">
        <v>4</v>
      </c>
      <c r="J933">
        <v>8.4</v>
      </c>
      <c r="K933">
        <v>2</v>
      </c>
      <c r="L933">
        <v>2.5999999999999999E-2</v>
      </c>
      <c r="M933">
        <v>3</v>
      </c>
      <c r="N933">
        <v>94</v>
      </c>
      <c r="O933">
        <v>4</v>
      </c>
      <c r="P933">
        <v>0.52500000000000002</v>
      </c>
      <c r="Q933">
        <v>2</v>
      </c>
      <c r="R933">
        <v>2E-3</v>
      </c>
      <c r="T933" s="8" t="s">
        <v>2876</v>
      </c>
    </row>
    <row r="934" spans="1:20" x14ac:dyDescent="0.2">
      <c r="A934" t="s">
        <v>2878</v>
      </c>
      <c r="B934" t="s">
        <v>2022</v>
      </c>
      <c r="C934" t="s">
        <v>2023</v>
      </c>
      <c r="D934" t="s">
        <v>2024</v>
      </c>
      <c r="E934" t="s">
        <v>2879</v>
      </c>
      <c r="F934" t="s">
        <v>2880</v>
      </c>
      <c r="G934">
        <v>1</v>
      </c>
      <c r="H934">
        <v>1480</v>
      </c>
      <c r="I934">
        <v>2</v>
      </c>
      <c r="J934">
        <v>3.4</v>
      </c>
      <c r="K934">
        <v>4</v>
      </c>
      <c r="L934">
        <v>6.6000000000000003E-2</v>
      </c>
      <c r="M934">
        <v>3</v>
      </c>
      <c r="N934">
        <v>94</v>
      </c>
      <c r="O934">
        <v>2</v>
      </c>
      <c r="P934">
        <v>0.22500000000000001</v>
      </c>
      <c r="Q934">
        <v>3</v>
      </c>
      <c r="R934">
        <v>4.0000000000000001E-3</v>
      </c>
      <c r="T934" s="8" t="s">
        <v>2879</v>
      </c>
    </row>
    <row r="935" spans="1:20" x14ac:dyDescent="0.2">
      <c r="A935" t="s">
        <v>2881</v>
      </c>
      <c r="B935" t="s">
        <v>2022</v>
      </c>
      <c r="C935" t="s">
        <v>2036</v>
      </c>
      <c r="D935" t="s">
        <v>2024</v>
      </c>
      <c r="E935" t="s">
        <v>2882</v>
      </c>
      <c r="F935" t="s">
        <v>2883</v>
      </c>
      <c r="G935">
        <v>3</v>
      </c>
      <c r="H935">
        <v>1740</v>
      </c>
      <c r="I935">
        <v>4</v>
      </c>
      <c r="J935">
        <v>5.8</v>
      </c>
      <c r="K935">
        <v>5</v>
      </c>
      <c r="L935">
        <v>0.17499999999999999</v>
      </c>
      <c r="M935">
        <v>4</v>
      </c>
      <c r="N935">
        <v>94</v>
      </c>
      <c r="O935">
        <v>3</v>
      </c>
      <c r="P935">
        <v>0.315</v>
      </c>
      <c r="Q935">
        <v>4</v>
      </c>
      <c r="R935">
        <v>9.2499999999999995E-3</v>
      </c>
      <c r="T935" s="8" t="s">
        <v>2882</v>
      </c>
    </row>
    <row r="936" spans="1:20" x14ac:dyDescent="0.2">
      <c r="A936" t="s">
        <v>2884</v>
      </c>
      <c r="B936" t="s">
        <v>2022</v>
      </c>
      <c r="C936" t="s">
        <v>2036</v>
      </c>
      <c r="D936" t="s">
        <v>2024</v>
      </c>
      <c r="E936" t="s">
        <v>2885</v>
      </c>
      <c r="F936" t="s">
        <v>2886</v>
      </c>
      <c r="G936">
        <v>3</v>
      </c>
      <c r="H936">
        <v>1740</v>
      </c>
      <c r="I936">
        <v>5</v>
      </c>
      <c r="J936">
        <v>7</v>
      </c>
      <c r="K936">
        <v>5</v>
      </c>
      <c r="L936">
        <v>0.17499999999999999</v>
      </c>
      <c r="M936">
        <v>2</v>
      </c>
      <c r="N936">
        <v>82</v>
      </c>
      <c r="O936">
        <v>3</v>
      </c>
      <c r="P936">
        <v>0.315</v>
      </c>
      <c r="Q936">
        <v>5</v>
      </c>
      <c r="R936">
        <v>1.2E-2</v>
      </c>
      <c r="T936" s="8" t="s">
        <v>2885</v>
      </c>
    </row>
    <row r="937" spans="1:20" x14ac:dyDescent="0.2">
      <c r="A937" t="s">
        <v>2887</v>
      </c>
      <c r="B937" t="s">
        <v>2022</v>
      </c>
      <c r="C937" t="s">
        <v>2023</v>
      </c>
      <c r="D937" t="s">
        <v>2136</v>
      </c>
      <c r="E937" t="s">
        <v>357</v>
      </c>
      <c r="F937" t="s">
        <v>2888</v>
      </c>
      <c r="G937">
        <v>1</v>
      </c>
      <c r="H937">
        <v>1480</v>
      </c>
      <c r="I937">
        <v>2</v>
      </c>
      <c r="J937">
        <v>3.4</v>
      </c>
      <c r="K937">
        <v>5</v>
      </c>
      <c r="L937">
        <v>8.5999999999999993E-2</v>
      </c>
      <c r="M937">
        <v>5</v>
      </c>
      <c r="N937">
        <v>114</v>
      </c>
      <c r="O937">
        <v>5</v>
      </c>
      <c r="P937">
        <v>0.67500000000000004</v>
      </c>
      <c r="Q937">
        <v>5</v>
      </c>
      <c r="R937">
        <v>8.0000000000000002E-3</v>
      </c>
      <c r="T937" s="8" t="s">
        <v>357</v>
      </c>
    </row>
    <row r="938" spans="1:20" x14ac:dyDescent="0.2">
      <c r="A938" t="s">
        <v>2889</v>
      </c>
      <c r="B938" t="s">
        <v>2022</v>
      </c>
      <c r="C938" t="s">
        <v>2036</v>
      </c>
      <c r="D938" t="s">
        <v>2024</v>
      </c>
      <c r="E938" t="s">
        <v>2890</v>
      </c>
      <c r="F938" t="s">
        <v>2891</v>
      </c>
      <c r="G938">
        <v>5</v>
      </c>
      <c r="H938">
        <v>1940</v>
      </c>
      <c r="I938">
        <v>2</v>
      </c>
      <c r="J938">
        <v>3.4</v>
      </c>
      <c r="K938">
        <v>1</v>
      </c>
      <c r="L938">
        <v>5.5E-2</v>
      </c>
      <c r="M938">
        <v>5</v>
      </c>
      <c r="N938">
        <v>100</v>
      </c>
      <c r="O938">
        <v>2</v>
      </c>
      <c r="P938">
        <v>0.20499999999999999</v>
      </c>
      <c r="Q938">
        <v>2</v>
      </c>
      <c r="R938">
        <v>4.2500000000000003E-3</v>
      </c>
      <c r="T938" s="8" t="s">
        <v>2890</v>
      </c>
    </row>
    <row r="939" spans="1:20" x14ac:dyDescent="0.2">
      <c r="A939" t="s">
        <v>2892</v>
      </c>
      <c r="B939" t="s">
        <v>2022</v>
      </c>
      <c r="C939" t="s">
        <v>2257</v>
      </c>
      <c r="D939" t="s">
        <v>2024</v>
      </c>
      <c r="E939" t="s">
        <v>357</v>
      </c>
      <c r="F939" t="s">
        <v>2893</v>
      </c>
      <c r="G939">
        <v>5</v>
      </c>
      <c r="H939">
        <v>1300</v>
      </c>
      <c r="I939">
        <v>1</v>
      </c>
      <c r="J939">
        <v>0.45</v>
      </c>
      <c r="K939">
        <v>1</v>
      </c>
      <c r="L939">
        <v>6.0000000000000001E-3</v>
      </c>
      <c r="M939">
        <v>5</v>
      </c>
      <c r="N939">
        <v>1100</v>
      </c>
      <c r="O939">
        <v>1</v>
      </c>
      <c r="P939">
        <v>0.3</v>
      </c>
      <c r="Q939">
        <v>1</v>
      </c>
      <c r="R939">
        <v>2E-3</v>
      </c>
      <c r="T939" s="8" t="s">
        <v>357</v>
      </c>
    </row>
    <row r="940" spans="1:20" x14ac:dyDescent="0.2">
      <c r="A940" t="s">
        <v>2894</v>
      </c>
      <c r="B940" t="s">
        <v>2022</v>
      </c>
      <c r="C940" t="s">
        <v>2023</v>
      </c>
      <c r="D940" t="s">
        <v>2024</v>
      </c>
      <c r="E940" t="s">
        <v>2895</v>
      </c>
      <c r="F940" t="s">
        <v>2896</v>
      </c>
      <c r="G940">
        <v>5</v>
      </c>
      <c r="H940">
        <v>1800</v>
      </c>
      <c r="I940">
        <v>2</v>
      </c>
      <c r="J940">
        <v>3.4</v>
      </c>
      <c r="K940">
        <v>3</v>
      </c>
      <c r="L940">
        <v>4.5999999999999999E-2</v>
      </c>
      <c r="M940">
        <v>5</v>
      </c>
      <c r="N940">
        <v>114</v>
      </c>
      <c r="O940">
        <v>2</v>
      </c>
      <c r="P940">
        <v>0.22500000000000001</v>
      </c>
      <c r="Q940">
        <v>2</v>
      </c>
      <c r="R940">
        <v>2E-3</v>
      </c>
      <c r="T940" s="8" t="s">
        <v>2895</v>
      </c>
    </row>
    <row r="941" spans="1:20" x14ac:dyDescent="0.2">
      <c r="A941" t="s">
        <v>2897</v>
      </c>
      <c r="B941" t="s">
        <v>2022</v>
      </c>
      <c r="C941" t="s">
        <v>2104</v>
      </c>
      <c r="D941" t="s">
        <v>2024</v>
      </c>
      <c r="E941" t="s">
        <v>2895</v>
      </c>
      <c r="F941" t="s">
        <v>2896</v>
      </c>
      <c r="G941">
        <v>5</v>
      </c>
      <c r="H941">
        <v>2237.5</v>
      </c>
      <c r="I941">
        <v>3</v>
      </c>
      <c r="J941">
        <v>5.55</v>
      </c>
      <c r="K941">
        <v>2</v>
      </c>
      <c r="L941">
        <v>4.1000000000000002E-2</v>
      </c>
      <c r="M941">
        <v>4</v>
      </c>
      <c r="N941">
        <v>81</v>
      </c>
      <c r="P941">
        <v>0</v>
      </c>
      <c r="Q941">
        <v>2</v>
      </c>
      <c r="R941">
        <v>3.2000000000000002E-3</v>
      </c>
      <c r="T941" s="8" t="s">
        <v>2895</v>
      </c>
    </row>
    <row r="942" spans="1:20" x14ac:dyDescent="0.2">
      <c r="A942" t="s">
        <v>2898</v>
      </c>
      <c r="B942" t="s">
        <v>2022</v>
      </c>
      <c r="C942" t="s">
        <v>2104</v>
      </c>
      <c r="D942" t="s">
        <v>2024</v>
      </c>
      <c r="E942" t="s">
        <v>2895</v>
      </c>
      <c r="F942" t="s">
        <v>2896</v>
      </c>
      <c r="G942">
        <v>5</v>
      </c>
      <c r="H942">
        <v>2237.5</v>
      </c>
      <c r="I942">
        <v>4</v>
      </c>
      <c r="J942">
        <v>7.85</v>
      </c>
      <c r="K942">
        <v>5</v>
      </c>
      <c r="L942">
        <v>0.191</v>
      </c>
      <c r="M942">
        <v>5</v>
      </c>
      <c r="N942">
        <v>89</v>
      </c>
      <c r="P942">
        <v>0</v>
      </c>
      <c r="Q942">
        <v>3</v>
      </c>
      <c r="R942">
        <v>8.2000000000000007E-3</v>
      </c>
      <c r="T942" s="8" t="s">
        <v>2895</v>
      </c>
    </row>
    <row r="943" spans="1:20" x14ac:dyDescent="0.2">
      <c r="A943" t="s">
        <v>2899</v>
      </c>
      <c r="B943" t="s">
        <v>2022</v>
      </c>
      <c r="C943" t="s">
        <v>2053</v>
      </c>
      <c r="D943" t="s">
        <v>2024</v>
      </c>
      <c r="E943" t="s">
        <v>2900</v>
      </c>
      <c r="F943" t="s">
        <v>2901</v>
      </c>
      <c r="G943">
        <v>3</v>
      </c>
      <c r="H943">
        <v>1700</v>
      </c>
      <c r="I943">
        <v>2</v>
      </c>
      <c r="J943">
        <v>4.05</v>
      </c>
      <c r="K943">
        <v>1</v>
      </c>
      <c r="L943">
        <v>1.4999999999999999E-2</v>
      </c>
      <c r="M943">
        <v>3</v>
      </c>
      <c r="N943">
        <v>93</v>
      </c>
      <c r="O943">
        <v>2</v>
      </c>
      <c r="P943">
        <v>0.22500000000000001</v>
      </c>
      <c r="Q943">
        <v>1</v>
      </c>
      <c r="R943">
        <v>8.4999999999999995E-4</v>
      </c>
      <c r="T943" s="8" t="s">
        <v>2900</v>
      </c>
    </row>
    <row r="944" spans="1:20" x14ac:dyDescent="0.2">
      <c r="A944" t="s">
        <v>2902</v>
      </c>
      <c r="B944" t="s">
        <v>2022</v>
      </c>
      <c r="C944" t="s">
        <v>2053</v>
      </c>
      <c r="D944" t="s">
        <v>2024</v>
      </c>
      <c r="E944" t="s">
        <v>2903</v>
      </c>
      <c r="F944" t="s">
        <v>2904</v>
      </c>
      <c r="G944">
        <v>2</v>
      </c>
      <c r="H944">
        <v>1600</v>
      </c>
      <c r="I944">
        <v>3</v>
      </c>
      <c r="J944">
        <v>6.55</v>
      </c>
      <c r="K944">
        <v>3</v>
      </c>
      <c r="L944">
        <v>0.19500000000000001</v>
      </c>
      <c r="M944">
        <v>5</v>
      </c>
      <c r="N944">
        <v>113</v>
      </c>
      <c r="O944">
        <v>5</v>
      </c>
      <c r="P944">
        <v>0.67500000000000004</v>
      </c>
      <c r="Q944">
        <v>3</v>
      </c>
      <c r="R944">
        <v>1.2200000000000001E-2</v>
      </c>
      <c r="T944" s="8" t="s">
        <v>2903</v>
      </c>
    </row>
    <row r="945" spans="1:20" x14ac:dyDescent="0.2">
      <c r="A945" t="s">
        <v>2905</v>
      </c>
      <c r="B945" t="s">
        <v>2022</v>
      </c>
      <c r="C945" t="s">
        <v>2023</v>
      </c>
      <c r="D945" t="s">
        <v>2024</v>
      </c>
      <c r="E945" t="s">
        <v>2906</v>
      </c>
      <c r="F945" t="s">
        <v>2907</v>
      </c>
      <c r="G945">
        <v>2</v>
      </c>
      <c r="H945">
        <v>1560</v>
      </c>
      <c r="I945">
        <v>2</v>
      </c>
      <c r="J945">
        <v>3.4</v>
      </c>
      <c r="K945">
        <v>2</v>
      </c>
      <c r="L945">
        <v>2.5999999999999999E-2</v>
      </c>
      <c r="M945">
        <v>1</v>
      </c>
      <c r="N945">
        <v>74</v>
      </c>
      <c r="O945">
        <v>1</v>
      </c>
      <c r="P945">
        <v>7.4999999999999997E-2</v>
      </c>
      <c r="Q945">
        <v>1</v>
      </c>
      <c r="R945">
        <v>5.0000000000000001E-4</v>
      </c>
      <c r="T945" s="8" t="s">
        <v>2906</v>
      </c>
    </row>
    <row r="946" spans="1:20" x14ac:dyDescent="0.2">
      <c r="A946" t="s">
        <v>2908</v>
      </c>
      <c r="B946" t="s">
        <v>2022</v>
      </c>
      <c r="C946" t="s">
        <v>2023</v>
      </c>
      <c r="D946" t="s">
        <v>2024</v>
      </c>
      <c r="E946" t="s">
        <v>2909</v>
      </c>
      <c r="F946" t="s">
        <v>2910</v>
      </c>
      <c r="G946">
        <v>3</v>
      </c>
      <c r="H946">
        <v>1640</v>
      </c>
      <c r="I946">
        <v>5</v>
      </c>
      <c r="J946">
        <v>10.9</v>
      </c>
      <c r="K946">
        <v>5</v>
      </c>
      <c r="L946">
        <v>8.5999999999999993E-2</v>
      </c>
      <c r="M946">
        <v>1</v>
      </c>
      <c r="N946">
        <v>74</v>
      </c>
      <c r="O946">
        <v>4</v>
      </c>
      <c r="P946">
        <v>0.52500000000000002</v>
      </c>
      <c r="Q946">
        <v>5</v>
      </c>
      <c r="R946">
        <v>8.0000000000000002E-3</v>
      </c>
      <c r="T946" s="8" t="s">
        <v>2909</v>
      </c>
    </row>
    <row r="947" spans="1:20" x14ac:dyDescent="0.2">
      <c r="A947" t="s">
        <v>2911</v>
      </c>
      <c r="B947" t="s">
        <v>2022</v>
      </c>
      <c r="C947" t="s">
        <v>2036</v>
      </c>
      <c r="D947" t="s">
        <v>2024</v>
      </c>
      <c r="E947" t="s">
        <v>337</v>
      </c>
      <c r="F947" t="s">
        <v>2912</v>
      </c>
      <c r="G947">
        <v>5</v>
      </c>
      <c r="H947">
        <v>1940</v>
      </c>
      <c r="I947">
        <v>1</v>
      </c>
      <c r="J947">
        <v>2.2000000000000002</v>
      </c>
      <c r="K947">
        <v>2</v>
      </c>
      <c r="L947">
        <v>8.5000000000000006E-2</v>
      </c>
      <c r="M947">
        <v>5</v>
      </c>
      <c r="N947">
        <v>100</v>
      </c>
      <c r="O947">
        <v>1</v>
      </c>
      <c r="P947">
        <v>9.5000000000000001E-2</v>
      </c>
      <c r="Q947">
        <v>2</v>
      </c>
      <c r="R947">
        <v>4.2500000000000003E-3</v>
      </c>
      <c r="T947" s="8" t="s">
        <v>337</v>
      </c>
    </row>
    <row r="948" spans="1:20" x14ac:dyDescent="0.2">
      <c r="A948" t="s">
        <v>2913</v>
      </c>
      <c r="B948" t="s">
        <v>2022</v>
      </c>
      <c r="C948" t="s">
        <v>2023</v>
      </c>
      <c r="D948" t="s">
        <v>2024</v>
      </c>
      <c r="E948" t="s">
        <v>2914</v>
      </c>
      <c r="F948" t="s">
        <v>2915</v>
      </c>
      <c r="G948">
        <v>5</v>
      </c>
      <c r="H948">
        <v>1800</v>
      </c>
      <c r="I948">
        <v>5</v>
      </c>
      <c r="J948">
        <v>10.9</v>
      </c>
      <c r="K948">
        <v>5</v>
      </c>
      <c r="L948">
        <v>8.5999999999999993E-2</v>
      </c>
      <c r="M948">
        <v>3</v>
      </c>
      <c r="N948">
        <v>94</v>
      </c>
      <c r="O948">
        <v>4</v>
      </c>
      <c r="P948">
        <v>0.52500000000000002</v>
      </c>
      <c r="Q948">
        <v>5</v>
      </c>
      <c r="R948">
        <v>8.0000000000000002E-3</v>
      </c>
      <c r="T948" s="8" t="s">
        <v>2914</v>
      </c>
    </row>
    <row r="949" spans="1:20" x14ac:dyDescent="0.2">
      <c r="A949" t="s">
        <v>2916</v>
      </c>
      <c r="B949" t="s">
        <v>2022</v>
      </c>
      <c r="C949" t="s">
        <v>2023</v>
      </c>
      <c r="D949" t="s">
        <v>2024</v>
      </c>
      <c r="E949" t="s">
        <v>2917</v>
      </c>
      <c r="F949" t="s">
        <v>2918</v>
      </c>
      <c r="G949">
        <v>4</v>
      </c>
      <c r="H949">
        <v>1720</v>
      </c>
      <c r="I949">
        <v>5</v>
      </c>
      <c r="J949">
        <v>10.9</v>
      </c>
      <c r="K949">
        <v>5</v>
      </c>
      <c r="L949">
        <v>8.5999999999999993E-2</v>
      </c>
      <c r="M949">
        <v>3</v>
      </c>
      <c r="N949">
        <v>94</v>
      </c>
      <c r="O949">
        <v>5</v>
      </c>
      <c r="P949">
        <v>0.67500000000000004</v>
      </c>
      <c r="Q949">
        <v>5</v>
      </c>
      <c r="R949">
        <v>8.0000000000000002E-3</v>
      </c>
      <c r="T949" s="8" t="s">
        <v>2917</v>
      </c>
    </row>
    <row r="950" spans="1:20" x14ac:dyDescent="0.2">
      <c r="A950" t="s">
        <v>2919</v>
      </c>
      <c r="B950" t="s">
        <v>2022</v>
      </c>
      <c r="C950" t="s">
        <v>2101</v>
      </c>
      <c r="D950" t="s">
        <v>2024</v>
      </c>
      <c r="E950" t="s">
        <v>2920</v>
      </c>
      <c r="F950" t="s">
        <v>2921</v>
      </c>
      <c r="G950">
        <v>4</v>
      </c>
      <c r="H950">
        <v>1870</v>
      </c>
      <c r="I950">
        <v>1</v>
      </c>
      <c r="J950">
        <v>2</v>
      </c>
      <c r="K950">
        <v>1</v>
      </c>
      <c r="L950">
        <v>1.15E-2</v>
      </c>
      <c r="M950">
        <v>3</v>
      </c>
      <c r="N950">
        <v>82</v>
      </c>
      <c r="O950">
        <v>1</v>
      </c>
      <c r="P950">
        <v>7.4999999999999997E-2</v>
      </c>
      <c r="Q950">
        <v>1</v>
      </c>
      <c r="R950">
        <v>5.0000000000000001E-4</v>
      </c>
      <c r="T950" s="8" t="s">
        <v>2920</v>
      </c>
    </row>
    <row r="951" spans="1:20" x14ac:dyDescent="0.2">
      <c r="A951" t="s">
        <v>2922</v>
      </c>
      <c r="B951" t="s">
        <v>2022</v>
      </c>
      <c r="C951" t="s">
        <v>2101</v>
      </c>
      <c r="D951" t="s">
        <v>2024</v>
      </c>
      <c r="E951" t="s">
        <v>2923</v>
      </c>
      <c r="F951" t="s">
        <v>2924</v>
      </c>
      <c r="G951">
        <v>1</v>
      </c>
      <c r="H951">
        <v>1570</v>
      </c>
      <c r="I951">
        <v>1</v>
      </c>
      <c r="J951">
        <v>2</v>
      </c>
      <c r="K951">
        <v>1</v>
      </c>
      <c r="L951">
        <v>1.15E-2</v>
      </c>
      <c r="M951">
        <v>2</v>
      </c>
      <c r="N951">
        <v>74</v>
      </c>
      <c r="O951">
        <v>1</v>
      </c>
      <c r="P951">
        <v>7.4999999999999997E-2</v>
      </c>
      <c r="Q951">
        <v>1</v>
      </c>
      <c r="R951">
        <v>5.0000000000000001E-4</v>
      </c>
      <c r="T951" s="8" t="s">
        <v>2923</v>
      </c>
    </row>
    <row r="952" spans="1:20" x14ac:dyDescent="0.2">
      <c r="A952" t="s">
        <v>2925</v>
      </c>
      <c r="B952" t="s">
        <v>2022</v>
      </c>
      <c r="C952" t="s">
        <v>2053</v>
      </c>
      <c r="D952" t="s">
        <v>2024</v>
      </c>
      <c r="E952" t="s">
        <v>2926</v>
      </c>
      <c r="F952" t="s">
        <v>2927</v>
      </c>
      <c r="G952">
        <v>2</v>
      </c>
      <c r="H952">
        <v>1600</v>
      </c>
      <c r="I952">
        <v>3</v>
      </c>
      <c r="J952">
        <v>6.55</v>
      </c>
      <c r="K952">
        <v>2</v>
      </c>
      <c r="L952">
        <v>8.5000000000000006E-2</v>
      </c>
      <c r="M952">
        <v>2</v>
      </c>
      <c r="N952">
        <v>83</v>
      </c>
      <c r="O952">
        <v>2</v>
      </c>
      <c r="P952">
        <v>0.22500000000000001</v>
      </c>
      <c r="Q952">
        <v>2</v>
      </c>
      <c r="R952">
        <v>5.1999999999999998E-3</v>
      </c>
      <c r="T952" s="8" t="s">
        <v>2926</v>
      </c>
    </row>
    <row r="953" spans="1:20" x14ac:dyDescent="0.2">
      <c r="A953" t="s">
        <v>2928</v>
      </c>
      <c r="B953" t="s">
        <v>2022</v>
      </c>
      <c r="C953" t="s">
        <v>2053</v>
      </c>
      <c r="D953" t="s">
        <v>2024</v>
      </c>
      <c r="E953" t="s">
        <v>2929</v>
      </c>
      <c r="F953" t="s">
        <v>2930</v>
      </c>
      <c r="G953">
        <v>1</v>
      </c>
      <c r="H953">
        <v>1500</v>
      </c>
      <c r="I953">
        <v>2</v>
      </c>
      <c r="J953">
        <v>4.05</v>
      </c>
      <c r="K953">
        <v>2</v>
      </c>
      <c r="L953">
        <v>8.5000000000000006E-2</v>
      </c>
      <c r="M953">
        <v>1</v>
      </c>
      <c r="N953">
        <v>73</v>
      </c>
      <c r="O953">
        <v>1</v>
      </c>
      <c r="P953">
        <v>7.4999999999999997E-2</v>
      </c>
      <c r="Q953">
        <v>2</v>
      </c>
      <c r="R953">
        <v>5.1999999999999998E-3</v>
      </c>
      <c r="T953" s="8" t="s">
        <v>2929</v>
      </c>
    </row>
    <row r="954" spans="1:20" x14ac:dyDescent="0.2">
      <c r="A954" t="s">
        <v>2931</v>
      </c>
      <c r="B954" t="s">
        <v>2022</v>
      </c>
      <c r="C954" t="s">
        <v>2053</v>
      </c>
      <c r="D954" t="s">
        <v>2024</v>
      </c>
      <c r="E954" t="s">
        <v>2932</v>
      </c>
      <c r="F954" t="s">
        <v>2933</v>
      </c>
      <c r="G954">
        <v>4</v>
      </c>
      <c r="H954">
        <v>1800</v>
      </c>
      <c r="I954">
        <v>5</v>
      </c>
      <c r="J954">
        <v>11.55</v>
      </c>
      <c r="K954">
        <v>5</v>
      </c>
      <c r="L954">
        <v>0.41499999999999998</v>
      </c>
      <c r="M954">
        <v>4</v>
      </c>
      <c r="N954">
        <v>103</v>
      </c>
      <c r="O954">
        <v>5</v>
      </c>
      <c r="P954">
        <v>0.67500000000000004</v>
      </c>
      <c r="Q954">
        <v>5</v>
      </c>
      <c r="R954">
        <v>2.6200000000000001E-2</v>
      </c>
      <c r="T954" s="8" t="s">
        <v>2932</v>
      </c>
    </row>
    <row r="955" spans="1:20" x14ac:dyDescent="0.2">
      <c r="A955" t="s">
        <v>2934</v>
      </c>
      <c r="B955" t="s">
        <v>2022</v>
      </c>
      <c r="C955" t="s">
        <v>2095</v>
      </c>
      <c r="D955" t="s">
        <v>2024</v>
      </c>
      <c r="E955" t="s">
        <v>2935</v>
      </c>
      <c r="F955" t="s">
        <v>2936</v>
      </c>
      <c r="G955">
        <v>3</v>
      </c>
      <c r="H955">
        <v>1745</v>
      </c>
      <c r="I955">
        <v>1</v>
      </c>
      <c r="J955">
        <v>4.5</v>
      </c>
      <c r="K955">
        <v>2</v>
      </c>
      <c r="L955">
        <v>0.13</v>
      </c>
      <c r="M955">
        <v>5</v>
      </c>
      <c r="N955">
        <v>98</v>
      </c>
      <c r="O955">
        <v>2</v>
      </c>
      <c r="P955">
        <v>0.35</v>
      </c>
      <c r="Q955">
        <v>2</v>
      </c>
      <c r="R955">
        <v>5.8999999999999999E-3</v>
      </c>
      <c r="T955" s="8" t="s">
        <v>2935</v>
      </c>
    </row>
    <row r="956" spans="1:20" x14ac:dyDescent="0.2">
      <c r="A956" t="s">
        <v>2937</v>
      </c>
      <c r="B956" t="s">
        <v>2022</v>
      </c>
      <c r="C956" t="s">
        <v>2036</v>
      </c>
      <c r="D956" t="s">
        <v>2024</v>
      </c>
      <c r="E956" t="s">
        <v>2938</v>
      </c>
      <c r="F956" t="s">
        <v>2939</v>
      </c>
      <c r="G956">
        <v>1</v>
      </c>
      <c r="H956">
        <v>1540</v>
      </c>
      <c r="I956">
        <v>2</v>
      </c>
      <c r="J956">
        <v>3.4</v>
      </c>
      <c r="K956">
        <v>2</v>
      </c>
      <c r="L956">
        <v>8.5000000000000006E-2</v>
      </c>
      <c r="M956">
        <v>3</v>
      </c>
      <c r="N956">
        <v>88</v>
      </c>
      <c r="O956">
        <v>2</v>
      </c>
      <c r="P956">
        <v>0.20499999999999999</v>
      </c>
      <c r="Q956">
        <v>2</v>
      </c>
      <c r="R956">
        <v>4.2500000000000003E-3</v>
      </c>
      <c r="T956" s="8" t="s">
        <v>2938</v>
      </c>
    </row>
    <row r="957" spans="1:20" x14ac:dyDescent="0.2">
      <c r="A957" t="s">
        <v>2940</v>
      </c>
      <c r="B957" t="s">
        <v>2022</v>
      </c>
      <c r="C957" t="s">
        <v>2049</v>
      </c>
      <c r="D957" t="s">
        <v>2024</v>
      </c>
      <c r="E957" t="s">
        <v>2941</v>
      </c>
      <c r="F957" t="s">
        <v>2942</v>
      </c>
      <c r="G957">
        <v>3</v>
      </c>
      <c r="H957">
        <v>1550</v>
      </c>
      <c r="I957">
        <v>3</v>
      </c>
      <c r="J957">
        <v>5</v>
      </c>
      <c r="K957">
        <v>3</v>
      </c>
      <c r="L957">
        <v>0.14000000000000001</v>
      </c>
      <c r="M957">
        <v>3</v>
      </c>
      <c r="N957">
        <v>126</v>
      </c>
      <c r="O957">
        <v>3</v>
      </c>
      <c r="P957">
        <v>0.46</v>
      </c>
      <c r="Q957">
        <v>2</v>
      </c>
      <c r="R957">
        <v>6.1999999999999998E-3</v>
      </c>
      <c r="T957" s="8" t="s">
        <v>2941</v>
      </c>
    </row>
    <row r="958" spans="1:20" x14ac:dyDescent="0.2">
      <c r="A958" t="s">
        <v>2943</v>
      </c>
      <c r="B958" t="s">
        <v>2022</v>
      </c>
      <c r="C958" t="s">
        <v>2049</v>
      </c>
      <c r="D958" t="s">
        <v>2024</v>
      </c>
      <c r="E958" t="s">
        <v>2944</v>
      </c>
      <c r="F958" t="s">
        <v>2945</v>
      </c>
      <c r="G958">
        <v>1</v>
      </c>
      <c r="H958">
        <v>1350</v>
      </c>
      <c r="I958">
        <v>1</v>
      </c>
      <c r="J958">
        <v>1.4</v>
      </c>
      <c r="K958">
        <v>1</v>
      </c>
      <c r="L958">
        <v>0.01</v>
      </c>
      <c r="M958">
        <v>5</v>
      </c>
      <c r="N958">
        <v>166</v>
      </c>
      <c r="O958">
        <v>2</v>
      </c>
      <c r="P958">
        <v>0.26</v>
      </c>
      <c r="Q958">
        <v>2</v>
      </c>
      <c r="R958">
        <v>6.1999999999999998E-3</v>
      </c>
      <c r="T958" s="8" t="s">
        <v>2944</v>
      </c>
    </row>
    <row r="959" spans="1:20" x14ac:dyDescent="0.2">
      <c r="A959" t="s">
        <v>2946</v>
      </c>
      <c r="B959" t="s">
        <v>2022</v>
      </c>
      <c r="C959" t="s">
        <v>2036</v>
      </c>
      <c r="D959" t="s">
        <v>2136</v>
      </c>
      <c r="E959" t="s">
        <v>2947</v>
      </c>
      <c r="F959" t="s">
        <v>2948</v>
      </c>
      <c r="G959">
        <v>3</v>
      </c>
      <c r="H959">
        <v>1740</v>
      </c>
      <c r="I959">
        <v>3</v>
      </c>
      <c r="J959">
        <v>4.5999999999999996</v>
      </c>
      <c r="K959">
        <v>3</v>
      </c>
      <c r="L959">
        <v>0.115</v>
      </c>
      <c r="M959">
        <v>3</v>
      </c>
      <c r="N959">
        <v>88</v>
      </c>
      <c r="O959">
        <v>2</v>
      </c>
      <c r="P959">
        <v>0.20499999999999999</v>
      </c>
      <c r="Q959">
        <v>2</v>
      </c>
      <c r="R959">
        <v>4.2500000000000003E-3</v>
      </c>
      <c r="T959" s="8" t="s">
        <v>2947</v>
      </c>
    </row>
    <row r="960" spans="1:20" x14ac:dyDescent="0.2">
      <c r="A960" t="s">
        <v>2949</v>
      </c>
      <c r="B960" t="s">
        <v>2022</v>
      </c>
      <c r="C960" t="s">
        <v>2036</v>
      </c>
      <c r="D960" t="s">
        <v>2024</v>
      </c>
      <c r="E960" t="s">
        <v>2950</v>
      </c>
      <c r="F960" t="s">
        <v>2951</v>
      </c>
      <c r="G960">
        <v>2</v>
      </c>
      <c r="H960">
        <v>1640</v>
      </c>
      <c r="I960">
        <v>2</v>
      </c>
      <c r="J960">
        <v>3.4</v>
      </c>
      <c r="K960">
        <v>3</v>
      </c>
      <c r="L960">
        <v>0.115</v>
      </c>
      <c r="M960">
        <v>2</v>
      </c>
      <c r="N960">
        <v>82</v>
      </c>
      <c r="O960">
        <v>2</v>
      </c>
      <c r="P960">
        <v>0.20499999999999999</v>
      </c>
      <c r="Q960">
        <v>2</v>
      </c>
      <c r="R960">
        <v>4.2500000000000003E-3</v>
      </c>
      <c r="T960" s="8" t="s">
        <v>2950</v>
      </c>
    </row>
    <row r="961" spans="1:20" x14ac:dyDescent="0.2">
      <c r="A961" t="s">
        <v>2952</v>
      </c>
      <c r="B961" t="s">
        <v>2022</v>
      </c>
      <c r="C961" t="s">
        <v>2053</v>
      </c>
      <c r="D961" t="s">
        <v>2024</v>
      </c>
      <c r="E961" t="s">
        <v>2953</v>
      </c>
      <c r="F961" t="s">
        <v>2954</v>
      </c>
      <c r="G961">
        <v>1</v>
      </c>
      <c r="H961">
        <v>1500</v>
      </c>
      <c r="I961">
        <v>2</v>
      </c>
      <c r="J961">
        <v>4.05</v>
      </c>
      <c r="K961">
        <v>2</v>
      </c>
      <c r="L961">
        <v>8.5000000000000006E-2</v>
      </c>
      <c r="M961">
        <v>1</v>
      </c>
      <c r="N961">
        <v>73</v>
      </c>
      <c r="O961">
        <v>1</v>
      </c>
      <c r="P961">
        <v>7.4999999999999997E-2</v>
      </c>
      <c r="Q961">
        <v>2</v>
      </c>
      <c r="R961">
        <v>5.1999999999999998E-3</v>
      </c>
      <c r="T961" s="8" t="s">
        <v>2953</v>
      </c>
    </row>
    <row r="962" spans="1:20" x14ac:dyDescent="0.2">
      <c r="A962" t="s">
        <v>2955</v>
      </c>
      <c r="B962" t="s">
        <v>2022</v>
      </c>
      <c r="C962" t="s">
        <v>2049</v>
      </c>
      <c r="D962" t="s">
        <v>2136</v>
      </c>
      <c r="E962" t="s">
        <v>2956</v>
      </c>
      <c r="F962" t="s">
        <v>2957</v>
      </c>
      <c r="G962">
        <v>2</v>
      </c>
      <c r="H962">
        <v>1450</v>
      </c>
      <c r="I962">
        <v>2</v>
      </c>
      <c r="J962">
        <v>3.2</v>
      </c>
      <c r="K962">
        <v>2</v>
      </c>
      <c r="L962">
        <v>0.06</v>
      </c>
      <c r="M962">
        <v>3</v>
      </c>
      <c r="N962">
        <v>126</v>
      </c>
      <c r="O962">
        <v>2</v>
      </c>
      <c r="P962">
        <v>0.26</v>
      </c>
      <c r="Q962">
        <v>2</v>
      </c>
      <c r="R962">
        <v>6.1999999999999998E-3</v>
      </c>
      <c r="T962" s="8" t="s">
        <v>2956</v>
      </c>
    </row>
    <row r="963" spans="1:20" x14ac:dyDescent="0.2">
      <c r="A963" t="s">
        <v>2958</v>
      </c>
      <c r="B963" t="s">
        <v>2022</v>
      </c>
      <c r="C963" t="s">
        <v>2023</v>
      </c>
      <c r="D963" t="s">
        <v>2024</v>
      </c>
      <c r="E963" t="s">
        <v>2959</v>
      </c>
      <c r="F963" t="s">
        <v>2960</v>
      </c>
      <c r="G963">
        <v>4</v>
      </c>
      <c r="H963">
        <v>1720</v>
      </c>
      <c r="I963">
        <v>5</v>
      </c>
      <c r="J963">
        <v>10.9</v>
      </c>
      <c r="K963">
        <v>5</v>
      </c>
      <c r="L963">
        <v>8.5999999999999993E-2</v>
      </c>
      <c r="M963">
        <v>1</v>
      </c>
      <c r="N963">
        <v>74</v>
      </c>
      <c r="O963">
        <v>4</v>
      </c>
      <c r="P963">
        <v>0.52500000000000002</v>
      </c>
      <c r="Q963">
        <v>4</v>
      </c>
      <c r="R963">
        <v>6.0000000000000001E-3</v>
      </c>
      <c r="T963" s="8" t="s">
        <v>2959</v>
      </c>
    </row>
    <row r="964" spans="1:20" x14ac:dyDescent="0.2">
      <c r="A964" t="s">
        <v>2961</v>
      </c>
      <c r="B964" t="s">
        <v>2022</v>
      </c>
      <c r="C964" t="s">
        <v>2053</v>
      </c>
      <c r="D964" t="s">
        <v>2024</v>
      </c>
      <c r="E964" t="s">
        <v>2962</v>
      </c>
      <c r="F964" t="s">
        <v>2963</v>
      </c>
      <c r="G964">
        <v>1</v>
      </c>
      <c r="H964">
        <v>1500</v>
      </c>
      <c r="I964">
        <v>2</v>
      </c>
      <c r="J964">
        <v>4.05</v>
      </c>
      <c r="K964">
        <v>2</v>
      </c>
      <c r="L964">
        <v>8.5000000000000006E-2</v>
      </c>
      <c r="M964">
        <v>1</v>
      </c>
      <c r="N964">
        <v>73</v>
      </c>
      <c r="O964">
        <v>2</v>
      </c>
      <c r="P964">
        <v>0.22500000000000001</v>
      </c>
      <c r="Q964">
        <v>2</v>
      </c>
      <c r="R964">
        <v>5.1999999999999998E-3</v>
      </c>
      <c r="T964" s="8" t="s">
        <v>2962</v>
      </c>
    </row>
    <row r="965" spans="1:20" x14ac:dyDescent="0.2">
      <c r="A965" t="s">
        <v>2964</v>
      </c>
      <c r="B965" t="s">
        <v>2022</v>
      </c>
      <c r="C965" t="s">
        <v>2101</v>
      </c>
      <c r="D965" t="s">
        <v>2024</v>
      </c>
      <c r="E965" t="s">
        <v>2965</v>
      </c>
      <c r="F965" t="s">
        <v>2966</v>
      </c>
      <c r="G965">
        <v>3</v>
      </c>
      <c r="H965">
        <v>1770</v>
      </c>
      <c r="I965">
        <v>3</v>
      </c>
      <c r="J965">
        <v>8</v>
      </c>
      <c r="K965">
        <v>3</v>
      </c>
      <c r="L965">
        <v>0.24349999999999999</v>
      </c>
      <c r="M965">
        <v>2</v>
      </c>
      <c r="N965">
        <v>74</v>
      </c>
      <c r="O965">
        <v>3</v>
      </c>
      <c r="P965">
        <v>0.375</v>
      </c>
      <c r="Q965">
        <v>3</v>
      </c>
      <c r="R965">
        <v>1.15E-2</v>
      </c>
      <c r="T965" s="8" t="s">
        <v>2965</v>
      </c>
    </row>
    <row r="966" spans="1:20" x14ac:dyDescent="0.2">
      <c r="A966" t="s">
        <v>2967</v>
      </c>
      <c r="B966" t="s">
        <v>2022</v>
      </c>
      <c r="C966" t="s">
        <v>2036</v>
      </c>
      <c r="D966" t="s">
        <v>2154</v>
      </c>
      <c r="E966" t="s">
        <v>2968</v>
      </c>
      <c r="F966" t="s">
        <v>2969</v>
      </c>
      <c r="G966">
        <v>4</v>
      </c>
      <c r="H966">
        <v>1840</v>
      </c>
      <c r="I966">
        <v>4</v>
      </c>
      <c r="J966">
        <v>5.8</v>
      </c>
      <c r="K966">
        <v>5</v>
      </c>
      <c r="L966">
        <v>0.17499999999999999</v>
      </c>
      <c r="M966">
        <v>3</v>
      </c>
      <c r="N966">
        <v>88</v>
      </c>
      <c r="O966">
        <v>3</v>
      </c>
      <c r="P966">
        <v>0.315</v>
      </c>
      <c r="Q966">
        <v>5</v>
      </c>
      <c r="R966">
        <v>1.2E-2</v>
      </c>
      <c r="T966" s="8" t="s">
        <v>2968</v>
      </c>
    </row>
    <row r="967" spans="1:20" x14ac:dyDescent="0.2">
      <c r="A967" t="s">
        <v>2970</v>
      </c>
      <c r="B967" t="s">
        <v>2022</v>
      </c>
      <c r="C967" t="s">
        <v>2053</v>
      </c>
      <c r="D967" t="s">
        <v>2024</v>
      </c>
      <c r="E967" t="s">
        <v>2971</v>
      </c>
      <c r="F967" t="s">
        <v>2972</v>
      </c>
      <c r="G967">
        <v>5</v>
      </c>
      <c r="H967">
        <v>1900</v>
      </c>
      <c r="I967">
        <v>4</v>
      </c>
      <c r="J967">
        <v>9.0500000000000007</v>
      </c>
      <c r="K967">
        <v>5</v>
      </c>
      <c r="L967">
        <v>0.41499999999999998</v>
      </c>
      <c r="M967">
        <v>3</v>
      </c>
      <c r="N967">
        <v>93</v>
      </c>
      <c r="O967">
        <v>3</v>
      </c>
      <c r="P967">
        <v>0.375</v>
      </c>
      <c r="Q967">
        <v>4</v>
      </c>
      <c r="R967">
        <v>1.9199999999999998E-2</v>
      </c>
      <c r="T967" s="8" t="s">
        <v>2971</v>
      </c>
    </row>
    <row r="968" spans="1:20" x14ac:dyDescent="0.2">
      <c r="A968" t="s">
        <v>2973</v>
      </c>
      <c r="B968" t="s">
        <v>2022</v>
      </c>
      <c r="C968" t="s">
        <v>2023</v>
      </c>
      <c r="D968" t="s">
        <v>2024</v>
      </c>
      <c r="E968" t="s">
        <v>2971</v>
      </c>
      <c r="F968" t="s">
        <v>2972</v>
      </c>
      <c r="G968">
        <v>4</v>
      </c>
      <c r="H968">
        <v>1720</v>
      </c>
      <c r="I968">
        <v>3</v>
      </c>
      <c r="J968">
        <v>5.9</v>
      </c>
      <c r="K968">
        <v>5</v>
      </c>
      <c r="L968">
        <v>8.5999999999999993E-2</v>
      </c>
      <c r="M968">
        <v>3</v>
      </c>
      <c r="N968">
        <v>94</v>
      </c>
      <c r="O968">
        <v>3</v>
      </c>
      <c r="P968">
        <v>0.375</v>
      </c>
      <c r="Q968">
        <v>4</v>
      </c>
      <c r="R968">
        <v>6.0000000000000001E-3</v>
      </c>
      <c r="T968" s="8" t="s">
        <v>2971</v>
      </c>
    </row>
    <row r="969" spans="1:20" x14ac:dyDescent="0.2">
      <c r="A969" t="s">
        <v>2974</v>
      </c>
      <c r="B969" t="s">
        <v>2022</v>
      </c>
      <c r="C969" t="s">
        <v>2053</v>
      </c>
      <c r="D969" t="s">
        <v>2136</v>
      </c>
      <c r="E969" t="s">
        <v>2975</v>
      </c>
      <c r="F969" t="s">
        <v>2976</v>
      </c>
      <c r="G969">
        <v>1</v>
      </c>
      <c r="H969">
        <v>1500</v>
      </c>
      <c r="I969">
        <v>2</v>
      </c>
      <c r="J969">
        <v>4.05</v>
      </c>
      <c r="K969">
        <v>2</v>
      </c>
      <c r="L969">
        <v>8.5000000000000006E-2</v>
      </c>
      <c r="M969">
        <v>1</v>
      </c>
      <c r="N969">
        <v>73</v>
      </c>
      <c r="O969">
        <v>1</v>
      </c>
      <c r="P969">
        <v>7.4999999999999997E-2</v>
      </c>
      <c r="Q969">
        <v>2</v>
      </c>
      <c r="R969">
        <v>5.1999999999999998E-3</v>
      </c>
      <c r="T969" s="8" t="s">
        <v>2975</v>
      </c>
    </row>
    <row r="970" spans="1:20" x14ac:dyDescent="0.2">
      <c r="A970" t="s">
        <v>2977</v>
      </c>
      <c r="B970" t="s">
        <v>2022</v>
      </c>
      <c r="C970" t="s">
        <v>2036</v>
      </c>
      <c r="D970" t="s">
        <v>2024</v>
      </c>
      <c r="E970" t="s">
        <v>317</v>
      </c>
      <c r="F970" t="s">
        <v>2978</v>
      </c>
      <c r="G970">
        <v>1</v>
      </c>
      <c r="H970">
        <v>1540</v>
      </c>
      <c r="I970">
        <v>3</v>
      </c>
      <c r="J970">
        <v>4.5999999999999996</v>
      </c>
      <c r="K970">
        <v>2</v>
      </c>
      <c r="L970">
        <v>8.5000000000000006E-2</v>
      </c>
      <c r="M970">
        <v>1</v>
      </c>
      <c r="N970">
        <v>76</v>
      </c>
      <c r="O970">
        <v>2</v>
      </c>
      <c r="P970">
        <v>0.20499999999999999</v>
      </c>
      <c r="Q970">
        <v>2</v>
      </c>
      <c r="R970">
        <v>4.2500000000000003E-3</v>
      </c>
      <c r="T970" s="8" t="s">
        <v>317</v>
      </c>
    </row>
    <row r="971" spans="1:20" x14ac:dyDescent="0.2">
      <c r="A971" t="s">
        <v>2979</v>
      </c>
      <c r="B971" t="s">
        <v>2022</v>
      </c>
      <c r="C971" t="s">
        <v>2023</v>
      </c>
      <c r="D971" t="s">
        <v>2154</v>
      </c>
      <c r="E971" t="s">
        <v>2980</v>
      </c>
      <c r="F971" t="s">
        <v>2981</v>
      </c>
      <c r="G971">
        <v>2</v>
      </c>
      <c r="H971">
        <v>1560</v>
      </c>
      <c r="I971">
        <v>2</v>
      </c>
      <c r="J971">
        <v>3.4</v>
      </c>
      <c r="K971">
        <v>3</v>
      </c>
      <c r="L971">
        <v>4.5999999999999999E-2</v>
      </c>
      <c r="M971">
        <v>4</v>
      </c>
      <c r="N971">
        <v>104</v>
      </c>
      <c r="O971">
        <v>1</v>
      </c>
      <c r="P971">
        <v>7.4999999999999997E-2</v>
      </c>
      <c r="Q971">
        <v>3</v>
      </c>
      <c r="R971">
        <v>4.0000000000000001E-3</v>
      </c>
      <c r="T971" s="8" t="s">
        <v>2980</v>
      </c>
    </row>
    <row r="972" spans="1:20" x14ac:dyDescent="0.2">
      <c r="A972" t="s">
        <v>2982</v>
      </c>
      <c r="B972" t="s">
        <v>2022</v>
      </c>
      <c r="C972" t="s">
        <v>2023</v>
      </c>
      <c r="D972" t="s">
        <v>2024</v>
      </c>
      <c r="E972" t="s">
        <v>2983</v>
      </c>
      <c r="F972" t="s">
        <v>2984</v>
      </c>
      <c r="G972">
        <v>3</v>
      </c>
      <c r="H972">
        <v>1640</v>
      </c>
      <c r="I972">
        <v>3</v>
      </c>
      <c r="J972">
        <v>5.9</v>
      </c>
      <c r="K972">
        <v>5</v>
      </c>
      <c r="L972">
        <v>8.5999999999999993E-2</v>
      </c>
      <c r="M972">
        <v>4</v>
      </c>
      <c r="N972">
        <v>104</v>
      </c>
      <c r="O972">
        <v>4</v>
      </c>
      <c r="P972">
        <v>0.52500000000000002</v>
      </c>
      <c r="Q972">
        <v>5</v>
      </c>
      <c r="R972">
        <v>8.0000000000000002E-3</v>
      </c>
      <c r="T972" s="8" t="s">
        <v>2983</v>
      </c>
    </row>
    <row r="973" spans="1:20" x14ac:dyDescent="0.2">
      <c r="A973" t="s">
        <v>2985</v>
      </c>
      <c r="B973" t="s">
        <v>2022</v>
      </c>
      <c r="C973" t="s">
        <v>2036</v>
      </c>
      <c r="D973" t="s">
        <v>2024</v>
      </c>
      <c r="E973" t="s">
        <v>2986</v>
      </c>
      <c r="F973" t="s">
        <v>2987</v>
      </c>
      <c r="G973">
        <v>3</v>
      </c>
      <c r="H973">
        <v>1740</v>
      </c>
      <c r="I973">
        <v>5</v>
      </c>
      <c r="J973">
        <v>7</v>
      </c>
      <c r="K973">
        <v>5</v>
      </c>
      <c r="L973">
        <v>0.17499999999999999</v>
      </c>
      <c r="M973">
        <v>3</v>
      </c>
      <c r="N973">
        <v>88</v>
      </c>
      <c r="O973">
        <v>4</v>
      </c>
      <c r="P973">
        <v>0.42499999999999999</v>
      </c>
      <c r="Q973">
        <v>5</v>
      </c>
      <c r="R973">
        <v>1.2E-2</v>
      </c>
      <c r="T973" s="8" t="s">
        <v>2986</v>
      </c>
    </row>
    <row r="974" spans="1:20" x14ac:dyDescent="0.2">
      <c r="A974" t="s">
        <v>2988</v>
      </c>
      <c r="B974" t="s">
        <v>2022</v>
      </c>
      <c r="C974" t="s">
        <v>2053</v>
      </c>
      <c r="D974" t="s">
        <v>2024</v>
      </c>
      <c r="E974" t="s">
        <v>2989</v>
      </c>
      <c r="F974" t="s">
        <v>447</v>
      </c>
      <c r="G974">
        <v>2</v>
      </c>
      <c r="H974">
        <v>1600</v>
      </c>
      <c r="I974">
        <v>4</v>
      </c>
      <c r="J974">
        <v>9.0500000000000007</v>
      </c>
      <c r="K974">
        <v>3</v>
      </c>
      <c r="L974">
        <v>0.19500000000000001</v>
      </c>
      <c r="M974">
        <v>3</v>
      </c>
      <c r="N974">
        <v>93</v>
      </c>
      <c r="O974">
        <v>4</v>
      </c>
      <c r="P974">
        <v>0.52500000000000002</v>
      </c>
      <c r="Q974">
        <v>3</v>
      </c>
      <c r="R974">
        <v>1.2200000000000001E-2</v>
      </c>
      <c r="T974" s="8" t="s">
        <v>2989</v>
      </c>
    </row>
    <row r="975" spans="1:20" x14ac:dyDescent="0.2">
      <c r="A975" t="s">
        <v>2990</v>
      </c>
      <c r="B975" t="s">
        <v>2022</v>
      </c>
      <c r="C975" t="s">
        <v>2023</v>
      </c>
      <c r="D975" t="s">
        <v>2024</v>
      </c>
      <c r="E975" t="s">
        <v>2991</v>
      </c>
      <c r="F975" t="s">
        <v>2992</v>
      </c>
      <c r="G975">
        <v>4</v>
      </c>
      <c r="H975">
        <v>1720</v>
      </c>
      <c r="I975">
        <v>5</v>
      </c>
      <c r="J975">
        <v>10.9</v>
      </c>
      <c r="K975">
        <v>5</v>
      </c>
      <c r="L975">
        <v>8.5999999999999993E-2</v>
      </c>
      <c r="M975">
        <v>3</v>
      </c>
      <c r="N975">
        <v>94</v>
      </c>
      <c r="O975">
        <v>5</v>
      </c>
      <c r="P975">
        <v>0.67500000000000004</v>
      </c>
      <c r="Q975">
        <v>5</v>
      </c>
      <c r="R975">
        <v>8.0000000000000002E-3</v>
      </c>
      <c r="T975" s="8" t="s">
        <v>2991</v>
      </c>
    </row>
    <row r="976" spans="1:20" x14ac:dyDescent="0.2">
      <c r="A976" t="s">
        <v>2993</v>
      </c>
      <c r="B976" t="s">
        <v>2022</v>
      </c>
      <c r="C976" t="s">
        <v>2049</v>
      </c>
      <c r="D976" t="s">
        <v>2024</v>
      </c>
      <c r="E976" t="s">
        <v>2994</v>
      </c>
      <c r="F976" t="s">
        <v>2995</v>
      </c>
      <c r="G976">
        <v>4</v>
      </c>
      <c r="H976">
        <v>1650</v>
      </c>
      <c r="I976">
        <v>1</v>
      </c>
      <c r="J976">
        <v>1.4</v>
      </c>
      <c r="K976">
        <v>1</v>
      </c>
      <c r="L976">
        <v>0.01</v>
      </c>
      <c r="M976">
        <v>4</v>
      </c>
      <c r="N976">
        <v>146</v>
      </c>
      <c r="O976">
        <v>1</v>
      </c>
      <c r="P976">
        <v>0.06</v>
      </c>
      <c r="Q976">
        <v>1</v>
      </c>
      <c r="R976">
        <v>8.4999999999999995E-4</v>
      </c>
      <c r="T976" s="8" t="s">
        <v>2994</v>
      </c>
    </row>
    <row r="977" spans="1:20" x14ac:dyDescent="0.2">
      <c r="A977" t="s">
        <v>2996</v>
      </c>
      <c r="B977" t="s">
        <v>2022</v>
      </c>
      <c r="C977" t="s">
        <v>2036</v>
      </c>
      <c r="D977" t="s">
        <v>2024</v>
      </c>
      <c r="E977" t="s">
        <v>2997</v>
      </c>
      <c r="F977" t="s">
        <v>447</v>
      </c>
      <c r="G977">
        <v>3</v>
      </c>
      <c r="H977">
        <v>1740</v>
      </c>
      <c r="I977">
        <v>1</v>
      </c>
      <c r="J977">
        <v>2.2000000000000002</v>
      </c>
      <c r="K977">
        <v>1</v>
      </c>
      <c r="L977">
        <v>5.5E-2</v>
      </c>
      <c r="M977">
        <v>3</v>
      </c>
      <c r="N977">
        <v>88</v>
      </c>
      <c r="O977">
        <v>1</v>
      </c>
      <c r="P977">
        <v>9.5000000000000001E-2</v>
      </c>
      <c r="Q977">
        <v>1</v>
      </c>
      <c r="R977">
        <v>1.5E-3</v>
      </c>
      <c r="T977" s="8" t="s">
        <v>2997</v>
      </c>
    </row>
    <row r="978" spans="1:20" x14ac:dyDescent="0.2">
      <c r="A978" t="s">
        <v>2998</v>
      </c>
      <c r="B978" t="s">
        <v>2022</v>
      </c>
      <c r="C978" t="s">
        <v>2053</v>
      </c>
      <c r="D978" t="s">
        <v>2024</v>
      </c>
      <c r="E978" t="s">
        <v>2999</v>
      </c>
      <c r="F978" t="s">
        <v>3000</v>
      </c>
      <c r="G978">
        <v>4</v>
      </c>
      <c r="H978">
        <v>1800</v>
      </c>
      <c r="I978">
        <v>3</v>
      </c>
      <c r="J978">
        <v>6.55</v>
      </c>
      <c r="K978">
        <v>3</v>
      </c>
      <c r="L978">
        <v>0.19500000000000001</v>
      </c>
      <c r="M978">
        <v>2</v>
      </c>
      <c r="N978">
        <v>83</v>
      </c>
      <c r="O978">
        <v>3</v>
      </c>
      <c r="P978">
        <v>0.375</v>
      </c>
      <c r="Q978">
        <v>2</v>
      </c>
      <c r="R978">
        <v>5.1999999999999998E-3</v>
      </c>
      <c r="T978" s="8" t="s">
        <v>2999</v>
      </c>
    </row>
    <row r="979" spans="1:20" x14ac:dyDescent="0.2">
      <c r="A979" t="s">
        <v>3001</v>
      </c>
      <c r="B979" t="s">
        <v>2022</v>
      </c>
      <c r="C979" t="s">
        <v>2053</v>
      </c>
      <c r="D979" t="s">
        <v>2024</v>
      </c>
      <c r="E979" t="s">
        <v>3002</v>
      </c>
      <c r="F979" t="s">
        <v>3003</v>
      </c>
      <c r="G979">
        <v>2</v>
      </c>
      <c r="H979">
        <v>1600</v>
      </c>
      <c r="I979">
        <v>4</v>
      </c>
      <c r="J979">
        <v>9.0500000000000007</v>
      </c>
      <c r="K979">
        <v>4</v>
      </c>
      <c r="L979">
        <v>0.30499999999999999</v>
      </c>
      <c r="M979">
        <v>5</v>
      </c>
      <c r="N979">
        <v>113</v>
      </c>
      <c r="O979">
        <v>5</v>
      </c>
      <c r="P979">
        <v>0.67500000000000004</v>
      </c>
      <c r="Q979">
        <v>5</v>
      </c>
      <c r="R979">
        <v>2.6200000000000001E-2</v>
      </c>
      <c r="T979" s="8" t="s">
        <v>3002</v>
      </c>
    </row>
    <row r="980" spans="1:20" x14ac:dyDescent="0.2">
      <c r="A980" t="s">
        <v>3004</v>
      </c>
      <c r="B980" t="s">
        <v>2022</v>
      </c>
      <c r="C980" t="s">
        <v>2023</v>
      </c>
      <c r="D980" t="s">
        <v>2024</v>
      </c>
      <c r="E980" t="s">
        <v>3005</v>
      </c>
      <c r="F980" t="s">
        <v>3006</v>
      </c>
      <c r="G980">
        <v>4</v>
      </c>
      <c r="H980">
        <v>1720</v>
      </c>
      <c r="I980">
        <v>5</v>
      </c>
      <c r="J980">
        <v>10.9</v>
      </c>
      <c r="K980">
        <v>5</v>
      </c>
      <c r="L980">
        <v>8.5999999999999993E-2</v>
      </c>
      <c r="M980">
        <v>3</v>
      </c>
      <c r="N980">
        <v>94</v>
      </c>
      <c r="O980">
        <v>5</v>
      </c>
      <c r="P980">
        <v>0.67500000000000004</v>
      </c>
      <c r="Q980">
        <v>5</v>
      </c>
      <c r="R980">
        <v>8.0000000000000002E-3</v>
      </c>
      <c r="T980" s="8" t="s">
        <v>3005</v>
      </c>
    </row>
    <row r="981" spans="1:20" x14ac:dyDescent="0.2">
      <c r="A981" t="s">
        <v>3007</v>
      </c>
      <c r="B981" t="s">
        <v>2022</v>
      </c>
      <c r="C981" t="s">
        <v>2222</v>
      </c>
      <c r="D981" t="s">
        <v>2024</v>
      </c>
      <c r="E981" t="s">
        <v>3008</v>
      </c>
      <c r="F981" t="s">
        <v>3009</v>
      </c>
      <c r="G981">
        <v>2</v>
      </c>
      <c r="H981">
        <v>1550</v>
      </c>
      <c r="I981">
        <v>3</v>
      </c>
      <c r="J981">
        <v>5.5</v>
      </c>
      <c r="K981">
        <v>2</v>
      </c>
      <c r="L981">
        <v>5.5E-2</v>
      </c>
      <c r="M981">
        <v>2</v>
      </c>
      <c r="N981">
        <v>63</v>
      </c>
      <c r="O981">
        <v>3</v>
      </c>
      <c r="P981">
        <v>0.23</v>
      </c>
      <c r="Q981">
        <v>2</v>
      </c>
      <c r="R981">
        <v>2.3E-3</v>
      </c>
      <c r="T981" s="8" t="s">
        <v>3008</v>
      </c>
    </row>
    <row r="982" spans="1:20" x14ac:dyDescent="0.2">
      <c r="A982" t="s">
        <v>3010</v>
      </c>
      <c r="B982" t="s">
        <v>2022</v>
      </c>
      <c r="C982" t="s">
        <v>2101</v>
      </c>
      <c r="D982" t="s">
        <v>2024</v>
      </c>
      <c r="E982" t="s">
        <v>3011</v>
      </c>
      <c r="F982" t="s">
        <v>3012</v>
      </c>
      <c r="G982">
        <v>5</v>
      </c>
      <c r="H982">
        <v>1970</v>
      </c>
      <c r="I982">
        <v>2</v>
      </c>
      <c r="J982">
        <v>5</v>
      </c>
      <c r="K982">
        <v>2</v>
      </c>
      <c r="L982">
        <v>9.6500000000000002E-2</v>
      </c>
      <c r="M982">
        <v>4</v>
      </c>
      <c r="N982">
        <v>90</v>
      </c>
      <c r="O982">
        <v>2</v>
      </c>
      <c r="P982">
        <v>0.22500000000000001</v>
      </c>
      <c r="Q982">
        <v>2</v>
      </c>
      <c r="R982">
        <v>4.4999999999999997E-3</v>
      </c>
      <c r="T982" s="8" t="s">
        <v>3011</v>
      </c>
    </row>
    <row r="983" spans="1:20" x14ac:dyDescent="0.2">
      <c r="A983" t="s">
        <v>3013</v>
      </c>
      <c r="B983" t="s">
        <v>2022</v>
      </c>
      <c r="C983" t="s">
        <v>2023</v>
      </c>
      <c r="D983" t="s">
        <v>2024</v>
      </c>
      <c r="E983" t="s">
        <v>3011</v>
      </c>
      <c r="F983" t="s">
        <v>3012</v>
      </c>
      <c r="G983">
        <v>5</v>
      </c>
      <c r="H983">
        <v>1800</v>
      </c>
      <c r="I983">
        <v>3</v>
      </c>
      <c r="J983">
        <v>5.9</v>
      </c>
      <c r="K983">
        <v>3</v>
      </c>
      <c r="L983">
        <v>4.5999999999999999E-2</v>
      </c>
      <c r="M983">
        <v>4</v>
      </c>
      <c r="N983">
        <v>104</v>
      </c>
      <c r="O983">
        <v>2</v>
      </c>
      <c r="P983">
        <v>0.22500000000000001</v>
      </c>
      <c r="Q983">
        <v>2</v>
      </c>
      <c r="R983">
        <v>2E-3</v>
      </c>
      <c r="T983" s="8" t="s">
        <v>3011</v>
      </c>
    </row>
    <row r="984" spans="1:20" x14ac:dyDescent="0.2">
      <c r="A984" t="s">
        <v>3014</v>
      </c>
      <c r="B984" t="s">
        <v>2022</v>
      </c>
      <c r="C984" t="s">
        <v>2053</v>
      </c>
      <c r="D984" t="s">
        <v>2024</v>
      </c>
      <c r="E984" t="s">
        <v>3015</v>
      </c>
      <c r="F984" t="s">
        <v>3016</v>
      </c>
      <c r="G984">
        <v>5</v>
      </c>
      <c r="H984">
        <v>1900</v>
      </c>
      <c r="I984">
        <v>5</v>
      </c>
      <c r="J984">
        <v>11.55</v>
      </c>
      <c r="K984">
        <v>5</v>
      </c>
      <c r="L984">
        <v>0.41499999999999998</v>
      </c>
      <c r="M984">
        <v>2</v>
      </c>
      <c r="N984">
        <v>83</v>
      </c>
      <c r="O984">
        <v>5</v>
      </c>
      <c r="P984">
        <v>0.67500000000000004</v>
      </c>
      <c r="Q984">
        <v>4</v>
      </c>
      <c r="R984">
        <v>1.9199999999999998E-2</v>
      </c>
      <c r="T984" s="8" t="s">
        <v>3015</v>
      </c>
    </row>
    <row r="985" spans="1:20" x14ac:dyDescent="0.2">
      <c r="A985" t="s">
        <v>3017</v>
      </c>
      <c r="B985" t="s">
        <v>2022</v>
      </c>
      <c r="C985" t="s">
        <v>2222</v>
      </c>
      <c r="D985" t="s">
        <v>2024</v>
      </c>
      <c r="E985" t="s">
        <v>3018</v>
      </c>
      <c r="F985" t="s">
        <v>3019</v>
      </c>
      <c r="G985">
        <v>3</v>
      </c>
      <c r="H985">
        <v>1650</v>
      </c>
      <c r="I985">
        <v>1</v>
      </c>
      <c r="J985">
        <v>2.2999999999999998</v>
      </c>
      <c r="K985">
        <v>1</v>
      </c>
      <c r="L985">
        <v>0.01</v>
      </c>
      <c r="M985">
        <v>2</v>
      </c>
      <c r="N985">
        <v>63</v>
      </c>
      <c r="O985">
        <v>1</v>
      </c>
      <c r="P985">
        <v>7.0000000000000007E-2</v>
      </c>
      <c r="Q985">
        <v>1</v>
      </c>
      <c r="R985">
        <v>4.0000000000000002E-4</v>
      </c>
      <c r="T985" s="8" t="s">
        <v>3018</v>
      </c>
    </row>
    <row r="986" spans="1:20" x14ac:dyDescent="0.2">
      <c r="A986" t="s">
        <v>3020</v>
      </c>
      <c r="B986" t="s">
        <v>2022</v>
      </c>
      <c r="C986" t="s">
        <v>2106</v>
      </c>
      <c r="D986" t="s">
        <v>2024</v>
      </c>
      <c r="E986" t="s">
        <v>3021</v>
      </c>
      <c r="F986" t="s">
        <v>3022</v>
      </c>
      <c r="G986">
        <v>2</v>
      </c>
      <c r="H986">
        <v>1825</v>
      </c>
      <c r="I986">
        <v>1</v>
      </c>
      <c r="J986">
        <v>3.25</v>
      </c>
      <c r="K986">
        <v>3</v>
      </c>
      <c r="L986">
        <v>0.14000000000000001</v>
      </c>
      <c r="M986">
        <v>1</v>
      </c>
      <c r="N986">
        <v>61.5</v>
      </c>
      <c r="O986">
        <v>2</v>
      </c>
      <c r="P986">
        <v>0.15</v>
      </c>
      <c r="Q986">
        <v>3</v>
      </c>
      <c r="R986">
        <v>4.4999999999999997E-3</v>
      </c>
      <c r="T986" s="8" t="s">
        <v>3021</v>
      </c>
    </row>
    <row r="987" spans="1:20" x14ac:dyDescent="0.2">
      <c r="A987" t="s">
        <v>3023</v>
      </c>
      <c r="B987" t="s">
        <v>2022</v>
      </c>
      <c r="C987" t="s">
        <v>2104</v>
      </c>
      <c r="D987" t="s">
        <v>2024</v>
      </c>
      <c r="E987" t="s">
        <v>3024</v>
      </c>
      <c r="F987" t="s">
        <v>3025</v>
      </c>
      <c r="G987">
        <v>3</v>
      </c>
      <c r="H987">
        <v>1887.5</v>
      </c>
      <c r="I987">
        <v>3</v>
      </c>
      <c r="J987">
        <v>5.55</v>
      </c>
      <c r="K987">
        <v>5</v>
      </c>
      <c r="L987">
        <v>0.191</v>
      </c>
      <c r="M987">
        <v>3</v>
      </c>
      <c r="N987">
        <v>73</v>
      </c>
      <c r="P987">
        <v>0</v>
      </c>
      <c r="Q987">
        <v>3</v>
      </c>
      <c r="R987">
        <v>8.2000000000000007E-3</v>
      </c>
      <c r="T987" s="8" t="s">
        <v>3024</v>
      </c>
    </row>
    <row r="988" spans="1:20" x14ac:dyDescent="0.2">
      <c r="A988" t="s">
        <v>3026</v>
      </c>
      <c r="B988" t="s">
        <v>2022</v>
      </c>
      <c r="C988" t="s">
        <v>2053</v>
      </c>
      <c r="D988" t="s">
        <v>2024</v>
      </c>
      <c r="E988" t="s">
        <v>3027</v>
      </c>
      <c r="F988" t="s">
        <v>3028</v>
      </c>
      <c r="G988">
        <v>5</v>
      </c>
      <c r="H988">
        <v>1900</v>
      </c>
      <c r="I988">
        <v>4</v>
      </c>
      <c r="J988">
        <v>9.0500000000000007</v>
      </c>
      <c r="K988">
        <v>3</v>
      </c>
      <c r="L988">
        <v>0.19500000000000001</v>
      </c>
      <c r="M988">
        <v>2</v>
      </c>
      <c r="N988">
        <v>83</v>
      </c>
      <c r="O988">
        <v>3</v>
      </c>
      <c r="P988">
        <v>0.375</v>
      </c>
      <c r="Q988">
        <v>2</v>
      </c>
      <c r="R988">
        <v>5.1999999999999998E-3</v>
      </c>
      <c r="T988" s="8" t="s">
        <v>3027</v>
      </c>
    </row>
    <row r="989" spans="1:20" x14ac:dyDescent="0.2">
      <c r="A989" t="s">
        <v>3029</v>
      </c>
      <c r="B989" t="s">
        <v>2022</v>
      </c>
      <c r="C989" t="s">
        <v>2053</v>
      </c>
      <c r="D989" t="s">
        <v>2024</v>
      </c>
      <c r="E989" t="s">
        <v>3030</v>
      </c>
      <c r="F989" t="s">
        <v>3031</v>
      </c>
      <c r="G989">
        <v>5</v>
      </c>
      <c r="H989">
        <v>1900</v>
      </c>
      <c r="I989">
        <v>2</v>
      </c>
      <c r="J989">
        <v>4.05</v>
      </c>
      <c r="K989">
        <v>2</v>
      </c>
      <c r="L989">
        <v>8.5000000000000006E-2</v>
      </c>
      <c r="M989">
        <v>2</v>
      </c>
      <c r="N989">
        <v>83</v>
      </c>
      <c r="O989">
        <v>1</v>
      </c>
      <c r="P989">
        <v>7.4999999999999997E-2</v>
      </c>
      <c r="Q989">
        <v>1</v>
      </c>
      <c r="R989">
        <v>8.4999999999999995E-4</v>
      </c>
      <c r="T989" s="8" t="s">
        <v>3030</v>
      </c>
    </row>
    <row r="990" spans="1:20" x14ac:dyDescent="0.2">
      <c r="A990" t="s">
        <v>3032</v>
      </c>
      <c r="B990" t="s">
        <v>2022</v>
      </c>
      <c r="C990" t="s">
        <v>2036</v>
      </c>
      <c r="D990" t="s">
        <v>2024</v>
      </c>
      <c r="E990" t="s">
        <v>3033</v>
      </c>
      <c r="F990" t="s">
        <v>3034</v>
      </c>
      <c r="G990">
        <v>1</v>
      </c>
      <c r="H990">
        <v>1540</v>
      </c>
      <c r="I990">
        <v>1</v>
      </c>
      <c r="J990">
        <v>2.2000000000000002</v>
      </c>
      <c r="K990">
        <v>1</v>
      </c>
      <c r="L990">
        <v>5.5E-2</v>
      </c>
      <c r="M990">
        <v>1</v>
      </c>
      <c r="N990">
        <v>76</v>
      </c>
      <c r="O990">
        <v>1</v>
      </c>
      <c r="P990">
        <v>9.5000000000000001E-2</v>
      </c>
      <c r="Q990">
        <v>1</v>
      </c>
      <c r="R990">
        <v>1.5E-3</v>
      </c>
      <c r="T990" s="8" t="s">
        <v>3033</v>
      </c>
    </row>
    <row r="991" spans="1:20" x14ac:dyDescent="0.2">
      <c r="A991" t="s">
        <v>3035</v>
      </c>
      <c r="B991" t="s">
        <v>2022</v>
      </c>
      <c r="C991" t="s">
        <v>2036</v>
      </c>
      <c r="D991" t="s">
        <v>2024</v>
      </c>
      <c r="E991" t="s">
        <v>3036</v>
      </c>
      <c r="F991" t="s">
        <v>3037</v>
      </c>
      <c r="G991">
        <v>5</v>
      </c>
      <c r="H991">
        <v>1940</v>
      </c>
      <c r="I991">
        <v>5</v>
      </c>
      <c r="J991">
        <v>7</v>
      </c>
      <c r="K991">
        <v>5</v>
      </c>
      <c r="L991">
        <v>0.17499999999999999</v>
      </c>
      <c r="M991">
        <v>5</v>
      </c>
      <c r="N991">
        <v>100</v>
      </c>
      <c r="O991">
        <v>5</v>
      </c>
      <c r="P991">
        <v>0.53500000000000003</v>
      </c>
      <c r="Q991">
        <v>5</v>
      </c>
      <c r="R991">
        <v>1.2E-2</v>
      </c>
      <c r="T991" s="8" t="s">
        <v>3036</v>
      </c>
    </row>
    <row r="992" spans="1:20" x14ac:dyDescent="0.2">
      <c r="A992" t="s">
        <v>3038</v>
      </c>
      <c r="B992" t="s">
        <v>2022</v>
      </c>
      <c r="C992" t="s">
        <v>2222</v>
      </c>
      <c r="D992" t="s">
        <v>2024</v>
      </c>
      <c r="E992" t="s">
        <v>3039</v>
      </c>
      <c r="F992" t="s">
        <v>3040</v>
      </c>
      <c r="G992">
        <v>2</v>
      </c>
      <c r="H992">
        <v>1550</v>
      </c>
      <c r="I992">
        <v>1</v>
      </c>
      <c r="J992">
        <v>2.2999999999999998</v>
      </c>
      <c r="K992">
        <v>1</v>
      </c>
      <c r="L992">
        <v>0.01</v>
      </c>
      <c r="M992">
        <v>2</v>
      </c>
      <c r="N992">
        <v>63</v>
      </c>
      <c r="O992">
        <v>1</v>
      </c>
      <c r="P992">
        <v>7.0000000000000007E-2</v>
      </c>
      <c r="Q992">
        <v>1</v>
      </c>
      <c r="R992">
        <v>4.0000000000000002E-4</v>
      </c>
      <c r="T992" s="8" t="s">
        <v>3039</v>
      </c>
    </row>
    <row r="993" spans="1:20" x14ac:dyDescent="0.2">
      <c r="A993" t="s">
        <v>3041</v>
      </c>
      <c r="B993" t="s">
        <v>2022</v>
      </c>
      <c r="C993" t="s">
        <v>2036</v>
      </c>
      <c r="D993" t="s">
        <v>2024</v>
      </c>
      <c r="E993" t="s">
        <v>3042</v>
      </c>
      <c r="F993" t="s">
        <v>3043</v>
      </c>
      <c r="G993">
        <v>5</v>
      </c>
      <c r="H993">
        <v>1940</v>
      </c>
      <c r="I993">
        <v>5</v>
      </c>
      <c r="J993">
        <v>7</v>
      </c>
      <c r="K993">
        <v>5</v>
      </c>
      <c r="L993">
        <v>0.17499999999999999</v>
      </c>
      <c r="M993">
        <v>5</v>
      </c>
      <c r="N993">
        <v>100</v>
      </c>
      <c r="O993">
        <v>5</v>
      </c>
      <c r="P993">
        <v>0.53500000000000003</v>
      </c>
      <c r="Q993">
        <v>5</v>
      </c>
      <c r="R993">
        <v>1.2E-2</v>
      </c>
      <c r="T993" s="8" t="s">
        <v>3042</v>
      </c>
    </row>
    <row r="994" spans="1:20" x14ac:dyDescent="0.2">
      <c r="A994" t="s">
        <v>3044</v>
      </c>
      <c r="B994" t="s">
        <v>2022</v>
      </c>
      <c r="C994" t="s">
        <v>2023</v>
      </c>
      <c r="D994" t="s">
        <v>2024</v>
      </c>
      <c r="E994" t="s">
        <v>357</v>
      </c>
      <c r="F994" t="s">
        <v>447</v>
      </c>
      <c r="G994">
        <v>1</v>
      </c>
      <c r="H994">
        <v>1480</v>
      </c>
      <c r="I994">
        <v>1</v>
      </c>
      <c r="J994">
        <v>0.9</v>
      </c>
      <c r="K994">
        <v>1</v>
      </c>
      <c r="L994">
        <v>6.0000000000000001E-3</v>
      </c>
      <c r="M994">
        <v>5</v>
      </c>
      <c r="N994">
        <v>114</v>
      </c>
      <c r="O994">
        <v>5</v>
      </c>
      <c r="P994">
        <v>0.67500000000000004</v>
      </c>
      <c r="Q994">
        <v>5</v>
      </c>
      <c r="R994">
        <v>8.0000000000000002E-3</v>
      </c>
      <c r="T994" s="8" t="s">
        <v>357</v>
      </c>
    </row>
    <row r="995" spans="1:20" x14ac:dyDescent="0.2">
      <c r="A995" t="s">
        <v>3045</v>
      </c>
      <c r="B995" t="s">
        <v>2022</v>
      </c>
      <c r="C995" t="s">
        <v>2023</v>
      </c>
      <c r="D995" t="s">
        <v>2024</v>
      </c>
      <c r="E995" t="s">
        <v>3046</v>
      </c>
      <c r="F995" t="s">
        <v>3047</v>
      </c>
      <c r="G995">
        <v>5</v>
      </c>
      <c r="H995">
        <v>1800</v>
      </c>
      <c r="I995">
        <v>5</v>
      </c>
      <c r="J995">
        <v>10.9</v>
      </c>
      <c r="K995">
        <v>5</v>
      </c>
      <c r="L995">
        <v>8.5999999999999993E-2</v>
      </c>
      <c r="M995">
        <v>2</v>
      </c>
      <c r="N995">
        <v>84</v>
      </c>
      <c r="O995">
        <v>4</v>
      </c>
      <c r="P995">
        <v>0.52500000000000002</v>
      </c>
      <c r="Q995">
        <v>5</v>
      </c>
      <c r="R995">
        <v>8.0000000000000002E-3</v>
      </c>
      <c r="T995" s="8" t="s">
        <v>3046</v>
      </c>
    </row>
    <row r="996" spans="1:20" x14ac:dyDescent="0.2">
      <c r="A996" t="s">
        <v>3048</v>
      </c>
      <c r="B996" t="s">
        <v>2022</v>
      </c>
      <c r="C996" t="s">
        <v>2023</v>
      </c>
      <c r="D996" t="s">
        <v>2024</v>
      </c>
      <c r="E996" t="s">
        <v>357</v>
      </c>
      <c r="F996" t="s">
        <v>447</v>
      </c>
      <c r="G996">
        <v>1</v>
      </c>
      <c r="H996">
        <v>1480</v>
      </c>
      <c r="I996">
        <v>4</v>
      </c>
      <c r="J996">
        <v>8.4</v>
      </c>
      <c r="K996">
        <v>5</v>
      </c>
      <c r="L996">
        <v>8.5999999999999993E-2</v>
      </c>
      <c r="M996">
        <v>5</v>
      </c>
      <c r="N996">
        <v>114</v>
      </c>
      <c r="O996">
        <v>5</v>
      </c>
      <c r="P996">
        <v>0.67500000000000004</v>
      </c>
      <c r="Q996">
        <v>5</v>
      </c>
      <c r="R996">
        <v>8.0000000000000002E-3</v>
      </c>
      <c r="T996" s="8" t="s">
        <v>357</v>
      </c>
    </row>
    <row r="997" spans="1:20" x14ac:dyDescent="0.2">
      <c r="A997" t="s">
        <v>3049</v>
      </c>
      <c r="B997" t="s">
        <v>2022</v>
      </c>
      <c r="C997" t="s">
        <v>2036</v>
      </c>
      <c r="D997" t="s">
        <v>2024</v>
      </c>
      <c r="E997" t="s">
        <v>3050</v>
      </c>
      <c r="F997" t="s">
        <v>447</v>
      </c>
      <c r="G997">
        <v>1</v>
      </c>
      <c r="H997">
        <v>1540</v>
      </c>
      <c r="I997">
        <v>5</v>
      </c>
      <c r="J997">
        <v>7</v>
      </c>
      <c r="K997">
        <v>5</v>
      </c>
      <c r="L997">
        <v>0.17499999999999999</v>
      </c>
      <c r="M997">
        <v>1</v>
      </c>
      <c r="N997">
        <v>76</v>
      </c>
      <c r="O997">
        <v>4</v>
      </c>
      <c r="P997">
        <v>0.42499999999999999</v>
      </c>
      <c r="Q997">
        <v>5</v>
      </c>
      <c r="R997">
        <v>1.2E-2</v>
      </c>
      <c r="T997" s="8" t="s">
        <v>3050</v>
      </c>
    </row>
    <row r="998" spans="1:20" x14ac:dyDescent="0.2">
      <c r="A998" t="s">
        <v>3051</v>
      </c>
      <c r="B998" t="s">
        <v>2022</v>
      </c>
      <c r="C998" t="s">
        <v>2053</v>
      </c>
      <c r="D998" t="s">
        <v>2024</v>
      </c>
      <c r="E998" t="s">
        <v>3052</v>
      </c>
      <c r="F998" t="s">
        <v>3053</v>
      </c>
      <c r="G998">
        <v>3</v>
      </c>
      <c r="H998">
        <v>1700</v>
      </c>
      <c r="I998">
        <v>3</v>
      </c>
      <c r="J998">
        <v>6.55</v>
      </c>
      <c r="K998">
        <v>1</v>
      </c>
      <c r="L998">
        <v>1.4999999999999999E-2</v>
      </c>
      <c r="M998">
        <v>3</v>
      </c>
      <c r="N998">
        <v>93</v>
      </c>
      <c r="O998">
        <v>3</v>
      </c>
      <c r="P998">
        <v>0.375</v>
      </c>
      <c r="Q998">
        <v>1</v>
      </c>
      <c r="R998">
        <v>8.4999999999999995E-4</v>
      </c>
      <c r="T998" s="8" t="s">
        <v>3052</v>
      </c>
    </row>
    <row r="999" spans="1:20" x14ac:dyDescent="0.2">
      <c r="A999" t="s">
        <v>3054</v>
      </c>
      <c r="B999" t="s">
        <v>2022</v>
      </c>
      <c r="C999" t="s">
        <v>2023</v>
      </c>
      <c r="D999" t="s">
        <v>2024</v>
      </c>
      <c r="E999" t="s">
        <v>3055</v>
      </c>
      <c r="F999" t="s">
        <v>3056</v>
      </c>
      <c r="G999">
        <v>5</v>
      </c>
      <c r="H999">
        <v>1800</v>
      </c>
      <c r="I999">
        <v>3</v>
      </c>
      <c r="J999">
        <v>5.9</v>
      </c>
      <c r="K999">
        <v>5</v>
      </c>
      <c r="L999">
        <v>8.5999999999999993E-2</v>
      </c>
      <c r="M999">
        <v>2</v>
      </c>
      <c r="N999">
        <v>84</v>
      </c>
      <c r="O999">
        <v>2</v>
      </c>
      <c r="P999">
        <v>0.22500000000000001</v>
      </c>
      <c r="Q999">
        <v>3</v>
      </c>
      <c r="R999">
        <v>4.0000000000000001E-3</v>
      </c>
      <c r="T999" s="8" t="s">
        <v>3055</v>
      </c>
    </row>
    <row r="1000" spans="1:20" x14ac:dyDescent="0.2">
      <c r="A1000" t="s">
        <v>3057</v>
      </c>
      <c r="B1000" t="s">
        <v>2022</v>
      </c>
      <c r="C1000" t="s">
        <v>2036</v>
      </c>
      <c r="D1000" t="s">
        <v>2024</v>
      </c>
      <c r="E1000" t="s">
        <v>3058</v>
      </c>
      <c r="F1000" t="s">
        <v>3059</v>
      </c>
      <c r="G1000">
        <v>2</v>
      </c>
      <c r="H1000">
        <v>1640</v>
      </c>
      <c r="I1000">
        <v>2</v>
      </c>
      <c r="J1000">
        <v>3.4</v>
      </c>
      <c r="K1000">
        <v>3</v>
      </c>
      <c r="L1000">
        <v>0.115</v>
      </c>
      <c r="M1000">
        <v>2</v>
      </c>
      <c r="N1000">
        <v>82</v>
      </c>
      <c r="O1000">
        <v>2</v>
      </c>
      <c r="P1000">
        <v>0.20499999999999999</v>
      </c>
      <c r="Q1000">
        <v>3</v>
      </c>
      <c r="R1000">
        <v>6.7499999999999999E-3</v>
      </c>
      <c r="T1000" s="8" t="s">
        <v>3058</v>
      </c>
    </row>
    <row r="1001" spans="1:20" x14ac:dyDescent="0.2">
      <c r="A1001" t="s">
        <v>3060</v>
      </c>
      <c r="B1001" t="s">
        <v>2022</v>
      </c>
      <c r="C1001" t="s">
        <v>2095</v>
      </c>
      <c r="D1001" t="s">
        <v>2024</v>
      </c>
      <c r="E1001" t="s">
        <v>3061</v>
      </c>
      <c r="F1001" t="s">
        <v>3062</v>
      </c>
      <c r="G1001">
        <v>2</v>
      </c>
      <c r="H1001">
        <v>1655</v>
      </c>
      <c r="I1001">
        <v>5</v>
      </c>
      <c r="J1001">
        <v>16.5</v>
      </c>
      <c r="K1001">
        <v>5</v>
      </c>
      <c r="L1001">
        <v>0.73</v>
      </c>
      <c r="M1001">
        <v>1</v>
      </c>
      <c r="N1001">
        <v>74</v>
      </c>
      <c r="O1001">
        <v>4</v>
      </c>
      <c r="P1001">
        <v>0.75</v>
      </c>
      <c r="Q1001">
        <v>5</v>
      </c>
      <c r="R1001">
        <v>3.2899999999999999E-2</v>
      </c>
      <c r="T1001" s="8" t="s">
        <v>3061</v>
      </c>
    </row>
    <row r="1002" spans="1:20" x14ac:dyDescent="0.2">
      <c r="A1002" t="s">
        <v>3063</v>
      </c>
      <c r="B1002" t="s">
        <v>2022</v>
      </c>
      <c r="C1002" t="s">
        <v>2036</v>
      </c>
      <c r="D1002" t="s">
        <v>2024</v>
      </c>
      <c r="E1002" t="s">
        <v>3064</v>
      </c>
      <c r="F1002" t="s">
        <v>3065</v>
      </c>
      <c r="G1002">
        <v>2</v>
      </c>
      <c r="H1002">
        <v>1640</v>
      </c>
      <c r="I1002">
        <v>5</v>
      </c>
      <c r="J1002">
        <v>7</v>
      </c>
      <c r="K1002">
        <v>5</v>
      </c>
      <c r="L1002">
        <v>0.17499999999999999</v>
      </c>
      <c r="M1002">
        <v>4</v>
      </c>
      <c r="N1002">
        <v>94</v>
      </c>
      <c r="O1002">
        <v>5</v>
      </c>
      <c r="P1002">
        <v>0.53500000000000003</v>
      </c>
      <c r="Q1002">
        <v>5</v>
      </c>
      <c r="R1002">
        <v>1.2E-2</v>
      </c>
      <c r="T1002" s="8" t="s">
        <v>3064</v>
      </c>
    </row>
    <row r="1003" spans="1:20" x14ac:dyDescent="0.2">
      <c r="A1003" t="s">
        <v>3066</v>
      </c>
      <c r="B1003" t="s">
        <v>2022</v>
      </c>
      <c r="C1003" t="s">
        <v>2036</v>
      </c>
      <c r="D1003" t="s">
        <v>2024</v>
      </c>
      <c r="E1003" t="s">
        <v>3067</v>
      </c>
      <c r="F1003" t="s">
        <v>3068</v>
      </c>
      <c r="G1003">
        <v>2</v>
      </c>
      <c r="H1003">
        <v>1640</v>
      </c>
      <c r="I1003">
        <v>1</v>
      </c>
      <c r="J1003">
        <v>2.2000000000000002</v>
      </c>
      <c r="K1003">
        <v>1</v>
      </c>
      <c r="L1003">
        <v>5.5E-2</v>
      </c>
      <c r="M1003">
        <v>2</v>
      </c>
      <c r="N1003">
        <v>82</v>
      </c>
      <c r="O1003">
        <v>1</v>
      </c>
      <c r="P1003">
        <v>9.5000000000000001E-2</v>
      </c>
      <c r="Q1003">
        <v>2</v>
      </c>
      <c r="R1003">
        <v>4.2500000000000003E-3</v>
      </c>
      <c r="T1003" s="8" t="s">
        <v>3067</v>
      </c>
    </row>
    <row r="1004" spans="1:20" x14ac:dyDescent="0.2">
      <c r="A1004" t="s">
        <v>3069</v>
      </c>
      <c r="B1004" t="s">
        <v>2022</v>
      </c>
      <c r="C1004" t="s">
        <v>2173</v>
      </c>
      <c r="D1004" t="s">
        <v>2024</v>
      </c>
      <c r="E1004" t="s">
        <v>3070</v>
      </c>
      <c r="F1004" t="s">
        <v>3071</v>
      </c>
      <c r="G1004">
        <v>3</v>
      </c>
      <c r="H1004">
        <v>2032.5</v>
      </c>
      <c r="I1004">
        <v>1</v>
      </c>
      <c r="J1004">
        <v>3.65</v>
      </c>
      <c r="K1004">
        <v>1</v>
      </c>
      <c r="L1004">
        <v>1.4999999999999999E-2</v>
      </c>
      <c r="M1004">
        <v>1</v>
      </c>
      <c r="N1004">
        <v>96.5</v>
      </c>
      <c r="O1004">
        <v>1</v>
      </c>
      <c r="P1004">
        <v>0.15</v>
      </c>
      <c r="Q1004">
        <v>1</v>
      </c>
      <c r="R1004">
        <v>6.4999999999999997E-4</v>
      </c>
      <c r="T1004" s="8" t="s">
        <v>3070</v>
      </c>
    </row>
    <row r="1005" spans="1:20" x14ac:dyDescent="0.2">
      <c r="A1005" t="s">
        <v>3072</v>
      </c>
      <c r="B1005" t="s">
        <v>2022</v>
      </c>
      <c r="C1005" t="s">
        <v>2023</v>
      </c>
      <c r="D1005" t="s">
        <v>2136</v>
      </c>
      <c r="E1005" t="s">
        <v>2296</v>
      </c>
      <c r="F1005" t="s">
        <v>2297</v>
      </c>
      <c r="G1005">
        <v>2</v>
      </c>
      <c r="H1005">
        <v>1560</v>
      </c>
      <c r="I1005">
        <v>1</v>
      </c>
      <c r="J1005">
        <v>0.9</v>
      </c>
      <c r="K1005">
        <v>1</v>
      </c>
      <c r="L1005">
        <v>6.0000000000000001E-3</v>
      </c>
      <c r="M1005">
        <v>1</v>
      </c>
      <c r="N1005">
        <v>74</v>
      </c>
      <c r="O1005">
        <v>1</v>
      </c>
      <c r="P1005">
        <v>7.4999999999999997E-2</v>
      </c>
      <c r="Q1005">
        <v>1</v>
      </c>
      <c r="R1005">
        <v>5.0000000000000001E-4</v>
      </c>
      <c r="T1005" s="8" t="s">
        <v>2296</v>
      </c>
    </row>
    <row r="1006" spans="1:20" x14ac:dyDescent="0.2">
      <c r="A1006" t="s">
        <v>3073</v>
      </c>
      <c r="B1006" t="s">
        <v>2022</v>
      </c>
      <c r="C1006" t="s">
        <v>2101</v>
      </c>
      <c r="D1006" t="s">
        <v>2024</v>
      </c>
      <c r="E1006" t="s">
        <v>3074</v>
      </c>
      <c r="F1006" t="s">
        <v>3075</v>
      </c>
      <c r="G1006">
        <v>3</v>
      </c>
      <c r="H1006">
        <v>1770</v>
      </c>
      <c r="I1006">
        <v>2</v>
      </c>
      <c r="J1006">
        <v>5</v>
      </c>
      <c r="K1006">
        <v>1</v>
      </c>
      <c r="L1006">
        <v>1.15E-2</v>
      </c>
      <c r="M1006">
        <v>4</v>
      </c>
      <c r="N1006">
        <v>90</v>
      </c>
      <c r="O1006">
        <v>2</v>
      </c>
      <c r="P1006">
        <v>0.22500000000000001</v>
      </c>
      <c r="Q1006">
        <v>1</v>
      </c>
      <c r="R1006">
        <v>5.0000000000000001E-4</v>
      </c>
      <c r="T1006" s="8" t="s">
        <v>3074</v>
      </c>
    </row>
    <row r="1007" spans="1:20" x14ac:dyDescent="0.2">
      <c r="A1007" t="s">
        <v>3076</v>
      </c>
      <c r="B1007" t="s">
        <v>2022</v>
      </c>
      <c r="C1007" t="s">
        <v>2023</v>
      </c>
      <c r="D1007" t="s">
        <v>2024</v>
      </c>
      <c r="E1007" t="s">
        <v>3077</v>
      </c>
      <c r="F1007" t="s">
        <v>3078</v>
      </c>
      <c r="G1007">
        <v>5</v>
      </c>
      <c r="H1007">
        <v>1800</v>
      </c>
      <c r="I1007">
        <v>5</v>
      </c>
      <c r="J1007">
        <v>10.9</v>
      </c>
      <c r="K1007">
        <v>5</v>
      </c>
      <c r="L1007">
        <v>8.5999999999999993E-2</v>
      </c>
      <c r="M1007">
        <v>2</v>
      </c>
      <c r="N1007">
        <v>84</v>
      </c>
      <c r="O1007">
        <v>5</v>
      </c>
      <c r="P1007">
        <v>0.67500000000000004</v>
      </c>
      <c r="Q1007">
        <v>5</v>
      </c>
      <c r="R1007">
        <v>8.0000000000000002E-3</v>
      </c>
      <c r="T1007" s="8" t="s">
        <v>3077</v>
      </c>
    </row>
    <row r="1008" spans="1:20" x14ac:dyDescent="0.2">
      <c r="A1008" t="s">
        <v>3079</v>
      </c>
      <c r="B1008" t="s">
        <v>2022</v>
      </c>
      <c r="C1008" t="s">
        <v>2023</v>
      </c>
      <c r="D1008" t="s">
        <v>2024</v>
      </c>
      <c r="E1008" t="s">
        <v>3080</v>
      </c>
      <c r="F1008" t="s">
        <v>3081</v>
      </c>
      <c r="G1008">
        <v>5</v>
      </c>
      <c r="H1008">
        <v>1800</v>
      </c>
      <c r="I1008">
        <v>5</v>
      </c>
      <c r="J1008">
        <v>10.9</v>
      </c>
      <c r="K1008">
        <v>3</v>
      </c>
      <c r="L1008">
        <v>4.5999999999999999E-2</v>
      </c>
      <c r="M1008">
        <v>2</v>
      </c>
      <c r="N1008">
        <v>84</v>
      </c>
      <c r="O1008">
        <v>5</v>
      </c>
      <c r="P1008">
        <v>0.67500000000000004</v>
      </c>
      <c r="Q1008">
        <v>2</v>
      </c>
      <c r="R1008">
        <v>2E-3</v>
      </c>
      <c r="T1008" s="8" t="s">
        <v>3080</v>
      </c>
    </row>
    <row r="1009" spans="1:20" x14ac:dyDescent="0.2">
      <c r="A1009" t="s">
        <v>3082</v>
      </c>
      <c r="B1009" t="s">
        <v>2022</v>
      </c>
      <c r="C1009" t="s">
        <v>2036</v>
      </c>
      <c r="E1009" t="s">
        <v>3083</v>
      </c>
      <c r="F1009" t="s">
        <v>1990</v>
      </c>
      <c r="G1009">
        <v>1</v>
      </c>
      <c r="H1009">
        <v>1540</v>
      </c>
      <c r="I1009">
        <v>2</v>
      </c>
      <c r="J1009">
        <v>4</v>
      </c>
      <c r="K1009">
        <v>2</v>
      </c>
      <c r="L1009">
        <v>0.105</v>
      </c>
      <c r="M1009">
        <v>2</v>
      </c>
      <c r="N1009">
        <v>82</v>
      </c>
      <c r="O1009">
        <v>2</v>
      </c>
      <c r="P1009">
        <v>0.20499999999999999</v>
      </c>
      <c r="Q1009">
        <v>2</v>
      </c>
      <c r="R1009">
        <v>5.3E-3</v>
      </c>
      <c r="T1009" s="8" t="s">
        <v>3083</v>
      </c>
    </row>
    <row r="1010" spans="1:20" x14ac:dyDescent="0.2">
      <c r="A1010" t="s">
        <v>3084</v>
      </c>
      <c r="B1010" t="s">
        <v>2022</v>
      </c>
      <c r="C1010" t="s">
        <v>2023</v>
      </c>
      <c r="D1010" t="s">
        <v>2024</v>
      </c>
      <c r="E1010" t="s">
        <v>3085</v>
      </c>
      <c r="F1010" t="s">
        <v>3086</v>
      </c>
      <c r="G1010">
        <v>5</v>
      </c>
      <c r="H1010">
        <v>1800</v>
      </c>
      <c r="I1010">
        <v>2</v>
      </c>
      <c r="J1010">
        <v>3.4</v>
      </c>
      <c r="K1010">
        <v>2</v>
      </c>
      <c r="L1010">
        <v>2.5999999999999999E-2</v>
      </c>
      <c r="M1010">
        <v>3</v>
      </c>
      <c r="N1010">
        <v>94</v>
      </c>
      <c r="O1010">
        <v>2</v>
      </c>
      <c r="P1010">
        <v>0.22500000000000001</v>
      </c>
      <c r="Q1010">
        <v>2</v>
      </c>
      <c r="R1010">
        <v>2E-3</v>
      </c>
      <c r="T1010" s="8" t="s">
        <v>3085</v>
      </c>
    </row>
    <row r="1011" spans="1:20" x14ac:dyDescent="0.2">
      <c r="A1011" t="s">
        <v>3087</v>
      </c>
      <c r="B1011" t="s">
        <v>2022</v>
      </c>
      <c r="C1011" t="s">
        <v>2023</v>
      </c>
      <c r="D1011" t="s">
        <v>2024</v>
      </c>
      <c r="E1011" t="s">
        <v>3088</v>
      </c>
      <c r="F1011" t="s">
        <v>3089</v>
      </c>
      <c r="G1011">
        <v>1</v>
      </c>
      <c r="H1011">
        <v>1480</v>
      </c>
      <c r="I1011">
        <v>1</v>
      </c>
      <c r="J1011">
        <v>0.9</v>
      </c>
      <c r="K1011">
        <v>1</v>
      </c>
      <c r="L1011">
        <v>6.0000000000000001E-3</v>
      </c>
      <c r="M1011">
        <v>2</v>
      </c>
      <c r="N1011">
        <v>84</v>
      </c>
      <c r="O1011">
        <v>1</v>
      </c>
      <c r="P1011">
        <v>7.4999999999999997E-2</v>
      </c>
      <c r="Q1011">
        <v>1</v>
      </c>
      <c r="R1011">
        <v>5.0000000000000001E-4</v>
      </c>
      <c r="T1011" s="8" t="s">
        <v>3088</v>
      </c>
    </row>
    <row r="1012" spans="1:20" x14ac:dyDescent="0.2">
      <c r="A1012" t="s">
        <v>3090</v>
      </c>
      <c r="B1012" t="s">
        <v>2022</v>
      </c>
      <c r="C1012" t="s">
        <v>2036</v>
      </c>
      <c r="D1012" t="s">
        <v>2024</v>
      </c>
      <c r="E1012" t="s">
        <v>357</v>
      </c>
      <c r="F1012" t="s">
        <v>3091</v>
      </c>
      <c r="G1012">
        <v>4</v>
      </c>
      <c r="H1012">
        <v>1840</v>
      </c>
      <c r="I1012">
        <v>5</v>
      </c>
      <c r="J1012">
        <v>7</v>
      </c>
      <c r="K1012">
        <v>5</v>
      </c>
      <c r="L1012">
        <v>0.17499999999999999</v>
      </c>
      <c r="M1012">
        <v>2</v>
      </c>
      <c r="N1012">
        <v>82</v>
      </c>
      <c r="O1012">
        <v>3</v>
      </c>
      <c r="P1012">
        <v>0.315</v>
      </c>
      <c r="Q1012">
        <v>4</v>
      </c>
      <c r="R1012">
        <v>9.2499999999999995E-3</v>
      </c>
      <c r="T1012" s="8" t="s">
        <v>357</v>
      </c>
    </row>
    <row r="1013" spans="1:20" x14ac:dyDescent="0.2">
      <c r="A1013" t="s">
        <v>3092</v>
      </c>
      <c r="B1013" t="s">
        <v>2022</v>
      </c>
      <c r="C1013" t="s">
        <v>2023</v>
      </c>
      <c r="D1013" t="s">
        <v>2136</v>
      </c>
      <c r="E1013" t="s">
        <v>3093</v>
      </c>
      <c r="F1013" t="s">
        <v>3094</v>
      </c>
      <c r="G1013">
        <v>1</v>
      </c>
      <c r="H1013">
        <v>1480</v>
      </c>
      <c r="I1013">
        <v>1</v>
      </c>
      <c r="J1013">
        <v>0.9</v>
      </c>
      <c r="K1013">
        <v>1</v>
      </c>
      <c r="L1013">
        <v>6.0000000000000001E-3</v>
      </c>
      <c r="M1013">
        <v>3</v>
      </c>
      <c r="N1013">
        <v>94</v>
      </c>
      <c r="O1013">
        <v>1</v>
      </c>
      <c r="P1013">
        <v>7.4999999999999997E-2</v>
      </c>
      <c r="Q1013">
        <v>1</v>
      </c>
      <c r="R1013">
        <v>5.0000000000000001E-4</v>
      </c>
      <c r="T1013" s="8" t="s">
        <v>3093</v>
      </c>
    </row>
    <row r="1014" spans="1:20" x14ac:dyDescent="0.2">
      <c r="A1014" t="s">
        <v>3095</v>
      </c>
      <c r="B1014" t="s">
        <v>2022</v>
      </c>
      <c r="C1014" t="s">
        <v>2222</v>
      </c>
      <c r="D1014" t="s">
        <v>2024</v>
      </c>
      <c r="E1014" t="s">
        <v>3096</v>
      </c>
      <c r="F1014" t="s">
        <v>3097</v>
      </c>
      <c r="G1014">
        <v>2</v>
      </c>
      <c r="H1014">
        <v>1550</v>
      </c>
      <c r="I1014">
        <v>1</v>
      </c>
      <c r="J1014">
        <v>2.2999999999999998</v>
      </c>
      <c r="K1014">
        <v>2</v>
      </c>
      <c r="L1014">
        <v>5.5E-2</v>
      </c>
      <c r="M1014">
        <v>3</v>
      </c>
      <c r="N1014">
        <v>67</v>
      </c>
      <c r="O1014">
        <v>1</v>
      </c>
      <c r="P1014">
        <v>7.0000000000000007E-2</v>
      </c>
      <c r="Q1014">
        <v>2</v>
      </c>
      <c r="R1014">
        <v>2.3E-3</v>
      </c>
      <c r="T1014" s="8" t="s">
        <v>3096</v>
      </c>
    </row>
    <row r="1015" spans="1:20" x14ac:dyDescent="0.2">
      <c r="A1015" t="s">
        <v>3098</v>
      </c>
      <c r="B1015" t="s">
        <v>2022</v>
      </c>
      <c r="C1015" t="s">
        <v>2053</v>
      </c>
      <c r="D1015" t="s">
        <v>2024</v>
      </c>
      <c r="E1015" t="s">
        <v>3099</v>
      </c>
      <c r="F1015" t="s">
        <v>3100</v>
      </c>
      <c r="G1015">
        <v>4</v>
      </c>
      <c r="H1015">
        <v>1800</v>
      </c>
      <c r="I1015">
        <v>2</v>
      </c>
      <c r="J1015">
        <v>4.05</v>
      </c>
      <c r="K1015">
        <v>2</v>
      </c>
      <c r="L1015">
        <v>8.5000000000000006E-2</v>
      </c>
      <c r="M1015">
        <v>3</v>
      </c>
      <c r="N1015">
        <v>93</v>
      </c>
      <c r="O1015">
        <v>2</v>
      </c>
      <c r="P1015">
        <v>0.22500000000000001</v>
      </c>
      <c r="Q1015">
        <v>2</v>
      </c>
      <c r="R1015">
        <v>5.1999999999999998E-3</v>
      </c>
      <c r="T1015" s="8" t="s">
        <v>3099</v>
      </c>
    </row>
    <row r="1016" spans="1:20" x14ac:dyDescent="0.2">
      <c r="A1016" t="s">
        <v>3101</v>
      </c>
      <c r="B1016" t="s">
        <v>2022</v>
      </c>
      <c r="C1016" t="s">
        <v>2095</v>
      </c>
      <c r="D1016" t="s">
        <v>2024</v>
      </c>
      <c r="E1016" t="s">
        <v>310</v>
      </c>
      <c r="F1016" t="s">
        <v>3102</v>
      </c>
      <c r="G1016">
        <v>1</v>
      </c>
      <c r="H1016">
        <v>1565</v>
      </c>
      <c r="I1016">
        <v>5</v>
      </c>
      <c r="J1016">
        <v>16.5</v>
      </c>
      <c r="K1016">
        <v>5</v>
      </c>
      <c r="L1016">
        <v>0.73</v>
      </c>
      <c r="M1016">
        <v>1</v>
      </c>
      <c r="N1016">
        <v>74</v>
      </c>
      <c r="O1016">
        <v>5</v>
      </c>
      <c r="P1016">
        <v>0.95</v>
      </c>
      <c r="Q1016">
        <v>5</v>
      </c>
      <c r="R1016">
        <v>3.2899999999999999E-2</v>
      </c>
      <c r="T1016" s="8" t="s">
        <v>310</v>
      </c>
    </row>
    <row r="1017" spans="1:20" x14ac:dyDescent="0.2">
      <c r="A1017" t="s">
        <v>3103</v>
      </c>
      <c r="B1017" t="s">
        <v>2022</v>
      </c>
      <c r="C1017" t="s">
        <v>2053</v>
      </c>
      <c r="D1017" t="s">
        <v>2024</v>
      </c>
      <c r="E1017" t="s">
        <v>3104</v>
      </c>
      <c r="F1017" t="s">
        <v>3105</v>
      </c>
      <c r="G1017">
        <v>4</v>
      </c>
      <c r="H1017">
        <v>1800</v>
      </c>
      <c r="I1017">
        <v>5</v>
      </c>
      <c r="J1017">
        <v>11.55</v>
      </c>
      <c r="K1017">
        <v>4</v>
      </c>
      <c r="L1017">
        <v>0.30499999999999999</v>
      </c>
      <c r="M1017">
        <v>3</v>
      </c>
      <c r="N1017">
        <v>93</v>
      </c>
      <c r="O1017">
        <v>5</v>
      </c>
      <c r="P1017">
        <v>0.67500000000000004</v>
      </c>
      <c r="Q1017">
        <v>3</v>
      </c>
      <c r="R1017">
        <v>1.2200000000000001E-2</v>
      </c>
      <c r="T1017" s="8" t="s">
        <v>3104</v>
      </c>
    </row>
    <row r="1018" spans="1:20" x14ac:dyDescent="0.2">
      <c r="A1018" t="s">
        <v>3106</v>
      </c>
      <c r="B1018" t="s">
        <v>2022</v>
      </c>
      <c r="C1018" t="s">
        <v>2036</v>
      </c>
      <c r="D1018" t="s">
        <v>2024</v>
      </c>
      <c r="E1018" t="s">
        <v>3107</v>
      </c>
      <c r="F1018" t="s">
        <v>3108</v>
      </c>
      <c r="G1018">
        <v>4</v>
      </c>
      <c r="H1018">
        <v>1840</v>
      </c>
      <c r="I1018">
        <v>5</v>
      </c>
      <c r="J1018">
        <v>7</v>
      </c>
      <c r="K1018">
        <v>5</v>
      </c>
      <c r="L1018">
        <v>0.17499999999999999</v>
      </c>
      <c r="M1018">
        <v>3</v>
      </c>
      <c r="N1018">
        <v>88</v>
      </c>
      <c r="O1018">
        <v>3</v>
      </c>
      <c r="P1018">
        <v>0.315</v>
      </c>
      <c r="Q1018">
        <v>4</v>
      </c>
      <c r="R1018">
        <v>9.2499999999999995E-3</v>
      </c>
      <c r="T1018" s="8" t="s">
        <v>3107</v>
      </c>
    </row>
    <row r="1019" spans="1:20" x14ac:dyDescent="0.2">
      <c r="A1019" t="s">
        <v>3109</v>
      </c>
      <c r="B1019" t="s">
        <v>2022</v>
      </c>
      <c r="C1019" t="s">
        <v>2053</v>
      </c>
      <c r="D1019" t="s">
        <v>2024</v>
      </c>
      <c r="E1019" t="s">
        <v>3110</v>
      </c>
      <c r="F1019" t="s">
        <v>447</v>
      </c>
      <c r="G1019">
        <v>3</v>
      </c>
      <c r="H1019">
        <v>1700</v>
      </c>
      <c r="I1019">
        <v>2</v>
      </c>
      <c r="J1019">
        <v>4.05</v>
      </c>
      <c r="K1019">
        <v>1</v>
      </c>
      <c r="L1019">
        <v>1.4999999999999999E-2</v>
      </c>
      <c r="M1019">
        <v>2</v>
      </c>
      <c r="N1019">
        <v>83</v>
      </c>
      <c r="O1019">
        <v>2</v>
      </c>
      <c r="P1019">
        <v>0.22500000000000001</v>
      </c>
      <c r="Q1019">
        <v>1</v>
      </c>
      <c r="R1019">
        <v>8.4999999999999995E-4</v>
      </c>
      <c r="T1019" s="8" t="s">
        <v>3110</v>
      </c>
    </row>
    <row r="1020" spans="1:20" x14ac:dyDescent="0.2">
      <c r="A1020" t="s">
        <v>3111</v>
      </c>
      <c r="B1020" t="s">
        <v>2022</v>
      </c>
      <c r="C1020" t="s">
        <v>2053</v>
      </c>
      <c r="D1020" t="s">
        <v>2024</v>
      </c>
      <c r="E1020" t="s">
        <v>3112</v>
      </c>
      <c r="F1020" t="s">
        <v>447</v>
      </c>
      <c r="G1020">
        <v>1</v>
      </c>
      <c r="H1020">
        <v>1500</v>
      </c>
      <c r="I1020">
        <v>2</v>
      </c>
      <c r="J1020">
        <v>4.05</v>
      </c>
      <c r="K1020">
        <v>2</v>
      </c>
      <c r="L1020">
        <v>8.5000000000000006E-2</v>
      </c>
      <c r="M1020">
        <v>2</v>
      </c>
      <c r="N1020">
        <v>83</v>
      </c>
      <c r="O1020">
        <v>2</v>
      </c>
      <c r="P1020">
        <v>0.22500000000000001</v>
      </c>
      <c r="Q1020">
        <v>2</v>
      </c>
      <c r="R1020">
        <v>5.1999999999999998E-3</v>
      </c>
      <c r="T1020" s="8" t="s">
        <v>3112</v>
      </c>
    </row>
    <row r="1021" spans="1:20" x14ac:dyDescent="0.2">
      <c r="A1021" t="s">
        <v>3113</v>
      </c>
      <c r="B1021" t="s">
        <v>2022</v>
      </c>
      <c r="C1021" t="s">
        <v>2049</v>
      </c>
      <c r="D1021" t="s">
        <v>2024</v>
      </c>
      <c r="E1021" t="s">
        <v>3114</v>
      </c>
      <c r="F1021" t="s">
        <v>3115</v>
      </c>
      <c r="G1021">
        <v>3</v>
      </c>
      <c r="H1021">
        <v>1550</v>
      </c>
      <c r="I1021">
        <v>5</v>
      </c>
      <c r="J1021">
        <v>8.6</v>
      </c>
      <c r="K1021">
        <v>5</v>
      </c>
      <c r="L1021">
        <v>0.3</v>
      </c>
      <c r="M1021">
        <v>3</v>
      </c>
      <c r="N1021">
        <v>126</v>
      </c>
      <c r="O1021">
        <v>5</v>
      </c>
      <c r="P1021">
        <v>0.86</v>
      </c>
      <c r="Q1021">
        <v>5</v>
      </c>
      <c r="R1021">
        <v>3.32E-2</v>
      </c>
      <c r="T1021" s="8" t="s">
        <v>3114</v>
      </c>
    </row>
    <row r="1022" spans="1:20" x14ac:dyDescent="0.2">
      <c r="A1022" t="s">
        <v>3116</v>
      </c>
      <c r="B1022" t="s">
        <v>2022</v>
      </c>
      <c r="C1022" t="s">
        <v>2101</v>
      </c>
      <c r="D1022" t="s">
        <v>2024</v>
      </c>
      <c r="E1022" t="s">
        <v>3117</v>
      </c>
      <c r="F1022" t="s">
        <v>3118</v>
      </c>
      <c r="G1022">
        <v>5</v>
      </c>
      <c r="H1022">
        <v>1970</v>
      </c>
      <c r="I1022">
        <v>1</v>
      </c>
      <c r="J1022">
        <v>2</v>
      </c>
      <c r="K1022">
        <v>1</v>
      </c>
      <c r="L1022">
        <v>1.15E-2</v>
      </c>
      <c r="M1022">
        <v>5</v>
      </c>
      <c r="N1022">
        <v>98</v>
      </c>
      <c r="O1022">
        <v>1</v>
      </c>
      <c r="P1022">
        <v>7.4999999999999997E-2</v>
      </c>
      <c r="Q1022">
        <v>1</v>
      </c>
      <c r="R1022">
        <v>5.0000000000000001E-4</v>
      </c>
      <c r="T1022" s="8" t="s">
        <v>3117</v>
      </c>
    </row>
    <row r="1023" spans="1:20" x14ac:dyDescent="0.2">
      <c r="A1023" t="s">
        <v>3119</v>
      </c>
      <c r="B1023" t="s">
        <v>2022</v>
      </c>
      <c r="C1023" t="s">
        <v>2053</v>
      </c>
      <c r="D1023" t="s">
        <v>2024</v>
      </c>
      <c r="E1023" t="s">
        <v>260</v>
      </c>
      <c r="F1023" t="s">
        <v>3120</v>
      </c>
      <c r="G1023">
        <v>5</v>
      </c>
      <c r="H1023">
        <v>1900</v>
      </c>
      <c r="I1023">
        <v>3</v>
      </c>
      <c r="J1023">
        <v>6.55</v>
      </c>
      <c r="K1023">
        <v>3</v>
      </c>
      <c r="L1023">
        <v>0.19500000000000001</v>
      </c>
      <c r="M1023">
        <v>5</v>
      </c>
      <c r="N1023">
        <v>113</v>
      </c>
      <c r="O1023">
        <v>3</v>
      </c>
      <c r="P1023">
        <v>0.375</v>
      </c>
      <c r="Q1023">
        <v>3</v>
      </c>
      <c r="R1023">
        <v>1.2200000000000001E-2</v>
      </c>
      <c r="T1023" s="8" t="s">
        <v>260</v>
      </c>
    </row>
    <row r="1024" spans="1:20" x14ac:dyDescent="0.2">
      <c r="A1024" t="s">
        <v>3121</v>
      </c>
      <c r="B1024" t="s">
        <v>2022</v>
      </c>
      <c r="C1024" t="s">
        <v>2036</v>
      </c>
      <c r="D1024" t="s">
        <v>2024</v>
      </c>
      <c r="E1024" t="s">
        <v>3122</v>
      </c>
      <c r="F1024" t="s">
        <v>3123</v>
      </c>
      <c r="G1024">
        <v>3</v>
      </c>
      <c r="H1024">
        <v>1740</v>
      </c>
      <c r="I1024">
        <v>2</v>
      </c>
      <c r="J1024">
        <v>3.4</v>
      </c>
      <c r="K1024">
        <v>1</v>
      </c>
      <c r="L1024">
        <v>5.5E-2</v>
      </c>
      <c r="M1024">
        <v>3</v>
      </c>
      <c r="N1024">
        <v>88</v>
      </c>
      <c r="O1024">
        <v>2</v>
      </c>
      <c r="P1024">
        <v>0.20499999999999999</v>
      </c>
      <c r="Q1024">
        <v>2</v>
      </c>
      <c r="R1024">
        <v>4.2500000000000003E-3</v>
      </c>
      <c r="T1024" s="8" t="s">
        <v>3122</v>
      </c>
    </row>
    <row r="1025" spans="1:20" x14ac:dyDescent="0.2">
      <c r="A1025" t="s">
        <v>3124</v>
      </c>
      <c r="B1025" t="s">
        <v>2022</v>
      </c>
      <c r="C1025" t="s">
        <v>2049</v>
      </c>
      <c r="D1025" t="s">
        <v>2024</v>
      </c>
      <c r="E1025" t="s">
        <v>3125</v>
      </c>
      <c r="F1025" t="s">
        <v>447</v>
      </c>
      <c r="G1025">
        <v>5</v>
      </c>
      <c r="H1025">
        <v>1750</v>
      </c>
      <c r="I1025">
        <v>2</v>
      </c>
      <c r="J1025">
        <v>3.2</v>
      </c>
      <c r="K1025">
        <v>2</v>
      </c>
      <c r="L1025">
        <v>0.06</v>
      </c>
      <c r="M1025">
        <v>3</v>
      </c>
      <c r="N1025">
        <v>126</v>
      </c>
      <c r="O1025">
        <v>2</v>
      </c>
      <c r="P1025">
        <v>0.26</v>
      </c>
      <c r="Q1025">
        <v>2</v>
      </c>
      <c r="R1025">
        <v>6.1999999999999998E-3</v>
      </c>
      <c r="T1025" s="8" t="s">
        <v>3125</v>
      </c>
    </row>
    <row r="1026" spans="1:20" x14ac:dyDescent="0.2">
      <c r="A1026" t="s">
        <v>3126</v>
      </c>
      <c r="B1026" t="s">
        <v>2022</v>
      </c>
      <c r="C1026" t="s">
        <v>2023</v>
      </c>
      <c r="D1026" t="s">
        <v>2024</v>
      </c>
      <c r="E1026" t="s">
        <v>3127</v>
      </c>
      <c r="F1026" t="s">
        <v>3128</v>
      </c>
      <c r="G1026">
        <v>5</v>
      </c>
      <c r="H1026">
        <v>1800</v>
      </c>
      <c r="I1026">
        <v>3</v>
      </c>
      <c r="J1026">
        <v>5.9</v>
      </c>
      <c r="K1026">
        <v>3</v>
      </c>
      <c r="L1026">
        <v>4.5999999999999999E-2</v>
      </c>
      <c r="M1026">
        <v>1</v>
      </c>
      <c r="N1026">
        <v>74</v>
      </c>
      <c r="O1026">
        <v>2</v>
      </c>
      <c r="P1026">
        <v>0.22500000000000001</v>
      </c>
      <c r="Q1026">
        <v>2</v>
      </c>
      <c r="R1026">
        <v>2E-3</v>
      </c>
      <c r="T1026" s="8" t="s">
        <v>3127</v>
      </c>
    </row>
    <row r="1027" spans="1:20" x14ac:dyDescent="0.2">
      <c r="A1027" t="s">
        <v>3129</v>
      </c>
      <c r="B1027" t="s">
        <v>2022</v>
      </c>
      <c r="C1027" t="s">
        <v>2095</v>
      </c>
      <c r="D1027" t="s">
        <v>2024</v>
      </c>
      <c r="E1027" t="s">
        <v>3130</v>
      </c>
      <c r="F1027" t="s">
        <v>3131</v>
      </c>
      <c r="G1027">
        <v>2</v>
      </c>
      <c r="H1027">
        <v>1655</v>
      </c>
      <c r="I1027">
        <v>5</v>
      </c>
      <c r="J1027">
        <v>16.5</v>
      </c>
      <c r="K1027">
        <v>5</v>
      </c>
      <c r="L1027">
        <v>0.73</v>
      </c>
      <c r="M1027">
        <v>1</v>
      </c>
      <c r="N1027">
        <v>74</v>
      </c>
      <c r="O1027">
        <v>5</v>
      </c>
      <c r="P1027">
        <v>0.95</v>
      </c>
      <c r="Q1027">
        <v>5</v>
      </c>
      <c r="R1027">
        <v>3.2899999999999999E-2</v>
      </c>
      <c r="T1027" s="8" t="s">
        <v>3130</v>
      </c>
    </row>
    <row r="1028" spans="1:20" x14ac:dyDescent="0.2">
      <c r="A1028" t="s">
        <v>3132</v>
      </c>
      <c r="B1028" t="s">
        <v>2022</v>
      </c>
      <c r="C1028" t="s">
        <v>2023</v>
      </c>
      <c r="D1028" t="s">
        <v>2024</v>
      </c>
      <c r="E1028" t="s">
        <v>3130</v>
      </c>
      <c r="F1028" t="s">
        <v>3131</v>
      </c>
      <c r="G1028">
        <v>3</v>
      </c>
      <c r="H1028">
        <v>1640</v>
      </c>
      <c r="I1028">
        <v>5</v>
      </c>
      <c r="J1028">
        <v>10.9</v>
      </c>
      <c r="K1028">
        <v>5</v>
      </c>
      <c r="L1028">
        <v>8.5999999999999993E-2</v>
      </c>
      <c r="M1028">
        <v>2</v>
      </c>
      <c r="N1028">
        <v>84</v>
      </c>
      <c r="O1028">
        <v>5</v>
      </c>
      <c r="P1028">
        <v>0.67500000000000004</v>
      </c>
      <c r="Q1028">
        <v>5</v>
      </c>
      <c r="R1028">
        <v>8.0000000000000002E-3</v>
      </c>
      <c r="T1028" s="8" t="s">
        <v>3130</v>
      </c>
    </row>
    <row r="1029" spans="1:20" x14ac:dyDescent="0.2">
      <c r="A1029" t="s">
        <v>3133</v>
      </c>
      <c r="B1029" t="s">
        <v>2022</v>
      </c>
      <c r="C1029" t="s">
        <v>2053</v>
      </c>
      <c r="D1029" t="s">
        <v>2024</v>
      </c>
      <c r="E1029" t="s">
        <v>3134</v>
      </c>
      <c r="F1029" t="s">
        <v>3135</v>
      </c>
      <c r="G1029">
        <v>2</v>
      </c>
      <c r="H1029">
        <v>1600</v>
      </c>
      <c r="I1029">
        <v>3</v>
      </c>
      <c r="J1029">
        <v>6.55</v>
      </c>
      <c r="K1029">
        <v>3</v>
      </c>
      <c r="L1029">
        <v>0.19500000000000001</v>
      </c>
      <c r="M1029">
        <v>3</v>
      </c>
      <c r="N1029">
        <v>93</v>
      </c>
      <c r="O1029">
        <v>3</v>
      </c>
      <c r="P1029">
        <v>0.375</v>
      </c>
      <c r="Q1029">
        <v>2</v>
      </c>
      <c r="R1029">
        <v>5.1999999999999998E-3</v>
      </c>
      <c r="T1029" s="8" t="s">
        <v>3134</v>
      </c>
    </row>
    <row r="1030" spans="1:20" x14ac:dyDescent="0.2">
      <c r="A1030" t="s">
        <v>3136</v>
      </c>
      <c r="B1030" t="s">
        <v>2022</v>
      </c>
      <c r="C1030" t="s">
        <v>2049</v>
      </c>
      <c r="D1030" t="s">
        <v>2024</v>
      </c>
      <c r="E1030" t="s">
        <v>3137</v>
      </c>
      <c r="F1030" t="s">
        <v>447</v>
      </c>
      <c r="G1030">
        <v>4</v>
      </c>
      <c r="H1030">
        <v>1650</v>
      </c>
      <c r="I1030">
        <v>5</v>
      </c>
      <c r="J1030">
        <v>8.6</v>
      </c>
      <c r="K1030">
        <v>5</v>
      </c>
      <c r="L1030">
        <v>0.3</v>
      </c>
      <c r="M1030">
        <v>4</v>
      </c>
      <c r="N1030">
        <v>146</v>
      </c>
      <c r="O1030">
        <v>5</v>
      </c>
      <c r="P1030">
        <v>0.86</v>
      </c>
      <c r="Q1030">
        <v>4</v>
      </c>
      <c r="R1030">
        <v>2.4199999999999999E-2</v>
      </c>
      <c r="T1030" s="8" t="s">
        <v>3137</v>
      </c>
    </row>
    <row r="1031" spans="1:20" x14ac:dyDescent="0.2">
      <c r="A1031" t="s">
        <v>3138</v>
      </c>
      <c r="B1031" t="s">
        <v>2022</v>
      </c>
      <c r="C1031" t="s">
        <v>2053</v>
      </c>
      <c r="D1031" t="s">
        <v>2024</v>
      </c>
      <c r="E1031" t="s">
        <v>3139</v>
      </c>
      <c r="F1031" t="s">
        <v>3140</v>
      </c>
      <c r="G1031">
        <v>4</v>
      </c>
      <c r="H1031">
        <v>1800</v>
      </c>
      <c r="I1031">
        <v>1</v>
      </c>
      <c r="J1031">
        <v>1.55</v>
      </c>
      <c r="K1031">
        <v>1</v>
      </c>
      <c r="L1031">
        <v>1.4999999999999999E-2</v>
      </c>
      <c r="M1031">
        <v>5</v>
      </c>
      <c r="N1031">
        <v>113</v>
      </c>
      <c r="O1031">
        <v>2</v>
      </c>
      <c r="P1031">
        <v>0.22500000000000001</v>
      </c>
      <c r="Q1031">
        <v>1</v>
      </c>
      <c r="R1031">
        <v>8.4999999999999995E-4</v>
      </c>
      <c r="T1031" s="8" t="s">
        <v>3139</v>
      </c>
    </row>
    <row r="1032" spans="1:20" x14ac:dyDescent="0.2">
      <c r="A1032" t="s">
        <v>3141</v>
      </c>
      <c r="B1032" t="s">
        <v>2022</v>
      </c>
      <c r="C1032" t="s">
        <v>2023</v>
      </c>
      <c r="D1032" t="s">
        <v>2024</v>
      </c>
      <c r="E1032" t="s">
        <v>3142</v>
      </c>
      <c r="F1032" t="s">
        <v>3143</v>
      </c>
      <c r="G1032">
        <v>3</v>
      </c>
      <c r="H1032">
        <v>1640</v>
      </c>
      <c r="I1032">
        <v>4</v>
      </c>
      <c r="J1032">
        <v>8.4</v>
      </c>
      <c r="K1032">
        <v>5</v>
      </c>
      <c r="L1032">
        <v>8.5999999999999993E-2</v>
      </c>
      <c r="M1032">
        <v>4</v>
      </c>
      <c r="N1032">
        <v>104</v>
      </c>
      <c r="O1032">
        <v>4</v>
      </c>
      <c r="P1032">
        <v>0.52500000000000002</v>
      </c>
      <c r="Q1032">
        <v>5</v>
      </c>
      <c r="R1032">
        <v>8.0000000000000002E-3</v>
      </c>
      <c r="T1032" s="8" t="s">
        <v>3142</v>
      </c>
    </row>
    <row r="1033" spans="1:20" x14ac:dyDescent="0.2">
      <c r="A1033" t="s">
        <v>3144</v>
      </c>
      <c r="B1033" t="s">
        <v>2022</v>
      </c>
      <c r="C1033" t="s">
        <v>2053</v>
      </c>
      <c r="D1033" t="s">
        <v>2024</v>
      </c>
      <c r="E1033" t="s">
        <v>3145</v>
      </c>
      <c r="F1033" t="s">
        <v>3146</v>
      </c>
      <c r="G1033">
        <v>1</v>
      </c>
      <c r="H1033">
        <v>1500</v>
      </c>
      <c r="I1033">
        <v>1</v>
      </c>
      <c r="J1033">
        <v>1.55</v>
      </c>
      <c r="K1033">
        <v>1</v>
      </c>
      <c r="L1033">
        <v>1.4999999999999999E-2</v>
      </c>
      <c r="M1033">
        <v>5</v>
      </c>
      <c r="N1033">
        <v>113</v>
      </c>
      <c r="O1033">
        <v>4</v>
      </c>
      <c r="P1033">
        <v>0.52500000000000002</v>
      </c>
      <c r="Q1033">
        <v>3</v>
      </c>
      <c r="R1033">
        <v>1.2200000000000001E-2</v>
      </c>
      <c r="T1033" s="8" t="s">
        <v>3145</v>
      </c>
    </row>
    <row r="1034" spans="1:20" x14ac:dyDescent="0.2">
      <c r="A1034" t="s">
        <v>3147</v>
      </c>
      <c r="B1034" t="s">
        <v>2022</v>
      </c>
      <c r="C1034" t="s">
        <v>2023</v>
      </c>
      <c r="D1034" t="s">
        <v>2024</v>
      </c>
      <c r="E1034" t="s">
        <v>3148</v>
      </c>
      <c r="F1034" t="s">
        <v>3149</v>
      </c>
      <c r="G1034">
        <v>4</v>
      </c>
      <c r="H1034">
        <v>1720</v>
      </c>
      <c r="I1034">
        <v>2</v>
      </c>
      <c r="J1034">
        <v>3.4</v>
      </c>
      <c r="K1034">
        <v>2</v>
      </c>
      <c r="L1034">
        <v>2.5999999999999999E-2</v>
      </c>
      <c r="M1034">
        <v>3</v>
      </c>
      <c r="N1034">
        <v>94</v>
      </c>
      <c r="O1034">
        <v>2</v>
      </c>
      <c r="P1034">
        <v>0.22500000000000001</v>
      </c>
      <c r="Q1034">
        <v>2</v>
      </c>
      <c r="R1034">
        <v>2E-3</v>
      </c>
      <c r="T1034" s="8" t="s">
        <v>3148</v>
      </c>
    </row>
    <row r="1035" spans="1:20" x14ac:dyDescent="0.2">
      <c r="A1035" t="s">
        <v>3150</v>
      </c>
      <c r="B1035" t="s">
        <v>2022</v>
      </c>
      <c r="C1035" t="s">
        <v>2036</v>
      </c>
      <c r="D1035" t="s">
        <v>2024</v>
      </c>
      <c r="E1035" t="s">
        <v>3151</v>
      </c>
      <c r="F1035" t="s">
        <v>3152</v>
      </c>
      <c r="G1035">
        <v>4</v>
      </c>
      <c r="H1035">
        <v>1840</v>
      </c>
      <c r="I1035">
        <v>1</v>
      </c>
      <c r="J1035">
        <v>2.2000000000000002</v>
      </c>
      <c r="K1035">
        <v>1</v>
      </c>
      <c r="L1035">
        <v>5.5E-2</v>
      </c>
      <c r="M1035">
        <v>5</v>
      </c>
      <c r="N1035">
        <v>100</v>
      </c>
      <c r="O1035">
        <v>1</v>
      </c>
      <c r="P1035">
        <v>9.5000000000000001E-2</v>
      </c>
      <c r="Q1035">
        <v>1</v>
      </c>
      <c r="R1035">
        <v>1.5E-3</v>
      </c>
      <c r="T1035" s="8" t="s">
        <v>3151</v>
      </c>
    </row>
    <row r="1036" spans="1:20" x14ac:dyDescent="0.2">
      <c r="A1036" t="s">
        <v>3153</v>
      </c>
      <c r="B1036" t="s">
        <v>2022</v>
      </c>
      <c r="C1036" t="s">
        <v>2023</v>
      </c>
      <c r="D1036" t="s">
        <v>2024</v>
      </c>
      <c r="E1036" t="s">
        <v>3154</v>
      </c>
      <c r="F1036" t="s">
        <v>447</v>
      </c>
      <c r="G1036">
        <v>2</v>
      </c>
      <c r="H1036">
        <v>1560</v>
      </c>
      <c r="I1036">
        <v>2</v>
      </c>
      <c r="J1036">
        <v>3.4</v>
      </c>
      <c r="K1036">
        <v>5</v>
      </c>
      <c r="L1036">
        <v>8.5999999999999993E-2</v>
      </c>
      <c r="M1036">
        <v>2</v>
      </c>
      <c r="N1036">
        <v>84</v>
      </c>
      <c r="O1036">
        <v>2</v>
      </c>
      <c r="P1036">
        <v>0.22500000000000001</v>
      </c>
      <c r="Q1036">
        <v>4</v>
      </c>
      <c r="R1036">
        <v>6.0000000000000001E-3</v>
      </c>
      <c r="T1036" s="8" t="s">
        <v>3154</v>
      </c>
    </row>
    <row r="1037" spans="1:20" x14ac:dyDescent="0.2">
      <c r="A1037" t="s">
        <v>3155</v>
      </c>
      <c r="B1037" t="s">
        <v>2022</v>
      </c>
      <c r="C1037" t="s">
        <v>2028</v>
      </c>
      <c r="D1037" t="s">
        <v>2024</v>
      </c>
      <c r="E1037" t="s">
        <v>3156</v>
      </c>
      <c r="F1037" t="s">
        <v>3157</v>
      </c>
      <c r="G1037">
        <v>4</v>
      </c>
      <c r="H1037">
        <v>1250</v>
      </c>
      <c r="I1037">
        <v>2</v>
      </c>
      <c r="J1037">
        <v>1.55</v>
      </c>
      <c r="K1037">
        <v>2</v>
      </c>
      <c r="L1037">
        <v>4.4999999999999998E-2</v>
      </c>
      <c r="M1037">
        <v>3</v>
      </c>
      <c r="N1037">
        <v>300</v>
      </c>
      <c r="O1037">
        <v>1</v>
      </c>
      <c r="P1037">
        <v>0.15</v>
      </c>
      <c r="Q1037">
        <v>2</v>
      </c>
      <c r="R1037">
        <v>7.7499999999999999E-3</v>
      </c>
      <c r="T1037" s="8" t="s">
        <v>3156</v>
      </c>
    </row>
    <row r="1038" spans="1:20" x14ac:dyDescent="0.2">
      <c r="A1038" t="s">
        <v>3158</v>
      </c>
      <c r="B1038" t="s">
        <v>2022</v>
      </c>
      <c r="C1038" t="s">
        <v>2023</v>
      </c>
      <c r="D1038" t="s">
        <v>2136</v>
      </c>
      <c r="E1038" t="s">
        <v>273</v>
      </c>
      <c r="F1038" t="s">
        <v>3159</v>
      </c>
      <c r="G1038">
        <v>1</v>
      </c>
      <c r="H1038">
        <v>1480</v>
      </c>
      <c r="I1038">
        <v>2</v>
      </c>
      <c r="J1038">
        <v>3.4</v>
      </c>
      <c r="K1038">
        <v>5</v>
      </c>
      <c r="L1038">
        <v>8.5999999999999993E-2</v>
      </c>
      <c r="M1038">
        <v>1</v>
      </c>
      <c r="N1038">
        <v>74</v>
      </c>
      <c r="O1038">
        <v>2</v>
      </c>
      <c r="P1038">
        <v>0.22500000000000001</v>
      </c>
      <c r="Q1038">
        <v>5</v>
      </c>
      <c r="R1038">
        <v>8.0000000000000002E-3</v>
      </c>
      <c r="T1038" s="8" t="s">
        <v>273</v>
      </c>
    </row>
    <row r="1039" spans="1:20" x14ac:dyDescent="0.2">
      <c r="A1039" t="s">
        <v>3160</v>
      </c>
      <c r="B1039" t="s">
        <v>2022</v>
      </c>
      <c r="C1039" t="s">
        <v>2028</v>
      </c>
      <c r="D1039" t="s">
        <v>2136</v>
      </c>
      <c r="E1039" t="s">
        <v>357</v>
      </c>
      <c r="F1039" t="s">
        <v>447</v>
      </c>
      <c r="G1039">
        <v>5</v>
      </c>
      <c r="H1039">
        <v>1450</v>
      </c>
      <c r="I1039">
        <v>2</v>
      </c>
      <c r="J1039">
        <v>1.55</v>
      </c>
      <c r="K1039">
        <v>2</v>
      </c>
      <c r="L1039">
        <v>4.4999999999999998E-2</v>
      </c>
      <c r="M1039">
        <v>1</v>
      </c>
      <c r="N1039">
        <v>100</v>
      </c>
      <c r="O1039">
        <v>1</v>
      </c>
      <c r="P1039">
        <v>0.15</v>
      </c>
      <c r="Q1039">
        <v>1</v>
      </c>
      <c r="R1039">
        <v>1.75E-3</v>
      </c>
      <c r="T1039" s="8" t="s">
        <v>357</v>
      </c>
    </row>
    <row r="1040" spans="1:20" x14ac:dyDescent="0.2">
      <c r="A1040" t="s">
        <v>3161</v>
      </c>
      <c r="B1040" t="s">
        <v>2022</v>
      </c>
      <c r="C1040" t="s">
        <v>2023</v>
      </c>
      <c r="D1040" t="s">
        <v>2154</v>
      </c>
      <c r="E1040" t="s">
        <v>3162</v>
      </c>
      <c r="F1040" t="s">
        <v>3163</v>
      </c>
      <c r="G1040">
        <v>2</v>
      </c>
      <c r="H1040">
        <v>1560</v>
      </c>
      <c r="I1040">
        <v>2</v>
      </c>
      <c r="J1040">
        <v>3.4</v>
      </c>
      <c r="K1040">
        <v>5</v>
      </c>
      <c r="L1040">
        <v>8.5999999999999993E-2</v>
      </c>
      <c r="M1040">
        <v>1</v>
      </c>
      <c r="N1040">
        <v>74</v>
      </c>
      <c r="O1040">
        <v>1</v>
      </c>
      <c r="P1040">
        <v>7.4999999999999997E-2</v>
      </c>
      <c r="Q1040">
        <v>3</v>
      </c>
      <c r="R1040">
        <v>4.0000000000000001E-3</v>
      </c>
      <c r="T1040" s="8" t="s">
        <v>3162</v>
      </c>
    </row>
    <row r="1041" spans="1:20" x14ac:dyDescent="0.2">
      <c r="A1041" t="s">
        <v>3164</v>
      </c>
      <c r="B1041" t="s">
        <v>2022</v>
      </c>
      <c r="C1041" t="s">
        <v>2101</v>
      </c>
      <c r="D1041" t="s">
        <v>2024</v>
      </c>
      <c r="E1041" t="s">
        <v>3165</v>
      </c>
      <c r="F1041" t="s">
        <v>3166</v>
      </c>
      <c r="G1041">
        <v>3</v>
      </c>
      <c r="H1041">
        <v>1770</v>
      </c>
      <c r="I1041">
        <v>5</v>
      </c>
      <c r="J1041">
        <v>14</v>
      </c>
      <c r="K1041">
        <v>5</v>
      </c>
      <c r="L1041">
        <v>0.53749999999999998</v>
      </c>
      <c r="M1041">
        <v>2</v>
      </c>
      <c r="N1041">
        <v>74</v>
      </c>
      <c r="O1041">
        <v>5</v>
      </c>
      <c r="P1041">
        <v>0.67500000000000004</v>
      </c>
      <c r="Q1041">
        <v>5</v>
      </c>
      <c r="R1041">
        <v>2.5499999999999998E-2</v>
      </c>
      <c r="T1041" s="8" t="s">
        <v>3165</v>
      </c>
    </row>
    <row r="1042" spans="1:20" x14ac:dyDescent="0.2">
      <c r="A1042" t="s">
        <v>3167</v>
      </c>
      <c r="B1042" t="s">
        <v>2022</v>
      </c>
      <c r="C1042" t="s">
        <v>2053</v>
      </c>
      <c r="D1042" t="s">
        <v>2024</v>
      </c>
      <c r="E1042" t="s">
        <v>3168</v>
      </c>
      <c r="F1042" t="s">
        <v>447</v>
      </c>
      <c r="G1042">
        <v>1</v>
      </c>
      <c r="H1042">
        <v>1500</v>
      </c>
      <c r="I1042">
        <v>2</v>
      </c>
      <c r="J1042">
        <v>4.05</v>
      </c>
      <c r="K1042">
        <v>2</v>
      </c>
      <c r="L1042">
        <v>8.5000000000000006E-2</v>
      </c>
      <c r="M1042">
        <v>2</v>
      </c>
      <c r="N1042">
        <v>83</v>
      </c>
      <c r="O1042">
        <v>3</v>
      </c>
      <c r="P1042">
        <v>0.375</v>
      </c>
      <c r="Q1042">
        <v>2</v>
      </c>
      <c r="R1042">
        <v>5.1999999999999998E-3</v>
      </c>
      <c r="T1042" s="8" t="s">
        <v>3168</v>
      </c>
    </row>
    <row r="1043" spans="1:20" x14ac:dyDescent="0.2">
      <c r="A1043" t="s">
        <v>3169</v>
      </c>
      <c r="B1043" t="s">
        <v>2022</v>
      </c>
      <c r="C1043" t="s">
        <v>2023</v>
      </c>
      <c r="D1043" t="s">
        <v>2024</v>
      </c>
      <c r="E1043" t="s">
        <v>3170</v>
      </c>
      <c r="F1043" t="s">
        <v>3171</v>
      </c>
      <c r="G1043">
        <v>1</v>
      </c>
      <c r="H1043">
        <v>1480</v>
      </c>
      <c r="I1043">
        <v>3</v>
      </c>
      <c r="J1043">
        <v>5.9</v>
      </c>
      <c r="K1043">
        <v>5</v>
      </c>
      <c r="L1043">
        <v>8.5999999999999993E-2</v>
      </c>
      <c r="M1043">
        <v>1</v>
      </c>
      <c r="N1043">
        <v>74</v>
      </c>
      <c r="O1043">
        <v>3</v>
      </c>
      <c r="P1043">
        <v>0.375</v>
      </c>
      <c r="Q1043">
        <v>5</v>
      </c>
      <c r="R1043">
        <v>8.0000000000000002E-3</v>
      </c>
      <c r="T1043" s="8" t="s">
        <v>3170</v>
      </c>
    </row>
    <row r="1044" spans="1:20" x14ac:dyDescent="0.2">
      <c r="A1044" t="s">
        <v>3172</v>
      </c>
      <c r="B1044" t="s">
        <v>2022</v>
      </c>
      <c r="C1044" t="s">
        <v>2023</v>
      </c>
      <c r="D1044" t="s">
        <v>2024</v>
      </c>
      <c r="E1044" t="s">
        <v>3173</v>
      </c>
      <c r="F1044" t="s">
        <v>3174</v>
      </c>
      <c r="G1044">
        <v>1</v>
      </c>
      <c r="H1044">
        <v>1480</v>
      </c>
      <c r="I1044">
        <v>1</v>
      </c>
      <c r="J1044">
        <v>0.9</v>
      </c>
      <c r="K1044">
        <v>1</v>
      </c>
      <c r="L1044">
        <v>6.0000000000000001E-3</v>
      </c>
      <c r="M1044">
        <v>2</v>
      </c>
      <c r="N1044">
        <v>84</v>
      </c>
      <c r="O1044">
        <v>1</v>
      </c>
      <c r="P1044">
        <v>7.4999999999999997E-2</v>
      </c>
      <c r="Q1044">
        <v>1</v>
      </c>
      <c r="R1044">
        <v>5.0000000000000001E-4</v>
      </c>
      <c r="T1044" s="8" t="s">
        <v>3173</v>
      </c>
    </row>
    <row r="1045" spans="1:20" x14ac:dyDescent="0.2">
      <c r="A1045" t="s">
        <v>3175</v>
      </c>
      <c r="B1045" t="s">
        <v>2022</v>
      </c>
      <c r="C1045" t="s">
        <v>2104</v>
      </c>
      <c r="D1045" t="s">
        <v>2024</v>
      </c>
      <c r="E1045" t="s">
        <v>3176</v>
      </c>
      <c r="F1045" t="s">
        <v>3177</v>
      </c>
      <c r="G1045">
        <v>2</v>
      </c>
      <c r="H1045">
        <v>1712.5</v>
      </c>
      <c r="I1045">
        <v>1</v>
      </c>
      <c r="J1045">
        <v>0.95</v>
      </c>
      <c r="K1045">
        <v>2</v>
      </c>
      <c r="L1045">
        <v>4.1000000000000002E-2</v>
      </c>
      <c r="M1045">
        <v>2</v>
      </c>
      <c r="N1045">
        <v>65</v>
      </c>
      <c r="P1045">
        <v>0</v>
      </c>
      <c r="Q1045">
        <v>1</v>
      </c>
      <c r="R1045">
        <v>3.5E-4</v>
      </c>
      <c r="T1045" s="8" t="s">
        <v>3176</v>
      </c>
    </row>
    <row r="1046" spans="1:20" x14ac:dyDescent="0.2">
      <c r="A1046" t="s">
        <v>3178</v>
      </c>
      <c r="B1046" t="s">
        <v>2022</v>
      </c>
      <c r="C1046" t="s">
        <v>2023</v>
      </c>
      <c r="D1046" t="s">
        <v>2024</v>
      </c>
      <c r="E1046" t="s">
        <v>3179</v>
      </c>
      <c r="F1046" t="s">
        <v>3180</v>
      </c>
      <c r="G1046">
        <v>4</v>
      </c>
      <c r="H1046">
        <v>1720</v>
      </c>
      <c r="I1046">
        <v>2</v>
      </c>
      <c r="J1046">
        <v>3.4</v>
      </c>
      <c r="K1046">
        <v>5</v>
      </c>
      <c r="L1046">
        <v>8.5999999999999993E-2</v>
      </c>
      <c r="M1046">
        <v>3</v>
      </c>
      <c r="N1046">
        <v>94</v>
      </c>
      <c r="O1046">
        <v>2</v>
      </c>
      <c r="P1046">
        <v>0.22500000000000001</v>
      </c>
      <c r="Q1046">
        <v>5</v>
      </c>
      <c r="R1046">
        <v>8.0000000000000002E-3</v>
      </c>
      <c r="T1046" s="8" t="s">
        <v>3179</v>
      </c>
    </row>
    <row r="1047" spans="1:20" x14ac:dyDescent="0.2">
      <c r="A1047" t="s">
        <v>3181</v>
      </c>
      <c r="B1047" t="s">
        <v>2022</v>
      </c>
      <c r="C1047" t="s">
        <v>2023</v>
      </c>
      <c r="D1047" t="s">
        <v>2024</v>
      </c>
      <c r="E1047" t="s">
        <v>3182</v>
      </c>
      <c r="F1047" t="s">
        <v>3183</v>
      </c>
      <c r="G1047">
        <v>3</v>
      </c>
      <c r="H1047">
        <v>1640</v>
      </c>
      <c r="I1047">
        <v>1</v>
      </c>
      <c r="J1047">
        <v>0.9</v>
      </c>
      <c r="K1047">
        <v>1</v>
      </c>
      <c r="L1047">
        <v>6.0000000000000001E-3</v>
      </c>
      <c r="M1047">
        <v>1</v>
      </c>
      <c r="N1047">
        <v>74</v>
      </c>
      <c r="O1047">
        <v>1</v>
      </c>
      <c r="P1047">
        <v>7.4999999999999997E-2</v>
      </c>
      <c r="Q1047">
        <v>1</v>
      </c>
      <c r="R1047">
        <v>5.0000000000000001E-4</v>
      </c>
      <c r="T1047" s="8" t="s">
        <v>3182</v>
      </c>
    </row>
    <row r="1048" spans="1:20" x14ac:dyDescent="0.2">
      <c r="A1048" t="s">
        <v>3184</v>
      </c>
      <c r="B1048" t="s">
        <v>2022</v>
      </c>
      <c r="C1048" t="s">
        <v>2023</v>
      </c>
      <c r="D1048" t="s">
        <v>2024</v>
      </c>
      <c r="E1048" t="s">
        <v>3185</v>
      </c>
      <c r="F1048" t="s">
        <v>3186</v>
      </c>
      <c r="G1048">
        <v>1</v>
      </c>
      <c r="H1048">
        <v>1480</v>
      </c>
      <c r="I1048">
        <v>1</v>
      </c>
      <c r="J1048">
        <v>0.9</v>
      </c>
      <c r="K1048">
        <v>1</v>
      </c>
      <c r="L1048">
        <v>6.0000000000000001E-3</v>
      </c>
      <c r="M1048">
        <v>3</v>
      </c>
      <c r="N1048">
        <v>94</v>
      </c>
      <c r="O1048">
        <v>1</v>
      </c>
      <c r="P1048">
        <v>7.4999999999999997E-2</v>
      </c>
      <c r="Q1048">
        <v>1</v>
      </c>
      <c r="R1048">
        <v>5.0000000000000001E-4</v>
      </c>
      <c r="T1048" s="8" t="s">
        <v>3185</v>
      </c>
    </row>
    <row r="1049" spans="1:20" x14ac:dyDescent="0.2">
      <c r="A1049" t="s">
        <v>3187</v>
      </c>
      <c r="B1049" t="s">
        <v>2022</v>
      </c>
      <c r="C1049" t="s">
        <v>2036</v>
      </c>
      <c r="D1049" t="s">
        <v>2024</v>
      </c>
      <c r="E1049" t="s">
        <v>3188</v>
      </c>
      <c r="F1049" t="s">
        <v>3189</v>
      </c>
      <c r="G1049">
        <v>2</v>
      </c>
      <c r="H1049">
        <v>1640</v>
      </c>
      <c r="I1049">
        <v>2</v>
      </c>
      <c r="J1049">
        <v>3.4</v>
      </c>
      <c r="K1049">
        <v>1</v>
      </c>
      <c r="L1049">
        <v>5.5E-2</v>
      </c>
      <c r="M1049">
        <v>2</v>
      </c>
      <c r="N1049">
        <v>82</v>
      </c>
      <c r="O1049">
        <v>1</v>
      </c>
      <c r="P1049">
        <v>9.5000000000000001E-2</v>
      </c>
      <c r="Q1049">
        <v>1</v>
      </c>
      <c r="R1049">
        <v>1.5E-3</v>
      </c>
      <c r="T1049" s="8" t="s">
        <v>3188</v>
      </c>
    </row>
    <row r="1050" spans="1:20" x14ac:dyDescent="0.2">
      <c r="A1050" t="s">
        <v>3190</v>
      </c>
      <c r="B1050" t="s">
        <v>2022</v>
      </c>
      <c r="C1050" t="s">
        <v>2036</v>
      </c>
      <c r="D1050" t="s">
        <v>2024</v>
      </c>
      <c r="E1050" t="s">
        <v>3191</v>
      </c>
      <c r="F1050" t="s">
        <v>3192</v>
      </c>
      <c r="G1050">
        <v>1</v>
      </c>
      <c r="H1050">
        <v>1540</v>
      </c>
      <c r="I1050">
        <v>1</v>
      </c>
      <c r="J1050">
        <v>2.2000000000000002</v>
      </c>
      <c r="K1050">
        <v>1</v>
      </c>
      <c r="L1050">
        <v>5.5E-2</v>
      </c>
      <c r="M1050">
        <v>2</v>
      </c>
      <c r="N1050">
        <v>82</v>
      </c>
      <c r="O1050">
        <v>1</v>
      </c>
      <c r="P1050">
        <v>9.5000000000000001E-2</v>
      </c>
      <c r="Q1050">
        <v>1</v>
      </c>
      <c r="R1050">
        <v>1.5E-3</v>
      </c>
      <c r="T1050" s="8" t="s">
        <v>3191</v>
      </c>
    </row>
    <row r="1051" spans="1:20" x14ac:dyDescent="0.2">
      <c r="A1051" t="s">
        <v>3193</v>
      </c>
      <c r="B1051" t="s">
        <v>2022</v>
      </c>
      <c r="C1051" t="s">
        <v>2036</v>
      </c>
      <c r="D1051" t="s">
        <v>2024</v>
      </c>
      <c r="E1051" t="s">
        <v>3194</v>
      </c>
      <c r="F1051" t="s">
        <v>3195</v>
      </c>
      <c r="G1051">
        <v>3</v>
      </c>
      <c r="H1051">
        <v>1740</v>
      </c>
      <c r="I1051">
        <v>1</v>
      </c>
      <c r="J1051">
        <v>2.2000000000000002</v>
      </c>
      <c r="K1051">
        <v>2</v>
      </c>
      <c r="L1051">
        <v>8.5000000000000006E-2</v>
      </c>
      <c r="M1051">
        <v>4</v>
      </c>
      <c r="N1051">
        <v>94</v>
      </c>
      <c r="O1051">
        <v>1</v>
      </c>
      <c r="P1051">
        <v>9.5000000000000001E-2</v>
      </c>
      <c r="Q1051">
        <v>2</v>
      </c>
      <c r="R1051">
        <v>4.2500000000000003E-3</v>
      </c>
      <c r="T1051" s="8" t="s">
        <v>3194</v>
      </c>
    </row>
    <row r="1052" spans="1:20" x14ac:dyDescent="0.2">
      <c r="A1052" t="s">
        <v>3196</v>
      </c>
      <c r="B1052" t="s">
        <v>2022</v>
      </c>
      <c r="C1052" t="s">
        <v>2101</v>
      </c>
      <c r="D1052" t="s">
        <v>2024</v>
      </c>
      <c r="E1052" t="s">
        <v>3197</v>
      </c>
      <c r="F1052" t="s">
        <v>3198</v>
      </c>
      <c r="G1052">
        <v>1</v>
      </c>
      <c r="H1052">
        <v>1570</v>
      </c>
      <c r="I1052">
        <v>1</v>
      </c>
      <c r="J1052">
        <v>2</v>
      </c>
      <c r="K1052">
        <v>1</v>
      </c>
      <c r="L1052">
        <v>1.15E-2</v>
      </c>
      <c r="M1052">
        <v>2</v>
      </c>
      <c r="N1052">
        <v>74</v>
      </c>
      <c r="O1052">
        <v>1</v>
      </c>
      <c r="P1052">
        <v>7.4999999999999997E-2</v>
      </c>
      <c r="Q1052">
        <v>1</v>
      </c>
      <c r="R1052">
        <v>5.0000000000000001E-4</v>
      </c>
      <c r="T1052" s="8" t="s">
        <v>3197</v>
      </c>
    </row>
    <row r="1053" spans="1:20" x14ac:dyDescent="0.2">
      <c r="A1053" t="s">
        <v>3199</v>
      </c>
      <c r="B1053" t="s">
        <v>2022</v>
      </c>
      <c r="C1053" t="s">
        <v>2023</v>
      </c>
      <c r="D1053" t="s">
        <v>2024</v>
      </c>
      <c r="E1053" t="s">
        <v>3200</v>
      </c>
      <c r="F1053" t="s">
        <v>3201</v>
      </c>
      <c r="G1053">
        <v>1</v>
      </c>
      <c r="H1053">
        <v>1480</v>
      </c>
      <c r="I1053">
        <v>2</v>
      </c>
      <c r="J1053">
        <v>3.4</v>
      </c>
      <c r="K1053">
        <v>2</v>
      </c>
      <c r="L1053">
        <v>2.5999999999999999E-2</v>
      </c>
      <c r="M1053">
        <v>2</v>
      </c>
      <c r="N1053">
        <v>84</v>
      </c>
      <c r="O1053">
        <v>2</v>
      </c>
      <c r="P1053">
        <v>0.22500000000000001</v>
      </c>
      <c r="Q1053">
        <v>1</v>
      </c>
      <c r="R1053">
        <v>5.0000000000000001E-4</v>
      </c>
      <c r="T1053" s="8" t="s">
        <v>3200</v>
      </c>
    </row>
    <row r="1054" spans="1:20" x14ac:dyDescent="0.2">
      <c r="A1054" t="s">
        <v>3202</v>
      </c>
      <c r="B1054" t="s">
        <v>2022</v>
      </c>
      <c r="C1054" t="s">
        <v>2036</v>
      </c>
      <c r="D1054" t="s">
        <v>2136</v>
      </c>
      <c r="E1054" t="s">
        <v>3203</v>
      </c>
      <c r="F1054" t="s">
        <v>3204</v>
      </c>
      <c r="G1054">
        <v>3</v>
      </c>
      <c r="H1054">
        <v>1740</v>
      </c>
      <c r="I1054">
        <v>1</v>
      </c>
      <c r="J1054">
        <v>2.2000000000000002</v>
      </c>
      <c r="K1054">
        <v>1</v>
      </c>
      <c r="L1054">
        <v>5.5E-2</v>
      </c>
      <c r="M1054">
        <v>3</v>
      </c>
      <c r="N1054">
        <v>88</v>
      </c>
      <c r="O1054">
        <v>1</v>
      </c>
      <c r="P1054">
        <v>9.5000000000000001E-2</v>
      </c>
      <c r="Q1054">
        <v>1</v>
      </c>
      <c r="R1054">
        <v>1.5E-3</v>
      </c>
      <c r="T1054" s="8" t="s">
        <v>3203</v>
      </c>
    </row>
    <row r="1055" spans="1:20" x14ac:dyDescent="0.2">
      <c r="A1055" t="s">
        <v>3205</v>
      </c>
      <c r="B1055" t="s">
        <v>2022</v>
      </c>
      <c r="C1055" t="s">
        <v>2053</v>
      </c>
      <c r="D1055" t="s">
        <v>2024</v>
      </c>
      <c r="E1055" t="s">
        <v>3206</v>
      </c>
      <c r="F1055" t="s">
        <v>3207</v>
      </c>
      <c r="G1055">
        <v>1</v>
      </c>
      <c r="H1055">
        <v>1500</v>
      </c>
      <c r="I1055">
        <v>2</v>
      </c>
      <c r="J1055">
        <v>4.05</v>
      </c>
      <c r="K1055">
        <v>1</v>
      </c>
      <c r="L1055">
        <v>1.4999999999999999E-2</v>
      </c>
      <c r="M1055">
        <v>1</v>
      </c>
      <c r="N1055">
        <v>73</v>
      </c>
      <c r="O1055">
        <v>1</v>
      </c>
      <c r="P1055">
        <v>7.4999999999999997E-2</v>
      </c>
      <c r="Q1055">
        <v>1</v>
      </c>
      <c r="R1055">
        <v>8.4999999999999995E-4</v>
      </c>
      <c r="T1055" s="8" t="s">
        <v>3206</v>
      </c>
    </row>
    <row r="1056" spans="1:20" x14ac:dyDescent="0.2">
      <c r="A1056" t="s">
        <v>3208</v>
      </c>
      <c r="B1056" t="s">
        <v>2022</v>
      </c>
      <c r="C1056" t="s">
        <v>2106</v>
      </c>
      <c r="D1056" t="s">
        <v>2024</v>
      </c>
      <c r="E1056" t="s">
        <v>3209</v>
      </c>
      <c r="F1056" t="s">
        <v>447</v>
      </c>
      <c r="G1056">
        <v>5</v>
      </c>
      <c r="H1056">
        <v>2275</v>
      </c>
      <c r="I1056">
        <v>3</v>
      </c>
      <c r="J1056">
        <v>8.25</v>
      </c>
      <c r="K1056">
        <v>5</v>
      </c>
      <c r="L1056">
        <v>0.3</v>
      </c>
      <c r="M1056">
        <v>1</v>
      </c>
      <c r="N1056">
        <v>61.5</v>
      </c>
      <c r="O1056">
        <v>2</v>
      </c>
      <c r="P1056">
        <v>0.15</v>
      </c>
      <c r="Q1056">
        <v>4</v>
      </c>
      <c r="R1056">
        <v>6.4999999999999997E-3</v>
      </c>
      <c r="T1056" s="8" t="s">
        <v>3209</v>
      </c>
    </row>
    <row r="1057" spans="1:20" x14ac:dyDescent="0.2">
      <c r="A1057" t="s">
        <v>3210</v>
      </c>
      <c r="B1057" t="s">
        <v>2022</v>
      </c>
      <c r="C1057" t="s">
        <v>2036</v>
      </c>
      <c r="D1057" t="s">
        <v>2024</v>
      </c>
      <c r="E1057" t="s">
        <v>3211</v>
      </c>
      <c r="F1057" t="s">
        <v>3212</v>
      </c>
      <c r="G1057">
        <v>5</v>
      </c>
      <c r="H1057">
        <v>1940</v>
      </c>
      <c r="I1057">
        <v>4</v>
      </c>
      <c r="J1057">
        <v>5.8</v>
      </c>
      <c r="K1057">
        <v>5</v>
      </c>
      <c r="L1057">
        <v>0.17499999999999999</v>
      </c>
      <c r="M1057">
        <v>5</v>
      </c>
      <c r="N1057">
        <v>100</v>
      </c>
      <c r="O1057">
        <v>4</v>
      </c>
      <c r="P1057">
        <v>0.42499999999999999</v>
      </c>
      <c r="Q1057">
        <v>5</v>
      </c>
      <c r="R1057">
        <v>1.2E-2</v>
      </c>
      <c r="T1057" s="8" t="s">
        <v>3211</v>
      </c>
    </row>
    <row r="1058" spans="1:20" x14ac:dyDescent="0.2">
      <c r="A1058" t="s">
        <v>3213</v>
      </c>
      <c r="B1058" t="s">
        <v>2022</v>
      </c>
      <c r="C1058" t="s">
        <v>2173</v>
      </c>
      <c r="D1058" t="s">
        <v>2024</v>
      </c>
      <c r="E1058" t="s">
        <v>312</v>
      </c>
      <c r="F1058" t="s">
        <v>447</v>
      </c>
      <c r="G1058">
        <v>2</v>
      </c>
      <c r="H1058">
        <v>1957.5</v>
      </c>
      <c r="I1058">
        <v>5</v>
      </c>
      <c r="J1058">
        <v>14.45</v>
      </c>
      <c r="K1058">
        <v>5</v>
      </c>
      <c r="L1058">
        <v>0.45</v>
      </c>
      <c r="M1058">
        <v>3</v>
      </c>
      <c r="N1058">
        <v>118.5</v>
      </c>
      <c r="O1058">
        <v>5</v>
      </c>
      <c r="P1058">
        <v>0.87</v>
      </c>
      <c r="Q1058">
        <v>5</v>
      </c>
      <c r="R1058">
        <v>2.58E-2</v>
      </c>
      <c r="T1058" s="8" t="s">
        <v>312</v>
      </c>
    </row>
    <row r="1059" spans="1:20" x14ac:dyDescent="0.2">
      <c r="A1059" t="s">
        <v>3214</v>
      </c>
      <c r="B1059" t="s">
        <v>2022</v>
      </c>
      <c r="C1059" t="s">
        <v>2053</v>
      </c>
      <c r="D1059" t="s">
        <v>2024</v>
      </c>
      <c r="E1059" t="s">
        <v>3215</v>
      </c>
      <c r="F1059" t="s">
        <v>3216</v>
      </c>
      <c r="G1059">
        <v>2</v>
      </c>
      <c r="H1059">
        <v>1600</v>
      </c>
      <c r="I1059">
        <v>2</v>
      </c>
      <c r="J1059">
        <v>4.05</v>
      </c>
      <c r="K1059">
        <v>1</v>
      </c>
      <c r="L1059">
        <v>1.4999999999999999E-2</v>
      </c>
      <c r="M1059">
        <v>1</v>
      </c>
      <c r="N1059">
        <v>73</v>
      </c>
      <c r="O1059">
        <v>2</v>
      </c>
      <c r="P1059">
        <v>0.22500000000000001</v>
      </c>
      <c r="Q1059">
        <v>1</v>
      </c>
      <c r="R1059">
        <v>8.4999999999999995E-4</v>
      </c>
      <c r="T1059" s="8" t="s">
        <v>3215</v>
      </c>
    </row>
    <row r="1060" spans="1:20" x14ac:dyDescent="0.2">
      <c r="A1060" t="s">
        <v>3217</v>
      </c>
      <c r="B1060" t="s">
        <v>2022</v>
      </c>
      <c r="C1060" t="s">
        <v>2023</v>
      </c>
      <c r="D1060" t="s">
        <v>2024</v>
      </c>
      <c r="E1060" t="s">
        <v>3218</v>
      </c>
      <c r="F1060" t="s">
        <v>3219</v>
      </c>
      <c r="G1060">
        <v>4</v>
      </c>
      <c r="H1060">
        <v>1720</v>
      </c>
      <c r="I1060">
        <v>4</v>
      </c>
      <c r="J1060">
        <v>8.4</v>
      </c>
      <c r="K1060">
        <v>5</v>
      </c>
      <c r="L1060">
        <v>8.5999999999999993E-2</v>
      </c>
      <c r="M1060">
        <v>3</v>
      </c>
      <c r="N1060">
        <v>94</v>
      </c>
      <c r="O1060">
        <v>3</v>
      </c>
      <c r="P1060">
        <v>0.375</v>
      </c>
      <c r="Q1060">
        <v>5</v>
      </c>
      <c r="R1060">
        <v>8.0000000000000002E-3</v>
      </c>
      <c r="T1060" s="8" t="s">
        <v>3218</v>
      </c>
    </row>
    <row r="1061" spans="1:20" x14ac:dyDescent="0.2">
      <c r="A1061" t="s">
        <v>3220</v>
      </c>
      <c r="B1061" t="s">
        <v>2022</v>
      </c>
      <c r="C1061" t="s">
        <v>2173</v>
      </c>
      <c r="D1061" t="s">
        <v>2024</v>
      </c>
      <c r="E1061" t="s">
        <v>3221</v>
      </c>
      <c r="F1061" t="s">
        <v>3222</v>
      </c>
      <c r="G1061">
        <v>3</v>
      </c>
      <c r="H1061">
        <v>2032.5</v>
      </c>
      <c r="I1061">
        <v>2</v>
      </c>
      <c r="J1061">
        <v>6.35</v>
      </c>
      <c r="K1061">
        <v>2</v>
      </c>
      <c r="L1061">
        <v>0.09</v>
      </c>
      <c r="M1061">
        <v>4</v>
      </c>
      <c r="N1061">
        <v>129.5</v>
      </c>
      <c r="O1061">
        <v>2</v>
      </c>
      <c r="P1061">
        <v>0.33</v>
      </c>
      <c r="Q1061">
        <v>2</v>
      </c>
      <c r="R1061">
        <v>4.7999999999999996E-3</v>
      </c>
      <c r="T1061" s="8" t="s">
        <v>3221</v>
      </c>
    </row>
    <row r="1062" spans="1:20" x14ac:dyDescent="0.2">
      <c r="A1062" t="s">
        <v>3223</v>
      </c>
      <c r="B1062" t="s">
        <v>2022</v>
      </c>
      <c r="C1062" t="s">
        <v>2023</v>
      </c>
      <c r="D1062" t="s">
        <v>2024</v>
      </c>
      <c r="E1062" t="s">
        <v>3224</v>
      </c>
      <c r="F1062" t="s">
        <v>3225</v>
      </c>
      <c r="G1062">
        <v>5</v>
      </c>
      <c r="H1062">
        <v>1800</v>
      </c>
      <c r="I1062">
        <v>3</v>
      </c>
      <c r="J1062">
        <v>5.9</v>
      </c>
      <c r="K1062">
        <v>2</v>
      </c>
      <c r="L1062">
        <v>2.5999999999999999E-2</v>
      </c>
      <c r="M1062">
        <v>2</v>
      </c>
      <c r="N1062">
        <v>84</v>
      </c>
      <c r="O1062">
        <v>3</v>
      </c>
      <c r="P1062">
        <v>0.375</v>
      </c>
      <c r="Q1062">
        <v>1</v>
      </c>
      <c r="R1062">
        <v>5.0000000000000001E-4</v>
      </c>
      <c r="T1062" s="8" t="s">
        <v>3224</v>
      </c>
    </row>
    <row r="1063" spans="1:20" x14ac:dyDescent="0.2">
      <c r="A1063" t="s">
        <v>3226</v>
      </c>
      <c r="B1063" t="s">
        <v>2022</v>
      </c>
      <c r="C1063" t="s">
        <v>2023</v>
      </c>
      <c r="D1063" t="s">
        <v>2024</v>
      </c>
      <c r="E1063" t="s">
        <v>3227</v>
      </c>
      <c r="F1063" t="s">
        <v>3228</v>
      </c>
      <c r="G1063">
        <v>3</v>
      </c>
      <c r="H1063">
        <v>1640</v>
      </c>
      <c r="I1063">
        <v>2</v>
      </c>
      <c r="J1063">
        <v>3.4</v>
      </c>
      <c r="K1063">
        <v>5</v>
      </c>
      <c r="L1063">
        <v>8.5999999999999993E-2</v>
      </c>
      <c r="M1063">
        <v>1</v>
      </c>
      <c r="N1063">
        <v>74</v>
      </c>
      <c r="O1063">
        <v>2</v>
      </c>
      <c r="P1063">
        <v>0.22500000000000001</v>
      </c>
      <c r="Q1063">
        <v>3</v>
      </c>
      <c r="R1063">
        <v>4.0000000000000001E-3</v>
      </c>
      <c r="T1063" s="8" t="s">
        <v>3227</v>
      </c>
    </row>
    <row r="1064" spans="1:20" x14ac:dyDescent="0.2">
      <c r="A1064" t="s">
        <v>3229</v>
      </c>
      <c r="B1064" t="s">
        <v>2022</v>
      </c>
      <c r="C1064" t="s">
        <v>2095</v>
      </c>
      <c r="D1064" t="s">
        <v>2024</v>
      </c>
      <c r="E1064" t="s">
        <v>3230</v>
      </c>
      <c r="F1064" t="s">
        <v>447</v>
      </c>
      <c r="G1064">
        <v>1</v>
      </c>
      <c r="H1064">
        <v>1565</v>
      </c>
      <c r="I1064">
        <v>1</v>
      </c>
      <c r="J1064">
        <v>4.5</v>
      </c>
      <c r="K1064">
        <v>1</v>
      </c>
      <c r="L1064">
        <v>1.4999999999999999E-2</v>
      </c>
      <c r="M1064">
        <v>1</v>
      </c>
      <c r="N1064">
        <v>74</v>
      </c>
      <c r="O1064">
        <v>1</v>
      </c>
      <c r="P1064">
        <v>0.15</v>
      </c>
      <c r="Q1064">
        <v>1</v>
      </c>
      <c r="R1064">
        <v>6.9999999999999999E-4</v>
      </c>
      <c r="T1064" s="8" t="s">
        <v>3230</v>
      </c>
    </row>
    <row r="1065" spans="1:20" x14ac:dyDescent="0.2">
      <c r="A1065" t="s">
        <v>3231</v>
      </c>
      <c r="B1065" t="s">
        <v>2022</v>
      </c>
      <c r="C1065" t="s">
        <v>2036</v>
      </c>
      <c r="D1065" t="s">
        <v>2024</v>
      </c>
      <c r="E1065" t="s">
        <v>3232</v>
      </c>
      <c r="F1065" t="s">
        <v>3233</v>
      </c>
      <c r="G1065">
        <v>5</v>
      </c>
      <c r="H1065">
        <v>1940</v>
      </c>
      <c r="I1065">
        <v>5</v>
      </c>
      <c r="J1065">
        <v>7</v>
      </c>
      <c r="K1065">
        <v>5</v>
      </c>
      <c r="L1065">
        <v>0.17499999999999999</v>
      </c>
      <c r="M1065">
        <v>5</v>
      </c>
      <c r="N1065">
        <v>100</v>
      </c>
      <c r="O1065">
        <v>4</v>
      </c>
      <c r="P1065">
        <v>0.42499999999999999</v>
      </c>
      <c r="Q1065">
        <v>5</v>
      </c>
      <c r="R1065">
        <v>1.2E-2</v>
      </c>
      <c r="T1065" s="8" t="s">
        <v>3232</v>
      </c>
    </row>
    <row r="1066" spans="1:20" x14ac:dyDescent="0.2">
      <c r="A1066" t="s">
        <v>3234</v>
      </c>
      <c r="B1066" t="s">
        <v>2022</v>
      </c>
      <c r="C1066" t="s">
        <v>2036</v>
      </c>
      <c r="D1066" t="s">
        <v>2024</v>
      </c>
      <c r="E1066" t="s">
        <v>3235</v>
      </c>
      <c r="F1066" t="s">
        <v>3236</v>
      </c>
      <c r="G1066">
        <v>2</v>
      </c>
      <c r="H1066">
        <v>1640</v>
      </c>
      <c r="I1066">
        <v>2</v>
      </c>
      <c r="J1066">
        <v>3.4</v>
      </c>
      <c r="K1066">
        <v>3</v>
      </c>
      <c r="L1066">
        <v>0.115</v>
      </c>
      <c r="M1066">
        <v>2</v>
      </c>
      <c r="N1066">
        <v>82</v>
      </c>
      <c r="O1066">
        <v>2</v>
      </c>
      <c r="P1066">
        <v>0.20499999999999999</v>
      </c>
      <c r="Q1066">
        <v>2</v>
      </c>
      <c r="R1066">
        <v>4.2500000000000003E-3</v>
      </c>
      <c r="T1066" s="8" t="s">
        <v>3235</v>
      </c>
    </row>
    <row r="1067" spans="1:20" x14ac:dyDescent="0.2">
      <c r="A1067" t="s">
        <v>3237</v>
      </c>
      <c r="B1067" t="s">
        <v>2022</v>
      </c>
      <c r="C1067" t="s">
        <v>2023</v>
      </c>
      <c r="D1067" t="s">
        <v>2024</v>
      </c>
      <c r="E1067" t="s">
        <v>3238</v>
      </c>
      <c r="F1067" t="s">
        <v>3239</v>
      </c>
      <c r="G1067">
        <v>1</v>
      </c>
      <c r="H1067">
        <v>1480</v>
      </c>
      <c r="I1067">
        <v>2</v>
      </c>
      <c r="J1067">
        <v>3.4</v>
      </c>
      <c r="K1067">
        <v>2</v>
      </c>
      <c r="L1067">
        <v>2.5999999999999999E-2</v>
      </c>
      <c r="M1067">
        <v>1</v>
      </c>
      <c r="N1067">
        <v>74</v>
      </c>
      <c r="O1067">
        <v>1</v>
      </c>
      <c r="P1067">
        <v>7.4999999999999997E-2</v>
      </c>
      <c r="Q1067">
        <v>2</v>
      </c>
      <c r="R1067">
        <v>2E-3</v>
      </c>
      <c r="T1067" s="8" t="s">
        <v>3238</v>
      </c>
    </row>
    <row r="1068" spans="1:20" x14ac:dyDescent="0.2">
      <c r="A1068" t="s">
        <v>3240</v>
      </c>
      <c r="B1068" t="s">
        <v>2022</v>
      </c>
      <c r="C1068" t="s">
        <v>2023</v>
      </c>
      <c r="D1068" t="s">
        <v>2024</v>
      </c>
      <c r="E1068" t="s">
        <v>3241</v>
      </c>
      <c r="F1068" t="s">
        <v>3242</v>
      </c>
      <c r="G1068">
        <v>5</v>
      </c>
      <c r="H1068">
        <v>1800</v>
      </c>
      <c r="I1068">
        <v>5</v>
      </c>
      <c r="J1068">
        <v>10.9</v>
      </c>
      <c r="K1068">
        <v>5</v>
      </c>
      <c r="L1068">
        <v>8.5999999999999993E-2</v>
      </c>
      <c r="M1068">
        <v>3</v>
      </c>
      <c r="N1068">
        <v>94</v>
      </c>
      <c r="O1068">
        <v>5</v>
      </c>
      <c r="P1068">
        <v>0.67500000000000004</v>
      </c>
      <c r="Q1068">
        <v>5</v>
      </c>
      <c r="R1068">
        <v>8.0000000000000002E-3</v>
      </c>
      <c r="T1068" s="8" t="s">
        <v>3241</v>
      </c>
    </row>
    <row r="1069" spans="1:20" x14ac:dyDescent="0.2">
      <c r="A1069" t="s">
        <v>3243</v>
      </c>
      <c r="B1069" t="s">
        <v>2022</v>
      </c>
      <c r="C1069" t="s">
        <v>2023</v>
      </c>
      <c r="D1069" t="s">
        <v>2024</v>
      </c>
      <c r="E1069" t="s">
        <v>3244</v>
      </c>
      <c r="F1069" t="s">
        <v>3245</v>
      </c>
      <c r="G1069">
        <v>2</v>
      </c>
      <c r="H1069">
        <v>1560</v>
      </c>
      <c r="I1069">
        <v>1</v>
      </c>
      <c r="J1069">
        <v>0.9</v>
      </c>
      <c r="K1069">
        <v>1</v>
      </c>
      <c r="L1069">
        <v>6.0000000000000001E-3</v>
      </c>
      <c r="M1069">
        <v>3</v>
      </c>
      <c r="N1069">
        <v>94</v>
      </c>
      <c r="O1069">
        <v>1</v>
      </c>
      <c r="P1069">
        <v>7.4999999999999997E-2</v>
      </c>
      <c r="Q1069">
        <v>1</v>
      </c>
      <c r="R1069">
        <v>5.0000000000000001E-4</v>
      </c>
      <c r="T1069" s="8" t="s">
        <v>3244</v>
      </c>
    </row>
    <row r="1070" spans="1:20" x14ac:dyDescent="0.2">
      <c r="A1070" t="s">
        <v>3246</v>
      </c>
      <c r="B1070" t="s">
        <v>2022</v>
      </c>
      <c r="C1070" t="s">
        <v>2036</v>
      </c>
      <c r="D1070" t="s">
        <v>2024</v>
      </c>
      <c r="E1070" t="s">
        <v>3247</v>
      </c>
      <c r="F1070" t="s">
        <v>3248</v>
      </c>
      <c r="G1070">
        <v>2</v>
      </c>
      <c r="H1070">
        <v>1640</v>
      </c>
      <c r="I1070">
        <v>2</v>
      </c>
      <c r="J1070">
        <v>3.4</v>
      </c>
      <c r="K1070">
        <v>3</v>
      </c>
      <c r="L1070">
        <v>0.115</v>
      </c>
      <c r="M1070">
        <v>2</v>
      </c>
      <c r="N1070">
        <v>82</v>
      </c>
      <c r="O1070">
        <v>1</v>
      </c>
      <c r="P1070">
        <v>9.5000000000000001E-2</v>
      </c>
      <c r="Q1070">
        <v>3</v>
      </c>
      <c r="R1070">
        <v>6.7499999999999999E-3</v>
      </c>
      <c r="T1070" s="8" t="s">
        <v>3247</v>
      </c>
    </row>
    <row r="1071" spans="1:20" x14ac:dyDescent="0.2">
      <c r="A1071" t="s">
        <v>3249</v>
      </c>
      <c r="B1071" t="s">
        <v>2022</v>
      </c>
      <c r="C1071" t="s">
        <v>2049</v>
      </c>
      <c r="D1071" t="s">
        <v>2024</v>
      </c>
      <c r="E1071" t="s">
        <v>3250</v>
      </c>
      <c r="F1071" t="s">
        <v>3251</v>
      </c>
      <c r="G1071">
        <v>2</v>
      </c>
      <c r="H1071">
        <v>1450</v>
      </c>
      <c r="I1071">
        <v>3</v>
      </c>
      <c r="J1071">
        <v>5</v>
      </c>
      <c r="K1071">
        <v>2</v>
      </c>
      <c r="L1071">
        <v>0.06</v>
      </c>
      <c r="M1071">
        <v>1</v>
      </c>
      <c r="N1071">
        <v>86</v>
      </c>
      <c r="O1071">
        <v>2</v>
      </c>
      <c r="P1071">
        <v>0.26</v>
      </c>
      <c r="Q1071">
        <v>1</v>
      </c>
      <c r="R1071">
        <v>8.4999999999999995E-4</v>
      </c>
      <c r="T1071" s="8" t="s">
        <v>3250</v>
      </c>
    </row>
    <row r="1072" spans="1:20" x14ac:dyDescent="0.2">
      <c r="A1072" t="s">
        <v>3252</v>
      </c>
      <c r="B1072" t="s">
        <v>2022</v>
      </c>
      <c r="C1072" t="s">
        <v>2101</v>
      </c>
      <c r="D1072" t="s">
        <v>2024</v>
      </c>
      <c r="E1072" t="s">
        <v>3253</v>
      </c>
      <c r="F1072" t="s">
        <v>3254</v>
      </c>
      <c r="G1072">
        <v>4</v>
      </c>
      <c r="H1072">
        <v>1870</v>
      </c>
      <c r="I1072">
        <v>5</v>
      </c>
      <c r="J1072">
        <v>14</v>
      </c>
      <c r="K1072">
        <v>4</v>
      </c>
      <c r="L1072">
        <v>0.39050000000000001</v>
      </c>
      <c r="M1072">
        <v>3</v>
      </c>
      <c r="N1072">
        <v>82</v>
      </c>
      <c r="O1072">
        <v>5</v>
      </c>
      <c r="P1072">
        <v>0.67500000000000004</v>
      </c>
      <c r="Q1072">
        <v>4</v>
      </c>
      <c r="R1072">
        <v>1.8499999999999999E-2</v>
      </c>
      <c r="T1072" s="8" t="s">
        <v>3253</v>
      </c>
    </row>
    <row r="1073" spans="1:20" x14ac:dyDescent="0.2">
      <c r="A1073" t="s">
        <v>3255</v>
      </c>
      <c r="B1073" t="s">
        <v>2022</v>
      </c>
      <c r="C1073" t="s">
        <v>2101</v>
      </c>
      <c r="D1073" t="s">
        <v>2024</v>
      </c>
      <c r="E1073" t="s">
        <v>3256</v>
      </c>
      <c r="F1073" t="s">
        <v>3257</v>
      </c>
      <c r="G1073">
        <v>2</v>
      </c>
      <c r="H1073">
        <v>1670</v>
      </c>
      <c r="I1073">
        <v>1</v>
      </c>
      <c r="J1073">
        <v>2</v>
      </c>
      <c r="K1073">
        <v>1</v>
      </c>
      <c r="L1073">
        <v>1.15E-2</v>
      </c>
      <c r="M1073">
        <v>2</v>
      </c>
      <c r="N1073">
        <v>74</v>
      </c>
      <c r="O1073">
        <v>1</v>
      </c>
      <c r="P1073">
        <v>7.4999999999999997E-2</v>
      </c>
      <c r="Q1073">
        <v>1</v>
      </c>
      <c r="R1073">
        <v>5.0000000000000001E-4</v>
      </c>
      <c r="T1073" s="8" t="s">
        <v>3256</v>
      </c>
    </row>
    <row r="1074" spans="1:20" x14ac:dyDescent="0.2">
      <c r="A1074" t="s">
        <v>3258</v>
      </c>
      <c r="B1074" t="s">
        <v>2022</v>
      </c>
      <c r="C1074" t="s">
        <v>2023</v>
      </c>
      <c r="D1074" t="s">
        <v>2024</v>
      </c>
      <c r="E1074" t="s">
        <v>3259</v>
      </c>
      <c r="F1074" t="s">
        <v>3260</v>
      </c>
      <c r="G1074">
        <v>3</v>
      </c>
      <c r="H1074">
        <v>1640</v>
      </c>
      <c r="I1074">
        <v>3</v>
      </c>
      <c r="J1074">
        <v>5.9</v>
      </c>
      <c r="K1074">
        <v>5</v>
      </c>
      <c r="L1074">
        <v>8.5999999999999993E-2</v>
      </c>
      <c r="M1074">
        <v>5</v>
      </c>
      <c r="N1074">
        <v>114</v>
      </c>
      <c r="O1074">
        <v>3</v>
      </c>
      <c r="P1074">
        <v>0.375</v>
      </c>
      <c r="Q1074">
        <v>5</v>
      </c>
      <c r="R1074">
        <v>8.0000000000000002E-3</v>
      </c>
      <c r="T1074" s="8" t="s">
        <v>3259</v>
      </c>
    </row>
    <row r="1075" spans="1:20" x14ac:dyDescent="0.2">
      <c r="A1075" t="s">
        <v>3261</v>
      </c>
      <c r="B1075" t="s">
        <v>2022</v>
      </c>
      <c r="C1075" t="s">
        <v>2023</v>
      </c>
      <c r="D1075" t="s">
        <v>2024</v>
      </c>
      <c r="E1075" t="s">
        <v>3262</v>
      </c>
      <c r="F1075" t="s">
        <v>3263</v>
      </c>
      <c r="G1075">
        <v>4</v>
      </c>
      <c r="H1075">
        <v>1720</v>
      </c>
      <c r="I1075">
        <v>1</v>
      </c>
      <c r="J1075">
        <v>0.9</v>
      </c>
      <c r="K1075">
        <v>1</v>
      </c>
      <c r="L1075">
        <v>6.0000000000000001E-3</v>
      </c>
      <c r="M1075">
        <v>4</v>
      </c>
      <c r="N1075">
        <v>104</v>
      </c>
      <c r="O1075">
        <v>1</v>
      </c>
      <c r="P1075">
        <v>7.4999999999999997E-2</v>
      </c>
      <c r="Q1075">
        <v>1</v>
      </c>
      <c r="R1075">
        <v>5.0000000000000001E-4</v>
      </c>
      <c r="T1075" s="8" t="s">
        <v>3262</v>
      </c>
    </row>
    <row r="1076" spans="1:20" x14ac:dyDescent="0.2">
      <c r="A1076" t="s">
        <v>3264</v>
      </c>
      <c r="B1076" t="s">
        <v>2022</v>
      </c>
      <c r="C1076" t="s">
        <v>2049</v>
      </c>
      <c r="D1076" t="s">
        <v>2024</v>
      </c>
      <c r="E1076" t="s">
        <v>3265</v>
      </c>
      <c r="F1076" t="s">
        <v>3266</v>
      </c>
      <c r="G1076">
        <v>5</v>
      </c>
      <c r="H1076">
        <v>1750</v>
      </c>
      <c r="I1076">
        <v>2</v>
      </c>
      <c r="J1076">
        <v>3.2</v>
      </c>
      <c r="K1076">
        <v>2</v>
      </c>
      <c r="L1076">
        <v>0.06</v>
      </c>
      <c r="M1076">
        <v>5</v>
      </c>
      <c r="N1076">
        <v>166</v>
      </c>
      <c r="O1076">
        <v>2</v>
      </c>
      <c r="P1076">
        <v>0.26</v>
      </c>
      <c r="Q1076">
        <v>2</v>
      </c>
      <c r="R1076">
        <v>6.1999999999999998E-3</v>
      </c>
      <c r="T1076" s="8" t="s">
        <v>3265</v>
      </c>
    </row>
    <row r="1077" spans="1:20" x14ac:dyDescent="0.2">
      <c r="A1077" t="s">
        <v>3267</v>
      </c>
      <c r="B1077" t="s">
        <v>2022</v>
      </c>
      <c r="C1077" t="s">
        <v>2036</v>
      </c>
      <c r="D1077" t="s">
        <v>2024</v>
      </c>
      <c r="E1077" t="s">
        <v>3268</v>
      </c>
      <c r="F1077" t="s">
        <v>3269</v>
      </c>
      <c r="G1077">
        <v>1</v>
      </c>
      <c r="H1077">
        <v>1540</v>
      </c>
      <c r="I1077">
        <v>1</v>
      </c>
      <c r="J1077">
        <v>2.2000000000000002</v>
      </c>
      <c r="K1077">
        <v>1</v>
      </c>
      <c r="L1077">
        <v>5.5E-2</v>
      </c>
      <c r="M1077">
        <v>1</v>
      </c>
      <c r="N1077">
        <v>76</v>
      </c>
      <c r="O1077">
        <v>1</v>
      </c>
      <c r="P1077">
        <v>9.5000000000000001E-2</v>
      </c>
      <c r="Q1077">
        <v>2</v>
      </c>
      <c r="R1077">
        <v>4.2500000000000003E-3</v>
      </c>
      <c r="T1077" s="8" t="s">
        <v>3268</v>
      </c>
    </row>
    <row r="1078" spans="1:20" x14ac:dyDescent="0.2">
      <c r="A1078" t="s">
        <v>3270</v>
      </c>
      <c r="B1078" t="s">
        <v>2022</v>
      </c>
      <c r="C1078" t="s">
        <v>2173</v>
      </c>
      <c r="D1078" t="s">
        <v>2024</v>
      </c>
      <c r="E1078" t="s">
        <v>3271</v>
      </c>
      <c r="F1078" t="s">
        <v>3272</v>
      </c>
      <c r="G1078">
        <v>3</v>
      </c>
      <c r="H1078">
        <v>2032.5</v>
      </c>
      <c r="I1078">
        <v>3</v>
      </c>
      <c r="J1078">
        <v>9.0500000000000007</v>
      </c>
      <c r="K1078">
        <v>3</v>
      </c>
      <c r="L1078">
        <v>0.21</v>
      </c>
      <c r="M1078">
        <v>2</v>
      </c>
      <c r="N1078">
        <v>107.5</v>
      </c>
      <c r="O1078">
        <v>3</v>
      </c>
      <c r="P1078">
        <v>0.51</v>
      </c>
      <c r="Q1078">
        <v>3</v>
      </c>
      <c r="R1078">
        <v>1.18E-2</v>
      </c>
      <c r="T1078" s="8" t="s">
        <v>3271</v>
      </c>
    </row>
    <row r="1079" spans="1:20" x14ac:dyDescent="0.2">
      <c r="A1079" t="s">
        <v>3273</v>
      </c>
      <c r="B1079" t="s">
        <v>2022</v>
      </c>
      <c r="C1079" t="s">
        <v>2053</v>
      </c>
      <c r="D1079" t="s">
        <v>2024</v>
      </c>
      <c r="E1079" t="s">
        <v>3274</v>
      </c>
      <c r="F1079" t="s">
        <v>3275</v>
      </c>
      <c r="G1079">
        <v>2</v>
      </c>
      <c r="H1079">
        <v>1600</v>
      </c>
      <c r="I1079">
        <v>2</v>
      </c>
      <c r="J1079">
        <v>4.05</v>
      </c>
      <c r="K1079">
        <v>3</v>
      </c>
      <c r="L1079">
        <v>0.19500000000000001</v>
      </c>
      <c r="M1079">
        <v>2</v>
      </c>
      <c r="N1079">
        <v>83</v>
      </c>
      <c r="O1079">
        <v>2</v>
      </c>
      <c r="P1079">
        <v>0.22500000000000001</v>
      </c>
      <c r="Q1079">
        <v>2</v>
      </c>
      <c r="R1079">
        <v>5.1999999999999998E-3</v>
      </c>
      <c r="T1079" s="8" t="s">
        <v>3274</v>
      </c>
    </row>
    <row r="1080" spans="1:20" x14ac:dyDescent="0.2">
      <c r="A1080" t="s">
        <v>3276</v>
      </c>
      <c r="B1080" t="s">
        <v>2022</v>
      </c>
      <c r="C1080" t="s">
        <v>2036</v>
      </c>
      <c r="D1080" t="s">
        <v>2024</v>
      </c>
      <c r="E1080" t="s">
        <v>3277</v>
      </c>
      <c r="F1080" t="s">
        <v>3278</v>
      </c>
      <c r="G1080">
        <v>2</v>
      </c>
      <c r="H1080">
        <v>1640</v>
      </c>
      <c r="I1080">
        <v>4</v>
      </c>
      <c r="J1080">
        <v>5.8</v>
      </c>
      <c r="K1080">
        <v>4</v>
      </c>
      <c r="L1080">
        <v>0.14499999999999999</v>
      </c>
      <c r="M1080">
        <v>2</v>
      </c>
      <c r="N1080">
        <v>82</v>
      </c>
      <c r="O1080">
        <v>3</v>
      </c>
      <c r="P1080">
        <v>0.315</v>
      </c>
      <c r="Q1080">
        <v>3</v>
      </c>
      <c r="R1080">
        <v>6.7499999999999999E-3</v>
      </c>
      <c r="T1080" s="8" t="s">
        <v>3277</v>
      </c>
    </row>
    <row r="1081" spans="1:20" x14ac:dyDescent="0.2">
      <c r="A1081" t="s">
        <v>3279</v>
      </c>
      <c r="B1081" t="s">
        <v>2022</v>
      </c>
      <c r="C1081" t="s">
        <v>2023</v>
      </c>
      <c r="D1081" t="s">
        <v>2154</v>
      </c>
      <c r="E1081" t="s">
        <v>3280</v>
      </c>
      <c r="F1081" t="s">
        <v>3281</v>
      </c>
      <c r="G1081">
        <v>2</v>
      </c>
      <c r="H1081">
        <v>1560</v>
      </c>
      <c r="I1081">
        <v>1</v>
      </c>
      <c r="J1081">
        <v>0.9</v>
      </c>
      <c r="K1081">
        <v>2</v>
      </c>
      <c r="L1081">
        <v>2.5999999999999999E-2</v>
      </c>
      <c r="M1081">
        <v>4</v>
      </c>
      <c r="N1081">
        <v>104</v>
      </c>
      <c r="O1081">
        <v>1</v>
      </c>
      <c r="P1081">
        <v>7.4999999999999997E-2</v>
      </c>
      <c r="Q1081">
        <v>2</v>
      </c>
      <c r="R1081">
        <v>2E-3</v>
      </c>
      <c r="T1081" s="8" t="s">
        <v>3280</v>
      </c>
    </row>
    <row r="1082" spans="1:20" x14ac:dyDescent="0.2">
      <c r="A1082" t="s">
        <v>3282</v>
      </c>
      <c r="B1082" t="s">
        <v>2022</v>
      </c>
      <c r="C1082" t="s">
        <v>2053</v>
      </c>
      <c r="D1082" t="s">
        <v>2024</v>
      </c>
      <c r="E1082" t="s">
        <v>266</v>
      </c>
      <c r="F1082" t="s">
        <v>3283</v>
      </c>
      <c r="G1082">
        <v>2</v>
      </c>
      <c r="H1082">
        <v>1600</v>
      </c>
      <c r="I1082">
        <v>1</v>
      </c>
      <c r="J1082">
        <v>1.55</v>
      </c>
      <c r="K1082">
        <v>1</v>
      </c>
      <c r="L1082">
        <v>1.4999999999999999E-2</v>
      </c>
      <c r="M1082">
        <v>2</v>
      </c>
      <c r="N1082">
        <v>83</v>
      </c>
      <c r="O1082">
        <v>1</v>
      </c>
      <c r="P1082">
        <v>7.4999999999999997E-2</v>
      </c>
      <c r="Q1082">
        <v>1</v>
      </c>
      <c r="R1082">
        <v>8.4999999999999995E-4</v>
      </c>
      <c r="T1082" s="8" t="s">
        <v>266</v>
      </c>
    </row>
    <row r="1083" spans="1:20" x14ac:dyDescent="0.2">
      <c r="A1083" t="s">
        <v>3284</v>
      </c>
      <c r="B1083" t="s">
        <v>2022</v>
      </c>
      <c r="C1083" t="s">
        <v>2104</v>
      </c>
      <c r="D1083" t="s">
        <v>2024</v>
      </c>
      <c r="E1083" t="s">
        <v>3285</v>
      </c>
      <c r="F1083" t="s">
        <v>3286</v>
      </c>
      <c r="G1083">
        <v>4</v>
      </c>
      <c r="H1083">
        <v>2062.5</v>
      </c>
      <c r="I1083">
        <v>1</v>
      </c>
      <c r="J1083">
        <v>0.95</v>
      </c>
      <c r="K1083">
        <v>2</v>
      </c>
      <c r="L1083">
        <v>4.1000000000000002E-2</v>
      </c>
      <c r="M1083">
        <v>4</v>
      </c>
      <c r="N1083">
        <v>81</v>
      </c>
      <c r="P1083">
        <v>0</v>
      </c>
      <c r="Q1083">
        <v>2</v>
      </c>
      <c r="R1083">
        <v>3.2000000000000002E-3</v>
      </c>
      <c r="T1083" s="8" t="s">
        <v>3285</v>
      </c>
    </row>
    <row r="1084" spans="1:20" x14ac:dyDescent="0.2">
      <c r="A1084" t="s">
        <v>3287</v>
      </c>
      <c r="B1084" t="s">
        <v>2022</v>
      </c>
      <c r="C1084" t="s">
        <v>2101</v>
      </c>
      <c r="D1084" t="s">
        <v>2024</v>
      </c>
      <c r="E1084" t="s">
        <v>3285</v>
      </c>
      <c r="F1084" t="s">
        <v>3286</v>
      </c>
      <c r="G1084">
        <v>3</v>
      </c>
      <c r="H1084">
        <v>1770</v>
      </c>
      <c r="I1084">
        <v>1</v>
      </c>
      <c r="J1084">
        <v>2</v>
      </c>
      <c r="K1084">
        <v>1</v>
      </c>
      <c r="L1084">
        <v>1.15E-2</v>
      </c>
      <c r="M1084">
        <v>2</v>
      </c>
      <c r="N1084">
        <v>74</v>
      </c>
      <c r="O1084">
        <v>1</v>
      </c>
      <c r="P1084">
        <v>7.4999999999999997E-2</v>
      </c>
      <c r="Q1084">
        <v>1</v>
      </c>
      <c r="R1084">
        <v>5.0000000000000001E-4</v>
      </c>
      <c r="T1084" s="8" t="s">
        <v>3285</v>
      </c>
    </row>
    <row r="1085" spans="1:20" x14ac:dyDescent="0.2">
      <c r="A1085" t="s">
        <v>3288</v>
      </c>
      <c r="B1085" t="s">
        <v>2022</v>
      </c>
      <c r="C1085" t="s">
        <v>2023</v>
      </c>
      <c r="D1085" t="s">
        <v>2024</v>
      </c>
      <c r="E1085" t="s">
        <v>3285</v>
      </c>
      <c r="F1085" t="s">
        <v>3286</v>
      </c>
      <c r="G1085">
        <v>1</v>
      </c>
      <c r="H1085">
        <v>1480</v>
      </c>
      <c r="I1085">
        <v>1</v>
      </c>
      <c r="J1085">
        <v>0.9</v>
      </c>
      <c r="K1085">
        <v>2</v>
      </c>
      <c r="L1085">
        <v>2.5999999999999999E-2</v>
      </c>
      <c r="M1085">
        <v>1</v>
      </c>
      <c r="N1085">
        <v>74</v>
      </c>
      <c r="O1085">
        <v>1</v>
      </c>
      <c r="P1085">
        <v>7.4999999999999997E-2</v>
      </c>
      <c r="Q1085">
        <v>2</v>
      </c>
      <c r="R1085">
        <v>2E-3</v>
      </c>
      <c r="T1085" s="8" t="s">
        <v>3285</v>
      </c>
    </row>
    <row r="1086" spans="1:20" x14ac:dyDescent="0.2">
      <c r="A1086" t="s">
        <v>3289</v>
      </c>
      <c r="B1086" t="s">
        <v>2022</v>
      </c>
      <c r="C1086" t="s">
        <v>2173</v>
      </c>
      <c r="D1086" t="s">
        <v>2024</v>
      </c>
      <c r="E1086" t="s">
        <v>3290</v>
      </c>
      <c r="F1086" t="s">
        <v>3291</v>
      </c>
      <c r="G1086">
        <v>5</v>
      </c>
      <c r="H1086">
        <v>2182.5</v>
      </c>
      <c r="I1086">
        <v>4</v>
      </c>
      <c r="J1086">
        <v>11.75</v>
      </c>
      <c r="K1086">
        <v>4</v>
      </c>
      <c r="L1086">
        <v>0.33</v>
      </c>
      <c r="M1086">
        <v>5</v>
      </c>
      <c r="N1086">
        <v>140.5</v>
      </c>
      <c r="O1086">
        <v>4</v>
      </c>
      <c r="P1086">
        <v>0.69</v>
      </c>
      <c r="Q1086">
        <v>4</v>
      </c>
      <c r="R1086">
        <v>1.8800000000000001E-2</v>
      </c>
      <c r="T1086" s="8" t="s">
        <v>3290</v>
      </c>
    </row>
    <row r="1087" spans="1:20" x14ac:dyDescent="0.2">
      <c r="A1087" t="s">
        <v>3292</v>
      </c>
      <c r="B1087" t="s">
        <v>2022</v>
      </c>
      <c r="C1087" t="s">
        <v>2053</v>
      </c>
      <c r="D1087" t="s">
        <v>2024</v>
      </c>
      <c r="E1087" t="s">
        <v>3293</v>
      </c>
      <c r="F1087" t="s">
        <v>3294</v>
      </c>
      <c r="G1087">
        <v>5</v>
      </c>
      <c r="H1087">
        <v>1900</v>
      </c>
      <c r="I1087">
        <v>5</v>
      </c>
      <c r="J1087">
        <v>11.55</v>
      </c>
      <c r="K1087">
        <v>5</v>
      </c>
      <c r="L1087">
        <v>0.41499999999999998</v>
      </c>
      <c r="M1087">
        <v>4</v>
      </c>
      <c r="N1087">
        <v>103</v>
      </c>
      <c r="O1087">
        <v>5</v>
      </c>
      <c r="P1087">
        <v>0.67500000000000004</v>
      </c>
      <c r="Q1087">
        <v>5</v>
      </c>
      <c r="R1087">
        <v>2.6200000000000001E-2</v>
      </c>
      <c r="T1087" s="8" t="s">
        <v>3293</v>
      </c>
    </row>
    <row r="1088" spans="1:20" x14ac:dyDescent="0.2">
      <c r="A1088" t="s">
        <v>3295</v>
      </c>
      <c r="B1088" t="s">
        <v>2022</v>
      </c>
      <c r="C1088" t="s">
        <v>2023</v>
      </c>
      <c r="D1088" t="s">
        <v>2154</v>
      </c>
      <c r="E1088" t="s">
        <v>3296</v>
      </c>
      <c r="F1088" t="s">
        <v>3297</v>
      </c>
      <c r="G1088">
        <v>2</v>
      </c>
      <c r="H1088">
        <v>1560</v>
      </c>
      <c r="I1088">
        <v>2</v>
      </c>
      <c r="J1088">
        <v>3.4</v>
      </c>
      <c r="K1088">
        <v>2</v>
      </c>
      <c r="L1088">
        <v>2.5999999999999999E-2</v>
      </c>
      <c r="M1088">
        <v>1</v>
      </c>
      <c r="N1088">
        <v>74</v>
      </c>
      <c r="O1088">
        <v>2</v>
      </c>
      <c r="P1088">
        <v>0.22500000000000001</v>
      </c>
      <c r="Q1088">
        <v>1</v>
      </c>
      <c r="R1088">
        <v>5.0000000000000001E-4</v>
      </c>
      <c r="T1088" s="8" t="s">
        <v>3296</v>
      </c>
    </row>
    <row r="1089" spans="1:20" x14ac:dyDescent="0.2">
      <c r="A1089" t="s">
        <v>3298</v>
      </c>
      <c r="B1089" t="s">
        <v>2022</v>
      </c>
      <c r="C1089" t="s">
        <v>2036</v>
      </c>
      <c r="D1089" t="s">
        <v>2024</v>
      </c>
      <c r="E1089" t="s">
        <v>3299</v>
      </c>
      <c r="F1089" t="s">
        <v>3300</v>
      </c>
      <c r="G1089">
        <v>4</v>
      </c>
      <c r="H1089">
        <v>1840</v>
      </c>
      <c r="I1089">
        <v>5</v>
      </c>
      <c r="J1089">
        <v>7</v>
      </c>
      <c r="K1089">
        <v>5</v>
      </c>
      <c r="L1089">
        <v>0.17499999999999999</v>
      </c>
      <c r="M1089">
        <v>3</v>
      </c>
      <c r="N1089">
        <v>88</v>
      </c>
      <c r="O1089">
        <v>5</v>
      </c>
      <c r="P1089">
        <v>0.53500000000000003</v>
      </c>
      <c r="Q1089">
        <v>5</v>
      </c>
      <c r="R1089">
        <v>1.2E-2</v>
      </c>
      <c r="T1089" s="8" t="s">
        <v>3299</v>
      </c>
    </row>
    <row r="1090" spans="1:20" x14ac:dyDescent="0.2">
      <c r="A1090" t="s">
        <v>3301</v>
      </c>
      <c r="B1090" t="s">
        <v>2022</v>
      </c>
      <c r="C1090" t="s">
        <v>2023</v>
      </c>
      <c r="D1090" t="s">
        <v>2154</v>
      </c>
      <c r="E1090" t="s">
        <v>3302</v>
      </c>
      <c r="F1090" t="s">
        <v>3303</v>
      </c>
      <c r="G1090">
        <v>3</v>
      </c>
      <c r="H1090">
        <v>1640</v>
      </c>
      <c r="I1090">
        <v>3</v>
      </c>
      <c r="J1090">
        <v>5.9</v>
      </c>
      <c r="K1090">
        <v>2</v>
      </c>
      <c r="L1090">
        <v>2.5999999999999999E-2</v>
      </c>
      <c r="M1090">
        <v>2</v>
      </c>
      <c r="N1090">
        <v>84</v>
      </c>
      <c r="O1090">
        <v>3</v>
      </c>
      <c r="P1090">
        <v>0.375</v>
      </c>
      <c r="Q1090">
        <v>1</v>
      </c>
      <c r="R1090">
        <v>5.0000000000000001E-4</v>
      </c>
      <c r="T1090" s="8" t="s">
        <v>3302</v>
      </c>
    </row>
    <row r="1091" spans="1:20" x14ac:dyDescent="0.2">
      <c r="A1091" t="s">
        <v>3304</v>
      </c>
      <c r="B1091" t="s">
        <v>2022</v>
      </c>
      <c r="C1091" t="s">
        <v>2023</v>
      </c>
      <c r="D1091" t="s">
        <v>2154</v>
      </c>
      <c r="E1091" t="s">
        <v>3305</v>
      </c>
      <c r="F1091" t="s">
        <v>3306</v>
      </c>
      <c r="G1091">
        <v>3</v>
      </c>
      <c r="H1091">
        <v>1640</v>
      </c>
      <c r="I1091">
        <v>4</v>
      </c>
      <c r="J1091">
        <v>8.4</v>
      </c>
      <c r="K1091">
        <v>2</v>
      </c>
      <c r="L1091">
        <v>2.5999999999999999E-2</v>
      </c>
      <c r="M1091">
        <v>2</v>
      </c>
      <c r="N1091">
        <v>84</v>
      </c>
      <c r="O1091">
        <v>3</v>
      </c>
      <c r="P1091">
        <v>0.375</v>
      </c>
      <c r="Q1091">
        <v>2</v>
      </c>
      <c r="R1091">
        <v>2E-3</v>
      </c>
      <c r="T1091" s="8" t="s">
        <v>3305</v>
      </c>
    </row>
    <row r="1092" spans="1:20" x14ac:dyDescent="0.2">
      <c r="A1092" t="s">
        <v>3307</v>
      </c>
      <c r="B1092" t="s">
        <v>2022</v>
      </c>
      <c r="C1092" t="s">
        <v>2036</v>
      </c>
      <c r="D1092" t="s">
        <v>2024</v>
      </c>
      <c r="E1092" t="s">
        <v>3308</v>
      </c>
      <c r="F1092" t="s">
        <v>3309</v>
      </c>
      <c r="G1092">
        <v>5</v>
      </c>
      <c r="H1092">
        <v>1940</v>
      </c>
      <c r="I1092">
        <v>1</v>
      </c>
      <c r="J1092">
        <v>2.2000000000000002</v>
      </c>
      <c r="K1092">
        <v>2</v>
      </c>
      <c r="L1092">
        <v>8.5000000000000006E-2</v>
      </c>
      <c r="M1092">
        <v>4</v>
      </c>
      <c r="N1092">
        <v>94</v>
      </c>
      <c r="O1092">
        <v>1</v>
      </c>
      <c r="P1092">
        <v>9.5000000000000001E-2</v>
      </c>
      <c r="Q1092">
        <v>2</v>
      </c>
      <c r="R1092">
        <v>4.2500000000000003E-3</v>
      </c>
      <c r="T1092" s="8" t="s">
        <v>3308</v>
      </c>
    </row>
    <row r="1093" spans="1:20" x14ac:dyDescent="0.2">
      <c r="A1093" t="s">
        <v>3310</v>
      </c>
      <c r="B1093" t="s">
        <v>2022</v>
      </c>
      <c r="C1093" t="s">
        <v>2023</v>
      </c>
      <c r="D1093" t="s">
        <v>2024</v>
      </c>
      <c r="E1093" t="s">
        <v>357</v>
      </c>
      <c r="F1093" t="s">
        <v>3311</v>
      </c>
      <c r="G1093">
        <v>2</v>
      </c>
      <c r="H1093">
        <v>1560</v>
      </c>
      <c r="I1093">
        <v>2</v>
      </c>
      <c r="J1093">
        <v>3.4</v>
      </c>
      <c r="K1093">
        <v>2</v>
      </c>
      <c r="L1093">
        <v>2.5999999999999999E-2</v>
      </c>
      <c r="M1093">
        <v>1</v>
      </c>
      <c r="N1093">
        <v>74</v>
      </c>
      <c r="O1093">
        <v>1</v>
      </c>
      <c r="P1093">
        <v>7.4999999999999997E-2</v>
      </c>
      <c r="Q1093">
        <v>1</v>
      </c>
      <c r="R1093">
        <v>5.0000000000000001E-4</v>
      </c>
      <c r="T1093" s="8" t="s">
        <v>357</v>
      </c>
    </row>
    <row r="1094" spans="1:20" x14ac:dyDescent="0.2">
      <c r="A1094" t="s">
        <v>3312</v>
      </c>
      <c r="B1094" t="s">
        <v>2022</v>
      </c>
      <c r="C1094" t="s">
        <v>2053</v>
      </c>
      <c r="D1094" t="s">
        <v>2024</v>
      </c>
      <c r="E1094" t="s">
        <v>3313</v>
      </c>
      <c r="F1094" t="s">
        <v>3314</v>
      </c>
      <c r="G1094">
        <v>2</v>
      </c>
      <c r="H1094">
        <v>1600</v>
      </c>
      <c r="I1094">
        <v>1</v>
      </c>
      <c r="J1094">
        <v>1.55</v>
      </c>
      <c r="K1094">
        <v>1</v>
      </c>
      <c r="L1094">
        <v>1.4999999999999999E-2</v>
      </c>
      <c r="M1094">
        <v>3</v>
      </c>
      <c r="N1094">
        <v>93</v>
      </c>
      <c r="O1094">
        <v>1</v>
      </c>
      <c r="P1094">
        <v>7.4999999999999997E-2</v>
      </c>
      <c r="Q1094">
        <v>1</v>
      </c>
      <c r="R1094">
        <v>8.4999999999999995E-4</v>
      </c>
      <c r="T1094" s="8" t="s">
        <v>3313</v>
      </c>
    </row>
    <row r="1095" spans="1:20" x14ac:dyDescent="0.2">
      <c r="A1095" t="s">
        <v>3315</v>
      </c>
      <c r="B1095" t="s">
        <v>2022</v>
      </c>
      <c r="C1095" t="s">
        <v>2023</v>
      </c>
      <c r="D1095" t="s">
        <v>2024</v>
      </c>
      <c r="E1095" t="s">
        <v>357</v>
      </c>
      <c r="F1095" t="s">
        <v>447</v>
      </c>
      <c r="G1095">
        <v>1</v>
      </c>
      <c r="H1095">
        <v>1480</v>
      </c>
      <c r="I1095">
        <v>3</v>
      </c>
      <c r="J1095">
        <v>5.9</v>
      </c>
      <c r="K1095">
        <v>2</v>
      </c>
      <c r="L1095">
        <v>2.5999999999999999E-2</v>
      </c>
      <c r="M1095">
        <v>5</v>
      </c>
      <c r="N1095">
        <v>114</v>
      </c>
      <c r="O1095">
        <v>5</v>
      </c>
      <c r="P1095">
        <v>0.67500000000000004</v>
      </c>
      <c r="Q1095">
        <v>5</v>
      </c>
      <c r="R1095">
        <v>8.0000000000000002E-3</v>
      </c>
      <c r="T1095" s="8" t="s">
        <v>357</v>
      </c>
    </row>
    <row r="1096" spans="1:20" x14ac:dyDescent="0.2">
      <c r="A1096" t="s">
        <v>3316</v>
      </c>
      <c r="B1096" t="s">
        <v>2022</v>
      </c>
      <c r="C1096" t="s">
        <v>2053</v>
      </c>
      <c r="D1096" t="s">
        <v>2024</v>
      </c>
      <c r="E1096" t="s">
        <v>3317</v>
      </c>
      <c r="F1096" t="s">
        <v>3318</v>
      </c>
      <c r="G1096">
        <v>3</v>
      </c>
      <c r="H1096">
        <v>1700</v>
      </c>
      <c r="I1096">
        <v>1</v>
      </c>
      <c r="J1096">
        <v>1.55</v>
      </c>
      <c r="K1096">
        <v>2</v>
      </c>
      <c r="L1096">
        <v>8.5000000000000006E-2</v>
      </c>
      <c r="M1096">
        <v>1</v>
      </c>
      <c r="N1096">
        <v>73</v>
      </c>
      <c r="O1096">
        <v>1</v>
      </c>
      <c r="P1096">
        <v>7.4999999999999997E-2</v>
      </c>
      <c r="Q1096">
        <v>1</v>
      </c>
      <c r="R1096">
        <v>8.4999999999999995E-4</v>
      </c>
      <c r="T1096" s="8" t="s">
        <v>3317</v>
      </c>
    </row>
    <row r="1097" spans="1:20" x14ac:dyDescent="0.2">
      <c r="A1097" t="s">
        <v>3319</v>
      </c>
      <c r="B1097" t="s">
        <v>2022</v>
      </c>
      <c r="C1097" t="s">
        <v>2023</v>
      </c>
      <c r="D1097" t="s">
        <v>2024</v>
      </c>
      <c r="E1097" t="s">
        <v>3320</v>
      </c>
      <c r="G1097">
        <v>4</v>
      </c>
      <c r="H1097">
        <v>1720</v>
      </c>
      <c r="I1097">
        <v>3</v>
      </c>
      <c r="J1097">
        <v>5.9</v>
      </c>
      <c r="K1097">
        <v>5</v>
      </c>
      <c r="L1097">
        <v>8.5999999999999993E-2</v>
      </c>
      <c r="M1097">
        <v>4</v>
      </c>
      <c r="N1097">
        <v>104</v>
      </c>
      <c r="O1097">
        <v>3</v>
      </c>
      <c r="P1097">
        <v>0.375</v>
      </c>
      <c r="Q1097">
        <v>5</v>
      </c>
      <c r="R1097">
        <v>8.0000000000000002E-3</v>
      </c>
      <c r="T1097" s="8" t="s">
        <v>3320</v>
      </c>
    </row>
    <row r="1098" spans="1:20" x14ac:dyDescent="0.2">
      <c r="A1098" t="s">
        <v>3321</v>
      </c>
      <c r="B1098" t="s">
        <v>2022</v>
      </c>
      <c r="C1098" t="s">
        <v>2023</v>
      </c>
      <c r="D1098" t="s">
        <v>2024</v>
      </c>
      <c r="E1098" t="s">
        <v>3322</v>
      </c>
      <c r="F1098" t="s">
        <v>3323</v>
      </c>
      <c r="G1098">
        <v>2</v>
      </c>
      <c r="H1098">
        <v>1560</v>
      </c>
      <c r="I1098">
        <v>2</v>
      </c>
      <c r="J1098">
        <v>3.4</v>
      </c>
      <c r="K1098">
        <v>1</v>
      </c>
      <c r="L1098">
        <v>6.0000000000000001E-3</v>
      </c>
      <c r="M1098">
        <v>2</v>
      </c>
      <c r="N1098">
        <v>84</v>
      </c>
      <c r="O1098">
        <v>1</v>
      </c>
      <c r="P1098">
        <v>7.4999999999999997E-2</v>
      </c>
      <c r="Q1098">
        <v>1</v>
      </c>
      <c r="R1098">
        <v>5.0000000000000001E-4</v>
      </c>
      <c r="T1098" s="8" t="s">
        <v>3322</v>
      </c>
    </row>
    <row r="1099" spans="1:20" x14ac:dyDescent="0.2">
      <c r="A1099" t="s">
        <v>3324</v>
      </c>
      <c r="B1099" t="s">
        <v>2022</v>
      </c>
      <c r="C1099" t="s">
        <v>2023</v>
      </c>
      <c r="D1099" t="s">
        <v>2024</v>
      </c>
      <c r="E1099" t="s">
        <v>3325</v>
      </c>
      <c r="F1099" t="s">
        <v>3326</v>
      </c>
      <c r="G1099">
        <v>2</v>
      </c>
      <c r="H1099">
        <v>1560</v>
      </c>
      <c r="I1099">
        <v>2</v>
      </c>
      <c r="J1099">
        <v>3.4</v>
      </c>
      <c r="K1099">
        <v>2</v>
      </c>
      <c r="L1099">
        <v>2.5999999999999999E-2</v>
      </c>
      <c r="M1099">
        <v>4</v>
      </c>
      <c r="N1099">
        <v>104</v>
      </c>
      <c r="O1099">
        <v>2</v>
      </c>
      <c r="P1099">
        <v>0.22500000000000001</v>
      </c>
      <c r="Q1099">
        <v>2</v>
      </c>
      <c r="R1099">
        <v>2E-3</v>
      </c>
      <c r="T1099" s="8" t="s">
        <v>3325</v>
      </c>
    </row>
    <row r="1100" spans="1:20" x14ac:dyDescent="0.2">
      <c r="A1100" t="s">
        <v>3327</v>
      </c>
      <c r="B1100" t="s">
        <v>2022</v>
      </c>
      <c r="C1100" t="s">
        <v>2023</v>
      </c>
      <c r="D1100" t="s">
        <v>2024</v>
      </c>
      <c r="E1100" t="s">
        <v>3328</v>
      </c>
      <c r="F1100" t="s">
        <v>3329</v>
      </c>
      <c r="G1100">
        <v>5</v>
      </c>
      <c r="H1100">
        <v>1800</v>
      </c>
      <c r="I1100">
        <v>4</v>
      </c>
      <c r="J1100">
        <v>8.4</v>
      </c>
      <c r="K1100">
        <v>5</v>
      </c>
      <c r="L1100">
        <v>8.5999999999999993E-2</v>
      </c>
      <c r="M1100">
        <v>3</v>
      </c>
      <c r="N1100">
        <v>94</v>
      </c>
      <c r="O1100">
        <v>3</v>
      </c>
      <c r="P1100">
        <v>0.375</v>
      </c>
      <c r="Q1100">
        <v>5</v>
      </c>
      <c r="R1100">
        <v>8.0000000000000002E-3</v>
      </c>
      <c r="T1100" s="8" t="s">
        <v>3328</v>
      </c>
    </row>
    <row r="1101" spans="1:20" x14ac:dyDescent="0.2">
      <c r="A1101" t="s">
        <v>3330</v>
      </c>
      <c r="B1101" t="s">
        <v>2022</v>
      </c>
      <c r="C1101" t="s">
        <v>2053</v>
      </c>
      <c r="D1101" t="s">
        <v>2024</v>
      </c>
      <c r="E1101" t="s">
        <v>3331</v>
      </c>
      <c r="F1101" t="s">
        <v>3332</v>
      </c>
      <c r="G1101">
        <v>1</v>
      </c>
      <c r="H1101">
        <v>1500</v>
      </c>
      <c r="I1101">
        <v>2</v>
      </c>
      <c r="J1101">
        <v>4.05</v>
      </c>
      <c r="K1101">
        <v>2</v>
      </c>
      <c r="L1101">
        <v>8.5000000000000006E-2</v>
      </c>
      <c r="M1101">
        <v>1</v>
      </c>
      <c r="N1101">
        <v>73</v>
      </c>
      <c r="O1101">
        <v>2</v>
      </c>
      <c r="P1101">
        <v>0.22500000000000001</v>
      </c>
      <c r="Q1101">
        <v>2</v>
      </c>
      <c r="R1101">
        <v>5.1999999999999998E-3</v>
      </c>
      <c r="T1101" s="8" t="s">
        <v>3331</v>
      </c>
    </row>
    <row r="1102" spans="1:20" x14ac:dyDescent="0.2">
      <c r="A1102" t="s">
        <v>3333</v>
      </c>
      <c r="B1102" t="s">
        <v>2022</v>
      </c>
      <c r="C1102" t="s">
        <v>2036</v>
      </c>
      <c r="D1102" t="s">
        <v>2024</v>
      </c>
      <c r="E1102" t="s">
        <v>3334</v>
      </c>
      <c r="F1102" t="s">
        <v>3335</v>
      </c>
      <c r="G1102">
        <v>4</v>
      </c>
      <c r="H1102">
        <v>1840</v>
      </c>
      <c r="I1102">
        <v>5</v>
      </c>
      <c r="J1102">
        <v>7</v>
      </c>
      <c r="K1102">
        <v>5</v>
      </c>
      <c r="L1102">
        <v>0.17499999999999999</v>
      </c>
      <c r="M1102">
        <v>5</v>
      </c>
      <c r="N1102">
        <v>100</v>
      </c>
      <c r="O1102">
        <v>5</v>
      </c>
      <c r="P1102">
        <v>0.53500000000000003</v>
      </c>
      <c r="Q1102">
        <v>5</v>
      </c>
      <c r="R1102">
        <v>1.2E-2</v>
      </c>
      <c r="T1102" s="8" t="s">
        <v>3334</v>
      </c>
    </row>
    <row r="1103" spans="1:20" x14ac:dyDescent="0.2">
      <c r="A1103" t="s">
        <v>3336</v>
      </c>
      <c r="B1103" t="s">
        <v>2022</v>
      </c>
      <c r="C1103" t="s">
        <v>2023</v>
      </c>
      <c r="D1103" t="s">
        <v>2024</v>
      </c>
      <c r="E1103" t="s">
        <v>3337</v>
      </c>
      <c r="F1103" t="s">
        <v>3338</v>
      </c>
      <c r="G1103">
        <v>1</v>
      </c>
      <c r="H1103">
        <v>1480</v>
      </c>
      <c r="I1103">
        <v>2</v>
      </c>
      <c r="J1103">
        <v>3.4</v>
      </c>
      <c r="K1103">
        <v>3</v>
      </c>
      <c r="L1103">
        <v>4.5999999999999999E-2</v>
      </c>
      <c r="M1103">
        <v>1</v>
      </c>
      <c r="N1103">
        <v>74</v>
      </c>
      <c r="O1103">
        <v>1</v>
      </c>
      <c r="P1103">
        <v>7.4999999999999997E-2</v>
      </c>
      <c r="Q1103">
        <v>2</v>
      </c>
      <c r="R1103">
        <v>2E-3</v>
      </c>
      <c r="T1103" s="8" t="s">
        <v>3337</v>
      </c>
    </row>
    <row r="1104" spans="1:20" x14ac:dyDescent="0.2">
      <c r="A1104" t="s">
        <v>3339</v>
      </c>
      <c r="B1104" t="s">
        <v>2022</v>
      </c>
      <c r="C1104" t="s">
        <v>2023</v>
      </c>
      <c r="D1104" t="s">
        <v>2024</v>
      </c>
      <c r="E1104" t="s">
        <v>3340</v>
      </c>
      <c r="F1104" t="s">
        <v>3341</v>
      </c>
      <c r="G1104">
        <v>1</v>
      </c>
      <c r="H1104">
        <v>1480</v>
      </c>
      <c r="I1104">
        <v>3</v>
      </c>
      <c r="J1104">
        <v>5.9</v>
      </c>
      <c r="K1104">
        <v>5</v>
      </c>
      <c r="L1104">
        <v>8.5999999999999993E-2</v>
      </c>
      <c r="M1104">
        <v>2</v>
      </c>
      <c r="N1104">
        <v>84</v>
      </c>
      <c r="O1104">
        <v>2</v>
      </c>
      <c r="P1104">
        <v>0.22500000000000001</v>
      </c>
      <c r="Q1104">
        <v>3</v>
      </c>
      <c r="R1104">
        <v>4.0000000000000001E-3</v>
      </c>
      <c r="T1104" s="8" t="s">
        <v>3340</v>
      </c>
    </row>
    <row r="1105" spans="1:20" x14ac:dyDescent="0.2">
      <c r="A1105" t="s">
        <v>3342</v>
      </c>
      <c r="B1105" t="s">
        <v>2022</v>
      </c>
      <c r="C1105" t="s">
        <v>2023</v>
      </c>
      <c r="D1105" t="s">
        <v>2024</v>
      </c>
      <c r="E1105" t="s">
        <v>3343</v>
      </c>
      <c r="F1105" t="s">
        <v>3344</v>
      </c>
      <c r="G1105">
        <v>2</v>
      </c>
      <c r="H1105">
        <v>1560</v>
      </c>
      <c r="I1105">
        <v>5</v>
      </c>
      <c r="J1105">
        <v>10.9</v>
      </c>
      <c r="K1105">
        <v>5</v>
      </c>
      <c r="L1105">
        <v>8.5999999999999993E-2</v>
      </c>
      <c r="M1105">
        <v>5</v>
      </c>
      <c r="N1105">
        <v>114</v>
      </c>
      <c r="O1105">
        <v>5</v>
      </c>
      <c r="P1105">
        <v>0.67500000000000004</v>
      </c>
      <c r="Q1105">
        <v>5</v>
      </c>
      <c r="R1105">
        <v>8.0000000000000002E-3</v>
      </c>
      <c r="T1105" s="8" t="s">
        <v>3343</v>
      </c>
    </row>
    <row r="1106" spans="1:20" x14ac:dyDescent="0.2">
      <c r="A1106" t="s">
        <v>3345</v>
      </c>
      <c r="B1106" t="s">
        <v>2022</v>
      </c>
      <c r="C1106" t="s">
        <v>2053</v>
      </c>
      <c r="D1106" t="s">
        <v>2024</v>
      </c>
      <c r="E1106" t="s">
        <v>3346</v>
      </c>
      <c r="F1106" t="s">
        <v>3347</v>
      </c>
      <c r="G1106">
        <v>4</v>
      </c>
      <c r="H1106">
        <v>1800</v>
      </c>
      <c r="I1106">
        <v>4</v>
      </c>
      <c r="J1106">
        <v>9.0500000000000007</v>
      </c>
      <c r="K1106">
        <v>3</v>
      </c>
      <c r="L1106">
        <v>0.19500000000000001</v>
      </c>
      <c r="M1106">
        <v>2</v>
      </c>
      <c r="N1106">
        <v>83</v>
      </c>
      <c r="O1106">
        <v>4</v>
      </c>
      <c r="P1106">
        <v>0.52500000000000002</v>
      </c>
      <c r="Q1106">
        <v>3</v>
      </c>
      <c r="R1106">
        <v>1.2200000000000001E-2</v>
      </c>
      <c r="T1106" s="8" t="s">
        <v>3346</v>
      </c>
    </row>
    <row r="1107" spans="1:20" x14ac:dyDescent="0.2">
      <c r="A1107" t="s">
        <v>3348</v>
      </c>
      <c r="B1107" t="s">
        <v>2022</v>
      </c>
      <c r="C1107" t="s">
        <v>2053</v>
      </c>
      <c r="D1107" t="s">
        <v>2024</v>
      </c>
      <c r="E1107" t="s">
        <v>3349</v>
      </c>
      <c r="F1107" t="s">
        <v>3350</v>
      </c>
      <c r="G1107">
        <v>1</v>
      </c>
      <c r="H1107">
        <v>1500</v>
      </c>
      <c r="I1107">
        <v>5</v>
      </c>
      <c r="J1107">
        <v>11.55</v>
      </c>
      <c r="K1107">
        <v>4</v>
      </c>
      <c r="L1107">
        <v>0.30499999999999999</v>
      </c>
      <c r="M1107">
        <v>1</v>
      </c>
      <c r="N1107">
        <v>73</v>
      </c>
      <c r="O1107">
        <v>5</v>
      </c>
      <c r="P1107">
        <v>0.67500000000000004</v>
      </c>
      <c r="Q1107">
        <v>4</v>
      </c>
      <c r="R1107">
        <v>1.9199999999999998E-2</v>
      </c>
      <c r="T1107" s="8" t="s">
        <v>3349</v>
      </c>
    </row>
    <row r="1108" spans="1:20" x14ac:dyDescent="0.2">
      <c r="A1108" t="s">
        <v>3351</v>
      </c>
      <c r="B1108" t="s">
        <v>2022</v>
      </c>
      <c r="C1108" t="s">
        <v>2023</v>
      </c>
      <c r="D1108" t="s">
        <v>2024</v>
      </c>
      <c r="E1108" t="s">
        <v>3352</v>
      </c>
      <c r="F1108" t="s">
        <v>3353</v>
      </c>
      <c r="G1108">
        <v>5</v>
      </c>
      <c r="H1108">
        <v>1800</v>
      </c>
      <c r="I1108">
        <v>5</v>
      </c>
      <c r="J1108">
        <v>10.9</v>
      </c>
      <c r="K1108">
        <v>5</v>
      </c>
      <c r="L1108">
        <v>8.5999999999999993E-2</v>
      </c>
      <c r="M1108">
        <v>4</v>
      </c>
      <c r="N1108">
        <v>104</v>
      </c>
      <c r="O1108">
        <v>4</v>
      </c>
      <c r="P1108">
        <v>0.52500000000000002</v>
      </c>
      <c r="Q1108">
        <v>5</v>
      </c>
      <c r="R1108">
        <v>8.0000000000000002E-3</v>
      </c>
      <c r="T1108" s="8" t="s">
        <v>3352</v>
      </c>
    </row>
    <row r="1109" spans="1:20" x14ac:dyDescent="0.2">
      <c r="A1109" t="s">
        <v>3354</v>
      </c>
      <c r="B1109" t="s">
        <v>2022</v>
      </c>
      <c r="C1109" t="s">
        <v>2053</v>
      </c>
      <c r="D1109" t="s">
        <v>2024</v>
      </c>
      <c r="E1109" t="s">
        <v>3355</v>
      </c>
      <c r="F1109" t="s">
        <v>3356</v>
      </c>
      <c r="G1109">
        <v>5</v>
      </c>
      <c r="H1109">
        <v>1900</v>
      </c>
      <c r="I1109">
        <v>3</v>
      </c>
      <c r="J1109">
        <v>6.55</v>
      </c>
      <c r="K1109">
        <v>2</v>
      </c>
      <c r="L1109">
        <v>8.5000000000000006E-2</v>
      </c>
      <c r="M1109">
        <v>5</v>
      </c>
      <c r="N1109">
        <v>113</v>
      </c>
      <c r="O1109">
        <v>3</v>
      </c>
      <c r="P1109">
        <v>0.375</v>
      </c>
      <c r="Q1109">
        <v>2</v>
      </c>
      <c r="R1109">
        <v>5.1999999999999998E-3</v>
      </c>
      <c r="T1109" s="8" t="s">
        <v>3355</v>
      </c>
    </row>
    <row r="1110" spans="1:20" x14ac:dyDescent="0.2">
      <c r="A1110" t="s">
        <v>3357</v>
      </c>
      <c r="B1110" t="s">
        <v>2022</v>
      </c>
      <c r="C1110" t="s">
        <v>2036</v>
      </c>
      <c r="D1110" t="s">
        <v>2136</v>
      </c>
      <c r="E1110" t="s">
        <v>3358</v>
      </c>
      <c r="F1110" t="s">
        <v>3359</v>
      </c>
      <c r="G1110">
        <v>3</v>
      </c>
      <c r="H1110">
        <v>1740</v>
      </c>
      <c r="I1110">
        <v>5</v>
      </c>
      <c r="J1110">
        <v>7</v>
      </c>
      <c r="K1110">
        <v>1</v>
      </c>
      <c r="L1110">
        <v>5.5E-2</v>
      </c>
      <c r="M1110">
        <v>3</v>
      </c>
      <c r="N1110">
        <v>88</v>
      </c>
      <c r="O1110">
        <v>3</v>
      </c>
      <c r="P1110">
        <v>0.315</v>
      </c>
      <c r="Q1110">
        <v>1</v>
      </c>
      <c r="R1110">
        <v>1.5E-3</v>
      </c>
      <c r="T1110" s="8" t="s">
        <v>3358</v>
      </c>
    </row>
    <row r="1111" spans="1:20" x14ac:dyDescent="0.2">
      <c r="A1111" t="s">
        <v>3360</v>
      </c>
      <c r="B1111" t="s">
        <v>2022</v>
      </c>
      <c r="C1111" t="s">
        <v>2023</v>
      </c>
      <c r="D1111" t="s">
        <v>2024</v>
      </c>
      <c r="E1111" t="s">
        <v>3361</v>
      </c>
      <c r="F1111" t="s">
        <v>3362</v>
      </c>
      <c r="G1111">
        <v>1</v>
      </c>
      <c r="H1111">
        <v>1480</v>
      </c>
      <c r="I1111">
        <v>3</v>
      </c>
      <c r="J1111">
        <v>5.9</v>
      </c>
      <c r="K1111">
        <v>5</v>
      </c>
      <c r="L1111">
        <v>8.5999999999999993E-2</v>
      </c>
      <c r="M1111">
        <v>3</v>
      </c>
      <c r="N1111">
        <v>94</v>
      </c>
      <c r="O1111">
        <v>3</v>
      </c>
      <c r="P1111">
        <v>0.375</v>
      </c>
      <c r="Q1111">
        <v>5</v>
      </c>
      <c r="R1111">
        <v>8.0000000000000002E-3</v>
      </c>
      <c r="T1111" s="8" t="s">
        <v>3361</v>
      </c>
    </row>
    <row r="1112" spans="1:20" x14ac:dyDescent="0.2">
      <c r="A1112" t="s">
        <v>3363</v>
      </c>
      <c r="B1112" t="s">
        <v>2022</v>
      </c>
      <c r="C1112" t="s">
        <v>2508</v>
      </c>
      <c r="D1112" t="s">
        <v>2024</v>
      </c>
      <c r="E1112" t="s">
        <v>3364</v>
      </c>
      <c r="F1112" t="s">
        <v>3365</v>
      </c>
      <c r="G1112">
        <v>4</v>
      </c>
      <c r="H1112">
        <v>1550</v>
      </c>
      <c r="I1112">
        <v>3</v>
      </c>
      <c r="J1112">
        <v>9</v>
      </c>
      <c r="K1112">
        <v>3</v>
      </c>
      <c r="L1112">
        <v>0.26</v>
      </c>
      <c r="M1112">
        <v>3</v>
      </c>
      <c r="N1112">
        <v>222.5</v>
      </c>
      <c r="O1112">
        <v>3</v>
      </c>
      <c r="P1112">
        <v>1.05</v>
      </c>
      <c r="Q1112">
        <v>3</v>
      </c>
      <c r="R1112">
        <v>3.5999999999999997E-2</v>
      </c>
      <c r="T1112" s="8" t="s">
        <v>3364</v>
      </c>
    </row>
    <row r="1113" spans="1:20" x14ac:dyDescent="0.2">
      <c r="A1113" t="s">
        <v>3366</v>
      </c>
      <c r="B1113" t="s">
        <v>2022</v>
      </c>
      <c r="C1113" t="s">
        <v>2036</v>
      </c>
      <c r="D1113" t="s">
        <v>2024</v>
      </c>
      <c r="E1113" t="s">
        <v>3367</v>
      </c>
      <c r="F1113" t="s">
        <v>3368</v>
      </c>
      <c r="G1113">
        <v>5</v>
      </c>
      <c r="H1113">
        <v>1940</v>
      </c>
      <c r="I1113">
        <v>5</v>
      </c>
      <c r="J1113">
        <v>7</v>
      </c>
      <c r="K1113">
        <v>5</v>
      </c>
      <c r="L1113">
        <v>0.17499999999999999</v>
      </c>
      <c r="M1113">
        <v>5</v>
      </c>
      <c r="N1113">
        <v>100</v>
      </c>
      <c r="O1113">
        <v>5</v>
      </c>
      <c r="P1113">
        <v>0.53500000000000003</v>
      </c>
      <c r="Q1113">
        <v>5</v>
      </c>
      <c r="R1113">
        <v>1.2E-2</v>
      </c>
      <c r="T1113" s="8" t="s">
        <v>3367</v>
      </c>
    </row>
    <row r="1114" spans="1:20" x14ac:dyDescent="0.2">
      <c r="A1114" t="s">
        <v>3369</v>
      </c>
      <c r="B1114" t="s">
        <v>2022</v>
      </c>
      <c r="C1114" t="s">
        <v>2023</v>
      </c>
      <c r="D1114" t="s">
        <v>2024</v>
      </c>
      <c r="E1114" t="s">
        <v>3370</v>
      </c>
      <c r="F1114" t="s">
        <v>3371</v>
      </c>
      <c r="G1114">
        <v>3</v>
      </c>
      <c r="H1114">
        <v>1640</v>
      </c>
      <c r="I1114">
        <v>4</v>
      </c>
      <c r="J1114">
        <v>8.4</v>
      </c>
      <c r="K1114">
        <v>5</v>
      </c>
      <c r="L1114">
        <v>8.5999999999999993E-2</v>
      </c>
      <c r="M1114">
        <v>3</v>
      </c>
      <c r="N1114">
        <v>94</v>
      </c>
      <c r="O1114">
        <v>3</v>
      </c>
      <c r="P1114">
        <v>0.375</v>
      </c>
      <c r="Q1114">
        <v>5</v>
      </c>
      <c r="R1114">
        <v>8.0000000000000002E-3</v>
      </c>
      <c r="T1114" s="8" t="s">
        <v>3370</v>
      </c>
    </row>
    <row r="1115" spans="1:20" x14ac:dyDescent="0.2">
      <c r="A1115" t="s">
        <v>3372</v>
      </c>
      <c r="B1115" t="s">
        <v>2022</v>
      </c>
      <c r="C1115" t="s">
        <v>2053</v>
      </c>
      <c r="D1115" t="s">
        <v>2024</v>
      </c>
      <c r="E1115" t="s">
        <v>3373</v>
      </c>
      <c r="F1115" t="s">
        <v>3374</v>
      </c>
      <c r="G1115">
        <v>4</v>
      </c>
      <c r="H1115">
        <v>1800</v>
      </c>
      <c r="I1115">
        <v>1</v>
      </c>
      <c r="J1115">
        <v>1.55</v>
      </c>
      <c r="K1115">
        <v>2</v>
      </c>
      <c r="L1115">
        <v>8.5000000000000006E-2</v>
      </c>
      <c r="M1115">
        <v>2</v>
      </c>
      <c r="N1115">
        <v>83</v>
      </c>
      <c r="O1115">
        <v>1</v>
      </c>
      <c r="P1115">
        <v>7.4999999999999997E-2</v>
      </c>
      <c r="Q1115">
        <v>2</v>
      </c>
      <c r="R1115">
        <v>5.1999999999999998E-3</v>
      </c>
      <c r="T1115" s="8" t="s">
        <v>3373</v>
      </c>
    </row>
    <row r="1116" spans="1:20" x14ac:dyDescent="0.2">
      <c r="A1116" t="s">
        <v>3375</v>
      </c>
      <c r="B1116" t="s">
        <v>2022</v>
      </c>
      <c r="C1116" t="s">
        <v>2036</v>
      </c>
      <c r="D1116" t="s">
        <v>2024</v>
      </c>
      <c r="E1116" t="s">
        <v>3376</v>
      </c>
      <c r="F1116" t="s">
        <v>3377</v>
      </c>
      <c r="G1116">
        <v>2</v>
      </c>
      <c r="H1116">
        <v>1640</v>
      </c>
      <c r="I1116">
        <v>5</v>
      </c>
      <c r="J1116">
        <v>7</v>
      </c>
      <c r="K1116">
        <v>5</v>
      </c>
      <c r="L1116">
        <v>0.17499999999999999</v>
      </c>
      <c r="M1116">
        <v>2</v>
      </c>
      <c r="N1116">
        <v>82</v>
      </c>
      <c r="O1116">
        <v>3</v>
      </c>
      <c r="P1116">
        <v>0.315</v>
      </c>
      <c r="Q1116">
        <v>5</v>
      </c>
      <c r="R1116">
        <v>1.2E-2</v>
      </c>
      <c r="T1116" s="8" t="s">
        <v>3376</v>
      </c>
    </row>
    <row r="1117" spans="1:20" x14ac:dyDescent="0.2">
      <c r="A1117" t="s">
        <v>3378</v>
      </c>
      <c r="B1117" t="s">
        <v>2022</v>
      </c>
      <c r="C1117" t="s">
        <v>2095</v>
      </c>
      <c r="D1117" t="s">
        <v>2024</v>
      </c>
      <c r="E1117" t="s">
        <v>3379</v>
      </c>
      <c r="F1117" t="s">
        <v>3380</v>
      </c>
      <c r="G1117">
        <v>1</v>
      </c>
      <c r="H1117">
        <v>1565</v>
      </c>
      <c r="I1117">
        <v>3</v>
      </c>
      <c r="J1117">
        <v>10.5</v>
      </c>
      <c r="K1117">
        <v>3</v>
      </c>
      <c r="L1117">
        <v>0.33</v>
      </c>
      <c r="M1117">
        <v>3</v>
      </c>
      <c r="N1117">
        <v>86</v>
      </c>
      <c r="O1117">
        <v>3</v>
      </c>
      <c r="P1117">
        <v>0.55000000000000004</v>
      </c>
      <c r="Q1117">
        <v>3</v>
      </c>
      <c r="R1117">
        <v>1.49E-2</v>
      </c>
      <c r="T1117" s="8" t="s">
        <v>3379</v>
      </c>
    </row>
    <row r="1118" spans="1:20" x14ac:dyDescent="0.2">
      <c r="A1118" t="s">
        <v>3381</v>
      </c>
      <c r="B1118" t="s">
        <v>2022</v>
      </c>
      <c r="C1118" t="s">
        <v>2053</v>
      </c>
      <c r="D1118" t="s">
        <v>2024</v>
      </c>
      <c r="E1118" t="s">
        <v>3382</v>
      </c>
      <c r="F1118" t="s">
        <v>3383</v>
      </c>
      <c r="G1118">
        <v>2</v>
      </c>
      <c r="H1118">
        <v>1600</v>
      </c>
      <c r="I1118">
        <v>3</v>
      </c>
      <c r="J1118">
        <v>6.55</v>
      </c>
      <c r="K1118">
        <v>3</v>
      </c>
      <c r="L1118">
        <v>0.19500000000000001</v>
      </c>
      <c r="M1118">
        <v>1</v>
      </c>
      <c r="N1118">
        <v>73</v>
      </c>
      <c r="O1118">
        <v>3</v>
      </c>
      <c r="P1118">
        <v>0.375</v>
      </c>
      <c r="Q1118">
        <v>2</v>
      </c>
      <c r="R1118">
        <v>5.1999999999999998E-3</v>
      </c>
      <c r="T1118" s="8" t="s">
        <v>3382</v>
      </c>
    </row>
    <row r="1119" spans="1:20" x14ac:dyDescent="0.2">
      <c r="A1119" t="s">
        <v>3384</v>
      </c>
      <c r="B1119" t="s">
        <v>2022</v>
      </c>
      <c r="C1119" t="s">
        <v>2104</v>
      </c>
      <c r="D1119" t="s">
        <v>2024</v>
      </c>
      <c r="E1119" t="s">
        <v>3385</v>
      </c>
      <c r="F1119" t="s">
        <v>3386</v>
      </c>
      <c r="G1119">
        <v>3</v>
      </c>
      <c r="H1119">
        <v>1887.5</v>
      </c>
      <c r="I1119">
        <v>1</v>
      </c>
      <c r="J1119">
        <v>0.95</v>
      </c>
      <c r="K1119">
        <v>2</v>
      </c>
      <c r="L1119">
        <v>4.1000000000000002E-2</v>
      </c>
      <c r="M1119">
        <v>3</v>
      </c>
      <c r="N1119">
        <v>73</v>
      </c>
      <c r="P1119">
        <v>0</v>
      </c>
      <c r="Q1119">
        <v>1</v>
      </c>
      <c r="R1119">
        <v>3.5E-4</v>
      </c>
      <c r="T1119" s="8" t="s">
        <v>3385</v>
      </c>
    </row>
    <row r="1120" spans="1:20" x14ac:dyDescent="0.2">
      <c r="A1120" t="s">
        <v>3387</v>
      </c>
      <c r="B1120" t="s">
        <v>2022</v>
      </c>
      <c r="C1120" t="s">
        <v>2222</v>
      </c>
      <c r="D1120" t="s">
        <v>2024</v>
      </c>
      <c r="E1120" t="s">
        <v>3385</v>
      </c>
      <c r="F1120" t="s">
        <v>3386</v>
      </c>
      <c r="G1120">
        <v>1</v>
      </c>
      <c r="H1120">
        <v>1450</v>
      </c>
      <c r="I1120">
        <v>1</v>
      </c>
      <c r="J1120">
        <v>2.2999999999999998</v>
      </c>
      <c r="K1120">
        <v>1</v>
      </c>
      <c r="L1120">
        <v>0.01</v>
      </c>
      <c r="M1120">
        <v>1</v>
      </c>
      <c r="N1120">
        <v>59</v>
      </c>
      <c r="O1120">
        <v>1</v>
      </c>
      <c r="P1120">
        <v>7.0000000000000007E-2</v>
      </c>
      <c r="Q1120">
        <v>1</v>
      </c>
      <c r="R1120">
        <v>4.0000000000000002E-4</v>
      </c>
      <c r="T1120" s="8" t="s">
        <v>3385</v>
      </c>
    </row>
    <row r="1121" spans="1:20" x14ac:dyDescent="0.2">
      <c r="A1121" t="s">
        <v>3388</v>
      </c>
      <c r="B1121" t="s">
        <v>2022</v>
      </c>
      <c r="C1121" t="s">
        <v>2036</v>
      </c>
      <c r="D1121" t="s">
        <v>2024</v>
      </c>
      <c r="E1121" t="s">
        <v>3385</v>
      </c>
      <c r="F1121" t="s">
        <v>3386</v>
      </c>
      <c r="G1121">
        <v>4</v>
      </c>
      <c r="H1121">
        <v>1840</v>
      </c>
      <c r="I1121">
        <v>2</v>
      </c>
      <c r="J1121">
        <v>3.4</v>
      </c>
      <c r="K1121">
        <v>1</v>
      </c>
      <c r="L1121">
        <v>5.5E-2</v>
      </c>
      <c r="M1121">
        <v>3</v>
      </c>
      <c r="N1121">
        <v>88</v>
      </c>
      <c r="O1121">
        <v>2</v>
      </c>
      <c r="P1121">
        <v>0.20499999999999999</v>
      </c>
      <c r="Q1121">
        <v>1</v>
      </c>
      <c r="R1121">
        <v>1.5E-3</v>
      </c>
      <c r="T1121" s="8" t="s">
        <v>3385</v>
      </c>
    </row>
    <row r="1122" spans="1:20" x14ac:dyDescent="0.2">
      <c r="A1122" t="s">
        <v>3389</v>
      </c>
      <c r="B1122" t="s">
        <v>2022</v>
      </c>
      <c r="C1122" t="s">
        <v>2222</v>
      </c>
      <c r="D1122" t="s">
        <v>2024</v>
      </c>
      <c r="E1122" t="s">
        <v>3385</v>
      </c>
      <c r="F1122" t="s">
        <v>3386</v>
      </c>
      <c r="G1122">
        <v>3</v>
      </c>
      <c r="H1122">
        <v>1650</v>
      </c>
      <c r="I1122">
        <v>2</v>
      </c>
      <c r="J1122">
        <v>3.9</v>
      </c>
      <c r="K1122">
        <v>2</v>
      </c>
      <c r="L1122">
        <v>5.5E-2</v>
      </c>
      <c r="M1122">
        <v>3</v>
      </c>
      <c r="N1122">
        <v>67</v>
      </c>
      <c r="O1122">
        <v>2</v>
      </c>
      <c r="P1122">
        <v>0.15</v>
      </c>
      <c r="Q1122">
        <v>2</v>
      </c>
      <c r="R1122">
        <v>2.3E-3</v>
      </c>
      <c r="T1122" s="8" t="s">
        <v>3385</v>
      </c>
    </row>
    <row r="1123" spans="1:20" x14ac:dyDescent="0.2">
      <c r="A1123" t="s">
        <v>3390</v>
      </c>
      <c r="B1123" t="s">
        <v>2022</v>
      </c>
      <c r="C1123" t="s">
        <v>2053</v>
      </c>
      <c r="D1123" t="s">
        <v>2024</v>
      </c>
      <c r="E1123" t="s">
        <v>3391</v>
      </c>
      <c r="F1123" t="s">
        <v>3392</v>
      </c>
      <c r="G1123">
        <v>3</v>
      </c>
      <c r="H1123">
        <v>1700</v>
      </c>
      <c r="I1123">
        <v>1</v>
      </c>
      <c r="J1123">
        <v>1.55</v>
      </c>
      <c r="K1123">
        <v>2</v>
      </c>
      <c r="L1123">
        <v>8.5000000000000006E-2</v>
      </c>
      <c r="M1123">
        <v>3</v>
      </c>
      <c r="N1123">
        <v>93</v>
      </c>
      <c r="O1123">
        <v>1</v>
      </c>
      <c r="P1123">
        <v>7.4999999999999997E-2</v>
      </c>
      <c r="Q1123">
        <v>2</v>
      </c>
      <c r="R1123">
        <v>5.1999999999999998E-3</v>
      </c>
      <c r="T1123" s="8" t="s">
        <v>3391</v>
      </c>
    </row>
    <row r="1124" spans="1:20" x14ac:dyDescent="0.2">
      <c r="A1124" t="s">
        <v>3393</v>
      </c>
      <c r="B1124" t="s">
        <v>2022</v>
      </c>
      <c r="C1124" t="s">
        <v>2023</v>
      </c>
      <c r="D1124" t="s">
        <v>2136</v>
      </c>
      <c r="E1124" t="s">
        <v>3394</v>
      </c>
      <c r="F1124" t="s">
        <v>3395</v>
      </c>
      <c r="G1124">
        <v>5</v>
      </c>
      <c r="H1124">
        <v>1800</v>
      </c>
      <c r="I1124">
        <v>4</v>
      </c>
      <c r="J1124">
        <v>8.4</v>
      </c>
      <c r="K1124">
        <v>5</v>
      </c>
      <c r="L1124">
        <v>8.5999999999999993E-2</v>
      </c>
      <c r="M1124">
        <v>1</v>
      </c>
      <c r="N1124">
        <v>74</v>
      </c>
      <c r="O1124">
        <v>2</v>
      </c>
      <c r="P1124">
        <v>0.22500000000000001</v>
      </c>
      <c r="Q1124">
        <v>4</v>
      </c>
      <c r="R1124">
        <v>6.0000000000000001E-3</v>
      </c>
      <c r="T1124" s="8" t="s">
        <v>3394</v>
      </c>
    </row>
    <row r="1125" spans="1:20" x14ac:dyDescent="0.2">
      <c r="A1125" t="s">
        <v>3396</v>
      </c>
      <c r="B1125" t="s">
        <v>2022</v>
      </c>
      <c r="C1125" t="s">
        <v>2049</v>
      </c>
      <c r="D1125" t="s">
        <v>2136</v>
      </c>
      <c r="E1125" t="s">
        <v>3397</v>
      </c>
      <c r="F1125" t="s">
        <v>447</v>
      </c>
      <c r="G1125">
        <v>1</v>
      </c>
      <c r="H1125">
        <v>1350</v>
      </c>
      <c r="I1125">
        <v>1</v>
      </c>
      <c r="J1125">
        <v>1.4</v>
      </c>
      <c r="K1125">
        <v>1</v>
      </c>
      <c r="L1125">
        <v>0.01</v>
      </c>
      <c r="M1125">
        <v>5</v>
      </c>
      <c r="N1125">
        <v>166</v>
      </c>
      <c r="O1125">
        <v>2</v>
      </c>
      <c r="P1125">
        <v>0.26</v>
      </c>
      <c r="Q1125">
        <v>2</v>
      </c>
      <c r="R1125">
        <v>6.1999999999999998E-3</v>
      </c>
      <c r="T1125" s="8" t="s">
        <v>3397</v>
      </c>
    </row>
    <row r="1126" spans="1:20" x14ac:dyDescent="0.2">
      <c r="A1126" t="s">
        <v>3398</v>
      </c>
      <c r="B1126" t="s">
        <v>2022</v>
      </c>
      <c r="C1126" t="s">
        <v>2053</v>
      </c>
      <c r="D1126" t="s">
        <v>2024</v>
      </c>
      <c r="E1126" t="s">
        <v>3399</v>
      </c>
      <c r="F1126" t="s">
        <v>3400</v>
      </c>
      <c r="G1126">
        <v>2</v>
      </c>
      <c r="H1126">
        <v>1600</v>
      </c>
      <c r="I1126">
        <v>1</v>
      </c>
      <c r="J1126">
        <v>1.55</v>
      </c>
      <c r="K1126">
        <v>1</v>
      </c>
      <c r="L1126">
        <v>1.4999999999999999E-2</v>
      </c>
      <c r="M1126">
        <v>4</v>
      </c>
      <c r="N1126">
        <v>103</v>
      </c>
      <c r="O1126">
        <v>1</v>
      </c>
      <c r="P1126">
        <v>7.4999999999999997E-2</v>
      </c>
      <c r="Q1126">
        <v>1</v>
      </c>
      <c r="R1126">
        <v>8.4999999999999995E-4</v>
      </c>
      <c r="T1126" s="8" t="s">
        <v>3399</v>
      </c>
    </row>
    <row r="1127" spans="1:20" x14ac:dyDescent="0.2">
      <c r="A1127" t="s">
        <v>3401</v>
      </c>
      <c r="B1127" t="s">
        <v>2022</v>
      </c>
      <c r="C1127" t="s">
        <v>2023</v>
      </c>
      <c r="D1127" t="s">
        <v>2024</v>
      </c>
      <c r="E1127" t="s">
        <v>3402</v>
      </c>
      <c r="F1127" t="s">
        <v>3403</v>
      </c>
      <c r="G1127">
        <v>3</v>
      </c>
      <c r="H1127">
        <v>1640</v>
      </c>
      <c r="I1127">
        <v>5</v>
      </c>
      <c r="J1127">
        <v>10.9</v>
      </c>
      <c r="K1127">
        <v>5</v>
      </c>
      <c r="L1127">
        <v>8.5999999999999993E-2</v>
      </c>
      <c r="M1127">
        <v>4</v>
      </c>
      <c r="N1127">
        <v>104</v>
      </c>
      <c r="O1127">
        <v>5</v>
      </c>
      <c r="P1127">
        <v>0.67500000000000004</v>
      </c>
      <c r="Q1127">
        <v>5</v>
      </c>
      <c r="R1127">
        <v>8.0000000000000002E-3</v>
      </c>
      <c r="T1127" s="8" t="s">
        <v>3402</v>
      </c>
    </row>
    <row r="1128" spans="1:20" x14ac:dyDescent="0.2">
      <c r="A1128" t="s">
        <v>3404</v>
      </c>
      <c r="B1128" t="s">
        <v>2022</v>
      </c>
      <c r="C1128" t="s">
        <v>2036</v>
      </c>
      <c r="D1128" t="s">
        <v>2024</v>
      </c>
      <c r="E1128" t="s">
        <v>3405</v>
      </c>
      <c r="F1128" t="s">
        <v>3406</v>
      </c>
      <c r="G1128">
        <v>5</v>
      </c>
      <c r="H1128">
        <v>1940</v>
      </c>
      <c r="I1128">
        <v>5</v>
      </c>
      <c r="J1128">
        <v>7</v>
      </c>
      <c r="K1128">
        <v>5</v>
      </c>
      <c r="L1128">
        <v>0.17499999999999999</v>
      </c>
      <c r="M1128">
        <v>5</v>
      </c>
      <c r="N1128">
        <v>100</v>
      </c>
      <c r="O1128">
        <v>5</v>
      </c>
      <c r="P1128">
        <v>0.53500000000000003</v>
      </c>
      <c r="Q1128">
        <v>5</v>
      </c>
      <c r="R1128">
        <v>1.2E-2</v>
      </c>
      <c r="T1128" s="8" t="s">
        <v>3405</v>
      </c>
    </row>
    <row r="1129" spans="1:20" x14ac:dyDescent="0.2">
      <c r="A1129" t="s">
        <v>3407</v>
      </c>
      <c r="B1129" t="s">
        <v>2022</v>
      </c>
      <c r="C1129" t="s">
        <v>2023</v>
      </c>
      <c r="D1129" t="s">
        <v>2024</v>
      </c>
      <c r="E1129" t="s">
        <v>3408</v>
      </c>
      <c r="F1129" t="s">
        <v>3409</v>
      </c>
      <c r="G1129">
        <v>2</v>
      </c>
      <c r="H1129">
        <v>1560</v>
      </c>
      <c r="I1129">
        <v>4</v>
      </c>
      <c r="J1129">
        <v>8.4</v>
      </c>
      <c r="K1129">
        <v>5</v>
      </c>
      <c r="L1129">
        <v>8.5999999999999993E-2</v>
      </c>
      <c r="M1129">
        <v>2</v>
      </c>
      <c r="N1129">
        <v>84</v>
      </c>
      <c r="O1129">
        <v>3</v>
      </c>
      <c r="P1129">
        <v>0.375</v>
      </c>
      <c r="Q1129">
        <v>5</v>
      </c>
      <c r="R1129">
        <v>8.0000000000000002E-3</v>
      </c>
      <c r="T1129" s="8" t="s">
        <v>3408</v>
      </c>
    </row>
    <row r="1130" spans="1:20" x14ac:dyDescent="0.2">
      <c r="A1130" t="s">
        <v>3410</v>
      </c>
      <c r="B1130" t="s">
        <v>2022</v>
      </c>
      <c r="C1130" t="s">
        <v>2023</v>
      </c>
      <c r="D1130" t="s">
        <v>2024</v>
      </c>
      <c r="E1130" t="s">
        <v>3411</v>
      </c>
      <c r="F1130" t="s">
        <v>3412</v>
      </c>
      <c r="G1130">
        <v>5</v>
      </c>
      <c r="H1130">
        <v>1800</v>
      </c>
      <c r="I1130">
        <v>5</v>
      </c>
      <c r="J1130">
        <v>10.9</v>
      </c>
      <c r="K1130">
        <v>5</v>
      </c>
      <c r="L1130">
        <v>8.5999999999999993E-2</v>
      </c>
      <c r="M1130">
        <v>4</v>
      </c>
      <c r="N1130">
        <v>104</v>
      </c>
      <c r="O1130">
        <v>5</v>
      </c>
      <c r="P1130">
        <v>0.67500000000000004</v>
      </c>
      <c r="Q1130">
        <v>5</v>
      </c>
      <c r="R1130">
        <v>8.0000000000000002E-3</v>
      </c>
      <c r="T1130" s="8" t="s">
        <v>3411</v>
      </c>
    </row>
    <row r="1131" spans="1:20" x14ac:dyDescent="0.2">
      <c r="A1131" t="s">
        <v>3413</v>
      </c>
      <c r="B1131" t="s">
        <v>2022</v>
      </c>
      <c r="C1131" t="s">
        <v>2023</v>
      </c>
      <c r="D1131" t="s">
        <v>2136</v>
      </c>
      <c r="E1131" t="s">
        <v>3414</v>
      </c>
      <c r="F1131" t="s">
        <v>447</v>
      </c>
      <c r="G1131">
        <v>1</v>
      </c>
      <c r="H1131">
        <v>1480</v>
      </c>
      <c r="I1131">
        <v>2</v>
      </c>
      <c r="J1131">
        <v>3.4</v>
      </c>
      <c r="K1131">
        <v>2</v>
      </c>
      <c r="L1131">
        <v>2.5999999999999999E-2</v>
      </c>
      <c r="M1131">
        <v>1</v>
      </c>
      <c r="N1131">
        <v>74</v>
      </c>
      <c r="O1131">
        <v>2</v>
      </c>
      <c r="P1131">
        <v>0.22500000000000001</v>
      </c>
      <c r="Q1131">
        <v>1</v>
      </c>
      <c r="R1131">
        <v>5.0000000000000001E-4</v>
      </c>
      <c r="T1131" s="8" t="s">
        <v>3414</v>
      </c>
    </row>
    <row r="1132" spans="1:20" x14ac:dyDescent="0.2">
      <c r="A1132" t="s">
        <v>3415</v>
      </c>
      <c r="B1132" t="s">
        <v>2022</v>
      </c>
      <c r="C1132" t="s">
        <v>2036</v>
      </c>
      <c r="D1132" t="s">
        <v>2024</v>
      </c>
      <c r="E1132" t="s">
        <v>3416</v>
      </c>
      <c r="F1132" t="s">
        <v>3417</v>
      </c>
      <c r="G1132">
        <v>1</v>
      </c>
      <c r="H1132">
        <v>1540</v>
      </c>
      <c r="I1132">
        <v>3</v>
      </c>
      <c r="J1132">
        <v>4.5999999999999996</v>
      </c>
      <c r="K1132">
        <v>2</v>
      </c>
      <c r="L1132">
        <v>8.5000000000000006E-2</v>
      </c>
      <c r="M1132">
        <v>1</v>
      </c>
      <c r="N1132">
        <v>76</v>
      </c>
      <c r="O1132">
        <v>2</v>
      </c>
      <c r="P1132">
        <v>0.20499999999999999</v>
      </c>
      <c r="Q1132">
        <v>2</v>
      </c>
      <c r="R1132">
        <v>4.2500000000000003E-3</v>
      </c>
      <c r="T1132" s="8" t="s">
        <v>3416</v>
      </c>
    </row>
    <row r="1133" spans="1:20" x14ac:dyDescent="0.2">
      <c r="A1133" t="s">
        <v>3418</v>
      </c>
      <c r="B1133" t="s">
        <v>2022</v>
      </c>
      <c r="C1133" t="s">
        <v>2036</v>
      </c>
      <c r="D1133" t="s">
        <v>2024</v>
      </c>
      <c r="E1133" t="s">
        <v>3419</v>
      </c>
      <c r="F1133" t="s">
        <v>3420</v>
      </c>
      <c r="G1133">
        <v>3</v>
      </c>
      <c r="H1133">
        <v>1740</v>
      </c>
      <c r="I1133">
        <v>1</v>
      </c>
      <c r="J1133">
        <v>2.2000000000000002</v>
      </c>
      <c r="K1133">
        <v>2</v>
      </c>
      <c r="L1133">
        <v>8.5000000000000006E-2</v>
      </c>
      <c r="M1133">
        <v>1</v>
      </c>
      <c r="N1133">
        <v>76</v>
      </c>
      <c r="O1133">
        <v>1</v>
      </c>
      <c r="P1133">
        <v>9.5000000000000001E-2</v>
      </c>
      <c r="Q1133">
        <v>2</v>
      </c>
      <c r="R1133">
        <v>4.2500000000000003E-3</v>
      </c>
      <c r="T1133" s="8" t="s">
        <v>3419</v>
      </c>
    </row>
    <row r="1134" spans="1:20" x14ac:dyDescent="0.2">
      <c r="A1134" t="s">
        <v>3421</v>
      </c>
      <c r="B1134" t="s">
        <v>2022</v>
      </c>
      <c r="C1134" t="s">
        <v>2023</v>
      </c>
      <c r="D1134" t="s">
        <v>2136</v>
      </c>
      <c r="E1134" t="s">
        <v>357</v>
      </c>
      <c r="F1134" t="s">
        <v>3422</v>
      </c>
      <c r="G1134">
        <v>1</v>
      </c>
      <c r="H1134">
        <v>1480</v>
      </c>
      <c r="I1134">
        <v>1</v>
      </c>
      <c r="J1134">
        <v>0.9</v>
      </c>
      <c r="K1134">
        <v>1</v>
      </c>
      <c r="L1134">
        <v>6.0000000000000001E-3</v>
      </c>
      <c r="M1134">
        <v>5</v>
      </c>
      <c r="N1134">
        <v>114</v>
      </c>
      <c r="O1134">
        <v>2</v>
      </c>
      <c r="P1134">
        <v>0.22500000000000001</v>
      </c>
      <c r="Q1134">
        <v>2</v>
      </c>
      <c r="R1134">
        <v>2E-3</v>
      </c>
      <c r="T1134" s="8" t="s">
        <v>357</v>
      </c>
    </row>
    <row r="1135" spans="1:20" x14ac:dyDescent="0.2">
      <c r="A1135" t="s">
        <v>3423</v>
      </c>
      <c r="B1135" t="s">
        <v>2022</v>
      </c>
      <c r="C1135" t="s">
        <v>2028</v>
      </c>
      <c r="D1135" t="s">
        <v>2024</v>
      </c>
      <c r="E1135" t="s">
        <v>3424</v>
      </c>
      <c r="F1135" t="s">
        <v>3425</v>
      </c>
      <c r="G1135">
        <v>3</v>
      </c>
      <c r="H1135">
        <v>1050</v>
      </c>
      <c r="I1135">
        <v>4</v>
      </c>
      <c r="J1135">
        <v>4.95</v>
      </c>
      <c r="K1135">
        <v>2</v>
      </c>
      <c r="L1135">
        <v>4.4999999999999998E-2</v>
      </c>
      <c r="M1135">
        <v>5</v>
      </c>
      <c r="N1135">
        <v>500</v>
      </c>
      <c r="O1135">
        <v>5</v>
      </c>
      <c r="P1135">
        <v>1.35</v>
      </c>
      <c r="Q1135">
        <v>5</v>
      </c>
      <c r="R1135">
        <v>3.3500000000000002E-2</v>
      </c>
      <c r="T1135" s="8" t="s">
        <v>3424</v>
      </c>
    </row>
    <row r="1136" spans="1:20" x14ac:dyDescent="0.2">
      <c r="A1136" t="s">
        <v>3426</v>
      </c>
      <c r="B1136" t="s">
        <v>2022</v>
      </c>
      <c r="C1136" t="s">
        <v>2036</v>
      </c>
      <c r="D1136" t="s">
        <v>2024</v>
      </c>
      <c r="E1136" t="s">
        <v>3427</v>
      </c>
      <c r="F1136" t="s">
        <v>3428</v>
      </c>
      <c r="G1136">
        <v>3</v>
      </c>
      <c r="H1136">
        <v>1740</v>
      </c>
      <c r="I1136">
        <v>5</v>
      </c>
      <c r="J1136">
        <v>7</v>
      </c>
      <c r="K1136">
        <v>5</v>
      </c>
      <c r="L1136">
        <v>0.17499999999999999</v>
      </c>
      <c r="M1136">
        <v>3</v>
      </c>
      <c r="N1136">
        <v>88</v>
      </c>
      <c r="O1136">
        <v>5</v>
      </c>
      <c r="P1136">
        <v>0.53500000000000003</v>
      </c>
      <c r="Q1136">
        <v>5</v>
      </c>
      <c r="R1136">
        <v>1.2E-2</v>
      </c>
      <c r="T1136" s="8" t="s">
        <v>3427</v>
      </c>
    </row>
    <row r="1137" spans="1:20" x14ac:dyDescent="0.2">
      <c r="A1137" t="s">
        <v>3429</v>
      </c>
      <c r="B1137" t="s">
        <v>2022</v>
      </c>
      <c r="C1137" t="s">
        <v>2036</v>
      </c>
      <c r="D1137" t="s">
        <v>2024</v>
      </c>
      <c r="E1137" t="s">
        <v>3430</v>
      </c>
      <c r="F1137" t="s">
        <v>3431</v>
      </c>
      <c r="G1137">
        <v>2</v>
      </c>
      <c r="H1137">
        <v>1640</v>
      </c>
      <c r="I1137">
        <v>1</v>
      </c>
      <c r="J1137">
        <v>2.2000000000000002</v>
      </c>
      <c r="K1137">
        <v>1</v>
      </c>
      <c r="L1137">
        <v>5.5E-2</v>
      </c>
      <c r="M1137">
        <v>1</v>
      </c>
      <c r="N1137">
        <v>76</v>
      </c>
      <c r="O1137">
        <v>1</v>
      </c>
      <c r="P1137">
        <v>9.5000000000000001E-2</v>
      </c>
      <c r="Q1137">
        <v>1</v>
      </c>
      <c r="R1137">
        <v>1.5E-3</v>
      </c>
      <c r="T1137" s="8" t="s">
        <v>3430</v>
      </c>
    </row>
    <row r="1138" spans="1:20" x14ac:dyDescent="0.2">
      <c r="A1138" t="s">
        <v>3432</v>
      </c>
      <c r="B1138" t="s">
        <v>2022</v>
      </c>
      <c r="C1138" t="s">
        <v>2053</v>
      </c>
      <c r="D1138" t="s">
        <v>2024</v>
      </c>
      <c r="E1138" t="s">
        <v>3433</v>
      </c>
      <c r="F1138" t="s">
        <v>3434</v>
      </c>
      <c r="G1138">
        <v>5</v>
      </c>
      <c r="H1138">
        <v>1900</v>
      </c>
      <c r="I1138">
        <v>2</v>
      </c>
      <c r="J1138">
        <v>4.05</v>
      </c>
      <c r="K1138">
        <v>2</v>
      </c>
      <c r="L1138">
        <v>8.5000000000000006E-2</v>
      </c>
      <c r="M1138">
        <v>2</v>
      </c>
      <c r="N1138">
        <v>83</v>
      </c>
      <c r="O1138">
        <v>2</v>
      </c>
      <c r="P1138">
        <v>0.22500000000000001</v>
      </c>
      <c r="Q1138">
        <v>2</v>
      </c>
      <c r="R1138">
        <v>5.1999999999999998E-3</v>
      </c>
      <c r="T1138" s="8" t="s">
        <v>3433</v>
      </c>
    </row>
    <row r="1139" spans="1:20" x14ac:dyDescent="0.2">
      <c r="A1139" t="s">
        <v>3435</v>
      </c>
      <c r="B1139" t="s">
        <v>2022</v>
      </c>
      <c r="C1139" t="s">
        <v>2036</v>
      </c>
      <c r="D1139" t="s">
        <v>2024</v>
      </c>
      <c r="E1139" t="s">
        <v>3436</v>
      </c>
      <c r="F1139" t="s">
        <v>3437</v>
      </c>
      <c r="G1139">
        <v>2</v>
      </c>
      <c r="H1139">
        <v>1640</v>
      </c>
      <c r="I1139">
        <v>5</v>
      </c>
      <c r="J1139">
        <v>7</v>
      </c>
      <c r="K1139">
        <v>5</v>
      </c>
      <c r="L1139">
        <v>0.17499999999999999</v>
      </c>
      <c r="M1139">
        <v>4</v>
      </c>
      <c r="N1139">
        <v>94</v>
      </c>
      <c r="O1139">
        <v>5</v>
      </c>
      <c r="P1139">
        <v>0.53500000000000003</v>
      </c>
      <c r="Q1139">
        <v>5</v>
      </c>
      <c r="R1139">
        <v>1.2E-2</v>
      </c>
      <c r="T1139" s="8" t="s">
        <v>3436</v>
      </c>
    </row>
    <row r="1140" spans="1:20" x14ac:dyDescent="0.2">
      <c r="A1140" t="s">
        <v>3438</v>
      </c>
      <c r="B1140" t="s">
        <v>2022</v>
      </c>
      <c r="C1140" t="s">
        <v>2036</v>
      </c>
      <c r="D1140" t="s">
        <v>2024</v>
      </c>
      <c r="E1140" t="s">
        <v>3439</v>
      </c>
      <c r="F1140" t="s">
        <v>3440</v>
      </c>
      <c r="G1140">
        <v>3</v>
      </c>
      <c r="H1140">
        <v>1740</v>
      </c>
      <c r="I1140">
        <v>3</v>
      </c>
      <c r="J1140">
        <v>4.5999999999999996</v>
      </c>
      <c r="K1140">
        <v>3</v>
      </c>
      <c r="L1140">
        <v>0.115</v>
      </c>
      <c r="M1140">
        <v>2</v>
      </c>
      <c r="N1140">
        <v>82</v>
      </c>
      <c r="O1140">
        <v>2</v>
      </c>
      <c r="P1140">
        <v>0.20499999999999999</v>
      </c>
      <c r="Q1140">
        <v>3</v>
      </c>
      <c r="R1140">
        <v>6.7499999999999999E-3</v>
      </c>
      <c r="T1140" s="8" t="s">
        <v>3439</v>
      </c>
    </row>
    <row r="1141" spans="1:20" x14ac:dyDescent="0.2">
      <c r="A1141" t="s">
        <v>3441</v>
      </c>
      <c r="B1141" t="s">
        <v>2022</v>
      </c>
      <c r="C1141" t="s">
        <v>2036</v>
      </c>
      <c r="D1141" t="s">
        <v>2024</v>
      </c>
      <c r="E1141" t="s">
        <v>3442</v>
      </c>
      <c r="F1141" t="s">
        <v>3443</v>
      </c>
      <c r="G1141">
        <v>5</v>
      </c>
      <c r="H1141">
        <v>1940</v>
      </c>
      <c r="I1141">
        <v>4</v>
      </c>
      <c r="J1141">
        <v>5.8</v>
      </c>
      <c r="K1141">
        <v>5</v>
      </c>
      <c r="L1141">
        <v>0.17499999999999999</v>
      </c>
      <c r="M1141">
        <v>5</v>
      </c>
      <c r="N1141">
        <v>100</v>
      </c>
      <c r="O1141">
        <v>3</v>
      </c>
      <c r="P1141">
        <v>0.315</v>
      </c>
      <c r="Q1141">
        <v>4</v>
      </c>
      <c r="R1141">
        <v>9.2499999999999995E-3</v>
      </c>
      <c r="T1141" s="8" t="s">
        <v>3442</v>
      </c>
    </row>
    <row r="1142" spans="1:20" x14ac:dyDescent="0.2">
      <c r="A1142" t="s">
        <v>3444</v>
      </c>
      <c r="B1142" t="s">
        <v>2022</v>
      </c>
      <c r="C1142" t="s">
        <v>2036</v>
      </c>
      <c r="D1142" t="s">
        <v>2024</v>
      </c>
      <c r="E1142" t="s">
        <v>3445</v>
      </c>
      <c r="F1142" t="s">
        <v>3446</v>
      </c>
      <c r="G1142">
        <v>2</v>
      </c>
      <c r="H1142">
        <v>1640</v>
      </c>
      <c r="I1142">
        <v>3</v>
      </c>
      <c r="J1142">
        <v>4.5999999999999996</v>
      </c>
      <c r="K1142">
        <v>3</v>
      </c>
      <c r="L1142">
        <v>0.115</v>
      </c>
      <c r="M1142">
        <v>1</v>
      </c>
      <c r="N1142">
        <v>76</v>
      </c>
      <c r="O1142">
        <v>2</v>
      </c>
      <c r="P1142">
        <v>0.20499999999999999</v>
      </c>
      <c r="Q1142">
        <v>2</v>
      </c>
      <c r="R1142">
        <v>4.2500000000000003E-3</v>
      </c>
      <c r="T1142" s="8" t="s">
        <v>3445</v>
      </c>
    </row>
    <row r="1143" spans="1:20" x14ac:dyDescent="0.2">
      <c r="A1143" t="s">
        <v>3447</v>
      </c>
      <c r="B1143" t="s">
        <v>2022</v>
      </c>
      <c r="C1143" t="s">
        <v>2101</v>
      </c>
      <c r="D1143" t="s">
        <v>2024</v>
      </c>
      <c r="E1143" t="s">
        <v>3448</v>
      </c>
      <c r="F1143" t="s">
        <v>3449</v>
      </c>
      <c r="G1143">
        <v>1</v>
      </c>
      <c r="H1143">
        <v>1570</v>
      </c>
      <c r="I1143">
        <v>2</v>
      </c>
      <c r="J1143">
        <v>5</v>
      </c>
      <c r="K1143">
        <v>1</v>
      </c>
      <c r="L1143">
        <v>1.15E-2</v>
      </c>
      <c r="M1143">
        <v>2</v>
      </c>
      <c r="N1143">
        <v>74</v>
      </c>
      <c r="O1143">
        <v>2</v>
      </c>
      <c r="P1143">
        <v>0.22500000000000001</v>
      </c>
      <c r="Q1143">
        <v>1</v>
      </c>
      <c r="R1143">
        <v>5.0000000000000001E-4</v>
      </c>
      <c r="T1143" s="8" t="s">
        <v>3448</v>
      </c>
    </row>
    <row r="1144" spans="1:20" x14ac:dyDescent="0.2">
      <c r="A1144" t="s">
        <v>3450</v>
      </c>
      <c r="B1144" t="s">
        <v>2022</v>
      </c>
      <c r="C1144" t="s">
        <v>2023</v>
      </c>
      <c r="D1144" t="s">
        <v>2024</v>
      </c>
      <c r="E1144" t="s">
        <v>3451</v>
      </c>
      <c r="F1144" t="s">
        <v>3452</v>
      </c>
      <c r="G1144">
        <v>5</v>
      </c>
      <c r="H1144">
        <v>1800</v>
      </c>
      <c r="I1144">
        <v>5</v>
      </c>
      <c r="J1144">
        <v>10.9</v>
      </c>
      <c r="K1144">
        <v>5</v>
      </c>
      <c r="L1144">
        <v>8.5999999999999993E-2</v>
      </c>
      <c r="M1144">
        <v>3</v>
      </c>
      <c r="N1144">
        <v>94</v>
      </c>
      <c r="O1144">
        <v>5</v>
      </c>
      <c r="P1144">
        <v>0.67500000000000004</v>
      </c>
      <c r="Q1144">
        <v>5</v>
      </c>
      <c r="R1144">
        <v>8.0000000000000002E-3</v>
      </c>
      <c r="T1144" s="8" t="s">
        <v>3451</v>
      </c>
    </row>
    <row r="1145" spans="1:20" x14ac:dyDescent="0.2">
      <c r="A1145" t="s">
        <v>3453</v>
      </c>
      <c r="B1145" t="s">
        <v>2022</v>
      </c>
      <c r="C1145" t="s">
        <v>2036</v>
      </c>
      <c r="D1145" t="s">
        <v>2024</v>
      </c>
      <c r="E1145" t="s">
        <v>3454</v>
      </c>
      <c r="F1145" t="s">
        <v>3455</v>
      </c>
      <c r="G1145">
        <v>2</v>
      </c>
      <c r="H1145">
        <v>1640</v>
      </c>
      <c r="I1145">
        <v>1</v>
      </c>
      <c r="J1145">
        <v>2.2000000000000002</v>
      </c>
      <c r="K1145">
        <v>1</v>
      </c>
      <c r="L1145">
        <v>5.5E-2</v>
      </c>
      <c r="M1145">
        <v>2</v>
      </c>
      <c r="N1145">
        <v>82</v>
      </c>
      <c r="O1145">
        <v>1</v>
      </c>
      <c r="P1145">
        <v>9.5000000000000001E-2</v>
      </c>
      <c r="Q1145">
        <v>1</v>
      </c>
      <c r="R1145">
        <v>1.5E-3</v>
      </c>
      <c r="T1145" s="8" t="s">
        <v>3454</v>
      </c>
    </row>
    <row r="1146" spans="1:20" x14ac:dyDescent="0.2">
      <c r="A1146" t="s">
        <v>3456</v>
      </c>
      <c r="B1146" t="s">
        <v>2022</v>
      </c>
      <c r="C1146" t="s">
        <v>2053</v>
      </c>
      <c r="D1146" t="s">
        <v>2024</v>
      </c>
      <c r="E1146" t="s">
        <v>3457</v>
      </c>
      <c r="F1146" t="s">
        <v>3458</v>
      </c>
      <c r="G1146">
        <v>5</v>
      </c>
      <c r="H1146">
        <v>1900</v>
      </c>
      <c r="I1146">
        <v>5</v>
      </c>
      <c r="J1146">
        <v>11.55</v>
      </c>
      <c r="K1146">
        <v>5</v>
      </c>
      <c r="L1146">
        <v>0.41499999999999998</v>
      </c>
      <c r="M1146">
        <v>4</v>
      </c>
      <c r="N1146">
        <v>103</v>
      </c>
      <c r="O1146">
        <v>5</v>
      </c>
      <c r="P1146">
        <v>0.67500000000000004</v>
      </c>
      <c r="Q1146">
        <v>5</v>
      </c>
      <c r="R1146">
        <v>2.6200000000000001E-2</v>
      </c>
      <c r="T1146" s="8" t="s">
        <v>3457</v>
      </c>
    </row>
    <row r="1147" spans="1:20" x14ac:dyDescent="0.2">
      <c r="A1147" t="s">
        <v>3459</v>
      </c>
      <c r="B1147" t="s">
        <v>2022</v>
      </c>
      <c r="C1147" t="s">
        <v>2036</v>
      </c>
      <c r="D1147" t="s">
        <v>2024</v>
      </c>
      <c r="E1147" t="s">
        <v>3460</v>
      </c>
      <c r="F1147" t="s">
        <v>3461</v>
      </c>
      <c r="G1147">
        <v>3</v>
      </c>
      <c r="H1147">
        <v>1740</v>
      </c>
      <c r="I1147">
        <v>2</v>
      </c>
      <c r="J1147">
        <v>3.4</v>
      </c>
      <c r="K1147">
        <v>1</v>
      </c>
      <c r="L1147">
        <v>5.5E-2</v>
      </c>
      <c r="M1147">
        <v>3</v>
      </c>
      <c r="N1147">
        <v>88</v>
      </c>
      <c r="O1147">
        <v>2</v>
      </c>
      <c r="P1147">
        <v>0.20499999999999999</v>
      </c>
      <c r="Q1147">
        <v>2</v>
      </c>
      <c r="R1147">
        <v>4.2500000000000003E-3</v>
      </c>
      <c r="T1147" s="8" t="s">
        <v>3460</v>
      </c>
    </row>
    <row r="1148" spans="1:20" x14ac:dyDescent="0.2">
      <c r="A1148" t="s">
        <v>3462</v>
      </c>
      <c r="B1148" t="s">
        <v>2022</v>
      </c>
      <c r="C1148" t="s">
        <v>2023</v>
      </c>
      <c r="D1148" t="s">
        <v>2024</v>
      </c>
      <c r="E1148" t="s">
        <v>3463</v>
      </c>
      <c r="F1148" t="s">
        <v>3464</v>
      </c>
      <c r="G1148">
        <v>1</v>
      </c>
      <c r="H1148">
        <v>1480</v>
      </c>
      <c r="I1148">
        <v>2</v>
      </c>
      <c r="J1148">
        <v>3.4</v>
      </c>
      <c r="K1148">
        <v>2</v>
      </c>
      <c r="L1148">
        <v>2.5999999999999999E-2</v>
      </c>
      <c r="M1148">
        <v>1</v>
      </c>
      <c r="N1148">
        <v>74</v>
      </c>
      <c r="O1148">
        <v>2</v>
      </c>
      <c r="P1148">
        <v>0.22500000000000001</v>
      </c>
      <c r="Q1148">
        <v>1</v>
      </c>
      <c r="R1148">
        <v>5.0000000000000001E-4</v>
      </c>
      <c r="T1148" s="8" t="s">
        <v>3463</v>
      </c>
    </row>
    <row r="1149" spans="1:20" x14ac:dyDescent="0.2">
      <c r="A1149" t="s">
        <v>3465</v>
      </c>
      <c r="B1149" t="s">
        <v>2022</v>
      </c>
      <c r="C1149" t="s">
        <v>2023</v>
      </c>
      <c r="D1149" t="s">
        <v>2024</v>
      </c>
      <c r="E1149" t="s">
        <v>3466</v>
      </c>
      <c r="F1149" t="s">
        <v>3467</v>
      </c>
      <c r="G1149">
        <v>5</v>
      </c>
      <c r="H1149">
        <v>1800</v>
      </c>
      <c r="I1149">
        <v>1</v>
      </c>
      <c r="J1149">
        <v>0.9</v>
      </c>
      <c r="K1149">
        <v>1</v>
      </c>
      <c r="L1149">
        <v>6.0000000000000001E-3</v>
      </c>
      <c r="M1149">
        <v>5</v>
      </c>
      <c r="N1149">
        <v>114</v>
      </c>
      <c r="O1149">
        <v>1</v>
      </c>
      <c r="P1149">
        <v>7.4999999999999997E-2</v>
      </c>
      <c r="Q1149">
        <v>1</v>
      </c>
      <c r="R1149">
        <v>5.0000000000000001E-4</v>
      </c>
      <c r="T1149" s="8" t="s">
        <v>3466</v>
      </c>
    </row>
    <row r="1150" spans="1:20" x14ac:dyDescent="0.2">
      <c r="A1150" t="s">
        <v>3468</v>
      </c>
      <c r="B1150" t="s">
        <v>2022</v>
      </c>
      <c r="C1150" t="s">
        <v>2028</v>
      </c>
      <c r="D1150" t="s">
        <v>2024</v>
      </c>
      <c r="E1150" t="s">
        <v>3469</v>
      </c>
      <c r="F1150" t="s">
        <v>3470</v>
      </c>
      <c r="G1150">
        <v>5</v>
      </c>
      <c r="H1150">
        <v>1450</v>
      </c>
      <c r="I1150">
        <v>5</v>
      </c>
      <c r="J1150">
        <v>6.65</v>
      </c>
      <c r="K1150">
        <v>5</v>
      </c>
      <c r="L1150">
        <v>0.26700000000000002</v>
      </c>
      <c r="M1150">
        <v>4</v>
      </c>
      <c r="N1150">
        <v>400</v>
      </c>
      <c r="O1150">
        <v>5</v>
      </c>
      <c r="P1150">
        <v>1.35</v>
      </c>
      <c r="Q1150">
        <v>5</v>
      </c>
      <c r="R1150">
        <v>3.3500000000000002E-2</v>
      </c>
      <c r="T1150" s="8" t="s">
        <v>3469</v>
      </c>
    </row>
    <row r="1151" spans="1:20" x14ac:dyDescent="0.2">
      <c r="A1151" t="s">
        <v>3471</v>
      </c>
      <c r="B1151" t="s">
        <v>2022</v>
      </c>
      <c r="C1151" t="s">
        <v>2257</v>
      </c>
      <c r="D1151" t="s">
        <v>2136</v>
      </c>
      <c r="E1151" t="s">
        <v>3472</v>
      </c>
      <c r="F1151" t="s">
        <v>3473</v>
      </c>
      <c r="G1151">
        <v>1</v>
      </c>
      <c r="H1151">
        <v>900</v>
      </c>
      <c r="I1151">
        <v>5</v>
      </c>
      <c r="J1151">
        <v>5.65</v>
      </c>
      <c r="K1151">
        <v>5</v>
      </c>
      <c r="L1151">
        <v>0.187</v>
      </c>
      <c r="M1151">
        <v>2</v>
      </c>
      <c r="N1151">
        <v>500</v>
      </c>
      <c r="O1151">
        <v>5</v>
      </c>
      <c r="P1151">
        <v>2.7</v>
      </c>
      <c r="Q1151">
        <v>5</v>
      </c>
      <c r="R1151">
        <v>8.1000000000000003E-2</v>
      </c>
      <c r="T1151" s="8" t="s">
        <v>3472</v>
      </c>
    </row>
    <row r="1152" spans="1:20" x14ac:dyDescent="0.2">
      <c r="A1152" t="s">
        <v>3474</v>
      </c>
      <c r="B1152" t="s">
        <v>2022</v>
      </c>
      <c r="C1152" t="s">
        <v>2222</v>
      </c>
      <c r="D1152" t="s">
        <v>2024</v>
      </c>
      <c r="E1152" t="s">
        <v>3475</v>
      </c>
      <c r="F1152" t="s">
        <v>3476</v>
      </c>
      <c r="G1152">
        <v>3</v>
      </c>
      <c r="H1152">
        <v>1650</v>
      </c>
      <c r="I1152">
        <v>5</v>
      </c>
      <c r="J1152">
        <v>8.6999999999999993</v>
      </c>
      <c r="K1152">
        <v>5</v>
      </c>
      <c r="L1152">
        <v>0.26500000000000001</v>
      </c>
      <c r="M1152">
        <v>1</v>
      </c>
      <c r="N1152">
        <v>59</v>
      </c>
      <c r="O1152">
        <v>4</v>
      </c>
      <c r="P1152">
        <v>0.31</v>
      </c>
      <c r="Q1152">
        <v>5</v>
      </c>
      <c r="R1152">
        <v>1.1299999999999999E-2</v>
      </c>
      <c r="T1152" s="8" t="s">
        <v>3475</v>
      </c>
    </row>
    <row r="1153" spans="1:20" x14ac:dyDescent="0.2">
      <c r="A1153" t="s">
        <v>3477</v>
      </c>
      <c r="B1153" t="s">
        <v>2022</v>
      </c>
      <c r="C1153" t="s">
        <v>2036</v>
      </c>
      <c r="D1153" t="s">
        <v>2024</v>
      </c>
      <c r="E1153" t="s">
        <v>3478</v>
      </c>
      <c r="F1153" t="s">
        <v>3479</v>
      </c>
      <c r="G1153">
        <v>4</v>
      </c>
      <c r="H1153">
        <v>1840</v>
      </c>
      <c r="I1153">
        <v>3</v>
      </c>
      <c r="J1153">
        <v>4.5999999999999996</v>
      </c>
      <c r="K1153">
        <v>4</v>
      </c>
      <c r="L1153">
        <v>0.14499999999999999</v>
      </c>
      <c r="M1153">
        <v>5</v>
      </c>
      <c r="N1153">
        <v>100</v>
      </c>
      <c r="O1153">
        <v>2</v>
      </c>
      <c r="P1153">
        <v>0.20499999999999999</v>
      </c>
      <c r="Q1153">
        <v>4</v>
      </c>
      <c r="R1153">
        <v>9.2499999999999995E-3</v>
      </c>
      <c r="T1153" s="8" t="s">
        <v>3478</v>
      </c>
    </row>
    <row r="1154" spans="1:20" x14ac:dyDescent="0.2">
      <c r="A1154" t="s">
        <v>3480</v>
      </c>
      <c r="B1154" t="s">
        <v>2022</v>
      </c>
      <c r="C1154" t="s">
        <v>2095</v>
      </c>
      <c r="D1154" t="s">
        <v>2024</v>
      </c>
      <c r="E1154" t="s">
        <v>3481</v>
      </c>
      <c r="F1154" t="s">
        <v>3482</v>
      </c>
      <c r="G1154">
        <v>2</v>
      </c>
      <c r="H1154">
        <v>1655</v>
      </c>
      <c r="I1154">
        <v>1</v>
      </c>
      <c r="J1154">
        <v>4.5</v>
      </c>
      <c r="K1154">
        <v>1</v>
      </c>
      <c r="L1154">
        <v>1.4999999999999999E-2</v>
      </c>
      <c r="M1154">
        <v>1</v>
      </c>
      <c r="N1154">
        <v>74</v>
      </c>
      <c r="O1154">
        <v>1</v>
      </c>
      <c r="P1154">
        <v>0.15</v>
      </c>
      <c r="Q1154">
        <v>1</v>
      </c>
      <c r="R1154">
        <v>6.9999999999999999E-4</v>
      </c>
      <c r="T1154" s="8" t="s">
        <v>3481</v>
      </c>
    </row>
    <row r="1155" spans="1:20" x14ac:dyDescent="0.2">
      <c r="A1155" t="s">
        <v>3483</v>
      </c>
      <c r="B1155" t="s">
        <v>2022</v>
      </c>
      <c r="C1155" t="s">
        <v>2101</v>
      </c>
      <c r="D1155" t="s">
        <v>2024</v>
      </c>
      <c r="E1155" t="s">
        <v>3484</v>
      </c>
      <c r="F1155" t="s">
        <v>3485</v>
      </c>
      <c r="G1155">
        <v>2</v>
      </c>
      <c r="H1155">
        <v>1670</v>
      </c>
      <c r="I1155">
        <v>2</v>
      </c>
      <c r="J1155">
        <v>5</v>
      </c>
      <c r="K1155">
        <v>2</v>
      </c>
      <c r="L1155">
        <v>9.6500000000000002E-2</v>
      </c>
      <c r="M1155">
        <v>1</v>
      </c>
      <c r="N1155">
        <v>66</v>
      </c>
      <c r="O1155">
        <v>2</v>
      </c>
      <c r="P1155">
        <v>0.22500000000000001</v>
      </c>
      <c r="Q1155">
        <v>1</v>
      </c>
      <c r="R1155">
        <v>5.0000000000000001E-4</v>
      </c>
      <c r="T1155" s="8" t="s">
        <v>3484</v>
      </c>
    </row>
    <row r="1156" spans="1:20" x14ac:dyDescent="0.2">
      <c r="A1156" t="s">
        <v>3486</v>
      </c>
      <c r="B1156" t="s">
        <v>2022</v>
      </c>
      <c r="C1156" t="s">
        <v>2095</v>
      </c>
      <c r="D1156" t="s">
        <v>2024</v>
      </c>
      <c r="E1156" t="s">
        <v>3487</v>
      </c>
      <c r="F1156" t="s">
        <v>3488</v>
      </c>
      <c r="G1156">
        <v>1</v>
      </c>
      <c r="H1156">
        <v>1565</v>
      </c>
      <c r="I1156">
        <v>1</v>
      </c>
      <c r="J1156">
        <v>4.5</v>
      </c>
      <c r="K1156">
        <v>1</v>
      </c>
      <c r="L1156">
        <v>1.4999999999999999E-2</v>
      </c>
      <c r="M1156">
        <v>1</v>
      </c>
      <c r="N1156">
        <v>74</v>
      </c>
      <c r="O1156">
        <v>2</v>
      </c>
      <c r="P1156">
        <v>0.35</v>
      </c>
      <c r="Q1156">
        <v>1</v>
      </c>
      <c r="R1156">
        <v>6.9999999999999999E-4</v>
      </c>
      <c r="T1156" s="8" t="s">
        <v>3487</v>
      </c>
    </row>
    <row r="1157" spans="1:20" x14ac:dyDescent="0.2">
      <c r="A1157" t="s">
        <v>3489</v>
      </c>
      <c r="B1157" t="s">
        <v>2022</v>
      </c>
      <c r="C1157" t="s">
        <v>2028</v>
      </c>
      <c r="D1157" t="s">
        <v>2024</v>
      </c>
      <c r="E1157" t="s">
        <v>3490</v>
      </c>
      <c r="F1157" t="s">
        <v>3491</v>
      </c>
      <c r="G1157">
        <v>5</v>
      </c>
      <c r="H1157">
        <v>1450</v>
      </c>
      <c r="I1157">
        <v>4</v>
      </c>
      <c r="J1157">
        <v>4.95</v>
      </c>
      <c r="K1157">
        <v>4</v>
      </c>
      <c r="L1157">
        <v>0.193</v>
      </c>
      <c r="M1157">
        <v>1</v>
      </c>
      <c r="N1157">
        <v>100</v>
      </c>
      <c r="O1157">
        <v>2</v>
      </c>
      <c r="P1157">
        <v>0.45</v>
      </c>
      <c r="Q1157">
        <v>2</v>
      </c>
      <c r="R1157">
        <v>7.7499999999999999E-3</v>
      </c>
      <c r="T1157" s="8" t="s">
        <v>3490</v>
      </c>
    </row>
    <row r="1158" spans="1:20" x14ac:dyDescent="0.2">
      <c r="A1158" t="s">
        <v>3492</v>
      </c>
      <c r="B1158" t="s">
        <v>2022</v>
      </c>
      <c r="C1158" t="s">
        <v>2036</v>
      </c>
      <c r="D1158" t="s">
        <v>2024</v>
      </c>
      <c r="E1158" t="s">
        <v>3493</v>
      </c>
      <c r="F1158" t="s">
        <v>3494</v>
      </c>
      <c r="G1158">
        <v>1</v>
      </c>
      <c r="H1158">
        <v>1540</v>
      </c>
      <c r="I1158">
        <v>3</v>
      </c>
      <c r="J1158">
        <v>4.5999999999999996</v>
      </c>
      <c r="K1158">
        <v>3</v>
      </c>
      <c r="L1158">
        <v>0.115</v>
      </c>
      <c r="M1158">
        <v>1</v>
      </c>
      <c r="N1158">
        <v>76</v>
      </c>
      <c r="O1158">
        <v>2</v>
      </c>
      <c r="P1158">
        <v>0.20499999999999999</v>
      </c>
      <c r="Q1158">
        <v>3</v>
      </c>
      <c r="R1158">
        <v>6.7499999999999999E-3</v>
      </c>
      <c r="T1158" s="8" t="s">
        <v>3493</v>
      </c>
    </row>
    <row r="1159" spans="1:20" x14ac:dyDescent="0.2">
      <c r="A1159" t="s">
        <v>3495</v>
      </c>
      <c r="B1159" t="s">
        <v>2022</v>
      </c>
      <c r="C1159" t="s">
        <v>2023</v>
      </c>
      <c r="D1159" t="s">
        <v>2024</v>
      </c>
      <c r="E1159" t="s">
        <v>3496</v>
      </c>
      <c r="F1159" t="s">
        <v>3497</v>
      </c>
      <c r="G1159">
        <v>5</v>
      </c>
      <c r="H1159">
        <v>1800</v>
      </c>
      <c r="I1159">
        <v>5</v>
      </c>
      <c r="J1159">
        <v>10.9</v>
      </c>
      <c r="K1159">
        <v>5</v>
      </c>
      <c r="L1159">
        <v>8.5999999999999993E-2</v>
      </c>
      <c r="M1159">
        <v>5</v>
      </c>
      <c r="N1159">
        <v>114</v>
      </c>
      <c r="O1159">
        <v>5</v>
      </c>
      <c r="P1159">
        <v>0.67500000000000004</v>
      </c>
      <c r="Q1159">
        <v>5</v>
      </c>
      <c r="R1159">
        <v>8.0000000000000002E-3</v>
      </c>
      <c r="T1159" s="8" t="s">
        <v>3496</v>
      </c>
    </row>
    <row r="1160" spans="1:20" x14ac:dyDescent="0.2">
      <c r="A1160" t="s">
        <v>3498</v>
      </c>
      <c r="B1160" t="s">
        <v>2022</v>
      </c>
      <c r="C1160" t="s">
        <v>2023</v>
      </c>
      <c r="D1160" t="s">
        <v>2024</v>
      </c>
      <c r="E1160" t="s">
        <v>3499</v>
      </c>
      <c r="F1160" t="s">
        <v>3500</v>
      </c>
      <c r="G1160">
        <v>2</v>
      </c>
      <c r="H1160">
        <v>1560</v>
      </c>
      <c r="I1160">
        <v>2</v>
      </c>
      <c r="J1160">
        <v>3.4</v>
      </c>
      <c r="K1160">
        <v>2</v>
      </c>
      <c r="L1160">
        <v>2.5999999999999999E-2</v>
      </c>
      <c r="M1160">
        <v>3</v>
      </c>
      <c r="N1160">
        <v>94</v>
      </c>
      <c r="O1160">
        <v>2</v>
      </c>
      <c r="P1160">
        <v>0.22500000000000001</v>
      </c>
      <c r="Q1160">
        <v>2</v>
      </c>
      <c r="R1160">
        <v>2E-3</v>
      </c>
      <c r="T1160" s="8" t="s">
        <v>3499</v>
      </c>
    </row>
    <row r="1161" spans="1:20" x14ac:dyDescent="0.2">
      <c r="A1161" t="s">
        <v>3501</v>
      </c>
      <c r="B1161" t="s">
        <v>2022</v>
      </c>
      <c r="C1161" t="s">
        <v>2053</v>
      </c>
      <c r="D1161" t="s">
        <v>2136</v>
      </c>
      <c r="E1161" t="s">
        <v>3502</v>
      </c>
      <c r="F1161" t="s">
        <v>3503</v>
      </c>
      <c r="G1161">
        <v>1</v>
      </c>
      <c r="H1161">
        <v>1500</v>
      </c>
      <c r="I1161">
        <v>1</v>
      </c>
      <c r="J1161">
        <v>1.55</v>
      </c>
      <c r="K1161">
        <v>1</v>
      </c>
      <c r="L1161">
        <v>1.4999999999999999E-2</v>
      </c>
      <c r="M1161">
        <v>1</v>
      </c>
      <c r="N1161">
        <v>73</v>
      </c>
      <c r="O1161">
        <v>1</v>
      </c>
      <c r="P1161">
        <v>7.4999999999999997E-2</v>
      </c>
      <c r="Q1161">
        <v>1</v>
      </c>
      <c r="R1161">
        <v>8.4999999999999995E-4</v>
      </c>
      <c r="T1161" s="8" t="s">
        <v>3502</v>
      </c>
    </row>
    <row r="1162" spans="1:20" x14ac:dyDescent="0.2">
      <c r="A1162" t="s">
        <v>3504</v>
      </c>
      <c r="B1162" t="s">
        <v>2022</v>
      </c>
      <c r="C1162" t="s">
        <v>2101</v>
      </c>
      <c r="D1162" t="s">
        <v>2024</v>
      </c>
      <c r="E1162" t="s">
        <v>261</v>
      </c>
      <c r="F1162" t="s">
        <v>447</v>
      </c>
      <c r="G1162">
        <v>5</v>
      </c>
      <c r="H1162">
        <v>1970</v>
      </c>
      <c r="I1162">
        <v>2</v>
      </c>
      <c r="J1162">
        <v>5</v>
      </c>
      <c r="K1162">
        <v>2</v>
      </c>
      <c r="L1162">
        <v>9.6500000000000002E-2</v>
      </c>
      <c r="M1162">
        <v>3</v>
      </c>
      <c r="N1162">
        <v>82</v>
      </c>
      <c r="O1162">
        <v>2</v>
      </c>
      <c r="P1162">
        <v>0.22500000000000001</v>
      </c>
      <c r="Q1162">
        <v>2</v>
      </c>
      <c r="R1162">
        <v>4.4999999999999997E-3</v>
      </c>
      <c r="T1162" s="8" t="s">
        <v>261</v>
      </c>
    </row>
    <row r="1163" spans="1:20" x14ac:dyDescent="0.2">
      <c r="A1163" t="s">
        <v>3505</v>
      </c>
      <c r="B1163" t="s">
        <v>2022</v>
      </c>
      <c r="C1163" t="s">
        <v>2101</v>
      </c>
      <c r="D1163" t="s">
        <v>2024</v>
      </c>
      <c r="E1163" t="s">
        <v>3506</v>
      </c>
      <c r="F1163" t="s">
        <v>447</v>
      </c>
      <c r="G1163">
        <v>5</v>
      </c>
      <c r="H1163">
        <v>1970</v>
      </c>
      <c r="I1163">
        <v>2</v>
      </c>
      <c r="J1163">
        <v>5</v>
      </c>
      <c r="K1163">
        <v>2</v>
      </c>
      <c r="L1163">
        <v>9.6500000000000002E-2</v>
      </c>
      <c r="M1163">
        <v>1</v>
      </c>
      <c r="N1163">
        <v>66</v>
      </c>
      <c r="O1163">
        <v>1</v>
      </c>
      <c r="P1163">
        <v>7.4999999999999997E-2</v>
      </c>
      <c r="Q1163">
        <v>2</v>
      </c>
      <c r="R1163">
        <v>4.4999999999999997E-3</v>
      </c>
      <c r="T1163" s="8" t="s">
        <v>3506</v>
      </c>
    </row>
    <row r="1164" spans="1:20" x14ac:dyDescent="0.2">
      <c r="A1164" t="s">
        <v>3507</v>
      </c>
      <c r="B1164" t="s">
        <v>2022</v>
      </c>
      <c r="C1164" t="s">
        <v>2106</v>
      </c>
      <c r="D1164" t="s">
        <v>2024</v>
      </c>
      <c r="E1164" t="s">
        <v>3508</v>
      </c>
      <c r="F1164" t="s">
        <v>447</v>
      </c>
      <c r="G1164">
        <v>5</v>
      </c>
      <c r="H1164">
        <v>2275</v>
      </c>
      <c r="I1164">
        <v>1</v>
      </c>
      <c r="J1164">
        <v>3.25</v>
      </c>
      <c r="K1164">
        <v>2</v>
      </c>
      <c r="L1164">
        <v>0.06</v>
      </c>
      <c r="M1164">
        <v>4</v>
      </c>
      <c r="N1164">
        <v>82.5</v>
      </c>
      <c r="O1164">
        <v>2</v>
      </c>
      <c r="P1164">
        <v>0.15</v>
      </c>
      <c r="Q1164">
        <v>2</v>
      </c>
      <c r="R1164">
        <v>2.5000000000000001E-3</v>
      </c>
      <c r="T1164" s="8" t="s">
        <v>3508</v>
      </c>
    </row>
    <row r="1165" spans="1:20" x14ac:dyDescent="0.2">
      <c r="A1165" t="s">
        <v>3509</v>
      </c>
      <c r="B1165" t="s">
        <v>2022</v>
      </c>
      <c r="C1165" t="s">
        <v>2023</v>
      </c>
      <c r="D1165" t="s">
        <v>2024</v>
      </c>
      <c r="E1165" t="s">
        <v>3510</v>
      </c>
      <c r="F1165" t="s">
        <v>447</v>
      </c>
      <c r="G1165">
        <v>3</v>
      </c>
      <c r="H1165">
        <v>1640</v>
      </c>
      <c r="I1165">
        <v>2</v>
      </c>
      <c r="J1165">
        <v>3.4</v>
      </c>
      <c r="K1165">
        <v>4</v>
      </c>
      <c r="L1165">
        <v>6.6000000000000003E-2</v>
      </c>
      <c r="M1165">
        <v>2</v>
      </c>
      <c r="N1165">
        <v>84</v>
      </c>
      <c r="O1165">
        <v>1</v>
      </c>
      <c r="P1165">
        <v>7.4999999999999997E-2</v>
      </c>
      <c r="Q1165">
        <v>3</v>
      </c>
      <c r="R1165">
        <v>4.0000000000000001E-3</v>
      </c>
      <c r="T1165" s="8" t="s">
        <v>3510</v>
      </c>
    </row>
    <row r="1166" spans="1:20" x14ac:dyDescent="0.2">
      <c r="A1166" t="s">
        <v>3511</v>
      </c>
      <c r="B1166" t="s">
        <v>2022</v>
      </c>
      <c r="C1166" t="s">
        <v>2053</v>
      </c>
      <c r="D1166" t="s">
        <v>2024</v>
      </c>
      <c r="E1166" t="s">
        <v>3512</v>
      </c>
      <c r="F1166" t="s">
        <v>447</v>
      </c>
      <c r="G1166">
        <v>5</v>
      </c>
      <c r="H1166">
        <v>1900</v>
      </c>
      <c r="I1166">
        <v>2</v>
      </c>
      <c r="J1166">
        <v>4.05</v>
      </c>
      <c r="K1166">
        <v>2</v>
      </c>
      <c r="L1166">
        <v>8.5000000000000006E-2</v>
      </c>
      <c r="M1166">
        <v>1</v>
      </c>
      <c r="N1166">
        <v>73</v>
      </c>
      <c r="O1166">
        <v>1</v>
      </c>
      <c r="P1166">
        <v>7.4999999999999997E-2</v>
      </c>
      <c r="Q1166">
        <v>2</v>
      </c>
      <c r="R1166">
        <v>5.1999999999999998E-3</v>
      </c>
      <c r="T1166" s="8" t="s">
        <v>3512</v>
      </c>
    </row>
    <row r="1167" spans="1:20" x14ac:dyDescent="0.2">
      <c r="A1167" t="s">
        <v>3513</v>
      </c>
      <c r="B1167" t="s">
        <v>2022</v>
      </c>
      <c r="C1167" t="s">
        <v>2036</v>
      </c>
      <c r="D1167" t="s">
        <v>2024</v>
      </c>
      <c r="E1167" t="s">
        <v>3514</v>
      </c>
      <c r="F1167" t="s">
        <v>447</v>
      </c>
      <c r="G1167">
        <v>1</v>
      </c>
      <c r="H1167">
        <v>1540</v>
      </c>
      <c r="I1167">
        <v>3</v>
      </c>
      <c r="J1167">
        <v>4.5999999999999996</v>
      </c>
      <c r="K1167">
        <v>5</v>
      </c>
      <c r="L1167">
        <v>0.17499999999999999</v>
      </c>
      <c r="M1167">
        <v>1</v>
      </c>
      <c r="N1167">
        <v>76</v>
      </c>
      <c r="O1167">
        <v>2</v>
      </c>
      <c r="P1167">
        <v>0.20499999999999999</v>
      </c>
      <c r="Q1167">
        <v>3</v>
      </c>
      <c r="R1167">
        <v>6.7499999999999999E-3</v>
      </c>
      <c r="T1167" s="8" t="s">
        <v>3514</v>
      </c>
    </row>
    <row r="1168" spans="1:20" x14ac:dyDescent="0.2">
      <c r="A1168" t="s">
        <v>3515</v>
      </c>
      <c r="B1168" t="s">
        <v>2022</v>
      </c>
      <c r="C1168" t="s">
        <v>2023</v>
      </c>
      <c r="D1168" t="s">
        <v>2024</v>
      </c>
      <c r="E1168" t="s">
        <v>3516</v>
      </c>
      <c r="F1168" t="s">
        <v>3517</v>
      </c>
      <c r="G1168">
        <v>3</v>
      </c>
      <c r="H1168">
        <v>1640</v>
      </c>
      <c r="I1168">
        <v>3</v>
      </c>
      <c r="J1168">
        <v>5.9</v>
      </c>
      <c r="K1168">
        <v>2</v>
      </c>
      <c r="L1168">
        <v>2.5999999999999999E-2</v>
      </c>
      <c r="M1168">
        <v>1</v>
      </c>
      <c r="N1168">
        <v>74</v>
      </c>
      <c r="O1168">
        <v>2</v>
      </c>
      <c r="P1168">
        <v>0.22500000000000001</v>
      </c>
      <c r="Q1168">
        <v>1</v>
      </c>
      <c r="R1168">
        <v>5.0000000000000001E-4</v>
      </c>
      <c r="T1168" s="8" t="s">
        <v>3516</v>
      </c>
    </row>
    <row r="1169" spans="1:20" x14ac:dyDescent="0.2">
      <c r="A1169" t="s">
        <v>3518</v>
      </c>
      <c r="B1169" t="s">
        <v>2022</v>
      </c>
      <c r="C1169" t="s">
        <v>2053</v>
      </c>
      <c r="D1169" t="s">
        <v>2024</v>
      </c>
      <c r="E1169" t="s">
        <v>3519</v>
      </c>
      <c r="F1169" t="s">
        <v>3520</v>
      </c>
      <c r="G1169">
        <v>1</v>
      </c>
      <c r="H1169">
        <v>1500</v>
      </c>
      <c r="I1169">
        <v>1</v>
      </c>
      <c r="J1169">
        <v>1.55</v>
      </c>
      <c r="K1169">
        <v>1</v>
      </c>
      <c r="L1169">
        <v>1.4999999999999999E-2</v>
      </c>
      <c r="M1169">
        <v>1</v>
      </c>
      <c r="N1169">
        <v>73</v>
      </c>
      <c r="O1169">
        <v>1</v>
      </c>
      <c r="P1169">
        <v>7.4999999999999997E-2</v>
      </c>
      <c r="Q1169">
        <v>1</v>
      </c>
      <c r="R1169">
        <v>8.4999999999999995E-4</v>
      </c>
      <c r="T1169" s="8" t="s">
        <v>3519</v>
      </c>
    </row>
    <row r="1170" spans="1:20" x14ac:dyDescent="0.2">
      <c r="A1170" t="s">
        <v>3521</v>
      </c>
      <c r="B1170" t="s">
        <v>2022</v>
      </c>
      <c r="C1170" t="s">
        <v>2023</v>
      </c>
      <c r="D1170" t="s">
        <v>2024</v>
      </c>
      <c r="E1170" t="s">
        <v>3522</v>
      </c>
      <c r="F1170" t="s">
        <v>3523</v>
      </c>
      <c r="G1170">
        <v>1</v>
      </c>
      <c r="H1170">
        <v>1480</v>
      </c>
      <c r="I1170">
        <v>1</v>
      </c>
      <c r="J1170">
        <v>0.9</v>
      </c>
      <c r="K1170">
        <v>1</v>
      </c>
      <c r="L1170">
        <v>6.0000000000000001E-3</v>
      </c>
      <c r="M1170">
        <v>2</v>
      </c>
      <c r="N1170">
        <v>84</v>
      </c>
      <c r="O1170">
        <v>1</v>
      </c>
      <c r="P1170">
        <v>7.4999999999999997E-2</v>
      </c>
      <c r="Q1170">
        <v>1</v>
      </c>
      <c r="R1170">
        <v>5.0000000000000001E-4</v>
      </c>
      <c r="T1170" s="8" t="s">
        <v>3522</v>
      </c>
    </row>
    <row r="1171" spans="1:20" x14ac:dyDescent="0.2">
      <c r="A1171" t="s">
        <v>3524</v>
      </c>
      <c r="B1171" t="s">
        <v>2022</v>
      </c>
      <c r="C1171" t="s">
        <v>2036</v>
      </c>
      <c r="D1171" t="s">
        <v>2024</v>
      </c>
      <c r="E1171" t="s">
        <v>3525</v>
      </c>
      <c r="F1171" t="s">
        <v>3526</v>
      </c>
      <c r="G1171">
        <v>4</v>
      </c>
      <c r="H1171">
        <v>1840</v>
      </c>
      <c r="I1171">
        <v>5</v>
      </c>
      <c r="J1171">
        <v>7</v>
      </c>
      <c r="K1171">
        <v>4</v>
      </c>
      <c r="L1171">
        <v>0.14499999999999999</v>
      </c>
      <c r="M1171">
        <v>4</v>
      </c>
      <c r="N1171">
        <v>94</v>
      </c>
      <c r="O1171">
        <v>5</v>
      </c>
      <c r="P1171">
        <v>0.53500000000000003</v>
      </c>
      <c r="Q1171">
        <v>3</v>
      </c>
      <c r="R1171">
        <v>6.7499999999999999E-3</v>
      </c>
      <c r="T1171" s="8" t="s">
        <v>3525</v>
      </c>
    </row>
    <row r="1172" spans="1:20" x14ac:dyDescent="0.2">
      <c r="A1172" t="s">
        <v>3527</v>
      </c>
      <c r="B1172" t="s">
        <v>2022</v>
      </c>
      <c r="C1172" t="s">
        <v>2023</v>
      </c>
      <c r="D1172" t="s">
        <v>2024</v>
      </c>
      <c r="E1172" t="s">
        <v>3528</v>
      </c>
      <c r="F1172" t="s">
        <v>3529</v>
      </c>
      <c r="G1172">
        <v>1</v>
      </c>
      <c r="H1172">
        <v>1480</v>
      </c>
      <c r="I1172">
        <v>1</v>
      </c>
      <c r="J1172">
        <v>0.9</v>
      </c>
      <c r="K1172">
        <v>1</v>
      </c>
      <c r="L1172">
        <v>6.0000000000000001E-3</v>
      </c>
      <c r="M1172">
        <v>1</v>
      </c>
      <c r="N1172">
        <v>74</v>
      </c>
      <c r="O1172">
        <v>1</v>
      </c>
      <c r="P1172">
        <v>7.4999999999999997E-2</v>
      </c>
      <c r="Q1172">
        <v>1</v>
      </c>
      <c r="R1172">
        <v>5.0000000000000001E-4</v>
      </c>
      <c r="T1172" s="8" t="s">
        <v>3528</v>
      </c>
    </row>
    <row r="1173" spans="1:20" x14ac:dyDescent="0.2">
      <c r="A1173" t="s">
        <v>3530</v>
      </c>
      <c r="B1173" t="s">
        <v>2022</v>
      </c>
      <c r="C1173" t="s">
        <v>2053</v>
      </c>
      <c r="D1173" t="s">
        <v>2024</v>
      </c>
      <c r="E1173" t="s">
        <v>3531</v>
      </c>
      <c r="F1173" t="s">
        <v>3532</v>
      </c>
      <c r="G1173">
        <v>3</v>
      </c>
      <c r="H1173">
        <v>1700</v>
      </c>
      <c r="I1173">
        <v>5</v>
      </c>
      <c r="J1173">
        <v>11.55</v>
      </c>
      <c r="K1173">
        <v>5</v>
      </c>
      <c r="L1173">
        <v>0.41499999999999998</v>
      </c>
      <c r="M1173">
        <v>2</v>
      </c>
      <c r="N1173">
        <v>83</v>
      </c>
      <c r="O1173">
        <v>5</v>
      </c>
      <c r="P1173">
        <v>0.67500000000000004</v>
      </c>
      <c r="Q1173">
        <v>5</v>
      </c>
      <c r="R1173">
        <v>2.6200000000000001E-2</v>
      </c>
      <c r="T1173" s="8" t="s">
        <v>3531</v>
      </c>
    </row>
    <row r="1174" spans="1:20" x14ac:dyDescent="0.2">
      <c r="A1174" t="s">
        <v>3533</v>
      </c>
      <c r="B1174" t="s">
        <v>2022</v>
      </c>
      <c r="C1174" t="s">
        <v>2023</v>
      </c>
      <c r="D1174" t="s">
        <v>2024</v>
      </c>
      <c r="E1174" t="s">
        <v>3534</v>
      </c>
      <c r="F1174" t="s">
        <v>3535</v>
      </c>
      <c r="G1174">
        <v>5</v>
      </c>
      <c r="H1174">
        <v>1800</v>
      </c>
      <c r="I1174">
        <v>2</v>
      </c>
      <c r="J1174">
        <v>3.4</v>
      </c>
      <c r="K1174">
        <v>5</v>
      </c>
      <c r="L1174">
        <v>8.5999999999999993E-2</v>
      </c>
      <c r="M1174">
        <v>3</v>
      </c>
      <c r="N1174">
        <v>94</v>
      </c>
      <c r="O1174">
        <v>2</v>
      </c>
      <c r="P1174">
        <v>0.22500000000000001</v>
      </c>
      <c r="Q1174">
        <v>3</v>
      </c>
      <c r="R1174">
        <v>4.0000000000000001E-3</v>
      </c>
      <c r="T1174" s="8" t="s">
        <v>3534</v>
      </c>
    </row>
    <row r="1175" spans="1:20" x14ac:dyDescent="0.2">
      <c r="A1175" t="s">
        <v>3536</v>
      </c>
      <c r="B1175" t="s">
        <v>2022</v>
      </c>
      <c r="C1175" t="s">
        <v>2023</v>
      </c>
      <c r="D1175" t="s">
        <v>2024</v>
      </c>
      <c r="E1175" t="s">
        <v>3537</v>
      </c>
      <c r="F1175" t="s">
        <v>3538</v>
      </c>
      <c r="G1175">
        <v>4</v>
      </c>
      <c r="H1175">
        <v>1720</v>
      </c>
      <c r="I1175">
        <v>2</v>
      </c>
      <c r="J1175">
        <v>3.4</v>
      </c>
      <c r="K1175">
        <v>2</v>
      </c>
      <c r="L1175">
        <v>2.5999999999999999E-2</v>
      </c>
      <c r="M1175">
        <v>4</v>
      </c>
      <c r="N1175">
        <v>104</v>
      </c>
      <c r="O1175">
        <v>1</v>
      </c>
      <c r="P1175">
        <v>7.4999999999999997E-2</v>
      </c>
      <c r="Q1175">
        <v>2</v>
      </c>
      <c r="R1175">
        <v>2E-3</v>
      </c>
      <c r="T1175" s="8" t="s">
        <v>3537</v>
      </c>
    </row>
    <row r="1176" spans="1:20" x14ac:dyDescent="0.2">
      <c r="A1176" t="s">
        <v>3539</v>
      </c>
      <c r="B1176" t="s">
        <v>2022</v>
      </c>
      <c r="C1176" t="s">
        <v>2101</v>
      </c>
      <c r="D1176" t="s">
        <v>2024</v>
      </c>
      <c r="E1176" t="s">
        <v>3540</v>
      </c>
      <c r="F1176" t="s">
        <v>3541</v>
      </c>
      <c r="G1176">
        <v>2</v>
      </c>
      <c r="H1176">
        <v>1670</v>
      </c>
      <c r="I1176">
        <v>1</v>
      </c>
      <c r="J1176">
        <v>2</v>
      </c>
      <c r="K1176">
        <v>1</v>
      </c>
      <c r="L1176">
        <v>1.15E-2</v>
      </c>
      <c r="M1176">
        <v>2</v>
      </c>
      <c r="N1176">
        <v>74</v>
      </c>
      <c r="O1176">
        <v>1</v>
      </c>
      <c r="P1176">
        <v>7.4999999999999997E-2</v>
      </c>
      <c r="Q1176">
        <v>1</v>
      </c>
      <c r="R1176">
        <v>5.0000000000000001E-4</v>
      </c>
      <c r="T1176" s="8" t="s">
        <v>3540</v>
      </c>
    </row>
    <row r="1177" spans="1:20" x14ac:dyDescent="0.2">
      <c r="A1177" t="s">
        <v>3542</v>
      </c>
      <c r="B1177" t="s">
        <v>2022</v>
      </c>
      <c r="C1177" t="s">
        <v>2036</v>
      </c>
      <c r="D1177" t="s">
        <v>2024</v>
      </c>
      <c r="E1177" t="s">
        <v>3540</v>
      </c>
      <c r="F1177" t="s">
        <v>3541</v>
      </c>
      <c r="G1177">
        <v>2</v>
      </c>
      <c r="H1177">
        <v>1640</v>
      </c>
      <c r="I1177">
        <v>2</v>
      </c>
      <c r="J1177">
        <v>3.4</v>
      </c>
      <c r="K1177">
        <v>2</v>
      </c>
      <c r="L1177">
        <v>8.5000000000000006E-2</v>
      </c>
      <c r="M1177">
        <v>2</v>
      </c>
      <c r="N1177">
        <v>82</v>
      </c>
      <c r="O1177">
        <v>1</v>
      </c>
      <c r="P1177">
        <v>9.5000000000000001E-2</v>
      </c>
      <c r="Q1177">
        <v>2</v>
      </c>
      <c r="R1177">
        <v>4.2500000000000003E-3</v>
      </c>
      <c r="T1177" s="8" t="s">
        <v>3540</v>
      </c>
    </row>
    <row r="1178" spans="1:20" x14ac:dyDescent="0.2">
      <c r="A1178" t="s">
        <v>3543</v>
      </c>
      <c r="B1178" t="s">
        <v>2022</v>
      </c>
      <c r="C1178" t="s">
        <v>2023</v>
      </c>
      <c r="D1178" t="s">
        <v>2024</v>
      </c>
      <c r="E1178" t="s">
        <v>3544</v>
      </c>
      <c r="F1178" t="s">
        <v>3545</v>
      </c>
      <c r="G1178">
        <v>1</v>
      </c>
      <c r="H1178">
        <v>1480</v>
      </c>
      <c r="I1178">
        <v>2</v>
      </c>
      <c r="J1178">
        <v>3.4</v>
      </c>
      <c r="K1178">
        <v>2</v>
      </c>
      <c r="L1178">
        <v>2.5999999999999999E-2</v>
      </c>
      <c r="M1178">
        <v>1</v>
      </c>
      <c r="N1178">
        <v>74</v>
      </c>
      <c r="O1178">
        <v>1</v>
      </c>
      <c r="P1178">
        <v>7.4999999999999997E-2</v>
      </c>
      <c r="Q1178">
        <v>1</v>
      </c>
      <c r="R1178">
        <v>5.0000000000000001E-4</v>
      </c>
      <c r="T1178" s="8" t="s">
        <v>3544</v>
      </c>
    </row>
    <row r="1179" spans="1:20" x14ac:dyDescent="0.2">
      <c r="A1179" t="s">
        <v>3546</v>
      </c>
      <c r="B1179" t="s">
        <v>2022</v>
      </c>
      <c r="C1179" t="s">
        <v>2023</v>
      </c>
      <c r="D1179" t="s">
        <v>2024</v>
      </c>
      <c r="E1179" t="s">
        <v>3547</v>
      </c>
      <c r="F1179" t="s">
        <v>3548</v>
      </c>
      <c r="G1179">
        <v>3</v>
      </c>
      <c r="H1179">
        <v>1640</v>
      </c>
      <c r="I1179">
        <v>2</v>
      </c>
      <c r="J1179">
        <v>3.4</v>
      </c>
      <c r="K1179">
        <v>2</v>
      </c>
      <c r="L1179">
        <v>2.5999999999999999E-2</v>
      </c>
      <c r="M1179">
        <v>2</v>
      </c>
      <c r="N1179">
        <v>84</v>
      </c>
      <c r="O1179">
        <v>2</v>
      </c>
      <c r="P1179">
        <v>0.22500000000000001</v>
      </c>
      <c r="Q1179">
        <v>2</v>
      </c>
      <c r="R1179">
        <v>2E-3</v>
      </c>
      <c r="T1179" s="8" t="s">
        <v>3547</v>
      </c>
    </row>
    <row r="1180" spans="1:20" x14ac:dyDescent="0.2">
      <c r="A1180" t="s">
        <v>3549</v>
      </c>
      <c r="B1180" t="s">
        <v>2022</v>
      </c>
      <c r="C1180" t="s">
        <v>2023</v>
      </c>
      <c r="D1180" t="s">
        <v>2024</v>
      </c>
      <c r="E1180" t="s">
        <v>3550</v>
      </c>
      <c r="F1180" t="s">
        <v>3551</v>
      </c>
      <c r="G1180">
        <v>3</v>
      </c>
      <c r="H1180">
        <v>1640</v>
      </c>
      <c r="I1180">
        <v>2</v>
      </c>
      <c r="J1180">
        <v>3.4</v>
      </c>
      <c r="K1180">
        <v>2</v>
      </c>
      <c r="L1180">
        <v>2.5999999999999999E-2</v>
      </c>
      <c r="M1180">
        <v>2</v>
      </c>
      <c r="N1180">
        <v>84</v>
      </c>
      <c r="O1180">
        <v>1</v>
      </c>
      <c r="P1180">
        <v>7.4999999999999997E-2</v>
      </c>
      <c r="Q1180">
        <v>2</v>
      </c>
      <c r="R1180">
        <v>2E-3</v>
      </c>
      <c r="T1180" s="8" t="s">
        <v>3550</v>
      </c>
    </row>
    <row r="1181" spans="1:20" x14ac:dyDescent="0.2">
      <c r="A1181" t="s">
        <v>3552</v>
      </c>
      <c r="B1181" t="s">
        <v>2022</v>
      </c>
      <c r="C1181" t="s">
        <v>2257</v>
      </c>
      <c r="D1181" t="s">
        <v>2024</v>
      </c>
      <c r="E1181" t="s">
        <v>3553</v>
      </c>
      <c r="F1181" t="s">
        <v>3554</v>
      </c>
      <c r="G1181">
        <v>1</v>
      </c>
      <c r="H1181">
        <v>900</v>
      </c>
      <c r="I1181">
        <v>3</v>
      </c>
      <c r="J1181">
        <v>3.05</v>
      </c>
      <c r="K1181">
        <v>4</v>
      </c>
      <c r="L1181">
        <v>0.13700000000000001</v>
      </c>
      <c r="M1181">
        <v>2</v>
      </c>
      <c r="N1181">
        <v>500</v>
      </c>
      <c r="O1181">
        <v>4</v>
      </c>
      <c r="P1181">
        <v>2.1</v>
      </c>
      <c r="Q1181">
        <v>5</v>
      </c>
      <c r="R1181">
        <v>8.1000000000000003E-2</v>
      </c>
      <c r="T1181" s="8" t="s">
        <v>3553</v>
      </c>
    </row>
    <row r="1182" spans="1:20" x14ac:dyDescent="0.2">
      <c r="A1182" t="s">
        <v>3555</v>
      </c>
      <c r="B1182" t="s">
        <v>2022</v>
      </c>
      <c r="C1182" t="s">
        <v>2101</v>
      </c>
      <c r="D1182" t="s">
        <v>2024</v>
      </c>
      <c r="E1182" t="s">
        <v>3556</v>
      </c>
      <c r="F1182" t="s">
        <v>3557</v>
      </c>
      <c r="G1182">
        <v>5</v>
      </c>
      <c r="H1182">
        <v>1970</v>
      </c>
      <c r="I1182">
        <v>3</v>
      </c>
      <c r="J1182">
        <v>8</v>
      </c>
      <c r="K1182">
        <v>3</v>
      </c>
      <c r="L1182">
        <v>0.24349999999999999</v>
      </c>
      <c r="M1182">
        <v>3</v>
      </c>
      <c r="N1182">
        <v>82</v>
      </c>
      <c r="O1182">
        <v>3</v>
      </c>
      <c r="P1182">
        <v>0.375</v>
      </c>
      <c r="Q1182">
        <v>3</v>
      </c>
      <c r="R1182">
        <v>1.15E-2</v>
      </c>
      <c r="T1182" s="8" t="s">
        <v>3556</v>
      </c>
    </row>
    <row r="1183" spans="1:20" x14ac:dyDescent="0.2">
      <c r="A1183" t="s">
        <v>3558</v>
      </c>
      <c r="B1183" t="s">
        <v>2022</v>
      </c>
      <c r="C1183" t="s">
        <v>2053</v>
      </c>
      <c r="D1183" t="s">
        <v>2024</v>
      </c>
      <c r="E1183" t="s">
        <v>3559</v>
      </c>
      <c r="F1183" t="s">
        <v>447</v>
      </c>
      <c r="G1183">
        <v>1</v>
      </c>
      <c r="H1183">
        <v>1500</v>
      </c>
      <c r="I1183">
        <v>2</v>
      </c>
      <c r="J1183">
        <v>4.05</v>
      </c>
      <c r="K1183">
        <v>2</v>
      </c>
      <c r="L1183">
        <v>8.5000000000000006E-2</v>
      </c>
      <c r="M1183">
        <v>1</v>
      </c>
      <c r="N1183">
        <v>73</v>
      </c>
      <c r="O1183">
        <v>2</v>
      </c>
      <c r="P1183">
        <v>0.22500000000000001</v>
      </c>
      <c r="Q1183">
        <v>2</v>
      </c>
      <c r="R1183">
        <v>5.1999999999999998E-3</v>
      </c>
      <c r="T1183" s="8" t="s">
        <v>3559</v>
      </c>
    </row>
    <row r="1184" spans="1:20" x14ac:dyDescent="0.2">
      <c r="A1184" t="s">
        <v>3560</v>
      </c>
      <c r="B1184" t="s">
        <v>2022</v>
      </c>
      <c r="C1184" t="s">
        <v>2023</v>
      </c>
      <c r="D1184" t="s">
        <v>2024</v>
      </c>
      <c r="E1184" t="s">
        <v>3561</v>
      </c>
      <c r="F1184" t="s">
        <v>3562</v>
      </c>
      <c r="G1184">
        <v>1</v>
      </c>
      <c r="H1184">
        <v>1480</v>
      </c>
      <c r="I1184">
        <v>1</v>
      </c>
      <c r="J1184">
        <v>0.9</v>
      </c>
      <c r="K1184">
        <v>2</v>
      </c>
      <c r="L1184">
        <v>2.5999999999999999E-2</v>
      </c>
      <c r="M1184">
        <v>2</v>
      </c>
      <c r="N1184">
        <v>84</v>
      </c>
      <c r="O1184">
        <v>1</v>
      </c>
      <c r="P1184">
        <v>7.4999999999999997E-2</v>
      </c>
      <c r="Q1184">
        <v>2</v>
      </c>
      <c r="R1184">
        <v>2E-3</v>
      </c>
      <c r="T1184" s="8" t="s">
        <v>3561</v>
      </c>
    </row>
    <row r="1185" spans="1:20" x14ac:dyDescent="0.2">
      <c r="A1185" t="s">
        <v>3563</v>
      </c>
      <c r="B1185" t="s">
        <v>2022</v>
      </c>
      <c r="C1185" t="s">
        <v>2036</v>
      </c>
      <c r="D1185" t="s">
        <v>2024</v>
      </c>
      <c r="E1185" t="s">
        <v>3564</v>
      </c>
      <c r="F1185" t="s">
        <v>3565</v>
      </c>
      <c r="G1185">
        <v>2</v>
      </c>
      <c r="H1185">
        <v>1640</v>
      </c>
      <c r="I1185">
        <v>2</v>
      </c>
      <c r="J1185">
        <v>3.4</v>
      </c>
      <c r="K1185">
        <v>2</v>
      </c>
      <c r="L1185">
        <v>8.5000000000000006E-2</v>
      </c>
      <c r="M1185">
        <v>2</v>
      </c>
      <c r="N1185">
        <v>82</v>
      </c>
      <c r="O1185">
        <v>1</v>
      </c>
      <c r="P1185">
        <v>9.5000000000000001E-2</v>
      </c>
      <c r="Q1185">
        <v>2</v>
      </c>
      <c r="R1185">
        <v>4.2500000000000003E-3</v>
      </c>
      <c r="T1185" s="8" t="s">
        <v>3564</v>
      </c>
    </row>
    <row r="1186" spans="1:20" x14ac:dyDescent="0.2">
      <c r="A1186" t="s">
        <v>3566</v>
      </c>
      <c r="B1186" t="s">
        <v>2022</v>
      </c>
      <c r="C1186" t="s">
        <v>2173</v>
      </c>
      <c r="D1186" t="s">
        <v>2024</v>
      </c>
      <c r="E1186" t="s">
        <v>3567</v>
      </c>
      <c r="F1186" t="s">
        <v>3568</v>
      </c>
      <c r="G1186">
        <v>5</v>
      </c>
      <c r="H1186">
        <v>2182.5</v>
      </c>
      <c r="I1186">
        <v>2</v>
      </c>
      <c r="J1186">
        <v>6.35</v>
      </c>
      <c r="K1186">
        <v>2</v>
      </c>
      <c r="L1186">
        <v>0.09</v>
      </c>
      <c r="M1186">
        <v>2</v>
      </c>
      <c r="N1186">
        <v>107.5</v>
      </c>
      <c r="O1186">
        <v>2</v>
      </c>
      <c r="P1186">
        <v>0.33</v>
      </c>
      <c r="Q1186">
        <v>2</v>
      </c>
      <c r="R1186">
        <v>4.7999999999999996E-3</v>
      </c>
      <c r="T1186" s="8" t="s">
        <v>3567</v>
      </c>
    </row>
    <row r="1187" spans="1:20" x14ac:dyDescent="0.2">
      <c r="A1187" t="s">
        <v>3569</v>
      </c>
      <c r="B1187" t="s">
        <v>2022</v>
      </c>
      <c r="C1187" t="s">
        <v>2023</v>
      </c>
      <c r="D1187" t="s">
        <v>2024</v>
      </c>
      <c r="E1187" t="s">
        <v>290</v>
      </c>
      <c r="F1187" t="s">
        <v>3570</v>
      </c>
      <c r="G1187">
        <v>2</v>
      </c>
      <c r="H1187">
        <v>1560</v>
      </c>
      <c r="I1187">
        <v>1</v>
      </c>
      <c r="J1187">
        <v>0.9</v>
      </c>
      <c r="K1187">
        <v>1</v>
      </c>
      <c r="L1187">
        <v>6.0000000000000001E-3</v>
      </c>
      <c r="M1187">
        <v>1</v>
      </c>
      <c r="N1187">
        <v>74</v>
      </c>
      <c r="O1187">
        <v>1</v>
      </c>
      <c r="P1187">
        <v>7.4999999999999997E-2</v>
      </c>
      <c r="Q1187">
        <v>1</v>
      </c>
      <c r="R1187">
        <v>5.0000000000000001E-4</v>
      </c>
      <c r="T1187" s="8" t="s">
        <v>290</v>
      </c>
    </row>
    <row r="1188" spans="1:20" x14ac:dyDescent="0.2">
      <c r="A1188" t="s">
        <v>3571</v>
      </c>
      <c r="B1188" t="s">
        <v>2022</v>
      </c>
      <c r="C1188" t="s">
        <v>2053</v>
      </c>
      <c r="D1188" t="s">
        <v>2154</v>
      </c>
      <c r="E1188" t="s">
        <v>3572</v>
      </c>
      <c r="F1188" t="s">
        <v>3573</v>
      </c>
      <c r="G1188">
        <v>1</v>
      </c>
      <c r="H1188">
        <v>1500</v>
      </c>
      <c r="I1188">
        <v>2</v>
      </c>
      <c r="J1188">
        <v>4.05</v>
      </c>
      <c r="K1188">
        <v>3</v>
      </c>
      <c r="L1188">
        <v>0.19500000000000001</v>
      </c>
      <c r="M1188">
        <v>5</v>
      </c>
      <c r="N1188">
        <v>113</v>
      </c>
      <c r="O1188">
        <v>5</v>
      </c>
      <c r="P1188">
        <v>0.67500000000000004</v>
      </c>
      <c r="Q1188">
        <v>5</v>
      </c>
      <c r="R1188">
        <v>2.6200000000000001E-2</v>
      </c>
      <c r="T1188" s="8" t="s">
        <v>3572</v>
      </c>
    </row>
    <row r="1189" spans="1:20" x14ac:dyDescent="0.2">
      <c r="A1189" t="s">
        <v>3574</v>
      </c>
      <c r="B1189" t="s">
        <v>2022</v>
      </c>
      <c r="C1189" t="s">
        <v>2023</v>
      </c>
      <c r="D1189" t="s">
        <v>2024</v>
      </c>
      <c r="E1189" t="s">
        <v>3575</v>
      </c>
      <c r="F1189" t="s">
        <v>3576</v>
      </c>
      <c r="G1189">
        <v>3</v>
      </c>
      <c r="H1189">
        <v>1640</v>
      </c>
      <c r="I1189">
        <v>3</v>
      </c>
      <c r="J1189">
        <v>5.9</v>
      </c>
      <c r="K1189">
        <v>5</v>
      </c>
      <c r="L1189">
        <v>8.5999999999999993E-2</v>
      </c>
      <c r="M1189">
        <v>2</v>
      </c>
      <c r="N1189">
        <v>84</v>
      </c>
      <c r="O1189">
        <v>3</v>
      </c>
      <c r="P1189">
        <v>0.375</v>
      </c>
      <c r="Q1189">
        <v>5</v>
      </c>
      <c r="R1189">
        <v>8.0000000000000002E-3</v>
      </c>
      <c r="T1189" s="8" t="s">
        <v>3575</v>
      </c>
    </row>
    <row r="1190" spans="1:20" x14ac:dyDescent="0.2">
      <c r="A1190" t="s">
        <v>3577</v>
      </c>
      <c r="B1190" t="s">
        <v>2022</v>
      </c>
      <c r="C1190" t="s">
        <v>2023</v>
      </c>
      <c r="D1190" t="s">
        <v>2024</v>
      </c>
      <c r="E1190" t="s">
        <v>3575</v>
      </c>
      <c r="F1190" t="s">
        <v>3576</v>
      </c>
      <c r="G1190">
        <v>5</v>
      </c>
      <c r="H1190">
        <v>1800</v>
      </c>
      <c r="I1190">
        <v>5</v>
      </c>
      <c r="J1190">
        <v>10.9</v>
      </c>
      <c r="K1190">
        <v>5</v>
      </c>
      <c r="L1190">
        <v>8.5999999999999993E-2</v>
      </c>
      <c r="M1190">
        <v>3</v>
      </c>
      <c r="N1190">
        <v>94</v>
      </c>
      <c r="O1190">
        <v>5</v>
      </c>
      <c r="P1190">
        <v>0.67500000000000004</v>
      </c>
      <c r="Q1190">
        <v>5</v>
      </c>
      <c r="R1190">
        <v>8.0000000000000002E-3</v>
      </c>
      <c r="T1190" s="8" t="s">
        <v>3575</v>
      </c>
    </row>
    <row r="1191" spans="1:20" x14ac:dyDescent="0.2">
      <c r="A1191" t="s">
        <v>3578</v>
      </c>
      <c r="B1191" t="s">
        <v>2022</v>
      </c>
      <c r="C1191" t="s">
        <v>2023</v>
      </c>
      <c r="D1191" t="s">
        <v>2024</v>
      </c>
      <c r="E1191" t="s">
        <v>3579</v>
      </c>
      <c r="F1191" t="s">
        <v>3580</v>
      </c>
      <c r="G1191">
        <v>1</v>
      </c>
      <c r="H1191">
        <v>1480</v>
      </c>
      <c r="I1191">
        <v>1</v>
      </c>
      <c r="J1191">
        <v>0.9</v>
      </c>
      <c r="K1191">
        <v>1</v>
      </c>
      <c r="L1191">
        <v>6.0000000000000001E-3</v>
      </c>
      <c r="M1191">
        <v>4</v>
      </c>
      <c r="N1191">
        <v>104</v>
      </c>
      <c r="O1191">
        <v>2</v>
      </c>
      <c r="P1191">
        <v>0.22500000000000001</v>
      </c>
      <c r="Q1191">
        <v>1</v>
      </c>
      <c r="R1191">
        <v>5.0000000000000001E-4</v>
      </c>
      <c r="T1191" s="8" t="s">
        <v>3579</v>
      </c>
    </row>
    <row r="1192" spans="1:20" x14ac:dyDescent="0.2">
      <c r="A1192" t="s">
        <v>3581</v>
      </c>
      <c r="B1192" t="s">
        <v>2022</v>
      </c>
      <c r="C1192" t="s">
        <v>2023</v>
      </c>
      <c r="D1192" t="s">
        <v>2024</v>
      </c>
      <c r="E1192" t="s">
        <v>3582</v>
      </c>
      <c r="F1192" t="s">
        <v>3583</v>
      </c>
      <c r="G1192">
        <v>2</v>
      </c>
      <c r="H1192">
        <v>1560</v>
      </c>
      <c r="I1192">
        <v>3</v>
      </c>
      <c r="J1192">
        <v>5.9</v>
      </c>
      <c r="K1192">
        <v>5</v>
      </c>
      <c r="L1192">
        <v>8.5999999999999993E-2</v>
      </c>
      <c r="M1192">
        <v>3</v>
      </c>
      <c r="N1192">
        <v>94</v>
      </c>
      <c r="O1192">
        <v>3</v>
      </c>
      <c r="P1192">
        <v>0.375</v>
      </c>
      <c r="Q1192">
        <v>4</v>
      </c>
      <c r="R1192">
        <v>6.0000000000000001E-3</v>
      </c>
      <c r="T1192" s="8" t="s">
        <v>3582</v>
      </c>
    </row>
    <row r="1193" spans="1:20" x14ac:dyDescent="0.2">
      <c r="A1193" t="s">
        <v>3584</v>
      </c>
      <c r="B1193" t="s">
        <v>2022</v>
      </c>
      <c r="C1193" t="s">
        <v>2023</v>
      </c>
      <c r="D1193" t="s">
        <v>2136</v>
      </c>
      <c r="E1193" t="s">
        <v>3585</v>
      </c>
      <c r="F1193" t="s">
        <v>3586</v>
      </c>
      <c r="G1193">
        <v>3</v>
      </c>
      <c r="H1193">
        <v>1640</v>
      </c>
      <c r="I1193">
        <v>5</v>
      </c>
      <c r="J1193">
        <v>10.9</v>
      </c>
      <c r="K1193">
        <v>5</v>
      </c>
      <c r="L1193">
        <v>8.5999999999999993E-2</v>
      </c>
      <c r="M1193">
        <v>3</v>
      </c>
      <c r="N1193">
        <v>94</v>
      </c>
      <c r="O1193">
        <v>5</v>
      </c>
      <c r="P1193">
        <v>0.67500000000000004</v>
      </c>
      <c r="Q1193">
        <v>5</v>
      </c>
      <c r="R1193">
        <v>8.0000000000000002E-3</v>
      </c>
      <c r="T1193" s="8" t="s">
        <v>3585</v>
      </c>
    </row>
    <row r="1194" spans="1:20" x14ac:dyDescent="0.2">
      <c r="A1194" t="s">
        <v>3587</v>
      </c>
      <c r="B1194" t="s">
        <v>2022</v>
      </c>
      <c r="C1194" t="s">
        <v>2023</v>
      </c>
      <c r="D1194" t="s">
        <v>2136</v>
      </c>
      <c r="E1194" t="s">
        <v>3585</v>
      </c>
      <c r="F1194" t="s">
        <v>3586</v>
      </c>
      <c r="G1194">
        <v>5</v>
      </c>
      <c r="H1194">
        <v>1800</v>
      </c>
      <c r="I1194">
        <v>5</v>
      </c>
      <c r="J1194">
        <v>10.9</v>
      </c>
      <c r="K1194">
        <v>5</v>
      </c>
      <c r="L1194">
        <v>8.5999999999999993E-2</v>
      </c>
      <c r="M1194">
        <v>3</v>
      </c>
      <c r="N1194">
        <v>94</v>
      </c>
      <c r="O1194">
        <v>4</v>
      </c>
      <c r="P1194">
        <v>0.52500000000000002</v>
      </c>
      <c r="Q1194">
        <v>5</v>
      </c>
      <c r="R1194">
        <v>8.0000000000000002E-3</v>
      </c>
      <c r="T1194" s="8" t="s">
        <v>3585</v>
      </c>
    </row>
    <row r="1195" spans="1:20" x14ac:dyDescent="0.2">
      <c r="A1195" t="s">
        <v>3588</v>
      </c>
      <c r="B1195" t="s">
        <v>2022</v>
      </c>
      <c r="C1195" t="s">
        <v>2023</v>
      </c>
      <c r="D1195" t="s">
        <v>2136</v>
      </c>
      <c r="E1195" t="s">
        <v>3585</v>
      </c>
      <c r="F1195" t="s">
        <v>3586</v>
      </c>
      <c r="G1195">
        <v>4</v>
      </c>
      <c r="H1195">
        <v>1720</v>
      </c>
      <c r="I1195">
        <v>4</v>
      </c>
      <c r="J1195">
        <v>8.4</v>
      </c>
      <c r="K1195">
        <v>2</v>
      </c>
      <c r="L1195">
        <v>2.5999999999999999E-2</v>
      </c>
      <c r="M1195">
        <v>3</v>
      </c>
      <c r="N1195">
        <v>94</v>
      </c>
      <c r="O1195">
        <v>3</v>
      </c>
      <c r="P1195">
        <v>0.375</v>
      </c>
      <c r="Q1195">
        <v>2</v>
      </c>
      <c r="R1195">
        <v>2E-3</v>
      </c>
      <c r="T1195" s="8" t="s">
        <v>3585</v>
      </c>
    </row>
    <row r="1196" spans="1:20" x14ac:dyDescent="0.2">
      <c r="A1196" t="s">
        <v>3589</v>
      </c>
      <c r="B1196" t="s">
        <v>2022</v>
      </c>
      <c r="C1196" t="s">
        <v>2023</v>
      </c>
      <c r="D1196" t="s">
        <v>2136</v>
      </c>
      <c r="E1196" t="s">
        <v>3585</v>
      </c>
      <c r="F1196" t="s">
        <v>3586</v>
      </c>
      <c r="G1196">
        <v>5</v>
      </c>
      <c r="H1196">
        <v>1800</v>
      </c>
      <c r="I1196">
        <v>5</v>
      </c>
      <c r="J1196">
        <v>10.9</v>
      </c>
      <c r="K1196">
        <v>2</v>
      </c>
      <c r="L1196">
        <v>2.5999999999999999E-2</v>
      </c>
      <c r="M1196">
        <v>4</v>
      </c>
      <c r="N1196">
        <v>104</v>
      </c>
      <c r="O1196">
        <v>5</v>
      </c>
      <c r="P1196">
        <v>0.67500000000000004</v>
      </c>
      <c r="Q1196">
        <v>2</v>
      </c>
      <c r="R1196">
        <v>2E-3</v>
      </c>
      <c r="T1196" s="8" t="s">
        <v>3585</v>
      </c>
    </row>
    <row r="1197" spans="1:20" x14ac:dyDescent="0.2">
      <c r="A1197" t="s">
        <v>3590</v>
      </c>
      <c r="B1197" t="s">
        <v>2022</v>
      </c>
      <c r="C1197" t="s">
        <v>2023</v>
      </c>
      <c r="D1197" t="s">
        <v>2136</v>
      </c>
      <c r="E1197" t="s">
        <v>3591</v>
      </c>
      <c r="F1197" t="s">
        <v>3592</v>
      </c>
      <c r="G1197">
        <v>1</v>
      </c>
      <c r="H1197">
        <v>1480</v>
      </c>
      <c r="I1197">
        <v>2</v>
      </c>
      <c r="J1197">
        <v>3.4</v>
      </c>
      <c r="K1197">
        <v>5</v>
      </c>
      <c r="L1197">
        <v>8.5999999999999993E-2</v>
      </c>
      <c r="M1197">
        <v>2</v>
      </c>
      <c r="N1197">
        <v>84</v>
      </c>
      <c r="O1197">
        <v>2</v>
      </c>
      <c r="P1197">
        <v>0.22500000000000001</v>
      </c>
      <c r="Q1197">
        <v>4</v>
      </c>
      <c r="R1197">
        <v>6.0000000000000001E-3</v>
      </c>
      <c r="T1197" s="8" t="s">
        <v>3591</v>
      </c>
    </row>
    <row r="1198" spans="1:20" x14ac:dyDescent="0.2">
      <c r="A1198" t="s">
        <v>3593</v>
      </c>
      <c r="B1198" t="s">
        <v>2022</v>
      </c>
      <c r="C1198" t="s">
        <v>2023</v>
      </c>
      <c r="D1198" t="s">
        <v>2024</v>
      </c>
      <c r="E1198" t="s">
        <v>3594</v>
      </c>
      <c r="F1198" t="s">
        <v>3595</v>
      </c>
      <c r="G1198">
        <v>1</v>
      </c>
      <c r="H1198">
        <v>1480</v>
      </c>
      <c r="I1198">
        <v>3</v>
      </c>
      <c r="J1198">
        <v>5.9</v>
      </c>
      <c r="K1198">
        <v>5</v>
      </c>
      <c r="L1198">
        <v>8.5999999999999993E-2</v>
      </c>
      <c r="M1198">
        <v>1</v>
      </c>
      <c r="N1198">
        <v>74</v>
      </c>
      <c r="O1198">
        <v>3</v>
      </c>
      <c r="P1198">
        <v>0.375</v>
      </c>
      <c r="Q1198">
        <v>5</v>
      </c>
      <c r="R1198">
        <v>8.0000000000000002E-3</v>
      </c>
      <c r="T1198" s="8" t="s">
        <v>3594</v>
      </c>
    </row>
    <row r="1199" spans="1:20" x14ac:dyDescent="0.2">
      <c r="A1199" t="s">
        <v>3596</v>
      </c>
      <c r="B1199" t="s">
        <v>2022</v>
      </c>
      <c r="C1199" t="s">
        <v>2023</v>
      </c>
      <c r="D1199" t="s">
        <v>2024</v>
      </c>
      <c r="E1199" t="s">
        <v>226</v>
      </c>
      <c r="F1199" t="s">
        <v>3597</v>
      </c>
      <c r="G1199">
        <v>1</v>
      </c>
      <c r="H1199">
        <v>1480</v>
      </c>
      <c r="I1199">
        <v>2</v>
      </c>
      <c r="J1199">
        <v>3.4</v>
      </c>
      <c r="K1199">
        <v>1</v>
      </c>
      <c r="L1199">
        <v>6.0000000000000001E-3</v>
      </c>
      <c r="M1199">
        <v>2</v>
      </c>
      <c r="N1199">
        <v>84</v>
      </c>
      <c r="O1199">
        <v>1</v>
      </c>
      <c r="P1199">
        <v>7.4999999999999997E-2</v>
      </c>
      <c r="Q1199">
        <v>1</v>
      </c>
      <c r="R1199">
        <v>5.0000000000000001E-4</v>
      </c>
      <c r="T1199" s="8" t="s">
        <v>226</v>
      </c>
    </row>
    <row r="1200" spans="1:20" x14ac:dyDescent="0.2">
      <c r="A1200" t="s">
        <v>3598</v>
      </c>
      <c r="B1200" t="s">
        <v>2022</v>
      </c>
      <c r="C1200" t="s">
        <v>2101</v>
      </c>
      <c r="D1200" t="s">
        <v>2024</v>
      </c>
      <c r="E1200" t="s">
        <v>3599</v>
      </c>
      <c r="F1200" t="s">
        <v>3600</v>
      </c>
      <c r="G1200">
        <v>2</v>
      </c>
      <c r="H1200">
        <v>1670</v>
      </c>
      <c r="I1200">
        <v>1</v>
      </c>
      <c r="J1200">
        <v>2</v>
      </c>
      <c r="K1200">
        <v>2</v>
      </c>
      <c r="L1200">
        <v>9.6500000000000002E-2</v>
      </c>
      <c r="M1200">
        <v>5</v>
      </c>
      <c r="N1200">
        <v>98</v>
      </c>
      <c r="O1200">
        <v>2</v>
      </c>
      <c r="P1200">
        <v>0.22500000000000001</v>
      </c>
      <c r="Q1200">
        <v>2</v>
      </c>
      <c r="R1200">
        <v>4.4999999999999997E-3</v>
      </c>
      <c r="T1200" s="8" t="s">
        <v>3599</v>
      </c>
    </row>
    <row r="1201" spans="1:20" x14ac:dyDescent="0.2">
      <c r="A1201" t="s">
        <v>3601</v>
      </c>
      <c r="B1201" t="s">
        <v>2022</v>
      </c>
      <c r="C1201" t="s">
        <v>2036</v>
      </c>
      <c r="D1201" t="s">
        <v>2024</v>
      </c>
      <c r="E1201" t="s">
        <v>3602</v>
      </c>
      <c r="F1201" t="s">
        <v>3603</v>
      </c>
      <c r="G1201">
        <v>2</v>
      </c>
      <c r="H1201">
        <v>1640</v>
      </c>
      <c r="I1201">
        <v>2</v>
      </c>
      <c r="J1201">
        <v>3.4</v>
      </c>
      <c r="K1201">
        <v>2</v>
      </c>
      <c r="L1201">
        <v>8.5000000000000006E-2</v>
      </c>
      <c r="M1201">
        <v>4</v>
      </c>
      <c r="N1201">
        <v>94</v>
      </c>
      <c r="O1201">
        <v>2</v>
      </c>
      <c r="P1201">
        <v>0.20499999999999999</v>
      </c>
      <c r="Q1201">
        <v>2</v>
      </c>
      <c r="R1201">
        <v>4.2500000000000003E-3</v>
      </c>
      <c r="T1201" s="8" t="s">
        <v>3602</v>
      </c>
    </row>
    <row r="1202" spans="1:20" x14ac:dyDescent="0.2">
      <c r="A1202" t="s">
        <v>3604</v>
      </c>
      <c r="B1202" t="s">
        <v>2022</v>
      </c>
      <c r="C1202" t="s">
        <v>2023</v>
      </c>
      <c r="D1202" t="s">
        <v>2024</v>
      </c>
      <c r="E1202" t="s">
        <v>3605</v>
      </c>
      <c r="F1202" t="s">
        <v>3606</v>
      </c>
      <c r="G1202">
        <v>5</v>
      </c>
      <c r="H1202">
        <v>1800</v>
      </c>
      <c r="I1202">
        <v>3</v>
      </c>
      <c r="J1202">
        <v>5.9</v>
      </c>
      <c r="K1202">
        <v>4</v>
      </c>
      <c r="L1202">
        <v>6.6000000000000003E-2</v>
      </c>
      <c r="M1202">
        <v>5</v>
      </c>
      <c r="N1202">
        <v>114</v>
      </c>
      <c r="O1202">
        <v>3</v>
      </c>
      <c r="P1202">
        <v>0.375</v>
      </c>
      <c r="Q1202">
        <v>3</v>
      </c>
      <c r="R1202">
        <v>4.0000000000000001E-3</v>
      </c>
      <c r="T1202" s="8" t="s">
        <v>3605</v>
      </c>
    </row>
    <row r="1203" spans="1:20" x14ac:dyDescent="0.2">
      <c r="A1203" t="s">
        <v>3607</v>
      </c>
      <c r="B1203" t="s">
        <v>2022</v>
      </c>
      <c r="C1203" t="s">
        <v>2053</v>
      </c>
      <c r="D1203" t="s">
        <v>2024</v>
      </c>
      <c r="E1203" t="s">
        <v>3608</v>
      </c>
      <c r="F1203" t="s">
        <v>3609</v>
      </c>
      <c r="G1203">
        <v>3</v>
      </c>
      <c r="H1203">
        <v>1700</v>
      </c>
      <c r="I1203">
        <v>3</v>
      </c>
      <c r="J1203">
        <v>6.55</v>
      </c>
      <c r="K1203">
        <v>3</v>
      </c>
      <c r="L1203">
        <v>0.19500000000000001</v>
      </c>
      <c r="M1203">
        <v>5</v>
      </c>
      <c r="N1203">
        <v>113</v>
      </c>
      <c r="O1203">
        <v>4</v>
      </c>
      <c r="P1203">
        <v>0.52500000000000002</v>
      </c>
      <c r="Q1203">
        <v>4</v>
      </c>
      <c r="R1203">
        <v>1.9199999999999998E-2</v>
      </c>
      <c r="T1203" s="8" t="s">
        <v>3608</v>
      </c>
    </row>
    <row r="1204" spans="1:20" x14ac:dyDescent="0.2">
      <c r="A1204" t="s">
        <v>3610</v>
      </c>
      <c r="B1204" t="s">
        <v>2022</v>
      </c>
      <c r="C1204" t="s">
        <v>2095</v>
      </c>
      <c r="D1204" t="s">
        <v>2024</v>
      </c>
      <c r="E1204" t="s">
        <v>3611</v>
      </c>
      <c r="F1204" t="s">
        <v>3612</v>
      </c>
      <c r="G1204">
        <v>5</v>
      </c>
      <c r="H1204">
        <v>1925</v>
      </c>
      <c r="I1204">
        <v>5</v>
      </c>
      <c r="J1204">
        <v>16.5</v>
      </c>
      <c r="K1204">
        <v>4</v>
      </c>
      <c r="L1204">
        <v>0.53</v>
      </c>
      <c r="M1204">
        <v>4</v>
      </c>
      <c r="N1204">
        <v>92</v>
      </c>
      <c r="O1204">
        <v>4</v>
      </c>
      <c r="P1204">
        <v>0.75</v>
      </c>
      <c r="Q1204">
        <v>4</v>
      </c>
      <c r="R1204">
        <v>2.3900000000000001E-2</v>
      </c>
      <c r="T1204" s="8" t="s">
        <v>3611</v>
      </c>
    </row>
    <row r="1205" spans="1:20" x14ac:dyDescent="0.2">
      <c r="A1205" t="s">
        <v>3613</v>
      </c>
      <c r="B1205" t="s">
        <v>2022</v>
      </c>
      <c r="C1205" t="s">
        <v>2095</v>
      </c>
      <c r="D1205" t="s">
        <v>2024</v>
      </c>
      <c r="E1205" t="s">
        <v>3614</v>
      </c>
      <c r="F1205" t="s">
        <v>3615</v>
      </c>
      <c r="G1205">
        <v>4</v>
      </c>
      <c r="H1205">
        <v>1835</v>
      </c>
      <c r="I1205">
        <v>1</v>
      </c>
      <c r="J1205">
        <v>4.5</v>
      </c>
      <c r="K1205">
        <v>1</v>
      </c>
      <c r="L1205">
        <v>1.4999999999999999E-2</v>
      </c>
      <c r="M1205">
        <v>5</v>
      </c>
      <c r="N1205">
        <v>98</v>
      </c>
      <c r="O1205">
        <v>1</v>
      </c>
      <c r="P1205">
        <v>0.15</v>
      </c>
      <c r="Q1205">
        <v>1</v>
      </c>
      <c r="R1205">
        <v>6.9999999999999999E-4</v>
      </c>
      <c r="T1205" s="8" t="s">
        <v>3614</v>
      </c>
    </row>
    <row r="1206" spans="1:20" x14ac:dyDescent="0.2">
      <c r="A1206" t="s">
        <v>3616</v>
      </c>
      <c r="B1206" t="s">
        <v>2022</v>
      </c>
      <c r="C1206" t="s">
        <v>2173</v>
      </c>
      <c r="D1206" t="s">
        <v>2024</v>
      </c>
      <c r="E1206" t="s">
        <v>3617</v>
      </c>
      <c r="F1206" t="s">
        <v>3618</v>
      </c>
      <c r="G1206">
        <v>4</v>
      </c>
      <c r="H1206">
        <v>2107.5</v>
      </c>
      <c r="I1206">
        <v>5</v>
      </c>
      <c r="J1206">
        <v>14.45</v>
      </c>
      <c r="K1206">
        <v>4</v>
      </c>
      <c r="L1206">
        <v>0.33</v>
      </c>
      <c r="M1206">
        <v>4</v>
      </c>
      <c r="N1206">
        <v>129.5</v>
      </c>
      <c r="O1206">
        <v>5</v>
      </c>
      <c r="P1206">
        <v>0.87</v>
      </c>
      <c r="Q1206">
        <v>5</v>
      </c>
      <c r="R1206">
        <v>2.58E-2</v>
      </c>
      <c r="T1206" s="8" t="s">
        <v>3617</v>
      </c>
    </row>
    <row r="1207" spans="1:20" x14ac:dyDescent="0.2">
      <c r="A1207" t="s">
        <v>3619</v>
      </c>
      <c r="B1207" t="s">
        <v>2022</v>
      </c>
      <c r="C1207" t="s">
        <v>2023</v>
      </c>
      <c r="D1207" t="s">
        <v>2024</v>
      </c>
      <c r="E1207" t="s">
        <v>3620</v>
      </c>
      <c r="F1207" t="s">
        <v>3621</v>
      </c>
      <c r="G1207">
        <v>2</v>
      </c>
      <c r="H1207">
        <v>1560</v>
      </c>
      <c r="I1207">
        <v>4</v>
      </c>
      <c r="J1207">
        <v>8.4</v>
      </c>
      <c r="K1207">
        <v>5</v>
      </c>
      <c r="L1207">
        <v>8.5999999999999993E-2</v>
      </c>
      <c r="M1207">
        <v>2</v>
      </c>
      <c r="N1207">
        <v>84</v>
      </c>
      <c r="O1207">
        <v>3</v>
      </c>
      <c r="P1207">
        <v>0.375</v>
      </c>
      <c r="Q1207">
        <v>5</v>
      </c>
      <c r="R1207">
        <v>8.0000000000000002E-3</v>
      </c>
      <c r="T1207" s="8" t="s">
        <v>3620</v>
      </c>
    </row>
    <row r="1208" spans="1:20" x14ac:dyDescent="0.2">
      <c r="A1208" t="s">
        <v>3622</v>
      </c>
      <c r="B1208" t="s">
        <v>2022</v>
      </c>
      <c r="C1208" t="s">
        <v>2053</v>
      </c>
      <c r="D1208" t="s">
        <v>2024</v>
      </c>
      <c r="E1208" t="s">
        <v>235</v>
      </c>
      <c r="F1208" t="s">
        <v>3623</v>
      </c>
      <c r="G1208">
        <v>1</v>
      </c>
      <c r="H1208">
        <v>1500</v>
      </c>
      <c r="I1208">
        <v>1</v>
      </c>
      <c r="J1208">
        <v>1.55</v>
      </c>
      <c r="K1208">
        <v>1</v>
      </c>
      <c r="L1208">
        <v>1.4999999999999999E-2</v>
      </c>
      <c r="M1208">
        <v>1</v>
      </c>
      <c r="N1208">
        <v>73</v>
      </c>
      <c r="O1208">
        <v>1</v>
      </c>
      <c r="P1208">
        <v>7.4999999999999997E-2</v>
      </c>
      <c r="Q1208">
        <v>1</v>
      </c>
      <c r="R1208">
        <v>8.4999999999999995E-4</v>
      </c>
      <c r="T1208" s="8" t="s">
        <v>235</v>
      </c>
    </row>
    <row r="1209" spans="1:20" x14ac:dyDescent="0.2">
      <c r="A1209" t="s">
        <v>3624</v>
      </c>
      <c r="B1209" t="s">
        <v>2022</v>
      </c>
      <c r="C1209" t="s">
        <v>2023</v>
      </c>
      <c r="D1209" t="s">
        <v>2024</v>
      </c>
      <c r="E1209" t="s">
        <v>3625</v>
      </c>
      <c r="F1209" t="s">
        <v>3626</v>
      </c>
      <c r="G1209">
        <v>1</v>
      </c>
      <c r="H1209">
        <v>1480</v>
      </c>
      <c r="I1209">
        <v>1</v>
      </c>
      <c r="J1209">
        <v>0.9</v>
      </c>
      <c r="K1209">
        <v>1</v>
      </c>
      <c r="L1209">
        <v>6.0000000000000001E-3</v>
      </c>
      <c r="M1209">
        <v>1</v>
      </c>
      <c r="N1209">
        <v>74</v>
      </c>
      <c r="O1209">
        <v>1</v>
      </c>
      <c r="P1209">
        <v>7.4999999999999997E-2</v>
      </c>
      <c r="Q1209">
        <v>1</v>
      </c>
      <c r="R1209">
        <v>5.0000000000000001E-4</v>
      </c>
      <c r="T1209" s="8" t="s">
        <v>3625</v>
      </c>
    </row>
    <row r="1210" spans="1:20" x14ac:dyDescent="0.2">
      <c r="A1210" t="s">
        <v>3627</v>
      </c>
      <c r="B1210" t="s">
        <v>2022</v>
      </c>
      <c r="C1210" t="s">
        <v>2049</v>
      </c>
      <c r="D1210" t="s">
        <v>2024</v>
      </c>
      <c r="E1210" t="s">
        <v>3628</v>
      </c>
      <c r="F1210" t="s">
        <v>3629</v>
      </c>
      <c r="G1210">
        <v>2</v>
      </c>
      <c r="H1210">
        <v>1450</v>
      </c>
      <c r="I1210">
        <v>5</v>
      </c>
      <c r="J1210">
        <v>8.6</v>
      </c>
      <c r="K1210">
        <v>4</v>
      </c>
      <c r="L1210">
        <v>0.22</v>
      </c>
      <c r="M1210">
        <v>1</v>
      </c>
      <c r="N1210">
        <v>86</v>
      </c>
      <c r="O1210">
        <v>3</v>
      </c>
      <c r="P1210">
        <v>0.46</v>
      </c>
      <c r="Q1210">
        <v>3</v>
      </c>
      <c r="R1210">
        <v>1.52E-2</v>
      </c>
      <c r="T1210" s="8" t="s">
        <v>3628</v>
      </c>
    </row>
    <row r="1211" spans="1:20" x14ac:dyDescent="0.2">
      <c r="A1211" t="s">
        <v>3630</v>
      </c>
      <c r="B1211" t="s">
        <v>2022</v>
      </c>
      <c r="C1211" t="s">
        <v>2023</v>
      </c>
      <c r="D1211" t="s">
        <v>2024</v>
      </c>
      <c r="E1211" t="s">
        <v>3631</v>
      </c>
      <c r="F1211" t="s">
        <v>3632</v>
      </c>
      <c r="G1211">
        <v>1</v>
      </c>
      <c r="H1211">
        <v>1480</v>
      </c>
      <c r="I1211">
        <v>4</v>
      </c>
      <c r="J1211">
        <v>8.4</v>
      </c>
      <c r="K1211">
        <v>5</v>
      </c>
      <c r="L1211">
        <v>8.5999999999999993E-2</v>
      </c>
      <c r="M1211">
        <v>5</v>
      </c>
      <c r="N1211">
        <v>114</v>
      </c>
      <c r="O1211">
        <v>4</v>
      </c>
      <c r="P1211">
        <v>0.52500000000000002</v>
      </c>
      <c r="Q1211">
        <v>5</v>
      </c>
      <c r="R1211">
        <v>8.0000000000000002E-3</v>
      </c>
      <c r="T1211" s="8" t="s">
        <v>3631</v>
      </c>
    </row>
    <row r="1212" spans="1:20" x14ac:dyDescent="0.2">
      <c r="A1212" t="s">
        <v>3633</v>
      </c>
      <c r="B1212" t="s">
        <v>2022</v>
      </c>
      <c r="C1212" t="s">
        <v>2053</v>
      </c>
      <c r="D1212" t="s">
        <v>2024</v>
      </c>
      <c r="E1212" t="s">
        <v>3634</v>
      </c>
      <c r="F1212" t="s">
        <v>3635</v>
      </c>
      <c r="G1212">
        <v>3</v>
      </c>
      <c r="H1212">
        <v>1700</v>
      </c>
      <c r="I1212">
        <v>3</v>
      </c>
      <c r="J1212">
        <v>6.55</v>
      </c>
      <c r="K1212">
        <v>3</v>
      </c>
      <c r="L1212">
        <v>0.19500000000000001</v>
      </c>
      <c r="M1212">
        <v>1</v>
      </c>
      <c r="N1212">
        <v>73</v>
      </c>
      <c r="O1212">
        <v>3</v>
      </c>
      <c r="P1212">
        <v>0.375</v>
      </c>
      <c r="Q1212">
        <v>3</v>
      </c>
      <c r="R1212">
        <v>1.2200000000000001E-2</v>
      </c>
      <c r="T1212" s="8" t="s">
        <v>3634</v>
      </c>
    </row>
    <row r="1213" spans="1:20" x14ac:dyDescent="0.2">
      <c r="A1213" t="s">
        <v>3636</v>
      </c>
      <c r="B1213" t="s">
        <v>2022</v>
      </c>
      <c r="C1213" t="s">
        <v>2106</v>
      </c>
      <c r="D1213" t="s">
        <v>2136</v>
      </c>
      <c r="E1213" t="s">
        <v>3634</v>
      </c>
      <c r="F1213" t="s">
        <v>3635</v>
      </c>
      <c r="G1213">
        <v>1</v>
      </c>
      <c r="H1213">
        <v>1675</v>
      </c>
      <c r="I1213">
        <v>5</v>
      </c>
      <c r="J1213">
        <v>13.25</v>
      </c>
      <c r="K1213">
        <v>5</v>
      </c>
      <c r="L1213">
        <v>0.3</v>
      </c>
      <c r="M1213">
        <v>2</v>
      </c>
      <c r="N1213">
        <v>68.5</v>
      </c>
      <c r="O1213">
        <v>5</v>
      </c>
      <c r="P1213">
        <v>0.45</v>
      </c>
      <c r="Q1213">
        <v>5</v>
      </c>
      <c r="R1213">
        <v>8.5000000000000006E-3</v>
      </c>
      <c r="T1213" s="8" t="s">
        <v>3634</v>
      </c>
    </row>
    <row r="1214" spans="1:20" x14ac:dyDescent="0.2">
      <c r="A1214" t="s">
        <v>3637</v>
      </c>
      <c r="B1214" t="s">
        <v>2022</v>
      </c>
      <c r="C1214" t="s">
        <v>2036</v>
      </c>
      <c r="D1214" t="s">
        <v>2024</v>
      </c>
      <c r="E1214" t="s">
        <v>3638</v>
      </c>
      <c r="F1214" t="s">
        <v>3639</v>
      </c>
      <c r="G1214">
        <v>3</v>
      </c>
      <c r="H1214">
        <v>1740</v>
      </c>
      <c r="I1214">
        <v>5</v>
      </c>
      <c r="J1214">
        <v>7</v>
      </c>
      <c r="K1214">
        <v>2</v>
      </c>
      <c r="L1214">
        <v>8.5000000000000006E-2</v>
      </c>
      <c r="M1214">
        <v>2</v>
      </c>
      <c r="N1214">
        <v>82</v>
      </c>
      <c r="O1214">
        <v>4</v>
      </c>
      <c r="P1214">
        <v>0.42499999999999999</v>
      </c>
      <c r="Q1214">
        <v>2</v>
      </c>
      <c r="R1214">
        <v>4.2500000000000003E-3</v>
      </c>
      <c r="T1214" s="8" t="s">
        <v>3638</v>
      </c>
    </row>
    <row r="1215" spans="1:20" x14ac:dyDescent="0.2">
      <c r="A1215" t="s">
        <v>3640</v>
      </c>
      <c r="B1215" t="s">
        <v>2022</v>
      </c>
      <c r="C1215" t="s">
        <v>2101</v>
      </c>
      <c r="D1215" t="s">
        <v>2024</v>
      </c>
      <c r="E1215" t="s">
        <v>3641</v>
      </c>
      <c r="F1215" t="s">
        <v>3642</v>
      </c>
      <c r="G1215">
        <v>2</v>
      </c>
      <c r="H1215">
        <v>1670</v>
      </c>
      <c r="I1215">
        <v>1</v>
      </c>
      <c r="J1215">
        <v>2</v>
      </c>
      <c r="K1215">
        <v>1</v>
      </c>
      <c r="L1215">
        <v>1.15E-2</v>
      </c>
      <c r="M1215">
        <v>1</v>
      </c>
      <c r="N1215">
        <v>66</v>
      </c>
      <c r="O1215">
        <v>1</v>
      </c>
      <c r="P1215">
        <v>7.4999999999999997E-2</v>
      </c>
      <c r="Q1215">
        <v>1</v>
      </c>
      <c r="R1215">
        <v>5.0000000000000001E-4</v>
      </c>
      <c r="T1215" s="8" t="s">
        <v>3641</v>
      </c>
    </row>
    <row r="1216" spans="1:20" x14ac:dyDescent="0.2">
      <c r="A1216" t="s">
        <v>3643</v>
      </c>
      <c r="B1216" t="s">
        <v>2022</v>
      </c>
      <c r="C1216" t="s">
        <v>2023</v>
      </c>
      <c r="D1216" t="s">
        <v>2024</v>
      </c>
      <c r="E1216" t="s">
        <v>3644</v>
      </c>
      <c r="F1216" t="s">
        <v>3645</v>
      </c>
      <c r="G1216">
        <v>5</v>
      </c>
      <c r="H1216">
        <v>1800</v>
      </c>
      <c r="I1216">
        <v>5</v>
      </c>
      <c r="J1216">
        <v>10.9</v>
      </c>
      <c r="K1216">
        <v>5</v>
      </c>
      <c r="L1216">
        <v>8.5999999999999993E-2</v>
      </c>
      <c r="M1216">
        <v>5</v>
      </c>
      <c r="N1216">
        <v>114</v>
      </c>
      <c r="O1216">
        <v>5</v>
      </c>
      <c r="P1216">
        <v>0.67500000000000004</v>
      </c>
      <c r="Q1216">
        <v>5</v>
      </c>
      <c r="R1216">
        <v>8.0000000000000002E-3</v>
      </c>
      <c r="T1216" s="8" t="s">
        <v>3644</v>
      </c>
    </row>
    <row r="1217" spans="1:20" x14ac:dyDescent="0.2">
      <c r="A1217" t="s">
        <v>3646</v>
      </c>
      <c r="B1217" t="s">
        <v>2022</v>
      </c>
      <c r="C1217" t="s">
        <v>2053</v>
      </c>
      <c r="D1217" t="s">
        <v>2024</v>
      </c>
      <c r="E1217" t="s">
        <v>3647</v>
      </c>
      <c r="F1217" t="s">
        <v>3648</v>
      </c>
      <c r="G1217">
        <v>5</v>
      </c>
      <c r="H1217">
        <v>1900</v>
      </c>
      <c r="I1217">
        <v>3</v>
      </c>
      <c r="J1217">
        <v>6.55</v>
      </c>
      <c r="K1217">
        <v>2</v>
      </c>
      <c r="L1217">
        <v>8.5000000000000006E-2</v>
      </c>
      <c r="M1217">
        <v>2</v>
      </c>
      <c r="N1217">
        <v>83</v>
      </c>
      <c r="O1217">
        <v>2</v>
      </c>
      <c r="P1217">
        <v>0.22500000000000001</v>
      </c>
      <c r="Q1217">
        <v>2</v>
      </c>
      <c r="R1217">
        <v>5.1999999999999998E-3</v>
      </c>
      <c r="T1217" s="8" t="s">
        <v>3647</v>
      </c>
    </row>
    <row r="1218" spans="1:20" x14ac:dyDescent="0.2">
      <c r="A1218" t="s">
        <v>3649</v>
      </c>
      <c r="B1218" t="s">
        <v>2022</v>
      </c>
      <c r="C1218" t="s">
        <v>2023</v>
      </c>
      <c r="D1218" t="s">
        <v>2024</v>
      </c>
      <c r="E1218" t="s">
        <v>3650</v>
      </c>
      <c r="F1218" t="s">
        <v>3651</v>
      </c>
      <c r="G1218">
        <v>3</v>
      </c>
      <c r="H1218">
        <v>1640</v>
      </c>
      <c r="I1218">
        <v>4</v>
      </c>
      <c r="J1218">
        <v>8.4</v>
      </c>
      <c r="K1218">
        <v>3</v>
      </c>
      <c r="L1218">
        <v>4.5999999999999999E-2</v>
      </c>
      <c r="M1218">
        <v>1</v>
      </c>
      <c r="N1218">
        <v>74</v>
      </c>
      <c r="O1218">
        <v>3</v>
      </c>
      <c r="P1218">
        <v>0.375</v>
      </c>
      <c r="Q1218">
        <v>2</v>
      </c>
      <c r="R1218">
        <v>2E-3</v>
      </c>
      <c r="T1218" s="8" t="s">
        <v>3650</v>
      </c>
    </row>
    <row r="1219" spans="1:20" x14ac:dyDescent="0.2">
      <c r="A1219" t="s">
        <v>3652</v>
      </c>
      <c r="B1219" t="s">
        <v>2022</v>
      </c>
      <c r="C1219" t="s">
        <v>2023</v>
      </c>
      <c r="D1219" t="s">
        <v>2024</v>
      </c>
      <c r="E1219" t="s">
        <v>3653</v>
      </c>
      <c r="F1219" t="s">
        <v>3654</v>
      </c>
      <c r="G1219">
        <v>4</v>
      </c>
      <c r="H1219">
        <v>1720</v>
      </c>
      <c r="I1219">
        <v>5</v>
      </c>
      <c r="J1219">
        <v>10.9</v>
      </c>
      <c r="K1219">
        <v>5</v>
      </c>
      <c r="L1219">
        <v>8.5999999999999993E-2</v>
      </c>
      <c r="M1219">
        <v>3</v>
      </c>
      <c r="N1219">
        <v>94</v>
      </c>
      <c r="O1219">
        <v>5</v>
      </c>
      <c r="P1219">
        <v>0.67500000000000004</v>
      </c>
      <c r="Q1219">
        <v>5</v>
      </c>
      <c r="R1219">
        <v>8.0000000000000002E-3</v>
      </c>
      <c r="T1219" s="8" t="s">
        <v>3653</v>
      </c>
    </row>
    <row r="1220" spans="1:20" x14ac:dyDescent="0.2">
      <c r="A1220" t="s">
        <v>3655</v>
      </c>
      <c r="B1220" t="s">
        <v>2022</v>
      </c>
      <c r="C1220" t="s">
        <v>2023</v>
      </c>
      <c r="D1220" t="s">
        <v>2024</v>
      </c>
      <c r="E1220" t="s">
        <v>3656</v>
      </c>
      <c r="F1220" t="s">
        <v>3657</v>
      </c>
      <c r="G1220">
        <v>1</v>
      </c>
      <c r="H1220">
        <v>1480</v>
      </c>
      <c r="I1220">
        <v>1</v>
      </c>
      <c r="J1220">
        <v>0.9</v>
      </c>
      <c r="K1220">
        <v>1</v>
      </c>
      <c r="L1220">
        <v>6.0000000000000001E-3</v>
      </c>
      <c r="M1220">
        <v>1</v>
      </c>
      <c r="N1220">
        <v>74</v>
      </c>
      <c r="O1220">
        <v>1</v>
      </c>
      <c r="P1220">
        <v>7.4999999999999997E-2</v>
      </c>
      <c r="Q1220">
        <v>1</v>
      </c>
      <c r="R1220">
        <v>5.0000000000000001E-4</v>
      </c>
      <c r="T1220" s="8" t="s">
        <v>3656</v>
      </c>
    </row>
    <row r="1221" spans="1:20" x14ac:dyDescent="0.2">
      <c r="A1221" t="s">
        <v>3658</v>
      </c>
      <c r="B1221" t="s">
        <v>2022</v>
      </c>
      <c r="C1221" t="s">
        <v>2053</v>
      </c>
      <c r="D1221" t="s">
        <v>2024</v>
      </c>
      <c r="E1221" t="s">
        <v>357</v>
      </c>
      <c r="F1221" t="s">
        <v>3659</v>
      </c>
      <c r="G1221">
        <v>1</v>
      </c>
      <c r="H1221">
        <v>1500</v>
      </c>
      <c r="I1221">
        <v>2</v>
      </c>
      <c r="J1221">
        <v>4.05</v>
      </c>
      <c r="K1221">
        <v>2</v>
      </c>
      <c r="L1221">
        <v>8.5000000000000006E-2</v>
      </c>
      <c r="M1221">
        <v>5</v>
      </c>
      <c r="N1221">
        <v>113</v>
      </c>
      <c r="O1221">
        <v>5</v>
      </c>
      <c r="P1221">
        <v>0.67500000000000004</v>
      </c>
      <c r="Q1221">
        <v>3</v>
      </c>
      <c r="R1221">
        <v>1.2200000000000001E-2</v>
      </c>
      <c r="T1221" s="8" t="s">
        <v>357</v>
      </c>
    </row>
    <row r="1222" spans="1:20" x14ac:dyDescent="0.2">
      <c r="A1222" t="s">
        <v>3660</v>
      </c>
      <c r="B1222" t="s">
        <v>2022</v>
      </c>
      <c r="C1222" t="s">
        <v>2101</v>
      </c>
      <c r="D1222" t="s">
        <v>2024</v>
      </c>
      <c r="E1222" t="s">
        <v>3661</v>
      </c>
      <c r="F1222" t="s">
        <v>3662</v>
      </c>
      <c r="G1222">
        <v>2</v>
      </c>
      <c r="H1222">
        <v>1670</v>
      </c>
      <c r="I1222">
        <v>3</v>
      </c>
      <c r="J1222">
        <v>8</v>
      </c>
      <c r="K1222">
        <v>4</v>
      </c>
      <c r="L1222">
        <v>0.39050000000000001</v>
      </c>
      <c r="M1222">
        <v>1</v>
      </c>
      <c r="N1222">
        <v>66</v>
      </c>
      <c r="O1222">
        <v>3</v>
      </c>
      <c r="P1222">
        <v>0.375</v>
      </c>
      <c r="Q1222">
        <v>3</v>
      </c>
      <c r="R1222">
        <v>1.15E-2</v>
      </c>
      <c r="T1222" s="8" t="s">
        <v>3661</v>
      </c>
    </row>
    <row r="1223" spans="1:20" x14ac:dyDescent="0.2">
      <c r="A1223" t="s">
        <v>3663</v>
      </c>
      <c r="B1223" t="s">
        <v>2022</v>
      </c>
      <c r="C1223" t="s">
        <v>2101</v>
      </c>
      <c r="D1223" t="s">
        <v>2024</v>
      </c>
      <c r="E1223" t="s">
        <v>357</v>
      </c>
      <c r="F1223" t="s">
        <v>447</v>
      </c>
      <c r="G1223">
        <v>5</v>
      </c>
      <c r="H1223">
        <v>1970</v>
      </c>
      <c r="I1223">
        <v>3</v>
      </c>
      <c r="J1223">
        <v>8</v>
      </c>
      <c r="K1223">
        <v>2</v>
      </c>
      <c r="L1223">
        <v>9.6500000000000002E-2</v>
      </c>
      <c r="M1223">
        <v>5</v>
      </c>
      <c r="N1223">
        <v>98</v>
      </c>
      <c r="O1223">
        <v>2</v>
      </c>
      <c r="P1223">
        <v>0.22500000000000001</v>
      </c>
      <c r="Q1223">
        <v>2</v>
      </c>
      <c r="R1223">
        <v>4.4999999999999997E-3</v>
      </c>
      <c r="T1223" s="8" t="s">
        <v>357</v>
      </c>
    </row>
    <row r="1224" spans="1:20" x14ac:dyDescent="0.2">
      <c r="A1224" t="s">
        <v>3664</v>
      </c>
      <c r="B1224" t="s">
        <v>2022</v>
      </c>
      <c r="C1224" t="s">
        <v>2101</v>
      </c>
      <c r="D1224" t="s">
        <v>2024</v>
      </c>
      <c r="E1224" t="s">
        <v>3665</v>
      </c>
      <c r="F1224" t="s">
        <v>3666</v>
      </c>
      <c r="G1224">
        <v>4</v>
      </c>
      <c r="H1224">
        <v>1870</v>
      </c>
      <c r="I1224">
        <v>4</v>
      </c>
      <c r="J1224">
        <v>11</v>
      </c>
      <c r="K1224">
        <v>3</v>
      </c>
      <c r="L1224">
        <v>0.24349999999999999</v>
      </c>
      <c r="M1224">
        <v>3</v>
      </c>
      <c r="N1224">
        <v>82</v>
      </c>
      <c r="O1224">
        <v>3</v>
      </c>
      <c r="P1224">
        <v>0.375</v>
      </c>
      <c r="Q1224">
        <v>3</v>
      </c>
      <c r="R1224">
        <v>1.15E-2</v>
      </c>
      <c r="T1224" s="8" t="s">
        <v>3665</v>
      </c>
    </row>
    <row r="1225" spans="1:20" x14ac:dyDescent="0.2">
      <c r="A1225" t="s">
        <v>3667</v>
      </c>
      <c r="B1225" t="s">
        <v>2022</v>
      </c>
      <c r="C1225" t="s">
        <v>2036</v>
      </c>
      <c r="D1225" t="s">
        <v>2024</v>
      </c>
      <c r="E1225" t="s">
        <v>3668</v>
      </c>
      <c r="F1225" t="s">
        <v>3669</v>
      </c>
      <c r="G1225">
        <v>1</v>
      </c>
      <c r="H1225">
        <v>1540</v>
      </c>
      <c r="I1225">
        <v>1</v>
      </c>
      <c r="J1225">
        <v>2.2000000000000002</v>
      </c>
      <c r="K1225">
        <v>2</v>
      </c>
      <c r="L1225">
        <v>8.5000000000000006E-2</v>
      </c>
      <c r="M1225">
        <v>1</v>
      </c>
      <c r="N1225">
        <v>76</v>
      </c>
      <c r="O1225">
        <v>1</v>
      </c>
      <c r="P1225">
        <v>9.5000000000000001E-2</v>
      </c>
      <c r="Q1225">
        <v>2</v>
      </c>
      <c r="R1225">
        <v>4.2500000000000003E-3</v>
      </c>
      <c r="T1225" s="8" t="s">
        <v>3668</v>
      </c>
    </row>
    <row r="1226" spans="1:20" x14ac:dyDescent="0.2">
      <c r="A1226" t="s">
        <v>3670</v>
      </c>
      <c r="B1226" t="s">
        <v>2022</v>
      </c>
      <c r="C1226" t="s">
        <v>2036</v>
      </c>
      <c r="D1226" t="s">
        <v>2024</v>
      </c>
      <c r="E1226" t="s">
        <v>3671</v>
      </c>
      <c r="F1226" t="s">
        <v>3672</v>
      </c>
      <c r="G1226">
        <v>2</v>
      </c>
      <c r="H1226">
        <v>1640</v>
      </c>
      <c r="I1226">
        <v>3</v>
      </c>
      <c r="J1226">
        <v>4.5999999999999996</v>
      </c>
      <c r="K1226">
        <v>2</v>
      </c>
      <c r="L1226">
        <v>8.5000000000000006E-2</v>
      </c>
      <c r="M1226">
        <v>1</v>
      </c>
      <c r="N1226">
        <v>76</v>
      </c>
      <c r="O1226">
        <v>2</v>
      </c>
      <c r="P1226">
        <v>0.20499999999999999</v>
      </c>
      <c r="Q1226">
        <v>2</v>
      </c>
      <c r="R1226">
        <v>4.2500000000000003E-3</v>
      </c>
      <c r="T1226" s="8" t="s">
        <v>3671</v>
      </c>
    </row>
    <row r="1227" spans="1:20" x14ac:dyDescent="0.2">
      <c r="A1227" t="s">
        <v>3673</v>
      </c>
      <c r="B1227" t="s">
        <v>2022</v>
      </c>
      <c r="C1227" t="s">
        <v>2023</v>
      </c>
      <c r="D1227" t="s">
        <v>2024</v>
      </c>
      <c r="E1227" t="s">
        <v>3674</v>
      </c>
      <c r="F1227" t="s">
        <v>3675</v>
      </c>
      <c r="G1227">
        <v>3</v>
      </c>
      <c r="H1227">
        <v>1640</v>
      </c>
      <c r="I1227">
        <v>4</v>
      </c>
      <c r="J1227">
        <v>8.4</v>
      </c>
      <c r="K1227">
        <v>5</v>
      </c>
      <c r="L1227">
        <v>8.5999999999999993E-2</v>
      </c>
      <c r="M1227">
        <v>1</v>
      </c>
      <c r="N1227">
        <v>74</v>
      </c>
      <c r="O1227">
        <v>3</v>
      </c>
      <c r="P1227">
        <v>0.375</v>
      </c>
      <c r="Q1227">
        <v>5</v>
      </c>
      <c r="R1227">
        <v>8.0000000000000002E-3</v>
      </c>
      <c r="T1227" s="8" t="s">
        <v>3674</v>
      </c>
    </row>
    <row r="1228" spans="1:20" x14ac:dyDescent="0.2">
      <c r="A1228" t="s">
        <v>3676</v>
      </c>
      <c r="B1228" t="s">
        <v>2022</v>
      </c>
      <c r="C1228" t="s">
        <v>2036</v>
      </c>
      <c r="D1228" t="s">
        <v>2024</v>
      </c>
      <c r="E1228" t="s">
        <v>3677</v>
      </c>
      <c r="F1228" t="s">
        <v>3678</v>
      </c>
      <c r="G1228">
        <v>3</v>
      </c>
      <c r="H1228">
        <v>1740</v>
      </c>
      <c r="I1228">
        <v>5</v>
      </c>
      <c r="J1228">
        <v>7</v>
      </c>
      <c r="K1228">
        <v>5</v>
      </c>
      <c r="L1228">
        <v>0.17499999999999999</v>
      </c>
      <c r="M1228">
        <v>3</v>
      </c>
      <c r="N1228">
        <v>88</v>
      </c>
      <c r="O1228">
        <v>4</v>
      </c>
      <c r="P1228">
        <v>0.42499999999999999</v>
      </c>
      <c r="Q1228">
        <v>5</v>
      </c>
      <c r="R1228">
        <v>1.2E-2</v>
      </c>
      <c r="T1228" s="8" t="s">
        <v>3677</v>
      </c>
    </row>
    <row r="1229" spans="1:20" x14ac:dyDescent="0.2">
      <c r="A1229" t="s">
        <v>3679</v>
      </c>
      <c r="B1229" t="s">
        <v>2022</v>
      </c>
      <c r="C1229" t="s">
        <v>2023</v>
      </c>
      <c r="D1229" t="s">
        <v>2024</v>
      </c>
      <c r="E1229" t="s">
        <v>3680</v>
      </c>
      <c r="F1229" t="s">
        <v>3681</v>
      </c>
      <c r="G1229">
        <v>2</v>
      </c>
      <c r="H1229">
        <v>1560</v>
      </c>
      <c r="I1229">
        <v>5</v>
      </c>
      <c r="J1229">
        <v>10.9</v>
      </c>
      <c r="K1229">
        <v>5</v>
      </c>
      <c r="L1229">
        <v>8.5999999999999993E-2</v>
      </c>
      <c r="M1229">
        <v>2</v>
      </c>
      <c r="N1229">
        <v>84</v>
      </c>
      <c r="O1229">
        <v>4</v>
      </c>
      <c r="P1229">
        <v>0.52500000000000002</v>
      </c>
      <c r="Q1229">
        <v>5</v>
      </c>
      <c r="R1229">
        <v>8.0000000000000002E-3</v>
      </c>
      <c r="T1229" s="8" t="s">
        <v>3680</v>
      </c>
    </row>
    <row r="1230" spans="1:20" x14ac:dyDescent="0.2">
      <c r="A1230" t="s">
        <v>3682</v>
      </c>
      <c r="B1230" t="s">
        <v>2022</v>
      </c>
      <c r="C1230" t="s">
        <v>2023</v>
      </c>
      <c r="D1230" t="s">
        <v>2024</v>
      </c>
      <c r="E1230" t="s">
        <v>3683</v>
      </c>
      <c r="F1230" t="s">
        <v>3684</v>
      </c>
      <c r="G1230">
        <v>1</v>
      </c>
      <c r="H1230">
        <v>1480</v>
      </c>
      <c r="I1230">
        <v>1</v>
      </c>
      <c r="J1230">
        <v>0.9</v>
      </c>
      <c r="K1230">
        <v>1</v>
      </c>
      <c r="L1230">
        <v>6.0000000000000001E-3</v>
      </c>
      <c r="M1230">
        <v>1</v>
      </c>
      <c r="N1230">
        <v>74</v>
      </c>
      <c r="O1230">
        <v>1</v>
      </c>
      <c r="P1230">
        <v>7.4999999999999997E-2</v>
      </c>
      <c r="Q1230">
        <v>1</v>
      </c>
      <c r="R1230">
        <v>5.0000000000000001E-4</v>
      </c>
      <c r="T1230" s="8" t="s">
        <v>3683</v>
      </c>
    </row>
    <row r="1231" spans="1:20" x14ac:dyDescent="0.2">
      <c r="A1231" t="s">
        <v>3685</v>
      </c>
      <c r="B1231" t="s">
        <v>2022</v>
      </c>
      <c r="C1231" t="s">
        <v>2053</v>
      </c>
      <c r="D1231" t="s">
        <v>2024</v>
      </c>
      <c r="E1231" t="s">
        <v>3686</v>
      </c>
      <c r="F1231" t="s">
        <v>3687</v>
      </c>
      <c r="G1231">
        <v>5</v>
      </c>
      <c r="H1231">
        <v>1900</v>
      </c>
      <c r="I1231">
        <v>2</v>
      </c>
      <c r="J1231">
        <v>4.05</v>
      </c>
      <c r="K1231">
        <v>1</v>
      </c>
      <c r="L1231">
        <v>1.4999999999999999E-2</v>
      </c>
      <c r="M1231">
        <v>2</v>
      </c>
      <c r="N1231">
        <v>83</v>
      </c>
      <c r="O1231">
        <v>1</v>
      </c>
      <c r="P1231">
        <v>7.4999999999999997E-2</v>
      </c>
      <c r="Q1231">
        <v>1</v>
      </c>
      <c r="R1231">
        <v>8.4999999999999995E-4</v>
      </c>
      <c r="T1231" s="8" t="s">
        <v>3686</v>
      </c>
    </row>
    <row r="1232" spans="1:20" x14ac:dyDescent="0.2">
      <c r="A1232" t="s">
        <v>3688</v>
      </c>
      <c r="B1232" t="s">
        <v>2022</v>
      </c>
      <c r="C1232" t="s">
        <v>2053</v>
      </c>
      <c r="D1232" t="s">
        <v>2024</v>
      </c>
      <c r="E1232" t="s">
        <v>3686</v>
      </c>
      <c r="F1232" t="s">
        <v>3687</v>
      </c>
      <c r="G1232">
        <v>5</v>
      </c>
      <c r="H1232">
        <v>1900</v>
      </c>
      <c r="I1232">
        <v>1</v>
      </c>
      <c r="J1232">
        <v>1.55</v>
      </c>
      <c r="K1232">
        <v>1</v>
      </c>
      <c r="L1232">
        <v>1.4999999999999999E-2</v>
      </c>
      <c r="M1232">
        <v>3</v>
      </c>
      <c r="N1232">
        <v>93</v>
      </c>
      <c r="O1232">
        <v>1</v>
      </c>
      <c r="P1232">
        <v>7.4999999999999997E-2</v>
      </c>
      <c r="Q1232">
        <v>1</v>
      </c>
      <c r="R1232">
        <v>8.4999999999999995E-4</v>
      </c>
      <c r="T1232" s="8" t="s">
        <v>3686</v>
      </c>
    </row>
    <row r="1233" spans="1:20" x14ac:dyDescent="0.2">
      <c r="A1233" t="s">
        <v>3689</v>
      </c>
      <c r="B1233" t="s">
        <v>2022</v>
      </c>
      <c r="C1233" t="s">
        <v>2053</v>
      </c>
      <c r="D1233" t="s">
        <v>2024</v>
      </c>
      <c r="E1233" t="s">
        <v>357</v>
      </c>
      <c r="F1233" t="s">
        <v>3690</v>
      </c>
      <c r="G1233">
        <v>5</v>
      </c>
      <c r="H1233">
        <v>1900</v>
      </c>
      <c r="I1233">
        <v>3</v>
      </c>
      <c r="J1233">
        <v>6.55</v>
      </c>
      <c r="K1233">
        <v>2</v>
      </c>
      <c r="L1233">
        <v>8.5000000000000006E-2</v>
      </c>
      <c r="M1233">
        <v>4</v>
      </c>
      <c r="N1233">
        <v>103</v>
      </c>
      <c r="O1233">
        <v>3</v>
      </c>
      <c r="P1233">
        <v>0.375</v>
      </c>
      <c r="Q1233">
        <v>2</v>
      </c>
      <c r="R1233">
        <v>5.1999999999999998E-3</v>
      </c>
      <c r="T1233" s="8" t="s">
        <v>357</v>
      </c>
    </row>
    <row r="1234" spans="1:20" x14ac:dyDescent="0.2">
      <c r="A1234" t="s">
        <v>3691</v>
      </c>
      <c r="B1234" t="s">
        <v>2022</v>
      </c>
      <c r="C1234" t="s">
        <v>2023</v>
      </c>
      <c r="D1234" t="s">
        <v>2024</v>
      </c>
      <c r="E1234" t="s">
        <v>3692</v>
      </c>
      <c r="F1234" t="s">
        <v>3693</v>
      </c>
      <c r="G1234">
        <v>5</v>
      </c>
      <c r="H1234">
        <v>1800</v>
      </c>
      <c r="I1234">
        <v>3</v>
      </c>
      <c r="J1234">
        <v>5.9</v>
      </c>
      <c r="K1234">
        <v>5</v>
      </c>
      <c r="L1234">
        <v>8.5999999999999993E-2</v>
      </c>
      <c r="M1234">
        <v>4</v>
      </c>
      <c r="N1234">
        <v>104</v>
      </c>
      <c r="O1234">
        <v>3</v>
      </c>
      <c r="P1234">
        <v>0.375</v>
      </c>
      <c r="Q1234">
        <v>3</v>
      </c>
      <c r="R1234">
        <v>4.0000000000000001E-3</v>
      </c>
      <c r="T1234" s="8" t="s">
        <v>3692</v>
      </c>
    </row>
    <row r="1235" spans="1:20" x14ac:dyDescent="0.2">
      <c r="A1235" t="s">
        <v>3694</v>
      </c>
      <c r="B1235" t="s">
        <v>2022</v>
      </c>
      <c r="C1235" t="s">
        <v>2023</v>
      </c>
      <c r="D1235" t="s">
        <v>2024</v>
      </c>
      <c r="E1235" t="s">
        <v>3695</v>
      </c>
      <c r="F1235" t="s">
        <v>3696</v>
      </c>
      <c r="G1235">
        <v>5</v>
      </c>
      <c r="H1235">
        <v>1800</v>
      </c>
      <c r="I1235">
        <v>5</v>
      </c>
      <c r="J1235">
        <v>10.9</v>
      </c>
      <c r="K1235">
        <v>5</v>
      </c>
      <c r="L1235">
        <v>8.5999999999999993E-2</v>
      </c>
      <c r="M1235">
        <v>3</v>
      </c>
      <c r="N1235">
        <v>94</v>
      </c>
      <c r="O1235">
        <v>5</v>
      </c>
      <c r="P1235">
        <v>0.67500000000000004</v>
      </c>
      <c r="Q1235">
        <v>5</v>
      </c>
      <c r="R1235">
        <v>8.0000000000000002E-3</v>
      </c>
      <c r="T1235" s="8" t="s">
        <v>3695</v>
      </c>
    </row>
    <row r="1236" spans="1:20" x14ac:dyDescent="0.2">
      <c r="A1236" t="s">
        <v>3697</v>
      </c>
      <c r="B1236" t="s">
        <v>2022</v>
      </c>
      <c r="C1236" t="s">
        <v>2023</v>
      </c>
      <c r="D1236" t="s">
        <v>2024</v>
      </c>
      <c r="E1236" t="s">
        <v>3698</v>
      </c>
      <c r="F1236" t="s">
        <v>3699</v>
      </c>
      <c r="G1236">
        <v>1</v>
      </c>
      <c r="H1236">
        <v>1480</v>
      </c>
      <c r="I1236">
        <v>1</v>
      </c>
      <c r="J1236">
        <v>0.9</v>
      </c>
      <c r="K1236">
        <v>2</v>
      </c>
      <c r="L1236">
        <v>2.5999999999999999E-2</v>
      </c>
      <c r="M1236">
        <v>4</v>
      </c>
      <c r="N1236">
        <v>104</v>
      </c>
      <c r="O1236">
        <v>1</v>
      </c>
      <c r="P1236">
        <v>7.4999999999999997E-2</v>
      </c>
      <c r="Q1236">
        <v>2</v>
      </c>
      <c r="R1236">
        <v>2E-3</v>
      </c>
      <c r="T1236" s="8" t="s">
        <v>3698</v>
      </c>
    </row>
    <row r="1237" spans="1:20" x14ac:dyDescent="0.2">
      <c r="A1237" t="s">
        <v>3700</v>
      </c>
      <c r="B1237" t="s">
        <v>2022</v>
      </c>
      <c r="C1237" t="s">
        <v>2023</v>
      </c>
      <c r="D1237" t="s">
        <v>2136</v>
      </c>
      <c r="E1237" t="s">
        <v>3701</v>
      </c>
      <c r="F1237" t="s">
        <v>3702</v>
      </c>
      <c r="G1237">
        <v>3</v>
      </c>
      <c r="H1237">
        <v>1640</v>
      </c>
      <c r="I1237">
        <v>1</v>
      </c>
      <c r="J1237">
        <v>0.9</v>
      </c>
      <c r="K1237">
        <v>2</v>
      </c>
      <c r="L1237">
        <v>2.5999999999999999E-2</v>
      </c>
      <c r="M1237">
        <v>5</v>
      </c>
      <c r="N1237">
        <v>114</v>
      </c>
      <c r="O1237">
        <v>2</v>
      </c>
      <c r="P1237">
        <v>0.22500000000000001</v>
      </c>
      <c r="Q1237">
        <v>2</v>
      </c>
      <c r="R1237">
        <v>2E-3</v>
      </c>
      <c r="T1237" s="8" t="s">
        <v>3701</v>
      </c>
    </row>
    <row r="1238" spans="1:20" x14ac:dyDescent="0.2">
      <c r="A1238" t="s">
        <v>3703</v>
      </c>
      <c r="B1238" t="s">
        <v>2022</v>
      </c>
      <c r="C1238" t="s">
        <v>2053</v>
      </c>
      <c r="D1238" t="s">
        <v>2154</v>
      </c>
      <c r="E1238" t="s">
        <v>3704</v>
      </c>
      <c r="F1238" t="s">
        <v>3705</v>
      </c>
      <c r="G1238">
        <v>5</v>
      </c>
      <c r="H1238">
        <v>1900</v>
      </c>
      <c r="I1238">
        <v>5</v>
      </c>
      <c r="J1238">
        <v>11.55</v>
      </c>
      <c r="K1238">
        <v>5</v>
      </c>
      <c r="L1238">
        <v>0.41499999999999998</v>
      </c>
      <c r="M1238">
        <v>4</v>
      </c>
      <c r="N1238">
        <v>103</v>
      </c>
      <c r="O1238">
        <v>5</v>
      </c>
      <c r="P1238">
        <v>0.67500000000000004</v>
      </c>
      <c r="Q1238">
        <v>5</v>
      </c>
      <c r="R1238">
        <v>2.6200000000000001E-2</v>
      </c>
      <c r="T1238" s="8" t="s">
        <v>3704</v>
      </c>
    </row>
    <row r="1239" spans="1:20" x14ac:dyDescent="0.2">
      <c r="A1239" t="s">
        <v>3706</v>
      </c>
      <c r="B1239" t="s">
        <v>2022</v>
      </c>
      <c r="C1239" t="s">
        <v>2023</v>
      </c>
      <c r="D1239" t="s">
        <v>2024</v>
      </c>
      <c r="E1239" t="s">
        <v>3707</v>
      </c>
      <c r="F1239" t="s">
        <v>3708</v>
      </c>
      <c r="G1239">
        <v>1</v>
      </c>
      <c r="H1239">
        <v>1480</v>
      </c>
      <c r="I1239">
        <v>3</v>
      </c>
      <c r="J1239">
        <v>5.9</v>
      </c>
      <c r="K1239">
        <v>5</v>
      </c>
      <c r="L1239">
        <v>8.5999999999999993E-2</v>
      </c>
      <c r="M1239">
        <v>4</v>
      </c>
      <c r="N1239">
        <v>104</v>
      </c>
      <c r="O1239">
        <v>3</v>
      </c>
      <c r="P1239">
        <v>0.375</v>
      </c>
      <c r="Q1239">
        <v>4</v>
      </c>
      <c r="R1239">
        <v>6.0000000000000001E-3</v>
      </c>
      <c r="T1239" s="8" t="s">
        <v>3707</v>
      </c>
    </row>
    <row r="1240" spans="1:20" x14ac:dyDescent="0.2">
      <c r="A1240" t="s">
        <v>3709</v>
      </c>
      <c r="B1240" t="s">
        <v>2022</v>
      </c>
      <c r="C1240" t="s">
        <v>2023</v>
      </c>
      <c r="D1240" t="s">
        <v>2024</v>
      </c>
      <c r="E1240" t="s">
        <v>3710</v>
      </c>
      <c r="F1240" t="s">
        <v>3711</v>
      </c>
      <c r="G1240">
        <v>2</v>
      </c>
      <c r="H1240">
        <v>1560</v>
      </c>
      <c r="I1240">
        <v>4</v>
      </c>
      <c r="J1240">
        <v>8.4</v>
      </c>
      <c r="K1240">
        <v>5</v>
      </c>
      <c r="L1240">
        <v>8.5999999999999993E-2</v>
      </c>
      <c r="M1240">
        <v>1</v>
      </c>
      <c r="N1240">
        <v>74</v>
      </c>
      <c r="O1240">
        <v>3</v>
      </c>
      <c r="P1240">
        <v>0.375</v>
      </c>
      <c r="Q1240">
        <v>5</v>
      </c>
      <c r="R1240">
        <v>8.0000000000000002E-3</v>
      </c>
      <c r="T1240" s="8" t="s">
        <v>3710</v>
      </c>
    </row>
    <row r="1241" spans="1:20" x14ac:dyDescent="0.2">
      <c r="A1241" t="s">
        <v>3712</v>
      </c>
      <c r="B1241" t="s">
        <v>2022</v>
      </c>
      <c r="C1241" t="s">
        <v>2104</v>
      </c>
      <c r="D1241" t="s">
        <v>2024</v>
      </c>
      <c r="E1241" t="s">
        <v>3713</v>
      </c>
      <c r="F1241" t="s">
        <v>3714</v>
      </c>
      <c r="G1241">
        <v>5</v>
      </c>
      <c r="H1241">
        <v>2237.5</v>
      </c>
      <c r="I1241">
        <v>5</v>
      </c>
      <c r="J1241">
        <v>10.15</v>
      </c>
      <c r="K1241">
        <v>5</v>
      </c>
      <c r="L1241">
        <v>0.191</v>
      </c>
      <c r="M1241">
        <v>5</v>
      </c>
      <c r="N1241">
        <v>89</v>
      </c>
      <c r="P1241">
        <v>0</v>
      </c>
      <c r="Q1241">
        <v>5</v>
      </c>
      <c r="R1241">
        <v>1.8200000000000001E-2</v>
      </c>
      <c r="T1241" s="8" t="s">
        <v>3713</v>
      </c>
    </row>
    <row r="1242" spans="1:20" x14ac:dyDescent="0.2">
      <c r="A1242" t="s">
        <v>3715</v>
      </c>
      <c r="B1242" t="s">
        <v>2022</v>
      </c>
      <c r="C1242" t="s">
        <v>2036</v>
      </c>
      <c r="D1242" t="s">
        <v>2024</v>
      </c>
      <c r="E1242" t="s">
        <v>3716</v>
      </c>
      <c r="F1242" t="s">
        <v>3717</v>
      </c>
      <c r="G1242">
        <v>2</v>
      </c>
      <c r="H1242">
        <v>1640</v>
      </c>
      <c r="I1242">
        <v>4</v>
      </c>
      <c r="J1242">
        <v>5.8</v>
      </c>
      <c r="K1242">
        <v>1</v>
      </c>
      <c r="L1242">
        <v>5.5E-2</v>
      </c>
      <c r="M1242">
        <v>1</v>
      </c>
      <c r="N1242">
        <v>76</v>
      </c>
      <c r="O1242">
        <v>2</v>
      </c>
      <c r="P1242">
        <v>0.20499999999999999</v>
      </c>
      <c r="Q1242">
        <v>1</v>
      </c>
      <c r="R1242">
        <v>1.5E-3</v>
      </c>
      <c r="T1242" s="8" t="s">
        <v>3716</v>
      </c>
    </row>
    <row r="1243" spans="1:20" x14ac:dyDescent="0.2">
      <c r="A1243" t="s">
        <v>3718</v>
      </c>
      <c r="B1243" t="s">
        <v>2022</v>
      </c>
      <c r="C1243" t="s">
        <v>2053</v>
      </c>
      <c r="D1243" t="s">
        <v>2024</v>
      </c>
      <c r="E1243" t="s">
        <v>3719</v>
      </c>
      <c r="F1243" t="s">
        <v>3720</v>
      </c>
      <c r="G1243">
        <v>4</v>
      </c>
      <c r="H1243">
        <v>1800</v>
      </c>
      <c r="I1243">
        <v>5</v>
      </c>
      <c r="J1243">
        <v>11.55</v>
      </c>
      <c r="K1243">
        <v>5</v>
      </c>
      <c r="L1243">
        <v>0.41499999999999998</v>
      </c>
      <c r="M1243">
        <v>4</v>
      </c>
      <c r="N1243">
        <v>103</v>
      </c>
      <c r="O1243">
        <v>5</v>
      </c>
      <c r="P1243">
        <v>0.67500000000000004</v>
      </c>
      <c r="Q1243">
        <v>5</v>
      </c>
      <c r="R1243">
        <v>2.6200000000000001E-2</v>
      </c>
      <c r="T1243" s="8" t="s">
        <v>3719</v>
      </c>
    </row>
    <row r="1244" spans="1:20" x14ac:dyDescent="0.2">
      <c r="A1244" t="s">
        <v>3721</v>
      </c>
      <c r="B1244" t="s">
        <v>2022</v>
      </c>
      <c r="C1244" t="s">
        <v>2036</v>
      </c>
      <c r="D1244" t="s">
        <v>2024</v>
      </c>
      <c r="E1244" t="s">
        <v>357</v>
      </c>
      <c r="F1244" t="s">
        <v>447</v>
      </c>
      <c r="G1244">
        <v>4</v>
      </c>
      <c r="H1244">
        <v>1840</v>
      </c>
      <c r="I1244">
        <v>5</v>
      </c>
      <c r="J1244">
        <v>7</v>
      </c>
      <c r="K1244">
        <v>5</v>
      </c>
      <c r="L1244">
        <v>0.17499999999999999</v>
      </c>
      <c r="M1244">
        <v>2</v>
      </c>
      <c r="N1244">
        <v>82</v>
      </c>
      <c r="O1244">
        <v>5</v>
      </c>
      <c r="P1244">
        <v>0.53500000000000003</v>
      </c>
      <c r="Q1244">
        <v>5</v>
      </c>
      <c r="R1244">
        <v>1.2E-2</v>
      </c>
      <c r="T1244" s="8" t="s">
        <v>357</v>
      </c>
    </row>
    <row r="1245" spans="1:20" x14ac:dyDescent="0.2">
      <c r="A1245" t="s">
        <v>3722</v>
      </c>
      <c r="B1245" t="s">
        <v>2022</v>
      </c>
      <c r="C1245" t="s">
        <v>2023</v>
      </c>
      <c r="D1245" t="s">
        <v>2024</v>
      </c>
      <c r="E1245" t="s">
        <v>3723</v>
      </c>
      <c r="F1245" t="s">
        <v>3724</v>
      </c>
      <c r="G1245">
        <v>2</v>
      </c>
      <c r="H1245">
        <v>1560</v>
      </c>
      <c r="I1245">
        <v>1</v>
      </c>
      <c r="J1245">
        <v>0.9</v>
      </c>
      <c r="K1245">
        <v>1</v>
      </c>
      <c r="L1245">
        <v>6.0000000000000001E-3</v>
      </c>
      <c r="M1245">
        <v>1</v>
      </c>
      <c r="N1245">
        <v>74</v>
      </c>
      <c r="O1245">
        <v>1</v>
      </c>
      <c r="P1245">
        <v>7.4999999999999997E-2</v>
      </c>
      <c r="Q1245">
        <v>1</v>
      </c>
      <c r="R1245">
        <v>5.0000000000000001E-4</v>
      </c>
      <c r="T1245" s="8" t="s">
        <v>3723</v>
      </c>
    </row>
    <row r="1246" spans="1:20" x14ac:dyDescent="0.2">
      <c r="A1246" t="s">
        <v>3725</v>
      </c>
      <c r="B1246" t="s">
        <v>2022</v>
      </c>
      <c r="C1246" t="s">
        <v>2023</v>
      </c>
      <c r="D1246" t="s">
        <v>2024</v>
      </c>
      <c r="E1246" t="s">
        <v>3726</v>
      </c>
      <c r="F1246" t="s">
        <v>3727</v>
      </c>
      <c r="G1246">
        <v>4</v>
      </c>
      <c r="H1246">
        <v>1720</v>
      </c>
      <c r="I1246">
        <v>2</v>
      </c>
      <c r="J1246">
        <v>3.4</v>
      </c>
      <c r="K1246">
        <v>2</v>
      </c>
      <c r="L1246">
        <v>2.5999999999999999E-2</v>
      </c>
      <c r="M1246">
        <v>5</v>
      </c>
      <c r="N1246">
        <v>114</v>
      </c>
      <c r="O1246">
        <v>2</v>
      </c>
      <c r="P1246">
        <v>0.22500000000000001</v>
      </c>
      <c r="Q1246">
        <v>2</v>
      </c>
      <c r="R1246">
        <v>2E-3</v>
      </c>
      <c r="T1246" s="8" t="s">
        <v>3726</v>
      </c>
    </row>
    <row r="1247" spans="1:20" x14ac:dyDescent="0.2">
      <c r="A1247" t="s">
        <v>3728</v>
      </c>
      <c r="B1247" t="s">
        <v>2022</v>
      </c>
      <c r="C1247" t="s">
        <v>2023</v>
      </c>
      <c r="D1247" t="s">
        <v>2024</v>
      </c>
      <c r="E1247" t="s">
        <v>3729</v>
      </c>
      <c r="F1247" t="s">
        <v>3730</v>
      </c>
      <c r="G1247">
        <v>2</v>
      </c>
      <c r="H1247">
        <v>1560</v>
      </c>
      <c r="I1247">
        <v>2</v>
      </c>
      <c r="J1247">
        <v>3.4</v>
      </c>
      <c r="K1247">
        <v>2</v>
      </c>
      <c r="L1247">
        <v>2.5999999999999999E-2</v>
      </c>
      <c r="M1247">
        <v>2</v>
      </c>
      <c r="N1247">
        <v>84</v>
      </c>
      <c r="O1247">
        <v>2</v>
      </c>
      <c r="P1247">
        <v>0.22500000000000001</v>
      </c>
      <c r="Q1247">
        <v>1</v>
      </c>
      <c r="R1247">
        <v>5.0000000000000001E-4</v>
      </c>
      <c r="T1247" s="8" t="s">
        <v>3729</v>
      </c>
    </row>
    <row r="1248" spans="1:20" x14ac:dyDescent="0.2">
      <c r="A1248" t="s">
        <v>3731</v>
      </c>
      <c r="B1248" t="s">
        <v>2022</v>
      </c>
      <c r="C1248" t="s">
        <v>2101</v>
      </c>
      <c r="D1248" t="s">
        <v>2024</v>
      </c>
      <c r="E1248" t="s">
        <v>3732</v>
      </c>
      <c r="F1248" t="s">
        <v>3733</v>
      </c>
      <c r="G1248">
        <v>1</v>
      </c>
      <c r="H1248">
        <v>1570</v>
      </c>
      <c r="I1248">
        <v>5</v>
      </c>
      <c r="J1248">
        <v>14</v>
      </c>
      <c r="K1248">
        <v>4</v>
      </c>
      <c r="L1248">
        <v>0.39050000000000001</v>
      </c>
      <c r="M1248">
        <v>2</v>
      </c>
      <c r="N1248">
        <v>74</v>
      </c>
      <c r="O1248">
        <v>4</v>
      </c>
      <c r="P1248">
        <v>0.52500000000000002</v>
      </c>
      <c r="Q1248">
        <v>4</v>
      </c>
      <c r="R1248">
        <v>1.8499999999999999E-2</v>
      </c>
      <c r="T1248" s="8" t="s">
        <v>3732</v>
      </c>
    </row>
    <row r="1249" spans="1:20" x14ac:dyDescent="0.2">
      <c r="A1249" t="s">
        <v>3734</v>
      </c>
      <c r="B1249" t="s">
        <v>2022</v>
      </c>
      <c r="C1249" t="s">
        <v>2023</v>
      </c>
      <c r="D1249" t="s">
        <v>2024</v>
      </c>
      <c r="E1249" t="s">
        <v>3735</v>
      </c>
      <c r="F1249" t="s">
        <v>3736</v>
      </c>
      <c r="G1249">
        <v>2</v>
      </c>
      <c r="H1249">
        <v>1560</v>
      </c>
      <c r="I1249">
        <v>2</v>
      </c>
      <c r="J1249">
        <v>3.4</v>
      </c>
      <c r="K1249">
        <v>2</v>
      </c>
      <c r="L1249">
        <v>2.5999999999999999E-2</v>
      </c>
      <c r="M1249">
        <v>2</v>
      </c>
      <c r="N1249">
        <v>84</v>
      </c>
      <c r="O1249">
        <v>2</v>
      </c>
      <c r="P1249">
        <v>0.22500000000000001</v>
      </c>
      <c r="Q1249">
        <v>2</v>
      </c>
      <c r="R1249">
        <v>2E-3</v>
      </c>
      <c r="T1249" s="8" t="s">
        <v>3735</v>
      </c>
    </row>
    <row r="1250" spans="1:20" x14ac:dyDescent="0.2">
      <c r="A1250" t="s">
        <v>3737</v>
      </c>
      <c r="B1250" t="s">
        <v>2022</v>
      </c>
      <c r="C1250" t="s">
        <v>2053</v>
      </c>
      <c r="D1250" t="s">
        <v>2154</v>
      </c>
      <c r="E1250" t="s">
        <v>3738</v>
      </c>
      <c r="F1250" t="s">
        <v>3739</v>
      </c>
      <c r="G1250">
        <v>4</v>
      </c>
      <c r="H1250">
        <v>1800</v>
      </c>
      <c r="I1250">
        <v>5</v>
      </c>
      <c r="J1250">
        <v>11.55</v>
      </c>
      <c r="K1250">
        <v>5</v>
      </c>
      <c r="L1250">
        <v>0.41499999999999998</v>
      </c>
      <c r="M1250">
        <v>1</v>
      </c>
      <c r="N1250">
        <v>73</v>
      </c>
      <c r="O1250">
        <v>5</v>
      </c>
      <c r="P1250">
        <v>0.67500000000000004</v>
      </c>
      <c r="Q1250">
        <v>5</v>
      </c>
      <c r="R1250">
        <v>2.6200000000000001E-2</v>
      </c>
      <c r="T1250" s="8" t="s">
        <v>3738</v>
      </c>
    </row>
    <row r="1251" spans="1:20" x14ac:dyDescent="0.2">
      <c r="A1251" t="s">
        <v>3740</v>
      </c>
      <c r="B1251" t="s">
        <v>2022</v>
      </c>
      <c r="C1251" t="s">
        <v>2101</v>
      </c>
      <c r="D1251" t="s">
        <v>2024</v>
      </c>
      <c r="E1251" t="s">
        <v>3741</v>
      </c>
      <c r="F1251" t="s">
        <v>3742</v>
      </c>
      <c r="G1251">
        <v>3</v>
      </c>
      <c r="H1251">
        <v>1770</v>
      </c>
      <c r="I1251">
        <v>1</v>
      </c>
      <c r="J1251">
        <v>2</v>
      </c>
      <c r="K1251">
        <v>2</v>
      </c>
      <c r="L1251">
        <v>9.6500000000000002E-2</v>
      </c>
      <c r="M1251">
        <v>2</v>
      </c>
      <c r="N1251">
        <v>74</v>
      </c>
      <c r="O1251">
        <v>1</v>
      </c>
      <c r="P1251">
        <v>7.4999999999999997E-2</v>
      </c>
      <c r="Q1251">
        <v>1</v>
      </c>
      <c r="R1251">
        <v>5.0000000000000001E-4</v>
      </c>
      <c r="T1251" s="8" t="s">
        <v>3741</v>
      </c>
    </row>
    <row r="1252" spans="1:20" x14ac:dyDescent="0.2">
      <c r="A1252" t="s">
        <v>3743</v>
      </c>
      <c r="B1252" t="s">
        <v>2022</v>
      </c>
      <c r="C1252" t="s">
        <v>2023</v>
      </c>
      <c r="D1252" t="s">
        <v>2024</v>
      </c>
      <c r="E1252" t="s">
        <v>3744</v>
      </c>
      <c r="F1252" t="s">
        <v>3745</v>
      </c>
      <c r="G1252">
        <v>4</v>
      </c>
      <c r="H1252">
        <v>1720</v>
      </c>
      <c r="I1252">
        <v>3</v>
      </c>
      <c r="J1252">
        <v>5.9</v>
      </c>
      <c r="K1252">
        <v>2</v>
      </c>
      <c r="L1252">
        <v>2.5999999999999999E-2</v>
      </c>
      <c r="M1252">
        <v>2</v>
      </c>
      <c r="N1252">
        <v>84</v>
      </c>
      <c r="O1252">
        <v>3</v>
      </c>
      <c r="P1252">
        <v>0.375</v>
      </c>
      <c r="Q1252">
        <v>2</v>
      </c>
      <c r="R1252">
        <v>2E-3</v>
      </c>
      <c r="T1252" s="8" t="s">
        <v>3744</v>
      </c>
    </row>
    <row r="1253" spans="1:20" x14ac:dyDescent="0.2">
      <c r="A1253" t="s">
        <v>3746</v>
      </c>
      <c r="B1253" t="s">
        <v>2022</v>
      </c>
      <c r="C1253" t="s">
        <v>2036</v>
      </c>
      <c r="D1253" t="s">
        <v>2024</v>
      </c>
      <c r="E1253" t="s">
        <v>3747</v>
      </c>
      <c r="F1253" t="s">
        <v>3748</v>
      </c>
      <c r="G1253">
        <v>3</v>
      </c>
      <c r="H1253">
        <v>1740</v>
      </c>
      <c r="I1253">
        <v>2</v>
      </c>
      <c r="J1253">
        <v>3.4</v>
      </c>
      <c r="K1253">
        <v>1</v>
      </c>
      <c r="L1253">
        <v>5.5E-2</v>
      </c>
      <c r="M1253">
        <v>4</v>
      </c>
      <c r="N1253">
        <v>94</v>
      </c>
      <c r="O1253">
        <v>2</v>
      </c>
      <c r="P1253">
        <v>0.20499999999999999</v>
      </c>
      <c r="Q1253">
        <v>2</v>
      </c>
      <c r="R1253">
        <v>4.2500000000000003E-3</v>
      </c>
      <c r="T1253" s="8" t="s">
        <v>3747</v>
      </c>
    </row>
    <row r="1254" spans="1:20" x14ac:dyDescent="0.2">
      <c r="A1254" t="s">
        <v>3749</v>
      </c>
      <c r="B1254" t="s">
        <v>2022</v>
      </c>
      <c r="C1254" t="s">
        <v>2036</v>
      </c>
      <c r="D1254" t="s">
        <v>2024</v>
      </c>
      <c r="E1254" t="s">
        <v>3750</v>
      </c>
      <c r="F1254" t="s">
        <v>3751</v>
      </c>
      <c r="G1254">
        <v>1</v>
      </c>
      <c r="H1254">
        <v>1540</v>
      </c>
      <c r="I1254">
        <v>1</v>
      </c>
      <c r="J1254">
        <v>2.2000000000000002</v>
      </c>
      <c r="K1254">
        <v>2</v>
      </c>
      <c r="L1254">
        <v>8.5000000000000006E-2</v>
      </c>
      <c r="M1254">
        <v>1</v>
      </c>
      <c r="N1254">
        <v>76</v>
      </c>
      <c r="O1254">
        <v>1</v>
      </c>
      <c r="P1254">
        <v>9.5000000000000001E-2</v>
      </c>
      <c r="Q1254">
        <v>2</v>
      </c>
      <c r="R1254">
        <v>4.2500000000000003E-3</v>
      </c>
      <c r="T1254" s="8" t="s">
        <v>3750</v>
      </c>
    </row>
    <row r="1255" spans="1:20" x14ac:dyDescent="0.2">
      <c r="A1255" t="s">
        <v>3752</v>
      </c>
      <c r="B1255" t="s">
        <v>2022</v>
      </c>
      <c r="C1255" t="s">
        <v>2101</v>
      </c>
      <c r="D1255" t="s">
        <v>2024</v>
      </c>
      <c r="E1255" t="s">
        <v>3753</v>
      </c>
      <c r="F1255" t="s">
        <v>3754</v>
      </c>
      <c r="G1255">
        <v>5</v>
      </c>
      <c r="H1255">
        <v>1970</v>
      </c>
      <c r="I1255">
        <v>2</v>
      </c>
      <c r="J1255">
        <v>5</v>
      </c>
      <c r="K1255">
        <v>2</v>
      </c>
      <c r="L1255">
        <v>9.6500000000000002E-2</v>
      </c>
      <c r="M1255">
        <v>2</v>
      </c>
      <c r="N1255">
        <v>74</v>
      </c>
      <c r="O1255">
        <v>2</v>
      </c>
      <c r="P1255">
        <v>0.22500000000000001</v>
      </c>
      <c r="Q1255">
        <v>2</v>
      </c>
      <c r="R1255">
        <v>4.4999999999999997E-3</v>
      </c>
      <c r="T1255" s="8" t="s">
        <v>3753</v>
      </c>
    </row>
    <row r="1256" spans="1:20" x14ac:dyDescent="0.2">
      <c r="A1256" t="s">
        <v>3755</v>
      </c>
      <c r="B1256" t="s">
        <v>2022</v>
      </c>
      <c r="C1256" t="s">
        <v>2023</v>
      </c>
      <c r="D1256" t="s">
        <v>2024</v>
      </c>
      <c r="E1256" t="s">
        <v>3756</v>
      </c>
      <c r="F1256" t="s">
        <v>3757</v>
      </c>
      <c r="G1256">
        <v>2</v>
      </c>
      <c r="H1256">
        <v>1560</v>
      </c>
      <c r="I1256">
        <v>4</v>
      </c>
      <c r="J1256">
        <v>8.4</v>
      </c>
      <c r="K1256">
        <v>5</v>
      </c>
      <c r="L1256">
        <v>8.5999999999999993E-2</v>
      </c>
      <c r="M1256">
        <v>3</v>
      </c>
      <c r="N1256">
        <v>94</v>
      </c>
      <c r="O1256">
        <v>4</v>
      </c>
      <c r="P1256">
        <v>0.52500000000000002</v>
      </c>
      <c r="Q1256">
        <v>5</v>
      </c>
      <c r="R1256">
        <v>8.0000000000000002E-3</v>
      </c>
      <c r="T1256" s="8" t="s">
        <v>3756</v>
      </c>
    </row>
    <row r="1257" spans="1:20" x14ac:dyDescent="0.2">
      <c r="A1257" t="s">
        <v>3758</v>
      </c>
      <c r="B1257" t="s">
        <v>2022</v>
      </c>
      <c r="C1257" t="s">
        <v>2036</v>
      </c>
      <c r="D1257" t="s">
        <v>2024</v>
      </c>
      <c r="E1257" t="s">
        <v>3759</v>
      </c>
      <c r="F1257" t="s">
        <v>3760</v>
      </c>
      <c r="G1257">
        <v>3</v>
      </c>
      <c r="H1257">
        <v>1740</v>
      </c>
      <c r="I1257">
        <v>2</v>
      </c>
      <c r="J1257">
        <v>3.4</v>
      </c>
      <c r="K1257">
        <v>3</v>
      </c>
      <c r="L1257">
        <v>0.115</v>
      </c>
      <c r="M1257">
        <v>2</v>
      </c>
      <c r="N1257">
        <v>82</v>
      </c>
      <c r="O1257">
        <v>2</v>
      </c>
      <c r="P1257">
        <v>0.20499999999999999</v>
      </c>
      <c r="Q1257">
        <v>3</v>
      </c>
      <c r="R1257">
        <v>6.7499999999999999E-3</v>
      </c>
      <c r="T1257" s="8" t="s">
        <v>3759</v>
      </c>
    </row>
    <row r="1258" spans="1:20" x14ac:dyDescent="0.2">
      <c r="A1258" t="s">
        <v>3761</v>
      </c>
      <c r="B1258" t="s">
        <v>2022</v>
      </c>
      <c r="C1258" t="s">
        <v>2023</v>
      </c>
      <c r="D1258" t="s">
        <v>2024</v>
      </c>
      <c r="E1258" t="s">
        <v>3762</v>
      </c>
      <c r="F1258" t="s">
        <v>3763</v>
      </c>
      <c r="G1258">
        <v>1</v>
      </c>
      <c r="H1258">
        <v>1480</v>
      </c>
      <c r="I1258">
        <v>2</v>
      </c>
      <c r="J1258">
        <v>3.4</v>
      </c>
      <c r="K1258">
        <v>2</v>
      </c>
      <c r="L1258">
        <v>2.5999999999999999E-2</v>
      </c>
      <c r="M1258">
        <v>3</v>
      </c>
      <c r="N1258">
        <v>94</v>
      </c>
      <c r="O1258">
        <v>1</v>
      </c>
      <c r="P1258">
        <v>7.4999999999999997E-2</v>
      </c>
      <c r="Q1258">
        <v>2</v>
      </c>
      <c r="R1258">
        <v>2E-3</v>
      </c>
      <c r="T1258" s="8" t="s">
        <v>3762</v>
      </c>
    </row>
    <row r="1259" spans="1:20" x14ac:dyDescent="0.2">
      <c r="A1259" t="s">
        <v>3764</v>
      </c>
      <c r="B1259" t="s">
        <v>2022</v>
      </c>
      <c r="C1259" t="s">
        <v>2053</v>
      </c>
      <c r="D1259" t="s">
        <v>2024</v>
      </c>
      <c r="E1259" t="s">
        <v>3765</v>
      </c>
      <c r="F1259" t="s">
        <v>3766</v>
      </c>
      <c r="G1259">
        <v>1</v>
      </c>
      <c r="H1259">
        <v>1500</v>
      </c>
      <c r="I1259">
        <v>1</v>
      </c>
      <c r="J1259">
        <v>1.55</v>
      </c>
      <c r="K1259">
        <v>1</v>
      </c>
      <c r="L1259">
        <v>1.4999999999999999E-2</v>
      </c>
      <c r="M1259">
        <v>5</v>
      </c>
      <c r="N1259">
        <v>113</v>
      </c>
      <c r="O1259">
        <v>2</v>
      </c>
      <c r="P1259">
        <v>0.22500000000000001</v>
      </c>
      <c r="Q1259">
        <v>2</v>
      </c>
      <c r="R1259">
        <v>5.1999999999999998E-3</v>
      </c>
      <c r="T1259" s="8" t="s">
        <v>3765</v>
      </c>
    </row>
    <row r="1260" spans="1:20" x14ac:dyDescent="0.2">
      <c r="A1260" t="s">
        <v>3767</v>
      </c>
      <c r="B1260" t="s">
        <v>2022</v>
      </c>
      <c r="C1260" t="s">
        <v>2053</v>
      </c>
      <c r="D1260" t="s">
        <v>2024</v>
      </c>
      <c r="E1260" t="s">
        <v>3768</v>
      </c>
      <c r="F1260" t="s">
        <v>3769</v>
      </c>
      <c r="G1260">
        <v>3</v>
      </c>
      <c r="H1260">
        <v>1700</v>
      </c>
      <c r="I1260">
        <v>2</v>
      </c>
      <c r="J1260">
        <v>4.05</v>
      </c>
      <c r="K1260">
        <v>2</v>
      </c>
      <c r="L1260">
        <v>8.5000000000000006E-2</v>
      </c>
      <c r="M1260">
        <v>3</v>
      </c>
      <c r="N1260">
        <v>93</v>
      </c>
      <c r="O1260">
        <v>2</v>
      </c>
      <c r="P1260">
        <v>0.22500000000000001</v>
      </c>
      <c r="Q1260">
        <v>2</v>
      </c>
      <c r="R1260">
        <v>5.1999999999999998E-3</v>
      </c>
      <c r="T1260" s="8" t="s">
        <v>3768</v>
      </c>
    </row>
    <row r="1261" spans="1:20" x14ac:dyDescent="0.2">
      <c r="A1261" t="s">
        <v>3770</v>
      </c>
      <c r="B1261" t="s">
        <v>2022</v>
      </c>
      <c r="C1261" t="s">
        <v>2049</v>
      </c>
      <c r="D1261" t="s">
        <v>2024</v>
      </c>
      <c r="E1261" t="s">
        <v>284</v>
      </c>
      <c r="F1261" t="s">
        <v>3771</v>
      </c>
      <c r="G1261">
        <v>4</v>
      </c>
      <c r="H1261">
        <v>1650</v>
      </c>
      <c r="I1261">
        <v>3</v>
      </c>
      <c r="J1261">
        <v>5</v>
      </c>
      <c r="K1261">
        <v>3</v>
      </c>
      <c r="L1261">
        <v>0.14000000000000001</v>
      </c>
      <c r="M1261">
        <v>2</v>
      </c>
      <c r="N1261">
        <v>106</v>
      </c>
      <c r="O1261">
        <v>2</v>
      </c>
      <c r="P1261">
        <v>0.26</v>
      </c>
      <c r="Q1261">
        <v>2</v>
      </c>
      <c r="R1261">
        <v>6.1999999999999998E-3</v>
      </c>
      <c r="T1261" s="8" t="s">
        <v>284</v>
      </c>
    </row>
    <row r="1262" spans="1:20" x14ac:dyDescent="0.2">
      <c r="A1262" t="s">
        <v>3772</v>
      </c>
      <c r="B1262" t="s">
        <v>2022</v>
      </c>
      <c r="C1262" t="s">
        <v>2023</v>
      </c>
      <c r="D1262" t="s">
        <v>2024</v>
      </c>
      <c r="E1262" t="s">
        <v>3773</v>
      </c>
      <c r="F1262" t="s">
        <v>447</v>
      </c>
      <c r="G1262">
        <v>4</v>
      </c>
      <c r="H1262">
        <v>1720</v>
      </c>
      <c r="I1262">
        <v>2</v>
      </c>
      <c r="J1262">
        <v>3.4</v>
      </c>
      <c r="K1262">
        <v>2</v>
      </c>
      <c r="L1262">
        <v>2.5999999999999999E-2</v>
      </c>
      <c r="M1262">
        <v>2</v>
      </c>
      <c r="N1262">
        <v>84</v>
      </c>
      <c r="O1262">
        <v>2</v>
      </c>
      <c r="P1262">
        <v>0.22500000000000001</v>
      </c>
      <c r="Q1262">
        <v>1</v>
      </c>
      <c r="R1262">
        <v>5.0000000000000001E-4</v>
      </c>
      <c r="T1262" s="8" t="s">
        <v>3773</v>
      </c>
    </row>
    <row r="1263" spans="1:20" x14ac:dyDescent="0.2">
      <c r="A1263" t="s">
        <v>3774</v>
      </c>
      <c r="B1263" t="s">
        <v>2022</v>
      </c>
      <c r="C1263" t="s">
        <v>2023</v>
      </c>
      <c r="D1263" t="s">
        <v>2024</v>
      </c>
      <c r="E1263" t="s">
        <v>3775</v>
      </c>
      <c r="F1263" t="s">
        <v>3776</v>
      </c>
      <c r="G1263">
        <v>2</v>
      </c>
      <c r="H1263">
        <v>1560</v>
      </c>
      <c r="I1263">
        <v>3</v>
      </c>
      <c r="J1263">
        <v>5.9</v>
      </c>
      <c r="K1263">
        <v>4</v>
      </c>
      <c r="L1263">
        <v>6.6000000000000003E-2</v>
      </c>
      <c r="M1263">
        <v>2</v>
      </c>
      <c r="N1263">
        <v>84</v>
      </c>
      <c r="O1263">
        <v>3</v>
      </c>
      <c r="P1263">
        <v>0.375</v>
      </c>
      <c r="Q1263">
        <v>3</v>
      </c>
      <c r="R1263">
        <v>4.0000000000000001E-3</v>
      </c>
      <c r="T1263" s="8" t="s">
        <v>3775</v>
      </c>
    </row>
    <row r="1264" spans="1:20" x14ac:dyDescent="0.2">
      <c r="A1264" t="s">
        <v>3777</v>
      </c>
      <c r="B1264" t="s">
        <v>2022</v>
      </c>
      <c r="C1264" t="s">
        <v>2095</v>
      </c>
      <c r="D1264" t="s">
        <v>2024</v>
      </c>
      <c r="E1264" t="s">
        <v>3778</v>
      </c>
      <c r="F1264" t="s">
        <v>3779</v>
      </c>
      <c r="G1264">
        <v>2</v>
      </c>
      <c r="H1264">
        <v>1655</v>
      </c>
      <c r="I1264">
        <v>5</v>
      </c>
      <c r="J1264">
        <v>16.5</v>
      </c>
      <c r="K1264">
        <v>5</v>
      </c>
      <c r="L1264">
        <v>0.73</v>
      </c>
      <c r="M1264">
        <v>2</v>
      </c>
      <c r="N1264">
        <v>80</v>
      </c>
      <c r="O1264">
        <v>5</v>
      </c>
      <c r="P1264">
        <v>0.95</v>
      </c>
      <c r="Q1264">
        <v>5</v>
      </c>
      <c r="R1264">
        <v>3.2899999999999999E-2</v>
      </c>
      <c r="T1264" s="8" t="s">
        <v>3778</v>
      </c>
    </row>
    <row r="1265" spans="1:20" x14ac:dyDescent="0.2">
      <c r="A1265" t="s">
        <v>3780</v>
      </c>
      <c r="B1265" t="s">
        <v>2022</v>
      </c>
      <c r="C1265" t="s">
        <v>2023</v>
      </c>
      <c r="D1265" t="s">
        <v>2024</v>
      </c>
      <c r="E1265" t="s">
        <v>3778</v>
      </c>
      <c r="F1265" t="s">
        <v>3779</v>
      </c>
      <c r="G1265">
        <v>3</v>
      </c>
      <c r="H1265">
        <v>1640</v>
      </c>
      <c r="I1265">
        <v>3</v>
      </c>
      <c r="J1265">
        <v>5.9</v>
      </c>
      <c r="K1265">
        <v>5</v>
      </c>
      <c r="L1265">
        <v>8.5999999999999993E-2</v>
      </c>
      <c r="M1265">
        <v>2</v>
      </c>
      <c r="N1265">
        <v>84</v>
      </c>
      <c r="O1265">
        <v>3</v>
      </c>
      <c r="P1265">
        <v>0.375</v>
      </c>
      <c r="Q1265">
        <v>3</v>
      </c>
      <c r="R1265">
        <v>4.0000000000000001E-3</v>
      </c>
      <c r="T1265" s="8" t="s">
        <v>3778</v>
      </c>
    </row>
    <row r="1266" spans="1:20" x14ac:dyDescent="0.2">
      <c r="A1266" t="s">
        <v>3781</v>
      </c>
      <c r="B1266" t="s">
        <v>2022</v>
      </c>
      <c r="C1266" t="s">
        <v>2053</v>
      </c>
      <c r="D1266" t="s">
        <v>2024</v>
      </c>
      <c r="E1266" t="s">
        <v>3782</v>
      </c>
      <c r="F1266" t="s">
        <v>3783</v>
      </c>
      <c r="G1266">
        <v>1</v>
      </c>
      <c r="H1266">
        <v>1500</v>
      </c>
      <c r="I1266">
        <v>1</v>
      </c>
      <c r="J1266">
        <v>1.55</v>
      </c>
      <c r="K1266">
        <v>2</v>
      </c>
      <c r="L1266">
        <v>8.5000000000000006E-2</v>
      </c>
      <c r="M1266">
        <v>5</v>
      </c>
      <c r="N1266">
        <v>113</v>
      </c>
      <c r="O1266">
        <v>2</v>
      </c>
      <c r="P1266">
        <v>0.22500000000000001</v>
      </c>
      <c r="Q1266">
        <v>2</v>
      </c>
      <c r="R1266">
        <v>5.1999999999999998E-3</v>
      </c>
      <c r="T1266" s="8" t="s">
        <v>3782</v>
      </c>
    </row>
    <row r="1267" spans="1:20" x14ac:dyDescent="0.2">
      <c r="A1267" t="s">
        <v>3784</v>
      </c>
      <c r="B1267" t="s">
        <v>2022</v>
      </c>
      <c r="C1267" t="s">
        <v>2023</v>
      </c>
      <c r="D1267" t="s">
        <v>2024</v>
      </c>
      <c r="E1267" t="s">
        <v>3785</v>
      </c>
      <c r="F1267" t="s">
        <v>3786</v>
      </c>
      <c r="G1267">
        <v>2</v>
      </c>
      <c r="H1267">
        <v>1560</v>
      </c>
      <c r="I1267">
        <v>2</v>
      </c>
      <c r="J1267">
        <v>3.4</v>
      </c>
      <c r="K1267">
        <v>5</v>
      </c>
      <c r="L1267">
        <v>8.5999999999999993E-2</v>
      </c>
      <c r="M1267">
        <v>2</v>
      </c>
      <c r="N1267">
        <v>84</v>
      </c>
      <c r="O1267">
        <v>2</v>
      </c>
      <c r="P1267">
        <v>0.22500000000000001</v>
      </c>
      <c r="Q1267">
        <v>5</v>
      </c>
      <c r="R1267">
        <v>8.0000000000000002E-3</v>
      </c>
      <c r="T1267" s="8" t="s">
        <v>3785</v>
      </c>
    </row>
    <row r="1268" spans="1:20" x14ac:dyDescent="0.2">
      <c r="A1268" t="s">
        <v>3787</v>
      </c>
      <c r="B1268" t="s">
        <v>2022</v>
      </c>
      <c r="C1268" t="s">
        <v>2053</v>
      </c>
      <c r="D1268" t="s">
        <v>2024</v>
      </c>
      <c r="E1268" t="s">
        <v>3788</v>
      </c>
      <c r="F1268" t="s">
        <v>3789</v>
      </c>
      <c r="G1268">
        <v>4</v>
      </c>
      <c r="H1268">
        <v>1800</v>
      </c>
      <c r="I1268">
        <v>5</v>
      </c>
      <c r="J1268">
        <v>11.55</v>
      </c>
      <c r="K1268">
        <v>5</v>
      </c>
      <c r="L1268">
        <v>0.41499999999999998</v>
      </c>
      <c r="M1268">
        <v>2</v>
      </c>
      <c r="N1268">
        <v>83</v>
      </c>
      <c r="O1268">
        <v>5</v>
      </c>
      <c r="P1268">
        <v>0.67500000000000004</v>
      </c>
      <c r="Q1268">
        <v>4</v>
      </c>
      <c r="R1268">
        <v>1.9199999999999998E-2</v>
      </c>
      <c r="T1268" s="8" t="s">
        <v>3788</v>
      </c>
    </row>
    <row r="1269" spans="1:20" x14ac:dyDescent="0.2">
      <c r="A1269" t="s">
        <v>3790</v>
      </c>
      <c r="B1269" t="s">
        <v>2022</v>
      </c>
      <c r="C1269" t="s">
        <v>2101</v>
      </c>
      <c r="D1269" t="s">
        <v>2024</v>
      </c>
      <c r="E1269" t="s">
        <v>3791</v>
      </c>
      <c r="F1269" t="s">
        <v>3792</v>
      </c>
      <c r="G1269">
        <v>1</v>
      </c>
      <c r="H1269">
        <v>1570</v>
      </c>
      <c r="I1269">
        <v>2</v>
      </c>
      <c r="J1269">
        <v>5</v>
      </c>
      <c r="K1269">
        <v>2</v>
      </c>
      <c r="L1269">
        <v>9.6500000000000002E-2</v>
      </c>
      <c r="M1269">
        <v>2</v>
      </c>
      <c r="N1269">
        <v>74</v>
      </c>
      <c r="O1269">
        <v>2</v>
      </c>
      <c r="P1269">
        <v>0.22500000000000001</v>
      </c>
      <c r="Q1269">
        <v>2</v>
      </c>
      <c r="R1269">
        <v>4.4999999999999997E-3</v>
      </c>
      <c r="T1269" s="8" t="s">
        <v>3791</v>
      </c>
    </row>
    <row r="1270" spans="1:20" x14ac:dyDescent="0.2">
      <c r="A1270" t="s">
        <v>3793</v>
      </c>
      <c r="B1270" t="s">
        <v>2022</v>
      </c>
      <c r="C1270" t="s">
        <v>2036</v>
      </c>
      <c r="D1270" t="s">
        <v>2024</v>
      </c>
      <c r="E1270" t="s">
        <v>3791</v>
      </c>
      <c r="F1270" t="s">
        <v>3792</v>
      </c>
      <c r="G1270">
        <v>1</v>
      </c>
      <c r="H1270">
        <v>1540</v>
      </c>
      <c r="I1270">
        <v>3</v>
      </c>
      <c r="J1270">
        <v>4.5999999999999996</v>
      </c>
      <c r="K1270">
        <v>3</v>
      </c>
      <c r="L1270">
        <v>0.115</v>
      </c>
      <c r="M1270">
        <v>3</v>
      </c>
      <c r="N1270">
        <v>88</v>
      </c>
      <c r="O1270">
        <v>2</v>
      </c>
      <c r="P1270">
        <v>0.20499999999999999</v>
      </c>
      <c r="Q1270">
        <v>3</v>
      </c>
      <c r="R1270">
        <v>6.7499999999999999E-3</v>
      </c>
      <c r="T1270" s="8" t="s">
        <v>3791</v>
      </c>
    </row>
    <row r="1271" spans="1:20" x14ac:dyDescent="0.2">
      <c r="A1271" t="s">
        <v>3794</v>
      </c>
      <c r="B1271" t="s">
        <v>2022</v>
      </c>
      <c r="C1271" t="s">
        <v>2053</v>
      </c>
      <c r="D1271" t="s">
        <v>2024</v>
      </c>
      <c r="E1271" t="s">
        <v>357</v>
      </c>
      <c r="F1271" t="s">
        <v>3795</v>
      </c>
      <c r="G1271">
        <v>1</v>
      </c>
      <c r="H1271">
        <v>1500</v>
      </c>
      <c r="I1271">
        <v>3</v>
      </c>
      <c r="J1271">
        <v>6.55</v>
      </c>
      <c r="K1271">
        <v>2</v>
      </c>
      <c r="L1271">
        <v>8.5000000000000006E-2</v>
      </c>
      <c r="M1271">
        <v>2</v>
      </c>
      <c r="N1271">
        <v>83</v>
      </c>
      <c r="O1271">
        <v>3</v>
      </c>
      <c r="P1271">
        <v>0.375</v>
      </c>
      <c r="Q1271">
        <v>2</v>
      </c>
      <c r="R1271">
        <v>5.1999999999999998E-3</v>
      </c>
      <c r="T1271" s="8" t="s">
        <v>357</v>
      </c>
    </row>
    <row r="1272" spans="1:20" x14ac:dyDescent="0.2">
      <c r="A1272" t="s">
        <v>3796</v>
      </c>
      <c r="B1272" t="s">
        <v>2022</v>
      </c>
      <c r="C1272" t="s">
        <v>2053</v>
      </c>
      <c r="D1272" t="s">
        <v>2024</v>
      </c>
      <c r="E1272" t="s">
        <v>3797</v>
      </c>
      <c r="F1272" t="s">
        <v>3798</v>
      </c>
      <c r="G1272">
        <v>1</v>
      </c>
      <c r="H1272">
        <v>1500</v>
      </c>
      <c r="I1272">
        <v>3</v>
      </c>
      <c r="J1272">
        <v>6.55</v>
      </c>
      <c r="K1272">
        <v>2</v>
      </c>
      <c r="L1272">
        <v>8.5000000000000006E-2</v>
      </c>
      <c r="M1272">
        <v>1</v>
      </c>
      <c r="N1272">
        <v>73</v>
      </c>
      <c r="O1272">
        <v>3</v>
      </c>
      <c r="P1272">
        <v>0.375</v>
      </c>
      <c r="Q1272">
        <v>1</v>
      </c>
      <c r="R1272">
        <v>8.4999999999999995E-4</v>
      </c>
      <c r="T1272" s="8" t="s">
        <v>3797</v>
      </c>
    </row>
    <row r="1273" spans="1:20" x14ac:dyDescent="0.2">
      <c r="A1273" t="s">
        <v>3799</v>
      </c>
      <c r="B1273" t="s">
        <v>2022</v>
      </c>
      <c r="C1273" t="s">
        <v>2023</v>
      </c>
      <c r="D1273" t="s">
        <v>2024</v>
      </c>
      <c r="E1273" t="s">
        <v>3800</v>
      </c>
      <c r="F1273" t="s">
        <v>3801</v>
      </c>
      <c r="G1273">
        <v>1</v>
      </c>
      <c r="H1273">
        <v>1480</v>
      </c>
      <c r="I1273">
        <v>2</v>
      </c>
      <c r="J1273">
        <v>3.4</v>
      </c>
      <c r="K1273">
        <v>4</v>
      </c>
      <c r="L1273">
        <v>6.6000000000000003E-2</v>
      </c>
      <c r="M1273">
        <v>1</v>
      </c>
      <c r="N1273">
        <v>74</v>
      </c>
      <c r="O1273">
        <v>2</v>
      </c>
      <c r="P1273">
        <v>0.22500000000000001</v>
      </c>
      <c r="Q1273">
        <v>3</v>
      </c>
      <c r="R1273">
        <v>4.0000000000000001E-3</v>
      </c>
      <c r="T1273" s="8" t="s">
        <v>3800</v>
      </c>
    </row>
    <row r="1274" spans="1:20" x14ac:dyDescent="0.2">
      <c r="A1274" t="s">
        <v>3802</v>
      </c>
      <c r="B1274" t="s">
        <v>2022</v>
      </c>
      <c r="C1274" t="s">
        <v>2023</v>
      </c>
      <c r="D1274" t="s">
        <v>2024</v>
      </c>
      <c r="E1274" t="s">
        <v>3803</v>
      </c>
      <c r="F1274" t="s">
        <v>3804</v>
      </c>
      <c r="G1274">
        <v>1</v>
      </c>
      <c r="H1274">
        <v>1480</v>
      </c>
      <c r="I1274">
        <v>1</v>
      </c>
      <c r="J1274">
        <v>0.9</v>
      </c>
      <c r="K1274">
        <v>1</v>
      </c>
      <c r="L1274">
        <v>6.0000000000000001E-3</v>
      </c>
      <c r="M1274">
        <v>5</v>
      </c>
      <c r="N1274">
        <v>114</v>
      </c>
      <c r="O1274">
        <v>1</v>
      </c>
      <c r="P1274">
        <v>7.4999999999999997E-2</v>
      </c>
      <c r="Q1274">
        <v>2</v>
      </c>
      <c r="R1274">
        <v>2E-3</v>
      </c>
      <c r="T1274" s="8" t="s">
        <v>3803</v>
      </c>
    </row>
    <row r="1275" spans="1:20" x14ac:dyDescent="0.2">
      <c r="A1275" t="s">
        <v>3805</v>
      </c>
      <c r="B1275" t="s">
        <v>2022</v>
      </c>
      <c r="C1275" t="s">
        <v>2023</v>
      </c>
      <c r="D1275" t="s">
        <v>2024</v>
      </c>
      <c r="E1275" t="s">
        <v>3806</v>
      </c>
      <c r="F1275" t="s">
        <v>3807</v>
      </c>
      <c r="G1275">
        <v>1</v>
      </c>
      <c r="H1275">
        <v>1480</v>
      </c>
      <c r="I1275">
        <v>2</v>
      </c>
      <c r="J1275">
        <v>3.4</v>
      </c>
      <c r="K1275">
        <v>3</v>
      </c>
      <c r="L1275">
        <v>4.5999999999999999E-2</v>
      </c>
      <c r="M1275">
        <v>1</v>
      </c>
      <c r="N1275">
        <v>74</v>
      </c>
      <c r="O1275">
        <v>2</v>
      </c>
      <c r="P1275">
        <v>0.22500000000000001</v>
      </c>
      <c r="Q1275">
        <v>2</v>
      </c>
      <c r="R1275">
        <v>2E-3</v>
      </c>
      <c r="T1275" s="8" t="s">
        <v>3806</v>
      </c>
    </row>
    <row r="1276" spans="1:20" x14ac:dyDescent="0.2">
      <c r="A1276" t="s">
        <v>3808</v>
      </c>
      <c r="B1276" t="s">
        <v>2022</v>
      </c>
      <c r="C1276" t="s">
        <v>2023</v>
      </c>
      <c r="D1276" t="s">
        <v>2024</v>
      </c>
      <c r="E1276" t="s">
        <v>3809</v>
      </c>
      <c r="F1276" t="s">
        <v>3810</v>
      </c>
      <c r="G1276">
        <v>1</v>
      </c>
      <c r="H1276">
        <v>1480</v>
      </c>
      <c r="I1276">
        <v>1</v>
      </c>
      <c r="J1276">
        <v>0.9</v>
      </c>
      <c r="K1276">
        <v>2</v>
      </c>
      <c r="L1276">
        <v>2.5999999999999999E-2</v>
      </c>
      <c r="M1276">
        <v>2</v>
      </c>
      <c r="N1276">
        <v>84</v>
      </c>
      <c r="O1276">
        <v>1</v>
      </c>
      <c r="P1276">
        <v>7.4999999999999997E-2</v>
      </c>
      <c r="Q1276">
        <v>1</v>
      </c>
      <c r="R1276">
        <v>5.0000000000000001E-4</v>
      </c>
      <c r="T1276" s="8" t="s">
        <v>3809</v>
      </c>
    </row>
    <row r="1277" spans="1:20" x14ac:dyDescent="0.2">
      <c r="A1277" t="s">
        <v>3811</v>
      </c>
      <c r="B1277" t="s">
        <v>2022</v>
      </c>
      <c r="C1277" t="s">
        <v>2023</v>
      </c>
      <c r="D1277" t="s">
        <v>2154</v>
      </c>
      <c r="E1277" t="s">
        <v>3812</v>
      </c>
      <c r="F1277" t="s">
        <v>3813</v>
      </c>
      <c r="G1277">
        <v>2</v>
      </c>
      <c r="H1277">
        <v>1560</v>
      </c>
      <c r="I1277">
        <v>1</v>
      </c>
      <c r="J1277">
        <v>0.9</v>
      </c>
      <c r="K1277">
        <v>1</v>
      </c>
      <c r="L1277">
        <v>6.0000000000000001E-3</v>
      </c>
      <c r="M1277">
        <v>1</v>
      </c>
      <c r="N1277">
        <v>74</v>
      </c>
      <c r="O1277">
        <v>1</v>
      </c>
      <c r="P1277">
        <v>7.4999999999999997E-2</v>
      </c>
      <c r="Q1277">
        <v>1</v>
      </c>
      <c r="R1277">
        <v>5.0000000000000001E-4</v>
      </c>
      <c r="T1277" s="8" t="s">
        <v>3812</v>
      </c>
    </row>
    <row r="1278" spans="1:20" x14ac:dyDescent="0.2">
      <c r="A1278" t="s">
        <v>3814</v>
      </c>
      <c r="B1278" t="s">
        <v>2022</v>
      </c>
      <c r="C1278" t="s">
        <v>2053</v>
      </c>
      <c r="D1278" t="s">
        <v>2154</v>
      </c>
      <c r="E1278" t="s">
        <v>3812</v>
      </c>
      <c r="F1278" t="s">
        <v>3813</v>
      </c>
      <c r="G1278">
        <v>1</v>
      </c>
      <c r="H1278">
        <v>1500</v>
      </c>
      <c r="I1278">
        <v>1</v>
      </c>
      <c r="J1278">
        <v>1.55</v>
      </c>
      <c r="K1278">
        <v>2</v>
      </c>
      <c r="L1278">
        <v>8.5000000000000006E-2</v>
      </c>
      <c r="M1278">
        <v>4</v>
      </c>
      <c r="N1278">
        <v>103</v>
      </c>
      <c r="O1278">
        <v>1</v>
      </c>
      <c r="P1278">
        <v>7.4999999999999997E-2</v>
      </c>
      <c r="Q1278">
        <v>2</v>
      </c>
      <c r="R1278">
        <v>5.1999999999999998E-3</v>
      </c>
      <c r="T1278" s="8" t="s">
        <v>3812</v>
      </c>
    </row>
    <row r="1279" spans="1:20" x14ac:dyDescent="0.2">
      <c r="A1279" t="s">
        <v>3815</v>
      </c>
      <c r="B1279" t="s">
        <v>2022</v>
      </c>
      <c r="C1279" t="s">
        <v>2222</v>
      </c>
      <c r="D1279" t="s">
        <v>2154</v>
      </c>
      <c r="E1279" t="s">
        <v>3812</v>
      </c>
      <c r="F1279" t="s">
        <v>3813</v>
      </c>
      <c r="G1279">
        <v>2</v>
      </c>
      <c r="H1279">
        <v>1550</v>
      </c>
      <c r="I1279">
        <v>3</v>
      </c>
      <c r="J1279">
        <v>5.5</v>
      </c>
      <c r="K1279">
        <v>5</v>
      </c>
      <c r="L1279">
        <v>0.26500000000000001</v>
      </c>
      <c r="M1279">
        <v>2</v>
      </c>
      <c r="N1279">
        <v>63</v>
      </c>
      <c r="O1279">
        <v>3</v>
      </c>
      <c r="P1279">
        <v>0.23</v>
      </c>
      <c r="Q1279">
        <v>5</v>
      </c>
      <c r="R1279">
        <v>1.1299999999999999E-2</v>
      </c>
      <c r="T1279" s="8" t="s">
        <v>3812</v>
      </c>
    </row>
    <row r="1280" spans="1:20" x14ac:dyDescent="0.2">
      <c r="A1280" t="s">
        <v>3816</v>
      </c>
      <c r="B1280" t="s">
        <v>2022</v>
      </c>
      <c r="C1280" t="s">
        <v>2023</v>
      </c>
      <c r="D1280" t="s">
        <v>2024</v>
      </c>
      <c r="E1280" t="s">
        <v>3817</v>
      </c>
      <c r="F1280" t="s">
        <v>3818</v>
      </c>
      <c r="G1280">
        <v>1</v>
      </c>
      <c r="H1280">
        <v>1480</v>
      </c>
      <c r="I1280">
        <v>2</v>
      </c>
      <c r="J1280">
        <v>3.4</v>
      </c>
      <c r="K1280">
        <v>2</v>
      </c>
      <c r="L1280">
        <v>2.5999999999999999E-2</v>
      </c>
      <c r="M1280">
        <v>2</v>
      </c>
      <c r="N1280">
        <v>84</v>
      </c>
      <c r="O1280">
        <v>2</v>
      </c>
      <c r="P1280">
        <v>0.22500000000000001</v>
      </c>
      <c r="Q1280">
        <v>1</v>
      </c>
      <c r="R1280">
        <v>5.0000000000000001E-4</v>
      </c>
      <c r="T1280" s="8" t="s">
        <v>3817</v>
      </c>
    </row>
    <row r="1281" spans="1:20" x14ac:dyDescent="0.2">
      <c r="A1281" t="s">
        <v>3819</v>
      </c>
      <c r="B1281" t="s">
        <v>2022</v>
      </c>
      <c r="C1281" t="s">
        <v>2023</v>
      </c>
      <c r="D1281" t="s">
        <v>2024</v>
      </c>
      <c r="E1281" t="s">
        <v>3820</v>
      </c>
      <c r="F1281" t="s">
        <v>3821</v>
      </c>
      <c r="G1281">
        <v>4</v>
      </c>
      <c r="H1281">
        <v>1720</v>
      </c>
      <c r="I1281">
        <v>3</v>
      </c>
      <c r="J1281">
        <v>5.9</v>
      </c>
      <c r="K1281">
        <v>5</v>
      </c>
      <c r="L1281">
        <v>8.5999999999999993E-2</v>
      </c>
      <c r="M1281">
        <v>3</v>
      </c>
      <c r="N1281">
        <v>94</v>
      </c>
      <c r="O1281">
        <v>2</v>
      </c>
      <c r="P1281">
        <v>0.22500000000000001</v>
      </c>
      <c r="Q1281">
        <v>5</v>
      </c>
      <c r="R1281">
        <v>8.0000000000000002E-3</v>
      </c>
      <c r="T1281" s="8" t="s">
        <v>3820</v>
      </c>
    </row>
    <row r="1282" spans="1:20" x14ac:dyDescent="0.2">
      <c r="A1282" t="s">
        <v>3822</v>
      </c>
      <c r="B1282" t="s">
        <v>2022</v>
      </c>
      <c r="C1282" t="s">
        <v>2053</v>
      </c>
      <c r="D1282" t="s">
        <v>2024</v>
      </c>
      <c r="E1282" t="s">
        <v>3823</v>
      </c>
      <c r="F1282" t="s">
        <v>3824</v>
      </c>
      <c r="G1282">
        <v>5</v>
      </c>
      <c r="H1282">
        <v>1900</v>
      </c>
      <c r="I1282">
        <v>2</v>
      </c>
      <c r="J1282">
        <v>4.05</v>
      </c>
      <c r="K1282">
        <v>3</v>
      </c>
      <c r="L1282">
        <v>0.19500000000000001</v>
      </c>
      <c r="M1282">
        <v>3</v>
      </c>
      <c r="N1282">
        <v>93</v>
      </c>
      <c r="O1282">
        <v>2</v>
      </c>
      <c r="P1282">
        <v>0.22500000000000001</v>
      </c>
      <c r="Q1282">
        <v>2</v>
      </c>
      <c r="R1282">
        <v>5.1999999999999998E-3</v>
      </c>
      <c r="T1282" s="8" t="s">
        <v>3823</v>
      </c>
    </row>
    <row r="1283" spans="1:20" x14ac:dyDescent="0.2">
      <c r="A1283" t="s">
        <v>3825</v>
      </c>
      <c r="B1283" t="s">
        <v>2022</v>
      </c>
      <c r="C1283" t="s">
        <v>2053</v>
      </c>
      <c r="D1283" t="s">
        <v>2024</v>
      </c>
      <c r="E1283" t="s">
        <v>3826</v>
      </c>
      <c r="F1283" t="s">
        <v>3827</v>
      </c>
      <c r="G1283">
        <v>5</v>
      </c>
      <c r="H1283">
        <v>1900</v>
      </c>
      <c r="I1283">
        <v>2</v>
      </c>
      <c r="J1283">
        <v>4.05</v>
      </c>
      <c r="K1283">
        <v>2</v>
      </c>
      <c r="L1283">
        <v>8.5000000000000006E-2</v>
      </c>
      <c r="M1283">
        <v>3</v>
      </c>
      <c r="N1283">
        <v>93</v>
      </c>
      <c r="O1283">
        <v>2</v>
      </c>
      <c r="P1283">
        <v>0.22500000000000001</v>
      </c>
      <c r="Q1283">
        <v>2</v>
      </c>
      <c r="R1283">
        <v>5.1999999999999998E-3</v>
      </c>
      <c r="T1283" s="8" t="s">
        <v>3826</v>
      </c>
    </row>
    <row r="1284" spans="1:20" x14ac:dyDescent="0.2">
      <c r="A1284" t="s">
        <v>3828</v>
      </c>
      <c r="B1284" t="s">
        <v>2022</v>
      </c>
      <c r="C1284" t="s">
        <v>2106</v>
      </c>
      <c r="D1284" t="s">
        <v>2024</v>
      </c>
      <c r="E1284" t="s">
        <v>3829</v>
      </c>
      <c r="F1284" t="s">
        <v>3830</v>
      </c>
      <c r="G1284">
        <v>5</v>
      </c>
      <c r="H1284">
        <v>2275</v>
      </c>
      <c r="I1284">
        <v>1</v>
      </c>
      <c r="J1284">
        <v>3.25</v>
      </c>
      <c r="K1284">
        <v>1</v>
      </c>
      <c r="L1284">
        <v>0.01</v>
      </c>
      <c r="M1284">
        <v>5</v>
      </c>
      <c r="N1284">
        <v>89.5</v>
      </c>
      <c r="O1284">
        <v>1</v>
      </c>
      <c r="P1284">
        <v>0.05</v>
      </c>
      <c r="Q1284">
        <v>1</v>
      </c>
      <c r="R1284">
        <v>5.0000000000000001E-4</v>
      </c>
      <c r="T1284" s="8" t="s">
        <v>3829</v>
      </c>
    </row>
    <row r="1285" spans="1:20" x14ac:dyDescent="0.2">
      <c r="A1285" t="s">
        <v>3831</v>
      </c>
      <c r="B1285" t="s">
        <v>2022</v>
      </c>
      <c r="C1285" t="s">
        <v>2023</v>
      </c>
      <c r="D1285" t="s">
        <v>2136</v>
      </c>
      <c r="E1285" t="s">
        <v>3832</v>
      </c>
      <c r="F1285" t="s">
        <v>3833</v>
      </c>
      <c r="G1285">
        <v>2</v>
      </c>
      <c r="H1285">
        <v>1560</v>
      </c>
      <c r="I1285">
        <v>2</v>
      </c>
      <c r="J1285">
        <v>3.4</v>
      </c>
      <c r="K1285">
        <v>2</v>
      </c>
      <c r="L1285">
        <v>2.5999999999999999E-2</v>
      </c>
      <c r="M1285">
        <v>4</v>
      </c>
      <c r="N1285">
        <v>104</v>
      </c>
      <c r="O1285">
        <v>2</v>
      </c>
      <c r="P1285">
        <v>0.22500000000000001</v>
      </c>
      <c r="Q1285">
        <v>1</v>
      </c>
      <c r="R1285">
        <v>5.0000000000000001E-4</v>
      </c>
      <c r="T1285" s="8" t="s">
        <v>3832</v>
      </c>
    </row>
    <row r="1286" spans="1:20" x14ac:dyDescent="0.2">
      <c r="A1286" t="s">
        <v>3834</v>
      </c>
      <c r="B1286" t="s">
        <v>2022</v>
      </c>
      <c r="C1286" t="s">
        <v>2053</v>
      </c>
      <c r="D1286" t="s">
        <v>2136</v>
      </c>
      <c r="E1286" t="s">
        <v>3835</v>
      </c>
      <c r="F1286" t="s">
        <v>3836</v>
      </c>
      <c r="G1286">
        <v>3</v>
      </c>
      <c r="H1286">
        <v>1700</v>
      </c>
      <c r="I1286">
        <v>2</v>
      </c>
      <c r="J1286">
        <v>4.05</v>
      </c>
      <c r="K1286">
        <v>2</v>
      </c>
      <c r="L1286">
        <v>8.5000000000000006E-2</v>
      </c>
      <c r="M1286">
        <v>4</v>
      </c>
      <c r="N1286">
        <v>103</v>
      </c>
      <c r="O1286">
        <v>2</v>
      </c>
      <c r="P1286">
        <v>0.22500000000000001</v>
      </c>
      <c r="Q1286">
        <v>2</v>
      </c>
      <c r="R1286">
        <v>5.1999999999999998E-3</v>
      </c>
      <c r="T1286" s="8" t="s">
        <v>3835</v>
      </c>
    </row>
    <row r="1287" spans="1:20" x14ac:dyDescent="0.2">
      <c r="A1287" t="s">
        <v>3837</v>
      </c>
      <c r="B1287" t="s">
        <v>2022</v>
      </c>
      <c r="C1287" t="s">
        <v>2173</v>
      </c>
      <c r="D1287" t="s">
        <v>2024</v>
      </c>
      <c r="E1287" t="s">
        <v>3838</v>
      </c>
      <c r="F1287" t="s">
        <v>3839</v>
      </c>
      <c r="G1287">
        <v>2</v>
      </c>
      <c r="H1287">
        <v>1957.5</v>
      </c>
      <c r="I1287">
        <v>2</v>
      </c>
      <c r="J1287">
        <v>6.35</v>
      </c>
      <c r="K1287">
        <v>1</v>
      </c>
      <c r="L1287">
        <v>1.4999999999999999E-2</v>
      </c>
      <c r="M1287">
        <v>2</v>
      </c>
      <c r="N1287">
        <v>107.5</v>
      </c>
      <c r="O1287">
        <v>2</v>
      </c>
      <c r="P1287">
        <v>0.33</v>
      </c>
      <c r="Q1287">
        <v>2</v>
      </c>
      <c r="R1287">
        <v>4.7999999999999996E-3</v>
      </c>
      <c r="T1287" s="8" t="s">
        <v>3838</v>
      </c>
    </row>
    <row r="1288" spans="1:20" x14ac:dyDescent="0.2">
      <c r="A1288" t="s">
        <v>3840</v>
      </c>
      <c r="B1288" t="s">
        <v>2022</v>
      </c>
      <c r="C1288" t="s">
        <v>2106</v>
      </c>
      <c r="D1288" t="s">
        <v>2024</v>
      </c>
      <c r="E1288" t="s">
        <v>3841</v>
      </c>
      <c r="F1288" t="s">
        <v>3842</v>
      </c>
      <c r="G1288">
        <v>4</v>
      </c>
      <c r="H1288">
        <v>2125</v>
      </c>
      <c r="I1288">
        <v>4</v>
      </c>
      <c r="J1288">
        <v>10.75</v>
      </c>
      <c r="K1288">
        <v>4</v>
      </c>
      <c r="L1288">
        <v>0.22</v>
      </c>
      <c r="M1288">
        <v>4</v>
      </c>
      <c r="N1288">
        <v>82.5</v>
      </c>
      <c r="O1288">
        <v>4</v>
      </c>
      <c r="P1288">
        <v>0.35</v>
      </c>
      <c r="Q1288">
        <v>5</v>
      </c>
      <c r="R1288">
        <v>8.5000000000000006E-3</v>
      </c>
      <c r="T1288" s="8" t="s">
        <v>3841</v>
      </c>
    </row>
    <row r="1289" spans="1:20" x14ac:dyDescent="0.2">
      <c r="A1289" t="s">
        <v>3843</v>
      </c>
      <c r="B1289" t="s">
        <v>2022</v>
      </c>
      <c r="C1289" t="s">
        <v>2023</v>
      </c>
      <c r="D1289" t="s">
        <v>2024</v>
      </c>
      <c r="E1289" t="s">
        <v>3844</v>
      </c>
      <c r="F1289" t="s">
        <v>3845</v>
      </c>
      <c r="G1289">
        <v>3</v>
      </c>
      <c r="H1289">
        <v>1640</v>
      </c>
      <c r="I1289">
        <v>1</v>
      </c>
      <c r="J1289">
        <v>0.9</v>
      </c>
      <c r="K1289">
        <v>1</v>
      </c>
      <c r="L1289">
        <v>6.0000000000000001E-3</v>
      </c>
      <c r="M1289">
        <v>3</v>
      </c>
      <c r="N1289">
        <v>94</v>
      </c>
      <c r="O1289">
        <v>1</v>
      </c>
      <c r="P1289">
        <v>7.4999999999999997E-2</v>
      </c>
      <c r="Q1289">
        <v>1</v>
      </c>
      <c r="R1289">
        <v>5.0000000000000001E-4</v>
      </c>
      <c r="T1289" s="8" t="s">
        <v>3844</v>
      </c>
    </row>
    <row r="1290" spans="1:20" x14ac:dyDescent="0.2">
      <c r="A1290" t="s">
        <v>3846</v>
      </c>
      <c r="B1290" t="s">
        <v>2022</v>
      </c>
      <c r="C1290" t="s">
        <v>2036</v>
      </c>
      <c r="D1290" t="s">
        <v>2024</v>
      </c>
      <c r="E1290" t="s">
        <v>3847</v>
      </c>
      <c r="F1290" t="s">
        <v>3848</v>
      </c>
      <c r="G1290">
        <v>1</v>
      </c>
      <c r="H1290">
        <v>1540</v>
      </c>
      <c r="I1290">
        <v>3</v>
      </c>
      <c r="J1290">
        <v>4.5999999999999996</v>
      </c>
      <c r="K1290">
        <v>2</v>
      </c>
      <c r="L1290">
        <v>8.5000000000000006E-2</v>
      </c>
      <c r="M1290">
        <v>1</v>
      </c>
      <c r="N1290">
        <v>76</v>
      </c>
      <c r="O1290">
        <v>2</v>
      </c>
      <c r="P1290">
        <v>0.20499999999999999</v>
      </c>
      <c r="Q1290">
        <v>2</v>
      </c>
      <c r="R1290">
        <v>4.2500000000000003E-3</v>
      </c>
      <c r="T1290" s="8" t="s">
        <v>3847</v>
      </c>
    </row>
    <row r="1291" spans="1:20" x14ac:dyDescent="0.2">
      <c r="A1291" t="s">
        <v>3849</v>
      </c>
      <c r="B1291" t="s">
        <v>2022</v>
      </c>
      <c r="C1291" t="s">
        <v>2036</v>
      </c>
      <c r="D1291" t="s">
        <v>2024</v>
      </c>
      <c r="E1291" t="s">
        <v>3850</v>
      </c>
      <c r="F1291" t="s">
        <v>3851</v>
      </c>
      <c r="G1291">
        <v>2</v>
      </c>
      <c r="H1291">
        <v>1640</v>
      </c>
      <c r="I1291">
        <v>4</v>
      </c>
      <c r="J1291">
        <v>5.8</v>
      </c>
      <c r="K1291">
        <v>3</v>
      </c>
      <c r="L1291">
        <v>0.115</v>
      </c>
      <c r="M1291">
        <v>2</v>
      </c>
      <c r="N1291">
        <v>82</v>
      </c>
      <c r="O1291">
        <v>3</v>
      </c>
      <c r="P1291">
        <v>0.315</v>
      </c>
      <c r="Q1291">
        <v>3</v>
      </c>
      <c r="R1291">
        <v>6.7499999999999999E-3</v>
      </c>
      <c r="T1291" s="8" t="s">
        <v>3850</v>
      </c>
    </row>
    <row r="1292" spans="1:20" x14ac:dyDescent="0.2">
      <c r="A1292" t="s">
        <v>3852</v>
      </c>
      <c r="B1292" t="s">
        <v>2022</v>
      </c>
      <c r="C1292" t="s">
        <v>2095</v>
      </c>
      <c r="D1292" t="s">
        <v>2024</v>
      </c>
      <c r="E1292" t="s">
        <v>3853</v>
      </c>
      <c r="F1292" t="s">
        <v>3854</v>
      </c>
      <c r="G1292">
        <v>2</v>
      </c>
      <c r="H1292">
        <v>1655</v>
      </c>
      <c r="I1292">
        <v>2</v>
      </c>
      <c r="J1292">
        <v>7.5</v>
      </c>
      <c r="K1292">
        <v>3</v>
      </c>
      <c r="L1292">
        <v>0.33</v>
      </c>
      <c r="M1292">
        <v>1</v>
      </c>
      <c r="N1292">
        <v>74</v>
      </c>
      <c r="O1292">
        <v>2</v>
      </c>
      <c r="P1292">
        <v>0.35</v>
      </c>
      <c r="Q1292">
        <v>3</v>
      </c>
      <c r="R1292">
        <v>1.49E-2</v>
      </c>
      <c r="T1292" s="8" t="s">
        <v>3853</v>
      </c>
    </row>
    <row r="1293" spans="1:20" x14ac:dyDescent="0.2">
      <c r="A1293" t="s">
        <v>3855</v>
      </c>
      <c r="B1293" t="s">
        <v>2022</v>
      </c>
      <c r="C1293" t="s">
        <v>2257</v>
      </c>
      <c r="D1293" t="s">
        <v>2136</v>
      </c>
      <c r="E1293" t="s">
        <v>357</v>
      </c>
      <c r="F1293" t="s">
        <v>447</v>
      </c>
      <c r="G1293">
        <v>2</v>
      </c>
      <c r="H1293">
        <v>1000</v>
      </c>
      <c r="I1293">
        <v>4</v>
      </c>
      <c r="J1293">
        <v>4.3499999999999996</v>
      </c>
      <c r="K1293">
        <v>2</v>
      </c>
      <c r="L1293">
        <v>3.6999999999999998E-2</v>
      </c>
      <c r="M1293">
        <v>5</v>
      </c>
      <c r="N1293">
        <v>1100</v>
      </c>
      <c r="O1293">
        <v>5</v>
      </c>
      <c r="P1293">
        <v>2.7</v>
      </c>
      <c r="Q1293">
        <v>5</v>
      </c>
      <c r="R1293">
        <v>8.1000000000000003E-2</v>
      </c>
      <c r="T1293" s="8" t="s">
        <v>357</v>
      </c>
    </row>
    <row r="1294" spans="1:20" x14ac:dyDescent="0.2">
      <c r="A1294" t="s">
        <v>3856</v>
      </c>
      <c r="B1294" t="s">
        <v>2022</v>
      </c>
      <c r="C1294" t="s">
        <v>2053</v>
      </c>
      <c r="D1294" t="s">
        <v>2024</v>
      </c>
      <c r="E1294" t="s">
        <v>3857</v>
      </c>
      <c r="F1294" t="s">
        <v>447</v>
      </c>
      <c r="G1294">
        <v>5</v>
      </c>
      <c r="H1294">
        <v>1900</v>
      </c>
      <c r="I1294">
        <v>4</v>
      </c>
      <c r="J1294">
        <v>9.0500000000000007</v>
      </c>
      <c r="K1294">
        <v>3</v>
      </c>
      <c r="L1294">
        <v>0.19500000000000001</v>
      </c>
      <c r="M1294">
        <v>5</v>
      </c>
      <c r="N1294">
        <v>113</v>
      </c>
      <c r="O1294">
        <v>4</v>
      </c>
      <c r="P1294">
        <v>0.52500000000000002</v>
      </c>
      <c r="Q1294">
        <v>3</v>
      </c>
      <c r="R1294">
        <v>1.2200000000000001E-2</v>
      </c>
      <c r="T1294" s="8" t="s">
        <v>3857</v>
      </c>
    </row>
    <row r="1295" spans="1:20" x14ac:dyDescent="0.2">
      <c r="A1295" t="s">
        <v>3858</v>
      </c>
      <c r="B1295" t="s">
        <v>2022</v>
      </c>
      <c r="C1295" t="s">
        <v>2053</v>
      </c>
      <c r="D1295" t="s">
        <v>2024</v>
      </c>
      <c r="E1295" t="s">
        <v>3859</v>
      </c>
      <c r="F1295" t="s">
        <v>447</v>
      </c>
      <c r="G1295">
        <v>5</v>
      </c>
      <c r="H1295">
        <v>1900</v>
      </c>
      <c r="I1295">
        <v>5</v>
      </c>
      <c r="J1295">
        <v>11.55</v>
      </c>
      <c r="K1295">
        <v>5</v>
      </c>
      <c r="L1295">
        <v>0.41499999999999998</v>
      </c>
      <c r="M1295">
        <v>5</v>
      </c>
      <c r="N1295">
        <v>113</v>
      </c>
      <c r="O1295">
        <v>5</v>
      </c>
      <c r="P1295">
        <v>0.67500000000000004</v>
      </c>
      <c r="Q1295">
        <v>5</v>
      </c>
      <c r="R1295">
        <v>2.6200000000000001E-2</v>
      </c>
      <c r="T1295" s="8" t="s">
        <v>3859</v>
      </c>
    </row>
    <row r="1296" spans="1:20" x14ac:dyDescent="0.2">
      <c r="A1296" t="s">
        <v>3860</v>
      </c>
      <c r="B1296" t="s">
        <v>2022</v>
      </c>
      <c r="C1296" t="s">
        <v>2053</v>
      </c>
      <c r="D1296" t="s">
        <v>2024</v>
      </c>
      <c r="E1296" t="s">
        <v>3861</v>
      </c>
      <c r="F1296" t="s">
        <v>3862</v>
      </c>
      <c r="G1296">
        <v>1</v>
      </c>
      <c r="H1296">
        <v>1500</v>
      </c>
      <c r="I1296">
        <v>2</v>
      </c>
      <c r="J1296">
        <v>4.05</v>
      </c>
      <c r="K1296">
        <v>1</v>
      </c>
      <c r="L1296">
        <v>1.4999999999999999E-2</v>
      </c>
      <c r="M1296">
        <v>1</v>
      </c>
      <c r="N1296">
        <v>73</v>
      </c>
      <c r="O1296">
        <v>1</v>
      </c>
      <c r="P1296">
        <v>7.4999999999999997E-2</v>
      </c>
      <c r="Q1296">
        <v>1</v>
      </c>
      <c r="R1296">
        <v>8.4999999999999995E-4</v>
      </c>
      <c r="T1296" s="8" t="s">
        <v>3861</v>
      </c>
    </row>
    <row r="1297" spans="1:20" x14ac:dyDescent="0.2">
      <c r="A1297" t="s">
        <v>3863</v>
      </c>
      <c r="B1297" t="s">
        <v>2022</v>
      </c>
      <c r="C1297" t="s">
        <v>2023</v>
      </c>
      <c r="D1297" t="s">
        <v>2024</v>
      </c>
      <c r="E1297" t="s">
        <v>3864</v>
      </c>
      <c r="F1297" t="s">
        <v>3865</v>
      </c>
      <c r="G1297">
        <v>3</v>
      </c>
      <c r="H1297">
        <v>1640</v>
      </c>
      <c r="I1297">
        <v>3</v>
      </c>
      <c r="J1297">
        <v>5.9</v>
      </c>
      <c r="K1297">
        <v>5</v>
      </c>
      <c r="L1297">
        <v>8.5999999999999993E-2</v>
      </c>
      <c r="M1297">
        <v>3</v>
      </c>
      <c r="N1297">
        <v>94</v>
      </c>
      <c r="O1297">
        <v>3</v>
      </c>
      <c r="P1297">
        <v>0.375</v>
      </c>
      <c r="Q1297">
        <v>5</v>
      </c>
      <c r="R1297">
        <v>8.0000000000000002E-3</v>
      </c>
      <c r="T1297" s="8" t="s">
        <v>3864</v>
      </c>
    </row>
    <row r="1298" spans="1:20" x14ac:dyDescent="0.2">
      <c r="A1298" t="s">
        <v>3866</v>
      </c>
      <c r="B1298" t="s">
        <v>2022</v>
      </c>
      <c r="C1298" t="s">
        <v>2053</v>
      </c>
      <c r="D1298" t="s">
        <v>2024</v>
      </c>
      <c r="E1298" t="s">
        <v>3867</v>
      </c>
      <c r="F1298" t="s">
        <v>3868</v>
      </c>
      <c r="G1298">
        <v>3</v>
      </c>
      <c r="H1298">
        <v>1700</v>
      </c>
      <c r="I1298">
        <v>2</v>
      </c>
      <c r="J1298">
        <v>4.05</v>
      </c>
      <c r="K1298">
        <v>2</v>
      </c>
      <c r="L1298">
        <v>8.5000000000000006E-2</v>
      </c>
      <c r="M1298">
        <v>2</v>
      </c>
      <c r="N1298">
        <v>83</v>
      </c>
      <c r="O1298">
        <v>2</v>
      </c>
      <c r="P1298">
        <v>0.22500000000000001</v>
      </c>
      <c r="Q1298">
        <v>2</v>
      </c>
      <c r="R1298">
        <v>5.1999999999999998E-3</v>
      </c>
      <c r="T1298" s="8" t="s">
        <v>3867</v>
      </c>
    </row>
    <row r="1299" spans="1:20" x14ac:dyDescent="0.2">
      <c r="A1299" t="s">
        <v>3869</v>
      </c>
      <c r="B1299" t="s">
        <v>2022</v>
      </c>
      <c r="C1299" t="s">
        <v>2036</v>
      </c>
      <c r="D1299" t="s">
        <v>2024</v>
      </c>
      <c r="E1299" t="s">
        <v>3870</v>
      </c>
      <c r="F1299" t="s">
        <v>3871</v>
      </c>
      <c r="G1299">
        <v>1</v>
      </c>
      <c r="H1299">
        <v>1540</v>
      </c>
      <c r="I1299">
        <v>3</v>
      </c>
      <c r="J1299">
        <v>4.5999999999999996</v>
      </c>
      <c r="K1299">
        <v>3</v>
      </c>
      <c r="L1299">
        <v>0.115</v>
      </c>
      <c r="M1299">
        <v>1</v>
      </c>
      <c r="N1299">
        <v>76</v>
      </c>
      <c r="O1299">
        <v>2</v>
      </c>
      <c r="P1299">
        <v>0.20499999999999999</v>
      </c>
      <c r="Q1299">
        <v>3</v>
      </c>
      <c r="R1299">
        <v>6.7499999999999999E-3</v>
      </c>
      <c r="T1299" s="8" t="s">
        <v>3870</v>
      </c>
    </row>
    <row r="1300" spans="1:20" x14ac:dyDescent="0.2">
      <c r="A1300" t="s">
        <v>3872</v>
      </c>
      <c r="B1300" t="s">
        <v>2022</v>
      </c>
      <c r="C1300" t="s">
        <v>2023</v>
      </c>
      <c r="D1300" t="s">
        <v>2024</v>
      </c>
      <c r="E1300" t="s">
        <v>3873</v>
      </c>
      <c r="F1300" t="s">
        <v>3874</v>
      </c>
      <c r="G1300">
        <v>4</v>
      </c>
      <c r="H1300">
        <v>1720</v>
      </c>
      <c r="I1300">
        <v>2</v>
      </c>
      <c r="J1300">
        <v>3.4</v>
      </c>
      <c r="K1300">
        <v>2</v>
      </c>
      <c r="L1300">
        <v>2.5999999999999999E-2</v>
      </c>
      <c r="M1300">
        <v>2</v>
      </c>
      <c r="N1300">
        <v>84</v>
      </c>
      <c r="O1300">
        <v>2</v>
      </c>
      <c r="P1300">
        <v>0.22500000000000001</v>
      </c>
      <c r="Q1300">
        <v>2</v>
      </c>
      <c r="R1300">
        <v>2E-3</v>
      </c>
      <c r="T1300" s="8" t="s">
        <v>3873</v>
      </c>
    </row>
    <row r="1301" spans="1:20" x14ac:dyDescent="0.2">
      <c r="A1301" t="s">
        <v>3875</v>
      </c>
      <c r="B1301" t="s">
        <v>2022</v>
      </c>
      <c r="C1301" t="s">
        <v>2036</v>
      </c>
      <c r="D1301" t="s">
        <v>2024</v>
      </c>
      <c r="E1301" t="s">
        <v>3876</v>
      </c>
      <c r="F1301" t="s">
        <v>3877</v>
      </c>
      <c r="G1301">
        <v>5</v>
      </c>
      <c r="H1301">
        <v>1940</v>
      </c>
      <c r="I1301">
        <v>4</v>
      </c>
      <c r="J1301">
        <v>5.8</v>
      </c>
      <c r="K1301">
        <v>5</v>
      </c>
      <c r="L1301">
        <v>0.17499999999999999</v>
      </c>
      <c r="M1301">
        <v>4</v>
      </c>
      <c r="N1301">
        <v>94</v>
      </c>
      <c r="O1301">
        <v>3</v>
      </c>
      <c r="P1301">
        <v>0.315</v>
      </c>
      <c r="Q1301">
        <v>4</v>
      </c>
      <c r="R1301">
        <v>9.2499999999999995E-3</v>
      </c>
      <c r="T1301" s="8" t="s">
        <v>3876</v>
      </c>
    </row>
    <row r="1302" spans="1:20" x14ac:dyDescent="0.2">
      <c r="A1302" t="s">
        <v>3878</v>
      </c>
      <c r="B1302" t="s">
        <v>2022</v>
      </c>
      <c r="C1302" t="s">
        <v>2257</v>
      </c>
      <c r="D1302" t="s">
        <v>2024</v>
      </c>
      <c r="E1302" t="s">
        <v>357</v>
      </c>
      <c r="F1302" t="s">
        <v>3879</v>
      </c>
      <c r="G1302">
        <v>1</v>
      </c>
      <c r="H1302">
        <v>900</v>
      </c>
      <c r="I1302">
        <v>2</v>
      </c>
      <c r="J1302">
        <v>1.75</v>
      </c>
      <c r="K1302">
        <v>2</v>
      </c>
      <c r="L1302">
        <v>3.6999999999999998E-2</v>
      </c>
      <c r="M1302">
        <v>2</v>
      </c>
      <c r="N1302">
        <v>500</v>
      </c>
      <c r="O1302">
        <v>2</v>
      </c>
      <c r="P1302">
        <v>0.9</v>
      </c>
      <c r="Q1302">
        <v>2</v>
      </c>
      <c r="R1302">
        <v>1.4999999999999999E-2</v>
      </c>
      <c r="T1302" s="8" t="s">
        <v>357</v>
      </c>
    </row>
    <row r="1303" spans="1:20" x14ac:dyDescent="0.2">
      <c r="A1303" t="s">
        <v>3880</v>
      </c>
      <c r="B1303" t="s">
        <v>2022</v>
      </c>
      <c r="C1303" t="s">
        <v>2053</v>
      </c>
      <c r="D1303" t="s">
        <v>2136</v>
      </c>
      <c r="E1303" t="s">
        <v>357</v>
      </c>
      <c r="F1303" t="s">
        <v>447</v>
      </c>
      <c r="G1303">
        <v>1</v>
      </c>
      <c r="H1303">
        <v>1500</v>
      </c>
      <c r="I1303">
        <v>5</v>
      </c>
      <c r="J1303">
        <v>11.55</v>
      </c>
      <c r="K1303">
        <v>5</v>
      </c>
      <c r="L1303">
        <v>0.41499999999999998</v>
      </c>
      <c r="M1303">
        <v>4</v>
      </c>
      <c r="N1303">
        <v>103</v>
      </c>
      <c r="O1303">
        <v>5</v>
      </c>
      <c r="P1303">
        <v>0.67500000000000004</v>
      </c>
      <c r="Q1303">
        <v>5</v>
      </c>
      <c r="R1303">
        <v>2.6200000000000001E-2</v>
      </c>
      <c r="T1303" s="8" t="s">
        <v>357</v>
      </c>
    </row>
    <row r="1304" spans="1:20" x14ac:dyDescent="0.2">
      <c r="A1304" t="s">
        <v>3881</v>
      </c>
      <c r="B1304" t="s">
        <v>2022</v>
      </c>
      <c r="C1304" t="s">
        <v>2053</v>
      </c>
      <c r="D1304" t="s">
        <v>2024</v>
      </c>
      <c r="E1304" t="s">
        <v>3882</v>
      </c>
      <c r="F1304" t="s">
        <v>3883</v>
      </c>
      <c r="G1304">
        <v>3</v>
      </c>
      <c r="H1304">
        <v>1700</v>
      </c>
      <c r="I1304">
        <v>1</v>
      </c>
      <c r="J1304">
        <v>1.55</v>
      </c>
      <c r="K1304">
        <v>1</v>
      </c>
      <c r="L1304">
        <v>1.4999999999999999E-2</v>
      </c>
      <c r="M1304">
        <v>5</v>
      </c>
      <c r="N1304">
        <v>113</v>
      </c>
      <c r="O1304">
        <v>1</v>
      </c>
      <c r="P1304">
        <v>7.4999999999999997E-2</v>
      </c>
      <c r="Q1304">
        <v>1</v>
      </c>
      <c r="R1304">
        <v>8.4999999999999995E-4</v>
      </c>
      <c r="T1304" s="8" t="s">
        <v>3882</v>
      </c>
    </row>
    <row r="1305" spans="1:20" x14ac:dyDescent="0.2">
      <c r="A1305" t="s">
        <v>3884</v>
      </c>
      <c r="B1305" t="s">
        <v>2022</v>
      </c>
      <c r="C1305" t="s">
        <v>2053</v>
      </c>
      <c r="D1305" t="s">
        <v>2024</v>
      </c>
      <c r="E1305" t="s">
        <v>3859</v>
      </c>
      <c r="F1305" t="s">
        <v>3885</v>
      </c>
      <c r="G1305">
        <v>5</v>
      </c>
      <c r="H1305">
        <v>1900</v>
      </c>
      <c r="I1305">
        <v>5</v>
      </c>
      <c r="J1305">
        <v>11.55</v>
      </c>
      <c r="K1305">
        <v>5</v>
      </c>
      <c r="L1305">
        <v>0.41499999999999998</v>
      </c>
      <c r="M1305">
        <v>5</v>
      </c>
      <c r="N1305">
        <v>113</v>
      </c>
      <c r="O1305">
        <v>5</v>
      </c>
      <c r="P1305">
        <v>0.67500000000000004</v>
      </c>
      <c r="Q1305">
        <v>5</v>
      </c>
      <c r="R1305">
        <v>2.6200000000000001E-2</v>
      </c>
      <c r="T1305" s="8" t="s">
        <v>3859</v>
      </c>
    </row>
    <row r="1306" spans="1:20" x14ac:dyDescent="0.2">
      <c r="A1306" t="s">
        <v>3886</v>
      </c>
      <c r="B1306" t="s">
        <v>2022</v>
      </c>
      <c r="C1306" t="s">
        <v>2023</v>
      </c>
      <c r="D1306" t="s">
        <v>2024</v>
      </c>
      <c r="E1306" t="s">
        <v>357</v>
      </c>
      <c r="F1306" t="s">
        <v>447</v>
      </c>
      <c r="G1306">
        <v>2</v>
      </c>
      <c r="H1306">
        <v>1560</v>
      </c>
      <c r="I1306">
        <v>2</v>
      </c>
      <c r="J1306">
        <v>3.4</v>
      </c>
      <c r="K1306">
        <v>2</v>
      </c>
      <c r="L1306">
        <v>2.5999999999999999E-2</v>
      </c>
      <c r="M1306">
        <v>5</v>
      </c>
      <c r="N1306">
        <v>114</v>
      </c>
      <c r="O1306">
        <v>5</v>
      </c>
      <c r="P1306">
        <v>0.67500000000000004</v>
      </c>
      <c r="Q1306">
        <v>5</v>
      </c>
      <c r="R1306">
        <v>8.0000000000000002E-3</v>
      </c>
      <c r="T1306" s="8" t="s">
        <v>357</v>
      </c>
    </row>
    <row r="1307" spans="1:20" x14ac:dyDescent="0.2">
      <c r="A1307" t="s">
        <v>3887</v>
      </c>
      <c r="B1307" t="s">
        <v>2022</v>
      </c>
      <c r="C1307" t="s">
        <v>2036</v>
      </c>
      <c r="D1307" t="s">
        <v>2024</v>
      </c>
      <c r="E1307" t="s">
        <v>3888</v>
      </c>
      <c r="F1307" t="s">
        <v>3889</v>
      </c>
      <c r="G1307">
        <v>2</v>
      </c>
      <c r="H1307">
        <v>1640</v>
      </c>
      <c r="I1307">
        <v>5</v>
      </c>
      <c r="J1307">
        <v>7</v>
      </c>
      <c r="K1307">
        <v>2</v>
      </c>
      <c r="L1307">
        <v>8.5000000000000006E-2</v>
      </c>
      <c r="M1307">
        <v>2</v>
      </c>
      <c r="N1307">
        <v>82</v>
      </c>
      <c r="O1307">
        <v>3</v>
      </c>
      <c r="P1307">
        <v>0.315</v>
      </c>
      <c r="Q1307">
        <v>2</v>
      </c>
      <c r="R1307">
        <v>4.2500000000000003E-3</v>
      </c>
      <c r="T1307" s="8" t="s">
        <v>3888</v>
      </c>
    </row>
    <row r="1308" spans="1:20" x14ac:dyDescent="0.2">
      <c r="A1308" t="s">
        <v>3890</v>
      </c>
      <c r="B1308" t="s">
        <v>2022</v>
      </c>
      <c r="C1308" t="s">
        <v>2104</v>
      </c>
      <c r="D1308" t="s">
        <v>2024</v>
      </c>
      <c r="E1308" t="s">
        <v>3891</v>
      </c>
      <c r="F1308" t="s">
        <v>3892</v>
      </c>
      <c r="G1308">
        <v>5</v>
      </c>
      <c r="H1308">
        <v>2237.5</v>
      </c>
      <c r="I1308">
        <v>5</v>
      </c>
      <c r="J1308">
        <v>10.15</v>
      </c>
      <c r="K1308">
        <v>5</v>
      </c>
      <c r="L1308">
        <v>0.191</v>
      </c>
      <c r="M1308">
        <v>2</v>
      </c>
      <c r="N1308">
        <v>65</v>
      </c>
      <c r="P1308">
        <v>0</v>
      </c>
      <c r="Q1308">
        <v>5</v>
      </c>
      <c r="R1308">
        <v>1.8200000000000001E-2</v>
      </c>
      <c r="T1308" s="8" t="s">
        <v>3891</v>
      </c>
    </row>
    <row r="1309" spans="1:20" x14ac:dyDescent="0.2">
      <c r="A1309" t="s">
        <v>3893</v>
      </c>
      <c r="B1309" t="s">
        <v>2022</v>
      </c>
      <c r="C1309" t="s">
        <v>2222</v>
      </c>
      <c r="D1309" t="s">
        <v>2024</v>
      </c>
      <c r="E1309" t="s">
        <v>3894</v>
      </c>
      <c r="F1309" t="s">
        <v>3895</v>
      </c>
      <c r="G1309">
        <v>1</v>
      </c>
      <c r="H1309">
        <v>1450</v>
      </c>
      <c r="I1309">
        <v>1</v>
      </c>
      <c r="J1309">
        <v>2.2999999999999998</v>
      </c>
      <c r="K1309">
        <v>2</v>
      </c>
      <c r="L1309">
        <v>5.5E-2</v>
      </c>
      <c r="M1309">
        <v>4</v>
      </c>
      <c r="N1309">
        <v>71</v>
      </c>
      <c r="O1309">
        <v>1</v>
      </c>
      <c r="P1309">
        <v>7.0000000000000007E-2</v>
      </c>
      <c r="Q1309">
        <v>2</v>
      </c>
      <c r="R1309">
        <v>2.3E-3</v>
      </c>
      <c r="T1309" s="8" t="s">
        <v>3894</v>
      </c>
    </row>
    <row r="1310" spans="1:20" x14ac:dyDescent="0.2">
      <c r="A1310" t="s">
        <v>3896</v>
      </c>
      <c r="B1310" t="s">
        <v>2022</v>
      </c>
      <c r="C1310" t="s">
        <v>2023</v>
      </c>
      <c r="D1310" t="s">
        <v>2136</v>
      </c>
      <c r="E1310" t="s">
        <v>3897</v>
      </c>
      <c r="F1310" t="s">
        <v>3898</v>
      </c>
      <c r="G1310">
        <v>4</v>
      </c>
      <c r="H1310">
        <v>1720</v>
      </c>
      <c r="I1310">
        <v>2</v>
      </c>
      <c r="J1310">
        <v>3.4</v>
      </c>
      <c r="K1310">
        <v>2</v>
      </c>
      <c r="L1310">
        <v>2.5999999999999999E-2</v>
      </c>
      <c r="M1310">
        <v>2</v>
      </c>
      <c r="N1310">
        <v>84</v>
      </c>
      <c r="O1310">
        <v>2</v>
      </c>
      <c r="P1310">
        <v>0.22500000000000001</v>
      </c>
      <c r="Q1310">
        <v>1</v>
      </c>
      <c r="R1310">
        <v>5.0000000000000001E-4</v>
      </c>
      <c r="T1310" s="8" t="s">
        <v>3897</v>
      </c>
    </row>
    <row r="1311" spans="1:20" x14ac:dyDescent="0.2">
      <c r="A1311" t="s">
        <v>3899</v>
      </c>
      <c r="B1311" t="s">
        <v>2022</v>
      </c>
      <c r="C1311" t="s">
        <v>2023</v>
      </c>
      <c r="D1311" t="s">
        <v>2024</v>
      </c>
      <c r="E1311" t="s">
        <v>3900</v>
      </c>
      <c r="F1311" t="s">
        <v>3901</v>
      </c>
      <c r="G1311">
        <v>2</v>
      </c>
      <c r="H1311">
        <v>1560</v>
      </c>
      <c r="I1311">
        <v>2</v>
      </c>
      <c r="J1311">
        <v>3.4</v>
      </c>
      <c r="K1311">
        <v>2</v>
      </c>
      <c r="L1311">
        <v>2.5999999999999999E-2</v>
      </c>
      <c r="M1311">
        <v>2</v>
      </c>
      <c r="N1311">
        <v>84</v>
      </c>
      <c r="O1311">
        <v>2</v>
      </c>
      <c r="P1311">
        <v>0.22500000000000001</v>
      </c>
      <c r="Q1311">
        <v>1</v>
      </c>
      <c r="R1311">
        <v>5.0000000000000001E-4</v>
      </c>
      <c r="T1311" s="8" t="s">
        <v>3900</v>
      </c>
    </row>
    <row r="1312" spans="1:20" x14ac:dyDescent="0.2">
      <c r="A1312" t="s">
        <v>3902</v>
      </c>
      <c r="B1312" t="s">
        <v>2022</v>
      </c>
      <c r="C1312" t="s">
        <v>2104</v>
      </c>
      <c r="D1312" t="s">
        <v>2136</v>
      </c>
      <c r="E1312" t="s">
        <v>357</v>
      </c>
      <c r="F1312" t="s">
        <v>447</v>
      </c>
      <c r="G1312">
        <v>1</v>
      </c>
      <c r="H1312">
        <v>1537.5</v>
      </c>
      <c r="I1312">
        <v>1</v>
      </c>
      <c r="J1312">
        <v>0.95</v>
      </c>
      <c r="K1312">
        <v>1</v>
      </c>
      <c r="L1312">
        <v>8.0000000000000002E-3</v>
      </c>
      <c r="M1312">
        <v>5</v>
      </c>
      <c r="N1312">
        <v>89</v>
      </c>
      <c r="P1312">
        <v>0</v>
      </c>
      <c r="Q1312">
        <v>3</v>
      </c>
      <c r="R1312">
        <v>8.2000000000000007E-3</v>
      </c>
      <c r="T1312" s="8" t="s">
        <v>357</v>
      </c>
    </row>
    <row r="1313" spans="1:20" x14ac:dyDescent="0.2">
      <c r="A1313" t="s">
        <v>3903</v>
      </c>
      <c r="B1313" t="s">
        <v>2022</v>
      </c>
      <c r="C1313" t="s">
        <v>2049</v>
      </c>
      <c r="D1313" t="s">
        <v>2136</v>
      </c>
      <c r="E1313" t="s">
        <v>3904</v>
      </c>
      <c r="F1313" t="s">
        <v>3905</v>
      </c>
      <c r="G1313">
        <v>5</v>
      </c>
      <c r="H1313">
        <v>1750</v>
      </c>
      <c r="I1313">
        <v>1</v>
      </c>
      <c r="J1313">
        <v>1.4</v>
      </c>
      <c r="K1313">
        <v>2</v>
      </c>
      <c r="L1313">
        <v>0.06</v>
      </c>
      <c r="M1313">
        <v>4</v>
      </c>
      <c r="N1313">
        <v>146</v>
      </c>
      <c r="O1313">
        <v>1</v>
      </c>
      <c r="P1313">
        <v>0.06</v>
      </c>
      <c r="Q1313">
        <v>2</v>
      </c>
      <c r="R1313">
        <v>6.1999999999999998E-3</v>
      </c>
      <c r="T1313" s="8" t="s">
        <v>3904</v>
      </c>
    </row>
    <row r="1314" spans="1:20" x14ac:dyDescent="0.2">
      <c r="A1314" t="s">
        <v>3906</v>
      </c>
      <c r="B1314" t="s">
        <v>2022</v>
      </c>
      <c r="C1314" t="s">
        <v>2053</v>
      </c>
      <c r="D1314" t="s">
        <v>2024</v>
      </c>
      <c r="E1314" t="s">
        <v>3907</v>
      </c>
      <c r="F1314" t="s">
        <v>3908</v>
      </c>
      <c r="G1314">
        <v>2</v>
      </c>
      <c r="H1314">
        <v>1600</v>
      </c>
      <c r="I1314">
        <v>2</v>
      </c>
      <c r="J1314">
        <v>4.05</v>
      </c>
      <c r="K1314">
        <v>1</v>
      </c>
      <c r="L1314">
        <v>1.4999999999999999E-2</v>
      </c>
      <c r="M1314">
        <v>3</v>
      </c>
      <c r="N1314">
        <v>93</v>
      </c>
      <c r="O1314">
        <v>2</v>
      </c>
      <c r="P1314">
        <v>0.22500000000000001</v>
      </c>
      <c r="Q1314">
        <v>1</v>
      </c>
      <c r="R1314">
        <v>8.4999999999999995E-4</v>
      </c>
      <c r="T1314" s="8" t="s">
        <v>3907</v>
      </c>
    </row>
    <row r="1315" spans="1:20" x14ac:dyDescent="0.2">
      <c r="A1315" t="s">
        <v>3909</v>
      </c>
      <c r="B1315" t="s">
        <v>2022</v>
      </c>
      <c r="C1315" t="s">
        <v>2036</v>
      </c>
      <c r="D1315" t="s">
        <v>2024</v>
      </c>
      <c r="E1315" t="s">
        <v>824</v>
      </c>
      <c r="F1315" t="s">
        <v>825</v>
      </c>
      <c r="G1315">
        <v>2</v>
      </c>
      <c r="H1315">
        <v>1640</v>
      </c>
      <c r="I1315">
        <v>5</v>
      </c>
      <c r="J1315">
        <v>7</v>
      </c>
      <c r="K1315">
        <v>5</v>
      </c>
      <c r="L1315">
        <v>0.17499999999999999</v>
      </c>
      <c r="M1315">
        <v>4</v>
      </c>
      <c r="N1315">
        <v>94</v>
      </c>
      <c r="O1315">
        <v>5</v>
      </c>
      <c r="P1315">
        <v>0.53500000000000003</v>
      </c>
      <c r="Q1315">
        <v>5</v>
      </c>
      <c r="R1315">
        <v>1.2E-2</v>
      </c>
      <c r="T1315" s="8" t="s">
        <v>824</v>
      </c>
    </row>
    <row r="1316" spans="1:20" x14ac:dyDescent="0.2">
      <c r="A1316" t="s">
        <v>3910</v>
      </c>
      <c r="B1316" t="s">
        <v>2022</v>
      </c>
      <c r="C1316" t="s">
        <v>2023</v>
      </c>
      <c r="D1316" t="s">
        <v>2024</v>
      </c>
      <c r="E1316" t="s">
        <v>3911</v>
      </c>
      <c r="F1316" t="s">
        <v>3912</v>
      </c>
      <c r="G1316">
        <v>5</v>
      </c>
      <c r="H1316">
        <v>1800</v>
      </c>
      <c r="I1316">
        <v>5</v>
      </c>
      <c r="J1316">
        <v>10.9</v>
      </c>
      <c r="K1316">
        <v>5</v>
      </c>
      <c r="L1316">
        <v>8.5999999999999993E-2</v>
      </c>
      <c r="M1316">
        <v>5</v>
      </c>
      <c r="N1316">
        <v>114</v>
      </c>
      <c r="O1316">
        <v>5</v>
      </c>
      <c r="P1316">
        <v>0.67500000000000004</v>
      </c>
      <c r="Q1316">
        <v>5</v>
      </c>
      <c r="R1316">
        <v>8.0000000000000002E-3</v>
      </c>
      <c r="T1316" s="8" t="s">
        <v>3911</v>
      </c>
    </row>
    <row r="1317" spans="1:20" x14ac:dyDescent="0.2">
      <c r="A1317" t="s">
        <v>3913</v>
      </c>
      <c r="B1317" t="s">
        <v>2022</v>
      </c>
      <c r="C1317" t="s">
        <v>2222</v>
      </c>
      <c r="D1317" t="s">
        <v>2024</v>
      </c>
      <c r="E1317" t="s">
        <v>3914</v>
      </c>
      <c r="F1317" t="s">
        <v>3915</v>
      </c>
      <c r="G1317">
        <v>3</v>
      </c>
      <c r="H1317">
        <v>1650</v>
      </c>
      <c r="I1317">
        <v>2</v>
      </c>
      <c r="J1317">
        <v>3.9</v>
      </c>
      <c r="K1317">
        <v>1</v>
      </c>
      <c r="L1317">
        <v>0.01</v>
      </c>
      <c r="M1317">
        <v>2</v>
      </c>
      <c r="N1317">
        <v>63</v>
      </c>
      <c r="O1317">
        <v>2</v>
      </c>
      <c r="P1317">
        <v>0.15</v>
      </c>
      <c r="Q1317">
        <v>1</v>
      </c>
      <c r="R1317">
        <v>4.0000000000000002E-4</v>
      </c>
      <c r="T1317" s="8" t="s">
        <v>3914</v>
      </c>
    </row>
    <row r="1318" spans="1:20" x14ac:dyDescent="0.2">
      <c r="A1318" t="s">
        <v>3916</v>
      </c>
      <c r="B1318" t="s">
        <v>2022</v>
      </c>
      <c r="C1318" t="s">
        <v>2023</v>
      </c>
      <c r="D1318" t="s">
        <v>2024</v>
      </c>
      <c r="E1318" t="s">
        <v>3917</v>
      </c>
      <c r="F1318" t="s">
        <v>3918</v>
      </c>
      <c r="G1318">
        <v>1</v>
      </c>
      <c r="H1318">
        <v>1480</v>
      </c>
      <c r="I1318">
        <v>2</v>
      </c>
      <c r="J1318">
        <v>3.4</v>
      </c>
      <c r="K1318">
        <v>5</v>
      </c>
      <c r="L1318">
        <v>8.5999999999999993E-2</v>
      </c>
      <c r="M1318">
        <v>1</v>
      </c>
      <c r="N1318">
        <v>74</v>
      </c>
      <c r="O1318">
        <v>2</v>
      </c>
      <c r="P1318">
        <v>0.22500000000000001</v>
      </c>
      <c r="Q1318">
        <v>4</v>
      </c>
      <c r="R1318">
        <v>6.0000000000000001E-3</v>
      </c>
      <c r="T1318" s="8" t="s">
        <v>3917</v>
      </c>
    </row>
    <row r="1319" spans="1:20" x14ac:dyDescent="0.2">
      <c r="A1319" t="s">
        <v>3919</v>
      </c>
      <c r="B1319" t="s">
        <v>2022</v>
      </c>
      <c r="C1319" t="s">
        <v>2023</v>
      </c>
      <c r="D1319" t="s">
        <v>2024</v>
      </c>
      <c r="E1319" t="s">
        <v>3920</v>
      </c>
      <c r="F1319" t="s">
        <v>3921</v>
      </c>
      <c r="G1319">
        <v>3</v>
      </c>
      <c r="H1319">
        <v>1640</v>
      </c>
      <c r="I1319">
        <v>3</v>
      </c>
      <c r="J1319">
        <v>5.9</v>
      </c>
      <c r="K1319">
        <v>5</v>
      </c>
      <c r="L1319">
        <v>8.5999999999999993E-2</v>
      </c>
      <c r="M1319">
        <v>4</v>
      </c>
      <c r="N1319">
        <v>104</v>
      </c>
      <c r="O1319">
        <v>3</v>
      </c>
      <c r="P1319">
        <v>0.375</v>
      </c>
      <c r="Q1319">
        <v>4</v>
      </c>
      <c r="R1319">
        <v>6.0000000000000001E-3</v>
      </c>
      <c r="T1319" s="8" t="s">
        <v>3920</v>
      </c>
    </row>
    <row r="1320" spans="1:20" x14ac:dyDescent="0.2">
      <c r="A1320" t="s">
        <v>3922</v>
      </c>
      <c r="B1320" t="s">
        <v>2022</v>
      </c>
      <c r="C1320" t="s">
        <v>2023</v>
      </c>
      <c r="D1320" t="s">
        <v>2024</v>
      </c>
      <c r="E1320" t="s">
        <v>3923</v>
      </c>
      <c r="F1320" t="s">
        <v>3924</v>
      </c>
      <c r="G1320">
        <v>3</v>
      </c>
      <c r="H1320">
        <v>1640</v>
      </c>
      <c r="I1320">
        <v>3</v>
      </c>
      <c r="J1320">
        <v>5.9</v>
      </c>
      <c r="K1320">
        <v>2</v>
      </c>
      <c r="L1320">
        <v>2.5999999999999999E-2</v>
      </c>
      <c r="M1320">
        <v>2</v>
      </c>
      <c r="N1320">
        <v>84</v>
      </c>
      <c r="O1320">
        <v>2</v>
      </c>
      <c r="P1320">
        <v>0.22500000000000001</v>
      </c>
      <c r="Q1320">
        <v>2</v>
      </c>
      <c r="R1320">
        <v>2E-3</v>
      </c>
      <c r="T1320" s="8" t="s">
        <v>3923</v>
      </c>
    </row>
    <row r="1321" spans="1:20" x14ac:dyDescent="0.2">
      <c r="A1321" t="s">
        <v>3925</v>
      </c>
      <c r="B1321" t="s">
        <v>2022</v>
      </c>
      <c r="C1321" t="s">
        <v>2023</v>
      </c>
      <c r="D1321" t="s">
        <v>2024</v>
      </c>
      <c r="E1321" t="s">
        <v>3926</v>
      </c>
      <c r="F1321" t="s">
        <v>3927</v>
      </c>
      <c r="G1321">
        <v>4</v>
      </c>
      <c r="H1321">
        <v>1720</v>
      </c>
      <c r="I1321">
        <v>5</v>
      </c>
      <c r="J1321">
        <v>10.9</v>
      </c>
      <c r="K1321">
        <v>5</v>
      </c>
      <c r="L1321">
        <v>8.5999999999999993E-2</v>
      </c>
      <c r="M1321">
        <v>2</v>
      </c>
      <c r="N1321">
        <v>84</v>
      </c>
      <c r="O1321">
        <v>5</v>
      </c>
      <c r="P1321">
        <v>0.67500000000000004</v>
      </c>
      <c r="Q1321">
        <v>5</v>
      </c>
      <c r="R1321">
        <v>8.0000000000000002E-3</v>
      </c>
      <c r="T1321" s="8" t="s">
        <v>3926</v>
      </c>
    </row>
    <row r="1322" spans="1:20" x14ac:dyDescent="0.2">
      <c r="A1322" t="s">
        <v>3928</v>
      </c>
      <c r="B1322" t="s">
        <v>2022</v>
      </c>
      <c r="C1322" t="s">
        <v>2053</v>
      </c>
      <c r="D1322" t="s">
        <v>2024</v>
      </c>
      <c r="E1322" t="s">
        <v>3929</v>
      </c>
      <c r="F1322" t="s">
        <v>3930</v>
      </c>
      <c r="G1322">
        <v>2</v>
      </c>
      <c r="H1322">
        <v>1600</v>
      </c>
      <c r="I1322">
        <v>4</v>
      </c>
      <c r="J1322">
        <v>9.0500000000000007</v>
      </c>
      <c r="K1322">
        <v>4</v>
      </c>
      <c r="L1322">
        <v>0.30499999999999999</v>
      </c>
      <c r="M1322">
        <v>3</v>
      </c>
      <c r="N1322">
        <v>93</v>
      </c>
      <c r="O1322">
        <v>4</v>
      </c>
      <c r="P1322">
        <v>0.52500000000000002</v>
      </c>
      <c r="Q1322">
        <v>4</v>
      </c>
      <c r="R1322">
        <v>1.9199999999999998E-2</v>
      </c>
      <c r="T1322" s="8" t="s">
        <v>3929</v>
      </c>
    </row>
    <row r="1323" spans="1:20" x14ac:dyDescent="0.2">
      <c r="A1323" t="s">
        <v>3931</v>
      </c>
      <c r="B1323" t="s">
        <v>2022</v>
      </c>
      <c r="C1323" t="s">
        <v>2023</v>
      </c>
      <c r="D1323" t="s">
        <v>2024</v>
      </c>
      <c r="E1323" t="s">
        <v>3932</v>
      </c>
      <c r="F1323" t="s">
        <v>3933</v>
      </c>
      <c r="G1323">
        <v>4</v>
      </c>
      <c r="H1323">
        <v>1720</v>
      </c>
      <c r="I1323">
        <v>3</v>
      </c>
      <c r="J1323">
        <v>5.9</v>
      </c>
      <c r="K1323">
        <v>3</v>
      </c>
      <c r="L1323">
        <v>4.5999999999999999E-2</v>
      </c>
      <c r="M1323">
        <v>2</v>
      </c>
      <c r="N1323">
        <v>84</v>
      </c>
      <c r="O1323">
        <v>2</v>
      </c>
      <c r="P1323">
        <v>0.22500000000000001</v>
      </c>
      <c r="Q1323">
        <v>2</v>
      </c>
      <c r="R1323">
        <v>2E-3</v>
      </c>
      <c r="T1323" s="8" t="s">
        <v>3932</v>
      </c>
    </row>
    <row r="1324" spans="1:20" x14ac:dyDescent="0.2">
      <c r="A1324" t="s">
        <v>3934</v>
      </c>
      <c r="B1324" t="s">
        <v>2022</v>
      </c>
      <c r="C1324" t="s">
        <v>2053</v>
      </c>
      <c r="D1324" t="s">
        <v>2024</v>
      </c>
      <c r="E1324" t="s">
        <v>3935</v>
      </c>
      <c r="F1324" t="s">
        <v>3936</v>
      </c>
      <c r="G1324">
        <v>2</v>
      </c>
      <c r="H1324">
        <v>1600</v>
      </c>
      <c r="I1324">
        <v>5</v>
      </c>
      <c r="J1324">
        <v>11.55</v>
      </c>
      <c r="K1324">
        <v>4</v>
      </c>
      <c r="L1324">
        <v>0.30499999999999999</v>
      </c>
      <c r="M1324">
        <v>2</v>
      </c>
      <c r="N1324">
        <v>83</v>
      </c>
      <c r="O1324">
        <v>5</v>
      </c>
      <c r="P1324">
        <v>0.67500000000000004</v>
      </c>
      <c r="Q1324">
        <v>4</v>
      </c>
      <c r="R1324">
        <v>1.9199999999999998E-2</v>
      </c>
      <c r="T1324" s="8" t="s">
        <v>3935</v>
      </c>
    </row>
    <row r="1325" spans="1:20" x14ac:dyDescent="0.2">
      <c r="A1325" t="s">
        <v>3937</v>
      </c>
      <c r="B1325" t="s">
        <v>2022</v>
      </c>
      <c r="C1325" t="s">
        <v>2053</v>
      </c>
      <c r="D1325" t="s">
        <v>2024</v>
      </c>
      <c r="E1325" t="s">
        <v>3938</v>
      </c>
      <c r="F1325" t="s">
        <v>3939</v>
      </c>
      <c r="G1325">
        <v>4</v>
      </c>
      <c r="H1325">
        <v>1800</v>
      </c>
      <c r="I1325">
        <v>1</v>
      </c>
      <c r="J1325">
        <v>1.55</v>
      </c>
      <c r="K1325">
        <v>2</v>
      </c>
      <c r="L1325">
        <v>8.5000000000000006E-2</v>
      </c>
      <c r="M1325">
        <v>3</v>
      </c>
      <c r="N1325">
        <v>93</v>
      </c>
      <c r="O1325">
        <v>2</v>
      </c>
      <c r="P1325">
        <v>0.22500000000000001</v>
      </c>
      <c r="Q1325">
        <v>2</v>
      </c>
      <c r="R1325">
        <v>5.1999999999999998E-3</v>
      </c>
      <c r="T1325" s="8" t="s">
        <v>3938</v>
      </c>
    </row>
    <row r="1326" spans="1:20" x14ac:dyDescent="0.2">
      <c r="A1326" t="s">
        <v>3940</v>
      </c>
      <c r="B1326" t="s">
        <v>2022</v>
      </c>
      <c r="C1326" t="s">
        <v>2023</v>
      </c>
      <c r="D1326" t="s">
        <v>2024</v>
      </c>
      <c r="E1326" t="s">
        <v>3941</v>
      </c>
      <c r="F1326" t="s">
        <v>3942</v>
      </c>
      <c r="G1326">
        <v>2</v>
      </c>
      <c r="H1326">
        <v>1560</v>
      </c>
      <c r="I1326">
        <v>1</v>
      </c>
      <c r="J1326">
        <v>0.9</v>
      </c>
      <c r="K1326">
        <v>2</v>
      </c>
      <c r="L1326">
        <v>2.5999999999999999E-2</v>
      </c>
      <c r="M1326">
        <v>2</v>
      </c>
      <c r="N1326">
        <v>84</v>
      </c>
      <c r="O1326">
        <v>1</v>
      </c>
      <c r="P1326">
        <v>7.4999999999999997E-2</v>
      </c>
      <c r="Q1326">
        <v>1</v>
      </c>
      <c r="R1326">
        <v>5.0000000000000001E-4</v>
      </c>
      <c r="T1326" s="8" t="s">
        <v>3941</v>
      </c>
    </row>
    <row r="1327" spans="1:20" x14ac:dyDescent="0.2">
      <c r="A1327" t="s">
        <v>3943</v>
      </c>
      <c r="B1327" t="s">
        <v>2022</v>
      </c>
      <c r="C1327" t="s">
        <v>2023</v>
      </c>
      <c r="D1327" t="s">
        <v>2024</v>
      </c>
      <c r="E1327" t="s">
        <v>3944</v>
      </c>
      <c r="F1327" t="s">
        <v>3945</v>
      </c>
      <c r="G1327">
        <v>1</v>
      </c>
      <c r="H1327">
        <v>1480</v>
      </c>
      <c r="I1327">
        <v>1</v>
      </c>
      <c r="J1327">
        <v>0.9</v>
      </c>
      <c r="K1327">
        <v>2</v>
      </c>
      <c r="L1327">
        <v>2.5999999999999999E-2</v>
      </c>
      <c r="M1327">
        <v>2</v>
      </c>
      <c r="N1327">
        <v>84</v>
      </c>
      <c r="O1327">
        <v>1</v>
      </c>
      <c r="P1327">
        <v>7.4999999999999997E-2</v>
      </c>
      <c r="Q1327">
        <v>2</v>
      </c>
      <c r="R1327">
        <v>2E-3</v>
      </c>
      <c r="T1327" s="8" t="s">
        <v>3944</v>
      </c>
    </row>
    <row r="1328" spans="1:20" x14ac:dyDescent="0.2">
      <c r="A1328" t="s">
        <v>3946</v>
      </c>
      <c r="B1328" t="s">
        <v>2022</v>
      </c>
      <c r="C1328" t="s">
        <v>2173</v>
      </c>
      <c r="D1328" t="s">
        <v>2024</v>
      </c>
      <c r="E1328" t="s">
        <v>3947</v>
      </c>
      <c r="F1328" t="s">
        <v>3948</v>
      </c>
      <c r="G1328">
        <v>2</v>
      </c>
      <c r="H1328">
        <v>1957.5</v>
      </c>
      <c r="I1328">
        <v>1</v>
      </c>
      <c r="J1328">
        <v>3.65</v>
      </c>
      <c r="K1328">
        <v>1</v>
      </c>
      <c r="L1328">
        <v>1.4999999999999999E-2</v>
      </c>
      <c r="M1328">
        <v>1</v>
      </c>
      <c r="N1328">
        <v>96.5</v>
      </c>
      <c r="O1328">
        <v>1</v>
      </c>
      <c r="P1328">
        <v>0.15</v>
      </c>
      <c r="Q1328">
        <v>1</v>
      </c>
      <c r="R1328">
        <v>6.4999999999999997E-4</v>
      </c>
      <c r="T1328" s="8" t="s">
        <v>3947</v>
      </c>
    </row>
    <row r="1329" spans="1:20" x14ac:dyDescent="0.2">
      <c r="A1329" t="s">
        <v>3949</v>
      </c>
      <c r="B1329" t="s">
        <v>2022</v>
      </c>
      <c r="C1329" t="s">
        <v>2222</v>
      </c>
      <c r="D1329" t="s">
        <v>2136</v>
      </c>
      <c r="E1329" t="s">
        <v>3950</v>
      </c>
      <c r="F1329" t="s">
        <v>447</v>
      </c>
      <c r="G1329">
        <v>3</v>
      </c>
      <c r="H1329">
        <v>1650</v>
      </c>
      <c r="I1329">
        <v>2</v>
      </c>
      <c r="J1329">
        <v>3.9</v>
      </c>
      <c r="K1329">
        <v>2</v>
      </c>
      <c r="L1329">
        <v>5.5E-2</v>
      </c>
      <c r="M1329">
        <v>5</v>
      </c>
      <c r="N1329">
        <v>75</v>
      </c>
      <c r="O1329">
        <v>3</v>
      </c>
      <c r="P1329">
        <v>0.23</v>
      </c>
      <c r="Q1329">
        <v>2</v>
      </c>
      <c r="R1329">
        <v>2.3E-3</v>
      </c>
      <c r="T1329" s="8" t="s">
        <v>3950</v>
      </c>
    </row>
    <row r="1330" spans="1:20" x14ac:dyDescent="0.2">
      <c r="A1330" t="s">
        <v>3951</v>
      </c>
      <c r="B1330" t="s">
        <v>2022</v>
      </c>
      <c r="C1330" t="s">
        <v>2036</v>
      </c>
      <c r="D1330" t="s">
        <v>2024</v>
      </c>
      <c r="E1330" t="s">
        <v>3952</v>
      </c>
      <c r="F1330" t="s">
        <v>3953</v>
      </c>
      <c r="G1330">
        <v>1</v>
      </c>
      <c r="H1330">
        <v>1540</v>
      </c>
      <c r="I1330">
        <v>3</v>
      </c>
      <c r="J1330">
        <v>4.5999999999999996</v>
      </c>
      <c r="K1330">
        <v>4</v>
      </c>
      <c r="L1330">
        <v>0.14499999999999999</v>
      </c>
      <c r="M1330">
        <v>1</v>
      </c>
      <c r="N1330">
        <v>76</v>
      </c>
      <c r="O1330">
        <v>2</v>
      </c>
      <c r="P1330">
        <v>0.20499999999999999</v>
      </c>
      <c r="Q1330">
        <v>3</v>
      </c>
      <c r="R1330">
        <v>6.7499999999999999E-3</v>
      </c>
      <c r="T1330" s="8" t="s">
        <v>3952</v>
      </c>
    </row>
    <row r="1331" spans="1:20" x14ac:dyDescent="0.2">
      <c r="A1331" t="s">
        <v>3954</v>
      </c>
      <c r="B1331" t="s">
        <v>2022</v>
      </c>
      <c r="C1331" t="s">
        <v>2036</v>
      </c>
      <c r="D1331" t="s">
        <v>2024</v>
      </c>
      <c r="E1331" t="s">
        <v>3955</v>
      </c>
      <c r="F1331" t="s">
        <v>3956</v>
      </c>
      <c r="G1331">
        <v>2</v>
      </c>
      <c r="H1331">
        <v>1640</v>
      </c>
      <c r="I1331">
        <v>2</v>
      </c>
      <c r="J1331">
        <v>3.4</v>
      </c>
      <c r="K1331">
        <v>1</v>
      </c>
      <c r="L1331">
        <v>5.5E-2</v>
      </c>
      <c r="M1331">
        <v>4</v>
      </c>
      <c r="N1331">
        <v>94</v>
      </c>
      <c r="O1331">
        <v>2</v>
      </c>
      <c r="P1331">
        <v>0.20499999999999999</v>
      </c>
      <c r="Q1331">
        <v>2</v>
      </c>
      <c r="R1331">
        <v>4.2500000000000003E-3</v>
      </c>
      <c r="T1331" s="8" t="s">
        <v>3955</v>
      </c>
    </row>
    <row r="1332" spans="1:20" x14ac:dyDescent="0.2">
      <c r="A1332" t="s">
        <v>3957</v>
      </c>
      <c r="B1332" t="s">
        <v>2022</v>
      </c>
      <c r="C1332" t="s">
        <v>2173</v>
      </c>
      <c r="D1332" t="s">
        <v>2024</v>
      </c>
      <c r="E1332" t="s">
        <v>3958</v>
      </c>
      <c r="F1332" t="s">
        <v>3959</v>
      </c>
      <c r="G1332">
        <v>5</v>
      </c>
      <c r="H1332">
        <v>2182.5</v>
      </c>
      <c r="I1332">
        <v>4</v>
      </c>
      <c r="J1332">
        <v>11.75</v>
      </c>
      <c r="K1332">
        <v>4</v>
      </c>
      <c r="L1332">
        <v>0.33</v>
      </c>
      <c r="M1332">
        <v>3</v>
      </c>
      <c r="N1332">
        <v>118.5</v>
      </c>
      <c r="O1332">
        <v>4</v>
      </c>
      <c r="P1332">
        <v>0.69</v>
      </c>
      <c r="Q1332">
        <v>4</v>
      </c>
      <c r="R1332">
        <v>1.8800000000000001E-2</v>
      </c>
      <c r="T1332" s="8" t="s">
        <v>3958</v>
      </c>
    </row>
    <row r="1333" spans="1:20" x14ac:dyDescent="0.2">
      <c r="A1333" t="s">
        <v>3960</v>
      </c>
      <c r="B1333" t="s">
        <v>2022</v>
      </c>
      <c r="C1333" t="s">
        <v>2257</v>
      </c>
      <c r="D1333" t="s">
        <v>2154</v>
      </c>
      <c r="E1333" t="s">
        <v>357</v>
      </c>
      <c r="F1333" t="s">
        <v>447</v>
      </c>
      <c r="G1333">
        <v>4</v>
      </c>
      <c r="H1333">
        <v>1200</v>
      </c>
      <c r="I1333">
        <v>5</v>
      </c>
      <c r="J1333">
        <v>5.65</v>
      </c>
      <c r="K1333">
        <v>5</v>
      </c>
      <c r="L1333">
        <v>0.187</v>
      </c>
      <c r="M1333">
        <v>3</v>
      </c>
      <c r="N1333">
        <v>700</v>
      </c>
      <c r="O1333">
        <v>5</v>
      </c>
      <c r="P1333">
        <v>2.7</v>
      </c>
      <c r="Q1333">
        <v>5</v>
      </c>
      <c r="R1333">
        <v>8.1000000000000003E-2</v>
      </c>
      <c r="T1333" s="8" t="s">
        <v>357</v>
      </c>
    </row>
    <row r="1334" spans="1:20" x14ac:dyDescent="0.2">
      <c r="A1334" t="s">
        <v>3961</v>
      </c>
      <c r="B1334" t="s">
        <v>2022</v>
      </c>
      <c r="C1334" t="s">
        <v>2095</v>
      </c>
      <c r="D1334" t="s">
        <v>2154</v>
      </c>
      <c r="E1334" t="s">
        <v>3962</v>
      </c>
      <c r="F1334" t="s">
        <v>3963</v>
      </c>
      <c r="G1334">
        <v>2</v>
      </c>
      <c r="H1334">
        <v>1655</v>
      </c>
      <c r="I1334">
        <v>1</v>
      </c>
      <c r="J1334">
        <v>4.5</v>
      </c>
      <c r="K1334">
        <v>1</v>
      </c>
      <c r="L1334">
        <v>1.4999999999999999E-2</v>
      </c>
      <c r="M1334">
        <v>1</v>
      </c>
      <c r="N1334">
        <v>74</v>
      </c>
      <c r="O1334">
        <v>1</v>
      </c>
      <c r="P1334">
        <v>0.15</v>
      </c>
      <c r="Q1334">
        <v>1</v>
      </c>
      <c r="R1334">
        <v>6.9999999999999999E-4</v>
      </c>
      <c r="T1334" s="8" t="s">
        <v>3962</v>
      </c>
    </row>
    <row r="1335" spans="1:20" x14ac:dyDescent="0.2">
      <c r="A1335" t="s">
        <v>3964</v>
      </c>
      <c r="B1335" t="s">
        <v>2022</v>
      </c>
      <c r="C1335" t="s">
        <v>2036</v>
      </c>
      <c r="D1335" t="s">
        <v>2024</v>
      </c>
      <c r="E1335" t="s">
        <v>3965</v>
      </c>
      <c r="F1335" t="s">
        <v>3966</v>
      </c>
      <c r="G1335">
        <v>2</v>
      </c>
      <c r="H1335">
        <v>1640</v>
      </c>
      <c r="I1335">
        <v>1</v>
      </c>
      <c r="J1335">
        <v>2.2000000000000002</v>
      </c>
      <c r="K1335">
        <v>1</v>
      </c>
      <c r="L1335">
        <v>5.5E-2</v>
      </c>
      <c r="M1335">
        <v>2</v>
      </c>
      <c r="N1335">
        <v>82</v>
      </c>
      <c r="O1335">
        <v>1</v>
      </c>
      <c r="P1335">
        <v>9.5000000000000001E-2</v>
      </c>
      <c r="Q1335">
        <v>1</v>
      </c>
      <c r="R1335">
        <v>1.5E-3</v>
      </c>
      <c r="T1335" s="8" t="s">
        <v>3965</v>
      </c>
    </row>
    <row r="1336" spans="1:20" x14ac:dyDescent="0.2">
      <c r="A1336" t="s">
        <v>3967</v>
      </c>
      <c r="B1336" t="s">
        <v>2022</v>
      </c>
      <c r="C1336" t="s">
        <v>2508</v>
      </c>
      <c r="D1336" t="s">
        <v>2024</v>
      </c>
      <c r="E1336" t="s">
        <v>3968</v>
      </c>
      <c r="F1336" t="s">
        <v>3969</v>
      </c>
      <c r="G1336">
        <v>1</v>
      </c>
      <c r="H1336">
        <v>1250</v>
      </c>
      <c r="I1336">
        <v>1</v>
      </c>
      <c r="J1336">
        <v>1</v>
      </c>
      <c r="K1336">
        <v>1</v>
      </c>
      <c r="L1336">
        <v>0.01</v>
      </c>
      <c r="M1336">
        <v>5</v>
      </c>
      <c r="N1336">
        <v>352.5</v>
      </c>
      <c r="O1336">
        <v>2</v>
      </c>
      <c r="P1336">
        <v>0.75</v>
      </c>
      <c r="Q1336">
        <v>1</v>
      </c>
      <c r="R1336">
        <v>1.2E-2</v>
      </c>
      <c r="T1336" s="8" t="s">
        <v>3968</v>
      </c>
    </row>
    <row r="1337" spans="1:20" x14ac:dyDescent="0.2">
      <c r="A1337" t="s">
        <v>3970</v>
      </c>
      <c r="B1337" t="s">
        <v>2022</v>
      </c>
      <c r="C1337" t="s">
        <v>2053</v>
      </c>
      <c r="D1337" t="s">
        <v>2024</v>
      </c>
      <c r="E1337" t="s">
        <v>3971</v>
      </c>
      <c r="F1337" t="s">
        <v>3972</v>
      </c>
      <c r="G1337">
        <v>3</v>
      </c>
      <c r="H1337">
        <v>1700</v>
      </c>
      <c r="I1337">
        <v>5</v>
      </c>
      <c r="J1337">
        <v>11.55</v>
      </c>
      <c r="K1337">
        <v>4</v>
      </c>
      <c r="L1337">
        <v>0.30499999999999999</v>
      </c>
      <c r="M1337">
        <v>1</v>
      </c>
      <c r="N1337">
        <v>73</v>
      </c>
      <c r="O1337">
        <v>4</v>
      </c>
      <c r="P1337">
        <v>0.52500000000000002</v>
      </c>
      <c r="Q1337">
        <v>3</v>
      </c>
      <c r="R1337">
        <v>1.2200000000000001E-2</v>
      </c>
      <c r="T1337" s="8" t="s">
        <v>3971</v>
      </c>
    </row>
    <row r="1338" spans="1:20" x14ac:dyDescent="0.2">
      <c r="A1338" t="s">
        <v>3973</v>
      </c>
      <c r="B1338" t="s">
        <v>2022</v>
      </c>
      <c r="C1338" t="s">
        <v>2028</v>
      </c>
      <c r="D1338" t="s">
        <v>2024</v>
      </c>
      <c r="E1338" t="s">
        <v>3974</v>
      </c>
      <c r="F1338" t="s">
        <v>3975</v>
      </c>
      <c r="G1338">
        <v>3</v>
      </c>
      <c r="H1338">
        <v>1050</v>
      </c>
      <c r="I1338">
        <v>4</v>
      </c>
      <c r="J1338">
        <v>4.95</v>
      </c>
      <c r="K1338">
        <v>4</v>
      </c>
      <c r="L1338">
        <v>0.193</v>
      </c>
      <c r="M1338">
        <v>3</v>
      </c>
      <c r="N1338">
        <v>300</v>
      </c>
      <c r="O1338">
        <v>5</v>
      </c>
      <c r="P1338">
        <v>1.35</v>
      </c>
      <c r="Q1338">
        <v>5</v>
      </c>
      <c r="R1338">
        <v>3.3500000000000002E-2</v>
      </c>
      <c r="T1338" s="8" t="s">
        <v>3974</v>
      </c>
    </row>
    <row r="1339" spans="1:20" x14ac:dyDescent="0.2">
      <c r="A1339" t="s">
        <v>3976</v>
      </c>
      <c r="B1339" t="s">
        <v>2022</v>
      </c>
      <c r="C1339" t="s">
        <v>2053</v>
      </c>
      <c r="D1339" t="s">
        <v>2024</v>
      </c>
      <c r="E1339" t="s">
        <v>3977</v>
      </c>
      <c r="F1339" t="s">
        <v>3978</v>
      </c>
      <c r="G1339">
        <v>4</v>
      </c>
      <c r="H1339">
        <v>1800</v>
      </c>
      <c r="I1339">
        <v>4</v>
      </c>
      <c r="J1339">
        <v>9.0500000000000007</v>
      </c>
      <c r="K1339">
        <v>4</v>
      </c>
      <c r="L1339">
        <v>0.30499999999999999</v>
      </c>
      <c r="M1339">
        <v>2</v>
      </c>
      <c r="N1339">
        <v>83</v>
      </c>
      <c r="O1339">
        <v>3</v>
      </c>
      <c r="P1339">
        <v>0.375</v>
      </c>
      <c r="Q1339">
        <v>3</v>
      </c>
      <c r="R1339">
        <v>1.2200000000000001E-2</v>
      </c>
      <c r="T1339" s="8" t="s">
        <v>3977</v>
      </c>
    </row>
    <row r="1340" spans="1:20" x14ac:dyDescent="0.2">
      <c r="A1340" t="s">
        <v>3979</v>
      </c>
      <c r="B1340" t="s">
        <v>2022</v>
      </c>
      <c r="C1340" t="s">
        <v>2095</v>
      </c>
      <c r="D1340" t="s">
        <v>2024</v>
      </c>
      <c r="E1340" t="s">
        <v>3980</v>
      </c>
      <c r="F1340" t="s">
        <v>3981</v>
      </c>
      <c r="G1340">
        <v>4</v>
      </c>
      <c r="H1340">
        <v>1835</v>
      </c>
      <c r="I1340">
        <v>2</v>
      </c>
      <c r="J1340">
        <v>7.5</v>
      </c>
      <c r="K1340">
        <v>3</v>
      </c>
      <c r="L1340">
        <v>0.33</v>
      </c>
      <c r="M1340">
        <v>5</v>
      </c>
      <c r="N1340">
        <v>98</v>
      </c>
      <c r="O1340">
        <v>4</v>
      </c>
      <c r="P1340">
        <v>0.75</v>
      </c>
      <c r="Q1340">
        <v>4</v>
      </c>
      <c r="R1340">
        <v>2.3900000000000001E-2</v>
      </c>
      <c r="T1340" s="8" t="s">
        <v>3980</v>
      </c>
    </row>
    <row r="1341" spans="1:20" x14ac:dyDescent="0.2">
      <c r="A1341" t="s">
        <v>3982</v>
      </c>
      <c r="B1341" t="s">
        <v>2022</v>
      </c>
      <c r="C1341" t="s">
        <v>2053</v>
      </c>
      <c r="D1341" t="s">
        <v>2024</v>
      </c>
      <c r="E1341" t="s">
        <v>3983</v>
      </c>
      <c r="F1341" t="s">
        <v>3984</v>
      </c>
      <c r="G1341">
        <v>5</v>
      </c>
      <c r="H1341">
        <v>1900</v>
      </c>
      <c r="I1341">
        <v>4</v>
      </c>
      <c r="J1341">
        <v>9.0500000000000007</v>
      </c>
      <c r="K1341">
        <v>2</v>
      </c>
      <c r="L1341">
        <v>8.5000000000000006E-2</v>
      </c>
      <c r="M1341">
        <v>5</v>
      </c>
      <c r="N1341">
        <v>113</v>
      </c>
      <c r="O1341">
        <v>4</v>
      </c>
      <c r="P1341">
        <v>0.52500000000000002</v>
      </c>
      <c r="Q1341">
        <v>2</v>
      </c>
      <c r="R1341">
        <v>5.1999999999999998E-3</v>
      </c>
      <c r="T1341" s="8" t="s">
        <v>3983</v>
      </c>
    </row>
    <row r="1342" spans="1:20" x14ac:dyDescent="0.2">
      <c r="A1342" t="s">
        <v>3985</v>
      </c>
      <c r="B1342" t="s">
        <v>2022</v>
      </c>
      <c r="C1342" t="s">
        <v>2049</v>
      </c>
      <c r="D1342" t="s">
        <v>2024</v>
      </c>
      <c r="E1342" t="s">
        <v>3986</v>
      </c>
      <c r="F1342" t="s">
        <v>3987</v>
      </c>
      <c r="G1342">
        <v>4</v>
      </c>
      <c r="H1342">
        <v>1650</v>
      </c>
      <c r="I1342">
        <v>5</v>
      </c>
      <c r="J1342">
        <v>8.6</v>
      </c>
      <c r="K1342">
        <v>5</v>
      </c>
      <c r="L1342">
        <v>0.3</v>
      </c>
      <c r="M1342">
        <v>2</v>
      </c>
      <c r="N1342">
        <v>106</v>
      </c>
      <c r="O1342">
        <v>3</v>
      </c>
      <c r="P1342">
        <v>0.46</v>
      </c>
      <c r="Q1342">
        <v>4</v>
      </c>
      <c r="R1342">
        <v>2.4199999999999999E-2</v>
      </c>
      <c r="T1342" s="8" t="s">
        <v>3986</v>
      </c>
    </row>
    <row r="1343" spans="1:20" x14ac:dyDescent="0.2">
      <c r="A1343" t="s">
        <v>3988</v>
      </c>
      <c r="B1343" t="s">
        <v>2022</v>
      </c>
      <c r="C1343" t="s">
        <v>2023</v>
      </c>
      <c r="D1343" t="s">
        <v>2024</v>
      </c>
      <c r="E1343" t="s">
        <v>3989</v>
      </c>
      <c r="F1343" t="s">
        <v>3990</v>
      </c>
      <c r="G1343">
        <v>5</v>
      </c>
      <c r="H1343">
        <v>1800</v>
      </c>
      <c r="I1343">
        <v>1</v>
      </c>
      <c r="J1343">
        <v>0.9</v>
      </c>
      <c r="K1343">
        <v>1</v>
      </c>
      <c r="L1343">
        <v>6.0000000000000001E-3</v>
      </c>
      <c r="M1343">
        <v>2</v>
      </c>
      <c r="N1343">
        <v>84</v>
      </c>
      <c r="O1343">
        <v>1</v>
      </c>
      <c r="P1343">
        <v>7.4999999999999997E-2</v>
      </c>
      <c r="Q1343">
        <v>1</v>
      </c>
      <c r="R1343">
        <v>5.0000000000000001E-4</v>
      </c>
      <c r="T1343" s="8" t="s">
        <v>3989</v>
      </c>
    </row>
    <row r="1344" spans="1:20" x14ac:dyDescent="0.2">
      <c r="A1344" t="s">
        <v>3991</v>
      </c>
      <c r="B1344" t="s">
        <v>2022</v>
      </c>
      <c r="C1344" t="s">
        <v>2053</v>
      </c>
      <c r="D1344" t="s">
        <v>2024</v>
      </c>
      <c r="E1344" t="s">
        <v>3992</v>
      </c>
      <c r="F1344" t="s">
        <v>3993</v>
      </c>
      <c r="G1344">
        <v>5</v>
      </c>
      <c r="H1344">
        <v>1900</v>
      </c>
      <c r="I1344">
        <v>4</v>
      </c>
      <c r="J1344">
        <v>9.0500000000000007</v>
      </c>
      <c r="K1344">
        <v>4</v>
      </c>
      <c r="L1344">
        <v>0.30499999999999999</v>
      </c>
      <c r="M1344">
        <v>4</v>
      </c>
      <c r="N1344">
        <v>103</v>
      </c>
      <c r="O1344">
        <v>4</v>
      </c>
      <c r="P1344">
        <v>0.52500000000000002</v>
      </c>
      <c r="Q1344">
        <v>4</v>
      </c>
      <c r="R1344">
        <v>1.9199999999999998E-2</v>
      </c>
      <c r="T1344" s="8" t="s">
        <v>3992</v>
      </c>
    </row>
    <row r="1345" spans="1:20" x14ac:dyDescent="0.2">
      <c r="A1345" t="s">
        <v>3994</v>
      </c>
      <c r="B1345" t="s">
        <v>2022</v>
      </c>
      <c r="C1345" t="s">
        <v>2023</v>
      </c>
      <c r="D1345" t="s">
        <v>2154</v>
      </c>
      <c r="E1345" t="s">
        <v>3995</v>
      </c>
      <c r="F1345" t="s">
        <v>3996</v>
      </c>
      <c r="G1345">
        <v>1</v>
      </c>
      <c r="H1345">
        <v>1480</v>
      </c>
      <c r="I1345">
        <v>2</v>
      </c>
      <c r="J1345">
        <v>3.4</v>
      </c>
      <c r="K1345">
        <v>2</v>
      </c>
      <c r="L1345">
        <v>2.5999999999999999E-2</v>
      </c>
      <c r="M1345">
        <v>3</v>
      </c>
      <c r="N1345">
        <v>94</v>
      </c>
      <c r="O1345">
        <v>2</v>
      </c>
      <c r="P1345">
        <v>0.22500000000000001</v>
      </c>
      <c r="Q1345">
        <v>2</v>
      </c>
      <c r="R1345">
        <v>2E-3</v>
      </c>
      <c r="T1345" s="8" t="s">
        <v>3995</v>
      </c>
    </row>
    <row r="1346" spans="1:20" x14ac:dyDescent="0.2">
      <c r="A1346" t="s">
        <v>3997</v>
      </c>
      <c r="B1346" t="s">
        <v>2022</v>
      </c>
      <c r="C1346" t="s">
        <v>2036</v>
      </c>
      <c r="D1346" t="s">
        <v>2136</v>
      </c>
      <c r="E1346" t="s">
        <v>3998</v>
      </c>
      <c r="F1346" t="s">
        <v>3999</v>
      </c>
      <c r="G1346">
        <v>2</v>
      </c>
      <c r="H1346">
        <v>1640</v>
      </c>
      <c r="I1346">
        <v>1</v>
      </c>
      <c r="J1346">
        <v>2.2000000000000002</v>
      </c>
      <c r="K1346">
        <v>1</v>
      </c>
      <c r="L1346">
        <v>5.5E-2</v>
      </c>
      <c r="M1346">
        <v>5</v>
      </c>
      <c r="N1346">
        <v>100</v>
      </c>
      <c r="O1346">
        <v>1</v>
      </c>
      <c r="P1346">
        <v>9.5000000000000001E-2</v>
      </c>
      <c r="Q1346">
        <v>1</v>
      </c>
      <c r="R1346">
        <v>1.5E-3</v>
      </c>
      <c r="T1346" s="8" t="s">
        <v>3998</v>
      </c>
    </row>
    <row r="1347" spans="1:20" x14ac:dyDescent="0.2">
      <c r="A1347" t="s">
        <v>4000</v>
      </c>
      <c r="B1347" t="s">
        <v>2022</v>
      </c>
      <c r="C1347" t="s">
        <v>2023</v>
      </c>
      <c r="D1347" t="s">
        <v>2024</v>
      </c>
      <c r="E1347" t="s">
        <v>4001</v>
      </c>
      <c r="F1347" t="s">
        <v>4002</v>
      </c>
      <c r="G1347">
        <v>1</v>
      </c>
      <c r="H1347">
        <v>1480</v>
      </c>
      <c r="I1347">
        <v>3</v>
      </c>
      <c r="J1347">
        <v>5.9</v>
      </c>
      <c r="K1347">
        <v>4</v>
      </c>
      <c r="L1347">
        <v>6.6000000000000003E-2</v>
      </c>
      <c r="M1347">
        <v>2</v>
      </c>
      <c r="N1347">
        <v>84</v>
      </c>
      <c r="O1347">
        <v>2</v>
      </c>
      <c r="P1347">
        <v>0.22500000000000001</v>
      </c>
      <c r="Q1347">
        <v>3</v>
      </c>
      <c r="R1347">
        <v>4.0000000000000001E-3</v>
      </c>
      <c r="T1347" s="8" t="s">
        <v>4001</v>
      </c>
    </row>
    <row r="1348" spans="1:20" x14ac:dyDescent="0.2">
      <c r="A1348" t="s">
        <v>4003</v>
      </c>
      <c r="B1348" t="s">
        <v>2022</v>
      </c>
      <c r="C1348" t="s">
        <v>2053</v>
      </c>
      <c r="D1348" t="s">
        <v>2024</v>
      </c>
      <c r="E1348" t="s">
        <v>4004</v>
      </c>
      <c r="F1348" t="s">
        <v>4005</v>
      </c>
      <c r="G1348">
        <v>4</v>
      </c>
      <c r="H1348">
        <v>1800</v>
      </c>
      <c r="I1348">
        <v>5</v>
      </c>
      <c r="J1348">
        <v>11.55</v>
      </c>
      <c r="K1348">
        <v>5</v>
      </c>
      <c r="L1348">
        <v>0.41499999999999998</v>
      </c>
      <c r="M1348">
        <v>2</v>
      </c>
      <c r="N1348">
        <v>83</v>
      </c>
      <c r="O1348">
        <v>5</v>
      </c>
      <c r="P1348">
        <v>0.67500000000000004</v>
      </c>
      <c r="Q1348">
        <v>5</v>
      </c>
      <c r="R1348">
        <v>2.6200000000000001E-2</v>
      </c>
      <c r="T1348" s="8" t="s">
        <v>4004</v>
      </c>
    </row>
    <row r="1349" spans="1:20" x14ac:dyDescent="0.2">
      <c r="A1349" t="s">
        <v>4006</v>
      </c>
      <c r="B1349" t="s">
        <v>2022</v>
      </c>
      <c r="C1349" t="s">
        <v>2023</v>
      </c>
      <c r="D1349" t="s">
        <v>2024</v>
      </c>
      <c r="E1349" t="s">
        <v>4007</v>
      </c>
      <c r="F1349" t="s">
        <v>4008</v>
      </c>
      <c r="G1349">
        <v>3</v>
      </c>
      <c r="H1349">
        <v>1640</v>
      </c>
      <c r="I1349">
        <v>2</v>
      </c>
      <c r="J1349">
        <v>3.4</v>
      </c>
      <c r="K1349">
        <v>4</v>
      </c>
      <c r="L1349">
        <v>6.6000000000000003E-2</v>
      </c>
      <c r="M1349">
        <v>1</v>
      </c>
      <c r="N1349">
        <v>74</v>
      </c>
      <c r="O1349">
        <v>2</v>
      </c>
      <c r="P1349">
        <v>0.22500000000000001</v>
      </c>
      <c r="Q1349">
        <v>3</v>
      </c>
      <c r="R1349">
        <v>4.0000000000000001E-3</v>
      </c>
      <c r="T1349" s="8" t="s">
        <v>4007</v>
      </c>
    </row>
    <row r="1350" spans="1:20" x14ac:dyDescent="0.2">
      <c r="A1350" t="s">
        <v>4009</v>
      </c>
      <c r="B1350" t="s">
        <v>2022</v>
      </c>
      <c r="C1350" t="s">
        <v>2023</v>
      </c>
      <c r="D1350" t="s">
        <v>2024</v>
      </c>
      <c r="E1350" t="s">
        <v>4010</v>
      </c>
      <c r="F1350" t="s">
        <v>4011</v>
      </c>
      <c r="G1350">
        <v>1</v>
      </c>
      <c r="H1350">
        <v>1480</v>
      </c>
      <c r="I1350">
        <v>2</v>
      </c>
      <c r="J1350">
        <v>3.4</v>
      </c>
      <c r="K1350">
        <v>5</v>
      </c>
      <c r="L1350">
        <v>8.5999999999999993E-2</v>
      </c>
      <c r="M1350">
        <v>2</v>
      </c>
      <c r="N1350">
        <v>84</v>
      </c>
      <c r="O1350">
        <v>2</v>
      </c>
      <c r="P1350">
        <v>0.22500000000000001</v>
      </c>
      <c r="Q1350">
        <v>3</v>
      </c>
      <c r="R1350">
        <v>4.0000000000000001E-3</v>
      </c>
      <c r="T1350" s="8" t="s">
        <v>4010</v>
      </c>
    </row>
    <row r="1351" spans="1:20" x14ac:dyDescent="0.2">
      <c r="A1351" t="s">
        <v>4012</v>
      </c>
      <c r="B1351" t="s">
        <v>2022</v>
      </c>
      <c r="C1351" t="s">
        <v>2023</v>
      </c>
      <c r="D1351" t="s">
        <v>2136</v>
      </c>
      <c r="E1351" t="s">
        <v>4013</v>
      </c>
      <c r="F1351" t="s">
        <v>447</v>
      </c>
      <c r="G1351">
        <v>2</v>
      </c>
      <c r="H1351">
        <v>1560</v>
      </c>
      <c r="I1351">
        <v>2</v>
      </c>
      <c r="J1351">
        <v>3.4</v>
      </c>
      <c r="K1351">
        <v>1</v>
      </c>
      <c r="L1351">
        <v>6.0000000000000001E-3</v>
      </c>
      <c r="M1351">
        <v>4</v>
      </c>
      <c r="N1351">
        <v>104</v>
      </c>
      <c r="O1351">
        <v>2</v>
      </c>
      <c r="P1351">
        <v>0.22500000000000001</v>
      </c>
      <c r="Q1351">
        <v>1</v>
      </c>
      <c r="R1351">
        <v>5.0000000000000001E-4</v>
      </c>
      <c r="T1351" s="8" t="s">
        <v>4013</v>
      </c>
    </row>
    <row r="1352" spans="1:20" x14ac:dyDescent="0.2">
      <c r="A1352" t="s">
        <v>4014</v>
      </c>
      <c r="B1352" t="s">
        <v>2022</v>
      </c>
      <c r="C1352" t="s">
        <v>2036</v>
      </c>
      <c r="D1352" t="s">
        <v>2024</v>
      </c>
      <c r="E1352" t="s">
        <v>4015</v>
      </c>
      <c r="F1352" t="s">
        <v>4016</v>
      </c>
      <c r="G1352">
        <v>1</v>
      </c>
      <c r="H1352">
        <v>1540</v>
      </c>
      <c r="I1352">
        <v>3</v>
      </c>
      <c r="J1352">
        <v>4.5999999999999996</v>
      </c>
      <c r="K1352">
        <v>3</v>
      </c>
      <c r="L1352">
        <v>0.115</v>
      </c>
      <c r="M1352">
        <v>2</v>
      </c>
      <c r="N1352">
        <v>82</v>
      </c>
      <c r="O1352">
        <v>2</v>
      </c>
      <c r="P1352">
        <v>0.20499999999999999</v>
      </c>
      <c r="Q1352">
        <v>3</v>
      </c>
      <c r="R1352">
        <v>6.7499999999999999E-3</v>
      </c>
      <c r="T1352" s="8" t="s">
        <v>4015</v>
      </c>
    </row>
    <row r="1353" spans="1:20" x14ac:dyDescent="0.2">
      <c r="A1353" t="s">
        <v>4017</v>
      </c>
      <c r="B1353" t="s">
        <v>2022</v>
      </c>
      <c r="C1353" t="s">
        <v>2101</v>
      </c>
      <c r="D1353" t="s">
        <v>2024</v>
      </c>
      <c r="E1353" t="s">
        <v>4018</v>
      </c>
      <c r="F1353" t="s">
        <v>4019</v>
      </c>
      <c r="G1353">
        <v>2</v>
      </c>
      <c r="H1353">
        <v>1670</v>
      </c>
      <c r="I1353">
        <v>1</v>
      </c>
      <c r="J1353">
        <v>2</v>
      </c>
      <c r="K1353">
        <v>1</v>
      </c>
      <c r="L1353">
        <v>1.15E-2</v>
      </c>
      <c r="M1353">
        <v>1</v>
      </c>
      <c r="N1353">
        <v>66</v>
      </c>
      <c r="O1353">
        <v>1</v>
      </c>
      <c r="P1353">
        <v>7.4999999999999997E-2</v>
      </c>
      <c r="Q1353">
        <v>1</v>
      </c>
      <c r="R1353">
        <v>5.0000000000000001E-4</v>
      </c>
      <c r="T1353" s="8" t="s">
        <v>4018</v>
      </c>
    </row>
    <row r="1354" spans="1:20" x14ac:dyDescent="0.2">
      <c r="A1354" t="s">
        <v>4020</v>
      </c>
      <c r="B1354" t="s">
        <v>2022</v>
      </c>
      <c r="C1354" t="s">
        <v>2101</v>
      </c>
      <c r="D1354" t="s">
        <v>2024</v>
      </c>
      <c r="E1354" t="s">
        <v>4018</v>
      </c>
      <c r="F1354" t="s">
        <v>4019</v>
      </c>
      <c r="G1354">
        <v>3</v>
      </c>
      <c r="H1354">
        <v>1770</v>
      </c>
      <c r="I1354">
        <v>1</v>
      </c>
      <c r="J1354">
        <v>2</v>
      </c>
      <c r="K1354">
        <v>1</v>
      </c>
      <c r="L1354">
        <v>1.15E-2</v>
      </c>
      <c r="M1354">
        <v>1</v>
      </c>
      <c r="N1354">
        <v>66</v>
      </c>
      <c r="O1354">
        <v>1</v>
      </c>
      <c r="P1354">
        <v>7.4999999999999997E-2</v>
      </c>
      <c r="Q1354">
        <v>1</v>
      </c>
      <c r="R1354">
        <v>5.0000000000000001E-4</v>
      </c>
      <c r="T1354" s="8" t="s">
        <v>4018</v>
      </c>
    </row>
    <row r="1355" spans="1:20" x14ac:dyDescent="0.2">
      <c r="A1355" t="s">
        <v>4021</v>
      </c>
      <c r="B1355" t="s">
        <v>2022</v>
      </c>
      <c r="C1355" t="s">
        <v>2106</v>
      </c>
      <c r="D1355" t="s">
        <v>2024</v>
      </c>
      <c r="E1355" t="s">
        <v>4018</v>
      </c>
      <c r="F1355" t="s">
        <v>4019</v>
      </c>
      <c r="G1355">
        <v>3</v>
      </c>
      <c r="H1355">
        <v>1975</v>
      </c>
      <c r="I1355">
        <v>1</v>
      </c>
      <c r="J1355">
        <v>3.25</v>
      </c>
      <c r="K1355">
        <v>1</v>
      </c>
      <c r="L1355">
        <v>0.01</v>
      </c>
      <c r="M1355">
        <v>1</v>
      </c>
      <c r="N1355">
        <v>61.5</v>
      </c>
      <c r="O1355">
        <v>1</v>
      </c>
      <c r="P1355">
        <v>0.05</v>
      </c>
      <c r="Q1355">
        <v>1</v>
      </c>
      <c r="R1355">
        <v>5.0000000000000001E-4</v>
      </c>
      <c r="T1355" s="8" t="s">
        <v>4018</v>
      </c>
    </row>
    <row r="1356" spans="1:20" x14ac:dyDescent="0.2">
      <c r="A1356" t="s">
        <v>4022</v>
      </c>
      <c r="B1356" t="s">
        <v>2022</v>
      </c>
      <c r="C1356" t="s">
        <v>2106</v>
      </c>
      <c r="D1356" t="s">
        <v>2024</v>
      </c>
      <c r="E1356" t="s">
        <v>4018</v>
      </c>
      <c r="F1356" t="s">
        <v>4019</v>
      </c>
      <c r="G1356">
        <v>2</v>
      </c>
      <c r="H1356">
        <v>1825</v>
      </c>
      <c r="I1356">
        <v>1</v>
      </c>
      <c r="J1356">
        <v>3.25</v>
      </c>
      <c r="K1356">
        <v>1</v>
      </c>
      <c r="L1356">
        <v>0.01</v>
      </c>
      <c r="M1356">
        <v>1</v>
      </c>
      <c r="N1356">
        <v>61.5</v>
      </c>
      <c r="O1356">
        <v>1</v>
      </c>
      <c r="P1356">
        <v>0.05</v>
      </c>
      <c r="Q1356">
        <v>1</v>
      </c>
      <c r="R1356">
        <v>5.0000000000000001E-4</v>
      </c>
      <c r="T1356" s="8" t="s">
        <v>4018</v>
      </c>
    </row>
    <row r="1357" spans="1:20" x14ac:dyDescent="0.2">
      <c r="A1357" t="s">
        <v>4023</v>
      </c>
      <c r="B1357" t="s">
        <v>2022</v>
      </c>
      <c r="C1357" t="s">
        <v>2036</v>
      </c>
      <c r="D1357" t="s">
        <v>2024</v>
      </c>
      <c r="E1357" t="s">
        <v>4018</v>
      </c>
      <c r="F1357" t="s">
        <v>4019</v>
      </c>
      <c r="G1357">
        <v>1</v>
      </c>
      <c r="H1357">
        <v>1540</v>
      </c>
      <c r="I1357">
        <v>2</v>
      </c>
      <c r="J1357">
        <v>3.4</v>
      </c>
      <c r="K1357">
        <v>1</v>
      </c>
      <c r="L1357">
        <v>5.5E-2</v>
      </c>
      <c r="M1357">
        <v>1</v>
      </c>
      <c r="N1357">
        <v>76</v>
      </c>
      <c r="O1357">
        <v>1</v>
      </c>
      <c r="P1357">
        <v>9.5000000000000001E-2</v>
      </c>
      <c r="Q1357">
        <v>1</v>
      </c>
      <c r="R1357">
        <v>1.5E-3</v>
      </c>
      <c r="T1357" s="8" t="s">
        <v>4018</v>
      </c>
    </row>
    <row r="1358" spans="1:20" x14ac:dyDescent="0.2">
      <c r="A1358" t="s">
        <v>4024</v>
      </c>
      <c r="B1358" t="s">
        <v>2022</v>
      </c>
      <c r="C1358" t="s">
        <v>2036</v>
      </c>
      <c r="D1358" t="s">
        <v>2024</v>
      </c>
      <c r="E1358" t="s">
        <v>4018</v>
      </c>
      <c r="F1358" t="s">
        <v>4019</v>
      </c>
      <c r="G1358">
        <v>3</v>
      </c>
      <c r="H1358">
        <v>1740</v>
      </c>
      <c r="I1358">
        <v>1</v>
      </c>
      <c r="J1358">
        <v>2.2000000000000002</v>
      </c>
      <c r="K1358">
        <v>1</v>
      </c>
      <c r="L1358">
        <v>5.5E-2</v>
      </c>
      <c r="M1358">
        <v>1</v>
      </c>
      <c r="N1358">
        <v>76</v>
      </c>
      <c r="O1358">
        <v>1</v>
      </c>
      <c r="P1358">
        <v>9.5000000000000001E-2</v>
      </c>
      <c r="Q1358">
        <v>1</v>
      </c>
      <c r="R1358">
        <v>1.5E-3</v>
      </c>
      <c r="T1358" s="8" t="s">
        <v>4018</v>
      </c>
    </row>
    <row r="1359" spans="1:20" x14ac:dyDescent="0.2">
      <c r="A1359" t="s">
        <v>4025</v>
      </c>
      <c r="B1359" t="s">
        <v>2022</v>
      </c>
      <c r="C1359" t="s">
        <v>2053</v>
      </c>
      <c r="D1359" t="s">
        <v>2024</v>
      </c>
      <c r="E1359" t="s">
        <v>4026</v>
      </c>
      <c r="F1359" t="s">
        <v>4027</v>
      </c>
      <c r="G1359">
        <v>2</v>
      </c>
      <c r="H1359">
        <v>1600</v>
      </c>
      <c r="I1359">
        <v>3</v>
      </c>
      <c r="J1359">
        <v>6.55</v>
      </c>
      <c r="K1359">
        <v>2</v>
      </c>
      <c r="L1359">
        <v>8.5000000000000006E-2</v>
      </c>
      <c r="M1359">
        <v>2</v>
      </c>
      <c r="N1359">
        <v>83</v>
      </c>
      <c r="O1359">
        <v>2</v>
      </c>
      <c r="P1359">
        <v>0.22500000000000001</v>
      </c>
      <c r="Q1359">
        <v>2</v>
      </c>
      <c r="R1359">
        <v>5.1999999999999998E-3</v>
      </c>
      <c r="T1359" s="8" t="s">
        <v>4026</v>
      </c>
    </row>
    <row r="1360" spans="1:20" x14ac:dyDescent="0.2">
      <c r="A1360" t="s">
        <v>4028</v>
      </c>
      <c r="B1360" t="s">
        <v>2022</v>
      </c>
      <c r="C1360" t="s">
        <v>2053</v>
      </c>
      <c r="D1360" t="s">
        <v>2024</v>
      </c>
      <c r="E1360" t="s">
        <v>4029</v>
      </c>
      <c r="F1360" t="s">
        <v>447</v>
      </c>
      <c r="G1360">
        <v>2</v>
      </c>
      <c r="H1360">
        <v>1600</v>
      </c>
      <c r="I1360">
        <v>1</v>
      </c>
      <c r="J1360">
        <v>1.55</v>
      </c>
      <c r="K1360">
        <v>2</v>
      </c>
      <c r="L1360">
        <v>8.5000000000000006E-2</v>
      </c>
      <c r="M1360">
        <v>3</v>
      </c>
      <c r="N1360">
        <v>93</v>
      </c>
      <c r="O1360">
        <v>1</v>
      </c>
      <c r="P1360">
        <v>7.4999999999999997E-2</v>
      </c>
      <c r="Q1360">
        <v>2</v>
      </c>
      <c r="R1360">
        <v>5.1999999999999998E-3</v>
      </c>
      <c r="T1360" s="8" t="s">
        <v>4029</v>
      </c>
    </row>
    <row r="1361" spans="1:20" x14ac:dyDescent="0.2">
      <c r="A1361" t="s">
        <v>4030</v>
      </c>
      <c r="B1361" t="s">
        <v>2022</v>
      </c>
      <c r="C1361" t="s">
        <v>2036</v>
      </c>
      <c r="D1361" t="s">
        <v>2024</v>
      </c>
      <c r="E1361" t="s">
        <v>4031</v>
      </c>
      <c r="F1361" t="s">
        <v>4032</v>
      </c>
      <c r="G1361">
        <v>3</v>
      </c>
      <c r="H1361">
        <v>1740</v>
      </c>
      <c r="I1361">
        <v>2</v>
      </c>
      <c r="J1361">
        <v>3.4</v>
      </c>
      <c r="K1361">
        <v>1</v>
      </c>
      <c r="L1361">
        <v>5.5E-2</v>
      </c>
      <c r="M1361">
        <v>2</v>
      </c>
      <c r="N1361">
        <v>82</v>
      </c>
      <c r="O1361">
        <v>2</v>
      </c>
      <c r="P1361">
        <v>0.20499999999999999</v>
      </c>
      <c r="Q1361">
        <v>1</v>
      </c>
      <c r="R1361">
        <v>1.5E-3</v>
      </c>
      <c r="T1361" s="8" t="s">
        <v>4031</v>
      </c>
    </row>
    <row r="1362" spans="1:20" x14ac:dyDescent="0.2">
      <c r="A1362" t="s">
        <v>4033</v>
      </c>
      <c r="B1362" t="s">
        <v>2022</v>
      </c>
      <c r="C1362" t="s">
        <v>2104</v>
      </c>
      <c r="D1362" t="s">
        <v>2024</v>
      </c>
      <c r="E1362" t="s">
        <v>4034</v>
      </c>
      <c r="F1362" t="s">
        <v>4035</v>
      </c>
      <c r="G1362">
        <v>2</v>
      </c>
      <c r="H1362">
        <v>1712.5</v>
      </c>
      <c r="I1362">
        <v>3</v>
      </c>
      <c r="J1362">
        <v>5.55</v>
      </c>
      <c r="K1362">
        <v>2</v>
      </c>
      <c r="L1362">
        <v>4.1000000000000002E-2</v>
      </c>
      <c r="M1362">
        <v>3</v>
      </c>
      <c r="N1362">
        <v>73</v>
      </c>
      <c r="P1362">
        <v>0</v>
      </c>
      <c r="Q1362">
        <v>2</v>
      </c>
      <c r="R1362">
        <v>3.2000000000000002E-3</v>
      </c>
      <c r="T1362" s="8" t="s">
        <v>4034</v>
      </c>
    </row>
    <row r="1363" spans="1:20" x14ac:dyDescent="0.2">
      <c r="A1363" t="s">
        <v>4036</v>
      </c>
      <c r="B1363" t="s">
        <v>2022</v>
      </c>
      <c r="C1363" t="s">
        <v>2053</v>
      </c>
      <c r="D1363" t="s">
        <v>2024</v>
      </c>
      <c r="E1363" t="s">
        <v>4037</v>
      </c>
      <c r="F1363" t="s">
        <v>4038</v>
      </c>
      <c r="G1363">
        <v>4</v>
      </c>
      <c r="H1363">
        <v>1800</v>
      </c>
      <c r="I1363">
        <v>4</v>
      </c>
      <c r="J1363">
        <v>9.0500000000000007</v>
      </c>
      <c r="K1363">
        <v>3</v>
      </c>
      <c r="L1363">
        <v>0.19500000000000001</v>
      </c>
      <c r="M1363">
        <v>2</v>
      </c>
      <c r="N1363">
        <v>83</v>
      </c>
      <c r="O1363">
        <v>3</v>
      </c>
      <c r="P1363">
        <v>0.375</v>
      </c>
      <c r="Q1363">
        <v>3</v>
      </c>
      <c r="R1363">
        <v>1.2200000000000001E-2</v>
      </c>
      <c r="T1363" s="8" t="s">
        <v>4037</v>
      </c>
    </row>
    <row r="1364" spans="1:20" x14ac:dyDescent="0.2">
      <c r="A1364" t="s">
        <v>4039</v>
      </c>
      <c r="B1364" t="s">
        <v>2022</v>
      </c>
      <c r="C1364" t="s">
        <v>2036</v>
      </c>
      <c r="D1364" t="s">
        <v>2024</v>
      </c>
      <c r="E1364" t="s">
        <v>4040</v>
      </c>
      <c r="F1364" t="s">
        <v>4041</v>
      </c>
      <c r="G1364">
        <v>4</v>
      </c>
      <c r="H1364">
        <v>1840</v>
      </c>
      <c r="I1364">
        <v>2</v>
      </c>
      <c r="J1364">
        <v>3.4</v>
      </c>
      <c r="K1364">
        <v>1</v>
      </c>
      <c r="L1364">
        <v>5.5E-2</v>
      </c>
      <c r="M1364">
        <v>5</v>
      </c>
      <c r="N1364">
        <v>100</v>
      </c>
      <c r="O1364">
        <v>2</v>
      </c>
      <c r="P1364">
        <v>0.20499999999999999</v>
      </c>
      <c r="Q1364">
        <v>1</v>
      </c>
      <c r="R1364">
        <v>1.5E-3</v>
      </c>
      <c r="T1364" s="8" t="s">
        <v>4040</v>
      </c>
    </row>
    <row r="1365" spans="1:20" x14ac:dyDescent="0.2">
      <c r="A1365" t="s">
        <v>4042</v>
      </c>
      <c r="B1365" t="s">
        <v>2022</v>
      </c>
      <c r="C1365" t="s">
        <v>2023</v>
      </c>
      <c r="D1365" t="s">
        <v>2024</v>
      </c>
      <c r="E1365" t="s">
        <v>357</v>
      </c>
      <c r="F1365" t="s">
        <v>4043</v>
      </c>
      <c r="G1365">
        <v>4</v>
      </c>
      <c r="H1365">
        <v>1720</v>
      </c>
      <c r="I1365">
        <v>1</v>
      </c>
      <c r="J1365">
        <v>0.9</v>
      </c>
      <c r="K1365">
        <v>2</v>
      </c>
      <c r="L1365">
        <v>2.5999999999999999E-2</v>
      </c>
      <c r="M1365">
        <v>5</v>
      </c>
      <c r="N1365">
        <v>114</v>
      </c>
      <c r="O1365">
        <v>1</v>
      </c>
      <c r="P1365">
        <v>7.4999999999999997E-2</v>
      </c>
      <c r="Q1365">
        <v>2</v>
      </c>
      <c r="R1365">
        <v>2E-3</v>
      </c>
      <c r="T1365" s="8" t="s">
        <v>357</v>
      </c>
    </row>
    <row r="1366" spans="1:20" x14ac:dyDescent="0.2">
      <c r="A1366" t="s">
        <v>4044</v>
      </c>
      <c r="B1366" t="s">
        <v>2022</v>
      </c>
      <c r="C1366" t="s">
        <v>2023</v>
      </c>
      <c r="D1366" t="s">
        <v>2024</v>
      </c>
      <c r="E1366" t="s">
        <v>4045</v>
      </c>
      <c r="F1366" t="s">
        <v>447</v>
      </c>
      <c r="G1366">
        <v>2</v>
      </c>
      <c r="H1366">
        <v>1560</v>
      </c>
      <c r="I1366">
        <v>1</v>
      </c>
      <c r="J1366">
        <v>0.9</v>
      </c>
      <c r="K1366">
        <v>2</v>
      </c>
      <c r="L1366">
        <v>2.5999999999999999E-2</v>
      </c>
      <c r="M1366">
        <v>3</v>
      </c>
      <c r="N1366">
        <v>94</v>
      </c>
      <c r="O1366">
        <v>1</v>
      </c>
      <c r="P1366">
        <v>7.4999999999999997E-2</v>
      </c>
      <c r="Q1366">
        <v>2</v>
      </c>
      <c r="R1366">
        <v>2E-3</v>
      </c>
      <c r="T1366" s="8" t="s">
        <v>4045</v>
      </c>
    </row>
    <row r="1367" spans="1:20" x14ac:dyDescent="0.2">
      <c r="A1367" t="s">
        <v>4046</v>
      </c>
      <c r="B1367" t="s">
        <v>2022</v>
      </c>
      <c r="C1367" t="s">
        <v>2023</v>
      </c>
      <c r="D1367" t="s">
        <v>2024</v>
      </c>
      <c r="E1367" t="s">
        <v>4047</v>
      </c>
      <c r="F1367" t="s">
        <v>447</v>
      </c>
      <c r="G1367">
        <v>3</v>
      </c>
      <c r="H1367">
        <v>1640</v>
      </c>
      <c r="I1367">
        <v>1</v>
      </c>
      <c r="J1367">
        <v>0.9</v>
      </c>
      <c r="K1367">
        <v>1</v>
      </c>
      <c r="L1367">
        <v>6.0000000000000001E-3</v>
      </c>
      <c r="M1367">
        <v>3</v>
      </c>
      <c r="N1367">
        <v>94</v>
      </c>
      <c r="O1367">
        <v>1</v>
      </c>
      <c r="P1367">
        <v>7.4999999999999997E-2</v>
      </c>
      <c r="Q1367">
        <v>1</v>
      </c>
      <c r="R1367">
        <v>5.0000000000000001E-4</v>
      </c>
      <c r="T1367" s="8" t="s">
        <v>4047</v>
      </c>
    </row>
    <row r="1368" spans="1:20" x14ac:dyDescent="0.2">
      <c r="A1368" t="s">
        <v>4048</v>
      </c>
      <c r="B1368" t="s">
        <v>2022</v>
      </c>
      <c r="C1368" t="s">
        <v>2053</v>
      </c>
      <c r="D1368" t="s">
        <v>2024</v>
      </c>
      <c r="E1368" t="s">
        <v>4049</v>
      </c>
      <c r="F1368" t="s">
        <v>4050</v>
      </c>
      <c r="G1368">
        <v>3</v>
      </c>
      <c r="H1368">
        <v>1700</v>
      </c>
      <c r="I1368">
        <v>5</v>
      </c>
      <c r="J1368">
        <v>11.55</v>
      </c>
      <c r="K1368">
        <v>5</v>
      </c>
      <c r="L1368">
        <v>0.41499999999999998</v>
      </c>
      <c r="M1368">
        <v>4</v>
      </c>
      <c r="N1368">
        <v>103</v>
      </c>
      <c r="O1368">
        <v>5</v>
      </c>
      <c r="P1368">
        <v>0.67500000000000004</v>
      </c>
      <c r="Q1368">
        <v>5</v>
      </c>
      <c r="R1368">
        <v>2.6200000000000001E-2</v>
      </c>
      <c r="T1368" s="8" t="s">
        <v>4049</v>
      </c>
    </row>
    <row r="1369" spans="1:20" x14ac:dyDescent="0.2">
      <c r="A1369" t="s">
        <v>4051</v>
      </c>
      <c r="B1369" t="s">
        <v>2022</v>
      </c>
      <c r="C1369" t="s">
        <v>2053</v>
      </c>
      <c r="D1369" t="s">
        <v>2024</v>
      </c>
      <c r="E1369" t="s">
        <v>4052</v>
      </c>
      <c r="F1369" t="s">
        <v>4053</v>
      </c>
      <c r="G1369">
        <v>5</v>
      </c>
      <c r="H1369">
        <v>1900</v>
      </c>
      <c r="I1369">
        <v>5</v>
      </c>
      <c r="J1369">
        <v>11.55</v>
      </c>
      <c r="K1369">
        <v>5</v>
      </c>
      <c r="L1369">
        <v>0.41499999999999998</v>
      </c>
      <c r="M1369">
        <v>3</v>
      </c>
      <c r="N1369">
        <v>93</v>
      </c>
      <c r="O1369">
        <v>5</v>
      </c>
      <c r="P1369">
        <v>0.67500000000000004</v>
      </c>
      <c r="Q1369">
        <v>4</v>
      </c>
      <c r="R1369">
        <v>1.9199999999999998E-2</v>
      </c>
      <c r="T1369" s="8" t="s">
        <v>4052</v>
      </c>
    </row>
    <row r="1370" spans="1:20" x14ac:dyDescent="0.2">
      <c r="A1370" t="s">
        <v>4054</v>
      </c>
      <c r="B1370" t="s">
        <v>2022</v>
      </c>
      <c r="C1370" t="s">
        <v>2023</v>
      </c>
      <c r="D1370" t="s">
        <v>2024</v>
      </c>
      <c r="E1370" t="s">
        <v>839</v>
      </c>
      <c r="F1370" t="s">
        <v>4055</v>
      </c>
      <c r="G1370">
        <v>5</v>
      </c>
      <c r="H1370">
        <v>1800</v>
      </c>
      <c r="I1370">
        <v>1</v>
      </c>
      <c r="J1370">
        <v>0.9</v>
      </c>
      <c r="K1370">
        <v>2</v>
      </c>
      <c r="L1370">
        <v>2.5999999999999999E-2</v>
      </c>
      <c r="M1370">
        <v>5</v>
      </c>
      <c r="N1370">
        <v>114</v>
      </c>
      <c r="O1370">
        <v>1</v>
      </c>
      <c r="P1370">
        <v>7.4999999999999997E-2</v>
      </c>
      <c r="Q1370">
        <v>2</v>
      </c>
      <c r="R1370">
        <v>2E-3</v>
      </c>
      <c r="T1370" s="8" t="s">
        <v>839</v>
      </c>
    </row>
    <row r="1371" spans="1:20" x14ac:dyDescent="0.2">
      <c r="A1371" t="s">
        <v>4056</v>
      </c>
      <c r="B1371" t="s">
        <v>2022</v>
      </c>
      <c r="C1371" t="s">
        <v>2036</v>
      </c>
      <c r="D1371" t="s">
        <v>2154</v>
      </c>
      <c r="E1371" t="s">
        <v>4057</v>
      </c>
      <c r="F1371" t="s">
        <v>4058</v>
      </c>
      <c r="G1371">
        <v>2</v>
      </c>
      <c r="H1371">
        <v>1640</v>
      </c>
      <c r="I1371">
        <v>1</v>
      </c>
      <c r="J1371">
        <v>2.2000000000000002</v>
      </c>
      <c r="K1371">
        <v>1</v>
      </c>
      <c r="L1371">
        <v>5.5E-2</v>
      </c>
      <c r="M1371">
        <v>2</v>
      </c>
      <c r="N1371">
        <v>82</v>
      </c>
      <c r="O1371">
        <v>1</v>
      </c>
      <c r="P1371">
        <v>9.5000000000000001E-2</v>
      </c>
      <c r="Q1371">
        <v>1</v>
      </c>
      <c r="R1371">
        <v>1.5E-3</v>
      </c>
      <c r="T1371" s="8" t="s">
        <v>4057</v>
      </c>
    </row>
    <row r="1372" spans="1:20" x14ac:dyDescent="0.2">
      <c r="A1372" t="s">
        <v>4059</v>
      </c>
      <c r="B1372" t="s">
        <v>2022</v>
      </c>
      <c r="C1372" t="s">
        <v>2036</v>
      </c>
      <c r="D1372" t="s">
        <v>2024</v>
      </c>
      <c r="E1372" t="s">
        <v>4060</v>
      </c>
      <c r="F1372" t="s">
        <v>4061</v>
      </c>
      <c r="G1372">
        <v>2</v>
      </c>
      <c r="H1372">
        <v>1640</v>
      </c>
      <c r="I1372">
        <v>5</v>
      </c>
      <c r="J1372">
        <v>7</v>
      </c>
      <c r="K1372">
        <v>5</v>
      </c>
      <c r="L1372">
        <v>0.17499999999999999</v>
      </c>
      <c r="M1372">
        <v>2</v>
      </c>
      <c r="N1372">
        <v>82</v>
      </c>
      <c r="O1372">
        <v>4</v>
      </c>
      <c r="P1372">
        <v>0.42499999999999999</v>
      </c>
      <c r="Q1372">
        <v>5</v>
      </c>
      <c r="R1372">
        <v>1.2E-2</v>
      </c>
      <c r="T1372" s="8" t="s">
        <v>4060</v>
      </c>
    </row>
    <row r="1373" spans="1:20" x14ac:dyDescent="0.2">
      <c r="A1373" t="s">
        <v>4062</v>
      </c>
      <c r="B1373" t="s">
        <v>2022</v>
      </c>
      <c r="C1373" t="s">
        <v>2023</v>
      </c>
      <c r="D1373" t="s">
        <v>2024</v>
      </c>
      <c r="E1373" t="s">
        <v>4063</v>
      </c>
      <c r="F1373" t="s">
        <v>4064</v>
      </c>
      <c r="G1373">
        <v>1</v>
      </c>
      <c r="H1373">
        <v>1480</v>
      </c>
      <c r="I1373">
        <v>4</v>
      </c>
      <c r="J1373">
        <v>8.4</v>
      </c>
      <c r="K1373">
        <v>5</v>
      </c>
      <c r="L1373">
        <v>8.5999999999999993E-2</v>
      </c>
      <c r="M1373">
        <v>2</v>
      </c>
      <c r="N1373">
        <v>84</v>
      </c>
      <c r="O1373">
        <v>5</v>
      </c>
      <c r="P1373">
        <v>0.67500000000000004</v>
      </c>
      <c r="Q1373">
        <v>5</v>
      </c>
      <c r="R1373">
        <v>8.0000000000000002E-3</v>
      </c>
      <c r="T1373" s="8" t="s">
        <v>4063</v>
      </c>
    </row>
    <row r="1374" spans="1:20" x14ac:dyDescent="0.2">
      <c r="A1374" t="s">
        <v>4065</v>
      </c>
      <c r="B1374" t="s">
        <v>2022</v>
      </c>
      <c r="C1374" t="s">
        <v>2023</v>
      </c>
      <c r="D1374" t="s">
        <v>2024</v>
      </c>
      <c r="E1374" t="s">
        <v>4063</v>
      </c>
      <c r="F1374" t="s">
        <v>4064</v>
      </c>
      <c r="G1374">
        <v>2</v>
      </c>
      <c r="H1374">
        <v>1560</v>
      </c>
      <c r="I1374">
        <v>2</v>
      </c>
      <c r="J1374">
        <v>3.4</v>
      </c>
      <c r="K1374">
        <v>2</v>
      </c>
      <c r="L1374">
        <v>2.5999999999999999E-2</v>
      </c>
      <c r="M1374">
        <v>2</v>
      </c>
      <c r="N1374">
        <v>84</v>
      </c>
      <c r="O1374">
        <v>1</v>
      </c>
      <c r="P1374">
        <v>7.4999999999999997E-2</v>
      </c>
      <c r="Q1374">
        <v>2</v>
      </c>
      <c r="R1374">
        <v>2E-3</v>
      </c>
      <c r="T1374" s="8" t="s">
        <v>4063</v>
      </c>
    </row>
    <row r="1375" spans="1:20" x14ac:dyDescent="0.2">
      <c r="A1375" t="s">
        <v>4066</v>
      </c>
      <c r="B1375" t="s">
        <v>2022</v>
      </c>
      <c r="C1375" t="s">
        <v>2036</v>
      </c>
      <c r="D1375" t="s">
        <v>2024</v>
      </c>
      <c r="E1375" t="s">
        <v>4067</v>
      </c>
      <c r="F1375" t="s">
        <v>4068</v>
      </c>
      <c r="G1375">
        <v>3</v>
      </c>
      <c r="H1375">
        <v>1740</v>
      </c>
      <c r="I1375">
        <v>3</v>
      </c>
      <c r="J1375">
        <v>4.5999999999999996</v>
      </c>
      <c r="K1375">
        <v>2</v>
      </c>
      <c r="L1375">
        <v>8.5000000000000006E-2</v>
      </c>
      <c r="M1375">
        <v>5</v>
      </c>
      <c r="N1375">
        <v>100</v>
      </c>
      <c r="O1375">
        <v>3</v>
      </c>
      <c r="P1375">
        <v>0.315</v>
      </c>
      <c r="Q1375">
        <v>2</v>
      </c>
      <c r="R1375">
        <v>4.2500000000000003E-3</v>
      </c>
      <c r="T1375" s="8" t="s">
        <v>4067</v>
      </c>
    </row>
    <row r="1376" spans="1:20" x14ac:dyDescent="0.2">
      <c r="A1376" t="s">
        <v>4069</v>
      </c>
      <c r="B1376" t="s">
        <v>2022</v>
      </c>
      <c r="C1376" t="s">
        <v>2095</v>
      </c>
      <c r="D1376" t="s">
        <v>2024</v>
      </c>
      <c r="E1376" t="s">
        <v>4070</v>
      </c>
      <c r="F1376" t="s">
        <v>4071</v>
      </c>
      <c r="G1376">
        <v>4</v>
      </c>
      <c r="H1376">
        <v>1835</v>
      </c>
      <c r="I1376">
        <v>5</v>
      </c>
      <c r="J1376">
        <v>16.5</v>
      </c>
      <c r="K1376">
        <v>5</v>
      </c>
      <c r="L1376">
        <v>0.73</v>
      </c>
      <c r="M1376">
        <v>5</v>
      </c>
      <c r="N1376">
        <v>98</v>
      </c>
      <c r="O1376">
        <v>5</v>
      </c>
      <c r="P1376">
        <v>0.95</v>
      </c>
      <c r="Q1376">
        <v>5</v>
      </c>
      <c r="R1376">
        <v>3.2899999999999999E-2</v>
      </c>
      <c r="T1376" s="8" t="s">
        <v>4070</v>
      </c>
    </row>
    <row r="1377" spans="1:20" x14ac:dyDescent="0.2">
      <c r="A1377" t="s">
        <v>4072</v>
      </c>
      <c r="B1377" t="s">
        <v>2022</v>
      </c>
      <c r="C1377" t="s">
        <v>2095</v>
      </c>
      <c r="D1377" t="s">
        <v>2024</v>
      </c>
      <c r="E1377" t="s">
        <v>4073</v>
      </c>
      <c r="F1377" t="s">
        <v>4074</v>
      </c>
      <c r="G1377">
        <v>5</v>
      </c>
      <c r="H1377">
        <v>1925</v>
      </c>
      <c r="I1377">
        <v>5</v>
      </c>
      <c r="J1377">
        <v>16.5</v>
      </c>
      <c r="K1377">
        <v>5</v>
      </c>
      <c r="L1377">
        <v>0.73</v>
      </c>
      <c r="M1377">
        <v>5</v>
      </c>
      <c r="N1377">
        <v>98</v>
      </c>
      <c r="O1377">
        <v>5</v>
      </c>
      <c r="P1377">
        <v>0.95</v>
      </c>
      <c r="Q1377">
        <v>5</v>
      </c>
      <c r="R1377">
        <v>3.2899999999999999E-2</v>
      </c>
      <c r="T1377" s="8" t="s">
        <v>4073</v>
      </c>
    </row>
    <row r="1378" spans="1:20" x14ac:dyDescent="0.2">
      <c r="A1378" t="s">
        <v>4075</v>
      </c>
      <c r="B1378" t="s">
        <v>2022</v>
      </c>
      <c r="C1378" t="s">
        <v>2095</v>
      </c>
      <c r="D1378" t="s">
        <v>2024</v>
      </c>
      <c r="E1378" t="s">
        <v>4076</v>
      </c>
      <c r="F1378" t="s">
        <v>4077</v>
      </c>
      <c r="G1378">
        <v>1</v>
      </c>
      <c r="H1378">
        <v>1565</v>
      </c>
      <c r="I1378">
        <v>1</v>
      </c>
      <c r="J1378">
        <v>4.5</v>
      </c>
      <c r="K1378">
        <v>1</v>
      </c>
      <c r="L1378">
        <v>1.4999999999999999E-2</v>
      </c>
      <c r="M1378">
        <v>1</v>
      </c>
      <c r="N1378">
        <v>74</v>
      </c>
      <c r="O1378">
        <v>1</v>
      </c>
      <c r="P1378">
        <v>0.15</v>
      </c>
      <c r="Q1378">
        <v>1</v>
      </c>
      <c r="R1378">
        <v>6.9999999999999999E-4</v>
      </c>
      <c r="T1378" s="8" t="s">
        <v>4076</v>
      </c>
    </row>
    <row r="1379" spans="1:20" x14ac:dyDescent="0.2">
      <c r="A1379" t="s">
        <v>4078</v>
      </c>
      <c r="B1379" t="s">
        <v>2022</v>
      </c>
      <c r="C1379" t="s">
        <v>2053</v>
      </c>
      <c r="D1379" t="s">
        <v>2024</v>
      </c>
      <c r="E1379" t="s">
        <v>4079</v>
      </c>
      <c r="F1379" t="s">
        <v>4080</v>
      </c>
      <c r="G1379">
        <v>2</v>
      </c>
      <c r="H1379">
        <v>1600</v>
      </c>
      <c r="I1379">
        <v>2</v>
      </c>
      <c r="J1379">
        <v>4.05</v>
      </c>
      <c r="K1379">
        <v>2</v>
      </c>
      <c r="L1379">
        <v>8.5000000000000006E-2</v>
      </c>
      <c r="M1379">
        <v>4</v>
      </c>
      <c r="N1379">
        <v>103</v>
      </c>
      <c r="O1379">
        <v>3</v>
      </c>
      <c r="P1379">
        <v>0.375</v>
      </c>
      <c r="Q1379">
        <v>2</v>
      </c>
      <c r="R1379">
        <v>5.1999999999999998E-3</v>
      </c>
      <c r="T1379" s="8" t="s">
        <v>4079</v>
      </c>
    </row>
    <row r="1380" spans="1:20" x14ac:dyDescent="0.2">
      <c r="A1380" t="s">
        <v>4081</v>
      </c>
      <c r="B1380" t="s">
        <v>2022</v>
      </c>
      <c r="C1380" t="s">
        <v>2222</v>
      </c>
      <c r="D1380" t="s">
        <v>2024</v>
      </c>
      <c r="E1380" t="s">
        <v>4079</v>
      </c>
      <c r="F1380" t="s">
        <v>4080</v>
      </c>
      <c r="G1380">
        <v>2</v>
      </c>
      <c r="H1380">
        <v>1550</v>
      </c>
      <c r="I1380">
        <v>1</v>
      </c>
      <c r="J1380">
        <v>2.2999999999999998</v>
      </c>
      <c r="K1380">
        <v>1</v>
      </c>
      <c r="L1380">
        <v>0.01</v>
      </c>
      <c r="M1380">
        <v>3</v>
      </c>
      <c r="N1380">
        <v>67</v>
      </c>
      <c r="O1380">
        <v>2</v>
      </c>
      <c r="P1380">
        <v>0.15</v>
      </c>
      <c r="Q1380">
        <v>1</v>
      </c>
      <c r="R1380">
        <v>4.0000000000000002E-4</v>
      </c>
      <c r="T1380" s="8" t="s">
        <v>4079</v>
      </c>
    </row>
    <row r="1381" spans="1:20" x14ac:dyDescent="0.2">
      <c r="A1381" t="s">
        <v>4082</v>
      </c>
      <c r="B1381" t="s">
        <v>2022</v>
      </c>
      <c r="C1381" t="s">
        <v>2222</v>
      </c>
      <c r="D1381" t="s">
        <v>2024</v>
      </c>
      <c r="E1381" t="s">
        <v>4079</v>
      </c>
      <c r="F1381" t="s">
        <v>4080</v>
      </c>
      <c r="G1381">
        <v>4</v>
      </c>
      <c r="H1381">
        <v>1750</v>
      </c>
      <c r="I1381">
        <v>2</v>
      </c>
      <c r="J1381">
        <v>3.9</v>
      </c>
      <c r="K1381">
        <v>1</v>
      </c>
      <c r="L1381">
        <v>0.01</v>
      </c>
      <c r="M1381">
        <v>5</v>
      </c>
      <c r="N1381">
        <v>75</v>
      </c>
      <c r="O1381">
        <v>2</v>
      </c>
      <c r="P1381">
        <v>0.15</v>
      </c>
      <c r="Q1381">
        <v>1</v>
      </c>
      <c r="R1381">
        <v>4.0000000000000002E-4</v>
      </c>
      <c r="T1381" s="8" t="s">
        <v>4079</v>
      </c>
    </row>
    <row r="1382" spans="1:20" x14ac:dyDescent="0.2">
      <c r="A1382" t="s">
        <v>4083</v>
      </c>
      <c r="B1382" t="s">
        <v>2022</v>
      </c>
      <c r="C1382" t="s">
        <v>2053</v>
      </c>
      <c r="D1382" t="s">
        <v>2024</v>
      </c>
      <c r="E1382" t="s">
        <v>4084</v>
      </c>
      <c r="F1382" t="s">
        <v>4085</v>
      </c>
      <c r="G1382">
        <v>4</v>
      </c>
      <c r="H1382">
        <v>1800</v>
      </c>
      <c r="I1382">
        <v>2</v>
      </c>
      <c r="J1382">
        <v>4.05</v>
      </c>
      <c r="K1382">
        <v>1</v>
      </c>
      <c r="L1382">
        <v>1.4999999999999999E-2</v>
      </c>
      <c r="M1382">
        <v>5</v>
      </c>
      <c r="N1382">
        <v>113</v>
      </c>
      <c r="O1382">
        <v>2</v>
      </c>
      <c r="P1382">
        <v>0.22500000000000001</v>
      </c>
      <c r="Q1382">
        <v>1</v>
      </c>
      <c r="R1382">
        <v>8.4999999999999995E-4</v>
      </c>
      <c r="T1382" s="8" t="s">
        <v>4084</v>
      </c>
    </row>
    <row r="1383" spans="1:20" x14ac:dyDescent="0.2">
      <c r="A1383" t="s">
        <v>4086</v>
      </c>
      <c r="B1383" t="s">
        <v>2022</v>
      </c>
      <c r="C1383" t="s">
        <v>2036</v>
      </c>
      <c r="D1383" t="s">
        <v>2024</v>
      </c>
      <c r="E1383" t="s">
        <v>4087</v>
      </c>
      <c r="F1383" t="s">
        <v>4088</v>
      </c>
      <c r="G1383">
        <v>2</v>
      </c>
      <c r="H1383">
        <v>1640</v>
      </c>
      <c r="I1383">
        <v>2</v>
      </c>
      <c r="J1383">
        <v>3.4</v>
      </c>
      <c r="K1383">
        <v>3</v>
      </c>
      <c r="L1383">
        <v>0.115</v>
      </c>
      <c r="M1383">
        <v>1</v>
      </c>
      <c r="N1383">
        <v>76</v>
      </c>
      <c r="O1383">
        <v>2</v>
      </c>
      <c r="P1383">
        <v>0.20499999999999999</v>
      </c>
      <c r="Q1383">
        <v>2</v>
      </c>
      <c r="R1383">
        <v>4.2500000000000003E-3</v>
      </c>
      <c r="T1383" s="8" t="s">
        <v>4087</v>
      </c>
    </row>
    <row r="1384" spans="1:20" x14ac:dyDescent="0.2">
      <c r="A1384" t="s">
        <v>4089</v>
      </c>
      <c r="B1384" t="s">
        <v>2022</v>
      </c>
      <c r="C1384" t="s">
        <v>2023</v>
      </c>
      <c r="D1384" t="s">
        <v>2024</v>
      </c>
      <c r="E1384" t="s">
        <v>4090</v>
      </c>
      <c r="F1384" t="s">
        <v>4091</v>
      </c>
      <c r="G1384">
        <v>3</v>
      </c>
      <c r="H1384">
        <v>1640</v>
      </c>
      <c r="I1384">
        <v>1</v>
      </c>
      <c r="J1384">
        <v>0.9</v>
      </c>
      <c r="K1384">
        <v>1</v>
      </c>
      <c r="L1384">
        <v>6.0000000000000001E-3</v>
      </c>
      <c r="M1384">
        <v>5</v>
      </c>
      <c r="N1384">
        <v>114</v>
      </c>
      <c r="O1384">
        <v>1</v>
      </c>
      <c r="P1384">
        <v>7.4999999999999997E-2</v>
      </c>
      <c r="Q1384">
        <v>1</v>
      </c>
      <c r="R1384">
        <v>5.0000000000000001E-4</v>
      </c>
      <c r="T1384" s="8" t="s">
        <v>4090</v>
      </c>
    </row>
    <row r="1385" spans="1:20" x14ac:dyDescent="0.2">
      <c r="A1385" t="s">
        <v>4092</v>
      </c>
      <c r="B1385" t="s">
        <v>2022</v>
      </c>
      <c r="C1385" t="s">
        <v>2036</v>
      </c>
      <c r="D1385" t="s">
        <v>2024</v>
      </c>
      <c r="E1385" t="s">
        <v>4093</v>
      </c>
      <c r="F1385" t="s">
        <v>4094</v>
      </c>
      <c r="G1385">
        <v>2</v>
      </c>
      <c r="H1385">
        <v>1640</v>
      </c>
      <c r="I1385">
        <v>3</v>
      </c>
      <c r="J1385">
        <v>4.5999999999999996</v>
      </c>
      <c r="K1385">
        <v>3</v>
      </c>
      <c r="L1385">
        <v>0.115</v>
      </c>
      <c r="M1385">
        <v>1</v>
      </c>
      <c r="N1385">
        <v>76</v>
      </c>
      <c r="O1385">
        <v>2</v>
      </c>
      <c r="P1385">
        <v>0.20499999999999999</v>
      </c>
      <c r="Q1385">
        <v>2</v>
      </c>
      <c r="R1385">
        <v>4.2500000000000003E-3</v>
      </c>
      <c r="T1385" s="8" t="s">
        <v>4093</v>
      </c>
    </row>
    <row r="1386" spans="1:20" x14ac:dyDescent="0.2">
      <c r="A1386" t="s">
        <v>4095</v>
      </c>
      <c r="B1386" t="s">
        <v>2022</v>
      </c>
      <c r="C1386" t="s">
        <v>2023</v>
      </c>
      <c r="D1386" t="s">
        <v>2024</v>
      </c>
      <c r="E1386" t="s">
        <v>4096</v>
      </c>
      <c r="F1386" t="s">
        <v>4097</v>
      </c>
      <c r="G1386">
        <v>4</v>
      </c>
      <c r="H1386">
        <v>1720</v>
      </c>
      <c r="I1386">
        <v>4</v>
      </c>
      <c r="J1386">
        <v>8.4</v>
      </c>
      <c r="K1386">
        <v>5</v>
      </c>
      <c r="L1386">
        <v>8.5999999999999993E-2</v>
      </c>
      <c r="M1386">
        <v>2</v>
      </c>
      <c r="N1386">
        <v>84</v>
      </c>
      <c r="O1386">
        <v>3</v>
      </c>
      <c r="P1386">
        <v>0.375</v>
      </c>
      <c r="Q1386">
        <v>5</v>
      </c>
      <c r="R1386">
        <v>8.0000000000000002E-3</v>
      </c>
      <c r="T1386" s="8" t="s">
        <v>4096</v>
      </c>
    </row>
    <row r="1387" spans="1:20" x14ac:dyDescent="0.2">
      <c r="A1387" t="s">
        <v>4098</v>
      </c>
      <c r="B1387" t="s">
        <v>2022</v>
      </c>
      <c r="C1387" t="s">
        <v>2023</v>
      </c>
      <c r="D1387" t="s">
        <v>2024</v>
      </c>
      <c r="E1387" t="s">
        <v>4099</v>
      </c>
      <c r="F1387" t="s">
        <v>4100</v>
      </c>
      <c r="G1387">
        <v>5</v>
      </c>
      <c r="H1387">
        <v>1800</v>
      </c>
      <c r="I1387">
        <v>4</v>
      </c>
      <c r="J1387">
        <v>8.4</v>
      </c>
      <c r="K1387">
        <v>5</v>
      </c>
      <c r="L1387">
        <v>8.5999999999999993E-2</v>
      </c>
      <c r="M1387">
        <v>5</v>
      </c>
      <c r="N1387">
        <v>114</v>
      </c>
      <c r="O1387">
        <v>4</v>
      </c>
      <c r="P1387">
        <v>0.52500000000000002</v>
      </c>
      <c r="Q1387">
        <v>5</v>
      </c>
      <c r="R1387">
        <v>8.0000000000000002E-3</v>
      </c>
      <c r="T1387" s="8" t="s">
        <v>4099</v>
      </c>
    </row>
    <row r="1388" spans="1:20" x14ac:dyDescent="0.2">
      <c r="A1388" t="s">
        <v>4101</v>
      </c>
      <c r="B1388" t="s">
        <v>2022</v>
      </c>
      <c r="C1388" t="s">
        <v>2036</v>
      </c>
      <c r="D1388" t="s">
        <v>2024</v>
      </c>
      <c r="E1388" t="s">
        <v>357</v>
      </c>
      <c r="F1388" t="s">
        <v>4102</v>
      </c>
      <c r="G1388">
        <v>5</v>
      </c>
      <c r="H1388">
        <v>1940</v>
      </c>
      <c r="I1388">
        <v>5</v>
      </c>
      <c r="J1388">
        <v>7</v>
      </c>
      <c r="K1388">
        <v>5</v>
      </c>
      <c r="L1388">
        <v>0.17499999999999999</v>
      </c>
      <c r="M1388">
        <v>5</v>
      </c>
      <c r="N1388">
        <v>100</v>
      </c>
      <c r="O1388">
        <v>5</v>
      </c>
      <c r="P1388">
        <v>0.53500000000000003</v>
      </c>
      <c r="Q1388">
        <v>5</v>
      </c>
      <c r="R1388">
        <v>1.2E-2</v>
      </c>
      <c r="T1388" s="8" t="s">
        <v>357</v>
      </c>
    </row>
    <row r="1389" spans="1:20" x14ac:dyDescent="0.2">
      <c r="A1389" t="s">
        <v>4103</v>
      </c>
      <c r="B1389" t="s">
        <v>2022</v>
      </c>
      <c r="C1389" t="s">
        <v>2023</v>
      </c>
      <c r="D1389" t="s">
        <v>2024</v>
      </c>
      <c r="E1389" t="s">
        <v>4104</v>
      </c>
      <c r="F1389" t="s">
        <v>4105</v>
      </c>
      <c r="G1389">
        <v>1</v>
      </c>
      <c r="H1389">
        <v>1480</v>
      </c>
      <c r="I1389">
        <v>5</v>
      </c>
      <c r="J1389">
        <v>10.9</v>
      </c>
      <c r="K1389">
        <v>5</v>
      </c>
      <c r="L1389">
        <v>8.5999999999999993E-2</v>
      </c>
      <c r="M1389">
        <v>4</v>
      </c>
      <c r="N1389">
        <v>104</v>
      </c>
      <c r="O1389">
        <v>5</v>
      </c>
      <c r="P1389">
        <v>0.67500000000000004</v>
      </c>
      <c r="Q1389">
        <v>5</v>
      </c>
      <c r="R1389">
        <v>8.0000000000000002E-3</v>
      </c>
      <c r="T1389" s="8" t="s">
        <v>4104</v>
      </c>
    </row>
    <row r="1390" spans="1:20" x14ac:dyDescent="0.2">
      <c r="A1390" t="s">
        <v>4106</v>
      </c>
      <c r="B1390" t="s">
        <v>2022</v>
      </c>
      <c r="C1390" t="s">
        <v>2053</v>
      </c>
      <c r="D1390" t="s">
        <v>2024</v>
      </c>
      <c r="E1390" t="s">
        <v>4107</v>
      </c>
      <c r="F1390" t="s">
        <v>4108</v>
      </c>
      <c r="G1390">
        <v>4</v>
      </c>
      <c r="H1390">
        <v>1800</v>
      </c>
      <c r="I1390">
        <v>2</v>
      </c>
      <c r="J1390">
        <v>4.05</v>
      </c>
      <c r="K1390">
        <v>2</v>
      </c>
      <c r="L1390">
        <v>8.5000000000000006E-2</v>
      </c>
      <c r="M1390">
        <v>1</v>
      </c>
      <c r="N1390">
        <v>73</v>
      </c>
      <c r="O1390">
        <v>2</v>
      </c>
      <c r="P1390">
        <v>0.22500000000000001</v>
      </c>
      <c r="Q1390">
        <v>1</v>
      </c>
      <c r="R1390">
        <v>8.4999999999999995E-4</v>
      </c>
      <c r="T1390" s="8" t="s">
        <v>4107</v>
      </c>
    </row>
    <row r="1391" spans="1:20" x14ac:dyDescent="0.2">
      <c r="A1391" t="s">
        <v>4109</v>
      </c>
      <c r="B1391" t="s">
        <v>2022</v>
      </c>
      <c r="C1391" t="s">
        <v>2023</v>
      </c>
      <c r="D1391" t="s">
        <v>2024</v>
      </c>
      <c r="E1391" t="s">
        <v>4110</v>
      </c>
      <c r="F1391" t="s">
        <v>4111</v>
      </c>
      <c r="G1391">
        <v>4</v>
      </c>
      <c r="H1391">
        <v>1720</v>
      </c>
      <c r="I1391">
        <v>3</v>
      </c>
      <c r="J1391">
        <v>5.9</v>
      </c>
      <c r="K1391">
        <v>5</v>
      </c>
      <c r="L1391">
        <v>8.5999999999999993E-2</v>
      </c>
      <c r="M1391">
        <v>2</v>
      </c>
      <c r="N1391">
        <v>84</v>
      </c>
      <c r="O1391">
        <v>2</v>
      </c>
      <c r="P1391">
        <v>0.22500000000000001</v>
      </c>
      <c r="Q1391">
        <v>4</v>
      </c>
      <c r="R1391">
        <v>6.0000000000000001E-3</v>
      </c>
      <c r="T1391" s="8" t="s">
        <v>4110</v>
      </c>
    </row>
    <row r="1392" spans="1:20" x14ac:dyDescent="0.2">
      <c r="A1392" t="s">
        <v>4112</v>
      </c>
      <c r="B1392" t="s">
        <v>2022</v>
      </c>
      <c r="C1392" t="s">
        <v>2023</v>
      </c>
      <c r="D1392" t="s">
        <v>2024</v>
      </c>
      <c r="E1392" t="s">
        <v>4113</v>
      </c>
      <c r="F1392" t="s">
        <v>4114</v>
      </c>
      <c r="G1392">
        <v>2</v>
      </c>
      <c r="H1392">
        <v>1560</v>
      </c>
      <c r="I1392">
        <v>5</v>
      </c>
      <c r="J1392">
        <v>10.9</v>
      </c>
      <c r="K1392">
        <v>5</v>
      </c>
      <c r="L1392">
        <v>8.5999999999999993E-2</v>
      </c>
      <c r="M1392">
        <v>2</v>
      </c>
      <c r="N1392">
        <v>84</v>
      </c>
      <c r="O1392">
        <v>4</v>
      </c>
      <c r="P1392">
        <v>0.52500000000000002</v>
      </c>
      <c r="Q1392">
        <v>5</v>
      </c>
      <c r="R1392">
        <v>8.0000000000000002E-3</v>
      </c>
      <c r="T1392" s="8" t="s">
        <v>4113</v>
      </c>
    </row>
    <row r="1393" spans="1:20" x14ac:dyDescent="0.2">
      <c r="A1393" t="s">
        <v>4115</v>
      </c>
      <c r="B1393" t="s">
        <v>2022</v>
      </c>
      <c r="C1393" t="s">
        <v>2053</v>
      </c>
      <c r="D1393" t="s">
        <v>2024</v>
      </c>
      <c r="E1393" t="s">
        <v>4116</v>
      </c>
      <c r="F1393" t="s">
        <v>4114</v>
      </c>
      <c r="G1393">
        <v>2</v>
      </c>
      <c r="H1393">
        <v>1600</v>
      </c>
      <c r="I1393">
        <v>4</v>
      </c>
      <c r="J1393">
        <v>9.0500000000000007</v>
      </c>
      <c r="K1393">
        <v>4</v>
      </c>
      <c r="L1393">
        <v>0.30499999999999999</v>
      </c>
      <c r="M1393">
        <v>3</v>
      </c>
      <c r="N1393">
        <v>93</v>
      </c>
      <c r="O1393">
        <v>4</v>
      </c>
      <c r="P1393">
        <v>0.52500000000000002</v>
      </c>
      <c r="Q1393">
        <v>4</v>
      </c>
      <c r="R1393">
        <v>1.9199999999999998E-2</v>
      </c>
      <c r="T1393" s="8" t="s">
        <v>4116</v>
      </c>
    </row>
    <row r="1394" spans="1:20" x14ac:dyDescent="0.2">
      <c r="A1394" t="s">
        <v>4117</v>
      </c>
      <c r="B1394" t="s">
        <v>2022</v>
      </c>
      <c r="C1394" t="s">
        <v>2222</v>
      </c>
      <c r="D1394" t="s">
        <v>2024</v>
      </c>
      <c r="E1394" t="s">
        <v>4118</v>
      </c>
      <c r="F1394" t="s">
        <v>4119</v>
      </c>
      <c r="G1394">
        <v>1</v>
      </c>
      <c r="H1394">
        <v>1450</v>
      </c>
      <c r="I1394">
        <v>1</v>
      </c>
      <c r="J1394">
        <v>2.2999999999999998</v>
      </c>
      <c r="K1394">
        <v>1</v>
      </c>
      <c r="L1394">
        <v>0.01</v>
      </c>
      <c r="M1394">
        <v>1</v>
      </c>
      <c r="N1394">
        <v>59</v>
      </c>
      <c r="O1394">
        <v>1</v>
      </c>
      <c r="P1394">
        <v>7.0000000000000007E-2</v>
      </c>
      <c r="Q1394">
        <v>1</v>
      </c>
      <c r="R1394">
        <v>4.0000000000000002E-4</v>
      </c>
      <c r="T1394" s="8" t="s">
        <v>4118</v>
      </c>
    </row>
    <row r="1395" spans="1:20" x14ac:dyDescent="0.2">
      <c r="A1395" t="s">
        <v>4120</v>
      </c>
      <c r="B1395" t="s">
        <v>2022</v>
      </c>
      <c r="C1395" t="s">
        <v>2053</v>
      </c>
      <c r="D1395" t="s">
        <v>2024</v>
      </c>
      <c r="E1395" t="s">
        <v>4121</v>
      </c>
      <c r="F1395" t="s">
        <v>4122</v>
      </c>
      <c r="G1395">
        <v>3</v>
      </c>
      <c r="H1395">
        <v>1700</v>
      </c>
      <c r="I1395">
        <v>5</v>
      </c>
      <c r="J1395">
        <v>11.55</v>
      </c>
      <c r="K1395">
        <v>5</v>
      </c>
      <c r="L1395">
        <v>0.41499999999999998</v>
      </c>
      <c r="M1395">
        <v>2</v>
      </c>
      <c r="N1395">
        <v>83</v>
      </c>
      <c r="O1395">
        <v>5</v>
      </c>
      <c r="P1395">
        <v>0.67500000000000004</v>
      </c>
      <c r="Q1395">
        <v>5</v>
      </c>
      <c r="R1395">
        <v>2.6200000000000001E-2</v>
      </c>
      <c r="T1395" s="8" t="s">
        <v>4121</v>
      </c>
    </row>
    <row r="1396" spans="1:20" x14ac:dyDescent="0.2">
      <c r="A1396" t="s">
        <v>4123</v>
      </c>
      <c r="B1396" t="s">
        <v>2022</v>
      </c>
      <c r="C1396" t="s">
        <v>2036</v>
      </c>
      <c r="D1396" t="s">
        <v>2024</v>
      </c>
      <c r="E1396" t="s">
        <v>4124</v>
      </c>
      <c r="F1396" t="s">
        <v>4125</v>
      </c>
      <c r="G1396">
        <v>1</v>
      </c>
      <c r="H1396">
        <v>1540</v>
      </c>
      <c r="I1396">
        <v>3</v>
      </c>
      <c r="J1396">
        <v>4.5999999999999996</v>
      </c>
      <c r="K1396">
        <v>1</v>
      </c>
      <c r="L1396">
        <v>5.5E-2</v>
      </c>
      <c r="M1396">
        <v>1</v>
      </c>
      <c r="N1396">
        <v>76</v>
      </c>
      <c r="O1396">
        <v>2</v>
      </c>
      <c r="P1396">
        <v>0.20499999999999999</v>
      </c>
      <c r="Q1396">
        <v>2</v>
      </c>
      <c r="R1396">
        <v>4.2500000000000003E-3</v>
      </c>
      <c r="T1396" s="8" t="s">
        <v>4124</v>
      </c>
    </row>
    <row r="1397" spans="1:20" x14ac:dyDescent="0.2">
      <c r="A1397" t="s">
        <v>4126</v>
      </c>
      <c r="B1397" t="s">
        <v>2022</v>
      </c>
      <c r="C1397" t="s">
        <v>2053</v>
      </c>
      <c r="D1397" t="s">
        <v>2024</v>
      </c>
      <c r="E1397" t="s">
        <v>4127</v>
      </c>
      <c r="F1397" t="s">
        <v>4128</v>
      </c>
      <c r="G1397">
        <v>5</v>
      </c>
      <c r="H1397">
        <v>1900</v>
      </c>
      <c r="I1397">
        <v>3</v>
      </c>
      <c r="J1397">
        <v>6.55</v>
      </c>
      <c r="K1397">
        <v>3</v>
      </c>
      <c r="L1397">
        <v>0.19500000000000001</v>
      </c>
      <c r="M1397">
        <v>2</v>
      </c>
      <c r="N1397">
        <v>83</v>
      </c>
      <c r="O1397">
        <v>2</v>
      </c>
      <c r="P1397">
        <v>0.22500000000000001</v>
      </c>
      <c r="Q1397">
        <v>2</v>
      </c>
      <c r="R1397">
        <v>5.1999999999999998E-3</v>
      </c>
      <c r="T1397" s="8" t="s">
        <v>4127</v>
      </c>
    </row>
    <row r="1398" spans="1:20" x14ac:dyDescent="0.2">
      <c r="A1398" t="s">
        <v>4129</v>
      </c>
      <c r="B1398" t="s">
        <v>2022</v>
      </c>
      <c r="C1398" t="s">
        <v>2053</v>
      </c>
      <c r="D1398" t="s">
        <v>2024</v>
      </c>
      <c r="E1398" t="s">
        <v>4130</v>
      </c>
      <c r="F1398" t="s">
        <v>4131</v>
      </c>
      <c r="G1398">
        <v>4</v>
      </c>
      <c r="H1398">
        <v>1800</v>
      </c>
      <c r="I1398">
        <v>4</v>
      </c>
      <c r="J1398">
        <v>9.0500000000000007</v>
      </c>
      <c r="K1398">
        <v>2</v>
      </c>
      <c r="L1398">
        <v>8.5000000000000006E-2</v>
      </c>
      <c r="M1398">
        <v>2</v>
      </c>
      <c r="N1398">
        <v>83</v>
      </c>
      <c r="O1398">
        <v>3</v>
      </c>
      <c r="P1398">
        <v>0.375</v>
      </c>
      <c r="Q1398">
        <v>2</v>
      </c>
      <c r="R1398">
        <v>5.1999999999999998E-3</v>
      </c>
      <c r="T1398" s="8" t="s">
        <v>4130</v>
      </c>
    </row>
    <row r="1399" spans="1:20" x14ac:dyDescent="0.2">
      <c r="A1399" t="s">
        <v>4132</v>
      </c>
      <c r="B1399" t="s">
        <v>2022</v>
      </c>
      <c r="C1399" t="s">
        <v>2036</v>
      </c>
      <c r="D1399" t="s">
        <v>2136</v>
      </c>
      <c r="E1399" t="s">
        <v>337</v>
      </c>
      <c r="F1399" t="s">
        <v>4133</v>
      </c>
      <c r="G1399">
        <v>3</v>
      </c>
      <c r="H1399">
        <v>1740</v>
      </c>
      <c r="I1399">
        <v>3</v>
      </c>
      <c r="J1399">
        <v>4.5999999999999996</v>
      </c>
      <c r="K1399">
        <v>5</v>
      </c>
      <c r="L1399">
        <v>0.17499999999999999</v>
      </c>
      <c r="M1399">
        <v>4</v>
      </c>
      <c r="N1399">
        <v>94</v>
      </c>
      <c r="O1399">
        <v>3</v>
      </c>
      <c r="P1399">
        <v>0.315</v>
      </c>
      <c r="Q1399">
        <v>5</v>
      </c>
      <c r="R1399">
        <v>1.2E-2</v>
      </c>
      <c r="T1399" s="8" t="s">
        <v>337</v>
      </c>
    </row>
    <row r="1400" spans="1:20" x14ac:dyDescent="0.2">
      <c r="A1400" t="s">
        <v>4134</v>
      </c>
      <c r="B1400" t="s">
        <v>2022</v>
      </c>
      <c r="C1400" t="s">
        <v>2049</v>
      </c>
      <c r="D1400" t="s">
        <v>2024</v>
      </c>
      <c r="E1400" t="s">
        <v>4135</v>
      </c>
      <c r="F1400" t="s">
        <v>4136</v>
      </c>
      <c r="G1400">
        <v>5</v>
      </c>
      <c r="H1400">
        <v>1750</v>
      </c>
      <c r="I1400">
        <v>5</v>
      </c>
      <c r="J1400">
        <v>8.6</v>
      </c>
      <c r="K1400">
        <v>3</v>
      </c>
      <c r="L1400">
        <v>0.14000000000000001</v>
      </c>
      <c r="M1400">
        <v>4</v>
      </c>
      <c r="N1400">
        <v>146</v>
      </c>
      <c r="O1400">
        <v>4</v>
      </c>
      <c r="P1400">
        <v>0.66</v>
      </c>
      <c r="Q1400">
        <v>3</v>
      </c>
      <c r="R1400">
        <v>1.52E-2</v>
      </c>
      <c r="T1400" s="8" t="s">
        <v>4135</v>
      </c>
    </row>
    <row r="1401" spans="1:20" x14ac:dyDescent="0.2">
      <c r="A1401" t="s">
        <v>4137</v>
      </c>
      <c r="B1401" t="s">
        <v>2022</v>
      </c>
      <c r="C1401" t="s">
        <v>2036</v>
      </c>
      <c r="D1401" t="s">
        <v>2024</v>
      </c>
      <c r="E1401" t="s">
        <v>4138</v>
      </c>
      <c r="F1401" t="s">
        <v>4139</v>
      </c>
      <c r="G1401">
        <v>3</v>
      </c>
      <c r="H1401">
        <v>1740</v>
      </c>
      <c r="I1401">
        <v>2</v>
      </c>
      <c r="J1401">
        <v>3.4</v>
      </c>
      <c r="K1401">
        <v>4</v>
      </c>
      <c r="L1401">
        <v>0.14499999999999999</v>
      </c>
      <c r="M1401">
        <v>1</v>
      </c>
      <c r="N1401">
        <v>76</v>
      </c>
      <c r="O1401">
        <v>2</v>
      </c>
      <c r="P1401">
        <v>0.20499999999999999</v>
      </c>
      <c r="Q1401">
        <v>3</v>
      </c>
      <c r="R1401">
        <v>6.7499999999999999E-3</v>
      </c>
      <c r="T1401" s="8" t="s">
        <v>4138</v>
      </c>
    </row>
    <row r="1402" spans="1:20" x14ac:dyDescent="0.2">
      <c r="A1402" t="s">
        <v>4140</v>
      </c>
      <c r="B1402" t="s">
        <v>2022</v>
      </c>
      <c r="C1402" t="s">
        <v>2036</v>
      </c>
      <c r="D1402" t="s">
        <v>2024</v>
      </c>
      <c r="E1402" t="s">
        <v>4141</v>
      </c>
      <c r="F1402" t="s">
        <v>4142</v>
      </c>
      <c r="G1402">
        <v>2</v>
      </c>
      <c r="H1402">
        <v>1640</v>
      </c>
      <c r="I1402">
        <v>2</v>
      </c>
      <c r="J1402">
        <v>3.4</v>
      </c>
      <c r="K1402">
        <v>2</v>
      </c>
      <c r="L1402">
        <v>8.5000000000000006E-2</v>
      </c>
      <c r="M1402">
        <v>2</v>
      </c>
      <c r="N1402">
        <v>82</v>
      </c>
      <c r="O1402">
        <v>2</v>
      </c>
      <c r="P1402">
        <v>0.20499999999999999</v>
      </c>
      <c r="Q1402">
        <v>2</v>
      </c>
      <c r="R1402">
        <v>4.2500000000000003E-3</v>
      </c>
      <c r="T1402" s="8" t="s">
        <v>4141</v>
      </c>
    </row>
    <row r="1403" spans="1:20" x14ac:dyDescent="0.2">
      <c r="A1403" t="s">
        <v>4143</v>
      </c>
      <c r="B1403" t="s">
        <v>2022</v>
      </c>
      <c r="C1403" t="s">
        <v>2053</v>
      </c>
      <c r="D1403" t="s">
        <v>2024</v>
      </c>
      <c r="E1403" t="s">
        <v>4144</v>
      </c>
      <c r="F1403" t="s">
        <v>447</v>
      </c>
      <c r="G1403">
        <v>3</v>
      </c>
      <c r="H1403">
        <v>1700</v>
      </c>
      <c r="I1403">
        <v>2</v>
      </c>
      <c r="J1403">
        <v>4.05</v>
      </c>
      <c r="K1403">
        <v>2</v>
      </c>
      <c r="L1403">
        <v>8.5000000000000006E-2</v>
      </c>
      <c r="M1403">
        <v>2</v>
      </c>
      <c r="N1403">
        <v>83</v>
      </c>
      <c r="O1403">
        <v>2</v>
      </c>
      <c r="P1403">
        <v>0.22500000000000001</v>
      </c>
      <c r="Q1403">
        <v>2</v>
      </c>
      <c r="R1403">
        <v>5.1999999999999998E-3</v>
      </c>
      <c r="T1403" s="8" t="s">
        <v>4144</v>
      </c>
    </row>
    <row r="1404" spans="1:20" x14ac:dyDescent="0.2">
      <c r="A1404" t="s">
        <v>4145</v>
      </c>
      <c r="B1404" t="s">
        <v>2022</v>
      </c>
      <c r="C1404" t="s">
        <v>2023</v>
      </c>
      <c r="D1404" t="s">
        <v>2024</v>
      </c>
      <c r="E1404" t="s">
        <v>4146</v>
      </c>
      <c r="F1404" t="s">
        <v>4147</v>
      </c>
      <c r="G1404">
        <v>5</v>
      </c>
      <c r="H1404">
        <v>1800</v>
      </c>
      <c r="I1404">
        <v>5</v>
      </c>
      <c r="J1404">
        <v>10.9</v>
      </c>
      <c r="K1404">
        <v>5</v>
      </c>
      <c r="L1404">
        <v>8.5999999999999993E-2</v>
      </c>
      <c r="M1404">
        <v>3</v>
      </c>
      <c r="N1404">
        <v>94</v>
      </c>
      <c r="O1404">
        <v>5</v>
      </c>
      <c r="P1404">
        <v>0.67500000000000004</v>
      </c>
      <c r="Q1404">
        <v>5</v>
      </c>
      <c r="R1404">
        <v>8.0000000000000002E-3</v>
      </c>
      <c r="T1404" s="8" t="s">
        <v>4146</v>
      </c>
    </row>
    <row r="1405" spans="1:20" x14ac:dyDescent="0.2">
      <c r="A1405" t="s">
        <v>4148</v>
      </c>
      <c r="B1405" t="s">
        <v>2022</v>
      </c>
      <c r="C1405" t="s">
        <v>2023</v>
      </c>
      <c r="D1405" t="s">
        <v>2024</v>
      </c>
      <c r="E1405" t="s">
        <v>4149</v>
      </c>
      <c r="F1405" t="s">
        <v>4150</v>
      </c>
      <c r="G1405">
        <v>4</v>
      </c>
      <c r="H1405">
        <v>1720</v>
      </c>
      <c r="I1405">
        <v>2</v>
      </c>
      <c r="J1405">
        <v>3.4</v>
      </c>
      <c r="K1405">
        <v>4</v>
      </c>
      <c r="L1405">
        <v>6.6000000000000003E-2</v>
      </c>
      <c r="M1405">
        <v>3</v>
      </c>
      <c r="N1405">
        <v>94</v>
      </c>
      <c r="O1405">
        <v>1</v>
      </c>
      <c r="P1405">
        <v>7.4999999999999997E-2</v>
      </c>
      <c r="Q1405">
        <v>3</v>
      </c>
      <c r="R1405">
        <v>4.0000000000000001E-3</v>
      </c>
      <c r="T1405" s="8" t="s">
        <v>4149</v>
      </c>
    </row>
    <row r="1406" spans="1:20" x14ac:dyDescent="0.2">
      <c r="A1406" t="s">
        <v>4151</v>
      </c>
      <c r="B1406" t="s">
        <v>2022</v>
      </c>
      <c r="C1406" t="s">
        <v>2023</v>
      </c>
      <c r="D1406" t="s">
        <v>2024</v>
      </c>
      <c r="E1406" t="s">
        <v>4152</v>
      </c>
      <c r="F1406" t="s">
        <v>4153</v>
      </c>
      <c r="G1406">
        <v>1</v>
      </c>
      <c r="H1406">
        <v>1480</v>
      </c>
      <c r="I1406">
        <v>3</v>
      </c>
      <c r="J1406">
        <v>5.9</v>
      </c>
      <c r="K1406">
        <v>5</v>
      </c>
      <c r="L1406">
        <v>8.5999999999999993E-2</v>
      </c>
      <c r="M1406">
        <v>3</v>
      </c>
      <c r="N1406">
        <v>94</v>
      </c>
      <c r="O1406">
        <v>3</v>
      </c>
      <c r="P1406">
        <v>0.375</v>
      </c>
      <c r="Q1406">
        <v>4</v>
      </c>
      <c r="R1406">
        <v>6.0000000000000001E-3</v>
      </c>
      <c r="T1406" s="8" t="s">
        <v>4152</v>
      </c>
    </row>
    <row r="1407" spans="1:20" x14ac:dyDescent="0.2">
      <c r="A1407" t="s">
        <v>4154</v>
      </c>
      <c r="B1407" t="s">
        <v>2022</v>
      </c>
      <c r="C1407" t="s">
        <v>2023</v>
      </c>
      <c r="D1407" t="s">
        <v>2024</v>
      </c>
      <c r="E1407" t="s">
        <v>4155</v>
      </c>
      <c r="F1407" t="s">
        <v>4156</v>
      </c>
      <c r="G1407">
        <v>4</v>
      </c>
      <c r="H1407">
        <v>1720</v>
      </c>
      <c r="I1407">
        <v>3</v>
      </c>
      <c r="J1407">
        <v>5.9</v>
      </c>
      <c r="K1407">
        <v>3</v>
      </c>
      <c r="L1407">
        <v>4.5999999999999999E-2</v>
      </c>
      <c r="M1407">
        <v>2</v>
      </c>
      <c r="N1407">
        <v>84</v>
      </c>
      <c r="O1407">
        <v>2</v>
      </c>
      <c r="P1407">
        <v>0.22500000000000001</v>
      </c>
      <c r="Q1407">
        <v>2</v>
      </c>
      <c r="R1407">
        <v>2E-3</v>
      </c>
      <c r="T1407" s="8" t="s">
        <v>4155</v>
      </c>
    </row>
    <row r="1408" spans="1:20" x14ac:dyDescent="0.2">
      <c r="A1408" t="s">
        <v>4157</v>
      </c>
      <c r="B1408" t="s">
        <v>2022</v>
      </c>
      <c r="C1408" t="s">
        <v>2023</v>
      </c>
      <c r="D1408" t="s">
        <v>2024</v>
      </c>
      <c r="E1408" t="s">
        <v>4158</v>
      </c>
      <c r="F1408" t="s">
        <v>4159</v>
      </c>
      <c r="G1408">
        <v>5</v>
      </c>
      <c r="H1408">
        <v>1800</v>
      </c>
      <c r="I1408">
        <v>2</v>
      </c>
      <c r="J1408">
        <v>3.4</v>
      </c>
      <c r="K1408">
        <v>2</v>
      </c>
      <c r="L1408">
        <v>2.5999999999999999E-2</v>
      </c>
      <c r="M1408">
        <v>2</v>
      </c>
      <c r="N1408">
        <v>84</v>
      </c>
      <c r="O1408">
        <v>1</v>
      </c>
      <c r="P1408">
        <v>7.4999999999999997E-2</v>
      </c>
      <c r="Q1408">
        <v>1</v>
      </c>
      <c r="R1408">
        <v>5.0000000000000001E-4</v>
      </c>
      <c r="T1408" s="8" t="s">
        <v>4158</v>
      </c>
    </row>
    <row r="1409" spans="1:20" x14ac:dyDescent="0.2">
      <c r="A1409" t="s">
        <v>4160</v>
      </c>
      <c r="B1409" t="s">
        <v>2022</v>
      </c>
      <c r="C1409" t="s">
        <v>2049</v>
      </c>
      <c r="D1409" t="s">
        <v>2024</v>
      </c>
      <c r="E1409" t="s">
        <v>4158</v>
      </c>
      <c r="F1409" t="s">
        <v>4159</v>
      </c>
      <c r="G1409">
        <v>1</v>
      </c>
      <c r="H1409">
        <v>1350</v>
      </c>
      <c r="I1409">
        <v>1</v>
      </c>
      <c r="J1409">
        <v>1.4</v>
      </c>
      <c r="K1409">
        <v>1</v>
      </c>
      <c r="L1409">
        <v>0.01</v>
      </c>
      <c r="M1409">
        <v>5</v>
      </c>
      <c r="N1409">
        <v>166</v>
      </c>
      <c r="O1409">
        <v>2</v>
      </c>
      <c r="P1409">
        <v>0.26</v>
      </c>
      <c r="Q1409">
        <v>2</v>
      </c>
      <c r="R1409">
        <v>6.1999999999999998E-3</v>
      </c>
      <c r="T1409" s="8" t="s">
        <v>4158</v>
      </c>
    </row>
    <row r="1410" spans="1:20" x14ac:dyDescent="0.2">
      <c r="A1410" t="s">
        <v>4161</v>
      </c>
      <c r="B1410" t="s">
        <v>2022</v>
      </c>
      <c r="C1410" t="s">
        <v>2101</v>
      </c>
      <c r="D1410" t="s">
        <v>2024</v>
      </c>
      <c r="E1410" t="s">
        <v>4162</v>
      </c>
      <c r="F1410" t="s">
        <v>4163</v>
      </c>
      <c r="G1410">
        <v>4</v>
      </c>
      <c r="H1410">
        <v>1870</v>
      </c>
      <c r="I1410">
        <v>5</v>
      </c>
      <c r="J1410">
        <v>14</v>
      </c>
      <c r="K1410">
        <v>5</v>
      </c>
      <c r="L1410">
        <v>0.53749999999999998</v>
      </c>
      <c r="M1410">
        <v>4</v>
      </c>
      <c r="N1410">
        <v>90</v>
      </c>
      <c r="O1410">
        <v>5</v>
      </c>
      <c r="P1410">
        <v>0.67500000000000004</v>
      </c>
      <c r="Q1410">
        <v>5</v>
      </c>
      <c r="R1410">
        <v>2.5499999999999998E-2</v>
      </c>
      <c r="T1410" s="8" t="s">
        <v>4162</v>
      </c>
    </row>
    <row r="1411" spans="1:20" x14ac:dyDescent="0.2">
      <c r="A1411" t="s">
        <v>4164</v>
      </c>
      <c r="B1411" t="s">
        <v>2022</v>
      </c>
      <c r="C1411" t="s">
        <v>2053</v>
      </c>
      <c r="D1411" t="s">
        <v>2136</v>
      </c>
      <c r="E1411" t="s">
        <v>4165</v>
      </c>
      <c r="F1411" t="s">
        <v>4166</v>
      </c>
      <c r="G1411">
        <v>1</v>
      </c>
      <c r="H1411">
        <v>1500</v>
      </c>
      <c r="I1411">
        <v>1</v>
      </c>
      <c r="J1411">
        <v>1.55</v>
      </c>
      <c r="K1411">
        <v>2</v>
      </c>
      <c r="L1411">
        <v>8.5000000000000006E-2</v>
      </c>
      <c r="M1411">
        <v>1</v>
      </c>
      <c r="N1411">
        <v>73</v>
      </c>
      <c r="O1411">
        <v>1</v>
      </c>
      <c r="P1411">
        <v>7.4999999999999997E-2</v>
      </c>
      <c r="Q1411">
        <v>2</v>
      </c>
      <c r="R1411">
        <v>5.1999999999999998E-3</v>
      </c>
      <c r="T1411" s="8" t="s">
        <v>4165</v>
      </c>
    </row>
    <row r="1412" spans="1:20" x14ac:dyDescent="0.2">
      <c r="A1412" t="s">
        <v>4167</v>
      </c>
      <c r="B1412" t="s">
        <v>2022</v>
      </c>
      <c r="C1412" t="s">
        <v>2023</v>
      </c>
      <c r="D1412" t="s">
        <v>2154</v>
      </c>
      <c r="E1412" t="s">
        <v>4168</v>
      </c>
      <c r="F1412" t="s">
        <v>4169</v>
      </c>
      <c r="G1412">
        <v>3</v>
      </c>
      <c r="H1412">
        <v>1640</v>
      </c>
      <c r="I1412">
        <v>5</v>
      </c>
      <c r="J1412">
        <v>10.9</v>
      </c>
      <c r="K1412">
        <v>5</v>
      </c>
      <c r="L1412">
        <v>8.5999999999999993E-2</v>
      </c>
      <c r="M1412">
        <v>4</v>
      </c>
      <c r="N1412">
        <v>104</v>
      </c>
      <c r="O1412">
        <v>5</v>
      </c>
      <c r="P1412">
        <v>0.67500000000000004</v>
      </c>
      <c r="Q1412">
        <v>5</v>
      </c>
      <c r="R1412">
        <v>8.0000000000000002E-3</v>
      </c>
      <c r="T1412" s="8" t="s">
        <v>4168</v>
      </c>
    </row>
    <row r="1413" spans="1:20" x14ac:dyDescent="0.2">
      <c r="A1413" t="s">
        <v>4170</v>
      </c>
      <c r="B1413" t="s">
        <v>2022</v>
      </c>
      <c r="C1413" t="s">
        <v>2036</v>
      </c>
      <c r="D1413" t="s">
        <v>2024</v>
      </c>
      <c r="E1413" t="s">
        <v>4171</v>
      </c>
      <c r="F1413" t="s">
        <v>4172</v>
      </c>
      <c r="G1413">
        <v>4</v>
      </c>
      <c r="H1413">
        <v>1840</v>
      </c>
      <c r="I1413">
        <v>5</v>
      </c>
      <c r="J1413">
        <v>7</v>
      </c>
      <c r="K1413">
        <v>5</v>
      </c>
      <c r="L1413">
        <v>0.17499999999999999</v>
      </c>
      <c r="M1413">
        <v>4</v>
      </c>
      <c r="N1413">
        <v>94</v>
      </c>
      <c r="O1413">
        <v>5</v>
      </c>
      <c r="P1413">
        <v>0.53500000000000003</v>
      </c>
      <c r="Q1413">
        <v>5</v>
      </c>
      <c r="R1413">
        <v>1.2E-2</v>
      </c>
      <c r="T1413" s="8" t="s">
        <v>4171</v>
      </c>
    </row>
    <row r="1414" spans="1:20" x14ac:dyDescent="0.2">
      <c r="A1414" t="s">
        <v>4173</v>
      </c>
      <c r="B1414" t="s">
        <v>2022</v>
      </c>
      <c r="C1414" t="s">
        <v>2036</v>
      </c>
      <c r="D1414" t="s">
        <v>2024</v>
      </c>
      <c r="E1414" t="s">
        <v>4174</v>
      </c>
      <c r="F1414" t="s">
        <v>4175</v>
      </c>
      <c r="G1414">
        <v>1</v>
      </c>
      <c r="H1414">
        <v>1540</v>
      </c>
      <c r="I1414">
        <v>2</v>
      </c>
      <c r="J1414">
        <v>3.4</v>
      </c>
      <c r="K1414">
        <v>3</v>
      </c>
      <c r="L1414">
        <v>0.115</v>
      </c>
      <c r="M1414">
        <v>1</v>
      </c>
      <c r="N1414">
        <v>76</v>
      </c>
      <c r="O1414">
        <v>2</v>
      </c>
      <c r="P1414">
        <v>0.20499999999999999</v>
      </c>
      <c r="Q1414">
        <v>2</v>
      </c>
      <c r="R1414">
        <v>4.2500000000000003E-3</v>
      </c>
      <c r="T1414" s="8" t="s">
        <v>4174</v>
      </c>
    </row>
    <row r="1415" spans="1:20" x14ac:dyDescent="0.2">
      <c r="A1415" t="s">
        <v>4176</v>
      </c>
      <c r="B1415" t="s">
        <v>2022</v>
      </c>
      <c r="C1415" t="s">
        <v>2023</v>
      </c>
      <c r="D1415" t="s">
        <v>2024</v>
      </c>
      <c r="E1415" t="s">
        <v>4174</v>
      </c>
      <c r="F1415" t="s">
        <v>4175</v>
      </c>
      <c r="G1415">
        <v>1</v>
      </c>
      <c r="H1415">
        <v>1480</v>
      </c>
      <c r="I1415">
        <v>2</v>
      </c>
      <c r="J1415">
        <v>3.4</v>
      </c>
      <c r="K1415">
        <v>3</v>
      </c>
      <c r="L1415">
        <v>4.5999999999999999E-2</v>
      </c>
      <c r="M1415">
        <v>1</v>
      </c>
      <c r="N1415">
        <v>74</v>
      </c>
      <c r="O1415">
        <v>1</v>
      </c>
      <c r="P1415">
        <v>7.4999999999999997E-2</v>
      </c>
      <c r="Q1415">
        <v>2</v>
      </c>
      <c r="R1415">
        <v>2E-3</v>
      </c>
      <c r="T1415" s="8" t="s">
        <v>4174</v>
      </c>
    </row>
    <row r="1416" spans="1:20" x14ac:dyDescent="0.2">
      <c r="A1416" t="s">
        <v>4177</v>
      </c>
      <c r="B1416" t="s">
        <v>2022</v>
      </c>
      <c r="C1416" t="s">
        <v>2036</v>
      </c>
      <c r="D1416" t="s">
        <v>2024</v>
      </c>
      <c r="E1416" t="s">
        <v>4178</v>
      </c>
      <c r="F1416" t="s">
        <v>4179</v>
      </c>
      <c r="G1416">
        <v>2</v>
      </c>
      <c r="H1416">
        <v>1640</v>
      </c>
      <c r="I1416">
        <v>3</v>
      </c>
      <c r="J1416">
        <v>4.5999999999999996</v>
      </c>
      <c r="K1416">
        <v>2</v>
      </c>
      <c r="L1416">
        <v>8.5000000000000006E-2</v>
      </c>
      <c r="M1416">
        <v>2</v>
      </c>
      <c r="N1416">
        <v>82</v>
      </c>
      <c r="O1416">
        <v>2</v>
      </c>
      <c r="P1416">
        <v>0.20499999999999999</v>
      </c>
      <c r="Q1416">
        <v>2</v>
      </c>
      <c r="R1416">
        <v>4.2500000000000003E-3</v>
      </c>
      <c r="T1416" s="8" t="s">
        <v>4178</v>
      </c>
    </row>
    <row r="1417" spans="1:20" x14ac:dyDescent="0.2">
      <c r="A1417" t="s">
        <v>4180</v>
      </c>
      <c r="B1417" t="s">
        <v>2022</v>
      </c>
      <c r="C1417" t="s">
        <v>2023</v>
      </c>
      <c r="D1417" t="s">
        <v>2024</v>
      </c>
      <c r="E1417" t="s">
        <v>4181</v>
      </c>
      <c r="F1417" t="s">
        <v>4182</v>
      </c>
      <c r="G1417">
        <v>3</v>
      </c>
      <c r="H1417">
        <v>1640</v>
      </c>
      <c r="I1417">
        <v>3</v>
      </c>
      <c r="J1417">
        <v>5.9</v>
      </c>
      <c r="K1417">
        <v>4</v>
      </c>
      <c r="L1417">
        <v>6.6000000000000003E-2</v>
      </c>
      <c r="M1417">
        <v>2</v>
      </c>
      <c r="N1417">
        <v>84</v>
      </c>
      <c r="O1417">
        <v>2</v>
      </c>
      <c r="P1417">
        <v>0.22500000000000001</v>
      </c>
      <c r="Q1417">
        <v>3</v>
      </c>
      <c r="R1417">
        <v>4.0000000000000001E-3</v>
      </c>
      <c r="T1417" s="8" t="s">
        <v>4181</v>
      </c>
    </row>
    <row r="1418" spans="1:20" x14ac:dyDescent="0.2">
      <c r="A1418" t="s">
        <v>4183</v>
      </c>
      <c r="B1418" t="s">
        <v>2022</v>
      </c>
      <c r="C1418" t="s">
        <v>2036</v>
      </c>
      <c r="D1418" t="s">
        <v>2024</v>
      </c>
      <c r="E1418" t="s">
        <v>4184</v>
      </c>
      <c r="F1418" t="s">
        <v>4185</v>
      </c>
      <c r="G1418">
        <v>2</v>
      </c>
      <c r="H1418">
        <v>1640</v>
      </c>
      <c r="I1418">
        <v>3</v>
      </c>
      <c r="J1418">
        <v>4.5999999999999996</v>
      </c>
      <c r="K1418">
        <v>3</v>
      </c>
      <c r="L1418">
        <v>0.115</v>
      </c>
      <c r="M1418">
        <v>1</v>
      </c>
      <c r="N1418">
        <v>76</v>
      </c>
      <c r="O1418">
        <v>2</v>
      </c>
      <c r="P1418">
        <v>0.20499999999999999</v>
      </c>
      <c r="Q1418">
        <v>3</v>
      </c>
      <c r="R1418">
        <v>6.7499999999999999E-3</v>
      </c>
      <c r="T1418" s="8" t="s">
        <v>4184</v>
      </c>
    </row>
    <row r="1419" spans="1:20" x14ac:dyDescent="0.2">
      <c r="A1419" t="s">
        <v>4186</v>
      </c>
      <c r="B1419" t="s">
        <v>2022</v>
      </c>
      <c r="C1419" t="s">
        <v>2053</v>
      </c>
      <c r="D1419" t="s">
        <v>2024</v>
      </c>
      <c r="E1419" t="s">
        <v>4187</v>
      </c>
      <c r="F1419" t="s">
        <v>4188</v>
      </c>
      <c r="G1419">
        <v>4</v>
      </c>
      <c r="H1419">
        <v>1800</v>
      </c>
      <c r="I1419">
        <v>5</v>
      </c>
      <c r="J1419">
        <v>11.55</v>
      </c>
      <c r="K1419">
        <v>4</v>
      </c>
      <c r="L1419">
        <v>0.30499999999999999</v>
      </c>
      <c r="M1419">
        <v>3</v>
      </c>
      <c r="N1419">
        <v>93</v>
      </c>
      <c r="O1419">
        <v>4</v>
      </c>
      <c r="P1419">
        <v>0.52500000000000002</v>
      </c>
      <c r="Q1419">
        <v>3</v>
      </c>
      <c r="R1419">
        <v>1.2200000000000001E-2</v>
      </c>
      <c r="T1419" s="8" t="s">
        <v>4187</v>
      </c>
    </row>
    <row r="1420" spans="1:20" x14ac:dyDescent="0.2">
      <c r="A1420" t="s">
        <v>4189</v>
      </c>
      <c r="B1420" t="s">
        <v>2022</v>
      </c>
      <c r="C1420" t="s">
        <v>2023</v>
      </c>
      <c r="D1420" t="s">
        <v>2024</v>
      </c>
      <c r="E1420" t="s">
        <v>4190</v>
      </c>
      <c r="F1420" t="s">
        <v>4191</v>
      </c>
      <c r="G1420">
        <v>3</v>
      </c>
      <c r="H1420">
        <v>1640</v>
      </c>
      <c r="I1420">
        <v>3</v>
      </c>
      <c r="J1420">
        <v>5.9</v>
      </c>
      <c r="K1420">
        <v>5</v>
      </c>
      <c r="L1420">
        <v>8.5999999999999993E-2</v>
      </c>
      <c r="M1420">
        <v>5</v>
      </c>
      <c r="N1420">
        <v>114</v>
      </c>
      <c r="O1420">
        <v>3</v>
      </c>
      <c r="P1420">
        <v>0.375</v>
      </c>
      <c r="Q1420">
        <v>5</v>
      </c>
      <c r="R1420">
        <v>8.0000000000000002E-3</v>
      </c>
      <c r="T1420" s="8" t="s">
        <v>4190</v>
      </c>
    </row>
    <row r="1421" spans="1:20" x14ac:dyDescent="0.2">
      <c r="A1421" t="s">
        <v>4192</v>
      </c>
      <c r="B1421" t="s">
        <v>2022</v>
      </c>
      <c r="C1421" t="s">
        <v>2023</v>
      </c>
      <c r="D1421" t="s">
        <v>2024</v>
      </c>
      <c r="E1421" t="s">
        <v>4193</v>
      </c>
      <c r="F1421" t="s">
        <v>447</v>
      </c>
      <c r="G1421">
        <v>2</v>
      </c>
      <c r="H1421">
        <v>1560</v>
      </c>
      <c r="I1421">
        <v>4</v>
      </c>
      <c r="J1421">
        <v>8.4</v>
      </c>
      <c r="K1421">
        <v>5</v>
      </c>
      <c r="L1421">
        <v>8.5999999999999993E-2</v>
      </c>
      <c r="M1421">
        <v>1</v>
      </c>
      <c r="N1421">
        <v>74</v>
      </c>
      <c r="O1421">
        <v>3</v>
      </c>
      <c r="P1421">
        <v>0.375</v>
      </c>
      <c r="Q1421">
        <v>5</v>
      </c>
      <c r="R1421">
        <v>8.0000000000000002E-3</v>
      </c>
      <c r="T1421" s="8" t="s">
        <v>4193</v>
      </c>
    </row>
    <row r="1422" spans="1:20" x14ac:dyDescent="0.2">
      <c r="A1422" t="s">
        <v>4194</v>
      </c>
      <c r="B1422" t="s">
        <v>2022</v>
      </c>
      <c r="C1422" t="s">
        <v>2053</v>
      </c>
      <c r="D1422" t="s">
        <v>2024</v>
      </c>
      <c r="E1422" t="s">
        <v>4195</v>
      </c>
      <c r="F1422" t="s">
        <v>4196</v>
      </c>
      <c r="G1422">
        <v>4</v>
      </c>
      <c r="H1422">
        <v>1800</v>
      </c>
      <c r="I1422">
        <v>5</v>
      </c>
      <c r="J1422">
        <v>11.55</v>
      </c>
      <c r="K1422">
        <v>4</v>
      </c>
      <c r="L1422">
        <v>0.30499999999999999</v>
      </c>
      <c r="M1422">
        <v>5</v>
      </c>
      <c r="N1422">
        <v>113</v>
      </c>
      <c r="O1422">
        <v>5</v>
      </c>
      <c r="P1422">
        <v>0.67500000000000004</v>
      </c>
      <c r="Q1422">
        <v>4</v>
      </c>
      <c r="R1422">
        <v>1.9199999999999998E-2</v>
      </c>
      <c r="T1422" s="8" t="s">
        <v>4195</v>
      </c>
    </row>
    <row r="1423" spans="1:20" x14ac:dyDescent="0.2">
      <c r="A1423" t="s">
        <v>4197</v>
      </c>
      <c r="B1423" t="s">
        <v>2022</v>
      </c>
      <c r="C1423" t="s">
        <v>2023</v>
      </c>
      <c r="D1423" t="s">
        <v>2024</v>
      </c>
      <c r="E1423" t="s">
        <v>4198</v>
      </c>
      <c r="F1423" t="s">
        <v>4199</v>
      </c>
      <c r="G1423">
        <v>2</v>
      </c>
      <c r="H1423">
        <v>1560</v>
      </c>
      <c r="I1423">
        <v>1</v>
      </c>
      <c r="J1423">
        <v>0.9</v>
      </c>
      <c r="K1423">
        <v>1</v>
      </c>
      <c r="L1423">
        <v>6.0000000000000001E-3</v>
      </c>
      <c r="M1423">
        <v>2</v>
      </c>
      <c r="N1423">
        <v>84</v>
      </c>
      <c r="O1423">
        <v>1</v>
      </c>
      <c r="P1423">
        <v>7.4999999999999997E-2</v>
      </c>
      <c r="Q1423">
        <v>1</v>
      </c>
      <c r="R1423">
        <v>5.0000000000000001E-4</v>
      </c>
      <c r="T1423" s="8" t="s">
        <v>4198</v>
      </c>
    </row>
    <row r="1424" spans="1:20" x14ac:dyDescent="0.2">
      <c r="A1424" t="s">
        <v>4200</v>
      </c>
      <c r="B1424" t="s">
        <v>2022</v>
      </c>
      <c r="C1424" t="s">
        <v>2023</v>
      </c>
      <c r="D1424" t="s">
        <v>2024</v>
      </c>
      <c r="E1424" t="s">
        <v>4201</v>
      </c>
      <c r="F1424" t="s">
        <v>4202</v>
      </c>
      <c r="G1424">
        <v>2</v>
      </c>
      <c r="H1424">
        <v>1560</v>
      </c>
      <c r="I1424">
        <v>2</v>
      </c>
      <c r="J1424">
        <v>3.4</v>
      </c>
      <c r="K1424">
        <v>4</v>
      </c>
      <c r="L1424">
        <v>6.6000000000000003E-2</v>
      </c>
      <c r="M1424">
        <v>1</v>
      </c>
      <c r="N1424">
        <v>74</v>
      </c>
      <c r="O1424">
        <v>1</v>
      </c>
      <c r="P1424">
        <v>7.4999999999999997E-2</v>
      </c>
      <c r="Q1424">
        <v>3</v>
      </c>
      <c r="R1424">
        <v>4.0000000000000001E-3</v>
      </c>
      <c r="T1424" s="8" t="s">
        <v>4201</v>
      </c>
    </row>
    <row r="1425" spans="1:20" x14ac:dyDescent="0.2">
      <c r="A1425" t="s">
        <v>4203</v>
      </c>
      <c r="B1425" t="s">
        <v>2022</v>
      </c>
      <c r="C1425" t="s">
        <v>2023</v>
      </c>
      <c r="D1425" t="s">
        <v>2024</v>
      </c>
      <c r="E1425" t="s">
        <v>4204</v>
      </c>
      <c r="F1425" t="s">
        <v>4205</v>
      </c>
      <c r="G1425">
        <v>3</v>
      </c>
      <c r="H1425">
        <v>1640</v>
      </c>
      <c r="I1425">
        <v>2</v>
      </c>
      <c r="J1425">
        <v>3.4</v>
      </c>
      <c r="K1425">
        <v>2</v>
      </c>
      <c r="L1425">
        <v>2.5999999999999999E-2</v>
      </c>
      <c r="M1425">
        <v>1</v>
      </c>
      <c r="N1425">
        <v>74</v>
      </c>
      <c r="O1425">
        <v>2</v>
      </c>
      <c r="P1425">
        <v>0.22500000000000001</v>
      </c>
      <c r="Q1425">
        <v>1</v>
      </c>
      <c r="R1425">
        <v>5.0000000000000001E-4</v>
      </c>
      <c r="T1425" s="8" t="s">
        <v>4204</v>
      </c>
    </row>
    <row r="1426" spans="1:20" x14ac:dyDescent="0.2">
      <c r="A1426" t="s">
        <v>4206</v>
      </c>
      <c r="B1426" t="s">
        <v>2022</v>
      </c>
      <c r="C1426" t="s">
        <v>2053</v>
      </c>
      <c r="D1426" t="s">
        <v>2024</v>
      </c>
      <c r="E1426" t="s">
        <v>4207</v>
      </c>
      <c r="F1426" t="s">
        <v>4208</v>
      </c>
      <c r="G1426">
        <v>3</v>
      </c>
      <c r="H1426">
        <v>1700</v>
      </c>
      <c r="I1426">
        <v>5</v>
      </c>
      <c r="J1426">
        <v>11.55</v>
      </c>
      <c r="K1426">
        <v>5</v>
      </c>
      <c r="L1426">
        <v>0.41499999999999998</v>
      </c>
      <c r="M1426">
        <v>2</v>
      </c>
      <c r="N1426">
        <v>83</v>
      </c>
      <c r="O1426">
        <v>4</v>
      </c>
      <c r="P1426">
        <v>0.52500000000000002</v>
      </c>
      <c r="Q1426">
        <v>4</v>
      </c>
      <c r="R1426">
        <v>1.9199999999999998E-2</v>
      </c>
      <c r="T1426" s="8" t="s">
        <v>4207</v>
      </c>
    </row>
    <row r="1427" spans="1:20" x14ac:dyDescent="0.2">
      <c r="A1427" t="s">
        <v>4209</v>
      </c>
      <c r="B1427" t="s">
        <v>2022</v>
      </c>
      <c r="C1427" t="s">
        <v>2036</v>
      </c>
      <c r="D1427" t="s">
        <v>2024</v>
      </c>
      <c r="E1427" t="s">
        <v>4210</v>
      </c>
      <c r="F1427" t="s">
        <v>4211</v>
      </c>
      <c r="G1427">
        <v>3</v>
      </c>
      <c r="H1427">
        <v>1740</v>
      </c>
      <c r="I1427">
        <v>5</v>
      </c>
      <c r="J1427">
        <v>7</v>
      </c>
      <c r="K1427">
        <v>5</v>
      </c>
      <c r="L1427">
        <v>0.17499999999999999</v>
      </c>
      <c r="M1427">
        <v>3</v>
      </c>
      <c r="N1427">
        <v>88</v>
      </c>
      <c r="O1427">
        <v>5</v>
      </c>
      <c r="P1427">
        <v>0.53500000000000003</v>
      </c>
      <c r="Q1427">
        <v>5</v>
      </c>
      <c r="R1427">
        <v>1.2E-2</v>
      </c>
      <c r="T1427" s="8" t="s">
        <v>4210</v>
      </c>
    </row>
    <row r="1428" spans="1:20" x14ac:dyDescent="0.2">
      <c r="A1428" t="s">
        <v>4212</v>
      </c>
      <c r="B1428" t="s">
        <v>2022</v>
      </c>
      <c r="C1428" t="s">
        <v>2222</v>
      </c>
      <c r="D1428" t="s">
        <v>2024</v>
      </c>
      <c r="E1428" t="s">
        <v>4213</v>
      </c>
      <c r="F1428" t="s">
        <v>4214</v>
      </c>
      <c r="G1428">
        <v>5</v>
      </c>
      <c r="H1428">
        <v>1850</v>
      </c>
      <c r="I1428">
        <v>5</v>
      </c>
      <c r="J1428">
        <v>8.6999999999999993</v>
      </c>
      <c r="K1428">
        <v>3</v>
      </c>
      <c r="L1428">
        <v>0.125</v>
      </c>
      <c r="M1428">
        <v>5</v>
      </c>
      <c r="N1428">
        <v>75</v>
      </c>
      <c r="O1428">
        <v>4</v>
      </c>
      <c r="P1428">
        <v>0.31</v>
      </c>
      <c r="Q1428">
        <v>2</v>
      </c>
      <c r="R1428">
        <v>2.3E-3</v>
      </c>
      <c r="T1428" s="8" t="s">
        <v>4213</v>
      </c>
    </row>
    <row r="1429" spans="1:20" x14ac:dyDescent="0.2">
      <c r="A1429" t="s">
        <v>4215</v>
      </c>
      <c r="B1429" t="s">
        <v>2022</v>
      </c>
      <c r="C1429" t="s">
        <v>2104</v>
      </c>
      <c r="D1429" t="s">
        <v>2024</v>
      </c>
      <c r="E1429" t="s">
        <v>357</v>
      </c>
      <c r="F1429" t="s">
        <v>447</v>
      </c>
      <c r="G1429">
        <v>5</v>
      </c>
      <c r="H1429">
        <v>2237.5</v>
      </c>
      <c r="I1429">
        <v>3</v>
      </c>
      <c r="J1429">
        <v>5.55</v>
      </c>
      <c r="K1429">
        <v>2</v>
      </c>
      <c r="L1429">
        <v>4.1000000000000002E-2</v>
      </c>
      <c r="M1429">
        <v>4</v>
      </c>
      <c r="N1429">
        <v>81</v>
      </c>
      <c r="P1429">
        <v>0</v>
      </c>
      <c r="Q1429">
        <v>1</v>
      </c>
      <c r="R1429">
        <v>3.5E-4</v>
      </c>
      <c r="T1429" s="8" t="s">
        <v>357</v>
      </c>
    </row>
    <row r="1430" spans="1:20" x14ac:dyDescent="0.2">
      <c r="A1430" t="s">
        <v>4216</v>
      </c>
      <c r="B1430" t="s">
        <v>2022</v>
      </c>
      <c r="C1430" t="s">
        <v>2023</v>
      </c>
      <c r="D1430" t="s">
        <v>2024</v>
      </c>
      <c r="E1430" t="s">
        <v>4217</v>
      </c>
      <c r="F1430" t="s">
        <v>4218</v>
      </c>
      <c r="G1430">
        <v>1</v>
      </c>
      <c r="H1430">
        <v>1480</v>
      </c>
      <c r="I1430">
        <v>1</v>
      </c>
      <c r="J1430">
        <v>0.9</v>
      </c>
      <c r="K1430">
        <v>1</v>
      </c>
      <c r="L1430">
        <v>6.0000000000000001E-3</v>
      </c>
      <c r="M1430">
        <v>1</v>
      </c>
      <c r="N1430">
        <v>74</v>
      </c>
      <c r="O1430">
        <v>1</v>
      </c>
      <c r="P1430">
        <v>7.4999999999999997E-2</v>
      </c>
      <c r="Q1430">
        <v>1</v>
      </c>
      <c r="R1430">
        <v>5.0000000000000001E-4</v>
      </c>
      <c r="T1430" s="8" t="s">
        <v>4217</v>
      </c>
    </row>
    <row r="1431" spans="1:20" x14ac:dyDescent="0.2">
      <c r="A1431" t="s">
        <v>4219</v>
      </c>
      <c r="B1431" t="s">
        <v>2022</v>
      </c>
      <c r="C1431" t="s">
        <v>2036</v>
      </c>
      <c r="D1431" t="s">
        <v>2024</v>
      </c>
      <c r="E1431" t="s">
        <v>4220</v>
      </c>
      <c r="F1431" t="s">
        <v>4221</v>
      </c>
      <c r="G1431">
        <v>1</v>
      </c>
      <c r="H1431">
        <v>1540</v>
      </c>
      <c r="I1431">
        <v>1</v>
      </c>
      <c r="J1431">
        <v>2.2000000000000002</v>
      </c>
      <c r="K1431">
        <v>1</v>
      </c>
      <c r="L1431">
        <v>5.5E-2</v>
      </c>
      <c r="M1431">
        <v>1</v>
      </c>
      <c r="N1431">
        <v>76</v>
      </c>
      <c r="O1431">
        <v>1</v>
      </c>
      <c r="P1431">
        <v>9.5000000000000001E-2</v>
      </c>
      <c r="Q1431">
        <v>1</v>
      </c>
      <c r="R1431">
        <v>1.5E-3</v>
      </c>
      <c r="T1431" s="8" t="s">
        <v>4220</v>
      </c>
    </row>
    <row r="1432" spans="1:20" x14ac:dyDescent="0.2">
      <c r="A1432" t="s">
        <v>4222</v>
      </c>
      <c r="B1432" t="s">
        <v>2022</v>
      </c>
      <c r="C1432" t="s">
        <v>2036</v>
      </c>
      <c r="D1432" t="s">
        <v>2024</v>
      </c>
      <c r="E1432" t="s">
        <v>357</v>
      </c>
      <c r="F1432" t="s">
        <v>4223</v>
      </c>
      <c r="G1432">
        <v>5</v>
      </c>
      <c r="H1432">
        <v>1940</v>
      </c>
      <c r="I1432">
        <v>5</v>
      </c>
      <c r="J1432">
        <v>7</v>
      </c>
      <c r="K1432">
        <v>1</v>
      </c>
      <c r="L1432">
        <v>5.5E-2</v>
      </c>
      <c r="M1432">
        <v>5</v>
      </c>
      <c r="N1432">
        <v>100</v>
      </c>
      <c r="O1432">
        <v>5</v>
      </c>
      <c r="P1432">
        <v>0.53500000000000003</v>
      </c>
      <c r="Q1432">
        <v>2</v>
      </c>
      <c r="R1432">
        <v>4.2500000000000003E-3</v>
      </c>
      <c r="T1432" s="8" t="s">
        <v>357</v>
      </c>
    </row>
    <row r="1433" spans="1:20" x14ac:dyDescent="0.2">
      <c r="A1433" t="s">
        <v>4224</v>
      </c>
      <c r="B1433" t="s">
        <v>2022</v>
      </c>
      <c r="C1433" t="s">
        <v>2036</v>
      </c>
      <c r="D1433" t="s">
        <v>2024</v>
      </c>
      <c r="E1433" t="s">
        <v>4225</v>
      </c>
      <c r="F1433" t="s">
        <v>4226</v>
      </c>
      <c r="G1433">
        <v>4</v>
      </c>
      <c r="H1433">
        <v>1840</v>
      </c>
      <c r="I1433">
        <v>5</v>
      </c>
      <c r="J1433">
        <v>7</v>
      </c>
      <c r="K1433">
        <v>5</v>
      </c>
      <c r="L1433">
        <v>0.17499999999999999</v>
      </c>
      <c r="M1433">
        <v>4</v>
      </c>
      <c r="N1433">
        <v>94</v>
      </c>
      <c r="O1433">
        <v>5</v>
      </c>
      <c r="P1433">
        <v>0.53500000000000003</v>
      </c>
      <c r="Q1433">
        <v>5</v>
      </c>
      <c r="R1433">
        <v>1.2E-2</v>
      </c>
      <c r="T1433" s="8" t="s">
        <v>4225</v>
      </c>
    </row>
    <row r="1434" spans="1:20" x14ac:dyDescent="0.2">
      <c r="A1434" t="s">
        <v>4227</v>
      </c>
      <c r="B1434" t="s">
        <v>2022</v>
      </c>
      <c r="C1434" t="s">
        <v>2101</v>
      </c>
      <c r="D1434" t="s">
        <v>2024</v>
      </c>
      <c r="E1434" t="s">
        <v>4228</v>
      </c>
      <c r="F1434" t="s">
        <v>4229</v>
      </c>
      <c r="G1434">
        <v>2</v>
      </c>
      <c r="H1434">
        <v>1670</v>
      </c>
      <c r="I1434">
        <v>5</v>
      </c>
      <c r="J1434">
        <v>14</v>
      </c>
      <c r="K1434">
        <v>5</v>
      </c>
      <c r="L1434">
        <v>0.53749999999999998</v>
      </c>
      <c r="M1434">
        <v>2</v>
      </c>
      <c r="N1434">
        <v>74</v>
      </c>
      <c r="O1434">
        <v>5</v>
      </c>
      <c r="P1434">
        <v>0.67500000000000004</v>
      </c>
      <c r="Q1434">
        <v>5</v>
      </c>
      <c r="R1434">
        <v>2.5499999999999998E-2</v>
      </c>
      <c r="T1434" s="8" t="s">
        <v>4228</v>
      </c>
    </row>
    <row r="1435" spans="1:20" x14ac:dyDescent="0.2">
      <c r="A1435" t="s">
        <v>4230</v>
      </c>
      <c r="B1435" t="s">
        <v>2022</v>
      </c>
      <c r="C1435" t="s">
        <v>2053</v>
      </c>
      <c r="D1435" t="s">
        <v>2024</v>
      </c>
      <c r="E1435" t="s">
        <v>4231</v>
      </c>
      <c r="F1435" t="s">
        <v>4232</v>
      </c>
      <c r="G1435">
        <v>5</v>
      </c>
      <c r="H1435">
        <v>1900</v>
      </c>
      <c r="I1435">
        <v>4</v>
      </c>
      <c r="J1435">
        <v>9.0500000000000007</v>
      </c>
      <c r="K1435">
        <v>4</v>
      </c>
      <c r="L1435">
        <v>0.30499999999999999</v>
      </c>
      <c r="M1435">
        <v>4</v>
      </c>
      <c r="N1435">
        <v>103</v>
      </c>
      <c r="O1435">
        <v>4</v>
      </c>
      <c r="P1435">
        <v>0.52500000000000002</v>
      </c>
      <c r="Q1435">
        <v>4</v>
      </c>
      <c r="R1435">
        <v>1.9199999999999998E-2</v>
      </c>
      <c r="T1435" s="8" t="s">
        <v>4231</v>
      </c>
    </row>
    <row r="1436" spans="1:20" x14ac:dyDescent="0.2">
      <c r="A1436" t="s">
        <v>4233</v>
      </c>
      <c r="B1436" t="s">
        <v>2022</v>
      </c>
      <c r="C1436" t="s">
        <v>2036</v>
      </c>
      <c r="D1436" t="s">
        <v>2024</v>
      </c>
      <c r="E1436" t="s">
        <v>4234</v>
      </c>
      <c r="F1436" t="s">
        <v>4235</v>
      </c>
      <c r="G1436">
        <v>3</v>
      </c>
      <c r="H1436">
        <v>1740</v>
      </c>
      <c r="I1436">
        <v>3</v>
      </c>
      <c r="J1436">
        <v>4.5999999999999996</v>
      </c>
      <c r="K1436">
        <v>4</v>
      </c>
      <c r="L1436">
        <v>0.14499999999999999</v>
      </c>
      <c r="M1436">
        <v>4</v>
      </c>
      <c r="N1436">
        <v>94</v>
      </c>
      <c r="O1436">
        <v>2</v>
      </c>
      <c r="P1436">
        <v>0.20499999999999999</v>
      </c>
      <c r="Q1436">
        <v>3</v>
      </c>
      <c r="R1436">
        <v>6.7499999999999999E-3</v>
      </c>
      <c r="T1436" s="8" t="s">
        <v>4234</v>
      </c>
    </row>
    <row r="1437" spans="1:20" x14ac:dyDescent="0.2">
      <c r="A1437" t="s">
        <v>4236</v>
      </c>
      <c r="B1437" t="s">
        <v>2022</v>
      </c>
      <c r="C1437" t="s">
        <v>2023</v>
      </c>
      <c r="D1437" t="s">
        <v>2024</v>
      </c>
      <c r="E1437" t="s">
        <v>283</v>
      </c>
      <c r="F1437" t="s">
        <v>4237</v>
      </c>
      <c r="G1437">
        <v>1</v>
      </c>
      <c r="H1437">
        <v>1480</v>
      </c>
      <c r="I1437">
        <v>2</v>
      </c>
      <c r="J1437">
        <v>3.4</v>
      </c>
      <c r="K1437">
        <v>3</v>
      </c>
      <c r="L1437">
        <v>4.5999999999999999E-2</v>
      </c>
      <c r="M1437">
        <v>2</v>
      </c>
      <c r="N1437">
        <v>84</v>
      </c>
      <c r="O1437">
        <v>2</v>
      </c>
      <c r="P1437">
        <v>0.22500000000000001</v>
      </c>
      <c r="Q1437">
        <v>2</v>
      </c>
      <c r="R1437">
        <v>2E-3</v>
      </c>
      <c r="T1437" s="8" t="s">
        <v>283</v>
      </c>
    </row>
    <row r="1438" spans="1:20" x14ac:dyDescent="0.2">
      <c r="A1438" t="s">
        <v>4238</v>
      </c>
      <c r="B1438" t="s">
        <v>2022</v>
      </c>
      <c r="C1438" t="s">
        <v>2053</v>
      </c>
      <c r="D1438" t="s">
        <v>2024</v>
      </c>
      <c r="E1438" t="s">
        <v>4239</v>
      </c>
      <c r="F1438" t="s">
        <v>447</v>
      </c>
      <c r="G1438">
        <v>5</v>
      </c>
      <c r="H1438">
        <v>1900</v>
      </c>
      <c r="I1438">
        <v>5</v>
      </c>
      <c r="J1438">
        <v>11.55</v>
      </c>
      <c r="K1438">
        <v>5</v>
      </c>
      <c r="L1438">
        <v>0.41499999999999998</v>
      </c>
      <c r="M1438">
        <v>1</v>
      </c>
      <c r="N1438">
        <v>73</v>
      </c>
      <c r="O1438">
        <v>2</v>
      </c>
      <c r="P1438">
        <v>0.22500000000000001</v>
      </c>
      <c r="Q1438">
        <v>3</v>
      </c>
      <c r="R1438">
        <v>1.2200000000000001E-2</v>
      </c>
      <c r="T1438" s="8" t="s">
        <v>4239</v>
      </c>
    </row>
    <row r="1439" spans="1:20" x14ac:dyDescent="0.2">
      <c r="A1439" t="s">
        <v>4240</v>
      </c>
      <c r="B1439" t="s">
        <v>2022</v>
      </c>
      <c r="C1439" t="s">
        <v>2023</v>
      </c>
      <c r="D1439" t="s">
        <v>2024</v>
      </c>
      <c r="E1439" t="s">
        <v>4241</v>
      </c>
      <c r="F1439" t="s">
        <v>4242</v>
      </c>
      <c r="G1439">
        <v>3</v>
      </c>
      <c r="H1439">
        <v>1640</v>
      </c>
      <c r="I1439">
        <v>5</v>
      </c>
      <c r="J1439">
        <v>10.9</v>
      </c>
      <c r="K1439">
        <v>5</v>
      </c>
      <c r="L1439">
        <v>8.5999999999999993E-2</v>
      </c>
      <c r="M1439">
        <v>1</v>
      </c>
      <c r="N1439">
        <v>74</v>
      </c>
      <c r="O1439">
        <v>4</v>
      </c>
      <c r="P1439">
        <v>0.52500000000000002</v>
      </c>
      <c r="Q1439">
        <v>5</v>
      </c>
      <c r="R1439">
        <v>8.0000000000000002E-3</v>
      </c>
      <c r="T1439" s="8" t="s">
        <v>4241</v>
      </c>
    </row>
    <row r="1440" spans="1:20" x14ac:dyDescent="0.2">
      <c r="A1440" t="s">
        <v>4243</v>
      </c>
      <c r="B1440" t="s">
        <v>2022</v>
      </c>
      <c r="C1440" t="s">
        <v>2036</v>
      </c>
      <c r="D1440" t="s">
        <v>2024</v>
      </c>
      <c r="E1440" t="s">
        <v>4244</v>
      </c>
      <c r="F1440" t="s">
        <v>4245</v>
      </c>
      <c r="G1440">
        <v>1</v>
      </c>
      <c r="H1440">
        <v>1540</v>
      </c>
      <c r="I1440">
        <v>5</v>
      </c>
      <c r="J1440">
        <v>7</v>
      </c>
      <c r="K1440">
        <v>5</v>
      </c>
      <c r="L1440">
        <v>0.17499999999999999</v>
      </c>
      <c r="M1440">
        <v>1</v>
      </c>
      <c r="N1440">
        <v>76</v>
      </c>
      <c r="O1440">
        <v>4</v>
      </c>
      <c r="P1440">
        <v>0.42499999999999999</v>
      </c>
      <c r="Q1440">
        <v>5</v>
      </c>
      <c r="R1440">
        <v>1.2E-2</v>
      </c>
      <c r="T1440" s="8" t="s">
        <v>4244</v>
      </c>
    </row>
    <row r="1441" spans="1:20" x14ac:dyDescent="0.2">
      <c r="A1441" t="s">
        <v>4246</v>
      </c>
      <c r="B1441" t="s">
        <v>2022</v>
      </c>
      <c r="C1441" t="s">
        <v>2036</v>
      </c>
      <c r="D1441" t="s">
        <v>2024</v>
      </c>
      <c r="E1441" t="s">
        <v>4247</v>
      </c>
      <c r="F1441" t="s">
        <v>4248</v>
      </c>
      <c r="G1441">
        <v>1</v>
      </c>
      <c r="H1441">
        <v>1540</v>
      </c>
      <c r="I1441">
        <v>5</v>
      </c>
      <c r="J1441">
        <v>7</v>
      </c>
      <c r="K1441">
        <v>5</v>
      </c>
      <c r="L1441">
        <v>0.17499999999999999</v>
      </c>
      <c r="M1441">
        <v>2</v>
      </c>
      <c r="N1441">
        <v>82</v>
      </c>
      <c r="O1441">
        <v>5</v>
      </c>
      <c r="P1441">
        <v>0.53500000000000003</v>
      </c>
      <c r="Q1441">
        <v>5</v>
      </c>
      <c r="R1441">
        <v>1.2E-2</v>
      </c>
      <c r="T1441" s="8" t="s">
        <v>4247</v>
      </c>
    </row>
    <row r="1442" spans="1:20" x14ac:dyDescent="0.2">
      <c r="A1442" t="s">
        <v>4249</v>
      </c>
      <c r="B1442" t="s">
        <v>2022</v>
      </c>
      <c r="C1442" t="s">
        <v>2023</v>
      </c>
      <c r="D1442" t="s">
        <v>2024</v>
      </c>
      <c r="E1442" t="s">
        <v>4250</v>
      </c>
      <c r="F1442" t="s">
        <v>4251</v>
      </c>
      <c r="G1442">
        <v>5</v>
      </c>
      <c r="H1442">
        <v>1800</v>
      </c>
      <c r="I1442">
        <v>2</v>
      </c>
      <c r="J1442">
        <v>3.4</v>
      </c>
      <c r="K1442">
        <v>5</v>
      </c>
      <c r="L1442">
        <v>8.5999999999999993E-2</v>
      </c>
      <c r="M1442">
        <v>3</v>
      </c>
      <c r="N1442">
        <v>94</v>
      </c>
      <c r="O1442">
        <v>2</v>
      </c>
      <c r="P1442">
        <v>0.22500000000000001</v>
      </c>
      <c r="Q1442">
        <v>4</v>
      </c>
      <c r="R1442">
        <v>6.0000000000000001E-3</v>
      </c>
      <c r="T1442" s="8" t="s">
        <v>4250</v>
      </c>
    </row>
    <row r="1443" spans="1:20" x14ac:dyDescent="0.2">
      <c r="A1443" t="s">
        <v>4252</v>
      </c>
      <c r="B1443" t="s">
        <v>2022</v>
      </c>
      <c r="C1443" t="s">
        <v>2053</v>
      </c>
      <c r="D1443" t="s">
        <v>2024</v>
      </c>
      <c r="E1443" t="s">
        <v>4253</v>
      </c>
      <c r="F1443" t="s">
        <v>447</v>
      </c>
      <c r="G1443">
        <v>4</v>
      </c>
      <c r="H1443">
        <v>1800</v>
      </c>
      <c r="I1443">
        <v>3</v>
      </c>
      <c r="J1443">
        <v>6.55</v>
      </c>
      <c r="K1443">
        <v>3</v>
      </c>
      <c r="L1443">
        <v>0.19500000000000001</v>
      </c>
      <c r="M1443">
        <v>3</v>
      </c>
      <c r="N1443">
        <v>93</v>
      </c>
      <c r="O1443">
        <v>3</v>
      </c>
      <c r="P1443">
        <v>0.375</v>
      </c>
      <c r="Q1443">
        <v>2</v>
      </c>
      <c r="R1443">
        <v>5.1999999999999998E-3</v>
      </c>
      <c r="T1443" s="8" t="s">
        <v>4253</v>
      </c>
    </row>
    <row r="1444" spans="1:20" x14ac:dyDescent="0.2">
      <c r="A1444" t="s">
        <v>4254</v>
      </c>
      <c r="B1444" t="s">
        <v>2022</v>
      </c>
      <c r="C1444" t="s">
        <v>2049</v>
      </c>
      <c r="D1444" t="s">
        <v>2136</v>
      </c>
      <c r="E1444" t="s">
        <v>4255</v>
      </c>
      <c r="F1444" t="s">
        <v>4256</v>
      </c>
      <c r="G1444">
        <v>3</v>
      </c>
      <c r="H1444">
        <v>1550</v>
      </c>
      <c r="I1444">
        <v>1</v>
      </c>
      <c r="J1444">
        <v>1.4</v>
      </c>
      <c r="K1444">
        <v>1</v>
      </c>
      <c r="L1444">
        <v>0.01</v>
      </c>
      <c r="M1444">
        <v>5</v>
      </c>
      <c r="N1444">
        <v>166</v>
      </c>
      <c r="O1444">
        <v>1</v>
      </c>
      <c r="P1444">
        <v>0.06</v>
      </c>
      <c r="Q1444">
        <v>1</v>
      </c>
      <c r="R1444">
        <v>8.4999999999999995E-4</v>
      </c>
      <c r="T1444" s="8" t="s">
        <v>4255</v>
      </c>
    </row>
    <row r="1445" spans="1:20" x14ac:dyDescent="0.2">
      <c r="A1445" t="s">
        <v>4257</v>
      </c>
      <c r="B1445" t="s">
        <v>2022</v>
      </c>
      <c r="C1445" t="s">
        <v>2023</v>
      </c>
      <c r="D1445" t="s">
        <v>2024</v>
      </c>
      <c r="E1445" t="s">
        <v>4258</v>
      </c>
      <c r="F1445" t="s">
        <v>4259</v>
      </c>
      <c r="G1445">
        <v>2</v>
      </c>
      <c r="H1445">
        <v>1560</v>
      </c>
      <c r="I1445">
        <v>2</v>
      </c>
      <c r="J1445">
        <v>3.4</v>
      </c>
      <c r="K1445">
        <v>2</v>
      </c>
      <c r="L1445">
        <v>2.5999999999999999E-2</v>
      </c>
      <c r="M1445">
        <v>2</v>
      </c>
      <c r="N1445">
        <v>84</v>
      </c>
      <c r="O1445">
        <v>2</v>
      </c>
      <c r="P1445">
        <v>0.22500000000000001</v>
      </c>
      <c r="Q1445">
        <v>2</v>
      </c>
      <c r="R1445">
        <v>2E-3</v>
      </c>
      <c r="T1445" s="8" t="s">
        <v>4258</v>
      </c>
    </row>
    <row r="1446" spans="1:20" x14ac:dyDescent="0.2">
      <c r="A1446" t="s">
        <v>4260</v>
      </c>
      <c r="B1446" t="s">
        <v>2022</v>
      </c>
      <c r="C1446" t="s">
        <v>2023</v>
      </c>
      <c r="D1446" t="s">
        <v>2154</v>
      </c>
      <c r="E1446" t="s">
        <v>4261</v>
      </c>
      <c r="F1446" t="s">
        <v>4262</v>
      </c>
      <c r="G1446">
        <v>2</v>
      </c>
      <c r="H1446">
        <v>1560</v>
      </c>
      <c r="I1446">
        <v>2</v>
      </c>
      <c r="J1446">
        <v>3.4</v>
      </c>
      <c r="K1446">
        <v>4</v>
      </c>
      <c r="L1446">
        <v>6.6000000000000003E-2</v>
      </c>
      <c r="M1446">
        <v>1</v>
      </c>
      <c r="N1446">
        <v>74</v>
      </c>
      <c r="O1446">
        <v>1</v>
      </c>
      <c r="P1446">
        <v>7.4999999999999997E-2</v>
      </c>
      <c r="Q1446">
        <v>2</v>
      </c>
      <c r="R1446">
        <v>2E-3</v>
      </c>
      <c r="T1446" s="8" t="s">
        <v>4261</v>
      </c>
    </row>
    <row r="1447" spans="1:20" x14ac:dyDescent="0.2">
      <c r="A1447" t="s">
        <v>4263</v>
      </c>
      <c r="B1447" t="s">
        <v>2022</v>
      </c>
      <c r="C1447" t="s">
        <v>2053</v>
      </c>
      <c r="D1447" t="s">
        <v>2024</v>
      </c>
      <c r="E1447" t="s">
        <v>221</v>
      </c>
      <c r="F1447" t="s">
        <v>4264</v>
      </c>
      <c r="G1447">
        <v>2</v>
      </c>
      <c r="H1447">
        <v>1600</v>
      </c>
      <c r="I1447">
        <v>3</v>
      </c>
      <c r="J1447">
        <v>6.55</v>
      </c>
      <c r="K1447">
        <v>3</v>
      </c>
      <c r="L1447">
        <v>0.19500000000000001</v>
      </c>
      <c r="M1447">
        <v>3</v>
      </c>
      <c r="N1447">
        <v>93</v>
      </c>
      <c r="O1447">
        <v>3</v>
      </c>
      <c r="P1447">
        <v>0.375</v>
      </c>
      <c r="Q1447">
        <v>3</v>
      </c>
      <c r="R1447">
        <v>1.2200000000000001E-2</v>
      </c>
      <c r="T1447" s="8" t="s">
        <v>221</v>
      </c>
    </row>
    <row r="1448" spans="1:20" x14ac:dyDescent="0.2">
      <c r="A1448" t="s">
        <v>4265</v>
      </c>
      <c r="B1448" t="s">
        <v>2022</v>
      </c>
      <c r="C1448" t="s">
        <v>2053</v>
      </c>
      <c r="D1448" t="s">
        <v>2024</v>
      </c>
      <c r="E1448" t="s">
        <v>4266</v>
      </c>
      <c r="F1448" t="s">
        <v>4267</v>
      </c>
      <c r="G1448">
        <v>3</v>
      </c>
      <c r="H1448">
        <v>1700</v>
      </c>
      <c r="I1448">
        <v>2</v>
      </c>
      <c r="J1448">
        <v>4.05</v>
      </c>
      <c r="K1448">
        <v>3</v>
      </c>
      <c r="L1448">
        <v>0.19500000000000001</v>
      </c>
      <c r="M1448">
        <v>3</v>
      </c>
      <c r="N1448">
        <v>93</v>
      </c>
      <c r="O1448">
        <v>2</v>
      </c>
      <c r="P1448">
        <v>0.22500000000000001</v>
      </c>
      <c r="Q1448">
        <v>3</v>
      </c>
      <c r="R1448">
        <v>1.2200000000000001E-2</v>
      </c>
      <c r="T1448" s="8" t="s">
        <v>4266</v>
      </c>
    </row>
    <row r="1449" spans="1:20" x14ac:dyDescent="0.2">
      <c r="A1449" t="s">
        <v>4268</v>
      </c>
      <c r="B1449" t="s">
        <v>2022</v>
      </c>
      <c r="C1449" t="s">
        <v>2036</v>
      </c>
      <c r="D1449" t="s">
        <v>2024</v>
      </c>
      <c r="E1449" t="s">
        <v>4269</v>
      </c>
      <c r="F1449" t="s">
        <v>4270</v>
      </c>
      <c r="G1449">
        <v>2</v>
      </c>
      <c r="H1449">
        <v>1640</v>
      </c>
      <c r="I1449">
        <v>5</v>
      </c>
      <c r="J1449">
        <v>7</v>
      </c>
      <c r="K1449">
        <v>5</v>
      </c>
      <c r="L1449">
        <v>0.17499999999999999</v>
      </c>
      <c r="M1449">
        <v>2</v>
      </c>
      <c r="N1449">
        <v>82</v>
      </c>
      <c r="O1449">
        <v>4</v>
      </c>
      <c r="P1449">
        <v>0.42499999999999999</v>
      </c>
      <c r="Q1449">
        <v>4</v>
      </c>
      <c r="R1449">
        <v>9.2499999999999995E-3</v>
      </c>
      <c r="T1449" s="8" t="s">
        <v>4269</v>
      </c>
    </row>
    <row r="1450" spans="1:20" x14ac:dyDescent="0.2">
      <c r="A1450" t="s">
        <v>4271</v>
      </c>
      <c r="B1450" t="s">
        <v>2022</v>
      </c>
      <c r="C1450" t="s">
        <v>2095</v>
      </c>
      <c r="D1450" t="s">
        <v>2024</v>
      </c>
      <c r="E1450" t="s">
        <v>4272</v>
      </c>
      <c r="F1450" t="s">
        <v>4273</v>
      </c>
      <c r="G1450">
        <v>2</v>
      </c>
      <c r="H1450">
        <v>1655</v>
      </c>
      <c r="I1450">
        <v>4</v>
      </c>
      <c r="J1450">
        <v>13.5</v>
      </c>
      <c r="K1450">
        <v>4</v>
      </c>
      <c r="L1450">
        <v>0.53</v>
      </c>
      <c r="M1450">
        <v>2</v>
      </c>
      <c r="N1450">
        <v>80</v>
      </c>
      <c r="O1450">
        <v>4</v>
      </c>
      <c r="P1450">
        <v>0.75</v>
      </c>
      <c r="Q1450">
        <v>4</v>
      </c>
      <c r="R1450">
        <v>2.3900000000000001E-2</v>
      </c>
      <c r="T1450" s="8" t="s">
        <v>4272</v>
      </c>
    </row>
    <row r="1451" spans="1:20" x14ac:dyDescent="0.2">
      <c r="A1451" t="s">
        <v>4274</v>
      </c>
      <c r="B1451" t="s">
        <v>2022</v>
      </c>
      <c r="C1451" t="s">
        <v>2095</v>
      </c>
      <c r="D1451" t="s">
        <v>2024</v>
      </c>
      <c r="E1451" t="s">
        <v>4275</v>
      </c>
      <c r="F1451" t="s">
        <v>4276</v>
      </c>
      <c r="G1451">
        <v>4</v>
      </c>
      <c r="H1451">
        <v>1835</v>
      </c>
      <c r="I1451">
        <v>5</v>
      </c>
      <c r="J1451">
        <v>16.5</v>
      </c>
      <c r="K1451">
        <v>4</v>
      </c>
      <c r="L1451">
        <v>0.53</v>
      </c>
      <c r="M1451">
        <v>3</v>
      </c>
      <c r="N1451">
        <v>86</v>
      </c>
      <c r="O1451">
        <v>4</v>
      </c>
      <c r="P1451">
        <v>0.75</v>
      </c>
      <c r="Q1451">
        <v>5</v>
      </c>
      <c r="R1451">
        <v>3.2899999999999999E-2</v>
      </c>
      <c r="T1451" s="8" t="s">
        <v>4275</v>
      </c>
    </row>
    <row r="1452" spans="1:20" x14ac:dyDescent="0.2">
      <c r="A1452" t="s">
        <v>4277</v>
      </c>
      <c r="B1452" t="s">
        <v>2022</v>
      </c>
      <c r="C1452" t="s">
        <v>2095</v>
      </c>
      <c r="D1452" t="s">
        <v>2024</v>
      </c>
      <c r="E1452" t="s">
        <v>4278</v>
      </c>
      <c r="F1452" t="s">
        <v>4279</v>
      </c>
      <c r="G1452">
        <v>4</v>
      </c>
      <c r="H1452">
        <v>1835</v>
      </c>
      <c r="I1452">
        <v>4</v>
      </c>
      <c r="J1452">
        <v>13.5</v>
      </c>
      <c r="K1452">
        <v>4</v>
      </c>
      <c r="L1452">
        <v>0.53</v>
      </c>
      <c r="M1452">
        <v>2</v>
      </c>
      <c r="N1452">
        <v>80</v>
      </c>
      <c r="O1452">
        <v>3</v>
      </c>
      <c r="P1452">
        <v>0.55000000000000004</v>
      </c>
      <c r="Q1452">
        <v>4</v>
      </c>
      <c r="R1452">
        <v>2.3900000000000001E-2</v>
      </c>
      <c r="T1452" s="8" t="s">
        <v>4278</v>
      </c>
    </row>
    <row r="1453" spans="1:20" x14ac:dyDescent="0.2">
      <c r="A1453" t="s">
        <v>4280</v>
      </c>
      <c r="B1453" t="s">
        <v>2022</v>
      </c>
      <c r="C1453" t="s">
        <v>2023</v>
      </c>
      <c r="D1453" t="s">
        <v>2154</v>
      </c>
      <c r="E1453" t="s">
        <v>4281</v>
      </c>
      <c r="F1453" t="s">
        <v>4282</v>
      </c>
      <c r="G1453">
        <v>5</v>
      </c>
      <c r="H1453">
        <v>1800</v>
      </c>
      <c r="I1453">
        <v>5</v>
      </c>
      <c r="J1453">
        <v>10.9</v>
      </c>
      <c r="K1453">
        <v>5</v>
      </c>
      <c r="L1453">
        <v>8.5999999999999993E-2</v>
      </c>
      <c r="M1453">
        <v>5</v>
      </c>
      <c r="N1453">
        <v>114</v>
      </c>
      <c r="O1453">
        <v>5</v>
      </c>
      <c r="P1453">
        <v>0.67500000000000004</v>
      </c>
      <c r="Q1453">
        <v>5</v>
      </c>
      <c r="R1453">
        <v>8.0000000000000002E-3</v>
      </c>
      <c r="T1453" s="8" t="s">
        <v>4281</v>
      </c>
    </row>
    <row r="1454" spans="1:20" x14ac:dyDescent="0.2">
      <c r="A1454" t="s">
        <v>4283</v>
      </c>
      <c r="B1454" t="s">
        <v>2022</v>
      </c>
      <c r="C1454" t="s">
        <v>2036</v>
      </c>
      <c r="D1454" t="s">
        <v>2024</v>
      </c>
      <c r="E1454" t="s">
        <v>4284</v>
      </c>
      <c r="F1454" t="s">
        <v>4285</v>
      </c>
      <c r="G1454">
        <v>5</v>
      </c>
      <c r="H1454">
        <v>1940</v>
      </c>
      <c r="I1454">
        <v>5</v>
      </c>
      <c r="J1454">
        <v>7</v>
      </c>
      <c r="K1454">
        <v>5</v>
      </c>
      <c r="L1454">
        <v>0.17499999999999999</v>
      </c>
      <c r="M1454">
        <v>3</v>
      </c>
      <c r="N1454">
        <v>88</v>
      </c>
      <c r="O1454">
        <v>3</v>
      </c>
      <c r="P1454">
        <v>0.315</v>
      </c>
      <c r="Q1454">
        <v>4</v>
      </c>
      <c r="R1454">
        <v>9.2499999999999995E-3</v>
      </c>
      <c r="T1454" s="8" t="s">
        <v>4284</v>
      </c>
    </row>
    <row r="1455" spans="1:20" x14ac:dyDescent="0.2">
      <c r="A1455" t="s">
        <v>4286</v>
      </c>
      <c r="B1455" t="s">
        <v>2022</v>
      </c>
      <c r="C1455" t="s">
        <v>2036</v>
      </c>
      <c r="D1455" t="s">
        <v>2024</v>
      </c>
      <c r="E1455" t="s">
        <v>4287</v>
      </c>
      <c r="F1455" t="s">
        <v>4288</v>
      </c>
      <c r="G1455">
        <v>1</v>
      </c>
      <c r="H1455">
        <v>1540</v>
      </c>
      <c r="I1455">
        <v>3</v>
      </c>
      <c r="J1455">
        <v>4.5999999999999996</v>
      </c>
      <c r="K1455">
        <v>2</v>
      </c>
      <c r="L1455">
        <v>8.5000000000000006E-2</v>
      </c>
      <c r="M1455">
        <v>3</v>
      </c>
      <c r="N1455">
        <v>88</v>
      </c>
      <c r="O1455">
        <v>2</v>
      </c>
      <c r="P1455">
        <v>0.20499999999999999</v>
      </c>
      <c r="Q1455">
        <v>2</v>
      </c>
      <c r="R1455">
        <v>4.2500000000000003E-3</v>
      </c>
      <c r="T1455" s="8" t="s">
        <v>4287</v>
      </c>
    </row>
    <row r="1456" spans="1:20" x14ac:dyDescent="0.2">
      <c r="A1456" t="s">
        <v>4289</v>
      </c>
      <c r="B1456" t="s">
        <v>2022</v>
      </c>
      <c r="C1456" t="s">
        <v>2036</v>
      </c>
      <c r="D1456" t="s">
        <v>2024</v>
      </c>
      <c r="E1456" t="s">
        <v>4290</v>
      </c>
      <c r="F1456" t="s">
        <v>4291</v>
      </c>
      <c r="G1456">
        <v>5</v>
      </c>
      <c r="H1456">
        <v>1940</v>
      </c>
      <c r="I1456">
        <v>2</v>
      </c>
      <c r="J1456">
        <v>3.4</v>
      </c>
      <c r="K1456">
        <v>4</v>
      </c>
      <c r="L1456">
        <v>0.14499999999999999</v>
      </c>
      <c r="M1456">
        <v>4</v>
      </c>
      <c r="N1456">
        <v>94</v>
      </c>
      <c r="O1456">
        <v>2</v>
      </c>
      <c r="P1456">
        <v>0.20499999999999999</v>
      </c>
      <c r="Q1456">
        <v>3</v>
      </c>
      <c r="R1456">
        <v>6.7499999999999999E-3</v>
      </c>
      <c r="T1456" s="8" t="s">
        <v>4290</v>
      </c>
    </row>
    <row r="1457" spans="1:20" x14ac:dyDescent="0.2">
      <c r="A1457" t="s">
        <v>4292</v>
      </c>
      <c r="B1457" t="s">
        <v>2022</v>
      </c>
      <c r="C1457" t="s">
        <v>2101</v>
      </c>
      <c r="D1457" t="s">
        <v>2024</v>
      </c>
      <c r="E1457" t="s">
        <v>4293</v>
      </c>
      <c r="F1457" t="s">
        <v>4294</v>
      </c>
      <c r="G1457">
        <v>1</v>
      </c>
      <c r="H1457">
        <v>1570</v>
      </c>
      <c r="I1457">
        <v>3</v>
      </c>
      <c r="J1457">
        <v>8</v>
      </c>
      <c r="K1457">
        <v>3</v>
      </c>
      <c r="L1457">
        <v>0.24349999999999999</v>
      </c>
      <c r="M1457">
        <v>2</v>
      </c>
      <c r="N1457">
        <v>74</v>
      </c>
      <c r="O1457">
        <v>3</v>
      </c>
      <c r="P1457">
        <v>0.375</v>
      </c>
      <c r="Q1457">
        <v>3</v>
      </c>
      <c r="R1457">
        <v>1.15E-2</v>
      </c>
      <c r="T1457" s="8" t="s">
        <v>4293</v>
      </c>
    </row>
    <row r="1458" spans="1:20" x14ac:dyDescent="0.2">
      <c r="A1458" t="s">
        <v>4295</v>
      </c>
      <c r="B1458" t="s">
        <v>2022</v>
      </c>
      <c r="C1458" t="s">
        <v>2104</v>
      </c>
      <c r="D1458" t="s">
        <v>2024</v>
      </c>
      <c r="E1458" t="s">
        <v>4296</v>
      </c>
      <c r="F1458" t="s">
        <v>4297</v>
      </c>
      <c r="G1458">
        <v>4</v>
      </c>
      <c r="H1458">
        <v>2062.5</v>
      </c>
      <c r="I1458">
        <v>2</v>
      </c>
      <c r="J1458">
        <v>3.25</v>
      </c>
      <c r="K1458">
        <v>3</v>
      </c>
      <c r="L1458">
        <v>9.0999999999999998E-2</v>
      </c>
      <c r="M1458">
        <v>4</v>
      </c>
      <c r="N1458">
        <v>81</v>
      </c>
      <c r="P1458">
        <v>0</v>
      </c>
      <c r="Q1458">
        <v>2</v>
      </c>
      <c r="R1458">
        <v>3.2000000000000002E-3</v>
      </c>
      <c r="T1458" s="8" t="s">
        <v>4296</v>
      </c>
    </row>
    <row r="1459" spans="1:20" x14ac:dyDescent="0.2">
      <c r="A1459" t="s">
        <v>4298</v>
      </c>
      <c r="B1459" t="s">
        <v>2022</v>
      </c>
      <c r="C1459" t="s">
        <v>2023</v>
      </c>
      <c r="D1459" t="s">
        <v>2024</v>
      </c>
      <c r="E1459" t="s">
        <v>4299</v>
      </c>
      <c r="F1459" t="s">
        <v>4300</v>
      </c>
      <c r="G1459">
        <v>2</v>
      </c>
      <c r="H1459">
        <v>1560</v>
      </c>
      <c r="I1459">
        <v>2</v>
      </c>
      <c r="J1459">
        <v>3.4</v>
      </c>
      <c r="K1459">
        <v>1</v>
      </c>
      <c r="L1459">
        <v>6.0000000000000001E-3</v>
      </c>
      <c r="M1459">
        <v>2</v>
      </c>
      <c r="N1459">
        <v>84</v>
      </c>
      <c r="O1459">
        <v>1</v>
      </c>
      <c r="P1459">
        <v>7.4999999999999997E-2</v>
      </c>
      <c r="Q1459">
        <v>1</v>
      </c>
      <c r="R1459">
        <v>5.0000000000000001E-4</v>
      </c>
      <c r="T1459" s="8" t="s">
        <v>4299</v>
      </c>
    </row>
    <row r="1460" spans="1:20" x14ac:dyDescent="0.2">
      <c r="A1460" t="s">
        <v>4301</v>
      </c>
      <c r="B1460" t="s">
        <v>2022</v>
      </c>
      <c r="C1460" t="s">
        <v>2101</v>
      </c>
      <c r="D1460" t="s">
        <v>2024</v>
      </c>
      <c r="E1460" t="s">
        <v>4302</v>
      </c>
      <c r="F1460" t="s">
        <v>4303</v>
      </c>
      <c r="G1460">
        <v>2</v>
      </c>
      <c r="H1460">
        <v>1670</v>
      </c>
      <c r="I1460">
        <v>1</v>
      </c>
      <c r="J1460">
        <v>2</v>
      </c>
      <c r="K1460">
        <v>1</v>
      </c>
      <c r="L1460">
        <v>1.15E-2</v>
      </c>
      <c r="M1460">
        <v>2</v>
      </c>
      <c r="N1460">
        <v>74</v>
      </c>
      <c r="O1460">
        <v>1</v>
      </c>
      <c r="P1460">
        <v>7.4999999999999997E-2</v>
      </c>
      <c r="Q1460">
        <v>1</v>
      </c>
      <c r="R1460">
        <v>5.0000000000000001E-4</v>
      </c>
      <c r="T1460" s="8" t="s">
        <v>4302</v>
      </c>
    </row>
    <row r="1461" spans="1:20" x14ac:dyDescent="0.2">
      <c r="A1461" t="s">
        <v>4304</v>
      </c>
      <c r="B1461" t="s">
        <v>2022</v>
      </c>
      <c r="C1461" t="s">
        <v>2095</v>
      </c>
      <c r="D1461" t="s">
        <v>2024</v>
      </c>
      <c r="E1461" t="s">
        <v>4305</v>
      </c>
      <c r="F1461" t="s">
        <v>4306</v>
      </c>
      <c r="G1461">
        <v>2</v>
      </c>
      <c r="H1461">
        <v>1655</v>
      </c>
      <c r="I1461">
        <v>5</v>
      </c>
      <c r="J1461">
        <v>16.5</v>
      </c>
      <c r="K1461">
        <v>5</v>
      </c>
      <c r="L1461">
        <v>0.73</v>
      </c>
      <c r="M1461">
        <v>2</v>
      </c>
      <c r="N1461">
        <v>80</v>
      </c>
      <c r="O1461">
        <v>4</v>
      </c>
      <c r="P1461">
        <v>0.75</v>
      </c>
      <c r="Q1461">
        <v>5</v>
      </c>
      <c r="R1461">
        <v>3.2899999999999999E-2</v>
      </c>
      <c r="T1461" s="8" t="s">
        <v>4305</v>
      </c>
    </row>
    <row r="1462" spans="1:20" x14ac:dyDescent="0.2">
      <c r="A1462" t="s">
        <v>4307</v>
      </c>
      <c r="B1462" t="s">
        <v>2022</v>
      </c>
      <c r="C1462" t="s">
        <v>2257</v>
      </c>
      <c r="D1462" t="s">
        <v>2024</v>
      </c>
      <c r="E1462" t="s">
        <v>4308</v>
      </c>
      <c r="F1462" t="s">
        <v>4309</v>
      </c>
      <c r="G1462">
        <v>3</v>
      </c>
      <c r="H1462">
        <v>1100</v>
      </c>
      <c r="I1462">
        <v>1</v>
      </c>
      <c r="J1462">
        <v>0.45</v>
      </c>
      <c r="K1462">
        <v>1</v>
      </c>
      <c r="L1462">
        <v>6.0000000000000001E-3</v>
      </c>
      <c r="M1462">
        <v>1</v>
      </c>
      <c r="N1462">
        <v>300</v>
      </c>
      <c r="O1462">
        <v>1</v>
      </c>
      <c r="P1462">
        <v>0.3</v>
      </c>
      <c r="Q1462">
        <v>1</v>
      </c>
      <c r="R1462">
        <v>2E-3</v>
      </c>
      <c r="T1462" s="8" t="s">
        <v>4308</v>
      </c>
    </row>
    <row r="1463" spans="1:20" x14ac:dyDescent="0.2">
      <c r="A1463" t="s">
        <v>4310</v>
      </c>
      <c r="B1463" t="s">
        <v>2022</v>
      </c>
      <c r="C1463" t="s">
        <v>2023</v>
      </c>
      <c r="D1463" t="s">
        <v>2024</v>
      </c>
      <c r="E1463" t="s">
        <v>4311</v>
      </c>
      <c r="F1463" t="s">
        <v>4312</v>
      </c>
      <c r="G1463">
        <v>1</v>
      </c>
      <c r="H1463">
        <v>1480</v>
      </c>
      <c r="I1463">
        <v>2</v>
      </c>
      <c r="J1463">
        <v>3.4</v>
      </c>
      <c r="K1463">
        <v>1</v>
      </c>
      <c r="L1463">
        <v>6.0000000000000001E-3</v>
      </c>
      <c r="M1463">
        <v>5</v>
      </c>
      <c r="N1463">
        <v>114</v>
      </c>
      <c r="O1463">
        <v>2</v>
      </c>
      <c r="P1463">
        <v>0.22500000000000001</v>
      </c>
      <c r="Q1463">
        <v>2</v>
      </c>
      <c r="R1463">
        <v>2E-3</v>
      </c>
      <c r="T1463" s="8" t="s">
        <v>4311</v>
      </c>
    </row>
    <row r="1464" spans="1:20" x14ac:dyDescent="0.2">
      <c r="A1464" t="s">
        <v>4313</v>
      </c>
      <c r="B1464" t="s">
        <v>2022</v>
      </c>
      <c r="C1464" t="s">
        <v>2023</v>
      </c>
      <c r="D1464" t="s">
        <v>2154</v>
      </c>
      <c r="E1464" t="s">
        <v>4314</v>
      </c>
      <c r="F1464" t="s">
        <v>4315</v>
      </c>
      <c r="G1464">
        <v>1</v>
      </c>
      <c r="H1464">
        <v>1480</v>
      </c>
      <c r="I1464">
        <v>1</v>
      </c>
      <c r="J1464">
        <v>0.9</v>
      </c>
      <c r="K1464">
        <v>1</v>
      </c>
      <c r="L1464">
        <v>6.0000000000000001E-3</v>
      </c>
      <c r="M1464">
        <v>5</v>
      </c>
      <c r="N1464">
        <v>114</v>
      </c>
      <c r="O1464">
        <v>1</v>
      </c>
      <c r="P1464">
        <v>7.4999999999999997E-2</v>
      </c>
      <c r="Q1464">
        <v>2</v>
      </c>
      <c r="R1464">
        <v>2E-3</v>
      </c>
      <c r="T1464" s="8" t="s">
        <v>4314</v>
      </c>
    </row>
    <row r="1465" spans="1:20" x14ac:dyDescent="0.2">
      <c r="A1465" t="s">
        <v>4316</v>
      </c>
      <c r="B1465" t="s">
        <v>2022</v>
      </c>
      <c r="C1465" t="s">
        <v>2028</v>
      </c>
      <c r="D1465" t="s">
        <v>2154</v>
      </c>
      <c r="E1465" t="s">
        <v>4317</v>
      </c>
      <c r="F1465" t="s">
        <v>4318</v>
      </c>
      <c r="G1465">
        <v>1</v>
      </c>
      <c r="H1465">
        <v>650</v>
      </c>
      <c r="I1465">
        <v>1</v>
      </c>
      <c r="J1465">
        <v>0.35</v>
      </c>
      <c r="K1465">
        <v>1</v>
      </c>
      <c r="L1465">
        <v>4.0000000000000001E-3</v>
      </c>
      <c r="M1465">
        <v>5</v>
      </c>
      <c r="N1465">
        <v>500</v>
      </c>
      <c r="O1465">
        <v>4</v>
      </c>
      <c r="P1465">
        <v>1.05</v>
      </c>
      <c r="Q1465">
        <v>3</v>
      </c>
      <c r="R1465">
        <v>1.6250000000000001E-2</v>
      </c>
      <c r="T1465" s="8" t="s">
        <v>4317</v>
      </c>
    </row>
    <row r="1466" spans="1:20" x14ac:dyDescent="0.2">
      <c r="A1466" t="s">
        <v>4319</v>
      </c>
      <c r="B1466" t="s">
        <v>2022</v>
      </c>
      <c r="C1466" t="s">
        <v>2049</v>
      </c>
      <c r="D1466" t="s">
        <v>2024</v>
      </c>
      <c r="E1466" t="s">
        <v>4320</v>
      </c>
      <c r="F1466" t="s">
        <v>4321</v>
      </c>
      <c r="G1466">
        <v>1</v>
      </c>
      <c r="H1466">
        <v>1350</v>
      </c>
      <c r="I1466">
        <v>1</v>
      </c>
      <c r="J1466">
        <v>1.4</v>
      </c>
      <c r="K1466">
        <v>1</v>
      </c>
      <c r="L1466">
        <v>0.01</v>
      </c>
      <c r="M1466">
        <v>2</v>
      </c>
      <c r="N1466">
        <v>106</v>
      </c>
      <c r="O1466">
        <v>1</v>
      </c>
      <c r="P1466">
        <v>0.06</v>
      </c>
      <c r="Q1466">
        <v>1</v>
      </c>
      <c r="R1466">
        <v>8.4999999999999995E-4</v>
      </c>
      <c r="T1466" s="8" t="s">
        <v>4320</v>
      </c>
    </row>
    <row r="1467" spans="1:20" x14ac:dyDescent="0.2">
      <c r="A1467" t="s">
        <v>4322</v>
      </c>
      <c r="B1467" t="s">
        <v>2022</v>
      </c>
      <c r="C1467" t="s">
        <v>2053</v>
      </c>
      <c r="D1467" t="s">
        <v>2024</v>
      </c>
      <c r="E1467" t="s">
        <v>4323</v>
      </c>
      <c r="F1467" t="s">
        <v>4324</v>
      </c>
      <c r="G1467">
        <v>3</v>
      </c>
      <c r="H1467">
        <v>1700</v>
      </c>
      <c r="I1467">
        <v>4</v>
      </c>
      <c r="J1467">
        <v>9.0500000000000007</v>
      </c>
      <c r="K1467">
        <v>4</v>
      </c>
      <c r="L1467">
        <v>0.30499999999999999</v>
      </c>
      <c r="M1467">
        <v>5</v>
      </c>
      <c r="N1467">
        <v>113</v>
      </c>
      <c r="O1467">
        <v>4</v>
      </c>
      <c r="P1467">
        <v>0.52500000000000002</v>
      </c>
      <c r="Q1467">
        <v>4</v>
      </c>
      <c r="R1467">
        <v>1.9199999999999998E-2</v>
      </c>
      <c r="T1467" s="8" t="s">
        <v>4323</v>
      </c>
    </row>
    <row r="1468" spans="1:20" x14ac:dyDescent="0.2">
      <c r="A1468" t="s">
        <v>4325</v>
      </c>
      <c r="B1468" t="s">
        <v>2022</v>
      </c>
      <c r="C1468" t="s">
        <v>2023</v>
      </c>
      <c r="D1468" t="s">
        <v>2024</v>
      </c>
      <c r="E1468" t="s">
        <v>4326</v>
      </c>
      <c r="F1468" t="s">
        <v>4327</v>
      </c>
      <c r="G1468">
        <v>2</v>
      </c>
      <c r="H1468">
        <v>1560</v>
      </c>
      <c r="I1468">
        <v>2</v>
      </c>
      <c r="J1468">
        <v>3.4</v>
      </c>
      <c r="K1468">
        <v>1</v>
      </c>
      <c r="L1468">
        <v>6.0000000000000001E-3</v>
      </c>
      <c r="M1468">
        <v>4</v>
      </c>
      <c r="N1468">
        <v>104</v>
      </c>
      <c r="O1468">
        <v>2</v>
      </c>
      <c r="P1468">
        <v>0.22500000000000001</v>
      </c>
      <c r="Q1468">
        <v>1</v>
      </c>
      <c r="R1468">
        <v>5.0000000000000001E-4</v>
      </c>
      <c r="T1468" s="8" t="s">
        <v>4326</v>
      </c>
    </row>
    <row r="1469" spans="1:20" x14ac:dyDescent="0.2">
      <c r="A1469" t="s">
        <v>4328</v>
      </c>
      <c r="B1469" t="s">
        <v>2022</v>
      </c>
      <c r="C1469" t="s">
        <v>2036</v>
      </c>
      <c r="D1469" t="s">
        <v>2024</v>
      </c>
      <c r="E1469" t="s">
        <v>4326</v>
      </c>
      <c r="F1469" t="s">
        <v>4327</v>
      </c>
      <c r="G1469">
        <v>2</v>
      </c>
      <c r="H1469">
        <v>1640</v>
      </c>
      <c r="I1469">
        <v>3</v>
      </c>
      <c r="J1469">
        <v>4.5999999999999996</v>
      </c>
      <c r="K1469">
        <v>1</v>
      </c>
      <c r="L1469">
        <v>5.5E-2</v>
      </c>
      <c r="M1469">
        <v>3</v>
      </c>
      <c r="N1469">
        <v>88</v>
      </c>
      <c r="O1469">
        <v>2</v>
      </c>
      <c r="P1469">
        <v>0.20499999999999999</v>
      </c>
      <c r="Q1469">
        <v>1</v>
      </c>
      <c r="R1469">
        <v>1.5E-3</v>
      </c>
      <c r="T1469" s="8" t="s">
        <v>4326</v>
      </c>
    </row>
    <row r="1470" spans="1:20" x14ac:dyDescent="0.2">
      <c r="A1470" t="s">
        <v>4329</v>
      </c>
      <c r="B1470" t="s">
        <v>2022</v>
      </c>
      <c r="C1470" t="s">
        <v>2028</v>
      </c>
      <c r="D1470" t="s">
        <v>2024</v>
      </c>
      <c r="E1470" t="s">
        <v>4330</v>
      </c>
      <c r="F1470" t="s">
        <v>4331</v>
      </c>
      <c r="G1470">
        <v>1</v>
      </c>
      <c r="H1470">
        <v>650</v>
      </c>
      <c r="I1470">
        <v>2</v>
      </c>
      <c r="J1470">
        <v>1.55</v>
      </c>
      <c r="K1470">
        <v>2</v>
      </c>
      <c r="L1470">
        <v>4.4999999999999998E-2</v>
      </c>
      <c r="M1470">
        <v>5</v>
      </c>
      <c r="N1470">
        <v>500</v>
      </c>
      <c r="O1470">
        <v>4</v>
      </c>
      <c r="P1470">
        <v>1.05</v>
      </c>
      <c r="Q1470">
        <v>4</v>
      </c>
      <c r="R1470">
        <v>2.4750000000000001E-2</v>
      </c>
      <c r="T1470" s="8" t="s">
        <v>4330</v>
      </c>
    </row>
    <row r="1471" spans="1:20" x14ac:dyDescent="0.2">
      <c r="A1471" t="s">
        <v>4332</v>
      </c>
      <c r="B1471" t="s">
        <v>2022</v>
      </c>
      <c r="C1471" t="s">
        <v>2053</v>
      </c>
      <c r="D1471" t="s">
        <v>2136</v>
      </c>
      <c r="E1471" t="s">
        <v>4333</v>
      </c>
      <c r="F1471" t="s">
        <v>4334</v>
      </c>
      <c r="G1471">
        <v>1</v>
      </c>
      <c r="H1471">
        <v>1500</v>
      </c>
      <c r="I1471">
        <v>4</v>
      </c>
      <c r="J1471">
        <v>9.0500000000000007</v>
      </c>
      <c r="K1471">
        <v>4</v>
      </c>
      <c r="L1471">
        <v>0.30499999999999999</v>
      </c>
      <c r="M1471">
        <v>1</v>
      </c>
      <c r="N1471">
        <v>73</v>
      </c>
      <c r="O1471">
        <v>3</v>
      </c>
      <c r="P1471">
        <v>0.375</v>
      </c>
      <c r="Q1471">
        <v>3</v>
      </c>
      <c r="R1471">
        <v>1.2200000000000001E-2</v>
      </c>
      <c r="T1471" s="8" t="s">
        <v>4333</v>
      </c>
    </row>
    <row r="1472" spans="1:20" x14ac:dyDescent="0.2">
      <c r="A1472" t="s">
        <v>4335</v>
      </c>
      <c r="B1472" t="s">
        <v>2022</v>
      </c>
      <c r="C1472" t="s">
        <v>2053</v>
      </c>
      <c r="D1472" t="s">
        <v>2024</v>
      </c>
      <c r="E1472" t="s">
        <v>4336</v>
      </c>
      <c r="F1472" t="s">
        <v>4337</v>
      </c>
      <c r="G1472">
        <v>1</v>
      </c>
      <c r="H1472">
        <v>1500</v>
      </c>
      <c r="I1472">
        <v>1</v>
      </c>
      <c r="J1472">
        <v>1.55</v>
      </c>
      <c r="K1472">
        <v>1</v>
      </c>
      <c r="L1472">
        <v>1.4999999999999999E-2</v>
      </c>
      <c r="M1472">
        <v>4</v>
      </c>
      <c r="N1472">
        <v>103</v>
      </c>
      <c r="O1472">
        <v>1</v>
      </c>
      <c r="P1472">
        <v>7.4999999999999997E-2</v>
      </c>
      <c r="Q1472">
        <v>1</v>
      </c>
      <c r="R1472">
        <v>8.4999999999999995E-4</v>
      </c>
      <c r="T1472" s="8" t="s">
        <v>4336</v>
      </c>
    </row>
    <row r="1473" spans="1:20" x14ac:dyDescent="0.2">
      <c r="A1473" t="s">
        <v>4338</v>
      </c>
      <c r="B1473" t="s">
        <v>2022</v>
      </c>
      <c r="C1473" t="s">
        <v>2023</v>
      </c>
      <c r="D1473" t="s">
        <v>2024</v>
      </c>
      <c r="E1473" t="s">
        <v>4339</v>
      </c>
      <c r="F1473" t="s">
        <v>4340</v>
      </c>
      <c r="G1473">
        <v>1</v>
      </c>
      <c r="H1473">
        <v>1480</v>
      </c>
      <c r="I1473">
        <v>1</v>
      </c>
      <c r="J1473">
        <v>0.9</v>
      </c>
      <c r="K1473">
        <v>1</v>
      </c>
      <c r="L1473">
        <v>6.0000000000000001E-3</v>
      </c>
      <c r="M1473">
        <v>3</v>
      </c>
      <c r="N1473">
        <v>94</v>
      </c>
      <c r="O1473">
        <v>1</v>
      </c>
      <c r="P1473">
        <v>7.4999999999999997E-2</v>
      </c>
      <c r="Q1473">
        <v>1</v>
      </c>
      <c r="R1473">
        <v>5.0000000000000001E-4</v>
      </c>
      <c r="T1473" s="8" t="s">
        <v>4339</v>
      </c>
    </row>
    <row r="1474" spans="1:20" x14ac:dyDescent="0.2">
      <c r="A1474" t="s">
        <v>4341</v>
      </c>
      <c r="B1474" t="s">
        <v>2022</v>
      </c>
      <c r="C1474" t="s">
        <v>2173</v>
      </c>
      <c r="D1474" t="s">
        <v>2024</v>
      </c>
      <c r="E1474" t="s">
        <v>4342</v>
      </c>
      <c r="F1474" t="s">
        <v>4343</v>
      </c>
      <c r="G1474">
        <v>5</v>
      </c>
      <c r="H1474">
        <v>2182.5</v>
      </c>
      <c r="I1474">
        <v>1</v>
      </c>
      <c r="J1474">
        <v>3.65</v>
      </c>
      <c r="K1474">
        <v>1</v>
      </c>
      <c r="L1474">
        <v>1.4999999999999999E-2</v>
      </c>
      <c r="M1474">
        <v>3</v>
      </c>
      <c r="N1474">
        <v>118.5</v>
      </c>
      <c r="O1474">
        <v>1</v>
      </c>
      <c r="P1474">
        <v>0.15</v>
      </c>
      <c r="Q1474">
        <v>1</v>
      </c>
      <c r="R1474">
        <v>6.4999999999999997E-4</v>
      </c>
      <c r="T1474" s="8" t="s">
        <v>4342</v>
      </c>
    </row>
    <row r="1475" spans="1:20" x14ac:dyDescent="0.2">
      <c r="A1475" t="s">
        <v>4344</v>
      </c>
      <c r="B1475" t="s">
        <v>2022</v>
      </c>
      <c r="C1475" t="s">
        <v>2023</v>
      </c>
      <c r="D1475" t="s">
        <v>2024</v>
      </c>
      <c r="E1475" t="s">
        <v>4345</v>
      </c>
      <c r="F1475" t="s">
        <v>4346</v>
      </c>
      <c r="G1475">
        <v>1</v>
      </c>
      <c r="H1475">
        <v>1480</v>
      </c>
      <c r="I1475">
        <v>4</v>
      </c>
      <c r="J1475">
        <v>8.4</v>
      </c>
      <c r="K1475">
        <v>5</v>
      </c>
      <c r="L1475">
        <v>8.5999999999999993E-2</v>
      </c>
      <c r="M1475">
        <v>3</v>
      </c>
      <c r="N1475">
        <v>94</v>
      </c>
      <c r="O1475">
        <v>4</v>
      </c>
      <c r="P1475">
        <v>0.52500000000000002</v>
      </c>
      <c r="Q1475">
        <v>5</v>
      </c>
      <c r="R1475">
        <v>8.0000000000000002E-3</v>
      </c>
      <c r="T1475" s="8" t="s">
        <v>4345</v>
      </c>
    </row>
    <row r="1476" spans="1:20" x14ac:dyDescent="0.2">
      <c r="A1476" t="s">
        <v>4347</v>
      </c>
      <c r="B1476" t="s">
        <v>2022</v>
      </c>
      <c r="C1476" t="s">
        <v>2257</v>
      </c>
      <c r="D1476" t="s">
        <v>2024</v>
      </c>
      <c r="E1476" t="s">
        <v>357</v>
      </c>
      <c r="F1476" t="s">
        <v>4348</v>
      </c>
      <c r="G1476">
        <v>5</v>
      </c>
      <c r="H1476">
        <v>1300</v>
      </c>
      <c r="I1476">
        <v>4</v>
      </c>
      <c r="J1476">
        <v>4.3499999999999996</v>
      </c>
      <c r="K1476">
        <v>5</v>
      </c>
      <c r="L1476">
        <v>0.187</v>
      </c>
      <c r="M1476">
        <v>5</v>
      </c>
      <c r="N1476">
        <v>1100</v>
      </c>
      <c r="O1476">
        <v>5</v>
      </c>
      <c r="P1476">
        <v>2.7</v>
      </c>
      <c r="Q1476">
        <v>5</v>
      </c>
      <c r="R1476">
        <v>8.1000000000000003E-2</v>
      </c>
      <c r="T1476" s="8" t="s">
        <v>357</v>
      </c>
    </row>
    <row r="1477" spans="1:20" x14ac:dyDescent="0.2">
      <c r="A1477" t="s">
        <v>4349</v>
      </c>
      <c r="B1477" t="s">
        <v>2022</v>
      </c>
      <c r="C1477" t="s">
        <v>2036</v>
      </c>
      <c r="D1477" t="s">
        <v>2154</v>
      </c>
      <c r="E1477" t="s">
        <v>4350</v>
      </c>
      <c r="F1477" t="s">
        <v>4351</v>
      </c>
      <c r="G1477">
        <v>1</v>
      </c>
      <c r="H1477">
        <v>1540</v>
      </c>
      <c r="I1477">
        <v>1</v>
      </c>
      <c r="J1477">
        <v>2.2000000000000002</v>
      </c>
      <c r="K1477">
        <v>1</v>
      </c>
      <c r="L1477">
        <v>5.5E-2</v>
      </c>
      <c r="M1477">
        <v>5</v>
      </c>
      <c r="N1477">
        <v>100</v>
      </c>
      <c r="O1477">
        <v>1</v>
      </c>
      <c r="P1477">
        <v>9.5000000000000001E-2</v>
      </c>
      <c r="Q1477">
        <v>1</v>
      </c>
      <c r="R1477">
        <v>1.5E-3</v>
      </c>
      <c r="T1477" s="8" t="s">
        <v>4350</v>
      </c>
    </row>
    <row r="1478" spans="1:20" x14ac:dyDescent="0.2">
      <c r="A1478" t="s">
        <v>4352</v>
      </c>
      <c r="B1478" t="s">
        <v>2022</v>
      </c>
      <c r="C1478" t="s">
        <v>2036</v>
      </c>
      <c r="D1478" t="s">
        <v>2024</v>
      </c>
      <c r="E1478" t="s">
        <v>4353</v>
      </c>
      <c r="F1478" t="s">
        <v>4354</v>
      </c>
      <c r="G1478">
        <v>1</v>
      </c>
      <c r="H1478">
        <v>1540</v>
      </c>
      <c r="I1478">
        <v>1</v>
      </c>
      <c r="J1478">
        <v>2.2000000000000002</v>
      </c>
      <c r="K1478">
        <v>1</v>
      </c>
      <c r="L1478">
        <v>5.5E-2</v>
      </c>
      <c r="M1478">
        <v>1</v>
      </c>
      <c r="N1478">
        <v>76</v>
      </c>
      <c r="O1478">
        <v>1</v>
      </c>
      <c r="P1478">
        <v>9.5000000000000001E-2</v>
      </c>
      <c r="Q1478">
        <v>1</v>
      </c>
      <c r="R1478">
        <v>1.5E-3</v>
      </c>
      <c r="T1478" s="8" t="s">
        <v>4353</v>
      </c>
    </row>
    <row r="1479" spans="1:20" x14ac:dyDescent="0.2">
      <c r="A1479" t="s">
        <v>4355</v>
      </c>
      <c r="B1479" t="s">
        <v>2022</v>
      </c>
      <c r="C1479" t="s">
        <v>2049</v>
      </c>
      <c r="D1479" t="s">
        <v>2024</v>
      </c>
      <c r="E1479" t="s">
        <v>4356</v>
      </c>
      <c r="F1479" t="s">
        <v>4357</v>
      </c>
      <c r="G1479">
        <v>2</v>
      </c>
      <c r="H1479">
        <v>1450</v>
      </c>
      <c r="I1479">
        <v>3</v>
      </c>
      <c r="J1479">
        <v>5</v>
      </c>
      <c r="K1479">
        <v>3</v>
      </c>
      <c r="L1479">
        <v>0.14000000000000001</v>
      </c>
      <c r="M1479">
        <v>1</v>
      </c>
      <c r="N1479">
        <v>86</v>
      </c>
      <c r="O1479">
        <v>2</v>
      </c>
      <c r="P1479">
        <v>0.26</v>
      </c>
      <c r="Q1479">
        <v>2</v>
      </c>
      <c r="R1479">
        <v>6.1999999999999998E-3</v>
      </c>
      <c r="T1479" s="8" t="s">
        <v>4356</v>
      </c>
    </row>
    <row r="1480" spans="1:20" x14ac:dyDescent="0.2">
      <c r="A1480" t="s">
        <v>4358</v>
      </c>
      <c r="B1480" t="s">
        <v>2022</v>
      </c>
      <c r="C1480" t="s">
        <v>2023</v>
      </c>
      <c r="D1480" t="s">
        <v>2024</v>
      </c>
      <c r="E1480" t="s">
        <v>4359</v>
      </c>
      <c r="F1480" t="s">
        <v>4360</v>
      </c>
      <c r="G1480">
        <v>2</v>
      </c>
      <c r="H1480">
        <v>1560</v>
      </c>
      <c r="I1480">
        <v>2</v>
      </c>
      <c r="J1480">
        <v>3.4</v>
      </c>
      <c r="K1480">
        <v>1</v>
      </c>
      <c r="L1480">
        <v>6.0000000000000001E-3</v>
      </c>
      <c r="M1480">
        <v>3</v>
      </c>
      <c r="N1480">
        <v>94</v>
      </c>
      <c r="O1480">
        <v>2</v>
      </c>
      <c r="P1480">
        <v>0.22500000000000001</v>
      </c>
      <c r="Q1480">
        <v>1</v>
      </c>
      <c r="R1480">
        <v>5.0000000000000001E-4</v>
      </c>
      <c r="T1480" s="8" t="s">
        <v>4359</v>
      </c>
    </row>
    <row r="1481" spans="1:20" x14ac:dyDescent="0.2">
      <c r="A1481" t="s">
        <v>4361</v>
      </c>
      <c r="B1481" t="s">
        <v>2022</v>
      </c>
      <c r="C1481" t="s">
        <v>2023</v>
      </c>
      <c r="D1481" t="s">
        <v>2024</v>
      </c>
      <c r="E1481" t="s">
        <v>4362</v>
      </c>
      <c r="F1481" t="s">
        <v>4363</v>
      </c>
      <c r="G1481">
        <v>5</v>
      </c>
      <c r="H1481">
        <v>1800</v>
      </c>
      <c r="I1481">
        <v>3</v>
      </c>
      <c r="J1481">
        <v>5.9</v>
      </c>
      <c r="K1481">
        <v>5</v>
      </c>
      <c r="L1481">
        <v>8.5999999999999993E-2</v>
      </c>
      <c r="M1481">
        <v>2</v>
      </c>
      <c r="N1481">
        <v>84</v>
      </c>
      <c r="O1481">
        <v>3</v>
      </c>
      <c r="P1481">
        <v>0.375</v>
      </c>
      <c r="Q1481">
        <v>4</v>
      </c>
      <c r="R1481">
        <v>6.0000000000000001E-3</v>
      </c>
      <c r="T1481" s="8" t="s">
        <v>4362</v>
      </c>
    </row>
    <row r="1482" spans="1:20" x14ac:dyDescent="0.2">
      <c r="A1482" t="s">
        <v>4364</v>
      </c>
      <c r="B1482" t="s">
        <v>2022</v>
      </c>
      <c r="C1482" t="s">
        <v>2036</v>
      </c>
      <c r="D1482" t="s">
        <v>2024</v>
      </c>
      <c r="E1482" t="s">
        <v>4365</v>
      </c>
      <c r="F1482" t="s">
        <v>4366</v>
      </c>
      <c r="G1482">
        <v>3</v>
      </c>
      <c r="H1482">
        <v>1740</v>
      </c>
      <c r="I1482">
        <v>5</v>
      </c>
      <c r="J1482">
        <v>7</v>
      </c>
      <c r="K1482">
        <v>5</v>
      </c>
      <c r="L1482">
        <v>0.17499999999999999</v>
      </c>
      <c r="M1482">
        <v>5</v>
      </c>
      <c r="N1482">
        <v>100</v>
      </c>
      <c r="O1482">
        <v>5</v>
      </c>
      <c r="P1482">
        <v>0.53500000000000003</v>
      </c>
      <c r="Q1482">
        <v>5</v>
      </c>
      <c r="R1482">
        <v>1.2E-2</v>
      </c>
      <c r="T1482" s="8" t="s">
        <v>4365</v>
      </c>
    </row>
    <row r="1483" spans="1:20" x14ac:dyDescent="0.2">
      <c r="A1483" t="s">
        <v>4367</v>
      </c>
      <c r="B1483" t="s">
        <v>2022</v>
      </c>
      <c r="C1483" t="s">
        <v>2023</v>
      </c>
      <c r="D1483" t="s">
        <v>2024</v>
      </c>
      <c r="E1483" t="s">
        <v>4368</v>
      </c>
      <c r="F1483" t="s">
        <v>4369</v>
      </c>
      <c r="G1483">
        <v>5</v>
      </c>
      <c r="H1483">
        <v>1800</v>
      </c>
      <c r="I1483">
        <v>2</v>
      </c>
      <c r="J1483">
        <v>3.4</v>
      </c>
      <c r="K1483">
        <v>2</v>
      </c>
      <c r="L1483">
        <v>2.5999999999999999E-2</v>
      </c>
      <c r="M1483">
        <v>2</v>
      </c>
      <c r="N1483">
        <v>84</v>
      </c>
      <c r="O1483">
        <v>2</v>
      </c>
      <c r="P1483">
        <v>0.22500000000000001</v>
      </c>
      <c r="Q1483">
        <v>1</v>
      </c>
      <c r="R1483">
        <v>5.0000000000000001E-4</v>
      </c>
      <c r="T1483" s="8" t="s">
        <v>4368</v>
      </c>
    </row>
    <row r="1484" spans="1:20" x14ac:dyDescent="0.2">
      <c r="A1484" t="s">
        <v>4370</v>
      </c>
      <c r="B1484" t="s">
        <v>2022</v>
      </c>
      <c r="C1484" t="s">
        <v>2023</v>
      </c>
      <c r="D1484" t="s">
        <v>2024</v>
      </c>
      <c r="E1484" t="s">
        <v>4371</v>
      </c>
      <c r="F1484" t="s">
        <v>4372</v>
      </c>
      <c r="G1484">
        <v>4</v>
      </c>
      <c r="H1484">
        <v>1720</v>
      </c>
      <c r="I1484">
        <v>1</v>
      </c>
      <c r="J1484">
        <v>0.9</v>
      </c>
      <c r="K1484">
        <v>2</v>
      </c>
      <c r="L1484">
        <v>2.5999999999999999E-2</v>
      </c>
      <c r="M1484">
        <v>3</v>
      </c>
      <c r="N1484">
        <v>94</v>
      </c>
      <c r="O1484">
        <v>1</v>
      </c>
      <c r="P1484">
        <v>7.4999999999999997E-2</v>
      </c>
      <c r="Q1484">
        <v>2</v>
      </c>
      <c r="R1484">
        <v>2E-3</v>
      </c>
      <c r="T1484" s="8" t="s">
        <v>4371</v>
      </c>
    </row>
    <row r="1485" spans="1:20" x14ac:dyDescent="0.2">
      <c r="A1485" t="s">
        <v>4373</v>
      </c>
      <c r="B1485" t="s">
        <v>2022</v>
      </c>
      <c r="C1485" t="s">
        <v>2036</v>
      </c>
      <c r="D1485" t="s">
        <v>2024</v>
      </c>
      <c r="E1485" t="s">
        <v>4374</v>
      </c>
      <c r="F1485" t="s">
        <v>4375</v>
      </c>
      <c r="G1485">
        <v>2</v>
      </c>
      <c r="H1485">
        <v>1640</v>
      </c>
      <c r="I1485">
        <v>3</v>
      </c>
      <c r="J1485">
        <v>4.5999999999999996</v>
      </c>
      <c r="K1485">
        <v>3</v>
      </c>
      <c r="L1485">
        <v>0.115</v>
      </c>
      <c r="M1485">
        <v>4</v>
      </c>
      <c r="N1485">
        <v>94</v>
      </c>
      <c r="O1485">
        <v>2</v>
      </c>
      <c r="P1485">
        <v>0.20499999999999999</v>
      </c>
      <c r="Q1485">
        <v>3</v>
      </c>
      <c r="R1485">
        <v>6.7499999999999999E-3</v>
      </c>
      <c r="T1485" s="8" t="s">
        <v>4374</v>
      </c>
    </row>
    <row r="1486" spans="1:20" x14ac:dyDescent="0.2">
      <c r="A1486" t="s">
        <v>4376</v>
      </c>
      <c r="B1486" t="s">
        <v>2022</v>
      </c>
      <c r="C1486" t="s">
        <v>2023</v>
      </c>
      <c r="D1486" t="s">
        <v>2136</v>
      </c>
      <c r="E1486" t="s">
        <v>4377</v>
      </c>
      <c r="F1486" t="s">
        <v>4378</v>
      </c>
      <c r="G1486">
        <v>5</v>
      </c>
      <c r="H1486">
        <v>1800</v>
      </c>
      <c r="I1486">
        <v>2</v>
      </c>
      <c r="J1486">
        <v>3.4</v>
      </c>
      <c r="K1486">
        <v>5</v>
      </c>
      <c r="L1486">
        <v>8.5999999999999993E-2</v>
      </c>
      <c r="M1486">
        <v>5</v>
      </c>
      <c r="N1486">
        <v>114</v>
      </c>
      <c r="O1486">
        <v>2</v>
      </c>
      <c r="P1486">
        <v>0.22500000000000001</v>
      </c>
      <c r="Q1486">
        <v>5</v>
      </c>
      <c r="R1486">
        <v>8.0000000000000002E-3</v>
      </c>
      <c r="T1486" s="8" t="s">
        <v>4377</v>
      </c>
    </row>
    <row r="1487" spans="1:20" x14ac:dyDescent="0.2">
      <c r="A1487" t="s">
        <v>4379</v>
      </c>
      <c r="B1487" t="s">
        <v>2022</v>
      </c>
      <c r="C1487" t="s">
        <v>2053</v>
      </c>
      <c r="D1487" t="s">
        <v>2024</v>
      </c>
      <c r="E1487" t="s">
        <v>4380</v>
      </c>
      <c r="F1487" t="s">
        <v>4381</v>
      </c>
      <c r="G1487">
        <v>5</v>
      </c>
      <c r="H1487">
        <v>1900</v>
      </c>
      <c r="I1487">
        <v>5</v>
      </c>
      <c r="J1487">
        <v>11.55</v>
      </c>
      <c r="K1487">
        <v>5</v>
      </c>
      <c r="L1487">
        <v>0.41499999999999998</v>
      </c>
      <c r="M1487">
        <v>3</v>
      </c>
      <c r="N1487">
        <v>93</v>
      </c>
      <c r="O1487">
        <v>5</v>
      </c>
      <c r="P1487">
        <v>0.67500000000000004</v>
      </c>
      <c r="Q1487">
        <v>4</v>
      </c>
      <c r="R1487">
        <v>1.9199999999999998E-2</v>
      </c>
      <c r="T1487" s="8" t="s">
        <v>4380</v>
      </c>
    </row>
    <row r="1488" spans="1:20" x14ac:dyDescent="0.2">
      <c r="A1488" t="s">
        <v>4382</v>
      </c>
      <c r="B1488" t="s">
        <v>2022</v>
      </c>
      <c r="C1488" t="s">
        <v>2036</v>
      </c>
      <c r="D1488" t="s">
        <v>2024</v>
      </c>
      <c r="E1488" t="s">
        <v>4383</v>
      </c>
      <c r="F1488" t="s">
        <v>4384</v>
      </c>
      <c r="G1488">
        <v>5</v>
      </c>
      <c r="H1488">
        <v>1940</v>
      </c>
      <c r="I1488">
        <v>5</v>
      </c>
      <c r="J1488">
        <v>7</v>
      </c>
      <c r="K1488">
        <v>5</v>
      </c>
      <c r="L1488">
        <v>0.17499999999999999</v>
      </c>
      <c r="M1488">
        <v>5</v>
      </c>
      <c r="N1488">
        <v>100</v>
      </c>
      <c r="O1488">
        <v>5</v>
      </c>
      <c r="P1488">
        <v>0.53500000000000003</v>
      </c>
      <c r="Q1488">
        <v>5</v>
      </c>
      <c r="R1488">
        <v>1.2E-2</v>
      </c>
      <c r="T1488" s="8" t="s">
        <v>4383</v>
      </c>
    </row>
    <row r="1489" spans="1:20" x14ac:dyDescent="0.2">
      <c r="A1489" t="s">
        <v>4385</v>
      </c>
      <c r="B1489" t="s">
        <v>2022</v>
      </c>
      <c r="C1489" t="s">
        <v>2095</v>
      </c>
      <c r="D1489" t="s">
        <v>2024</v>
      </c>
      <c r="E1489" t="s">
        <v>357</v>
      </c>
      <c r="F1489" t="s">
        <v>4386</v>
      </c>
      <c r="G1489">
        <v>1</v>
      </c>
      <c r="H1489">
        <v>1565</v>
      </c>
      <c r="I1489">
        <v>5</v>
      </c>
      <c r="J1489">
        <v>16.5</v>
      </c>
      <c r="K1489">
        <v>4</v>
      </c>
      <c r="L1489">
        <v>0.53</v>
      </c>
      <c r="M1489">
        <v>3</v>
      </c>
      <c r="N1489">
        <v>86</v>
      </c>
      <c r="O1489">
        <v>5</v>
      </c>
      <c r="P1489">
        <v>0.95</v>
      </c>
      <c r="Q1489">
        <v>5</v>
      </c>
      <c r="R1489">
        <v>3.2899999999999999E-2</v>
      </c>
      <c r="T1489" s="8" t="s">
        <v>357</v>
      </c>
    </row>
    <row r="1490" spans="1:20" x14ac:dyDescent="0.2">
      <c r="A1490" t="s">
        <v>4387</v>
      </c>
      <c r="B1490" t="s">
        <v>2022</v>
      </c>
      <c r="C1490" t="s">
        <v>2028</v>
      </c>
      <c r="D1490" t="s">
        <v>2024</v>
      </c>
      <c r="E1490" t="s">
        <v>4388</v>
      </c>
      <c r="F1490" t="s">
        <v>4389</v>
      </c>
      <c r="G1490">
        <v>2</v>
      </c>
      <c r="H1490">
        <v>850</v>
      </c>
      <c r="I1490">
        <v>2</v>
      </c>
      <c r="J1490">
        <v>1.55</v>
      </c>
      <c r="K1490">
        <v>2</v>
      </c>
      <c r="L1490">
        <v>4.4999999999999998E-2</v>
      </c>
      <c r="M1490">
        <v>5</v>
      </c>
      <c r="N1490">
        <v>500</v>
      </c>
      <c r="O1490">
        <v>2</v>
      </c>
      <c r="P1490">
        <v>0.45</v>
      </c>
      <c r="Q1490">
        <v>2</v>
      </c>
      <c r="R1490">
        <v>7.7499999999999999E-3</v>
      </c>
      <c r="T1490" s="8" t="s">
        <v>4388</v>
      </c>
    </row>
    <row r="1491" spans="1:20" x14ac:dyDescent="0.2">
      <c r="A1491" t="s">
        <v>4390</v>
      </c>
      <c r="B1491" t="s">
        <v>2022</v>
      </c>
      <c r="C1491" t="s">
        <v>2173</v>
      </c>
      <c r="D1491" t="s">
        <v>2136</v>
      </c>
      <c r="E1491" t="s">
        <v>4391</v>
      </c>
      <c r="F1491" t="s">
        <v>447</v>
      </c>
      <c r="G1491">
        <v>1</v>
      </c>
      <c r="H1491">
        <v>1882.5</v>
      </c>
      <c r="I1491">
        <v>1</v>
      </c>
      <c r="J1491">
        <v>3.65</v>
      </c>
      <c r="K1491">
        <v>1</v>
      </c>
      <c r="L1491">
        <v>1.4999999999999999E-2</v>
      </c>
      <c r="M1491">
        <v>1</v>
      </c>
      <c r="N1491">
        <v>96.5</v>
      </c>
      <c r="O1491">
        <v>1</v>
      </c>
      <c r="P1491">
        <v>0.15</v>
      </c>
      <c r="Q1491">
        <v>1</v>
      </c>
      <c r="R1491">
        <v>6.4999999999999997E-4</v>
      </c>
      <c r="T1491" s="8" t="s">
        <v>4391</v>
      </c>
    </row>
    <row r="1492" spans="1:20" x14ac:dyDescent="0.2">
      <c r="A1492" t="s">
        <v>4392</v>
      </c>
      <c r="B1492" t="s">
        <v>2022</v>
      </c>
      <c r="C1492" t="s">
        <v>2023</v>
      </c>
      <c r="D1492" t="s">
        <v>2136</v>
      </c>
      <c r="E1492" t="s">
        <v>4393</v>
      </c>
      <c r="F1492" t="s">
        <v>4394</v>
      </c>
      <c r="G1492">
        <v>2</v>
      </c>
      <c r="H1492">
        <v>1560</v>
      </c>
      <c r="I1492">
        <v>2</v>
      </c>
      <c r="J1492">
        <v>3.4</v>
      </c>
      <c r="K1492">
        <v>2</v>
      </c>
      <c r="L1492">
        <v>2.5999999999999999E-2</v>
      </c>
      <c r="M1492">
        <v>2</v>
      </c>
      <c r="N1492">
        <v>84</v>
      </c>
      <c r="O1492">
        <v>1</v>
      </c>
      <c r="P1492">
        <v>7.4999999999999997E-2</v>
      </c>
      <c r="Q1492">
        <v>2</v>
      </c>
      <c r="R1492">
        <v>2E-3</v>
      </c>
      <c r="T1492" s="8" t="s">
        <v>4393</v>
      </c>
    </row>
    <row r="1493" spans="1:20" x14ac:dyDescent="0.2">
      <c r="A1493" t="s">
        <v>4395</v>
      </c>
      <c r="B1493" t="s">
        <v>2022</v>
      </c>
      <c r="C1493" t="s">
        <v>2023</v>
      </c>
      <c r="D1493" t="s">
        <v>2024</v>
      </c>
      <c r="E1493" t="s">
        <v>4396</v>
      </c>
      <c r="F1493" t="s">
        <v>4397</v>
      </c>
      <c r="G1493">
        <v>3</v>
      </c>
      <c r="H1493">
        <v>1640</v>
      </c>
      <c r="I1493">
        <v>5</v>
      </c>
      <c r="J1493">
        <v>10.9</v>
      </c>
      <c r="K1493">
        <v>5</v>
      </c>
      <c r="L1493">
        <v>8.5999999999999993E-2</v>
      </c>
      <c r="M1493">
        <v>4</v>
      </c>
      <c r="N1493">
        <v>104</v>
      </c>
      <c r="O1493">
        <v>5</v>
      </c>
      <c r="P1493">
        <v>0.67500000000000004</v>
      </c>
      <c r="Q1493">
        <v>5</v>
      </c>
      <c r="R1493">
        <v>8.0000000000000002E-3</v>
      </c>
      <c r="T1493" s="8" t="s">
        <v>4396</v>
      </c>
    </row>
    <row r="1494" spans="1:20" x14ac:dyDescent="0.2">
      <c r="A1494" t="s">
        <v>4398</v>
      </c>
      <c r="B1494" t="s">
        <v>2022</v>
      </c>
      <c r="C1494" t="s">
        <v>2222</v>
      </c>
      <c r="D1494" t="s">
        <v>2136</v>
      </c>
      <c r="E1494" t="s">
        <v>357</v>
      </c>
      <c r="F1494" t="s">
        <v>447</v>
      </c>
      <c r="G1494">
        <v>5</v>
      </c>
      <c r="H1494">
        <v>1850</v>
      </c>
      <c r="I1494">
        <v>1</v>
      </c>
      <c r="J1494">
        <v>2.2999999999999998</v>
      </c>
      <c r="K1494">
        <v>2</v>
      </c>
      <c r="L1494">
        <v>5.5E-2</v>
      </c>
      <c r="M1494">
        <v>1</v>
      </c>
      <c r="N1494">
        <v>59</v>
      </c>
      <c r="O1494">
        <v>1</v>
      </c>
      <c r="P1494">
        <v>7.0000000000000007E-2</v>
      </c>
      <c r="Q1494">
        <v>1</v>
      </c>
      <c r="R1494">
        <v>4.0000000000000002E-4</v>
      </c>
      <c r="T1494" s="8" t="s">
        <v>357</v>
      </c>
    </row>
    <row r="1495" spans="1:20" x14ac:dyDescent="0.2">
      <c r="A1495" t="s">
        <v>4399</v>
      </c>
      <c r="B1495" t="s">
        <v>2022</v>
      </c>
      <c r="C1495" t="s">
        <v>2053</v>
      </c>
      <c r="D1495" t="s">
        <v>2024</v>
      </c>
      <c r="E1495" t="s">
        <v>4400</v>
      </c>
      <c r="F1495" t="s">
        <v>4401</v>
      </c>
      <c r="G1495">
        <v>1</v>
      </c>
      <c r="H1495">
        <v>1500</v>
      </c>
      <c r="I1495">
        <v>2</v>
      </c>
      <c r="J1495">
        <v>4.05</v>
      </c>
      <c r="K1495">
        <v>3</v>
      </c>
      <c r="L1495">
        <v>0.19500000000000001</v>
      </c>
      <c r="M1495">
        <v>5</v>
      </c>
      <c r="N1495">
        <v>113</v>
      </c>
      <c r="O1495">
        <v>3</v>
      </c>
      <c r="P1495">
        <v>0.375</v>
      </c>
      <c r="Q1495">
        <v>3</v>
      </c>
      <c r="R1495">
        <v>1.2200000000000001E-2</v>
      </c>
      <c r="T1495" s="8" t="s">
        <v>4400</v>
      </c>
    </row>
    <row r="1496" spans="1:20" x14ac:dyDescent="0.2">
      <c r="A1496" t="s">
        <v>4402</v>
      </c>
      <c r="B1496" t="s">
        <v>2022</v>
      </c>
      <c r="C1496" t="s">
        <v>2257</v>
      </c>
      <c r="D1496" t="s">
        <v>2024</v>
      </c>
      <c r="E1496" t="s">
        <v>4403</v>
      </c>
      <c r="F1496" t="s">
        <v>4404</v>
      </c>
      <c r="G1496">
        <v>1</v>
      </c>
      <c r="H1496">
        <v>900</v>
      </c>
      <c r="I1496">
        <v>4</v>
      </c>
      <c r="J1496">
        <v>4.3499999999999996</v>
      </c>
      <c r="K1496">
        <v>4</v>
      </c>
      <c r="L1496">
        <v>0.13700000000000001</v>
      </c>
      <c r="M1496">
        <v>1</v>
      </c>
      <c r="N1496">
        <v>300</v>
      </c>
      <c r="O1496">
        <v>3</v>
      </c>
      <c r="P1496">
        <v>1.5</v>
      </c>
      <c r="Q1496">
        <v>4</v>
      </c>
      <c r="R1496">
        <v>5.8999999999999997E-2</v>
      </c>
      <c r="T1496" s="8" t="s">
        <v>4403</v>
      </c>
    </row>
    <row r="1497" spans="1:20" x14ac:dyDescent="0.2">
      <c r="A1497" t="s">
        <v>4405</v>
      </c>
      <c r="B1497" t="s">
        <v>2022</v>
      </c>
      <c r="C1497" t="s">
        <v>2049</v>
      </c>
      <c r="D1497" t="s">
        <v>2024</v>
      </c>
      <c r="E1497" t="s">
        <v>4406</v>
      </c>
      <c r="F1497" t="s">
        <v>4407</v>
      </c>
      <c r="G1497">
        <v>4</v>
      </c>
      <c r="H1497">
        <v>1650</v>
      </c>
      <c r="I1497">
        <v>3</v>
      </c>
      <c r="J1497">
        <v>5</v>
      </c>
      <c r="K1497">
        <v>4</v>
      </c>
      <c r="L1497">
        <v>0.22</v>
      </c>
      <c r="M1497">
        <v>5</v>
      </c>
      <c r="N1497">
        <v>166</v>
      </c>
      <c r="O1497">
        <v>4</v>
      </c>
      <c r="P1497">
        <v>0.66</v>
      </c>
      <c r="Q1497">
        <v>5</v>
      </c>
      <c r="R1497">
        <v>3.32E-2</v>
      </c>
      <c r="T1497" s="8" t="s">
        <v>4406</v>
      </c>
    </row>
    <row r="1498" spans="1:20" x14ac:dyDescent="0.2">
      <c r="A1498" t="s">
        <v>4408</v>
      </c>
      <c r="B1498" t="s">
        <v>2022</v>
      </c>
      <c r="C1498" t="s">
        <v>2023</v>
      </c>
      <c r="D1498" t="s">
        <v>2154</v>
      </c>
      <c r="E1498" t="s">
        <v>4409</v>
      </c>
      <c r="F1498" t="s">
        <v>4410</v>
      </c>
      <c r="G1498">
        <v>1</v>
      </c>
      <c r="H1498">
        <v>1480</v>
      </c>
      <c r="I1498">
        <v>5</v>
      </c>
      <c r="J1498">
        <v>10.9</v>
      </c>
      <c r="K1498">
        <v>5</v>
      </c>
      <c r="L1498">
        <v>8.5999999999999993E-2</v>
      </c>
      <c r="M1498">
        <v>1</v>
      </c>
      <c r="N1498">
        <v>74</v>
      </c>
      <c r="O1498">
        <v>5</v>
      </c>
      <c r="P1498">
        <v>0.67500000000000004</v>
      </c>
      <c r="Q1498">
        <v>5</v>
      </c>
      <c r="R1498">
        <v>8.0000000000000002E-3</v>
      </c>
      <c r="T1498" s="8" t="s">
        <v>4409</v>
      </c>
    </row>
    <row r="1499" spans="1:20" x14ac:dyDescent="0.2">
      <c r="A1499" t="s">
        <v>4411</v>
      </c>
      <c r="B1499" t="s">
        <v>2022</v>
      </c>
      <c r="C1499" t="s">
        <v>2023</v>
      </c>
      <c r="D1499" t="s">
        <v>2024</v>
      </c>
      <c r="E1499" t="s">
        <v>4412</v>
      </c>
      <c r="F1499" t="s">
        <v>4413</v>
      </c>
      <c r="G1499">
        <v>5</v>
      </c>
      <c r="H1499">
        <v>1800</v>
      </c>
      <c r="I1499">
        <v>4</v>
      </c>
      <c r="J1499">
        <v>8.4</v>
      </c>
      <c r="K1499">
        <v>5</v>
      </c>
      <c r="L1499">
        <v>8.5999999999999993E-2</v>
      </c>
      <c r="M1499">
        <v>3</v>
      </c>
      <c r="N1499">
        <v>94</v>
      </c>
      <c r="O1499">
        <v>3</v>
      </c>
      <c r="P1499">
        <v>0.375</v>
      </c>
      <c r="Q1499">
        <v>5</v>
      </c>
      <c r="R1499">
        <v>8.0000000000000002E-3</v>
      </c>
      <c r="T1499" s="8" t="s">
        <v>4412</v>
      </c>
    </row>
    <row r="1500" spans="1:20" x14ac:dyDescent="0.2">
      <c r="A1500" t="s">
        <v>4414</v>
      </c>
      <c r="B1500" t="s">
        <v>2022</v>
      </c>
      <c r="C1500" t="s">
        <v>2023</v>
      </c>
      <c r="D1500" t="s">
        <v>2024</v>
      </c>
      <c r="E1500" t="s">
        <v>4412</v>
      </c>
      <c r="F1500" t="s">
        <v>4413</v>
      </c>
      <c r="G1500">
        <v>3</v>
      </c>
      <c r="H1500">
        <v>1640</v>
      </c>
      <c r="I1500">
        <v>4</v>
      </c>
      <c r="J1500">
        <v>8.4</v>
      </c>
      <c r="K1500">
        <v>5</v>
      </c>
      <c r="L1500">
        <v>8.5999999999999993E-2</v>
      </c>
      <c r="M1500">
        <v>2</v>
      </c>
      <c r="N1500">
        <v>84</v>
      </c>
      <c r="O1500">
        <v>4</v>
      </c>
      <c r="P1500">
        <v>0.52500000000000002</v>
      </c>
      <c r="Q1500">
        <v>5</v>
      </c>
      <c r="R1500">
        <v>8.0000000000000002E-3</v>
      </c>
      <c r="T1500" s="8" t="s">
        <v>4412</v>
      </c>
    </row>
    <row r="1501" spans="1:20" x14ac:dyDescent="0.2">
      <c r="A1501" t="s">
        <v>4415</v>
      </c>
      <c r="B1501" t="s">
        <v>2022</v>
      </c>
      <c r="C1501" t="s">
        <v>2049</v>
      </c>
      <c r="D1501" t="s">
        <v>2024</v>
      </c>
      <c r="E1501" t="s">
        <v>4416</v>
      </c>
      <c r="F1501" t="s">
        <v>447</v>
      </c>
      <c r="G1501">
        <v>5</v>
      </c>
      <c r="H1501">
        <v>1750</v>
      </c>
      <c r="I1501">
        <v>5</v>
      </c>
      <c r="J1501">
        <v>8.6</v>
      </c>
      <c r="K1501">
        <v>5</v>
      </c>
      <c r="L1501">
        <v>0.3</v>
      </c>
      <c r="M1501">
        <v>2</v>
      </c>
      <c r="N1501">
        <v>106</v>
      </c>
      <c r="O1501">
        <v>3</v>
      </c>
      <c r="P1501">
        <v>0.46</v>
      </c>
      <c r="Q1501">
        <v>3</v>
      </c>
      <c r="R1501">
        <v>1.52E-2</v>
      </c>
      <c r="T1501" s="8" t="s">
        <v>4416</v>
      </c>
    </row>
    <row r="1502" spans="1:20" x14ac:dyDescent="0.2">
      <c r="A1502" t="s">
        <v>4417</v>
      </c>
      <c r="B1502" t="s">
        <v>2022</v>
      </c>
      <c r="C1502" t="s">
        <v>2023</v>
      </c>
      <c r="D1502" t="s">
        <v>2154</v>
      </c>
      <c r="E1502" t="s">
        <v>4418</v>
      </c>
      <c r="F1502" t="s">
        <v>4419</v>
      </c>
      <c r="G1502">
        <v>2</v>
      </c>
      <c r="H1502">
        <v>1560</v>
      </c>
      <c r="I1502">
        <v>3</v>
      </c>
      <c r="J1502">
        <v>5.9</v>
      </c>
      <c r="K1502">
        <v>4</v>
      </c>
      <c r="L1502">
        <v>6.6000000000000003E-2</v>
      </c>
      <c r="M1502">
        <v>2</v>
      </c>
      <c r="N1502">
        <v>84</v>
      </c>
      <c r="O1502">
        <v>2</v>
      </c>
      <c r="P1502">
        <v>0.22500000000000001</v>
      </c>
      <c r="Q1502">
        <v>3</v>
      </c>
      <c r="R1502">
        <v>4.0000000000000001E-3</v>
      </c>
      <c r="T1502" s="8" t="s">
        <v>4418</v>
      </c>
    </row>
    <row r="1503" spans="1:20" x14ac:dyDescent="0.2">
      <c r="A1503" t="s">
        <v>4420</v>
      </c>
      <c r="B1503" t="s">
        <v>2022</v>
      </c>
      <c r="C1503" t="s">
        <v>2053</v>
      </c>
      <c r="D1503" t="s">
        <v>2024</v>
      </c>
      <c r="E1503" t="s">
        <v>4421</v>
      </c>
      <c r="F1503" t="s">
        <v>4422</v>
      </c>
      <c r="G1503">
        <v>2</v>
      </c>
      <c r="H1503">
        <v>1600</v>
      </c>
      <c r="I1503">
        <v>4</v>
      </c>
      <c r="J1503">
        <v>9.0500000000000007</v>
      </c>
      <c r="K1503">
        <v>1</v>
      </c>
      <c r="L1503">
        <v>1.4999999999999999E-2</v>
      </c>
      <c r="M1503">
        <v>4</v>
      </c>
      <c r="N1503">
        <v>103</v>
      </c>
      <c r="O1503">
        <v>4</v>
      </c>
      <c r="P1503">
        <v>0.52500000000000002</v>
      </c>
      <c r="Q1503">
        <v>2</v>
      </c>
      <c r="R1503">
        <v>5.1999999999999998E-3</v>
      </c>
      <c r="T1503" s="8" t="s">
        <v>4421</v>
      </c>
    </row>
    <row r="1504" spans="1:20" x14ac:dyDescent="0.2">
      <c r="A1504" t="s">
        <v>4423</v>
      </c>
      <c r="B1504" t="s">
        <v>2022</v>
      </c>
      <c r="C1504" t="s">
        <v>2023</v>
      </c>
      <c r="D1504" t="s">
        <v>2024</v>
      </c>
      <c r="E1504" t="s">
        <v>4424</v>
      </c>
      <c r="F1504" t="s">
        <v>4425</v>
      </c>
      <c r="G1504">
        <v>5</v>
      </c>
      <c r="H1504">
        <v>1800</v>
      </c>
      <c r="I1504">
        <v>1</v>
      </c>
      <c r="J1504">
        <v>0.9</v>
      </c>
      <c r="K1504">
        <v>1</v>
      </c>
      <c r="L1504">
        <v>6.0000000000000001E-3</v>
      </c>
      <c r="M1504">
        <v>2</v>
      </c>
      <c r="N1504">
        <v>84</v>
      </c>
      <c r="O1504">
        <v>1</v>
      </c>
      <c r="P1504">
        <v>7.4999999999999997E-2</v>
      </c>
      <c r="Q1504">
        <v>1</v>
      </c>
      <c r="R1504">
        <v>5.0000000000000001E-4</v>
      </c>
      <c r="T1504" s="8" t="s">
        <v>4424</v>
      </c>
    </row>
    <row r="1505" spans="1:20" x14ac:dyDescent="0.2">
      <c r="A1505" t="s">
        <v>4426</v>
      </c>
      <c r="B1505" t="s">
        <v>2022</v>
      </c>
      <c r="C1505" t="s">
        <v>2023</v>
      </c>
      <c r="D1505" t="s">
        <v>2024</v>
      </c>
      <c r="E1505" t="s">
        <v>4427</v>
      </c>
      <c r="F1505" t="s">
        <v>4428</v>
      </c>
      <c r="G1505">
        <v>5</v>
      </c>
      <c r="H1505">
        <v>1800</v>
      </c>
      <c r="I1505">
        <v>4</v>
      </c>
      <c r="J1505">
        <v>8.4</v>
      </c>
      <c r="K1505">
        <v>3</v>
      </c>
      <c r="L1505">
        <v>4.5999999999999999E-2</v>
      </c>
      <c r="M1505">
        <v>4</v>
      </c>
      <c r="N1505">
        <v>104</v>
      </c>
      <c r="O1505">
        <v>3</v>
      </c>
      <c r="P1505">
        <v>0.375</v>
      </c>
      <c r="Q1505">
        <v>2</v>
      </c>
      <c r="R1505">
        <v>2E-3</v>
      </c>
      <c r="T1505" s="8" t="s">
        <v>4427</v>
      </c>
    </row>
    <row r="1506" spans="1:20" x14ac:dyDescent="0.2">
      <c r="A1506" t="s">
        <v>4429</v>
      </c>
      <c r="B1506" t="s">
        <v>2022</v>
      </c>
      <c r="C1506" t="s">
        <v>2023</v>
      </c>
      <c r="D1506" t="s">
        <v>2024</v>
      </c>
      <c r="E1506" t="s">
        <v>4430</v>
      </c>
      <c r="F1506" t="s">
        <v>4431</v>
      </c>
      <c r="G1506">
        <v>2</v>
      </c>
      <c r="H1506">
        <v>1560</v>
      </c>
      <c r="I1506">
        <v>1</v>
      </c>
      <c r="J1506">
        <v>0.9</v>
      </c>
      <c r="K1506">
        <v>2</v>
      </c>
      <c r="L1506">
        <v>2.5999999999999999E-2</v>
      </c>
      <c r="M1506">
        <v>1</v>
      </c>
      <c r="N1506">
        <v>74</v>
      </c>
      <c r="O1506">
        <v>1</v>
      </c>
      <c r="P1506">
        <v>7.4999999999999997E-2</v>
      </c>
      <c r="Q1506">
        <v>1</v>
      </c>
      <c r="R1506">
        <v>5.0000000000000001E-4</v>
      </c>
      <c r="T1506" s="8" t="s">
        <v>4430</v>
      </c>
    </row>
    <row r="1507" spans="1:20" x14ac:dyDescent="0.2">
      <c r="A1507" t="s">
        <v>4432</v>
      </c>
      <c r="B1507" t="s">
        <v>2022</v>
      </c>
      <c r="C1507" t="s">
        <v>2023</v>
      </c>
      <c r="D1507" t="s">
        <v>2024</v>
      </c>
      <c r="E1507" t="s">
        <v>4433</v>
      </c>
      <c r="F1507" t="s">
        <v>4434</v>
      </c>
      <c r="G1507">
        <v>1</v>
      </c>
      <c r="H1507">
        <v>1480</v>
      </c>
      <c r="I1507">
        <v>2</v>
      </c>
      <c r="J1507">
        <v>3.4</v>
      </c>
      <c r="K1507">
        <v>2</v>
      </c>
      <c r="L1507">
        <v>2.5999999999999999E-2</v>
      </c>
      <c r="M1507">
        <v>2</v>
      </c>
      <c r="N1507">
        <v>84</v>
      </c>
      <c r="O1507">
        <v>1</v>
      </c>
      <c r="P1507">
        <v>7.4999999999999997E-2</v>
      </c>
      <c r="Q1507">
        <v>2</v>
      </c>
      <c r="R1507">
        <v>2E-3</v>
      </c>
      <c r="T1507" s="8" t="s">
        <v>4433</v>
      </c>
    </row>
    <row r="1508" spans="1:20" x14ac:dyDescent="0.2">
      <c r="A1508" t="s">
        <v>4435</v>
      </c>
      <c r="B1508" t="s">
        <v>2022</v>
      </c>
      <c r="C1508" t="s">
        <v>2023</v>
      </c>
      <c r="D1508" t="s">
        <v>2024</v>
      </c>
      <c r="E1508" t="s">
        <v>4436</v>
      </c>
      <c r="F1508" t="s">
        <v>4437</v>
      </c>
      <c r="G1508">
        <v>2</v>
      </c>
      <c r="H1508">
        <v>1560</v>
      </c>
      <c r="I1508">
        <v>2</v>
      </c>
      <c r="J1508">
        <v>3.4</v>
      </c>
      <c r="K1508">
        <v>1</v>
      </c>
      <c r="L1508">
        <v>6.0000000000000001E-3</v>
      </c>
      <c r="M1508">
        <v>4</v>
      </c>
      <c r="N1508">
        <v>104</v>
      </c>
      <c r="O1508">
        <v>2</v>
      </c>
      <c r="P1508">
        <v>0.22500000000000001</v>
      </c>
      <c r="Q1508">
        <v>1</v>
      </c>
      <c r="R1508">
        <v>5.0000000000000001E-4</v>
      </c>
      <c r="T1508" s="8" t="s">
        <v>4436</v>
      </c>
    </row>
    <row r="1509" spans="1:20" x14ac:dyDescent="0.2">
      <c r="A1509" t="s">
        <v>4438</v>
      </c>
      <c r="B1509" t="s">
        <v>2022</v>
      </c>
      <c r="C1509" t="s">
        <v>2053</v>
      </c>
      <c r="D1509" t="s">
        <v>2024</v>
      </c>
      <c r="E1509" t="s">
        <v>4439</v>
      </c>
      <c r="F1509" t="s">
        <v>4440</v>
      </c>
      <c r="G1509">
        <v>1</v>
      </c>
      <c r="H1509">
        <v>1500</v>
      </c>
      <c r="I1509">
        <v>1</v>
      </c>
      <c r="J1509">
        <v>1.55</v>
      </c>
      <c r="K1509">
        <v>1</v>
      </c>
      <c r="L1509">
        <v>1.4999999999999999E-2</v>
      </c>
      <c r="M1509">
        <v>4</v>
      </c>
      <c r="N1509">
        <v>103</v>
      </c>
      <c r="O1509">
        <v>1</v>
      </c>
      <c r="P1509">
        <v>7.4999999999999997E-2</v>
      </c>
      <c r="Q1509">
        <v>1</v>
      </c>
      <c r="R1509">
        <v>8.4999999999999995E-4</v>
      </c>
      <c r="T1509" s="8" t="s">
        <v>4439</v>
      </c>
    </row>
    <row r="1510" spans="1:20" x14ac:dyDescent="0.2">
      <c r="A1510" t="s">
        <v>4441</v>
      </c>
      <c r="B1510" t="s">
        <v>2022</v>
      </c>
      <c r="C1510" t="s">
        <v>2053</v>
      </c>
      <c r="D1510" t="s">
        <v>2024</v>
      </c>
      <c r="E1510" t="s">
        <v>357</v>
      </c>
      <c r="F1510" t="s">
        <v>4442</v>
      </c>
      <c r="G1510">
        <v>5</v>
      </c>
      <c r="H1510">
        <v>1900</v>
      </c>
      <c r="I1510">
        <v>4</v>
      </c>
      <c r="J1510">
        <v>9.0500000000000007</v>
      </c>
      <c r="K1510">
        <v>4</v>
      </c>
      <c r="L1510">
        <v>0.30499999999999999</v>
      </c>
      <c r="M1510">
        <v>4</v>
      </c>
      <c r="N1510">
        <v>103</v>
      </c>
      <c r="O1510">
        <v>4</v>
      </c>
      <c r="P1510">
        <v>0.52500000000000002</v>
      </c>
      <c r="Q1510">
        <v>3</v>
      </c>
      <c r="R1510">
        <v>1.2200000000000001E-2</v>
      </c>
      <c r="T1510" s="8" t="s">
        <v>357</v>
      </c>
    </row>
    <row r="1511" spans="1:20" x14ac:dyDescent="0.2">
      <c r="A1511" t="s">
        <v>4443</v>
      </c>
      <c r="B1511" t="s">
        <v>2022</v>
      </c>
      <c r="C1511" t="s">
        <v>2173</v>
      </c>
      <c r="D1511" t="s">
        <v>2024</v>
      </c>
      <c r="E1511" t="s">
        <v>4444</v>
      </c>
      <c r="F1511" t="s">
        <v>4445</v>
      </c>
      <c r="G1511">
        <v>3</v>
      </c>
      <c r="H1511">
        <v>2032.5</v>
      </c>
      <c r="I1511">
        <v>5</v>
      </c>
      <c r="J1511">
        <v>14.45</v>
      </c>
      <c r="K1511">
        <v>3</v>
      </c>
      <c r="L1511">
        <v>0.21</v>
      </c>
      <c r="M1511">
        <v>4</v>
      </c>
      <c r="N1511">
        <v>129.5</v>
      </c>
      <c r="O1511">
        <v>5</v>
      </c>
      <c r="P1511">
        <v>0.87</v>
      </c>
      <c r="Q1511">
        <v>3</v>
      </c>
      <c r="R1511">
        <v>1.18E-2</v>
      </c>
      <c r="T1511" s="8" t="s">
        <v>4444</v>
      </c>
    </row>
    <row r="1512" spans="1:20" x14ac:dyDescent="0.2">
      <c r="A1512" t="s">
        <v>4446</v>
      </c>
      <c r="B1512" t="s">
        <v>2022</v>
      </c>
      <c r="C1512" t="s">
        <v>2023</v>
      </c>
      <c r="D1512" t="s">
        <v>2024</v>
      </c>
      <c r="E1512" t="s">
        <v>4447</v>
      </c>
      <c r="F1512" t="s">
        <v>4448</v>
      </c>
      <c r="G1512">
        <v>1</v>
      </c>
      <c r="H1512">
        <v>1480</v>
      </c>
      <c r="I1512">
        <v>2</v>
      </c>
      <c r="J1512">
        <v>3.4</v>
      </c>
      <c r="K1512">
        <v>3</v>
      </c>
      <c r="L1512">
        <v>4.5999999999999999E-2</v>
      </c>
      <c r="M1512">
        <v>5</v>
      </c>
      <c r="N1512">
        <v>114</v>
      </c>
      <c r="O1512">
        <v>2</v>
      </c>
      <c r="P1512">
        <v>0.22500000000000001</v>
      </c>
      <c r="Q1512">
        <v>3</v>
      </c>
      <c r="R1512">
        <v>4.0000000000000001E-3</v>
      </c>
      <c r="T1512" s="8" t="s">
        <v>4447</v>
      </c>
    </row>
    <row r="1513" spans="1:20" x14ac:dyDescent="0.2">
      <c r="A1513" t="s">
        <v>4449</v>
      </c>
      <c r="B1513" t="s">
        <v>2022</v>
      </c>
      <c r="C1513" t="s">
        <v>2104</v>
      </c>
      <c r="D1513" t="s">
        <v>2024</v>
      </c>
      <c r="E1513" t="s">
        <v>4450</v>
      </c>
      <c r="F1513" t="s">
        <v>4451</v>
      </c>
      <c r="G1513">
        <v>1</v>
      </c>
      <c r="H1513">
        <v>1537.5</v>
      </c>
      <c r="I1513">
        <v>1</v>
      </c>
      <c r="J1513">
        <v>0.95</v>
      </c>
      <c r="K1513">
        <v>1</v>
      </c>
      <c r="L1513">
        <v>8.0000000000000002E-3</v>
      </c>
      <c r="M1513">
        <v>5</v>
      </c>
      <c r="N1513">
        <v>89</v>
      </c>
      <c r="P1513">
        <v>0</v>
      </c>
      <c r="Q1513">
        <v>2</v>
      </c>
      <c r="R1513">
        <v>3.2000000000000002E-3</v>
      </c>
      <c r="T1513" s="8" t="s">
        <v>4450</v>
      </c>
    </row>
    <row r="1514" spans="1:20" x14ac:dyDescent="0.2">
      <c r="A1514" t="s">
        <v>4452</v>
      </c>
      <c r="B1514" t="s">
        <v>2022</v>
      </c>
      <c r="C1514" t="s">
        <v>2053</v>
      </c>
      <c r="D1514" t="s">
        <v>2024</v>
      </c>
      <c r="E1514" t="s">
        <v>4453</v>
      </c>
      <c r="F1514" t="s">
        <v>4454</v>
      </c>
      <c r="G1514">
        <v>3</v>
      </c>
      <c r="H1514">
        <v>1700</v>
      </c>
      <c r="I1514">
        <v>2</v>
      </c>
      <c r="J1514">
        <v>4.05</v>
      </c>
      <c r="K1514">
        <v>2</v>
      </c>
      <c r="L1514">
        <v>8.5000000000000006E-2</v>
      </c>
      <c r="M1514">
        <v>2</v>
      </c>
      <c r="N1514">
        <v>83</v>
      </c>
      <c r="O1514">
        <v>2</v>
      </c>
      <c r="P1514">
        <v>0.22500000000000001</v>
      </c>
      <c r="Q1514">
        <v>2</v>
      </c>
      <c r="R1514">
        <v>5.1999999999999998E-3</v>
      </c>
      <c r="T1514" s="8" t="s">
        <v>4453</v>
      </c>
    </row>
    <row r="1515" spans="1:20" x14ac:dyDescent="0.2">
      <c r="A1515" t="s">
        <v>4455</v>
      </c>
      <c r="B1515" t="s">
        <v>2022</v>
      </c>
      <c r="C1515" t="s">
        <v>2023</v>
      </c>
      <c r="D1515" t="s">
        <v>2024</v>
      </c>
      <c r="E1515" t="s">
        <v>4456</v>
      </c>
      <c r="F1515" t="s">
        <v>4457</v>
      </c>
      <c r="G1515">
        <v>5</v>
      </c>
      <c r="H1515">
        <v>1800</v>
      </c>
      <c r="I1515">
        <v>5</v>
      </c>
      <c r="J1515">
        <v>10.9</v>
      </c>
      <c r="K1515">
        <v>5</v>
      </c>
      <c r="L1515">
        <v>8.5999999999999993E-2</v>
      </c>
      <c r="M1515">
        <v>3</v>
      </c>
      <c r="N1515">
        <v>94</v>
      </c>
      <c r="O1515">
        <v>5</v>
      </c>
      <c r="P1515">
        <v>0.67500000000000004</v>
      </c>
      <c r="Q1515">
        <v>5</v>
      </c>
      <c r="R1515">
        <v>8.0000000000000002E-3</v>
      </c>
      <c r="T1515" s="8" t="s">
        <v>4456</v>
      </c>
    </row>
    <row r="1516" spans="1:20" x14ac:dyDescent="0.2">
      <c r="A1516" t="s">
        <v>4458</v>
      </c>
      <c r="B1516" t="s">
        <v>2022</v>
      </c>
      <c r="C1516" t="s">
        <v>2023</v>
      </c>
      <c r="D1516" t="s">
        <v>2024</v>
      </c>
      <c r="E1516" t="s">
        <v>4459</v>
      </c>
      <c r="F1516" t="s">
        <v>4460</v>
      </c>
      <c r="G1516">
        <v>5</v>
      </c>
      <c r="H1516">
        <v>1800</v>
      </c>
      <c r="I1516">
        <v>4</v>
      </c>
      <c r="J1516">
        <v>8.4</v>
      </c>
      <c r="K1516">
        <v>5</v>
      </c>
      <c r="L1516">
        <v>8.5999999999999993E-2</v>
      </c>
      <c r="M1516">
        <v>2</v>
      </c>
      <c r="N1516">
        <v>84</v>
      </c>
      <c r="O1516">
        <v>3</v>
      </c>
      <c r="P1516">
        <v>0.375</v>
      </c>
      <c r="Q1516">
        <v>5</v>
      </c>
      <c r="R1516">
        <v>8.0000000000000002E-3</v>
      </c>
      <c r="T1516" s="8" t="s">
        <v>4459</v>
      </c>
    </row>
    <row r="1517" spans="1:20" x14ac:dyDescent="0.2">
      <c r="A1517" t="s">
        <v>4461</v>
      </c>
      <c r="B1517" t="s">
        <v>2022</v>
      </c>
      <c r="C1517" t="s">
        <v>2023</v>
      </c>
      <c r="D1517" t="s">
        <v>2024</v>
      </c>
      <c r="E1517" t="s">
        <v>4462</v>
      </c>
      <c r="F1517" t="s">
        <v>4463</v>
      </c>
      <c r="G1517">
        <v>5</v>
      </c>
      <c r="H1517">
        <v>1800</v>
      </c>
      <c r="I1517">
        <v>5</v>
      </c>
      <c r="J1517">
        <v>10.9</v>
      </c>
      <c r="K1517">
        <v>5</v>
      </c>
      <c r="L1517">
        <v>8.5999999999999993E-2</v>
      </c>
      <c r="M1517">
        <v>4</v>
      </c>
      <c r="N1517">
        <v>104</v>
      </c>
      <c r="O1517">
        <v>5</v>
      </c>
      <c r="P1517">
        <v>0.67500000000000004</v>
      </c>
      <c r="Q1517">
        <v>5</v>
      </c>
      <c r="R1517">
        <v>8.0000000000000002E-3</v>
      </c>
      <c r="T1517" s="8" t="s">
        <v>4462</v>
      </c>
    </row>
    <row r="1518" spans="1:20" x14ac:dyDescent="0.2">
      <c r="A1518" t="s">
        <v>4464</v>
      </c>
      <c r="B1518" t="s">
        <v>2022</v>
      </c>
      <c r="C1518" t="s">
        <v>2036</v>
      </c>
      <c r="D1518" t="s">
        <v>2024</v>
      </c>
      <c r="E1518" t="s">
        <v>4465</v>
      </c>
      <c r="F1518" t="s">
        <v>4466</v>
      </c>
      <c r="G1518">
        <v>5</v>
      </c>
      <c r="H1518">
        <v>1940</v>
      </c>
      <c r="I1518">
        <v>5</v>
      </c>
      <c r="J1518">
        <v>7</v>
      </c>
      <c r="K1518">
        <v>5</v>
      </c>
      <c r="L1518">
        <v>0.17499999999999999</v>
      </c>
      <c r="M1518">
        <v>5</v>
      </c>
      <c r="N1518">
        <v>100</v>
      </c>
      <c r="O1518">
        <v>5</v>
      </c>
      <c r="P1518">
        <v>0.53500000000000003</v>
      </c>
      <c r="Q1518">
        <v>5</v>
      </c>
      <c r="R1518">
        <v>1.2E-2</v>
      </c>
      <c r="T1518" s="8" t="s">
        <v>4465</v>
      </c>
    </row>
    <row r="1519" spans="1:20" x14ac:dyDescent="0.2">
      <c r="A1519" t="s">
        <v>4467</v>
      </c>
      <c r="B1519" t="s">
        <v>2022</v>
      </c>
      <c r="C1519" t="s">
        <v>2036</v>
      </c>
      <c r="D1519" t="s">
        <v>2024</v>
      </c>
      <c r="E1519" t="s">
        <v>4468</v>
      </c>
      <c r="F1519" t="s">
        <v>4469</v>
      </c>
      <c r="G1519">
        <v>4</v>
      </c>
      <c r="H1519">
        <v>1840</v>
      </c>
      <c r="I1519">
        <v>1</v>
      </c>
      <c r="J1519">
        <v>2.2000000000000002</v>
      </c>
      <c r="K1519">
        <v>1</v>
      </c>
      <c r="L1519">
        <v>5.5E-2</v>
      </c>
      <c r="M1519">
        <v>5</v>
      </c>
      <c r="N1519">
        <v>100</v>
      </c>
      <c r="O1519">
        <v>1</v>
      </c>
      <c r="P1519">
        <v>9.5000000000000001E-2</v>
      </c>
      <c r="Q1519">
        <v>2</v>
      </c>
      <c r="R1519">
        <v>4.2500000000000003E-3</v>
      </c>
      <c r="T1519" s="8" t="s">
        <v>4468</v>
      </c>
    </row>
    <row r="1520" spans="1:20" x14ac:dyDescent="0.2">
      <c r="A1520" t="s">
        <v>4470</v>
      </c>
      <c r="B1520" t="s">
        <v>2022</v>
      </c>
      <c r="C1520" t="s">
        <v>2036</v>
      </c>
      <c r="D1520" t="s">
        <v>2024</v>
      </c>
      <c r="E1520" t="s">
        <v>4471</v>
      </c>
      <c r="F1520" t="s">
        <v>4472</v>
      </c>
      <c r="G1520">
        <v>2</v>
      </c>
      <c r="H1520">
        <v>1640</v>
      </c>
      <c r="I1520">
        <v>3</v>
      </c>
      <c r="J1520">
        <v>4.5999999999999996</v>
      </c>
      <c r="K1520">
        <v>2</v>
      </c>
      <c r="L1520">
        <v>8.5000000000000006E-2</v>
      </c>
      <c r="M1520">
        <v>2</v>
      </c>
      <c r="N1520">
        <v>82</v>
      </c>
      <c r="O1520">
        <v>2</v>
      </c>
      <c r="P1520">
        <v>0.20499999999999999</v>
      </c>
      <c r="Q1520">
        <v>2</v>
      </c>
      <c r="R1520">
        <v>4.2500000000000003E-3</v>
      </c>
      <c r="T1520" s="8" t="s">
        <v>4471</v>
      </c>
    </row>
    <row r="1521" spans="1:20" x14ac:dyDescent="0.2">
      <c r="A1521" t="s">
        <v>4473</v>
      </c>
      <c r="B1521" t="s">
        <v>2022</v>
      </c>
      <c r="C1521" t="s">
        <v>2049</v>
      </c>
      <c r="D1521" t="s">
        <v>2136</v>
      </c>
      <c r="E1521" t="s">
        <v>357</v>
      </c>
      <c r="F1521" t="s">
        <v>4474</v>
      </c>
      <c r="G1521">
        <v>2</v>
      </c>
      <c r="H1521">
        <v>1450</v>
      </c>
      <c r="I1521">
        <v>2</v>
      </c>
      <c r="J1521">
        <v>3.2</v>
      </c>
      <c r="K1521">
        <v>1</v>
      </c>
      <c r="L1521">
        <v>0.01</v>
      </c>
      <c r="M1521">
        <v>1</v>
      </c>
      <c r="N1521">
        <v>86</v>
      </c>
      <c r="O1521">
        <v>2</v>
      </c>
      <c r="P1521">
        <v>0.26</v>
      </c>
      <c r="Q1521">
        <v>1</v>
      </c>
      <c r="R1521">
        <v>8.4999999999999995E-4</v>
      </c>
      <c r="T1521" s="8" t="s">
        <v>357</v>
      </c>
    </row>
    <row r="1522" spans="1:20" x14ac:dyDescent="0.2">
      <c r="A1522" t="s">
        <v>4475</v>
      </c>
      <c r="B1522" t="s">
        <v>2022</v>
      </c>
      <c r="C1522" t="s">
        <v>2053</v>
      </c>
      <c r="D1522" t="s">
        <v>2024</v>
      </c>
      <c r="E1522" t="s">
        <v>4476</v>
      </c>
      <c r="F1522" t="s">
        <v>906</v>
      </c>
      <c r="G1522">
        <v>5</v>
      </c>
      <c r="H1522">
        <v>1900</v>
      </c>
      <c r="I1522">
        <v>2</v>
      </c>
      <c r="J1522">
        <v>4.05</v>
      </c>
      <c r="K1522">
        <v>2</v>
      </c>
      <c r="L1522">
        <v>8.5000000000000006E-2</v>
      </c>
      <c r="M1522">
        <v>5</v>
      </c>
      <c r="N1522">
        <v>113</v>
      </c>
      <c r="O1522">
        <v>2</v>
      </c>
      <c r="P1522">
        <v>0.22500000000000001</v>
      </c>
      <c r="Q1522">
        <v>2</v>
      </c>
      <c r="R1522">
        <v>5.1999999999999998E-3</v>
      </c>
      <c r="T1522" s="8" t="s">
        <v>4476</v>
      </c>
    </row>
    <row r="1523" spans="1:20" x14ac:dyDescent="0.2">
      <c r="A1523" t="s">
        <v>4477</v>
      </c>
      <c r="B1523" t="s">
        <v>2022</v>
      </c>
      <c r="C1523" t="s">
        <v>2053</v>
      </c>
      <c r="D1523" t="s">
        <v>2024</v>
      </c>
      <c r="E1523" t="s">
        <v>4478</v>
      </c>
      <c r="F1523" t="s">
        <v>4479</v>
      </c>
      <c r="G1523">
        <v>3</v>
      </c>
      <c r="H1523">
        <v>1700</v>
      </c>
      <c r="I1523">
        <v>3</v>
      </c>
      <c r="J1523">
        <v>6.55</v>
      </c>
      <c r="K1523">
        <v>3</v>
      </c>
      <c r="L1523">
        <v>0.19500000000000001</v>
      </c>
      <c r="M1523">
        <v>2</v>
      </c>
      <c r="N1523">
        <v>83</v>
      </c>
      <c r="O1523">
        <v>3</v>
      </c>
      <c r="P1523">
        <v>0.375</v>
      </c>
      <c r="Q1523">
        <v>3</v>
      </c>
      <c r="R1523">
        <v>1.2200000000000001E-2</v>
      </c>
      <c r="T1523" s="8" t="s">
        <v>4478</v>
      </c>
    </row>
    <row r="1524" spans="1:20" x14ac:dyDescent="0.2">
      <c r="A1524" t="s">
        <v>4480</v>
      </c>
      <c r="B1524" t="s">
        <v>2022</v>
      </c>
      <c r="C1524" t="s">
        <v>2222</v>
      </c>
      <c r="D1524" t="s">
        <v>2024</v>
      </c>
      <c r="E1524" t="s">
        <v>4481</v>
      </c>
      <c r="F1524" t="s">
        <v>4482</v>
      </c>
      <c r="G1524">
        <v>2</v>
      </c>
      <c r="H1524">
        <v>1550</v>
      </c>
      <c r="I1524">
        <v>2</v>
      </c>
      <c r="J1524">
        <v>3.9</v>
      </c>
      <c r="K1524">
        <v>2</v>
      </c>
      <c r="L1524">
        <v>5.5E-2</v>
      </c>
      <c r="M1524">
        <v>2</v>
      </c>
      <c r="N1524">
        <v>63</v>
      </c>
      <c r="O1524">
        <v>2</v>
      </c>
      <c r="P1524">
        <v>0.15</v>
      </c>
      <c r="Q1524">
        <v>2</v>
      </c>
      <c r="R1524">
        <v>2.3E-3</v>
      </c>
      <c r="T1524" s="8" t="s">
        <v>4481</v>
      </c>
    </row>
    <row r="1525" spans="1:20" x14ac:dyDescent="0.2">
      <c r="A1525" t="s">
        <v>4483</v>
      </c>
      <c r="B1525" t="s">
        <v>2022</v>
      </c>
      <c r="C1525" t="s">
        <v>2095</v>
      </c>
      <c r="D1525" t="s">
        <v>2024</v>
      </c>
      <c r="E1525" t="s">
        <v>4484</v>
      </c>
      <c r="F1525" t="s">
        <v>4485</v>
      </c>
      <c r="G1525">
        <v>4</v>
      </c>
      <c r="H1525">
        <v>1835</v>
      </c>
      <c r="I1525">
        <v>4</v>
      </c>
      <c r="J1525">
        <v>13.5</v>
      </c>
      <c r="K1525">
        <v>4</v>
      </c>
      <c r="L1525">
        <v>0.53</v>
      </c>
      <c r="M1525">
        <v>1</v>
      </c>
      <c r="N1525">
        <v>74</v>
      </c>
      <c r="O1525">
        <v>3</v>
      </c>
      <c r="P1525">
        <v>0.55000000000000004</v>
      </c>
      <c r="Q1525">
        <v>4</v>
      </c>
      <c r="R1525">
        <v>2.3900000000000001E-2</v>
      </c>
      <c r="T1525" s="8" t="s">
        <v>4484</v>
      </c>
    </row>
    <row r="1526" spans="1:20" x14ac:dyDescent="0.2">
      <c r="A1526" t="s">
        <v>4486</v>
      </c>
      <c r="B1526" t="s">
        <v>2022</v>
      </c>
      <c r="C1526" t="s">
        <v>2104</v>
      </c>
      <c r="D1526" t="s">
        <v>2024</v>
      </c>
      <c r="E1526" t="s">
        <v>272</v>
      </c>
      <c r="F1526" t="s">
        <v>4487</v>
      </c>
      <c r="G1526">
        <v>3</v>
      </c>
      <c r="H1526">
        <v>1887.5</v>
      </c>
      <c r="I1526">
        <v>2</v>
      </c>
      <c r="J1526">
        <v>3.25</v>
      </c>
      <c r="K1526">
        <v>2</v>
      </c>
      <c r="L1526">
        <v>4.1000000000000002E-2</v>
      </c>
      <c r="M1526">
        <v>3</v>
      </c>
      <c r="N1526">
        <v>73</v>
      </c>
      <c r="P1526">
        <v>0</v>
      </c>
      <c r="Q1526">
        <v>2</v>
      </c>
      <c r="R1526">
        <v>3.2000000000000002E-3</v>
      </c>
      <c r="T1526" s="8" t="s">
        <v>272</v>
      </c>
    </row>
    <row r="1527" spans="1:20" x14ac:dyDescent="0.2">
      <c r="A1527" t="s">
        <v>4488</v>
      </c>
      <c r="B1527" t="s">
        <v>2022</v>
      </c>
      <c r="C1527" t="s">
        <v>2023</v>
      </c>
      <c r="D1527" t="s">
        <v>2024</v>
      </c>
      <c r="E1527" t="s">
        <v>4489</v>
      </c>
      <c r="F1527" t="s">
        <v>4490</v>
      </c>
      <c r="G1527">
        <v>1</v>
      </c>
      <c r="H1527">
        <v>1480</v>
      </c>
      <c r="I1527">
        <v>1</v>
      </c>
      <c r="J1527">
        <v>0.9</v>
      </c>
      <c r="K1527">
        <v>2</v>
      </c>
      <c r="L1527">
        <v>2.5999999999999999E-2</v>
      </c>
      <c r="M1527">
        <v>1</v>
      </c>
      <c r="N1527">
        <v>74</v>
      </c>
      <c r="O1527">
        <v>1</v>
      </c>
      <c r="P1527">
        <v>7.4999999999999997E-2</v>
      </c>
      <c r="Q1527">
        <v>2</v>
      </c>
      <c r="R1527">
        <v>2E-3</v>
      </c>
      <c r="T1527" s="8" t="s">
        <v>4489</v>
      </c>
    </row>
    <row r="1528" spans="1:20" x14ac:dyDescent="0.2">
      <c r="A1528" t="s">
        <v>4491</v>
      </c>
      <c r="B1528" t="s">
        <v>2022</v>
      </c>
      <c r="C1528" t="s">
        <v>2023</v>
      </c>
      <c r="D1528" t="s">
        <v>2024</v>
      </c>
      <c r="E1528" t="s">
        <v>4492</v>
      </c>
      <c r="F1528" t="s">
        <v>4493</v>
      </c>
      <c r="G1528">
        <v>2</v>
      </c>
      <c r="H1528">
        <v>1560</v>
      </c>
      <c r="I1528">
        <v>1</v>
      </c>
      <c r="J1528">
        <v>0.9</v>
      </c>
      <c r="K1528">
        <v>2</v>
      </c>
      <c r="L1528">
        <v>2.5999999999999999E-2</v>
      </c>
      <c r="M1528">
        <v>5</v>
      </c>
      <c r="N1528">
        <v>114</v>
      </c>
      <c r="O1528">
        <v>2</v>
      </c>
      <c r="P1528">
        <v>0.22500000000000001</v>
      </c>
      <c r="Q1528">
        <v>3</v>
      </c>
      <c r="R1528">
        <v>4.0000000000000001E-3</v>
      </c>
      <c r="T1528" s="8" t="s">
        <v>4492</v>
      </c>
    </row>
    <row r="1529" spans="1:20" x14ac:dyDescent="0.2">
      <c r="A1529" t="s">
        <v>4494</v>
      </c>
      <c r="B1529" t="s">
        <v>2022</v>
      </c>
      <c r="C1529" t="s">
        <v>2036</v>
      </c>
      <c r="D1529" t="s">
        <v>2024</v>
      </c>
      <c r="E1529" t="s">
        <v>4495</v>
      </c>
      <c r="F1529" t="s">
        <v>4496</v>
      </c>
      <c r="G1529">
        <v>1</v>
      </c>
      <c r="H1529">
        <v>1540</v>
      </c>
      <c r="I1529">
        <v>1</v>
      </c>
      <c r="J1529">
        <v>2.2000000000000002</v>
      </c>
      <c r="K1529">
        <v>1</v>
      </c>
      <c r="L1529">
        <v>5.5E-2</v>
      </c>
      <c r="M1529">
        <v>1</v>
      </c>
      <c r="N1529">
        <v>76</v>
      </c>
      <c r="O1529">
        <v>1</v>
      </c>
      <c r="P1529">
        <v>9.5000000000000001E-2</v>
      </c>
      <c r="Q1529">
        <v>1</v>
      </c>
      <c r="R1529">
        <v>1.5E-3</v>
      </c>
      <c r="T1529" s="8" t="s">
        <v>4495</v>
      </c>
    </row>
    <row r="1530" spans="1:20" x14ac:dyDescent="0.2">
      <c r="A1530" t="s">
        <v>4497</v>
      </c>
      <c r="B1530" t="s">
        <v>2022</v>
      </c>
      <c r="C1530" t="s">
        <v>2095</v>
      </c>
      <c r="D1530" t="s">
        <v>2024</v>
      </c>
      <c r="E1530" t="s">
        <v>4498</v>
      </c>
      <c r="F1530" t="s">
        <v>4499</v>
      </c>
      <c r="G1530">
        <v>1</v>
      </c>
      <c r="H1530">
        <v>1565</v>
      </c>
      <c r="I1530">
        <v>1</v>
      </c>
      <c r="J1530">
        <v>4.5</v>
      </c>
      <c r="K1530">
        <v>1</v>
      </c>
      <c r="L1530">
        <v>1.4999999999999999E-2</v>
      </c>
      <c r="M1530">
        <v>1</v>
      </c>
      <c r="N1530">
        <v>74</v>
      </c>
      <c r="O1530">
        <v>1</v>
      </c>
      <c r="P1530">
        <v>0.15</v>
      </c>
      <c r="Q1530">
        <v>1</v>
      </c>
      <c r="R1530">
        <v>6.9999999999999999E-4</v>
      </c>
      <c r="T1530" s="8" t="s">
        <v>4498</v>
      </c>
    </row>
    <row r="1531" spans="1:20" x14ac:dyDescent="0.2">
      <c r="A1531" t="s">
        <v>4500</v>
      </c>
      <c r="B1531" t="s">
        <v>2022</v>
      </c>
      <c r="C1531" t="s">
        <v>2053</v>
      </c>
      <c r="D1531" t="s">
        <v>2024</v>
      </c>
      <c r="E1531" t="s">
        <v>255</v>
      </c>
      <c r="F1531" t="s">
        <v>4501</v>
      </c>
      <c r="G1531">
        <v>2</v>
      </c>
      <c r="H1531">
        <v>1600</v>
      </c>
      <c r="I1531">
        <v>3</v>
      </c>
      <c r="J1531">
        <v>6.55</v>
      </c>
      <c r="K1531">
        <v>3</v>
      </c>
      <c r="L1531">
        <v>0.19500000000000001</v>
      </c>
      <c r="M1531">
        <v>2</v>
      </c>
      <c r="N1531">
        <v>83</v>
      </c>
      <c r="O1531">
        <v>3</v>
      </c>
      <c r="P1531">
        <v>0.375</v>
      </c>
      <c r="Q1531">
        <v>2</v>
      </c>
      <c r="R1531">
        <v>5.1999999999999998E-3</v>
      </c>
      <c r="T1531" s="8" t="s">
        <v>255</v>
      </c>
    </row>
    <row r="1532" spans="1:20" x14ac:dyDescent="0.2">
      <c r="A1532" t="s">
        <v>4502</v>
      </c>
      <c r="B1532" t="s">
        <v>2022</v>
      </c>
      <c r="C1532" t="s">
        <v>2053</v>
      </c>
      <c r="D1532" t="s">
        <v>2024</v>
      </c>
      <c r="E1532" t="s">
        <v>4503</v>
      </c>
      <c r="F1532" t="s">
        <v>4504</v>
      </c>
      <c r="G1532">
        <v>2</v>
      </c>
      <c r="H1532">
        <v>1600</v>
      </c>
      <c r="I1532">
        <v>2</v>
      </c>
      <c r="J1532">
        <v>4.05</v>
      </c>
      <c r="K1532">
        <v>3</v>
      </c>
      <c r="L1532">
        <v>0.19500000000000001</v>
      </c>
      <c r="M1532">
        <v>5</v>
      </c>
      <c r="N1532">
        <v>113</v>
      </c>
      <c r="O1532">
        <v>3</v>
      </c>
      <c r="P1532">
        <v>0.375</v>
      </c>
      <c r="Q1532">
        <v>3</v>
      </c>
      <c r="R1532">
        <v>1.2200000000000001E-2</v>
      </c>
      <c r="T1532" s="8" t="s">
        <v>4503</v>
      </c>
    </row>
    <row r="1533" spans="1:20" x14ac:dyDescent="0.2">
      <c r="A1533" t="s">
        <v>4505</v>
      </c>
      <c r="B1533" t="s">
        <v>2022</v>
      </c>
      <c r="C1533" t="s">
        <v>2036</v>
      </c>
      <c r="D1533" t="s">
        <v>2024</v>
      </c>
      <c r="E1533" t="s">
        <v>4506</v>
      </c>
      <c r="F1533" t="s">
        <v>4507</v>
      </c>
      <c r="G1533">
        <v>2</v>
      </c>
      <c r="H1533">
        <v>1640</v>
      </c>
      <c r="I1533">
        <v>2</v>
      </c>
      <c r="J1533">
        <v>3.4</v>
      </c>
      <c r="K1533">
        <v>3</v>
      </c>
      <c r="L1533">
        <v>0.115</v>
      </c>
      <c r="M1533">
        <v>2</v>
      </c>
      <c r="N1533">
        <v>82</v>
      </c>
      <c r="O1533">
        <v>2</v>
      </c>
      <c r="P1533">
        <v>0.20499999999999999</v>
      </c>
      <c r="Q1533">
        <v>3</v>
      </c>
      <c r="R1533">
        <v>6.7499999999999999E-3</v>
      </c>
      <c r="T1533" s="8" t="s">
        <v>4506</v>
      </c>
    </row>
    <row r="1534" spans="1:20" x14ac:dyDescent="0.2">
      <c r="A1534" t="s">
        <v>4508</v>
      </c>
      <c r="B1534" t="s">
        <v>2022</v>
      </c>
      <c r="C1534" t="s">
        <v>2036</v>
      </c>
      <c r="D1534" t="s">
        <v>2136</v>
      </c>
      <c r="E1534" t="s">
        <v>4509</v>
      </c>
      <c r="F1534" t="s">
        <v>4510</v>
      </c>
      <c r="G1534">
        <v>3</v>
      </c>
      <c r="H1534">
        <v>1740</v>
      </c>
      <c r="I1534">
        <v>4</v>
      </c>
      <c r="J1534">
        <v>5.8</v>
      </c>
      <c r="K1534">
        <v>3</v>
      </c>
      <c r="L1534">
        <v>0.115</v>
      </c>
      <c r="M1534">
        <v>3</v>
      </c>
      <c r="N1534">
        <v>88</v>
      </c>
      <c r="O1534">
        <v>3</v>
      </c>
      <c r="P1534">
        <v>0.315</v>
      </c>
      <c r="Q1534">
        <v>2</v>
      </c>
      <c r="R1534">
        <v>4.2500000000000003E-3</v>
      </c>
      <c r="T1534" s="8" t="s">
        <v>4509</v>
      </c>
    </row>
    <row r="1535" spans="1:20" x14ac:dyDescent="0.2">
      <c r="A1535" t="s">
        <v>4511</v>
      </c>
      <c r="B1535" t="s">
        <v>2022</v>
      </c>
      <c r="C1535" t="s">
        <v>2101</v>
      </c>
      <c r="D1535" t="s">
        <v>2024</v>
      </c>
      <c r="E1535" t="s">
        <v>4512</v>
      </c>
      <c r="F1535" t="s">
        <v>4513</v>
      </c>
      <c r="G1535">
        <v>2</v>
      </c>
      <c r="H1535">
        <v>1670</v>
      </c>
      <c r="I1535">
        <v>4</v>
      </c>
      <c r="J1535">
        <v>11</v>
      </c>
      <c r="K1535">
        <v>4</v>
      </c>
      <c r="L1535">
        <v>0.39050000000000001</v>
      </c>
      <c r="M1535">
        <v>1</v>
      </c>
      <c r="N1535">
        <v>66</v>
      </c>
      <c r="O1535">
        <v>3</v>
      </c>
      <c r="P1535">
        <v>0.375</v>
      </c>
      <c r="Q1535">
        <v>3</v>
      </c>
      <c r="R1535">
        <v>1.15E-2</v>
      </c>
      <c r="T1535" s="8" t="s">
        <v>4512</v>
      </c>
    </row>
    <row r="1536" spans="1:20" x14ac:dyDescent="0.2">
      <c r="A1536" t="s">
        <v>4514</v>
      </c>
      <c r="B1536" t="s">
        <v>2022</v>
      </c>
      <c r="C1536" t="s">
        <v>2023</v>
      </c>
      <c r="D1536" t="s">
        <v>2024</v>
      </c>
      <c r="E1536" t="s">
        <v>4515</v>
      </c>
      <c r="F1536" t="s">
        <v>4516</v>
      </c>
      <c r="G1536">
        <v>2</v>
      </c>
      <c r="H1536">
        <v>1560</v>
      </c>
      <c r="I1536">
        <v>4</v>
      </c>
      <c r="J1536">
        <v>8.4</v>
      </c>
      <c r="K1536">
        <v>5</v>
      </c>
      <c r="L1536">
        <v>8.5999999999999993E-2</v>
      </c>
      <c r="M1536">
        <v>3</v>
      </c>
      <c r="N1536">
        <v>94</v>
      </c>
      <c r="O1536">
        <v>4</v>
      </c>
      <c r="P1536">
        <v>0.52500000000000002</v>
      </c>
      <c r="Q1536">
        <v>5</v>
      </c>
      <c r="R1536">
        <v>8.0000000000000002E-3</v>
      </c>
      <c r="T1536" s="8" t="s">
        <v>4515</v>
      </c>
    </row>
    <row r="1537" spans="1:20" x14ac:dyDescent="0.2">
      <c r="A1537" t="s">
        <v>4517</v>
      </c>
      <c r="B1537" t="s">
        <v>2022</v>
      </c>
      <c r="C1537" t="s">
        <v>2053</v>
      </c>
      <c r="D1537" t="s">
        <v>2024</v>
      </c>
      <c r="E1537" t="s">
        <v>4518</v>
      </c>
      <c r="F1537" t="s">
        <v>4519</v>
      </c>
      <c r="G1537">
        <v>2</v>
      </c>
      <c r="H1537">
        <v>1600</v>
      </c>
      <c r="I1537">
        <v>3</v>
      </c>
      <c r="J1537">
        <v>6.55</v>
      </c>
      <c r="K1537">
        <v>2</v>
      </c>
      <c r="L1537">
        <v>8.5000000000000006E-2</v>
      </c>
      <c r="M1537">
        <v>1</v>
      </c>
      <c r="N1537">
        <v>73</v>
      </c>
      <c r="O1537">
        <v>3</v>
      </c>
      <c r="P1537">
        <v>0.375</v>
      </c>
      <c r="Q1537">
        <v>2</v>
      </c>
      <c r="R1537">
        <v>5.1999999999999998E-3</v>
      </c>
      <c r="T1537" s="8" t="s">
        <v>4518</v>
      </c>
    </row>
    <row r="1538" spans="1:20" x14ac:dyDescent="0.2">
      <c r="A1538" t="s">
        <v>4520</v>
      </c>
      <c r="B1538" t="s">
        <v>2022</v>
      </c>
      <c r="C1538" t="s">
        <v>2036</v>
      </c>
      <c r="D1538" t="s">
        <v>2024</v>
      </c>
      <c r="E1538" t="s">
        <v>4521</v>
      </c>
      <c r="F1538" t="s">
        <v>4522</v>
      </c>
      <c r="G1538">
        <v>4</v>
      </c>
      <c r="H1538">
        <v>1840</v>
      </c>
      <c r="I1538">
        <v>2</v>
      </c>
      <c r="J1538">
        <v>3.4</v>
      </c>
      <c r="K1538">
        <v>4</v>
      </c>
      <c r="L1538">
        <v>0.14499999999999999</v>
      </c>
      <c r="M1538">
        <v>4</v>
      </c>
      <c r="N1538">
        <v>94</v>
      </c>
      <c r="O1538">
        <v>2</v>
      </c>
      <c r="P1538">
        <v>0.20499999999999999</v>
      </c>
      <c r="Q1538">
        <v>3</v>
      </c>
      <c r="R1538">
        <v>6.7499999999999999E-3</v>
      </c>
      <c r="T1538" s="8" t="s">
        <v>4521</v>
      </c>
    </row>
    <row r="1539" spans="1:20" x14ac:dyDescent="0.2">
      <c r="A1539" t="s">
        <v>4523</v>
      </c>
      <c r="B1539" t="s">
        <v>2022</v>
      </c>
      <c r="C1539" t="s">
        <v>2023</v>
      </c>
      <c r="D1539" t="s">
        <v>2024</v>
      </c>
      <c r="E1539" t="s">
        <v>4524</v>
      </c>
      <c r="F1539" t="s">
        <v>4525</v>
      </c>
      <c r="G1539">
        <v>4</v>
      </c>
      <c r="H1539">
        <v>1720</v>
      </c>
      <c r="I1539">
        <v>3</v>
      </c>
      <c r="J1539">
        <v>5.9</v>
      </c>
      <c r="K1539">
        <v>4</v>
      </c>
      <c r="L1539">
        <v>6.6000000000000003E-2</v>
      </c>
      <c r="M1539">
        <v>2</v>
      </c>
      <c r="N1539">
        <v>84</v>
      </c>
      <c r="O1539">
        <v>3</v>
      </c>
      <c r="P1539">
        <v>0.375</v>
      </c>
      <c r="Q1539">
        <v>3</v>
      </c>
      <c r="R1539">
        <v>4.0000000000000001E-3</v>
      </c>
      <c r="T1539" s="8" t="s">
        <v>4524</v>
      </c>
    </row>
    <row r="1540" spans="1:20" x14ac:dyDescent="0.2">
      <c r="A1540" t="s">
        <v>4526</v>
      </c>
      <c r="B1540" t="s">
        <v>2022</v>
      </c>
      <c r="C1540" t="s">
        <v>2023</v>
      </c>
      <c r="D1540" t="s">
        <v>2024</v>
      </c>
      <c r="E1540" t="s">
        <v>4527</v>
      </c>
      <c r="F1540" t="s">
        <v>4528</v>
      </c>
      <c r="G1540">
        <v>3</v>
      </c>
      <c r="H1540">
        <v>1640</v>
      </c>
      <c r="I1540">
        <v>4</v>
      </c>
      <c r="J1540">
        <v>8.4</v>
      </c>
      <c r="K1540">
        <v>5</v>
      </c>
      <c r="L1540">
        <v>8.5999999999999993E-2</v>
      </c>
      <c r="M1540">
        <v>4</v>
      </c>
      <c r="N1540">
        <v>104</v>
      </c>
      <c r="O1540">
        <v>4</v>
      </c>
      <c r="P1540">
        <v>0.52500000000000002</v>
      </c>
      <c r="Q1540">
        <v>5</v>
      </c>
      <c r="R1540">
        <v>8.0000000000000002E-3</v>
      </c>
      <c r="T1540" s="8" t="s">
        <v>4527</v>
      </c>
    </row>
    <row r="1541" spans="1:20" x14ac:dyDescent="0.2">
      <c r="A1541" t="s">
        <v>4529</v>
      </c>
      <c r="B1541" t="s">
        <v>2022</v>
      </c>
      <c r="C1541" t="s">
        <v>2023</v>
      </c>
      <c r="D1541" t="s">
        <v>2024</v>
      </c>
      <c r="E1541" t="s">
        <v>4530</v>
      </c>
      <c r="F1541" t="s">
        <v>4531</v>
      </c>
      <c r="G1541">
        <v>3</v>
      </c>
      <c r="H1541">
        <v>1640</v>
      </c>
      <c r="I1541">
        <v>2</v>
      </c>
      <c r="J1541">
        <v>3.4</v>
      </c>
      <c r="K1541">
        <v>2</v>
      </c>
      <c r="L1541">
        <v>2.5999999999999999E-2</v>
      </c>
      <c r="M1541">
        <v>2</v>
      </c>
      <c r="N1541">
        <v>84</v>
      </c>
      <c r="O1541">
        <v>2</v>
      </c>
      <c r="P1541">
        <v>0.22500000000000001</v>
      </c>
      <c r="Q1541">
        <v>1</v>
      </c>
      <c r="R1541">
        <v>5.0000000000000001E-4</v>
      </c>
      <c r="T1541" s="8" t="s">
        <v>4530</v>
      </c>
    </row>
    <row r="1542" spans="1:20" x14ac:dyDescent="0.2">
      <c r="A1542" t="s">
        <v>4532</v>
      </c>
      <c r="B1542" t="s">
        <v>2022</v>
      </c>
      <c r="C1542" t="s">
        <v>2023</v>
      </c>
      <c r="D1542" t="s">
        <v>2024</v>
      </c>
      <c r="E1542" t="s">
        <v>4533</v>
      </c>
      <c r="F1542" t="s">
        <v>4534</v>
      </c>
      <c r="G1542">
        <v>4</v>
      </c>
      <c r="H1542">
        <v>1720</v>
      </c>
      <c r="I1542">
        <v>3</v>
      </c>
      <c r="J1542">
        <v>5.9</v>
      </c>
      <c r="K1542">
        <v>2</v>
      </c>
      <c r="L1542">
        <v>2.5999999999999999E-2</v>
      </c>
      <c r="M1542">
        <v>2</v>
      </c>
      <c r="N1542">
        <v>84</v>
      </c>
      <c r="O1542">
        <v>2</v>
      </c>
      <c r="P1542">
        <v>0.22500000000000001</v>
      </c>
      <c r="Q1542">
        <v>2</v>
      </c>
      <c r="R1542">
        <v>2E-3</v>
      </c>
      <c r="T1542" s="8" t="s">
        <v>4533</v>
      </c>
    </row>
    <row r="1543" spans="1:20" x14ac:dyDescent="0.2">
      <c r="A1543" t="s">
        <v>4535</v>
      </c>
      <c r="B1543" t="s">
        <v>2022</v>
      </c>
      <c r="C1543" t="s">
        <v>2049</v>
      </c>
      <c r="D1543" t="s">
        <v>2136</v>
      </c>
      <c r="E1543" t="s">
        <v>4536</v>
      </c>
      <c r="F1543" t="s">
        <v>4537</v>
      </c>
      <c r="G1543">
        <v>1</v>
      </c>
      <c r="H1543">
        <v>1350</v>
      </c>
      <c r="I1543">
        <v>1</v>
      </c>
      <c r="J1543">
        <v>1.4</v>
      </c>
      <c r="K1543">
        <v>2</v>
      </c>
      <c r="L1543">
        <v>0.06</v>
      </c>
      <c r="M1543">
        <v>5</v>
      </c>
      <c r="N1543">
        <v>166</v>
      </c>
      <c r="O1543">
        <v>2</v>
      </c>
      <c r="P1543">
        <v>0.26</v>
      </c>
      <c r="Q1543">
        <v>2</v>
      </c>
      <c r="R1543">
        <v>6.1999999999999998E-3</v>
      </c>
      <c r="T1543" s="8" t="s">
        <v>4536</v>
      </c>
    </row>
    <row r="1544" spans="1:20" x14ac:dyDescent="0.2">
      <c r="A1544" t="s">
        <v>4538</v>
      </c>
      <c r="B1544" t="s">
        <v>2022</v>
      </c>
      <c r="C1544" t="s">
        <v>2036</v>
      </c>
      <c r="D1544" t="s">
        <v>2024</v>
      </c>
      <c r="E1544" t="s">
        <v>4539</v>
      </c>
      <c r="F1544" t="s">
        <v>4540</v>
      </c>
      <c r="G1544">
        <v>2</v>
      </c>
      <c r="H1544">
        <v>1640</v>
      </c>
      <c r="I1544">
        <v>1</v>
      </c>
      <c r="J1544">
        <v>2.2000000000000002</v>
      </c>
      <c r="K1544">
        <v>1</v>
      </c>
      <c r="L1544">
        <v>5.5E-2</v>
      </c>
      <c r="M1544">
        <v>2</v>
      </c>
      <c r="N1544">
        <v>82</v>
      </c>
      <c r="O1544">
        <v>1</v>
      </c>
      <c r="P1544">
        <v>9.5000000000000001E-2</v>
      </c>
      <c r="Q1544">
        <v>1</v>
      </c>
      <c r="R1544">
        <v>1.5E-3</v>
      </c>
      <c r="T1544" s="8" t="s">
        <v>4539</v>
      </c>
    </row>
    <row r="1545" spans="1:20" x14ac:dyDescent="0.2">
      <c r="A1545" t="s">
        <v>4541</v>
      </c>
      <c r="B1545" t="s">
        <v>2022</v>
      </c>
      <c r="C1545" t="s">
        <v>2101</v>
      </c>
      <c r="D1545" t="s">
        <v>2024</v>
      </c>
      <c r="E1545" t="s">
        <v>4542</v>
      </c>
      <c r="F1545" t="s">
        <v>4543</v>
      </c>
      <c r="G1545">
        <v>4</v>
      </c>
      <c r="H1545">
        <v>1870</v>
      </c>
      <c r="I1545">
        <v>1</v>
      </c>
      <c r="J1545">
        <v>2</v>
      </c>
      <c r="K1545">
        <v>2</v>
      </c>
      <c r="L1545">
        <v>9.6500000000000002E-2</v>
      </c>
      <c r="M1545">
        <v>5</v>
      </c>
      <c r="N1545">
        <v>98</v>
      </c>
      <c r="O1545">
        <v>2</v>
      </c>
      <c r="P1545">
        <v>0.22500000000000001</v>
      </c>
      <c r="Q1545">
        <v>2</v>
      </c>
      <c r="R1545">
        <v>4.4999999999999997E-3</v>
      </c>
      <c r="T1545" s="8" t="s">
        <v>4542</v>
      </c>
    </row>
    <row r="1546" spans="1:20" x14ac:dyDescent="0.2">
      <c r="A1546" t="s">
        <v>4544</v>
      </c>
      <c r="B1546" t="s">
        <v>2022</v>
      </c>
      <c r="C1546" t="s">
        <v>2023</v>
      </c>
      <c r="D1546" t="s">
        <v>2024</v>
      </c>
      <c r="E1546" t="s">
        <v>4542</v>
      </c>
      <c r="F1546" t="s">
        <v>4543</v>
      </c>
      <c r="G1546">
        <v>3</v>
      </c>
      <c r="H1546">
        <v>1640</v>
      </c>
      <c r="I1546">
        <v>2</v>
      </c>
      <c r="J1546">
        <v>3.4</v>
      </c>
      <c r="K1546">
        <v>5</v>
      </c>
      <c r="L1546">
        <v>8.5999999999999993E-2</v>
      </c>
      <c r="M1546">
        <v>1</v>
      </c>
      <c r="N1546">
        <v>74</v>
      </c>
      <c r="O1546">
        <v>2</v>
      </c>
      <c r="P1546">
        <v>0.22500000000000001</v>
      </c>
      <c r="Q1546">
        <v>3</v>
      </c>
      <c r="R1546">
        <v>4.0000000000000001E-3</v>
      </c>
      <c r="T1546" s="8" t="s">
        <v>4542</v>
      </c>
    </row>
    <row r="1547" spans="1:20" x14ac:dyDescent="0.2">
      <c r="A1547" t="s">
        <v>4545</v>
      </c>
      <c r="B1547" t="s">
        <v>2022</v>
      </c>
      <c r="C1547" t="s">
        <v>2023</v>
      </c>
      <c r="D1547" t="s">
        <v>2024</v>
      </c>
      <c r="E1547" t="s">
        <v>4546</v>
      </c>
      <c r="F1547" t="s">
        <v>4547</v>
      </c>
      <c r="G1547">
        <v>3</v>
      </c>
      <c r="H1547">
        <v>1640</v>
      </c>
      <c r="I1547">
        <v>3</v>
      </c>
      <c r="J1547">
        <v>5.9</v>
      </c>
      <c r="K1547">
        <v>5</v>
      </c>
      <c r="L1547">
        <v>8.5999999999999993E-2</v>
      </c>
      <c r="M1547">
        <v>2</v>
      </c>
      <c r="N1547">
        <v>84</v>
      </c>
      <c r="O1547">
        <v>3</v>
      </c>
      <c r="P1547">
        <v>0.375</v>
      </c>
      <c r="Q1547">
        <v>4</v>
      </c>
      <c r="R1547">
        <v>6.0000000000000001E-3</v>
      </c>
      <c r="T1547" s="8" t="s">
        <v>4546</v>
      </c>
    </row>
    <row r="1548" spans="1:20" x14ac:dyDescent="0.2">
      <c r="A1548" t="s">
        <v>4548</v>
      </c>
      <c r="B1548" t="s">
        <v>2022</v>
      </c>
      <c r="C1548" t="s">
        <v>2036</v>
      </c>
      <c r="D1548" t="s">
        <v>2024</v>
      </c>
      <c r="E1548" t="s">
        <v>4549</v>
      </c>
      <c r="F1548" t="s">
        <v>4550</v>
      </c>
      <c r="G1548">
        <v>1</v>
      </c>
      <c r="H1548">
        <v>1540</v>
      </c>
      <c r="I1548">
        <v>1</v>
      </c>
      <c r="J1548">
        <v>2.2000000000000002</v>
      </c>
      <c r="K1548">
        <v>2</v>
      </c>
      <c r="L1548">
        <v>8.5000000000000006E-2</v>
      </c>
      <c r="M1548">
        <v>1</v>
      </c>
      <c r="N1548">
        <v>76</v>
      </c>
      <c r="O1548">
        <v>1</v>
      </c>
      <c r="P1548">
        <v>9.5000000000000001E-2</v>
      </c>
      <c r="Q1548">
        <v>2</v>
      </c>
      <c r="R1548">
        <v>4.2500000000000003E-3</v>
      </c>
      <c r="T1548" s="8" t="s">
        <v>4549</v>
      </c>
    </row>
    <row r="1549" spans="1:20" x14ac:dyDescent="0.2">
      <c r="A1549" t="s">
        <v>4551</v>
      </c>
      <c r="B1549" t="s">
        <v>2022</v>
      </c>
      <c r="C1549" t="s">
        <v>2036</v>
      </c>
      <c r="D1549" t="s">
        <v>2024</v>
      </c>
      <c r="E1549" t="s">
        <v>4552</v>
      </c>
      <c r="F1549" t="s">
        <v>4553</v>
      </c>
      <c r="G1549">
        <v>4</v>
      </c>
      <c r="H1549">
        <v>1840</v>
      </c>
      <c r="I1549">
        <v>2</v>
      </c>
      <c r="J1549">
        <v>3.4</v>
      </c>
      <c r="K1549">
        <v>1</v>
      </c>
      <c r="L1549">
        <v>5.5E-2</v>
      </c>
      <c r="M1549">
        <v>3</v>
      </c>
      <c r="N1549">
        <v>88</v>
      </c>
      <c r="O1549">
        <v>2</v>
      </c>
      <c r="P1549">
        <v>0.20499999999999999</v>
      </c>
      <c r="Q1549">
        <v>1</v>
      </c>
      <c r="R1549">
        <v>1.5E-3</v>
      </c>
      <c r="T1549" s="8" t="s">
        <v>4552</v>
      </c>
    </row>
    <row r="1550" spans="1:20" x14ac:dyDescent="0.2">
      <c r="A1550" t="s">
        <v>4554</v>
      </c>
      <c r="B1550" t="s">
        <v>2022</v>
      </c>
      <c r="C1550" t="s">
        <v>2049</v>
      </c>
      <c r="D1550" t="s">
        <v>2136</v>
      </c>
      <c r="E1550" t="s">
        <v>357</v>
      </c>
      <c r="F1550" t="s">
        <v>447</v>
      </c>
      <c r="G1550">
        <v>1</v>
      </c>
      <c r="H1550">
        <v>1350</v>
      </c>
      <c r="I1550">
        <v>3</v>
      </c>
      <c r="J1550">
        <v>5</v>
      </c>
      <c r="K1550">
        <v>4</v>
      </c>
      <c r="L1550">
        <v>0.22</v>
      </c>
      <c r="M1550">
        <v>5</v>
      </c>
      <c r="N1550">
        <v>166</v>
      </c>
      <c r="O1550">
        <v>5</v>
      </c>
      <c r="P1550">
        <v>0.86</v>
      </c>
      <c r="Q1550">
        <v>5</v>
      </c>
      <c r="R1550">
        <v>3.32E-2</v>
      </c>
      <c r="T1550" s="8" t="s">
        <v>357</v>
      </c>
    </row>
    <row r="1551" spans="1:20" x14ac:dyDescent="0.2">
      <c r="A1551" t="s">
        <v>4555</v>
      </c>
      <c r="B1551" t="s">
        <v>2022</v>
      </c>
      <c r="C1551" t="s">
        <v>2023</v>
      </c>
      <c r="D1551" t="s">
        <v>2136</v>
      </c>
      <c r="E1551" t="s">
        <v>357</v>
      </c>
      <c r="F1551" t="s">
        <v>447</v>
      </c>
      <c r="G1551">
        <v>1</v>
      </c>
      <c r="H1551">
        <v>1480</v>
      </c>
      <c r="I1551">
        <v>2</v>
      </c>
      <c r="J1551">
        <v>3.4</v>
      </c>
      <c r="K1551">
        <v>2</v>
      </c>
      <c r="L1551">
        <v>2.5999999999999999E-2</v>
      </c>
      <c r="M1551">
        <v>5</v>
      </c>
      <c r="N1551">
        <v>114</v>
      </c>
      <c r="O1551">
        <v>4</v>
      </c>
      <c r="P1551">
        <v>0.52500000000000002</v>
      </c>
      <c r="Q1551">
        <v>4</v>
      </c>
      <c r="R1551">
        <v>6.0000000000000001E-3</v>
      </c>
      <c r="T1551" s="8" t="s">
        <v>357</v>
      </c>
    </row>
    <row r="1552" spans="1:20" x14ac:dyDescent="0.2">
      <c r="A1552" t="s">
        <v>4556</v>
      </c>
      <c r="B1552" t="s">
        <v>2022</v>
      </c>
      <c r="C1552" t="s">
        <v>2053</v>
      </c>
      <c r="D1552" t="s">
        <v>2024</v>
      </c>
      <c r="E1552" t="s">
        <v>4557</v>
      </c>
      <c r="F1552" t="s">
        <v>4558</v>
      </c>
      <c r="G1552">
        <v>2</v>
      </c>
      <c r="H1552">
        <v>1600</v>
      </c>
      <c r="I1552">
        <v>5</v>
      </c>
      <c r="J1552">
        <v>11.55</v>
      </c>
      <c r="K1552">
        <v>5</v>
      </c>
      <c r="L1552">
        <v>0.41499999999999998</v>
      </c>
      <c r="M1552">
        <v>2</v>
      </c>
      <c r="N1552">
        <v>83</v>
      </c>
      <c r="O1552">
        <v>5</v>
      </c>
      <c r="P1552">
        <v>0.67500000000000004</v>
      </c>
      <c r="Q1552">
        <v>4</v>
      </c>
      <c r="R1552">
        <v>1.9199999999999998E-2</v>
      </c>
      <c r="T1552" s="8" t="s">
        <v>4557</v>
      </c>
    </row>
    <row r="1553" spans="1:20" x14ac:dyDescent="0.2">
      <c r="A1553" t="s">
        <v>4559</v>
      </c>
      <c r="B1553" t="s">
        <v>2022</v>
      </c>
      <c r="C1553" t="s">
        <v>2053</v>
      </c>
      <c r="D1553" t="s">
        <v>2024</v>
      </c>
      <c r="E1553" t="s">
        <v>4560</v>
      </c>
      <c r="F1553" t="s">
        <v>4561</v>
      </c>
      <c r="G1553">
        <v>2</v>
      </c>
      <c r="H1553">
        <v>1600</v>
      </c>
      <c r="I1553">
        <v>5</v>
      </c>
      <c r="J1553">
        <v>11.55</v>
      </c>
      <c r="K1553">
        <v>5</v>
      </c>
      <c r="L1553">
        <v>0.41499999999999998</v>
      </c>
      <c r="M1553">
        <v>1</v>
      </c>
      <c r="N1553">
        <v>73</v>
      </c>
      <c r="O1553">
        <v>5</v>
      </c>
      <c r="P1553">
        <v>0.67500000000000004</v>
      </c>
      <c r="Q1553">
        <v>5</v>
      </c>
      <c r="R1553">
        <v>2.6200000000000001E-2</v>
      </c>
      <c r="T1553" s="8" t="s">
        <v>4560</v>
      </c>
    </row>
    <row r="1554" spans="1:20" x14ac:dyDescent="0.2">
      <c r="A1554" t="s">
        <v>4562</v>
      </c>
      <c r="B1554" t="s">
        <v>2022</v>
      </c>
      <c r="C1554" t="s">
        <v>2023</v>
      </c>
      <c r="D1554" t="s">
        <v>2024</v>
      </c>
      <c r="E1554" t="s">
        <v>4563</v>
      </c>
      <c r="F1554" t="s">
        <v>4564</v>
      </c>
      <c r="G1554">
        <v>5</v>
      </c>
      <c r="H1554">
        <v>1800</v>
      </c>
      <c r="I1554">
        <v>4</v>
      </c>
      <c r="J1554">
        <v>8.4</v>
      </c>
      <c r="K1554">
        <v>5</v>
      </c>
      <c r="L1554">
        <v>8.5999999999999993E-2</v>
      </c>
      <c r="M1554">
        <v>5</v>
      </c>
      <c r="N1554">
        <v>114</v>
      </c>
      <c r="O1554">
        <v>4</v>
      </c>
      <c r="P1554">
        <v>0.52500000000000002</v>
      </c>
      <c r="Q1554">
        <v>5</v>
      </c>
      <c r="R1554">
        <v>8.0000000000000002E-3</v>
      </c>
      <c r="T1554" s="8" t="s">
        <v>4563</v>
      </c>
    </row>
    <row r="1555" spans="1:20" x14ac:dyDescent="0.2">
      <c r="A1555" t="s">
        <v>4565</v>
      </c>
      <c r="B1555" t="s">
        <v>2022</v>
      </c>
      <c r="C1555" t="s">
        <v>2053</v>
      </c>
      <c r="D1555" t="s">
        <v>2024</v>
      </c>
      <c r="E1555" t="s">
        <v>4566</v>
      </c>
      <c r="F1555" t="s">
        <v>4567</v>
      </c>
      <c r="G1555">
        <v>3</v>
      </c>
      <c r="H1555">
        <v>1700</v>
      </c>
      <c r="I1555">
        <v>2</v>
      </c>
      <c r="J1555">
        <v>4.05</v>
      </c>
      <c r="K1555">
        <v>2</v>
      </c>
      <c r="L1555">
        <v>8.5000000000000006E-2</v>
      </c>
      <c r="M1555">
        <v>3</v>
      </c>
      <c r="N1555">
        <v>93</v>
      </c>
      <c r="O1555">
        <v>2</v>
      </c>
      <c r="P1555">
        <v>0.22500000000000001</v>
      </c>
      <c r="Q1555">
        <v>2</v>
      </c>
      <c r="R1555">
        <v>5.1999999999999998E-3</v>
      </c>
      <c r="T1555" s="8" t="s">
        <v>4566</v>
      </c>
    </row>
    <row r="1556" spans="1:20" x14ac:dyDescent="0.2">
      <c r="A1556" t="s">
        <v>4568</v>
      </c>
      <c r="B1556" t="s">
        <v>2022</v>
      </c>
      <c r="C1556" t="s">
        <v>2036</v>
      </c>
      <c r="D1556" t="s">
        <v>2024</v>
      </c>
      <c r="E1556" t="s">
        <v>259</v>
      </c>
      <c r="F1556" t="s">
        <v>4569</v>
      </c>
      <c r="G1556">
        <v>1</v>
      </c>
      <c r="H1556">
        <v>1540</v>
      </c>
      <c r="I1556">
        <v>3</v>
      </c>
      <c r="J1556">
        <v>4.5999999999999996</v>
      </c>
      <c r="K1556">
        <v>3</v>
      </c>
      <c r="L1556">
        <v>0.115</v>
      </c>
      <c r="M1556">
        <v>1</v>
      </c>
      <c r="N1556">
        <v>76</v>
      </c>
      <c r="O1556">
        <v>2</v>
      </c>
      <c r="P1556">
        <v>0.20499999999999999</v>
      </c>
      <c r="Q1556">
        <v>2</v>
      </c>
      <c r="R1556">
        <v>4.2500000000000003E-3</v>
      </c>
      <c r="T1556" s="8" t="s">
        <v>259</v>
      </c>
    </row>
    <row r="1557" spans="1:20" x14ac:dyDescent="0.2">
      <c r="A1557" t="s">
        <v>4570</v>
      </c>
      <c r="B1557" t="s">
        <v>2022</v>
      </c>
      <c r="C1557" t="s">
        <v>2036</v>
      </c>
      <c r="D1557" t="s">
        <v>2024</v>
      </c>
      <c r="E1557" t="s">
        <v>4571</v>
      </c>
      <c r="F1557" t="s">
        <v>4572</v>
      </c>
      <c r="G1557">
        <v>3</v>
      </c>
      <c r="H1557">
        <v>1740</v>
      </c>
      <c r="I1557">
        <v>5</v>
      </c>
      <c r="J1557">
        <v>7</v>
      </c>
      <c r="K1557">
        <v>4</v>
      </c>
      <c r="L1557">
        <v>0.14499999999999999</v>
      </c>
      <c r="M1557">
        <v>4</v>
      </c>
      <c r="N1557">
        <v>94</v>
      </c>
      <c r="O1557">
        <v>4</v>
      </c>
      <c r="P1557">
        <v>0.42499999999999999</v>
      </c>
      <c r="Q1557">
        <v>3</v>
      </c>
      <c r="R1557">
        <v>6.7499999999999999E-3</v>
      </c>
      <c r="T1557" s="8" t="s">
        <v>4571</v>
      </c>
    </row>
    <row r="1558" spans="1:20" x14ac:dyDescent="0.2">
      <c r="A1558" t="s">
        <v>4573</v>
      </c>
      <c r="B1558" t="s">
        <v>2022</v>
      </c>
      <c r="C1558" t="s">
        <v>2023</v>
      </c>
      <c r="D1558" t="s">
        <v>2154</v>
      </c>
      <c r="E1558" t="s">
        <v>4574</v>
      </c>
      <c r="F1558" t="s">
        <v>4575</v>
      </c>
      <c r="G1558">
        <v>4</v>
      </c>
      <c r="H1558">
        <v>1720</v>
      </c>
      <c r="I1558">
        <v>5</v>
      </c>
      <c r="J1558">
        <v>10.9</v>
      </c>
      <c r="K1558">
        <v>5</v>
      </c>
      <c r="L1558">
        <v>8.5999999999999993E-2</v>
      </c>
      <c r="M1558">
        <v>3</v>
      </c>
      <c r="N1558">
        <v>94</v>
      </c>
      <c r="O1558">
        <v>5</v>
      </c>
      <c r="P1558">
        <v>0.67500000000000004</v>
      </c>
      <c r="Q1558">
        <v>5</v>
      </c>
      <c r="R1558">
        <v>8.0000000000000002E-3</v>
      </c>
      <c r="T1558" s="8" t="s">
        <v>4574</v>
      </c>
    </row>
    <row r="1559" spans="1:20" x14ac:dyDescent="0.2">
      <c r="A1559" t="s">
        <v>4576</v>
      </c>
      <c r="B1559" t="s">
        <v>2022</v>
      </c>
      <c r="C1559" t="s">
        <v>2023</v>
      </c>
      <c r="D1559" t="s">
        <v>2024</v>
      </c>
      <c r="E1559" t="s">
        <v>4577</v>
      </c>
      <c r="F1559" t="s">
        <v>4578</v>
      </c>
      <c r="G1559">
        <v>1</v>
      </c>
      <c r="H1559">
        <v>1480</v>
      </c>
      <c r="I1559">
        <v>2</v>
      </c>
      <c r="J1559">
        <v>3.4</v>
      </c>
      <c r="K1559">
        <v>3</v>
      </c>
      <c r="L1559">
        <v>4.5999999999999999E-2</v>
      </c>
      <c r="M1559">
        <v>2</v>
      </c>
      <c r="N1559">
        <v>84</v>
      </c>
      <c r="O1559">
        <v>1</v>
      </c>
      <c r="P1559">
        <v>7.4999999999999997E-2</v>
      </c>
      <c r="Q1559">
        <v>2</v>
      </c>
      <c r="R1559">
        <v>2E-3</v>
      </c>
      <c r="T1559" s="8" t="s">
        <v>4577</v>
      </c>
    </row>
    <row r="1560" spans="1:20" x14ac:dyDescent="0.2">
      <c r="A1560" t="s">
        <v>4579</v>
      </c>
      <c r="B1560" t="s">
        <v>2022</v>
      </c>
      <c r="C1560" t="s">
        <v>2023</v>
      </c>
      <c r="D1560" t="s">
        <v>2024</v>
      </c>
      <c r="E1560" t="s">
        <v>4580</v>
      </c>
      <c r="F1560" t="s">
        <v>4581</v>
      </c>
      <c r="G1560">
        <v>3</v>
      </c>
      <c r="H1560">
        <v>1640</v>
      </c>
      <c r="I1560">
        <v>5</v>
      </c>
      <c r="J1560">
        <v>10.9</v>
      </c>
      <c r="K1560">
        <v>5</v>
      </c>
      <c r="L1560">
        <v>8.5999999999999993E-2</v>
      </c>
      <c r="M1560">
        <v>5</v>
      </c>
      <c r="N1560">
        <v>114</v>
      </c>
      <c r="O1560">
        <v>5</v>
      </c>
      <c r="P1560">
        <v>0.67500000000000004</v>
      </c>
      <c r="Q1560">
        <v>5</v>
      </c>
      <c r="R1560">
        <v>8.0000000000000002E-3</v>
      </c>
      <c r="T1560" s="8" t="s">
        <v>4580</v>
      </c>
    </row>
    <row r="1561" spans="1:20" x14ac:dyDescent="0.2">
      <c r="A1561" t="s">
        <v>4582</v>
      </c>
      <c r="B1561" t="s">
        <v>2022</v>
      </c>
      <c r="C1561" t="s">
        <v>2053</v>
      </c>
      <c r="D1561" t="s">
        <v>2024</v>
      </c>
      <c r="E1561" t="s">
        <v>4583</v>
      </c>
      <c r="F1561" t="s">
        <v>4584</v>
      </c>
      <c r="G1561">
        <v>4</v>
      </c>
      <c r="H1561">
        <v>1800</v>
      </c>
      <c r="I1561">
        <v>4</v>
      </c>
      <c r="J1561">
        <v>9.0500000000000007</v>
      </c>
      <c r="K1561">
        <v>3</v>
      </c>
      <c r="L1561">
        <v>0.19500000000000001</v>
      </c>
      <c r="M1561">
        <v>5</v>
      </c>
      <c r="N1561">
        <v>113</v>
      </c>
      <c r="O1561">
        <v>4</v>
      </c>
      <c r="P1561">
        <v>0.52500000000000002</v>
      </c>
      <c r="Q1561">
        <v>3</v>
      </c>
      <c r="R1561">
        <v>1.2200000000000001E-2</v>
      </c>
      <c r="T1561" s="8" t="s">
        <v>4583</v>
      </c>
    </row>
    <row r="1562" spans="1:20" x14ac:dyDescent="0.2">
      <c r="A1562" t="s">
        <v>4585</v>
      </c>
      <c r="B1562" t="s">
        <v>2022</v>
      </c>
      <c r="C1562" t="s">
        <v>2023</v>
      </c>
      <c r="D1562" t="s">
        <v>2024</v>
      </c>
      <c r="E1562" t="s">
        <v>4586</v>
      </c>
      <c r="F1562" t="s">
        <v>447</v>
      </c>
      <c r="G1562">
        <v>3</v>
      </c>
      <c r="H1562">
        <v>1640</v>
      </c>
      <c r="I1562">
        <v>2</v>
      </c>
      <c r="J1562">
        <v>3.4</v>
      </c>
      <c r="K1562">
        <v>2</v>
      </c>
      <c r="L1562">
        <v>2.5999999999999999E-2</v>
      </c>
      <c r="M1562">
        <v>1</v>
      </c>
      <c r="N1562">
        <v>74</v>
      </c>
      <c r="O1562">
        <v>2</v>
      </c>
      <c r="P1562">
        <v>0.22500000000000001</v>
      </c>
      <c r="Q1562">
        <v>2</v>
      </c>
      <c r="R1562">
        <v>2E-3</v>
      </c>
      <c r="T1562" s="8" t="s">
        <v>4586</v>
      </c>
    </row>
    <row r="1563" spans="1:20" x14ac:dyDescent="0.2">
      <c r="A1563" t="s">
        <v>4587</v>
      </c>
      <c r="B1563" t="s">
        <v>2022</v>
      </c>
      <c r="C1563" t="s">
        <v>2023</v>
      </c>
      <c r="D1563" t="s">
        <v>2136</v>
      </c>
      <c r="E1563" t="s">
        <v>960</v>
      </c>
      <c r="F1563" t="s">
        <v>4588</v>
      </c>
      <c r="G1563">
        <v>2</v>
      </c>
      <c r="H1563">
        <v>1560</v>
      </c>
      <c r="I1563">
        <v>2</v>
      </c>
      <c r="J1563">
        <v>3.4</v>
      </c>
      <c r="K1563">
        <v>2</v>
      </c>
      <c r="L1563">
        <v>2.5999999999999999E-2</v>
      </c>
      <c r="M1563">
        <v>3</v>
      </c>
      <c r="N1563">
        <v>94</v>
      </c>
      <c r="O1563">
        <v>2</v>
      </c>
      <c r="P1563">
        <v>0.22500000000000001</v>
      </c>
      <c r="Q1563">
        <v>2</v>
      </c>
      <c r="R1563">
        <v>2E-3</v>
      </c>
      <c r="T1563" s="8" t="s">
        <v>960</v>
      </c>
    </row>
    <row r="1564" spans="1:20" x14ac:dyDescent="0.2">
      <c r="A1564" t="s">
        <v>4589</v>
      </c>
      <c r="B1564" t="s">
        <v>2022</v>
      </c>
      <c r="C1564" t="s">
        <v>2028</v>
      </c>
      <c r="D1564" t="s">
        <v>2024</v>
      </c>
      <c r="E1564" t="s">
        <v>4590</v>
      </c>
      <c r="F1564" t="s">
        <v>4591</v>
      </c>
      <c r="G1564">
        <v>5</v>
      </c>
      <c r="H1564">
        <v>1450</v>
      </c>
      <c r="I1564">
        <v>5</v>
      </c>
      <c r="J1564">
        <v>6.65</v>
      </c>
      <c r="K1564">
        <v>4</v>
      </c>
      <c r="L1564">
        <v>0.193</v>
      </c>
      <c r="M1564">
        <v>2</v>
      </c>
      <c r="N1564">
        <v>200</v>
      </c>
      <c r="O1564">
        <v>3</v>
      </c>
      <c r="P1564">
        <v>0.75</v>
      </c>
      <c r="Q1564">
        <v>4</v>
      </c>
      <c r="R1564">
        <v>2.4750000000000001E-2</v>
      </c>
      <c r="T1564" s="8" t="s">
        <v>4590</v>
      </c>
    </row>
    <row r="1565" spans="1:20" x14ac:dyDescent="0.2">
      <c r="A1565" t="s">
        <v>4592</v>
      </c>
      <c r="B1565" t="s">
        <v>2022</v>
      </c>
      <c r="C1565" t="s">
        <v>2023</v>
      </c>
      <c r="D1565" t="s">
        <v>2024</v>
      </c>
      <c r="E1565" t="s">
        <v>4593</v>
      </c>
      <c r="F1565" t="s">
        <v>4594</v>
      </c>
      <c r="G1565">
        <v>5</v>
      </c>
      <c r="H1565">
        <v>1800</v>
      </c>
      <c r="I1565">
        <v>5</v>
      </c>
      <c r="J1565">
        <v>10.9</v>
      </c>
      <c r="K1565">
        <v>5</v>
      </c>
      <c r="L1565">
        <v>8.5999999999999993E-2</v>
      </c>
      <c r="M1565">
        <v>2</v>
      </c>
      <c r="N1565">
        <v>84</v>
      </c>
      <c r="O1565">
        <v>4</v>
      </c>
      <c r="P1565">
        <v>0.52500000000000002</v>
      </c>
      <c r="Q1565">
        <v>5</v>
      </c>
      <c r="R1565">
        <v>8.0000000000000002E-3</v>
      </c>
      <c r="T1565" s="8" t="s">
        <v>4593</v>
      </c>
    </row>
    <row r="1566" spans="1:20" x14ac:dyDescent="0.2">
      <c r="A1566" t="s">
        <v>4595</v>
      </c>
      <c r="B1566" t="s">
        <v>2022</v>
      </c>
      <c r="C1566" t="s">
        <v>2023</v>
      </c>
      <c r="D1566" t="s">
        <v>2024</v>
      </c>
      <c r="E1566" t="s">
        <v>4593</v>
      </c>
      <c r="F1566" t="s">
        <v>4594</v>
      </c>
      <c r="G1566">
        <v>3</v>
      </c>
      <c r="H1566">
        <v>1640</v>
      </c>
      <c r="I1566">
        <v>3</v>
      </c>
      <c r="J1566">
        <v>5.9</v>
      </c>
      <c r="K1566">
        <v>5</v>
      </c>
      <c r="L1566">
        <v>8.5999999999999993E-2</v>
      </c>
      <c r="M1566">
        <v>3</v>
      </c>
      <c r="N1566">
        <v>94</v>
      </c>
      <c r="O1566">
        <v>2</v>
      </c>
      <c r="P1566">
        <v>0.22500000000000001</v>
      </c>
      <c r="Q1566">
        <v>3</v>
      </c>
      <c r="R1566">
        <v>4.0000000000000001E-3</v>
      </c>
      <c r="T1566" s="8" t="s">
        <v>4593</v>
      </c>
    </row>
    <row r="1567" spans="1:20" x14ac:dyDescent="0.2">
      <c r="A1567" t="s">
        <v>4596</v>
      </c>
      <c r="B1567" t="s">
        <v>2022</v>
      </c>
      <c r="C1567" t="s">
        <v>2023</v>
      </c>
      <c r="D1567" t="s">
        <v>2024</v>
      </c>
      <c r="E1567" t="s">
        <v>357</v>
      </c>
      <c r="F1567" t="s">
        <v>4597</v>
      </c>
      <c r="G1567">
        <v>4</v>
      </c>
      <c r="H1567">
        <v>1720</v>
      </c>
      <c r="I1567">
        <v>5</v>
      </c>
      <c r="J1567">
        <v>10.9</v>
      </c>
      <c r="K1567">
        <v>5</v>
      </c>
      <c r="L1567">
        <v>8.5999999999999993E-2</v>
      </c>
      <c r="M1567">
        <v>3</v>
      </c>
      <c r="N1567">
        <v>94</v>
      </c>
      <c r="O1567">
        <v>5</v>
      </c>
      <c r="P1567">
        <v>0.67500000000000004</v>
      </c>
      <c r="Q1567">
        <v>5</v>
      </c>
      <c r="R1567">
        <v>8.0000000000000002E-3</v>
      </c>
      <c r="T1567" s="8" t="s">
        <v>357</v>
      </c>
    </row>
    <row r="1568" spans="1:20" x14ac:dyDescent="0.2">
      <c r="A1568" t="s">
        <v>4598</v>
      </c>
      <c r="B1568" t="s">
        <v>2022</v>
      </c>
      <c r="C1568" t="s">
        <v>2023</v>
      </c>
      <c r="D1568" t="s">
        <v>2024</v>
      </c>
      <c r="E1568" t="s">
        <v>4599</v>
      </c>
      <c r="F1568" t="s">
        <v>447</v>
      </c>
      <c r="G1568">
        <v>1</v>
      </c>
      <c r="H1568">
        <v>1480</v>
      </c>
      <c r="I1568">
        <v>4</v>
      </c>
      <c r="J1568">
        <v>8.4</v>
      </c>
      <c r="K1568">
        <v>3</v>
      </c>
      <c r="L1568">
        <v>4.5999999999999999E-2</v>
      </c>
      <c r="M1568">
        <v>5</v>
      </c>
      <c r="N1568">
        <v>114</v>
      </c>
      <c r="O1568">
        <v>5</v>
      </c>
      <c r="P1568">
        <v>0.67500000000000004</v>
      </c>
      <c r="Q1568">
        <v>5</v>
      </c>
      <c r="R1568">
        <v>8.0000000000000002E-3</v>
      </c>
      <c r="T1568" s="8" t="s">
        <v>4599</v>
      </c>
    </row>
    <row r="1569" spans="1:20" x14ac:dyDescent="0.2">
      <c r="A1569" t="s">
        <v>4600</v>
      </c>
      <c r="B1569" t="s">
        <v>2022</v>
      </c>
      <c r="C1569" t="s">
        <v>2053</v>
      </c>
      <c r="D1569" t="s">
        <v>2024</v>
      </c>
      <c r="E1569" t="s">
        <v>4601</v>
      </c>
      <c r="F1569" t="s">
        <v>4602</v>
      </c>
      <c r="G1569">
        <v>2</v>
      </c>
      <c r="H1569">
        <v>1600</v>
      </c>
      <c r="I1569">
        <v>3</v>
      </c>
      <c r="J1569">
        <v>6.55</v>
      </c>
      <c r="K1569">
        <v>3</v>
      </c>
      <c r="L1569">
        <v>0.19500000000000001</v>
      </c>
      <c r="M1569">
        <v>2</v>
      </c>
      <c r="N1569">
        <v>83</v>
      </c>
      <c r="O1569">
        <v>3</v>
      </c>
      <c r="P1569">
        <v>0.375</v>
      </c>
      <c r="Q1569">
        <v>2</v>
      </c>
      <c r="R1569">
        <v>5.1999999999999998E-3</v>
      </c>
      <c r="T1569" s="8" t="s">
        <v>4601</v>
      </c>
    </row>
    <row r="1570" spans="1:20" x14ac:dyDescent="0.2">
      <c r="A1570" t="s">
        <v>4603</v>
      </c>
      <c r="B1570" t="s">
        <v>2022</v>
      </c>
      <c r="C1570" t="s">
        <v>2023</v>
      </c>
      <c r="D1570" t="s">
        <v>2024</v>
      </c>
      <c r="E1570" t="s">
        <v>4604</v>
      </c>
      <c r="F1570" t="s">
        <v>4605</v>
      </c>
      <c r="G1570">
        <v>3</v>
      </c>
      <c r="H1570">
        <v>1640</v>
      </c>
      <c r="I1570">
        <v>4</v>
      </c>
      <c r="J1570">
        <v>8.4</v>
      </c>
      <c r="K1570">
        <v>5</v>
      </c>
      <c r="L1570">
        <v>8.5999999999999993E-2</v>
      </c>
      <c r="M1570">
        <v>5</v>
      </c>
      <c r="N1570">
        <v>114</v>
      </c>
      <c r="O1570">
        <v>5</v>
      </c>
      <c r="P1570">
        <v>0.67500000000000004</v>
      </c>
      <c r="Q1570">
        <v>5</v>
      </c>
      <c r="R1570">
        <v>8.0000000000000002E-3</v>
      </c>
      <c r="T1570" s="8" t="s">
        <v>4604</v>
      </c>
    </row>
    <row r="1571" spans="1:20" x14ac:dyDescent="0.2">
      <c r="A1571" t="s">
        <v>4606</v>
      </c>
      <c r="B1571" t="s">
        <v>2022</v>
      </c>
      <c r="C1571" t="s">
        <v>2023</v>
      </c>
      <c r="D1571" t="s">
        <v>2024</v>
      </c>
      <c r="E1571" t="s">
        <v>4607</v>
      </c>
      <c r="F1571" t="s">
        <v>4608</v>
      </c>
      <c r="G1571">
        <v>2</v>
      </c>
      <c r="H1571">
        <v>1560</v>
      </c>
      <c r="I1571">
        <v>2</v>
      </c>
      <c r="J1571">
        <v>3.4</v>
      </c>
      <c r="K1571">
        <v>3</v>
      </c>
      <c r="L1571">
        <v>4.5999999999999999E-2</v>
      </c>
      <c r="M1571">
        <v>2</v>
      </c>
      <c r="N1571">
        <v>84</v>
      </c>
      <c r="O1571">
        <v>2</v>
      </c>
      <c r="P1571">
        <v>0.22500000000000001</v>
      </c>
      <c r="Q1571">
        <v>2</v>
      </c>
      <c r="R1571">
        <v>2E-3</v>
      </c>
      <c r="T1571" s="8" t="s">
        <v>4607</v>
      </c>
    </row>
    <row r="1572" spans="1:20" x14ac:dyDescent="0.2">
      <c r="A1572" t="s">
        <v>4609</v>
      </c>
      <c r="B1572" t="s">
        <v>2022</v>
      </c>
      <c r="C1572" t="s">
        <v>2053</v>
      </c>
      <c r="D1572" t="s">
        <v>2024</v>
      </c>
      <c r="E1572" t="s">
        <v>4610</v>
      </c>
      <c r="F1572" t="s">
        <v>4611</v>
      </c>
      <c r="G1572">
        <v>5</v>
      </c>
      <c r="H1572">
        <v>1900</v>
      </c>
      <c r="I1572">
        <v>5</v>
      </c>
      <c r="J1572">
        <v>11.55</v>
      </c>
      <c r="K1572">
        <v>5</v>
      </c>
      <c r="L1572">
        <v>0.41499999999999998</v>
      </c>
      <c r="M1572">
        <v>2</v>
      </c>
      <c r="N1572">
        <v>83</v>
      </c>
      <c r="O1572">
        <v>4</v>
      </c>
      <c r="P1572">
        <v>0.52500000000000002</v>
      </c>
      <c r="Q1572">
        <v>4</v>
      </c>
      <c r="R1572">
        <v>1.9199999999999998E-2</v>
      </c>
      <c r="T1572" s="8" t="s">
        <v>4610</v>
      </c>
    </row>
    <row r="1573" spans="1:20" x14ac:dyDescent="0.2">
      <c r="A1573" t="s">
        <v>4612</v>
      </c>
      <c r="B1573" t="s">
        <v>2022</v>
      </c>
      <c r="C1573" t="s">
        <v>2101</v>
      </c>
      <c r="D1573" t="s">
        <v>2024</v>
      </c>
      <c r="E1573" t="s">
        <v>4613</v>
      </c>
      <c r="F1573" t="s">
        <v>4614</v>
      </c>
      <c r="G1573">
        <v>2</v>
      </c>
      <c r="H1573">
        <v>1670</v>
      </c>
      <c r="I1573">
        <v>5</v>
      </c>
      <c r="J1573">
        <v>14</v>
      </c>
      <c r="K1573">
        <v>5</v>
      </c>
      <c r="L1573">
        <v>0.53749999999999998</v>
      </c>
      <c r="M1573">
        <v>2</v>
      </c>
      <c r="N1573">
        <v>74</v>
      </c>
      <c r="O1573">
        <v>4</v>
      </c>
      <c r="P1573">
        <v>0.52500000000000002</v>
      </c>
      <c r="Q1573">
        <v>5</v>
      </c>
      <c r="R1573">
        <v>2.5499999999999998E-2</v>
      </c>
      <c r="T1573" s="8" t="s">
        <v>4613</v>
      </c>
    </row>
    <row r="1574" spans="1:20" x14ac:dyDescent="0.2">
      <c r="A1574" t="s">
        <v>4615</v>
      </c>
      <c r="B1574" t="s">
        <v>2022</v>
      </c>
      <c r="C1574" t="s">
        <v>2023</v>
      </c>
      <c r="D1574" t="s">
        <v>2024</v>
      </c>
      <c r="E1574" t="s">
        <v>4616</v>
      </c>
      <c r="F1574" t="s">
        <v>4617</v>
      </c>
      <c r="G1574">
        <v>4</v>
      </c>
      <c r="H1574">
        <v>1720</v>
      </c>
      <c r="I1574">
        <v>5</v>
      </c>
      <c r="J1574">
        <v>10.9</v>
      </c>
      <c r="K1574">
        <v>5</v>
      </c>
      <c r="L1574">
        <v>8.5999999999999993E-2</v>
      </c>
      <c r="M1574">
        <v>2</v>
      </c>
      <c r="N1574">
        <v>84</v>
      </c>
      <c r="O1574">
        <v>5</v>
      </c>
      <c r="P1574">
        <v>0.67500000000000004</v>
      </c>
      <c r="Q1574">
        <v>5</v>
      </c>
      <c r="R1574">
        <v>8.0000000000000002E-3</v>
      </c>
      <c r="T1574" s="8" t="s">
        <v>4616</v>
      </c>
    </row>
    <row r="1575" spans="1:20" x14ac:dyDescent="0.2">
      <c r="A1575" t="s">
        <v>4618</v>
      </c>
      <c r="B1575" t="s">
        <v>2022</v>
      </c>
      <c r="C1575" t="s">
        <v>2053</v>
      </c>
      <c r="D1575" t="s">
        <v>2024</v>
      </c>
      <c r="E1575" t="s">
        <v>4619</v>
      </c>
      <c r="F1575" t="s">
        <v>4620</v>
      </c>
      <c r="G1575">
        <v>4</v>
      </c>
      <c r="H1575">
        <v>1800</v>
      </c>
      <c r="I1575">
        <v>5</v>
      </c>
      <c r="J1575">
        <v>11.55</v>
      </c>
      <c r="K1575">
        <v>5</v>
      </c>
      <c r="L1575">
        <v>0.41499999999999998</v>
      </c>
      <c r="M1575">
        <v>2</v>
      </c>
      <c r="N1575">
        <v>83</v>
      </c>
      <c r="O1575">
        <v>5</v>
      </c>
      <c r="P1575">
        <v>0.67500000000000004</v>
      </c>
      <c r="Q1575">
        <v>5</v>
      </c>
      <c r="R1575">
        <v>2.6200000000000001E-2</v>
      </c>
      <c r="T1575" s="8" t="s">
        <v>4619</v>
      </c>
    </row>
    <row r="1576" spans="1:20" x14ac:dyDescent="0.2">
      <c r="A1576" t="s">
        <v>4621</v>
      </c>
      <c r="B1576" t="s">
        <v>2022</v>
      </c>
      <c r="C1576" t="s">
        <v>2023</v>
      </c>
      <c r="D1576" t="s">
        <v>2024</v>
      </c>
      <c r="E1576" t="s">
        <v>4622</v>
      </c>
      <c r="F1576" t="s">
        <v>447</v>
      </c>
      <c r="G1576">
        <v>2</v>
      </c>
      <c r="H1576">
        <v>1560</v>
      </c>
      <c r="I1576">
        <v>5</v>
      </c>
      <c r="J1576">
        <v>10.9</v>
      </c>
      <c r="K1576">
        <v>5</v>
      </c>
      <c r="L1576">
        <v>8.5999999999999993E-2</v>
      </c>
      <c r="M1576">
        <v>4</v>
      </c>
      <c r="N1576">
        <v>104</v>
      </c>
      <c r="O1576">
        <v>5</v>
      </c>
      <c r="P1576">
        <v>0.67500000000000004</v>
      </c>
      <c r="Q1576">
        <v>5</v>
      </c>
      <c r="R1576">
        <v>8.0000000000000002E-3</v>
      </c>
      <c r="T1576" s="8" t="s">
        <v>4622</v>
      </c>
    </row>
    <row r="1577" spans="1:20" x14ac:dyDescent="0.2">
      <c r="A1577" t="s">
        <v>4623</v>
      </c>
      <c r="B1577" t="s">
        <v>2022</v>
      </c>
      <c r="C1577" t="s">
        <v>2023</v>
      </c>
      <c r="D1577" t="s">
        <v>2154</v>
      </c>
      <c r="E1577" t="s">
        <v>4624</v>
      </c>
      <c r="F1577" t="s">
        <v>2297</v>
      </c>
      <c r="G1577">
        <v>4</v>
      </c>
      <c r="H1577">
        <v>1720</v>
      </c>
      <c r="I1577">
        <v>2</v>
      </c>
      <c r="J1577">
        <v>3.4</v>
      </c>
      <c r="K1577">
        <v>2</v>
      </c>
      <c r="L1577">
        <v>2.5999999999999999E-2</v>
      </c>
      <c r="M1577">
        <v>1</v>
      </c>
      <c r="N1577">
        <v>74</v>
      </c>
      <c r="O1577">
        <v>1</v>
      </c>
      <c r="P1577">
        <v>7.4999999999999997E-2</v>
      </c>
      <c r="Q1577">
        <v>2</v>
      </c>
      <c r="R1577">
        <v>2E-3</v>
      </c>
      <c r="T1577" s="8" t="s">
        <v>4624</v>
      </c>
    </row>
    <row r="1578" spans="1:20" x14ac:dyDescent="0.2">
      <c r="A1578" t="s">
        <v>4625</v>
      </c>
      <c r="B1578" t="s">
        <v>2022</v>
      </c>
      <c r="C1578" t="s">
        <v>2036</v>
      </c>
      <c r="D1578" t="s">
        <v>2024</v>
      </c>
      <c r="E1578" t="s">
        <v>4626</v>
      </c>
      <c r="F1578" t="s">
        <v>4627</v>
      </c>
      <c r="G1578">
        <v>2</v>
      </c>
      <c r="H1578">
        <v>1640</v>
      </c>
      <c r="I1578">
        <v>3</v>
      </c>
      <c r="J1578">
        <v>4.5999999999999996</v>
      </c>
      <c r="K1578">
        <v>2</v>
      </c>
      <c r="L1578">
        <v>8.5000000000000006E-2</v>
      </c>
      <c r="M1578">
        <v>1</v>
      </c>
      <c r="N1578">
        <v>76</v>
      </c>
      <c r="O1578">
        <v>2</v>
      </c>
      <c r="P1578">
        <v>0.20499999999999999</v>
      </c>
      <c r="Q1578">
        <v>2</v>
      </c>
      <c r="R1578">
        <v>4.2500000000000003E-3</v>
      </c>
      <c r="T1578" s="8" t="s">
        <v>4626</v>
      </c>
    </row>
    <row r="1579" spans="1:20" x14ac:dyDescent="0.2">
      <c r="A1579" t="s">
        <v>4628</v>
      </c>
      <c r="B1579" t="s">
        <v>2022</v>
      </c>
      <c r="C1579" t="s">
        <v>2036</v>
      </c>
      <c r="D1579" t="s">
        <v>2024</v>
      </c>
      <c r="E1579" t="s">
        <v>4629</v>
      </c>
      <c r="F1579" t="s">
        <v>4630</v>
      </c>
      <c r="G1579">
        <v>4</v>
      </c>
      <c r="H1579">
        <v>1840</v>
      </c>
      <c r="I1579">
        <v>4</v>
      </c>
      <c r="J1579">
        <v>5.8</v>
      </c>
      <c r="K1579">
        <v>4</v>
      </c>
      <c r="L1579">
        <v>0.14499999999999999</v>
      </c>
      <c r="M1579">
        <v>4</v>
      </c>
      <c r="N1579">
        <v>94</v>
      </c>
      <c r="O1579">
        <v>3</v>
      </c>
      <c r="P1579">
        <v>0.315</v>
      </c>
      <c r="Q1579">
        <v>3</v>
      </c>
      <c r="R1579">
        <v>6.7499999999999999E-3</v>
      </c>
      <c r="T1579" s="8" t="s">
        <v>4629</v>
      </c>
    </row>
    <row r="1580" spans="1:20" x14ac:dyDescent="0.2">
      <c r="A1580" t="s">
        <v>4631</v>
      </c>
      <c r="B1580" t="s">
        <v>2022</v>
      </c>
      <c r="C1580" t="s">
        <v>2036</v>
      </c>
      <c r="D1580" t="s">
        <v>2024</v>
      </c>
      <c r="E1580" t="s">
        <v>4632</v>
      </c>
      <c r="F1580" t="s">
        <v>4633</v>
      </c>
      <c r="G1580">
        <v>4</v>
      </c>
      <c r="H1580">
        <v>1840</v>
      </c>
      <c r="I1580">
        <v>5</v>
      </c>
      <c r="J1580">
        <v>7</v>
      </c>
      <c r="K1580">
        <v>5</v>
      </c>
      <c r="L1580">
        <v>0.17499999999999999</v>
      </c>
      <c r="M1580">
        <v>4</v>
      </c>
      <c r="N1580">
        <v>94</v>
      </c>
      <c r="O1580">
        <v>5</v>
      </c>
      <c r="P1580">
        <v>0.53500000000000003</v>
      </c>
      <c r="Q1580">
        <v>4</v>
      </c>
      <c r="R1580">
        <v>9.2499999999999995E-3</v>
      </c>
      <c r="T1580" s="8" t="s">
        <v>4632</v>
      </c>
    </row>
    <row r="1581" spans="1:20" x14ac:dyDescent="0.2">
      <c r="A1581" t="s">
        <v>4634</v>
      </c>
      <c r="B1581" t="s">
        <v>2022</v>
      </c>
      <c r="C1581" t="s">
        <v>2023</v>
      </c>
      <c r="D1581" t="s">
        <v>2024</v>
      </c>
      <c r="E1581" t="s">
        <v>4635</v>
      </c>
      <c r="F1581" t="s">
        <v>4636</v>
      </c>
      <c r="G1581">
        <v>2</v>
      </c>
      <c r="H1581">
        <v>1560</v>
      </c>
      <c r="I1581">
        <v>3</v>
      </c>
      <c r="J1581">
        <v>5.9</v>
      </c>
      <c r="K1581">
        <v>5</v>
      </c>
      <c r="L1581">
        <v>8.5999999999999993E-2</v>
      </c>
      <c r="M1581">
        <v>1</v>
      </c>
      <c r="N1581">
        <v>74</v>
      </c>
      <c r="O1581">
        <v>2</v>
      </c>
      <c r="P1581">
        <v>0.22500000000000001</v>
      </c>
      <c r="Q1581">
        <v>5</v>
      </c>
      <c r="R1581">
        <v>8.0000000000000002E-3</v>
      </c>
      <c r="T1581" s="8" t="s">
        <v>4635</v>
      </c>
    </row>
    <row r="1582" spans="1:20" x14ac:dyDescent="0.2">
      <c r="A1582" t="s">
        <v>4637</v>
      </c>
      <c r="B1582" t="s">
        <v>2022</v>
      </c>
      <c r="C1582" t="s">
        <v>2023</v>
      </c>
      <c r="D1582" t="s">
        <v>2024</v>
      </c>
      <c r="E1582" t="s">
        <v>4638</v>
      </c>
      <c r="F1582" t="s">
        <v>447</v>
      </c>
      <c r="G1582">
        <v>1</v>
      </c>
      <c r="H1582">
        <v>1480</v>
      </c>
      <c r="I1582">
        <v>1</v>
      </c>
      <c r="J1582">
        <v>0.9</v>
      </c>
      <c r="K1582">
        <v>2</v>
      </c>
      <c r="L1582">
        <v>2.5999999999999999E-2</v>
      </c>
      <c r="M1582">
        <v>2</v>
      </c>
      <c r="N1582">
        <v>84</v>
      </c>
      <c r="O1582">
        <v>1</v>
      </c>
      <c r="P1582">
        <v>7.4999999999999997E-2</v>
      </c>
      <c r="Q1582">
        <v>2</v>
      </c>
      <c r="R1582">
        <v>2E-3</v>
      </c>
      <c r="T1582" s="8" t="s">
        <v>4638</v>
      </c>
    </row>
    <row r="1583" spans="1:20" x14ac:dyDescent="0.2">
      <c r="A1583" t="s">
        <v>4639</v>
      </c>
      <c r="B1583" t="s">
        <v>2022</v>
      </c>
      <c r="C1583" t="s">
        <v>2023</v>
      </c>
      <c r="D1583" t="s">
        <v>2024</v>
      </c>
      <c r="E1583" t="s">
        <v>4640</v>
      </c>
      <c r="F1583" t="s">
        <v>4641</v>
      </c>
      <c r="G1583">
        <v>5</v>
      </c>
      <c r="H1583">
        <v>1800</v>
      </c>
      <c r="I1583">
        <v>3</v>
      </c>
      <c r="J1583">
        <v>5.9</v>
      </c>
      <c r="K1583">
        <v>2</v>
      </c>
      <c r="L1583">
        <v>2.5999999999999999E-2</v>
      </c>
      <c r="M1583">
        <v>5</v>
      </c>
      <c r="N1583">
        <v>114</v>
      </c>
      <c r="O1583">
        <v>3</v>
      </c>
      <c r="P1583">
        <v>0.375</v>
      </c>
      <c r="Q1583">
        <v>2</v>
      </c>
      <c r="R1583">
        <v>2E-3</v>
      </c>
      <c r="T1583" s="8" t="s">
        <v>4640</v>
      </c>
    </row>
    <row r="1584" spans="1:20" x14ac:dyDescent="0.2">
      <c r="A1584" t="s">
        <v>4642</v>
      </c>
      <c r="B1584" t="s">
        <v>2022</v>
      </c>
      <c r="C1584" t="s">
        <v>2023</v>
      </c>
      <c r="D1584" t="s">
        <v>2024</v>
      </c>
      <c r="E1584" t="s">
        <v>4643</v>
      </c>
      <c r="F1584" t="s">
        <v>4644</v>
      </c>
      <c r="G1584">
        <v>5</v>
      </c>
      <c r="H1584">
        <v>1800</v>
      </c>
      <c r="I1584">
        <v>5</v>
      </c>
      <c r="J1584">
        <v>10.9</v>
      </c>
      <c r="K1584">
        <v>5</v>
      </c>
      <c r="L1584">
        <v>8.5999999999999993E-2</v>
      </c>
      <c r="M1584">
        <v>5</v>
      </c>
      <c r="N1584">
        <v>114</v>
      </c>
      <c r="O1584">
        <v>4</v>
      </c>
      <c r="P1584">
        <v>0.52500000000000002</v>
      </c>
      <c r="Q1584">
        <v>5</v>
      </c>
      <c r="R1584">
        <v>8.0000000000000002E-3</v>
      </c>
      <c r="T1584" s="8" t="s">
        <v>4643</v>
      </c>
    </row>
    <row r="1585" spans="1:20" x14ac:dyDescent="0.2">
      <c r="A1585" t="s">
        <v>4645</v>
      </c>
      <c r="B1585" t="s">
        <v>2022</v>
      </c>
      <c r="C1585" t="s">
        <v>2036</v>
      </c>
      <c r="D1585" t="s">
        <v>2024</v>
      </c>
      <c r="E1585" t="s">
        <v>4646</v>
      </c>
      <c r="F1585" t="s">
        <v>4647</v>
      </c>
      <c r="G1585">
        <v>5</v>
      </c>
      <c r="H1585">
        <v>1940</v>
      </c>
      <c r="I1585">
        <v>4</v>
      </c>
      <c r="J1585">
        <v>5.8</v>
      </c>
      <c r="K1585">
        <v>2</v>
      </c>
      <c r="L1585">
        <v>8.5000000000000006E-2</v>
      </c>
      <c r="M1585">
        <v>4</v>
      </c>
      <c r="N1585">
        <v>94</v>
      </c>
      <c r="O1585">
        <v>3</v>
      </c>
      <c r="P1585">
        <v>0.315</v>
      </c>
      <c r="Q1585">
        <v>2</v>
      </c>
      <c r="R1585">
        <v>4.2500000000000003E-3</v>
      </c>
      <c r="T1585" s="8" t="s">
        <v>4646</v>
      </c>
    </row>
    <row r="1586" spans="1:20" x14ac:dyDescent="0.2">
      <c r="A1586" t="s">
        <v>4648</v>
      </c>
      <c r="B1586" t="s">
        <v>2022</v>
      </c>
      <c r="C1586" t="s">
        <v>2036</v>
      </c>
      <c r="D1586" t="s">
        <v>2024</v>
      </c>
      <c r="E1586" t="s">
        <v>4649</v>
      </c>
      <c r="F1586" t="s">
        <v>4650</v>
      </c>
      <c r="G1586">
        <v>5</v>
      </c>
      <c r="H1586">
        <v>1940</v>
      </c>
      <c r="I1586">
        <v>1</v>
      </c>
      <c r="J1586">
        <v>2.2000000000000002</v>
      </c>
      <c r="K1586">
        <v>1</v>
      </c>
      <c r="L1586">
        <v>5.5E-2</v>
      </c>
      <c r="M1586">
        <v>5</v>
      </c>
      <c r="N1586">
        <v>100</v>
      </c>
      <c r="O1586">
        <v>1</v>
      </c>
      <c r="P1586">
        <v>9.5000000000000001E-2</v>
      </c>
      <c r="Q1586">
        <v>1</v>
      </c>
      <c r="R1586">
        <v>1.5E-3</v>
      </c>
      <c r="T1586" s="8" t="s">
        <v>4649</v>
      </c>
    </row>
    <row r="1587" spans="1:20" x14ac:dyDescent="0.2">
      <c r="A1587" t="s">
        <v>4651</v>
      </c>
      <c r="B1587" t="s">
        <v>2022</v>
      </c>
      <c r="C1587" t="s">
        <v>2023</v>
      </c>
      <c r="D1587" t="s">
        <v>2024</v>
      </c>
      <c r="E1587" t="s">
        <v>4652</v>
      </c>
      <c r="F1587" t="s">
        <v>4653</v>
      </c>
      <c r="G1587">
        <v>4</v>
      </c>
      <c r="H1587">
        <v>1720</v>
      </c>
      <c r="I1587">
        <v>1</v>
      </c>
      <c r="J1587">
        <v>0.9</v>
      </c>
      <c r="K1587">
        <v>1</v>
      </c>
      <c r="L1587">
        <v>6.0000000000000001E-3</v>
      </c>
      <c r="M1587">
        <v>3</v>
      </c>
      <c r="N1587">
        <v>94</v>
      </c>
      <c r="O1587">
        <v>1</v>
      </c>
      <c r="P1587">
        <v>7.4999999999999997E-2</v>
      </c>
      <c r="Q1587">
        <v>1</v>
      </c>
      <c r="R1587">
        <v>5.0000000000000001E-4</v>
      </c>
      <c r="T1587" s="8" t="s">
        <v>4652</v>
      </c>
    </row>
    <row r="1588" spans="1:20" x14ac:dyDescent="0.2">
      <c r="A1588" t="s">
        <v>4654</v>
      </c>
      <c r="B1588" t="s">
        <v>2022</v>
      </c>
      <c r="C1588" t="s">
        <v>2023</v>
      </c>
      <c r="D1588" t="s">
        <v>2024</v>
      </c>
      <c r="E1588" t="s">
        <v>4655</v>
      </c>
      <c r="F1588" t="s">
        <v>4656</v>
      </c>
      <c r="G1588">
        <v>1</v>
      </c>
      <c r="H1588">
        <v>1480</v>
      </c>
      <c r="I1588">
        <v>1</v>
      </c>
      <c r="J1588">
        <v>0.9</v>
      </c>
      <c r="K1588">
        <v>1</v>
      </c>
      <c r="L1588">
        <v>6.0000000000000001E-3</v>
      </c>
      <c r="M1588">
        <v>1</v>
      </c>
      <c r="N1588">
        <v>74</v>
      </c>
      <c r="O1588">
        <v>1</v>
      </c>
      <c r="P1588">
        <v>7.4999999999999997E-2</v>
      </c>
      <c r="Q1588">
        <v>1</v>
      </c>
      <c r="R1588">
        <v>5.0000000000000001E-4</v>
      </c>
      <c r="T1588" s="8" t="s">
        <v>4655</v>
      </c>
    </row>
    <row r="1589" spans="1:20" x14ac:dyDescent="0.2">
      <c r="A1589" t="s">
        <v>4657</v>
      </c>
      <c r="B1589" t="s">
        <v>2022</v>
      </c>
      <c r="C1589" t="s">
        <v>2023</v>
      </c>
      <c r="D1589" t="s">
        <v>2024</v>
      </c>
      <c r="E1589" t="s">
        <v>4658</v>
      </c>
      <c r="F1589" t="s">
        <v>4659</v>
      </c>
      <c r="G1589">
        <v>1</v>
      </c>
      <c r="H1589">
        <v>1480</v>
      </c>
      <c r="I1589">
        <v>4</v>
      </c>
      <c r="J1589">
        <v>8.4</v>
      </c>
      <c r="K1589">
        <v>5</v>
      </c>
      <c r="L1589">
        <v>8.5999999999999993E-2</v>
      </c>
      <c r="M1589">
        <v>3</v>
      </c>
      <c r="N1589">
        <v>94</v>
      </c>
      <c r="O1589">
        <v>4</v>
      </c>
      <c r="P1589">
        <v>0.52500000000000002</v>
      </c>
      <c r="Q1589">
        <v>5</v>
      </c>
      <c r="R1589">
        <v>8.0000000000000002E-3</v>
      </c>
      <c r="T1589" s="8" t="s">
        <v>4658</v>
      </c>
    </row>
    <row r="1590" spans="1:20" x14ac:dyDescent="0.2">
      <c r="A1590" t="s">
        <v>4660</v>
      </c>
      <c r="B1590" t="s">
        <v>2022</v>
      </c>
      <c r="C1590" t="s">
        <v>2036</v>
      </c>
      <c r="D1590" t="s">
        <v>2024</v>
      </c>
      <c r="E1590" t="s">
        <v>4661</v>
      </c>
      <c r="F1590" t="s">
        <v>4662</v>
      </c>
      <c r="G1590">
        <v>2</v>
      </c>
      <c r="H1590">
        <v>1640</v>
      </c>
      <c r="I1590">
        <v>2</v>
      </c>
      <c r="J1590">
        <v>3.4</v>
      </c>
      <c r="K1590">
        <v>3</v>
      </c>
      <c r="L1590">
        <v>0.115</v>
      </c>
      <c r="M1590">
        <v>3</v>
      </c>
      <c r="N1590">
        <v>88</v>
      </c>
      <c r="O1590">
        <v>2</v>
      </c>
      <c r="P1590">
        <v>0.20499999999999999</v>
      </c>
      <c r="Q1590">
        <v>3</v>
      </c>
      <c r="R1590">
        <v>6.7499999999999999E-3</v>
      </c>
      <c r="T1590" s="8" t="s">
        <v>4661</v>
      </c>
    </row>
    <row r="1591" spans="1:20" x14ac:dyDescent="0.2">
      <c r="A1591" t="s">
        <v>4663</v>
      </c>
      <c r="B1591" t="s">
        <v>2022</v>
      </c>
      <c r="C1591" t="s">
        <v>2023</v>
      </c>
      <c r="D1591" t="s">
        <v>2024</v>
      </c>
      <c r="E1591" t="s">
        <v>4664</v>
      </c>
      <c r="F1591" t="s">
        <v>4665</v>
      </c>
      <c r="G1591">
        <v>5</v>
      </c>
      <c r="H1591">
        <v>1800</v>
      </c>
      <c r="I1591">
        <v>3</v>
      </c>
      <c r="J1591">
        <v>5.9</v>
      </c>
      <c r="K1591">
        <v>5</v>
      </c>
      <c r="L1591">
        <v>8.5999999999999993E-2</v>
      </c>
      <c r="M1591">
        <v>5</v>
      </c>
      <c r="N1591">
        <v>114</v>
      </c>
      <c r="O1591">
        <v>3</v>
      </c>
      <c r="P1591">
        <v>0.375</v>
      </c>
      <c r="Q1591">
        <v>4</v>
      </c>
      <c r="R1591">
        <v>6.0000000000000001E-3</v>
      </c>
      <c r="T1591" s="8" t="s">
        <v>4664</v>
      </c>
    </row>
    <row r="1592" spans="1:20" x14ac:dyDescent="0.2">
      <c r="A1592" t="s">
        <v>4666</v>
      </c>
      <c r="B1592" t="s">
        <v>2022</v>
      </c>
      <c r="C1592" t="s">
        <v>2023</v>
      </c>
      <c r="D1592" t="s">
        <v>2024</v>
      </c>
      <c r="E1592" t="s">
        <v>4667</v>
      </c>
      <c r="F1592" t="s">
        <v>4668</v>
      </c>
      <c r="G1592">
        <v>4</v>
      </c>
      <c r="H1592">
        <v>1720</v>
      </c>
      <c r="I1592">
        <v>4</v>
      </c>
      <c r="J1592">
        <v>8.4</v>
      </c>
      <c r="K1592">
        <v>5</v>
      </c>
      <c r="L1592">
        <v>8.5999999999999993E-2</v>
      </c>
      <c r="M1592">
        <v>2</v>
      </c>
      <c r="N1592">
        <v>84</v>
      </c>
      <c r="O1592">
        <v>3</v>
      </c>
      <c r="P1592">
        <v>0.375</v>
      </c>
      <c r="Q1592">
        <v>5</v>
      </c>
      <c r="R1592">
        <v>8.0000000000000002E-3</v>
      </c>
      <c r="T1592" s="8" t="s">
        <v>4667</v>
      </c>
    </row>
    <row r="1593" spans="1:20" x14ac:dyDescent="0.2">
      <c r="A1593" t="s">
        <v>4669</v>
      </c>
      <c r="B1593" t="s">
        <v>2022</v>
      </c>
      <c r="C1593" t="s">
        <v>2023</v>
      </c>
      <c r="D1593" t="s">
        <v>2024</v>
      </c>
      <c r="E1593" t="s">
        <v>4670</v>
      </c>
      <c r="F1593" t="s">
        <v>4671</v>
      </c>
      <c r="G1593">
        <v>3</v>
      </c>
      <c r="H1593">
        <v>1640</v>
      </c>
      <c r="I1593">
        <v>5</v>
      </c>
      <c r="J1593">
        <v>10.9</v>
      </c>
      <c r="K1593">
        <v>5</v>
      </c>
      <c r="L1593">
        <v>8.5999999999999993E-2</v>
      </c>
      <c r="M1593">
        <v>1</v>
      </c>
      <c r="N1593">
        <v>74</v>
      </c>
      <c r="O1593">
        <v>5</v>
      </c>
      <c r="P1593">
        <v>0.67500000000000004</v>
      </c>
      <c r="Q1593">
        <v>5</v>
      </c>
      <c r="R1593">
        <v>8.0000000000000002E-3</v>
      </c>
      <c r="T1593" s="8" t="s">
        <v>4670</v>
      </c>
    </row>
    <row r="1594" spans="1:20" x14ac:dyDescent="0.2">
      <c r="A1594" t="s">
        <v>4672</v>
      </c>
      <c r="B1594" t="s">
        <v>2022</v>
      </c>
      <c r="C1594" t="s">
        <v>2036</v>
      </c>
      <c r="D1594" t="s">
        <v>2024</v>
      </c>
      <c r="E1594" t="s">
        <v>4673</v>
      </c>
      <c r="F1594" t="s">
        <v>4674</v>
      </c>
      <c r="G1594">
        <v>4</v>
      </c>
      <c r="H1594">
        <v>1840</v>
      </c>
      <c r="I1594">
        <v>3</v>
      </c>
      <c r="J1594">
        <v>4.5999999999999996</v>
      </c>
      <c r="K1594">
        <v>2</v>
      </c>
      <c r="L1594">
        <v>8.5000000000000006E-2</v>
      </c>
      <c r="M1594">
        <v>4</v>
      </c>
      <c r="N1594">
        <v>94</v>
      </c>
      <c r="O1594">
        <v>2</v>
      </c>
      <c r="P1594">
        <v>0.20499999999999999</v>
      </c>
      <c r="Q1594">
        <v>2</v>
      </c>
      <c r="R1594">
        <v>4.2500000000000003E-3</v>
      </c>
      <c r="T1594" s="8" t="s">
        <v>4673</v>
      </c>
    </row>
    <row r="1595" spans="1:20" x14ac:dyDescent="0.2">
      <c r="A1595" t="s">
        <v>4675</v>
      </c>
      <c r="B1595" t="s">
        <v>2022</v>
      </c>
      <c r="C1595" t="s">
        <v>2028</v>
      </c>
      <c r="D1595" t="s">
        <v>2024</v>
      </c>
      <c r="E1595" t="s">
        <v>4676</v>
      </c>
      <c r="F1595" t="s">
        <v>4677</v>
      </c>
      <c r="G1595">
        <v>1</v>
      </c>
      <c r="H1595">
        <v>650</v>
      </c>
      <c r="I1595">
        <v>2</v>
      </c>
      <c r="J1595">
        <v>1.55</v>
      </c>
      <c r="K1595">
        <v>2</v>
      </c>
      <c r="L1595">
        <v>4.4999999999999998E-2</v>
      </c>
      <c r="M1595">
        <v>5</v>
      </c>
      <c r="N1595">
        <v>500</v>
      </c>
      <c r="O1595">
        <v>5</v>
      </c>
      <c r="P1595">
        <v>1.35</v>
      </c>
      <c r="Q1595">
        <v>5</v>
      </c>
      <c r="R1595">
        <v>3.3500000000000002E-2</v>
      </c>
      <c r="T1595" s="8" t="s">
        <v>4676</v>
      </c>
    </row>
    <row r="1596" spans="1:20" x14ac:dyDescent="0.2">
      <c r="A1596" t="s">
        <v>4678</v>
      </c>
      <c r="B1596" t="s">
        <v>2022</v>
      </c>
      <c r="C1596" t="s">
        <v>2053</v>
      </c>
      <c r="D1596" t="s">
        <v>2024</v>
      </c>
      <c r="E1596" t="s">
        <v>4679</v>
      </c>
      <c r="F1596" t="s">
        <v>4680</v>
      </c>
      <c r="G1596">
        <v>3</v>
      </c>
      <c r="H1596">
        <v>1700</v>
      </c>
      <c r="I1596">
        <v>2</v>
      </c>
      <c r="J1596">
        <v>4.05</v>
      </c>
      <c r="K1596">
        <v>2</v>
      </c>
      <c r="L1596">
        <v>8.5000000000000006E-2</v>
      </c>
      <c r="M1596">
        <v>5</v>
      </c>
      <c r="N1596">
        <v>113</v>
      </c>
      <c r="O1596">
        <v>5</v>
      </c>
      <c r="P1596">
        <v>0.67500000000000004</v>
      </c>
      <c r="Q1596">
        <v>3</v>
      </c>
      <c r="R1596">
        <v>1.2200000000000001E-2</v>
      </c>
      <c r="T1596" s="8" t="s">
        <v>4679</v>
      </c>
    </row>
    <row r="1597" spans="1:20" x14ac:dyDescent="0.2">
      <c r="A1597" t="s">
        <v>4681</v>
      </c>
      <c r="B1597" t="s">
        <v>2022</v>
      </c>
      <c r="C1597" t="s">
        <v>2101</v>
      </c>
      <c r="D1597" t="s">
        <v>2154</v>
      </c>
      <c r="E1597" t="s">
        <v>4682</v>
      </c>
      <c r="F1597" t="s">
        <v>4683</v>
      </c>
      <c r="G1597">
        <v>1</v>
      </c>
      <c r="H1597">
        <v>1570</v>
      </c>
      <c r="I1597">
        <v>1</v>
      </c>
      <c r="J1597">
        <v>2</v>
      </c>
      <c r="K1597">
        <v>1</v>
      </c>
      <c r="L1597">
        <v>1.15E-2</v>
      </c>
      <c r="M1597">
        <v>1</v>
      </c>
      <c r="N1597">
        <v>66</v>
      </c>
      <c r="O1597">
        <v>1</v>
      </c>
      <c r="P1597">
        <v>7.4999999999999997E-2</v>
      </c>
      <c r="Q1597">
        <v>1</v>
      </c>
      <c r="R1597">
        <v>5.0000000000000001E-4</v>
      </c>
      <c r="T1597" s="8" t="s">
        <v>4682</v>
      </c>
    </row>
    <row r="1598" spans="1:20" x14ac:dyDescent="0.2">
      <c r="A1598" t="s">
        <v>4684</v>
      </c>
      <c r="B1598" t="s">
        <v>2022</v>
      </c>
      <c r="C1598" t="s">
        <v>2023</v>
      </c>
      <c r="D1598" t="s">
        <v>2154</v>
      </c>
      <c r="E1598" t="s">
        <v>4682</v>
      </c>
      <c r="F1598" t="s">
        <v>4683</v>
      </c>
      <c r="G1598">
        <v>1</v>
      </c>
      <c r="H1598">
        <v>1480</v>
      </c>
      <c r="I1598">
        <v>1</v>
      </c>
      <c r="J1598">
        <v>0.9</v>
      </c>
      <c r="K1598">
        <v>2</v>
      </c>
      <c r="L1598">
        <v>2.5999999999999999E-2</v>
      </c>
      <c r="M1598">
        <v>5</v>
      </c>
      <c r="N1598">
        <v>114</v>
      </c>
      <c r="O1598">
        <v>2</v>
      </c>
      <c r="P1598">
        <v>0.22500000000000001</v>
      </c>
      <c r="Q1598">
        <v>2</v>
      </c>
      <c r="R1598">
        <v>2E-3</v>
      </c>
      <c r="T1598" s="8" t="s">
        <v>4682</v>
      </c>
    </row>
    <row r="1599" spans="1:20" x14ac:dyDescent="0.2">
      <c r="A1599" t="s">
        <v>4685</v>
      </c>
      <c r="B1599" t="s">
        <v>2022</v>
      </c>
      <c r="C1599" t="s">
        <v>2023</v>
      </c>
      <c r="D1599" t="s">
        <v>2024</v>
      </c>
      <c r="E1599" t="s">
        <v>4686</v>
      </c>
      <c r="F1599" t="s">
        <v>4687</v>
      </c>
      <c r="G1599">
        <v>3</v>
      </c>
      <c r="H1599">
        <v>1640</v>
      </c>
      <c r="I1599">
        <v>3</v>
      </c>
      <c r="J1599">
        <v>5.9</v>
      </c>
      <c r="K1599">
        <v>5</v>
      </c>
      <c r="L1599">
        <v>8.5999999999999993E-2</v>
      </c>
      <c r="M1599">
        <v>5</v>
      </c>
      <c r="N1599">
        <v>114</v>
      </c>
      <c r="O1599">
        <v>4</v>
      </c>
      <c r="P1599">
        <v>0.52500000000000002</v>
      </c>
      <c r="Q1599">
        <v>5</v>
      </c>
      <c r="R1599">
        <v>8.0000000000000002E-3</v>
      </c>
      <c r="T1599" s="8" t="s">
        <v>4686</v>
      </c>
    </row>
    <row r="1600" spans="1:20" x14ac:dyDescent="0.2">
      <c r="A1600" t="s">
        <v>4688</v>
      </c>
      <c r="B1600" t="s">
        <v>2022</v>
      </c>
      <c r="C1600" t="s">
        <v>2028</v>
      </c>
      <c r="D1600" t="s">
        <v>2024</v>
      </c>
      <c r="E1600" t="s">
        <v>4689</v>
      </c>
      <c r="F1600" t="s">
        <v>4690</v>
      </c>
      <c r="G1600">
        <v>5</v>
      </c>
      <c r="H1600">
        <v>1450</v>
      </c>
      <c r="I1600">
        <v>5</v>
      </c>
      <c r="J1600">
        <v>6.65</v>
      </c>
      <c r="K1600">
        <v>5</v>
      </c>
      <c r="L1600">
        <v>0.26700000000000002</v>
      </c>
      <c r="M1600">
        <v>1</v>
      </c>
      <c r="N1600">
        <v>100</v>
      </c>
      <c r="O1600">
        <v>2</v>
      </c>
      <c r="P1600">
        <v>0.45</v>
      </c>
      <c r="Q1600">
        <v>5</v>
      </c>
      <c r="R1600">
        <v>3.3500000000000002E-2</v>
      </c>
      <c r="T1600" s="8" t="s">
        <v>4689</v>
      </c>
    </row>
    <row r="1601" spans="1:20" x14ac:dyDescent="0.2">
      <c r="A1601" t="s">
        <v>4691</v>
      </c>
      <c r="B1601" t="s">
        <v>2022</v>
      </c>
      <c r="C1601" t="s">
        <v>2053</v>
      </c>
      <c r="D1601" t="s">
        <v>2024</v>
      </c>
      <c r="E1601" t="s">
        <v>4692</v>
      </c>
      <c r="F1601" t="s">
        <v>447</v>
      </c>
      <c r="G1601">
        <v>1</v>
      </c>
      <c r="H1601">
        <v>1500</v>
      </c>
      <c r="I1601">
        <v>4</v>
      </c>
      <c r="J1601">
        <v>9.0500000000000007</v>
      </c>
      <c r="K1601">
        <v>5</v>
      </c>
      <c r="L1601">
        <v>0.41499999999999998</v>
      </c>
      <c r="M1601">
        <v>1</v>
      </c>
      <c r="N1601">
        <v>73</v>
      </c>
      <c r="O1601">
        <v>4</v>
      </c>
      <c r="P1601">
        <v>0.52500000000000002</v>
      </c>
      <c r="Q1601">
        <v>4</v>
      </c>
      <c r="R1601">
        <v>1.9199999999999998E-2</v>
      </c>
      <c r="T1601" s="8" t="s">
        <v>4692</v>
      </c>
    </row>
    <row r="1602" spans="1:20" x14ac:dyDescent="0.2">
      <c r="A1602" t="s">
        <v>4693</v>
      </c>
      <c r="B1602" t="s">
        <v>2022</v>
      </c>
      <c r="C1602" t="s">
        <v>2095</v>
      </c>
      <c r="D1602" t="s">
        <v>2024</v>
      </c>
      <c r="E1602" t="s">
        <v>4694</v>
      </c>
      <c r="F1602" t="s">
        <v>4695</v>
      </c>
      <c r="G1602">
        <v>3</v>
      </c>
      <c r="H1602">
        <v>1745</v>
      </c>
      <c r="I1602">
        <v>4</v>
      </c>
      <c r="J1602">
        <v>13.5</v>
      </c>
      <c r="K1602">
        <v>3</v>
      </c>
      <c r="L1602">
        <v>0.33</v>
      </c>
      <c r="M1602">
        <v>2</v>
      </c>
      <c r="N1602">
        <v>80</v>
      </c>
      <c r="O1602">
        <v>4</v>
      </c>
      <c r="P1602">
        <v>0.75</v>
      </c>
      <c r="Q1602">
        <v>3</v>
      </c>
      <c r="R1602">
        <v>1.49E-2</v>
      </c>
      <c r="T1602" s="8" t="s">
        <v>4694</v>
      </c>
    </row>
    <row r="1603" spans="1:20" x14ac:dyDescent="0.2">
      <c r="A1603" t="s">
        <v>4696</v>
      </c>
      <c r="B1603" t="s">
        <v>2022</v>
      </c>
      <c r="C1603" t="s">
        <v>2101</v>
      </c>
      <c r="D1603" t="s">
        <v>2024</v>
      </c>
      <c r="E1603" t="s">
        <v>4697</v>
      </c>
      <c r="F1603" t="s">
        <v>4698</v>
      </c>
      <c r="G1603">
        <v>2</v>
      </c>
      <c r="H1603">
        <v>1670</v>
      </c>
      <c r="I1603">
        <v>3</v>
      </c>
      <c r="J1603">
        <v>8</v>
      </c>
      <c r="K1603">
        <v>2</v>
      </c>
      <c r="L1603">
        <v>9.6500000000000002E-2</v>
      </c>
      <c r="M1603">
        <v>1</v>
      </c>
      <c r="N1603">
        <v>66</v>
      </c>
      <c r="O1603">
        <v>3</v>
      </c>
      <c r="P1603">
        <v>0.375</v>
      </c>
      <c r="Q1603">
        <v>2</v>
      </c>
      <c r="R1603">
        <v>4.4999999999999997E-3</v>
      </c>
      <c r="T1603" s="8" t="s">
        <v>4697</v>
      </c>
    </row>
    <row r="1604" spans="1:20" x14ac:dyDescent="0.2">
      <c r="A1604" t="s">
        <v>4699</v>
      </c>
      <c r="B1604" t="s">
        <v>2022</v>
      </c>
      <c r="C1604" t="s">
        <v>2101</v>
      </c>
      <c r="D1604" t="s">
        <v>2024</v>
      </c>
      <c r="E1604" t="s">
        <v>4700</v>
      </c>
      <c r="F1604" t="s">
        <v>4701</v>
      </c>
      <c r="G1604">
        <v>2</v>
      </c>
      <c r="H1604">
        <v>1670</v>
      </c>
      <c r="I1604">
        <v>4</v>
      </c>
      <c r="J1604">
        <v>11</v>
      </c>
      <c r="K1604">
        <v>3</v>
      </c>
      <c r="L1604">
        <v>0.24349999999999999</v>
      </c>
      <c r="M1604">
        <v>1</v>
      </c>
      <c r="N1604">
        <v>66</v>
      </c>
      <c r="O1604">
        <v>3</v>
      </c>
      <c r="P1604">
        <v>0.375</v>
      </c>
      <c r="Q1604">
        <v>2</v>
      </c>
      <c r="R1604">
        <v>4.4999999999999997E-3</v>
      </c>
      <c r="T1604" s="8" t="s">
        <v>4700</v>
      </c>
    </row>
    <row r="1605" spans="1:20" x14ac:dyDescent="0.2">
      <c r="A1605" t="s">
        <v>4702</v>
      </c>
      <c r="B1605" t="s">
        <v>2022</v>
      </c>
      <c r="C1605" t="s">
        <v>2104</v>
      </c>
      <c r="D1605" t="s">
        <v>2024</v>
      </c>
      <c r="E1605" t="s">
        <v>4703</v>
      </c>
      <c r="F1605" t="s">
        <v>4704</v>
      </c>
      <c r="G1605">
        <v>5</v>
      </c>
      <c r="H1605">
        <v>2237.5</v>
      </c>
      <c r="I1605">
        <v>5</v>
      </c>
      <c r="J1605">
        <v>10.15</v>
      </c>
      <c r="K1605">
        <v>5</v>
      </c>
      <c r="L1605">
        <v>0.191</v>
      </c>
      <c r="M1605">
        <v>4</v>
      </c>
      <c r="N1605">
        <v>81</v>
      </c>
      <c r="P1605">
        <v>0</v>
      </c>
      <c r="Q1605">
        <v>4</v>
      </c>
      <c r="R1605">
        <v>1.32E-2</v>
      </c>
      <c r="T1605" s="8" t="s">
        <v>4703</v>
      </c>
    </row>
    <row r="1606" spans="1:20" x14ac:dyDescent="0.2">
      <c r="A1606" t="s">
        <v>4705</v>
      </c>
      <c r="B1606" t="s">
        <v>2022</v>
      </c>
      <c r="C1606" t="s">
        <v>2036</v>
      </c>
      <c r="D1606" t="s">
        <v>2136</v>
      </c>
      <c r="E1606" t="s">
        <v>357</v>
      </c>
      <c r="F1606" t="s">
        <v>4706</v>
      </c>
      <c r="G1606">
        <v>2</v>
      </c>
      <c r="H1606">
        <v>1640</v>
      </c>
      <c r="I1606">
        <v>3</v>
      </c>
      <c r="J1606">
        <v>4.5999999999999996</v>
      </c>
      <c r="K1606">
        <v>4</v>
      </c>
      <c r="L1606">
        <v>0.14499999999999999</v>
      </c>
      <c r="M1606">
        <v>5</v>
      </c>
      <c r="N1606">
        <v>100</v>
      </c>
      <c r="O1606">
        <v>3</v>
      </c>
      <c r="P1606">
        <v>0.315</v>
      </c>
      <c r="Q1606">
        <v>4</v>
      </c>
      <c r="R1606">
        <v>9.2499999999999995E-3</v>
      </c>
      <c r="T1606" s="8" t="s">
        <v>357</v>
      </c>
    </row>
    <row r="1607" spans="1:20" x14ac:dyDescent="0.2">
      <c r="A1607" t="s">
        <v>4707</v>
      </c>
      <c r="B1607" t="s">
        <v>2022</v>
      </c>
      <c r="C1607" t="s">
        <v>2095</v>
      </c>
      <c r="D1607" t="s">
        <v>2024</v>
      </c>
      <c r="E1607" t="s">
        <v>4708</v>
      </c>
      <c r="F1607" t="s">
        <v>4709</v>
      </c>
      <c r="G1607">
        <v>1</v>
      </c>
      <c r="H1607">
        <v>1565</v>
      </c>
      <c r="I1607">
        <v>2</v>
      </c>
      <c r="J1607">
        <v>7.5</v>
      </c>
      <c r="K1607">
        <v>3</v>
      </c>
      <c r="L1607">
        <v>0.33</v>
      </c>
      <c r="M1607">
        <v>2</v>
      </c>
      <c r="N1607">
        <v>80</v>
      </c>
      <c r="O1607">
        <v>3</v>
      </c>
      <c r="P1607">
        <v>0.55000000000000004</v>
      </c>
      <c r="Q1607">
        <v>3</v>
      </c>
      <c r="R1607">
        <v>1.49E-2</v>
      </c>
      <c r="T1607" s="8" t="s">
        <v>4708</v>
      </c>
    </row>
    <row r="1608" spans="1:20" x14ac:dyDescent="0.2">
      <c r="A1608" t="s">
        <v>4710</v>
      </c>
      <c r="B1608" t="s">
        <v>2022</v>
      </c>
      <c r="C1608" t="s">
        <v>2023</v>
      </c>
      <c r="D1608" t="s">
        <v>2024</v>
      </c>
      <c r="E1608" t="s">
        <v>4711</v>
      </c>
      <c r="F1608" t="s">
        <v>4712</v>
      </c>
      <c r="G1608">
        <v>3</v>
      </c>
      <c r="H1608">
        <v>1640</v>
      </c>
      <c r="I1608">
        <v>3</v>
      </c>
      <c r="J1608">
        <v>5.9</v>
      </c>
      <c r="K1608">
        <v>2</v>
      </c>
      <c r="L1608">
        <v>2.5999999999999999E-2</v>
      </c>
      <c r="M1608">
        <v>4</v>
      </c>
      <c r="N1608">
        <v>104</v>
      </c>
      <c r="O1608">
        <v>3</v>
      </c>
      <c r="P1608">
        <v>0.375</v>
      </c>
      <c r="Q1608">
        <v>2</v>
      </c>
      <c r="R1608">
        <v>2E-3</v>
      </c>
      <c r="T1608" s="8" t="s">
        <v>4711</v>
      </c>
    </row>
    <row r="1609" spans="1:20" x14ac:dyDescent="0.2">
      <c r="A1609" t="s">
        <v>4713</v>
      </c>
      <c r="B1609" t="s">
        <v>2022</v>
      </c>
      <c r="C1609" t="s">
        <v>2095</v>
      </c>
      <c r="D1609" t="s">
        <v>2024</v>
      </c>
      <c r="E1609" t="s">
        <v>4714</v>
      </c>
      <c r="F1609" t="s">
        <v>4715</v>
      </c>
      <c r="G1609">
        <v>1</v>
      </c>
      <c r="H1609">
        <v>1565</v>
      </c>
      <c r="I1609">
        <v>2</v>
      </c>
      <c r="J1609">
        <v>7.5</v>
      </c>
      <c r="K1609">
        <v>2</v>
      </c>
      <c r="L1609">
        <v>0.13</v>
      </c>
      <c r="M1609">
        <v>1</v>
      </c>
      <c r="N1609">
        <v>74</v>
      </c>
      <c r="O1609">
        <v>2</v>
      </c>
      <c r="P1609">
        <v>0.35</v>
      </c>
      <c r="Q1609">
        <v>2</v>
      </c>
      <c r="R1609">
        <v>5.8999999999999999E-3</v>
      </c>
      <c r="T1609" s="8" t="s">
        <v>4714</v>
      </c>
    </row>
    <row r="1610" spans="1:20" x14ac:dyDescent="0.2">
      <c r="A1610" t="s">
        <v>4716</v>
      </c>
      <c r="B1610" t="s">
        <v>2022</v>
      </c>
      <c r="C1610" t="s">
        <v>2023</v>
      </c>
      <c r="D1610" t="s">
        <v>2024</v>
      </c>
      <c r="E1610" t="s">
        <v>4717</v>
      </c>
      <c r="F1610" t="s">
        <v>4718</v>
      </c>
      <c r="G1610">
        <v>3</v>
      </c>
      <c r="H1610">
        <v>1640</v>
      </c>
      <c r="I1610">
        <v>4</v>
      </c>
      <c r="J1610">
        <v>8.4</v>
      </c>
      <c r="K1610">
        <v>5</v>
      </c>
      <c r="L1610">
        <v>8.5999999999999993E-2</v>
      </c>
      <c r="M1610">
        <v>3</v>
      </c>
      <c r="N1610">
        <v>94</v>
      </c>
      <c r="O1610">
        <v>3</v>
      </c>
      <c r="P1610">
        <v>0.375</v>
      </c>
      <c r="Q1610">
        <v>5</v>
      </c>
      <c r="R1610">
        <v>8.0000000000000002E-3</v>
      </c>
      <c r="T1610" s="8" t="s">
        <v>4717</v>
      </c>
    </row>
    <row r="1611" spans="1:20" x14ac:dyDescent="0.2">
      <c r="A1611" t="s">
        <v>4719</v>
      </c>
      <c r="B1611" t="s">
        <v>2022</v>
      </c>
      <c r="C1611" t="s">
        <v>2023</v>
      </c>
      <c r="D1611" t="s">
        <v>2024</v>
      </c>
      <c r="E1611" t="s">
        <v>4720</v>
      </c>
      <c r="F1611" t="s">
        <v>4721</v>
      </c>
      <c r="G1611">
        <v>5</v>
      </c>
      <c r="H1611">
        <v>1800</v>
      </c>
      <c r="I1611">
        <v>5</v>
      </c>
      <c r="J1611">
        <v>10.9</v>
      </c>
      <c r="K1611">
        <v>5</v>
      </c>
      <c r="L1611">
        <v>8.5999999999999993E-2</v>
      </c>
      <c r="M1611">
        <v>2</v>
      </c>
      <c r="N1611">
        <v>84</v>
      </c>
      <c r="O1611">
        <v>5</v>
      </c>
      <c r="P1611">
        <v>0.67500000000000004</v>
      </c>
      <c r="Q1611">
        <v>5</v>
      </c>
      <c r="R1611">
        <v>8.0000000000000002E-3</v>
      </c>
      <c r="T1611" s="8" t="s">
        <v>4720</v>
      </c>
    </row>
    <row r="1612" spans="1:20" x14ac:dyDescent="0.2">
      <c r="A1612" t="s">
        <v>4722</v>
      </c>
      <c r="B1612" t="s">
        <v>2022</v>
      </c>
      <c r="C1612" t="s">
        <v>2036</v>
      </c>
      <c r="D1612" t="s">
        <v>2136</v>
      </c>
      <c r="E1612" t="s">
        <v>357</v>
      </c>
      <c r="F1612" t="s">
        <v>4723</v>
      </c>
      <c r="G1612">
        <v>1</v>
      </c>
      <c r="H1612">
        <v>1540</v>
      </c>
      <c r="I1612">
        <v>1</v>
      </c>
      <c r="J1612">
        <v>2.2000000000000002</v>
      </c>
      <c r="K1612">
        <v>2</v>
      </c>
      <c r="L1612">
        <v>8.5000000000000006E-2</v>
      </c>
      <c r="M1612">
        <v>3</v>
      </c>
      <c r="N1612">
        <v>88</v>
      </c>
      <c r="O1612">
        <v>1</v>
      </c>
      <c r="P1612">
        <v>9.5000000000000001E-2</v>
      </c>
      <c r="Q1612">
        <v>2</v>
      </c>
      <c r="R1612">
        <v>4.2500000000000003E-3</v>
      </c>
      <c r="T1612" s="8" t="s">
        <v>357</v>
      </c>
    </row>
    <row r="1613" spans="1:20" x14ac:dyDescent="0.2">
      <c r="A1613" t="s">
        <v>4724</v>
      </c>
      <c r="B1613" t="s">
        <v>2022</v>
      </c>
      <c r="C1613" t="s">
        <v>2053</v>
      </c>
      <c r="D1613" t="s">
        <v>2136</v>
      </c>
      <c r="E1613" t="s">
        <v>4725</v>
      </c>
      <c r="F1613" t="s">
        <v>4726</v>
      </c>
      <c r="G1613">
        <v>5</v>
      </c>
      <c r="H1613">
        <v>1900</v>
      </c>
      <c r="I1613">
        <v>2</v>
      </c>
      <c r="J1613">
        <v>4.05</v>
      </c>
      <c r="K1613">
        <v>2</v>
      </c>
      <c r="L1613">
        <v>8.5000000000000006E-2</v>
      </c>
      <c r="M1613">
        <v>5</v>
      </c>
      <c r="N1613">
        <v>113</v>
      </c>
      <c r="O1613">
        <v>3</v>
      </c>
      <c r="P1613">
        <v>0.375</v>
      </c>
      <c r="Q1613">
        <v>2</v>
      </c>
      <c r="R1613">
        <v>5.1999999999999998E-3</v>
      </c>
      <c r="T1613" s="8" t="s">
        <v>4725</v>
      </c>
    </row>
    <row r="1614" spans="1:20" x14ac:dyDescent="0.2">
      <c r="A1614" t="s">
        <v>4727</v>
      </c>
      <c r="B1614" t="s">
        <v>2022</v>
      </c>
      <c r="C1614" t="s">
        <v>2053</v>
      </c>
      <c r="D1614" t="s">
        <v>2136</v>
      </c>
      <c r="E1614" t="s">
        <v>357</v>
      </c>
      <c r="F1614" t="s">
        <v>4728</v>
      </c>
      <c r="G1614">
        <v>1</v>
      </c>
      <c r="H1614">
        <v>1500</v>
      </c>
      <c r="I1614">
        <v>1</v>
      </c>
      <c r="J1614">
        <v>1.55</v>
      </c>
      <c r="K1614">
        <v>2</v>
      </c>
      <c r="L1614">
        <v>8.5000000000000006E-2</v>
      </c>
      <c r="M1614">
        <v>2</v>
      </c>
      <c r="N1614">
        <v>83</v>
      </c>
      <c r="O1614">
        <v>1</v>
      </c>
      <c r="P1614">
        <v>7.4999999999999997E-2</v>
      </c>
      <c r="Q1614">
        <v>2</v>
      </c>
      <c r="R1614">
        <v>5.1999999999999998E-3</v>
      </c>
      <c r="T1614" s="8" t="s">
        <v>357</v>
      </c>
    </row>
    <row r="1615" spans="1:20" x14ac:dyDescent="0.2">
      <c r="A1615" t="s">
        <v>4729</v>
      </c>
      <c r="B1615" t="s">
        <v>2022</v>
      </c>
      <c r="C1615" t="s">
        <v>2023</v>
      </c>
      <c r="D1615" t="s">
        <v>2024</v>
      </c>
      <c r="E1615" t="s">
        <v>4730</v>
      </c>
      <c r="F1615" t="s">
        <v>4731</v>
      </c>
      <c r="G1615">
        <v>5</v>
      </c>
      <c r="H1615">
        <v>1800</v>
      </c>
      <c r="I1615">
        <v>3</v>
      </c>
      <c r="J1615">
        <v>5.9</v>
      </c>
      <c r="K1615">
        <v>5</v>
      </c>
      <c r="L1615">
        <v>8.5999999999999993E-2</v>
      </c>
      <c r="M1615">
        <v>5</v>
      </c>
      <c r="N1615">
        <v>114</v>
      </c>
      <c r="O1615">
        <v>3</v>
      </c>
      <c r="P1615">
        <v>0.375</v>
      </c>
      <c r="Q1615">
        <v>4</v>
      </c>
      <c r="R1615">
        <v>6.0000000000000001E-3</v>
      </c>
      <c r="T1615" s="8" t="s">
        <v>4730</v>
      </c>
    </row>
    <row r="1616" spans="1:20" x14ac:dyDescent="0.2">
      <c r="A1616" t="s">
        <v>4732</v>
      </c>
      <c r="B1616" t="s">
        <v>2022</v>
      </c>
      <c r="C1616" t="s">
        <v>2023</v>
      </c>
      <c r="D1616" t="s">
        <v>2024</v>
      </c>
      <c r="E1616" t="s">
        <v>4733</v>
      </c>
      <c r="F1616" t="s">
        <v>4734</v>
      </c>
      <c r="G1616">
        <v>1</v>
      </c>
      <c r="H1616">
        <v>1480</v>
      </c>
      <c r="I1616">
        <v>5</v>
      </c>
      <c r="J1616">
        <v>10.9</v>
      </c>
      <c r="K1616">
        <v>5</v>
      </c>
      <c r="L1616">
        <v>8.5999999999999993E-2</v>
      </c>
      <c r="M1616">
        <v>5</v>
      </c>
      <c r="N1616">
        <v>114</v>
      </c>
      <c r="O1616">
        <v>5</v>
      </c>
      <c r="P1616">
        <v>0.67500000000000004</v>
      </c>
      <c r="Q1616">
        <v>5</v>
      </c>
      <c r="R1616">
        <v>8.0000000000000002E-3</v>
      </c>
      <c r="T1616" s="8" t="s">
        <v>4733</v>
      </c>
    </row>
    <row r="1617" spans="1:20" x14ac:dyDescent="0.2">
      <c r="A1617" t="s">
        <v>4735</v>
      </c>
      <c r="B1617" t="s">
        <v>2022</v>
      </c>
      <c r="C1617" t="s">
        <v>2095</v>
      </c>
      <c r="D1617" t="s">
        <v>2024</v>
      </c>
      <c r="E1617" t="s">
        <v>4736</v>
      </c>
      <c r="F1617" t="s">
        <v>4737</v>
      </c>
      <c r="G1617">
        <v>4</v>
      </c>
      <c r="H1617">
        <v>1835</v>
      </c>
      <c r="I1617">
        <v>3</v>
      </c>
      <c r="J1617">
        <v>10.5</v>
      </c>
      <c r="K1617">
        <v>3</v>
      </c>
      <c r="L1617">
        <v>0.33</v>
      </c>
      <c r="M1617">
        <v>5</v>
      </c>
      <c r="N1617">
        <v>98</v>
      </c>
      <c r="O1617">
        <v>3</v>
      </c>
      <c r="P1617">
        <v>0.55000000000000004</v>
      </c>
      <c r="Q1617">
        <v>3</v>
      </c>
      <c r="R1617">
        <v>1.49E-2</v>
      </c>
      <c r="T1617" s="8" t="s">
        <v>4736</v>
      </c>
    </row>
    <row r="1618" spans="1:20" x14ac:dyDescent="0.2">
      <c r="A1618" t="s">
        <v>4738</v>
      </c>
      <c r="B1618" t="s">
        <v>2022</v>
      </c>
      <c r="C1618" t="s">
        <v>2036</v>
      </c>
      <c r="D1618" t="s">
        <v>2024</v>
      </c>
      <c r="E1618" t="s">
        <v>4739</v>
      </c>
      <c r="F1618" t="s">
        <v>447</v>
      </c>
      <c r="G1618">
        <v>4</v>
      </c>
      <c r="H1618">
        <v>1840</v>
      </c>
      <c r="I1618">
        <v>5</v>
      </c>
      <c r="J1618">
        <v>7</v>
      </c>
      <c r="K1618">
        <v>5</v>
      </c>
      <c r="L1618">
        <v>0.17499999999999999</v>
      </c>
      <c r="M1618">
        <v>3</v>
      </c>
      <c r="N1618">
        <v>88</v>
      </c>
      <c r="O1618">
        <v>5</v>
      </c>
      <c r="P1618">
        <v>0.53500000000000003</v>
      </c>
      <c r="Q1618">
        <v>5</v>
      </c>
      <c r="R1618">
        <v>1.2E-2</v>
      </c>
      <c r="T1618" s="8" t="s">
        <v>4739</v>
      </c>
    </row>
    <row r="1619" spans="1:20" x14ac:dyDescent="0.2">
      <c r="A1619" t="s">
        <v>4740</v>
      </c>
      <c r="B1619" t="s">
        <v>2022</v>
      </c>
      <c r="C1619" t="s">
        <v>2053</v>
      </c>
      <c r="D1619" t="s">
        <v>2024</v>
      </c>
      <c r="E1619" t="s">
        <v>4741</v>
      </c>
      <c r="F1619" t="s">
        <v>4742</v>
      </c>
      <c r="G1619">
        <v>5</v>
      </c>
      <c r="H1619">
        <v>1900</v>
      </c>
      <c r="I1619">
        <v>2</v>
      </c>
      <c r="J1619">
        <v>4.05</v>
      </c>
      <c r="K1619">
        <v>1</v>
      </c>
      <c r="L1619">
        <v>1.4999999999999999E-2</v>
      </c>
      <c r="M1619">
        <v>2</v>
      </c>
      <c r="N1619">
        <v>83</v>
      </c>
      <c r="O1619">
        <v>2</v>
      </c>
      <c r="P1619">
        <v>0.22500000000000001</v>
      </c>
      <c r="Q1619">
        <v>1</v>
      </c>
      <c r="R1619">
        <v>8.4999999999999995E-4</v>
      </c>
      <c r="T1619" s="8" t="s">
        <v>4741</v>
      </c>
    </row>
    <row r="1620" spans="1:20" x14ac:dyDescent="0.2">
      <c r="A1620" t="s">
        <v>4743</v>
      </c>
      <c r="B1620" t="s">
        <v>2022</v>
      </c>
      <c r="C1620" t="s">
        <v>2053</v>
      </c>
      <c r="D1620" t="s">
        <v>2024</v>
      </c>
      <c r="E1620" t="s">
        <v>4744</v>
      </c>
      <c r="F1620" t="s">
        <v>4745</v>
      </c>
      <c r="G1620">
        <v>3</v>
      </c>
      <c r="H1620">
        <v>1700</v>
      </c>
      <c r="I1620">
        <v>4</v>
      </c>
      <c r="J1620">
        <v>9.0500000000000007</v>
      </c>
      <c r="K1620">
        <v>4</v>
      </c>
      <c r="L1620">
        <v>0.30499999999999999</v>
      </c>
      <c r="M1620">
        <v>4</v>
      </c>
      <c r="N1620">
        <v>103</v>
      </c>
      <c r="O1620">
        <v>5</v>
      </c>
      <c r="P1620">
        <v>0.67500000000000004</v>
      </c>
      <c r="Q1620">
        <v>4</v>
      </c>
      <c r="R1620">
        <v>1.9199999999999998E-2</v>
      </c>
      <c r="T1620" s="8" t="s">
        <v>4744</v>
      </c>
    </row>
    <row r="1621" spans="1:20" x14ac:dyDescent="0.2">
      <c r="A1621" t="s">
        <v>4746</v>
      </c>
      <c r="B1621" t="s">
        <v>2022</v>
      </c>
      <c r="C1621" t="s">
        <v>2053</v>
      </c>
      <c r="D1621" t="s">
        <v>2024</v>
      </c>
      <c r="E1621" t="s">
        <v>4747</v>
      </c>
      <c r="F1621" t="s">
        <v>4748</v>
      </c>
      <c r="G1621">
        <v>5</v>
      </c>
      <c r="H1621">
        <v>1900</v>
      </c>
      <c r="I1621">
        <v>5</v>
      </c>
      <c r="J1621">
        <v>11.55</v>
      </c>
      <c r="K1621">
        <v>4</v>
      </c>
      <c r="L1621">
        <v>0.30499999999999999</v>
      </c>
      <c r="M1621">
        <v>4</v>
      </c>
      <c r="N1621">
        <v>103</v>
      </c>
      <c r="O1621">
        <v>4</v>
      </c>
      <c r="P1621">
        <v>0.52500000000000002</v>
      </c>
      <c r="Q1621">
        <v>4</v>
      </c>
      <c r="R1621">
        <v>1.9199999999999998E-2</v>
      </c>
      <c r="T1621" s="8" t="s">
        <v>4747</v>
      </c>
    </row>
    <row r="1622" spans="1:20" x14ac:dyDescent="0.2">
      <c r="A1622" t="s">
        <v>4749</v>
      </c>
      <c r="B1622" t="s">
        <v>2022</v>
      </c>
      <c r="C1622" t="s">
        <v>2053</v>
      </c>
      <c r="D1622" t="s">
        <v>2024</v>
      </c>
      <c r="E1622" t="s">
        <v>357</v>
      </c>
      <c r="F1622" t="s">
        <v>4750</v>
      </c>
      <c r="G1622">
        <v>5</v>
      </c>
      <c r="H1622">
        <v>1900</v>
      </c>
      <c r="I1622">
        <v>2</v>
      </c>
      <c r="J1622">
        <v>4.05</v>
      </c>
      <c r="K1622">
        <v>2</v>
      </c>
      <c r="L1622">
        <v>8.5000000000000006E-2</v>
      </c>
      <c r="M1622">
        <v>5</v>
      </c>
      <c r="N1622">
        <v>113</v>
      </c>
      <c r="O1622">
        <v>3</v>
      </c>
      <c r="P1622">
        <v>0.375</v>
      </c>
      <c r="Q1622">
        <v>2</v>
      </c>
      <c r="R1622">
        <v>5.1999999999999998E-3</v>
      </c>
      <c r="T1622" s="8" t="s">
        <v>357</v>
      </c>
    </row>
    <row r="1623" spans="1:20" x14ac:dyDescent="0.2">
      <c r="A1623" t="s">
        <v>4751</v>
      </c>
      <c r="B1623" t="s">
        <v>2022</v>
      </c>
      <c r="C1623" t="s">
        <v>2049</v>
      </c>
      <c r="D1623" t="s">
        <v>2024</v>
      </c>
      <c r="E1623" t="s">
        <v>4752</v>
      </c>
      <c r="F1623" t="s">
        <v>4753</v>
      </c>
      <c r="G1623">
        <v>2</v>
      </c>
      <c r="H1623">
        <v>1450</v>
      </c>
      <c r="I1623">
        <v>2</v>
      </c>
      <c r="J1623">
        <v>3.2</v>
      </c>
      <c r="K1623">
        <v>1</v>
      </c>
      <c r="L1623">
        <v>0.01</v>
      </c>
      <c r="M1623">
        <v>2</v>
      </c>
      <c r="N1623">
        <v>106</v>
      </c>
      <c r="O1623">
        <v>2</v>
      </c>
      <c r="P1623">
        <v>0.26</v>
      </c>
      <c r="Q1623">
        <v>1</v>
      </c>
      <c r="R1623">
        <v>8.4999999999999995E-4</v>
      </c>
      <c r="T1623" s="8" t="s">
        <v>4752</v>
      </c>
    </row>
    <row r="1624" spans="1:20" x14ac:dyDescent="0.2">
      <c r="A1624" t="s">
        <v>4754</v>
      </c>
      <c r="B1624" t="s">
        <v>2022</v>
      </c>
      <c r="C1624" t="s">
        <v>2023</v>
      </c>
      <c r="D1624" t="s">
        <v>2024</v>
      </c>
      <c r="E1624" t="s">
        <v>4755</v>
      </c>
      <c r="F1624" t="s">
        <v>4756</v>
      </c>
      <c r="G1624">
        <v>3</v>
      </c>
      <c r="H1624">
        <v>1640</v>
      </c>
      <c r="I1624">
        <v>3</v>
      </c>
      <c r="J1624">
        <v>5.9</v>
      </c>
      <c r="K1624">
        <v>2</v>
      </c>
      <c r="L1624">
        <v>2.5999999999999999E-2</v>
      </c>
      <c r="M1624">
        <v>3</v>
      </c>
      <c r="N1624">
        <v>94</v>
      </c>
      <c r="O1624">
        <v>2</v>
      </c>
      <c r="P1624">
        <v>0.22500000000000001</v>
      </c>
      <c r="Q1624">
        <v>2</v>
      </c>
      <c r="R1624">
        <v>2E-3</v>
      </c>
      <c r="T1624" s="8" t="s">
        <v>4755</v>
      </c>
    </row>
    <row r="1625" spans="1:20" x14ac:dyDescent="0.2">
      <c r="A1625" t="s">
        <v>4757</v>
      </c>
      <c r="B1625" t="s">
        <v>2022</v>
      </c>
      <c r="C1625" t="s">
        <v>2023</v>
      </c>
      <c r="D1625" t="s">
        <v>2024</v>
      </c>
      <c r="E1625" t="s">
        <v>4758</v>
      </c>
      <c r="F1625" t="s">
        <v>447</v>
      </c>
      <c r="G1625">
        <v>5</v>
      </c>
      <c r="H1625">
        <v>1800</v>
      </c>
      <c r="I1625">
        <v>4</v>
      </c>
      <c r="J1625">
        <v>8.4</v>
      </c>
      <c r="K1625">
        <v>2</v>
      </c>
      <c r="L1625">
        <v>2.5999999999999999E-2</v>
      </c>
      <c r="M1625">
        <v>2</v>
      </c>
      <c r="N1625">
        <v>84</v>
      </c>
      <c r="O1625">
        <v>3</v>
      </c>
      <c r="P1625">
        <v>0.375</v>
      </c>
      <c r="Q1625">
        <v>1</v>
      </c>
      <c r="R1625">
        <v>5.0000000000000001E-4</v>
      </c>
      <c r="T1625" s="8" t="s">
        <v>4758</v>
      </c>
    </row>
    <row r="1626" spans="1:20" x14ac:dyDescent="0.2">
      <c r="A1626" t="s">
        <v>4759</v>
      </c>
      <c r="B1626" t="s">
        <v>2022</v>
      </c>
      <c r="C1626" t="s">
        <v>2101</v>
      </c>
      <c r="D1626" t="s">
        <v>2024</v>
      </c>
      <c r="E1626" t="s">
        <v>4760</v>
      </c>
      <c r="F1626" t="s">
        <v>4761</v>
      </c>
      <c r="G1626">
        <v>5</v>
      </c>
      <c r="H1626">
        <v>1970</v>
      </c>
      <c r="I1626">
        <v>3</v>
      </c>
      <c r="J1626">
        <v>8</v>
      </c>
      <c r="K1626">
        <v>3</v>
      </c>
      <c r="L1626">
        <v>0.24349999999999999</v>
      </c>
      <c r="M1626">
        <v>5</v>
      </c>
      <c r="N1626">
        <v>98</v>
      </c>
      <c r="O1626">
        <v>4</v>
      </c>
      <c r="P1626">
        <v>0.52500000000000002</v>
      </c>
      <c r="Q1626">
        <v>3</v>
      </c>
      <c r="R1626">
        <v>1.15E-2</v>
      </c>
      <c r="T1626" s="8" t="s">
        <v>4760</v>
      </c>
    </row>
    <row r="1627" spans="1:20" x14ac:dyDescent="0.2">
      <c r="A1627" t="s">
        <v>4762</v>
      </c>
      <c r="B1627" t="s">
        <v>2022</v>
      </c>
      <c r="C1627" t="s">
        <v>2053</v>
      </c>
      <c r="D1627" t="s">
        <v>2024</v>
      </c>
      <c r="E1627" t="s">
        <v>4763</v>
      </c>
      <c r="F1627" t="s">
        <v>4764</v>
      </c>
      <c r="G1627">
        <v>3</v>
      </c>
      <c r="H1627">
        <v>1700</v>
      </c>
      <c r="I1627">
        <v>4</v>
      </c>
      <c r="J1627">
        <v>9.0500000000000007</v>
      </c>
      <c r="K1627">
        <v>3</v>
      </c>
      <c r="L1627">
        <v>0.19500000000000001</v>
      </c>
      <c r="M1627">
        <v>3</v>
      </c>
      <c r="N1627">
        <v>93</v>
      </c>
      <c r="O1627">
        <v>3</v>
      </c>
      <c r="P1627">
        <v>0.375</v>
      </c>
      <c r="Q1627">
        <v>2</v>
      </c>
      <c r="R1627">
        <v>5.1999999999999998E-3</v>
      </c>
      <c r="T1627" s="8" t="s">
        <v>4763</v>
      </c>
    </row>
    <row r="1628" spans="1:20" x14ac:dyDescent="0.2">
      <c r="A1628" t="s">
        <v>4765</v>
      </c>
      <c r="B1628" t="s">
        <v>2022</v>
      </c>
      <c r="C1628" t="s">
        <v>2023</v>
      </c>
      <c r="D1628" t="s">
        <v>2024</v>
      </c>
      <c r="E1628" t="s">
        <v>4766</v>
      </c>
      <c r="F1628" t="s">
        <v>4767</v>
      </c>
      <c r="G1628">
        <v>5</v>
      </c>
      <c r="H1628">
        <v>1800</v>
      </c>
      <c r="I1628">
        <v>4</v>
      </c>
      <c r="J1628">
        <v>8.4</v>
      </c>
      <c r="K1628">
        <v>5</v>
      </c>
      <c r="L1628">
        <v>8.5999999999999993E-2</v>
      </c>
      <c r="M1628">
        <v>3</v>
      </c>
      <c r="N1628">
        <v>94</v>
      </c>
      <c r="O1628">
        <v>4</v>
      </c>
      <c r="P1628">
        <v>0.52500000000000002</v>
      </c>
      <c r="Q1628">
        <v>5</v>
      </c>
      <c r="R1628">
        <v>8.0000000000000002E-3</v>
      </c>
      <c r="T1628" s="8" t="s">
        <v>4766</v>
      </c>
    </row>
    <row r="1629" spans="1:20" x14ac:dyDescent="0.2">
      <c r="A1629" t="s">
        <v>4768</v>
      </c>
      <c r="B1629" t="s">
        <v>2022</v>
      </c>
      <c r="C1629" t="s">
        <v>2023</v>
      </c>
      <c r="D1629" t="s">
        <v>2024</v>
      </c>
      <c r="E1629" t="s">
        <v>4769</v>
      </c>
      <c r="F1629" t="s">
        <v>4770</v>
      </c>
      <c r="G1629">
        <v>2</v>
      </c>
      <c r="H1629">
        <v>1560</v>
      </c>
      <c r="I1629">
        <v>2</v>
      </c>
      <c r="J1629">
        <v>3.4</v>
      </c>
      <c r="K1629">
        <v>2</v>
      </c>
      <c r="L1629">
        <v>2.5999999999999999E-2</v>
      </c>
      <c r="M1629">
        <v>2</v>
      </c>
      <c r="N1629">
        <v>84</v>
      </c>
      <c r="O1629">
        <v>2</v>
      </c>
      <c r="P1629">
        <v>0.22500000000000001</v>
      </c>
      <c r="Q1629">
        <v>2</v>
      </c>
      <c r="R1629">
        <v>2E-3</v>
      </c>
      <c r="T1629" s="8" t="s">
        <v>4769</v>
      </c>
    </row>
    <row r="1630" spans="1:20" x14ac:dyDescent="0.2">
      <c r="A1630" t="s">
        <v>4771</v>
      </c>
      <c r="B1630" t="s">
        <v>2022</v>
      </c>
      <c r="C1630" t="s">
        <v>2053</v>
      </c>
      <c r="D1630" t="s">
        <v>2154</v>
      </c>
      <c r="E1630" t="s">
        <v>4772</v>
      </c>
      <c r="F1630" t="s">
        <v>4773</v>
      </c>
      <c r="G1630">
        <v>5</v>
      </c>
      <c r="H1630">
        <v>1900</v>
      </c>
      <c r="I1630">
        <v>4</v>
      </c>
      <c r="J1630">
        <v>9.0500000000000007</v>
      </c>
      <c r="K1630">
        <v>4</v>
      </c>
      <c r="L1630">
        <v>0.30499999999999999</v>
      </c>
      <c r="M1630">
        <v>5</v>
      </c>
      <c r="N1630">
        <v>113</v>
      </c>
      <c r="O1630">
        <v>4</v>
      </c>
      <c r="P1630">
        <v>0.52500000000000002</v>
      </c>
      <c r="Q1630">
        <v>3</v>
      </c>
      <c r="R1630">
        <v>1.2200000000000001E-2</v>
      </c>
      <c r="T1630" s="8" t="s">
        <v>4772</v>
      </c>
    </row>
    <row r="1631" spans="1:20" x14ac:dyDescent="0.2">
      <c r="A1631" t="s">
        <v>4774</v>
      </c>
      <c r="B1631" t="s">
        <v>2022</v>
      </c>
      <c r="C1631" t="s">
        <v>2036</v>
      </c>
      <c r="D1631" t="s">
        <v>2136</v>
      </c>
      <c r="E1631" t="s">
        <v>4775</v>
      </c>
      <c r="F1631" t="s">
        <v>4776</v>
      </c>
      <c r="G1631">
        <v>2</v>
      </c>
      <c r="H1631">
        <v>1640</v>
      </c>
      <c r="I1631">
        <v>4</v>
      </c>
      <c r="J1631">
        <v>5.8</v>
      </c>
      <c r="K1631">
        <v>5</v>
      </c>
      <c r="L1631">
        <v>0.17499999999999999</v>
      </c>
      <c r="M1631">
        <v>1</v>
      </c>
      <c r="N1631">
        <v>76</v>
      </c>
      <c r="O1631">
        <v>2</v>
      </c>
      <c r="P1631">
        <v>0.20499999999999999</v>
      </c>
      <c r="Q1631">
        <v>4</v>
      </c>
      <c r="R1631">
        <v>9.2499999999999995E-3</v>
      </c>
      <c r="T1631" s="8" t="s">
        <v>4775</v>
      </c>
    </row>
    <row r="1632" spans="1:20" x14ac:dyDescent="0.2">
      <c r="A1632" t="s">
        <v>4777</v>
      </c>
      <c r="B1632" t="s">
        <v>2022</v>
      </c>
      <c r="C1632" t="s">
        <v>2023</v>
      </c>
      <c r="D1632" t="s">
        <v>2136</v>
      </c>
      <c r="E1632" t="s">
        <v>267</v>
      </c>
      <c r="F1632" t="s">
        <v>4778</v>
      </c>
      <c r="G1632">
        <v>3</v>
      </c>
      <c r="H1632">
        <v>1640</v>
      </c>
      <c r="I1632">
        <v>1</v>
      </c>
      <c r="J1632">
        <v>0.9</v>
      </c>
      <c r="K1632">
        <v>2</v>
      </c>
      <c r="L1632">
        <v>2.5999999999999999E-2</v>
      </c>
      <c r="M1632">
        <v>1</v>
      </c>
      <c r="N1632">
        <v>74</v>
      </c>
      <c r="O1632">
        <v>1</v>
      </c>
      <c r="P1632">
        <v>7.4999999999999997E-2</v>
      </c>
      <c r="Q1632">
        <v>1</v>
      </c>
      <c r="R1632">
        <v>5.0000000000000001E-4</v>
      </c>
      <c r="T1632" s="8" t="s">
        <v>267</v>
      </c>
    </row>
    <row r="1633" spans="1:20" x14ac:dyDescent="0.2">
      <c r="A1633" t="s">
        <v>4779</v>
      </c>
      <c r="B1633" t="s">
        <v>2022</v>
      </c>
      <c r="C1633" t="s">
        <v>2023</v>
      </c>
      <c r="D1633" t="s">
        <v>2154</v>
      </c>
      <c r="E1633" t="s">
        <v>267</v>
      </c>
      <c r="F1633" t="s">
        <v>4778</v>
      </c>
      <c r="G1633">
        <v>1</v>
      </c>
      <c r="H1633">
        <v>1480</v>
      </c>
      <c r="I1633">
        <v>1</v>
      </c>
      <c r="J1633">
        <v>0.9</v>
      </c>
      <c r="K1633">
        <v>2</v>
      </c>
      <c r="L1633">
        <v>2.5999999999999999E-2</v>
      </c>
      <c r="M1633">
        <v>1</v>
      </c>
      <c r="N1633">
        <v>74</v>
      </c>
      <c r="O1633">
        <v>1</v>
      </c>
      <c r="P1633">
        <v>7.4999999999999997E-2</v>
      </c>
      <c r="Q1633">
        <v>2</v>
      </c>
      <c r="R1633">
        <v>2E-3</v>
      </c>
      <c r="T1633" s="8" t="s">
        <v>267</v>
      </c>
    </row>
    <row r="1634" spans="1:20" x14ac:dyDescent="0.2">
      <c r="A1634" t="s">
        <v>4780</v>
      </c>
      <c r="B1634" t="s">
        <v>2022</v>
      </c>
      <c r="C1634" t="s">
        <v>2023</v>
      </c>
      <c r="D1634" t="s">
        <v>2136</v>
      </c>
      <c r="E1634" t="s">
        <v>267</v>
      </c>
      <c r="F1634" t="s">
        <v>4778</v>
      </c>
      <c r="G1634">
        <v>1</v>
      </c>
      <c r="H1634">
        <v>1480</v>
      </c>
      <c r="I1634">
        <v>1</v>
      </c>
      <c r="J1634">
        <v>0.9</v>
      </c>
      <c r="K1634">
        <v>3</v>
      </c>
      <c r="L1634">
        <v>4.5999999999999999E-2</v>
      </c>
      <c r="M1634">
        <v>2</v>
      </c>
      <c r="N1634">
        <v>84</v>
      </c>
      <c r="O1634">
        <v>1</v>
      </c>
      <c r="P1634">
        <v>7.4999999999999997E-2</v>
      </c>
      <c r="Q1634">
        <v>2</v>
      </c>
      <c r="R1634">
        <v>2E-3</v>
      </c>
      <c r="T1634" s="8" t="s">
        <v>267</v>
      </c>
    </row>
    <row r="1635" spans="1:20" x14ac:dyDescent="0.2">
      <c r="A1635" t="s">
        <v>4781</v>
      </c>
      <c r="B1635" t="s">
        <v>2022</v>
      </c>
      <c r="C1635" t="s">
        <v>2023</v>
      </c>
      <c r="D1635" t="s">
        <v>2024</v>
      </c>
      <c r="E1635" t="s">
        <v>4782</v>
      </c>
      <c r="F1635" t="s">
        <v>4783</v>
      </c>
      <c r="G1635">
        <v>5</v>
      </c>
      <c r="H1635">
        <v>1800</v>
      </c>
      <c r="I1635">
        <v>3</v>
      </c>
      <c r="J1635">
        <v>5.9</v>
      </c>
      <c r="K1635">
        <v>5</v>
      </c>
      <c r="L1635">
        <v>8.5999999999999993E-2</v>
      </c>
      <c r="M1635">
        <v>3</v>
      </c>
      <c r="N1635">
        <v>94</v>
      </c>
      <c r="O1635">
        <v>3</v>
      </c>
      <c r="P1635">
        <v>0.375</v>
      </c>
      <c r="Q1635">
        <v>5</v>
      </c>
      <c r="R1635">
        <v>8.0000000000000002E-3</v>
      </c>
      <c r="T1635" s="8" t="s">
        <v>4782</v>
      </c>
    </row>
    <row r="1636" spans="1:20" x14ac:dyDescent="0.2">
      <c r="A1636" t="s">
        <v>4784</v>
      </c>
      <c r="B1636" t="s">
        <v>2022</v>
      </c>
      <c r="C1636" t="s">
        <v>2222</v>
      </c>
      <c r="D1636" t="s">
        <v>2024</v>
      </c>
      <c r="E1636" t="s">
        <v>4785</v>
      </c>
      <c r="F1636" t="s">
        <v>4786</v>
      </c>
      <c r="G1636">
        <v>3</v>
      </c>
      <c r="H1636">
        <v>1650</v>
      </c>
      <c r="I1636">
        <v>3</v>
      </c>
      <c r="J1636">
        <v>5.5</v>
      </c>
      <c r="K1636">
        <v>3</v>
      </c>
      <c r="L1636">
        <v>0.125</v>
      </c>
      <c r="M1636">
        <v>5</v>
      </c>
      <c r="N1636">
        <v>75</v>
      </c>
      <c r="O1636">
        <v>3</v>
      </c>
      <c r="P1636">
        <v>0.23</v>
      </c>
      <c r="Q1636">
        <v>3</v>
      </c>
      <c r="R1636">
        <v>5.3E-3</v>
      </c>
      <c r="T1636" s="8" t="s">
        <v>4785</v>
      </c>
    </row>
    <row r="1637" spans="1:20" x14ac:dyDescent="0.2">
      <c r="A1637" t="s">
        <v>4787</v>
      </c>
      <c r="B1637" t="s">
        <v>2022</v>
      </c>
      <c r="C1637" t="s">
        <v>2023</v>
      </c>
      <c r="D1637" t="s">
        <v>2024</v>
      </c>
      <c r="E1637" t="s">
        <v>4788</v>
      </c>
      <c r="F1637" t="s">
        <v>4789</v>
      </c>
      <c r="G1637">
        <v>2</v>
      </c>
      <c r="H1637">
        <v>1560</v>
      </c>
      <c r="I1637">
        <v>2</v>
      </c>
      <c r="J1637">
        <v>3.4</v>
      </c>
      <c r="K1637">
        <v>3</v>
      </c>
      <c r="L1637">
        <v>4.5999999999999999E-2</v>
      </c>
      <c r="M1637">
        <v>2</v>
      </c>
      <c r="N1637">
        <v>84</v>
      </c>
      <c r="O1637">
        <v>2</v>
      </c>
      <c r="P1637">
        <v>0.22500000000000001</v>
      </c>
      <c r="Q1637">
        <v>2</v>
      </c>
      <c r="R1637">
        <v>2E-3</v>
      </c>
      <c r="T1637" s="8" t="s">
        <v>4788</v>
      </c>
    </row>
    <row r="1638" spans="1:20" x14ac:dyDescent="0.2">
      <c r="A1638" t="s">
        <v>4790</v>
      </c>
      <c r="B1638" t="s">
        <v>2022</v>
      </c>
      <c r="C1638" t="s">
        <v>2053</v>
      </c>
      <c r="D1638" t="s">
        <v>2024</v>
      </c>
      <c r="E1638" t="s">
        <v>4791</v>
      </c>
      <c r="F1638" t="s">
        <v>4792</v>
      </c>
      <c r="G1638">
        <v>1</v>
      </c>
      <c r="H1638">
        <v>1500</v>
      </c>
      <c r="I1638">
        <v>1</v>
      </c>
      <c r="J1638">
        <v>1.55</v>
      </c>
      <c r="K1638">
        <v>1</v>
      </c>
      <c r="L1638">
        <v>1.4999999999999999E-2</v>
      </c>
      <c r="M1638">
        <v>1</v>
      </c>
      <c r="N1638">
        <v>73</v>
      </c>
      <c r="O1638">
        <v>1</v>
      </c>
      <c r="P1638">
        <v>7.4999999999999997E-2</v>
      </c>
      <c r="Q1638">
        <v>1</v>
      </c>
      <c r="R1638">
        <v>8.4999999999999995E-4</v>
      </c>
      <c r="T1638" s="8" t="s">
        <v>4791</v>
      </c>
    </row>
    <row r="1639" spans="1:20" x14ac:dyDescent="0.2">
      <c r="A1639" t="s">
        <v>4793</v>
      </c>
      <c r="B1639" t="s">
        <v>2022</v>
      </c>
      <c r="C1639" t="s">
        <v>2036</v>
      </c>
      <c r="D1639" t="s">
        <v>2024</v>
      </c>
      <c r="E1639" t="s">
        <v>4794</v>
      </c>
      <c r="F1639" t="s">
        <v>4795</v>
      </c>
      <c r="G1639">
        <v>5</v>
      </c>
      <c r="H1639">
        <v>1940</v>
      </c>
      <c r="I1639">
        <v>5</v>
      </c>
      <c r="J1639">
        <v>7</v>
      </c>
      <c r="K1639">
        <v>5</v>
      </c>
      <c r="L1639">
        <v>0.17499999999999999</v>
      </c>
      <c r="M1639">
        <v>5</v>
      </c>
      <c r="N1639">
        <v>100</v>
      </c>
      <c r="O1639">
        <v>5</v>
      </c>
      <c r="P1639">
        <v>0.53500000000000003</v>
      </c>
      <c r="Q1639">
        <v>5</v>
      </c>
      <c r="R1639">
        <v>1.2E-2</v>
      </c>
      <c r="T1639" s="8" t="s">
        <v>4794</v>
      </c>
    </row>
    <row r="1640" spans="1:20" x14ac:dyDescent="0.2">
      <c r="A1640" t="s">
        <v>4796</v>
      </c>
      <c r="B1640" t="s">
        <v>2022</v>
      </c>
      <c r="C1640" t="s">
        <v>2222</v>
      </c>
      <c r="D1640" t="s">
        <v>2024</v>
      </c>
      <c r="E1640" t="s">
        <v>4797</v>
      </c>
      <c r="F1640" t="s">
        <v>4798</v>
      </c>
      <c r="G1640">
        <v>2</v>
      </c>
      <c r="H1640">
        <v>1550</v>
      </c>
      <c r="I1640">
        <v>1</v>
      </c>
      <c r="J1640">
        <v>2.2999999999999998</v>
      </c>
      <c r="K1640">
        <v>1</v>
      </c>
      <c r="L1640">
        <v>0.01</v>
      </c>
      <c r="M1640">
        <v>3</v>
      </c>
      <c r="N1640">
        <v>67</v>
      </c>
      <c r="O1640">
        <v>2</v>
      </c>
      <c r="P1640">
        <v>0.15</v>
      </c>
      <c r="Q1640">
        <v>1</v>
      </c>
      <c r="R1640">
        <v>4.0000000000000002E-4</v>
      </c>
      <c r="T1640" s="8" t="s">
        <v>4797</v>
      </c>
    </row>
    <row r="1641" spans="1:20" x14ac:dyDescent="0.2">
      <c r="A1641" t="s">
        <v>4799</v>
      </c>
      <c r="B1641" t="s">
        <v>2022</v>
      </c>
      <c r="C1641" t="s">
        <v>2222</v>
      </c>
      <c r="D1641" t="s">
        <v>2024</v>
      </c>
      <c r="E1641" t="s">
        <v>4800</v>
      </c>
      <c r="F1641" t="s">
        <v>4801</v>
      </c>
      <c r="G1641">
        <v>2</v>
      </c>
      <c r="H1641">
        <v>1550</v>
      </c>
      <c r="I1641">
        <v>1</v>
      </c>
      <c r="J1641">
        <v>2.2999999999999998</v>
      </c>
      <c r="K1641">
        <v>1</v>
      </c>
      <c r="L1641">
        <v>0.01</v>
      </c>
      <c r="M1641">
        <v>2</v>
      </c>
      <c r="N1641">
        <v>63</v>
      </c>
      <c r="O1641">
        <v>1</v>
      </c>
      <c r="P1641">
        <v>7.0000000000000007E-2</v>
      </c>
      <c r="Q1641">
        <v>1</v>
      </c>
      <c r="R1641">
        <v>4.0000000000000002E-4</v>
      </c>
      <c r="T1641" s="8" t="s">
        <v>4800</v>
      </c>
    </row>
    <row r="1642" spans="1:20" x14ac:dyDescent="0.2">
      <c r="A1642" t="s">
        <v>4802</v>
      </c>
      <c r="B1642" t="s">
        <v>2022</v>
      </c>
      <c r="C1642" t="s">
        <v>2028</v>
      </c>
      <c r="D1642" t="s">
        <v>2024</v>
      </c>
      <c r="E1642" t="s">
        <v>4803</v>
      </c>
      <c r="F1642" t="s">
        <v>4804</v>
      </c>
      <c r="G1642">
        <v>3</v>
      </c>
      <c r="H1642">
        <v>1050</v>
      </c>
      <c r="I1642">
        <v>5</v>
      </c>
      <c r="J1642">
        <v>6.65</v>
      </c>
      <c r="K1642">
        <v>5</v>
      </c>
      <c r="L1642">
        <v>0.26700000000000002</v>
      </c>
      <c r="M1642">
        <v>5</v>
      </c>
      <c r="N1642">
        <v>500</v>
      </c>
      <c r="O1642">
        <v>5</v>
      </c>
      <c r="P1642">
        <v>1.35</v>
      </c>
      <c r="Q1642">
        <v>5</v>
      </c>
      <c r="R1642">
        <v>3.3500000000000002E-2</v>
      </c>
      <c r="T1642" s="8" t="s">
        <v>4803</v>
      </c>
    </row>
    <row r="1643" spans="1:20" x14ac:dyDescent="0.2">
      <c r="A1643" t="s">
        <v>4805</v>
      </c>
      <c r="B1643" t="s">
        <v>2022</v>
      </c>
      <c r="C1643" t="s">
        <v>2036</v>
      </c>
      <c r="D1643" t="s">
        <v>2024</v>
      </c>
      <c r="E1643" t="s">
        <v>4806</v>
      </c>
      <c r="F1643" t="s">
        <v>4807</v>
      </c>
      <c r="G1643">
        <v>3</v>
      </c>
      <c r="H1643">
        <v>1740</v>
      </c>
      <c r="I1643">
        <v>3</v>
      </c>
      <c r="J1643">
        <v>4.5999999999999996</v>
      </c>
      <c r="K1643">
        <v>3</v>
      </c>
      <c r="L1643">
        <v>0.115</v>
      </c>
      <c r="M1643">
        <v>4</v>
      </c>
      <c r="N1643">
        <v>94</v>
      </c>
      <c r="O1643">
        <v>2</v>
      </c>
      <c r="P1643">
        <v>0.20499999999999999</v>
      </c>
      <c r="Q1643">
        <v>3</v>
      </c>
      <c r="R1643">
        <v>6.7499999999999999E-3</v>
      </c>
      <c r="T1643" s="8" t="s">
        <v>4806</v>
      </c>
    </row>
    <row r="1644" spans="1:20" x14ac:dyDescent="0.2">
      <c r="A1644" t="s">
        <v>4808</v>
      </c>
      <c r="B1644" t="s">
        <v>2022</v>
      </c>
      <c r="C1644" t="s">
        <v>2023</v>
      </c>
      <c r="D1644" t="s">
        <v>2024</v>
      </c>
      <c r="E1644" t="s">
        <v>4809</v>
      </c>
      <c r="F1644" t="s">
        <v>4810</v>
      </c>
      <c r="G1644">
        <v>1</v>
      </c>
      <c r="H1644">
        <v>1480</v>
      </c>
      <c r="I1644">
        <v>1</v>
      </c>
      <c r="J1644">
        <v>0.9</v>
      </c>
      <c r="K1644">
        <v>1</v>
      </c>
      <c r="L1644">
        <v>6.0000000000000001E-3</v>
      </c>
      <c r="M1644">
        <v>1</v>
      </c>
      <c r="N1644">
        <v>74</v>
      </c>
      <c r="O1644">
        <v>1</v>
      </c>
      <c r="P1644">
        <v>7.4999999999999997E-2</v>
      </c>
      <c r="Q1644">
        <v>1</v>
      </c>
      <c r="R1644">
        <v>5.0000000000000001E-4</v>
      </c>
      <c r="T1644" s="8" t="s">
        <v>4809</v>
      </c>
    </row>
    <row r="1645" spans="1:20" x14ac:dyDescent="0.2">
      <c r="A1645" t="s">
        <v>4811</v>
      </c>
      <c r="B1645" t="s">
        <v>2022</v>
      </c>
      <c r="C1645" t="s">
        <v>2036</v>
      </c>
      <c r="D1645" t="s">
        <v>2024</v>
      </c>
      <c r="E1645" t="s">
        <v>4812</v>
      </c>
      <c r="F1645" t="s">
        <v>4813</v>
      </c>
      <c r="G1645">
        <v>5</v>
      </c>
      <c r="H1645">
        <v>1940</v>
      </c>
      <c r="I1645">
        <v>5</v>
      </c>
      <c r="J1645">
        <v>7</v>
      </c>
      <c r="K1645">
        <v>5</v>
      </c>
      <c r="L1645">
        <v>0.17499999999999999</v>
      </c>
      <c r="M1645">
        <v>5</v>
      </c>
      <c r="N1645">
        <v>100</v>
      </c>
      <c r="O1645">
        <v>5</v>
      </c>
      <c r="P1645">
        <v>0.53500000000000003</v>
      </c>
      <c r="Q1645">
        <v>5</v>
      </c>
      <c r="R1645">
        <v>1.2E-2</v>
      </c>
      <c r="T1645" s="8" t="s">
        <v>4812</v>
      </c>
    </row>
    <row r="1646" spans="1:20" x14ac:dyDescent="0.2">
      <c r="A1646" t="s">
        <v>4814</v>
      </c>
      <c r="B1646" t="s">
        <v>2022</v>
      </c>
      <c r="C1646" t="s">
        <v>2036</v>
      </c>
      <c r="D1646" t="s">
        <v>2024</v>
      </c>
      <c r="E1646" t="s">
        <v>4815</v>
      </c>
      <c r="F1646" t="s">
        <v>4816</v>
      </c>
      <c r="G1646">
        <v>2</v>
      </c>
      <c r="H1646">
        <v>1640</v>
      </c>
      <c r="I1646">
        <v>5</v>
      </c>
      <c r="J1646">
        <v>7</v>
      </c>
      <c r="K1646">
        <v>4</v>
      </c>
      <c r="L1646">
        <v>0.14499999999999999</v>
      </c>
      <c r="M1646">
        <v>2</v>
      </c>
      <c r="N1646">
        <v>82</v>
      </c>
      <c r="O1646">
        <v>3</v>
      </c>
      <c r="P1646">
        <v>0.315</v>
      </c>
      <c r="Q1646">
        <v>3</v>
      </c>
      <c r="R1646">
        <v>6.7499999999999999E-3</v>
      </c>
      <c r="T1646" s="8" t="s">
        <v>4815</v>
      </c>
    </row>
    <row r="1647" spans="1:20" x14ac:dyDescent="0.2">
      <c r="A1647" t="s">
        <v>4817</v>
      </c>
      <c r="B1647" t="s">
        <v>2022</v>
      </c>
      <c r="C1647" t="s">
        <v>2023</v>
      </c>
      <c r="D1647" t="s">
        <v>2024</v>
      </c>
      <c r="E1647" t="s">
        <v>4818</v>
      </c>
      <c r="F1647" t="s">
        <v>4819</v>
      </c>
      <c r="G1647">
        <v>2</v>
      </c>
      <c r="H1647">
        <v>1560</v>
      </c>
      <c r="I1647">
        <v>4</v>
      </c>
      <c r="J1647">
        <v>8.4</v>
      </c>
      <c r="K1647">
        <v>5</v>
      </c>
      <c r="L1647">
        <v>8.5999999999999993E-2</v>
      </c>
      <c r="M1647">
        <v>4</v>
      </c>
      <c r="N1647">
        <v>104</v>
      </c>
      <c r="O1647">
        <v>4</v>
      </c>
      <c r="P1647">
        <v>0.52500000000000002</v>
      </c>
      <c r="Q1647">
        <v>5</v>
      </c>
      <c r="R1647">
        <v>8.0000000000000002E-3</v>
      </c>
      <c r="T1647" s="8" t="s">
        <v>4818</v>
      </c>
    </row>
    <row r="1648" spans="1:20" x14ac:dyDescent="0.2">
      <c r="A1648" t="s">
        <v>4820</v>
      </c>
      <c r="B1648" t="s">
        <v>2022</v>
      </c>
      <c r="C1648" t="s">
        <v>2023</v>
      </c>
      <c r="D1648" t="s">
        <v>2024</v>
      </c>
      <c r="E1648" t="s">
        <v>4821</v>
      </c>
      <c r="F1648" t="s">
        <v>4822</v>
      </c>
      <c r="G1648">
        <v>5</v>
      </c>
      <c r="H1648">
        <v>1800</v>
      </c>
      <c r="I1648">
        <v>5</v>
      </c>
      <c r="J1648">
        <v>10.9</v>
      </c>
      <c r="K1648">
        <v>5</v>
      </c>
      <c r="L1648">
        <v>8.5999999999999993E-2</v>
      </c>
      <c r="M1648">
        <v>3</v>
      </c>
      <c r="N1648">
        <v>94</v>
      </c>
      <c r="O1648">
        <v>5</v>
      </c>
      <c r="P1648">
        <v>0.67500000000000004</v>
      </c>
      <c r="Q1648">
        <v>5</v>
      </c>
      <c r="R1648">
        <v>8.0000000000000002E-3</v>
      </c>
      <c r="T1648" s="8" t="s">
        <v>4821</v>
      </c>
    </row>
    <row r="1649" spans="1:20" x14ac:dyDescent="0.2">
      <c r="A1649" t="s">
        <v>4823</v>
      </c>
      <c r="B1649" t="s">
        <v>2022</v>
      </c>
      <c r="C1649" t="s">
        <v>2036</v>
      </c>
      <c r="D1649" t="s">
        <v>2024</v>
      </c>
      <c r="E1649" t="s">
        <v>4824</v>
      </c>
      <c r="F1649" t="s">
        <v>4825</v>
      </c>
      <c r="G1649">
        <v>3</v>
      </c>
      <c r="H1649">
        <v>1740</v>
      </c>
      <c r="I1649">
        <v>3</v>
      </c>
      <c r="J1649">
        <v>4.5999999999999996</v>
      </c>
      <c r="K1649">
        <v>2</v>
      </c>
      <c r="L1649">
        <v>8.5000000000000006E-2</v>
      </c>
      <c r="M1649">
        <v>3</v>
      </c>
      <c r="N1649">
        <v>88</v>
      </c>
      <c r="O1649">
        <v>2</v>
      </c>
      <c r="P1649">
        <v>0.20499999999999999</v>
      </c>
      <c r="Q1649">
        <v>2</v>
      </c>
      <c r="R1649">
        <v>4.2500000000000003E-3</v>
      </c>
      <c r="T1649" s="8" t="s">
        <v>4824</v>
      </c>
    </row>
    <row r="1650" spans="1:20" x14ac:dyDescent="0.2">
      <c r="A1650" t="s">
        <v>4826</v>
      </c>
      <c r="B1650" t="s">
        <v>2022</v>
      </c>
      <c r="C1650" t="s">
        <v>2053</v>
      </c>
      <c r="D1650" t="s">
        <v>2024</v>
      </c>
      <c r="E1650" t="s">
        <v>4827</v>
      </c>
      <c r="F1650" t="s">
        <v>4828</v>
      </c>
      <c r="G1650">
        <v>5</v>
      </c>
      <c r="H1650">
        <v>1900</v>
      </c>
      <c r="I1650">
        <v>5</v>
      </c>
      <c r="J1650">
        <v>11.55</v>
      </c>
      <c r="K1650">
        <v>5</v>
      </c>
      <c r="L1650">
        <v>0.41499999999999998</v>
      </c>
      <c r="M1650">
        <v>5</v>
      </c>
      <c r="N1650">
        <v>113</v>
      </c>
      <c r="O1650">
        <v>5</v>
      </c>
      <c r="P1650">
        <v>0.67500000000000004</v>
      </c>
      <c r="Q1650">
        <v>5</v>
      </c>
      <c r="R1650">
        <v>2.6200000000000001E-2</v>
      </c>
      <c r="T1650" s="8" t="s">
        <v>4827</v>
      </c>
    </row>
    <row r="1651" spans="1:20" x14ac:dyDescent="0.2">
      <c r="A1651" t="s">
        <v>4829</v>
      </c>
      <c r="B1651" t="s">
        <v>2022</v>
      </c>
      <c r="C1651" t="s">
        <v>2036</v>
      </c>
      <c r="D1651" t="s">
        <v>2024</v>
      </c>
      <c r="E1651" t="s">
        <v>4830</v>
      </c>
      <c r="F1651" t="s">
        <v>4831</v>
      </c>
      <c r="G1651">
        <v>2</v>
      </c>
      <c r="H1651">
        <v>1640</v>
      </c>
      <c r="I1651">
        <v>1</v>
      </c>
      <c r="J1651">
        <v>2.2000000000000002</v>
      </c>
      <c r="K1651">
        <v>2</v>
      </c>
      <c r="L1651">
        <v>8.5000000000000006E-2</v>
      </c>
      <c r="M1651">
        <v>2</v>
      </c>
      <c r="N1651">
        <v>82</v>
      </c>
      <c r="O1651">
        <v>1</v>
      </c>
      <c r="P1651">
        <v>9.5000000000000001E-2</v>
      </c>
      <c r="Q1651">
        <v>2</v>
      </c>
      <c r="R1651">
        <v>4.2500000000000003E-3</v>
      </c>
      <c r="T1651" s="8" t="s">
        <v>4830</v>
      </c>
    </row>
    <row r="1652" spans="1:20" x14ac:dyDescent="0.2">
      <c r="A1652" t="s">
        <v>4832</v>
      </c>
      <c r="B1652" t="s">
        <v>2022</v>
      </c>
      <c r="C1652" t="s">
        <v>2023</v>
      </c>
      <c r="D1652" t="s">
        <v>2024</v>
      </c>
      <c r="E1652" t="s">
        <v>4833</v>
      </c>
      <c r="F1652" t="s">
        <v>4834</v>
      </c>
      <c r="G1652">
        <v>4</v>
      </c>
      <c r="H1652">
        <v>1720</v>
      </c>
      <c r="I1652">
        <v>4</v>
      </c>
      <c r="J1652">
        <v>8.4</v>
      </c>
      <c r="K1652">
        <v>5</v>
      </c>
      <c r="L1652">
        <v>8.5999999999999993E-2</v>
      </c>
      <c r="M1652">
        <v>3</v>
      </c>
      <c r="N1652">
        <v>94</v>
      </c>
      <c r="O1652">
        <v>4</v>
      </c>
      <c r="P1652">
        <v>0.52500000000000002</v>
      </c>
      <c r="Q1652">
        <v>5</v>
      </c>
      <c r="R1652">
        <v>8.0000000000000002E-3</v>
      </c>
      <c r="T1652" s="8" t="s">
        <v>4833</v>
      </c>
    </row>
    <row r="1653" spans="1:20" x14ac:dyDescent="0.2">
      <c r="A1653" t="s">
        <v>4835</v>
      </c>
      <c r="B1653" t="s">
        <v>2022</v>
      </c>
      <c r="C1653" t="s">
        <v>2036</v>
      </c>
      <c r="D1653" t="s">
        <v>2024</v>
      </c>
      <c r="E1653" t="s">
        <v>4836</v>
      </c>
      <c r="F1653" t="s">
        <v>4837</v>
      </c>
      <c r="G1653">
        <v>2</v>
      </c>
      <c r="H1653">
        <v>1640</v>
      </c>
      <c r="I1653">
        <v>3</v>
      </c>
      <c r="J1653">
        <v>4.5999999999999996</v>
      </c>
      <c r="K1653">
        <v>1</v>
      </c>
      <c r="L1653">
        <v>5.5E-2</v>
      </c>
      <c r="M1653">
        <v>2</v>
      </c>
      <c r="N1653">
        <v>82</v>
      </c>
      <c r="O1653">
        <v>2</v>
      </c>
      <c r="P1653">
        <v>0.20499999999999999</v>
      </c>
      <c r="Q1653">
        <v>1</v>
      </c>
      <c r="R1653">
        <v>1.5E-3</v>
      </c>
      <c r="T1653" s="8" t="s">
        <v>4836</v>
      </c>
    </row>
    <row r="1654" spans="1:20" x14ac:dyDescent="0.2">
      <c r="A1654" t="s">
        <v>4838</v>
      </c>
      <c r="B1654" t="s">
        <v>2022</v>
      </c>
      <c r="C1654" t="s">
        <v>2036</v>
      </c>
      <c r="D1654" t="s">
        <v>2024</v>
      </c>
      <c r="E1654" t="s">
        <v>4839</v>
      </c>
      <c r="F1654" t="s">
        <v>4840</v>
      </c>
      <c r="G1654">
        <v>1</v>
      </c>
      <c r="H1654">
        <v>1540</v>
      </c>
      <c r="I1654">
        <v>1</v>
      </c>
      <c r="J1654">
        <v>2.2000000000000002</v>
      </c>
      <c r="K1654">
        <v>1</v>
      </c>
      <c r="L1654">
        <v>5.5E-2</v>
      </c>
      <c r="M1654">
        <v>1</v>
      </c>
      <c r="N1654">
        <v>76</v>
      </c>
      <c r="O1654">
        <v>1</v>
      </c>
      <c r="P1654">
        <v>9.5000000000000001E-2</v>
      </c>
      <c r="Q1654">
        <v>2</v>
      </c>
      <c r="R1654">
        <v>4.2500000000000003E-3</v>
      </c>
      <c r="T1654" s="8" t="s">
        <v>4839</v>
      </c>
    </row>
    <row r="1655" spans="1:20" x14ac:dyDescent="0.2">
      <c r="A1655" t="s">
        <v>4841</v>
      </c>
      <c r="B1655" t="s">
        <v>2022</v>
      </c>
      <c r="C1655" t="s">
        <v>2023</v>
      </c>
      <c r="D1655" t="s">
        <v>2024</v>
      </c>
      <c r="E1655" t="s">
        <v>4842</v>
      </c>
      <c r="F1655" t="s">
        <v>4843</v>
      </c>
      <c r="G1655">
        <v>5</v>
      </c>
      <c r="H1655">
        <v>1800</v>
      </c>
      <c r="I1655">
        <v>4</v>
      </c>
      <c r="J1655">
        <v>8.4</v>
      </c>
      <c r="K1655">
        <v>5</v>
      </c>
      <c r="L1655">
        <v>8.5999999999999993E-2</v>
      </c>
      <c r="M1655">
        <v>3</v>
      </c>
      <c r="N1655">
        <v>94</v>
      </c>
      <c r="O1655">
        <v>3</v>
      </c>
      <c r="P1655">
        <v>0.375</v>
      </c>
      <c r="Q1655">
        <v>5</v>
      </c>
      <c r="R1655">
        <v>8.0000000000000002E-3</v>
      </c>
      <c r="T1655" s="8" t="s">
        <v>4842</v>
      </c>
    </row>
    <row r="1656" spans="1:20" x14ac:dyDescent="0.2">
      <c r="A1656" t="s">
        <v>4844</v>
      </c>
      <c r="B1656" t="s">
        <v>2022</v>
      </c>
      <c r="C1656" t="s">
        <v>2053</v>
      </c>
      <c r="D1656" t="s">
        <v>2024</v>
      </c>
      <c r="E1656" t="s">
        <v>224</v>
      </c>
      <c r="F1656" t="s">
        <v>4845</v>
      </c>
      <c r="G1656">
        <v>2</v>
      </c>
      <c r="H1656">
        <v>1600</v>
      </c>
      <c r="I1656">
        <v>4</v>
      </c>
      <c r="J1656">
        <v>9.0500000000000007</v>
      </c>
      <c r="K1656">
        <v>3</v>
      </c>
      <c r="L1656">
        <v>0.19500000000000001</v>
      </c>
      <c r="M1656">
        <v>1</v>
      </c>
      <c r="N1656">
        <v>73</v>
      </c>
      <c r="O1656">
        <v>3</v>
      </c>
      <c r="P1656">
        <v>0.375</v>
      </c>
      <c r="Q1656">
        <v>3</v>
      </c>
      <c r="R1656">
        <v>1.2200000000000001E-2</v>
      </c>
      <c r="T1656" s="8" t="s">
        <v>224</v>
      </c>
    </row>
    <row r="1657" spans="1:20" x14ac:dyDescent="0.2">
      <c r="A1657" t="s">
        <v>4846</v>
      </c>
      <c r="B1657" t="s">
        <v>2022</v>
      </c>
      <c r="C1657" t="s">
        <v>2053</v>
      </c>
      <c r="D1657" t="s">
        <v>2024</v>
      </c>
      <c r="E1657" t="s">
        <v>4847</v>
      </c>
      <c r="F1657" t="s">
        <v>4848</v>
      </c>
      <c r="G1657">
        <v>2</v>
      </c>
      <c r="H1657">
        <v>1600</v>
      </c>
      <c r="I1657">
        <v>4</v>
      </c>
      <c r="J1657">
        <v>9.0500000000000007</v>
      </c>
      <c r="K1657">
        <v>4</v>
      </c>
      <c r="L1657">
        <v>0.30499999999999999</v>
      </c>
      <c r="M1657">
        <v>1</v>
      </c>
      <c r="N1657">
        <v>73</v>
      </c>
      <c r="O1657">
        <v>3</v>
      </c>
      <c r="P1657">
        <v>0.375</v>
      </c>
      <c r="Q1657">
        <v>3</v>
      </c>
      <c r="R1657">
        <v>1.2200000000000001E-2</v>
      </c>
      <c r="T1657" s="8" t="s">
        <v>4847</v>
      </c>
    </row>
    <row r="1658" spans="1:20" x14ac:dyDescent="0.2">
      <c r="A1658" t="s">
        <v>4849</v>
      </c>
      <c r="B1658" t="s">
        <v>2022</v>
      </c>
      <c r="C1658" t="s">
        <v>2053</v>
      </c>
      <c r="D1658" t="s">
        <v>2024</v>
      </c>
      <c r="E1658" t="s">
        <v>4850</v>
      </c>
      <c r="F1658" t="s">
        <v>4851</v>
      </c>
      <c r="G1658">
        <v>2</v>
      </c>
      <c r="H1658">
        <v>1600</v>
      </c>
      <c r="I1658">
        <v>5</v>
      </c>
      <c r="J1658">
        <v>11.55</v>
      </c>
      <c r="K1658">
        <v>5</v>
      </c>
      <c r="L1658">
        <v>0.41499999999999998</v>
      </c>
      <c r="M1658">
        <v>1</v>
      </c>
      <c r="N1658">
        <v>73</v>
      </c>
      <c r="O1658">
        <v>4</v>
      </c>
      <c r="P1658">
        <v>0.52500000000000002</v>
      </c>
      <c r="Q1658">
        <v>4</v>
      </c>
      <c r="R1658">
        <v>1.9199999999999998E-2</v>
      </c>
      <c r="T1658" s="8" t="s">
        <v>4850</v>
      </c>
    </row>
    <row r="1659" spans="1:20" x14ac:dyDescent="0.2">
      <c r="A1659" t="s">
        <v>4852</v>
      </c>
      <c r="B1659" t="s">
        <v>2022</v>
      </c>
      <c r="C1659" t="s">
        <v>2101</v>
      </c>
      <c r="D1659" t="s">
        <v>2024</v>
      </c>
      <c r="E1659" t="s">
        <v>4853</v>
      </c>
      <c r="F1659" t="s">
        <v>4854</v>
      </c>
      <c r="G1659">
        <v>1</v>
      </c>
      <c r="H1659">
        <v>1570</v>
      </c>
      <c r="I1659">
        <v>4</v>
      </c>
      <c r="J1659">
        <v>11</v>
      </c>
      <c r="K1659">
        <v>4</v>
      </c>
      <c r="L1659">
        <v>0.39050000000000001</v>
      </c>
      <c r="M1659">
        <v>1</v>
      </c>
      <c r="N1659">
        <v>66</v>
      </c>
      <c r="O1659">
        <v>4</v>
      </c>
      <c r="P1659">
        <v>0.52500000000000002</v>
      </c>
      <c r="Q1659">
        <v>4</v>
      </c>
      <c r="R1659">
        <v>1.8499999999999999E-2</v>
      </c>
      <c r="T1659" s="8" t="s">
        <v>4853</v>
      </c>
    </row>
    <row r="1660" spans="1:20" x14ac:dyDescent="0.2">
      <c r="A1660" t="s">
        <v>4855</v>
      </c>
      <c r="B1660" t="s">
        <v>2022</v>
      </c>
      <c r="C1660" t="s">
        <v>2053</v>
      </c>
      <c r="D1660" t="s">
        <v>2024</v>
      </c>
      <c r="E1660" t="s">
        <v>4856</v>
      </c>
      <c r="F1660" t="s">
        <v>4857</v>
      </c>
      <c r="G1660">
        <v>3</v>
      </c>
      <c r="H1660">
        <v>1700</v>
      </c>
      <c r="I1660">
        <v>3</v>
      </c>
      <c r="J1660">
        <v>6.55</v>
      </c>
      <c r="K1660">
        <v>2</v>
      </c>
      <c r="L1660">
        <v>8.5000000000000006E-2</v>
      </c>
      <c r="M1660">
        <v>1</v>
      </c>
      <c r="N1660">
        <v>73</v>
      </c>
      <c r="O1660">
        <v>2</v>
      </c>
      <c r="P1660">
        <v>0.22500000000000001</v>
      </c>
      <c r="Q1660">
        <v>2</v>
      </c>
      <c r="R1660">
        <v>5.1999999999999998E-3</v>
      </c>
      <c r="T1660" s="8" t="s">
        <v>4856</v>
      </c>
    </row>
    <row r="1661" spans="1:20" x14ac:dyDescent="0.2">
      <c r="A1661" t="s">
        <v>4858</v>
      </c>
      <c r="B1661" t="s">
        <v>2022</v>
      </c>
      <c r="C1661" t="s">
        <v>2101</v>
      </c>
      <c r="D1661" t="s">
        <v>2024</v>
      </c>
      <c r="E1661" t="s">
        <v>4859</v>
      </c>
      <c r="F1661" t="s">
        <v>4860</v>
      </c>
      <c r="G1661">
        <v>4</v>
      </c>
      <c r="H1661">
        <v>1870</v>
      </c>
      <c r="I1661">
        <v>3</v>
      </c>
      <c r="J1661">
        <v>8</v>
      </c>
      <c r="K1661">
        <v>2</v>
      </c>
      <c r="L1661">
        <v>9.6500000000000002E-2</v>
      </c>
      <c r="M1661">
        <v>2</v>
      </c>
      <c r="N1661">
        <v>74</v>
      </c>
      <c r="O1661">
        <v>2</v>
      </c>
      <c r="P1661">
        <v>0.22500000000000001</v>
      </c>
      <c r="Q1661">
        <v>2</v>
      </c>
      <c r="R1661">
        <v>4.4999999999999997E-3</v>
      </c>
      <c r="T1661" s="8" t="s">
        <v>4859</v>
      </c>
    </row>
    <row r="1662" spans="1:20" x14ac:dyDescent="0.2">
      <c r="A1662" t="s">
        <v>4861</v>
      </c>
      <c r="B1662" t="s">
        <v>2022</v>
      </c>
      <c r="C1662" t="s">
        <v>2036</v>
      </c>
      <c r="D1662" t="s">
        <v>2024</v>
      </c>
      <c r="E1662" t="s">
        <v>4862</v>
      </c>
      <c r="F1662" t="s">
        <v>4863</v>
      </c>
      <c r="G1662">
        <v>1</v>
      </c>
      <c r="H1662">
        <v>1540</v>
      </c>
      <c r="I1662">
        <v>5</v>
      </c>
      <c r="J1662">
        <v>7</v>
      </c>
      <c r="K1662">
        <v>3</v>
      </c>
      <c r="L1662">
        <v>0.115</v>
      </c>
      <c r="M1662">
        <v>1</v>
      </c>
      <c r="N1662">
        <v>76</v>
      </c>
      <c r="O1662">
        <v>3</v>
      </c>
      <c r="P1662">
        <v>0.315</v>
      </c>
      <c r="Q1662">
        <v>3</v>
      </c>
      <c r="R1662">
        <v>6.7499999999999999E-3</v>
      </c>
      <c r="T1662" s="8" t="s">
        <v>4862</v>
      </c>
    </row>
    <row r="1663" spans="1:20" x14ac:dyDescent="0.2">
      <c r="A1663" t="s">
        <v>4864</v>
      </c>
      <c r="B1663" t="s">
        <v>2022</v>
      </c>
      <c r="C1663" t="s">
        <v>2023</v>
      </c>
      <c r="D1663" t="s">
        <v>2024</v>
      </c>
      <c r="E1663" t="s">
        <v>4865</v>
      </c>
      <c r="F1663" t="s">
        <v>4866</v>
      </c>
      <c r="G1663">
        <v>2</v>
      </c>
      <c r="H1663">
        <v>1560</v>
      </c>
      <c r="I1663">
        <v>2</v>
      </c>
      <c r="J1663">
        <v>3.4</v>
      </c>
      <c r="K1663">
        <v>2</v>
      </c>
      <c r="L1663">
        <v>2.5999999999999999E-2</v>
      </c>
      <c r="M1663">
        <v>3</v>
      </c>
      <c r="N1663">
        <v>94</v>
      </c>
      <c r="O1663">
        <v>2</v>
      </c>
      <c r="P1663">
        <v>0.22500000000000001</v>
      </c>
      <c r="Q1663">
        <v>2</v>
      </c>
      <c r="R1663">
        <v>2E-3</v>
      </c>
      <c r="T1663" s="8" t="s">
        <v>4865</v>
      </c>
    </row>
    <row r="1664" spans="1:20" x14ac:dyDescent="0.2">
      <c r="A1664" t="s">
        <v>4867</v>
      </c>
      <c r="B1664" t="s">
        <v>2022</v>
      </c>
      <c r="C1664" t="s">
        <v>2023</v>
      </c>
      <c r="D1664" t="s">
        <v>2024</v>
      </c>
      <c r="E1664" t="s">
        <v>4868</v>
      </c>
      <c r="F1664" t="s">
        <v>4869</v>
      </c>
      <c r="G1664">
        <v>3</v>
      </c>
      <c r="H1664">
        <v>1640</v>
      </c>
      <c r="I1664">
        <v>3</v>
      </c>
      <c r="J1664">
        <v>5.9</v>
      </c>
      <c r="K1664">
        <v>2</v>
      </c>
      <c r="L1664">
        <v>2.5999999999999999E-2</v>
      </c>
      <c r="M1664">
        <v>2</v>
      </c>
      <c r="N1664">
        <v>84</v>
      </c>
      <c r="O1664">
        <v>3</v>
      </c>
      <c r="P1664">
        <v>0.375</v>
      </c>
      <c r="Q1664">
        <v>2</v>
      </c>
      <c r="R1664">
        <v>2E-3</v>
      </c>
      <c r="T1664" s="8" t="s">
        <v>4868</v>
      </c>
    </row>
    <row r="1665" spans="1:20" x14ac:dyDescent="0.2">
      <c r="A1665" t="s">
        <v>4870</v>
      </c>
      <c r="B1665" t="s">
        <v>2022</v>
      </c>
      <c r="C1665" t="s">
        <v>2053</v>
      </c>
      <c r="D1665" t="s">
        <v>2024</v>
      </c>
      <c r="E1665" t="s">
        <v>4871</v>
      </c>
      <c r="F1665" t="s">
        <v>4872</v>
      </c>
      <c r="G1665">
        <v>3</v>
      </c>
      <c r="H1665">
        <v>1700</v>
      </c>
      <c r="I1665">
        <v>5</v>
      </c>
      <c r="J1665">
        <v>11.55</v>
      </c>
      <c r="K1665">
        <v>4</v>
      </c>
      <c r="L1665">
        <v>0.30499999999999999</v>
      </c>
      <c r="M1665">
        <v>2</v>
      </c>
      <c r="N1665">
        <v>83</v>
      </c>
      <c r="O1665">
        <v>4</v>
      </c>
      <c r="P1665">
        <v>0.52500000000000002</v>
      </c>
      <c r="Q1665">
        <v>3</v>
      </c>
      <c r="R1665">
        <v>1.2200000000000001E-2</v>
      </c>
      <c r="T1665" s="8" t="s">
        <v>4871</v>
      </c>
    </row>
    <row r="1666" spans="1:20" x14ac:dyDescent="0.2">
      <c r="A1666" t="s">
        <v>4873</v>
      </c>
      <c r="B1666" t="s">
        <v>2022</v>
      </c>
      <c r="C1666" t="s">
        <v>2023</v>
      </c>
      <c r="D1666" t="s">
        <v>2024</v>
      </c>
      <c r="E1666" t="s">
        <v>4874</v>
      </c>
      <c r="F1666" t="s">
        <v>4875</v>
      </c>
      <c r="G1666">
        <v>5</v>
      </c>
      <c r="H1666">
        <v>1800</v>
      </c>
      <c r="I1666">
        <v>3</v>
      </c>
      <c r="J1666">
        <v>5.9</v>
      </c>
      <c r="K1666">
        <v>5</v>
      </c>
      <c r="L1666">
        <v>8.5999999999999993E-2</v>
      </c>
      <c r="M1666">
        <v>4</v>
      </c>
      <c r="N1666">
        <v>104</v>
      </c>
      <c r="O1666">
        <v>3</v>
      </c>
      <c r="P1666">
        <v>0.375</v>
      </c>
      <c r="Q1666">
        <v>3</v>
      </c>
      <c r="R1666">
        <v>4.0000000000000001E-3</v>
      </c>
      <c r="T1666" s="8" t="s">
        <v>4874</v>
      </c>
    </row>
    <row r="1667" spans="1:20" x14ac:dyDescent="0.2">
      <c r="A1667" t="s">
        <v>4876</v>
      </c>
      <c r="B1667" t="s">
        <v>2022</v>
      </c>
      <c r="C1667" t="s">
        <v>2053</v>
      </c>
      <c r="D1667" t="s">
        <v>2024</v>
      </c>
      <c r="E1667" t="s">
        <v>357</v>
      </c>
      <c r="F1667" t="s">
        <v>447</v>
      </c>
      <c r="G1667">
        <v>5</v>
      </c>
      <c r="H1667">
        <v>1900</v>
      </c>
      <c r="I1667">
        <v>3</v>
      </c>
      <c r="J1667">
        <v>6.55</v>
      </c>
      <c r="K1667">
        <v>4</v>
      </c>
      <c r="L1667">
        <v>0.30499999999999999</v>
      </c>
      <c r="M1667">
        <v>5</v>
      </c>
      <c r="N1667">
        <v>113</v>
      </c>
      <c r="O1667">
        <v>3</v>
      </c>
      <c r="P1667">
        <v>0.375</v>
      </c>
      <c r="Q1667">
        <v>3</v>
      </c>
      <c r="R1667">
        <v>1.2200000000000001E-2</v>
      </c>
      <c r="T1667" s="8" t="s">
        <v>357</v>
      </c>
    </row>
    <row r="1668" spans="1:20" x14ac:dyDescent="0.2">
      <c r="A1668" t="s">
        <v>4877</v>
      </c>
      <c r="B1668" t="s">
        <v>2022</v>
      </c>
      <c r="C1668" t="s">
        <v>2053</v>
      </c>
      <c r="D1668" t="s">
        <v>2024</v>
      </c>
      <c r="E1668" t="s">
        <v>4878</v>
      </c>
      <c r="F1668" t="s">
        <v>4879</v>
      </c>
      <c r="G1668">
        <v>1</v>
      </c>
      <c r="H1668">
        <v>1500</v>
      </c>
      <c r="I1668">
        <v>3</v>
      </c>
      <c r="J1668">
        <v>6.55</v>
      </c>
      <c r="K1668">
        <v>3</v>
      </c>
      <c r="L1668">
        <v>0.19500000000000001</v>
      </c>
      <c r="M1668">
        <v>2</v>
      </c>
      <c r="N1668">
        <v>83</v>
      </c>
      <c r="O1668">
        <v>3</v>
      </c>
      <c r="P1668">
        <v>0.375</v>
      </c>
      <c r="Q1668">
        <v>3</v>
      </c>
      <c r="R1668">
        <v>1.2200000000000001E-2</v>
      </c>
      <c r="T1668" s="8" t="s">
        <v>4878</v>
      </c>
    </row>
    <row r="1669" spans="1:20" x14ac:dyDescent="0.2">
      <c r="A1669" t="s">
        <v>4880</v>
      </c>
      <c r="B1669" t="s">
        <v>2022</v>
      </c>
      <c r="C1669" t="s">
        <v>2023</v>
      </c>
      <c r="D1669" t="s">
        <v>2136</v>
      </c>
      <c r="E1669" t="s">
        <v>4881</v>
      </c>
      <c r="F1669" t="s">
        <v>4882</v>
      </c>
      <c r="G1669">
        <v>1</v>
      </c>
      <c r="H1669">
        <v>1480</v>
      </c>
      <c r="I1669">
        <v>2</v>
      </c>
      <c r="J1669">
        <v>3.4</v>
      </c>
      <c r="K1669">
        <v>2</v>
      </c>
      <c r="L1669">
        <v>2.5999999999999999E-2</v>
      </c>
      <c r="M1669">
        <v>3</v>
      </c>
      <c r="N1669">
        <v>94</v>
      </c>
      <c r="O1669">
        <v>2</v>
      </c>
      <c r="P1669">
        <v>0.22500000000000001</v>
      </c>
      <c r="Q1669">
        <v>2</v>
      </c>
      <c r="R1669">
        <v>2E-3</v>
      </c>
      <c r="T1669" s="8" t="s">
        <v>4881</v>
      </c>
    </row>
    <row r="1670" spans="1:20" x14ac:dyDescent="0.2">
      <c r="A1670" t="s">
        <v>4883</v>
      </c>
      <c r="B1670" t="s">
        <v>2022</v>
      </c>
      <c r="C1670" t="s">
        <v>2023</v>
      </c>
      <c r="D1670" t="s">
        <v>2136</v>
      </c>
      <c r="E1670" t="s">
        <v>4881</v>
      </c>
      <c r="F1670" t="s">
        <v>4882</v>
      </c>
      <c r="G1670">
        <v>1</v>
      </c>
      <c r="H1670">
        <v>1480</v>
      </c>
      <c r="I1670">
        <v>2</v>
      </c>
      <c r="J1670">
        <v>3.4</v>
      </c>
      <c r="K1670">
        <v>2</v>
      </c>
      <c r="L1670">
        <v>2.5999999999999999E-2</v>
      </c>
      <c r="M1670">
        <v>3</v>
      </c>
      <c r="N1670">
        <v>94</v>
      </c>
      <c r="O1670">
        <v>2</v>
      </c>
      <c r="P1670">
        <v>0.22500000000000001</v>
      </c>
      <c r="Q1670">
        <v>2</v>
      </c>
      <c r="R1670">
        <v>2E-3</v>
      </c>
      <c r="T1670" s="8" t="s">
        <v>4881</v>
      </c>
    </row>
    <row r="1671" spans="1:20" x14ac:dyDescent="0.2">
      <c r="A1671" t="s">
        <v>4884</v>
      </c>
      <c r="B1671" t="s">
        <v>2022</v>
      </c>
      <c r="C1671" t="s">
        <v>2023</v>
      </c>
      <c r="D1671" t="s">
        <v>2024</v>
      </c>
      <c r="E1671" t="s">
        <v>4885</v>
      </c>
      <c r="F1671" t="s">
        <v>4886</v>
      </c>
      <c r="G1671">
        <v>4</v>
      </c>
      <c r="H1671">
        <v>1720</v>
      </c>
      <c r="I1671">
        <v>1</v>
      </c>
      <c r="J1671">
        <v>0.9</v>
      </c>
      <c r="K1671">
        <v>1</v>
      </c>
      <c r="L1671">
        <v>6.0000000000000001E-3</v>
      </c>
      <c r="M1671">
        <v>3</v>
      </c>
      <c r="N1671">
        <v>94</v>
      </c>
      <c r="O1671">
        <v>1</v>
      </c>
      <c r="P1671">
        <v>7.4999999999999997E-2</v>
      </c>
      <c r="Q1671">
        <v>1</v>
      </c>
      <c r="R1671">
        <v>5.0000000000000001E-4</v>
      </c>
      <c r="T1671" s="8" t="s">
        <v>4885</v>
      </c>
    </row>
    <row r="1672" spans="1:20" x14ac:dyDescent="0.2">
      <c r="A1672" t="s">
        <v>4887</v>
      </c>
      <c r="B1672" t="s">
        <v>2022</v>
      </c>
      <c r="C1672" t="s">
        <v>2095</v>
      </c>
      <c r="D1672" t="s">
        <v>2024</v>
      </c>
      <c r="E1672" t="s">
        <v>4888</v>
      </c>
      <c r="F1672" t="s">
        <v>4889</v>
      </c>
      <c r="G1672">
        <v>5</v>
      </c>
      <c r="H1672">
        <v>1925</v>
      </c>
      <c r="I1672">
        <v>2</v>
      </c>
      <c r="J1672">
        <v>7.5</v>
      </c>
      <c r="K1672">
        <v>2</v>
      </c>
      <c r="L1672">
        <v>0.13</v>
      </c>
      <c r="M1672">
        <v>4</v>
      </c>
      <c r="N1672">
        <v>92</v>
      </c>
      <c r="O1672">
        <v>2</v>
      </c>
      <c r="P1672">
        <v>0.35</v>
      </c>
      <c r="Q1672">
        <v>2</v>
      </c>
      <c r="R1672">
        <v>5.8999999999999999E-3</v>
      </c>
      <c r="T1672" s="8" t="s">
        <v>4888</v>
      </c>
    </row>
    <row r="1673" spans="1:20" x14ac:dyDescent="0.2">
      <c r="A1673" t="s">
        <v>4890</v>
      </c>
      <c r="B1673" t="s">
        <v>2022</v>
      </c>
      <c r="C1673" t="s">
        <v>2049</v>
      </c>
      <c r="D1673" t="s">
        <v>2024</v>
      </c>
      <c r="E1673" t="s">
        <v>4891</v>
      </c>
      <c r="F1673" t="s">
        <v>4892</v>
      </c>
      <c r="G1673">
        <v>4</v>
      </c>
      <c r="H1673">
        <v>1650</v>
      </c>
      <c r="I1673">
        <v>1</v>
      </c>
      <c r="J1673">
        <v>1.4</v>
      </c>
      <c r="K1673">
        <v>1</v>
      </c>
      <c r="L1673">
        <v>0.01</v>
      </c>
      <c r="M1673">
        <v>5</v>
      </c>
      <c r="N1673">
        <v>166</v>
      </c>
      <c r="O1673">
        <v>1</v>
      </c>
      <c r="P1673">
        <v>0.06</v>
      </c>
      <c r="Q1673">
        <v>1</v>
      </c>
      <c r="R1673">
        <v>8.4999999999999995E-4</v>
      </c>
      <c r="T1673" s="8" t="s">
        <v>4891</v>
      </c>
    </row>
    <row r="1674" spans="1:20" x14ac:dyDescent="0.2">
      <c r="A1674" t="s">
        <v>4893</v>
      </c>
      <c r="B1674" t="s">
        <v>2022</v>
      </c>
      <c r="C1674" t="s">
        <v>2023</v>
      </c>
      <c r="D1674" t="s">
        <v>2024</v>
      </c>
      <c r="E1674" t="s">
        <v>4894</v>
      </c>
      <c r="F1674" t="s">
        <v>4895</v>
      </c>
      <c r="G1674">
        <v>4</v>
      </c>
      <c r="H1674">
        <v>1720</v>
      </c>
      <c r="I1674">
        <v>5</v>
      </c>
      <c r="J1674">
        <v>10.9</v>
      </c>
      <c r="K1674">
        <v>5</v>
      </c>
      <c r="L1674">
        <v>8.5999999999999993E-2</v>
      </c>
      <c r="M1674">
        <v>2</v>
      </c>
      <c r="N1674">
        <v>84</v>
      </c>
      <c r="O1674">
        <v>5</v>
      </c>
      <c r="P1674">
        <v>0.67500000000000004</v>
      </c>
      <c r="Q1674">
        <v>5</v>
      </c>
      <c r="R1674">
        <v>8.0000000000000002E-3</v>
      </c>
      <c r="T1674" s="8" t="s">
        <v>4894</v>
      </c>
    </row>
    <row r="1675" spans="1:20" x14ac:dyDescent="0.2">
      <c r="A1675" t="s">
        <v>4896</v>
      </c>
      <c r="B1675" t="s">
        <v>2022</v>
      </c>
      <c r="C1675" t="s">
        <v>2053</v>
      </c>
      <c r="E1675" t="s">
        <v>357</v>
      </c>
      <c r="F1675" t="s">
        <v>447</v>
      </c>
      <c r="G1675">
        <v>3</v>
      </c>
      <c r="H1675">
        <v>1700</v>
      </c>
      <c r="I1675">
        <v>2</v>
      </c>
      <c r="J1675">
        <v>4.05</v>
      </c>
      <c r="K1675">
        <v>2</v>
      </c>
      <c r="L1675">
        <v>8.5000000000000006E-2</v>
      </c>
      <c r="M1675">
        <v>1</v>
      </c>
      <c r="N1675">
        <v>73</v>
      </c>
      <c r="O1675">
        <v>2</v>
      </c>
      <c r="P1675">
        <v>0.22500000000000001</v>
      </c>
      <c r="Q1675">
        <v>2</v>
      </c>
      <c r="R1675">
        <v>5.1999999999999998E-3</v>
      </c>
      <c r="T1675" s="8" t="s">
        <v>357</v>
      </c>
    </row>
    <row r="1676" spans="1:20" x14ac:dyDescent="0.2">
      <c r="A1676" t="s">
        <v>4897</v>
      </c>
      <c r="B1676" t="s">
        <v>2022</v>
      </c>
      <c r="C1676" t="s">
        <v>2053</v>
      </c>
      <c r="E1676" t="s">
        <v>4898</v>
      </c>
      <c r="F1676" t="s">
        <v>4899</v>
      </c>
      <c r="G1676">
        <v>3</v>
      </c>
      <c r="H1676">
        <v>1700</v>
      </c>
      <c r="I1676">
        <v>2</v>
      </c>
      <c r="J1676">
        <v>4.05</v>
      </c>
      <c r="K1676">
        <v>2</v>
      </c>
      <c r="L1676">
        <v>8.5000000000000006E-2</v>
      </c>
      <c r="M1676">
        <v>1</v>
      </c>
      <c r="N1676">
        <v>73</v>
      </c>
      <c r="O1676">
        <v>2</v>
      </c>
      <c r="P1676">
        <v>0.22500000000000001</v>
      </c>
      <c r="Q1676">
        <v>2</v>
      </c>
      <c r="R1676">
        <v>5.1999999999999998E-3</v>
      </c>
      <c r="T1676" s="8" t="s">
        <v>4898</v>
      </c>
    </row>
    <row r="1677" spans="1:20" x14ac:dyDescent="0.2">
      <c r="A1677" t="s">
        <v>4900</v>
      </c>
      <c r="B1677" t="s">
        <v>2022</v>
      </c>
      <c r="C1677" t="s">
        <v>2053</v>
      </c>
      <c r="E1677" t="s">
        <v>4901</v>
      </c>
      <c r="F1677" t="s">
        <v>4902</v>
      </c>
      <c r="G1677">
        <v>3</v>
      </c>
      <c r="H1677">
        <v>1700</v>
      </c>
      <c r="I1677">
        <v>2</v>
      </c>
      <c r="J1677">
        <v>4.05</v>
      </c>
      <c r="K1677">
        <v>2</v>
      </c>
      <c r="L1677">
        <v>8.5000000000000006E-2</v>
      </c>
      <c r="M1677">
        <v>1</v>
      </c>
      <c r="N1677">
        <v>73</v>
      </c>
      <c r="O1677">
        <v>2</v>
      </c>
      <c r="P1677">
        <v>0.22500000000000001</v>
      </c>
      <c r="Q1677">
        <v>2</v>
      </c>
      <c r="R1677">
        <v>5.1999999999999998E-3</v>
      </c>
      <c r="T1677" s="8" t="s">
        <v>4901</v>
      </c>
    </row>
    <row r="1678" spans="1:20" x14ac:dyDescent="0.2">
      <c r="A1678" t="s">
        <v>4903</v>
      </c>
      <c r="B1678" t="s">
        <v>2022</v>
      </c>
      <c r="C1678" t="s">
        <v>2095</v>
      </c>
      <c r="D1678" t="s">
        <v>2024</v>
      </c>
      <c r="E1678" t="s">
        <v>4904</v>
      </c>
      <c r="F1678" t="s">
        <v>4905</v>
      </c>
      <c r="G1678">
        <v>4</v>
      </c>
      <c r="H1678">
        <v>1835</v>
      </c>
      <c r="I1678">
        <v>5</v>
      </c>
      <c r="J1678">
        <v>16.5</v>
      </c>
      <c r="K1678">
        <v>4</v>
      </c>
      <c r="L1678">
        <v>0.53</v>
      </c>
      <c r="M1678">
        <v>3</v>
      </c>
      <c r="N1678">
        <v>86</v>
      </c>
      <c r="O1678">
        <v>5</v>
      </c>
      <c r="P1678">
        <v>0.95</v>
      </c>
      <c r="Q1678">
        <v>4</v>
      </c>
      <c r="R1678">
        <v>2.3900000000000001E-2</v>
      </c>
      <c r="T1678" s="8" t="s">
        <v>4904</v>
      </c>
    </row>
    <row r="1679" spans="1:20" x14ac:dyDescent="0.2">
      <c r="A1679" t="s">
        <v>4906</v>
      </c>
      <c r="B1679" t="s">
        <v>2022</v>
      </c>
      <c r="C1679" t="s">
        <v>2023</v>
      </c>
      <c r="D1679" t="s">
        <v>2024</v>
      </c>
      <c r="E1679" t="s">
        <v>4907</v>
      </c>
      <c r="F1679" t="s">
        <v>4908</v>
      </c>
      <c r="G1679">
        <v>4</v>
      </c>
      <c r="H1679">
        <v>1720</v>
      </c>
      <c r="I1679">
        <v>5</v>
      </c>
      <c r="J1679">
        <v>10.9</v>
      </c>
      <c r="K1679">
        <v>5</v>
      </c>
      <c r="L1679">
        <v>8.5999999999999993E-2</v>
      </c>
      <c r="M1679">
        <v>3</v>
      </c>
      <c r="N1679">
        <v>94</v>
      </c>
      <c r="O1679">
        <v>5</v>
      </c>
      <c r="P1679">
        <v>0.67500000000000004</v>
      </c>
      <c r="Q1679">
        <v>5</v>
      </c>
      <c r="R1679">
        <v>8.0000000000000002E-3</v>
      </c>
      <c r="T1679" s="8" t="s">
        <v>4907</v>
      </c>
    </row>
    <row r="1680" spans="1:20" x14ac:dyDescent="0.2">
      <c r="A1680" t="s">
        <v>4909</v>
      </c>
      <c r="B1680" t="s">
        <v>2022</v>
      </c>
      <c r="C1680" t="s">
        <v>2023</v>
      </c>
      <c r="D1680" t="s">
        <v>2024</v>
      </c>
      <c r="E1680" t="s">
        <v>4910</v>
      </c>
      <c r="F1680" t="s">
        <v>4911</v>
      </c>
      <c r="G1680">
        <v>5</v>
      </c>
      <c r="H1680">
        <v>1800</v>
      </c>
      <c r="I1680">
        <v>5</v>
      </c>
      <c r="J1680">
        <v>10.9</v>
      </c>
      <c r="K1680">
        <v>5</v>
      </c>
      <c r="L1680">
        <v>8.5999999999999993E-2</v>
      </c>
      <c r="M1680">
        <v>5</v>
      </c>
      <c r="N1680">
        <v>114</v>
      </c>
      <c r="O1680">
        <v>5</v>
      </c>
      <c r="P1680">
        <v>0.67500000000000004</v>
      </c>
      <c r="Q1680">
        <v>5</v>
      </c>
      <c r="R1680">
        <v>8.0000000000000002E-3</v>
      </c>
      <c r="T1680" s="8" t="s">
        <v>4910</v>
      </c>
    </row>
    <row r="1681" spans="1:20" x14ac:dyDescent="0.2">
      <c r="A1681" t="s">
        <v>4912</v>
      </c>
      <c r="B1681" t="s">
        <v>2022</v>
      </c>
      <c r="C1681" t="s">
        <v>2053</v>
      </c>
      <c r="D1681" t="s">
        <v>2024</v>
      </c>
      <c r="E1681" t="s">
        <v>4913</v>
      </c>
      <c r="F1681" t="s">
        <v>4914</v>
      </c>
      <c r="G1681">
        <v>4</v>
      </c>
      <c r="H1681">
        <v>1800</v>
      </c>
      <c r="I1681">
        <v>4</v>
      </c>
      <c r="J1681">
        <v>9.0500000000000007</v>
      </c>
      <c r="K1681">
        <v>3</v>
      </c>
      <c r="L1681">
        <v>0.19500000000000001</v>
      </c>
      <c r="M1681">
        <v>3</v>
      </c>
      <c r="N1681">
        <v>93</v>
      </c>
      <c r="O1681">
        <v>4</v>
      </c>
      <c r="P1681">
        <v>0.52500000000000002</v>
      </c>
      <c r="Q1681">
        <v>3</v>
      </c>
      <c r="R1681">
        <v>1.2200000000000001E-2</v>
      </c>
      <c r="T1681" s="8" t="s">
        <v>4913</v>
      </c>
    </row>
    <row r="1682" spans="1:20" x14ac:dyDescent="0.2">
      <c r="A1682" t="s">
        <v>4915</v>
      </c>
      <c r="B1682" t="s">
        <v>2022</v>
      </c>
      <c r="C1682" t="s">
        <v>2023</v>
      </c>
      <c r="D1682" t="s">
        <v>2024</v>
      </c>
      <c r="E1682" t="s">
        <v>4916</v>
      </c>
      <c r="F1682" t="s">
        <v>4917</v>
      </c>
      <c r="G1682">
        <v>5</v>
      </c>
      <c r="H1682">
        <v>1800</v>
      </c>
      <c r="I1682">
        <v>2</v>
      </c>
      <c r="J1682">
        <v>3.4</v>
      </c>
      <c r="K1682">
        <v>2</v>
      </c>
      <c r="L1682">
        <v>2.5999999999999999E-2</v>
      </c>
      <c r="M1682">
        <v>5</v>
      </c>
      <c r="N1682">
        <v>114</v>
      </c>
      <c r="O1682">
        <v>2</v>
      </c>
      <c r="P1682">
        <v>0.22500000000000001</v>
      </c>
      <c r="Q1682">
        <v>2</v>
      </c>
      <c r="R1682">
        <v>2E-3</v>
      </c>
      <c r="T1682" s="8" t="s">
        <v>4916</v>
      </c>
    </row>
    <row r="1683" spans="1:20" x14ac:dyDescent="0.2">
      <c r="A1683" t="s">
        <v>4918</v>
      </c>
      <c r="B1683" t="s">
        <v>2022</v>
      </c>
      <c r="C1683" t="s">
        <v>2095</v>
      </c>
      <c r="D1683" t="s">
        <v>2024</v>
      </c>
      <c r="E1683" t="s">
        <v>4919</v>
      </c>
      <c r="F1683" t="s">
        <v>4920</v>
      </c>
      <c r="G1683">
        <v>2</v>
      </c>
      <c r="H1683">
        <v>1655</v>
      </c>
      <c r="I1683">
        <v>5</v>
      </c>
      <c r="J1683">
        <v>16.5</v>
      </c>
      <c r="K1683">
        <v>4</v>
      </c>
      <c r="L1683">
        <v>0.53</v>
      </c>
      <c r="M1683">
        <v>1</v>
      </c>
      <c r="N1683">
        <v>74</v>
      </c>
      <c r="O1683">
        <v>4</v>
      </c>
      <c r="P1683">
        <v>0.75</v>
      </c>
      <c r="Q1683">
        <v>4</v>
      </c>
      <c r="R1683">
        <v>2.3900000000000001E-2</v>
      </c>
      <c r="T1683" s="8" t="s">
        <v>4919</v>
      </c>
    </row>
    <row r="1684" spans="1:20" x14ac:dyDescent="0.2">
      <c r="A1684" t="s">
        <v>4921</v>
      </c>
      <c r="B1684" t="s">
        <v>2022</v>
      </c>
      <c r="C1684" t="s">
        <v>2036</v>
      </c>
      <c r="D1684" t="s">
        <v>2024</v>
      </c>
      <c r="E1684" t="s">
        <v>4922</v>
      </c>
      <c r="F1684" t="s">
        <v>4923</v>
      </c>
      <c r="G1684">
        <v>2</v>
      </c>
      <c r="H1684">
        <v>1640</v>
      </c>
      <c r="I1684">
        <v>3</v>
      </c>
      <c r="J1684">
        <v>4.5999999999999996</v>
      </c>
      <c r="K1684">
        <v>3</v>
      </c>
      <c r="L1684">
        <v>0.115</v>
      </c>
      <c r="M1684">
        <v>2</v>
      </c>
      <c r="N1684">
        <v>82</v>
      </c>
      <c r="O1684">
        <v>2</v>
      </c>
      <c r="P1684">
        <v>0.20499999999999999</v>
      </c>
      <c r="Q1684">
        <v>2</v>
      </c>
      <c r="R1684">
        <v>4.2500000000000003E-3</v>
      </c>
      <c r="T1684" s="8" t="s">
        <v>4922</v>
      </c>
    </row>
    <row r="1685" spans="1:20" x14ac:dyDescent="0.2">
      <c r="A1685" t="s">
        <v>4924</v>
      </c>
      <c r="B1685" t="s">
        <v>2022</v>
      </c>
      <c r="C1685" t="s">
        <v>2036</v>
      </c>
      <c r="D1685" t="s">
        <v>2024</v>
      </c>
      <c r="E1685" t="s">
        <v>4925</v>
      </c>
      <c r="F1685" t="s">
        <v>4926</v>
      </c>
      <c r="G1685">
        <v>3</v>
      </c>
      <c r="H1685">
        <v>1740</v>
      </c>
      <c r="I1685">
        <v>4</v>
      </c>
      <c r="J1685">
        <v>5.8</v>
      </c>
      <c r="K1685">
        <v>4</v>
      </c>
      <c r="L1685">
        <v>0.14499999999999999</v>
      </c>
      <c r="M1685">
        <v>3</v>
      </c>
      <c r="N1685">
        <v>88</v>
      </c>
      <c r="O1685">
        <v>3</v>
      </c>
      <c r="P1685">
        <v>0.315</v>
      </c>
      <c r="Q1685">
        <v>3</v>
      </c>
      <c r="R1685">
        <v>6.7499999999999999E-3</v>
      </c>
      <c r="T1685" s="8" t="s">
        <v>4925</v>
      </c>
    </row>
    <row r="1686" spans="1:20" x14ac:dyDescent="0.2">
      <c r="A1686" t="s">
        <v>4927</v>
      </c>
      <c r="B1686" t="s">
        <v>2022</v>
      </c>
      <c r="C1686" t="s">
        <v>2023</v>
      </c>
      <c r="D1686" t="s">
        <v>2024</v>
      </c>
      <c r="E1686" t="s">
        <v>4928</v>
      </c>
      <c r="F1686" t="s">
        <v>4929</v>
      </c>
      <c r="G1686">
        <v>3</v>
      </c>
      <c r="H1686">
        <v>1640</v>
      </c>
      <c r="I1686">
        <v>2</v>
      </c>
      <c r="J1686">
        <v>3.4</v>
      </c>
      <c r="K1686">
        <v>3</v>
      </c>
      <c r="L1686">
        <v>4.5999999999999999E-2</v>
      </c>
      <c r="M1686">
        <v>5</v>
      </c>
      <c r="N1686">
        <v>114</v>
      </c>
      <c r="O1686">
        <v>2</v>
      </c>
      <c r="P1686">
        <v>0.22500000000000001</v>
      </c>
      <c r="Q1686">
        <v>3</v>
      </c>
      <c r="R1686">
        <v>4.0000000000000001E-3</v>
      </c>
      <c r="T1686" s="8" t="s">
        <v>4928</v>
      </c>
    </row>
    <row r="1687" spans="1:20" x14ac:dyDescent="0.2">
      <c r="A1687" t="s">
        <v>4930</v>
      </c>
      <c r="B1687" t="s">
        <v>2022</v>
      </c>
      <c r="C1687" t="s">
        <v>2053</v>
      </c>
      <c r="D1687" t="s">
        <v>2024</v>
      </c>
      <c r="E1687" t="s">
        <v>4931</v>
      </c>
      <c r="F1687" t="s">
        <v>4932</v>
      </c>
      <c r="G1687">
        <v>1</v>
      </c>
      <c r="H1687">
        <v>1500</v>
      </c>
      <c r="I1687">
        <v>2</v>
      </c>
      <c r="J1687">
        <v>4.05</v>
      </c>
      <c r="K1687">
        <v>2</v>
      </c>
      <c r="L1687">
        <v>8.5000000000000006E-2</v>
      </c>
      <c r="M1687">
        <v>1</v>
      </c>
      <c r="N1687">
        <v>73</v>
      </c>
      <c r="O1687">
        <v>2</v>
      </c>
      <c r="P1687">
        <v>0.22500000000000001</v>
      </c>
      <c r="Q1687">
        <v>2</v>
      </c>
      <c r="R1687">
        <v>5.1999999999999998E-3</v>
      </c>
      <c r="T1687" s="8" t="s">
        <v>4931</v>
      </c>
    </row>
    <row r="1688" spans="1:20" x14ac:dyDescent="0.2">
      <c r="A1688" t="s">
        <v>4933</v>
      </c>
      <c r="B1688" t="s">
        <v>2022</v>
      </c>
      <c r="C1688" t="s">
        <v>2053</v>
      </c>
      <c r="D1688" t="s">
        <v>2024</v>
      </c>
      <c r="E1688" t="s">
        <v>4934</v>
      </c>
      <c r="F1688" t="s">
        <v>4935</v>
      </c>
      <c r="G1688">
        <v>2</v>
      </c>
      <c r="H1688">
        <v>1600</v>
      </c>
      <c r="I1688">
        <v>2</v>
      </c>
      <c r="J1688">
        <v>4.05</v>
      </c>
      <c r="K1688">
        <v>2</v>
      </c>
      <c r="L1688">
        <v>8.5000000000000006E-2</v>
      </c>
      <c r="M1688">
        <v>1</v>
      </c>
      <c r="N1688">
        <v>73</v>
      </c>
      <c r="O1688">
        <v>1</v>
      </c>
      <c r="P1688">
        <v>7.4999999999999997E-2</v>
      </c>
      <c r="Q1688">
        <v>2</v>
      </c>
      <c r="R1688">
        <v>5.1999999999999998E-3</v>
      </c>
      <c r="T1688" s="8" t="s">
        <v>4934</v>
      </c>
    </row>
    <row r="1689" spans="1:20" x14ac:dyDescent="0.2">
      <c r="A1689" t="s">
        <v>4936</v>
      </c>
      <c r="B1689" t="s">
        <v>2022</v>
      </c>
      <c r="C1689" t="s">
        <v>2053</v>
      </c>
      <c r="D1689" t="s">
        <v>2024</v>
      </c>
      <c r="E1689" t="s">
        <v>4937</v>
      </c>
      <c r="F1689" t="s">
        <v>4938</v>
      </c>
      <c r="G1689">
        <v>2</v>
      </c>
      <c r="H1689">
        <v>1600</v>
      </c>
      <c r="I1689">
        <v>2</v>
      </c>
      <c r="J1689">
        <v>4.05</v>
      </c>
      <c r="K1689">
        <v>2</v>
      </c>
      <c r="L1689">
        <v>8.5000000000000006E-2</v>
      </c>
      <c r="M1689">
        <v>1</v>
      </c>
      <c r="N1689">
        <v>73</v>
      </c>
      <c r="O1689">
        <v>1</v>
      </c>
      <c r="P1689">
        <v>7.4999999999999997E-2</v>
      </c>
      <c r="Q1689">
        <v>2</v>
      </c>
      <c r="R1689">
        <v>5.1999999999999998E-3</v>
      </c>
      <c r="T1689" s="8" t="s">
        <v>4937</v>
      </c>
    </row>
    <row r="1690" spans="1:20" x14ac:dyDescent="0.2">
      <c r="A1690" t="s">
        <v>4939</v>
      </c>
      <c r="B1690" t="s">
        <v>2022</v>
      </c>
      <c r="C1690" t="s">
        <v>2101</v>
      </c>
      <c r="D1690" t="s">
        <v>2024</v>
      </c>
      <c r="E1690" t="s">
        <v>4940</v>
      </c>
      <c r="F1690" t="s">
        <v>4941</v>
      </c>
      <c r="G1690">
        <v>3</v>
      </c>
      <c r="H1690">
        <v>1770</v>
      </c>
      <c r="I1690">
        <v>1</v>
      </c>
      <c r="J1690">
        <v>2</v>
      </c>
      <c r="K1690">
        <v>1</v>
      </c>
      <c r="L1690">
        <v>1.15E-2</v>
      </c>
      <c r="M1690">
        <v>2</v>
      </c>
      <c r="N1690">
        <v>74</v>
      </c>
      <c r="O1690">
        <v>1</v>
      </c>
      <c r="P1690">
        <v>7.4999999999999997E-2</v>
      </c>
      <c r="Q1690">
        <v>1</v>
      </c>
      <c r="R1690">
        <v>5.0000000000000001E-4</v>
      </c>
      <c r="T1690" s="8" t="s">
        <v>4940</v>
      </c>
    </row>
    <row r="1691" spans="1:20" x14ac:dyDescent="0.2">
      <c r="A1691" t="s">
        <v>4942</v>
      </c>
      <c r="B1691" t="s">
        <v>2022</v>
      </c>
      <c r="C1691" t="s">
        <v>2036</v>
      </c>
      <c r="D1691" t="s">
        <v>2136</v>
      </c>
      <c r="E1691" t="s">
        <v>4943</v>
      </c>
      <c r="F1691" t="s">
        <v>4944</v>
      </c>
      <c r="G1691">
        <v>2</v>
      </c>
      <c r="H1691">
        <v>1640</v>
      </c>
      <c r="I1691">
        <v>3</v>
      </c>
      <c r="J1691">
        <v>4.5999999999999996</v>
      </c>
      <c r="K1691">
        <v>4</v>
      </c>
      <c r="L1691">
        <v>0.14499999999999999</v>
      </c>
      <c r="M1691">
        <v>4</v>
      </c>
      <c r="N1691">
        <v>94</v>
      </c>
      <c r="O1691">
        <v>3</v>
      </c>
      <c r="P1691">
        <v>0.315</v>
      </c>
      <c r="Q1691">
        <v>3</v>
      </c>
      <c r="R1691">
        <v>6.7499999999999999E-3</v>
      </c>
      <c r="T1691" s="8" t="s">
        <v>4943</v>
      </c>
    </row>
    <row r="1692" spans="1:20" x14ac:dyDescent="0.2">
      <c r="A1692" t="s">
        <v>4945</v>
      </c>
      <c r="B1692" t="s">
        <v>2022</v>
      </c>
      <c r="C1692" t="s">
        <v>2036</v>
      </c>
      <c r="D1692" t="s">
        <v>2024</v>
      </c>
      <c r="E1692" t="s">
        <v>4946</v>
      </c>
      <c r="F1692" t="s">
        <v>4947</v>
      </c>
      <c r="G1692">
        <v>2</v>
      </c>
      <c r="H1692">
        <v>1640</v>
      </c>
      <c r="I1692">
        <v>1</v>
      </c>
      <c r="J1692">
        <v>2.2000000000000002</v>
      </c>
      <c r="K1692">
        <v>1</v>
      </c>
      <c r="L1692">
        <v>5.5E-2</v>
      </c>
      <c r="M1692">
        <v>2</v>
      </c>
      <c r="N1692">
        <v>82</v>
      </c>
      <c r="O1692">
        <v>1</v>
      </c>
      <c r="P1692">
        <v>9.5000000000000001E-2</v>
      </c>
      <c r="Q1692">
        <v>1</v>
      </c>
      <c r="R1692">
        <v>1.5E-3</v>
      </c>
      <c r="T1692" s="8" t="s">
        <v>4946</v>
      </c>
    </row>
    <row r="1693" spans="1:20" x14ac:dyDescent="0.2">
      <c r="A1693" t="s">
        <v>4948</v>
      </c>
      <c r="B1693" t="s">
        <v>2022</v>
      </c>
      <c r="C1693" t="s">
        <v>2053</v>
      </c>
      <c r="D1693" t="s">
        <v>2136</v>
      </c>
      <c r="E1693" t="s">
        <v>357</v>
      </c>
      <c r="F1693" t="s">
        <v>447</v>
      </c>
      <c r="G1693">
        <v>2</v>
      </c>
      <c r="H1693">
        <v>1600</v>
      </c>
      <c r="I1693">
        <v>1</v>
      </c>
      <c r="J1693">
        <v>1.55</v>
      </c>
      <c r="K1693">
        <v>1</v>
      </c>
      <c r="L1693">
        <v>1.4999999999999999E-2</v>
      </c>
      <c r="M1693">
        <v>1</v>
      </c>
      <c r="N1693">
        <v>73</v>
      </c>
      <c r="O1693">
        <v>1</v>
      </c>
      <c r="P1693">
        <v>7.4999999999999997E-2</v>
      </c>
      <c r="Q1693">
        <v>1</v>
      </c>
      <c r="R1693">
        <v>8.4999999999999995E-4</v>
      </c>
      <c r="T1693" s="8" t="s">
        <v>357</v>
      </c>
    </row>
    <row r="1694" spans="1:20" x14ac:dyDescent="0.2">
      <c r="A1694" t="s">
        <v>4949</v>
      </c>
      <c r="B1694" t="s">
        <v>2022</v>
      </c>
      <c r="C1694" t="s">
        <v>2036</v>
      </c>
      <c r="D1694" t="s">
        <v>2024</v>
      </c>
      <c r="E1694" t="s">
        <v>4950</v>
      </c>
      <c r="F1694" t="s">
        <v>4951</v>
      </c>
      <c r="G1694">
        <v>5</v>
      </c>
      <c r="H1694">
        <v>1940</v>
      </c>
      <c r="I1694">
        <v>5</v>
      </c>
      <c r="J1694">
        <v>7</v>
      </c>
      <c r="K1694">
        <v>5</v>
      </c>
      <c r="L1694">
        <v>0.17499999999999999</v>
      </c>
      <c r="M1694">
        <v>5</v>
      </c>
      <c r="N1694">
        <v>100</v>
      </c>
      <c r="O1694">
        <v>4</v>
      </c>
      <c r="P1694">
        <v>0.42499999999999999</v>
      </c>
      <c r="Q1694">
        <v>5</v>
      </c>
      <c r="R1694">
        <v>1.2E-2</v>
      </c>
      <c r="T1694" s="8" t="s">
        <v>4950</v>
      </c>
    </row>
    <row r="1695" spans="1:20" x14ac:dyDescent="0.2">
      <c r="A1695" t="s">
        <v>4952</v>
      </c>
      <c r="B1695" t="s">
        <v>2022</v>
      </c>
      <c r="C1695" t="s">
        <v>2053</v>
      </c>
      <c r="D1695" t="s">
        <v>2136</v>
      </c>
      <c r="E1695" t="s">
        <v>4953</v>
      </c>
      <c r="F1695" t="s">
        <v>4954</v>
      </c>
      <c r="G1695">
        <v>1</v>
      </c>
      <c r="H1695">
        <v>1500</v>
      </c>
      <c r="I1695">
        <v>2</v>
      </c>
      <c r="J1695">
        <v>4.05</v>
      </c>
      <c r="K1695">
        <v>2</v>
      </c>
      <c r="L1695">
        <v>8.5000000000000006E-2</v>
      </c>
      <c r="M1695">
        <v>1</v>
      </c>
      <c r="N1695">
        <v>73</v>
      </c>
      <c r="O1695">
        <v>1</v>
      </c>
      <c r="P1695">
        <v>7.4999999999999997E-2</v>
      </c>
      <c r="Q1695">
        <v>2</v>
      </c>
      <c r="R1695">
        <v>5.1999999999999998E-3</v>
      </c>
      <c r="T1695" s="8" t="s">
        <v>4953</v>
      </c>
    </row>
    <row r="1696" spans="1:20" x14ac:dyDescent="0.2">
      <c r="A1696" t="s">
        <v>4955</v>
      </c>
      <c r="B1696" t="s">
        <v>2022</v>
      </c>
      <c r="C1696" t="s">
        <v>2023</v>
      </c>
      <c r="D1696" t="s">
        <v>2024</v>
      </c>
      <c r="E1696" t="s">
        <v>4956</v>
      </c>
      <c r="F1696" t="s">
        <v>4957</v>
      </c>
      <c r="G1696">
        <v>1</v>
      </c>
      <c r="H1696">
        <v>1480</v>
      </c>
      <c r="I1696">
        <v>1</v>
      </c>
      <c r="J1696">
        <v>0.9</v>
      </c>
      <c r="K1696">
        <v>2</v>
      </c>
      <c r="L1696">
        <v>2.5999999999999999E-2</v>
      </c>
      <c r="M1696">
        <v>1</v>
      </c>
      <c r="N1696">
        <v>74</v>
      </c>
      <c r="O1696">
        <v>1</v>
      </c>
      <c r="P1696">
        <v>7.4999999999999997E-2</v>
      </c>
      <c r="Q1696">
        <v>1</v>
      </c>
      <c r="R1696">
        <v>5.0000000000000001E-4</v>
      </c>
      <c r="T1696" s="8" t="s">
        <v>4956</v>
      </c>
    </row>
    <row r="1697" spans="1:20" x14ac:dyDescent="0.2">
      <c r="A1697" t="s">
        <v>4958</v>
      </c>
      <c r="B1697" t="s">
        <v>2022</v>
      </c>
      <c r="C1697" t="s">
        <v>2222</v>
      </c>
      <c r="D1697" t="s">
        <v>2024</v>
      </c>
      <c r="E1697" t="s">
        <v>4959</v>
      </c>
      <c r="F1697" t="s">
        <v>4960</v>
      </c>
      <c r="G1697">
        <v>3</v>
      </c>
      <c r="H1697">
        <v>1650</v>
      </c>
      <c r="I1697">
        <v>3</v>
      </c>
      <c r="J1697">
        <v>5.5</v>
      </c>
      <c r="K1697">
        <v>2</v>
      </c>
      <c r="L1697">
        <v>5.5E-2</v>
      </c>
      <c r="M1697">
        <v>3</v>
      </c>
      <c r="N1697">
        <v>67</v>
      </c>
      <c r="O1697">
        <v>3</v>
      </c>
      <c r="P1697">
        <v>0.23</v>
      </c>
      <c r="Q1697">
        <v>2</v>
      </c>
      <c r="R1697">
        <v>2.3E-3</v>
      </c>
      <c r="T1697" s="8" t="s">
        <v>4959</v>
      </c>
    </row>
    <row r="1698" spans="1:20" x14ac:dyDescent="0.2">
      <c r="A1698" t="s">
        <v>4961</v>
      </c>
      <c r="B1698" t="s">
        <v>2022</v>
      </c>
      <c r="C1698" t="s">
        <v>2036</v>
      </c>
      <c r="D1698" t="s">
        <v>2024</v>
      </c>
      <c r="E1698" t="s">
        <v>4962</v>
      </c>
      <c r="F1698" t="s">
        <v>4963</v>
      </c>
      <c r="G1698">
        <v>2</v>
      </c>
      <c r="H1698">
        <v>1640</v>
      </c>
      <c r="I1698">
        <v>1</v>
      </c>
      <c r="J1698">
        <v>2.2000000000000002</v>
      </c>
      <c r="K1698">
        <v>1</v>
      </c>
      <c r="L1698">
        <v>5.5E-2</v>
      </c>
      <c r="M1698">
        <v>2</v>
      </c>
      <c r="N1698">
        <v>82</v>
      </c>
      <c r="O1698">
        <v>1</v>
      </c>
      <c r="P1698">
        <v>9.5000000000000001E-2</v>
      </c>
      <c r="Q1698">
        <v>1</v>
      </c>
      <c r="R1698">
        <v>1.5E-3</v>
      </c>
      <c r="T1698" s="8" t="s">
        <v>4962</v>
      </c>
    </row>
    <row r="1699" spans="1:20" x14ac:dyDescent="0.2">
      <c r="A1699" t="s">
        <v>4964</v>
      </c>
      <c r="B1699" t="s">
        <v>2022</v>
      </c>
      <c r="C1699" t="s">
        <v>2036</v>
      </c>
      <c r="D1699" t="s">
        <v>2024</v>
      </c>
      <c r="E1699" t="s">
        <v>4965</v>
      </c>
      <c r="F1699" t="s">
        <v>4966</v>
      </c>
      <c r="G1699">
        <v>5</v>
      </c>
      <c r="H1699">
        <v>1940</v>
      </c>
      <c r="I1699">
        <v>3</v>
      </c>
      <c r="J1699">
        <v>4.5999999999999996</v>
      </c>
      <c r="K1699">
        <v>2</v>
      </c>
      <c r="L1699">
        <v>8.5000000000000006E-2</v>
      </c>
      <c r="M1699">
        <v>2</v>
      </c>
      <c r="N1699">
        <v>82</v>
      </c>
      <c r="O1699">
        <v>2</v>
      </c>
      <c r="P1699">
        <v>0.20499999999999999</v>
      </c>
      <c r="Q1699">
        <v>2</v>
      </c>
      <c r="R1699">
        <v>4.2500000000000003E-3</v>
      </c>
      <c r="T1699" s="8" t="s">
        <v>4965</v>
      </c>
    </row>
    <row r="1700" spans="1:20" x14ac:dyDescent="0.2">
      <c r="A1700" t="s">
        <v>4967</v>
      </c>
      <c r="B1700" t="s">
        <v>2022</v>
      </c>
      <c r="C1700" t="s">
        <v>2023</v>
      </c>
      <c r="D1700" t="s">
        <v>2136</v>
      </c>
      <c r="E1700" t="s">
        <v>4968</v>
      </c>
      <c r="F1700" t="s">
        <v>4969</v>
      </c>
      <c r="G1700">
        <v>1</v>
      </c>
      <c r="H1700">
        <v>1480</v>
      </c>
      <c r="I1700">
        <v>1</v>
      </c>
      <c r="J1700">
        <v>0.9</v>
      </c>
      <c r="K1700">
        <v>2</v>
      </c>
      <c r="L1700">
        <v>2.5999999999999999E-2</v>
      </c>
      <c r="M1700">
        <v>4</v>
      </c>
      <c r="N1700">
        <v>104</v>
      </c>
      <c r="O1700">
        <v>1</v>
      </c>
      <c r="P1700">
        <v>7.4999999999999997E-2</v>
      </c>
      <c r="Q1700">
        <v>2</v>
      </c>
      <c r="R1700">
        <v>2E-3</v>
      </c>
      <c r="T1700" s="8" t="s">
        <v>4968</v>
      </c>
    </row>
    <row r="1701" spans="1:20" x14ac:dyDescent="0.2">
      <c r="A1701" t="s">
        <v>4970</v>
      </c>
      <c r="B1701" t="s">
        <v>2022</v>
      </c>
      <c r="C1701" t="s">
        <v>2023</v>
      </c>
      <c r="D1701" t="s">
        <v>2136</v>
      </c>
      <c r="E1701" t="s">
        <v>4971</v>
      </c>
      <c r="F1701" t="s">
        <v>4972</v>
      </c>
      <c r="G1701">
        <v>2</v>
      </c>
      <c r="H1701">
        <v>1560</v>
      </c>
      <c r="I1701">
        <v>3</v>
      </c>
      <c r="J1701">
        <v>5.9</v>
      </c>
      <c r="K1701">
        <v>5</v>
      </c>
      <c r="L1701">
        <v>8.5999999999999993E-2</v>
      </c>
      <c r="M1701">
        <v>3</v>
      </c>
      <c r="N1701">
        <v>94</v>
      </c>
      <c r="O1701">
        <v>3</v>
      </c>
      <c r="P1701">
        <v>0.375</v>
      </c>
      <c r="Q1701">
        <v>4</v>
      </c>
      <c r="R1701">
        <v>6.0000000000000001E-3</v>
      </c>
      <c r="T1701" s="8" t="s">
        <v>4971</v>
      </c>
    </row>
    <row r="1702" spans="1:20" x14ac:dyDescent="0.2">
      <c r="A1702" t="s">
        <v>4973</v>
      </c>
      <c r="B1702" t="s">
        <v>2022</v>
      </c>
      <c r="C1702" t="s">
        <v>2036</v>
      </c>
      <c r="D1702" t="s">
        <v>2024</v>
      </c>
      <c r="E1702" t="s">
        <v>4974</v>
      </c>
      <c r="F1702" t="s">
        <v>4975</v>
      </c>
      <c r="G1702">
        <v>4</v>
      </c>
      <c r="H1702">
        <v>1840</v>
      </c>
      <c r="I1702">
        <v>5</v>
      </c>
      <c r="J1702">
        <v>7</v>
      </c>
      <c r="K1702">
        <v>5</v>
      </c>
      <c r="L1702">
        <v>0.17499999999999999</v>
      </c>
      <c r="M1702">
        <v>3</v>
      </c>
      <c r="N1702">
        <v>88</v>
      </c>
      <c r="O1702">
        <v>3</v>
      </c>
      <c r="P1702">
        <v>0.315</v>
      </c>
      <c r="Q1702">
        <v>4</v>
      </c>
      <c r="R1702">
        <v>9.2499999999999995E-3</v>
      </c>
      <c r="T1702" s="8" t="s">
        <v>4974</v>
      </c>
    </row>
    <row r="1703" spans="1:20" x14ac:dyDescent="0.2">
      <c r="A1703" t="s">
        <v>4976</v>
      </c>
      <c r="B1703" t="s">
        <v>2022</v>
      </c>
      <c r="C1703" t="s">
        <v>2023</v>
      </c>
      <c r="D1703" t="s">
        <v>2024</v>
      </c>
      <c r="E1703" t="s">
        <v>4977</v>
      </c>
      <c r="F1703" t="s">
        <v>4978</v>
      </c>
      <c r="G1703">
        <v>5</v>
      </c>
      <c r="H1703">
        <v>1800</v>
      </c>
      <c r="I1703">
        <v>5</v>
      </c>
      <c r="J1703">
        <v>10.9</v>
      </c>
      <c r="K1703">
        <v>5</v>
      </c>
      <c r="L1703">
        <v>8.5999999999999993E-2</v>
      </c>
      <c r="M1703">
        <v>5</v>
      </c>
      <c r="N1703">
        <v>114</v>
      </c>
      <c r="O1703">
        <v>5</v>
      </c>
      <c r="P1703">
        <v>0.67500000000000004</v>
      </c>
      <c r="Q1703">
        <v>5</v>
      </c>
      <c r="R1703">
        <v>8.0000000000000002E-3</v>
      </c>
      <c r="T1703" s="8" t="s">
        <v>4977</v>
      </c>
    </row>
    <row r="1704" spans="1:20" x14ac:dyDescent="0.2">
      <c r="A1704" t="s">
        <v>4979</v>
      </c>
      <c r="B1704" t="s">
        <v>2022</v>
      </c>
      <c r="C1704" t="s">
        <v>2036</v>
      </c>
      <c r="D1704" t="s">
        <v>2024</v>
      </c>
      <c r="E1704" t="s">
        <v>4980</v>
      </c>
      <c r="F1704" t="s">
        <v>4981</v>
      </c>
      <c r="G1704">
        <v>2</v>
      </c>
      <c r="H1704">
        <v>1640</v>
      </c>
      <c r="I1704">
        <v>3</v>
      </c>
      <c r="J1704">
        <v>4.5999999999999996</v>
      </c>
      <c r="K1704">
        <v>1</v>
      </c>
      <c r="L1704">
        <v>5.5E-2</v>
      </c>
      <c r="M1704">
        <v>2</v>
      </c>
      <c r="N1704">
        <v>82</v>
      </c>
      <c r="O1704">
        <v>2</v>
      </c>
      <c r="P1704">
        <v>0.20499999999999999</v>
      </c>
      <c r="Q1704">
        <v>2</v>
      </c>
      <c r="R1704">
        <v>4.2500000000000003E-3</v>
      </c>
      <c r="T1704" s="8" t="s">
        <v>4980</v>
      </c>
    </row>
    <row r="1705" spans="1:20" x14ac:dyDescent="0.2">
      <c r="A1705" t="s">
        <v>4982</v>
      </c>
      <c r="B1705" t="s">
        <v>2022</v>
      </c>
      <c r="C1705" t="s">
        <v>2036</v>
      </c>
      <c r="D1705" t="s">
        <v>2024</v>
      </c>
      <c r="E1705" t="s">
        <v>4983</v>
      </c>
      <c r="F1705" t="s">
        <v>4984</v>
      </c>
      <c r="G1705">
        <v>2</v>
      </c>
      <c r="H1705">
        <v>1640</v>
      </c>
      <c r="I1705">
        <v>5</v>
      </c>
      <c r="J1705">
        <v>7</v>
      </c>
      <c r="K1705">
        <v>5</v>
      </c>
      <c r="L1705">
        <v>0.17499999999999999</v>
      </c>
      <c r="M1705">
        <v>4</v>
      </c>
      <c r="N1705">
        <v>94</v>
      </c>
      <c r="O1705">
        <v>5</v>
      </c>
      <c r="P1705">
        <v>0.53500000000000003</v>
      </c>
      <c r="Q1705">
        <v>5</v>
      </c>
      <c r="R1705">
        <v>1.2E-2</v>
      </c>
      <c r="T1705" s="8" t="s">
        <v>4983</v>
      </c>
    </row>
    <row r="1706" spans="1:20" x14ac:dyDescent="0.2">
      <c r="A1706" t="s">
        <v>4985</v>
      </c>
      <c r="B1706" t="s">
        <v>2022</v>
      </c>
      <c r="C1706" t="s">
        <v>2101</v>
      </c>
      <c r="D1706" t="s">
        <v>2024</v>
      </c>
      <c r="E1706" t="s">
        <v>4986</v>
      </c>
      <c r="F1706" t="s">
        <v>4987</v>
      </c>
      <c r="G1706">
        <v>1</v>
      </c>
      <c r="H1706">
        <v>1570</v>
      </c>
      <c r="I1706">
        <v>1</v>
      </c>
      <c r="J1706">
        <v>2</v>
      </c>
      <c r="K1706">
        <v>1</v>
      </c>
      <c r="L1706">
        <v>1.15E-2</v>
      </c>
      <c r="M1706">
        <v>1</v>
      </c>
      <c r="N1706">
        <v>66</v>
      </c>
      <c r="O1706">
        <v>1</v>
      </c>
      <c r="P1706">
        <v>7.4999999999999997E-2</v>
      </c>
      <c r="Q1706">
        <v>1</v>
      </c>
      <c r="R1706">
        <v>5.0000000000000001E-4</v>
      </c>
      <c r="T1706" s="8" t="s">
        <v>4986</v>
      </c>
    </row>
    <row r="1707" spans="1:20" x14ac:dyDescent="0.2">
      <c r="A1707" t="s">
        <v>4988</v>
      </c>
      <c r="B1707" t="s">
        <v>2022</v>
      </c>
      <c r="C1707" t="s">
        <v>2036</v>
      </c>
      <c r="D1707" t="s">
        <v>2024</v>
      </c>
      <c r="E1707" t="s">
        <v>4986</v>
      </c>
      <c r="F1707" t="s">
        <v>4987</v>
      </c>
      <c r="G1707">
        <v>1</v>
      </c>
      <c r="H1707">
        <v>1540</v>
      </c>
      <c r="I1707">
        <v>1</v>
      </c>
      <c r="J1707">
        <v>2.2000000000000002</v>
      </c>
      <c r="K1707">
        <v>1</v>
      </c>
      <c r="L1707">
        <v>5.5E-2</v>
      </c>
      <c r="M1707">
        <v>1</v>
      </c>
      <c r="N1707">
        <v>76</v>
      </c>
      <c r="O1707">
        <v>1</v>
      </c>
      <c r="P1707">
        <v>9.5000000000000001E-2</v>
      </c>
      <c r="Q1707">
        <v>1</v>
      </c>
      <c r="R1707">
        <v>1.5E-3</v>
      </c>
      <c r="T1707" s="8" t="s">
        <v>4986</v>
      </c>
    </row>
    <row r="1708" spans="1:20" x14ac:dyDescent="0.2">
      <c r="A1708" t="s">
        <v>4989</v>
      </c>
      <c r="B1708" t="s">
        <v>2022</v>
      </c>
      <c r="C1708" t="s">
        <v>2023</v>
      </c>
      <c r="D1708" t="s">
        <v>2024</v>
      </c>
      <c r="E1708" t="s">
        <v>4986</v>
      </c>
      <c r="F1708" t="s">
        <v>4987</v>
      </c>
      <c r="G1708">
        <v>1</v>
      </c>
      <c r="H1708">
        <v>1480</v>
      </c>
      <c r="I1708">
        <v>1</v>
      </c>
      <c r="J1708">
        <v>0.9</v>
      </c>
      <c r="K1708">
        <v>1</v>
      </c>
      <c r="L1708">
        <v>6.0000000000000001E-3</v>
      </c>
      <c r="M1708">
        <v>1</v>
      </c>
      <c r="N1708">
        <v>74</v>
      </c>
      <c r="O1708">
        <v>1</v>
      </c>
      <c r="P1708">
        <v>7.4999999999999997E-2</v>
      </c>
      <c r="Q1708">
        <v>1</v>
      </c>
      <c r="R1708">
        <v>5.0000000000000001E-4</v>
      </c>
      <c r="T1708" s="8" t="s">
        <v>4986</v>
      </c>
    </row>
    <row r="1709" spans="1:20" x14ac:dyDescent="0.2">
      <c r="A1709" t="s">
        <v>4990</v>
      </c>
      <c r="B1709" t="s">
        <v>2022</v>
      </c>
      <c r="C1709" t="s">
        <v>2036</v>
      </c>
      <c r="D1709" t="s">
        <v>2024</v>
      </c>
      <c r="E1709" t="s">
        <v>4991</v>
      </c>
      <c r="F1709" t="s">
        <v>4992</v>
      </c>
      <c r="G1709">
        <v>3</v>
      </c>
      <c r="H1709">
        <v>1740</v>
      </c>
      <c r="I1709">
        <v>2</v>
      </c>
      <c r="J1709">
        <v>3.4</v>
      </c>
      <c r="K1709">
        <v>1</v>
      </c>
      <c r="L1709">
        <v>5.5E-2</v>
      </c>
      <c r="M1709">
        <v>5</v>
      </c>
      <c r="N1709">
        <v>100</v>
      </c>
      <c r="O1709">
        <v>2</v>
      </c>
      <c r="P1709">
        <v>0.20499999999999999</v>
      </c>
      <c r="Q1709">
        <v>1</v>
      </c>
      <c r="R1709">
        <v>1.5E-3</v>
      </c>
      <c r="T1709" s="8" t="s">
        <v>4991</v>
      </c>
    </row>
    <row r="1710" spans="1:20" x14ac:dyDescent="0.2">
      <c r="A1710" t="s">
        <v>4993</v>
      </c>
      <c r="B1710" t="s">
        <v>2022</v>
      </c>
      <c r="C1710" t="s">
        <v>2036</v>
      </c>
      <c r="D1710" t="s">
        <v>2024</v>
      </c>
      <c r="E1710" t="s">
        <v>4994</v>
      </c>
      <c r="F1710" t="s">
        <v>4995</v>
      </c>
      <c r="G1710">
        <v>4</v>
      </c>
      <c r="H1710">
        <v>1840</v>
      </c>
      <c r="I1710">
        <v>5</v>
      </c>
      <c r="J1710">
        <v>7</v>
      </c>
      <c r="K1710">
        <v>5</v>
      </c>
      <c r="L1710">
        <v>0.17499999999999999</v>
      </c>
      <c r="M1710">
        <v>2</v>
      </c>
      <c r="N1710">
        <v>82</v>
      </c>
      <c r="O1710">
        <v>5</v>
      </c>
      <c r="P1710">
        <v>0.53500000000000003</v>
      </c>
      <c r="Q1710">
        <v>5</v>
      </c>
      <c r="R1710">
        <v>1.2E-2</v>
      </c>
      <c r="T1710" s="8" t="s">
        <v>4994</v>
      </c>
    </row>
    <row r="1711" spans="1:20" x14ac:dyDescent="0.2">
      <c r="A1711" t="s">
        <v>4996</v>
      </c>
      <c r="B1711" t="s">
        <v>2022</v>
      </c>
      <c r="C1711" t="s">
        <v>2036</v>
      </c>
      <c r="D1711" t="s">
        <v>2024</v>
      </c>
      <c r="E1711" t="s">
        <v>4997</v>
      </c>
      <c r="F1711" t="s">
        <v>4998</v>
      </c>
      <c r="G1711">
        <v>1</v>
      </c>
      <c r="H1711">
        <v>1540</v>
      </c>
      <c r="I1711">
        <v>4</v>
      </c>
      <c r="J1711">
        <v>5.8</v>
      </c>
      <c r="K1711">
        <v>4</v>
      </c>
      <c r="L1711">
        <v>0.14499999999999999</v>
      </c>
      <c r="M1711">
        <v>1</v>
      </c>
      <c r="N1711">
        <v>76</v>
      </c>
      <c r="O1711">
        <v>3</v>
      </c>
      <c r="P1711">
        <v>0.315</v>
      </c>
      <c r="Q1711">
        <v>3</v>
      </c>
      <c r="R1711">
        <v>6.7499999999999999E-3</v>
      </c>
      <c r="T1711" s="8" t="s">
        <v>4997</v>
      </c>
    </row>
    <row r="1712" spans="1:20" x14ac:dyDescent="0.2">
      <c r="A1712" t="s">
        <v>4999</v>
      </c>
      <c r="B1712" t="s">
        <v>2022</v>
      </c>
      <c r="C1712" t="s">
        <v>2023</v>
      </c>
      <c r="D1712" t="s">
        <v>2024</v>
      </c>
      <c r="E1712" t="s">
        <v>5000</v>
      </c>
      <c r="F1712" t="s">
        <v>5001</v>
      </c>
      <c r="G1712">
        <v>2</v>
      </c>
      <c r="H1712">
        <v>1560</v>
      </c>
      <c r="I1712">
        <v>5</v>
      </c>
      <c r="J1712">
        <v>10.9</v>
      </c>
      <c r="K1712">
        <v>3</v>
      </c>
      <c r="L1712">
        <v>4.5999999999999999E-2</v>
      </c>
      <c r="M1712">
        <v>2</v>
      </c>
      <c r="N1712">
        <v>84</v>
      </c>
      <c r="O1712">
        <v>5</v>
      </c>
      <c r="P1712">
        <v>0.67500000000000004</v>
      </c>
      <c r="Q1712">
        <v>2</v>
      </c>
      <c r="R1712">
        <v>2E-3</v>
      </c>
      <c r="T1712" s="8" t="s">
        <v>5000</v>
      </c>
    </row>
    <row r="1713" spans="1:20" x14ac:dyDescent="0.2">
      <c r="A1713" t="s">
        <v>5002</v>
      </c>
      <c r="B1713" t="s">
        <v>2022</v>
      </c>
      <c r="C1713" t="s">
        <v>2023</v>
      </c>
      <c r="D1713" t="s">
        <v>2024</v>
      </c>
      <c r="E1713" t="s">
        <v>5003</v>
      </c>
      <c r="F1713" t="s">
        <v>5004</v>
      </c>
      <c r="G1713">
        <v>5</v>
      </c>
      <c r="H1713">
        <v>1800</v>
      </c>
      <c r="I1713">
        <v>5</v>
      </c>
      <c r="J1713">
        <v>10.9</v>
      </c>
      <c r="K1713">
        <v>5</v>
      </c>
      <c r="L1713">
        <v>8.5999999999999993E-2</v>
      </c>
      <c r="M1713">
        <v>3</v>
      </c>
      <c r="N1713">
        <v>94</v>
      </c>
      <c r="O1713">
        <v>4</v>
      </c>
      <c r="P1713">
        <v>0.52500000000000002</v>
      </c>
      <c r="Q1713">
        <v>5</v>
      </c>
      <c r="R1713">
        <v>8.0000000000000002E-3</v>
      </c>
      <c r="T1713" s="8" t="s">
        <v>5003</v>
      </c>
    </row>
    <row r="1714" spans="1:20" x14ac:dyDescent="0.2">
      <c r="A1714" t="s">
        <v>5005</v>
      </c>
      <c r="B1714" t="s">
        <v>2022</v>
      </c>
      <c r="C1714" t="s">
        <v>2023</v>
      </c>
      <c r="D1714" t="s">
        <v>2024</v>
      </c>
      <c r="E1714" t="s">
        <v>5006</v>
      </c>
      <c r="F1714" t="s">
        <v>447</v>
      </c>
      <c r="G1714">
        <v>1</v>
      </c>
      <c r="H1714">
        <v>1480</v>
      </c>
      <c r="I1714">
        <v>3</v>
      </c>
      <c r="J1714">
        <v>5.9</v>
      </c>
      <c r="K1714">
        <v>2</v>
      </c>
      <c r="L1714">
        <v>2.5999999999999999E-2</v>
      </c>
      <c r="M1714">
        <v>2</v>
      </c>
      <c r="N1714">
        <v>84</v>
      </c>
      <c r="O1714">
        <v>3</v>
      </c>
      <c r="P1714">
        <v>0.375</v>
      </c>
      <c r="Q1714">
        <v>2</v>
      </c>
      <c r="R1714">
        <v>2E-3</v>
      </c>
      <c r="T1714" s="8" t="s">
        <v>5006</v>
      </c>
    </row>
    <row r="1715" spans="1:20" x14ac:dyDescent="0.2">
      <c r="A1715" t="s">
        <v>5007</v>
      </c>
      <c r="B1715" t="s">
        <v>2022</v>
      </c>
      <c r="C1715" t="s">
        <v>2101</v>
      </c>
      <c r="D1715" t="s">
        <v>2024</v>
      </c>
      <c r="E1715" t="s">
        <v>5008</v>
      </c>
      <c r="F1715" t="s">
        <v>5009</v>
      </c>
      <c r="G1715">
        <v>2</v>
      </c>
      <c r="H1715">
        <v>1670</v>
      </c>
      <c r="I1715">
        <v>2</v>
      </c>
      <c r="J1715">
        <v>5</v>
      </c>
      <c r="K1715">
        <v>2</v>
      </c>
      <c r="L1715">
        <v>9.6500000000000002E-2</v>
      </c>
      <c r="M1715">
        <v>1</v>
      </c>
      <c r="N1715">
        <v>66</v>
      </c>
      <c r="O1715">
        <v>2</v>
      </c>
      <c r="P1715">
        <v>0.22500000000000001</v>
      </c>
      <c r="Q1715">
        <v>2</v>
      </c>
      <c r="R1715">
        <v>4.4999999999999997E-3</v>
      </c>
      <c r="T1715" s="8" t="s">
        <v>5008</v>
      </c>
    </row>
    <row r="1716" spans="1:20" x14ac:dyDescent="0.2">
      <c r="A1716" t="s">
        <v>5010</v>
      </c>
      <c r="B1716" t="s">
        <v>2022</v>
      </c>
      <c r="C1716" t="s">
        <v>2173</v>
      </c>
      <c r="D1716" t="s">
        <v>2024</v>
      </c>
      <c r="E1716" t="s">
        <v>5011</v>
      </c>
      <c r="F1716" t="s">
        <v>5012</v>
      </c>
      <c r="G1716">
        <v>3</v>
      </c>
      <c r="H1716">
        <v>2032.5</v>
      </c>
      <c r="I1716">
        <v>2</v>
      </c>
      <c r="J1716">
        <v>6.35</v>
      </c>
      <c r="K1716">
        <v>3</v>
      </c>
      <c r="L1716">
        <v>0.21</v>
      </c>
      <c r="M1716">
        <v>2</v>
      </c>
      <c r="N1716">
        <v>107.5</v>
      </c>
      <c r="O1716">
        <v>2</v>
      </c>
      <c r="P1716">
        <v>0.33</v>
      </c>
      <c r="Q1716">
        <v>3</v>
      </c>
      <c r="R1716">
        <v>1.18E-2</v>
      </c>
      <c r="T1716" s="8" t="s">
        <v>5011</v>
      </c>
    </row>
    <row r="1717" spans="1:20" x14ac:dyDescent="0.2">
      <c r="A1717" t="s">
        <v>5013</v>
      </c>
      <c r="B1717" t="s">
        <v>2022</v>
      </c>
      <c r="C1717" t="s">
        <v>2036</v>
      </c>
      <c r="D1717" t="s">
        <v>2024</v>
      </c>
      <c r="E1717" t="s">
        <v>5014</v>
      </c>
      <c r="F1717" t="s">
        <v>5015</v>
      </c>
      <c r="G1717">
        <v>1</v>
      </c>
      <c r="H1717">
        <v>1540</v>
      </c>
      <c r="I1717">
        <v>2</v>
      </c>
      <c r="J1717">
        <v>3.4</v>
      </c>
      <c r="K1717">
        <v>1</v>
      </c>
      <c r="L1717">
        <v>5.5E-2</v>
      </c>
      <c r="M1717">
        <v>2</v>
      </c>
      <c r="N1717">
        <v>82</v>
      </c>
      <c r="O1717">
        <v>2</v>
      </c>
      <c r="P1717">
        <v>0.20499999999999999</v>
      </c>
      <c r="Q1717">
        <v>2</v>
      </c>
      <c r="R1717">
        <v>4.2500000000000003E-3</v>
      </c>
      <c r="T1717" s="8" t="s">
        <v>5014</v>
      </c>
    </row>
    <row r="1718" spans="1:20" x14ac:dyDescent="0.2">
      <c r="A1718" t="s">
        <v>5016</v>
      </c>
      <c r="B1718" t="s">
        <v>2022</v>
      </c>
      <c r="C1718" t="s">
        <v>2053</v>
      </c>
      <c r="D1718" t="s">
        <v>2024</v>
      </c>
      <c r="E1718" t="s">
        <v>5017</v>
      </c>
      <c r="F1718" t="s">
        <v>5018</v>
      </c>
      <c r="G1718">
        <v>5</v>
      </c>
      <c r="H1718">
        <v>1900</v>
      </c>
      <c r="I1718">
        <v>5</v>
      </c>
      <c r="J1718">
        <v>11.55</v>
      </c>
      <c r="K1718">
        <v>4</v>
      </c>
      <c r="L1718">
        <v>0.30499999999999999</v>
      </c>
      <c r="M1718">
        <v>2</v>
      </c>
      <c r="N1718">
        <v>83</v>
      </c>
      <c r="O1718">
        <v>4</v>
      </c>
      <c r="P1718">
        <v>0.52500000000000002</v>
      </c>
      <c r="Q1718">
        <v>3</v>
      </c>
      <c r="R1718">
        <v>1.2200000000000001E-2</v>
      </c>
      <c r="T1718" s="8" t="s">
        <v>5017</v>
      </c>
    </row>
    <row r="1719" spans="1:20" x14ac:dyDescent="0.2">
      <c r="A1719" t="s">
        <v>5019</v>
      </c>
      <c r="B1719" t="s">
        <v>2022</v>
      </c>
      <c r="C1719" t="s">
        <v>2036</v>
      </c>
      <c r="D1719" t="s">
        <v>2024</v>
      </c>
      <c r="E1719" t="s">
        <v>5020</v>
      </c>
      <c r="F1719" t="s">
        <v>5021</v>
      </c>
      <c r="G1719">
        <v>1</v>
      </c>
      <c r="H1719">
        <v>1540</v>
      </c>
      <c r="I1719">
        <v>1</v>
      </c>
      <c r="J1719">
        <v>2.2000000000000002</v>
      </c>
      <c r="K1719">
        <v>1</v>
      </c>
      <c r="L1719">
        <v>5.5E-2</v>
      </c>
      <c r="M1719">
        <v>1</v>
      </c>
      <c r="N1719">
        <v>76</v>
      </c>
      <c r="O1719">
        <v>1</v>
      </c>
      <c r="P1719">
        <v>9.5000000000000001E-2</v>
      </c>
      <c r="Q1719">
        <v>2</v>
      </c>
      <c r="R1719">
        <v>4.2500000000000003E-3</v>
      </c>
      <c r="T1719" s="8" t="s">
        <v>5020</v>
      </c>
    </row>
    <row r="1720" spans="1:20" x14ac:dyDescent="0.2">
      <c r="A1720" t="s">
        <v>5022</v>
      </c>
      <c r="B1720" t="s">
        <v>2022</v>
      </c>
      <c r="C1720" t="s">
        <v>2023</v>
      </c>
      <c r="D1720" t="s">
        <v>2024</v>
      </c>
      <c r="E1720" t="s">
        <v>5023</v>
      </c>
      <c r="F1720" t="s">
        <v>5024</v>
      </c>
      <c r="G1720">
        <v>2</v>
      </c>
      <c r="H1720">
        <v>1560</v>
      </c>
      <c r="I1720">
        <v>2</v>
      </c>
      <c r="J1720">
        <v>3.4</v>
      </c>
      <c r="K1720">
        <v>3</v>
      </c>
      <c r="L1720">
        <v>4.5999999999999999E-2</v>
      </c>
      <c r="M1720">
        <v>1</v>
      </c>
      <c r="N1720">
        <v>74</v>
      </c>
      <c r="O1720">
        <v>1</v>
      </c>
      <c r="P1720">
        <v>7.4999999999999997E-2</v>
      </c>
      <c r="Q1720">
        <v>2</v>
      </c>
      <c r="R1720">
        <v>2E-3</v>
      </c>
      <c r="T1720" s="8" t="s">
        <v>5023</v>
      </c>
    </row>
    <row r="1721" spans="1:20" x14ac:dyDescent="0.2">
      <c r="A1721" t="s">
        <v>5025</v>
      </c>
      <c r="B1721" t="s">
        <v>2022</v>
      </c>
      <c r="C1721" t="s">
        <v>2036</v>
      </c>
      <c r="D1721" t="s">
        <v>2024</v>
      </c>
      <c r="E1721" t="s">
        <v>5026</v>
      </c>
      <c r="F1721" t="s">
        <v>5027</v>
      </c>
      <c r="G1721">
        <v>2</v>
      </c>
      <c r="H1721">
        <v>1640</v>
      </c>
      <c r="I1721">
        <v>1</v>
      </c>
      <c r="J1721">
        <v>2.2000000000000002</v>
      </c>
      <c r="K1721">
        <v>2</v>
      </c>
      <c r="L1721">
        <v>8.5000000000000006E-2</v>
      </c>
      <c r="M1721">
        <v>2</v>
      </c>
      <c r="N1721">
        <v>82</v>
      </c>
      <c r="O1721">
        <v>1</v>
      </c>
      <c r="P1721">
        <v>9.5000000000000001E-2</v>
      </c>
      <c r="Q1721">
        <v>2</v>
      </c>
      <c r="R1721">
        <v>4.2500000000000003E-3</v>
      </c>
      <c r="T1721" s="8" t="s">
        <v>5026</v>
      </c>
    </row>
    <row r="1722" spans="1:20" x14ac:dyDescent="0.2">
      <c r="A1722" t="s">
        <v>5028</v>
      </c>
      <c r="B1722" t="s">
        <v>2022</v>
      </c>
      <c r="C1722" t="s">
        <v>2053</v>
      </c>
      <c r="D1722" t="s">
        <v>2024</v>
      </c>
      <c r="E1722" t="s">
        <v>5029</v>
      </c>
      <c r="F1722" t="s">
        <v>5030</v>
      </c>
      <c r="G1722">
        <v>4</v>
      </c>
      <c r="H1722">
        <v>1800</v>
      </c>
      <c r="I1722">
        <v>5</v>
      </c>
      <c r="J1722">
        <v>11.55</v>
      </c>
      <c r="K1722">
        <v>5</v>
      </c>
      <c r="L1722">
        <v>0.41499999999999998</v>
      </c>
      <c r="M1722">
        <v>3</v>
      </c>
      <c r="N1722">
        <v>93</v>
      </c>
      <c r="O1722">
        <v>5</v>
      </c>
      <c r="P1722">
        <v>0.67500000000000004</v>
      </c>
      <c r="Q1722">
        <v>5</v>
      </c>
      <c r="R1722">
        <v>2.6200000000000001E-2</v>
      </c>
      <c r="T1722" s="8" t="s">
        <v>5029</v>
      </c>
    </row>
    <row r="1723" spans="1:20" x14ac:dyDescent="0.2">
      <c r="A1723" t="s">
        <v>5031</v>
      </c>
      <c r="B1723" t="s">
        <v>2022</v>
      </c>
      <c r="C1723" t="s">
        <v>2023</v>
      </c>
      <c r="D1723" t="s">
        <v>2024</v>
      </c>
      <c r="E1723" t="s">
        <v>5032</v>
      </c>
      <c r="F1723" t="s">
        <v>5033</v>
      </c>
      <c r="G1723">
        <v>3</v>
      </c>
      <c r="H1723">
        <v>1640</v>
      </c>
      <c r="I1723">
        <v>1</v>
      </c>
      <c r="J1723">
        <v>0.9</v>
      </c>
      <c r="K1723">
        <v>1</v>
      </c>
      <c r="L1723">
        <v>6.0000000000000001E-3</v>
      </c>
      <c r="M1723">
        <v>1</v>
      </c>
      <c r="N1723">
        <v>74</v>
      </c>
      <c r="O1723">
        <v>1</v>
      </c>
      <c r="P1723">
        <v>7.4999999999999997E-2</v>
      </c>
      <c r="Q1723">
        <v>1</v>
      </c>
      <c r="R1723">
        <v>5.0000000000000001E-4</v>
      </c>
      <c r="T1723" s="8" t="s">
        <v>5032</v>
      </c>
    </row>
    <row r="1724" spans="1:20" x14ac:dyDescent="0.2">
      <c r="A1724" t="s">
        <v>5034</v>
      </c>
      <c r="B1724" t="s">
        <v>2022</v>
      </c>
      <c r="C1724" t="s">
        <v>2053</v>
      </c>
      <c r="D1724" t="s">
        <v>2136</v>
      </c>
      <c r="E1724" t="s">
        <v>357</v>
      </c>
      <c r="F1724" t="s">
        <v>5035</v>
      </c>
      <c r="G1724">
        <v>1</v>
      </c>
      <c r="H1724">
        <v>1500</v>
      </c>
      <c r="I1724">
        <v>3</v>
      </c>
      <c r="J1724">
        <v>6.55</v>
      </c>
      <c r="K1724">
        <v>4</v>
      </c>
      <c r="L1724">
        <v>0.30499999999999999</v>
      </c>
      <c r="M1724">
        <v>5</v>
      </c>
      <c r="N1724">
        <v>113</v>
      </c>
      <c r="O1724">
        <v>4</v>
      </c>
      <c r="P1724">
        <v>0.52500000000000002</v>
      </c>
      <c r="Q1724">
        <v>5</v>
      </c>
      <c r="R1724">
        <v>2.6200000000000001E-2</v>
      </c>
      <c r="T1724" s="8" t="s">
        <v>357</v>
      </c>
    </row>
    <row r="1725" spans="1:20" x14ac:dyDescent="0.2">
      <c r="A1725" t="s">
        <v>5036</v>
      </c>
      <c r="B1725" t="s">
        <v>2022</v>
      </c>
      <c r="C1725" t="s">
        <v>2053</v>
      </c>
      <c r="D1725" t="s">
        <v>2136</v>
      </c>
      <c r="E1725" t="s">
        <v>1050</v>
      </c>
      <c r="F1725" t="s">
        <v>1051</v>
      </c>
      <c r="G1725">
        <v>1</v>
      </c>
      <c r="H1725">
        <v>1500</v>
      </c>
      <c r="I1725">
        <v>2</v>
      </c>
      <c r="J1725">
        <v>4.05</v>
      </c>
      <c r="K1725">
        <v>2</v>
      </c>
      <c r="L1725">
        <v>8.5000000000000006E-2</v>
      </c>
      <c r="M1725">
        <v>5</v>
      </c>
      <c r="N1725">
        <v>113</v>
      </c>
      <c r="O1725">
        <v>3</v>
      </c>
      <c r="P1725">
        <v>0.375</v>
      </c>
      <c r="Q1725">
        <v>3</v>
      </c>
      <c r="R1725">
        <v>1.2200000000000001E-2</v>
      </c>
      <c r="T1725" s="8" t="s">
        <v>1050</v>
      </c>
    </row>
    <row r="1726" spans="1:20" x14ac:dyDescent="0.2">
      <c r="A1726" t="s">
        <v>5037</v>
      </c>
      <c r="B1726" t="s">
        <v>2022</v>
      </c>
      <c r="C1726" t="s">
        <v>2053</v>
      </c>
      <c r="D1726" t="s">
        <v>2024</v>
      </c>
      <c r="E1726" t="s">
        <v>357</v>
      </c>
      <c r="F1726" t="s">
        <v>5038</v>
      </c>
      <c r="G1726">
        <v>4</v>
      </c>
      <c r="H1726">
        <v>1800</v>
      </c>
      <c r="I1726">
        <v>5</v>
      </c>
      <c r="J1726">
        <v>11.55</v>
      </c>
      <c r="K1726">
        <v>5</v>
      </c>
      <c r="L1726">
        <v>0.41499999999999998</v>
      </c>
      <c r="M1726">
        <v>5</v>
      </c>
      <c r="N1726">
        <v>113</v>
      </c>
      <c r="O1726">
        <v>5</v>
      </c>
      <c r="P1726">
        <v>0.67500000000000004</v>
      </c>
      <c r="Q1726">
        <v>5</v>
      </c>
      <c r="R1726">
        <v>2.6200000000000001E-2</v>
      </c>
      <c r="T1726" s="8" t="s">
        <v>357</v>
      </c>
    </row>
    <row r="1727" spans="1:20" x14ac:dyDescent="0.2">
      <c r="A1727" t="s">
        <v>5039</v>
      </c>
      <c r="B1727" t="s">
        <v>2022</v>
      </c>
      <c r="C1727" t="s">
        <v>2036</v>
      </c>
      <c r="D1727" t="s">
        <v>2024</v>
      </c>
      <c r="E1727" t="s">
        <v>5040</v>
      </c>
      <c r="F1727" t="s">
        <v>5041</v>
      </c>
      <c r="G1727">
        <v>4</v>
      </c>
      <c r="H1727">
        <v>1840</v>
      </c>
      <c r="I1727">
        <v>5</v>
      </c>
      <c r="J1727">
        <v>7</v>
      </c>
      <c r="K1727">
        <v>5</v>
      </c>
      <c r="L1727">
        <v>0.17499999999999999</v>
      </c>
      <c r="M1727">
        <v>3</v>
      </c>
      <c r="N1727">
        <v>88</v>
      </c>
      <c r="O1727">
        <v>4</v>
      </c>
      <c r="P1727">
        <v>0.42499999999999999</v>
      </c>
      <c r="Q1727">
        <v>5</v>
      </c>
      <c r="R1727">
        <v>1.2E-2</v>
      </c>
      <c r="T1727" s="8" t="s">
        <v>5040</v>
      </c>
    </row>
    <row r="1728" spans="1:20" x14ac:dyDescent="0.2">
      <c r="A1728" t="s">
        <v>5042</v>
      </c>
      <c r="B1728" t="s">
        <v>2022</v>
      </c>
      <c r="C1728" t="s">
        <v>2257</v>
      </c>
      <c r="D1728" t="s">
        <v>2024</v>
      </c>
      <c r="E1728" t="s">
        <v>5043</v>
      </c>
      <c r="F1728" t="s">
        <v>5044</v>
      </c>
      <c r="G1728">
        <v>2</v>
      </c>
      <c r="H1728">
        <v>1000</v>
      </c>
      <c r="I1728">
        <v>5</v>
      </c>
      <c r="J1728">
        <v>5.65</v>
      </c>
      <c r="K1728">
        <v>5</v>
      </c>
      <c r="L1728">
        <v>0.187</v>
      </c>
      <c r="M1728">
        <v>2</v>
      </c>
      <c r="N1728">
        <v>500</v>
      </c>
      <c r="O1728">
        <v>5</v>
      </c>
      <c r="P1728">
        <v>2.7</v>
      </c>
      <c r="Q1728">
        <v>5</v>
      </c>
      <c r="R1728">
        <v>8.1000000000000003E-2</v>
      </c>
      <c r="T1728" s="8" t="s">
        <v>5043</v>
      </c>
    </row>
    <row r="1729" spans="1:20" x14ac:dyDescent="0.2">
      <c r="A1729" t="s">
        <v>5045</v>
      </c>
      <c r="B1729" t="s">
        <v>2022</v>
      </c>
      <c r="C1729" t="s">
        <v>2023</v>
      </c>
      <c r="D1729" t="s">
        <v>2024</v>
      </c>
      <c r="E1729" t="s">
        <v>5046</v>
      </c>
      <c r="F1729" t="s">
        <v>5047</v>
      </c>
      <c r="G1729">
        <v>2</v>
      </c>
      <c r="H1729">
        <v>1560</v>
      </c>
      <c r="I1729">
        <v>5</v>
      </c>
      <c r="J1729">
        <v>10.9</v>
      </c>
      <c r="K1729">
        <v>5</v>
      </c>
      <c r="L1729">
        <v>8.5999999999999993E-2</v>
      </c>
      <c r="M1729">
        <v>2</v>
      </c>
      <c r="N1729">
        <v>84</v>
      </c>
      <c r="O1729">
        <v>5</v>
      </c>
      <c r="P1729">
        <v>0.67500000000000004</v>
      </c>
      <c r="Q1729">
        <v>5</v>
      </c>
      <c r="R1729">
        <v>8.0000000000000002E-3</v>
      </c>
      <c r="T1729" s="8" t="s">
        <v>5046</v>
      </c>
    </row>
    <row r="1730" spans="1:20" x14ac:dyDescent="0.2">
      <c r="A1730" t="s">
        <v>5048</v>
      </c>
      <c r="B1730" t="s">
        <v>2022</v>
      </c>
      <c r="C1730" t="s">
        <v>2053</v>
      </c>
      <c r="D1730" t="s">
        <v>2024</v>
      </c>
      <c r="E1730" t="s">
        <v>5049</v>
      </c>
      <c r="F1730" t="s">
        <v>5050</v>
      </c>
      <c r="G1730">
        <v>2</v>
      </c>
      <c r="H1730">
        <v>1600</v>
      </c>
      <c r="I1730">
        <v>1</v>
      </c>
      <c r="J1730">
        <v>1.55</v>
      </c>
      <c r="K1730">
        <v>1</v>
      </c>
      <c r="L1730">
        <v>1.4999999999999999E-2</v>
      </c>
      <c r="M1730">
        <v>1</v>
      </c>
      <c r="N1730">
        <v>73</v>
      </c>
      <c r="O1730">
        <v>1</v>
      </c>
      <c r="P1730">
        <v>7.4999999999999997E-2</v>
      </c>
      <c r="Q1730">
        <v>1</v>
      </c>
      <c r="R1730">
        <v>8.4999999999999995E-4</v>
      </c>
      <c r="T1730" s="8" t="s">
        <v>5049</v>
      </c>
    </row>
    <row r="1731" spans="1:20" x14ac:dyDescent="0.2">
      <c r="A1731" t="s">
        <v>5051</v>
      </c>
      <c r="B1731" t="s">
        <v>2022</v>
      </c>
      <c r="C1731" t="s">
        <v>2023</v>
      </c>
      <c r="D1731" t="s">
        <v>2024</v>
      </c>
      <c r="E1731" t="s">
        <v>5052</v>
      </c>
      <c r="F1731" t="s">
        <v>5053</v>
      </c>
      <c r="G1731">
        <v>1</v>
      </c>
      <c r="H1731">
        <v>1480</v>
      </c>
      <c r="I1731">
        <v>2</v>
      </c>
      <c r="J1731">
        <v>3.4</v>
      </c>
      <c r="K1731">
        <v>2</v>
      </c>
      <c r="L1731">
        <v>2.5999999999999999E-2</v>
      </c>
      <c r="M1731">
        <v>1</v>
      </c>
      <c r="N1731">
        <v>74</v>
      </c>
      <c r="O1731">
        <v>2</v>
      </c>
      <c r="P1731">
        <v>0.22500000000000001</v>
      </c>
      <c r="Q1731">
        <v>1</v>
      </c>
      <c r="R1731">
        <v>5.0000000000000001E-4</v>
      </c>
      <c r="T1731" s="8" t="s">
        <v>5052</v>
      </c>
    </row>
    <row r="1732" spans="1:20" x14ac:dyDescent="0.2">
      <c r="A1732" t="s">
        <v>5054</v>
      </c>
      <c r="B1732" t="s">
        <v>2022</v>
      </c>
      <c r="C1732" t="s">
        <v>2036</v>
      </c>
      <c r="D1732" t="s">
        <v>2024</v>
      </c>
      <c r="E1732" t="s">
        <v>5055</v>
      </c>
      <c r="F1732" t="s">
        <v>5056</v>
      </c>
      <c r="G1732">
        <v>2</v>
      </c>
      <c r="H1732">
        <v>1640</v>
      </c>
      <c r="I1732">
        <v>5</v>
      </c>
      <c r="J1732">
        <v>7</v>
      </c>
      <c r="K1732">
        <v>5</v>
      </c>
      <c r="L1732">
        <v>0.17499999999999999</v>
      </c>
      <c r="M1732">
        <v>2</v>
      </c>
      <c r="N1732">
        <v>82</v>
      </c>
      <c r="O1732">
        <v>5</v>
      </c>
      <c r="P1732">
        <v>0.53500000000000003</v>
      </c>
      <c r="Q1732">
        <v>5</v>
      </c>
      <c r="R1732">
        <v>1.2E-2</v>
      </c>
      <c r="T1732" s="8" t="s">
        <v>5055</v>
      </c>
    </row>
    <row r="1733" spans="1:20" x14ac:dyDescent="0.2">
      <c r="A1733" t="s">
        <v>5057</v>
      </c>
      <c r="B1733" t="s">
        <v>2022</v>
      </c>
      <c r="C1733" t="s">
        <v>2049</v>
      </c>
      <c r="D1733" t="s">
        <v>2154</v>
      </c>
      <c r="E1733" t="s">
        <v>5058</v>
      </c>
      <c r="F1733" t="s">
        <v>5059</v>
      </c>
      <c r="G1733">
        <v>4</v>
      </c>
      <c r="H1733">
        <v>1650</v>
      </c>
      <c r="I1733">
        <v>1</v>
      </c>
      <c r="J1733">
        <v>1.4</v>
      </c>
      <c r="K1733">
        <v>2</v>
      </c>
      <c r="L1733">
        <v>0.06</v>
      </c>
      <c r="M1733">
        <v>4</v>
      </c>
      <c r="N1733">
        <v>146</v>
      </c>
      <c r="O1733">
        <v>2</v>
      </c>
      <c r="P1733">
        <v>0.26</v>
      </c>
      <c r="Q1733">
        <v>2</v>
      </c>
      <c r="R1733">
        <v>6.1999999999999998E-3</v>
      </c>
      <c r="T1733" s="8" t="s">
        <v>5058</v>
      </c>
    </row>
    <row r="1734" spans="1:20" x14ac:dyDescent="0.2">
      <c r="A1734" t="s">
        <v>5060</v>
      </c>
      <c r="B1734" t="s">
        <v>2022</v>
      </c>
      <c r="C1734" t="s">
        <v>2053</v>
      </c>
      <c r="D1734" t="s">
        <v>2024</v>
      </c>
      <c r="E1734" t="s">
        <v>249</v>
      </c>
      <c r="F1734" t="s">
        <v>5061</v>
      </c>
      <c r="G1734">
        <v>2</v>
      </c>
      <c r="H1734">
        <v>1600</v>
      </c>
      <c r="I1734">
        <v>2</v>
      </c>
      <c r="J1734">
        <v>4.05</v>
      </c>
      <c r="K1734">
        <v>2</v>
      </c>
      <c r="L1734">
        <v>8.5000000000000006E-2</v>
      </c>
      <c r="M1734">
        <v>1</v>
      </c>
      <c r="N1734">
        <v>73</v>
      </c>
      <c r="O1734">
        <v>2</v>
      </c>
      <c r="P1734">
        <v>0.22500000000000001</v>
      </c>
      <c r="Q1734">
        <v>2</v>
      </c>
      <c r="R1734">
        <v>5.1999999999999998E-3</v>
      </c>
      <c r="T1734" s="8" t="s">
        <v>249</v>
      </c>
    </row>
    <row r="1735" spans="1:20" x14ac:dyDescent="0.2">
      <c r="A1735" t="s">
        <v>5062</v>
      </c>
      <c r="B1735" t="s">
        <v>2022</v>
      </c>
      <c r="C1735" t="s">
        <v>2023</v>
      </c>
      <c r="D1735" t="s">
        <v>2024</v>
      </c>
      <c r="E1735" t="s">
        <v>5063</v>
      </c>
      <c r="F1735" t="s">
        <v>5064</v>
      </c>
      <c r="G1735">
        <v>1</v>
      </c>
      <c r="H1735">
        <v>1480</v>
      </c>
      <c r="I1735">
        <v>2</v>
      </c>
      <c r="J1735">
        <v>3.4</v>
      </c>
      <c r="K1735">
        <v>1</v>
      </c>
      <c r="L1735">
        <v>6.0000000000000001E-3</v>
      </c>
      <c r="M1735">
        <v>2</v>
      </c>
      <c r="N1735">
        <v>84</v>
      </c>
      <c r="O1735">
        <v>1</v>
      </c>
      <c r="P1735">
        <v>7.4999999999999997E-2</v>
      </c>
      <c r="Q1735">
        <v>1</v>
      </c>
      <c r="R1735">
        <v>5.0000000000000001E-4</v>
      </c>
      <c r="T1735" s="8" t="s">
        <v>5063</v>
      </c>
    </row>
    <row r="1736" spans="1:20" x14ac:dyDescent="0.2">
      <c r="A1736" t="s">
        <v>5065</v>
      </c>
      <c r="B1736" t="s">
        <v>2022</v>
      </c>
      <c r="C1736" t="s">
        <v>2222</v>
      </c>
      <c r="D1736" t="s">
        <v>2154</v>
      </c>
      <c r="E1736" t="s">
        <v>357</v>
      </c>
      <c r="F1736" t="s">
        <v>447</v>
      </c>
      <c r="G1736">
        <v>4</v>
      </c>
      <c r="H1736">
        <v>1750</v>
      </c>
      <c r="I1736">
        <v>5</v>
      </c>
      <c r="J1736">
        <v>8.6999999999999993</v>
      </c>
      <c r="K1736">
        <v>4</v>
      </c>
      <c r="L1736">
        <v>0.19500000000000001</v>
      </c>
      <c r="M1736">
        <v>5</v>
      </c>
      <c r="N1736">
        <v>75</v>
      </c>
      <c r="O1736">
        <v>5</v>
      </c>
      <c r="P1736">
        <v>0.39</v>
      </c>
      <c r="Q1736">
        <v>5</v>
      </c>
      <c r="R1736">
        <v>1.1299999999999999E-2</v>
      </c>
      <c r="T1736" s="8" t="s">
        <v>357</v>
      </c>
    </row>
    <row r="1737" spans="1:20" x14ac:dyDescent="0.2">
      <c r="A1737" t="s">
        <v>5066</v>
      </c>
      <c r="B1737" t="s">
        <v>2022</v>
      </c>
      <c r="C1737" t="s">
        <v>2053</v>
      </c>
      <c r="D1737" t="s">
        <v>2024</v>
      </c>
      <c r="E1737" t="s">
        <v>5067</v>
      </c>
      <c r="F1737" t="s">
        <v>5068</v>
      </c>
      <c r="G1737">
        <v>2</v>
      </c>
      <c r="H1737">
        <v>1600</v>
      </c>
      <c r="I1737">
        <v>2</v>
      </c>
      <c r="J1737">
        <v>4.05</v>
      </c>
      <c r="K1737">
        <v>2</v>
      </c>
      <c r="L1737">
        <v>8.5000000000000006E-2</v>
      </c>
      <c r="M1737">
        <v>3</v>
      </c>
      <c r="N1737">
        <v>93</v>
      </c>
      <c r="O1737">
        <v>2</v>
      </c>
      <c r="P1737">
        <v>0.22500000000000001</v>
      </c>
      <c r="Q1737">
        <v>2</v>
      </c>
      <c r="R1737">
        <v>5.1999999999999998E-3</v>
      </c>
      <c r="T1737" s="8" t="s">
        <v>5067</v>
      </c>
    </row>
    <row r="1738" spans="1:20" x14ac:dyDescent="0.2">
      <c r="A1738" t="s">
        <v>5069</v>
      </c>
      <c r="B1738" t="s">
        <v>2022</v>
      </c>
      <c r="C1738" t="s">
        <v>2036</v>
      </c>
      <c r="D1738" t="s">
        <v>2024</v>
      </c>
      <c r="E1738" t="s">
        <v>5070</v>
      </c>
      <c r="F1738" t="s">
        <v>5071</v>
      </c>
      <c r="G1738">
        <v>3</v>
      </c>
      <c r="H1738">
        <v>1740</v>
      </c>
      <c r="I1738">
        <v>5</v>
      </c>
      <c r="J1738">
        <v>7</v>
      </c>
      <c r="K1738">
        <v>5</v>
      </c>
      <c r="L1738">
        <v>0.17499999999999999</v>
      </c>
      <c r="M1738">
        <v>2</v>
      </c>
      <c r="N1738">
        <v>82</v>
      </c>
      <c r="O1738">
        <v>5</v>
      </c>
      <c r="P1738">
        <v>0.53500000000000003</v>
      </c>
      <c r="Q1738">
        <v>5</v>
      </c>
      <c r="R1738">
        <v>1.2E-2</v>
      </c>
      <c r="T1738" s="8" t="s">
        <v>5070</v>
      </c>
    </row>
    <row r="1739" spans="1:20" x14ac:dyDescent="0.2">
      <c r="A1739" t="s">
        <v>5072</v>
      </c>
      <c r="B1739" t="s">
        <v>2022</v>
      </c>
      <c r="C1739" t="s">
        <v>2036</v>
      </c>
      <c r="D1739" t="s">
        <v>2024</v>
      </c>
      <c r="E1739" t="s">
        <v>5073</v>
      </c>
      <c r="F1739" t="s">
        <v>5074</v>
      </c>
      <c r="G1739">
        <v>3</v>
      </c>
      <c r="H1739">
        <v>1740</v>
      </c>
      <c r="I1739">
        <v>4</v>
      </c>
      <c r="J1739">
        <v>5.8</v>
      </c>
      <c r="K1739">
        <v>4</v>
      </c>
      <c r="L1739">
        <v>0.14499999999999999</v>
      </c>
      <c r="M1739">
        <v>3</v>
      </c>
      <c r="N1739">
        <v>88</v>
      </c>
      <c r="O1739">
        <v>3</v>
      </c>
      <c r="P1739">
        <v>0.315</v>
      </c>
      <c r="Q1739">
        <v>3</v>
      </c>
      <c r="R1739">
        <v>6.7499999999999999E-3</v>
      </c>
      <c r="T1739" s="8" t="s">
        <v>5073</v>
      </c>
    </row>
    <row r="1740" spans="1:20" x14ac:dyDescent="0.2">
      <c r="A1740" t="s">
        <v>5075</v>
      </c>
      <c r="B1740" t="s">
        <v>2022</v>
      </c>
      <c r="C1740" t="s">
        <v>2036</v>
      </c>
      <c r="D1740" t="s">
        <v>2024</v>
      </c>
      <c r="E1740" t="s">
        <v>5076</v>
      </c>
      <c r="F1740" t="s">
        <v>5077</v>
      </c>
      <c r="G1740">
        <v>3</v>
      </c>
      <c r="H1740">
        <v>1740</v>
      </c>
      <c r="I1740">
        <v>2</v>
      </c>
      <c r="J1740">
        <v>3.4</v>
      </c>
      <c r="K1740">
        <v>3</v>
      </c>
      <c r="L1740">
        <v>0.115</v>
      </c>
      <c r="M1740">
        <v>3</v>
      </c>
      <c r="N1740">
        <v>88</v>
      </c>
      <c r="O1740">
        <v>2</v>
      </c>
      <c r="P1740">
        <v>0.20499999999999999</v>
      </c>
      <c r="Q1740">
        <v>3</v>
      </c>
      <c r="R1740">
        <v>6.7499999999999999E-3</v>
      </c>
      <c r="T1740" s="8" t="s">
        <v>5076</v>
      </c>
    </row>
    <row r="1741" spans="1:20" x14ac:dyDescent="0.2">
      <c r="A1741" t="s">
        <v>5078</v>
      </c>
      <c r="B1741" t="s">
        <v>2022</v>
      </c>
      <c r="C1741" t="s">
        <v>2028</v>
      </c>
      <c r="D1741" t="s">
        <v>2154</v>
      </c>
      <c r="E1741" t="s">
        <v>5079</v>
      </c>
      <c r="F1741" t="s">
        <v>5080</v>
      </c>
      <c r="G1741">
        <v>5</v>
      </c>
      <c r="H1741">
        <v>1450</v>
      </c>
      <c r="I1741">
        <v>5</v>
      </c>
      <c r="J1741">
        <v>6.65</v>
      </c>
      <c r="K1741">
        <v>5</v>
      </c>
      <c r="L1741">
        <v>0.26700000000000002</v>
      </c>
      <c r="M1741">
        <v>1</v>
      </c>
      <c r="N1741">
        <v>100</v>
      </c>
      <c r="O1741">
        <v>4</v>
      </c>
      <c r="P1741">
        <v>1.05</v>
      </c>
      <c r="Q1741">
        <v>5</v>
      </c>
      <c r="R1741">
        <v>3.3500000000000002E-2</v>
      </c>
      <c r="T1741" s="8" t="s">
        <v>5079</v>
      </c>
    </row>
    <row r="1742" spans="1:20" x14ac:dyDescent="0.2">
      <c r="A1742" t="s">
        <v>5081</v>
      </c>
      <c r="B1742" t="s">
        <v>2022</v>
      </c>
      <c r="C1742" t="s">
        <v>2028</v>
      </c>
      <c r="D1742" t="s">
        <v>2154</v>
      </c>
      <c r="E1742" t="s">
        <v>5082</v>
      </c>
      <c r="F1742" t="s">
        <v>5083</v>
      </c>
      <c r="G1742">
        <v>5</v>
      </c>
      <c r="H1742">
        <v>1450</v>
      </c>
      <c r="I1742">
        <v>5</v>
      </c>
      <c r="J1742">
        <v>6.65</v>
      </c>
      <c r="K1742">
        <v>5</v>
      </c>
      <c r="L1742">
        <v>0.26700000000000002</v>
      </c>
      <c r="M1742">
        <v>1</v>
      </c>
      <c r="N1742">
        <v>100</v>
      </c>
      <c r="O1742">
        <v>5</v>
      </c>
      <c r="P1742">
        <v>1.35</v>
      </c>
      <c r="Q1742">
        <v>5</v>
      </c>
      <c r="R1742">
        <v>3.3500000000000002E-2</v>
      </c>
      <c r="T1742" s="8" t="s">
        <v>5082</v>
      </c>
    </row>
    <row r="1743" spans="1:20" x14ac:dyDescent="0.2">
      <c r="A1743" t="s">
        <v>5084</v>
      </c>
      <c r="B1743" t="s">
        <v>2022</v>
      </c>
      <c r="C1743" t="s">
        <v>2023</v>
      </c>
      <c r="D1743" t="s">
        <v>2024</v>
      </c>
      <c r="E1743" t="s">
        <v>5085</v>
      </c>
      <c r="F1743" t="s">
        <v>5086</v>
      </c>
      <c r="G1743">
        <v>2</v>
      </c>
      <c r="H1743">
        <v>1560</v>
      </c>
      <c r="I1743">
        <v>2</v>
      </c>
      <c r="J1743">
        <v>3.4</v>
      </c>
      <c r="K1743">
        <v>5</v>
      </c>
      <c r="L1743">
        <v>8.5999999999999993E-2</v>
      </c>
      <c r="M1743">
        <v>1</v>
      </c>
      <c r="N1743">
        <v>74</v>
      </c>
      <c r="O1743">
        <v>2</v>
      </c>
      <c r="P1743">
        <v>0.22500000000000001</v>
      </c>
      <c r="Q1743">
        <v>3</v>
      </c>
      <c r="R1743">
        <v>4.0000000000000001E-3</v>
      </c>
      <c r="T1743" s="8" t="s">
        <v>5085</v>
      </c>
    </row>
    <row r="1744" spans="1:20" x14ac:dyDescent="0.2">
      <c r="A1744" t="s">
        <v>5087</v>
      </c>
      <c r="B1744" t="s">
        <v>2022</v>
      </c>
      <c r="C1744" t="s">
        <v>2222</v>
      </c>
      <c r="D1744" t="s">
        <v>2136</v>
      </c>
      <c r="E1744" t="s">
        <v>5088</v>
      </c>
      <c r="F1744" t="s">
        <v>5089</v>
      </c>
      <c r="G1744">
        <v>2</v>
      </c>
      <c r="H1744">
        <v>1550</v>
      </c>
      <c r="I1744">
        <v>1</v>
      </c>
      <c r="J1744">
        <v>2.2999999999999998</v>
      </c>
      <c r="K1744">
        <v>2</v>
      </c>
      <c r="L1744">
        <v>5.5E-2</v>
      </c>
      <c r="M1744">
        <v>2</v>
      </c>
      <c r="N1744">
        <v>63</v>
      </c>
      <c r="O1744">
        <v>2</v>
      </c>
      <c r="P1744">
        <v>0.15</v>
      </c>
      <c r="Q1744">
        <v>2</v>
      </c>
      <c r="R1744">
        <v>2.3E-3</v>
      </c>
      <c r="T1744" s="8" t="s">
        <v>5088</v>
      </c>
    </row>
    <row r="1745" spans="1:20" x14ac:dyDescent="0.2">
      <c r="A1745" t="s">
        <v>5090</v>
      </c>
      <c r="B1745" t="s">
        <v>2022</v>
      </c>
      <c r="C1745" t="s">
        <v>2023</v>
      </c>
      <c r="D1745" t="s">
        <v>2024</v>
      </c>
      <c r="E1745" t="s">
        <v>357</v>
      </c>
      <c r="F1745" t="s">
        <v>5091</v>
      </c>
      <c r="G1745">
        <v>1</v>
      </c>
      <c r="H1745">
        <v>1480</v>
      </c>
      <c r="I1745">
        <v>1</v>
      </c>
      <c r="J1745">
        <v>0.9</v>
      </c>
      <c r="K1745">
        <v>1</v>
      </c>
      <c r="L1745">
        <v>6.0000000000000001E-3</v>
      </c>
      <c r="M1745">
        <v>5</v>
      </c>
      <c r="N1745">
        <v>114</v>
      </c>
      <c r="O1745">
        <v>5</v>
      </c>
      <c r="P1745">
        <v>0.67500000000000004</v>
      </c>
      <c r="Q1745">
        <v>5</v>
      </c>
      <c r="R1745">
        <v>8.0000000000000002E-3</v>
      </c>
      <c r="T1745" s="8" t="s">
        <v>357</v>
      </c>
    </row>
    <row r="1746" spans="1:20" x14ac:dyDescent="0.2">
      <c r="A1746" t="s">
        <v>5092</v>
      </c>
      <c r="B1746" t="s">
        <v>2022</v>
      </c>
      <c r="C1746" t="s">
        <v>2053</v>
      </c>
      <c r="D1746" t="s">
        <v>2024</v>
      </c>
      <c r="E1746" t="s">
        <v>5093</v>
      </c>
      <c r="F1746" t="s">
        <v>5094</v>
      </c>
      <c r="G1746">
        <v>3</v>
      </c>
      <c r="H1746">
        <v>1700</v>
      </c>
      <c r="I1746">
        <v>5</v>
      </c>
      <c r="J1746">
        <v>11.55</v>
      </c>
      <c r="K1746">
        <v>5</v>
      </c>
      <c r="L1746">
        <v>0.41499999999999998</v>
      </c>
      <c r="M1746">
        <v>5</v>
      </c>
      <c r="N1746">
        <v>113</v>
      </c>
      <c r="O1746">
        <v>5</v>
      </c>
      <c r="P1746">
        <v>0.67500000000000004</v>
      </c>
      <c r="Q1746">
        <v>5</v>
      </c>
      <c r="R1746">
        <v>2.6200000000000001E-2</v>
      </c>
      <c r="T1746" s="8" t="s">
        <v>5093</v>
      </c>
    </row>
    <row r="1747" spans="1:20" x14ac:dyDescent="0.2">
      <c r="A1747" t="s">
        <v>5095</v>
      </c>
      <c r="B1747" t="s">
        <v>2022</v>
      </c>
      <c r="C1747" t="s">
        <v>2053</v>
      </c>
      <c r="D1747" t="s">
        <v>2024</v>
      </c>
      <c r="E1747" t="s">
        <v>5096</v>
      </c>
      <c r="F1747" t="s">
        <v>5097</v>
      </c>
      <c r="G1747">
        <v>1</v>
      </c>
      <c r="H1747">
        <v>1500</v>
      </c>
      <c r="I1747">
        <v>5</v>
      </c>
      <c r="J1747">
        <v>11.55</v>
      </c>
      <c r="K1747">
        <v>5</v>
      </c>
      <c r="L1747">
        <v>0.41499999999999998</v>
      </c>
      <c r="M1747">
        <v>5</v>
      </c>
      <c r="N1747">
        <v>113</v>
      </c>
      <c r="O1747">
        <v>5</v>
      </c>
      <c r="P1747">
        <v>0.67500000000000004</v>
      </c>
      <c r="Q1747">
        <v>5</v>
      </c>
      <c r="R1747">
        <v>2.6200000000000001E-2</v>
      </c>
      <c r="T1747" s="8" t="s">
        <v>5096</v>
      </c>
    </row>
    <row r="1748" spans="1:20" x14ac:dyDescent="0.2">
      <c r="A1748" t="s">
        <v>5098</v>
      </c>
      <c r="B1748" t="s">
        <v>2022</v>
      </c>
      <c r="C1748" t="s">
        <v>2049</v>
      </c>
      <c r="D1748" t="s">
        <v>2024</v>
      </c>
      <c r="E1748" t="s">
        <v>5099</v>
      </c>
      <c r="F1748" t="s">
        <v>5100</v>
      </c>
      <c r="G1748">
        <v>5</v>
      </c>
      <c r="H1748">
        <v>1750</v>
      </c>
      <c r="I1748">
        <v>4</v>
      </c>
      <c r="J1748">
        <v>6.8</v>
      </c>
      <c r="K1748">
        <v>4</v>
      </c>
      <c r="L1748">
        <v>0.22</v>
      </c>
      <c r="M1748">
        <v>4</v>
      </c>
      <c r="N1748">
        <v>146</v>
      </c>
      <c r="O1748">
        <v>3</v>
      </c>
      <c r="P1748">
        <v>0.46</v>
      </c>
      <c r="Q1748">
        <v>3</v>
      </c>
      <c r="R1748">
        <v>1.52E-2</v>
      </c>
      <c r="T1748" s="8" t="s">
        <v>5099</v>
      </c>
    </row>
    <row r="1749" spans="1:20" x14ac:dyDescent="0.2">
      <c r="A1749" t="s">
        <v>5101</v>
      </c>
      <c r="B1749" t="s">
        <v>2022</v>
      </c>
      <c r="C1749" t="s">
        <v>2106</v>
      </c>
      <c r="D1749" t="s">
        <v>2024</v>
      </c>
      <c r="E1749" t="s">
        <v>5102</v>
      </c>
      <c r="F1749" t="s">
        <v>5103</v>
      </c>
      <c r="G1749">
        <v>2</v>
      </c>
      <c r="H1749">
        <v>1825</v>
      </c>
      <c r="I1749">
        <v>1</v>
      </c>
      <c r="J1749">
        <v>3.25</v>
      </c>
      <c r="K1749">
        <v>1</v>
      </c>
      <c r="L1749">
        <v>0.01</v>
      </c>
      <c r="M1749">
        <v>4</v>
      </c>
      <c r="N1749">
        <v>82.5</v>
      </c>
      <c r="O1749">
        <v>1</v>
      </c>
      <c r="P1749">
        <v>0.05</v>
      </c>
      <c r="Q1749">
        <v>1</v>
      </c>
      <c r="R1749">
        <v>5.0000000000000001E-4</v>
      </c>
      <c r="T1749" s="8" t="s">
        <v>5102</v>
      </c>
    </row>
    <row r="1750" spans="1:20" x14ac:dyDescent="0.2">
      <c r="A1750" t="s">
        <v>5104</v>
      </c>
      <c r="B1750" t="s">
        <v>2022</v>
      </c>
      <c r="C1750" t="s">
        <v>2106</v>
      </c>
      <c r="D1750" t="s">
        <v>2024</v>
      </c>
      <c r="E1750" t="s">
        <v>5102</v>
      </c>
      <c r="F1750" t="s">
        <v>5103</v>
      </c>
      <c r="G1750">
        <v>1</v>
      </c>
      <c r="H1750">
        <v>1675</v>
      </c>
      <c r="I1750">
        <v>1</v>
      </c>
      <c r="J1750">
        <v>3.25</v>
      </c>
      <c r="K1750">
        <v>2</v>
      </c>
      <c r="L1750">
        <v>0.06</v>
      </c>
      <c r="M1750">
        <v>4</v>
      </c>
      <c r="N1750">
        <v>82.5</v>
      </c>
      <c r="O1750">
        <v>1</v>
      </c>
      <c r="P1750">
        <v>0.05</v>
      </c>
      <c r="Q1750">
        <v>1</v>
      </c>
      <c r="R1750">
        <v>5.0000000000000001E-4</v>
      </c>
      <c r="T1750" s="8" t="s">
        <v>5102</v>
      </c>
    </row>
    <row r="1751" spans="1:20" x14ac:dyDescent="0.2">
      <c r="A1751" t="s">
        <v>5105</v>
      </c>
      <c r="B1751" t="s">
        <v>2022</v>
      </c>
      <c r="C1751" t="s">
        <v>2222</v>
      </c>
      <c r="D1751" t="s">
        <v>2024</v>
      </c>
      <c r="E1751" t="s">
        <v>5102</v>
      </c>
      <c r="F1751" t="s">
        <v>5103</v>
      </c>
      <c r="G1751">
        <v>3</v>
      </c>
      <c r="H1751">
        <v>1650</v>
      </c>
      <c r="I1751">
        <v>1</v>
      </c>
      <c r="J1751">
        <v>2.2999999999999998</v>
      </c>
      <c r="K1751">
        <v>1</v>
      </c>
      <c r="L1751">
        <v>0.01</v>
      </c>
      <c r="M1751">
        <v>5</v>
      </c>
      <c r="N1751">
        <v>75</v>
      </c>
      <c r="O1751">
        <v>1</v>
      </c>
      <c r="P1751">
        <v>7.0000000000000007E-2</v>
      </c>
      <c r="Q1751">
        <v>2</v>
      </c>
      <c r="R1751">
        <v>2.3E-3</v>
      </c>
      <c r="T1751" s="8" t="s">
        <v>5102</v>
      </c>
    </row>
    <row r="1752" spans="1:20" x14ac:dyDescent="0.2">
      <c r="A1752" t="s">
        <v>5106</v>
      </c>
      <c r="B1752" t="s">
        <v>2022</v>
      </c>
      <c r="C1752" t="s">
        <v>2049</v>
      </c>
      <c r="D1752" t="s">
        <v>2024</v>
      </c>
      <c r="E1752" t="s">
        <v>5102</v>
      </c>
      <c r="F1752" t="s">
        <v>5103</v>
      </c>
      <c r="G1752">
        <v>4</v>
      </c>
      <c r="H1752">
        <v>1650</v>
      </c>
      <c r="I1752">
        <v>1</v>
      </c>
      <c r="J1752">
        <v>1.4</v>
      </c>
      <c r="K1752">
        <v>2</v>
      </c>
      <c r="L1752">
        <v>0.06</v>
      </c>
      <c r="M1752">
        <v>1</v>
      </c>
      <c r="N1752">
        <v>86</v>
      </c>
      <c r="O1752">
        <v>1</v>
      </c>
      <c r="P1752">
        <v>0.06</v>
      </c>
      <c r="Q1752">
        <v>1</v>
      </c>
      <c r="R1752">
        <v>8.4999999999999995E-4</v>
      </c>
      <c r="T1752" s="8" t="s">
        <v>5102</v>
      </c>
    </row>
    <row r="1753" spans="1:20" x14ac:dyDescent="0.2">
      <c r="A1753" t="s">
        <v>5107</v>
      </c>
      <c r="B1753" t="s">
        <v>2022</v>
      </c>
      <c r="C1753" t="s">
        <v>2023</v>
      </c>
      <c r="D1753" t="s">
        <v>2024</v>
      </c>
      <c r="E1753" t="s">
        <v>5108</v>
      </c>
      <c r="F1753" t="s">
        <v>5109</v>
      </c>
      <c r="G1753">
        <v>5</v>
      </c>
      <c r="H1753">
        <v>1800</v>
      </c>
      <c r="I1753">
        <v>5</v>
      </c>
      <c r="J1753">
        <v>10.9</v>
      </c>
      <c r="K1753">
        <v>5</v>
      </c>
      <c r="L1753">
        <v>8.5999999999999993E-2</v>
      </c>
      <c r="M1753">
        <v>2</v>
      </c>
      <c r="N1753">
        <v>84</v>
      </c>
      <c r="O1753">
        <v>4</v>
      </c>
      <c r="P1753">
        <v>0.52500000000000002</v>
      </c>
      <c r="Q1753">
        <v>5</v>
      </c>
      <c r="R1753">
        <v>8.0000000000000002E-3</v>
      </c>
      <c r="T1753" s="8" t="s">
        <v>5108</v>
      </c>
    </row>
    <row r="1754" spans="1:20" x14ac:dyDescent="0.2">
      <c r="A1754" t="s">
        <v>5110</v>
      </c>
      <c r="B1754" t="s">
        <v>2022</v>
      </c>
      <c r="C1754" t="s">
        <v>2023</v>
      </c>
      <c r="D1754" t="s">
        <v>2024</v>
      </c>
      <c r="E1754" t="s">
        <v>357</v>
      </c>
      <c r="F1754" t="s">
        <v>5111</v>
      </c>
      <c r="G1754">
        <v>2</v>
      </c>
      <c r="H1754">
        <v>1560</v>
      </c>
      <c r="I1754">
        <v>1</v>
      </c>
      <c r="J1754">
        <v>0.9</v>
      </c>
      <c r="K1754">
        <v>1</v>
      </c>
      <c r="L1754">
        <v>6.0000000000000001E-3</v>
      </c>
      <c r="M1754">
        <v>5</v>
      </c>
      <c r="N1754">
        <v>114</v>
      </c>
      <c r="O1754">
        <v>1</v>
      </c>
      <c r="P1754">
        <v>7.4999999999999997E-2</v>
      </c>
      <c r="Q1754">
        <v>2</v>
      </c>
      <c r="R1754">
        <v>2E-3</v>
      </c>
      <c r="T1754" s="8" t="s">
        <v>357</v>
      </c>
    </row>
    <row r="1755" spans="1:20" x14ac:dyDescent="0.2">
      <c r="A1755" t="s">
        <v>5112</v>
      </c>
      <c r="B1755" t="s">
        <v>2022</v>
      </c>
      <c r="C1755" t="s">
        <v>2023</v>
      </c>
      <c r="D1755" t="s">
        <v>2024</v>
      </c>
      <c r="E1755" t="s">
        <v>5113</v>
      </c>
      <c r="F1755" t="s">
        <v>5114</v>
      </c>
      <c r="G1755">
        <v>5</v>
      </c>
      <c r="H1755">
        <v>1800</v>
      </c>
      <c r="I1755">
        <v>2</v>
      </c>
      <c r="J1755">
        <v>3.4</v>
      </c>
      <c r="K1755">
        <v>2</v>
      </c>
      <c r="L1755">
        <v>2.5999999999999999E-2</v>
      </c>
      <c r="M1755">
        <v>5</v>
      </c>
      <c r="N1755">
        <v>114</v>
      </c>
      <c r="O1755">
        <v>2</v>
      </c>
      <c r="P1755">
        <v>0.22500000000000001</v>
      </c>
      <c r="Q1755">
        <v>2</v>
      </c>
      <c r="R1755">
        <v>2E-3</v>
      </c>
      <c r="T1755" s="8" t="s">
        <v>5113</v>
      </c>
    </row>
    <row r="1756" spans="1:20" x14ac:dyDescent="0.2">
      <c r="A1756" t="s">
        <v>5115</v>
      </c>
      <c r="B1756" t="s">
        <v>2022</v>
      </c>
      <c r="C1756" t="s">
        <v>2036</v>
      </c>
      <c r="D1756" t="s">
        <v>2024</v>
      </c>
      <c r="E1756" t="s">
        <v>5116</v>
      </c>
      <c r="F1756" t="s">
        <v>5117</v>
      </c>
      <c r="G1756">
        <v>2</v>
      </c>
      <c r="H1756">
        <v>1640</v>
      </c>
      <c r="I1756">
        <v>5</v>
      </c>
      <c r="J1756">
        <v>7</v>
      </c>
      <c r="K1756">
        <v>5</v>
      </c>
      <c r="L1756">
        <v>0.17499999999999999</v>
      </c>
      <c r="M1756">
        <v>5</v>
      </c>
      <c r="N1756">
        <v>100</v>
      </c>
      <c r="O1756">
        <v>5</v>
      </c>
      <c r="P1756">
        <v>0.53500000000000003</v>
      </c>
      <c r="Q1756">
        <v>5</v>
      </c>
      <c r="R1756">
        <v>1.2E-2</v>
      </c>
      <c r="T1756" s="8" t="s">
        <v>5116</v>
      </c>
    </row>
    <row r="1757" spans="1:20" x14ac:dyDescent="0.2">
      <c r="A1757" t="s">
        <v>5118</v>
      </c>
      <c r="B1757" t="s">
        <v>2022</v>
      </c>
      <c r="C1757" t="s">
        <v>2036</v>
      </c>
      <c r="D1757" t="s">
        <v>2154</v>
      </c>
      <c r="E1757" t="s">
        <v>5119</v>
      </c>
      <c r="F1757" t="s">
        <v>5120</v>
      </c>
      <c r="G1757">
        <v>4</v>
      </c>
      <c r="H1757">
        <v>1840</v>
      </c>
      <c r="I1757">
        <v>3</v>
      </c>
      <c r="J1757">
        <v>4.5999999999999996</v>
      </c>
      <c r="K1757">
        <v>3</v>
      </c>
      <c r="L1757">
        <v>0.115</v>
      </c>
      <c r="M1757">
        <v>5</v>
      </c>
      <c r="N1757">
        <v>100</v>
      </c>
      <c r="O1757">
        <v>4</v>
      </c>
      <c r="P1757">
        <v>0.42499999999999999</v>
      </c>
      <c r="Q1757">
        <v>5</v>
      </c>
      <c r="R1757">
        <v>1.2E-2</v>
      </c>
      <c r="T1757" s="8" t="s">
        <v>5119</v>
      </c>
    </row>
    <row r="1758" spans="1:20" x14ac:dyDescent="0.2">
      <c r="A1758" t="s">
        <v>5121</v>
      </c>
      <c r="B1758" t="s">
        <v>2022</v>
      </c>
      <c r="C1758" t="s">
        <v>2036</v>
      </c>
      <c r="D1758" t="s">
        <v>2024</v>
      </c>
      <c r="E1758" t="s">
        <v>5119</v>
      </c>
      <c r="F1758" t="s">
        <v>5120</v>
      </c>
      <c r="G1758">
        <v>2</v>
      </c>
      <c r="H1758">
        <v>1640</v>
      </c>
      <c r="I1758">
        <v>4</v>
      </c>
      <c r="J1758">
        <v>5.8</v>
      </c>
      <c r="K1758">
        <v>2</v>
      </c>
      <c r="L1758">
        <v>8.5000000000000006E-2</v>
      </c>
      <c r="M1758">
        <v>3</v>
      </c>
      <c r="N1758">
        <v>88</v>
      </c>
      <c r="O1758">
        <v>3</v>
      </c>
      <c r="P1758">
        <v>0.315</v>
      </c>
      <c r="Q1758">
        <v>2</v>
      </c>
      <c r="R1758">
        <v>4.2500000000000003E-3</v>
      </c>
      <c r="T1758" s="8" t="s">
        <v>5119</v>
      </c>
    </row>
    <row r="1759" spans="1:20" x14ac:dyDescent="0.2">
      <c r="A1759" t="s">
        <v>5122</v>
      </c>
      <c r="B1759" t="s">
        <v>2022</v>
      </c>
      <c r="C1759" t="s">
        <v>2036</v>
      </c>
      <c r="D1759" t="s">
        <v>2024</v>
      </c>
      <c r="E1759" t="s">
        <v>5119</v>
      </c>
      <c r="F1759" t="s">
        <v>5120</v>
      </c>
      <c r="G1759">
        <v>1</v>
      </c>
      <c r="H1759">
        <v>1540</v>
      </c>
      <c r="I1759">
        <v>3</v>
      </c>
      <c r="J1759">
        <v>4.5999999999999996</v>
      </c>
      <c r="K1759">
        <v>2</v>
      </c>
      <c r="L1759">
        <v>8.5000000000000006E-2</v>
      </c>
      <c r="M1759">
        <v>2</v>
      </c>
      <c r="N1759">
        <v>82</v>
      </c>
      <c r="O1759">
        <v>2</v>
      </c>
      <c r="P1759">
        <v>0.20499999999999999</v>
      </c>
      <c r="Q1759">
        <v>2</v>
      </c>
      <c r="R1759">
        <v>4.2500000000000003E-3</v>
      </c>
      <c r="T1759" s="8" t="s">
        <v>5119</v>
      </c>
    </row>
    <row r="1760" spans="1:20" x14ac:dyDescent="0.2">
      <c r="A1760" t="s">
        <v>5123</v>
      </c>
      <c r="B1760" t="s">
        <v>2022</v>
      </c>
      <c r="C1760" t="s">
        <v>2036</v>
      </c>
      <c r="D1760" t="s">
        <v>2024</v>
      </c>
      <c r="E1760" t="s">
        <v>5119</v>
      </c>
      <c r="F1760" t="s">
        <v>5120</v>
      </c>
      <c r="G1760">
        <v>4</v>
      </c>
      <c r="H1760">
        <v>1840</v>
      </c>
      <c r="I1760">
        <v>4</v>
      </c>
      <c r="J1760">
        <v>5.8</v>
      </c>
      <c r="K1760">
        <v>3</v>
      </c>
      <c r="L1760">
        <v>0.115</v>
      </c>
      <c r="M1760">
        <v>4</v>
      </c>
      <c r="N1760">
        <v>94</v>
      </c>
      <c r="O1760">
        <v>3</v>
      </c>
      <c r="P1760">
        <v>0.315</v>
      </c>
      <c r="Q1760">
        <v>2</v>
      </c>
      <c r="R1760">
        <v>4.2500000000000003E-3</v>
      </c>
      <c r="T1760" s="8" t="s">
        <v>5119</v>
      </c>
    </row>
    <row r="1761" spans="1:20" x14ac:dyDescent="0.2">
      <c r="A1761" t="s">
        <v>5124</v>
      </c>
      <c r="B1761" t="s">
        <v>2022</v>
      </c>
      <c r="C1761" t="s">
        <v>2036</v>
      </c>
      <c r="D1761" t="s">
        <v>2024</v>
      </c>
      <c r="E1761" t="s">
        <v>5119</v>
      </c>
      <c r="F1761" t="s">
        <v>5120</v>
      </c>
      <c r="G1761">
        <v>2</v>
      </c>
      <c r="H1761">
        <v>1640</v>
      </c>
      <c r="I1761">
        <v>3</v>
      </c>
      <c r="J1761">
        <v>4.5999999999999996</v>
      </c>
      <c r="K1761">
        <v>3</v>
      </c>
      <c r="L1761">
        <v>0.115</v>
      </c>
      <c r="M1761">
        <v>2</v>
      </c>
      <c r="N1761">
        <v>82</v>
      </c>
      <c r="O1761">
        <v>2</v>
      </c>
      <c r="P1761">
        <v>0.20499999999999999</v>
      </c>
      <c r="Q1761">
        <v>3</v>
      </c>
      <c r="R1761">
        <v>6.7499999999999999E-3</v>
      </c>
      <c r="T1761" s="8" t="s">
        <v>5119</v>
      </c>
    </row>
    <row r="1762" spans="1:20" x14ac:dyDescent="0.2">
      <c r="A1762" t="s">
        <v>5125</v>
      </c>
      <c r="B1762" t="s">
        <v>2022</v>
      </c>
      <c r="C1762" t="s">
        <v>2049</v>
      </c>
      <c r="D1762" t="s">
        <v>2024</v>
      </c>
      <c r="E1762" t="s">
        <v>5126</v>
      </c>
      <c r="F1762" t="s">
        <v>447</v>
      </c>
      <c r="G1762">
        <v>4</v>
      </c>
      <c r="H1762">
        <v>1650</v>
      </c>
      <c r="I1762">
        <v>3</v>
      </c>
      <c r="J1762">
        <v>5</v>
      </c>
      <c r="K1762">
        <v>2</v>
      </c>
      <c r="L1762">
        <v>0.06</v>
      </c>
      <c r="M1762">
        <v>3</v>
      </c>
      <c r="N1762">
        <v>126</v>
      </c>
      <c r="O1762">
        <v>2</v>
      </c>
      <c r="P1762">
        <v>0.26</v>
      </c>
      <c r="Q1762">
        <v>2</v>
      </c>
      <c r="R1762">
        <v>6.1999999999999998E-3</v>
      </c>
      <c r="T1762" s="8" t="s">
        <v>5126</v>
      </c>
    </row>
    <row r="1763" spans="1:20" x14ac:dyDescent="0.2">
      <c r="A1763" t="s">
        <v>5127</v>
      </c>
      <c r="B1763" t="s">
        <v>2022</v>
      </c>
      <c r="C1763" t="s">
        <v>2023</v>
      </c>
      <c r="D1763" t="s">
        <v>2024</v>
      </c>
      <c r="E1763" t="s">
        <v>5128</v>
      </c>
      <c r="F1763" t="s">
        <v>5129</v>
      </c>
      <c r="G1763">
        <v>4</v>
      </c>
      <c r="H1763">
        <v>1720</v>
      </c>
      <c r="I1763">
        <v>3</v>
      </c>
      <c r="J1763">
        <v>5.9</v>
      </c>
      <c r="K1763">
        <v>5</v>
      </c>
      <c r="L1763">
        <v>8.5999999999999993E-2</v>
      </c>
      <c r="M1763">
        <v>2</v>
      </c>
      <c r="N1763">
        <v>84</v>
      </c>
      <c r="O1763">
        <v>3</v>
      </c>
      <c r="P1763">
        <v>0.375</v>
      </c>
      <c r="Q1763">
        <v>5</v>
      </c>
      <c r="R1763">
        <v>8.0000000000000002E-3</v>
      </c>
      <c r="T1763" s="8" t="s">
        <v>5128</v>
      </c>
    </row>
    <row r="1764" spans="1:20" x14ac:dyDescent="0.2">
      <c r="A1764" t="s">
        <v>5130</v>
      </c>
      <c r="B1764" t="s">
        <v>2022</v>
      </c>
      <c r="C1764" t="s">
        <v>2053</v>
      </c>
      <c r="D1764" t="s">
        <v>2024</v>
      </c>
      <c r="E1764" t="s">
        <v>5128</v>
      </c>
      <c r="F1764" t="s">
        <v>5129</v>
      </c>
      <c r="G1764">
        <v>3</v>
      </c>
      <c r="H1764">
        <v>1700</v>
      </c>
      <c r="I1764">
        <v>5</v>
      </c>
      <c r="J1764">
        <v>11.55</v>
      </c>
      <c r="K1764">
        <v>5</v>
      </c>
      <c r="L1764">
        <v>0.41499999999999998</v>
      </c>
      <c r="M1764">
        <v>2</v>
      </c>
      <c r="N1764">
        <v>83</v>
      </c>
      <c r="O1764">
        <v>5</v>
      </c>
      <c r="P1764">
        <v>0.67500000000000004</v>
      </c>
      <c r="Q1764">
        <v>5</v>
      </c>
      <c r="R1764">
        <v>2.6200000000000001E-2</v>
      </c>
      <c r="T1764" s="8" t="s">
        <v>5128</v>
      </c>
    </row>
    <row r="1765" spans="1:20" x14ac:dyDescent="0.2">
      <c r="A1765" t="s">
        <v>5131</v>
      </c>
      <c r="B1765" t="s">
        <v>2022</v>
      </c>
      <c r="C1765" t="s">
        <v>2023</v>
      </c>
      <c r="D1765" t="s">
        <v>2024</v>
      </c>
      <c r="E1765" t="s">
        <v>5132</v>
      </c>
      <c r="F1765" t="s">
        <v>5133</v>
      </c>
      <c r="G1765">
        <v>3</v>
      </c>
      <c r="H1765">
        <v>1640</v>
      </c>
      <c r="I1765">
        <v>1</v>
      </c>
      <c r="J1765">
        <v>0.9</v>
      </c>
      <c r="K1765">
        <v>2</v>
      </c>
      <c r="L1765">
        <v>2.5999999999999999E-2</v>
      </c>
      <c r="M1765">
        <v>1</v>
      </c>
      <c r="N1765">
        <v>74</v>
      </c>
      <c r="O1765">
        <v>1</v>
      </c>
      <c r="P1765">
        <v>7.4999999999999997E-2</v>
      </c>
      <c r="Q1765">
        <v>1</v>
      </c>
      <c r="R1765">
        <v>5.0000000000000001E-4</v>
      </c>
      <c r="T1765" s="8" t="s">
        <v>5132</v>
      </c>
    </row>
    <row r="1766" spans="1:20" x14ac:dyDescent="0.2">
      <c r="A1766" t="s">
        <v>5134</v>
      </c>
      <c r="B1766" t="s">
        <v>2022</v>
      </c>
      <c r="C1766" t="s">
        <v>2104</v>
      </c>
      <c r="D1766" t="s">
        <v>2024</v>
      </c>
      <c r="E1766" t="s">
        <v>5132</v>
      </c>
      <c r="F1766" t="s">
        <v>5133</v>
      </c>
      <c r="G1766">
        <v>1</v>
      </c>
      <c r="H1766">
        <v>1537.5</v>
      </c>
      <c r="I1766">
        <v>2</v>
      </c>
      <c r="J1766">
        <v>3.25</v>
      </c>
      <c r="K1766">
        <v>4</v>
      </c>
      <c r="L1766">
        <v>0.14099999999999999</v>
      </c>
      <c r="M1766">
        <v>1</v>
      </c>
      <c r="N1766">
        <v>57</v>
      </c>
      <c r="P1766">
        <v>0</v>
      </c>
      <c r="Q1766">
        <v>2</v>
      </c>
      <c r="R1766">
        <v>3.2000000000000002E-3</v>
      </c>
      <c r="T1766" s="8" t="s">
        <v>5132</v>
      </c>
    </row>
    <row r="1767" spans="1:20" x14ac:dyDescent="0.2">
      <c r="A1767" t="s">
        <v>5135</v>
      </c>
      <c r="B1767" t="s">
        <v>2022</v>
      </c>
      <c r="C1767" t="s">
        <v>2104</v>
      </c>
      <c r="D1767" t="s">
        <v>2024</v>
      </c>
      <c r="E1767" t="s">
        <v>5132</v>
      </c>
      <c r="F1767" t="s">
        <v>5133</v>
      </c>
      <c r="G1767">
        <v>2</v>
      </c>
      <c r="H1767">
        <v>1712.5</v>
      </c>
      <c r="I1767">
        <v>2</v>
      </c>
      <c r="J1767">
        <v>3.25</v>
      </c>
      <c r="K1767">
        <v>3</v>
      </c>
      <c r="L1767">
        <v>9.0999999999999998E-2</v>
      </c>
      <c r="M1767">
        <v>2</v>
      </c>
      <c r="N1767">
        <v>65</v>
      </c>
      <c r="P1767">
        <v>0</v>
      </c>
      <c r="Q1767">
        <v>2</v>
      </c>
      <c r="R1767">
        <v>3.2000000000000002E-3</v>
      </c>
      <c r="T1767" s="8" t="s">
        <v>5132</v>
      </c>
    </row>
    <row r="1768" spans="1:20" x14ac:dyDescent="0.2">
      <c r="A1768" t="s">
        <v>5136</v>
      </c>
      <c r="B1768" t="s">
        <v>2022</v>
      </c>
      <c r="C1768" t="s">
        <v>2023</v>
      </c>
      <c r="D1768" t="s">
        <v>2024</v>
      </c>
      <c r="E1768" t="s">
        <v>5137</v>
      </c>
      <c r="F1768" t="s">
        <v>5138</v>
      </c>
      <c r="G1768">
        <v>5</v>
      </c>
      <c r="H1768">
        <v>1800</v>
      </c>
      <c r="I1768">
        <v>2</v>
      </c>
      <c r="J1768">
        <v>3.4</v>
      </c>
      <c r="K1768">
        <v>5</v>
      </c>
      <c r="L1768">
        <v>8.5999999999999993E-2</v>
      </c>
      <c r="M1768">
        <v>2</v>
      </c>
      <c r="N1768">
        <v>84</v>
      </c>
      <c r="O1768">
        <v>2</v>
      </c>
      <c r="P1768">
        <v>0.22500000000000001</v>
      </c>
      <c r="Q1768">
        <v>3</v>
      </c>
      <c r="R1768">
        <v>4.0000000000000001E-3</v>
      </c>
      <c r="T1768" s="8" t="s">
        <v>5137</v>
      </c>
    </row>
    <row r="1769" spans="1:20" x14ac:dyDescent="0.2">
      <c r="A1769" t="s">
        <v>5139</v>
      </c>
      <c r="B1769" t="s">
        <v>2022</v>
      </c>
      <c r="C1769" t="s">
        <v>2053</v>
      </c>
      <c r="D1769" t="s">
        <v>2024</v>
      </c>
      <c r="E1769" t="s">
        <v>357</v>
      </c>
      <c r="F1769" t="s">
        <v>447</v>
      </c>
      <c r="G1769">
        <v>5</v>
      </c>
      <c r="H1769">
        <v>1900</v>
      </c>
      <c r="I1769">
        <v>1</v>
      </c>
      <c r="J1769">
        <v>1.55</v>
      </c>
      <c r="K1769">
        <v>1</v>
      </c>
      <c r="L1769">
        <v>1.4999999999999999E-2</v>
      </c>
      <c r="M1769">
        <v>3</v>
      </c>
      <c r="N1769">
        <v>93</v>
      </c>
      <c r="O1769">
        <v>1</v>
      </c>
      <c r="P1769">
        <v>7.4999999999999997E-2</v>
      </c>
      <c r="Q1769">
        <v>1</v>
      </c>
      <c r="R1769">
        <v>8.4999999999999995E-4</v>
      </c>
      <c r="T1769" s="8" t="s">
        <v>357</v>
      </c>
    </row>
    <row r="1770" spans="1:20" x14ac:dyDescent="0.2">
      <c r="A1770" t="s">
        <v>5140</v>
      </c>
      <c r="B1770" t="s">
        <v>2022</v>
      </c>
      <c r="C1770" t="s">
        <v>2222</v>
      </c>
      <c r="D1770" t="s">
        <v>2024</v>
      </c>
      <c r="E1770" t="s">
        <v>5141</v>
      </c>
      <c r="F1770" t="s">
        <v>5142</v>
      </c>
      <c r="G1770">
        <v>3</v>
      </c>
      <c r="H1770">
        <v>1650</v>
      </c>
      <c r="I1770">
        <v>5</v>
      </c>
      <c r="J1770">
        <v>8.6999999999999993</v>
      </c>
      <c r="K1770">
        <v>4</v>
      </c>
      <c r="L1770">
        <v>0.19500000000000001</v>
      </c>
      <c r="M1770">
        <v>4</v>
      </c>
      <c r="N1770">
        <v>71</v>
      </c>
      <c r="O1770">
        <v>5</v>
      </c>
      <c r="P1770">
        <v>0.39</v>
      </c>
      <c r="Q1770">
        <v>4</v>
      </c>
      <c r="R1770">
        <v>8.3000000000000001E-3</v>
      </c>
      <c r="T1770" s="8" t="s">
        <v>5141</v>
      </c>
    </row>
    <row r="1771" spans="1:20" x14ac:dyDescent="0.2">
      <c r="A1771" t="s">
        <v>5143</v>
      </c>
      <c r="B1771" t="s">
        <v>2022</v>
      </c>
      <c r="C1771" t="s">
        <v>2023</v>
      </c>
      <c r="D1771" t="s">
        <v>2136</v>
      </c>
      <c r="E1771" t="s">
        <v>5144</v>
      </c>
      <c r="F1771" t="s">
        <v>447</v>
      </c>
      <c r="G1771">
        <v>5</v>
      </c>
      <c r="H1771">
        <v>1800</v>
      </c>
      <c r="I1771">
        <v>5</v>
      </c>
      <c r="J1771">
        <v>10.9</v>
      </c>
      <c r="K1771">
        <v>5</v>
      </c>
      <c r="L1771">
        <v>8.5999999999999993E-2</v>
      </c>
      <c r="M1771">
        <v>3</v>
      </c>
      <c r="N1771">
        <v>94</v>
      </c>
      <c r="O1771">
        <v>5</v>
      </c>
      <c r="P1771">
        <v>0.67500000000000004</v>
      </c>
      <c r="Q1771">
        <v>5</v>
      </c>
      <c r="R1771">
        <v>8.0000000000000002E-3</v>
      </c>
      <c r="T1771" s="8" t="s">
        <v>5144</v>
      </c>
    </row>
    <row r="1772" spans="1:20" x14ac:dyDescent="0.2">
      <c r="A1772" t="s">
        <v>5145</v>
      </c>
      <c r="B1772" t="s">
        <v>2022</v>
      </c>
      <c r="C1772" t="s">
        <v>2053</v>
      </c>
      <c r="D1772" t="s">
        <v>2024</v>
      </c>
      <c r="E1772" t="s">
        <v>5146</v>
      </c>
      <c r="F1772" t="s">
        <v>5147</v>
      </c>
      <c r="G1772">
        <v>3</v>
      </c>
      <c r="H1772">
        <v>1700</v>
      </c>
      <c r="I1772">
        <v>1</v>
      </c>
      <c r="J1772">
        <v>1.55</v>
      </c>
      <c r="K1772">
        <v>2</v>
      </c>
      <c r="L1772">
        <v>8.5000000000000006E-2</v>
      </c>
      <c r="M1772">
        <v>3</v>
      </c>
      <c r="N1772">
        <v>93</v>
      </c>
      <c r="O1772">
        <v>1</v>
      </c>
      <c r="P1772">
        <v>7.4999999999999997E-2</v>
      </c>
      <c r="Q1772">
        <v>2</v>
      </c>
      <c r="R1772">
        <v>5.1999999999999998E-3</v>
      </c>
      <c r="T1772" s="8" t="s">
        <v>5146</v>
      </c>
    </row>
    <row r="1773" spans="1:20" x14ac:dyDescent="0.2">
      <c r="A1773" t="s">
        <v>5148</v>
      </c>
      <c r="B1773" t="s">
        <v>2022</v>
      </c>
      <c r="C1773" t="s">
        <v>2257</v>
      </c>
      <c r="D1773" t="s">
        <v>2136</v>
      </c>
      <c r="E1773" t="s">
        <v>357</v>
      </c>
      <c r="F1773" t="s">
        <v>447</v>
      </c>
      <c r="G1773">
        <v>4</v>
      </c>
      <c r="H1773">
        <v>1200</v>
      </c>
      <c r="I1773">
        <v>2</v>
      </c>
      <c r="J1773">
        <v>1.75</v>
      </c>
      <c r="K1773">
        <v>2</v>
      </c>
      <c r="L1773">
        <v>3.6999999999999998E-2</v>
      </c>
      <c r="M1773">
        <v>1</v>
      </c>
      <c r="N1773">
        <v>300</v>
      </c>
      <c r="O1773">
        <v>1</v>
      </c>
      <c r="P1773">
        <v>0.3</v>
      </c>
      <c r="Q1773">
        <v>1</v>
      </c>
      <c r="R1773">
        <v>2E-3</v>
      </c>
      <c r="T1773" s="8" t="s">
        <v>357</v>
      </c>
    </row>
    <row r="1774" spans="1:20" x14ac:dyDescent="0.2">
      <c r="A1774" t="s">
        <v>5149</v>
      </c>
      <c r="B1774" t="s">
        <v>2022</v>
      </c>
      <c r="C1774" t="s">
        <v>2053</v>
      </c>
      <c r="D1774" t="s">
        <v>2024</v>
      </c>
      <c r="E1774" t="s">
        <v>5150</v>
      </c>
      <c r="F1774" t="s">
        <v>5151</v>
      </c>
      <c r="G1774">
        <v>2</v>
      </c>
      <c r="H1774">
        <v>1600</v>
      </c>
      <c r="I1774">
        <v>1</v>
      </c>
      <c r="J1774">
        <v>1.55</v>
      </c>
      <c r="K1774">
        <v>1</v>
      </c>
      <c r="L1774">
        <v>1.4999999999999999E-2</v>
      </c>
      <c r="M1774">
        <v>1</v>
      </c>
      <c r="N1774">
        <v>73</v>
      </c>
      <c r="O1774">
        <v>1</v>
      </c>
      <c r="P1774">
        <v>7.4999999999999997E-2</v>
      </c>
      <c r="Q1774">
        <v>1</v>
      </c>
      <c r="R1774">
        <v>8.4999999999999995E-4</v>
      </c>
      <c r="T1774" s="8" t="s">
        <v>5150</v>
      </c>
    </row>
    <row r="1775" spans="1:20" x14ac:dyDescent="0.2">
      <c r="A1775" t="s">
        <v>5152</v>
      </c>
      <c r="B1775" t="s">
        <v>2022</v>
      </c>
      <c r="C1775" t="s">
        <v>2053</v>
      </c>
      <c r="D1775" t="s">
        <v>2024</v>
      </c>
      <c r="E1775" t="s">
        <v>5153</v>
      </c>
      <c r="F1775" t="s">
        <v>447</v>
      </c>
      <c r="G1775">
        <v>1</v>
      </c>
      <c r="H1775">
        <v>1500</v>
      </c>
      <c r="I1775">
        <v>1</v>
      </c>
      <c r="J1775">
        <v>1.55</v>
      </c>
      <c r="K1775">
        <v>1</v>
      </c>
      <c r="L1775">
        <v>1.4999999999999999E-2</v>
      </c>
      <c r="M1775">
        <v>5</v>
      </c>
      <c r="N1775">
        <v>113</v>
      </c>
      <c r="O1775">
        <v>1</v>
      </c>
      <c r="P1775">
        <v>7.4999999999999997E-2</v>
      </c>
      <c r="Q1775">
        <v>1</v>
      </c>
      <c r="R1775">
        <v>8.4999999999999995E-4</v>
      </c>
      <c r="T1775" s="8" t="s">
        <v>5153</v>
      </c>
    </row>
    <row r="1776" spans="1:20" x14ac:dyDescent="0.2">
      <c r="A1776" t="s">
        <v>5154</v>
      </c>
      <c r="B1776" t="s">
        <v>2022</v>
      </c>
      <c r="C1776" t="s">
        <v>2023</v>
      </c>
      <c r="D1776" t="s">
        <v>2024</v>
      </c>
      <c r="E1776" t="s">
        <v>5155</v>
      </c>
      <c r="F1776" t="s">
        <v>5156</v>
      </c>
      <c r="G1776">
        <v>5</v>
      </c>
      <c r="H1776">
        <v>1800</v>
      </c>
      <c r="I1776">
        <v>3</v>
      </c>
      <c r="J1776">
        <v>5.9</v>
      </c>
      <c r="K1776">
        <v>4</v>
      </c>
      <c r="L1776">
        <v>6.6000000000000003E-2</v>
      </c>
      <c r="M1776">
        <v>2</v>
      </c>
      <c r="N1776">
        <v>84</v>
      </c>
      <c r="O1776">
        <v>2</v>
      </c>
      <c r="P1776">
        <v>0.22500000000000001</v>
      </c>
      <c r="Q1776">
        <v>2</v>
      </c>
      <c r="R1776">
        <v>2E-3</v>
      </c>
      <c r="T1776" s="8" t="s">
        <v>5155</v>
      </c>
    </row>
    <row r="1777" spans="1:20" x14ac:dyDescent="0.2">
      <c r="A1777" t="s">
        <v>5157</v>
      </c>
      <c r="B1777" t="s">
        <v>2022</v>
      </c>
      <c r="C1777" t="s">
        <v>2053</v>
      </c>
      <c r="D1777" t="s">
        <v>2136</v>
      </c>
      <c r="E1777" t="s">
        <v>5158</v>
      </c>
      <c r="F1777" t="s">
        <v>5159</v>
      </c>
      <c r="G1777">
        <v>1</v>
      </c>
      <c r="H1777">
        <v>1500</v>
      </c>
      <c r="I1777">
        <v>1</v>
      </c>
      <c r="J1777">
        <v>1.55</v>
      </c>
      <c r="K1777">
        <v>1</v>
      </c>
      <c r="L1777">
        <v>1.4999999999999999E-2</v>
      </c>
      <c r="M1777">
        <v>5</v>
      </c>
      <c r="N1777">
        <v>113</v>
      </c>
      <c r="O1777">
        <v>1</v>
      </c>
      <c r="P1777">
        <v>7.4999999999999997E-2</v>
      </c>
      <c r="Q1777">
        <v>1</v>
      </c>
      <c r="R1777">
        <v>8.4999999999999995E-4</v>
      </c>
      <c r="T1777" s="8" t="s">
        <v>5158</v>
      </c>
    </row>
    <row r="1778" spans="1:20" x14ac:dyDescent="0.2">
      <c r="A1778" t="s">
        <v>5160</v>
      </c>
      <c r="B1778" t="s">
        <v>2022</v>
      </c>
      <c r="C1778" t="s">
        <v>2036</v>
      </c>
      <c r="D1778" t="s">
        <v>2024</v>
      </c>
      <c r="E1778" t="s">
        <v>5161</v>
      </c>
      <c r="F1778" t="s">
        <v>5162</v>
      </c>
      <c r="G1778">
        <v>1</v>
      </c>
      <c r="H1778">
        <v>1540</v>
      </c>
      <c r="I1778">
        <v>1</v>
      </c>
      <c r="J1778">
        <v>2.2000000000000002</v>
      </c>
      <c r="K1778">
        <v>1</v>
      </c>
      <c r="L1778">
        <v>5.5E-2</v>
      </c>
      <c r="M1778">
        <v>1</v>
      </c>
      <c r="N1778">
        <v>76</v>
      </c>
      <c r="O1778">
        <v>1</v>
      </c>
      <c r="P1778">
        <v>9.5000000000000001E-2</v>
      </c>
      <c r="Q1778">
        <v>2</v>
      </c>
      <c r="R1778">
        <v>4.2500000000000003E-3</v>
      </c>
      <c r="T1778" s="8" t="s">
        <v>5161</v>
      </c>
    </row>
    <row r="1779" spans="1:20" x14ac:dyDescent="0.2">
      <c r="A1779" t="s">
        <v>5163</v>
      </c>
      <c r="B1779" t="s">
        <v>2022</v>
      </c>
      <c r="C1779" t="s">
        <v>2023</v>
      </c>
      <c r="D1779" t="s">
        <v>2024</v>
      </c>
      <c r="E1779" t="s">
        <v>5164</v>
      </c>
      <c r="F1779" t="s">
        <v>5165</v>
      </c>
      <c r="G1779">
        <v>1</v>
      </c>
      <c r="H1779">
        <v>1480</v>
      </c>
      <c r="I1779">
        <v>2</v>
      </c>
      <c r="J1779">
        <v>3.4</v>
      </c>
      <c r="K1779">
        <v>5</v>
      </c>
      <c r="L1779">
        <v>8.5999999999999993E-2</v>
      </c>
      <c r="M1779">
        <v>3</v>
      </c>
      <c r="N1779">
        <v>94</v>
      </c>
      <c r="O1779">
        <v>2</v>
      </c>
      <c r="P1779">
        <v>0.22500000000000001</v>
      </c>
      <c r="Q1779">
        <v>5</v>
      </c>
      <c r="R1779">
        <v>8.0000000000000002E-3</v>
      </c>
      <c r="T1779" s="8" t="s">
        <v>5164</v>
      </c>
    </row>
    <row r="1780" spans="1:20" x14ac:dyDescent="0.2">
      <c r="A1780" t="s">
        <v>5166</v>
      </c>
      <c r="B1780" t="s">
        <v>2022</v>
      </c>
      <c r="C1780" t="s">
        <v>2101</v>
      </c>
      <c r="D1780" t="s">
        <v>2024</v>
      </c>
      <c r="E1780" t="s">
        <v>5167</v>
      </c>
      <c r="F1780" t="s">
        <v>5168</v>
      </c>
      <c r="G1780">
        <v>5</v>
      </c>
      <c r="H1780">
        <v>1970</v>
      </c>
      <c r="I1780">
        <v>4</v>
      </c>
      <c r="J1780">
        <v>11</v>
      </c>
      <c r="K1780">
        <v>5</v>
      </c>
      <c r="L1780">
        <v>0.53749999999999998</v>
      </c>
      <c r="M1780">
        <v>4</v>
      </c>
      <c r="N1780">
        <v>90</v>
      </c>
      <c r="O1780">
        <v>4</v>
      </c>
      <c r="P1780">
        <v>0.52500000000000002</v>
      </c>
      <c r="Q1780">
        <v>4</v>
      </c>
      <c r="R1780">
        <v>1.8499999999999999E-2</v>
      </c>
      <c r="T1780" s="8" t="s">
        <v>5167</v>
      </c>
    </row>
    <row r="1781" spans="1:20" x14ac:dyDescent="0.2">
      <c r="A1781" t="s">
        <v>5169</v>
      </c>
      <c r="B1781" t="s">
        <v>2022</v>
      </c>
      <c r="C1781" t="s">
        <v>2023</v>
      </c>
      <c r="D1781" t="s">
        <v>2136</v>
      </c>
      <c r="E1781" t="s">
        <v>5170</v>
      </c>
      <c r="F1781" t="s">
        <v>5171</v>
      </c>
      <c r="G1781">
        <v>1</v>
      </c>
      <c r="H1781">
        <v>1480</v>
      </c>
      <c r="I1781">
        <v>2</v>
      </c>
      <c r="J1781">
        <v>3.4</v>
      </c>
      <c r="K1781">
        <v>2</v>
      </c>
      <c r="L1781">
        <v>2.5999999999999999E-2</v>
      </c>
      <c r="M1781">
        <v>5</v>
      </c>
      <c r="N1781">
        <v>114</v>
      </c>
      <c r="O1781">
        <v>2</v>
      </c>
      <c r="P1781">
        <v>0.22500000000000001</v>
      </c>
      <c r="Q1781">
        <v>2</v>
      </c>
      <c r="R1781">
        <v>2E-3</v>
      </c>
      <c r="T1781" s="8" t="s">
        <v>5170</v>
      </c>
    </row>
    <row r="1782" spans="1:20" x14ac:dyDescent="0.2">
      <c r="A1782" t="s">
        <v>5172</v>
      </c>
      <c r="B1782" t="s">
        <v>2022</v>
      </c>
      <c r="C1782" t="s">
        <v>2023</v>
      </c>
      <c r="D1782" t="s">
        <v>2024</v>
      </c>
      <c r="E1782" t="s">
        <v>5173</v>
      </c>
      <c r="F1782" t="s">
        <v>5174</v>
      </c>
      <c r="G1782">
        <v>3</v>
      </c>
      <c r="H1782">
        <v>1640</v>
      </c>
      <c r="I1782">
        <v>3</v>
      </c>
      <c r="J1782">
        <v>5.9</v>
      </c>
      <c r="K1782">
        <v>5</v>
      </c>
      <c r="L1782">
        <v>8.5999999999999993E-2</v>
      </c>
      <c r="M1782">
        <v>4</v>
      </c>
      <c r="N1782">
        <v>104</v>
      </c>
      <c r="O1782">
        <v>2</v>
      </c>
      <c r="P1782">
        <v>0.22500000000000001</v>
      </c>
      <c r="Q1782">
        <v>5</v>
      </c>
      <c r="R1782">
        <v>8.0000000000000002E-3</v>
      </c>
      <c r="T1782" s="8" t="s">
        <v>5173</v>
      </c>
    </row>
    <row r="1783" spans="1:20" x14ac:dyDescent="0.2">
      <c r="A1783" t="s">
        <v>5175</v>
      </c>
      <c r="B1783" t="s">
        <v>2022</v>
      </c>
      <c r="C1783" t="s">
        <v>2053</v>
      </c>
      <c r="D1783" t="s">
        <v>2024</v>
      </c>
      <c r="E1783" t="s">
        <v>5176</v>
      </c>
      <c r="F1783" t="s">
        <v>5177</v>
      </c>
      <c r="G1783">
        <v>2</v>
      </c>
      <c r="H1783">
        <v>1600</v>
      </c>
      <c r="I1783">
        <v>2</v>
      </c>
      <c r="J1783">
        <v>4.05</v>
      </c>
      <c r="K1783">
        <v>2</v>
      </c>
      <c r="L1783">
        <v>8.5000000000000006E-2</v>
      </c>
      <c r="M1783">
        <v>2</v>
      </c>
      <c r="N1783">
        <v>83</v>
      </c>
      <c r="O1783">
        <v>2</v>
      </c>
      <c r="P1783">
        <v>0.22500000000000001</v>
      </c>
      <c r="Q1783">
        <v>2</v>
      </c>
      <c r="R1783">
        <v>5.1999999999999998E-3</v>
      </c>
      <c r="T1783" s="8" t="s">
        <v>5176</v>
      </c>
    </row>
    <row r="1784" spans="1:20" x14ac:dyDescent="0.2">
      <c r="A1784" t="s">
        <v>5178</v>
      </c>
      <c r="B1784" t="s">
        <v>2022</v>
      </c>
      <c r="C1784" t="s">
        <v>2053</v>
      </c>
      <c r="D1784" t="s">
        <v>2024</v>
      </c>
      <c r="E1784" t="s">
        <v>5179</v>
      </c>
      <c r="F1784" t="s">
        <v>5180</v>
      </c>
      <c r="G1784">
        <v>3</v>
      </c>
      <c r="H1784">
        <v>1700</v>
      </c>
      <c r="I1784">
        <v>3</v>
      </c>
      <c r="J1784">
        <v>6.55</v>
      </c>
      <c r="K1784">
        <v>2</v>
      </c>
      <c r="L1784">
        <v>8.5000000000000006E-2</v>
      </c>
      <c r="M1784">
        <v>1</v>
      </c>
      <c r="N1784">
        <v>73</v>
      </c>
      <c r="O1784">
        <v>2</v>
      </c>
      <c r="P1784">
        <v>0.22500000000000001</v>
      </c>
      <c r="Q1784">
        <v>2</v>
      </c>
      <c r="R1784">
        <v>5.1999999999999998E-3</v>
      </c>
      <c r="T1784" s="8" t="s">
        <v>5179</v>
      </c>
    </row>
    <row r="1785" spans="1:20" x14ac:dyDescent="0.2">
      <c r="A1785" t="s">
        <v>5181</v>
      </c>
      <c r="B1785" t="s">
        <v>2022</v>
      </c>
      <c r="C1785" t="s">
        <v>2053</v>
      </c>
      <c r="D1785" t="s">
        <v>2024</v>
      </c>
      <c r="E1785" t="s">
        <v>5182</v>
      </c>
      <c r="F1785" t="s">
        <v>5183</v>
      </c>
      <c r="G1785">
        <v>1</v>
      </c>
      <c r="H1785">
        <v>1500</v>
      </c>
      <c r="I1785">
        <v>2</v>
      </c>
      <c r="J1785">
        <v>4.05</v>
      </c>
      <c r="K1785">
        <v>1</v>
      </c>
      <c r="L1785">
        <v>1.4999999999999999E-2</v>
      </c>
      <c r="M1785">
        <v>1</v>
      </c>
      <c r="N1785">
        <v>73</v>
      </c>
      <c r="O1785">
        <v>1</v>
      </c>
      <c r="P1785">
        <v>7.4999999999999997E-2</v>
      </c>
      <c r="Q1785">
        <v>1</v>
      </c>
      <c r="R1785">
        <v>8.4999999999999995E-4</v>
      </c>
      <c r="T1785" s="8" t="s">
        <v>5182</v>
      </c>
    </row>
    <row r="1786" spans="1:20" x14ac:dyDescent="0.2">
      <c r="A1786" t="s">
        <v>5184</v>
      </c>
      <c r="B1786" t="s">
        <v>2022</v>
      </c>
      <c r="C1786" t="s">
        <v>2023</v>
      </c>
      <c r="D1786" t="s">
        <v>2024</v>
      </c>
      <c r="E1786" t="s">
        <v>5185</v>
      </c>
      <c r="F1786" t="s">
        <v>5186</v>
      </c>
      <c r="G1786">
        <v>1</v>
      </c>
      <c r="H1786">
        <v>1480</v>
      </c>
      <c r="I1786">
        <v>1</v>
      </c>
      <c r="J1786">
        <v>0.9</v>
      </c>
      <c r="K1786">
        <v>3</v>
      </c>
      <c r="L1786">
        <v>4.5999999999999999E-2</v>
      </c>
      <c r="M1786">
        <v>1</v>
      </c>
      <c r="N1786">
        <v>74</v>
      </c>
      <c r="O1786">
        <v>1</v>
      </c>
      <c r="P1786">
        <v>7.4999999999999997E-2</v>
      </c>
      <c r="Q1786">
        <v>2</v>
      </c>
      <c r="R1786">
        <v>2E-3</v>
      </c>
      <c r="T1786" s="8" t="s">
        <v>5185</v>
      </c>
    </row>
    <row r="1787" spans="1:20" x14ac:dyDescent="0.2">
      <c r="A1787" t="s">
        <v>5187</v>
      </c>
      <c r="B1787" t="s">
        <v>2022</v>
      </c>
      <c r="C1787" t="s">
        <v>2053</v>
      </c>
      <c r="D1787" t="s">
        <v>2024</v>
      </c>
      <c r="E1787" t="s">
        <v>5188</v>
      </c>
      <c r="F1787" t="s">
        <v>5189</v>
      </c>
      <c r="G1787">
        <v>2</v>
      </c>
      <c r="H1787">
        <v>1600</v>
      </c>
      <c r="I1787">
        <v>5</v>
      </c>
      <c r="J1787">
        <v>11.55</v>
      </c>
      <c r="K1787">
        <v>5</v>
      </c>
      <c r="L1787">
        <v>0.41499999999999998</v>
      </c>
      <c r="M1787">
        <v>3</v>
      </c>
      <c r="N1787">
        <v>93</v>
      </c>
      <c r="O1787">
        <v>5</v>
      </c>
      <c r="P1787">
        <v>0.67500000000000004</v>
      </c>
      <c r="Q1787">
        <v>5</v>
      </c>
      <c r="R1787">
        <v>2.6200000000000001E-2</v>
      </c>
      <c r="T1787" s="8" t="s">
        <v>5188</v>
      </c>
    </row>
    <row r="1788" spans="1:20" x14ac:dyDescent="0.2">
      <c r="A1788" t="s">
        <v>5190</v>
      </c>
      <c r="B1788" t="s">
        <v>2022</v>
      </c>
      <c r="C1788" t="s">
        <v>2053</v>
      </c>
      <c r="D1788" t="s">
        <v>2024</v>
      </c>
      <c r="E1788" t="s">
        <v>5191</v>
      </c>
      <c r="F1788" t="s">
        <v>5192</v>
      </c>
      <c r="G1788">
        <v>2</v>
      </c>
      <c r="H1788">
        <v>1600</v>
      </c>
      <c r="I1788">
        <v>2</v>
      </c>
      <c r="J1788">
        <v>4.05</v>
      </c>
      <c r="K1788">
        <v>2</v>
      </c>
      <c r="L1788">
        <v>8.5000000000000006E-2</v>
      </c>
      <c r="M1788">
        <v>1</v>
      </c>
      <c r="N1788">
        <v>73</v>
      </c>
      <c r="O1788">
        <v>1</v>
      </c>
      <c r="P1788">
        <v>7.4999999999999997E-2</v>
      </c>
      <c r="Q1788">
        <v>2</v>
      </c>
      <c r="R1788">
        <v>5.1999999999999998E-3</v>
      </c>
      <c r="T1788" s="8" t="s">
        <v>5191</v>
      </c>
    </row>
    <row r="1789" spans="1:20" x14ac:dyDescent="0.2">
      <c r="A1789" t="s">
        <v>5193</v>
      </c>
      <c r="B1789" t="s">
        <v>2022</v>
      </c>
      <c r="C1789" t="s">
        <v>2036</v>
      </c>
      <c r="D1789" t="s">
        <v>2024</v>
      </c>
      <c r="E1789" t="s">
        <v>5194</v>
      </c>
      <c r="F1789" t="s">
        <v>5195</v>
      </c>
      <c r="G1789">
        <v>1</v>
      </c>
      <c r="H1789">
        <v>1540</v>
      </c>
      <c r="I1789">
        <v>2</v>
      </c>
      <c r="J1789">
        <v>3.4</v>
      </c>
      <c r="K1789">
        <v>2</v>
      </c>
      <c r="L1789">
        <v>8.5000000000000006E-2</v>
      </c>
      <c r="M1789">
        <v>1</v>
      </c>
      <c r="N1789">
        <v>76</v>
      </c>
      <c r="O1789">
        <v>1</v>
      </c>
      <c r="P1789">
        <v>9.5000000000000001E-2</v>
      </c>
      <c r="Q1789">
        <v>2</v>
      </c>
      <c r="R1789">
        <v>4.2500000000000003E-3</v>
      </c>
      <c r="T1789" s="8" t="s">
        <v>5194</v>
      </c>
    </row>
    <row r="1790" spans="1:20" x14ac:dyDescent="0.2">
      <c r="A1790" t="s">
        <v>5196</v>
      </c>
      <c r="B1790" t="s">
        <v>2022</v>
      </c>
      <c r="C1790" t="s">
        <v>2036</v>
      </c>
      <c r="D1790" t="s">
        <v>2024</v>
      </c>
      <c r="E1790" t="s">
        <v>5197</v>
      </c>
      <c r="F1790" t="s">
        <v>5198</v>
      </c>
      <c r="G1790">
        <v>1</v>
      </c>
      <c r="H1790">
        <v>1540</v>
      </c>
      <c r="I1790">
        <v>1</v>
      </c>
      <c r="J1790">
        <v>2.2000000000000002</v>
      </c>
      <c r="K1790">
        <v>1</v>
      </c>
      <c r="L1790">
        <v>5.5E-2</v>
      </c>
      <c r="M1790">
        <v>1</v>
      </c>
      <c r="N1790">
        <v>76</v>
      </c>
      <c r="O1790">
        <v>1</v>
      </c>
      <c r="P1790">
        <v>9.5000000000000001E-2</v>
      </c>
      <c r="Q1790">
        <v>1</v>
      </c>
      <c r="R1790">
        <v>1.5E-3</v>
      </c>
      <c r="T1790" s="8" t="s">
        <v>5197</v>
      </c>
    </row>
    <row r="1791" spans="1:20" x14ac:dyDescent="0.2">
      <c r="A1791" t="s">
        <v>5199</v>
      </c>
      <c r="B1791" t="s">
        <v>2022</v>
      </c>
      <c r="C1791" t="s">
        <v>2023</v>
      </c>
      <c r="D1791" t="s">
        <v>2024</v>
      </c>
      <c r="E1791" t="s">
        <v>5200</v>
      </c>
      <c r="F1791" t="s">
        <v>5201</v>
      </c>
      <c r="G1791">
        <v>5</v>
      </c>
      <c r="H1791">
        <v>1800</v>
      </c>
      <c r="I1791">
        <v>5</v>
      </c>
      <c r="J1791">
        <v>10.9</v>
      </c>
      <c r="K1791">
        <v>5</v>
      </c>
      <c r="L1791">
        <v>8.5999999999999993E-2</v>
      </c>
      <c r="M1791">
        <v>5</v>
      </c>
      <c r="N1791">
        <v>114</v>
      </c>
      <c r="O1791">
        <v>5</v>
      </c>
      <c r="P1791">
        <v>0.67500000000000004</v>
      </c>
      <c r="Q1791">
        <v>5</v>
      </c>
      <c r="R1791">
        <v>8.0000000000000002E-3</v>
      </c>
      <c r="T1791" s="8" t="s">
        <v>5200</v>
      </c>
    </row>
    <row r="1792" spans="1:20" x14ac:dyDescent="0.2">
      <c r="A1792" t="s">
        <v>5202</v>
      </c>
      <c r="B1792" t="s">
        <v>2022</v>
      </c>
      <c r="C1792" t="s">
        <v>2049</v>
      </c>
      <c r="D1792" t="s">
        <v>2136</v>
      </c>
      <c r="E1792" t="s">
        <v>5203</v>
      </c>
      <c r="F1792" t="s">
        <v>5204</v>
      </c>
      <c r="G1792">
        <v>4</v>
      </c>
      <c r="H1792">
        <v>1650</v>
      </c>
      <c r="I1792">
        <v>5</v>
      </c>
      <c r="J1792">
        <v>8.6</v>
      </c>
      <c r="K1792">
        <v>4</v>
      </c>
      <c r="L1792">
        <v>0.22</v>
      </c>
      <c r="M1792">
        <v>3</v>
      </c>
      <c r="N1792">
        <v>126</v>
      </c>
      <c r="O1792">
        <v>5</v>
      </c>
      <c r="P1792">
        <v>0.86</v>
      </c>
      <c r="Q1792">
        <v>3</v>
      </c>
      <c r="R1792">
        <v>1.52E-2</v>
      </c>
      <c r="T1792" s="8" t="s">
        <v>5203</v>
      </c>
    </row>
    <row r="1793" spans="1:20" x14ac:dyDescent="0.2">
      <c r="A1793" t="s">
        <v>5205</v>
      </c>
      <c r="B1793" t="s">
        <v>2022</v>
      </c>
      <c r="C1793" t="s">
        <v>2023</v>
      </c>
      <c r="D1793" t="s">
        <v>2024</v>
      </c>
      <c r="E1793" t="s">
        <v>5206</v>
      </c>
      <c r="F1793" t="s">
        <v>5207</v>
      </c>
      <c r="G1793">
        <v>1</v>
      </c>
      <c r="H1793">
        <v>1480</v>
      </c>
      <c r="I1793">
        <v>1</v>
      </c>
      <c r="J1793">
        <v>0.9</v>
      </c>
      <c r="K1793">
        <v>1</v>
      </c>
      <c r="L1793">
        <v>6.0000000000000001E-3</v>
      </c>
      <c r="M1793">
        <v>2</v>
      </c>
      <c r="N1793">
        <v>84</v>
      </c>
      <c r="O1793">
        <v>1</v>
      </c>
      <c r="P1793">
        <v>7.4999999999999997E-2</v>
      </c>
      <c r="Q1793">
        <v>1</v>
      </c>
      <c r="R1793">
        <v>5.0000000000000001E-4</v>
      </c>
      <c r="T1793" s="8" t="s">
        <v>5206</v>
      </c>
    </row>
    <row r="1794" spans="1:20" x14ac:dyDescent="0.2">
      <c r="A1794" t="s">
        <v>5208</v>
      </c>
      <c r="B1794" t="s">
        <v>2022</v>
      </c>
      <c r="C1794" t="s">
        <v>2036</v>
      </c>
      <c r="D1794" t="s">
        <v>2024</v>
      </c>
      <c r="E1794" t="s">
        <v>5209</v>
      </c>
      <c r="F1794" t="s">
        <v>5210</v>
      </c>
      <c r="G1794">
        <v>1</v>
      </c>
      <c r="H1794">
        <v>1540</v>
      </c>
      <c r="I1794">
        <v>1</v>
      </c>
      <c r="J1794">
        <v>2.2000000000000002</v>
      </c>
      <c r="K1794">
        <v>1</v>
      </c>
      <c r="L1794">
        <v>5.5E-2</v>
      </c>
      <c r="M1794">
        <v>1</v>
      </c>
      <c r="N1794">
        <v>76</v>
      </c>
      <c r="O1794">
        <v>1</v>
      </c>
      <c r="P1794">
        <v>9.5000000000000001E-2</v>
      </c>
      <c r="Q1794">
        <v>1</v>
      </c>
      <c r="R1794">
        <v>1.5E-3</v>
      </c>
      <c r="T1794" s="8" t="s">
        <v>5209</v>
      </c>
    </row>
    <row r="1795" spans="1:20" x14ac:dyDescent="0.2">
      <c r="A1795" t="s">
        <v>5211</v>
      </c>
      <c r="B1795" t="s">
        <v>2022</v>
      </c>
      <c r="C1795" t="s">
        <v>2101</v>
      </c>
      <c r="D1795" t="s">
        <v>2024</v>
      </c>
      <c r="E1795" t="s">
        <v>5212</v>
      </c>
      <c r="F1795" t="s">
        <v>5213</v>
      </c>
      <c r="G1795">
        <v>2</v>
      </c>
      <c r="H1795">
        <v>1670</v>
      </c>
      <c r="I1795">
        <v>4</v>
      </c>
      <c r="J1795">
        <v>11</v>
      </c>
      <c r="K1795">
        <v>3</v>
      </c>
      <c r="L1795">
        <v>0.24349999999999999</v>
      </c>
      <c r="M1795">
        <v>2</v>
      </c>
      <c r="N1795">
        <v>74</v>
      </c>
      <c r="O1795">
        <v>4</v>
      </c>
      <c r="P1795">
        <v>0.52500000000000002</v>
      </c>
      <c r="Q1795">
        <v>3</v>
      </c>
      <c r="R1795">
        <v>1.15E-2</v>
      </c>
      <c r="T1795" s="8" t="s">
        <v>5212</v>
      </c>
    </row>
    <row r="1796" spans="1:20" x14ac:dyDescent="0.2">
      <c r="A1796" t="s">
        <v>5214</v>
      </c>
      <c r="B1796" t="s">
        <v>2022</v>
      </c>
      <c r="C1796" t="s">
        <v>2053</v>
      </c>
      <c r="D1796" t="s">
        <v>2024</v>
      </c>
      <c r="E1796" t="s">
        <v>5215</v>
      </c>
      <c r="F1796" t="s">
        <v>5216</v>
      </c>
      <c r="G1796">
        <v>3</v>
      </c>
      <c r="H1796">
        <v>1700</v>
      </c>
      <c r="I1796">
        <v>3</v>
      </c>
      <c r="J1796">
        <v>6.55</v>
      </c>
      <c r="K1796">
        <v>2</v>
      </c>
      <c r="L1796">
        <v>8.5000000000000006E-2</v>
      </c>
      <c r="M1796">
        <v>3</v>
      </c>
      <c r="N1796">
        <v>93</v>
      </c>
      <c r="O1796">
        <v>3</v>
      </c>
      <c r="P1796">
        <v>0.375</v>
      </c>
      <c r="Q1796">
        <v>2</v>
      </c>
      <c r="R1796">
        <v>5.1999999999999998E-3</v>
      </c>
      <c r="T1796" s="8" t="s">
        <v>5215</v>
      </c>
    </row>
    <row r="1797" spans="1:20" x14ac:dyDescent="0.2">
      <c r="A1797" t="s">
        <v>5217</v>
      </c>
      <c r="B1797" t="s">
        <v>2022</v>
      </c>
      <c r="C1797" t="s">
        <v>2036</v>
      </c>
      <c r="D1797" t="s">
        <v>2024</v>
      </c>
      <c r="E1797" t="s">
        <v>5218</v>
      </c>
      <c r="F1797" t="s">
        <v>5219</v>
      </c>
      <c r="G1797">
        <v>1</v>
      </c>
      <c r="H1797">
        <v>1540</v>
      </c>
      <c r="I1797">
        <v>2</v>
      </c>
      <c r="J1797">
        <v>3.4</v>
      </c>
      <c r="K1797">
        <v>1</v>
      </c>
      <c r="L1797">
        <v>5.5E-2</v>
      </c>
      <c r="M1797">
        <v>1</v>
      </c>
      <c r="N1797">
        <v>76</v>
      </c>
      <c r="O1797">
        <v>2</v>
      </c>
      <c r="P1797">
        <v>0.20499999999999999</v>
      </c>
      <c r="Q1797">
        <v>1</v>
      </c>
      <c r="R1797">
        <v>1.5E-3</v>
      </c>
      <c r="T1797" s="8" t="s">
        <v>5218</v>
      </c>
    </row>
    <row r="1798" spans="1:20" x14ac:dyDescent="0.2">
      <c r="A1798" t="s">
        <v>5220</v>
      </c>
      <c r="B1798" t="s">
        <v>2022</v>
      </c>
      <c r="C1798" t="s">
        <v>2036</v>
      </c>
      <c r="D1798" t="s">
        <v>2024</v>
      </c>
      <c r="E1798" t="s">
        <v>5221</v>
      </c>
      <c r="F1798" t="s">
        <v>447</v>
      </c>
      <c r="G1798">
        <v>4</v>
      </c>
      <c r="H1798">
        <v>1840</v>
      </c>
      <c r="I1798">
        <v>5</v>
      </c>
      <c r="J1798">
        <v>7</v>
      </c>
      <c r="K1798">
        <v>5</v>
      </c>
      <c r="L1798">
        <v>0.17499999999999999</v>
      </c>
      <c r="M1798">
        <v>2</v>
      </c>
      <c r="N1798">
        <v>82</v>
      </c>
      <c r="O1798">
        <v>3</v>
      </c>
      <c r="P1798">
        <v>0.315</v>
      </c>
      <c r="Q1798">
        <v>4</v>
      </c>
      <c r="R1798">
        <v>9.2499999999999995E-3</v>
      </c>
      <c r="T1798" s="8" t="s">
        <v>5221</v>
      </c>
    </row>
    <row r="1799" spans="1:20" x14ac:dyDescent="0.2">
      <c r="A1799" t="s">
        <v>5222</v>
      </c>
      <c r="B1799" t="s">
        <v>2022</v>
      </c>
      <c r="C1799" t="s">
        <v>2023</v>
      </c>
      <c r="D1799" t="s">
        <v>2024</v>
      </c>
      <c r="E1799" t="s">
        <v>5223</v>
      </c>
      <c r="F1799" t="s">
        <v>5224</v>
      </c>
      <c r="G1799">
        <v>4</v>
      </c>
      <c r="H1799">
        <v>1720</v>
      </c>
      <c r="I1799">
        <v>5</v>
      </c>
      <c r="J1799">
        <v>10.9</v>
      </c>
      <c r="K1799">
        <v>5</v>
      </c>
      <c r="L1799">
        <v>8.5999999999999993E-2</v>
      </c>
      <c r="M1799">
        <v>3</v>
      </c>
      <c r="N1799">
        <v>94</v>
      </c>
      <c r="O1799">
        <v>5</v>
      </c>
      <c r="P1799">
        <v>0.67500000000000004</v>
      </c>
      <c r="Q1799">
        <v>5</v>
      </c>
      <c r="R1799">
        <v>8.0000000000000002E-3</v>
      </c>
      <c r="T1799" s="8" t="s">
        <v>5223</v>
      </c>
    </row>
    <row r="1800" spans="1:20" x14ac:dyDescent="0.2">
      <c r="A1800" t="s">
        <v>5225</v>
      </c>
      <c r="B1800" t="s">
        <v>2022</v>
      </c>
      <c r="C1800" t="s">
        <v>2101</v>
      </c>
      <c r="D1800" t="s">
        <v>2024</v>
      </c>
      <c r="E1800" t="s">
        <v>5226</v>
      </c>
      <c r="F1800" t="s">
        <v>5227</v>
      </c>
      <c r="G1800">
        <v>4</v>
      </c>
      <c r="H1800">
        <v>1870</v>
      </c>
      <c r="I1800">
        <v>2</v>
      </c>
      <c r="J1800">
        <v>5</v>
      </c>
      <c r="K1800">
        <v>1</v>
      </c>
      <c r="L1800">
        <v>1.15E-2</v>
      </c>
      <c r="M1800">
        <v>3</v>
      </c>
      <c r="N1800">
        <v>82</v>
      </c>
      <c r="O1800">
        <v>2</v>
      </c>
      <c r="P1800">
        <v>0.22500000000000001</v>
      </c>
      <c r="Q1800">
        <v>1</v>
      </c>
      <c r="R1800">
        <v>5.0000000000000001E-4</v>
      </c>
      <c r="T1800" s="8" t="s">
        <v>5226</v>
      </c>
    </row>
    <row r="1801" spans="1:20" x14ac:dyDescent="0.2">
      <c r="A1801" t="s">
        <v>5228</v>
      </c>
      <c r="B1801" t="s">
        <v>2022</v>
      </c>
      <c r="C1801" t="s">
        <v>2036</v>
      </c>
      <c r="D1801" t="s">
        <v>2024</v>
      </c>
      <c r="E1801" t="s">
        <v>5229</v>
      </c>
      <c r="F1801" t="s">
        <v>5230</v>
      </c>
      <c r="G1801">
        <v>1</v>
      </c>
      <c r="H1801">
        <v>1540</v>
      </c>
      <c r="I1801">
        <v>1</v>
      </c>
      <c r="J1801">
        <v>2.2000000000000002</v>
      </c>
      <c r="K1801">
        <v>1</v>
      </c>
      <c r="L1801">
        <v>5.5E-2</v>
      </c>
      <c r="M1801">
        <v>5</v>
      </c>
      <c r="N1801">
        <v>100</v>
      </c>
      <c r="O1801">
        <v>2</v>
      </c>
      <c r="P1801">
        <v>0.20499999999999999</v>
      </c>
      <c r="Q1801">
        <v>1</v>
      </c>
      <c r="R1801">
        <v>1.5E-3</v>
      </c>
      <c r="T1801" s="8" t="s">
        <v>5229</v>
      </c>
    </row>
    <row r="1802" spans="1:20" x14ac:dyDescent="0.2">
      <c r="A1802" t="s">
        <v>5231</v>
      </c>
      <c r="B1802" t="s">
        <v>2022</v>
      </c>
      <c r="C1802" t="s">
        <v>2049</v>
      </c>
      <c r="D1802" t="s">
        <v>2024</v>
      </c>
      <c r="E1802" t="s">
        <v>5232</v>
      </c>
      <c r="F1802" t="s">
        <v>5233</v>
      </c>
      <c r="G1802">
        <v>3</v>
      </c>
      <c r="H1802">
        <v>1550</v>
      </c>
      <c r="I1802">
        <v>2</v>
      </c>
      <c r="J1802">
        <v>3.2</v>
      </c>
      <c r="K1802">
        <v>2</v>
      </c>
      <c r="L1802">
        <v>0.06</v>
      </c>
      <c r="M1802">
        <v>1</v>
      </c>
      <c r="N1802">
        <v>86</v>
      </c>
      <c r="O1802">
        <v>2</v>
      </c>
      <c r="P1802">
        <v>0.26</v>
      </c>
      <c r="Q1802">
        <v>2</v>
      </c>
      <c r="R1802">
        <v>6.1999999999999998E-3</v>
      </c>
      <c r="T1802" s="8" t="s">
        <v>5232</v>
      </c>
    </row>
    <row r="1803" spans="1:20" x14ac:dyDescent="0.2">
      <c r="A1803" t="s">
        <v>5234</v>
      </c>
      <c r="B1803" t="s">
        <v>2022</v>
      </c>
      <c r="C1803" t="s">
        <v>2023</v>
      </c>
      <c r="D1803" t="s">
        <v>2136</v>
      </c>
      <c r="E1803" t="s">
        <v>5235</v>
      </c>
      <c r="F1803" t="s">
        <v>5236</v>
      </c>
      <c r="G1803">
        <v>4</v>
      </c>
      <c r="H1803">
        <v>1720</v>
      </c>
      <c r="I1803">
        <v>5</v>
      </c>
      <c r="J1803">
        <v>10.9</v>
      </c>
      <c r="K1803">
        <v>5</v>
      </c>
      <c r="L1803">
        <v>8.5999999999999993E-2</v>
      </c>
      <c r="M1803">
        <v>4</v>
      </c>
      <c r="N1803">
        <v>104</v>
      </c>
      <c r="O1803">
        <v>4</v>
      </c>
      <c r="P1803">
        <v>0.52500000000000002</v>
      </c>
      <c r="Q1803">
        <v>5</v>
      </c>
      <c r="R1803">
        <v>8.0000000000000002E-3</v>
      </c>
      <c r="T1803" s="8" t="s">
        <v>5235</v>
      </c>
    </row>
    <row r="1804" spans="1:20" x14ac:dyDescent="0.2">
      <c r="A1804" t="s">
        <v>5237</v>
      </c>
      <c r="B1804" t="s">
        <v>2022</v>
      </c>
      <c r="C1804" t="s">
        <v>2036</v>
      </c>
      <c r="D1804" t="s">
        <v>2024</v>
      </c>
      <c r="E1804" t="s">
        <v>5238</v>
      </c>
      <c r="F1804" t="s">
        <v>5239</v>
      </c>
      <c r="G1804">
        <v>4</v>
      </c>
      <c r="H1804">
        <v>1840</v>
      </c>
      <c r="I1804">
        <v>3</v>
      </c>
      <c r="J1804">
        <v>4.5999999999999996</v>
      </c>
      <c r="K1804">
        <v>3</v>
      </c>
      <c r="L1804">
        <v>0.115</v>
      </c>
      <c r="M1804">
        <v>2</v>
      </c>
      <c r="N1804">
        <v>82</v>
      </c>
      <c r="O1804">
        <v>2</v>
      </c>
      <c r="P1804">
        <v>0.20499999999999999</v>
      </c>
      <c r="Q1804">
        <v>3</v>
      </c>
      <c r="R1804">
        <v>6.7499999999999999E-3</v>
      </c>
      <c r="T1804" s="8" t="s">
        <v>5238</v>
      </c>
    </row>
    <row r="1805" spans="1:20" x14ac:dyDescent="0.2">
      <c r="A1805" t="s">
        <v>5240</v>
      </c>
      <c r="B1805" t="s">
        <v>2022</v>
      </c>
      <c r="C1805" t="s">
        <v>2095</v>
      </c>
      <c r="D1805" t="s">
        <v>2024</v>
      </c>
      <c r="E1805" t="s">
        <v>5241</v>
      </c>
      <c r="F1805" t="s">
        <v>5242</v>
      </c>
      <c r="G1805">
        <v>2</v>
      </c>
      <c r="H1805">
        <v>1655</v>
      </c>
      <c r="I1805">
        <v>1</v>
      </c>
      <c r="J1805">
        <v>4.5</v>
      </c>
      <c r="K1805">
        <v>1</v>
      </c>
      <c r="L1805">
        <v>1.4999999999999999E-2</v>
      </c>
      <c r="M1805">
        <v>1</v>
      </c>
      <c r="N1805">
        <v>74</v>
      </c>
      <c r="O1805">
        <v>1</v>
      </c>
      <c r="P1805">
        <v>0.15</v>
      </c>
      <c r="Q1805">
        <v>1</v>
      </c>
      <c r="R1805">
        <v>6.9999999999999999E-4</v>
      </c>
      <c r="T1805" s="8" t="s">
        <v>5241</v>
      </c>
    </row>
    <row r="1806" spans="1:20" x14ac:dyDescent="0.2">
      <c r="A1806" t="s">
        <v>5243</v>
      </c>
      <c r="B1806" t="s">
        <v>2022</v>
      </c>
      <c r="C1806" t="s">
        <v>2101</v>
      </c>
      <c r="D1806" t="s">
        <v>2024</v>
      </c>
      <c r="E1806" t="s">
        <v>5244</v>
      </c>
      <c r="F1806" t="s">
        <v>5245</v>
      </c>
      <c r="G1806">
        <v>2</v>
      </c>
      <c r="H1806">
        <v>1670</v>
      </c>
      <c r="I1806">
        <v>3</v>
      </c>
      <c r="J1806">
        <v>8</v>
      </c>
      <c r="K1806">
        <v>3</v>
      </c>
      <c r="L1806">
        <v>0.24349999999999999</v>
      </c>
      <c r="M1806">
        <v>2</v>
      </c>
      <c r="N1806">
        <v>74</v>
      </c>
      <c r="O1806">
        <v>3</v>
      </c>
      <c r="P1806">
        <v>0.375</v>
      </c>
      <c r="Q1806">
        <v>3</v>
      </c>
      <c r="R1806">
        <v>1.15E-2</v>
      </c>
      <c r="T1806" s="8" t="s">
        <v>5244</v>
      </c>
    </row>
    <row r="1807" spans="1:20" x14ac:dyDescent="0.2">
      <c r="A1807" t="s">
        <v>5246</v>
      </c>
      <c r="B1807" t="s">
        <v>2022</v>
      </c>
      <c r="C1807" t="s">
        <v>2036</v>
      </c>
      <c r="D1807" t="s">
        <v>2024</v>
      </c>
      <c r="E1807" t="s">
        <v>5247</v>
      </c>
      <c r="F1807" t="s">
        <v>447</v>
      </c>
      <c r="G1807">
        <v>2</v>
      </c>
      <c r="H1807">
        <v>1640</v>
      </c>
      <c r="I1807">
        <v>2</v>
      </c>
      <c r="J1807">
        <v>3.4</v>
      </c>
      <c r="K1807">
        <v>4</v>
      </c>
      <c r="L1807">
        <v>0.14499999999999999</v>
      </c>
      <c r="M1807">
        <v>1</v>
      </c>
      <c r="N1807">
        <v>76</v>
      </c>
      <c r="O1807">
        <v>2</v>
      </c>
      <c r="P1807">
        <v>0.20499999999999999</v>
      </c>
      <c r="Q1807">
        <v>3</v>
      </c>
      <c r="R1807">
        <v>6.7499999999999999E-3</v>
      </c>
      <c r="T1807" s="8" t="s">
        <v>5247</v>
      </c>
    </row>
    <row r="1808" spans="1:20" x14ac:dyDescent="0.2">
      <c r="A1808" t="s">
        <v>5248</v>
      </c>
      <c r="B1808" t="s">
        <v>2022</v>
      </c>
      <c r="C1808" t="s">
        <v>2023</v>
      </c>
      <c r="D1808" t="s">
        <v>2024</v>
      </c>
      <c r="E1808" t="s">
        <v>5249</v>
      </c>
      <c r="F1808" t="s">
        <v>5250</v>
      </c>
      <c r="G1808">
        <v>3</v>
      </c>
      <c r="H1808">
        <v>1640</v>
      </c>
      <c r="I1808">
        <v>2</v>
      </c>
      <c r="J1808">
        <v>3.4</v>
      </c>
      <c r="K1808">
        <v>3</v>
      </c>
      <c r="L1808">
        <v>4.5999999999999999E-2</v>
      </c>
      <c r="M1808">
        <v>1</v>
      </c>
      <c r="N1808">
        <v>74</v>
      </c>
      <c r="O1808">
        <v>2</v>
      </c>
      <c r="P1808">
        <v>0.22500000000000001</v>
      </c>
      <c r="Q1808">
        <v>2</v>
      </c>
      <c r="R1808">
        <v>2E-3</v>
      </c>
      <c r="T1808" s="8" t="s">
        <v>5249</v>
      </c>
    </row>
    <row r="1809" spans="1:20" x14ac:dyDescent="0.2">
      <c r="A1809" t="s">
        <v>5251</v>
      </c>
      <c r="B1809" t="s">
        <v>2022</v>
      </c>
      <c r="C1809" t="s">
        <v>2036</v>
      </c>
      <c r="D1809" t="s">
        <v>2024</v>
      </c>
      <c r="E1809" t="s">
        <v>5252</v>
      </c>
      <c r="F1809" t="s">
        <v>5253</v>
      </c>
      <c r="G1809">
        <v>5</v>
      </c>
      <c r="H1809">
        <v>1940</v>
      </c>
      <c r="I1809">
        <v>5</v>
      </c>
      <c r="J1809">
        <v>7</v>
      </c>
      <c r="K1809">
        <v>5</v>
      </c>
      <c r="L1809">
        <v>0.17499999999999999</v>
      </c>
      <c r="M1809">
        <v>5</v>
      </c>
      <c r="N1809">
        <v>100</v>
      </c>
      <c r="O1809">
        <v>3</v>
      </c>
      <c r="P1809">
        <v>0.315</v>
      </c>
      <c r="Q1809">
        <v>5</v>
      </c>
      <c r="R1809">
        <v>1.2E-2</v>
      </c>
      <c r="T1809" s="8" t="s">
        <v>5252</v>
      </c>
    </row>
    <row r="1810" spans="1:20" x14ac:dyDescent="0.2">
      <c r="A1810" t="s">
        <v>5254</v>
      </c>
      <c r="B1810" t="s">
        <v>2022</v>
      </c>
      <c r="C1810" t="s">
        <v>2049</v>
      </c>
      <c r="D1810" t="s">
        <v>2024</v>
      </c>
      <c r="E1810" t="s">
        <v>5255</v>
      </c>
      <c r="F1810" t="s">
        <v>5256</v>
      </c>
      <c r="G1810">
        <v>2</v>
      </c>
      <c r="H1810">
        <v>1450</v>
      </c>
      <c r="I1810">
        <v>1</v>
      </c>
      <c r="J1810">
        <v>1.4</v>
      </c>
      <c r="K1810">
        <v>1</v>
      </c>
      <c r="L1810">
        <v>0.01</v>
      </c>
      <c r="M1810">
        <v>1</v>
      </c>
      <c r="N1810">
        <v>86</v>
      </c>
      <c r="O1810">
        <v>1</v>
      </c>
      <c r="P1810">
        <v>0.06</v>
      </c>
      <c r="Q1810">
        <v>1</v>
      </c>
      <c r="R1810">
        <v>8.4999999999999995E-4</v>
      </c>
      <c r="T1810" s="8" t="s">
        <v>5255</v>
      </c>
    </row>
    <row r="1811" spans="1:20" x14ac:dyDescent="0.2">
      <c r="A1811" t="s">
        <v>5257</v>
      </c>
      <c r="B1811" t="s">
        <v>2022</v>
      </c>
      <c r="C1811" t="s">
        <v>2036</v>
      </c>
      <c r="D1811" t="s">
        <v>2024</v>
      </c>
      <c r="E1811" t="s">
        <v>5258</v>
      </c>
      <c r="F1811" t="s">
        <v>5259</v>
      </c>
      <c r="G1811">
        <v>2</v>
      </c>
      <c r="H1811">
        <v>1640</v>
      </c>
      <c r="I1811">
        <v>1</v>
      </c>
      <c r="J1811">
        <v>2.2000000000000002</v>
      </c>
      <c r="K1811">
        <v>2</v>
      </c>
      <c r="L1811">
        <v>8.5000000000000006E-2</v>
      </c>
      <c r="M1811">
        <v>2</v>
      </c>
      <c r="N1811">
        <v>82</v>
      </c>
      <c r="O1811">
        <v>1</v>
      </c>
      <c r="P1811">
        <v>9.5000000000000001E-2</v>
      </c>
      <c r="Q1811">
        <v>2</v>
      </c>
      <c r="R1811">
        <v>4.2500000000000003E-3</v>
      </c>
      <c r="T1811" s="8" t="s">
        <v>5258</v>
      </c>
    </row>
    <row r="1812" spans="1:20" x14ac:dyDescent="0.2">
      <c r="A1812" t="s">
        <v>5260</v>
      </c>
      <c r="B1812" t="s">
        <v>2022</v>
      </c>
      <c r="C1812" t="s">
        <v>2036</v>
      </c>
      <c r="D1812" t="s">
        <v>2024</v>
      </c>
      <c r="E1812" t="s">
        <v>5261</v>
      </c>
      <c r="F1812" t="s">
        <v>5262</v>
      </c>
      <c r="G1812">
        <v>5</v>
      </c>
      <c r="H1812">
        <v>1940</v>
      </c>
      <c r="I1812">
        <v>5</v>
      </c>
      <c r="J1812">
        <v>7</v>
      </c>
      <c r="K1812">
        <v>5</v>
      </c>
      <c r="L1812">
        <v>0.17499999999999999</v>
      </c>
      <c r="M1812">
        <v>3</v>
      </c>
      <c r="N1812">
        <v>88</v>
      </c>
      <c r="O1812">
        <v>4</v>
      </c>
      <c r="P1812">
        <v>0.42499999999999999</v>
      </c>
      <c r="Q1812">
        <v>5</v>
      </c>
      <c r="R1812">
        <v>1.2E-2</v>
      </c>
      <c r="T1812" s="8" t="s">
        <v>5261</v>
      </c>
    </row>
    <row r="1813" spans="1:20" x14ac:dyDescent="0.2">
      <c r="A1813" t="s">
        <v>5263</v>
      </c>
      <c r="B1813" t="s">
        <v>2022</v>
      </c>
      <c r="C1813" t="s">
        <v>2023</v>
      </c>
      <c r="D1813" t="s">
        <v>2024</v>
      </c>
      <c r="E1813" t="s">
        <v>357</v>
      </c>
      <c r="F1813" t="s">
        <v>5264</v>
      </c>
      <c r="G1813">
        <v>5</v>
      </c>
      <c r="H1813">
        <v>1800</v>
      </c>
      <c r="I1813">
        <v>2</v>
      </c>
      <c r="J1813">
        <v>3.4</v>
      </c>
      <c r="K1813">
        <v>1</v>
      </c>
      <c r="L1813">
        <v>6.0000000000000001E-3</v>
      </c>
      <c r="M1813">
        <v>3</v>
      </c>
      <c r="N1813">
        <v>94</v>
      </c>
      <c r="O1813">
        <v>2</v>
      </c>
      <c r="P1813">
        <v>0.22500000000000001</v>
      </c>
      <c r="Q1813">
        <v>1</v>
      </c>
      <c r="R1813">
        <v>5.0000000000000001E-4</v>
      </c>
      <c r="T1813" s="8" t="s">
        <v>357</v>
      </c>
    </row>
    <row r="1814" spans="1:20" x14ac:dyDescent="0.2">
      <c r="A1814" t="s">
        <v>5265</v>
      </c>
      <c r="B1814" t="s">
        <v>2022</v>
      </c>
      <c r="C1814" t="s">
        <v>2095</v>
      </c>
      <c r="E1814" t="s">
        <v>5266</v>
      </c>
      <c r="F1814" t="s">
        <v>5267</v>
      </c>
      <c r="G1814">
        <v>4</v>
      </c>
      <c r="H1814">
        <v>1835</v>
      </c>
      <c r="I1814">
        <v>2</v>
      </c>
      <c r="J1814">
        <v>7.5</v>
      </c>
      <c r="K1814">
        <v>3</v>
      </c>
      <c r="L1814">
        <v>0.33</v>
      </c>
      <c r="M1814">
        <v>5</v>
      </c>
      <c r="N1814">
        <v>98</v>
      </c>
      <c r="O1814">
        <v>3</v>
      </c>
      <c r="P1814">
        <v>0.55000000000000004</v>
      </c>
      <c r="Q1814">
        <v>3</v>
      </c>
      <c r="R1814">
        <v>1.49E-2</v>
      </c>
      <c r="T1814" s="8" t="s">
        <v>5266</v>
      </c>
    </row>
    <row r="1815" spans="1:20" x14ac:dyDescent="0.2">
      <c r="A1815" t="s">
        <v>5268</v>
      </c>
      <c r="B1815" t="s">
        <v>2022</v>
      </c>
      <c r="C1815" t="s">
        <v>2101</v>
      </c>
      <c r="D1815" t="s">
        <v>2024</v>
      </c>
      <c r="E1815" t="s">
        <v>5269</v>
      </c>
      <c r="F1815" t="s">
        <v>5270</v>
      </c>
      <c r="G1815">
        <v>4</v>
      </c>
      <c r="H1815">
        <v>1870</v>
      </c>
      <c r="I1815">
        <v>2</v>
      </c>
      <c r="J1815">
        <v>5</v>
      </c>
      <c r="K1815">
        <v>2</v>
      </c>
      <c r="L1815">
        <v>9.6500000000000002E-2</v>
      </c>
      <c r="M1815">
        <v>3</v>
      </c>
      <c r="N1815">
        <v>82</v>
      </c>
      <c r="O1815">
        <v>2</v>
      </c>
      <c r="P1815">
        <v>0.22500000000000001</v>
      </c>
      <c r="Q1815">
        <v>2</v>
      </c>
      <c r="R1815">
        <v>4.4999999999999997E-3</v>
      </c>
      <c r="T1815" s="8" t="s">
        <v>5269</v>
      </c>
    </row>
    <row r="1816" spans="1:20" x14ac:dyDescent="0.2">
      <c r="A1816" t="s">
        <v>5271</v>
      </c>
      <c r="B1816" t="s">
        <v>2022</v>
      </c>
      <c r="C1816" t="s">
        <v>2023</v>
      </c>
      <c r="D1816" t="s">
        <v>2024</v>
      </c>
      <c r="E1816" t="s">
        <v>357</v>
      </c>
      <c r="F1816" t="s">
        <v>447</v>
      </c>
      <c r="G1816">
        <v>1</v>
      </c>
      <c r="H1816">
        <v>1480</v>
      </c>
      <c r="I1816">
        <v>2</v>
      </c>
      <c r="J1816">
        <v>3.4</v>
      </c>
      <c r="K1816">
        <v>5</v>
      </c>
      <c r="L1816">
        <v>8.5999999999999993E-2</v>
      </c>
      <c r="M1816">
        <v>5</v>
      </c>
      <c r="N1816">
        <v>114</v>
      </c>
      <c r="O1816">
        <v>5</v>
      </c>
      <c r="P1816">
        <v>0.67500000000000004</v>
      </c>
      <c r="Q1816">
        <v>5</v>
      </c>
      <c r="R1816">
        <v>8.0000000000000002E-3</v>
      </c>
      <c r="T1816" s="8" t="s">
        <v>357</v>
      </c>
    </row>
    <row r="1817" spans="1:20" x14ac:dyDescent="0.2">
      <c r="A1817" t="s">
        <v>5272</v>
      </c>
      <c r="B1817" t="s">
        <v>2022</v>
      </c>
      <c r="C1817" t="s">
        <v>2101</v>
      </c>
      <c r="D1817" t="s">
        <v>2024</v>
      </c>
      <c r="E1817" t="s">
        <v>5273</v>
      </c>
      <c r="F1817" t="s">
        <v>5274</v>
      </c>
      <c r="G1817">
        <v>5</v>
      </c>
      <c r="H1817">
        <v>1970</v>
      </c>
      <c r="I1817">
        <v>3</v>
      </c>
      <c r="J1817">
        <v>8</v>
      </c>
      <c r="K1817">
        <v>2</v>
      </c>
      <c r="L1817">
        <v>9.6500000000000002E-2</v>
      </c>
      <c r="M1817">
        <v>1</v>
      </c>
      <c r="N1817">
        <v>66</v>
      </c>
      <c r="O1817">
        <v>2</v>
      </c>
      <c r="P1817">
        <v>0.22500000000000001</v>
      </c>
      <c r="Q1817">
        <v>1</v>
      </c>
      <c r="R1817">
        <v>5.0000000000000001E-4</v>
      </c>
      <c r="T1817" s="8" t="s">
        <v>5273</v>
      </c>
    </row>
    <row r="1818" spans="1:20" x14ac:dyDescent="0.2">
      <c r="A1818" t="s">
        <v>5275</v>
      </c>
      <c r="B1818" t="s">
        <v>2022</v>
      </c>
      <c r="C1818" t="s">
        <v>2023</v>
      </c>
      <c r="D1818" t="s">
        <v>2024</v>
      </c>
      <c r="E1818" t="s">
        <v>5276</v>
      </c>
      <c r="F1818" t="s">
        <v>447</v>
      </c>
      <c r="G1818">
        <v>2</v>
      </c>
      <c r="H1818">
        <v>1560</v>
      </c>
      <c r="I1818">
        <v>3</v>
      </c>
      <c r="J1818">
        <v>5.9</v>
      </c>
      <c r="K1818">
        <v>5</v>
      </c>
      <c r="L1818">
        <v>8.5999999999999993E-2</v>
      </c>
      <c r="M1818">
        <v>1</v>
      </c>
      <c r="N1818">
        <v>74</v>
      </c>
      <c r="O1818">
        <v>2</v>
      </c>
      <c r="P1818">
        <v>0.22500000000000001</v>
      </c>
      <c r="Q1818">
        <v>5</v>
      </c>
      <c r="R1818">
        <v>8.0000000000000002E-3</v>
      </c>
      <c r="T1818" s="8" t="s">
        <v>5276</v>
      </c>
    </row>
    <row r="1819" spans="1:20" x14ac:dyDescent="0.2">
      <c r="A1819" t="s">
        <v>5277</v>
      </c>
      <c r="B1819" t="s">
        <v>2022</v>
      </c>
      <c r="C1819" t="s">
        <v>2036</v>
      </c>
      <c r="D1819" t="s">
        <v>2024</v>
      </c>
      <c r="E1819" t="s">
        <v>5278</v>
      </c>
      <c r="F1819" t="s">
        <v>5279</v>
      </c>
      <c r="G1819">
        <v>2</v>
      </c>
      <c r="H1819">
        <v>1640</v>
      </c>
      <c r="I1819">
        <v>2</v>
      </c>
      <c r="J1819">
        <v>3.4</v>
      </c>
      <c r="K1819">
        <v>1</v>
      </c>
      <c r="L1819">
        <v>5.5E-2</v>
      </c>
      <c r="M1819">
        <v>2</v>
      </c>
      <c r="N1819">
        <v>82</v>
      </c>
      <c r="O1819">
        <v>2</v>
      </c>
      <c r="P1819">
        <v>0.20499999999999999</v>
      </c>
      <c r="Q1819">
        <v>2</v>
      </c>
      <c r="R1819">
        <v>4.2500000000000003E-3</v>
      </c>
      <c r="T1819" s="8" t="s">
        <v>5278</v>
      </c>
    </row>
    <row r="1820" spans="1:20" x14ac:dyDescent="0.2">
      <c r="A1820" t="s">
        <v>5280</v>
      </c>
      <c r="B1820" t="s">
        <v>2022</v>
      </c>
      <c r="C1820" t="s">
        <v>2053</v>
      </c>
      <c r="D1820" t="s">
        <v>2024</v>
      </c>
      <c r="E1820" t="s">
        <v>5281</v>
      </c>
      <c r="F1820" t="s">
        <v>5282</v>
      </c>
      <c r="G1820">
        <v>1</v>
      </c>
      <c r="H1820">
        <v>1500</v>
      </c>
      <c r="I1820">
        <v>2</v>
      </c>
      <c r="J1820">
        <v>4.05</v>
      </c>
      <c r="K1820">
        <v>1</v>
      </c>
      <c r="L1820">
        <v>1.4999999999999999E-2</v>
      </c>
      <c r="M1820">
        <v>5</v>
      </c>
      <c r="N1820">
        <v>113</v>
      </c>
      <c r="O1820">
        <v>3</v>
      </c>
      <c r="P1820">
        <v>0.375</v>
      </c>
      <c r="Q1820">
        <v>2</v>
      </c>
      <c r="R1820">
        <v>5.1999999999999998E-3</v>
      </c>
      <c r="T1820" s="8" t="s">
        <v>5281</v>
      </c>
    </row>
    <row r="1821" spans="1:20" x14ac:dyDescent="0.2">
      <c r="A1821" t="s">
        <v>5283</v>
      </c>
      <c r="B1821" t="s">
        <v>2022</v>
      </c>
      <c r="C1821" t="s">
        <v>2023</v>
      </c>
      <c r="D1821" t="s">
        <v>2024</v>
      </c>
      <c r="E1821" t="s">
        <v>5281</v>
      </c>
      <c r="F1821" t="s">
        <v>5282</v>
      </c>
      <c r="G1821">
        <v>2</v>
      </c>
      <c r="H1821">
        <v>1560</v>
      </c>
      <c r="I1821">
        <v>2</v>
      </c>
      <c r="J1821">
        <v>3.4</v>
      </c>
      <c r="K1821">
        <v>2</v>
      </c>
      <c r="L1821">
        <v>2.5999999999999999E-2</v>
      </c>
      <c r="M1821">
        <v>1</v>
      </c>
      <c r="N1821">
        <v>74</v>
      </c>
      <c r="O1821">
        <v>2</v>
      </c>
      <c r="P1821">
        <v>0.22500000000000001</v>
      </c>
      <c r="Q1821">
        <v>1</v>
      </c>
      <c r="R1821">
        <v>5.0000000000000001E-4</v>
      </c>
      <c r="T1821" s="8" t="s">
        <v>5281</v>
      </c>
    </row>
    <row r="1822" spans="1:20" x14ac:dyDescent="0.2">
      <c r="A1822" t="s">
        <v>5284</v>
      </c>
      <c r="B1822" t="s">
        <v>2022</v>
      </c>
      <c r="C1822" t="s">
        <v>2053</v>
      </c>
      <c r="D1822" t="s">
        <v>2024</v>
      </c>
      <c r="E1822" t="s">
        <v>5285</v>
      </c>
      <c r="F1822" t="s">
        <v>5286</v>
      </c>
      <c r="G1822">
        <v>1</v>
      </c>
      <c r="H1822">
        <v>1500</v>
      </c>
      <c r="I1822">
        <v>1</v>
      </c>
      <c r="J1822">
        <v>1.55</v>
      </c>
      <c r="K1822">
        <v>2</v>
      </c>
      <c r="L1822">
        <v>8.5000000000000006E-2</v>
      </c>
      <c r="M1822">
        <v>3</v>
      </c>
      <c r="N1822">
        <v>93</v>
      </c>
      <c r="O1822">
        <v>2</v>
      </c>
      <c r="P1822">
        <v>0.22500000000000001</v>
      </c>
      <c r="Q1822">
        <v>2</v>
      </c>
      <c r="R1822">
        <v>5.1999999999999998E-3</v>
      </c>
      <c r="T1822" s="8" t="s">
        <v>5285</v>
      </c>
    </row>
    <row r="1823" spans="1:20" x14ac:dyDescent="0.2">
      <c r="A1823" t="s">
        <v>5287</v>
      </c>
      <c r="B1823" t="s">
        <v>2022</v>
      </c>
      <c r="C1823" t="s">
        <v>2023</v>
      </c>
      <c r="D1823" t="s">
        <v>2024</v>
      </c>
      <c r="E1823" t="s">
        <v>5288</v>
      </c>
      <c r="F1823" t="s">
        <v>5289</v>
      </c>
      <c r="G1823">
        <v>5</v>
      </c>
      <c r="H1823">
        <v>1800</v>
      </c>
      <c r="I1823">
        <v>1</v>
      </c>
      <c r="J1823">
        <v>0.9</v>
      </c>
      <c r="K1823">
        <v>2</v>
      </c>
      <c r="L1823">
        <v>2.5999999999999999E-2</v>
      </c>
      <c r="M1823">
        <v>2</v>
      </c>
      <c r="N1823">
        <v>84</v>
      </c>
      <c r="O1823">
        <v>1</v>
      </c>
      <c r="P1823">
        <v>7.4999999999999997E-2</v>
      </c>
      <c r="Q1823">
        <v>1</v>
      </c>
      <c r="R1823">
        <v>5.0000000000000001E-4</v>
      </c>
      <c r="T1823" s="8" t="s">
        <v>5288</v>
      </c>
    </row>
    <row r="1824" spans="1:20" x14ac:dyDescent="0.2">
      <c r="A1824" t="s">
        <v>5290</v>
      </c>
      <c r="B1824" t="s">
        <v>2022</v>
      </c>
      <c r="C1824" t="s">
        <v>2023</v>
      </c>
      <c r="D1824" t="s">
        <v>2024</v>
      </c>
      <c r="E1824" t="s">
        <v>5291</v>
      </c>
      <c r="F1824" t="s">
        <v>5292</v>
      </c>
      <c r="G1824">
        <v>3</v>
      </c>
      <c r="H1824">
        <v>1640</v>
      </c>
      <c r="I1824">
        <v>2</v>
      </c>
      <c r="J1824">
        <v>3.4</v>
      </c>
      <c r="K1824">
        <v>5</v>
      </c>
      <c r="L1824">
        <v>8.5999999999999993E-2</v>
      </c>
      <c r="M1824">
        <v>4</v>
      </c>
      <c r="N1824">
        <v>104</v>
      </c>
      <c r="O1824">
        <v>2</v>
      </c>
      <c r="P1824">
        <v>0.22500000000000001</v>
      </c>
      <c r="Q1824">
        <v>5</v>
      </c>
      <c r="R1824">
        <v>8.0000000000000002E-3</v>
      </c>
      <c r="T1824" s="8" t="s">
        <v>5291</v>
      </c>
    </row>
    <row r="1825" spans="1:20" x14ac:dyDescent="0.2">
      <c r="A1825" t="s">
        <v>5293</v>
      </c>
      <c r="B1825" t="s">
        <v>2022</v>
      </c>
      <c r="C1825" t="s">
        <v>2023</v>
      </c>
      <c r="D1825" t="s">
        <v>2024</v>
      </c>
      <c r="E1825" t="s">
        <v>5294</v>
      </c>
      <c r="F1825" t="s">
        <v>5295</v>
      </c>
      <c r="G1825">
        <v>2</v>
      </c>
      <c r="H1825">
        <v>1560</v>
      </c>
      <c r="I1825">
        <v>5</v>
      </c>
      <c r="J1825">
        <v>10.9</v>
      </c>
      <c r="K1825">
        <v>5</v>
      </c>
      <c r="L1825">
        <v>8.5999999999999993E-2</v>
      </c>
      <c r="M1825">
        <v>1</v>
      </c>
      <c r="N1825">
        <v>74</v>
      </c>
      <c r="O1825">
        <v>4</v>
      </c>
      <c r="P1825">
        <v>0.52500000000000002</v>
      </c>
      <c r="Q1825">
        <v>5</v>
      </c>
      <c r="R1825">
        <v>8.0000000000000002E-3</v>
      </c>
      <c r="T1825" s="8" t="s">
        <v>5294</v>
      </c>
    </row>
    <row r="1826" spans="1:20" x14ac:dyDescent="0.2">
      <c r="A1826" t="s">
        <v>5296</v>
      </c>
      <c r="B1826" t="s">
        <v>2022</v>
      </c>
      <c r="C1826" t="s">
        <v>2036</v>
      </c>
      <c r="D1826" t="s">
        <v>2024</v>
      </c>
      <c r="E1826" t="s">
        <v>5297</v>
      </c>
      <c r="F1826" t="s">
        <v>5298</v>
      </c>
      <c r="G1826">
        <v>5</v>
      </c>
      <c r="H1826">
        <v>1940</v>
      </c>
      <c r="I1826">
        <v>5</v>
      </c>
      <c r="J1826">
        <v>7</v>
      </c>
      <c r="K1826">
        <v>5</v>
      </c>
      <c r="L1826">
        <v>0.17499999999999999</v>
      </c>
      <c r="M1826">
        <v>5</v>
      </c>
      <c r="N1826">
        <v>100</v>
      </c>
      <c r="O1826">
        <v>5</v>
      </c>
      <c r="P1826">
        <v>0.53500000000000003</v>
      </c>
      <c r="Q1826">
        <v>5</v>
      </c>
      <c r="R1826">
        <v>1.2E-2</v>
      </c>
      <c r="T1826" s="8" t="s">
        <v>5297</v>
      </c>
    </row>
    <row r="1827" spans="1:20" x14ac:dyDescent="0.2">
      <c r="A1827" t="s">
        <v>5299</v>
      </c>
      <c r="B1827" t="s">
        <v>2022</v>
      </c>
      <c r="C1827" t="s">
        <v>2222</v>
      </c>
      <c r="D1827" t="s">
        <v>2024</v>
      </c>
      <c r="E1827" t="s">
        <v>5300</v>
      </c>
      <c r="F1827" t="s">
        <v>5301</v>
      </c>
      <c r="G1827">
        <v>2</v>
      </c>
      <c r="H1827">
        <v>1550</v>
      </c>
      <c r="I1827">
        <v>1</v>
      </c>
      <c r="J1827">
        <v>2.2999999999999998</v>
      </c>
      <c r="K1827">
        <v>2</v>
      </c>
      <c r="L1827">
        <v>5.5E-2</v>
      </c>
      <c r="M1827">
        <v>1</v>
      </c>
      <c r="N1827">
        <v>59</v>
      </c>
      <c r="O1827">
        <v>2</v>
      </c>
      <c r="P1827">
        <v>0.15</v>
      </c>
      <c r="Q1827">
        <v>1</v>
      </c>
      <c r="R1827">
        <v>4.0000000000000002E-4</v>
      </c>
      <c r="T1827" s="8" t="s">
        <v>5300</v>
      </c>
    </row>
    <row r="1828" spans="1:20" x14ac:dyDescent="0.2">
      <c r="A1828" t="s">
        <v>5302</v>
      </c>
      <c r="B1828" t="s">
        <v>2022</v>
      </c>
      <c r="C1828" t="s">
        <v>2222</v>
      </c>
      <c r="D1828" t="s">
        <v>2024</v>
      </c>
      <c r="E1828" t="s">
        <v>5303</v>
      </c>
      <c r="F1828" t="s">
        <v>5304</v>
      </c>
      <c r="G1828">
        <v>2</v>
      </c>
      <c r="H1828">
        <v>1550</v>
      </c>
      <c r="I1828">
        <v>3</v>
      </c>
      <c r="J1828">
        <v>5.5</v>
      </c>
      <c r="K1828">
        <v>3</v>
      </c>
      <c r="L1828">
        <v>0.125</v>
      </c>
      <c r="M1828">
        <v>1</v>
      </c>
      <c r="N1828">
        <v>59</v>
      </c>
      <c r="O1828">
        <v>3</v>
      </c>
      <c r="P1828">
        <v>0.23</v>
      </c>
      <c r="Q1828">
        <v>2</v>
      </c>
      <c r="R1828">
        <v>2.3E-3</v>
      </c>
      <c r="T1828" s="8" t="s">
        <v>5303</v>
      </c>
    </row>
    <row r="1829" spans="1:20" x14ac:dyDescent="0.2">
      <c r="A1829" t="s">
        <v>5305</v>
      </c>
      <c r="B1829" t="s">
        <v>2022</v>
      </c>
      <c r="C1829" t="s">
        <v>2101</v>
      </c>
      <c r="D1829" t="s">
        <v>2024</v>
      </c>
      <c r="E1829" t="s">
        <v>5306</v>
      </c>
      <c r="F1829" t="s">
        <v>5307</v>
      </c>
      <c r="G1829">
        <v>4</v>
      </c>
      <c r="H1829">
        <v>1870</v>
      </c>
      <c r="I1829">
        <v>3</v>
      </c>
      <c r="J1829">
        <v>8</v>
      </c>
      <c r="K1829">
        <v>3</v>
      </c>
      <c r="L1829">
        <v>0.24349999999999999</v>
      </c>
      <c r="M1829">
        <v>3</v>
      </c>
      <c r="N1829">
        <v>82</v>
      </c>
      <c r="O1829">
        <v>3</v>
      </c>
      <c r="P1829">
        <v>0.375</v>
      </c>
      <c r="Q1829">
        <v>3</v>
      </c>
      <c r="R1829">
        <v>1.15E-2</v>
      </c>
      <c r="T1829" s="8" t="s">
        <v>5306</v>
      </c>
    </row>
    <row r="1830" spans="1:20" x14ac:dyDescent="0.2">
      <c r="A1830" t="s">
        <v>5308</v>
      </c>
      <c r="B1830" t="s">
        <v>2022</v>
      </c>
      <c r="C1830" t="s">
        <v>2023</v>
      </c>
      <c r="D1830" t="s">
        <v>2024</v>
      </c>
      <c r="E1830" t="s">
        <v>5309</v>
      </c>
      <c r="F1830" t="s">
        <v>447</v>
      </c>
      <c r="G1830">
        <v>2</v>
      </c>
      <c r="H1830">
        <v>1560</v>
      </c>
      <c r="I1830">
        <v>2</v>
      </c>
      <c r="J1830">
        <v>3.4</v>
      </c>
      <c r="K1830">
        <v>5</v>
      </c>
      <c r="L1830">
        <v>8.5999999999999993E-2</v>
      </c>
      <c r="M1830">
        <v>1</v>
      </c>
      <c r="N1830">
        <v>74</v>
      </c>
      <c r="O1830">
        <v>2</v>
      </c>
      <c r="P1830">
        <v>0.22500000000000001</v>
      </c>
      <c r="Q1830">
        <v>4</v>
      </c>
      <c r="R1830">
        <v>6.0000000000000001E-3</v>
      </c>
      <c r="T1830" s="8" t="s">
        <v>5309</v>
      </c>
    </row>
    <row r="1831" spans="1:20" x14ac:dyDescent="0.2">
      <c r="A1831" t="s">
        <v>5310</v>
      </c>
      <c r="B1831" t="s">
        <v>2022</v>
      </c>
      <c r="C1831" t="s">
        <v>2023</v>
      </c>
      <c r="D1831" t="s">
        <v>2024</v>
      </c>
      <c r="E1831" t="s">
        <v>5311</v>
      </c>
      <c r="F1831" t="s">
        <v>5312</v>
      </c>
      <c r="G1831">
        <v>4</v>
      </c>
      <c r="H1831">
        <v>1720</v>
      </c>
      <c r="I1831">
        <v>4</v>
      </c>
      <c r="J1831">
        <v>8.4</v>
      </c>
      <c r="K1831">
        <v>5</v>
      </c>
      <c r="L1831">
        <v>8.5999999999999993E-2</v>
      </c>
      <c r="M1831">
        <v>2</v>
      </c>
      <c r="N1831">
        <v>84</v>
      </c>
      <c r="O1831">
        <v>3</v>
      </c>
      <c r="P1831">
        <v>0.375</v>
      </c>
      <c r="Q1831">
        <v>5</v>
      </c>
      <c r="R1831">
        <v>8.0000000000000002E-3</v>
      </c>
      <c r="T1831" s="8" t="s">
        <v>5311</v>
      </c>
    </row>
    <row r="1832" spans="1:20" x14ac:dyDescent="0.2">
      <c r="A1832" t="s">
        <v>5313</v>
      </c>
      <c r="B1832" t="s">
        <v>2022</v>
      </c>
      <c r="C1832" t="s">
        <v>2106</v>
      </c>
      <c r="D1832" t="s">
        <v>2024</v>
      </c>
      <c r="E1832" t="s">
        <v>5314</v>
      </c>
      <c r="F1832" t="s">
        <v>5315</v>
      </c>
      <c r="G1832">
        <v>4</v>
      </c>
      <c r="H1832">
        <v>2125</v>
      </c>
      <c r="I1832">
        <v>2</v>
      </c>
      <c r="J1832">
        <v>5.75</v>
      </c>
      <c r="K1832">
        <v>3</v>
      </c>
      <c r="L1832">
        <v>0.14000000000000001</v>
      </c>
      <c r="M1832">
        <v>5</v>
      </c>
      <c r="N1832">
        <v>89.5</v>
      </c>
      <c r="O1832">
        <v>4</v>
      </c>
      <c r="P1832">
        <v>0.35</v>
      </c>
      <c r="Q1832">
        <v>3</v>
      </c>
      <c r="R1832">
        <v>4.4999999999999997E-3</v>
      </c>
      <c r="T1832" s="8" t="s">
        <v>5314</v>
      </c>
    </row>
    <row r="1833" spans="1:20" x14ac:dyDescent="0.2">
      <c r="A1833" t="s">
        <v>5316</v>
      </c>
      <c r="B1833" t="s">
        <v>2022</v>
      </c>
      <c r="C1833" t="s">
        <v>2095</v>
      </c>
      <c r="D1833" t="s">
        <v>2024</v>
      </c>
      <c r="E1833" t="s">
        <v>5316</v>
      </c>
      <c r="F1833" t="s">
        <v>5317</v>
      </c>
      <c r="G1833">
        <v>4</v>
      </c>
      <c r="H1833">
        <v>1835</v>
      </c>
      <c r="I1833">
        <v>2</v>
      </c>
      <c r="J1833">
        <v>7.5</v>
      </c>
      <c r="K1833">
        <v>2</v>
      </c>
      <c r="L1833">
        <v>0.13</v>
      </c>
      <c r="M1833">
        <v>5</v>
      </c>
      <c r="N1833">
        <v>98</v>
      </c>
      <c r="O1833">
        <v>3</v>
      </c>
      <c r="P1833">
        <v>0.55000000000000004</v>
      </c>
      <c r="Q1833">
        <v>3</v>
      </c>
      <c r="R1833">
        <v>1.49E-2</v>
      </c>
      <c r="T1833" s="8" t="s">
        <v>5316</v>
      </c>
    </row>
    <row r="1834" spans="1:20" x14ac:dyDescent="0.2">
      <c r="A1834" t="s">
        <v>5318</v>
      </c>
      <c r="B1834" t="s">
        <v>2022</v>
      </c>
      <c r="C1834" t="s">
        <v>2023</v>
      </c>
      <c r="D1834" t="s">
        <v>2024</v>
      </c>
      <c r="E1834" t="s">
        <v>5319</v>
      </c>
      <c r="F1834" t="s">
        <v>5320</v>
      </c>
      <c r="G1834">
        <v>3</v>
      </c>
      <c r="H1834">
        <v>1640</v>
      </c>
      <c r="I1834">
        <v>3</v>
      </c>
      <c r="J1834">
        <v>5.9</v>
      </c>
      <c r="K1834">
        <v>2</v>
      </c>
      <c r="L1834">
        <v>2.5999999999999999E-2</v>
      </c>
      <c r="M1834">
        <v>4</v>
      </c>
      <c r="N1834">
        <v>104</v>
      </c>
      <c r="O1834">
        <v>3</v>
      </c>
      <c r="P1834">
        <v>0.375</v>
      </c>
      <c r="Q1834">
        <v>2</v>
      </c>
      <c r="R1834">
        <v>2E-3</v>
      </c>
      <c r="T1834" s="8" t="s">
        <v>5319</v>
      </c>
    </row>
    <row r="1835" spans="1:20" x14ac:dyDescent="0.2">
      <c r="A1835" t="s">
        <v>5321</v>
      </c>
      <c r="B1835" t="s">
        <v>2022</v>
      </c>
      <c r="C1835" t="s">
        <v>2023</v>
      </c>
      <c r="D1835" t="s">
        <v>2024</v>
      </c>
      <c r="E1835" t="s">
        <v>5322</v>
      </c>
      <c r="F1835" t="s">
        <v>5323</v>
      </c>
      <c r="G1835">
        <v>4</v>
      </c>
      <c r="H1835">
        <v>1720</v>
      </c>
      <c r="I1835">
        <v>5</v>
      </c>
      <c r="J1835">
        <v>10.9</v>
      </c>
      <c r="K1835">
        <v>5</v>
      </c>
      <c r="L1835">
        <v>8.5999999999999993E-2</v>
      </c>
      <c r="M1835">
        <v>3</v>
      </c>
      <c r="N1835">
        <v>94</v>
      </c>
      <c r="O1835">
        <v>5</v>
      </c>
      <c r="P1835">
        <v>0.67500000000000004</v>
      </c>
      <c r="Q1835">
        <v>5</v>
      </c>
      <c r="R1835">
        <v>8.0000000000000002E-3</v>
      </c>
      <c r="T1835" s="8" t="s">
        <v>5322</v>
      </c>
    </row>
    <row r="1836" spans="1:20" x14ac:dyDescent="0.2">
      <c r="A1836" t="s">
        <v>5324</v>
      </c>
      <c r="B1836" t="s">
        <v>2022</v>
      </c>
      <c r="C1836" t="s">
        <v>2222</v>
      </c>
      <c r="D1836" t="s">
        <v>2024</v>
      </c>
      <c r="E1836" t="s">
        <v>5325</v>
      </c>
      <c r="F1836" t="s">
        <v>5326</v>
      </c>
      <c r="G1836">
        <v>2</v>
      </c>
      <c r="H1836">
        <v>1550</v>
      </c>
      <c r="I1836">
        <v>2</v>
      </c>
      <c r="J1836">
        <v>3.9</v>
      </c>
      <c r="K1836">
        <v>1</v>
      </c>
      <c r="L1836">
        <v>0.01</v>
      </c>
      <c r="M1836">
        <v>2</v>
      </c>
      <c r="N1836">
        <v>63</v>
      </c>
      <c r="O1836">
        <v>2</v>
      </c>
      <c r="P1836">
        <v>0.15</v>
      </c>
      <c r="Q1836">
        <v>1</v>
      </c>
      <c r="R1836">
        <v>4.0000000000000002E-4</v>
      </c>
      <c r="T1836" s="8" t="s">
        <v>5325</v>
      </c>
    </row>
    <row r="1837" spans="1:20" x14ac:dyDescent="0.2">
      <c r="A1837" t="s">
        <v>5327</v>
      </c>
      <c r="B1837" t="s">
        <v>2022</v>
      </c>
      <c r="C1837" t="s">
        <v>2036</v>
      </c>
      <c r="D1837" t="s">
        <v>2024</v>
      </c>
      <c r="E1837" t="s">
        <v>5328</v>
      </c>
      <c r="F1837" t="s">
        <v>5329</v>
      </c>
      <c r="G1837">
        <v>1</v>
      </c>
      <c r="H1837">
        <v>1540</v>
      </c>
      <c r="I1837">
        <v>2</v>
      </c>
      <c r="J1837">
        <v>3.4</v>
      </c>
      <c r="K1837">
        <v>3</v>
      </c>
      <c r="L1837">
        <v>0.115</v>
      </c>
      <c r="M1837">
        <v>1</v>
      </c>
      <c r="N1837">
        <v>76</v>
      </c>
      <c r="O1837">
        <v>2</v>
      </c>
      <c r="P1837">
        <v>0.20499999999999999</v>
      </c>
      <c r="Q1837">
        <v>2</v>
      </c>
      <c r="R1837">
        <v>4.2500000000000003E-3</v>
      </c>
      <c r="T1837" s="8" t="s">
        <v>5328</v>
      </c>
    </row>
    <row r="1838" spans="1:20" x14ac:dyDescent="0.2">
      <c r="A1838" t="s">
        <v>5330</v>
      </c>
      <c r="B1838" t="s">
        <v>2022</v>
      </c>
      <c r="C1838" t="s">
        <v>2023</v>
      </c>
      <c r="D1838" t="s">
        <v>2136</v>
      </c>
      <c r="E1838" t="s">
        <v>357</v>
      </c>
      <c r="F1838" t="s">
        <v>447</v>
      </c>
      <c r="G1838">
        <v>5</v>
      </c>
      <c r="H1838">
        <v>1800</v>
      </c>
      <c r="I1838">
        <v>5</v>
      </c>
      <c r="J1838">
        <v>10.9</v>
      </c>
      <c r="K1838">
        <v>5</v>
      </c>
      <c r="L1838">
        <v>8.5999999999999993E-2</v>
      </c>
      <c r="M1838">
        <v>4</v>
      </c>
      <c r="N1838">
        <v>104</v>
      </c>
      <c r="O1838">
        <v>5</v>
      </c>
      <c r="P1838">
        <v>0.67500000000000004</v>
      </c>
      <c r="Q1838">
        <v>5</v>
      </c>
      <c r="R1838">
        <v>8.0000000000000002E-3</v>
      </c>
      <c r="T1838" s="8" t="s">
        <v>357</v>
      </c>
    </row>
    <row r="1839" spans="1:20" x14ac:dyDescent="0.2">
      <c r="A1839" t="s">
        <v>5331</v>
      </c>
      <c r="B1839" t="s">
        <v>2022</v>
      </c>
      <c r="C1839" t="s">
        <v>2023</v>
      </c>
      <c r="D1839" t="s">
        <v>2024</v>
      </c>
      <c r="E1839" t="s">
        <v>357</v>
      </c>
      <c r="F1839" t="s">
        <v>5332</v>
      </c>
      <c r="G1839">
        <v>1</v>
      </c>
      <c r="H1839">
        <v>1480</v>
      </c>
      <c r="I1839">
        <v>1</v>
      </c>
      <c r="J1839">
        <v>0.9</v>
      </c>
      <c r="K1839">
        <v>1</v>
      </c>
      <c r="L1839">
        <v>6.0000000000000001E-3</v>
      </c>
      <c r="M1839">
        <v>5</v>
      </c>
      <c r="N1839">
        <v>114</v>
      </c>
      <c r="O1839">
        <v>5</v>
      </c>
      <c r="P1839">
        <v>0.67500000000000004</v>
      </c>
      <c r="Q1839">
        <v>5</v>
      </c>
      <c r="R1839">
        <v>8.0000000000000002E-3</v>
      </c>
      <c r="T1839" s="8" t="s">
        <v>357</v>
      </c>
    </row>
    <row r="1840" spans="1:20" x14ac:dyDescent="0.2">
      <c r="A1840" t="s">
        <v>5333</v>
      </c>
      <c r="B1840" t="s">
        <v>2022</v>
      </c>
      <c r="C1840" t="s">
        <v>2053</v>
      </c>
      <c r="D1840" t="s">
        <v>2024</v>
      </c>
      <c r="E1840" t="s">
        <v>5334</v>
      </c>
      <c r="F1840" t="s">
        <v>5335</v>
      </c>
      <c r="G1840">
        <v>1</v>
      </c>
      <c r="H1840">
        <v>1500</v>
      </c>
      <c r="I1840">
        <v>3</v>
      </c>
      <c r="J1840">
        <v>6.55</v>
      </c>
      <c r="K1840">
        <v>1</v>
      </c>
      <c r="L1840">
        <v>1.4999999999999999E-2</v>
      </c>
      <c r="M1840">
        <v>3</v>
      </c>
      <c r="N1840">
        <v>93</v>
      </c>
      <c r="O1840">
        <v>3</v>
      </c>
      <c r="P1840">
        <v>0.375</v>
      </c>
      <c r="Q1840">
        <v>1</v>
      </c>
      <c r="R1840">
        <v>8.4999999999999995E-4</v>
      </c>
      <c r="T1840" s="8" t="s">
        <v>5334</v>
      </c>
    </row>
    <row r="1841" spans="1:20" x14ac:dyDescent="0.2">
      <c r="A1841" t="s">
        <v>5336</v>
      </c>
      <c r="B1841" t="s">
        <v>2022</v>
      </c>
      <c r="C1841" t="s">
        <v>2036</v>
      </c>
      <c r="D1841" t="s">
        <v>2024</v>
      </c>
      <c r="E1841" t="s">
        <v>5337</v>
      </c>
      <c r="F1841" t="s">
        <v>5338</v>
      </c>
      <c r="G1841">
        <v>2</v>
      </c>
      <c r="H1841">
        <v>1640</v>
      </c>
      <c r="I1841">
        <v>2</v>
      </c>
      <c r="J1841">
        <v>3.4</v>
      </c>
      <c r="K1841">
        <v>1</v>
      </c>
      <c r="L1841">
        <v>5.5E-2</v>
      </c>
      <c r="M1841">
        <v>2</v>
      </c>
      <c r="N1841">
        <v>82</v>
      </c>
      <c r="O1841">
        <v>1</v>
      </c>
      <c r="P1841">
        <v>9.5000000000000001E-2</v>
      </c>
      <c r="Q1841">
        <v>2</v>
      </c>
      <c r="R1841">
        <v>4.2500000000000003E-3</v>
      </c>
      <c r="T1841" s="8" t="s">
        <v>5337</v>
      </c>
    </row>
    <row r="1842" spans="1:20" x14ac:dyDescent="0.2">
      <c r="A1842" t="s">
        <v>5339</v>
      </c>
      <c r="B1842" t="s">
        <v>2022</v>
      </c>
      <c r="C1842" t="s">
        <v>2036</v>
      </c>
      <c r="D1842" t="s">
        <v>2136</v>
      </c>
      <c r="E1842" t="s">
        <v>5340</v>
      </c>
      <c r="F1842" t="s">
        <v>5341</v>
      </c>
      <c r="G1842">
        <v>5</v>
      </c>
      <c r="H1842">
        <v>1940</v>
      </c>
      <c r="I1842">
        <v>3</v>
      </c>
      <c r="J1842">
        <v>4.5999999999999996</v>
      </c>
      <c r="K1842">
        <v>2</v>
      </c>
      <c r="L1842">
        <v>8.5000000000000006E-2</v>
      </c>
      <c r="M1842">
        <v>5</v>
      </c>
      <c r="N1842">
        <v>100</v>
      </c>
      <c r="O1842">
        <v>2</v>
      </c>
      <c r="P1842">
        <v>0.20499999999999999</v>
      </c>
      <c r="Q1842">
        <v>2</v>
      </c>
      <c r="R1842">
        <v>4.2500000000000003E-3</v>
      </c>
      <c r="T1842" s="8" t="s">
        <v>5340</v>
      </c>
    </row>
    <row r="1843" spans="1:20" x14ac:dyDescent="0.2">
      <c r="A1843" t="s">
        <v>5342</v>
      </c>
      <c r="B1843" t="s">
        <v>2022</v>
      </c>
      <c r="C1843" t="s">
        <v>2053</v>
      </c>
      <c r="D1843" t="s">
        <v>2024</v>
      </c>
      <c r="E1843" t="s">
        <v>5343</v>
      </c>
      <c r="F1843" t="s">
        <v>5344</v>
      </c>
      <c r="G1843">
        <v>2</v>
      </c>
      <c r="H1843">
        <v>1600</v>
      </c>
      <c r="I1843">
        <v>1</v>
      </c>
      <c r="J1843">
        <v>1.55</v>
      </c>
      <c r="K1843">
        <v>1</v>
      </c>
      <c r="L1843">
        <v>1.4999999999999999E-2</v>
      </c>
      <c r="M1843">
        <v>2</v>
      </c>
      <c r="N1843">
        <v>83</v>
      </c>
      <c r="O1843">
        <v>1</v>
      </c>
      <c r="P1843">
        <v>7.4999999999999997E-2</v>
      </c>
      <c r="Q1843">
        <v>1</v>
      </c>
      <c r="R1843">
        <v>8.4999999999999995E-4</v>
      </c>
      <c r="T1843" s="8" t="s">
        <v>5343</v>
      </c>
    </row>
    <row r="1844" spans="1:20" x14ac:dyDescent="0.2">
      <c r="A1844" t="s">
        <v>5345</v>
      </c>
      <c r="B1844" t="s">
        <v>2022</v>
      </c>
      <c r="C1844" t="s">
        <v>2023</v>
      </c>
      <c r="D1844" t="s">
        <v>2024</v>
      </c>
      <c r="E1844" t="s">
        <v>5343</v>
      </c>
      <c r="F1844" t="s">
        <v>5344</v>
      </c>
      <c r="G1844">
        <v>2</v>
      </c>
      <c r="H1844">
        <v>1560</v>
      </c>
      <c r="I1844">
        <v>1</v>
      </c>
      <c r="J1844">
        <v>0.9</v>
      </c>
      <c r="K1844">
        <v>1</v>
      </c>
      <c r="L1844">
        <v>6.0000000000000001E-3</v>
      </c>
      <c r="M1844">
        <v>2</v>
      </c>
      <c r="N1844">
        <v>84</v>
      </c>
      <c r="O1844">
        <v>1</v>
      </c>
      <c r="P1844">
        <v>7.4999999999999997E-2</v>
      </c>
      <c r="Q1844">
        <v>1</v>
      </c>
      <c r="R1844">
        <v>5.0000000000000001E-4</v>
      </c>
      <c r="T1844" s="8" t="s">
        <v>5343</v>
      </c>
    </row>
    <row r="1845" spans="1:20" x14ac:dyDescent="0.2">
      <c r="A1845" t="s">
        <v>5346</v>
      </c>
      <c r="B1845" t="s">
        <v>2022</v>
      </c>
      <c r="C1845" t="s">
        <v>2023</v>
      </c>
      <c r="D1845" t="s">
        <v>2024</v>
      </c>
      <c r="E1845" t="s">
        <v>5343</v>
      </c>
      <c r="F1845" t="s">
        <v>5344</v>
      </c>
      <c r="G1845">
        <v>1</v>
      </c>
      <c r="H1845">
        <v>1480</v>
      </c>
      <c r="I1845">
        <v>1</v>
      </c>
      <c r="J1845">
        <v>0.9</v>
      </c>
      <c r="K1845">
        <v>1</v>
      </c>
      <c r="L1845">
        <v>6.0000000000000001E-3</v>
      </c>
      <c r="M1845">
        <v>3</v>
      </c>
      <c r="N1845">
        <v>94</v>
      </c>
      <c r="O1845">
        <v>1</v>
      </c>
      <c r="P1845">
        <v>7.4999999999999997E-2</v>
      </c>
      <c r="Q1845">
        <v>1</v>
      </c>
      <c r="R1845">
        <v>5.0000000000000001E-4</v>
      </c>
      <c r="T1845" s="8" t="s">
        <v>5343</v>
      </c>
    </row>
    <row r="1846" spans="1:20" x14ac:dyDescent="0.2">
      <c r="A1846" t="s">
        <v>5347</v>
      </c>
      <c r="B1846" t="s">
        <v>2022</v>
      </c>
      <c r="C1846" t="s">
        <v>2023</v>
      </c>
      <c r="D1846" t="s">
        <v>2024</v>
      </c>
      <c r="E1846" t="s">
        <v>5343</v>
      </c>
      <c r="F1846" t="s">
        <v>5344</v>
      </c>
      <c r="G1846">
        <v>1</v>
      </c>
      <c r="H1846">
        <v>1480</v>
      </c>
      <c r="I1846">
        <v>1</v>
      </c>
      <c r="J1846">
        <v>0.9</v>
      </c>
      <c r="K1846">
        <v>1</v>
      </c>
      <c r="L1846">
        <v>6.0000000000000001E-3</v>
      </c>
      <c r="M1846">
        <v>4</v>
      </c>
      <c r="N1846">
        <v>104</v>
      </c>
      <c r="O1846">
        <v>1</v>
      </c>
      <c r="P1846">
        <v>7.4999999999999997E-2</v>
      </c>
      <c r="Q1846">
        <v>1</v>
      </c>
      <c r="R1846">
        <v>5.0000000000000001E-4</v>
      </c>
      <c r="T1846" s="8" t="s">
        <v>5343</v>
      </c>
    </row>
    <row r="1847" spans="1:20" x14ac:dyDescent="0.2">
      <c r="A1847" t="s">
        <v>5348</v>
      </c>
      <c r="B1847" t="s">
        <v>2022</v>
      </c>
      <c r="C1847" t="s">
        <v>2023</v>
      </c>
      <c r="D1847" t="s">
        <v>2024</v>
      </c>
      <c r="E1847" t="s">
        <v>5349</v>
      </c>
      <c r="F1847" t="s">
        <v>5350</v>
      </c>
      <c r="G1847">
        <v>5</v>
      </c>
      <c r="H1847">
        <v>1800</v>
      </c>
      <c r="I1847">
        <v>2</v>
      </c>
      <c r="J1847">
        <v>3.4</v>
      </c>
      <c r="K1847">
        <v>4</v>
      </c>
      <c r="L1847">
        <v>6.6000000000000003E-2</v>
      </c>
      <c r="M1847">
        <v>2</v>
      </c>
      <c r="N1847">
        <v>84</v>
      </c>
      <c r="O1847">
        <v>1</v>
      </c>
      <c r="P1847">
        <v>7.4999999999999997E-2</v>
      </c>
      <c r="Q1847">
        <v>2</v>
      </c>
      <c r="R1847">
        <v>2E-3</v>
      </c>
      <c r="T1847" s="8" t="s">
        <v>5349</v>
      </c>
    </row>
    <row r="1848" spans="1:20" x14ac:dyDescent="0.2">
      <c r="A1848" t="s">
        <v>5351</v>
      </c>
      <c r="B1848" t="s">
        <v>2022</v>
      </c>
      <c r="C1848" t="s">
        <v>2053</v>
      </c>
      <c r="D1848" t="s">
        <v>2024</v>
      </c>
      <c r="E1848" t="s">
        <v>5352</v>
      </c>
      <c r="F1848" t="s">
        <v>5353</v>
      </c>
      <c r="G1848">
        <v>1</v>
      </c>
      <c r="H1848">
        <v>1500</v>
      </c>
      <c r="I1848">
        <v>1</v>
      </c>
      <c r="J1848">
        <v>1.55</v>
      </c>
      <c r="K1848">
        <v>2</v>
      </c>
      <c r="L1848">
        <v>8.5000000000000006E-2</v>
      </c>
      <c r="M1848">
        <v>5</v>
      </c>
      <c r="N1848">
        <v>113</v>
      </c>
      <c r="O1848">
        <v>4</v>
      </c>
      <c r="P1848">
        <v>0.52500000000000002</v>
      </c>
      <c r="Q1848">
        <v>4</v>
      </c>
      <c r="R1848">
        <v>1.9199999999999998E-2</v>
      </c>
      <c r="T1848" s="8" t="s">
        <v>5352</v>
      </c>
    </row>
    <row r="1849" spans="1:20" x14ac:dyDescent="0.2">
      <c r="A1849" t="s">
        <v>5354</v>
      </c>
      <c r="B1849" t="s">
        <v>2022</v>
      </c>
      <c r="C1849" t="s">
        <v>2095</v>
      </c>
      <c r="D1849" t="s">
        <v>2024</v>
      </c>
      <c r="E1849" t="s">
        <v>5355</v>
      </c>
      <c r="F1849" t="s">
        <v>5356</v>
      </c>
      <c r="G1849">
        <v>4</v>
      </c>
      <c r="H1849">
        <v>1835</v>
      </c>
      <c r="I1849">
        <v>1</v>
      </c>
      <c r="J1849">
        <v>4.5</v>
      </c>
      <c r="K1849">
        <v>1</v>
      </c>
      <c r="L1849">
        <v>1.4999999999999999E-2</v>
      </c>
      <c r="M1849">
        <v>3</v>
      </c>
      <c r="N1849">
        <v>86</v>
      </c>
      <c r="O1849">
        <v>1</v>
      </c>
      <c r="P1849">
        <v>0.15</v>
      </c>
      <c r="Q1849">
        <v>1</v>
      </c>
      <c r="R1849">
        <v>6.9999999999999999E-4</v>
      </c>
      <c r="T1849" s="8" t="s">
        <v>5355</v>
      </c>
    </row>
    <row r="1850" spans="1:20" x14ac:dyDescent="0.2">
      <c r="A1850" t="s">
        <v>5357</v>
      </c>
      <c r="B1850" t="s">
        <v>2022</v>
      </c>
      <c r="C1850" t="s">
        <v>2053</v>
      </c>
      <c r="D1850" t="s">
        <v>2024</v>
      </c>
      <c r="E1850" t="s">
        <v>5358</v>
      </c>
      <c r="F1850" t="s">
        <v>5359</v>
      </c>
      <c r="G1850">
        <v>1</v>
      </c>
      <c r="H1850">
        <v>1500</v>
      </c>
      <c r="I1850">
        <v>1</v>
      </c>
      <c r="J1850">
        <v>1.55</v>
      </c>
      <c r="K1850">
        <v>1</v>
      </c>
      <c r="L1850">
        <v>1.4999999999999999E-2</v>
      </c>
      <c r="M1850">
        <v>5</v>
      </c>
      <c r="N1850">
        <v>113</v>
      </c>
      <c r="O1850">
        <v>1</v>
      </c>
      <c r="P1850">
        <v>7.4999999999999997E-2</v>
      </c>
      <c r="Q1850">
        <v>1</v>
      </c>
      <c r="R1850">
        <v>8.4999999999999995E-4</v>
      </c>
      <c r="T1850" s="8" t="s">
        <v>5358</v>
      </c>
    </row>
    <row r="1851" spans="1:20" x14ac:dyDescent="0.2">
      <c r="A1851" t="s">
        <v>5360</v>
      </c>
      <c r="B1851" t="s">
        <v>2022</v>
      </c>
      <c r="C1851" t="s">
        <v>2023</v>
      </c>
      <c r="D1851" t="s">
        <v>2024</v>
      </c>
      <c r="E1851" t="s">
        <v>5361</v>
      </c>
      <c r="F1851" t="s">
        <v>5362</v>
      </c>
      <c r="G1851">
        <v>2</v>
      </c>
      <c r="H1851">
        <v>1560</v>
      </c>
      <c r="I1851">
        <v>3</v>
      </c>
      <c r="J1851">
        <v>5.9</v>
      </c>
      <c r="K1851">
        <v>5</v>
      </c>
      <c r="L1851">
        <v>8.5999999999999993E-2</v>
      </c>
      <c r="M1851">
        <v>3</v>
      </c>
      <c r="N1851">
        <v>94</v>
      </c>
      <c r="O1851">
        <v>3</v>
      </c>
      <c r="P1851">
        <v>0.375</v>
      </c>
      <c r="Q1851">
        <v>5</v>
      </c>
      <c r="R1851">
        <v>8.0000000000000002E-3</v>
      </c>
      <c r="T1851" s="8" t="s">
        <v>5361</v>
      </c>
    </row>
    <row r="1852" spans="1:20" x14ac:dyDescent="0.2">
      <c r="A1852" t="s">
        <v>5363</v>
      </c>
      <c r="B1852" t="s">
        <v>2022</v>
      </c>
      <c r="C1852" t="s">
        <v>2053</v>
      </c>
      <c r="D1852" t="s">
        <v>2024</v>
      </c>
      <c r="E1852" t="s">
        <v>5364</v>
      </c>
      <c r="F1852" t="s">
        <v>5365</v>
      </c>
      <c r="G1852">
        <v>5</v>
      </c>
      <c r="H1852">
        <v>1900</v>
      </c>
      <c r="I1852">
        <v>5</v>
      </c>
      <c r="J1852">
        <v>11.55</v>
      </c>
      <c r="K1852">
        <v>3</v>
      </c>
      <c r="L1852">
        <v>0.19500000000000001</v>
      </c>
      <c r="M1852">
        <v>4</v>
      </c>
      <c r="N1852">
        <v>103</v>
      </c>
      <c r="O1852">
        <v>5</v>
      </c>
      <c r="P1852">
        <v>0.67500000000000004</v>
      </c>
      <c r="Q1852">
        <v>3</v>
      </c>
      <c r="R1852">
        <v>1.2200000000000001E-2</v>
      </c>
      <c r="T1852" s="8" t="s">
        <v>5364</v>
      </c>
    </row>
    <row r="1853" spans="1:20" x14ac:dyDescent="0.2">
      <c r="A1853" t="s">
        <v>5366</v>
      </c>
      <c r="B1853" t="s">
        <v>2022</v>
      </c>
      <c r="C1853" t="s">
        <v>2036</v>
      </c>
      <c r="D1853" t="s">
        <v>2024</v>
      </c>
      <c r="E1853" t="s">
        <v>5367</v>
      </c>
      <c r="F1853" t="s">
        <v>5368</v>
      </c>
      <c r="G1853">
        <v>2</v>
      </c>
      <c r="H1853">
        <v>1640</v>
      </c>
      <c r="I1853">
        <v>1</v>
      </c>
      <c r="J1853">
        <v>2.2000000000000002</v>
      </c>
      <c r="K1853">
        <v>1</v>
      </c>
      <c r="L1853">
        <v>5.5E-2</v>
      </c>
      <c r="M1853">
        <v>2</v>
      </c>
      <c r="N1853">
        <v>82</v>
      </c>
      <c r="O1853">
        <v>1</v>
      </c>
      <c r="P1853">
        <v>9.5000000000000001E-2</v>
      </c>
      <c r="Q1853">
        <v>1</v>
      </c>
      <c r="R1853">
        <v>1.5E-3</v>
      </c>
      <c r="T1853" s="8" t="s">
        <v>5367</v>
      </c>
    </row>
    <row r="1854" spans="1:20" x14ac:dyDescent="0.2">
      <c r="A1854" t="s">
        <v>5369</v>
      </c>
      <c r="B1854" t="s">
        <v>2022</v>
      </c>
      <c r="C1854" t="s">
        <v>2173</v>
      </c>
      <c r="D1854" t="s">
        <v>2024</v>
      </c>
      <c r="E1854" t="s">
        <v>5370</v>
      </c>
      <c r="F1854" t="s">
        <v>5371</v>
      </c>
      <c r="G1854">
        <v>5</v>
      </c>
      <c r="H1854">
        <v>2182.5</v>
      </c>
      <c r="I1854">
        <v>2</v>
      </c>
      <c r="J1854">
        <v>6.35</v>
      </c>
      <c r="K1854">
        <v>3</v>
      </c>
      <c r="L1854">
        <v>0.21</v>
      </c>
      <c r="M1854">
        <v>5</v>
      </c>
      <c r="N1854">
        <v>140.5</v>
      </c>
      <c r="O1854">
        <v>2</v>
      </c>
      <c r="P1854">
        <v>0.33</v>
      </c>
      <c r="Q1854">
        <v>3</v>
      </c>
      <c r="R1854">
        <v>1.18E-2</v>
      </c>
      <c r="T1854" s="8" t="s">
        <v>5370</v>
      </c>
    </row>
    <row r="1855" spans="1:20" x14ac:dyDescent="0.2">
      <c r="A1855" t="s">
        <v>5372</v>
      </c>
      <c r="B1855" t="s">
        <v>2022</v>
      </c>
      <c r="C1855" t="s">
        <v>2095</v>
      </c>
      <c r="D1855" t="s">
        <v>2024</v>
      </c>
      <c r="E1855" t="s">
        <v>5373</v>
      </c>
      <c r="F1855" t="s">
        <v>5374</v>
      </c>
      <c r="G1855">
        <v>5</v>
      </c>
      <c r="H1855">
        <v>1925</v>
      </c>
      <c r="I1855">
        <v>1</v>
      </c>
      <c r="J1855">
        <v>4.5</v>
      </c>
      <c r="K1855">
        <v>1</v>
      </c>
      <c r="L1855">
        <v>1.4999999999999999E-2</v>
      </c>
      <c r="M1855">
        <v>3</v>
      </c>
      <c r="N1855">
        <v>86</v>
      </c>
      <c r="O1855">
        <v>1</v>
      </c>
      <c r="P1855">
        <v>0.15</v>
      </c>
      <c r="Q1855">
        <v>1</v>
      </c>
      <c r="R1855">
        <v>6.9999999999999999E-4</v>
      </c>
      <c r="T1855" s="8" t="s">
        <v>5373</v>
      </c>
    </row>
    <row r="1856" spans="1:20" x14ac:dyDescent="0.2">
      <c r="A1856" t="s">
        <v>5375</v>
      </c>
      <c r="B1856" t="s">
        <v>2022</v>
      </c>
      <c r="C1856" t="s">
        <v>2023</v>
      </c>
      <c r="D1856" t="s">
        <v>2024</v>
      </c>
      <c r="E1856" t="s">
        <v>5376</v>
      </c>
      <c r="F1856" t="s">
        <v>5377</v>
      </c>
      <c r="G1856">
        <v>2</v>
      </c>
      <c r="H1856">
        <v>1560</v>
      </c>
      <c r="I1856">
        <v>3</v>
      </c>
      <c r="J1856">
        <v>5.9</v>
      </c>
      <c r="K1856">
        <v>5</v>
      </c>
      <c r="L1856">
        <v>8.5999999999999993E-2</v>
      </c>
      <c r="M1856">
        <v>4</v>
      </c>
      <c r="N1856">
        <v>104</v>
      </c>
      <c r="O1856">
        <v>3</v>
      </c>
      <c r="P1856">
        <v>0.375</v>
      </c>
      <c r="Q1856">
        <v>5</v>
      </c>
      <c r="R1856">
        <v>8.0000000000000002E-3</v>
      </c>
      <c r="T1856" s="8" t="s">
        <v>5376</v>
      </c>
    </row>
    <row r="1857" spans="1:20" x14ac:dyDescent="0.2">
      <c r="A1857" t="s">
        <v>5378</v>
      </c>
      <c r="B1857" t="s">
        <v>2022</v>
      </c>
      <c r="C1857" t="s">
        <v>2023</v>
      </c>
      <c r="D1857" t="s">
        <v>2024</v>
      </c>
      <c r="E1857" t="s">
        <v>5379</v>
      </c>
      <c r="F1857" t="s">
        <v>447</v>
      </c>
      <c r="G1857">
        <v>5</v>
      </c>
      <c r="H1857">
        <v>1800</v>
      </c>
      <c r="I1857">
        <v>3</v>
      </c>
      <c r="J1857">
        <v>5.9</v>
      </c>
      <c r="K1857">
        <v>5</v>
      </c>
      <c r="L1857">
        <v>8.5999999999999993E-2</v>
      </c>
      <c r="M1857">
        <v>4</v>
      </c>
      <c r="N1857">
        <v>104</v>
      </c>
      <c r="O1857">
        <v>3</v>
      </c>
      <c r="P1857">
        <v>0.375</v>
      </c>
      <c r="Q1857">
        <v>5</v>
      </c>
      <c r="R1857">
        <v>8.0000000000000002E-3</v>
      </c>
      <c r="T1857" s="8" t="s">
        <v>5379</v>
      </c>
    </row>
    <row r="1858" spans="1:20" x14ac:dyDescent="0.2">
      <c r="A1858" t="s">
        <v>5380</v>
      </c>
      <c r="B1858" t="s">
        <v>2022</v>
      </c>
      <c r="C1858" t="s">
        <v>2023</v>
      </c>
      <c r="D1858" t="s">
        <v>2154</v>
      </c>
      <c r="E1858" t="s">
        <v>5381</v>
      </c>
      <c r="F1858" t="s">
        <v>5382</v>
      </c>
      <c r="G1858">
        <v>1</v>
      </c>
      <c r="H1858">
        <v>1480</v>
      </c>
      <c r="I1858">
        <v>2</v>
      </c>
      <c r="J1858">
        <v>3.4</v>
      </c>
      <c r="K1858">
        <v>2</v>
      </c>
      <c r="L1858">
        <v>2.5999999999999999E-2</v>
      </c>
      <c r="M1858">
        <v>1</v>
      </c>
      <c r="N1858">
        <v>74</v>
      </c>
      <c r="O1858">
        <v>2</v>
      </c>
      <c r="P1858">
        <v>0.22500000000000001</v>
      </c>
      <c r="Q1858">
        <v>2</v>
      </c>
      <c r="R1858">
        <v>2E-3</v>
      </c>
      <c r="T1858" s="8" t="s">
        <v>5381</v>
      </c>
    </row>
    <row r="1859" spans="1:20" x14ac:dyDescent="0.2">
      <c r="A1859" t="s">
        <v>5383</v>
      </c>
      <c r="B1859" t="s">
        <v>2022</v>
      </c>
      <c r="C1859" t="s">
        <v>2023</v>
      </c>
      <c r="D1859" t="s">
        <v>2024</v>
      </c>
      <c r="E1859" t="s">
        <v>5384</v>
      </c>
      <c r="F1859" t="s">
        <v>5382</v>
      </c>
      <c r="G1859">
        <v>1</v>
      </c>
      <c r="H1859">
        <v>1480</v>
      </c>
      <c r="I1859">
        <v>2</v>
      </c>
      <c r="J1859">
        <v>3.4</v>
      </c>
      <c r="K1859">
        <v>2</v>
      </c>
      <c r="L1859">
        <v>2.5999999999999999E-2</v>
      </c>
      <c r="M1859">
        <v>1</v>
      </c>
      <c r="N1859">
        <v>74</v>
      </c>
      <c r="O1859">
        <v>2</v>
      </c>
      <c r="P1859">
        <v>0.22500000000000001</v>
      </c>
      <c r="Q1859">
        <v>2</v>
      </c>
      <c r="R1859">
        <v>2E-3</v>
      </c>
      <c r="T1859" s="8" t="s">
        <v>5384</v>
      </c>
    </row>
    <row r="1860" spans="1:20" x14ac:dyDescent="0.2">
      <c r="A1860" t="s">
        <v>5385</v>
      </c>
      <c r="B1860" t="s">
        <v>2022</v>
      </c>
      <c r="C1860" t="s">
        <v>2036</v>
      </c>
      <c r="D1860" t="s">
        <v>2024</v>
      </c>
      <c r="E1860" t="s">
        <v>5384</v>
      </c>
      <c r="F1860" t="s">
        <v>5382</v>
      </c>
      <c r="G1860">
        <v>3</v>
      </c>
      <c r="H1860">
        <v>1740</v>
      </c>
      <c r="I1860">
        <v>3</v>
      </c>
      <c r="J1860">
        <v>4.5999999999999996</v>
      </c>
      <c r="K1860">
        <v>3</v>
      </c>
      <c r="L1860">
        <v>0.115</v>
      </c>
      <c r="M1860">
        <v>3</v>
      </c>
      <c r="N1860">
        <v>88</v>
      </c>
      <c r="O1860">
        <v>2</v>
      </c>
      <c r="P1860">
        <v>0.20499999999999999</v>
      </c>
      <c r="Q1860">
        <v>3</v>
      </c>
      <c r="R1860">
        <v>6.7499999999999999E-3</v>
      </c>
      <c r="T1860" s="8" t="s">
        <v>5384</v>
      </c>
    </row>
    <row r="1861" spans="1:20" x14ac:dyDescent="0.2">
      <c r="A1861" t="s">
        <v>5386</v>
      </c>
      <c r="B1861" t="s">
        <v>2022</v>
      </c>
      <c r="C1861" t="s">
        <v>2049</v>
      </c>
      <c r="D1861" t="s">
        <v>2024</v>
      </c>
      <c r="E1861" t="s">
        <v>5387</v>
      </c>
      <c r="F1861" t="s">
        <v>5388</v>
      </c>
      <c r="G1861">
        <v>2</v>
      </c>
      <c r="H1861">
        <v>1450</v>
      </c>
      <c r="I1861">
        <v>3</v>
      </c>
      <c r="J1861">
        <v>5</v>
      </c>
      <c r="K1861">
        <v>3</v>
      </c>
      <c r="L1861">
        <v>0.14000000000000001</v>
      </c>
      <c r="M1861">
        <v>2</v>
      </c>
      <c r="N1861">
        <v>106</v>
      </c>
      <c r="O1861">
        <v>3</v>
      </c>
      <c r="P1861">
        <v>0.46</v>
      </c>
      <c r="Q1861">
        <v>3</v>
      </c>
      <c r="R1861">
        <v>1.52E-2</v>
      </c>
      <c r="T1861" s="8" t="s">
        <v>5387</v>
      </c>
    </row>
    <row r="1862" spans="1:20" x14ac:dyDescent="0.2">
      <c r="A1862" t="s">
        <v>5389</v>
      </c>
      <c r="B1862" t="s">
        <v>2022</v>
      </c>
      <c r="C1862" t="s">
        <v>2036</v>
      </c>
      <c r="D1862" t="s">
        <v>2024</v>
      </c>
      <c r="E1862" t="s">
        <v>5390</v>
      </c>
      <c r="F1862" t="s">
        <v>447</v>
      </c>
      <c r="G1862">
        <v>1</v>
      </c>
      <c r="H1862">
        <v>1540</v>
      </c>
      <c r="I1862">
        <v>4</v>
      </c>
      <c r="J1862">
        <v>5.8</v>
      </c>
      <c r="K1862">
        <v>4</v>
      </c>
      <c r="L1862">
        <v>0.14499999999999999</v>
      </c>
      <c r="M1862">
        <v>4</v>
      </c>
      <c r="N1862">
        <v>94</v>
      </c>
      <c r="O1862">
        <v>3</v>
      </c>
      <c r="P1862">
        <v>0.315</v>
      </c>
      <c r="Q1862">
        <v>4</v>
      </c>
      <c r="R1862">
        <v>9.2499999999999995E-3</v>
      </c>
      <c r="T1862" s="8" t="s">
        <v>5390</v>
      </c>
    </row>
    <row r="1863" spans="1:20" x14ac:dyDescent="0.2">
      <c r="A1863" t="s">
        <v>5391</v>
      </c>
      <c r="B1863" t="s">
        <v>2022</v>
      </c>
      <c r="C1863" t="s">
        <v>2053</v>
      </c>
      <c r="D1863" t="s">
        <v>2136</v>
      </c>
      <c r="E1863" t="s">
        <v>5392</v>
      </c>
      <c r="F1863" t="s">
        <v>5393</v>
      </c>
      <c r="G1863">
        <v>2</v>
      </c>
      <c r="H1863">
        <v>1600</v>
      </c>
      <c r="I1863">
        <v>5</v>
      </c>
      <c r="J1863">
        <v>11.55</v>
      </c>
      <c r="K1863">
        <v>5</v>
      </c>
      <c r="L1863">
        <v>0.41499999999999998</v>
      </c>
      <c r="M1863">
        <v>5</v>
      </c>
      <c r="N1863">
        <v>113</v>
      </c>
      <c r="O1863">
        <v>5</v>
      </c>
      <c r="P1863">
        <v>0.67500000000000004</v>
      </c>
      <c r="Q1863">
        <v>5</v>
      </c>
      <c r="R1863">
        <v>2.6200000000000001E-2</v>
      </c>
      <c r="T1863" s="8" t="s">
        <v>5392</v>
      </c>
    </row>
    <row r="1864" spans="1:20" x14ac:dyDescent="0.2">
      <c r="A1864" t="s">
        <v>5394</v>
      </c>
      <c r="B1864" t="s">
        <v>2022</v>
      </c>
      <c r="C1864" t="s">
        <v>2053</v>
      </c>
      <c r="D1864" t="s">
        <v>2024</v>
      </c>
      <c r="E1864" t="s">
        <v>5395</v>
      </c>
      <c r="F1864" t="s">
        <v>5396</v>
      </c>
      <c r="G1864">
        <v>2</v>
      </c>
      <c r="H1864">
        <v>1600</v>
      </c>
      <c r="I1864">
        <v>2</v>
      </c>
      <c r="J1864">
        <v>4.05</v>
      </c>
      <c r="K1864">
        <v>2</v>
      </c>
      <c r="L1864">
        <v>8.5000000000000006E-2</v>
      </c>
      <c r="M1864">
        <v>3</v>
      </c>
      <c r="N1864">
        <v>93</v>
      </c>
      <c r="O1864">
        <v>2</v>
      </c>
      <c r="P1864">
        <v>0.22500000000000001</v>
      </c>
      <c r="Q1864">
        <v>2</v>
      </c>
      <c r="R1864">
        <v>5.1999999999999998E-3</v>
      </c>
      <c r="T1864" s="8" t="s">
        <v>5395</v>
      </c>
    </row>
    <row r="1865" spans="1:20" x14ac:dyDescent="0.2">
      <c r="A1865" t="s">
        <v>5397</v>
      </c>
      <c r="B1865" t="s">
        <v>2022</v>
      </c>
      <c r="C1865" t="s">
        <v>2023</v>
      </c>
      <c r="D1865" t="s">
        <v>2024</v>
      </c>
      <c r="E1865" t="s">
        <v>5398</v>
      </c>
      <c r="F1865" t="s">
        <v>5399</v>
      </c>
      <c r="G1865">
        <v>1</v>
      </c>
      <c r="H1865">
        <v>1480</v>
      </c>
      <c r="I1865">
        <v>2</v>
      </c>
      <c r="J1865">
        <v>3.4</v>
      </c>
      <c r="K1865">
        <v>2</v>
      </c>
      <c r="L1865">
        <v>2.5999999999999999E-2</v>
      </c>
      <c r="M1865">
        <v>1</v>
      </c>
      <c r="N1865">
        <v>74</v>
      </c>
      <c r="O1865">
        <v>2</v>
      </c>
      <c r="P1865">
        <v>0.22500000000000001</v>
      </c>
      <c r="Q1865">
        <v>1</v>
      </c>
      <c r="R1865">
        <v>5.0000000000000001E-4</v>
      </c>
      <c r="T1865" s="8" t="s">
        <v>5398</v>
      </c>
    </row>
    <row r="1866" spans="1:20" x14ac:dyDescent="0.2">
      <c r="A1866" t="s">
        <v>5400</v>
      </c>
      <c r="B1866" t="s">
        <v>2022</v>
      </c>
      <c r="C1866" t="s">
        <v>2023</v>
      </c>
      <c r="D1866" t="s">
        <v>2024</v>
      </c>
      <c r="E1866" t="s">
        <v>5401</v>
      </c>
      <c r="F1866" t="s">
        <v>5402</v>
      </c>
      <c r="G1866">
        <v>1</v>
      </c>
      <c r="H1866">
        <v>1480</v>
      </c>
      <c r="I1866">
        <v>1</v>
      </c>
      <c r="J1866">
        <v>0.9</v>
      </c>
      <c r="K1866">
        <v>2</v>
      </c>
      <c r="L1866">
        <v>2.5999999999999999E-2</v>
      </c>
      <c r="M1866">
        <v>5</v>
      </c>
      <c r="N1866">
        <v>114</v>
      </c>
      <c r="O1866">
        <v>2</v>
      </c>
      <c r="P1866">
        <v>0.22500000000000001</v>
      </c>
      <c r="Q1866">
        <v>2</v>
      </c>
      <c r="R1866">
        <v>2E-3</v>
      </c>
      <c r="T1866" s="8" t="s">
        <v>5401</v>
      </c>
    </row>
    <row r="1867" spans="1:20" x14ac:dyDescent="0.2">
      <c r="A1867" t="s">
        <v>5403</v>
      </c>
      <c r="B1867" t="s">
        <v>2022</v>
      </c>
      <c r="C1867" t="s">
        <v>2104</v>
      </c>
      <c r="D1867" t="s">
        <v>2024</v>
      </c>
      <c r="E1867" t="s">
        <v>5404</v>
      </c>
      <c r="F1867" t="s">
        <v>5405</v>
      </c>
      <c r="G1867">
        <v>2</v>
      </c>
      <c r="H1867">
        <v>1712.5</v>
      </c>
      <c r="I1867">
        <v>2</v>
      </c>
      <c r="J1867">
        <v>3.25</v>
      </c>
      <c r="K1867">
        <v>2</v>
      </c>
      <c r="L1867">
        <v>4.1000000000000002E-2</v>
      </c>
      <c r="M1867">
        <v>2</v>
      </c>
      <c r="N1867">
        <v>65</v>
      </c>
      <c r="P1867">
        <v>0</v>
      </c>
      <c r="Q1867">
        <v>2</v>
      </c>
      <c r="R1867">
        <v>3.2000000000000002E-3</v>
      </c>
      <c r="T1867" s="8" t="s">
        <v>5404</v>
      </c>
    </row>
    <row r="1868" spans="1:20" x14ac:dyDescent="0.2">
      <c r="A1868" t="s">
        <v>5406</v>
      </c>
      <c r="B1868" t="s">
        <v>2022</v>
      </c>
      <c r="C1868" t="s">
        <v>2023</v>
      </c>
      <c r="D1868" t="s">
        <v>2024</v>
      </c>
      <c r="E1868" t="s">
        <v>5407</v>
      </c>
      <c r="F1868" t="s">
        <v>5408</v>
      </c>
      <c r="G1868">
        <v>3</v>
      </c>
      <c r="H1868">
        <v>1640</v>
      </c>
      <c r="I1868">
        <v>3</v>
      </c>
      <c r="J1868">
        <v>5.9</v>
      </c>
      <c r="K1868">
        <v>2</v>
      </c>
      <c r="L1868">
        <v>2.5999999999999999E-2</v>
      </c>
      <c r="M1868">
        <v>2</v>
      </c>
      <c r="N1868">
        <v>84</v>
      </c>
      <c r="O1868">
        <v>3</v>
      </c>
      <c r="P1868">
        <v>0.375</v>
      </c>
      <c r="Q1868">
        <v>2</v>
      </c>
      <c r="R1868">
        <v>2E-3</v>
      </c>
      <c r="T1868" s="8" t="s">
        <v>5407</v>
      </c>
    </row>
    <row r="1869" spans="1:20" x14ac:dyDescent="0.2">
      <c r="A1869" t="s">
        <v>5409</v>
      </c>
      <c r="B1869" t="s">
        <v>2022</v>
      </c>
      <c r="C1869" t="s">
        <v>2023</v>
      </c>
      <c r="D1869" t="s">
        <v>2024</v>
      </c>
      <c r="E1869" t="s">
        <v>5410</v>
      </c>
      <c r="F1869" t="s">
        <v>5411</v>
      </c>
      <c r="G1869">
        <v>3</v>
      </c>
      <c r="H1869">
        <v>1640</v>
      </c>
      <c r="I1869">
        <v>5</v>
      </c>
      <c r="J1869">
        <v>10.9</v>
      </c>
      <c r="K1869">
        <v>5</v>
      </c>
      <c r="L1869">
        <v>8.5999999999999993E-2</v>
      </c>
      <c r="M1869">
        <v>3</v>
      </c>
      <c r="N1869">
        <v>94</v>
      </c>
      <c r="O1869">
        <v>4</v>
      </c>
      <c r="P1869">
        <v>0.52500000000000002</v>
      </c>
      <c r="Q1869">
        <v>5</v>
      </c>
      <c r="R1869">
        <v>8.0000000000000002E-3</v>
      </c>
      <c r="T1869" s="8" t="s">
        <v>5410</v>
      </c>
    </row>
    <row r="1870" spans="1:20" x14ac:dyDescent="0.2">
      <c r="A1870" t="s">
        <v>5412</v>
      </c>
      <c r="B1870" t="s">
        <v>2022</v>
      </c>
      <c r="C1870" t="s">
        <v>2053</v>
      </c>
      <c r="D1870" t="s">
        <v>2024</v>
      </c>
      <c r="E1870" t="s">
        <v>5413</v>
      </c>
      <c r="F1870" t="s">
        <v>5414</v>
      </c>
      <c r="G1870">
        <v>5</v>
      </c>
      <c r="H1870">
        <v>1900</v>
      </c>
      <c r="I1870">
        <v>1</v>
      </c>
      <c r="J1870">
        <v>1.55</v>
      </c>
      <c r="K1870">
        <v>1</v>
      </c>
      <c r="L1870">
        <v>1.4999999999999999E-2</v>
      </c>
      <c r="M1870">
        <v>3</v>
      </c>
      <c r="N1870">
        <v>93</v>
      </c>
      <c r="O1870">
        <v>1</v>
      </c>
      <c r="P1870">
        <v>7.4999999999999997E-2</v>
      </c>
      <c r="Q1870">
        <v>1</v>
      </c>
      <c r="R1870">
        <v>8.4999999999999995E-4</v>
      </c>
      <c r="T1870" s="8" t="s">
        <v>5413</v>
      </c>
    </row>
    <row r="1871" spans="1:20" x14ac:dyDescent="0.2">
      <c r="A1871" t="s">
        <v>5415</v>
      </c>
      <c r="B1871" t="s">
        <v>2022</v>
      </c>
      <c r="C1871" t="s">
        <v>2101</v>
      </c>
      <c r="D1871" t="s">
        <v>2024</v>
      </c>
      <c r="E1871" t="s">
        <v>5416</v>
      </c>
      <c r="F1871" t="s">
        <v>5417</v>
      </c>
      <c r="G1871">
        <v>2</v>
      </c>
      <c r="H1871">
        <v>1670</v>
      </c>
      <c r="I1871">
        <v>2</v>
      </c>
      <c r="J1871">
        <v>5</v>
      </c>
      <c r="K1871">
        <v>2</v>
      </c>
      <c r="L1871">
        <v>9.6500000000000002E-2</v>
      </c>
      <c r="M1871">
        <v>3</v>
      </c>
      <c r="N1871">
        <v>82</v>
      </c>
      <c r="O1871">
        <v>2</v>
      </c>
      <c r="P1871">
        <v>0.22500000000000001</v>
      </c>
      <c r="Q1871">
        <v>2</v>
      </c>
      <c r="R1871">
        <v>4.4999999999999997E-3</v>
      </c>
      <c r="T1871" s="8" t="s">
        <v>5416</v>
      </c>
    </row>
    <row r="1872" spans="1:20" x14ac:dyDescent="0.2">
      <c r="A1872" t="s">
        <v>5418</v>
      </c>
      <c r="B1872" t="s">
        <v>2022</v>
      </c>
      <c r="C1872" t="s">
        <v>2023</v>
      </c>
      <c r="D1872" t="s">
        <v>2024</v>
      </c>
      <c r="E1872" t="s">
        <v>5419</v>
      </c>
      <c r="F1872" t="s">
        <v>5420</v>
      </c>
      <c r="G1872">
        <v>4</v>
      </c>
      <c r="H1872">
        <v>1720</v>
      </c>
      <c r="I1872">
        <v>4</v>
      </c>
      <c r="J1872">
        <v>8.4</v>
      </c>
      <c r="K1872">
        <v>5</v>
      </c>
      <c r="L1872">
        <v>8.5999999999999993E-2</v>
      </c>
      <c r="M1872">
        <v>5</v>
      </c>
      <c r="N1872">
        <v>114</v>
      </c>
      <c r="O1872">
        <v>4</v>
      </c>
      <c r="P1872">
        <v>0.52500000000000002</v>
      </c>
      <c r="Q1872">
        <v>5</v>
      </c>
      <c r="R1872">
        <v>8.0000000000000002E-3</v>
      </c>
      <c r="T1872" s="8" t="s">
        <v>5419</v>
      </c>
    </row>
    <row r="1873" spans="1:20" x14ac:dyDescent="0.2">
      <c r="A1873" t="s">
        <v>5421</v>
      </c>
      <c r="B1873" t="s">
        <v>2022</v>
      </c>
      <c r="C1873" t="s">
        <v>2036</v>
      </c>
      <c r="D1873" t="s">
        <v>2024</v>
      </c>
      <c r="E1873" t="s">
        <v>5419</v>
      </c>
      <c r="F1873" t="s">
        <v>5420</v>
      </c>
      <c r="G1873">
        <v>5</v>
      </c>
      <c r="H1873">
        <v>1940</v>
      </c>
      <c r="I1873">
        <v>5</v>
      </c>
      <c r="J1873">
        <v>7</v>
      </c>
      <c r="K1873">
        <v>5</v>
      </c>
      <c r="L1873">
        <v>0.17499999999999999</v>
      </c>
      <c r="M1873">
        <v>4</v>
      </c>
      <c r="N1873">
        <v>94</v>
      </c>
      <c r="O1873">
        <v>5</v>
      </c>
      <c r="P1873">
        <v>0.53500000000000003</v>
      </c>
      <c r="Q1873">
        <v>5</v>
      </c>
      <c r="R1873">
        <v>1.2E-2</v>
      </c>
      <c r="T1873" s="8" t="s">
        <v>5419</v>
      </c>
    </row>
    <row r="1874" spans="1:20" x14ac:dyDescent="0.2">
      <c r="A1874" t="s">
        <v>5422</v>
      </c>
      <c r="B1874" t="s">
        <v>2022</v>
      </c>
      <c r="C1874" t="s">
        <v>2053</v>
      </c>
      <c r="D1874" t="s">
        <v>2024</v>
      </c>
      <c r="E1874" t="s">
        <v>5423</v>
      </c>
      <c r="F1874" t="s">
        <v>5424</v>
      </c>
      <c r="G1874">
        <v>4</v>
      </c>
      <c r="H1874">
        <v>1800</v>
      </c>
      <c r="I1874">
        <v>2</v>
      </c>
      <c r="J1874">
        <v>4.05</v>
      </c>
      <c r="K1874">
        <v>2</v>
      </c>
      <c r="L1874">
        <v>8.5000000000000006E-2</v>
      </c>
      <c r="M1874">
        <v>3</v>
      </c>
      <c r="N1874">
        <v>93</v>
      </c>
      <c r="O1874">
        <v>2</v>
      </c>
      <c r="P1874">
        <v>0.22500000000000001</v>
      </c>
      <c r="Q1874">
        <v>2</v>
      </c>
      <c r="R1874">
        <v>5.1999999999999998E-3</v>
      </c>
      <c r="T1874" s="8" t="s">
        <v>5423</v>
      </c>
    </row>
    <row r="1875" spans="1:20" x14ac:dyDescent="0.2">
      <c r="A1875" t="s">
        <v>5425</v>
      </c>
      <c r="B1875" t="s">
        <v>2022</v>
      </c>
      <c r="C1875" t="s">
        <v>2053</v>
      </c>
      <c r="D1875" t="s">
        <v>2024</v>
      </c>
      <c r="E1875" t="s">
        <v>5426</v>
      </c>
      <c r="F1875" t="s">
        <v>5427</v>
      </c>
      <c r="G1875">
        <v>1</v>
      </c>
      <c r="H1875">
        <v>1500</v>
      </c>
      <c r="I1875">
        <v>4</v>
      </c>
      <c r="J1875">
        <v>9.0500000000000007</v>
      </c>
      <c r="K1875">
        <v>5</v>
      </c>
      <c r="L1875">
        <v>0.41499999999999998</v>
      </c>
      <c r="M1875">
        <v>5</v>
      </c>
      <c r="N1875">
        <v>113</v>
      </c>
      <c r="O1875">
        <v>5</v>
      </c>
      <c r="P1875">
        <v>0.67500000000000004</v>
      </c>
      <c r="Q1875">
        <v>5</v>
      </c>
      <c r="R1875">
        <v>2.6200000000000001E-2</v>
      </c>
      <c r="T1875" s="8" t="s">
        <v>5426</v>
      </c>
    </row>
    <row r="1876" spans="1:20" x14ac:dyDescent="0.2">
      <c r="A1876" t="s">
        <v>5428</v>
      </c>
      <c r="B1876" t="s">
        <v>2022</v>
      </c>
      <c r="C1876" t="s">
        <v>2023</v>
      </c>
      <c r="D1876" t="s">
        <v>2024</v>
      </c>
      <c r="E1876" t="s">
        <v>5429</v>
      </c>
      <c r="F1876" t="s">
        <v>5430</v>
      </c>
      <c r="G1876">
        <v>1</v>
      </c>
      <c r="H1876">
        <v>1480</v>
      </c>
      <c r="I1876">
        <v>1</v>
      </c>
      <c r="J1876">
        <v>0.9</v>
      </c>
      <c r="K1876">
        <v>1</v>
      </c>
      <c r="L1876">
        <v>6.0000000000000001E-3</v>
      </c>
      <c r="M1876">
        <v>3</v>
      </c>
      <c r="N1876">
        <v>94</v>
      </c>
      <c r="O1876">
        <v>1</v>
      </c>
      <c r="P1876">
        <v>7.4999999999999997E-2</v>
      </c>
      <c r="Q1876">
        <v>1</v>
      </c>
      <c r="R1876">
        <v>5.0000000000000001E-4</v>
      </c>
      <c r="T1876" s="8" t="s">
        <v>5429</v>
      </c>
    </row>
    <row r="1877" spans="1:20" x14ac:dyDescent="0.2">
      <c r="A1877" t="s">
        <v>5431</v>
      </c>
      <c r="B1877" t="s">
        <v>2022</v>
      </c>
      <c r="C1877" t="s">
        <v>2036</v>
      </c>
      <c r="D1877" t="s">
        <v>2024</v>
      </c>
      <c r="E1877" t="s">
        <v>5429</v>
      </c>
      <c r="F1877" t="s">
        <v>5430</v>
      </c>
      <c r="G1877">
        <v>1</v>
      </c>
      <c r="H1877">
        <v>1540</v>
      </c>
      <c r="I1877">
        <v>1</v>
      </c>
      <c r="J1877">
        <v>2.2000000000000002</v>
      </c>
      <c r="K1877">
        <v>1</v>
      </c>
      <c r="L1877">
        <v>5.5E-2</v>
      </c>
      <c r="M1877">
        <v>1</v>
      </c>
      <c r="N1877">
        <v>76</v>
      </c>
      <c r="O1877">
        <v>1</v>
      </c>
      <c r="P1877">
        <v>9.5000000000000001E-2</v>
      </c>
      <c r="Q1877">
        <v>1</v>
      </c>
      <c r="R1877">
        <v>1.5E-3</v>
      </c>
      <c r="T1877" s="8" t="s">
        <v>5429</v>
      </c>
    </row>
    <row r="1878" spans="1:20" x14ac:dyDescent="0.2">
      <c r="A1878" t="s">
        <v>5432</v>
      </c>
      <c r="B1878" t="s">
        <v>2022</v>
      </c>
      <c r="C1878" t="s">
        <v>2053</v>
      </c>
      <c r="D1878" t="s">
        <v>2024</v>
      </c>
      <c r="E1878" t="s">
        <v>5433</v>
      </c>
      <c r="F1878" t="s">
        <v>5434</v>
      </c>
      <c r="G1878">
        <v>1</v>
      </c>
      <c r="H1878">
        <v>1500</v>
      </c>
      <c r="I1878">
        <v>2</v>
      </c>
      <c r="J1878">
        <v>4.05</v>
      </c>
      <c r="K1878">
        <v>2</v>
      </c>
      <c r="L1878">
        <v>8.5000000000000006E-2</v>
      </c>
      <c r="M1878">
        <v>5</v>
      </c>
      <c r="N1878">
        <v>113</v>
      </c>
      <c r="O1878">
        <v>2</v>
      </c>
      <c r="P1878">
        <v>0.22500000000000001</v>
      </c>
      <c r="Q1878">
        <v>2</v>
      </c>
      <c r="R1878">
        <v>5.1999999999999998E-3</v>
      </c>
      <c r="T1878" s="8" t="s">
        <v>5433</v>
      </c>
    </row>
    <row r="1879" spans="1:20" x14ac:dyDescent="0.2">
      <c r="A1879" t="s">
        <v>5435</v>
      </c>
      <c r="B1879" t="s">
        <v>2022</v>
      </c>
      <c r="C1879" t="s">
        <v>2023</v>
      </c>
      <c r="D1879" t="s">
        <v>2024</v>
      </c>
      <c r="E1879" t="s">
        <v>5436</v>
      </c>
      <c r="F1879" t="s">
        <v>5437</v>
      </c>
      <c r="G1879">
        <v>2</v>
      </c>
      <c r="H1879">
        <v>1560</v>
      </c>
      <c r="I1879">
        <v>2</v>
      </c>
      <c r="J1879">
        <v>3.4</v>
      </c>
      <c r="K1879">
        <v>2</v>
      </c>
      <c r="L1879">
        <v>2.5999999999999999E-2</v>
      </c>
      <c r="M1879">
        <v>2</v>
      </c>
      <c r="N1879">
        <v>84</v>
      </c>
      <c r="O1879">
        <v>1</v>
      </c>
      <c r="P1879">
        <v>7.4999999999999997E-2</v>
      </c>
      <c r="Q1879">
        <v>2</v>
      </c>
      <c r="R1879">
        <v>2E-3</v>
      </c>
      <c r="T1879" s="8" t="s">
        <v>5436</v>
      </c>
    </row>
    <row r="1880" spans="1:20" x14ac:dyDescent="0.2">
      <c r="A1880" t="s">
        <v>5438</v>
      </c>
      <c r="B1880" t="s">
        <v>2022</v>
      </c>
      <c r="C1880" t="s">
        <v>2036</v>
      </c>
      <c r="D1880" t="s">
        <v>2024</v>
      </c>
      <c r="E1880" t="s">
        <v>5439</v>
      </c>
      <c r="F1880" t="s">
        <v>5440</v>
      </c>
      <c r="G1880">
        <v>1</v>
      </c>
      <c r="H1880">
        <v>1540</v>
      </c>
      <c r="I1880">
        <v>1</v>
      </c>
      <c r="J1880">
        <v>2.2000000000000002</v>
      </c>
      <c r="K1880">
        <v>1</v>
      </c>
      <c r="L1880">
        <v>5.5E-2</v>
      </c>
      <c r="M1880">
        <v>2</v>
      </c>
      <c r="N1880">
        <v>82</v>
      </c>
      <c r="O1880">
        <v>1</v>
      </c>
      <c r="P1880">
        <v>9.5000000000000001E-2</v>
      </c>
      <c r="Q1880">
        <v>1</v>
      </c>
      <c r="R1880">
        <v>1.5E-3</v>
      </c>
      <c r="T1880" s="8" t="s">
        <v>5439</v>
      </c>
    </row>
    <row r="1881" spans="1:20" x14ac:dyDescent="0.2">
      <c r="A1881" t="s">
        <v>5441</v>
      </c>
      <c r="B1881" t="s">
        <v>2022</v>
      </c>
      <c r="C1881" t="s">
        <v>2053</v>
      </c>
      <c r="D1881" t="s">
        <v>2024</v>
      </c>
      <c r="E1881" t="s">
        <v>5439</v>
      </c>
      <c r="F1881" t="s">
        <v>5440</v>
      </c>
      <c r="G1881">
        <v>1</v>
      </c>
      <c r="H1881">
        <v>1500</v>
      </c>
      <c r="I1881">
        <v>1</v>
      </c>
      <c r="J1881">
        <v>1.55</v>
      </c>
      <c r="K1881">
        <v>1</v>
      </c>
      <c r="L1881">
        <v>1.4999999999999999E-2</v>
      </c>
      <c r="M1881">
        <v>3</v>
      </c>
      <c r="N1881">
        <v>93</v>
      </c>
      <c r="O1881">
        <v>1</v>
      </c>
      <c r="P1881">
        <v>7.4999999999999997E-2</v>
      </c>
      <c r="Q1881">
        <v>1</v>
      </c>
      <c r="R1881">
        <v>8.4999999999999995E-4</v>
      </c>
      <c r="T1881" s="8" t="s">
        <v>5439</v>
      </c>
    </row>
    <row r="1882" spans="1:20" x14ac:dyDescent="0.2">
      <c r="A1882" t="s">
        <v>5442</v>
      </c>
      <c r="B1882" t="s">
        <v>2022</v>
      </c>
      <c r="C1882" t="s">
        <v>2101</v>
      </c>
      <c r="D1882" t="s">
        <v>2024</v>
      </c>
      <c r="E1882" t="s">
        <v>5443</v>
      </c>
      <c r="F1882" t="s">
        <v>5444</v>
      </c>
      <c r="G1882">
        <v>3</v>
      </c>
      <c r="H1882">
        <v>1770</v>
      </c>
      <c r="I1882">
        <v>2</v>
      </c>
      <c r="J1882">
        <v>5</v>
      </c>
      <c r="K1882">
        <v>2</v>
      </c>
      <c r="L1882">
        <v>9.6500000000000002E-2</v>
      </c>
      <c r="M1882">
        <v>3</v>
      </c>
      <c r="N1882">
        <v>82</v>
      </c>
      <c r="O1882">
        <v>2</v>
      </c>
      <c r="P1882">
        <v>0.22500000000000001</v>
      </c>
      <c r="Q1882">
        <v>2</v>
      </c>
      <c r="R1882">
        <v>4.4999999999999997E-3</v>
      </c>
      <c r="T1882" s="8" t="s">
        <v>5443</v>
      </c>
    </row>
    <row r="1883" spans="1:20" x14ac:dyDescent="0.2">
      <c r="A1883" t="s">
        <v>5445</v>
      </c>
      <c r="B1883" t="s">
        <v>2022</v>
      </c>
      <c r="C1883" t="s">
        <v>2023</v>
      </c>
      <c r="D1883" t="s">
        <v>2024</v>
      </c>
      <c r="E1883" t="s">
        <v>5446</v>
      </c>
      <c r="F1883" t="s">
        <v>5447</v>
      </c>
      <c r="G1883">
        <v>4</v>
      </c>
      <c r="H1883">
        <v>1720</v>
      </c>
      <c r="I1883">
        <v>2</v>
      </c>
      <c r="J1883">
        <v>3.4</v>
      </c>
      <c r="K1883">
        <v>1</v>
      </c>
      <c r="L1883">
        <v>6.0000000000000001E-3</v>
      </c>
      <c r="M1883">
        <v>2</v>
      </c>
      <c r="N1883">
        <v>84</v>
      </c>
      <c r="O1883">
        <v>2</v>
      </c>
      <c r="P1883">
        <v>0.22500000000000001</v>
      </c>
      <c r="Q1883">
        <v>1</v>
      </c>
      <c r="R1883">
        <v>5.0000000000000001E-4</v>
      </c>
      <c r="T1883" s="8" t="s">
        <v>5446</v>
      </c>
    </row>
    <row r="1884" spans="1:20" x14ac:dyDescent="0.2">
      <c r="A1884" t="s">
        <v>5448</v>
      </c>
      <c r="B1884" t="s">
        <v>2022</v>
      </c>
      <c r="C1884" t="s">
        <v>2049</v>
      </c>
      <c r="D1884" t="s">
        <v>2024</v>
      </c>
      <c r="E1884" t="s">
        <v>5449</v>
      </c>
      <c r="F1884" t="s">
        <v>5450</v>
      </c>
      <c r="G1884">
        <v>1</v>
      </c>
      <c r="H1884">
        <v>1350</v>
      </c>
      <c r="I1884">
        <v>3</v>
      </c>
      <c r="J1884">
        <v>5</v>
      </c>
      <c r="K1884">
        <v>4</v>
      </c>
      <c r="L1884">
        <v>0.22</v>
      </c>
      <c r="M1884">
        <v>5</v>
      </c>
      <c r="N1884">
        <v>166</v>
      </c>
      <c r="O1884">
        <v>5</v>
      </c>
      <c r="P1884">
        <v>0.86</v>
      </c>
      <c r="Q1884">
        <v>5</v>
      </c>
      <c r="R1884">
        <v>3.32E-2</v>
      </c>
      <c r="T1884" s="8" t="s">
        <v>5449</v>
      </c>
    </row>
    <row r="1885" spans="1:20" x14ac:dyDescent="0.2">
      <c r="A1885" t="s">
        <v>5451</v>
      </c>
      <c r="B1885" t="s">
        <v>2022</v>
      </c>
      <c r="C1885" t="s">
        <v>2053</v>
      </c>
      <c r="E1885" t="s">
        <v>5452</v>
      </c>
      <c r="F1885" t="s">
        <v>1998</v>
      </c>
      <c r="G1885">
        <v>2</v>
      </c>
      <c r="H1885">
        <v>1600</v>
      </c>
      <c r="I1885">
        <v>1</v>
      </c>
      <c r="J1885">
        <v>1.55</v>
      </c>
      <c r="K1885">
        <v>1</v>
      </c>
      <c r="L1885">
        <v>1.4999999999999999E-2</v>
      </c>
      <c r="M1885">
        <v>3</v>
      </c>
      <c r="N1885">
        <v>93</v>
      </c>
      <c r="O1885">
        <v>1</v>
      </c>
      <c r="P1885">
        <v>7.4999999999999997E-2</v>
      </c>
      <c r="Q1885">
        <v>1</v>
      </c>
      <c r="R1885">
        <v>8.4999999999999995E-4</v>
      </c>
      <c r="T1885" s="8" t="s">
        <v>5452</v>
      </c>
    </row>
    <row r="1886" spans="1:20" x14ac:dyDescent="0.2">
      <c r="A1886" t="s">
        <v>5453</v>
      </c>
      <c r="B1886" t="s">
        <v>2022</v>
      </c>
      <c r="C1886" t="s">
        <v>2023</v>
      </c>
      <c r="E1886" t="s">
        <v>5454</v>
      </c>
      <c r="F1886" t="s">
        <v>1998</v>
      </c>
      <c r="G1886">
        <v>2</v>
      </c>
      <c r="H1886">
        <v>1560</v>
      </c>
      <c r="I1886">
        <v>1</v>
      </c>
      <c r="J1886">
        <v>0.9</v>
      </c>
      <c r="K1886">
        <v>1</v>
      </c>
      <c r="L1886">
        <v>8.9999999999999993E-3</v>
      </c>
      <c r="M1886">
        <v>4</v>
      </c>
      <c r="N1886">
        <v>104</v>
      </c>
      <c r="O1886">
        <v>1</v>
      </c>
      <c r="P1886">
        <v>7.4999999999999997E-2</v>
      </c>
      <c r="Q1886">
        <v>1</v>
      </c>
      <c r="R1886">
        <v>5.0000000000000001E-4</v>
      </c>
      <c r="T1886" s="8" t="s">
        <v>5454</v>
      </c>
    </row>
    <row r="1887" spans="1:20" x14ac:dyDescent="0.2">
      <c r="A1887" t="s">
        <v>5455</v>
      </c>
      <c r="B1887" t="s">
        <v>2022</v>
      </c>
      <c r="C1887" t="s">
        <v>2101</v>
      </c>
      <c r="D1887" t="s">
        <v>2024</v>
      </c>
      <c r="E1887" t="s">
        <v>357</v>
      </c>
      <c r="F1887" t="s">
        <v>5456</v>
      </c>
      <c r="G1887">
        <v>4</v>
      </c>
      <c r="H1887">
        <v>1870</v>
      </c>
      <c r="I1887">
        <v>2</v>
      </c>
      <c r="J1887">
        <v>5</v>
      </c>
      <c r="K1887">
        <v>2</v>
      </c>
      <c r="L1887">
        <v>9.6500000000000002E-2</v>
      </c>
      <c r="M1887">
        <v>3</v>
      </c>
      <c r="N1887">
        <v>82</v>
      </c>
      <c r="O1887">
        <v>2</v>
      </c>
      <c r="P1887">
        <v>0.22500000000000001</v>
      </c>
      <c r="Q1887">
        <v>2</v>
      </c>
      <c r="R1887">
        <v>4.4999999999999997E-3</v>
      </c>
      <c r="T1887" s="8" t="s">
        <v>357</v>
      </c>
    </row>
    <row r="1888" spans="1:20" x14ac:dyDescent="0.2">
      <c r="A1888" t="s">
        <v>5457</v>
      </c>
      <c r="B1888" t="s">
        <v>2022</v>
      </c>
      <c r="C1888" t="s">
        <v>2104</v>
      </c>
      <c r="D1888" t="s">
        <v>2136</v>
      </c>
      <c r="E1888" t="s">
        <v>357</v>
      </c>
      <c r="F1888" t="s">
        <v>5456</v>
      </c>
      <c r="G1888">
        <v>4</v>
      </c>
      <c r="H1888">
        <v>2062.5</v>
      </c>
      <c r="I1888">
        <v>2</v>
      </c>
      <c r="J1888">
        <v>3.25</v>
      </c>
      <c r="K1888">
        <v>2</v>
      </c>
      <c r="L1888">
        <v>4.1000000000000002E-2</v>
      </c>
      <c r="M1888">
        <v>3</v>
      </c>
      <c r="N1888">
        <v>73</v>
      </c>
      <c r="P1888">
        <v>0</v>
      </c>
      <c r="Q1888">
        <v>1</v>
      </c>
      <c r="R1888">
        <v>3.5E-4</v>
      </c>
      <c r="T1888" s="8" t="s">
        <v>357</v>
      </c>
    </row>
    <row r="1889" spans="1:20" x14ac:dyDescent="0.2">
      <c r="A1889" t="s">
        <v>5458</v>
      </c>
      <c r="B1889" t="s">
        <v>2022</v>
      </c>
      <c r="C1889" t="s">
        <v>2104</v>
      </c>
      <c r="D1889" t="s">
        <v>2136</v>
      </c>
      <c r="E1889" t="s">
        <v>357</v>
      </c>
      <c r="F1889" t="s">
        <v>5456</v>
      </c>
      <c r="G1889">
        <v>2</v>
      </c>
      <c r="H1889">
        <v>1712.5</v>
      </c>
      <c r="I1889">
        <v>2</v>
      </c>
      <c r="J1889">
        <v>3.25</v>
      </c>
      <c r="K1889">
        <v>2</v>
      </c>
      <c r="L1889">
        <v>4.1000000000000002E-2</v>
      </c>
      <c r="M1889">
        <v>2</v>
      </c>
      <c r="N1889">
        <v>65</v>
      </c>
      <c r="P1889">
        <v>0</v>
      </c>
      <c r="Q1889">
        <v>2</v>
      </c>
      <c r="R1889">
        <v>3.2000000000000002E-3</v>
      </c>
      <c r="T1889" s="8" t="s">
        <v>357</v>
      </c>
    </row>
    <row r="1890" spans="1:20" x14ac:dyDescent="0.2">
      <c r="A1890" t="s">
        <v>5459</v>
      </c>
      <c r="B1890" t="s">
        <v>2022</v>
      </c>
      <c r="C1890" t="s">
        <v>2222</v>
      </c>
      <c r="D1890" t="s">
        <v>2024</v>
      </c>
      <c r="E1890" t="s">
        <v>5460</v>
      </c>
      <c r="F1890" t="s">
        <v>5461</v>
      </c>
      <c r="G1890">
        <v>3</v>
      </c>
      <c r="H1890">
        <v>1650</v>
      </c>
      <c r="I1890">
        <v>5</v>
      </c>
      <c r="J1890">
        <v>8.6999999999999993</v>
      </c>
      <c r="K1890">
        <v>5</v>
      </c>
      <c r="L1890">
        <v>0.26500000000000001</v>
      </c>
      <c r="M1890">
        <v>3</v>
      </c>
      <c r="N1890">
        <v>67</v>
      </c>
      <c r="O1890">
        <v>5</v>
      </c>
      <c r="P1890">
        <v>0.39</v>
      </c>
      <c r="Q1890">
        <v>5</v>
      </c>
      <c r="R1890">
        <v>1.1299999999999999E-2</v>
      </c>
      <c r="T1890" s="8" t="s">
        <v>5460</v>
      </c>
    </row>
    <row r="1891" spans="1:20" x14ac:dyDescent="0.2">
      <c r="A1891" t="s">
        <v>5462</v>
      </c>
      <c r="B1891" t="s">
        <v>2022</v>
      </c>
      <c r="C1891" t="s">
        <v>2101</v>
      </c>
      <c r="D1891" t="s">
        <v>2136</v>
      </c>
      <c r="E1891" t="s">
        <v>357</v>
      </c>
      <c r="F1891" t="s">
        <v>447</v>
      </c>
      <c r="G1891">
        <v>1</v>
      </c>
      <c r="H1891">
        <v>1570</v>
      </c>
      <c r="I1891">
        <v>1</v>
      </c>
      <c r="J1891">
        <v>2</v>
      </c>
      <c r="K1891">
        <v>1</v>
      </c>
      <c r="L1891">
        <v>1.15E-2</v>
      </c>
      <c r="M1891">
        <v>5</v>
      </c>
      <c r="N1891">
        <v>98</v>
      </c>
      <c r="O1891">
        <v>1</v>
      </c>
      <c r="P1891">
        <v>7.4999999999999997E-2</v>
      </c>
      <c r="Q1891">
        <v>2</v>
      </c>
      <c r="R1891">
        <v>4.4999999999999997E-3</v>
      </c>
      <c r="T1891" s="8" t="s">
        <v>357</v>
      </c>
    </row>
    <row r="1892" spans="1:20" x14ac:dyDescent="0.2">
      <c r="A1892" t="s">
        <v>5463</v>
      </c>
      <c r="B1892" t="s">
        <v>2022</v>
      </c>
      <c r="C1892" t="s">
        <v>2053</v>
      </c>
      <c r="D1892" t="s">
        <v>2024</v>
      </c>
      <c r="E1892" t="s">
        <v>5464</v>
      </c>
      <c r="F1892" t="s">
        <v>5465</v>
      </c>
      <c r="G1892">
        <v>4</v>
      </c>
      <c r="H1892">
        <v>1800</v>
      </c>
      <c r="I1892">
        <v>2</v>
      </c>
      <c r="J1892">
        <v>4.05</v>
      </c>
      <c r="K1892">
        <v>2</v>
      </c>
      <c r="L1892">
        <v>8.5000000000000006E-2</v>
      </c>
      <c r="M1892">
        <v>2</v>
      </c>
      <c r="N1892">
        <v>83</v>
      </c>
      <c r="O1892">
        <v>2</v>
      </c>
      <c r="P1892">
        <v>0.22500000000000001</v>
      </c>
      <c r="Q1892">
        <v>2</v>
      </c>
      <c r="R1892">
        <v>5.1999999999999998E-3</v>
      </c>
      <c r="T1892" s="8" t="s">
        <v>5464</v>
      </c>
    </row>
    <row r="1893" spans="1:20" x14ac:dyDescent="0.2">
      <c r="A1893" t="s">
        <v>5466</v>
      </c>
      <c r="B1893" t="s">
        <v>2022</v>
      </c>
      <c r="C1893" t="s">
        <v>2036</v>
      </c>
      <c r="D1893" t="s">
        <v>2024</v>
      </c>
      <c r="E1893" t="s">
        <v>5467</v>
      </c>
      <c r="F1893" t="s">
        <v>5468</v>
      </c>
      <c r="G1893">
        <v>4</v>
      </c>
      <c r="H1893">
        <v>1840</v>
      </c>
      <c r="I1893">
        <v>3</v>
      </c>
      <c r="J1893">
        <v>4.5999999999999996</v>
      </c>
      <c r="K1893">
        <v>5</v>
      </c>
      <c r="L1893">
        <v>0.17499999999999999</v>
      </c>
      <c r="M1893">
        <v>3</v>
      </c>
      <c r="N1893">
        <v>88</v>
      </c>
      <c r="O1893">
        <v>2</v>
      </c>
      <c r="P1893">
        <v>0.20499999999999999</v>
      </c>
      <c r="Q1893">
        <v>4</v>
      </c>
      <c r="R1893">
        <v>9.2499999999999995E-3</v>
      </c>
      <c r="T1893" s="8" t="s">
        <v>5467</v>
      </c>
    </row>
    <row r="1894" spans="1:20" x14ac:dyDescent="0.2">
      <c r="A1894" t="s">
        <v>5469</v>
      </c>
      <c r="B1894" t="s">
        <v>2022</v>
      </c>
      <c r="C1894" t="s">
        <v>2036</v>
      </c>
      <c r="D1894" t="s">
        <v>2024</v>
      </c>
      <c r="E1894" t="s">
        <v>5470</v>
      </c>
      <c r="F1894" t="s">
        <v>5471</v>
      </c>
      <c r="G1894">
        <v>1</v>
      </c>
      <c r="H1894">
        <v>1540</v>
      </c>
      <c r="I1894">
        <v>3</v>
      </c>
      <c r="J1894">
        <v>4.5999999999999996</v>
      </c>
      <c r="K1894">
        <v>2</v>
      </c>
      <c r="L1894">
        <v>8.5000000000000006E-2</v>
      </c>
      <c r="M1894">
        <v>1</v>
      </c>
      <c r="N1894">
        <v>76</v>
      </c>
      <c r="O1894">
        <v>2</v>
      </c>
      <c r="P1894">
        <v>0.20499999999999999</v>
      </c>
      <c r="Q1894">
        <v>2</v>
      </c>
      <c r="R1894">
        <v>4.2500000000000003E-3</v>
      </c>
      <c r="T1894" s="8" t="s">
        <v>5470</v>
      </c>
    </row>
    <row r="1895" spans="1:20" x14ac:dyDescent="0.2">
      <c r="A1895" t="s">
        <v>5472</v>
      </c>
      <c r="B1895" t="s">
        <v>2022</v>
      </c>
      <c r="C1895" t="s">
        <v>2023</v>
      </c>
      <c r="D1895" t="s">
        <v>2024</v>
      </c>
      <c r="E1895" t="s">
        <v>357</v>
      </c>
      <c r="F1895" t="s">
        <v>5473</v>
      </c>
      <c r="G1895">
        <v>1</v>
      </c>
      <c r="H1895">
        <v>1480</v>
      </c>
      <c r="I1895">
        <v>2</v>
      </c>
      <c r="J1895">
        <v>3.4</v>
      </c>
      <c r="K1895">
        <v>5</v>
      </c>
      <c r="L1895">
        <v>8.5999999999999993E-2</v>
      </c>
      <c r="M1895">
        <v>5</v>
      </c>
      <c r="N1895">
        <v>114</v>
      </c>
      <c r="O1895">
        <v>5</v>
      </c>
      <c r="P1895">
        <v>0.67500000000000004</v>
      </c>
      <c r="Q1895">
        <v>5</v>
      </c>
      <c r="R1895">
        <v>8.0000000000000002E-3</v>
      </c>
      <c r="T1895" s="8" t="s">
        <v>357</v>
      </c>
    </row>
    <row r="1896" spans="1:20" x14ac:dyDescent="0.2">
      <c r="A1896" t="s">
        <v>5474</v>
      </c>
      <c r="B1896" t="s">
        <v>2022</v>
      </c>
      <c r="C1896" t="s">
        <v>2173</v>
      </c>
      <c r="D1896" t="s">
        <v>2136</v>
      </c>
      <c r="E1896" t="s">
        <v>304</v>
      </c>
      <c r="F1896" t="s">
        <v>5475</v>
      </c>
      <c r="G1896">
        <v>5</v>
      </c>
      <c r="H1896">
        <v>2182.5</v>
      </c>
      <c r="I1896">
        <v>5</v>
      </c>
      <c r="J1896">
        <v>14.45</v>
      </c>
      <c r="K1896">
        <v>5</v>
      </c>
      <c r="L1896">
        <v>0.45</v>
      </c>
      <c r="M1896">
        <v>5</v>
      </c>
      <c r="N1896">
        <v>140.5</v>
      </c>
      <c r="O1896">
        <v>5</v>
      </c>
      <c r="P1896">
        <v>0.87</v>
      </c>
      <c r="Q1896">
        <v>5</v>
      </c>
      <c r="R1896">
        <v>2.58E-2</v>
      </c>
      <c r="T1896" s="8" t="s">
        <v>304</v>
      </c>
    </row>
    <row r="1897" spans="1:20" x14ac:dyDescent="0.2">
      <c r="A1897" t="s">
        <v>5476</v>
      </c>
      <c r="B1897" t="s">
        <v>2022</v>
      </c>
      <c r="C1897" t="s">
        <v>2173</v>
      </c>
      <c r="D1897" t="s">
        <v>2024</v>
      </c>
      <c r="E1897" t="s">
        <v>5477</v>
      </c>
      <c r="F1897" t="s">
        <v>5478</v>
      </c>
      <c r="G1897">
        <v>5</v>
      </c>
      <c r="H1897">
        <v>2182.5</v>
      </c>
      <c r="I1897">
        <v>2</v>
      </c>
      <c r="J1897">
        <v>6.35</v>
      </c>
      <c r="K1897">
        <v>1</v>
      </c>
      <c r="L1897">
        <v>1.4999999999999999E-2</v>
      </c>
      <c r="M1897">
        <v>1</v>
      </c>
      <c r="N1897">
        <v>96.5</v>
      </c>
      <c r="O1897">
        <v>1</v>
      </c>
      <c r="P1897">
        <v>0.15</v>
      </c>
      <c r="Q1897">
        <v>1</v>
      </c>
      <c r="R1897">
        <v>6.4999999999999997E-4</v>
      </c>
      <c r="T1897" s="8" t="s">
        <v>5477</v>
      </c>
    </row>
    <row r="1898" spans="1:20" x14ac:dyDescent="0.2">
      <c r="A1898" t="s">
        <v>5479</v>
      </c>
      <c r="B1898" t="s">
        <v>2022</v>
      </c>
      <c r="C1898" t="s">
        <v>2036</v>
      </c>
      <c r="D1898" t="s">
        <v>2024</v>
      </c>
      <c r="E1898" t="s">
        <v>5480</v>
      </c>
      <c r="F1898" t="s">
        <v>5481</v>
      </c>
      <c r="G1898">
        <v>5</v>
      </c>
      <c r="H1898">
        <v>1940</v>
      </c>
      <c r="I1898">
        <v>5</v>
      </c>
      <c r="J1898">
        <v>7</v>
      </c>
      <c r="K1898">
        <v>5</v>
      </c>
      <c r="L1898">
        <v>0.17499999999999999</v>
      </c>
      <c r="M1898">
        <v>4</v>
      </c>
      <c r="N1898">
        <v>94</v>
      </c>
      <c r="O1898">
        <v>5</v>
      </c>
      <c r="P1898">
        <v>0.53500000000000003</v>
      </c>
      <c r="Q1898">
        <v>5</v>
      </c>
      <c r="R1898">
        <v>1.2E-2</v>
      </c>
      <c r="T1898" s="8" t="s">
        <v>5480</v>
      </c>
    </row>
    <row r="1899" spans="1:20" x14ac:dyDescent="0.2">
      <c r="A1899" t="s">
        <v>5482</v>
      </c>
      <c r="B1899" t="s">
        <v>2022</v>
      </c>
      <c r="C1899" t="s">
        <v>2023</v>
      </c>
      <c r="D1899" t="s">
        <v>2154</v>
      </c>
      <c r="E1899" t="s">
        <v>1132</v>
      </c>
      <c r="F1899" t="s">
        <v>5483</v>
      </c>
      <c r="G1899">
        <v>2</v>
      </c>
      <c r="H1899">
        <v>1560</v>
      </c>
      <c r="I1899">
        <v>2</v>
      </c>
      <c r="J1899">
        <v>3.4</v>
      </c>
      <c r="K1899">
        <v>2</v>
      </c>
      <c r="L1899">
        <v>2.5999999999999999E-2</v>
      </c>
      <c r="M1899">
        <v>2</v>
      </c>
      <c r="N1899">
        <v>84</v>
      </c>
      <c r="O1899">
        <v>1</v>
      </c>
      <c r="P1899">
        <v>7.4999999999999997E-2</v>
      </c>
      <c r="Q1899">
        <v>1</v>
      </c>
      <c r="R1899">
        <v>5.0000000000000001E-4</v>
      </c>
      <c r="T1899" s="8" t="s">
        <v>1132</v>
      </c>
    </row>
    <row r="1900" spans="1:20" x14ac:dyDescent="0.2">
      <c r="A1900" t="s">
        <v>5484</v>
      </c>
      <c r="B1900" t="s">
        <v>2022</v>
      </c>
      <c r="C1900" t="s">
        <v>2023</v>
      </c>
      <c r="D1900" t="s">
        <v>2024</v>
      </c>
      <c r="E1900" t="s">
        <v>1132</v>
      </c>
      <c r="F1900" t="s">
        <v>5485</v>
      </c>
      <c r="G1900">
        <v>3</v>
      </c>
      <c r="H1900">
        <v>1640</v>
      </c>
      <c r="I1900">
        <v>3</v>
      </c>
      <c r="J1900">
        <v>5.9</v>
      </c>
      <c r="K1900">
        <v>2</v>
      </c>
      <c r="L1900">
        <v>2.5999999999999999E-2</v>
      </c>
      <c r="M1900">
        <v>3</v>
      </c>
      <c r="N1900">
        <v>94</v>
      </c>
      <c r="O1900">
        <v>2</v>
      </c>
      <c r="P1900">
        <v>0.22500000000000001</v>
      </c>
      <c r="Q1900">
        <v>1</v>
      </c>
      <c r="R1900">
        <v>5.0000000000000001E-4</v>
      </c>
      <c r="T1900" s="8" t="s">
        <v>1132</v>
      </c>
    </row>
    <row r="1901" spans="1:20" x14ac:dyDescent="0.2">
      <c r="A1901" t="s">
        <v>5486</v>
      </c>
      <c r="B1901" t="s">
        <v>2022</v>
      </c>
      <c r="C1901" t="s">
        <v>2036</v>
      </c>
      <c r="D1901" t="s">
        <v>2024</v>
      </c>
      <c r="E1901" t="s">
        <v>5487</v>
      </c>
      <c r="F1901" t="s">
        <v>5488</v>
      </c>
      <c r="G1901">
        <v>2</v>
      </c>
      <c r="H1901">
        <v>1640</v>
      </c>
      <c r="I1901">
        <v>4</v>
      </c>
      <c r="J1901">
        <v>5.8</v>
      </c>
      <c r="K1901">
        <v>5</v>
      </c>
      <c r="L1901">
        <v>0.17499999999999999</v>
      </c>
      <c r="M1901">
        <v>3</v>
      </c>
      <c r="N1901">
        <v>88</v>
      </c>
      <c r="O1901">
        <v>3</v>
      </c>
      <c r="P1901">
        <v>0.315</v>
      </c>
      <c r="Q1901">
        <v>4</v>
      </c>
      <c r="R1901">
        <v>9.2499999999999995E-3</v>
      </c>
      <c r="T1901" s="8" t="s">
        <v>5487</v>
      </c>
    </row>
    <row r="1902" spans="1:20" x14ac:dyDescent="0.2">
      <c r="A1902" t="s">
        <v>5489</v>
      </c>
      <c r="B1902" t="s">
        <v>2022</v>
      </c>
      <c r="C1902" t="s">
        <v>2036</v>
      </c>
      <c r="D1902" t="s">
        <v>2024</v>
      </c>
      <c r="E1902" t="s">
        <v>5490</v>
      </c>
      <c r="F1902" t="s">
        <v>5491</v>
      </c>
      <c r="G1902">
        <v>2</v>
      </c>
      <c r="H1902">
        <v>1640</v>
      </c>
      <c r="I1902">
        <v>1</v>
      </c>
      <c r="J1902">
        <v>2.2000000000000002</v>
      </c>
      <c r="K1902">
        <v>1</v>
      </c>
      <c r="L1902">
        <v>5.5E-2</v>
      </c>
      <c r="M1902">
        <v>2</v>
      </c>
      <c r="N1902">
        <v>82</v>
      </c>
      <c r="O1902">
        <v>1</v>
      </c>
      <c r="P1902">
        <v>9.5000000000000001E-2</v>
      </c>
      <c r="Q1902">
        <v>1</v>
      </c>
      <c r="R1902">
        <v>1.5E-3</v>
      </c>
      <c r="T1902" s="8" t="s">
        <v>5490</v>
      </c>
    </row>
    <row r="1903" spans="1:20" x14ac:dyDescent="0.2">
      <c r="A1903" t="s">
        <v>5492</v>
      </c>
      <c r="B1903" t="s">
        <v>2022</v>
      </c>
      <c r="C1903" t="s">
        <v>2023</v>
      </c>
      <c r="D1903" t="s">
        <v>2024</v>
      </c>
      <c r="E1903" t="s">
        <v>5493</v>
      </c>
      <c r="F1903" t="s">
        <v>5494</v>
      </c>
      <c r="G1903">
        <v>4</v>
      </c>
      <c r="H1903">
        <v>1720</v>
      </c>
      <c r="I1903">
        <v>2</v>
      </c>
      <c r="J1903">
        <v>3.4</v>
      </c>
      <c r="K1903">
        <v>2</v>
      </c>
      <c r="L1903">
        <v>2.5999999999999999E-2</v>
      </c>
      <c r="M1903">
        <v>5</v>
      </c>
      <c r="N1903">
        <v>114</v>
      </c>
      <c r="O1903">
        <v>5</v>
      </c>
      <c r="P1903">
        <v>0.67500000000000004</v>
      </c>
      <c r="Q1903">
        <v>3</v>
      </c>
      <c r="R1903">
        <v>4.0000000000000001E-3</v>
      </c>
      <c r="T1903" s="8" t="s">
        <v>5493</v>
      </c>
    </row>
    <row r="1904" spans="1:20" x14ac:dyDescent="0.2">
      <c r="A1904" t="s">
        <v>5495</v>
      </c>
      <c r="B1904" t="s">
        <v>2022</v>
      </c>
      <c r="C1904" t="s">
        <v>2101</v>
      </c>
      <c r="D1904" t="s">
        <v>2024</v>
      </c>
      <c r="E1904" t="s">
        <v>5496</v>
      </c>
      <c r="F1904" t="s">
        <v>5497</v>
      </c>
      <c r="G1904">
        <v>5</v>
      </c>
      <c r="H1904">
        <v>1970</v>
      </c>
      <c r="I1904">
        <v>4</v>
      </c>
      <c r="J1904">
        <v>11</v>
      </c>
      <c r="K1904">
        <v>4</v>
      </c>
      <c r="L1904">
        <v>0.39050000000000001</v>
      </c>
      <c r="M1904">
        <v>1</v>
      </c>
      <c r="N1904">
        <v>66</v>
      </c>
      <c r="O1904">
        <v>3</v>
      </c>
      <c r="P1904">
        <v>0.375</v>
      </c>
      <c r="Q1904">
        <v>3</v>
      </c>
      <c r="R1904">
        <v>1.15E-2</v>
      </c>
      <c r="T1904" s="8" t="s">
        <v>5496</v>
      </c>
    </row>
    <row r="1905" spans="1:20" x14ac:dyDescent="0.2">
      <c r="A1905" t="s">
        <v>5498</v>
      </c>
      <c r="B1905" t="s">
        <v>2022</v>
      </c>
      <c r="C1905" t="s">
        <v>2036</v>
      </c>
      <c r="D1905" t="s">
        <v>2024</v>
      </c>
      <c r="E1905" t="s">
        <v>5499</v>
      </c>
      <c r="F1905" t="s">
        <v>5500</v>
      </c>
      <c r="G1905">
        <v>1</v>
      </c>
      <c r="H1905">
        <v>1540</v>
      </c>
      <c r="I1905">
        <v>1</v>
      </c>
      <c r="J1905">
        <v>2.2000000000000002</v>
      </c>
      <c r="K1905">
        <v>2</v>
      </c>
      <c r="L1905">
        <v>8.5000000000000006E-2</v>
      </c>
      <c r="M1905">
        <v>1</v>
      </c>
      <c r="N1905">
        <v>76</v>
      </c>
      <c r="O1905">
        <v>1</v>
      </c>
      <c r="P1905">
        <v>9.5000000000000001E-2</v>
      </c>
      <c r="Q1905">
        <v>2</v>
      </c>
      <c r="R1905">
        <v>4.2500000000000003E-3</v>
      </c>
      <c r="T1905" s="8" t="s">
        <v>5499</v>
      </c>
    </row>
    <row r="1906" spans="1:20" x14ac:dyDescent="0.2">
      <c r="A1906" t="s">
        <v>5501</v>
      </c>
      <c r="B1906" t="s">
        <v>2022</v>
      </c>
      <c r="C1906" t="s">
        <v>2036</v>
      </c>
      <c r="D1906" t="s">
        <v>2024</v>
      </c>
      <c r="E1906" t="s">
        <v>5502</v>
      </c>
      <c r="F1906" t="s">
        <v>5503</v>
      </c>
      <c r="G1906">
        <v>2</v>
      </c>
      <c r="H1906">
        <v>1640</v>
      </c>
      <c r="I1906">
        <v>1</v>
      </c>
      <c r="J1906">
        <v>2.2000000000000002</v>
      </c>
      <c r="K1906">
        <v>1</v>
      </c>
      <c r="L1906">
        <v>5.5E-2</v>
      </c>
      <c r="M1906">
        <v>2</v>
      </c>
      <c r="N1906">
        <v>82</v>
      </c>
      <c r="O1906">
        <v>1</v>
      </c>
      <c r="P1906">
        <v>9.5000000000000001E-2</v>
      </c>
      <c r="Q1906">
        <v>2</v>
      </c>
      <c r="R1906">
        <v>4.2500000000000003E-3</v>
      </c>
      <c r="T1906" s="8" t="s">
        <v>5502</v>
      </c>
    </row>
    <row r="1907" spans="1:20" x14ac:dyDescent="0.2">
      <c r="A1907" t="s">
        <v>5504</v>
      </c>
      <c r="B1907" t="s">
        <v>2022</v>
      </c>
      <c r="C1907" t="s">
        <v>2023</v>
      </c>
      <c r="D1907" t="s">
        <v>2024</v>
      </c>
      <c r="E1907" t="s">
        <v>5505</v>
      </c>
      <c r="F1907" t="s">
        <v>5506</v>
      </c>
      <c r="G1907">
        <v>1</v>
      </c>
      <c r="H1907">
        <v>1480</v>
      </c>
      <c r="I1907">
        <v>2</v>
      </c>
      <c r="J1907">
        <v>3.4</v>
      </c>
      <c r="K1907">
        <v>2</v>
      </c>
      <c r="L1907">
        <v>2.5999999999999999E-2</v>
      </c>
      <c r="M1907">
        <v>5</v>
      </c>
      <c r="N1907">
        <v>114</v>
      </c>
      <c r="O1907">
        <v>4</v>
      </c>
      <c r="P1907">
        <v>0.52500000000000002</v>
      </c>
      <c r="Q1907">
        <v>2</v>
      </c>
      <c r="R1907">
        <v>2E-3</v>
      </c>
      <c r="T1907" s="8" t="s">
        <v>5505</v>
      </c>
    </row>
    <row r="1908" spans="1:20" x14ac:dyDescent="0.2">
      <c r="A1908" t="s">
        <v>5507</v>
      </c>
      <c r="B1908" t="s">
        <v>2022</v>
      </c>
      <c r="C1908" t="s">
        <v>2095</v>
      </c>
      <c r="D1908" t="s">
        <v>2024</v>
      </c>
      <c r="E1908" t="s">
        <v>5508</v>
      </c>
      <c r="F1908" t="s">
        <v>5509</v>
      </c>
      <c r="G1908">
        <v>5</v>
      </c>
      <c r="H1908">
        <v>1925</v>
      </c>
      <c r="I1908">
        <v>4</v>
      </c>
      <c r="J1908">
        <v>13.5</v>
      </c>
      <c r="K1908">
        <v>3</v>
      </c>
      <c r="L1908">
        <v>0.33</v>
      </c>
      <c r="M1908">
        <v>2</v>
      </c>
      <c r="N1908">
        <v>80</v>
      </c>
      <c r="O1908">
        <v>3</v>
      </c>
      <c r="P1908">
        <v>0.55000000000000004</v>
      </c>
      <c r="Q1908">
        <v>3</v>
      </c>
      <c r="R1908">
        <v>1.49E-2</v>
      </c>
      <c r="T1908" s="8" t="s">
        <v>5508</v>
      </c>
    </row>
    <row r="1909" spans="1:20" x14ac:dyDescent="0.2">
      <c r="A1909" t="s">
        <v>5510</v>
      </c>
      <c r="B1909" t="s">
        <v>2022</v>
      </c>
      <c r="C1909" t="s">
        <v>2053</v>
      </c>
      <c r="D1909" t="s">
        <v>2024</v>
      </c>
      <c r="E1909" t="s">
        <v>5511</v>
      </c>
      <c r="F1909" t="s">
        <v>5512</v>
      </c>
      <c r="G1909">
        <v>2</v>
      </c>
      <c r="H1909">
        <v>1600</v>
      </c>
      <c r="I1909">
        <v>3</v>
      </c>
      <c r="J1909">
        <v>6.55</v>
      </c>
      <c r="K1909">
        <v>3</v>
      </c>
      <c r="L1909">
        <v>0.19500000000000001</v>
      </c>
      <c r="M1909">
        <v>2</v>
      </c>
      <c r="N1909">
        <v>83</v>
      </c>
      <c r="O1909">
        <v>3</v>
      </c>
      <c r="P1909">
        <v>0.375</v>
      </c>
      <c r="Q1909">
        <v>2</v>
      </c>
      <c r="R1909">
        <v>5.1999999999999998E-3</v>
      </c>
      <c r="T1909" s="8" t="s">
        <v>5511</v>
      </c>
    </row>
    <row r="1910" spans="1:20" x14ac:dyDescent="0.2">
      <c r="A1910" t="s">
        <v>5513</v>
      </c>
      <c r="B1910" t="s">
        <v>2022</v>
      </c>
      <c r="C1910" t="s">
        <v>2036</v>
      </c>
      <c r="D1910" t="s">
        <v>2024</v>
      </c>
      <c r="E1910" t="s">
        <v>5514</v>
      </c>
      <c r="F1910" t="s">
        <v>5515</v>
      </c>
      <c r="G1910">
        <v>3</v>
      </c>
      <c r="H1910">
        <v>1740</v>
      </c>
      <c r="I1910">
        <v>5</v>
      </c>
      <c r="J1910">
        <v>7</v>
      </c>
      <c r="K1910">
        <v>5</v>
      </c>
      <c r="L1910">
        <v>0.17499999999999999</v>
      </c>
      <c r="M1910">
        <v>3</v>
      </c>
      <c r="N1910">
        <v>88</v>
      </c>
      <c r="O1910">
        <v>4</v>
      </c>
      <c r="P1910">
        <v>0.42499999999999999</v>
      </c>
      <c r="Q1910">
        <v>4</v>
      </c>
      <c r="R1910">
        <v>9.2499999999999995E-3</v>
      </c>
      <c r="T1910" s="8" t="s">
        <v>5514</v>
      </c>
    </row>
    <row r="1911" spans="1:20" x14ac:dyDescent="0.2">
      <c r="A1911" t="s">
        <v>5516</v>
      </c>
      <c r="B1911" t="s">
        <v>2022</v>
      </c>
      <c r="C1911" t="s">
        <v>2023</v>
      </c>
      <c r="D1911" t="s">
        <v>2136</v>
      </c>
      <c r="E1911" t="s">
        <v>5517</v>
      </c>
      <c r="F1911" t="s">
        <v>5518</v>
      </c>
      <c r="G1911">
        <v>2</v>
      </c>
      <c r="H1911">
        <v>1560</v>
      </c>
      <c r="I1911">
        <v>4</v>
      </c>
      <c r="J1911">
        <v>8.4</v>
      </c>
      <c r="K1911">
        <v>5</v>
      </c>
      <c r="L1911">
        <v>8.5999999999999993E-2</v>
      </c>
      <c r="M1911">
        <v>1</v>
      </c>
      <c r="N1911">
        <v>74</v>
      </c>
      <c r="O1911">
        <v>3</v>
      </c>
      <c r="P1911">
        <v>0.375</v>
      </c>
      <c r="Q1911">
        <v>5</v>
      </c>
      <c r="R1911">
        <v>8.0000000000000002E-3</v>
      </c>
      <c r="T1911" s="8" t="s">
        <v>5517</v>
      </c>
    </row>
    <row r="1912" spans="1:20" x14ac:dyDescent="0.2">
      <c r="A1912" t="s">
        <v>5519</v>
      </c>
      <c r="B1912" t="s">
        <v>2022</v>
      </c>
      <c r="C1912" t="s">
        <v>2053</v>
      </c>
      <c r="D1912" t="s">
        <v>2024</v>
      </c>
      <c r="E1912" t="s">
        <v>5520</v>
      </c>
      <c r="F1912" t="s">
        <v>5521</v>
      </c>
      <c r="G1912">
        <v>1</v>
      </c>
      <c r="H1912">
        <v>1500</v>
      </c>
      <c r="I1912">
        <v>4</v>
      </c>
      <c r="J1912">
        <v>9.0500000000000007</v>
      </c>
      <c r="K1912">
        <v>5</v>
      </c>
      <c r="L1912">
        <v>0.41499999999999998</v>
      </c>
      <c r="M1912">
        <v>5</v>
      </c>
      <c r="N1912">
        <v>113</v>
      </c>
      <c r="O1912">
        <v>5</v>
      </c>
      <c r="P1912">
        <v>0.67500000000000004</v>
      </c>
      <c r="Q1912">
        <v>5</v>
      </c>
      <c r="R1912">
        <v>2.6200000000000001E-2</v>
      </c>
      <c r="T1912" s="8" t="s">
        <v>5520</v>
      </c>
    </row>
    <row r="1913" spans="1:20" x14ac:dyDescent="0.2">
      <c r="A1913" t="s">
        <v>5522</v>
      </c>
      <c r="B1913" t="s">
        <v>2022</v>
      </c>
      <c r="C1913" t="s">
        <v>2036</v>
      </c>
      <c r="D1913" t="s">
        <v>2024</v>
      </c>
      <c r="E1913" t="s">
        <v>5523</v>
      </c>
      <c r="F1913" t="s">
        <v>5524</v>
      </c>
      <c r="G1913">
        <v>2</v>
      </c>
      <c r="H1913">
        <v>1640</v>
      </c>
      <c r="I1913">
        <v>2</v>
      </c>
      <c r="J1913">
        <v>3.4</v>
      </c>
      <c r="K1913">
        <v>3</v>
      </c>
      <c r="L1913">
        <v>0.115</v>
      </c>
      <c r="M1913">
        <v>1</v>
      </c>
      <c r="N1913">
        <v>76</v>
      </c>
      <c r="O1913">
        <v>1</v>
      </c>
      <c r="P1913">
        <v>9.5000000000000001E-2</v>
      </c>
      <c r="Q1913">
        <v>2</v>
      </c>
      <c r="R1913">
        <v>4.2500000000000003E-3</v>
      </c>
      <c r="T1913" s="8" t="s">
        <v>5523</v>
      </c>
    </row>
    <row r="1914" spans="1:20" x14ac:dyDescent="0.2">
      <c r="A1914" t="s">
        <v>5525</v>
      </c>
      <c r="B1914" t="s">
        <v>2022</v>
      </c>
      <c r="C1914" t="s">
        <v>2053</v>
      </c>
      <c r="D1914" t="s">
        <v>2024</v>
      </c>
      <c r="E1914" t="s">
        <v>5526</v>
      </c>
      <c r="F1914" t="s">
        <v>5527</v>
      </c>
      <c r="G1914">
        <v>4</v>
      </c>
      <c r="H1914">
        <v>1800</v>
      </c>
      <c r="I1914">
        <v>5</v>
      </c>
      <c r="J1914">
        <v>11.55</v>
      </c>
      <c r="K1914">
        <v>5</v>
      </c>
      <c r="L1914">
        <v>0.41499999999999998</v>
      </c>
      <c r="M1914">
        <v>5</v>
      </c>
      <c r="N1914">
        <v>113</v>
      </c>
      <c r="O1914">
        <v>5</v>
      </c>
      <c r="P1914">
        <v>0.67500000000000004</v>
      </c>
      <c r="Q1914">
        <v>5</v>
      </c>
      <c r="R1914">
        <v>2.6200000000000001E-2</v>
      </c>
      <c r="T1914" s="8" t="s">
        <v>5526</v>
      </c>
    </row>
    <row r="1915" spans="1:20" x14ac:dyDescent="0.2">
      <c r="A1915" t="s">
        <v>5528</v>
      </c>
      <c r="B1915" t="s">
        <v>2022</v>
      </c>
      <c r="C1915" t="s">
        <v>2053</v>
      </c>
      <c r="D1915" t="s">
        <v>2024</v>
      </c>
      <c r="E1915" t="s">
        <v>5529</v>
      </c>
      <c r="F1915" t="s">
        <v>447</v>
      </c>
      <c r="G1915">
        <v>2</v>
      </c>
      <c r="H1915">
        <v>1600</v>
      </c>
      <c r="I1915">
        <v>2</v>
      </c>
      <c r="J1915">
        <v>4.05</v>
      </c>
      <c r="K1915">
        <v>2</v>
      </c>
      <c r="L1915">
        <v>8.5000000000000006E-2</v>
      </c>
      <c r="M1915">
        <v>3</v>
      </c>
      <c r="N1915">
        <v>93</v>
      </c>
      <c r="O1915">
        <v>2</v>
      </c>
      <c r="P1915">
        <v>0.22500000000000001</v>
      </c>
      <c r="Q1915">
        <v>2</v>
      </c>
      <c r="R1915">
        <v>5.1999999999999998E-3</v>
      </c>
      <c r="T1915" s="8" t="s">
        <v>5529</v>
      </c>
    </row>
    <row r="1916" spans="1:20" x14ac:dyDescent="0.2">
      <c r="A1916" t="s">
        <v>5530</v>
      </c>
      <c r="B1916" t="s">
        <v>2022</v>
      </c>
      <c r="C1916" t="s">
        <v>2023</v>
      </c>
      <c r="D1916" t="s">
        <v>2024</v>
      </c>
      <c r="E1916" t="s">
        <v>5531</v>
      </c>
      <c r="F1916" t="s">
        <v>5532</v>
      </c>
      <c r="G1916">
        <v>1</v>
      </c>
      <c r="H1916">
        <v>1480</v>
      </c>
      <c r="I1916">
        <v>1</v>
      </c>
      <c r="J1916">
        <v>0.9</v>
      </c>
      <c r="K1916">
        <v>2</v>
      </c>
      <c r="L1916">
        <v>2.5999999999999999E-2</v>
      </c>
      <c r="M1916">
        <v>1</v>
      </c>
      <c r="N1916">
        <v>74</v>
      </c>
      <c r="O1916">
        <v>1</v>
      </c>
      <c r="P1916">
        <v>7.4999999999999997E-2</v>
      </c>
      <c r="Q1916">
        <v>2</v>
      </c>
      <c r="R1916">
        <v>2E-3</v>
      </c>
      <c r="T1916" s="8" t="s">
        <v>5531</v>
      </c>
    </row>
    <row r="1917" spans="1:20" x14ac:dyDescent="0.2">
      <c r="A1917" t="s">
        <v>5533</v>
      </c>
      <c r="B1917" t="s">
        <v>2022</v>
      </c>
      <c r="C1917" t="s">
        <v>2053</v>
      </c>
      <c r="D1917" t="s">
        <v>2024</v>
      </c>
      <c r="E1917" t="s">
        <v>5534</v>
      </c>
      <c r="F1917" t="s">
        <v>5535</v>
      </c>
      <c r="G1917">
        <v>1</v>
      </c>
      <c r="H1917">
        <v>1500</v>
      </c>
      <c r="I1917">
        <v>1</v>
      </c>
      <c r="J1917">
        <v>1.55</v>
      </c>
      <c r="K1917">
        <v>1</v>
      </c>
      <c r="L1917">
        <v>1.4999999999999999E-2</v>
      </c>
      <c r="M1917">
        <v>3</v>
      </c>
      <c r="N1917">
        <v>93</v>
      </c>
      <c r="O1917">
        <v>1</v>
      </c>
      <c r="P1917">
        <v>7.4999999999999997E-2</v>
      </c>
      <c r="Q1917">
        <v>1</v>
      </c>
      <c r="R1917">
        <v>8.4999999999999995E-4</v>
      </c>
      <c r="T1917" s="8" t="s">
        <v>5534</v>
      </c>
    </row>
    <row r="1918" spans="1:20" x14ac:dyDescent="0.2">
      <c r="A1918" t="s">
        <v>5536</v>
      </c>
      <c r="B1918" t="s">
        <v>2022</v>
      </c>
      <c r="C1918" t="s">
        <v>2222</v>
      </c>
      <c r="D1918" t="s">
        <v>2024</v>
      </c>
      <c r="E1918" t="s">
        <v>5537</v>
      </c>
      <c r="F1918" t="s">
        <v>5538</v>
      </c>
      <c r="G1918">
        <v>4</v>
      </c>
      <c r="H1918">
        <v>1750</v>
      </c>
      <c r="I1918">
        <v>5</v>
      </c>
      <c r="J1918">
        <v>8.6999999999999993</v>
      </c>
      <c r="K1918">
        <v>3</v>
      </c>
      <c r="L1918">
        <v>0.125</v>
      </c>
      <c r="M1918">
        <v>4</v>
      </c>
      <c r="N1918">
        <v>71</v>
      </c>
      <c r="O1918">
        <v>5</v>
      </c>
      <c r="P1918">
        <v>0.39</v>
      </c>
      <c r="Q1918">
        <v>3</v>
      </c>
      <c r="R1918">
        <v>5.3E-3</v>
      </c>
      <c r="T1918" s="8" t="s">
        <v>5537</v>
      </c>
    </row>
    <row r="1919" spans="1:20" x14ac:dyDescent="0.2">
      <c r="A1919" t="s">
        <v>5539</v>
      </c>
      <c r="B1919" t="s">
        <v>2022</v>
      </c>
      <c r="C1919" t="s">
        <v>2053</v>
      </c>
      <c r="D1919" t="s">
        <v>2024</v>
      </c>
      <c r="E1919" t="s">
        <v>5540</v>
      </c>
      <c r="F1919" t="s">
        <v>5541</v>
      </c>
      <c r="G1919">
        <v>2</v>
      </c>
      <c r="H1919">
        <v>1600</v>
      </c>
      <c r="I1919">
        <v>3</v>
      </c>
      <c r="J1919">
        <v>6.55</v>
      </c>
      <c r="K1919">
        <v>3</v>
      </c>
      <c r="L1919">
        <v>0.19500000000000001</v>
      </c>
      <c r="M1919">
        <v>1</v>
      </c>
      <c r="N1919">
        <v>73</v>
      </c>
      <c r="O1919">
        <v>2</v>
      </c>
      <c r="P1919">
        <v>0.22500000000000001</v>
      </c>
      <c r="Q1919">
        <v>2</v>
      </c>
      <c r="R1919">
        <v>5.1999999999999998E-3</v>
      </c>
      <c r="T1919" s="8" t="s">
        <v>5540</v>
      </c>
    </row>
    <row r="1920" spans="1:20" x14ac:dyDescent="0.2">
      <c r="A1920" t="s">
        <v>5542</v>
      </c>
      <c r="B1920" t="s">
        <v>2022</v>
      </c>
      <c r="C1920" t="s">
        <v>2023</v>
      </c>
      <c r="D1920" t="s">
        <v>2024</v>
      </c>
      <c r="E1920" t="s">
        <v>5543</v>
      </c>
      <c r="F1920" t="s">
        <v>5544</v>
      </c>
      <c r="G1920">
        <v>5</v>
      </c>
      <c r="H1920">
        <v>1800</v>
      </c>
      <c r="I1920">
        <v>5</v>
      </c>
      <c r="J1920">
        <v>10.9</v>
      </c>
      <c r="K1920">
        <v>5</v>
      </c>
      <c r="L1920">
        <v>8.5999999999999993E-2</v>
      </c>
      <c r="M1920">
        <v>3</v>
      </c>
      <c r="N1920">
        <v>94</v>
      </c>
      <c r="O1920">
        <v>5</v>
      </c>
      <c r="P1920">
        <v>0.67500000000000004</v>
      </c>
      <c r="Q1920">
        <v>5</v>
      </c>
      <c r="R1920">
        <v>8.0000000000000002E-3</v>
      </c>
      <c r="T1920" s="8" t="s">
        <v>5543</v>
      </c>
    </row>
    <row r="1921" spans="1:20" x14ac:dyDescent="0.2">
      <c r="A1921" t="s">
        <v>5545</v>
      </c>
      <c r="B1921" t="s">
        <v>2022</v>
      </c>
      <c r="C1921" t="s">
        <v>2053</v>
      </c>
      <c r="D1921" t="s">
        <v>2024</v>
      </c>
      <c r="E1921" t="s">
        <v>5546</v>
      </c>
      <c r="F1921" t="s">
        <v>5547</v>
      </c>
      <c r="G1921">
        <v>1</v>
      </c>
      <c r="H1921">
        <v>1500</v>
      </c>
      <c r="I1921">
        <v>1</v>
      </c>
      <c r="J1921">
        <v>1.55</v>
      </c>
      <c r="K1921">
        <v>1</v>
      </c>
      <c r="L1921">
        <v>1.4999999999999999E-2</v>
      </c>
      <c r="M1921">
        <v>5</v>
      </c>
      <c r="N1921">
        <v>113</v>
      </c>
      <c r="O1921">
        <v>5</v>
      </c>
      <c r="P1921">
        <v>0.67500000000000004</v>
      </c>
      <c r="Q1921">
        <v>5</v>
      </c>
      <c r="R1921">
        <v>2.6200000000000001E-2</v>
      </c>
      <c r="T1921" s="8" t="s">
        <v>5546</v>
      </c>
    </row>
    <row r="1922" spans="1:20" x14ac:dyDescent="0.2">
      <c r="A1922" t="s">
        <v>5548</v>
      </c>
      <c r="B1922" t="s">
        <v>2022</v>
      </c>
      <c r="C1922" t="s">
        <v>2222</v>
      </c>
      <c r="D1922" t="s">
        <v>2024</v>
      </c>
      <c r="E1922" t="s">
        <v>5549</v>
      </c>
      <c r="F1922" t="s">
        <v>5550</v>
      </c>
      <c r="G1922">
        <v>3</v>
      </c>
      <c r="H1922">
        <v>1650</v>
      </c>
      <c r="I1922">
        <v>5</v>
      </c>
      <c r="J1922">
        <v>8.6999999999999993</v>
      </c>
      <c r="K1922">
        <v>5</v>
      </c>
      <c r="L1922">
        <v>0.26500000000000001</v>
      </c>
      <c r="M1922">
        <v>2</v>
      </c>
      <c r="N1922">
        <v>63</v>
      </c>
      <c r="O1922">
        <v>4</v>
      </c>
      <c r="P1922">
        <v>0.31</v>
      </c>
      <c r="Q1922">
        <v>5</v>
      </c>
      <c r="R1922">
        <v>1.1299999999999999E-2</v>
      </c>
      <c r="T1922" s="8" t="s">
        <v>5549</v>
      </c>
    </row>
    <row r="1923" spans="1:20" x14ac:dyDescent="0.2">
      <c r="A1923" t="s">
        <v>5551</v>
      </c>
      <c r="B1923" t="s">
        <v>2022</v>
      </c>
      <c r="C1923" t="s">
        <v>2053</v>
      </c>
      <c r="D1923" t="s">
        <v>2024</v>
      </c>
      <c r="E1923" t="s">
        <v>5552</v>
      </c>
      <c r="F1923" t="s">
        <v>5553</v>
      </c>
      <c r="G1923">
        <v>3</v>
      </c>
      <c r="H1923">
        <v>1700</v>
      </c>
      <c r="I1923">
        <v>3</v>
      </c>
      <c r="J1923">
        <v>6.55</v>
      </c>
      <c r="K1923">
        <v>2</v>
      </c>
      <c r="L1923">
        <v>8.5000000000000006E-2</v>
      </c>
      <c r="M1923">
        <v>2</v>
      </c>
      <c r="N1923">
        <v>83</v>
      </c>
      <c r="O1923">
        <v>2</v>
      </c>
      <c r="P1923">
        <v>0.22500000000000001</v>
      </c>
      <c r="Q1923">
        <v>2</v>
      </c>
      <c r="R1923">
        <v>5.1999999999999998E-3</v>
      </c>
      <c r="T1923" s="8" t="s">
        <v>5552</v>
      </c>
    </row>
    <row r="1924" spans="1:20" x14ac:dyDescent="0.2">
      <c r="A1924" t="s">
        <v>5554</v>
      </c>
      <c r="B1924" t="s">
        <v>2022</v>
      </c>
      <c r="C1924" t="s">
        <v>2023</v>
      </c>
      <c r="D1924" t="s">
        <v>2024</v>
      </c>
      <c r="E1924" t="s">
        <v>5555</v>
      </c>
      <c r="F1924" t="s">
        <v>5556</v>
      </c>
      <c r="G1924">
        <v>5</v>
      </c>
      <c r="H1924">
        <v>1800</v>
      </c>
      <c r="I1924">
        <v>4</v>
      </c>
      <c r="J1924">
        <v>8.4</v>
      </c>
      <c r="K1924">
        <v>5</v>
      </c>
      <c r="L1924">
        <v>8.5999999999999993E-2</v>
      </c>
      <c r="M1924">
        <v>2</v>
      </c>
      <c r="N1924">
        <v>84</v>
      </c>
      <c r="O1924">
        <v>3</v>
      </c>
      <c r="P1924">
        <v>0.375</v>
      </c>
      <c r="Q1924">
        <v>5</v>
      </c>
      <c r="R1924">
        <v>8.0000000000000002E-3</v>
      </c>
      <c r="T1924" s="8" t="s">
        <v>5555</v>
      </c>
    </row>
    <row r="1925" spans="1:20" x14ac:dyDescent="0.2">
      <c r="A1925" t="s">
        <v>5557</v>
      </c>
      <c r="B1925" t="s">
        <v>2022</v>
      </c>
      <c r="C1925" t="s">
        <v>2053</v>
      </c>
      <c r="D1925" t="s">
        <v>2024</v>
      </c>
      <c r="E1925" t="s">
        <v>5558</v>
      </c>
      <c r="F1925" t="s">
        <v>5559</v>
      </c>
      <c r="G1925">
        <v>2</v>
      </c>
      <c r="H1925">
        <v>1600</v>
      </c>
      <c r="I1925">
        <v>3</v>
      </c>
      <c r="J1925">
        <v>6.55</v>
      </c>
      <c r="K1925">
        <v>2</v>
      </c>
      <c r="L1925">
        <v>8.5000000000000006E-2</v>
      </c>
      <c r="M1925">
        <v>3</v>
      </c>
      <c r="N1925">
        <v>93</v>
      </c>
      <c r="O1925">
        <v>3</v>
      </c>
      <c r="P1925">
        <v>0.375</v>
      </c>
      <c r="Q1925">
        <v>2</v>
      </c>
      <c r="R1925">
        <v>5.1999999999999998E-3</v>
      </c>
      <c r="T1925" s="8" t="s">
        <v>5558</v>
      </c>
    </row>
    <row r="1926" spans="1:20" x14ac:dyDescent="0.2">
      <c r="A1926" t="s">
        <v>5560</v>
      </c>
      <c r="B1926" t="s">
        <v>2022</v>
      </c>
      <c r="C1926" t="s">
        <v>2053</v>
      </c>
      <c r="D1926" t="s">
        <v>2024</v>
      </c>
      <c r="E1926" t="s">
        <v>5561</v>
      </c>
      <c r="F1926" t="s">
        <v>5562</v>
      </c>
      <c r="G1926">
        <v>3</v>
      </c>
      <c r="H1926">
        <v>1700</v>
      </c>
      <c r="I1926">
        <v>1</v>
      </c>
      <c r="J1926">
        <v>1.55</v>
      </c>
      <c r="K1926">
        <v>1</v>
      </c>
      <c r="L1926">
        <v>1.4999999999999999E-2</v>
      </c>
      <c r="M1926">
        <v>4</v>
      </c>
      <c r="N1926">
        <v>103</v>
      </c>
      <c r="O1926">
        <v>1</v>
      </c>
      <c r="P1926">
        <v>7.4999999999999997E-2</v>
      </c>
      <c r="Q1926">
        <v>1</v>
      </c>
      <c r="R1926">
        <v>8.4999999999999995E-4</v>
      </c>
      <c r="T1926" s="8" t="s">
        <v>5561</v>
      </c>
    </row>
    <row r="1927" spans="1:20" x14ac:dyDescent="0.2">
      <c r="A1927" t="s">
        <v>5563</v>
      </c>
      <c r="B1927" t="s">
        <v>2022</v>
      </c>
      <c r="C1927" t="s">
        <v>2023</v>
      </c>
      <c r="D1927" t="s">
        <v>2024</v>
      </c>
      <c r="E1927" t="s">
        <v>357</v>
      </c>
      <c r="F1927" t="s">
        <v>447</v>
      </c>
      <c r="G1927">
        <v>1</v>
      </c>
      <c r="H1927">
        <v>1480</v>
      </c>
      <c r="I1927">
        <v>2</v>
      </c>
      <c r="J1927">
        <v>3.4</v>
      </c>
      <c r="K1927">
        <v>2</v>
      </c>
      <c r="L1927">
        <v>2.5999999999999999E-2</v>
      </c>
      <c r="M1927">
        <v>5</v>
      </c>
      <c r="N1927">
        <v>114</v>
      </c>
      <c r="O1927">
        <v>5</v>
      </c>
      <c r="P1927">
        <v>0.67500000000000004</v>
      </c>
      <c r="Q1927">
        <v>5</v>
      </c>
      <c r="R1927">
        <v>8.0000000000000002E-3</v>
      </c>
      <c r="T1927" s="8" t="s">
        <v>357</v>
      </c>
    </row>
    <row r="1928" spans="1:20" x14ac:dyDescent="0.2">
      <c r="A1928" t="s">
        <v>5564</v>
      </c>
      <c r="B1928" t="s">
        <v>2022</v>
      </c>
      <c r="C1928" t="s">
        <v>2508</v>
      </c>
      <c r="D1928" t="s">
        <v>2024</v>
      </c>
      <c r="E1928" t="s">
        <v>5565</v>
      </c>
      <c r="F1928" t="s">
        <v>5566</v>
      </c>
      <c r="G1928">
        <v>5</v>
      </c>
      <c r="H1928">
        <v>1650</v>
      </c>
      <c r="I1928">
        <v>2</v>
      </c>
      <c r="J1928">
        <v>5</v>
      </c>
      <c r="K1928">
        <v>3</v>
      </c>
      <c r="L1928">
        <v>0.26</v>
      </c>
      <c r="M1928">
        <v>2</v>
      </c>
      <c r="N1928">
        <v>157.5</v>
      </c>
      <c r="O1928">
        <v>1</v>
      </c>
      <c r="P1928">
        <v>0.45</v>
      </c>
      <c r="Q1928">
        <v>2</v>
      </c>
      <c r="R1928">
        <v>2.4E-2</v>
      </c>
      <c r="T1928" s="8" t="s">
        <v>5565</v>
      </c>
    </row>
    <row r="1929" spans="1:20" x14ac:dyDescent="0.2">
      <c r="A1929" t="s">
        <v>5567</v>
      </c>
      <c r="B1929" t="s">
        <v>2022</v>
      </c>
      <c r="C1929" t="s">
        <v>2023</v>
      </c>
      <c r="D1929" t="s">
        <v>2024</v>
      </c>
      <c r="E1929" t="s">
        <v>5568</v>
      </c>
      <c r="F1929" t="s">
        <v>5569</v>
      </c>
      <c r="G1929">
        <v>2</v>
      </c>
      <c r="H1929">
        <v>1560</v>
      </c>
      <c r="I1929">
        <v>3</v>
      </c>
      <c r="J1929">
        <v>5.9</v>
      </c>
      <c r="K1929">
        <v>2</v>
      </c>
      <c r="L1929">
        <v>2.5999999999999999E-2</v>
      </c>
      <c r="M1929">
        <v>1</v>
      </c>
      <c r="N1929">
        <v>74</v>
      </c>
      <c r="O1929">
        <v>2</v>
      </c>
      <c r="P1929">
        <v>0.22500000000000001</v>
      </c>
      <c r="Q1929">
        <v>2</v>
      </c>
      <c r="R1929">
        <v>2E-3</v>
      </c>
      <c r="T1929" s="8" t="s">
        <v>5568</v>
      </c>
    </row>
    <row r="1930" spans="1:20" x14ac:dyDescent="0.2">
      <c r="A1930" t="s">
        <v>5570</v>
      </c>
      <c r="B1930" t="s">
        <v>2022</v>
      </c>
      <c r="C1930" t="s">
        <v>2095</v>
      </c>
      <c r="D1930" t="s">
        <v>2024</v>
      </c>
      <c r="E1930" t="s">
        <v>5571</v>
      </c>
      <c r="F1930" t="s">
        <v>5572</v>
      </c>
      <c r="G1930">
        <v>1</v>
      </c>
      <c r="H1930">
        <v>1565</v>
      </c>
      <c r="I1930">
        <v>1</v>
      </c>
      <c r="J1930">
        <v>4.5</v>
      </c>
      <c r="K1930">
        <v>1</v>
      </c>
      <c r="L1930">
        <v>1.4999999999999999E-2</v>
      </c>
      <c r="M1930">
        <v>5</v>
      </c>
      <c r="N1930">
        <v>98</v>
      </c>
      <c r="O1930">
        <v>2</v>
      </c>
      <c r="P1930">
        <v>0.35</v>
      </c>
      <c r="Q1930">
        <v>1</v>
      </c>
      <c r="R1930">
        <v>6.9999999999999999E-4</v>
      </c>
      <c r="T1930" s="8" t="s">
        <v>5571</v>
      </c>
    </row>
    <row r="1931" spans="1:20" x14ac:dyDescent="0.2">
      <c r="A1931" t="s">
        <v>5573</v>
      </c>
      <c r="B1931" t="s">
        <v>2022</v>
      </c>
      <c r="C1931" t="s">
        <v>2023</v>
      </c>
      <c r="D1931" t="s">
        <v>2024</v>
      </c>
      <c r="E1931" t="s">
        <v>5574</v>
      </c>
      <c r="F1931" t="s">
        <v>5575</v>
      </c>
      <c r="G1931">
        <v>2</v>
      </c>
      <c r="H1931">
        <v>1560</v>
      </c>
      <c r="I1931">
        <v>2</v>
      </c>
      <c r="J1931">
        <v>3.4</v>
      </c>
      <c r="K1931">
        <v>4</v>
      </c>
      <c r="L1931">
        <v>6.6000000000000003E-2</v>
      </c>
      <c r="M1931">
        <v>3</v>
      </c>
      <c r="N1931">
        <v>94</v>
      </c>
      <c r="O1931">
        <v>2</v>
      </c>
      <c r="P1931">
        <v>0.22500000000000001</v>
      </c>
      <c r="Q1931">
        <v>3</v>
      </c>
      <c r="R1931">
        <v>4.0000000000000001E-3</v>
      </c>
      <c r="T1931" s="8" t="s">
        <v>5574</v>
      </c>
    </row>
    <row r="1932" spans="1:20" x14ac:dyDescent="0.2">
      <c r="A1932" t="s">
        <v>5576</v>
      </c>
      <c r="B1932" t="s">
        <v>2022</v>
      </c>
      <c r="C1932" t="s">
        <v>2173</v>
      </c>
      <c r="D1932" t="s">
        <v>2024</v>
      </c>
      <c r="E1932" t="s">
        <v>5577</v>
      </c>
      <c r="F1932" t="s">
        <v>5578</v>
      </c>
      <c r="G1932">
        <v>4</v>
      </c>
      <c r="H1932">
        <v>2107.5</v>
      </c>
      <c r="I1932">
        <v>2</v>
      </c>
      <c r="J1932">
        <v>6.35</v>
      </c>
      <c r="K1932">
        <v>2</v>
      </c>
      <c r="L1932">
        <v>0.09</v>
      </c>
      <c r="M1932">
        <v>4</v>
      </c>
      <c r="N1932">
        <v>129.5</v>
      </c>
      <c r="O1932">
        <v>2</v>
      </c>
      <c r="P1932">
        <v>0.33</v>
      </c>
      <c r="Q1932">
        <v>2</v>
      </c>
      <c r="R1932">
        <v>4.7999999999999996E-3</v>
      </c>
      <c r="T1932" s="8" t="s">
        <v>5577</v>
      </c>
    </row>
    <row r="1933" spans="1:20" x14ac:dyDescent="0.2">
      <c r="A1933" t="s">
        <v>5579</v>
      </c>
      <c r="B1933" t="s">
        <v>2022</v>
      </c>
      <c r="C1933" t="s">
        <v>2023</v>
      </c>
      <c r="D1933" t="s">
        <v>2024</v>
      </c>
      <c r="E1933" t="s">
        <v>5580</v>
      </c>
      <c r="F1933" t="s">
        <v>5581</v>
      </c>
      <c r="G1933">
        <v>3</v>
      </c>
      <c r="H1933">
        <v>1640</v>
      </c>
      <c r="I1933">
        <v>4</v>
      </c>
      <c r="J1933">
        <v>8.4</v>
      </c>
      <c r="K1933">
        <v>5</v>
      </c>
      <c r="L1933">
        <v>8.5999999999999993E-2</v>
      </c>
      <c r="M1933">
        <v>2</v>
      </c>
      <c r="N1933">
        <v>84</v>
      </c>
      <c r="O1933">
        <v>3</v>
      </c>
      <c r="P1933">
        <v>0.375</v>
      </c>
      <c r="Q1933">
        <v>5</v>
      </c>
      <c r="R1933">
        <v>8.0000000000000002E-3</v>
      </c>
      <c r="T1933" s="8" t="s">
        <v>5580</v>
      </c>
    </row>
    <row r="1934" spans="1:20" x14ac:dyDescent="0.2">
      <c r="A1934" t="s">
        <v>5582</v>
      </c>
      <c r="B1934" t="s">
        <v>2022</v>
      </c>
      <c r="C1934" t="s">
        <v>2023</v>
      </c>
      <c r="D1934" t="s">
        <v>2024</v>
      </c>
      <c r="E1934" t="s">
        <v>5583</v>
      </c>
      <c r="F1934" t="s">
        <v>5584</v>
      </c>
      <c r="G1934">
        <v>3</v>
      </c>
      <c r="H1934">
        <v>1640</v>
      </c>
      <c r="I1934">
        <v>4</v>
      </c>
      <c r="J1934">
        <v>8.4</v>
      </c>
      <c r="K1934">
        <v>5</v>
      </c>
      <c r="L1934">
        <v>8.5999999999999993E-2</v>
      </c>
      <c r="M1934">
        <v>1</v>
      </c>
      <c r="N1934">
        <v>74</v>
      </c>
      <c r="O1934">
        <v>3</v>
      </c>
      <c r="P1934">
        <v>0.375</v>
      </c>
      <c r="Q1934">
        <v>5</v>
      </c>
      <c r="R1934">
        <v>8.0000000000000002E-3</v>
      </c>
      <c r="T1934" s="8" t="s">
        <v>5583</v>
      </c>
    </row>
    <row r="1935" spans="1:20" x14ac:dyDescent="0.2">
      <c r="A1935" t="s">
        <v>5585</v>
      </c>
      <c r="B1935" t="s">
        <v>2022</v>
      </c>
      <c r="C1935" t="s">
        <v>2023</v>
      </c>
      <c r="D1935" t="s">
        <v>2024</v>
      </c>
      <c r="E1935" t="s">
        <v>5586</v>
      </c>
      <c r="F1935" t="s">
        <v>5587</v>
      </c>
      <c r="G1935">
        <v>1</v>
      </c>
      <c r="H1935">
        <v>1480</v>
      </c>
      <c r="I1935">
        <v>1</v>
      </c>
      <c r="J1935">
        <v>0.9</v>
      </c>
      <c r="K1935">
        <v>2</v>
      </c>
      <c r="L1935">
        <v>2.5999999999999999E-2</v>
      </c>
      <c r="M1935">
        <v>1</v>
      </c>
      <c r="N1935">
        <v>74</v>
      </c>
      <c r="O1935">
        <v>1</v>
      </c>
      <c r="P1935">
        <v>7.4999999999999997E-2</v>
      </c>
      <c r="Q1935">
        <v>1</v>
      </c>
      <c r="R1935">
        <v>5.0000000000000001E-4</v>
      </c>
      <c r="T1935" s="8" t="s">
        <v>5586</v>
      </c>
    </row>
    <row r="1936" spans="1:20" x14ac:dyDescent="0.2">
      <c r="A1936" t="s">
        <v>5588</v>
      </c>
      <c r="B1936" t="s">
        <v>2022</v>
      </c>
      <c r="C1936" t="s">
        <v>2023</v>
      </c>
      <c r="D1936" t="s">
        <v>2024</v>
      </c>
      <c r="E1936" t="s">
        <v>357</v>
      </c>
      <c r="F1936" t="s">
        <v>5589</v>
      </c>
      <c r="G1936">
        <v>1</v>
      </c>
      <c r="H1936">
        <v>1480</v>
      </c>
      <c r="I1936">
        <v>1</v>
      </c>
      <c r="J1936">
        <v>0.9</v>
      </c>
      <c r="K1936">
        <v>1</v>
      </c>
      <c r="L1936">
        <v>6.0000000000000001E-3</v>
      </c>
      <c r="M1936">
        <v>5</v>
      </c>
      <c r="N1936">
        <v>114</v>
      </c>
      <c r="O1936">
        <v>5</v>
      </c>
      <c r="P1936">
        <v>0.67500000000000004</v>
      </c>
      <c r="Q1936">
        <v>5</v>
      </c>
      <c r="R1936">
        <v>8.0000000000000002E-3</v>
      </c>
      <c r="T1936" s="8" t="s">
        <v>357</v>
      </c>
    </row>
    <row r="1937" spans="1:20" x14ac:dyDescent="0.2">
      <c r="A1937" t="s">
        <v>5590</v>
      </c>
      <c r="B1937" t="s">
        <v>2022</v>
      </c>
      <c r="C1937" t="s">
        <v>2049</v>
      </c>
      <c r="D1937" t="s">
        <v>2024</v>
      </c>
      <c r="E1937" t="s">
        <v>1150</v>
      </c>
      <c r="F1937" t="s">
        <v>1151</v>
      </c>
      <c r="G1937">
        <v>2</v>
      </c>
      <c r="H1937">
        <v>1450</v>
      </c>
      <c r="I1937">
        <v>3</v>
      </c>
      <c r="J1937">
        <v>5</v>
      </c>
      <c r="K1937">
        <v>2</v>
      </c>
      <c r="L1937">
        <v>0.06</v>
      </c>
      <c r="M1937">
        <v>2</v>
      </c>
      <c r="N1937">
        <v>106</v>
      </c>
      <c r="O1937">
        <v>2</v>
      </c>
      <c r="P1937">
        <v>0.26</v>
      </c>
      <c r="Q1937">
        <v>2</v>
      </c>
      <c r="R1937">
        <v>6.1999999999999998E-3</v>
      </c>
      <c r="T1937" s="8" t="s">
        <v>1150</v>
      </c>
    </row>
    <row r="1938" spans="1:20" x14ac:dyDescent="0.2">
      <c r="A1938" t="s">
        <v>5591</v>
      </c>
      <c r="B1938" t="s">
        <v>2022</v>
      </c>
      <c r="C1938" t="s">
        <v>2023</v>
      </c>
      <c r="D1938" t="s">
        <v>2154</v>
      </c>
      <c r="E1938" t="s">
        <v>5592</v>
      </c>
      <c r="F1938" t="s">
        <v>5593</v>
      </c>
      <c r="G1938">
        <v>1</v>
      </c>
      <c r="H1938">
        <v>1480</v>
      </c>
      <c r="I1938">
        <v>5</v>
      </c>
      <c r="J1938">
        <v>10.9</v>
      </c>
      <c r="K1938">
        <v>5</v>
      </c>
      <c r="L1938">
        <v>8.5999999999999993E-2</v>
      </c>
      <c r="M1938">
        <v>5</v>
      </c>
      <c r="N1938">
        <v>114</v>
      </c>
      <c r="O1938">
        <v>5</v>
      </c>
      <c r="P1938">
        <v>0.67500000000000004</v>
      </c>
      <c r="Q1938">
        <v>5</v>
      </c>
      <c r="R1938">
        <v>8.0000000000000002E-3</v>
      </c>
      <c r="T1938" s="8" t="s">
        <v>5592</v>
      </c>
    </row>
    <row r="1939" spans="1:20" x14ac:dyDescent="0.2">
      <c r="A1939" t="s">
        <v>5594</v>
      </c>
      <c r="B1939" t="s">
        <v>2022</v>
      </c>
      <c r="C1939" t="s">
        <v>2036</v>
      </c>
      <c r="D1939" t="s">
        <v>2024</v>
      </c>
      <c r="E1939" t="s">
        <v>313</v>
      </c>
      <c r="F1939" t="s">
        <v>5595</v>
      </c>
      <c r="G1939">
        <v>3</v>
      </c>
      <c r="H1939">
        <v>1740</v>
      </c>
      <c r="I1939">
        <v>2</v>
      </c>
      <c r="J1939">
        <v>3.4</v>
      </c>
      <c r="K1939">
        <v>2</v>
      </c>
      <c r="L1939">
        <v>8.5000000000000006E-2</v>
      </c>
      <c r="M1939">
        <v>3</v>
      </c>
      <c r="N1939">
        <v>88</v>
      </c>
      <c r="O1939">
        <v>1</v>
      </c>
      <c r="P1939">
        <v>9.5000000000000001E-2</v>
      </c>
      <c r="Q1939">
        <v>2</v>
      </c>
      <c r="R1939">
        <v>4.2500000000000003E-3</v>
      </c>
      <c r="T1939" s="8" t="s">
        <v>313</v>
      </c>
    </row>
    <row r="1940" spans="1:20" x14ac:dyDescent="0.2">
      <c r="A1940" t="s">
        <v>5596</v>
      </c>
      <c r="B1940" t="s">
        <v>2022</v>
      </c>
      <c r="C1940" t="s">
        <v>2036</v>
      </c>
      <c r="D1940" t="s">
        <v>2024</v>
      </c>
      <c r="E1940" t="s">
        <v>5597</v>
      </c>
      <c r="F1940" t="s">
        <v>5598</v>
      </c>
      <c r="G1940">
        <v>4</v>
      </c>
      <c r="H1940">
        <v>1840</v>
      </c>
      <c r="I1940">
        <v>2</v>
      </c>
      <c r="J1940">
        <v>3.4</v>
      </c>
      <c r="K1940">
        <v>1</v>
      </c>
      <c r="L1940">
        <v>5.5E-2</v>
      </c>
      <c r="M1940">
        <v>3</v>
      </c>
      <c r="N1940">
        <v>88</v>
      </c>
      <c r="O1940">
        <v>2</v>
      </c>
      <c r="P1940">
        <v>0.20499999999999999</v>
      </c>
      <c r="Q1940">
        <v>1</v>
      </c>
      <c r="R1940">
        <v>1.5E-3</v>
      </c>
      <c r="T1940" s="8" t="s">
        <v>5597</v>
      </c>
    </row>
    <row r="1941" spans="1:20" x14ac:dyDescent="0.2">
      <c r="A1941" t="s">
        <v>5599</v>
      </c>
      <c r="B1941" t="s">
        <v>2022</v>
      </c>
      <c r="C1941" t="s">
        <v>2036</v>
      </c>
      <c r="D1941" t="s">
        <v>2024</v>
      </c>
      <c r="E1941" t="s">
        <v>5600</v>
      </c>
      <c r="F1941" t="s">
        <v>5601</v>
      </c>
      <c r="G1941">
        <v>5</v>
      </c>
      <c r="H1941">
        <v>1940</v>
      </c>
      <c r="I1941">
        <v>5</v>
      </c>
      <c r="J1941">
        <v>7</v>
      </c>
      <c r="K1941">
        <v>5</v>
      </c>
      <c r="L1941">
        <v>0.17499999999999999</v>
      </c>
      <c r="M1941">
        <v>3</v>
      </c>
      <c r="N1941">
        <v>88</v>
      </c>
      <c r="O1941">
        <v>3</v>
      </c>
      <c r="P1941">
        <v>0.315</v>
      </c>
      <c r="Q1941">
        <v>5</v>
      </c>
      <c r="R1941">
        <v>1.2E-2</v>
      </c>
      <c r="T1941" s="8" t="s">
        <v>5600</v>
      </c>
    </row>
    <row r="1942" spans="1:20" x14ac:dyDescent="0.2">
      <c r="A1942" t="s">
        <v>5602</v>
      </c>
      <c r="B1942" t="s">
        <v>2022</v>
      </c>
      <c r="C1942" t="s">
        <v>2053</v>
      </c>
      <c r="D1942" t="s">
        <v>2024</v>
      </c>
      <c r="E1942" t="s">
        <v>5603</v>
      </c>
      <c r="F1942" t="s">
        <v>5604</v>
      </c>
      <c r="G1942">
        <v>5</v>
      </c>
      <c r="H1942">
        <v>1900</v>
      </c>
      <c r="I1942">
        <v>2</v>
      </c>
      <c r="J1942">
        <v>4.05</v>
      </c>
      <c r="K1942">
        <v>2</v>
      </c>
      <c r="L1942">
        <v>8.5000000000000006E-2</v>
      </c>
      <c r="M1942">
        <v>5</v>
      </c>
      <c r="N1942">
        <v>113</v>
      </c>
      <c r="O1942">
        <v>2</v>
      </c>
      <c r="P1942">
        <v>0.22500000000000001</v>
      </c>
      <c r="Q1942">
        <v>2</v>
      </c>
      <c r="R1942">
        <v>5.1999999999999998E-3</v>
      </c>
      <c r="T1942" s="8" t="s">
        <v>5603</v>
      </c>
    </row>
    <row r="1943" spans="1:20" x14ac:dyDescent="0.2">
      <c r="A1943" t="s">
        <v>5605</v>
      </c>
      <c r="B1943" t="s">
        <v>2022</v>
      </c>
      <c r="C1943" t="s">
        <v>2036</v>
      </c>
      <c r="D1943" t="s">
        <v>2024</v>
      </c>
      <c r="E1943" t="s">
        <v>5606</v>
      </c>
      <c r="F1943" t="s">
        <v>5607</v>
      </c>
      <c r="G1943">
        <v>3</v>
      </c>
      <c r="H1943">
        <v>1740</v>
      </c>
      <c r="I1943">
        <v>1</v>
      </c>
      <c r="J1943">
        <v>2.2000000000000002</v>
      </c>
      <c r="K1943">
        <v>2</v>
      </c>
      <c r="L1943">
        <v>8.5000000000000006E-2</v>
      </c>
      <c r="M1943">
        <v>3</v>
      </c>
      <c r="N1943">
        <v>88</v>
      </c>
      <c r="O1943">
        <v>1</v>
      </c>
      <c r="P1943">
        <v>9.5000000000000001E-2</v>
      </c>
      <c r="Q1943">
        <v>2</v>
      </c>
      <c r="R1943">
        <v>4.2500000000000003E-3</v>
      </c>
      <c r="T1943" s="8" t="s">
        <v>5606</v>
      </c>
    </row>
    <row r="1944" spans="1:20" x14ac:dyDescent="0.2">
      <c r="A1944" t="s">
        <v>5608</v>
      </c>
      <c r="B1944" t="s">
        <v>2022</v>
      </c>
      <c r="C1944" t="s">
        <v>2101</v>
      </c>
      <c r="D1944" t="s">
        <v>2024</v>
      </c>
      <c r="E1944" t="s">
        <v>5609</v>
      </c>
      <c r="F1944" t="s">
        <v>5610</v>
      </c>
      <c r="G1944">
        <v>3</v>
      </c>
      <c r="H1944">
        <v>1770</v>
      </c>
      <c r="I1944">
        <v>2</v>
      </c>
      <c r="J1944">
        <v>5</v>
      </c>
      <c r="K1944">
        <v>2</v>
      </c>
      <c r="L1944">
        <v>9.6500000000000002E-2</v>
      </c>
      <c r="M1944">
        <v>2</v>
      </c>
      <c r="N1944">
        <v>74</v>
      </c>
      <c r="O1944">
        <v>2</v>
      </c>
      <c r="P1944">
        <v>0.22500000000000001</v>
      </c>
      <c r="Q1944">
        <v>2</v>
      </c>
      <c r="R1944">
        <v>4.4999999999999997E-3</v>
      </c>
      <c r="T1944" s="8" t="s">
        <v>5609</v>
      </c>
    </row>
    <row r="1945" spans="1:20" x14ac:dyDescent="0.2">
      <c r="A1945" t="s">
        <v>5611</v>
      </c>
      <c r="B1945" t="s">
        <v>2022</v>
      </c>
      <c r="C1945" t="s">
        <v>2101</v>
      </c>
      <c r="D1945" t="s">
        <v>2024</v>
      </c>
      <c r="E1945" t="s">
        <v>5612</v>
      </c>
      <c r="F1945" t="s">
        <v>5613</v>
      </c>
      <c r="G1945">
        <v>1</v>
      </c>
      <c r="H1945">
        <v>1570</v>
      </c>
      <c r="I1945">
        <v>4</v>
      </c>
      <c r="J1945">
        <v>11</v>
      </c>
      <c r="K1945">
        <v>3</v>
      </c>
      <c r="L1945">
        <v>0.24349999999999999</v>
      </c>
      <c r="M1945">
        <v>2</v>
      </c>
      <c r="N1945">
        <v>74</v>
      </c>
      <c r="O1945">
        <v>3</v>
      </c>
      <c r="P1945">
        <v>0.375</v>
      </c>
      <c r="Q1945">
        <v>3</v>
      </c>
      <c r="R1945">
        <v>1.15E-2</v>
      </c>
      <c r="T1945" s="8" t="s">
        <v>5612</v>
      </c>
    </row>
    <row r="1946" spans="1:20" x14ac:dyDescent="0.2">
      <c r="A1946" t="s">
        <v>5614</v>
      </c>
      <c r="B1946" t="s">
        <v>2022</v>
      </c>
      <c r="C1946" t="s">
        <v>2023</v>
      </c>
      <c r="D1946" t="s">
        <v>2024</v>
      </c>
      <c r="E1946" t="s">
        <v>5615</v>
      </c>
      <c r="F1946" t="s">
        <v>5616</v>
      </c>
      <c r="G1946">
        <v>4</v>
      </c>
      <c r="H1946">
        <v>1720</v>
      </c>
      <c r="I1946">
        <v>3</v>
      </c>
      <c r="J1946">
        <v>5.9</v>
      </c>
      <c r="K1946">
        <v>5</v>
      </c>
      <c r="L1946">
        <v>8.5999999999999993E-2</v>
      </c>
      <c r="M1946">
        <v>5</v>
      </c>
      <c r="N1946">
        <v>114</v>
      </c>
      <c r="O1946">
        <v>4</v>
      </c>
      <c r="P1946">
        <v>0.52500000000000002</v>
      </c>
      <c r="Q1946">
        <v>5</v>
      </c>
      <c r="R1946">
        <v>8.0000000000000002E-3</v>
      </c>
      <c r="T1946" s="8" t="s">
        <v>5615</v>
      </c>
    </row>
    <row r="1947" spans="1:20" x14ac:dyDescent="0.2">
      <c r="A1947" t="s">
        <v>5617</v>
      </c>
      <c r="B1947" t="s">
        <v>2022</v>
      </c>
      <c r="C1947" t="s">
        <v>2036</v>
      </c>
      <c r="D1947" t="s">
        <v>2024</v>
      </c>
      <c r="E1947" t="s">
        <v>5618</v>
      </c>
      <c r="F1947" t="s">
        <v>5619</v>
      </c>
      <c r="G1947">
        <v>2</v>
      </c>
      <c r="H1947">
        <v>1640</v>
      </c>
      <c r="I1947">
        <v>2</v>
      </c>
      <c r="J1947">
        <v>3.4</v>
      </c>
      <c r="K1947">
        <v>3</v>
      </c>
      <c r="L1947">
        <v>0.115</v>
      </c>
      <c r="M1947">
        <v>2</v>
      </c>
      <c r="N1947">
        <v>82</v>
      </c>
      <c r="O1947">
        <v>2</v>
      </c>
      <c r="P1947">
        <v>0.20499999999999999</v>
      </c>
      <c r="Q1947">
        <v>3</v>
      </c>
      <c r="R1947">
        <v>6.7499999999999999E-3</v>
      </c>
      <c r="T1947" s="8" t="s">
        <v>5618</v>
      </c>
    </row>
    <row r="1948" spans="1:20" x14ac:dyDescent="0.2">
      <c r="A1948" t="s">
        <v>5620</v>
      </c>
      <c r="B1948" t="s">
        <v>2022</v>
      </c>
      <c r="C1948" t="s">
        <v>2101</v>
      </c>
      <c r="D1948" t="s">
        <v>2024</v>
      </c>
      <c r="E1948" t="s">
        <v>5621</v>
      </c>
      <c r="F1948" t="s">
        <v>5622</v>
      </c>
      <c r="G1948">
        <v>4</v>
      </c>
      <c r="H1948">
        <v>1870</v>
      </c>
      <c r="I1948">
        <v>1</v>
      </c>
      <c r="J1948">
        <v>2</v>
      </c>
      <c r="K1948">
        <v>1</v>
      </c>
      <c r="L1948">
        <v>1.15E-2</v>
      </c>
      <c r="M1948">
        <v>2</v>
      </c>
      <c r="N1948">
        <v>74</v>
      </c>
      <c r="O1948">
        <v>1</v>
      </c>
      <c r="P1948">
        <v>7.4999999999999997E-2</v>
      </c>
      <c r="Q1948">
        <v>1</v>
      </c>
      <c r="R1948">
        <v>5.0000000000000001E-4</v>
      </c>
      <c r="T1948" s="8" t="s">
        <v>5621</v>
      </c>
    </row>
    <row r="1949" spans="1:20" x14ac:dyDescent="0.2">
      <c r="A1949" t="s">
        <v>5623</v>
      </c>
      <c r="B1949" t="s">
        <v>2022</v>
      </c>
      <c r="C1949" t="s">
        <v>2023</v>
      </c>
      <c r="D1949" t="s">
        <v>2024</v>
      </c>
      <c r="E1949" t="s">
        <v>357</v>
      </c>
      <c r="F1949" t="s">
        <v>5624</v>
      </c>
      <c r="G1949">
        <v>1</v>
      </c>
      <c r="H1949">
        <v>1480</v>
      </c>
      <c r="I1949">
        <v>1</v>
      </c>
      <c r="J1949">
        <v>0.9</v>
      </c>
      <c r="K1949">
        <v>1</v>
      </c>
      <c r="L1949">
        <v>6.0000000000000001E-3</v>
      </c>
      <c r="M1949">
        <v>5</v>
      </c>
      <c r="N1949">
        <v>114</v>
      </c>
      <c r="O1949">
        <v>5</v>
      </c>
      <c r="P1949">
        <v>0.67500000000000004</v>
      </c>
      <c r="Q1949">
        <v>4</v>
      </c>
      <c r="R1949">
        <v>6.0000000000000001E-3</v>
      </c>
      <c r="T1949" s="8" t="s">
        <v>357</v>
      </c>
    </row>
    <row r="1950" spans="1:20" x14ac:dyDescent="0.2">
      <c r="A1950" t="s">
        <v>5625</v>
      </c>
      <c r="B1950" t="s">
        <v>2022</v>
      </c>
      <c r="C1950" t="s">
        <v>2053</v>
      </c>
      <c r="D1950" t="s">
        <v>2024</v>
      </c>
      <c r="E1950" t="s">
        <v>5626</v>
      </c>
      <c r="F1950" t="s">
        <v>447</v>
      </c>
      <c r="G1950">
        <v>2</v>
      </c>
      <c r="H1950">
        <v>1600</v>
      </c>
      <c r="I1950">
        <v>2</v>
      </c>
      <c r="J1950">
        <v>4.05</v>
      </c>
      <c r="K1950">
        <v>2</v>
      </c>
      <c r="L1950">
        <v>8.5000000000000006E-2</v>
      </c>
      <c r="M1950">
        <v>2</v>
      </c>
      <c r="N1950">
        <v>83</v>
      </c>
      <c r="O1950">
        <v>2</v>
      </c>
      <c r="P1950">
        <v>0.22500000000000001</v>
      </c>
      <c r="Q1950">
        <v>2</v>
      </c>
      <c r="R1950">
        <v>5.1999999999999998E-3</v>
      </c>
      <c r="T1950" s="8" t="s">
        <v>5626</v>
      </c>
    </row>
    <row r="1951" spans="1:20" x14ac:dyDescent="0.2">
      <c r="A1951" t="s">
        <v>5627</v>
      </c>
      <c r="B1951" t="s">
        <v>2022</v>
      </c>
      <c r="C1951" t="s">
        <v>2101</v>
      </c>
      <c r="D1951" t="s">
        <v>2024</v>
      </c>
      <c r="E1951" t="s">
        <v>5628</v>
      </c>
      <c r="F1951" t="s">
        <v>5629</v>
      </c>
      <c r="G1951">
        <v>3</v>
      </c>
      <c r="H1951">
        <v>1770</v>
      </c>
      <c r="I1951">
        <v>2</v>
      </c>
      <c r="J1951">
        <v>5</v>
      </c>
      <c r="K1951">
        <v>2</v>
      </c>
      <c r="L1951">
        <v>9.6500000000000002E-2</v>
      </c>
      <c r="M1951">
        <v>2</v>
      </c>
      <c r="N1951">
        <v>74</v>
      </c>
      <c r="O1951">
        <v>2</v>
      </c>
      <c r="P1951">
        <v>0.22500000000000001</v>
      </c>
      <c r="Q1951">
        <v>2</v>
      </c>
      <c r="R1951">
        <v>4.4999999999999997E-3</v>
      </c>
      <c r="T1951" s="8" t="s">
        <v>5628</v>
      </c>
    </row>
    <row r="1952" spans="1:20" x14ac:dyDescent="0.2">
      <c r="A1952" t="s">
        <v>5630</v>
      </c>
      <c r="B1952" t="s">
        <v>2022</v>
      </c>
      <c r="C1952" t="s">
        <v>2049</v>
      </c>
      <c r="D1952" t="s">
        <v>2024</v>
      </c>
      <c r="E1952" t="s">
        <v>5631</v>
      </c>
      <c r="F1952" t="s">
        <v>5632</v>
      </c>
      <c r="G1952">
        <v>4</v>
      </c>
      <c r="H1952">
        <v>1650</v>
      </c>
      <c r="I1952">
        <v>5</v>
      </c>
      <c r="J1952">
        <v>8.6</v>
      </c>
      <c r="K1952">
        <v>5</v>
      </c>
      <c r="L1952">
        <v>0.3</v>
      </c>
      <c r="M1952">
        <v>4</v>
      </c>
      <c r="N1952">
        <v>146</v>
      </c>
      <c r="O1952">
        <v>4</v>
      </c>
      <c r="P1952">
        <v>0.66</v>
      </c>
      <c r="Q1952">
        <v>5</v>
      </c>
      <c r="R1952">
        <v>3.32E-2</v>
      </c>
      <c r="T1952" s="8" t="s">
        <v>5631</v>
      </c>
    </row>
    <row r="1953" spans="1:20" x14ac:dyDescent="0.2">
      <c r="A1953" t="s">
        <v>5633</v>
      </c>
      <c r="B1953" t="s">
        <v>2022</v>
      </c>
      <c r="C1953" t="s">
        <v>2023</v>
      </c>
      <c r="D1953" t="s">
        <v>2024</v>
      </c>
      <c r="E1953" t="s">
        <v>5634</v>
      </c>
      <c r="F1953" t="s">
        <v>5635</v>
      </c>
      <c r="G1953">
        <v>5</v>
      </c>
      <c r="H1953">
        <v>1800</v>
      </c>
      <c r="I1953">
        <v>3</v>
      </c>
      <c r="J1953">
        <v>5.9</v>
      </c>
      <c r="K1953">
        <v>5</v>
      </c>
      <c r="L1953">
        <v>8.5999999999999993E-2</v>
      </c>
      <c r="M1953">
        <v>4</v>
      </c>
      <c r="N1953">
        <v>104</v>
      </c>
      <c r="O1953">
        <v>3</v>
      </c>
      <c r="P1953">
        <v>0.375</v>
      </c>
      <c r="Q1953">
        <v>3</v>
      </c>
      <c r="R1953">
        <v>4.0000000000000001E-3</v>
      </c>
      <c r="T1953" s="8" t="s">
        <v>5634</v>
      </c>
    </row>
    <row r="1954" spans="1:20" x14ac:dyDescent="0.2">
      <c r="A1954" t="s">
        <v>5636</v>
      </c>
      <c r="B1954" t="s">
        <v>2022</v>
      </c>
      <c r="C1954" t="s">
        <v>2036</v>
      </c>
      <c r="D1954" t="s">
        <v>2024</v>
      </c>
      <c r="E1954" t="s">
        <v>5637</v>
      </c>
      <c r="F1954" t="s">
        <v>5638</v>
      </c>
      <c r="G1954">
        <v>2</v>
      </c>
      <c r="H1954">
        <v>1640</v>
      </c>
      <c r="I1954">
        <v>2</v>
      </c>
      <c r="J1954">
        <v>3.4</v>
      </c>
      <c r="K1954">
        <v>2</v>
      </c>
      <c r="L1954">
        <v>8.5000000000000006E-2</v>
      </c>
      <c r="M1954">
        <v>3</v>
      </c>
      <c r="N1954">
        <v>88</v>
      </c>
      <c r="O1954">
        <v>2</v>
      </c>
      <c r="P1954">
        <v>0.20499999999999999</v>
      </c>
      <c r="Q1954">
        <v>2</v>
      </c>
      <c r="R1954">
        <v>4.2500000000000003E-3</v>
      </c>
      <c r="T1954" s="8" t="s">
        <v>5637</v>
      </c>
    </row>
    <row r="1955" spans="1:20" x14ac:dyDescent="0.2">
      <c r="A1955" t="s">
        <v>5639</v>
      </c>
      <c r="B1955" t="s">
        <v>2022</v>
      </c>
      <c r="C1955" t="s">
        <v>2023</v>
      </c>
      <c r="D1955" t="s">
        <v>2024</v>
      </c>
      <c r="E1955" t="s">
        <v>5640</v>
      </c>
      <c r="F1955" t="s">
        <v>5641</v>
      </c>
      <c r="G1955">
        <v>3</v>
      </c>
      <c r="H1955">
        <v>1640</v>
      </c>
      <c r="I1955">
        <v>5</v>
      </c>
      <c r="J1955">
        <v>10.9</v>
      </c>
      <c r="K1955">
        <v>5</v>
      </c>
      <c r="L1955">
        <v>8.5999999999999993E-2</v>
      </c>
      <c r="M1955">
        <v>2</v>
      </c>
      <c r="N1955">
        <v>84</v>
      </c>
      <c r="O1955">
        <v>4</v>
      </c>
      <c r="P1955">
        <v>0.52500000000000002</v>
      </c>
      <c r="Q1955">
        <v>4</v>
      </c>
      <c r="R1955">
        <v>6.0000000000000001E-3</v>
      </c>
      <c r="T1955" s="8" t="s">
        <v>5640</v>
      </c>
    </row>
    <row r="1956" spans="1:20" x14ac:dyDescent="0.2">
      <c r="A1956" t="s">
        <v>5642</v>
      </c>
      <c r="B1956" t="s">
        <v>2022</v>
      </c>
      <c r="C1956" t="s">
        <v>2023</v>
      </c>
      <c r="D1956" t="s">
        <v>2024</v>
      </c>
      <c r="E1956" t="s">
        <v>5643</v>
      </c>
      <c r="F1956" t="s">
        <v>5644</v>
      </c>
      <c r="G1956">
        <v>3</v>
      </c>
      <c r="H1956">
        <v>1640</v>
      </c>
      <c r="I1956">
        <v>3</v>
      </c>
      <c r="J1956">
        <v>5.9</v>
      </c>
      <c r="K1956">
        <v>4</v>
      </c>
      <c r="L1956">
        <v>6.6000000000000003E-2</v>
      </c>
      <c r="M1956">
        <v>2</v>
      </c>
      <c r="N1956">
        <v>84</v>
      </c>
      <c r="O1956">
        <v>2</v>
      </c>
      <c r="P1956">
        <v>0.22500000000000001</v>
      </c>
      <c r="Q1956">
        <v>2</v>
      </c>
      <c r="R1956">
        <v>2E-3</v>
      </c>
      <c r="T1956" s="8" t="s">
        <v>5643</v>
      </c>
    </row>
    <row r="1957" spans="1:20" x14ac:dyDescent="0.2">
      <c r="A1957" t="s">
        <v>5645</v>
      </c>
      <c r="B1957" t="s">
        <v>2022</v>
      </c>
      <c r="C1957" t="s">
        <v>2023</v>
      </c>
      <c r="D1957" t="s">
        <v>2024</v>
      </c>
      <c r="E1957" t="s">
        <v>5646</v>
      </c>
      <c r="F1957" t="s">
        <v>5647</v>
      </c>
      <c r="G1957">
        <v>3</v>
      </c>
      <c r="H1957">
        <v>1640</v>
      </c>
      <c r="I1957">
        <v>5</v>
      </c>
      <c r="J1957">
        <v>10.9</v>
      </c>
      <c r="K1957">
        <v>5</v>
      </c>
      <c r="L1957">
        <v>8.5999999999999993E-2</v>
      </c>
      <c r="M1957">
        <v>3</v>
      </c>
      <c r="N1957">
        <v>94</v>
      </c>
      <c r="O1957">
        <v>4</v>
      </c>
      <c r="P1957">
        <v>0.52500000000000002</v>
      </c>
      <c r="Q1957">
        <v>5</v>
      </c>
      <c r="R1957">
        <v>8.0000000000000002E-3</v>
      </c>
      <c r="T1957" s="8" t="s">
        <v>5646</v>
      </c>
    </row>
    <row r="1958" spans="1:20" x14ac:dyDescent="0.2">
      <c r="A1958" t="s">
        <v>5648</v>
      </c>
      <c r="B1958" t="s">
        <v>2022</v>
      </c>
      <c r="C1958" t="s">
        <v>2023</v>
      </c>
      <c r="D1958" t="s">
        <v>2024</v>
      </c>
      <c r="E1958" t="s">
        <v>5649</v>
      </c>
      <c r="F1958" t="s">
        <v>5650</v>
      </c>
      <c r="G1958">
        <v>3</v>
      </c>
      <c r="H1958">
        <v>1640</v>
      </c>
      <c r="I1958">
        <v>5</v>
      </c>
      <c r="J1958">
        <v>10.9</v>
      </c>
      <c r="K1958">
        <v>5</v>
      </c>
      <c r="L1958">
        <v>8.5999999999999993E-2</v>
      </c>
      <c r="M1958">
        <v>3</v>
      </c>
      <c r="N1958">
        <v>94</v>
      </c>
      <c r="O1958">
        <v>5</v>
      </c>
      <c r="P1958">
        <v>0.67500000000000004</v>
      </c>
      <c r="Q1958">
        <v>5</v>
      </c>
      <c r="R1958">
        <v>8.0000000000000002E-3</v>
      </c>
      <c r="T1958" s="8" t="s">
        <v>5649</v>
      </c>
    </row>
    <row r="1959" spans="1:20" x14ac:dyDescent="0.2">
      <c r="A1959" t="s">
        <v>5651</v>
      </c>
      <c r="B1959" t="s">
        <v>2022</v>
      </c>
      <c r="C1959" t="s">
        <v>2023</v>
      </c>
      <c r="D1959" t="s">
        <v>2024</v>
      </c>
      <c r="E1959" t="s">
        <v>5652</v>
      </c>
      <c r="F1959" t="s">
        <v>5653</v>
      </c>
      <c r="G1959">
        <v>3</v>
      </c>
      <c r="H1959">
        <v>1640</v>
      </c>
      <c r="I1959">
        <v>4</v>
      </c>
      <c r="J1959">
        <v>8.4</v>
      </c>
      <c r="K1959">
        <v>5</v>
      </c>
      <c r="L1959">
        <v>8.5999999999999993E-2</v>
      </c>
      <c r="M1959">
        <v>4</v>
      </c>
      <c r="N1959">
        <v>104</v>
      </c>
      <c r="O1959">
        <v>4</v>
      </c>
      <c r="P1959">
        <v>0.52500000000000002</v>
      </c>
      <c r="Q1959">
        <v>5</v>
      </c>
      <c r="R1959">
        <v>8.0000000000000002E-3</v>
      </c>
      <c r="T1959" s="8" t="s">
        <v>5652</v>
      </c>
    </row>
    <row r="1960" spans="1:20" x14ac:dyDescent="0.2">
      <c r="A1960" t="s">
        <v>5654</v>
      </c>
      <c r="B1960" t="s">
        <v>2022</v>
      </c>
      <c r="C1960" t="s">
        <v>2023</v>
      </c>
      <c r="D1960" t="s">
        <v>2024</v>
      </c>
      <c r="E1960" t="s">
        <v>357</v>
      </c>
      <c r="F1960" t="s">
        <v>5655</v>
      </c>
      <c r="G1960">
        <v>1</v>
      </c>
      <c r="H1960">
        <v>1480</v>
      </c>
      <c r="I1960">
        <v>1</v>
      </c>
      <c r="J1960">
        <v>0.9</v>
      </c>
      <c r="K1960">
        <v>1</v>
      </c>
      <c r="L1960">
        <v>6.0000000000000001E-3</v>
      </c>
      <c r="M1960">
        <v>5</v>
      </c>
      <c r="N1960">
        <v>114</v>
      </c>
      <c r="O1960">
        <v>5</v>
      </c>
      <c r="P1960">
        <v>0.67500000000000004</v>
      </c>
      <c r="Q1960">
        <v>5</v>
      </c>
      <c r="R1960">
        <v>8.0000000000000002E-3</v>
      </c>
      <c r="T1960" s="8" t="s">
        <v>357</v>
      </c>
    </row>
    <row r="1961" spans="1:20" x14ac:dyDescent="0.2">
      <c r="A1961" t="s">
        <v>5656</v>
      </c>
      <c r="B1961" t="s">
        <v>2022</v>
      </c>
      <c r="C1961" t="s">
        <v>2023</v>
      </c>
      <c r="D1961" t="s">
        <v>2024</v>
      </c>
      <c r="E1961" t="s">
        <v>357</v>
      </c>
      <c r="F1961" t="s">
        <v>5657</v>
      </c>
      <c r="G1961">
        <v>1</v>
      </c>
      <c r="H1961">
        <v>1480</v>
      </c>
      <c r="I1961">
        <v>1</v>
      </c>
      <c r="J1961">
        <v>0.9</v>
      </c>
      <c r="K1961">
        <v>1</v>
      </c>
      <c r="L1961">
        <v>6.0000000000000001E-3</v>
      </c>
      <c r="M1961">
        <v>5</v>
      </c>
      <c r="N1961">
        <v>114</v>
      </c>
      <c r="O1961">
        <v>5</v>
      </c>
      <c r="P1961">
        <v>0.67500000000000004</v>
      </c>
      <c r="Q1961">
        <v>5</v>
      </c>
      <c r="R1961">
        <v>8.0000000000000002E-3</v>
      </c>
      <c r="T1961" s="8" t="s">
        <v>357</v>
      </c>
    </row>
    <row r="1962" spans="1:20" x14ac:dyDescent="0.2">
      <c r="A1962" t="s">
        <v>5658</v>
      </c>
      <c r="B1962" t="s">
        <v>2022</v>
      </c>
      <c r="C1962" t="s">
        <v>2023</v>
      </c>
      <c r="D1962" t="s">
        <v>2024</v>
      </c>
      <c r="E1962" t="s">
        <v>5659</v>
      </c>
      <c r="F1962" t="s">
        <v>5660</v>
      </c>
      <c r="G1962">
        <v>1</v>
      </c>
      <c r="H1962">
        <v>1480</v>
      </c>
      <c r="I1962">
        <v>2</v>
      </c>
      <c r="J1962">
        <v>3.4</v>
      </c>
      <c r="K1962">
        <v>2</v>
      </c>
      <c r="L1962">
        <v>2.5999999999999999E-2</v>
      </c>
      <c r="M1962">
        <v>2</v>
      </c>
      <c r="N1962">
        <v>84</v>
      </c>
      <c r="O1962">
        <v>1</v>
      </c>
      <c r="P1962">
        <v>7.4999999999999997E-2</v>
      </c>
      <c r="Q1962">
        <v>2</v>
      </c>
      <c r="R1962">
        <v>2E-3</v>
      </c>
      <c r="T1962" s="8" t="s">
        <v>5659</v>
      </c>
    </row>
    <row r="1963" spans="1:20" x14ac:dyDescent="0.2">
      <c r="A1963" t="s">
        <v>5661</v>
      </c>
      <c r="B1963" t="s">
        <v>2022</v>
      </c>
      <c r="C1963" t="s">
        <v>2028</v>
      </c>
      <c r="D1963" t="s">
        <v>2024</v>
      </c>
      <c r="E1963" t="s">
        <v>5662</v>
      </c>
      <c r="F1963" t="s">
        <v>5663</v>
      </c>
      <c r="G1963">
        <v>3</v>
      </c>
      <c r="H1963">
        <v>1050</v>
      </c>
      <c r="I1963">
        <v>1</v>
      </c>
      <c r="J1963">
        <v>0.35</v>
      </c>
      <c r="K1963">
        <v>1</v>
      </c>
      <c r="L1963">
        <v>4.0000000000000001E-3</v>
      </c>
      <c r="M1963">
        <v>3</v>
      </c>
      <c r="N1963">
        <v>300</v>
      </c>
      <c r="O1963">
        <v>1</v>
      </c>
      <c r="P1963">
        <v>0.15</v>
      </c>
      <c r="Q1963">
        <v>1</v>
      </c>
      <c r="R1963">
        <v>1.75E-3</v>
      </c>
      <c r="T1963" s="8" t="s">
        <v>5662</v>
      </c>
    </row>
    <row r="1964" spans="1:20" x14ac:dyDescent="0.2">
      <c r="A1964" t="s">
        <v>5664</v>
      </c>
      <c r="B1964" t="s">
        <v>2022</v>
      </c>
      <c r="C1964" t="s">
        <v>2036</v>
      </c>
      <c r="D1964" t="s">
        <v>2024</v>
      </c>
      <c r="E1964" t="s">
        <v>5665</v>
      </c>
      <c r="F1964" t="s">
        <v>5666</v>
      </c>
      <c r="G1964">
        <v>3</v>
      </c>
      <c r="H1964">
        <v>1740</v>
      </c>
      <c r="I1964">
        <v>5</v>
      </c>
      <c r="J1964">
        <v>7</v>
      </c>
      <c r="K1964">
        <v>5</v>
      </c>
      <c r="L1964">
        <v>0.17499999999999999</v>
      </c>
      <c r="M1964">
        <v>3</v>
      </c>
      <c r="N1964">
        <v>88</v>
      </c>
      <c r="O1964">
        <v>5</v>
      </c>
      <c r="P1964">
        <v>0.53500000000000003</v>
      </c>
      <c r="Q1964">
        <v>5</v>
      </c>
      <c r="R1964">
        <v>1.2E-2</v>
      </c>
      <c r="T1964" s="8" t="s">
        <v>5665</v>
      </c>
    </row>
    <row r="1965" spans="1:20" x14ac:dyDescent="0.2">
      <c r="A1965" t="s">
        <v>5667</v>
      </c>
      <c r="B1965" t="s">
        <v>2022</v>
      </c>
      <c r="C1965" t="s">
        <v>2053</v>
      </c>
      <c r="D1965" t="s">
        <v>2136</v>
      </c>
      <c r="E1965" t="s">
        <v>5668</v>
      </c>
      <c r="F1965" t="s">
        <v>5669</v>
      </c>
      <c r="G1965">
        <v>1</v>
      </c>
      <c r="H1965">
        <v>1500</v>
      </c>
      <c r="I1965">
        <v>1</v>
      </c>
      <c r="J1965">
        <v>1.55</v>
      </c>
      <c r="K1965">
        <v>1</v>
      </c>
      <c r="L1965">
        <v>1.4999999999999999E-2</v>
      </c>
      <c r="M1965">
        <v>5</v>
      </c>
      <c r="N1965">
        <v>113</v>
      </c>
      <c r="O1965">
        <v>2</v>
      </c>
      <c r="P1965">
        <v>0.22500000000000001</v>
      </c>
      <c r="Q1965">
        <v>2</v>
      </c>
      <c r="R1965">
        <v>5.1999999999999998E-3</v>
      </c>
      <c r="T1965" s="8" t="s">
        <v>5668</v>
      </c>
    </row>
    <row r="1966" spans="1:20" x14ac:dyDescent="0.2">
      <c r="A1966" t="s">
        <v>5670</v>
      </c>
      <c r="B1966" t="s">
        <v>2022</v>
      </c>
      <c r="C1966" t="s">
        <v>2023</v>
      </c>
      <c r="D1966" t="s">
        <v>2024</v>
      </c>
      <c r="E1966" t="s">
        <v>5671</v>
      </c>
      <c r="F1966" t="s">
        <v>5672</v>
      </c>
      <c r="G1966">
        <v>4</v>
      </c>
      <c r="H1966">
        <v>1720</v>
      </c>
      <c r="I1966">
        <v>1</v>
      </c>
      <c r="J1966">
        <v>0.9</v>
      </c>
      <c r="K1966">
        <v>2</v>
      </c>
      <c r="L1966">
        <v>2.5999999999999999E-2</v>
      </c>
      <c r="M1966">
        <v>5</v>
      </c>
      <c r="N1966">
        <v>114</v>
      </c>
      <c r="O1966">
        <v>2</v>
      </c>
      <c r="P1966">
        <v>0.22500000000000001</v>
      </c>
      <c r="Q1966">
        <v>2</v>
      </c>
      <c r="R1966">
        <v>2E-3</v>
      </c>
      <c r="T1966" s="8" t="s">
        <v>5671</v>
      </c>
    </row>
    <row r="1967" spans="1:20" x14ac:dyDescent="0.2">
      <c r="A1967" t="s">
        <v>5673</v>
      </c>
      <c r="B1967" t="s">
        <v>2022</v>
      </c>
      <c r="C1967" t="s">
        <v>2036</v>
      </c>
      <c r="D1967" t="s">
        <v>2024</v>
      </c>
      <c r="E1967" t="s">
        <v>5674</v>
      </c>
      <c r="F1967" t="s">
        <v>5675</v>
      </c>
      <c r="G1967">
        <v>2</v>
      </c>
      <c r="H1967">
        <v>1640</v>
      </c>
      <c r="I1967">
        <v>5</v>
      </c>
      <c r="J1967">
        <v>7</v>
      </c>
      <c r="K1967">
        <v>5</v>
      </c>
      <c r="L1967">
        <v>0.17499999999999999</v>
      </c>
      <c r="M1967">
        <v>1</v>
      </c>
      <c r="N1967">
        <v>76</v>
      </c>
      <c r="O1967">
        <v>3</v>
      </c>
      <c r="P1967">
        <v>0.315</v>
      </c>
      <c r="Q1967">
        <v>4</v>
      </c>
      <c r="R1967">
        <v>9.2499999999999995E-3</v>
      </c>
      <c r="T1967" s="8" t="s">
        <v>5674</v>
      </c>
    </row>
    <row r="1968" spans="1:20" x14ac:dyDescent="0.2">
      <c r="A1968" t="s">
        <v>5676</v>
      </c>
      <c r="B1968" t="s">
        <v>2022</v>
      </c>
      <c r="C1968" t="s">
        <v>2036</v>
      </c>
      <c r="D1968" t="s">
        <v>2024</v>
      </c>
      <c r="E1968" t="s">
        <v>5677</v>
      </c>
      <c r="F1968" t="s">
        <v>5678</v>
      </c>
      <c r="G1968">
        <v>1</v>
      </c>
      <c r="H1968">
        <v>1540</v>
      </c>
      <c r="I1968">
        <v>1</v>
      </c>
      <c r="J1968">
        <v>2.2000000000000002</v>
      </c>
      <c r="K1968">
        <v>1</v>
      </c>
      <c r="L1968">
        <v>5.5E-2</v>
      </c>
      <c r="M1968">
        <v>1</v>
      </c>
      <c r="N1968">
        <v>76</v>
      </c>
      <c r="O1968">
        <v>1</v>
      </c>
      <c r="P1968">
        <v>9.5000000000000001E-2</v>
      </c>
      <c r="Q1968">
        <v>1</v>
      </c>
      <c r="R1968">
        <v>1.5E-3</v>
      </c>
      <c r="T1968" s="8" t="s">
        <v>5677</v>
      </c>
    </row>
    <row r="1969" spans="1:20" x14ac:dyDescent="0.2">
      <c r="A1969" t="s">
        <v>5679</v>
      </c>
      <c r="B1969" t="s">
        <v>2022</v>
      </c>
      <c r="C1969" t="s">
        <v>2036</v>
      </c>
      <c r="D1969" t="s">
        <v>2136</v>
      </c>
      <c r="E1969" t="s">
        <v>5680</v>
      </c>
      <c r="F1969" t="s">
        <v>5681</v>
      </c>
      <c r="G1969">
        <v>2</v>
      </c>
      <c r="H1969">
        <v>1640</v>
      </c>
      <c r="I1969">
        <v>2</v>
      </c>
      <c r="J1969">
        <v>3.4</v>
      </c>
      <c r="K1969">
        <v>4</v>
      </c>
      <c r="L1969">
        <v>0.14499999999999999</v>
      </c>
      <c r="M1969">
        <v>2</v>
      </c>
      <c r="N1969">
        <v>82</v>
      </c>
      <c r="O1969">
        <v>2</v>
      </c>
      <c r="P1969">
        <v>0.20499999999999999</v>
      </c>
      <c r="Q1969">
        <v>3</v>
      </c>
      <c r="R1969">
        <v>6.7499999999999999E-3</v>
      </c>
      <c r="T1969" s="8" t="s">
        <v>5680</v>
      </c>
    </row>
    <row r="1970" spans="1:20" x14ac:dyDescent="0.2">
      <c r="A1970" t="s">
        <v>5682</v>
      </c>
      <c r="B1970" t="s">
        <v>2022</v>
      </c>
      <c r="C1970" t="s">
        <v>2036</v>
      </c>
      <c r="D1970" t="s">
        <v>2024</v>
      </c>
      <c r="E1970" t="s">
        <v>5683</v>
      </c>
      <c r="F1970" t="s">
        <v>5684</v>
      </c>
      <c r="G1970">
        <v>2</v>
      </c>
      <c r="H1970">
        <v>1640</v>
      </c>
      <c r="I1970">
        <v>1</v>
      </c>
      <c r="J1970">
        <v>2.2000000000000002</v>
      </c>
      <c r="K1970">
        <v>2</v>
      </c>
      <c r="L1970">
        <v>8.5000000000000006E-2</v>
      </c>
      <c r="M1970">
        <v>2</v>
      </c>
      <c r="N1970">
        <v>82</v>
      </c>
      <c r="O1970">
        <v>1</v>
      </c>
      <c r="P1970">
        <v>9.5000000000000001E-2</v>
      </c>
      <c r="Q1970">
        <v>2</v>
      </c>
      <c r="R1970">
        <v>4.2500000000000003E-3</v>
      </c>
      <c r="T1970" s="8" t="s">
        <v>5683</v>
      </c>
    </row>
    <row r="1971" spans="1:20" x14ac:dyDescent="0.2">
      <c r="A1971" t="s">
        <v>5685</v>
      </c>
      <c r="B1971" t="s">
        <v>2022</v>
      </c>
      <c r="C1971" t="s">
        <v>2036</v>
      </c>
      <c r="D1971" t="s">
        <v>2024</v>
      </c>
      <c r="E1971" t="s">
        <v>5686</v>
      </c>
      <c r="F1971" t="s">
        <v>5687</v>
      </c>
      <c r="G1971">
        <v>3</v>
      </c>
      <c r="H1971">
        <v>1740</v>
      </c>
      <c r="I1971">
        <v>2</v>
      </c>
      <c r="J1971">
        <v>3.4</v>
      </c>
      <c r="K1971">
        <v>1</v>
      </c>
      <c r="L1971">
        <v>5.5E-2</v>
      </c>
      <c r="M1971">
        <v>3</v>
      </c>
      <c r="N1971">
        <v>88</v>
      </c>
      <c r="O1971">
        <v>1</v>
      </c>
      <c r="P1971">
        <v>9.5000000000000001E-2</v>
      </c>
      <c r="Q1971">
        <v>1</v>
      </c>
      <c r="R1971">
        <v>1.5E-3</v>
      </c>
      <c r="T1971" s="8" t="s">
        <v>5686</v>
      </c>
    </row>
    <row r="1972" spans="1:20" x14ac:dyDescent="0.2">
      <c r="A1972" t="s">
        <v>5688</v>
      </c>
      <c r="B1972" t="s">
        <v>2022</v>
      </c>
      <c r="C1972" t="s">
        <v>2101</v>
      </c>
      <c r="D1972" t="s">
        <v>2024</v>
      </c>
      <c r="E1972" t="s">
        <v>5689</v>
      </c>
      <c r="F1972" t="s">
        <v>447</v>
      </c>
      <c r="G1972">
        <v>2</v>
      </c>
      <c r="H1972">
        <v>1670</v>
      </c>
      <c r="I1972">
        <v>2</v>
      </c>
      <c r="J1972">
        <v>5</v>
      </c>
      <c r="K1972">
        <v>2</v>
      </c>
      <c r="L1972">
        <v>9.6500000000000002E-2</v>
      </c>
      <c r="M1972">
        <v>1</v>
      </c>
      <c r="N1972">
        <v>66</v>
      </c>
      <c r="O1972">
        <v>2</v>
      </c>
      <c r="P1972">
        <v>0.22500000000000001</v>
      </c>
      <c r="Q1972">
        <v>2</v>
      </c>
      <c r="R1972">
        <v>4.4999999999999997E-3</v>
      </c>
      <c r="T1972" s="8" t="s">
        <v>5689</v>
      </c>
    </row>
    <row r="1973" spans="1:20" x14ac:dyDescent="0.2">
      <c r="A1973" t="s">
        <v>5690</v>
      </c>
      <c r="B1973" t="s">
        <v>2022</v>
      </c>
      <c r="C1973" t="s">
        <v>2036</v>
      </c>
      <c r="D1973" t="s">
        <v>2024</v>
      </c>
      <c r="E1973" t="s">
        <v>5691</v>
      </c>
      <c r="F1973" t="s">
        <v>447</v>
      </c>
      <c r="G1973">
        <v>2</v>
      </c>
      <c r="H1973">
        <v>1640</v>
      </c>
      <c r="I1973">
        <v>3</v>
      </c>
      <c r="J1973">
        <v>4.5999999999999996</v>
      </c>
      <c r="K1973">
        <v>4</v>
      </c>
      <c r="L1973">
        <v>0.14499999999999999</v>
      </c>
      <c r="M1973">
        <v>5</v>
      </c>
      <c r="N1973">
        <v>100</v>
      </c>
      <c r="O1973">
        <v>4</v>
      </c>
      <c r="P1973">
        <v>0.42499999999999999</v>
      </c>
      <c r="Q1973">
        <v>5</v>
      </c>
      <c r="R1973">
        <v>1.2E-2</v>
      </c>
      <c r="T1973" s="8" t="s">
        <v>5691</v>
      </c>
    </row>
    <row r="1974" spans="1:20" x14ac:dyDescent="0.2">
      <c r="A1974" t="s">
        <v>5692</v>
      </c>
      <c r="B1974" t="s">
        <v>2022</v>
      </c>
      <c r="C1974" t="s">
        <v>2023</v>
      </c>
      <c r="D1974" t="s">
        <v>2024</v>
      </c>
      <c r="E1974" t="s">
        <v>5693</v>
      </c>
      <c r="F1974" t="s">
        <v>447</v>
      </c>
      <c r="G1974">
        <v>5</v>
      </c>
      <c r="H1974">
        <v>1800</v>
      </c>
      <c r="I1974">
        <v>2</v>
      </c>
      <c r="J1974">
        <v>3.4</v>
      </c>
      <c r="K1974">
        <v>5</v>
      </c>
      <c r="L1974">
        <v>8.5999999999999993E-2</v>
      </c>
      <c r="M1974">
        <v>2</v>
      </c>
      <c r="N1974">
        <v>84</v>
      </c>
      <c r="O1974">
        <v>2</v>
      </c>
      <c r="P1974">
        <v>0.22500000000000001</v>
      </c>
      <c r="Q1974">
        <v>4</v>
      </c>
      <c r="R1974">
        <v>6.0000000000000001E-3</v>
      </c>
      <c r="T1974" s="8" t="s">
        <v>5693</v>
      </c>
    </row>
    <row r="1975" spans="1:20" x14ac:dyDescent="0.2">
      <c r="A1975" t="s">
        <v>5694</v>
      </c>
      <c r="B1975" t="s">
        <v>2022</v>
      </c>
      <c r="C1975" t="s">
        <v>2049</v>
      </c>
      <c r="D1975" t="s">
        <v>2154</v>
      </c>
      <c r="E1975" t="s">
        <v>357</v>
      </c>
      <c r="F1975" t="s">
        <v>5695</v>
      </c>
      <c r="G1975">
        <v>1</v>
      </c>
      <c r="H1975">
        <v>1350</v>
      </c>
      <c r="I1975">
        <v>4</v>
      </c>
      <c r="J1975">
        <v>6.8</v>
      </c>
      <c r="K1975">
        <v>5</v>
      </c>
      <c r="L1975">
        <v>0.3</v>
      </c>
      <c r="M1975">
        <v>5</v>
      </c>
      <c r="N1975">
        <v>166</v>
      </c>
      <c r="O1975">
        <v>5</v>
      </c>
      <c r="P1975">
        <v>0.86</v>
      </c>
      <c r="Q1975">
        <v>5</v>
      </c>
      <c r="R1975">
        <v>3.32E-2</v>
      </c>
      <c r="T1975" s="8" t="s">
        <v>357</v>
      </c>
    </row>
    <row r="1976" spans="1:20" x14ac:dyDescent="0.2">
      <c r="A1976" t="s">
        <v>5696</v>
      </c>
      <c r="B1976" t="s">
        <v>2022</v>
      </c>
      <c r="C1976" t="s">
        <v>2049</v>
      </c>
      <c r="D1976" t="s">
        <v>2154</v>
      </c>
      <c r="E1976" t="s">
        <v>357</v>
      </c>
      <c r="F1976" t="s">
        <v>5695</v>
      </c>
      <c r="G1976">
        <v>1</v>
      </c>
      <c r="H1976">
        <v>1350</v>
      </c>
      <c r="I1976">
        <v>1</v>
      </c>
      <c r="J1976">
        <v>1.4</v>
      </c>
      <c r="K1976">
        <v>1</v>
      </c>
      <c r="L1976">
        <v>0.01</v>
      </c>
      <c r="M1976">
        <v>5</v>
      </c>
      <c r="N1976">
        <v>166</v>
      </c>
      <c r="O1976">
        <v>4</v>
      </c>
      <c r="P1976">
        <v>0.66</v>
      </c>
      <c r="Q1976">
        <v>2</v>
      </c>
      <c r="R1976">
        <v>6.1999999999999998E-3</v>
      </c>
      <c r="T1976" s="8" t="s">
        <v>357</v>
      </c>
    </row>
    <row r="1977" spans="1:20" x14ac:dyDescent="0.2">
      <c r="A1977" t="s">
        <v>5697</v>
      </c>
      <c r="B1977" t="s">
        <v>2022</v>
      </c>
      <c r="C1977" t="s">
        <v>2023</v>
      </c>
      <c r="D1977" t="s">
        <v>2024</v>
      </c>
      <c r="E1977" t="s">
        <v>5698</v>
      </c>
      <c r="F1977" t="s">
        <v>5699</v>
      </c>
      <c r="G1977">
        <v>1</v>
      </c>
      <c r="H1977">
        <v>1480</v>
      </c>
      <c r="I1977">
        <v>2</v>
      </c>
      <c r="J1977">
        <v>3.4</v>
      </c>
      <c r="K1977">
        <v>2</v>
      </c>
      <c r="L1977">
        <v>2.5999999999999999E-2</v>
      </c>
      <c r="M1977">
        <v>2</v>
      </c>
      <c r="N1977">
        <v>84</v>
      </c>
      <c r="O1977">
        <v>2</v>
      </c>
      <c r="P1977">
        <v>0.22500000000000001</v>
      </c>
      <c r="Q1977">
        <v>2</v>
      </c>
      <c r="R1977">
        <v>2E-3</v>
      </c>
      <c r="T1977" s="8" t="s">
        <v>5698</v>
      </c>
    </row>
    <row r="1978" spans="1:20" x14ac:dyDescent="0.2">
      <c r="A1978" t="s">
        <v>5700</v>
      </c>
      <c r="B1978" t="s">
        <v>2022</v>
      </c>
      <c r="C1978" t="s">
        <v>2095</v>
      </c>
      <c r="D1978" t="s">
        <v>2024</v>
      </c>
      <c r="E1978" t="s">
        <v>5701</v>
      </c>
      <c r="F1978" t="s">
        <v>447</v>
      </c>
      <c r="G1978">
        <v>3</v>
      </c>
      <c r="H1978">
        <v>1745</v>
      </c>
      <c r="I1978">
        <v>2</v>
      </c>
      <c r="J1978">
        <v>7.5</v>
      </c>
      <c r="K1978">
        <v>2</v>
      </c>
      <c r="L1978">
        <v>0.13</v>
      </c>
      <c r="M1978">
        <v>2</v>
      </c>
      <c r="N1978">
        <v>80</v>
      </c>
      <c r="O1978">
        <v>2</v>
      </c>
      <c r="P1978">
        <v>0.35</v>
      </c>
      <c r="Q1978">
        <v>2</v>
      </c>
      <c r="R1978">
        <v>5.8999999999999999E-3</v>
      </c>
      <c r="T1978" s="8" t="s">
        <v>5701</v>
      </c>
    </row>
    <row r="1979" spans="1:20" x14ac:dyDescent="0.2">
      <c r="A1979" t="s">
        <v>5702</v>
      </c>
      <c r="B1979" t="s">
        <v>2022</v>
      </c>
      <c r="C1979" t="s">
        <v>2036</v>
      </c>
      <c r="D1979" t="s">
        <v>2024</v>
      </c>
      <c r="E1979" t="s">
        <v>5703</v>
      </c>
      <c r="F1979" t="s">
        <v>5704</v>
      </c>
      <c r="G1979">
        <v>1</v>
      </c>
      <c r="H1979">
        <v>1540</v>
      </c>
      <c r="I1979">
        <v>1</v>
      </c>
      <c r="J1979">
        <v>2.2000000000000002</v>
      </c>
      <c r="K1979">
        <v>1</v>
      </c>
      <c r="L1979">
        <v>5.5E-2</v>
      </c>
      <c r="M1979">
        <v>1</v>
      </c>
      <c r="N1979">
        <v>76</v>
      </c>
      <c r="O1979">
        <v>1</v>
      </c>
      <c r="P1979">
        <v>9.5000000000000001E-2</v>
      </c>
      <c r="Q1979">
        <v>1</v>
      </c>
      <c r="R1979">
        <v>1.5E-3</v>
      </c>
      <c r="T1979" s="8" t="s">
        <v>5703</v>
      </c>
    </row>
    <row r="1980" spans="1:20" x14ac:dyDescent="0.2">
      <c r="A1980" t="s">
        <v>5705</v>
      </c>
      <c r="B1980" t="s">
        <v>2022</v>
      </c>
      <c r="C1980" t="s">
        <v>2053</v>
      </c>
      <c r="D1980" t="s">
        <v>2024</v>
      </c>
      <c r="E1980" t="s">
        <v>5706</v>
      </c>
      <c r="F1980" t="s">
        <v>447</v>
      </c>
      <c r="G1980">
        <v>3</v>
      </c>
      <c r="H1980">
        <v>1700</v>
      </c>
      <c r="I1980">
        <v>3</v>
      </c>
      <c r="J1980">
        <v>6.55</v>
      </c>
      <c r="K1980">
        <v>3</v>
      </c>
      <c r="L1980">
        <v>0.19500000000000001</v>
      </c>
      <c r="M1980">
        <v>2</v>
      </c>
      <c r="N1980">
        <v>83</v>
      </c>
      <c r="O1980">
        <v>2</v>
      </c>
      <c r="P1980">
        <v>0.22500000000000001</v>
      </c>
      <c r="Q1980">
        <v>3</v>
      </c>
      <c r="R1980">
        <v>1.2200000000000001E-2</v>
      </c>
      <c r="T1980" s="8" t="s">
        <v>5706</v>
      </c>
    </row>
    <row r="1981" spans="1:20" x14ac:dyDescent="0.2">
      <c r="A1981" t="s">
        <v>5707</v>
      </c>
      <c r="B1981" t="s">
        <v>2022</v>
      </c>
      <c r="C1981" t="s">
        <v>2023</v>
      </c>
      <c r="D1981" t="s">
        <v>2024</v>
      </c>
      <c r="E1981" t="s">
        <v>5708</v>
      </c>
      <c r="F1981" t="s">
        <v>5709</v>
      </c>
      <c r="G1981">
        <v>2</v>
      </c>
      <c r="H1981">
        <v>1560</v>
      </c>
      <c r="I1981">
        <v>1</v>
      </c>
      <c r="J1981">
        <v>0.9</v>
      </c>
      <c r="K1981">
        <v>2</v>
      </c>
      <c r="L1981">
        <v>2.5999999999999999E-2</v>
      </c>
      <c r="M1981">
        <v>2</v>
      </c>
      <c r="N1981">
        <v>84</v>
      </c>
      <c r="O1981">
        <v>1</v>
      </c>
      <c r="P1981">
        <v>7.4999999999999997E-2</v>
      </c>
      <c r="Q1981">
        <v>2</v>
      </c>
      <c r="R1981">
        <v>2E-3</v>
      </c>
      <c r="T1981" s="8" t="s">
        <v>5708</v>
      </c>
    </row>
    <row r="1982" spans="1:20" x14ac:dyDescent="0.2">
      <c r="A1982" t="s">
        <v>5710</v>
      </c>
      <c r="B1982" t="s">
        <v>2022</v>
      </c>
      <c r="C1982" t="s">
        <v>2023</v>
      </c>
      <c r="D1982" t="s">
        <v>2024</v>
      </c>
      <c r="E1982" t="s">
        <v>5711</v>
      </c>
      <c r="F1982" t="s">
        <v>5712</v>
      </c>
      <c r="G1982">
        <v>4</v>
      </c>
      <c r="H1982">
        <v>1720</v>
      </c>
      <c r="I1982">
        <v>5</v>
      </c>
      <c r="J1982">
        <v>10.9</v>
      </c>
      <c r="K1982">
        <v>5</v>
      </c>
      <c r="L1982">
        <v>8.5999999999999993E-2</v>
      </c>
      <c r="M1982">
        <v>3</v>
      </c>
      <c r="N1982">
        <v>94</v>
      </c>
      <c r="O1982">
        <v>4</v>
      </c>
      <c r="P1982">
        <v>0.52500000000000002</v>
      </c>
      <c r="Q1982">
        <v>5</v>
      </c>
      <c r="R1982">
        <v>8.0000000000000002E-3</v>
      </c>
      <c r="T1982" s="8" t="s">
        <v>5711</v>
      </c>
    </row>
    <row r="1983" spans="1:20" x14ac:dyDescent="0.2">
      <c r="A1983" t="s">
        <v>5713</v>
      </c>
      <c r="B1983" t="s">
        <v>2022</v>
      </c>
      <c r="C1983" t="s">
        <v>2173</v>
      </c>
      <c r="D1983" t="s">
        <v>2024</v>
      </c>
      <c r="E1983" t="s">
        <v>5714</v>
      </c>
      <c r="F1983" t="s">
        <v>447</v>
      </c>
      <c r="G1983">
        <v>3</v>
      </c>
      <c r="H1983">
        <v>2032.5</v>
      </c>
      <c r="I1983">
        <v>3</v>
      </c>
      <c r="J1983">
        <v>9.0500000000000007</v>
      </c>
      <c r="K1983">
        <v>3</v>
      </c>
      <c r="L1983">
        <v>0.21</v>
      </c>
      <c r="M1983">
        <v>5</v>
      </c>
      <c r="N1983">
        <v>140.5</v>
      </c>
      <c r="O1983">
        <v>3</v>
      </c>
      <c r="P1983">
        <v>0.51</v>
      </c>
      <c r="Q1983">
        <v>3</v>
      </c>
      <c r="R1983">
        <v>1.18E-2</v>
      </c>
      <c r="T1983" s="8" t="s">
        <v>5714</v>
      </c>
    </row>
    <row r="1984" spans="1:20" x14ac:dyDescent="0.2">
      <c r="A1984" t="s">
        <v>5715</v>
      </c>
      <c r="B1984" t="s">
        <v>2022</v>
      </c>
      <c r="C1984" t="s">
        <v>2104</v>
      </c>
      <c r="D1984" t="s">
        <v>2024</v>
      </c>
      <c r="E1984" t="s">
        <v>5716</v>
      </c>
      <c r="F1984" t="s">
        <v>5717</v>
      </c>
      <c r="G1984">
        <v>4</v>
      </c>
      <c r="H1984">
        <v>2062.5</v>
      </c>
      <c r="I1984">
        <v>2</v>
      </c>
      <c r="J1984">
        <v>3.25</v>
      </c>
      <c r="K1984">
        <v>3</v>
      </c>
      <c r="L1984">
        <v>9.0999999999999998E-2</v>
      </c>
      <c r="M1984">
        <v>5</v>
      </c>
      <c r="N1984">
        <v>89</v>
      </c>
      <c r="P1984">
        <v>0</v>
      </c>
      <c r="Q1984">
        <v>2</v>
      </c>
      <c r="R1984">
        <v>3.2000000000000002E-3</v>
      </c>
      <c r="T1984" s="8" t="s">
        <v>5716</v>
      </c>
    </row>
    <row r="1985" spans="1:20" x14ac:dyDescent="0.2">
      <c r="A1985" t="s">
        <v>5718</v>
      </c>
      <c r="B1985" t="s">
        <v>2022</v>
      </c>
      <c r="C1985" t="s">
        <v>2053</v>
      </c>
      <c r="D1985" t="s">
        <v>2024</v>
      </c>
      <c r="E1985" t="s">
        <v>5719</v>
      </c>
      <c r="F1985" t="s">
        <v>5720</v>
      </c>
      <c r="G1985">
        <v>3</v>
      </c>
      <c r="H1985">
        <v>1700</v>
      </c>
      <c r="I1985">
        <v>3</v>
      </c>
      <c r="J1985">
        <v>6.55</v>
      </c>
      <c r="K1985">
        <v>2</v>
      </c>
      <c r="L1985">
        <v>8.5000000000000006E-2</v>
      </c>
      <c r="M1985">
        <v>2</v>
      </c>
      <c r="N1985">
        <v>83</v>
      </c>
      <c r="O1985">
        <v>2</v>
      </c>
      <c r="P1985">
        <v>0.22500000000000001</v>
      </c>
      <c r="Q1985">
        <v>2</v>
      </c>
      <c r="R1985">
        <v>5.1999999999999998E-3</v>
      </c>
      <c r="T1985" s="8" t="s">
        <v>5719</v>
      </c>
    </row>
    <row r="1986" spans="1:20" x14ac:dyDescent="0.2">
      <c r="A1986" t="s">
        <v>5721</v>
      </c>
      <c r="B1986" t="s">
        <v>2022</v>
      </c>
      <c r="C1986" t="s">
        <v>2101</v>
      </c>
      <c r="D1986" t="s">
        <v>2024</v>
      </c>
      <c r="E1986" t="s">
        <v>5722</v>
      </c>
      <c r="F1986" t="s">
        <v>5723</v>
      </c>
      <c r="G1986">
        <v>1</v>
      </c>
      <c r="H1986">
        <v>1570</v>
      </c>
      <c r="I1986">
        <v>1</v>
      </c>
      <c r="J1986">
        <v>2</v>
      </c>
      <c r="K1986">
        <v>1</v>
      </c>
      <c r="L1986">
        <v>1.15E-2</v>
      </c>
      <c r="M1986">
        <v>2</v>
      </c>
      <c r="N1986">
        <v>74</v>
      </c>
      <c r="O1986">
        <v>1</v>
      </c>
      <c r="P1986">
        <v>7.4999999999999997E-2</v>
      </c>
      <c r="Q1986">
        <v>1</v>
      </c>
      <c r="R1986">
        <v>5.0000000000000001E-4</v>
      </c>
      <c r="T1986" s="8" t="s">
        <v>5722</v>
      </c>
    </row>
    <row r="1987" spans="1:20" x14ac:dyDescent="0.2">
      <c r="A1987" t="s">
        <v>5724</v>
      </c>
      <c r="B1987" t="s">
        <v>2022</v>
      </c>
      <c r="C1987" t="s">
        <v>2053</v>
      </c>
      <c r="D1987" t="s">
        <v>2024</v>
      </c>
      <c r="E1987" t="s">
        <v>5725</v>
      </c>
      <c r="F1987" t="s">
        <v>5726</v>
      </c>
      <c r="G1987">
        <v>2</v>
      </c>
      <c r="H1987">
        <v>1600</v>
      </c>
      <c r="I1987">
        <v>2</v>
      </c>
      <c r="J1987">
        <v>4.05</v>
      </c>
      <c r="K1987">
        <v>2</v>
      </c>
      <c r="L1987">
        <v>8.5000000000000006E-2</v>
      </c>
      <c r="M1987">
        <v>1</v>
      </c>
      <c r="N1987">
        <v>73</v>
      </c>
      <c r="O1987">
        <v>1</v>
      </c>
      <c r="P1987">
        <v>7.4999999999999997E-2</v>
      </c>
      <c r="Q1987">
        <v>2</v>
      </c>
      <c r="R1987">
        <v>5.1999999999999998E-3</v>
      </c>
      <c r="T1987" s="8" t="s">
        <v>5725</v>
      </c>
    </row>
    <row r="1988" spans="1:20" x14ac:dyDescent="0.2">
      <c r="A1988" t="s">
        <v>5727</v>
      </c>
      <c r="B1988" t="s">
        <v>2022</v>
      </c>
      <c r="C1988" t="s">
        <v>2023</v>
      </c>
      <c r="D1988" t="s">
        <v>2024</v>
      </c>
      <c r="E1988" t="s">
        <v>5728</v>
      </c>
      <c r="F1988" t="s">
        <v>5729</v>
      </c>
      <c r="G1988">
        <v>1</v>
      </c>
      <c r="H1988">
        <v>1480</v>
      </c>
      <c r="I1988">
        <v>3</v>
      </c>
      <c r="J1988">
        <v>5.9</v>
      </c>
      <c r="K1988">
        <v>2</v>
      </c>
      <c r="L1988">
        <v>2.5999999999999999E-2</v>
      </c>
      <c r="M1988">
        <v>5</v>
      </c>
      <c r="N1988">
        <v>114</v>
      </c>
      <c r="O1988">
        <v>5</v>
      </c>
      <c r="P1988">
        <v>0.67500000000000004</v>
      </c>
      <c r="Q1988">
        <v>3</v>
      </c>
      <c r="R1988">
        <v>4.0000000000000001E-3</v>
      </c>
      <c r="T1988" s="8" t="s">
        <v>5728</v>
      </c>
    </row>
    <row r="1989" spans="1:20" x14ac:dyDescent="0.2">
      <c r="A1989" t="s">
        <v>5730</v>
      </c>
      <c r="B1989" t="s">
        <v>2022</v>
      </c>
      <c r="C1989" t="s">
        <v>2036</v>
      </c>
      <c r="D1989" t="s">
        <v>2024</v>
      </c>
      <c r="E1989" t="s">
        <v>5731</v>
      </c>
      <c r="F1989" t="s">
        <v>5732</v>
      </c>
      <c r="G1989">
        <v>1</v>
      </c>
      <c r="H1989">
        <v>1540</v>
      </c>
      <c r="I1989">
        <v>1</v>
      </c>
      <c r="J1989">
        <v>2.2000000000000002</v>
      </c>
      <c r="K1989">
        <v>2</v>
      </c>
      <c r="L1989">
        <v>8.5000000000000006E-2</v>
      </c>
      <c r="M1989">
        <v>2</v>
      </c>
      <c r="N1989">
        <v>82</v>
      </c>
      <c r="O1989">
        <v>1</v>
      </c>
      <c r="P1989">
        <v>9.5000000000000001E-2</v>
      </c>
      <c r="Q1989">
        <v>2</v>
      </c>
      <c r="R1989">
        <v>4.2500000000000003E-3</v>
      </c>
      <c r="T1989" s="8" t="s">
        <v>5731</v>
      </c>
    </row>
    <row r="1990" spans="1:20" x14ac:dyDescent="0.2">
      <c r="A1990" t="s">
        <v>5733</v>
      </c>
      <c r="B1990" t="s">
        <v>2022</v>
      </c>
      <c r="C1990" t="s">
        <v>2053</v>
      </c>
      <c r="D1990" t="s">
        <v>2136</v>
      </c>
      <c r="E1990" t="s">
        <v>5734</v>
      </c>
      <c r="F1990" t="s">
        <v>5735</v>
      </c>
      <c r="G1990">
        <v>1</v>
      </c>
      <c r="H1990">
        <v>1500</v>
      </c>
      <c r="I1990">
        <v>1</v>
      </c>
      <c r="J1990">
        <v>1.55</v>
      </c>
      <c r="K1990">
        <v>1</v>
      </c>
      <c r="L1990">
        <v>1.4999999999999999E-2</v>
      </c>
      <c r="M1990">
        <v>5</v>
      </c>
      <c r="N1990">
        <v>113</v>
      </c>
      <c r="O1990">
        <v>1</v>
      </c>
      <c r="P1990">
        <v>7.4999999999999997E-2</v>
      </c>
      <c r="Q1990">
        <v>1</v>
      </c>
      <c r="R1990">
        <v>8.4999999999999995E-4</v>
      </c>
      <c r="T1990" s="8" t="s">
        <v>5734</v>
      </c>
    </row>
    <row r="1991" spans="1:20" x14ac:dyDescent="0.2">
      <c r="A1991" t="s">
        <v>5736</v>
      </c>
      <c r="B1991" t="s">
        <v>2022</v>
      </c>
      <c r="C1991" t="s">
        <v>2023</v>
      </c>
      <c r="D1991" t="s">
        <v>2024</v>
      </c>
      <c r="E1991" t="s">
        <v>5737</v>
      </c>
      <c r="F1991" t="s">
        <v>5738</v>
      </c>
      <c r="G1991">
        <v>3</v>
      </c>
      <c r="H1991">
        <v>1640</v>
      </c>
      <c r="I1991">
        <v>1</v>
      </c>
      <c r="J1991">
        <v>0.9</v>
      </c>
      <c r="K1991">
        <v>2</v>
      </c>
      <c r="L1991">
        <v>2.5999999999999999E-2</v>
      </c>
      <c r="M1991">
        <v>2</v>
      </c>
      <c r="N1991">
        <v>84</v>
      </c>
      <c r="O1991">
        <v>1</v>
      </c>
      <c r="P1991">
        <v>7.4999999999999997E-2</v>
      </c>
      <c r="Q1991">
        <v>1</v>
      </c>
      <c r="R1991">
        <v>5.0000000000000001E-4</v>
      </c>
      <c r="T1991" s="8" t="s">
        <v>5737</v>
      </c>
    </row>
    <row r="1992" spans="1:20" x14ac:dyDescent="0.2">
      <c r="A1992" t="s">
        <v>5739</v>
      </c>
      <c r="B1992" t="s">
        <v>2022</v>
      </c>
      <c r="C1992" t="s">
        <v>2101</v>
      </c>
      <c r="D1992" t="s">
        <v>2024</v>
      </c>
      <c r="E1992" t="s">
        <v>5740</v>
      </c>
      <c r="F1992" t="s">
        <v>5741</v>
      </c>
      <c r="G1992">
        <v>5</v>
      </c>
      <c r="H1992">
        <v>1970</v>
      </c>
      <c r="I1992">
        <v>3</v>
      </c>
      <c r="J1992">
        <v>8</v>
      </c>
      <c r="K1992">
        <v>3</v>
      </c>
      <c r="L1992">
        <v>0.24349999999999999</v>
      </c>
      <c r="M1992">
        <v>5</v>
      </c>
      <c r="N1992">
        <v>98</v>
      </c>
      <c r="O1992">
        <v>3</v>
      </c>
      <c r="P1992">
        <v>0.375</v>
      </c>
      <c r="Q1992">
        <v>3</v>
      </c>
      <c r="R1992">
        <v>1.15E-2</v>
      </c>
      <c r="T1992" s="8" t="s">
        <v>5740</v>
      </c>
    </row>
    <row r="1993" spans="1:20" x14ac:dyDescent="0.2">
      <c r="A1993" t="s">
        <v>5742</v>
      </c>
      <c r="B1993" t="s">
        <v>2022</v>
      </c>
      <c r="C1993" t="s">
        <v>2023</v>
      </c>
      <c r="D1993" t="s">
        <v>2024</v>
      </c>
      <c r="E1993" t="s">
        <v>5743</v>
      </c>
      <c r="F1993" t="s">
        <v>5744</v>
      </c>
      <c r="G1993">
        <v>1</v>
      </c>
      <c r="H1993">
        <v>1480</v>
      </c>
      <c r="I1993">
        <v>2</v>
      </c>
      <c r="J1993">
        <v>3.4</v>
      </c>
      <c r="K1993">
        <v>2</v>
      </c>
      <c r="L1993">
        <v>2.5999999999999999E-2</v>
      </c>
      <c r="M1993">
        <v>1</v>
      </c>
      <c r="N1993">
        <v>74</v>
      </c>
      <c r="O1993">
        <v>2</v>
      </c>
      <c r="P1993">
        <v>0.22500000000000001</v>
      </c>
      <c r="Q1993">
        <v>1</v>
      </c>
      <c r="R1993">
        <v>5.0000000000000001E-4</v>
      </c>
      <c r="T1993" s="8" t="s">
        <v>5743</v>
      </c>
    </row>
    <row r="1994" spans="1:20" x14ac:dyDescent="0.2">
      <c r="A1994" t="s">
        <v>5745</v>
      </c>
      <c r="B1994" t="s">
        <v>2022</v>
      </c>
      <c r="C1994" t="s">
        <v>2095</v>
      </c>
      <c r="D1994" t="s">
        <v>2024</v>
      </c>
      <c r="E1994" t="s">
        <v>5746</v>
      </c>
      <c r="F1994" t="s">
        <v>5747</v>
      </c>
      <c r="G1994">
        <v>5</v>
      </c>
      <c r="H1994">
        <v>1925</v>
      </c>
      <c r="I1994">
        <v>1</v>
      </c>
      <c r="J1994">
        <v>4.5</v>
      </c>
      <c r="K1994">
        <v>1</v>
      </c>
      <c r="L1994">
        <v>1.4999999999999999E-2</v>
      </c>
      <c r="M1994">
        <v>1</v>
      </c>
      <c r="N1994">
        <v>74</v>
      </c>
      <c r="O1994">
        <v>1</v>
      </c>
      <c r="P1994">
        <v>0.15</v>
      </c>
      <c r="Q1994">
        <v>1</v>
      </c>
      <c r="R1994">
        <v>6.9999999999999999E-4</v>
      </c>
      <c r="T1994" s="8" t="s">
        <v>5746</v>
      </c>
    </row>
    <row r="1995" spans="1:20" x14ac:dyDescent="0.2">
      <c r="A1995" t="s">
        <v>5748</v>
      </c>
      <c r="B1995" t="s">
        <v>2022</v>
      </c>
      <c r="C1995" t="s">
        <v>2036</v>
      </c>
      <c r="D1995" t="s">
        <v>2024</v>
      </c>
      <c r="E1995" t="s">
        <v>5749</v>
      </c>
      <c r="F1995" t="s">
        <v>5750</v>
      </c>
      <c r="G1995">
        <v>1</v>
      </c>
      <c r="H1995">
        <v>1540</v>
      </c>
      <c r="I1995">
        <v>2</v>
      </c>
      <c r="J1995">
        <v>3.4</v>
      </c>
      <c r="K1995">
        <v>1</v>
      </c>
      <c r="L1995">
        <v>5.5E-2</v>
      </c>
      <c r="M1995">
        <v>3</v>
      </c>
      <c r="N1995">
        <v>88</v>
      </c>
      <c r="O1995">
        <v>2</v>
      </c>
      <c r="P1995">
        <v>0.20499999999999999</v>
      </c>
      <c r="Q1995">
        <v>2</v>
      </c>
      <c r="R1995">
        <v>4.2500000000000003E-3</v>
      </c>
      <c r="T1995" s="8" t="s">
        <v>5749</v>
      </c>
    </row>
    <row r="1996" spans="1:20" x14ac:dyDescent="0.2">
      <c r="A1996" t="s">
        <v>5751</v>
      </c>
      <c r="B1996" t="s">
        <v>2022</v>
      </c>
      <c r="C1996" t="s">
        <v>2053</v>
      </c>
      <c r="D1996" t="s">
        <v>2024</v>
      </c>
      <c r="E1996" t="s">
        <v>5752</v>
      </c>
      <c r="F1996" t="s">
        <v>5753</v>
      </c>
      <c r="G1996">
        <v>4</v>
      </c>
      <c r="H1996">
        <v>1800</v>
      </c>
      <c r="I1996">
        <v>5</v>
      </c>
      <c r="J1996">
        <v>11.55</v>
      </c>
      <c r="K1996">
        <v>5</v>
      </c>
      <c r="L1996">
        <v>0.41499999999999998</v>
      </c>
      <c r="M1996">
        <v>4</v>
      </c>
      <c r="N1996">
        <v>103</v>
      </c>
      <c r="O1996">
        <v>5</v>
      </c>
      <c r="P1996">
        <v>0.67500000000000004</v>
      </c>
      <c r="Q1996">
        <v>4</v>
      </c>
      <c r="R1996">
        <v>1.9199999999999998E-2</v>
      </c>
      <c r="T1996" s="8" t="s">
        <v>5752</v>
      </c>
    </row>
    <row r="1997" spans="1:20" x14ac:dyDescent="0.2">
      <c r="A1997" t="s">
        <v>5754</v>
      </c>
      <c r="B1997" t="s">
        <v>2022</v>
      </c>
      <c r="C1997" t="s">
        <v>2053</v>
      </c>
      <c r="D1997" t="s">
        <v>2024</v>
      </c>
      <c r="E1997" t="s">
        <v>5755</v>
      </c>
      <c r="F1997" t="s">
        <v>5756</v>
      </c>
      <c r="G1997">
        <v>4</v>
      </c>
      <c r="H1997">
        <v>1800</v>
      </c>
      <c r="I1997">
        <v>5</v>
      </c>
      <c r="J1997">
        <v>11.55</v>
      </c>
      <c r="K1997">
        <v>5</v>
      </c>
      <c r="L1997">
        <v>0.41499999999999998</v>
      </c>
      <c r="M1997">
        <v>3</v>
      </c>
      <c r="N1997">
        <v>93</v>
      </c>
      <c r="O1997">
        <v>5</v>
      </c>
      <c r="P1997">
        <v>0.67500000000000004</v>
      </c>
      <c r="Q1997">
        <v>4</v>
      </c>
      <c r="R1997">
        <v>1.9199999999999998E-2</v>
      </c>
      <c r="T1997" s="8" t="s">
        <v>5755</v>
      </c>
    </row>
    <row r="1998" spans="1:20" x14ac:dyDescent="0.2">
      <c r="A1998" t="s">
        <v>5757</v>
      </c>
      <c r="B1998" t="s">
        <v>2022</v>
      </c>
      <c r="C1998" t="s">
        <v>2023</v>
      </c>
      <c r="D1998" t="s">
        <v>2024</v>
      </c>
      <c r="E1998" t="s">
        <v>5758</v>
      </c>
      <c r="F1998" t="s">
        <v>5759</v>
      </c>
      <c r="G1998">
        <v>1</v>
      </c>
      <c r="H1998">
        <v>1480</v>
      </c>
      <c r="I1998">
        <v>2</v>
      </c>
      <c r="J1998">
        <v>3.4</v>
      </c>
      <c r="K1998">
        <v>2</v>
      </c>
      <c r="L1998">
        <v>2.5999999999999999E-2</v>
      </c>
      <c r="M1998">
        <v>3</v>
      </c>
      <c r="N1998">
        <v>94</v>
      </c>
      <c r="O1998">
        <v>2</v>
      </c>
      <c r="P1998">
        <v>0.22500000000000001</v>
      </c>
      <c r="Q1998">
        <v>2</v>
      </c>
      <c r="R1998">
        <v>2E-3</v>
      </c>
      <c r="T1998" s="8" t="s">
        <v>5758</v>
      </c>
    </row>
    <row r="1999" spans="1:20" x14ac:dyDescent="0.2">
      <c r="A1999" t="s">
        <v>5760</v>
      </c>
      <c r="B1999" t="s">
        <v>2022</v>
      </c>
      <c r="C1999" t="s">
        <v>2023</v>
      </c>
      <c r="D1999" t="s">
        <v>2024</v>
      </c>
      <c r="E1999" t="s">
        <v>5761</v>
      </c>
      <c r="F1999" t="s">
        <v>5762</v>
      </c>
      <c r="G1999">
        <v>2</v>
      </c>
      <c r="H1999">
        <v>1560</v>
      </c>
      <c r="I1999">
        <v>2</v>
      </c>
      <c r="J1999">
        <v>3.4</v>
      </c>
      <c r="K1999">
        <v>2</v>
      </c>
      <c r="L1999">
        <v>2.5999999999999999E-2</v>
      </c>
      <c r="M1999">
        <v>4</v>
      </c>
      <c r="N1999">
        <v>104</v>
      </c>
      <c r="O1999">
        <v>2</v>
      </c>
      <c r="P1999">
        <v>0.22500000000000001</v>
      </c>
      <c r="Q1999">
        <v>2</v>
      </c>
      <c r="R1999">
        <v>2E-3</v>
      </c>
      <c r="T1999" s="8" t="s">
        <v>5761</v>
      </c>
    </row>
    <row r="2000" spans="1:20" x14ac:dyDescent="0.2">
      <c r="A2000" t="s">
        <v>5763</v>
      </c>
      <c r="B2000" t="s">
        <v>2022</v>
      </c>
      <c r="C2000" t="s">
        <v>2023</v>
      </c>
      <c r="D2000" t="s">
        <v>2136</v>
      </c>
      <c r="E2000" t="s">
        <v>357</v>
      </c>
      <c r="F2000" t="s">
        <v>5764</v>
      </c>
      <c r="G2000">
        <v>2</v>
      </c>
      <c r="H2000">
        <v>1560</v>
      </c>
      <c r="I2000">
        <v>2</v>
      </c>
      <c r="J2000">
        <v>3.4</v>
      </c>
      <c r="K2000">
        <v>3</v>
      </c>
      <c r="L2000">
        <v>4.5999999999999999E-2</v>
      </c>
      <c r="M2000">
        <v>3</v>
      </c>
      <c r="N2000">
        <v>94</v>
      </c>
      <c r="O2000">
        <v>2</v>
      </c>
      <c r="P2000">
        <v>0.22500000000000001</v>
      </c>
      <c r="Q2000">
        <v>2</v>
      </c>
      <c r="R2000">
        <v>2E-3</v>
      </c>
      <c r="T2000" s="8" t="s">
        <v>357</v>
      </c>
    </row>
    <row r="2001" spans="1:20" x14ac:dyDescent="0.2">
      <c r="A2001" t="s">
        <v>5765</v>
      </c>
      <c r="B2001" t="s">
        <v>2022</v>
      </c>
      <c r="C2001" t="s">
        <v>2222</v>
      </c>
      <c r="D2001" t="s">
        <v>2024</v>
      </c>
      <c r="E2001" t="s">
        <v>5766</v>
      </c>
      <c r="F2001" t="s">
        <v>5767</v>
      </c>
      <c r="G2001">
        <v>5</v>
      </c>
      <c r="H2001">
        <v>1850</v>
      </c>
      <c r="I2001">
        <v>5</v>
      </c>
      <c r="J2001">
        <v>8.6999999999999993</v>
      </c>
      <c r="K2001">
        <v>4</v>
      </c>
      <c r="L2001">
        <v>0.19500000000000001</v>
      </c>
      <c r="M2001">
        <v>5</v>
      </c>
      <c r="N2001">
        <v>75</v>
      </c>
      <c r="O2001">
        <v>5</v>
      </c>
      <c r="P2001">
        <v>0.39</v>
      </c>
      <c r="Q2001">
        <v>4</v>
      </c>
      <c r="R2001">
        <v>8.3000000000000001E-3</v>
      </c>
      <c r="T2001" s="8" t="s">
        <v>5766</v>
      </c>
    </row>
    <row r="2002" spans="1:20" x14ac:dyDescent="0.2">
      <c r="A2002" t="s">
        <v>5768</v>
      </c>
      <c r="B2002" t="s">
        <v>2022</v>
      </c>
      <c r="C2002" t="s">
        <v>2036</v>
      </c>
      <c r="D2002" t="s">
        <v>2024</v>
      </c>
      <c r="E2002" t="s">
        <v>5769</v>
      </c>
      <c r="F2002" t="s">
        <v>5770</v>
      </c>
      <c r="G2002">
        <v>1</v>
      </c>
      <c r="H2002">
        <v>1540</v>
      </c>
      <c r="I2002">
        <v>2</v>
      </c>
      <c r="J2002">
        <v>3.4</v>
      </c>
      <c r="K2002">
        <v>4</v>
      </c>
      <c r="L2002">
        <v>0.14499999999999999</v>
      </c>
      <c r="M2002">
        <v>1</v>
      </c>
      <c r="N2002">
        <v>76</v>
      </c>
      <c r="O2002">
        <v>2</v>
      </c>
      <c r="P2002">
        <v>0.20499999999999999</v>
      </c>
      <c r="Q2002">
        <v>3</v>
      </c>
      <c r="R2002">
        <v>6.7499999999999999E-3</v>
      </c>
      <c r="T2002" s="8" t="s">
        <v>5769</v>
      </c>
    </row>
    <row r="2003" spans="1:20" x14ac:dyDescent="0.2">
      <c r="A2003" t="s">
        <v>5771</v>
      </c>
      <c r="B2003" t="s">
        <v>2022</v>
      </c>
      <c r="C2003" t="s">
        <v>2023</v>
      </c>
      <c r="D2003" t="s">
        <v>2024</v>
      </c>
      <c r="E2003" t="s">
        <v>5772</v>
      </c>
      <c r="F2003" t="s">
        <v>447</v>
      </c>
      <c r="G2003">
        <v>4</v>
      </c>
      <c r="H2003">
        <v>1720</v>
      </c>
      <c r="I2003">
        <v>1</v>
      </c>
      <c r="J2003">
        <v>0.9</v>
      </c>
      <c r="K2003">
        <v>1</v>
      </c>
      <c r="L2003">
        <v>6.0000000000000001E-3</v>
      </c>
      <c r="M2003">
        <v>1</v>
      </c>
      <c r="N2003">
        <v>74</v>
      </c>
      <c r="O2003">
        <v>1</v>
      </c>
      <c r="P2003">
        <v>7.4999999999999997E-2</v>
      </c>
      <c r="Q2003">
        <v>1</v>
      </c>
      <c r="R2003">
        <v>5.0000000000000001E-4</v>
      </c>
      <c r="T2003" s="8" t="s">
        <v>5772</v>
      </c>
    </row>
    <row r="2004" spans="1:20" x14ac:dyDescent="0.2">
      <c r="A2004" t="s">
        <v>5773</v>
      </c>
      <c r="B2004" t="s">
        <v>2022</v>
      </c>
      <c r="C2004" t="s">
        <v>2101</v>
      </c>
      <c r="D2004" t="s">
        <v>2024</v>
      </c>
      <c r="E2004" t="s">
        <v>5774</v>
      </c>
      <c r="F2004" t="s">
        <v>5775</v>
      </c>
      <c r="G2004">
        <v>2</v>
      </c>
      <c r="H2004">
        <v>1670</v>
      </c>
      <c r="I2004">
        <v>2</v>
      </c>
      <c r="J2004">
        <v>5</v>
      </c>
      <c r="K2004">
        <v>1</v>
      </c>
      <c r="L2004">
        <v>1.15E-2</v>
      </c>
      <c r="M2004">
        <v>1</v>
      </c>
      <c r="N2004">
        <v>66</v>
      </c>
      <c r="O2004">
        <v>2</v>
      </c>
      <c r="P2004">
        <v>0.22500000000000001</v>
      </c>
      <c r="Q2004">
        <v>1</v>
      </c>
      <c r="R2004">
        <v>5.0000000000000001E-4</v>
      </c>
      <c r="T2004" s="8" t="s">
        <v>5774</v>
      </c>
    </row>
    <row r="2005" spans="1:20" x14ac:dyDescent="0.2">
      <c r="A2005" t="s">
        <v>5776</v>
      </c>
      <c r="B2005" t="s">
        <v>2022</v>
      </c>
      <c r="C2005" t="s">
        <v>2101</v>
      </c>
      <c r="D2005" t="s">
        <v>2024</v>
      </c>
      <c r="E2005" t="s">
        <v>5777</v>
      </c>
      <c r="F2005" t="s">
        <v>5778</v>
      </c>
      <c r="G2005">
        <v>4</v>
      </c>
      <c r="H2005">
        <v>1870</v>
      </c>
      <c r="I2005">
        <v>5</v>
      </c>
      <c r="J2005">
        <v>14</v>
      </c>
      <c r="K2005">
        <v>5</v>
      </c>
      <c r="L2005">
        <v>0.53749999999999998</v>
      </c>
      <c r="M2005">
        <v>3</v>
      </c>
      <c r="N2005">
        <v>82</v>
      </c>
      <c r="O2005">
        <v>5</v>
      </c>
      <c r="P2005">
        <v>0.67500000000000004</v>
      </c>
      <c r="Q2005">
        <v>5</v>
      </c>
      <c r="R2005">
        <v>2.5499999999999998E-2</v>
      </c>
      <c r="T2005" s="8" t="s">
        <v>5777</v>
      </c>
    </row>
    <row r="2006" spans="1:20" x14ac:dyDescent="0.2">
      <c r="A2006" t="s">
        <v>5779</v>
      </c>
      <c r="B2006" t="s">
        <v>2022</v>
      </c>
      <c r="C2006" t="s">
        <v>2053</v>
      </c>
      <c r="D2006" t="s">
        <v>2024</v>
      </c>
      <c r="E2006" t="s">
        <v>5780</v>
      </c>
      <c r="F2006" t="s">
        <v>5781</v>
      </c>
      <c r="G2006">
        <v>5</v>
      </c>
      <c r="H2006">
        <v>1900</v>
      </c>
      <c r="I2006">
        <v>5</v>
      </c>
      <c r="J2006">
        <v>11.55</v>
      </c>
      <c r="K2006">
        <v>5</v>
      </c>
      <c r="L2006">
        <v>0.41499999999999998</v>
      </c>
      <c r="M2006">
        <v>3</v>
      </c>
      <c r="N2006">
        <v>93</v>
      </c>
      <c r="O2006">
        <v>5</v>
      </c>
      <c r="P2006">
        <v>0.67500000000000004</v>
      </c>
      <c r="Q2006">
        <v>5</v>
      </c>
      <c r="R2006">
        <v>2.6200000000000001E-2</v>
      </c>
      <c r="T2006" s="8" t="s">
        <v>5780</v>
      </c>
    </row>
    <row r="2007" spans="1:20" x14ac:dyDescent="0.2">
      <c r="A2007" t="s">
        <v>5782</v>
      </c>
      <c r="B2007" t="s">
        <v>2022</v>
      </c>
      <c r="C2007" t="s">
        <v>2023</v>
      </c>
      <c r="D2007" t="s">
        <v>2024</v>
      </c>
      <c r="E2007" t="s">
        <v>5783</v>
      </c>
      <c r="F2007" t="s">
        <v>447</v>
      </c>
      <c r="G2007">
        <v>3</v>
      </c>
      <c r="H2007">
        <v>1640</v>
      </c>
      <c r="I2007">
        <v>4</v>
      </c>
      <c r="J2007">
        <v>8.4</v>
      </c>
      <c r="K2007">
        <v>5</v>
      </c>
      <c r="L2007">
        <v>8.5999999999999993E-2</v>
      </c>
      <c r="M2007">
        <v>4</v>
      </c>
      <c r="N2007">
        <v>104</v>
      </c>
      <c r="O2007">
        <v>4</v>
      </c>
      <c r="P2007">
        <v>0.52500000000000002</v>
      </c>
      <c r="Q2007">
        <v>5</v>
      </c>
      <c r="R2007">
        <v>8.0000000000000002E-3</v>
      </c>
      <c r="T2007" s="8" t="s">
        <v>5783</v>
      </c>
    </row>
    <row r="2008" spans="1:20" x14ac:dyDescent="0.2">
      <c r="A2008" t="s">
        <v>5784</v>
      </c>
      <c r="B2008" t="s">
        <v>2022</v>
      </c>
      <c r="C2008" t="s">
        <v>2053</v>
      </c>
      <c r="D2008" t="s">
        <v>2154</v>
      </c>
      <c r="E2008" t="s">
        <v>5785</v>
      </c>
      <c r="F2008" t="s">
        <v>5786</v>
      </c>
      <c r="G2008">
        <v>1</v>
      </c>
      <c r="H2008">
        <v>1500</v>
      </c>
      <c r="I2008">
        <v>2</v>
      </c>
      <c r="J2008">
        <v>4.05</v>
      </c>
      <c r="K2008">
        <v>2</v>
      </c>
      <c r="L2008">
        <v>8.5000000000000006E-2</v>
      </c>
      <c r="M2008">
        <v>5</v>
      </c>
      <c r="N2008">
        <v>113</v>
      </c>
      <c r="O2008">
        <v>3</v>
      </c>
      <c r="P2008">
        <v>0.375</v>
      </c>
      <c r="Q2008">
        <v>2</v>
      </c>
      <c r="R2008">
        <v>5.1999999999999998E-3</v>
      </c>
      <c r="T2008" s="8" t="s">
        <v>5785</v>
      </c>
    </row>
    <row r="2009" spans="1:20" x14ac:dyDescent="0.2">
      <c r="A2009" t="s">
        <v>5787</v>
      </c>
      <c r="B2009" t="s">
        <v>2022</v>
      </c>
      <c r="C2009" t="s">
        <v>2023</v>
      </c>
      <c r="D2009" t="s">
        <v>2024</v>
      </c>
      <c r="E2009" t="s">
        <v>5788</v>
      </c>
      <c r="F2009" t="s">
        <v>5786</v>
      </c>
      <c r="G2009">
        <v>3</v>
      </c>
      <c r="H2009">
        <v>1640</v>
      </c>
      <c r="I2009">
        <v>2</v>
      </c>
      <c r="J2009">
        <v>3.4</v>
      </c>
      <c r="K2009">
        <v>2</v>
      </c>
      <c r="L2009">
        <v>2.5999999999999999E-2</v>
      </c>
      <c r="M2009">
        <v>4</v>
      </c>
      <c r="N2009">
        <v>104</v>
      </c>
      <c r="O2009">
        <v>2</v>
      </c>
      <c r="P2009">
        <v>0.22500000000000001</v>
      </c>
      <c r="Q2009">
        <v>2</v>
      </c>
      <c r="R2009">
        <v>2E-3</v>
      </c>
      <c r="T2009" s="8" t="s">
        <v>5788</v>
      </c>
    </row>
    <row r="2010" spans="1:20" x14ac:dyDescent="0.2">
      <c r="A2010" t="s">
        <v>5789</v>
      </c>
      <c r="B2010" t="s">
        <v>2022</v>
      </c>
      <c r="C2010" t="s">
        <v>2036</v>
      </c>
      <c r="D2010" t="s">
        <v>2024</v>
      </c>
      <c r="E2010" t="s">
        <v>5790</v>
      </c>
      <c r="F2010" t="s">
        <v>5791</v>
      </c>
      <c r="G2010">
        <v>5</v>
      </c>
      <c r="H2010">
        <v>1940</v>
      </c>
      <c r="I2010">
        <v>3</v>
      </c>
      <c r="J2010">
        <v>4.5999999999999996</v>
      </c>
      <c r="K2010">
        <v>1</v>
      </c>
      <c r="L2010">
        <v>5.5E-2</v>
      </c>
      <c r="M2010">
        <v>5</v>
      </c>
      <c r="N2010">
        <v>100</v>
      </c>
      <c r="O2010">
        <v>2</v>
      </c>
      <c r="P2010">
        <v>0.20499999999999999</v>
      </c>
      <c r="Q2010">
        <v>1</v>
      </c>
      <c r="R2010">
        <v>1.5E-3</v>
      </c>
      <c r="T2010" s="8" t="s">
        <v>5790</v>
      </c>
    </row>
    <row r="2011" spans="1:20" x14ac:dyDescent="0.2">
      <c r="A2011" t="s">
        <v>5792</v>
      </c>
      <c r="B2011" t="s">
        <v>2022</v>
      </c>
      <c r="C2011" t="s">
        <v>2053</v>
      </c>
      <c r="D2011" t="s">
        <v>2024</v>
      </c>
      <c r="E2011" t="s">
        <v>5793</v>
      </c>
      <c r="F2011" t="s">
        <v>5794</v>
      </c>
      <c r="G2011">
        <v>5</v>
      </c>
      <c r="H2011">
        <v>1900</v>
      </c>
      <c r="I2011">
        <v>5</v>
      </c>
      <c r="J2011">
        <v>11.55</v>
      </c>
      <c r="K2011">
        <v>5</v>
      </c>
      <c r="L2011">
        <v>0.41499999999999998</v>
      </c>
      <c r="M2011">
        <v>4</v>
      </c>
      <c r="N2011">
        <v>103</v>
      </c>
      <c r="O2011">
        <v>5</v>
      </c>
      <c r="P2011">
        <v>0.67500000000000004</v>
      </c>
      <c r="Q2011">
        <v>5</v>
      </c>
      <c r="R2011">
        <v>2.6200000000000001E-2</v>
      </c>
      <c r="T2011" s="8" t="s">
        <v>5793</v>
      </c>
    </row>
    <row r="2012" spans="1:20" x14ac:dyDescent="0.2">
      <c r="A2012" t="s">
        <v>85</v>
      </c>
      <c r="B2012" t="s">
        <v>2022</v>
      </c>
      <c r="C2012" t="s">
        <v>2036</v>
      </c>
      <c r="D2012" t="s">
        <v>2024</v>
      </c>
      <c r="E2012" t="s">
        <v>272</v>
      </c>
      <c r="F2012" t="s">
        <v>4487</v>
      </c>
      <c r="G2012">
        <v>2</v>
      </c>
      <c r="H2012">
        <v>1640</v>
      </c>
      <c r="I2012">
        <v>2</v>
      </c>
      <c r="J2012">
        <v>3.4</v>
      </c>
      <c r="K2012">
        <v>2</v>
      </c>
      <c r="L2012">
        <v>8.5000000000000006E-2</v>
      </c>
      <c r="M2012">
        <v>2</v>
      </c>
      <c r="N2012">
        <v>82</v>
      </c>
      <c r="O2012">
        <v>2</v>
      </c>
      <c r="P2012">
        <v>0.20499999999999999</v>
      </c>
      <c r="Q2012">
        <v>2</v>
      </c>
      <c r="R2012">
        <v>4.2500000000000003E-3</v>
      </c>
      <c r="T2012" s="8" t="s">
        <v>272</v>
      </c>
    </row>
    <row r="2013" spans="1:20" x14ac:dyDescent="0.2">
      <c r="A2013" t="s">
        <v>5795</v>
      </c>
      <c r="B2013" t="s">
        <v>2022</v>
      </c>
      <c r="C2013" t="s">
        <v>2023</v>
      </c>
      <c r="D2013" t="s">
        <v>2024</v>
      </c>
      <c r="E2013" t="s">
        <v>357</v>
      </c>
      <c r="F2013" t="s">
        <v>5796</v>
      </c>
      <c r="G2013">
        <v>1</v>
      </c>
      <c r="H2013">
        <v>1480</v>
      </c>
      <c r="I2013">
        <v>2</v>
      </c>
      <c r="J2013">
        <v>3.4</v>
      </c>
      <c r="K2013">
        <v>5</v>
      </c>
      <c r="L2013">
        <v>8.5999999999999993E-2</v>
      </c>
      <c r="M2013">
        <v>5</v>
      </c>
      <c r="N2013">
        <v>114</v>
      </c>
      <c r="O2013">
        <v>4</v>
      </c>
      <c r="P2013">
        <v>0.52500000000000002</v>
      </c>
      <c r="Q2013">
        <v>5</v>
      </c>
      <c r="R2013">
        <v>8.0000000000000002E-3</v>
      </c>
      <c r="T2013" s="8" t="s">
        <v>357</v>
      </c>
    </row>
    <row r="2014" spans="1:20" x14ac:dyDescent="0.2">
      <c r="A2014" t="s">
        <v>5797</v>
      </c>
      <c r="B2014" t="s">
        <v>2022</v>
      </c>
      <c r="C2014" t="s">
        <v>2023</v>
      </c>
      <c r="D2014" t="s">
        <v>2024</v>
      </c>
      <c r="E2014" t="s">
        <v>5798</v>
      </c>
      <c r="F2014" t="s">
        <v>5799</v>
      </c>
      <c r="G2014">
        <v>3</v>
      </c>
      <c r="H2014">
        <v>1640</v>
      </c>
      <c r="I2014">
        <v>3</v>
      </c>
      <c r="J2014">
        <v>5.9</v>
      </c>
      <c r="K2014">
        <v>5</v>
      </c>
      <c r="L2014">
        <v>8.5999999999999993E-2</v>
      </c>
      <c r="M2014">
        <v>1</v>
      </c>
      <c r="N2014">
        <v>74</v>
      </c>
      <c r="O2014">
        <v>2</v>
      </c>
      <c r="P2014">
        <v>0.22500000000000001</v>
      </c>
      <c r="Q2014">
        <v>4</v>
      </c>
      <c r="R2014">
        <v>6.0000000000000001E-3</v>
      </c>
      <c r="T2014" s="8" t="s">
        <v>5798</v>
      </c>
    </row>
    <row r="2015" spans="1:20" x14ac:dyDescent="0.2">
      <c r="A2015" t="s">
        <v>5800</v>
      </c>
      <c r="B2015" t="s">
        <v>2022</v>
      </c>
      <c r="C2015" t="s">
        <v>2036</v>
      </c>
      <c r="D2015" t="s">
        <v>2024</v>
      </c>
      <c r="E2015" t="s">
        <v>5801</v>
      </c>
      <c r="F2015" t="s">
        <v>447</v>
      </c>
      <c r="G2015">
        <v>1</v>
      </c>
      <c r="H2015">
        <v>1540</v>
      </c>
      <c r="I2015">
        <v>2</v>
      </c>
      <c r="J2015">
        <v>3.4</v>
      </c>
      <c r="K2015">
        <v>2</v>
      </c>
      <c r="L2015">
        <v>8.5000000000000006E-2</v>
      </c>
      <c r="M2015">
        <v>1</v>
      </c>
      <c r="N2015">
        <v>76</v>
      </c>
      <c r="O2015">
        <v>1</v>
      </c>
      <c r="P2015">
        <v>9.5000000000000001E-2</v>
      </c>
      <c r="Q2015">
        <v>2</v>
      </c>
      <c r="R2015">
        <v>4.2500000000000003E-3</v>
      </c>
      <c r="T2015" s="8" t="s">
        <v>5801</v>
      </c>
    </row>
    <row r="2016" spans="1:20" x14ac:dyDescent="0.2">
      <c r="A2016" t="s">
        <v>5802</v>
      </c>
      <c r="B2016" t="s">
        <v>2022</v>
      </c>
      <c r="C2016" t="s">
        <v>2023</v>
      </c>
      <c r="D2016" t="s">
        <v>2024</v>
      </c>
      <c r="E2016" t="s">
        <v>5803</v>
      </c>
      <c r="F2016" t="s">
        <v>447</v>
      </c>
      <c r="G2016">
        <v>1</v>
      </c>
      <c r="H2016">
        <v>1480</v>
      </c>
      <c r="I2016">
        <v>2</v>
      </c>
      <c r="J2016">
        <v>3.4</v>
      </c>
      <c r="K2016">
        <v>1</v>
      </c>
      <c r="L2016">
        <v>6.0000000000000001E-3</v>
      </c>
      <c r="M2016">
        <v>1</v>
      </c>
      <c r="N2016">
        <v>74</v>
      </c>
      <c r="O2016">
        <v>1</v>
      </c>
      <c r="P2016">
        <v>7.4999999999999997E-2</v>
      </c>
      <c r="Q2016">
        <v>1</v>
      </c>
      <c r="R2016">
        <v>5.0000000000000001E-4</v>
      </c>
      <c r="T2016" s="8" t="s">
        <v>5803</v>
      </c>
    </row>
    <row r="2017" spans="1:20" x14ac:dyDescent="0.2">
      <c r="A2017" t="s">
        <v>5804</v>
      </c>
      <c r="B2017" t="s">
        <v>2022</v>
      </c>
      <c r="C2017" t="s">
        <v>2023</v>
      </c>
      <c r="D2017" t="s">
        <v>2024</v>
      </c>
      <c r="E2017" t="s">
        <v>5805</v>
      </c>
      <c r="F2017" t="s">
        <v>5806</v>
      </c>
      <c r="G2017">
        <v>4</v>
      </c>
      <c r="H2017">
        <v>1720</v>
      </c>
      <c r="I2017">
        <v>5</v>
      </c>
      <c r="J2017">
        <v>10.9</v>
      </c>
      <c r="K2017">
        <v>5</v>
      </c>
      <c r="L2017">
        <v>8.5999999999999993E-2</v>
      </c>
      <c r="M2017">
        <v>3</v>
      </c>
      <c r="N2017">
        <v>94</v>
      </c>
      <c r="O2017">
        <v>5</v>
      </c>
      <c r="P2017">
        <v>0.67500000000000004</v>
      </c>
      <c r="Q2017">
        <v>5</v>
      </c>
      <c r="R2017">
        <v>8.0000000000000002E-3</v>
      </c>
      <c r="T2017" s="8" t="s">
        <v>5805</v>
      </c>
    </row>
    <row r="2018" spans="1:20" x14ac:dyDescent="0.2">
      <c r="A2018" t="s">
        <v>5807</v>
      </c>
      <c r="B2018" t="s">
        <v>2022</v>
      </c>
      <c r="C2018" t="s">
        <v>2053</v>
      </c>
      <c r="D2018" t="s">
        <v>2024</v>
      </c>
      <c r="E2018" t="s">
        <v>5808</v>
      </c>
      <c r="F2018" t="s">
        <v>5809</v>
      </c>
      <c r="G2018">
        <v>2</v>
      </c>
      <c r="H2018">
        <v>1600</v>
      </c>
      <c r="I2018">
        <v>5</v>
      </c>
      <c r="J2018">
        <v>11.55</v>
      </c>
      <c r="K2018">
        <v>5</v>
      </c>
      <c r="L2018">
        <v>0.41499999999999998</v>
      </c>
      <c r="M2018">
        <v>1</v>
      </c>
      <c r="N2018">
        <v>73</v>
      </c>
      <c r="O2018">
        <v>4</v>
      </c>
      <c r="P2018">
        <v>0.52500000000000002</v>
      </c>
      <c r="Q2018">
        <v>4</v>
      </c>
      <c r="R2018">
        <v>1.9199999999999998E-2</v>
      </c>
      <c r="T2018" s="8" t="s">
        <v>5808</v>
      </c>
    </row>
    <row r="2019" spans="1:20" x14ac:dyDescent="0.2">
      <c r="A2019" t="s">
        <v>5810</v>
      </c>
      <c r="B2019" t="s">
        <v>2022</v>
      </c>
      <c r="C2019" t="s">
        <v>2023</v>
      </c>
      <c r="D2019" t="s">
        <v>2136</v>
      </c>
      <c r="E2019" t="s">
        <v>5811</v>
      </c>
      <c r="F2019" t="s">
        <v>5812</v>
      </c>
      <c r="G2019">
        <v>1</v>
      </c>
      <c r="H2019">
        <v>1480</v>
      </c>
      <c r="I2019">
        <v>1</v>
      </c>
      <c r="J2019">
        <v>0.9</v>
      </c>
      <c r="K2019">
        <v>1</v>
      </c>
      <c r="L2019">
        <v>6.0000000000000001E-3</v>
      </c>
      <c r="M2019">
        <v>2</v>
      </c>
      <c r="N2019">
        <v>84</v>
      </c>
      <c r="O2019">
        <v>1</v>
      </c>
      <c r="P2019">
        <v>7.4999999999999997E-2</v>
      </c>
      <c r="Q2019">
        <v>1</v>
      </c>
      <c r="R2019">
        <v>5.0000000000000001E-4</v>
      </c>
      <c r="T2019" s="8" t="s">
        <v>5811</v>
      </c>
    </row>
    <row r="2020" spans="1:20" x14ac:dyDescent="0.2">
      <c r="A2020" t="s">
        <v>5813</v>
      </c>
      <c r="B2020" t="s">
        <v>2022</v>
      </c>
      <c r="C2020" t="s">
        <v>2036</v>
      </c>
      <c r="D2020" t="s">
        <v>2024</v>
      </c>
      <c r="E2020" t="s">
        <v>5814</v>
      </c>
      <c r="F2020" t="s">
        <v>5815</v>
      </c>
      <c r="G2020">
        <v>2</v>
      </c>
      <c r="H2020">
        <v>1640</v>
      </c>
      <c r="I2020">
        <v>1</v>
      </c>
      <c r="J2020">
        <v>2.2000000000000002</v>
      </c>
      <c r="K2020">
        <v>1</v>
      </c>
      <c r="L2020">
        <v>5.5E-2</v>
      </c>
      <c r="M2020">
        <v>2</v>
      </c>
      <c r="N2020">
        <v>82</v>
      </c>
      <c r="O2020">
        <v>1</v>
      </c>
      <c r="P2020">
        <v>9.5000000000000001E-2</v>
      </c>
      <c r="Q2020">
        <v>1</v>
      </c>
      <c r="R2020">
        <v>1.5E-3</v>
      </c>
      <c r="T2020" s="8" t="s">
        <v>5814</v>
      </c>
    </row>
    <row r="2021" spans="1:20" x14ac:dyDescent="0.2">
      <c r="A2021" t="s">
        <v>5816</v>
      </c>
      <c r="B2021" t="s">
        <v>2022</v>
      </c>
      <c r="C2021" t="s">
        <v>2222</v>
      </c>
      <c r="D2021" t="s">
        <v>2024</v>
      </c>
      <c r="E2021" t="s">
        <v>5817</v>
      </c>
      <c r="F2021" t="s">
        <v>5818</v>
      </c>
      <c r="G2021">
        <v>2</v>
      </c>
      <c r="H2021">
        <v>1550</v>
      </c>
      <c r="I2021">
        <v>5</v>
      </c>
      <c r="J2021">
        <v>8.6999999999999993</v>
      </c>
      <c r="K2021">
        <v>5</v>
      </c>
      <c r="L2021">
        <v>0.26500000000000001</v>
      </c>
      <c r="M2021">
        <v>1</v>
      </c>
      <c r="N2021">
        <v>59</v>
      </c>
      <c r="O2021">
        <v>5</v>
      </c>
      <c r="P2021">
        <v>0.39</v>
      </c>
      <c r="Q2021">
        <v>5</v>
      </c>
      <c r="R2021">
        <v>1.1299999999999999E-2</v>
      </c>
      <c r="T2021" s="8" t="s">
        <v>5817</v>
      </c>
    </row>
    <row r="2022" spans="1:20" x14ac:dyDescent="0.2">
      <c r="A2022" t="s">
        <v>5819</v>
      </c>
      <c r="B2022" t="s">
        <v>2022</v>
      </c>
      <c r="C2022" t="s">
        <v>2036</v>
      </c>
      <c r="D2022" t="s">
        <v>2024</v>
      </c>
      <c r="E2022" t="s">
        <v>5820</v>
      </c>
      <c r="F2022" t="s">
        <v>5821</v>
      </c>
      <c r="G2022">
        <v>2</v>
      </c>
      <c r="H2022">
        <v>1640</v>
      </c>
      <c r="I2022">
        <v>2</v>
      </c>
      <c r="J2022">
        <v>3.4</v>
      </c>
      <c r="K2022">
        <v>3</v>
      </c>
      <c r="L2022">
        <v>0.115</v>
      </c>
      <c r="M2022">
        <v>2</v>
      </c>
      <c r="N2022">
        <v>82</v>
      </c>
      <c r="O2022">
        <v>2</v>
      </c>
      <c r="P2022">
        <v>0.20499999999999999</v>
      </c>
      <c r="Q2022">
        <v>2</v>
      </c>
      <c r="R2022">
        <v>4.2500000000000003E-3</v>
      </c>
      <c r="T2022" s="8" t="s">
        <v>5820</v>
      </c>
    </row>
    <row r="2023" spans="1:20" x14ac:dyDescent="0.2">
      <c r="A2023" t="s">
        <v>5822</v>
      </c>
      <c r="B2023" t="s">
        <v>2022</v>
      </c>
      <c r="C2023" t="s">
        <v>2036</v>
      </c>
      <c r="D2023" t="s">
        <v>2024</v>
      </c>
      <c r="E2023" t="s">
        <v>5823</v>
      </c>
      <c r="F2023" t="s">
        <v>5824</v>
      </c>
      <c r="G2023">
        <v>3</v>
      </c>
      <c r="H2023">
        <v>1740</v>
      </c>
      <c r="I2023">
        <v>3</v>
      </c>
      <c r="J2023">
        <v>4.5999999999999996</v>
      </c>
      <c r="K2023">
        <v>4</v>
      </c>
      <c r="L2023">
        <v>0.14499999999999999</v>
      </c>
      <c r="M2023">
        <v>2</v>
      </c>
      <c r="N2023">
        <v>82</v>
      </c>
      <c r="O2023">
        <v>2</v>
      </c>
      <c r="P2023">
        <v>0.20499999999999999</v>
      </c>
      <c r="Q2023">
        <v>3</v>
      </c>
      <c r="R2023">
        <v>6.7499999999999999E-3</v>
      </c>
      <c r="T2023" s="8" t="s">
        <v>5823</v>
      </c>
    </row>
    <row r="2024" spans="1:20" x14ac:dyDescent="0.2">
      <c r="A2024" t="s">
        <v>5825</v>
      </c>
      <c r="B2024" t="s">
        <v>2022</v>
      </c>
      <c r="C2024" t="s">
        <v>2036</v>
      </c>
      <c r="D2024" t="s">
        <v>2024</v>
      </c>
      <c r="E2024" t="s">
        <v>5826</v>
      </c>
      <c r="F2024" t="s">
        <v>5827</v>
      </c>
      <c r="G2024">
        <v>4</v>
      </c>
      <c r="H2024">
        <v>1840</v>
      </c>
      <c r="I2024">
        <v>5</v>
      </c>
      <c r="J2024">
        <v>7</v>
      </c>
      <c r="K2024">
        <v>5</v>
      </c>
      <c r="L2024">
        <v>0.17499999999999999</v>
      </c>
      <c r="M2024">
        <v>3</v>
      </c>
      <c r="N2024">
        <v>88</v>
      </c>
      <c r="O2024">
        <v>5</v>
      </c>
      <c r="P2024">
        <v>0.53500000000000003</v>
      </c>
      <c r="Q2024">
        <v>5</v>
      </c>
      <c r="R2024">
        <v>1.2E-2</v>
      </c>
      <c r="T2024" s="8" t="s">
        <v>5826</v>
      </c>
    </row>
    <row r="2025" spans="1:20" x14ac:dyDescent="0.2">
      <c r="A2025" t="s">
        <v>5828</v>
      </c>
      <c r="B2025" t="s">
        <v>2022</v>
      </c>
      <c r="C2025" t="s">
        <v>2036</v>
      </c>
      <c r="D2025" t="s">
        <v>2024</v>
      </c>
      <c r="E2025" t="s">
        <v>5829</v>
      </c>
      <c r="F2025" t="s">
        <v>5830</v>
      </c>
      <c r="G2025">
        <v>5</v>
      </c>
      <c r="H2025">
        <v>1940</v>
      </c>
      <c r="I2025">
        <v>5</v>
      </c>
      <c r="J2025">
        <v>7</v>
      </c>
      <c r="K2025">
        <v>5</v>
      </c>
      <c r="L2025">
        <v>0.17499999999999999</v>
      </c>
      <c r="M2025">
        <v>5</v>
      </c>
      <c r="N2025">
        <v>100</v>
      </c>
      <c r="O2025">
        <v>5</v>
      </c>
      <c r="P2025">
        <v>0.53500000000000003</v>
      </c>
      <c r="Q2025">
        <v>5</v>
      </c>
      <c r="R2025">
        <v>1.2E-2</v>
      </c>
      <c r="T2025" s="8" t="s">
        <v>5829</v>
      </c>
    </row>
    <row r="2026" spans="1:20" x14ac:dyDescent="0.2">
      <c r="A2026" t="s">
        <v>5831</v>
      </c>
      <c r="B2026" t="s">
        <v>2022</v>
      </c>
      <c r="C2026" t="s">
        <v>2036</v>
      </c>
      <c r="D2026" t="s">
        <v>2024</v>
      </c>
      <c r="E2026" t="s">
        <v>5832</v>
      </c>
      <c r="F2026" t="s">
        <v>5833</v>
      </c>
      <c r="G2026">
        <v>5</v>
      </c>
      <c r="H2026">
        <v>1940</v>
      </c>
      <c r="I2026">
        <v>5</v>
      </c>
      <c r="J2026">
        <v>7</v>
      </c>
      <c r="K2026">
        <v>5</v>
      </c>
      <c r="L2026">
        <v>0.17499999999999999</v>
      </c>
      <c r="M2026">
        <v>5</v>
      </c>
      <c r="N2026">
        <v>100</v>
      </c>
      <c r="O2026">
        <v>5</v>
      </c>
      <c r="P2026">
        <v>0.53500000000000003</v>
      </c>
      <c r="Q2026">
        <v>5</v>
      </c>
      <c r="R2026">
        <v>1.2E-2</v>
      </c>
      <c r="T2026" s="8" t="s">
        <v>5832</v>
      </c>
    </row>
    <row r="2027" spans="1:20" x14ac:dyDescent="0.2">
      <c r="A2027" t="s">
        <v>5834</v>
      </c>
      <c r="B2027" t="s">
        <v>2022</v>
      </c>
      <c r="C2027" t="s">
        <v>2053</v>
      </c>
      <c r="D2027" t="s">
        <v>2024</v>
      </c>
      <c r="E2027" t="s">
        <v>5835</v>
      </c>
      <c r="F2027" t="s">
        <v>5836</v>
      </c>
      <c r="G2027">
        <v>1</v>
      </c>
      <c r="H2027">
        <v>1500</v>
      </c>
      <c r="I2027">
        <v>3</v>
      </c>
      <c r="J2027">
        <v>6.55</v>
      </c>
      <c r="K2027">
        <v>4</v>
      </c>
      <c r="L2027">
        <v>0.30499999999999999</v>
      </c>
      <c r="M2027">
        <v>2</v>
      </c>
      <c r="N2027">
        <v>83</v>
      </c>
      <c r="O2027">
        <v>3</v>
      </c>
      <c r="P2027">
        <v>0.375</v>
      </c>
      <c r="Q2027">
        <v>4</v>
      </c>
      <c r="R2027">
        <v>1.9199999999999998E-2</v>
      </c>
      <c r="T2027" s="8" t="s">
        <v>5835</v>
      </c>
    </row>
    <row r="2028" spans="1:20" x14ac:dyDescent="0.2">
      <c r="A2028" t="s">
        <v>5837</v>
      </c>
      <c r="B2028" t="s">
        <v>2022</v>
      </c>
      <c r="C2028" t="s">
        <v>2023</v>
      </c>
      <c r="D2028" t="s">
        <v>2024</v>
      </c>
      <c r="E2028" t="s">
        <v>5838</v>
      </c>
      <c r="F2028" t="s">
        <v>5839</v>
      </c>
      <c r="G2028">
        <v>3</v>
      </c>
      <c r="H2028">
        <v>1640</v>
      </c>
      <c r="I2028">
        <v>2</v>
      </c>
      <c r="J2028">
        <v>3.4</v>
      </c>
      <c r="K2028">
        <v>4</v>
      </c>
      <c r="L2028">
        <v>6.6000000000000003E-2</v>
      </c>
      <c r="M2028">
        <v>2</v>
      </c>
      <c r="N2028">
        <v>84</v>
      </c>
      <c r="O2028">
        <v>2</v>
      </c>
      <c r="P2028">
        <v>0.22500000000000001</v>
      </c>
      <c r="Q2028">
        <v>3</v>
      </c>
      <c r="R2028">
        <v>4.0000000000000001E-3</v>
      </c>
      <c r="T2028" s="8" t="s">
        <v>5838</v>
      </c>
    </row>
    <row r="2029" spans="1:20" x14ac:dyDescent="0.2">
      <c r="A2029" t="s">
        <v>5840</v>
      </c>
      <c r="B2029" t="s">
        <v>2022</v>
      </c>
      <c r="C2029" t="s">
        <v>2023</v>
      </c>
      <c r="D2029" t="s">
        <v>2024</v>
      </c>
      <c r="E2029" t="s">
        <v>5841</v>
      </c>
      <c r="F2029" t="s">
        <v>5842</v>
      </c>
      <c r="G2029">
        <v>5</v>
      </c>
      <c r="H2029">
        <v>1800</v>
      </c>
      <c r="I2029">
        <v>5</v>
      </c>
      <c r="J2029">
        <v>10.9</v>
      </c>
      <c r="K2029">
        <v>5</v>
      </c>
      <c r="L2029">
        <v>8.5999999999999993E-2</v>
      </c>
      <c r="M2029">
        <v>1</v>
      </c>
      <c r="N2029">
        <v>74</v>
      </c>
      <c r="O2029">
        <v>5</v>
      </c>
      <c r="P2029">
        <v>0.67500000000000004</v>
      </c>
      <c r="Q2029">
        <v>5</v>
      </c>
      <c r="R2029">
        <v>8.0000000000000002E-3</v>
      </c>
      <c r="T2029" s="8" t="s">
        <v>5841</v>
      </c>
    </row>
    <row r="2030" spans="1:20" x14ac:dyDescent="0.2">
      <c r="A2030" t="s">
        <v>5843</v>
      </c>
      <c r="B2030" t="s">
        <v>2022</v>
      </c>
      <c r="C2030" t="s">
        <v>2023</v>
      </c>
      <c r="D2030" t="s">
        <v>2154</v>
      </c>
      <c r="E2030" t="s">
        <v>5844</v>
      </c>
      <c r="F2030" t="s">
        <v>5845</v>
      </c>
      <c r="G2030">
        <v>4</v>
      </c>
      <c r="H2030">
        <v>1720</v>
      </c>
      <c r="I2030">
        <v>1</v>
      </c>
      <c r="J2030">
        <v>0.9</v>
      </c>
      <c r="K2030">
        <v>1</v>
      </c>
      <c r="L2030">
        <v>6.0000000000000001E-3</v>
      </c>
      <c r="M2030">
        <v>3</v>
      </c>
      <c r="N2030">
        <v>94</v>
      </c>
      <c r="O2030">
        <v>1</v>
      </c>
      <c r="P2030">
        <v>7.4999999999999997E-2</v>
      </c>
      <c r="Q2030">
        <v>1</v>
      </c>
      <c r="R2030">
        <v>5.0000000000000001E-4</v>
      </c>
      <c r="T2030" s="8" t="s">
        <v>5844</v>
      </c>
    </row>
    <row r="2031" spans="1:20" x14ac:dyDescent="0.2">
      <c r="A2031" t="s">
        <v>5846</v>
      </c>
      <c r="B2031" t="s">
        <v>2022</v>
      </c>
      <c r="C2031" t="s">
        <v>2023</v>
      </c>
      <c r="D2031" t="s">
        <v>2024</v>
      </c>
      <c r="E2031" t="s">
        <v>5847</v>
      </c>
      <c r="F2031" t="s">
        <v>5848</v>
      </c>
      <c r="G2031">
        <v>2</v>
      </c>
      <c r="H2031">
        <v>1560</v>
      </c>
      <c r="I2031">
        <v>1</v>
      </c>
      <c r="J2031">
        <v>0.9</v>
      </c>
      <c r="K2031">
        <v>1</v>
      </c>
      <c r="L2031">
        <v>6.0000000000000001E-3</v>
      </c>
      <c r="M2031">
        <v>1</v>
      </c>
      <c r="N2031">
        <v>74</v>
      </c>
      <c r="O2031">
        <v>1</v>
      </c>
      <c r="P2031">
        <v>7.4999999999999997E-2</v>
      </c>
      <c r="Q2031">
        <v>1</v>
      </c>
      <c r="R2031">
        <v>5.0000000000000001E-4</v>
      </c>
      <c r="T2031" s="8" t="s">
        <v>5847</v>
      </c>
    </row>
    <row r="2032" spans="1:20" x14ac:dyDescent="0.2">
      <c r="A2032" t="s">
        <v>5849</v>
      </c>
      <c r="B2032" t="s">
        <v>2022</v>
      </c>
      <c r="C2032" t="s">
        <v>2036</v>
      </c>
      <c r="D2032" t="s">
        <v>2024</v>
      </c>
      <c r="E2032" t="s">
        <v>5850</v>
      </c>
      <c r="F2032" t="s">
        <v>5851</v>
      </c>
      <c r="G2032">
        <v>4</v>
      </c>
      <c r="H2032">
        <v>1840</v>
      </c>
      <c r="I2032">
        <v>2</v>
      </c>
      <c r="J2032">
        <v>3.4</v>
      </c>
      <c r="K2032">
        <v>1</v>
      </c>
      <c r="L2032">
        <v>5.5E-2</v>
      </c>
      <c r="M2032">
        <v>4</v>
      </c>
      <c r="N2032">
        <v>94</v>
      </c>
      <c r="O2032">
        <v>1</v>
      </c>
      <c r="P2032">
        <v>9.5000000000000001E-2</v>
      </c>
      <c r="Q2032">
        <v>1</v>
      </c>
      <c r="R2032">
        <v>1.5E-3</v>
      </c>
      <c r="T2032" s="8" t="s">
        <v>5850</v>
      </c>
    </row>
    <row r="2033" spans="1:20" x14ac:dyDescent="0.2">
      <c r="A2033" t="s">
        <v>5852</v>
      </c>
      <c r="B2033" t="s">
        <v>2022</v>
      </c>
      <c r="C2033" t="s">
        <v>2036</v>
      </c>
      <c r="D2033" t="s">
        <v>2024</v>
      </c>
      <c r="E2033" t="s">
        <v>5853</v>
      </c>
      <c r="F2033" t="s">
        <v>5854</v>
      </c>
      <c r="G2033">
        <v>3</v>
      </c>
      <c r="H2033">
        <v>1740</v>
      </c>
      <c r="I2033">
        <v>1</v>
      </c>
      <c r="J2033">
        <v>2.2000000000000002</v>
      </c>
      <c r="K2033">
        <v>2</v>
      </c>
      <c r="L2033">
        <v>8.5000000000000006E-2</v>
      </c>
      <c r="M2033">
        <v>3</v>
      </c>
      <c r="N2033">
        <v>88</v>
      </c>
      <c r="O2033">
        <v>1</v>
      </c>
      <c r="P2033">
        <v>9.5000000000000001E-2</v>
      </c>
      <c r="Q2033">
        <v>2</v>
      </c>
      <c r="R2033">
        <v>4.2500000000000003E-3</v>
      </c>
      <c r="T2033" s="8" t="s">
        <v>5853</v>
      </c>
    </row>
    <row r="2034" spans="1:20" x14ac:dyDescent="0.2">
      <c r="A2034" t="s">
        <v>5855</v>
      </c>
      <c r="B2034" t="s">
        <v>2022</v>
      </c>
      <c r="C2034" t="s">
        <v>2023</v>
      </c>
      <c r="D2034" t="s">
        <v>2024</v>
      </c>
      <c r="E2034" t="s">
        <v>5856</v>
      </c>
      <c r="F2034" t="s">
        <v>5857</v>
      </c>
      <c r="G2034">
        <v>5</v>
      </c>
      <c r="H2034">
        <v>1800</v>
      </c>
      <c r="I2034">
        <v>5</v>
      </c>
      <c r="J2034">
        <v>10.9</v>
      </c>
      <c r="K2034">
        <v>5</v>
      </c>
      <c r="L2034">
        <v>8.5999999999999993E-2</v>
      </c>
      <c r="M2034">
        <v>5</v>
      </c>
      <c r="N2034">
        <v>114</v>
      </c>
      <c r="O2034">
        <v>5</v>
      </c>
      <c r="P2034">
        <v>0.67500000000000004</v>
      </c>
      <c r="Q2034">
        <v>5</v>
      </c>
      <c r="R2034">
        <v>8.0000000000000002E-3</v>
      </c>
      <c r="T2034" s="8" t="s">
        <v>5856</v>
      </c>
    </row>
    <row r="2035" spans="1:20" x14ac:dyDescent="0.2">
      <c r="A2035" t="s">
        <v>5858</v>
      </c>
      <c r="B2035" t="s">
        <v>2022</v>
      </c>
      <c r="C2035" t="s">
        <v>2095</v>
      </c>
      <c r="D2035" t="s">
        <v>2136</v>
      </c>
      <c r="E2035" t="s">
        <v>5859</v>
      </c>
      <c r="F2035" t="s">
        <v>447</v>
      </c>
      <c r="G2035">
        <v>2</v>
      </c>
      <c r="H2035">
        <v>1655</v>
      </c>
      <c r="I2035">
        <v>4</v>
      </c>
      <c r="J2035">
        <v>13.5</v>
      </c>
      <c r="K2035">
        <v>4</v>
      </c>
      <c r="L2035">
        <v>0.53</v>
      </c>
      <c r="M2035">
        <v>1</v>
      </c>
      <c r="N2035">
        <v>74</v>
      </c>
      <c r="O2035">
        <v>4</v>
      </c>
      <c r="P2035">
        <v>0.75</v>
      </c>
      <c r="Q2035">
        <v>4</v>
      </c>
      <c r="R2035">
        <v>2.3900000000000001E-2</v>
      </c>
      <c r="T2035" s="8" t="s">
        <v>5859</v>
      </c>
    </row>
    <row r="2036" spans="1:20" x14ac:dyDescent="0.2">
      <c r="A2036" t="s">
        <v>5860</v>
      </c>
      <c r="B2036" t="s">
        <v>2022</v>
      </c>
      <c r="C2036" t="s">
        <v>2023</v>
      </c>
      <c r="D2036" t="s">
        <v>2024</v>
      </c>
      <c r="E2036" t="s">
        <v>5861</v>
      </c>
      <c r="F2036" t="s">
        <v>5862</v>
      </c>
      <c r="G2036">
        <v>4</v>
      </c>
      <c r="H2036">
        <v>1720</v>
      </c>
      <c r="I2036">
        <v>5</v>
      </c>
      <c r="J2036">
        <v>10.9</v>
      </c>
      <c r="K2036">
        <v>5</v>
      </c>
      <c r="L2036">
        <v>8.5999999999999993E-2</v>
      </c>
      <c r="M2036">
        <v>2</v>
      </c>
      <c r="N2036">
        <v>84</v>
      </c>
      <c r="O2036">
        <v>5</v>
      </c>
      <c r="P2036">
        <v>0.67500000000000004</v>
      </c>
      <c r="Q2036">
        <v>5</v>
      </c>
      <c r="R2036">
        <v>8.0000000000000002E-3</v>
      </c>
      <c r="T2036" s="8" t="s">
        <v>5861</v>
      </c>
    </row>
    <row r="2037" spans="1:20" x14ac:dyDescent="0.2">
      <c r="A2037" t="s">
        <v>5863</v>
      </c>
      <c r="B2037" t="s">
        <v>2022</v>
      </c>
      <c r="C2037" t="s">
        <v>2023</v>
      </c>
      <c r="D2037" t="s">
        <v>2024</v>
      </c>
      <c r="E2037" t="s">
        <v>5864</v>
      </c>
      <c r="F2037" t="s">
        <v>5865</v>
      </c>
      <c r="G2037">
        <v>1</v>
      </c>
      <c r="H2037">
        <v>1480</v>
      </c>
      <c r="I2037">
        <v>5</v>
      </c>
      <c r="J2037">
        <v>10.9</v>
      </c>
      <c r="K2037">
        <v>5</v>
      </c>
      <c r="L2037">
        <v>8.5999999999999993E-2</v>
      </c>
      <c r="M2037">
        <v>1</v>
      </c>
      <c r="N2037">
        <v>74</v>
      </c>
      <c r="O2037">
        <v>5</v>
      </c>
      <c r="P2037">
        <v>0.67500000000000004</v>
      </c>
      <c r="Q2037">
        <v>5</v>
      </c>
      <c r="R2037">
        <v>8.0000000000000002E-3</v>
      </c>
      <c r="T2037" s="8" t="s">
        <v>5864</v>
      </c>
    </row>
    <row r="2038" spans="1:20" x14ac:dyDescent="0.2">
      <c r="A2038" t="s">
        <v>5866</v>
      </c>
      <c r="B2038" t="s">
        <v>2022</v>
      </c>
      <c r="C2038" t="s">
        <v>2023</v>
      </c>
      <c r="D2038" t="s">
        <v>2024</v>
      </c>
      <c r="E2038" t="s">
        <v>5867</v>
      </c>
      <c r="F2038" t="s">
        <v>5868</v>
      </c>
      <c r="G2038">
        <v>4</v>
      </c>
      <c r="H2038">
        <v>1720</v>
      </c>
      <c r="I2038">
        <v>5</v>
      </c>
      <c r="J2038">
        <v>10.9</v>
      </c>
      <c r="K2038">
        <v>5</v>
      </c>
      <c r="L2038">
        <v>8.5999999999999993E-2</v>
      </c>
      <c r="M2038">
        <v>3</v>
      </c>
      <c r="N2038">
        <v>94</v>
      </c>
      <c r="O2038">
        <v>5</v>
      </c>
      <c r="P2038">
        <v>0.67500000000000004</v>
      </c>
      <c r="Q2038">
        <v>5</v>
      </c>
      <c r="R2038">
        <v>8.0000000000000002E-3</v>
      </c>
      <c r="T2038" s="8" t="s">
        <v>5867</v>
      </c>
    </row>
    <row r="2039" spans="1:20" x14ac:dyDescent="0.2">
      <c r="A2039" t="s">
        <v>5869</v>
      </c>
      <c r="B2039" t="s">
        <v>2022</v>
      </c>
      <c r="C2039" t="s">
        <v>2023</v>
      </c>
      <c r="D2039" t="s">
        <v>2024</v>
      </c>
      <c r="E2039" t="s">
        <v>5870</v>
      </c>
      <c r="F2039" t="s">
        <v>5868</v>
      </c>
      <c r="G2039">
        <v>3</v>
      </c>
      <c r="H2039">
        <v>1640</v>
      </c>
      <c r="I2039">
        <v>2</v>
      </c>
      <c r="J2039">
        <v>3.4</v>
      </c>
      <c r="K2039">
        <v>3</v>
      </c>
      <c r="L2039">
        <v>4.5999999999999999E-2</v>
      </c>
      <c r="M2039">
        <v>2</v>
      </c>
      <c r="N2039">
        <v>84</v>
      </c>
      <c r="O2039">
        <v>1</v>
      </c>
      <c r="P2039">
        <v>7.4999999999999997E-2</v>
      </c>
      <c r="Q2039">
        <v>2</v>
      </c>
      <c r="R2039">
        <v>2E-3</v>
      </c>
      <c r="T2039" s="8" t="s">
        <v>5870</v>
      </c>
    </row>
    <row r="2040" spans="1:20" x14ac:dyDescent="0.2">
      <c r="A2040" t="s">
        <v>5871</v>
      </c>
      <c r="B2040" t="s">
        <v>2022</v>
      </c>
      <c r="C2040" t="s">
        <v>2053</v>
      </c>
      <c r="D2040" t="s">
        <v>2024</v>
      </c>
      <c r="E2040" t="s">
        <v>357</v>
      </c>
      <c r="F2040" t="s">
        <v>447</v>
      </c>
      <c r="G2040">
        <v>5</v>
      </c>
      <c r="H2040">
        <v>1900</v>
      </c>
      <c r="I2040">
        <v>5</v>
      </c>
      <c r="J2040">
        <v>11.55</v>
      </c>
      <c r="K2040">
        <v>5</v>
      </c>
      <c r="L2040">
        <v>0.41499999999999998</v>
      </c>
      <c r="M2040">
        <v>2</v>
      </c>
      <c r="N2040">
        <v>83</v>
      </c>
      <c r="O2040">
        <v>5</v>
      </c>
      <c r="P2040">
        <v>0.67500000000000004</v>
      </c>
      <c r="Q2040">
        <v>5</v>
      </c>
      <c r="R2040">
        <v>2.6200000000000001E-2</v>
      </c>
      <c r="T2040" s="8" t="s">
        <v>357</v>
      </c>
    </row>
    <row r="2041" spans="1:20" x14ac:dyDescent="0.2">
      <c r="A2041" t="s">
        <v>5872</v>
      </c>
      <c r="B2041" t="s">
        <v>2022</v>
      </c>
      <c r="C2041" t="s">
        <v>2053</v>
      </c>
      <c r="D2041" t="s">
        <v>2024</v>
      </c>
      <c r="E2041" t="s">
        <v>5873</v>
      </c>
      <c r="F2041" t="s">
        <v>5874</v>
      </c>
      <c r="G2041">
        <v>2</v>
      </c>
      <c r="H2041">
        <v>1600</v>
      </c>
      <c r="I2041">
        <v>3</v>
      </c>
      <c r="J2041">
        <v>6.55</v>
      </c>
      <c r="K2041">
        <v>4</v>
      </c>
      <c r="L2041">
        <v>0.30499999999999999</v>
      </c>
      <c r="M2041">
        <v>4</v>
      </c>
      <c r="N2041">
        <v>103</v>
      </c>
      <c r="O2041">
        <v>3</v>
      </c>
      <c r="P2041">
        <v>0.375</v>
      </c>
      <c r="Q2041">
        <v>4</v>
      </c>
      <c r="R2041">
        <v>1.9199999999999998E-2</v>
      </c>
      <c r="T2041" s="8" t="s">
        <v>5873</v>
      </c>
    </row>
    <row r="2042" spans="1:20" x14ac:dyDescent="0.2">
      <c r="A2042" t="s">
        <v>5875</v>
      </c>
      <c r="B2042" t="s">
        <v>2022</v>
      </c>
      <c r="C2042" t="s">
        <v>2053</v>
      </c>
      <c r="D2042" t="s">
        <v>2154</v>
      </c>
      <c r="E2042" t="s">
        <v>5876</v>
      </c>
      <c r="F2042" t="s">
        <v>5877</v>
      </c>
      <c r="G2042">
        <v>5</v>
      </c>
      <c r="H2042">
        <v>1900</v>
      </c>
      <c r="I2042">
        <v>1</v>
      </c>
      <c r="J2042">
        <v>1.55</v>
      </c>
      <c r="K2042">
        <v>1</v>
      </c>
      <c r="L2042">
        <v>1.4999999999999999E-2</v>
      </c>
      <c r="M2042">
        <v>3</v>
      </c>
      <c r="N2042">
        <v>93</v>
      </c>
      <c r="O2042">
        <v>1</v>
      </c>
      <c r="P2042">
        <v>7.4999999999999997E-2</v>
      </c>
      <c r="Q2042">
        <v>1</v>
      </c>
      <c r="R2042">
        <v>8.4999999999999995E-4</v>
      </c>
      <c r="T2042" s="8" t="s">
        <v>5876</v>
      </c>
    </row>
    <row r="2043" spans="1:20" x14ac:dyDescent="0.2">
      <c r="A2043" t="s">
        <v>5878</v>
      </c>
      <c r="B2043" t="s">
        <v>2022</v>
      </c>
      <c r="C2043" t="s">
        <v>2036</v>
      </c>
      <c r="D2043" t="s">
        <v>2024</v>
      </c>
      <c r="E2043" t="s">
        <v>5879</v>
      </c>
      <c r="F2043" t="s">
        <v>5880</v>
      </c>
      <c r="G2043">
        <v>5</v>
      </c>
      <c r="H2043">
        <v>1940</v>
      </c>
      <c r="I2043">
        <v>5</v>
      </c>
      <c r="J2043">
        <v>7</v>
      </c>
      <c r="K2043">
        <v>5</v>
      </c>
      <c r="L2043">
        <v>0.17499999999999999</v>
      </c>
      <c r="M2043">
        <v>4</v>
      </c>
      <c r="N2043">
        <v>94</v>
      </c>
      <c r="O2043">
        <v>3</v>
      </c>
      <c r="P2043">
        <v>0.315</v>
      </c>
      <c r="Q2043">
        <v>5</v>
      </c>
      <c r="R2043">
        <v>1.2E-2</v>
      </c>
      <c r="T2043" s="8" t="s">
        <v>5879</v>
      </c>
    </row>
    <row r="2044" spans="1:20" x14ac:dyDescent="0.2">
      <c r="A2044" t="s">
        <v>5881</v>
      </c>
      <c r="B2044" t="s">
        <v>2022</v>
      </c>
      <c r="C2044" t="s">
        <v>2023</v>
      </c>
      <c r="D2044" t="s">
        <v>2024</v>
      </c>
      <c r="E2044" t="s">
        <v>5882</v>
      </c>
      <c r="F2044" t="s">
        <v>5883</v>
      </c>
      <c r="G2044">
        <v>3</v>
      </c>
      <c r="H2044">
        <v>1640</v>
      </c>
      <c r="I2044">
        <v>5</v>
      </c>
      <c r="J2044">
        <v>10.9</v>
      </c>
      <c r="K2044">
        <v>5</v>
      </c>
      <c r="L2044">
        <v>8.5999999999999993E-2</v>
      </c>
      <c r="M2044">
        <v>2</v>
      </c>
      <c r="N2044">
        <v>84</v>
      </c>
      <c r="O2044">
        <v>5</v>
      </c>
      <c r="P2044">
        <v>0.67500000000000004</v>
      </c>
      <c r="Q2044">
        <v>5</v>
      </c>
      <c r="R2044">
        <v>8.0000000000000002E-3</v>
      </c>
      <c r="T2044" s="8" t="s">
        <v>5882</v>
      </c>
    </row>
    <row r="2045" spans="1:20" x14ac:dyDescent="0.2">
      <c r="A2045" t="s">
        <v>5884</v>
      </c>
      <c r="B2045" t="s">
        <v>2022</v>
      </c>
      <c r="C2045" t="s">
        <v>2101</v>
      </c>
      <c r="D2045" t="s">
        <v>2024</v>
      </c>
      <c r="E2045" t="s">
        <v>5885</v>
      </c>
      <c r="F2045" t="s">
        <v>447</v>
      </c>
      <c r="G2045">
        <v>5</v>
      </c>
      <c r="H2045">
        <v>1970</v>
      </c>
      <c r="I2045">
        <v>2</v>
      </c>
      <c r="J2045">
        <v>5</v>
      </c>
      <c r="K2045">
        <v>2</v>
      </c>
      <c r="L2045">
        <v>9.6500000000000002E-2</v>
      </c>
      <c r="M2045">
        <v>4</v>
      </c>
      <c r="N2045">
        <v>90</v>
      </c>
      <c r="O2045">
        <v>2</v>
      </c>
      <c r="P2045">
        <v>0.22500000000000001</v>
      </c>
      <c r="Q2045">
        <v>2</v>
      </c>
      <c r="R2045">
        <v>4.4999999999999997E-3</v>
      </c>
      <c r="T2045" s="8" t="s">
        <v>5885</v>
      </c>
    </row>
    <row r="2046" spans="1:20" x14ac:dyDescent="0.2">
      <c r="A2046" t="s">
        <v>5886</v>
      </c>
      <c r="B2046" t="s">
        <v>2022</v>
      </c>
      <c r="C2046" t="s">
        <v>2036</v>
      </c>
      <c r="D2046" t="s">
        <v>2024</v>
      </c>
      <c r="E2046" t="s">
        <v>5887</v>
      </c>
      <c r="F2046" t="s">
        <v>5888</v>
      </c>
      <c r="G2046">
        <v>3</v>
      </c>
      <c r="H2046">
        <v>1740</v>
      </c>
      <c r="I2046">
        <v>2</v>
      </c>
      <c r="J2046">
        <v>3.4</v>
      </c>
      <c r="K2046">
        <v>2</v>
      </c>
      <c r="L2046">
        <v>8.5000000000000006E-2</v>
      </c>
      <c r="M2046">
        <v>2</v>
      </c>
      <c r="N2046">
        <v>82</v>
      </c>
      <c r="O2046">
        <v>1</v>
      </c>
      <c r="P2046">
        <v>9.5000000000000001E-2</v>
      </c>
      <c r="Q2046">
        <v>2</v>
      </c>
      <c r="R2046">
        <v>4.2500000000000003E-3</v>
      </c>
      <c r="T2046" s="8" t="s">
        <v>5887</v>
      </c>
    </row>
    <row r="2047" spans="1:20" x14ac:dyDescent="0.2">
      <c r="A2047" t="s">
        <v>5889</v>
      </c>
      <c r="B2047" t="s">
        <v>2022</v>
      </c>
      <c r="C2047" t="s">
        <v>2173</v>
      </c>
      <c r="D2047" t="s">
        <v>2024</v>
      </c>
      <c r="E2047" t="s">
        <v>5890</v>
      </c>
      <c r="F2047" t="s">
        <v>447</v>
      </c>
      <c r="G2047">
        <v>2</v>
      </c>
      <c r="H2047">
        <v>1957.5</v>
      </c>
      <c r="I2047">
        <v>2</v>
      </c>
      <c r="J2047">
        <v>6.35</v>
      </c>
      <c r="K2047">
        <v>3</v>
      </c>
      <c r="L2047">
        <v>0.21</v>
      </c>
      <c r="M2047">
        <v>1</v>
      </c>
      <c r="N2047">
        <v>96.5</v>
      </c>
      <c r="O2047">
        <v>2</v>
      </c>
      <c r="P2047">
        <v>0.33</v>
      </c>
      <c r="Q2047">
        <v>2</v>
      </c>
      <c r="R2047">
        <v>4.7999999999999996E-3</v>
      </c>
      <c r="T2047" s="8" t="s">
        <v>5890</v>
      </c>
    </row>
    <row r="2048" spans="1:20" x14ac:dyDescent="0.2">
      <c r="A2048" t="s">
        <v>5891</v>
      </c>
      <c r="B2048" t="s">
        <v>2022</v>
      </c>
      <c r="C2048" t="s">
        <v>2023</v>
      </c>
      <c r="D2048" t="s">
        <v>2024</v>
      </c>
      <c r="E2048" t="s">
        <v>5892</v>
      </c>
      <c r="F2048" t="s">
        <v>447</v>
      </c>
      <c r="G2048">
        <v>5</v>
      </c>
      <c r="H2048">
        <v>1800</v>
      </c>
      <c r="I2048">
        <v>3</v>
      </c>
      <c r="J2048">
        <v>5.9</v>
      </c>
      <c r="K2048">
        <v>5</v>
      </c>
      <c r="L2048">
        <v>8.5999999999999993E-2</v>
      </c>
      <c r="M2048">
        <v>3</v>
      </c>
      <c r="N2048">
        <v>94</v>
      </c>
      <c r="O2048">
        <v>3</v>
      </c>
      <c r="P2048">
        <v>0.375</v>
      </c>
      <c r="Q2048">
        <v>5</v>
      </c>
      <c r="R2048">
        <v>8.0000000000000002E-3</v>
      </c>
      <c r="T2048" s="8" t="s">
        <v>5892</v>
      </c>
    </row>
    <row r="2049" spans="1:20" x14ac:dyDescent="0.2">
      <c r="A2049" t="s">
        <v>5893</v>
      </c>
      <c r="B2049" t="s">
        <v>2022</v>
      </c>
      <c r="C2049" t="s">
        <v>2023</v>
      </c>
      <c r="D2049" t="s">
        <v>2024</v>
      </c>
      <c r="E2049" t="s">
        <v>5894</v>
      </c>
      <c r="F2049" t="s">
        <v>5895</v>
      </c>
      <c r="G2049">
        <v>2</v>
      </c>
      <c r="H2049">
        <v>1560</v>
      </c>
      <c r="I2049">
        <v>3</v>
      </c>
      <c r="J2049">
        <v>5.9</v>
      </c>
      <c r="K2049">
        <v>3</v>
      </c>
      <c r="L2049">
        <v>4.5999999999999999E-2</v>
      </c>
      <c r="M2049">
        <v>2</v>
      </c>
      <c r="N2049">
        <v>84</v>
      </c>
      <c r="O2049">
        <v>2</v>
      </c>
      <c r="P2049">
        <v>0.22500000000000001</v>
      </c>
      <c r="Q2049">
        <v>2</v>
      </c>
      <c r="R2049">
        <v>2E-3</v>
      </c>
      <c r="T2049" s="8" t="s">
        <v>5894</v>
      </c>
    </row>
    <row r="2050" spans="1:20" x14ac:dyDescent="0.2">
      <c r="A2050" t="s">
        <v>5896</v>
      </c>
      <c r="B2050" t="s">
        <v>2022</v>
      </c>
      <c r="C2050" t="s">
        <v>2053</v>
      </c>
      <c r="D2050" t="s">
        <v>2024</v>
      </c>
      <c r="E2050" t="s">
        <v>5897</v>
      </c>
      <c r="F2050" t="s">
        <v>5898</v>
      </c>
      <c r="G2050">
        <v>3</v>
      </c>
      <c r="H2050">
        <v>1700</v>
      </c>
      <c r="I2050">
        <v>2</v>
      </c>
      <c r="J2050">
        <v>4.05</v>
      </c>
      <c r="K2050">
        <v>2</v>
      </c>
      <c r="L2050">
        <v>8.5000000000000006E-2</v>
      </c>
      <c r="M2050">
        <v>3</v>
      </c>
      <c r="N2050">
        <v>93</v>
      </c>
      <c r="O2050">
        <v>2</v>
      </c>
      <c r="P2050">
        <v>0.22500000000000001</v>
      </c>
      <c r="Q2050">
        <v>2</v>
      </c>
      <c r="R2050">
        <v>5.1999999999999998E-3</v>
      </c>
      <c r="T2050" s="8" t="s">
        <v>5897</v>
      </c>
    </row>
    <row r="2051" spans="1:20" x14ac:dyDescent="0.2">
      <c r="A2051" t="s">
        <v>5899</v>
      </c>
      <c r="B2051" t="s">
        <v>2022</v>
      </c>
      <c r="C2051" t="s">
        <v>2053</v>
      </c>
      <c r="D2051" t="s">
        <v>2136</v>
      </c>
      <c r="E2051" t="s">
        <v>357</v>
      </c>
      <c r="F2051" t="s">
        <v>447</v>
      </c>
      <c r="G2051">
        <v>1</v>
      </c>
      <c r="H2051">
        <v>1500</v>
      </c>
      <c r="I2051">
        <v>1</v>
      </c>
      <c r="J2051">
        <v>1.55</v>
      </c>
      <c r="K2051">
        <v>1</v>
      </c>
      <c r="L2051">
        <v>1.4999999999999999E-2</v>
      </c>
      <c r="M2051">
        <v>5</v>
      </c>
      <c r="N2051">
        <v>113</v>
      </c>
      <c r="O2051">
        <v>5</v>
      </c>
      <c r="P2051">
        <v>0.67500000000000004</v>
      </c>
      <c r="Q2051">
        <v>3</v>
      </c>
      <c r="R2051">
        <v>1.2200000000000001E-2</v>
      </c>
      <c r="T2051" s="8" t="s">
        <v>357</v>
      </c>
    </row>
    <row r="2052" spans="1:20" x14ac:dyDescent="0.2">
      <c r="A2052" t="s">
        <v>5900</v>
      </c>
      <c r="B2052" t="s">
        <v>2022</v>
      </c>
      <c r="C2052" t="s">
        <v>2036</v>
      </c>
      <c r="D2052" t="s">
        <v>2024</v>
      </c>
      <c r="E2052" t="s">
        <v>5901</v>
      </c>
      <c r="F2052" t="s">
        <v>5902</v>
      </c>
      <c r="G2052">
        <v>5</v>
      </c>
      <c r="H2052">
        <v>1940</v>
      </c>
      <c r="I2052">
        <v>5</v>
      </c>
      <c r="J2052">
        <v>7</v>
      </c>
      <c r="K2052">
        <v>5</v>
      </c>
      <c r="L2052">
        <v>0.17499999999999999</v>
      </c>
      <c r="M2052">
        <v>5</v>
      </c>
      <c r="N2052">
        <v>100</v>
      </c>
      <c r="O2052">
        <v>5</v>
      </c>
      <c r="P2052">
        <v>0.53500000000000003</v>
      </c>
      <c r="Q2052">
        <v>5</v>
      </c>
      <c r="R2052">
        <v>1.2E-2</v>
      </c>
      <c r="T2052" s="8" t="s">
        <v>5901</v>
      </c>
    </row>
    <row r="2053" spans="1:20" x14ac:dyDescent="0.2">
      <c r="A2053" t="s">
        <v>5903</v>
      </c>
      <c r="B2053" t="s">
        <v>2022</v>
      </c>
      <c r="C2053" t="s">
        <v>2023</v>
      </c>
      <c r="D2053" t="s">
        <v>2024</v>
      </c>
      <c r="E2053" t="s">
        <v>5904</v>
      </c>
      <c r="F2053" t="s">
        <v>5905</v>
      </c>
      <c r="G2053">
        <v>3</v>
      </c>
      <c r="H2053">
        <v>1640</v>
      </c>
      <c r="I2053">
        <v>5</v>
      </c>
      <c r="J2053">
        <v>10.9</v>
      </c>
      <c r="K2053">
        <v>5</v>
      </c>
      <c r="L2053">
        <v>8.5999999999999993E-2</v>
      </c>
      <c r="M2053">
        <v>2</v>
      </c>
      <c r="N2053">
        <v>84</v>
      </c>
      <c r="O2053">
        <v>5</v>
      </c>
      <c r="P2053">
        <v>0.67500000000000004</v>
      </c>
      <c r="Q2053">
        <v>5</v>
      </c>
      <c r="R2053">
        <v>8.0000000000000002E-3</v>
      </c>
      <c r="T2053" s="8" t="s">
        <v>5904</v>
      </c>
    </row>
    <row r="2054" spans="1:20" x14ac:dyDescent="0.2">
      <c r="A2054" t="s">
        <v>5906</v>
      </c>
      <c r="B2054" t="s">
        <v>2022</v>
      </c>
      <c r="C2054" t="s">
        <v>2036</v>
      </c>
      <c r="D2054" t="s">
        <v>2024</v>
      </c>
      <c r="E2054" t="s">
        <v>5907</v>
      </c>
      <c r="F2054" t="s">
        <v>5908</v>
      </c>
      <c r="G2054">
        <v>1</v>
      </c>
      <c r="H2054">
        <v>1540</v>
      </c>
      <c r="I2054">
        <v>1</v>
      </c>
      <c r="J2054">
        <v>2.2000000000000002</v>
      </c>
      <c r="K2054">
        <v>1</v>
      </c>
      <c r="L2054">
        <v>5.5E-2</v>
      </c>
      <c r="M2054">
        <v>1</v>
      </c>
      <c r="N2054">
        <v>76</v>
      </c>
      <c r="O2054">
        <v>1</v>
      </c>
      <c r="P2054">
        <v>9.5000000000000001E-2</v>
      </c>
      <c r="Q2054">
        <v>1</v>
      </c>
      <c r="R2054">
        <v>1.5E-3</v>
      </c>
      <c r="T2054" s="8" t="s">
        <v>5907</v>
      </c>
    </row>
    <row r="2055" spans="1:20" x14ac:dyDescent="0.2">
      <c r="A2055" t="s">
        <v>5909</v>
      </c>
      <c r="B2055" t="s">
        <v>2022</v>
      </c>
      <c r="C2055" t="s">
        <v>2023</v>
      </c>
      <c r="D2055" t="s">
        <v>2154</v>
      </c>
      <c r="E2055" t="s">
        <v>5910</v>
      </c>
      <c r="F2055" t="s">
        <v>5911</v>
      </c>
      <c r="G2055">
        <v>5</v>
      </c>
      <c r="H2055">
        <v>1800</v>
      </c>
      <c r="I2055">
        <v>3</v>
      </c>
      <c r="J2055">
        <v>5.9</v>
      </c>
      <c r="K2055">
        <v>2</v>
      </c>
      <c r="L2055">
        <v>2.5999999999999999E-2</v>
      </c>
      <c r="M2055">
        <v>2</v>
      </c>
      <c r="N2055">
        <v>84</v>
      </c>
      <c r="O2055">
        <v>2</v>
      </c>
      <c r="P2055">
        <v>0.22500000000000001</v>
      </c>
      <c r="Q2055">
        <v>1</v>
      </c>
      <c r="R2055">
        <v>5.0000000000000001E-4</v>
      </c>
      <c r="T2055" s="8" t="s">
        <v>5910</v>
      </c>
    </row>
    <row r="2056" spans="1:20" x14ac:dyDescent="0.2">
      <c r="A2056" t="s">
        <v>5912</v>
      </c>
      <c r="B2056" t="s">
        <v>2022</v>
      </c>
      <c r="C2056" t="s">
        <v>2222</v>
      </c>
      <c r="D2056" t="s">
        <v>2024</v>
      </c>
      <c r="E2056" t="s">
        <v>5913</v>
      </c>
      <c r="F2056" t="s">
        <v>5914</v>
      </c>
      <c r="G2056">
        <v>2</v>
      </c>
      <c r="H2056">
        <v>1550</v>
      </c>
      <c r="I2056">
        <v>4</v>
      </c>
      <c r="J2056">
        <v>7.1</v>
      </c>
      <c r="K2056">
        <v>4</v>
      </c>
      <c r="L2056">
        <v>0.19500000000000001</v>
      </c>
      <c r="M2056">
        <v>3</v>
      </c>
      <c r="N2056">
        <v>67</v>
      </c>
      <c r="O2056">
        <v>4</v>
      </c>
      <c r="P2056">
        <v>0.31</v>
      </c>
      <c r="Q2056">
        <v>4</v>
      </c>
      <c r="R2056">
        <v>8.3000000000000001E-3</v>
      </c>
      <c r="T2056" s="8" t="s">
        <v>5913</v>
      </c>
    </row>
    <row r="2057" spans="1:20" x14ac:dyDescent="0.2">
      <c r="A2057" t="s">
        <v>5915</v>
      </c>
      <c r="B2057" t="s">
        <v>2022</v>
      </c>
      <c r="C2057" t="s">
        <v>2023</v>
      </c>
      <c r="D2057" t="s">
        <v>2024</v>
      </c>
      <c r="E2057" t="s">
        <v>5916</v>
      </c>
      <c r="F2057" t="s">
        <v>447</v>
      </c>
      <c r="G2057">
        <v>3</v>
      </c>
      <c r="H2057">
        <v>1640</v>
      </c>
      <c r="I2057">
        <v>3</v>
      </c>
      <c r="J2057">
        <v>5.9</v>
      </c>
      <c r="K2057">
        <v>5</v>
      </c>
      <c r="L2057">
        <v>8.5999999999999993E-2</v>
      </c>
      <c r="M2057">
        <v>2</v>
      </c>
      <c r="N2057">
        <v>84</v>
      </c>
      <c r="O2057">
        <v>3</v>
      </c>
      <c r="P2057">
        <v>0.375</v>
      </c>
      <c r="Q2057">
        <v>4</v>
      </c>
      <c r="R2057">
        <v>6.0000000000000001E-3</v>
      </c>
      <c r="T2057" s="8" t="s">
        <v>5916</v>
      </c>
    </row>
    <row r="2058" spans="1:20" x14ac:dyDescent="0.2">
      <c r="A2058" t="s">
        <v>5917</v>
      </c>
      <c r="B2058" t="s">
        <v>2022</v>
      </c>
      <c r="C2058" t="s">
        <v>2023</v>
      </c>
      <c r="D2058" t="s">
        <v>2024</v>
      </c>
      <c r="E2058" t="s">
        <v>5918</v>
      </c>
      <c r="F2058" t="s">
        <v>5919</v>
      </c>
      <c r="G2058">
        <v>3</v>
      </c>
      <c r="H2058">
        <v>1640</v>
      </c>
      <c r="I2058">
        <v>1</v>
      </c>
      <c r="J2058">
        <v>0.9</v>
      </c>
      <c r="K2058">
        <v>1</v>
      </c>
      <c r="L2058">
        <v>6.0000000000000001E-3</v>
      </c>
      <c r="M2058">
        <v>1</v>
      </c>
      <c r="N2058">
        <v>74</v>
      </c>
      <c r="O2058">
        <v>1</v>
      </c>
      <c r="P2058">
        <v>7.4999999999999997E-2</v>
      </c>
      <c r="Q2058">
        <v>1</v>
      </c>
      <c r="R2058">
        <v>5.0000000000000001E-4</v>
      </c>
      <c r="T2058" s="8" t="s">
        <v>5918</v>
      </c>
    </row>
    <row r="2059" spans="1:20" x14ac:dyDescent="0.2">
      <c r="A2059" t="s">
        <v>5920</v>
      </c>
      <c r="B2059" t="s">
        <v>2022</v>
      </c>
      <c r="C2059" t="s">
        <v>2023</v>
      </c>
      <c r="D2059" t="s">
        <v>2024</v>
      </c>
      <c r="E2059" t="s">
        <v>5921</v>
      </c>
      <c r="F2059" t="s">
        <v>5922</v>
      </c>
      <c r="G2059">
        <v>4</v>
      </c>
      <c r="H2059">
        <v>1720</v>
      </c>
      <c r="I2059">
        <v>2</v>
      </c>
      <c r="J2059">
        <v>3.4</v>
      </c>
      <c r="K2059">
        <v>2</v>
      </c>
      <c r="L2059">
        <v>2.5999999999999999E-2</v>
      </c>
      <c r="M2059">
        <v>2</v>
      </c>
      <c r="N2059">
        <v>84</v>
      </c>
      <c r="O2059">
        <v>2</v>
      </c>
      <c r="P2059">
        <v>0.22500000000000001</v>
      </c>
      <c r="Q2059">
        <v>1</v>
      </c>
      <c r="R2059">
        <v>5.0000000000000001E-4</v>
      </c>
      <c r="T2059" s="8" t="s">
        <v>5921</v>
      </c>
    </row>
    <row r="2060" spans="1:20" x14ac:dyDescent="0.2">
      <c r="A2060" t="s">
        <v>5923</v>
      </c>
      <c r="B2060" t="s">
        <v>2022</v>
      </c>
      <c r="C2060" t="s">
        <v>2053</v>
      </c>
      <c r="D2060" t="s">
        <v>2024</v>
      </c>
      <c r="E2060" t="s">
        <v>357</v>
      </c>
      <c r="F2060" t="s">
        <v>447</v>
      </c>
      <c r="G2060">
        <v>2</v>
      </c>
      <c r="H2060">
        <v>1600</v>
      </c>
      <c r="I2060">
        <v>1</v>
      </c>
      <c r="J2060">
        <v>1.55</v>
      </c>
      <c r="K2060">
        <v>2</v>
      </c>
      <c r="L2060">
        <v>8.5000000000000006E-2</v>
      </c>
      <c r="M2060">
        <v>2</v>
      </c>
      <c r="N2060">
        <v>83</v>
      </c>
      <c r="O2060">
        <v>1</v>
      </c>
      <c r="P2060">
        <v>7.4999999999999997E-2</v>
      </c>
      <c r="Q2060">
        <v>2</v>
      </c>
      <c r="R2060">
        <v>5.1999999999999998E-3</v>
      </c>
      <c r="T2060" s="8" t="s">
        <v>357</v>
      </c>
    </row>
    <row r="2061" spans="1:20" x14ac:dyDescent="0.2">
      <c r="A2061" t="s">
        <v>5924</v>
      </c>
      <c r="B2061" t="s">
        <v>2022</v>
      </c>
      <c r="C2061" t="s">
        <v>2053</v>
      </c>
      <c r="D2061" t="s">
        <v>2154</v>
      </c>
      <c r="E2061" t="s">
        <v>5925</v>
      </c>
      <c r="F2061" t="s">
        <v>5926</v>
      </c>
      <c r="G2061">
        <v>2</v>
      </c>
      <c r="H2061">
        <v>1600</v>
      </c>
      <c r="I2061">
        <v>5</v>
      </c>
      <c r="J2061">
        <v>11.55</v>
      </c>
      <c r="K2061">
        <v>5</v>
      </c>
      <c r="L2061">
        <v>0.41499999999999998</v>
      </c>
      <c r="M2061">
        <v>3</v>
      </c>
      <c r="N2061">
        <v>93</v>
      </c>
      <c r="O2061">
        <v>5</v>
      </c>
      <c r="P2061">
        <v>0.67500000000000004</v>
      </c>
      <c r="Q2061">
        <v>4</v>
      </c>
      <c r="R2061">
        <v>1.9199999999999998E-2</v>
      </c>
      <c r="T2061" s="8" t="s">
        <v>5925</v>
      </c>
    </row>
    <row r="2062" spans="1:20" x14ac:dyDescent="0.2">
      <c r="A2062" t="s">
        <v>5927</v>
      </c>
      <c r="B2062" t="s">
        <v>2022</v>
      </c>
      <c r="C2062" t="s">
        <v>2053</v>
      </c>
      <c r="D2062" t="s">
        <v>2024</v>
      </c>
      <c r="E2062" t="s">
        <v>5928</v>
      </c>
      <c r="F2062" t="s">
        <v>5929</v>
      </c>
      <c r="G2062">
        <v>2</v>
      </c>
      <c r="H2062">
        <v>1600</v>
      </c>
      <c r="I2062">
        <v>3</v>
      </c>
      <c r="J2062">
        <v>6.55</v>
      </c>
      <c r="K2062">
        <v>2</v>
      </c>
      <c r="L2062">
        <v>8.5000000000000006E-2</v>
      </c>
      <c r="M2062">
        <v>2</v>
      </c>
      <c r="N2062">
        <v>83</v>
      </c>
      <c r="O2062">
        <v>2</v>
      </c>
      <c r="P2062">
        <v>0.22500000000000001</v>
      </c>
      <c r="Q2062">
        <v>2</v>
      </c>
      <c r="R2062">
        <v>5.1999999999999998E-3</v>
      </c>
      <c r="T2062" s="8" t="s">
        <v>5928</v>
      </c>
    </row>
    <row r="2063" spans="1:20" x14ac:dyDescent="0.2">
      <c r="A2063" t="s">
        <v>5930</v>
      </c>
      <c r="B2063" t="s">
        <v>2022</v>
      </c>
      <c r="C2063" t="s">
        <v>2036</v>
      </c>
      <c r="D2063" t="s">
        <v>2024</v>
      </c>
      <c r="E2063" t="s">
        <v>357</v>
      </c>
      <c r="F2063" t="s">
        <v>5931</v>
      </c>
      <c r="G2063">
        <v>2</v>
      </c>
      <c r="H2063">
        <v>1640</v>
      </c>
      <c r="I2063">
        <v>3</v>
      </c>
      <c r="J2063">
        <v>4.5999999999999996</v>
      </c>
      <c r="K2063">
        <v>3</v>
      </c>
      <c r="L2063">
        <v>0.115</v>
      </c>
      <c r="M2063">
        <v>3</v>
      </c>
      <c r="N2063">
        <v>88</v>
      </c>
      <c r="O2063">
        <v>3</v>
      </c>
      <c r="P2063">
        <v>0.315</v>
      </c>
      <c r="Q2063">
        <v>3</v>
      </c>
      <c r="R2063">
        <v>6.7499999999999999E-3</v>
      </c>
      <c r="T2063" s="8" t="s">
        <v>357</v>
      </c>
    </row>
    <row r="2064" spans="1:20" x14ac:dyDescent="0.2">
      <c r="A2064" t="s">
        <v>5932</v>
      </c>
      <c r="B2064" t="s">
        <v>2022</v>
      </c>
      <c r="C2064" t="s">
        <v>2023</v>
      </c>
      <c r="D2064" t="s">
        <v>2024</v>
      </c>
      <c r="E2064" t="s">
        <v>5933</v>
      </c>
      <c r="F2064" t="s">
        <v>5934</v>
      </c>
      <c r="G2064">
        <v>3</v>
      </c>
      <c r="H2064">
        <v>1640</v>
      </c>
      <c r="I2064">
        <v>1</v>
      </c>
      <c r="J2064">
        <v>0.9</v>
      </c>
      <c r="K2064">
        <v>1</v>
      </c>
      <c r="L2064">
        <v>6.0000000000000001E-3</v>
      </c>
      <c r="M2064">
        <v>3</v>
      </c>
      <c r="N2064">
        <v>94</v>
      </c>
      <c r="O2064">
        <v>1</v>
      </c>
      <c r="P2064">
        <v>7.4999999999999997E-2</v>
      </c>
      <c r="Q2064">
        <v>1</v>
      </c>
      <c r="R2064">
        <v>5.0000000000000001E-4</v>
      </c>
      <c r="T2064" s="8" t="s">
        <v>5933</v>
      </c>
    </row>
    <row r="2065" spans="1:20" x14ac:dyDescent="0.2">
      <c r="A2065" t="s">
        <v>5935</v>
      </c>
      <c r="B2065" t="s">
        <v>2022</v>
      </c>
      <c r="C2065" t="s">
        <v>2053</v>
      </c>
      <c r="D2065" t="s">
        <v>2154</v>
      </c>
      <c r="E2065" t="s">
        <v>5936</v>
      </c>
      <c r="F2065" t="s">
        <v>5937</v>
      </c>
      <c r="G2065">
        <v>1</v>
      </c>
      <c r="H2065">
        <v>1500</v>
      </c>
      <c r="I2065">
        <v>2</v>
      </c>
      <c r="J2065">
        <v>4.05</v>
      </c>
      <c r="K2065">
        <v>2</v>
      </c>
      <c r="L2065">
        <v>8.5000000000000006E-2</v>
      </c>
      <c r="M2065">
        <v>4</v>
      </c>
      <c r="N2065">
        <v>103</v>
      </c>
      <c r="O2065">
        <v>3</v>
      </c>
      <c r="P2065">
        <v>0.375</v>
      </c>
      <c r="Q2065">
        <v>3</v>
      </c>
      <c r="R2065">
        <v>1.2200000000000001E-2</v>
      </c>
      <c r="T2065" s="8" t="s">
        <v>5936</v>
      </c>
    </row>
    <row r="2066" spans="1:20" x14ac:dyDescent="0.2">
      <c r="A2066" t="s">
        <v>5938</v>
      </c>
      <c r="B2066" t="s">
        <v>2022</v>
      </c>
      <c r="C2066" t="s">
        <v>2023</v>
      </c>
      <c r="D2066" t="s">
        <v>2024</v>
      </c>
      <c r="E2066" t="s">
        <v>5939</v>
      </c>
      <c r="F2066" t="s">
        <v>5940</v>
      </c>
      <c r="G2066">
        <v>1</v>
      </c>
      <c r="H2066">
        <v>1480</v>
      </c>
      <c r="I2066">
        <v>3</v>
      </c>
      <c r="J2066">
        <v>5.9</v>
      </c>
      <c r="K2066">
        <v>2</v>
      </c>
      <c r="L2066">
        <v>2.5999999999999999E-2</v>
      </c>
      <c r="M2066">
        <v>1</v>
      </c>
      <c r="N2066">
        <v>74</v>
      </c>
      <c r="O2066">
        <v>2</v>
      </c>
      <c r="P2066">
        <v>0.22500000000000001</v>
      </c>
      <c r="Q2066">
        <v>2</v>
      </c>
      <c r="R2066">
        <v>2E-3</v>
      </c>
      <c r="T2066" s="8" t="s">
        <v>5939</v>
      </c>
    </row>
    <row r="2067" spans="1:20" x14ac:dyDescent="0.2">
      <c r="A2067" t="s">
        <v>5941</v>
      </c>
      <c r="B2067" t="s">
        <v>2022</v>
      </c>
      <c r="C2067" t="s">
        <v>2053</v>
      </c>
      <c r="D2067" t="s">
        <v>2024</v>
      </c>
      <c r="E2067" t="s">
        <v>5942</v>
      </c>
      <c r="F2067" t="s">
        <v>5943</v>
      </c>
      <c r="G2067">
        <v>1</v>
      </c>
      <c r="H2067">
        <v>1500</v>
      </c>
      <c r="I2067">
        <v>5</v>
      </c>
      <c r="J2067">
        <v>11.55</v>
      </c>
      <c r="K2067">
        <v>3</v>
      </c>
      <c r="L2067">
        <v>0.19500000000000001</v>
      </c>
      <c r="M2067">
        <v>1</v>
      </c>
      <c r="N2067">
        <v>73</v>
      </c>
      <c r="O2067">
        <v>4</v>
      </c>
      <c r="P2067">
        <v>0.52500000000000002</v>
      </c>
      <c r="Q2067">
        <v>3</v>
      </c>
      <c r="R2067">
        <v>1.2200000000000001E-2</v>
      </c>
      <c r="T2067" s="8" t="s">
        <v>5942</v>
      </c>
    </row>
    <row r="2068" spans="1:20" x14ac:dyDescent="0.2">
      <c r="A2068" t="s">
        <v>5944</v>
      </c>
      <c r="B2068" t="s">
        <v>2022</v>
      </c>
      <c r="C2068" t="s">
        <v>2023</v>
      </c>
      <c r="D2068" t="s">
        <v>2024</v>
      </c>
      <c r="E2068" t="s">
        <v>5945</v>
      </c>
      <c r="F2068" t="s">
        <v>5946</v>
      </c>
      <c r="G2068">
        <v>4</v>
      </c>
      <c r="H2068">
        <v>1720</v>
      </c>
      <c r="I2068">
        <v>1</v>
      </c>
      <c r="J2068">
        <v>0.9</v>
      </c>
      <c r="K2068">
        <v>1</v>
      </c>
      <c r="L2068">
        <v>6.0000000000000001E-3</v>
      </c>
      <c r="M2068">
        <v>3</v>
      </c>
      <c r="N2068">
        <v>94</v>
      </c>
      <c r="O2068">
        <v>1</v>
      </c>
      <c r="P2068">
        <v>7.4999999999999997E-2</v>
      </c>
      <c r="Q2068">
        <v>1</v>
      </c>
      <c r="R2068">
        <v>5.0000000000000001E-4</v>
      </c>
      <c r="T2068" s="8" t="s">
        <v>5945</v>
      </c>
    </row>
    <row r="2069" spans="1:20" x14ac:dyDescent="0.2">
      <c r="A2069" t="s">
        <v>5947</v>
      </c>
      <c r="B2069" t="s">
        <v>2022</v>
      </c>
      <c r="C2069" t="s">
        <v>2023</v>
      </c>
      <c r="D2069" t="s">
        <v>2024</v>
      </c>
      <c r="E2069" t="s">
        <v>5948</v>
      </c>
      <c r="F2069" t="s">
        <v>5949</v>
      </c>
      <c r="G2069">
        <v>4</v>
      </c>
      <c r="H2069">
        <v>1720</v>
      </c>
      <c r="I2069">
        <v>2</v>
      </c>
      <c r="J2069">
        <v>3.4</v>
      </c>
      <c r="K2069">
        <v>2</v>
      </c>
      <c r="L2069">
        <v>2.5999999999999999E-2</v>
      </c>
      <c r="M2069">
        <v>3</v>
      </c>
      <c r="N2069">
        <v>94</v>
      </c>
      <c r="O2069">
        <v>2</v>
      </c>
      <c r="P2069">
        <v>0.22500000000000001</v>
      </c>
      <c r="Q2069">
        <v>2</v>
      </c>
      <c r="R2069">
        <v>2E-3</v>
      </c>
      <c r="T2069" s="8" t="s">
        <v>5948</v>
      </c>
    </row>
    <row r="2070" spans="1:20" x14ac:dyDescent="0.2">
      <c r="A2070" t="s">
        <v>5950</v>
      </c>
      <c r="B2070" t="s">
        <v>2022</v>
      </c>
      <c r="C2070" t="s">
        <v>2053</v>
      </c>
      <c r="D2070" t="s">
        <v>2024</v>
      </c>
      <c r="E2070" t="s">
        <v>5951</v>
      </c>
      <c r="F2070" t="s">
        <v>5952</v>
      </c>
      <c r="G2070">
        <v>2</v>
      </c>
      <c r="H2070">
        <v>1600</v>
      </c>
      <c r="I2070">
        <v>2</v>
      </c>
      <c r="J2070">
        <v>4.05</v>
      </c>
      <c r="K2070">
        <v>3</v>
      </c>
      <c r="L2070">
        <v>0.19500000000000001</v>
      </c>
      <c r="M2070">
        <v>3</v>
      </c>
      <c r="N2070">
        <v>93</v>
      </c>
      <c r="O2070">
        <v>2</v>
      </c>
      <c r="P2070">
        <v>0.22500000000000001</v>
      </c>
      <c r="Q2070">
        <v>2</v>
      </c>
      <c r="R2070">
        <v>5.1999999999999998E-3</v>
      </c>
      <c r="T2070" s="8" t="s">
        <v>5951</v>
      </c>
    </row>
    <row r="2071" spans="1:20" x14ac:dyDescent="0.2">
      <c r="A2071" t="s">
        <v>5953</v>
      </c>
      <c r="B2071" t="s">
        <v>2022</v>
      </c>
      <c r="C2071" t="s">
        <v>2222</v>
      </c>
      <c r="D2071" t="s">
        <v>2024</v>
      </c>
      <c r="E2071" t="s">
        <v>5954</v>
      </c>
      <c r="F2071" t="s">
        <v>447</v>
      </c>
      <c r="G2071">
        <v>5</v>
      </c>
      <c r="H2071">
        <v>1850</v>
      </c>
      <c r="I2071">
        <v>5</v>
      </c>
      <c r="J2071">
        <v>8.6999999999999993</v>
      </c>
      <c r="K2071">
        <v>2</v>
      </c>
      <c r="L2071">
        <v>5.5E-2</v>
      </c>
      <c r="M2071">
        <v>1</v>
      </c>
      <c r="N2071">
        <v>59</v>
      </c>
      <c r="O2071">
        <v>4</v>
      </c>
      <c r="P2071">
        <v>0.31</v>
      </c>
      <c r="Q2071">
        <v>2</v>
      </c>
      <c r="R2071">
        <v>2.3E-3</v>
      </c>
      <c r="T2071" s="8" t="s">
        <v>5954</v>
      </c>
    </row>
    <row r="2072" spans="1:20" x14ac:dyDescent="0.2">
      <c r="A2072" t="s">
        <v>5955</v>
      </c>
      <c r="B2072" t="s">
        <v>2022</v>
      </c>
      <c r="C2072" t="s">
        <v>2023</v>
      </c>
      <c r="D2072" t="s">
        <v>2024</v>
      </c>
      <c r="E2072" t="s">
        <v>5956</v>
      </c>
      <c r="F2072" t="s">
        <v>5957</v>
      </c>
      <c r="G2072">
        <v>2</v>
      </c>
      <c r="H2072">
        <v>1560</v>
      </c>
      <c r="I2072">
        <v>2</v>
      </c>
      <c r="J2072">
        <v>3.4</v>
      </c>
      <c r="K2072">
        <v>2</v>
      </c>
      <c r="L2072">
        <v>2.5999999999999999E-2</v>
      </c>
      <c r="M2072">
        <v>1</v>
      </c>
      <c r="N2072">
        <v>74</v>
      </c>
      <c r="O2072">
        <v>1</v>
      </c>
      <c r="P2072">
        <v>7.4999999999999997E-2</v>
      </c>
      <c r="Q2072">
        <v>1</v>
      </c>
      <c r="R2072">
        <v>5.0000000000000001E-4</v>
      </c>
      <c r="T2072" s="8" t="s">
        <v>5956</v>
      </c>
    </row>
    <row r="2073" spans="1:20" x14ac:dyDescent="0.2">
      <c r="A2073" t="s">
        <v>5958</v>
      </c>
      <c r="B2073" t="s">
        <v>2022</v>
      </c>
      <c r="C2073" t="s">
        <v>2036</v>
      </c>
      <c r="D2073" t="s">
        <v>2024</v>
      </c>
      <c r="E2073" t="s">
        <v>5959</v>
      </c>
      <c r="F2073" t="s">
        <v>5960</v>
      </c>
      <c r="G2073">
        <v>5</v>
      </c>
      <c r="H2073">
        <v>1940</v>
      </c>
      <c r="I2073">
        <v>1</v>
      </c>
      <c r="J2073">
        <v>2.2000000000000002</v>
      </c>
      <c r="K2073">
        <v>2</v>
      </c>
      <c r="L2073">
        <v>8.5000000000000006E-2</v>
      </c>
      <c r="M2073">
        <v>2</v>
      </c>
      <c r="N2073">
        <v>82</v>
      </c>
      <c r="O2073">
        <v>1</v>
      </c>
      <c r="P2073">
        <v>9.5000000000000001E-2</v>
      </c>
      <c r="Q2073">
        <v>2</v>
      </c>
      <c r="R2073">
        <v>4.2500000000000003E-3</v>
      </c>
      <c r="T2073" s="8" t="s">
        <v>5959</v>
      </c>
    </row>
    <row r="2074" spans="1:20" x14ac:dyDescent="0.2">
      <c r="A2074" t="s">
        <v>5961</v>
      </c>
      <c r="B2074" t="s">
        <v>2022</v>
      </c>
      <c r="C2074" t="s">
        <v>2049</v>
      </c>
      <c r="D2074" t="s">
        <v>2024</v>
      </c>
      <c r="E2074" t="s">
        <v>5962</v>
      </c>
      <c r="F2074" t="s">
        <v>5963</v>
      </c>
      <c r="G2074">
        <v>2</v>
      </c>
      <c r="H2074">
        <v>1450</v>
      </c>
      <c r="I2074">
        <v>2</v>
      </c>
      <c r="J2074">
        <v>3.2</v>
      </c>
      <c r="K2074">
        <v>2</v>
      </c>
      <c r="L2074">
        <v>0.06</v>
      </c>
      <c r="M2074">
        <v>4</v>
      </c>
      <c r="N2074">
        <v>146</v>
      </c>
      <c r="O2074">
        <v>2</v>
      </c>
      <c r="P2074">
        <v>0.26</v>
      </c>
      <c r="Q2074">
        <v>2</v>
      </c>
      <c r="R2074">
        <v>6.1999999999999998E-3</v>
      </c>
      <c r="T2074" s="8" t="s">
        <v>5962</v>
      </c>
    </row>
    <row r="2075" spans="1:20" x14ac:dyDescent="0.2">
      <c r="A2075" t="s">
        <v>5964</v>
      </c>
      <c r="B2075" t="s">
        <v>2022</v>
      </c>
      <c r="C2075" t="s">
        <v>2053</v>
      </c>
      <c r="D2075" t="s">
        <v>2024</v>
      </c>
      <c r="E2075" t="s">
        <v>5965</v>
      </c>
      <c r="F2075" t="s">
        <v>5966</v>
      </c>
      <c r="G2075">
        <v>4</v>
      </c>
      <c r="H2075">
        <v>1800</v>
      </c>
      <c r="I2075">
        <v>5</v>
      </c>
      <c r="J2075">
        <v>11.55</v>
      </c>
      <c r="K2075">
        <v>3</v>
      </c>
      <c r="L2075">
        <v>0.19500000000000001</v>
      </c>
      <c r="M2075">
        <v>2</v>
      </c>
      <c r="N2075">
        <v>83</v>
      </c>
      <c r="O2075">
        <v>4</v>
      </c>
      <c r="P2075">
        <v>0.52500000000000002</v>
      </c>
      <c r="Q2075">
        <v>3</v>
      </c>
      <c r="R2075">
        <v>1.2200000000000001E-2</v>
      </c>
      <c r="T2075" s="8" t="s">
        <v>5965</v>
      </c>
    </row>
    <row r="2076" spans="1:20" x14ac:dyDescent="0.2">
      <c r="A2076" t="s">
        <v>5967</v>
      </c>
      <c r="B2076" t="s">
        <v>2022</v>
      </c>
      <c r="C2076" t="s">
        <v>2023</v>
      </c>
      <c r="D2076" t="s">
        <v>2024</v>
      </c>
      <c r="E2076" t="s">
        <v>5968</v>
      </c>
      <c r="F2076" t="s">
        <v>5969</v>
      </c>
      <c r="G2076">
        <v>1</v>
      </c>
      <c r="H2076">
        <v>1480</v>
      </c>
      <c r="I2076">
        <v>1</v>
      </c>
      <c r="J2076">
        <v>0.9</v>
      </c>
      <c r="K2076">
        <v>1</v>
      </c>
      <c r="L2076">
        <v>6.0000000000000001E-3</v>
      </c>
      <c r="M2076">
        <v>1</v>
      </c>
      <c r="N2076">
        <v>74</v>
      </c>
      <c r="O2076">
        <v>1</v>
      </c>
      <c r="P2076">
        <v>7.4999999999999997E-2</v>
      </c>
      <c r="Q2076">
        <v>1</v>
      </c>
      <c r="R2076">
        <v>5.0000000000000001E-4</v>
      </c>
      <c r="T2076" s="8" t="s">
        <v>5968</v>
      </c>
    </row>
    <row r="2077" spans="1:20" x14ac:dyDescent="0.2">
      <c r="A2077" t="s">
        <v>5970</v>
      </c>
      <c r="B2077" t="s">
        <v>2022</v>
      </c>
      <c r="C2077" t="s">
        <v>2036</v>
      </c>
      <c r="D2077" t="s">
        <v>2024</v>
      </c>
      <c r="E2077" t="s">
        <v>5971</v>
      </c>
      <c r="F2077" t="s">
        <v>447</v>
      </c>
      <c r="G2077">
        <v>3</v>
      </c>
      <c r="H2077">
        <v>1740</v>
      </c>
      <c r="I2077">
        <v>3</v>
      </c>
      <c r="J2077">
        <v>4.5999999999999996</v>
      </c>
      <c r="K2077">
        <v>1</v>
      </c>
      <c r="L2077">
        <v>5.5E-2</v>
      </c>
      <c r="M2077">
        <v>3</v>
      </c>
      <c r="N2077">
        <v>88</v>
      </c>
      <c r="O2077">
        <v>2</v>
      </c>
      <c r="P2077">
        <v>0.20499999999999999</v>
      </c>
      <c r="Q2077">
        <v>1</v>
      </c>
      <c r="R2077">
        <v>1.5E-3</v>
      </c>
      <c r="T2077" s="8" t="s">
        <v>5971</v>
      </c>
    </row>
    <row r="2078" spans="1:20" x14ac:dyDescent="0.2">
      <c r="A2078" t="s">
        <v>5972</v>
      </c>
      <c r="B2078" t="s">
        <v>2022</v>
      </c>
      <c r="C2078" t="s">
        <v>2023</v>
      </c>
      <c r="D2078" t="s">
        <v>2024</v>
      </c>
      <c r="E2078" t="s">
        <v>5973</v>
      </c>
      <c r="F2078" t="s">
        <v>5974</v>
      </c>
      <c r="G2078">
        <v>1</v>
      </c>
      <c r="H2078">
        <v>1480</v>
      </c>
      <c r="I2078">
        <v>2</v>
      </c>
      <c r="J2078">
        <v>3.4</v>
      </c>
      <c r="K2078">
        <v>5</v>
      </c>
      <c r="L2078">
        <v>8.5999999999999993E-2</v>
      </c>
      <c r="M2078">
        <v>3</v>
      </c>
      <c r="N2078">
        <v>94</v>
      </c>
      <c r="O2078">
        <v>2</v>
      </c>
      <c r="P2078">
        <v>0.22500000000000001</v>
      </c>
      <c r="Q2078">
        <v>4</v>
      </c>
      <c r="R2078">
        <v>6.0000000000000001E-3</v>
      </c>
      <c r="T2078" s="8" t="s">
        <v>5973</v>
      </c>
    </row>
    <row r="2079" spans="1:20" x14ac:dyDescent="0.2">
      <c r="A2079" t="s">
        <v>5975</v>
      </c>
      <c r="B2079" t="s">
        <v>2022</v>
      </c>
      <c r="C2079" t="s">
        <v>2036</v>
      </c>
      <c r="D2079" t="s">
        <v>2024</v>
      </c>
      <c r="E2079" t="s">
        <v>5976</v>
      </c>
      <c r="F2079" t="s">
        <v>5977</v>
      </c>
      <c r="G2079">
        <v>3</v>
      </c>
      <c r="H2079">
        <v>1740</v>
      </c>
      <c r="I2079">
        <v>2</v>
      </c>
      <c r="J2079">
        <v>3.4</v>
      </c>
      <c r="K2079">
        <v>3</v>
      </c>
      <c r="L2079">
        <v>0.115</v>
      </c>
      <c r="M2079">
        <v>3</v>
      </c>
      <c r="N2079">
        <v>88</v>
      </c>
      <c r="O2079">
        <v>1</v>
      </c>
      <c r="P2079">
        <v>9.5000000000000001E-2</v>
      </c>
      <c r="Q2079">
        <v>3</v>
      </c>
      <c r="R2079">
        <v>6.7499999999999999E-3</v>
      </c>
      <c r="T2079" s="8" t="s">
        <v>5976</v>
      </c>
    </row>
    <row r="2080" spans="1:20" x14ac:dyDescent="0.2">
      <c r="A2080" t="s">
        <v>5978</v>
      </c>
      <c r="B2080" t="s">
        <v>2022</v>
      </c>
      <c r="C2080" t="s">
        <v>2095</v>
      </c>
      <c r="D2080" t="s">
        <v>2024</v>
      </c>
      <c r="E2080" t="s">
        <v>5979</v>
      </c>
      <c r="F2080" t="s">
        <v>5980</v>
      </c>
      <c r="G2080">
        <v>2</v>
      </c>
      <c r="H2080">
        <v>1655</v>
      </c>
      <c r="I2080">
        <v>5</v>
      </c>
      <c r="J2080">
        <v>16.5</v>
      </c>
      <c r="K2080">
        <v>4</v>
      </c>
      <c r="L2080">
        <v>0.53</v>
      </c>
      <c r="M2080">
        <v>1</v>
      </c>
      <c r="N2080">
        <v>74</v>
      </c>
      <c r="O2080">
        <v>4</v>
      </c>
      <c r="P2080">
        <v>0.75</v>
      </c>
      <c r="Q2080">
        <v>4</v>
      </c>
      <c r="R2080">
        <v>2.3900000000000001E-2</v>
      </c>
      <c r="T2080" s="8" t="s">
        <v>5979</v>
      </c>
    </row>
    <row r="2081" spans="1:20" x14ac:dyDescent="0.2">
      <c r="A2081" t="s">
        <v>5981</v>
      </c>
      <c r="B2081" t="s">
        <v>2022</v>
      </c>
      <c r="C2081" t="s">
        <v>2036</v>
      </c>
      <c r="D2081" t="s">
        <v>2024</v>
      </c>
      <c r="E2081" t="s">
        <v>5982</v>
      </c>
      <c r="F2081" t="s">
        <v>5983</v>
      </c>
      <c r="G2081">
        <v>3</v>
      </c>
      <c r="H2081">
        <v>1740</v>
      </c>
      <c r="I2081">
        <v>3</v>
      </c>
      <c r="J2081">
        <v>4.5999999999999996</v>
      </c>
      <c r="K2081">
        <v>2</v>
      </c>
      <c r="L2081">
        <v>8.5000000000000006E-2</v>
      </c>
      <c r="M2081">
        <v>2</v>
      </c>
      <c r="N2081">
        <v>82</v>
      </c>
      <c r="O2081">
        <v>2</v>
      </c>
      <c r="P2081">
        <v>0.20499999999999999</v>
      </c>
      <c r="Q2081">
        <v>2</v>
      </c>
      <c r="R2081">
        <v>4.2500000000000003E-3</v>
      </c>
      <c r="T2081" s="8" t="s">
        <v>5982</v>
      </c>
    </row>
    <row r="2082" spans="1:20" x14ac:dyDescent="0.2">
      <c r="A2082" t="s">
        <v>5984</v>
      </c>
      <c r="B2082" t="s">
        <v>2022</v>
      </c>
      <c r="C2082" t="s">
        <v>2053</v>
      </c>
      <c r="D2082" t="s">
        <v>2024</v>
      </c>
      <c r="E2082" t="s">
        <v>5985</v>
      </c>
      <c r="F2082" t="s">
        <v>5986</v>
      </c>
      <c r="G2082">
        <v>1</v>
      </c>
      <c r="H2082">
        <v>1500</v>
      </c>
      <c r="I2082">
        <v>1</v>
      </c>
      <c r="J2082">
        <v>1.55</v>
      </c>
      <c r="K2082">
        <v>2</v>
      </c>
      <c r="L2082">
        <v>8.5000000000000006E-2</v>
      </c>
      <c r="M2082">
        <v>2</v>
      </c>
      <c r="N2082">
        <v>83</v>
      </c>
      <c r="O2082">
        <v>1</v>
      </c>
      <c r="P2082">
        <v>7.4999999999999997E-2</v>
      </c>
      <c r="Q2082">
        <v>2</v>
      </c>
      <c r="R2082">
        <v>5.1999999999999998E-3</v>
      </c>
      <c r="T2082" s="8" t="s">
        <v>5985</v>
      </c>
    </row>
    <row r="2083" spans="1:20" x14ac:dyDescent="0.2">
      <c r="A2083" t="s">
        <v>5987</v>
      </c>
      <c r="B2083" t="s">
        <v>2022</v>
      </c>
      <c r="C2083" t="s">
        <v>2053</v>
      </c>
      <c r="D2083" t="s">
        <v>2024</v>
      </c>
      <c r="E2083" t="s">
        <v>5988</v>
      </c>
      <c r="F2083" t="s">
        <v>5989</v>
      </c>
      <c r="G2083">
        <v>2</v>
      </c>
      <c r="H2083">
        <v>1600</v>
      </c>
      <c r="I2083">
        <v>2</v>
      </c>
      <c r="J2083">
        <v>4.05</v>
      </c>
      <c r="K2083">
        <v>1</v>
      </c>
      <c r="L2083">
        <v>1.4999999999999999E-2</v>
      </c>
      <c r="M2083">
        <v>2</v>
      </c>
      <c r="N2083">
        <v>83</v>
      </c>
      <c r="O2083">
        <v>2</v>
      </c>
      <c r="P2083">
        <v>0.22500000000000001</v>
      </c>
      <c r="Q2083">
        <v>1</v>
      </c>
      <c r="R2083">
        <v>8.4999999999999995E-4</v>
      </c>
      <c r="T2083" s="8" t="s">
        <v>5988</v>
      </c>
    </row>
    <row r="2084" spans="1:20" x14ac:dyDescent="0.2">
      <c r="A2084" t="s">
        <v>5990</v>
      </c>
      <c r="B2084" t="s">
        <v>2022</v>
      </c>
      <c r="C2084" t="s">
        <v>2049</v>
      </c>
      <c r="D2084" t="s">
        <v>2136</v>
      </c>
      <c r="E2084" t="s">
        <v>337</v>
      </c>
      <c r="F2084" t="s">
        <v>447</v>
      </c>
      <c r="G2084">
        <v>3</v>
      </c>
      <c r="H2084">
        <v>1550</v>
      </c>
      <c r="I2084">
        <v>1</v>
      </c>
      <c r="J2084">
        <v>1.4</v>
      </c>
      <c r="K2084">
        <v>1</v>
      </c>
      <c r="L2084">
        <v>0.01</v>
      </c>
      <c r="M2084">
        <v>1</v>
      </c>
      <c r="N2084">
        <v>86</v>
      </c>
      <c r="O2084">
        <v>1</v>
      </c>
      <c r="P2084">
        <v>0.06</v>
      </c>
      <c r="Q2084">
        <v>1</v>
      </c>
      <c r="R2084">
        <v>8.4999999999999995E-4</v>
      </c>
      <c r="T2084" s="8" t="s">
        <v>337</v>
      </c>
    </row>
    <row r="2085" spans="1:20" x14ac:dyDescent="0.2">
      <c r="A2085" t="s">
        <v>5991</v>
      </c>
      <c r="B2085" t="s">
        <v>2022</v>
      </c>
      <c r="C2085" t="s">
        <v>2028</v>
      </c>
      <c r="D2085" t="s">
        <v>2024</v>
      </c>
      <c r="E2085" t="s">
        <v>5992</v>
      </c>
      <c r="F2085" t="s">
        <v>5993</v>
      </c>
      <c r="G2085">
        <v>2</v>
      </c>
      <c r="H2085">
        <v>850</v>
      </c>
      <c r="I2085">
        <v>4</v>
      </c>
      <c r="J2085">
        <v>4.95</v>
      </c>
      <c r="K2085">
        <v>3</v>
      </c>
      <c r="L2085">
        <v>0.11899999999999999</v>
      </c>
      <c r="M2085">
        <v>2</v>
      </c>
      <c r="N2085">
        <v>200</v>
      </c>
      <c r="O2085">
        <v>4</v>
      </c>
      <c r="P2085">
        <v>1.05</v>
      </c>
      <c r="Q2085">
        <v>5</v>
      </c>
      <c r="R2085">
        <v>3.3500000000000002E-2</v>
      </c>
      <c r="T2085" s="8" t="s">
        <v>5992</v>
      </c>
    </row>
    <row r="2086" spans="1:20" x14ac:dyDescent="0.2">
      <c r="A2086" t="s">
        <v>5994</v>
      </c>
      <c r="B2086" t="s">
        <v>2022</v>
      </c>
      <c r="C2086" t="s">
        <v>2053</v>
      </c>
      <c r="D2086" t="s">
        <v>2024</v>
      </c>
      <c r="E2086" t="s">
        <v>5995</v>
      </c>
      <c r="F2086" t="s">
        <v>5996</v>
      </c>
      <c r="G2086">
        <v>3</v>
      </c>
      <c r="H2086">
        <v>1700</v>
      </c>
      <c r="I2086">
        <v>5</v>
      </c>
      <c r="J2086">
        <v>11.55</v>
      </c>
      <c r="K2086">
        <v>4</v>
      </c>
      <c r="L2086">
        <v>0.30499999999999999</v>
      </c>
      <c r="M2086">
        <v>4</v>
      </c>
      <c r="N2086">
        <v>103</v>
      </c>
      <c r="O2086">
        <v>5</v>
      </c>
      <c r="P2086">
        <v>0.67500000000000004</v>
      </c>
      <c r="Q2086">
        <v>4</v>
      </c>
      <c r="R2086">
        <v>1.9199999999999998E-2</v>
      </c>
      <c r="T2086" s="8" t="s">
        <v>5995</v>
      </c>
    </row>
    <row r="2087" spans="1:20" x14ac:dyDescent="0.2">
      <c r="A2087" t="s">
        <v>5997</v>
      </c>
      <c r="B2087" t="s">
        <v>2022</v>
      </c>
      <c r="C2087" t="s">
        <v>2023</v>
      </c>
      <c r="D2087" t="s">
        <v>2024</v>
      </c>
      <c r="E2087" t="s">
        <v>5998</v>
      </c>
      <c r="F2087" t="s">
        <v>5999</v>
      </c>
      <c r="G2087">
        <v>2</v>
      </c>
      <c r="H2087">
        <v>1560</v>
      </c>
      <c r="I2087">
        <v>2</v>
      </c>
      <c r="J2087">
        <v>3.4</v>
      </c>
      <c r="K2087">
        <v>1</v>
      </c>
      <c r="L2087">
        <v>6.0000000000000001E-3</v>
      </c>
      <c r="M2087">
        <v>1</v>
      </c>
      <c r="N2087">
        <v>74</v>
      </c>
      <c r="O2087">
        <v>1</v>
      </c>
      <c r="P2087">
        <v>7.4999999999999997E-2</v>
      </c>
      <c r="Q2087">
        <v>1</v>
      </c>
      <c r="R2087">
        <v>5.0000000000000001E-4</v>
      </c>
      <c r="T2087" s="8" t="s">
        <v>5998</v>
      </c>
    </row>
    <row r="2088" spans="1:20" x14ac:dyDescent="0.2">
      <c r="A2088" t="s">
        <v>6000</v>
      </c>
      <c r="B2088" t="s">
        <v>2022</v>
      </c>
      <c r="C2088" t="s">
        <v>2222</v>
      </c>
      <c r="D2088" t="s">
        <v>2024</v>
      </c>
      <c r="E2088" t="s">
        <v>6001</v>
      </c>
      <c r="F2088" t="s">
        <v>6002</v>
      </c>
      <c r="G2088">
        <v>5</v>
      </c>
      <c r="H2088">
        <v>1850</v>
      </c>
      <c r="I2088">
        <v>5</v>
      </c>
      <c r="J2088">
        <v>8.6999999999999993</v>
      </c>
      <c r="K2088">
        <v>5</v>
      </c>
      <c r="L2088">
        <v>0.26500000000000001</v>
      </c>
      <c r="M2088">
        <v>5</v>
      </c>
      <c r="N2088">
        <v>75</v>
      </c>
      <c r="O2088">
        <v>5</v>
      </c>
      <c r="P2088">
        <v>0.39</v>
      </c>
      <c r="Q2088">
        <v>5</v>
      </c>
      <c r="R2088">
        <v>1.1299999999999999E-2</v>
      </c>
      <c r="T2088" s="8" t="s">
        <v>6001</v>
      </c>
    </row>
    <row r="2089" spans="1:20" x14ac:dyDescent="0.2">
      <c r="A2089" t="s">
        <v>6003</v>
      </c>
      <c r="B2089" t="s">
        <v>2022</v>
      </c>
      <c r="C2089" t="s">
        <v>2053</v>
      </c>
      <c r="D2089" t="s">
        <v>2154</v>
      </c>
      <c r="E2089" t="s">
        <v>6004</v>
      </c>
      <c r="F2089" t="s">
        <v>6005</v>
      </c>
      <c r="G2089">
        <v>4</v>
      </c>
      <c r="H2089">
        <v>1800</v>
      </c>
      <c r="I2089">
        <v>3</v>
      </c>
      <c r="J2089">
        <v>6.55</v>
      </c>
      <c r="K2089">
        <v>2</v>
      </c>
      <c r="L2089">
        <v>8.5000000000000006E-2</v>
      </c>
      <c r="M2089">
        <v>1</v>
      </c>
      <c r="N2089">
        <v>73</v>
      </c>
      <c r="O2089">
        <v>2</v>
      </c>
      <c r="P2089">
        <v>0.22500000000000001</v>
      </c>
      <c r="Q2089">
        <v>2</v>
      </c>
      <c r="R2089">
        <v>5.1999999999999998E-3</v>
      </c>
      <c r="T2089" s="8" t="s">
        <v>6004</v>
      </c>
    </row>
    <row r="2090" spans="1:20" x14ac:dyDescent="0.2">
      <c r="A2090" t="s">
        <v>6006</v>
      </c>
      <c r="B2090" t="s">
        <v>2022</v>
      </c>
      <c r="C2090" t="s">
        <v>2101</v>
      </c>
      <c r="D2090" t="s">
        <v>2024</v>
      </c>
      <c r="E2090" t="s">
        <v>6007</v>
      </c>
      <c r="F2090" t="s">
        <v>6008</v>
      </c>
      <c r="G2090">
        <v>4</v>
      </c>
      <c r="H2090">
        <v>1870</v>
      </c>
      <c r="I2090">
        <v>5</v>
      </c>
      <c r="J2090">
        <v>14</v>
      </c>
      <c r="K2090">
        <v>5</v>
      </c>
      <c r="L2090">
        <v>0.53749999999999998</v>
      </c>
      <c r="M2090">
        <v>3</v>
      </c>
      <c r="N2090">
        <v>82</v>
      </c>
      <c r="O2090">
        <v>5</v>
      </c>
      <c r="P2090">
        <v>0.67500000000000004</v>
      </c>
      <c r="Q2090">
        <v>5</v>
      </c>
      <c r="R2090">
        <v>2.5499999999999998E-2</v>
      </c>
      <c r="T2090" s="8" t="s">
        <v>6007</v>
      </c>
    </row>
    <row r="2091" spans="1:20" x14ac:dyDescent="0.2">
      <c r="A2091" t="s">
        <v>6009</v>
      </c>
      <c r="B2091" t="s">
        <v>2022</v>
      </c>
      <c r="C2091" t="s">
        <v>2173</v>
      </c>
      <c r="D2091" t="s">
        <v>2024</v>
      </c>
      <c r="E2091" t="s">
        <v>6010</v>
      </c>
      <c r="F2091" t="s">
        <v>447</v>
      </c>
      <c r="G2091">
        <v>3</v>
      </c>
      <c r="H2091">
        <v>2032.5</v>
      </c>
      <c r="I2091">
        <v>4</v>
      </c>
      <c r="J2091">
        <v>11.75</v>
      </c>
      <c r="K2091">
        <v>5</v>
      </c>
      <c r="L2091">
        <v>0.45</v>
      </c>
      <c r="M2091">
        <v>3</v>
      </c>
      <c r="N2091">
        <v>118.5</v>
      </c>
      <c r="O2091">
        <v>4</v>
      </c>
      <c r="P2091">
        <v>0.69</v>
      </c>
      <c r="Q2091">
        <v>5</v>
      </c>
      <c r="R2091">
        <v>2.58E-2</v>
      </c>
      <c r="T2091" s="8" t="s">
        <v>6010</v>
      </c>
    </row>
    <row r="2092" spans="1:20" x14ac:dyDescent="0.2">
      <c r="A2092" t="s">
        <v>6011</v>
      </c>
      <c r="B2092" t="s">
        <v>2022</v>
      </c>
      <c r="C2092" t="s">
        <v>2036</v>
      </c>
      <c r="D2092" t="s">
        <v>2024</v>
      </c>
      <c r="E2092" t="s">
        <v>6012</v>
      </c>
      <c r="F2092" t="s">
        <v>6013</v>
      </c>
      <c r="G2092">
        <v>1</v>
      </c>
      <c r="H2092">
        <v>1540</v>
      </c>
      <c r="I2092">
        <v>2</v>
      </c>
      <c r="J2092">
        <v>3.4</v>
      </c>
      <c r="K2092">
        <v>3</v>
      </c>
      <c r="L2092">
        <v>0.115</v>
      </c>
      <c r="M2092">
        <v>1</v>
      </c>
      <c r="N2092">
        <v>76</v>
      </c>
      <c r="O2092">
        <v>2</v>
      </c>
      <c r="P2092">
        <v>0.20499999999999999</v>
      </c>
      <c r="Q2092">
        <v>3</v>
      </c>
      <c r="R2092">
        <v>6.7499999999999999E-3</v>
      </c>
      <c r="T2092" s="8" t="s">
        <v>6012</v>
      </c>
    </row>
    <row r="2093" spans="1:20" x14ac:dyDescent="0.2">
      <c r="A2093" t="s">
        <v>6014</v>
      </c>
      <c r="B2093" t="s">
        <v>2022</v>
      </c>
      <c r="C2093" t="s">
        <v>2049</v>
      </c>
      <c r="D2093" t="s">
        <v>2024</v>
      </c>
      <c r="E2093" t="s">
        <v>6015</v>
      </c>
      <c r="F2093" t="s">
        <v>6016</v>
      </c>
      <c r="G2093">
        <v>4</v>
      </c>
      <c r="H2093">
        <v>1650</v>
      </c>
      <c r="I2093">
        <v>1</v>
      </c>
      <c r="J2093">
        <v>1.4</v>
      </c>
      <c r="K2093">
        <v>2</v>
      </c>
      <c r="L2093">
        <v>0.06</v>
      </c>
      <c r="M2093">
        <v>3</v>
      </c>
      <c r="N2093">
        <v>126</v>
      </c>
      <c r="O2093">
        <v>1</v>
      </c>
      <c r="P2093">
        <v>0.06</v>
      </c>
      <c r="Q2093">
        <v>2</v>
      </c>
      <c r="R2093">
        <v>6.1999999999999998E-3</v>
      </c>
      <c r="T2093" s="8" t="s">
        <v>6015</v>
      </c>
    </row>
    <row r="2094" spans="1:20" x14ac:dyDescent="0.2">
      <c r="A2094" t="s">
        <v>6017</v>
      </c>
      <c r="B2094" t="s">
        <v>2022</v>
      </c>
      <c r="C2094" t="s">
        <v>2036</v>
      </c>
      <c r="D2094" t="s">
        <v>2024</v>
      </c>
      <c r="E2094" t="s">
        <v>6018</v>
      </c>
      <c r="F2094" t="s">
        <v>6019</v>
      </c>
      <c r="G2094">
        <v>3</v>
      </c>
      <c r="H2094">
        <v>1740</v>
      </c>
      <c r="I2094">
        <v>5</v>
      </c>
      <c r="J2094">
        <v>7</v>
      </c>
      <c r="K2094">
        <v>5</v>
      </c>
      <c r="L2094">
        <v>0.17499999999999999</v>
      </c>
      <c r="M2094">
        <v>3</v>
      </c>
      <c r="N2094">
        <v>88</v>
      </c>
      <c r="O2094">
        <v>5</v>
      </c>
      <c r="P2094">
        <v>0.53500000000000003</v>
      </c>
      <c r="Q2094">
        <v>5</v>
      </c>
      <c r="R2094">
        <v>1.2E-2</v>
      </c>
      <c r="T2094" s="8" t="s">
        <v>6018</v>
      </c>
    </row>
    <row r="2095" spans="1:20" x14ac:dyDescent="0.2">
      <c r="A2095" t="s">
        <v>6020</v>
      </c>
      <c r="B2095" t="s">
        <v>2022</v>
      </c>
      <c r="C2095" t="s">
        <v>2023</v>
      </c>
      <c r="D2095" t="s">
        <v>2024</v>
      </c>
      <c r="E2095" t="s">
        <v>6021</v>
      </c>
      <c r="F2095" t="s">
        <v>447</v>
      </c>
      <c r="G2095">
        <v>5</v>
      </c>
      <c r="H2095">
        <v>1800</v>
      </c>
      <c r="I2095">
        <v>3</v>
      </c>
      <c r="J2095">
        <v>5.9</v>
      </c>
      <c r="K2095">
        <v>5</v>
      </c>
      <c r="L2095">
        <v>8.5999999999999993E-2</v>
      </c>
      <c r="M2095">
        <v>2</v>
      </c>
      <c r="N2095">
        <v>84</v>
      </c>
      <c r="O2095">
        <v>3</v>
      </c>
      <c r="P2095">
        <v>0.375</v>
      </c>
      <c r="Q2095">
        <v>4</v>
      </c>
      <c r="R2095">
        <v>6.0000000000000001E-3</v>
      </c>
      <c r="T2095" s="8" t="s">
        <v>6021</v>
      </c>
    </row>
    <row r="2096" spans="1:20" x14ac:dyDescent="0.2">
      <c r="A2096" t="s">
        <v>6022</v>
      </c>
      <c r="B2096" t="s">
        <v>2022</v>
      </c>
      <c r="C2096" t="s">
        <v>2023</v>
      </c>
      <c r="D2096" t="s">
        <v>2024</v>
      </c>
      <c r="E2096" t="s">
        <v>6023</v>
      </c>
      <c r="F2096" t="s">
        <v>6024</v>
      </c>
      <c r="G2096">
        <v>1</v>
      </c>
      <c r="H2096">
        <v>1480</v>
      </c>
      <c r="I2096">
        <v>3</v>
      </c>
      <c r="J2096">
        <v>5.9</v>
      </c>
      <c r="K2096">
        <v>5</v>
      </c>
      <c r="L2096">
        <v>8.5999999999999993E-2</v>
      </c>
      <c r="M2096">
        <v>5</v>
      </c>
      <c r="N2096">
        <v>114</v>
      </c>
      <c r="O2096">
        <v>5</v>
      </c>
      <c r="P2096">
        <v>0.67500000000000004</v>
      </c>
      <c r="Q2096">
        <v>5</v>
      </c>
      <c r="R2096">
        <v>8.0000000000000002E-3</v>
      </c>
      <c r="T2096" s="8" t="s">
        <v>6023</v>
      </c>
    </row>
    <row r="2097" spans="1:20" x14ac:dyDescent="0.2">
      <c r="A2097" t="s">
        <v>6025</v>
      </c>
      <c r="B2097" t="s">
        <v>2022</v>
      </c>
      <c r="C2097" t="s">
        <v>2053</v>
      </c>
      <c r="D2097" t="s">
        <v>2024</v>
      </c>
      <c r="E2097" t="s">
        <v>6026</v>
      </c>
      <c r="F2097" t="s">
        <v>447</v>
      </c>
      <c r="G2097">
        <v>2</v>
      </c>
      <c r="H2097">
        <v>1600</v>
      </c>
      <c r="I2097">
        <v>2</v>
      </c>
      <c r="J2097">
        <v>4.05</v>
      </c>
      <c r="K2097">
        <v>2</v>
      </c>
      <c r="L2097">
        <v>8.5000000000000006E-2</v>
      </c>
      <c r="M2097">
        <v>3</v>
      </c>
      <c r="N2097">
        <v>93</v>
      </c>
      <c r="O2097">
        <v>2</v>
      </c>
      <c r="P2097">
        <v>0.22500000000000001</v>
      </c>
      <c r="Q2097">
        <v>2</v>
      </c>
      <c r="R2097">
        <v>5.1999999999999998E-3</v>
      </c>
      <c r="T2097" s="8" t="s">
        <v>6026</v>
      </c>
    </row>
    <row r="2098" spans="1:20" x14ac:dyDescent="0.2">
      <c r="A2098" t="s">
        <v>6027</v>
      </c>
      <c r="B2098" t="s">
        <v>2022</v>
      </c>
      <c r="C2098" t="s">
        <v>2023</v>
      </c>
      <c r="D2098" t="s">
        <v>2024</v>
      </c>
      <c r="E2098" t="s">
        <v>357</v>
      </c>
      <c r="F2098" t="s">
        <v>6028</v>
      </c>
      <c r="G2098">
        <v>1</v>
      </c>
      <c r="H2098">
        <v>1480</v>
      </c>
      <c r="I2098">
        <v>1</v>
      </c>
      <c r="J2098">
        <v>0.9</v>
      </c>
      <c r="K2098">
        <v>1</v>
      </c>
      <c r="L2098">
        <v>6.0000000000000001E-3</v>
      </c>
      <c r="M2098">
        <v>5</v>
      </c>
      <c r="N2098">
        <v>114</v>
      </c>
      <c r="O2098">
        <v>5</v>
      </c>
      <c r="P2098">
        <v>0.67500000000000004</v>
      </c>
      <c r="Q2098">
        <v>5</v>
      </c>
      <c r="R2098">
        <v>8.0000000000000002E-3</v>
      </c>
      <c r="T2098" s="8" t="s">
        <v>357</v>
      </c>
    </row>
    <row r="2099" spans="1:20" x14ac:dyDescent="0.2">
      <c r="A2099" t="s">
        <v>6029</v>
      </c>
      <c r="B2099" t="s">
        <v>2022</v>
      </c>
      <c r="C2099" t="s">
        <v>2036</v>
      </c>
      <c r="D2099" t="s">
        <v>2024</v>
      </c>
      <c r="E2099" t="s">
        <v>6030</v>
      </c>
      <c r="F2099" t="s">
        <v>6031</v>
      </c>
      <c r="G2099">
        <v>4</v>
      </c>
      <c r="H2099">
        <v>1840</v>
      </c>
      <c r="I2099">
        <v>5</v>
      </c>
      <c r="J2099">
        <v>7</v>
      </c>
      <c r="K2099">
        <v>5</v>
      </c>
      <c r="L2099">
        <v>0.17499999999999999</v>
      </c>
      <c r="M2099">
        <v>3</v>
      </c>
      <c r="N2099">
        <v>88</v>
      </c>
      <c r="O2099">
        <v>5</v>
      </c>
      <c r="P2099">
        <v>0.53500000000000003</v>
      </c>
      <c r="Q2099">
        <v>5</v>
      </c>
      <c r="R2099">
        <v>1.2E-2</v>
      </c>
      <c r="T2099" s="8" t="s">
        <v>6030</v>
      </c>
    </row>
    <row r="2100" spans="1:20" x14ac:dyDescent="0.2">
      <c r="A2100" t="s">
        <v>6032</v>
      </c>
      <c r="B2100" t="s">
        <v>2022</v>
      </c>
      <c r="C2100" t="s">
        <v>2023</v>
      </c>
      <c r="D2100" t="s">
        <v>2024</v>
      </c>
      <c r="E2100" t="s">
        <v>6033</v>
      </c>
      <c r="F2100" t="s">
        <v>6034</v>
      </c>
      <c r="G2100">
        <v>4</v>
      </c>
      <c r="H2100">
        <v>1720</v>
      </c>
      <c r="I2100">
        <v>3</v>
      </c>
      <c r="J2100">
        <v>5.9</v>
      </c>
      <c r="K2100">
        <v>4</v>
      </c>
      <c r="L2100">
        <v>6.6000000000000003E-2</v>
      </c>
      <c r="M2100">
        <v>3</v>
      </c>
      <c r="N2100">
        <v>94</v>
      </c>
      <c r="O2100">
        <v>2</v>
      </c>
      <c r="P2100">
        <v>0.22500000000000001</v>
      </c>
      <c r="Q2100">
        <v>3</v>
      </c>
      <c r="R2100">
        <v>4.0000000000000001E-3</v>
      </c>
      <c r="T2100" s="8" t="s">
        <v>6033</v>
      </c>
    </row>
    <row r="2101" spans="1:20" x14ac:dyDescent="0.2">
      <c r="A2101" t="s">
        <v>6035</v>
      </c>
      <c r="B2101" t="s">
        <v>2022</v>
      </c>
      <c r="C2101" t="s">
        <v>2023</v>
      </c>
      <c r="D2101" t="s">
        <v>2024</v>
      </c>
      <c r="E2101" t="s">
        <v>6036</v>
      </c>
      <c r="F2101" t="s">
        <v>6037</v>
      </c>
      <c r="G2101">
        <v>3</v>
      </c>
      <c r="H2101">
        <v>1640</v>
      </c>
      <c r="I2101">
        <v>1</v>
      </c>
      <c r="J2101">
        <v>0.9</v>
      </c>
      <c r="K2101">
        <v>2</v>
      </c>
      <c r="L2101">
        <v>2.5999999999999999E-2</v>
      </c>
      <c r="M2101">
        <v>2</v>
      </c>
      <c r="N2101">
        <v>84</v>
      </c>
      <c r="O2101">
        <v>1</v>
      </c>
      <c r="P2101">
        <v>7.4999999999999997E-2</v>
      </c>
      <c r="Q2101">
        <v>1</v>
      </c>
      <c r="R2101">
        <v>5.0000000000000001E-4</v>
      </c>
      <c r="T2101" s="8" t="s">
        <v>6036</v>
      </c>
    </row>
    <row r="2102" spans="1:20" x14ac:dyDescent="0.2">
      <c r="A2102" t="s">
        <v>6038</v>
      </c>
      <c r="B2102" t="s">
        <v>2022</v>
      </c>
      <c r="C2102" t="s">
        <v>2053</v>
      </c>
      <c r="D2102" t="s">
        <v>2136</v>
      </c>
      <c r="E2102" t="s">
        <v>6039</v>
      </c>
      <c r="F2102" t="s">
        <v>6040</v>
      </c>
      <c r="G2102">
        <v>2</v>
      </c>
      <c r="H2102">
        <v>1600</v>
      </c>
      <c r="I2102">
        <v>2</v>
      </c>
      <c r="J2102">
        <v>4.05</v>
      </c>
      <c r="K2102">
        <v>1</v>
      </c>
      <c r="L2102">
        <v>1.4999999999999999E-2</v>
      </c>
      <c r="M2102">
        <v>4</v>
      </c>
      <c r="N2102">
        <v>103</v>
      </c>
      <c r="O2102">
        <v>2</v>
      </c>
      <c r="P2102">
        <v>0.22500000000000001</v>
      </c>
      <c r="Q2102">
        <v>1</v>
      </c>
      <c r="R2102">
        <v>8.4999999999999995E-4</v>
      </c>
      <c r="T2102" s="8" t="s">
        <v>6039</v>
      </c>
    </row>
    <row r="2103" spans="1:20" x14ac:dyDescent="0.2">
      <c r="A2103" t="s">
        <v>6041</v>
      </c>
      <c r="B2103" t="s">
        <v>2022</v>
      </c>
      <c r="C2103" t="s">
        <v>2023</v>
      </c>
      <c r="D2103" t="s">
        <v>2024</v>
      </c>
      <c r="E2103" t="s">
        <v>6042</v>
      </c>
      <c r="F2103" t="s">
        <v>6043</v>
      </c>
      <c r="G2103">
        <v>5</v>
      </c>
      <c r="H2103">
        <v>1800</v>
      </c>
      <c r="I2103">
        <v>2</v>
      </c>
      <c r="J2103">
        <v>3.4</v>
      </c>
      <c r="K2103">
        <v>3</v>
      </c>
      <c r="L2103">
        <v>4.5999999999999999E-2</v>
      </c>
      <c r="M2103">
        <v>5</v>
      </c>
      <c r="N2103">
        <v>114</v>
      </c>
      <c r="O2103">
        <v>2</v>
      </c>
      <c r="P2103">
        <v>0.22500000000000001</v>
      </c>
      <c r="Q2103">
        <v>3</v>
      </c>
      <c r="R2103">
        <v>4.0000000000000001E-3</v>
      </c>
      <c r="T2103" s="8" t="s">
        <v>6042</v>
      </c>
    </row>
    <row r="2104" spans="1:20" x14ac:dyDescent="0.2">
      <c r="A2104" t="s">
        <v>6044</v>
      </c>
      <c r="B2104" t="s">
        <v>2022</v>
      </c>
      <c r="C2104" t="s">
        <v>2036</v>
      </c>
      <c r="E2104" t="s">
        <v>1275</v>
      </c>
      <c r="F2104" t="s">
        <v>1276</v>
      </c>
      <c r="G2104">
        <v>1</v>
      </c>
      <c r="H2104">
        <v>1540</v>
      </c>
      <c r="I2104">
        <v>4</v>
      </c>
      <c r="J2104">
        <v>8.4</v>
      </c>
      <c r="K2104">
        <v>1</v>
      </c>
      <c r="L2104">
        <v>2.5000000000000001E-2</v>
      </c>
      <c r="M2104">
        <v>1</v>
      </c>
      <c r="N2104">
        <v>76</v>
      </c>
      <c r="O2104">
        <v>3</v>
      </c>
      <c r="P2104">
        <v>0.315</v>
      </c>
      <c r="Q2104">
        <v>1</v>
      </c>
      <c r="R2104">
        <v>1.2999999999999999E-3</v>
      </c>
      <c r="T2104" s="8" t="s">
        <v>1275</v>
      </c>
    </row>
    <row r="2105" spans="1:20" x14ac:dyDescent="0.2">
      <c r="A2105" t="s">
        <v>6045</v>
      </c>
      <c r="B2105" t="s">
        <v>2022</v>
      </c>
      <c r="C2105" t="s">
        <v>2036</v>
      </c>
      <c r="E2105" t="s">
        <v>1275</v>
      </c>
      <c r="F2105" t="s">
        <v>1276</v>
      </c>
      <c r="G2105">
        <v>1</v>
      </c>
      <c r="H2105">
        <v>1540</v>
      </c>
      <c r="I2105">
        <v>2</v>
      </c>
      <c r="J2105">
        <v>4</v>
      </c>
      <c r="K2105">
        <v>1</v>
      </c>
      <c r="L2105">
        <v>2.5000000000000001E-2</v>
      </c>
      <c r="M2105">
        <v>1</v>
      </c>
      <c r="N2105">
        <v>76</v>
      </c>
      <c r="O2105">
        <v>2</v>
      </c>
      <c r="P2105">
        <v>0.20499999999999999</v>
      </c>
      <c r="Q2105">
        <v>1</v>
      </c>
      <c r="R2105">
        <v>1.2999999999999999E-3</v>
      </c>
      <c r="T2105" s="8" t="s">
        <v>1275</v>
      </c>
    </row>
    <row r="2106" spans="1:20" x14ac:dyDescent="0.2">
      <c r="A2106" t="s">
        <v>6046</v>
      </c>
      <c r="B2106" t="s">
        <v>2022</v>
      </c>
      <c r="C2106" t="s">
        <v>2023</v>
      </c>
      <c r="D2106" t="s">
        <v>2136</v>
      </c>
      <c r="E2106" t="s">
        <v>6047</v>
      </c>
      <c r="F2106" t="s">
        <v>6048</v>
      </c>
      <c r="G2106">
        <v>2</v>
      </c>
      <c r="H2106">
        <v>1560</v>
      </c>
      <c r="I2106">
        <v>4</v>
      </c>
      <c r="J2106">
        <v>8.4</v>
      </c>
      <c r="K2106">
        <v>5</v>
      </c>
      <c r="L2106">
        <v>8.5999999999999993E-2</v>
      </c>
      <c r="M2106">
        <v>2</v>
      </c>
      <c r="N2106">
        <v>84</v>
      </c>
      <c r="O2106">
        <v>4</v>
      </c>
      <c r="P2106">
        <v>0.52500000000000002</v>
      </c>
      <c r="Q2106">
        <v>5</v>
      </c>
      <c r="R2106">
        <v>8.0000000000000002E-3</v>
      </c>
      <c r="T2106" s="8" t="s">
        <v>6047</v>
      </c>
    </row>
    <row r="2107" spans="1:20" x14ac:dyDescent="0.2">
      <c r="A2107" t="s">
        <v>6049</v>
      </c>
      <c r="B2107" t="s">
        <v>2022</v>
      </c>
      <c r="C2107" t="s">
        <v>2023</v>
      </c>
      <c r="D2107" t="s">
        <v>2024</v>
      </c>
      <c r="E2107" t="s">
        <v>6050</v>
      </c>
      <c r="F2107" t="s">
        <v>6051</v>
      </c>
      <c r="G2107">
        <v>5</v>
      </c>
      <c r="H2107">
        <v>1800</v>
      </c>
      <c r="I2107">
        <v>5</v>
      </c>
      <c r="J2107">
        <v>10.9</v>
      </c>
      <c r="K2107">
        <v>5</v>
      </c>
      <c r="L2107">
        <v>8.5999999999999993E-2</v>
      </c>
      <c r="M2107">
        <v>5</v>
      </c>
      <c r="N2107">
        <v>114</v>
      </c>
      <c r="O2107">
        <v>5</v>
      </c>
      <c r="P2107">
        <v>0.67500000000000004</v>
      </c>
      <c r="Q2107">
        <v>5</v>
      </c>
      <c r="R2107">
        <v>8.0000000000000002E-3</v>
      </c>
      <c r="T2107" s="8" t="s">
        <v>6050</v>
      </c>
    </row>
    <row r="2108" spans="1:20" x14ac:dyDescent="0.2">
      <c r="A2108" t="s">
        <v>6052</v>
      </c>
      <c r="B2108" t="s">
        <v>2022</v>
      </c>
      <c r="C2108" t="s">
        <v>2104</v>
      </c>
      <c r="D2108" t="s">
        <v>2024</v>
      </c>
      <c r="E2108" t="s">
        <v>6053</v>
      </c>
      <c r="F2108" t="s">
        <v>6054</v>
      </c>
      <c r="G2108">
        <v>1</v>
      </c>
      <c r="H2108">
        <v>1537.5</v>
      </c>
      <c r="I2108">
        <v>2</v>
      </c>
      <c r="J2108">
        <v>3.25</v>
      </c>
      <c r="K2108">
        <v>2</v>
      </c>
      <c r="L2108">
        <v>4.1000000000000002E-2</v>
      </c>
      <c r="M2108">
        <v>1</v>
      </c>
      <c r="N2108">
        <v>57</v>
      </c>
      <c r="P2108">
        <v>0</v>
      </c>
      <c r="Q2108">
        <v>1</v>
      </c>
      <c r="R2108">
        <v>3.5E-4</v>
      </c>
      <c r="T2108" s="8" t="s">
        <v>6053</v>
      </c>
    </row>
    <row r="2109" spans="1:20" x14ac:dyDescent="0.2">
      <c r="A2109" t="s">
        <v>6055</v>
      </c>
      <c r="B2109" t="s">
        <v>2022</v>
      </c>
      <c r="C2109" t="s">
        <v>2101</v>
      </c>
      <c r="D2109" t="s">
        <v>2024</v>
      </c>
      <c r="E2109" t="s">
        <v>6056</v>
      </c>
      <c r="F2109" t="s">
        <v>6057</v>
      </c>
      <c r="G2109">
        <v>2</v>
      </c>
      <c r="H2109">
        <v>1670</v>
      </c>
      <c r="I2109">
        <v>2</v>
      </c>
      <c r="J2109">
        <v>5</v>
      </c>
      <c r="K2109">
        <v>2</v>
      </c>
      <c r="L2109">
        <v>9.6500000000000002E-2</v>
      </c>
      <c r="M2109">
        <v>3</v>
      </c>
      <c r="N2109">
        <v>82</v>
      </c>
      <c r="O2109">
        <v>2</v>
      </c>
      <c r="P2109">
        <v>0.22500000000000001</v>
      </c>
      <c r="Q2109">
        <v>3</v>
      </c>
      <c r="R2109">
        <v>1.15E-2</v>
      </c>
      <c r="T2109" s="8" t="s">
        <v>6056</v>
      </c>
    </row>
    <row r="2110" spans="1:20" x14ac:dyDescent="0.2">
      <c r="A2110" t="s">
        <v>6058</v>
      </c>
      <c r="B2110" t="s">
        <v>2022</v>
      </c>
      <c r="C2110" t="s">
        <v>2036</v>
      </c>
      <c r="D2110" t="s">
        <v>2024</v>
      </c>
      <c r="E2110" t="s">
        <v>6059</v>
      </c>
      <c r="F2110" t="s">
        <v>6060</v>
      </c>
      <c r="G2110">
        <v>1</v>
      </c>
      <c r="H2110">
        <v>1540</v>
      </c>
      <c r="I2110">
        <v>2</v>
      </c>
      <c r="J2110">
        <v>3.4</v>
      </c>
      <c r="K2110">
        <v>1</v>
      </c>
      <c r="L2110">
        <v>5.5E-2</v>
      </c>
      <c r="M2110">
        <v>1</v>
      </c>
      <c r="N2110">
        <v>76</v>
      </c>
      <c r="O2110">
        <v>2</v>
      </c>
      <c r="P2110">
        <v>0.20499999999999999</v>
      </c>
      <c r="Q2110">
        <v>1</v>
      </c>
      <c r="R2110">
        <v>1.5E-3</v>
      </c>
      <c r="T2110" s="8" t="s">
        <v>6059</v>
      </c>
    </row>
    <row r="2111" spans="1:20" x14ac:dyDescent="0.2">
      <c r="A2111" t="s">
        <v>6061</v>
      </c>
      <c r="B2111" t="s">
        <v>2022</v>
      </c>
      <c r="C2111" t="s">
        <v>2095</v>
      </c>
      <c r="D2111" t="s">
        <v>2024</v>
      </c>
      <c r="E2111" t="s">
        <v>6062</v>
      </c>
      <c r="F2111" t="s">
        <v>447</v>
      </c>
      <c r="G2111">
        <v>5</v>
      </c>
      <c r="H2111">
        <v>1925</v>
      </c>
      <c r="I2111">
        <v>5</v>
      </c>
      <c r="J2111">
        <v>16.5</v>
      </c>
      <c r="K2111">
        <v>5</v>
      </c>
      <c r="L2111">
        <v>0.73</v>
      </c>
      <c r="M2111">
        <v>5</v>
      </c>
      <c r="N2111">
        <v>98</v>
      </c>
      <c r="O2111">
        <v>5</v>
      </c>
      <c r="P2111">
        <v>0.95</v>
      </c>
      <c r="Q2111">
        <v>5</v>
      </c>
      <c r="R2111">
        <v>3.2899999999999999E-2</v>
      </c>
      <c r="T2111" s="8" t="s">
        <v>6062</v>
      </c>
    </row>
    <row r="2112" spans="1:20" x14ac:dyDescent="0.2">
      <c r="A2112" t="s">
        <v>6063</v>
      </c>
      <c r="B2112" t="s">
        <v>2022</v>
      </c>
      <c r="C2112" t="s">
        <v>2053</v>
      </c>
      <c r="D2112" t="s">
        <v>2024</v>
      </c>
      <c r="E2112" t="s">
        <v>6064</v>
      </c>
      <c r="F2112" t="s">
        <v>6065</v>
      </c>
      <c r="G2112">
        <v>5</v>
      </c>
      <c r="H2112">
        <v>1900</v>
      </c>
      <c r="I2112">
        <v>5</v>
      </c>
      <c r="J2112">
        <v>11.55</v>
      </c>
      <c r="K2112">
        <v>5</v>
      </c>
      <c r="L2112">
        <v>0.41499999999999998</v>
      </c>
      <c r="M2112">
        <v>1</v>
      </c>
      <c r="N2112">
        <v>73</v>
      </c>
      <c r="O2112">
        <v>4</v>
      </c>
      <c r="P2112">
        <v>0.52500000000000002</v>
      </c>
      <c r="Q2112">
        <v>4</v>
      </c>
      <c r="R2112">
        <v>1.9199999999999998E-2</v>
      </c>
      <c r="T2112" s="8" t="s">
        <v>6064</v>
      </c>
    </row>
    <row r="2113" spans="1:20" x14ac:dyDescent="0.2">
      <c r="A2113" t="s">
        <v>6066</v>
      </c>
      <c r="B2113" t="s">
        <v>2022</v>
      </c>
      <c r="C2113" t="s">
        <v>2222</v>
      </c>
      <c r="D2113" t="s">
        <v>2024</v>
      </c>
      <c r="E2113" t="s">
        <v>6067</v>
      </c>
      <c r="F2113" t="s">
        <v>6068</v>
      </c>
      <c r="G2113">
        <v>5</v>
      </c>
      <c r="H2113">
        <v>1850</v>
      </c>
      <c r="I2113">
        <v>4</v>
      </c>
      <c r="J2113">
        <v>7.1</v>
      </c>
      <c r="K2113">
        <v>4</v>
      </c>
      <c r="L2113">
        <v>0.19500000000000001</v>
      </c>
      <c r="M2113">
        <v>5</v>
      </c>
      <c r="N2113">
        <v>75</v>
      </c>
      <c r="O2113">
        <v>4</v>
      </c>
      <c r="P2113">
        <v>0.31</v>
      </c>
      <c r="Q2113">
        <v>4</v>
      </c>
      <c r="R2113">
        <v>8.3000000000000001E-3</v>
      </c>
      <c r="T2113" s="8" t="s">
        <v>6067</v>
      </c>
    </row>
    <row r="2114" spans="1:20" x14ac:dyDescent="0.2">
      <c r="A2114" t="s">
        <v>6069</v>
      </c>
      <c r="B2114" t="s">
        <v>2022</v>
      </c>
      <c r="C2114" t="s">
        <v>2257</v>
      </c>
      <c r="D2114" t="s">
        <v>2024</v>
      </c>
      <c r="E2114" t="s">
        <v>6070</v>
      </c>
      <c r="F2114" t="s">
        <v>6071</v>
      </c>
      <c r="G2114">
        <v>3</v>
      </c>
      <c r="H2114">
        <v>1100</v>
      </c>
      <c r="I2114">
        <v>2</v>
      </c>
      <c r="J2114">
        <v>1.75</v>
      </c>
      <c r="K2114">
        <v>2</v>
      </c>
      <c r="L2114">
        <v>3.6999999999999998E-2</v>
      </c>
      <c r="M2114">
        <v>1</v>
      </c>
      <c r="N2114">
        <v>300</v>
      </c>
      <c r="O2114">
        <v>1</v>
      </c>
      <c r="P2114">
        <v>0.3</v>
      </c>
      <c r="Q2114">
        <v>2</v>
      </c>
      <c r="R2114">
        <v>1.4999999999999999E-2</v>
      </c>
      <c r="T2114" s="8" t="s">
        <v>6070</v>
      </c>
    </row>
    <row r="2115" spans="1:20" x14ac:dyDescent="0.2">
      <c r="A2115" t="s">
        <v>6072</v>
      </c>
      <c r="B2115" t="s">
        <v>2022</v>
      </c>
      <c r="C2115" t="s">
        <v>2036</v>
      </c>
      <c r="D2115" t="s">
        <v>2024</v>
      </c>
      <c r="E2115" t="s">
        <v>6073</v>
      </c>
      <c r="F2115" t="s">
        <v>6074</v>
      </c>
      <c r="G2115">
        <v>2</v>
      </c>
      <c r="H2115">
        <v>1640</v>
      </c>
      <c r="I2115">
        <v>2</v>
      </c>
      <c r="J2115">
        <v>3.4</v>
      </c>
      <c r="K2115">
        <v>2</v>
      </c>
      <c r="L2115">
        <v>8.5000000000000006E-2</v>
      </c>
      <c r="M2115">
        <v>2</v>
      </c>
      <c r="N2115">
        <v>82</v>
      </c>
      <c r="O2115">
        <v>1</v>
      </c>
      <c r="P2115">
        <v>9.5000000000000001E-2</v>
      </c>
      <c r="Q2115">
        <v>2</v>
      </c>
      <c r="R2115">
        <v>4.2500000000000003E-3</v>
      </c>
      <c r="T2115" s="8" t="s">
        <v>6073</v>
      </c>
    </row>
    <row r="2116" spans="1:20" x14ac:dyDescent="0.2">
      <c r="A2116" t="s">
        <v>6075</v>
      </c>
      <c r="B2116" t="s">
        <v>2022</v>
      </c>
      <c r="C2116" t="s">
        <v>2222</v>
      </c>
      <c r="D2116" t="s">
        <v>2024</v>
      </c>
      <c r="E2116" t="s">
        <v>6076</v>
      </c>
      <c r="F2116" t="s">
        <v>6077</v>
      </c>
      <c r="G2116">
        <v>4</v>
      </c>
      <c r="H2116">
        <v>1750</v>
      </c>
      <c r="I2116">
        <v>2</v>
      </c>
      <c r="J2116">
        <v>3.9</v>
      </c>
      <c r="K2116">
        <v>2</v>
      </c>
      <c r="L2116">
        <v>5.5E-2</v>
      </c>
      <c r="M2116">
        <v>2</v>
      </c>
      <c r="N2116">
        <v>63</v>
      </c>
      <c r="O2116">
        <v>2</v>
      </c>
      <c r="P2116">
        <v>0.15</v>
      </c>
      <c r="Q2116">
        <v>2</v>
      </c>
      <c r="R2116">
        <v>2.3E-3</v>
      </c>
      <c r="T2116" s="8" t="s">
        <v>6076</v>
      </c>
    </row>
    <row r="2117" spans="1:20" x14ac:dyDescent="0.2">
      <c r="A2117" t="s">
        <v>6078</v>
      </c>
      <c r="B2117" t="s">
        <v>2022</v>
      </c>
      <c r="C2117" t="s">
        <v>2222</v>
      </c>
      <c r="D2117" t="s">
        <v>2024</v>
      </c>
      <c r="E2117" t="s">
        <v>6076</v>
      </c>
      <c r="F2117" t="s">
        <v>6077</v>
      </c>
      <c r="G2117">
        <v>5</v>
      </c>
      <c r="H2117">
        <v>1850</v>
      </c>
      <c r="I2117">
        <v>1</v>
      </c>
      <c r="J2117">
        <v>2.2999999999999998</v>
      </c>
      <c r="K2117">
        <v>2</v>
      </c>
      <c r="L2117">
        <v>5.5E-2</v>
      </c>
      <c r="M2117">
        <v>1</v>
      </c>
      <c r="N2117">
        <v>59</v>
      </c>
      <c r="O2117">
        <v>1</v>
      </c>
      <c r="P2117">
        <v>7.0000000000000007E-2</v>
      </c>
      <c r="Q2117">
        <v>1</v>
      </c>
      <c r="R2117">
        <v>4.0000000000000002E-4</v>
      </c>
      <c r="T2117" s="8" t="s">
        <v>6076</v>
      </c>
    </row>
    <row r="2118" spans="1:20" x14ac:dyDescent="0.2">
      <c r="A2118" t="s">
        <v>6079</v>
      </c>
      <c r="B2118" t="s">
        <v>2022</v>
      </c>
      <c r="C2118" t="s">
        <v>2053</v>
      </c>
      <c r="D2118" t="s">
        <v>2024</v>
      </c>
      <c r="E2118" t="s">
        <v>6080</v>
      </c>
      <c r="F2118" t="s">
        <v>6081</v>
      </c>
      <c r="G2118">
        <v>2</v>
      </c>
      <c r="H2118">
        <v>1600</v>
      </c>
      <c r="I2118">
        <v>4</v>
      </c>
      <c r="J2118">
        <v>9.0500000000000007</v>
      </c>
      <c r="K2118">
        <v>4</v>
      </c>
      <c r="L2118">
        <v>0.30499999999999999</v>
      </c>
      <c r="M2118">
        <v>2</v>
      </c>
      <c r="N2118">
        <v>83</v>
      </c>
      <c r="O2118">
        <v>4</v>
      </c>
      <c r="P2118">
        <v>0.52500000000000002</v>
      </c>
      <c r="Q2118">
        <v>3</v>
      </c>
      <c r="R2118">
        <v>1.2200000000000001E-2</v>
      </c>
      <c r="T2118" s="8" t="s">
        <v>6080</v>
      </c>
    </row>
    <row r="2119" spans="1:20" x14ac:dyDescent="0.2">
      <c r="A2119" t="s">
        <v>6082</v>
      </c>
      <c r="B2119" t="s">
        <v>2022</v>
      </c>
      <c r="C2119" t="s">
        <v>2023</v>
      </c>
      <c r="D2119" t="s">
        <v>2024</v>
      </c>
      <c r="E2119" t="s">
        <v>6083</v>
      </c>
      <c r="F2119" t="s">
        <v>6084</v>
      </c>
      <c r="G2119">
        <v>2</v>
      </c>
      <c r="H2119">
        <v>1560</v>
      </c>
      <c r="I2119">
        <v>4</v>
      </c>
      <c r="J2119">
        <v>8.4</v>
      </c>
      <c r="K2119">
        <v>5</v>
      </c>
      <c r="L2119">
        <v>8.5999999999999993E-2</v>
      </c>
      <c r="M2119">
        <v>1</v>
      </c>
      <c r="N2119">
        <v>74</v>
      </c>
      <c r="O2119">
        <v>3</v>
      </c>
      <c r="P2119">
        <v>0.375</v>
      </c>
      <c r="Q2119">
        <v>3</v>
      </c>
      <c r="R2119">
        <v>4.0000000000000001E-3</v>
      </c>
      <c r="T2119" s="8" t="s">
        <v>6083</v>
      </c>
    </row>
    <row r="2120" spans="1:20" x14ac:dyDescent="0.2">
      <c r="A2120" t="s">
        <v>6085</v>
      </c>
      <c r="B2120" t="s">
        <v>2022</v>
      </c>
      <c r="C2120" t="s">
        <v>2053</v>
      </c>
      <c r="D2120" t="s">
        <v>2024</v>
      </c>
      <c r="E2120" t="s">
        <v>6086</v>
      </c>
      <c r="F2120" t="s">
        <v>6087</v>
      </c>
      <c r="G2120">
        <v>2</v>
      </c>
      <c r="H2120">
        <v>1600</v>
      </c>
      <c r="I2120">
        <v>3</v>
      </c>
      <c r="J2120">
        <v>6.55</v>
      </c>
      <c r="K2120">
        <v>3</v>
      </c>
      <c r="L2120">
        <v>0.19500000000000001</v>
      </c>
      <c r="M2120">
        <v>1</v>
      </c>
      <c r="N2120">
        <v>73</v>
      </c>
      <c r="O2120">
        <v>2</v>
      </c>
      <c r="P2120">
        <v>0.22500000000000001</v>
      </c>
      <c r="Q2120">
        <v>2</v>
      </c>
      <c r="R2120">
        <v>5.1999999999999998E-3</v>
      </c>
      <c r="T2120" s="8" t="s">
        <v>6086</v>
      </c>
    </row>
    <row r="2121" spans="1:20" x14ac:dyDescent="0.2">
      <c r="A2121" t="s">
        <v>6088</v>
      </c>
      <c r="B2121" t="s">
        <v>2022</v>
      </c>
      <c r="C2121" t="s">
        <v>2036</v>
      </c>
      <c r="D2121" t="s">
        <v>2024</v>
      </c>
      <c r="E2121" t="s">
        <v>6089</v>
      </c>
      <c r="F2121" t="s">
        <v>6090</v>
      </c>
      <c r="G2121">
        <v>1</v>
      </c>
      <c r="H2121">
        <v>1540</v>
      </c>
      <c r="I2121">
        <v>1</v>
      </c>
      <c r="J2121">
        <v>2.2000000000000002</v>
      </c>
      <c r="K2121">
        <v>1</v>
      </c>
      <c r="L2121">
        <v>5.5E-2</v>
      </c>
      <c r="M2121">
        <v>1</v>
      </c>
      <c r="N2121">
        <v>76</v>
      </c>
      <c r="O2121">
        <v>1</v>
      </c>
      <c r="P2121">
        <v>9.5000000000000001E-2</v>
      </c>
      <c r="Q2121">
        <v>1</v>
      </c>
      <c r="R2121">
        <v>1.5E-3</v>
      </c>
      <c r="T2121" s="8" t="s">
        <v>6089</v>
      </c>
    </row>
    <row r="2122" spans="1:20" x14ac:dyDescent="0.2">
      <c r="A2122" t="s">
        <v>6091</v>
      </c>
      <c r="B2122" t="s">
        <v>2022</v>
      </c>
      <c r="C2122" t="s">
        <v>2101</v>
      </c>
      <c r="D2122" t="s">
        <v>2024</v>
      </c>
      <c r="E2122" t="s">
        <v>234</v>
      </c>
      <c r="F2122" t="s">
        <v>6092</v>
      </c>
      <c r="G2122">
        <v>1</v>
      </c>
      <c r="H2122">
        <v>1570</v>
      </c>
      <c r="I2122">
        <v>2</v>
      </c>
      <c r="J2122">
        <v>5</v>
      </c>
      <c r="K2122">
        <v>3</v>
      </c>
      <c r="L2122">
        <v>0.24349999999999999</v>
      </c>
      <c r="M2122">
        <v>2</v>
      </c>
      <c r="N2122">
        <v>74</v>
      </c>
      <c r="O2122">
        <v>2</v>
      </c>
      <c r="P2122">
        <v>0.22500000000000001</v>
      </c>
      <c r="Q2122">
        <v>2</v>
      </c>
      <c r="R2122">
        <v>4.4999999999999997E-3</v>
      </c>
      <c r="T2122" s="8" t="s">
        <v>234</v>
      </c>
    </row>
    <row r="2123" spans="1:20" x14ac:dyDescent="0.2">
      <c r="A2123" t="s">
        <v>6093</v>
      </c>
      <c r="B2123" t="s">
        <v>2022</v>
      </c>
      <c r="C2123" t="s">
        <v>2036</v>
      </c>
      <c r="D2123" t="s">
        <v>2024</v>
      </c>
      <c r="E2123" t="s">
        <v>234</v>
      </c>
      <c r="F2123" t="s">
        <v>6092</v>
      </c>
      <c r="G2123">
        <v>2</v>
      </c>
      <c r="H2123">
        <v>1640</v>
      </c>
      <c r="I2123">
        <v>5</v>
      </c>
      <c r="J2123">
        <v>7</v>
      </c>
      <c r="K2123">
        <v>5</v>
      </c>
      <c r="L2123">
        <v>0.17499999999999999</v>
      </c>
      <c r="M2123">
        <v>1</v>
      </c>
      <c r="N2123">
        <v>76</v>
      </c>
      <c r="O2123">
        <v>3</v>
      </c>
      <c r="P2123">
        <v>0.315</v>
      </c>
      <c r="Q2123">
        <v>5</v>
      </c>
      <c r="R2123">
        <v>1.2E-2</v>
      </c>
      <c r="T2123" s="8" t="s">
        <v>234</v>
      </c>
    </row>
    <row r="2124" spans="1:20" x14ac:dyDescent="0.2">
      <c r="A2124" t="s">
        <v>6094</v>
      </c>
      <c r="B2124" t="s">
        <v>2022</v>
      </c>
      <c r="C2124" t="s">
        <v>2049</v>
      </c>
      <c r="D2124" t="s">
        <v>2024</v>
      </c>
      <c r="E2124" t="s">
        <v>234</v>
      </c>
      <c r="F2124" t="s">
        <v>6092</v>
      </c>
      <c r="G2124">
        <v>3</v>
      </c>
      <c r="H2124">
        <v>1550</v>
      </c>
      <c r="I2124">
        <v>3</v>
      </c>
      <c r="J2124">
        <v>5</v>
      </c>
      <c r="K2124">
        <v>3</v>
      </c>
      <c r="L2124">
        <v>0.14000000000000001</v>
      </c>
      <c r="M2124">
        <v>1</v>
      </c>
      <c r="N2124">
        <v>86</v>
      </c>
      <c r="O2124">
        <v>2</v>
      </c>
      <c r="P2124">
        <v>0.26</v>
      </c>
      <c r="Q2124">
        <v>2</v>
      </c>
      <c r="R2124">
        <v>6.1999999999999998E-3</v>
      </c>
      <c r="T2124" s="8" t="s">
        <v>234</v>
      </c>
    </row>
    <row r="2125" spans="1:20" x14ac:dyDescent="0.2">
      <c r="A2125" t="s">
        <v>6095</v>
      </c>
      <c r="B2125" t="s">
        <v>2022</v>
      </c>
      <c r="C2125" t="s">
        <v>2036</v>
      </c>
      <c r="D2125" t="s">
        <v>2024</v>
      </c>
      <c r="E2125" t="s">
        <v>6096</v>
      </c>
      <c r="F2125" t="s">
        <v>6097</v>
      </c>
      <c r="G2125">
        <v>2</v>
      </c>
      <c r="H2125">
        <v>1640</v>
      </c>
      <c r="I2125">
        <v>1</v>
      </c>
      <c r="J2125">
        <v>2.2000000000000002</v>
      </c>
      <c r="K2125">
        <v>1</v>
      </c>
      <c r="L2125">
        <v>5.5E-2</v>
      </c>
      <c r="M2125">
        <v>2</v>
      </c>
      <c r="N2125">
        <v>82</v>
      </c>
      <c r="O2125">
        <v>1</v>
      </c>
      <c r="P2125">
        <v>9.5000000000000001E-2</v>
      </c>
      <c r="Q2125">
        <v>1</v>
      </c>
      <c r="R2125">
        <v>1.5E-3</v>
      </c>
      <c r="T2125" s="8" t="s">
        <v>6096</v>
      </c>
    </row>
    <row r="2126" spans="1:20" x14ac:dyDescent="0.2">
      <c r="A2126" t="s">
        <v>6098</v>
      </c>
      <c r="B2126" t="s">
        <v>2022</v>
      </c>
      <c r="C2126" t="s">
        <v>2053</v>
      </c>
      <c r="D2126" t="s">
        <v>2024</v>
      </c>
      <c r="E2126" t="s">
        <v>6099</v>
      </c>
      <c r="F2126" t="s">
        <v>6100</v>
      </c>
      <c r="G2126">
        <v>1</v>
      </c>
      <c r="H2126">
        <v>1500</v>
      </c>
      <c r="I2126">
        <v>1</v>
      </c>
      <c r="J2126">
        <v>1.55</v>
      </c>
      <c r="K2126">
        <v>1</v>
      </c>
      <c r="L2126">
        <v>1.4999999999999999E-2</v>
      </c>
      <c r="M2126">
        <v>5</v>
      </c>
      <c r="N2126">
        <v>113</v>
      </c>
      <c r="O2126">
        <v>1</v>
      </c>
      <c r="P2126">
        <v>7.4999999999999997E-2</v>
      </c>
      <c r="Q2126">
        <v>1</v>
      </c>
      <c r="R2126">
        <v>8.4999999999999995E-4</v>
      </c>
      <c r="T2126" s="8" t="s">
        <v>6099</v>
      </c>
    </row>
    <row r="2127" spans="1:20" x14ac:dyDescent="0.2">
      <c r="A2127" t="s">
        <v>6101</v>
      </c>
      <c r="B2127" t="s">
        <v>2022</v>
      </c>
      <c r="C2127" t="s">
        <v>2023</v>
      </c>
      <c r="D2127" t="s">
        <v>2024</v>
      </c>
      <c r="E2127" t="s">
        <v>6102</v>
      </c>
      <c r="F2127" t="s">
        <v>6103</v>
      </c>
      <c r="G2127">
        <v>1</v>
      </c>
      <c r="H2127">
        <v>1480</v>
      </c>
      <c r="I2127">
        <v>3</v>
      </c>
      <c r="J2127">
        <v>5.9</v>
      </c>
      <c r="K2127">
        <v>2</v>
      </c>
      <c r="L2127">
        <v>2.5999999999999999E-2</v>
      </c>
      <c r="M2127">
        <v>5</v>
      </c>
      <c r="N2127">
        <v>114</v>
      </c>
      <c r="O2127">
        <v>5</v>
      </c>
      <c r="P2127">
        <v>0.67500000000000004</v>
      </c>
      <c r="Q2127">
        <v>3</v>
      </c>
      <c r="R2127">
        <v>4.0000000000000001E-3</v>
      </c>
      <c r="T2127" s="8" t="s">
        <v>6102</v>
      </c>
    </row>
    <row r="2128" spans="1:20" x14ac:dyDescent="0.2">
      <c r="A2128" t="s">
        <v>6104</v>
      </c>
      <c r="B2128" t="s">
        <v>2022</v>
      </c>
      <c r="C2128" t="s">
        <v>2028</v>
      </c>
      <c r="D2128" t="s">
        <v>2024</v>
      </c>
      <c r="E2128" t="s">
        <v>6105</v>
      </c>
      <c r="F2128" t="s">
        <v>6106</v>
      </c>
      <c r="G2128">
        <v>5</v>
      </c>
      <c r="H2128">
        <v>1450</v>
      </c>
      <c r="I2128">
        <v>5</v>
      </c>
      <c r="J2128">
        <v>6.65</v>
      </c>
      <c r="K2128">
        <v>5</v>
      </c>
      <c r="L2128">
        <v>0.26700000000000002</v>
      </c>
      <c r="M2128">
        <v>1</v>
      </c>
      <c r="N2128">
        <v>100</v>
      </c>
      <c r="O2128">
        <v>2</v>
      </c>
      <c r="P2128">
        <v>0.45</v>
      </c>
      <c r="Q2128">
        <v>3</v>
      </c>
      <c r="R2128">
        <v>1.6250000000000001E-2</v>
      </c>
      <c r="T2128" s="8" t="s">
        <v>6105</v>
      </c>
    </row>
    <row r="2129" spans="1:20" x14ac:dyDescent="0.2">
      <c r="A2129" t="s">
        <v>6107</v>
      </c>
      <c r="B2129" t="s">
        <v>2022</v>
      </c>
      <c r="C2129" t="s">
        <v>2023</v>
      </c>
      <c r="D2129" t="s">
        <v>2024</v>
      </c>
      <c r="E2129" t="s">
        <v>6108</v>
      </c>
      <c r="F2129" t="s">
        <v>6109</v>
      </c>
      <c r="G2129">
        <v>2</v>
      </c>
      <c r="H2129">
        <v>1560</v>
      </c>
      <c r="I2129">
        <v>3</v>
      </c>
      <c r="J2129">
        <v>5.9</v>
      </c>
      <c r="K2129">
        <v>5</v>
      </c>
      <c r="L2129">
        <v>8.5999999999999993E-2</v>
      </c>
      <c r="M2129">
        <v>2</v>
      </c>
      <c r="N2129">
        <v>84</v>
      </c>
      <c r="O2129">
        <v>3</v>
      </c>
      <c r="P2129">
        <v>0.375</v>
      </c>
      <c r="Q2129">
        <v>5</v>
      </c>
      <c r="R2129">
        <v>8.0000000000000002E-3</v>
      </c>
      <c r="T2129" s="8" t="s">
        <v>6108</v>
      </c>
    </row>
    <row r="2130" spans="1:20" x14ac:dyDescent="0.2">
      <c r="A2130" t="s">
        <v>6110</v>
      </c>
      <c r="B2130" t="s">
        <v>2022</v>
      </c>
      <c r="C2130" t="s">
        <v>2053</v>
      </c>
      <c r="D2130" t="s">
        <v>2024</v>
      </c>
      <c r="E2130" t="s">
        <v>6111</v>
      </c>
      <c r="F2130" t="s">
        <v>6112</v>
      </c>
      <c r="G2130">
        <v>2</v>
      </c>
      <c r="H2130">
        <v>1600</v>
      </c>
      <c r="I2130">
        <v>5</v>
      </c>
      <c r="J2130">
        <v>11.55</v>
      </c>
      <c r="K2130">
        <v>5</v>
      </c>
      <c r="L2130">
        <v>0.41499999999999998</v>
      </c>
      <c r="M2130">
        <v>2</v>
      </c>
      <c r="N2130">
        <v>83</v>
      </c>
      <c r="O2130">
        <v>5</v>
      </c>
      <c r="P2130">
        <v>0.67500000000000004</v>
      </c>
      <c r="Q2130">
        <v>4</v>
      </c>
      <c r="R2130">
        <v>1.9199999999999998E-2</v>
      </c>
      <c r="T2130" s="8" t="s">
        <v>6111</v>
      </c>
    </row>
    <row r="2131" spans="1:20" x14ac:dyDescent="0.2">
      <c r="A2131" t="s">
        <v>6113</v>
      </c>
      <c r="B2131" t="s">
        <v>2022</v>
      </c>
      <c r="C2131" t="s">
        <v>2023</v>
      </c>
      <c r="D2131" t="s">
        <v>2136</v>
      </c>
      <c r="E2131" t="s">
        <v>6114</v>
      </c>
      <c r="F2131" t="s">
        <v>6115</v>
      </c>
      <c r="G2131">
        <v>3</v>
      </c>
      <c r="H2131">
        <v>1640</v>
      </c>
      <c r="I2131">
        <v>1</v>
      </c>
      <c r="J2131">
        <v>0.9</v>
      </c>
      <c r="K2131">
        <v>2</v>
      </c>
      <c r="L2131">
        <v>2.5999999999999999E-2</v>
      </c>
      <c r="M2131">
        <v>4</v>
      </c>
      <c r="N2131">
        <v>104</v>
      </c>
      <c r="O2131">
        <v>1</v>
      </c>
      <c r="P2131">
        <v>7.4999999999999997E-2</v>
      </c>
      <c r="Q2131">
        <v>2</v>
      </c>
      <c r="R2131">
        <v>2E-3</v>
      </c>
      <c r="T2131" s="8" t="s">
        <v>6114</v>
      </c>
    </row>
    <row r="2132" spans="1:20" x14ac:dyDescent="0.2">
      <c r="A2132" t="s">
        <v>6116</v>
      </c>
      <c r="B2132" t="s">
        <v>2022</v>
      </c>
      <c r="C2132" t="s">
        <v>2023</v>
      </c>
      <c r="D2132" t="s">
        <v>2024</v>
      </c>
      <c r="E2132" t="s">
        <v>6117</v>
      </c>
      <c r="F2132" t="s">
        <v>6118</v>
      </c>
      <c r="G2132">
        <v>2</v>
      </c>
      <c r="H2132">
        <v>1560</v>
      </c>
      <c r="I2132">
        <v>2</v>
      </c>
      <c r="J2132">
        <v>3.4</v>
      </c>
      <c r="K2132">
        <v>2</v>
      </c>
      <c r="L2132">
        <v>2.5999999999999999E-2</v>
      </c>
      <c r="M2132">
        <v>2</v>
      </c>
      <c r="N2132">
        <v>84</v>
      </c>
      <c r="O2132">
        <v>2</v>
      </c>
      <c r="P2132">
        <v>0.22500000000000001</v>
      </c>
      <c r="Q2132">
        <v>1</v>
      </c>
      <c r="R2132">
        <v>5.0000000000000001E-4</v>
      </c>
      <c r="T2132" s="8" t="s">
        <v>6117</v>
      </c>
    </row>
    <row r="2133" spans="1:20" x14ac:dyDescent="0.2">
      <c r="A2133" t="s">
        <v>6119</v>
      </c>
      <c r="B2133" t="s">
        <v>2022</v>
      </c>
      <c r="C2133" t="s">
        <v>2036</v>
      </c>
      <c r="D2133" t="s">
        <v>2024</v>
      </c>
      <c r="E2133" t="s">
        <v>6120</v>
      </c>
      <c r="F2133" t="s">
        <v>6121</v>
      </c>
      <c r="G2133">
        <v>5</v>
      </c>
      <c r="H2133">
        <v>1940</v>
      </c>
      <c r="I2133">
        <v>5</v>
      </c>
      <c r="J2133">
        <v>7</v>
      </c>
      <c r="K2133">
        <v>5</v>
      </c>
      <c r="L2133">
        <v>0.17499999999999999</v>
      </c>
      <c r="M2133">
        <v>3</v>
      </c>
      <c r="N2133">
        <v>88</v>
      </c>
      <c r="O2133">
        <v>5</v>
      </c>
      <c r="P2133">
        <v>0.53500000000000003</v>
      </c>
      <c r="Q2133">
        <v>5</v>
      </c>
      <c r="R2133">
        <v>1.2E-2</v>
      </c>
      <c r="T2133" s="8" t="s">
        <v>6120</v>
      </c>
    </row>
    <row r="2134" spans="1:20" x14ac:dyDescent="0.2">
      <c r="A2134" t="s">
        <v>6122</v>
      </c>
      <c r="B2134" t="s">
        <v>2022</v>
      </c>
      <c r="C2134" t="s">
        <v>2036</v>
      </c>
      <c r="D2134" t="s">
        <v>2024</v>
      </c>
      <c r="E2134" t="s">
        <v>6123</v>
      </c>
      <c r="F2134" t="s">
        <v>6124</v>
      </c>
      <c r="G2134">
        <v>5</v>
      </c>
      <c r="H2134">
        <v>1940</v>
      </c>
      <c r="I2134">
        <v>3</v>
      </c>
      <c r="J2134">
        <v>4.5999999999999996</v>
      </c>
      <c r="K2134">
        <v>1</v>
      </c>
      <c r="L2134">
        <v>5.5E-2</v>
      </c>
      <c r="M2134">
        <v>3</v>
      </c>
      <c r="N2134">
        <v>88</v>
      </c>
      <c r="O2134">
        <v>2</v>
      </c>
      <c r="P2134">
        <v>0.20499999999999999</v>
      </c>
      <c r="Q2134">
        <v>1</v>
      </c>
      <c r="R2134">
        <v>1.5E-3</v>
      </c>
      <c r="T2134" s="8" t="s">
        <v>6123</v>
      </c>
    </row>
    <row r="2135" spans="1:20" x14ac:dyDescent="0.2">
      <c r="A2135" t="s">
        <v>6125</v>
      </c>
      <c r="B2135" t="s">
        <v>2022</v>
      </c>
      <c r="C2135" t="s">
        <v>2053</v>
      </c>
      <c r="D2135" t="s">
        <v>2136</v>
      </c>
      <c r="E2135" t="s">
        <v>6126</v>
      </c>
      <c r="F2135" t="s">
        <v>6127</v>
      </c>
      <c r="G2135">
        <v>3</v>
      </c>
      <c r="H2135">
        <v>1700</v>
      </c>
      <c r="I2135">
        <v>2</v>
      </c>
      <c r="J2135">
        <v>4.05</v>
      </c>
      <c r="K2135">
        <v>2</v>
      </c>
      <c r="L2135">
        <v>8.5000000000000006E-2</v>
      </c>
      <c r="M2135">
        <v>2</v>
      </c>
      <c r="N2135">
        <v>83</v>
      </c>
      <c r="O2135">
        <v>2</v>
      </c>
      <c r="P2135">
        <v>0.22500000000000001</v>
      </c>
      <c r="Q2135">
        <v>2</v>
      </c>
      <c r="R2135">
        <v>5.1999999999999998E-3</v>
      </c>
      <c r="T2135" s="8" t="s">
        <v>6126</v>
      </c>
    </row>
    <row r="2136" spans="1:20" x14ac:dyDescent="0.2">
      <c r="A2136" t="s">
        <v>6128</v>
      </c>
      <c r="B2136" t="s">
        <v>2022</v>
      </c>
      <c r="C2136" t="s">
        <v>2101</v>
      </c>
      <c r="D2136" t="s">
        <v>2024</v>
      </c>
      <c r="E2136" t="s">
        <v>6129</v>
      </c>
      <c r="F2136" t="s">
        <v>6130</v>
      </c>
      <c r="G2136">
        <v>4</v>
      </c>
      <c r="H2136">
        <v>1870</v>
      </c>
      <c r="I2136">
        <v>5</v>
      </c>
      <c r="J2136">
        <v>14</v>
      </c>
      <c r="K2136">
        <v>5</v>
      </c>
      <c r="L2136">
        <v>0.53749999999999998</v>
      </c>
      <c r="M2136">
        <v>5</v>
      </c>
      <c r="N2136">
        <v>98</v>
      </c>
      <c r="O2136">
        <v>5</v>
      </c>
      <c r="P2136">
        <v>0.67500000000000004</v>
      </c>
      <c r="Q2136">
        <v>5</v>
      </c>
      <c r="R2136">
        <v>2.5499999999999998E-2</v>
      </c>
      <c r="T2136" s="8" t="s">
        <v>6129</v>
      </c>
    </row>
    <row r="2137" spans="1:20" x14ac:dyDescent="0.2">
      <c r="A2137" t="s">
        <v>6131</v>
      </c>
      <c r="B2137" t="s">
        <v>2022</v>
      </c>
      <c r="C2137" t="s">
        <v>2023</v>
      </c>
      <c r="D2137" t="s">
        <v>2024</v>
      </c>
      <c r="E2137" t="s">
        <v>6132</v>
      </c>
      <c r="F2137" t="s">
        <v>447</v>
      </c>
      <c r="G2137">
        <v>5</v>
      </c>
      <c r="H2137">
        <v>1800</v>
      </c>
      <c r="I2137">
        <v>3</v>
      </c>
      <c r="J2137">
        <v>5.9</v>
      </c>
      <c r="K2137">
        <v>2</v>
      </c>
      <c r="L2137">
        <v>2.5999999999999999E-2</v>
      </c>
      <c r="M2137">
        <v>3</v>
      </c>
      <c r="N2137">
        <v>94</v>
      </c>
      <c r="O2137">
        <v>3</v>
      </c>
      <c r="P2137">
        <v>0.375</v>
      </c>
      <c r="Q2137">
        <v>1</v>
      </c>
      <c r="R2137">
        <v>5.0000000000000001E-4</v>
      </c>
      <c r="T2137" s="8" t="s">
        <v>6132</v>
      </c>
    </row>
    <row r="2138" spans="1:20" x14ac:dyDescent="0.2">
      <c r="A2138" t="s">
        <v>6133</v>
      </c>
      <c r="B2138" t="s">
        <v>2022</v>
      </c>
      <c r="C2138" t="s">
        <v>2023</v>
      </c>
      <c r="D2138" t="s">
        <v>2024</v>
      </c>
      <c r="E2138" t="s">
        <v>6134</v>
      </c>
      <c r="F2138" t="s">
        <v>6135</v>
      </c>
      <c r="G2138">
        <v>2</v>
      </c>
      <c r="H2138">
        <v>1560</v>
      </c>
      <c r="I2138">
        <v>1</v>
      </c>
      <c r="J2138">
        <v>0.9</v>
      </c>
      <c r="K2138">
        <v>1</v>
      </c>
      <c r="L2138">
        <v>6.0000000000000001E-3</v>
      </c>
      <c r="M2138">
        <v>2</v>
      </c>
      <c r="N2138">
        <v>84</v>
      </c>
      <c r="O2138">
        <v>1</v>
      </c>
      <c r="P2138">
        <v>7.4999999999999997E-2</v>
      </c>
      <c r="Q2138">
        <v>1</v>
      </c>
      <c r="R2138">
        <v>5.0000000000000001E-4</v>
      </c>
      <c r="T2138" s="8" t="s">
        <v>6134</v>
      </c>
    </row>
    <row r="2139" spans="1:20" x14ac:dyDescent="0.2">
      <c r="A2139" t="s">
        <v>6136</v>
      </c>
      <c r="B2139" t="s">
        <v>2022</v>
      </c>
      <c r="C2139" t="s">
        <v>2053</v>
      </c>
      <c r="D2139" t="s">
        <v>2024</v>
      </c>
      <c r="E2139" t="s">
        <v>6137</v>
      </c>
      <c r="F2139" t="s">
        <v>6138</v>
      </c>
      <c r="G2139">
        <v>2</v>
      </c>
      <c r="H2139">
        <v>1600</v>
      </c>
      <c r="I2139">
        <v>4</v>
      </c>
      <c r="J2139">
        <v>9.0500000000000007</v>
      </c>
      <c r="K2139">
        <v>5</v>
      </c>
      <c r="L2139">
        <v>0.41499999999999998</v>
      </c>
      <c r="M2139">
        <v>4</v>
      </c>
      <c r="N2139">
        <v>103</v>
      </c>
      <c r="O2139">
        <v>5</v>
      </c>
      <c r="P2139">
        <v>0.67500000000000004</v>
      </c>
      <c r="Q2139">
        <v>5</v>
      </c>
      <c r="R2139">
        <v>2.6200000000000001E-2</v>
      </c>
      <c r="T2139" s="8" t="s">
        <v>6137</v>
      </c>
    </row>
    <row r="2140" spans="1:20" x14ac:dyDescent="0.2">
      <c r="A2140" t="s">
        <v>6139</v>
      </c>
      <c r="B2140" t="s">
        <v>2022</v>
      </c>
      <c r="C2140" t="s">
        <v>2049</v>
      </c>
      <c r="D2140" t="s">
        <v>2024</v>
      </c>
      <c r="E2140" t="s">
        <v>6140</v>
      </c>
      <c r="F2140" t="s">
        <v>6141</v>
      </c>
      <c r="G2140">
        <v>3</v>
      </c>
      <c r="H2140">
        <v>1550</v>
      </c>
      <c r="I2140">
        <v>3</v>
      </c>
      <c r="J2140">
        <v>5</v>
      </c>
      <c r="K2140">
        <v>3</v>
      </c>
      <c r="L2140">
        <v>0.14000000000000001</v>
      </c>
      <c r="M2140">
        <v>5</v>
      </c>
      <c r="N2140">
        <v>166</v>
      </c>
      <c r="O2140">
        <v>4</v>
      </c>
      <c r="P2140">
        <v>0.66</v>
      </c>
      <c r="Q2140">
        <v>4</v>
      </c>
      <c r="R2140">
        <v>2.4199999999999999E-2</v>
      </c>
      <c r="T2140" s="8" t="s">
        <v>6140</v>
      </c>
    </row>
    <row r="2141" spans="1:20" x14ac:dyDescent="0.2">
      <c r="A2141" t="s">
        <v>6142</v>
      </c>
      <c r="B2141" t="s">
        <v>2022</v>
      </c>
      <c r="C2141" t="s">
        <v>2023</v>
      </c>
      <c r="D2141" t="s">
        <v>2024</v>
      </c>
      <c r="E2141" t="s">
        <v>6143</v>
      </c>
      <c r="F2141" t="s">
        <v>6144</v>
      </c>
      <c r="G2141">
        <v>5</v>
      </c>
      <c r="H2141">
        <v>1800</v>
      </c>
      <c r="I2141">
        <v>3</v>
      </c>
      <c r="J2141">
        <v>5.9</v>
      </c>
      <c r="K2141">
        <v>2</v>
      </c>
      <c r="L2141">
        <v>2.5999999999999999E-2</v>
      </c>
      <c r="M2141">
        <v>4</v>
      </c>
      <c r="N2141">
        <v>104</v>
      </c>
      <c r="O2141">
        <v>3</v>
      </c>
      <c r="P2141">
        <v>0.375</v>
      </c>
      <c r="Q2141">
        <v>2</v>
      </c>
      <c r="R2141">
        <v>2E-3</v>
      </c>
      <c r="T2141" s="8" t="s">
        <v>6143</v>
      </c>
    </row>
    <row r="2142" spans="1:20" x14ac:dyDescent="0.2">
      <c r="A2142" t="s">
        <v>6145</v>
      </c>
      <c r="B2142" t="s">
        <v>2022</v>
      </c>
      <c r="C2142" t="s">
        <v>2173</v>
      </c>
      <c r="D2142" t="s">
        <v>2024</v>
      </c>
      <c r="E2142" t="s">
        <v>6146</v>
      </c>
      <c r="F2142" t="s">
        <v>447</v>
      </c>
      <c r="G2142">
        <v>4</v>
      </c>
      <c r="H2142">
        <v>2107.5</v>
      </c>
      <c r="I2142">
        <v>1</v>
      </c>
      <c r="J2142">
        <v>3.65</v>
      </c>
      <c r="K2142">
        <v>2</v>
      </c>
      <c r="L2142">
        <v>0.09</v>
      </c>
      <c r="M2142">
        <v>5</v>
      </c>
      <c r="N2142">
        <v>140.5</v>
      </c>
      <c r="O2142">
        <v>2</v>
      </c>
      <c r="P2142">
        <v>0.33</v>
      </c>
      <c r="Q2142">
        <v>2</v>
      </c>
      <c r="R2142">
        <v>4.7999999999999996E-3</v>
      </c>
      <c r="T2142" s="8" t="s">
        <v>6146</v>
      </c>
    </row>
    <row r="2143" spans="1:20" x14ac:dyDescent="0.2">
      <c r="A2143" t="s">
        <v>6147</v>
      </c>
      <c r="B2143" t="s">
        <v>2022</v>
      </c>
      <c r="C2143" t="s">
        <v>2101</v>
      </c>
      <c r="D2143" t="s">
        <v>2024</v>
      </c>
      <c r="E2143" t="s">
        <v>6148</v>
      </c>
      <c r="F2143" t="s">
        <v>6149</v>
      </c>
      <c r="G2143">
        <v>3</v>
      </c>
      <c r="H2143">
        <v>1770</v>
      </c>
      <c r="I2143">
        <v>2</v>
      </c>
      <c r="J2143">
        <v>5</v>
      </c>
      <c r="K2143">
        <v>2</v>
      </c>
      <c r="L2143">
        <v>9.6500000000000002E-2</v>
      </c>
      <c r="M2143">
        <v>1</v>
      </c>
      <c r="N2143">
        <v>66</v>
      </c>
      <c r="O2143">
        <v>2</v>
      </c>
      <c r="P2143">
        <v>0.22500000000000001</v>
      </c>
      <c r="Q2143">
        <v>2</v>
      </c>
      <c r="R2143">
        <v>4.4999999999999997E-3</v>
      </c>
      <c r="T2143" s="8" t="s">
        <v>6148</v>
      </c>
    </row>
    <row r="2144" spans="1:20" x14ac:dyDescent="0.2">
      <c r="A2144" t="s">
        <v>6150</v>
      </c>
      <c r="B2144" t="s">
        <v>2022</v>
      </c>
      <c r="C2144" t="s">
        <v>2023</v>
      </c>
      <c r="D2144" t="s">
        <v>2024</v>
      </c>
      <c r="E2144" t="s">
        <v>6151</v>
      </c>
      <c r="F2144" t="s">
        <v>6152</v>
      </c>
      <c r="G2144">
        <v>5</v>
      </c>
      <c r="H2144">
        <v>1800</v>
      </c>
      <c r="I2144">
        <v>5</v>
      </c>
      <c r="J2144">
        <v>10.9</v>
      </c>
      <c r="K2144">
        <v>5</v>
      </c>
      <c r="L2144">
        <v>8.5999999999999993E-2</v>
      </c>
      <c r="M2144">
        <v>3</v>
      </c>
      <c r="N2144">
        <v>94</v>
      </c>
      <c r="O2144">
        <v>5</v>
      </c>
      <c r="P2144">
        <v>0.67500000000000004</v>
      </c>
      <c r="Q2144">
        <v>5</v>
      </c>
      <c r="R2144">
        <v>8.0000000000000002E-3</v>
      </c>
      <c r="T2144" s="8" t="s">
        <v>6151</v>
      </c>
    </row>
    <row r="2145" spans="1:20" x14ac:dyDescent="0.2">
      <c r="A2145" t="s">
        <v>6153</v>
      </c>
      <c r="B2145" t="s">
        <v>2022</v>
      </c>
      <c r="C2145" t="s">
        <v>2028</v>
      </c>
      <c r="D2145" t="s">
        <v>2024</v>
      </c>
      <c r="E2145" t="s">
        <v>6154</v>
      </c>
      <c r="F2145" t="s">
        <v>6155</v>
      </c>
      <c r="G2145">
        <v>2</v>
      </c>
      <c r="H2145">
        <v>850</v>
      </c>
      <c r="I2145">
        <v>2</v>
      </c>
      <c r="J2145">
        <v>1.55</v>
      </c>
      <c r="K2145">
        <v>2</v>
      </c>
      <c r="L2145">
        <v>4.4999999999999998E-2</v>
      </c>
      <c r="M2145">
        <v>1</v>
      </c>
      <c r="N2145">
        <v>100</v>
      </c>
      <c r="O2145">
        <v>1</v>
      </c>
      <c r="P2145">
        <v>0.15</v>
      </c>
      <c r="Q2145">
        <v>1</v>
      </c>
      <c r="R2145">
        <v>1.75E-3</v>
      </c>
      <c r="T2145" s="8" t="s">
        <v>6154</v>
      </c>
    </row>
    <row r="2146" spans="1:20" x14ac:dyDescent="0.2">
      <c r="A2146" t="s">
        <v>6156</v>
      </c>
      <c r="B2146" t="s">
        <v>2022</v>
      </c>
      <c r="C2146" t="s">
        <v>2053</v>
      </c>
      <c r="D2146" t="s">
        <v>2024</v>
      </c>
      <c r="E2146" t="s">
        <v>6157</v>
      </c>
      <c r="F2146" t="s">
        <v>6158</v>
      </c>
      <c r="G2146">
        <v>2</v>
      </c>
      <c r="H2146">
        <v>1600</v>
      </c>
      <c r="I2146">
        <v>1</v>
      </c>
      <c r="J2146">
        <v>1.55</v>
      </c>
      <c r="K2146">
        <v>1</v>
      </c>
      <c r="L2146">
        <v>1.4999999999999999E-2</v>
      </c>
      <c r="M2146">
        <v>5</v>
      </c>
      <c r="N2146">
        <v>113</v>
      </c>
      <c r="O2146">
        <v>1</v>
      </c>
      <c r="P2146">
        <v>7.4999999999999997E-2</v>
      </c>
      <c r="Q2146">
        <v>1</v>
      </c>
      <c r="R2146">
        <v>8.4999999999999995E-4</v>
      </c>
      <c r="T2146" s="8" t="s">
        <v>6157</v>
      </c>
    </row>
    <row r="2147" spans="1:20" x14ac:dyDescent="0.2">
      <c r="A2147" t="s">
        <v>6159</v>
      </c>
      <c r="B2147" t="s">
        <v>2022</v>
      </c>
      <c r="C2147" t="s">
        <v>2023</v>
      </c>
      <c r="D2147" t="s">
        <v>2024</v>
      </c>
      <c r="E2147" t="s">
        <v>6160</v>
      </c>
      <c r="F2147" t="s">
        <v>6161</v>
      </c>
      <c r="G2147">
        <v>2</v>
      </c>
      <c r="H2147">
        <v>1560</v>
      </c>
      <c r="I2147">
        <v>4</v>
      </c>
      <c r="J2147">
        <v>8.4</v>
      </c>
      <c r="K2147">
        <v>5</v>
      </c>
      <c r="L2147">
        <v>8.5999999999999993E-2</v>
      </c>
      <c r="M2147">
        <v>2</v>
      </c>
      <c r="N2147">
        <v>84</v>
      </c>
      <c r="O2147">
        <v>3</v>
      </c>
      <c r="P2147">
        <v>0.375</v>
      </c>
      <c r="Q2147">
        <v>5</v>
      </c>
      <c r="R2147">
        <v>8.0000000000000002E-3</v>
      </c>
      <c r="T2147" s="8" t="s">
        <v>6160</v>
      </c>
    </row>
    <row r="2148" spans="1:20" x14ac:dyDescent="0.2">
      <c r="A2148" t="s">
        <v>6162</v>
      </c>
      <c r="B2148" t="s">
        <v>2022</v>
      </c>
      <c r="C2148" t="s">
        <v>2036</v>
      </c>
      <c r="D2148" t="s">
        <v>2024</v>
      </c>
      <c r="E2148" t="s">
        <v>6163</v>
      </c>
      <c r="F2148" t="s">
        <v>6164</v>
      </c>
      <c r="G2148">
        <v>1</v>
      </c>
      <c r="H2148">
        <v>1540</v>
      </c>
      <c r="I2148">
        <v>2</v>
      </c>
      <c r="J2148">
        <v>3.4</v>
      </c>
      <c r="K2148">
        <v>1</v>
      </c>
      <c r="L2148">
        <v>5.5E-2</v>
      </c>
      <c r="M2148">
        <v>1</v>
      </c>
      <c r="N2148">
        <v>76</v>
      </c>
      <c r="O2148">
        <v>2</v>
      </c>
      <c r="P2148">
        <v>0.20499999999999999</v>
      </c>
      <c r="Q2148">
        <v>2</v>
      </c>
      <c r="R2148">
        <v>4.2500000000000003E-3</v>
      </c>
      <c r="T2148" s="8" t="s">
        <v>6163</v>
      </c>
    </row>
    <row r="2149" spans="1:20" x14ac:dyDescent="0.2">
      <c r="A2149" t="s">
        <v>6165</v>
      </c>
      <c r="B2149" t="s">
        <v>2022</v>
      </c>
      <c r="C2149" t="s">
        <v>2049</v>
      </c>
      <c r="D2149" t="s">
        <v>2024</v>
      </c>
      <c r="E2149" t="s">
        <v>6166</v>
      </c>
      <c r="F2149" t="s">
        <v>6167</v>
      </c>
      <c r="G2149">
        <v>4</v>
      </c>
      <c r="H2149">
        <v>1650</v>
      </c>
      <c r="I2149">
        <v>4</v>
      </c>
      <c r="J2149">
        <v>6.8</v>
      </c>
      <c r="K2149">
        <v>4</v>
      </c>
      <c r="L2149">
        <v>0.22</v>
      </c>
      <c r="M2149">
        <v>2</v>
      </c>
      <c r="N2149">
        <v>106</v>
      </c>
      <c r="O2149">
        <v>3</v>
      </c>
      <c r="P2149">
        <v>0.46</v>
      </c>
      <c r="Q2149">
        <v>3</v>
      </c>
      <c r="R2149">
        <v>1.52E-2</v>
      </c>
      <c r="T2149" s="8" t="s">
        <v>6166</v>
      </c>
    </row>
    <row r="2150" spans="1:20" x14ac:dyDescent="0.2">
      <c r="A2150" t="s">
        <v>6168</v>
      </c>
      <c r="B2150" t="s">
        <v>2022</v>
      </c>
      <c r="C2150" t="s">
        <v>2036</v>
      </c>
      <c r="D2150" t="s">
        <v>2024</v>
      </c>
      <c r="E2150" t="s">
        <v>6169</v>
      </c>
      <c r="F2150" t="s">
        <v>6170</v>
      </c>
      <c r="G2150">
        <v>2</v>
      </c>
      <c r="H2150">
        <v>1640</v>
      </c>
      <c r="I2150">
        <v>4</v>
      </c>
      <c r="J2150">
        <v>5.8</v>
      </c>
      <c r="K2150">
        <v>1</v>
      </c>
      <c r="L2150">
        <v>5.5E-2</v>
      </c>
      <c r="M2150">
        <v>3</v>
      </c>
      <c r="N2150">
        <v>88</v>
      </c>
      <c r="O2150">
        <v>3</v>
      </c>
      <c r="P2150">
        <v>0.315</v>
      </c>
      <c r="Q2150">
        <v>2</v>
      </c>
      <c r="R2150">
        <v>4.2500000000000003E-3</v>
      </c>
      <c r="T2150" s="8" t="s">
        <v>6169</v>
      </c>
    </row>
    <row r="2151" spans="1:20" x14ac:dyDescent="0.2">
      <c r="A2151" t="s">
        <v>6171</v>
      </c>
      <c r="B2151" t="s">
        <v>2022</v>
      </c>
      <c r="C2151" t="s">
        <v>2036</v>
      </c>
      <c r="D2151" t="s">
        <v>2024</v>
      </c>
      <c r="E2151" t="s">
        <v>6172</v>
      </c>
      <c r="F2151" t="s">
        <v>6173</v>
      </c>
      <c r="G2151">
        <v>2</v>
      </c>
      <c r="H2151">
        <v>1640</v>
      </c>
      <c r="I2151">
        <v>1</v>
      </c>
      <c r="J2151">
        <v>2.2000000000000002</v>
      </c>
      <c r="K2151">
        <v>1</v>
      </c>
      <c r="L2151">
        <v>5.5E-2</v>
      </c>
      <c r="M2151">
        <v>4</v>
      </c>
      <c r="N2151">
        <v>94</v>
      </c>
      <c r="O2151">
        <v>1</v>
      </c>
      <c r="P2151">
        <v>9.5000000000000001E-2</v>
      </c>
      <c r="Q2151">
        <v>1</v>
      </c>
      <c r="R2151">
        <v>1.5E-3</v>
      </c>
      <c r="T2151" s="8" t="s">
        <v>6172</v>
      </c>
    </row>
    <row r="2152" spans="1:20" x14ac:dyDescent="0.2">
      <c r="A2152" t="s">
        <v>6174</v>
      </c>
      <c r="B2152" t="s">
        <v>2022</v>
      </c>
      <c r="C2152" t="s">
        <v>2095</v>
      </c>
      <c r="D2152" t="s">
        <v>2024</v>
      </c>
      <c r="E2152" t="s">
        <v>6175</v>
      </c>
      <c r="F2152" t="s">
        <v>6176</v>
      </c>
      <c r="G2152">
        <v>4</v>
      </c>
      <c r="H2152">
        <v>1835</v>
      </c>
      <c r="I2152">
        <v>1</v>
      </c>
      <c r="J2152">
        <v>4.5</v>
      </c>
      <c r="K2152">
        <v>1</v>
      </c>
      <c r="L2152">
        <v>1.4999999999999999E-2</v>
      </c>
      <c r="M2152">
        <v>5</v>
      </c>
      <c r="N2152">
        <v>98</v>
      </c>
      <c r="O2152">
        <v>1</v>
      </c>
      <c r="P2152">
        <v>0.15</v>
      </c>
      <c r="Q2152">
        <v>1</v>
      </c>
      <c r="R2152">
        <v>6.9999999999999999E-4</v>
      </c>
      <c r="T2152" s="8" t="s">
        <v>6175</v>
      </c>
    </row>
    <row r="2153" spans="1:20" x14ac:dyDescent="0.2">
      <c r="A2153" t="s">
        <v>6177</v>
      </c>
      <c r="B2153" t="s">
        <v>2022</v>
      </c>
      <c r="C2153" t="s">
        <v>2036</v>
      </c>
      <c r="D2153" t="s">
        <v>2024</v>
      </c>
      <c r="E2153" t="s">
        <v>6178</v>
      </c>
      <c r="F2153" t="s">
        <v>6179</v>
      </c>
      <c r="G2153">
        <v>2</v>
      </c>
      <c r="H2153">
        <v>1640</v>
      </c>
      <c r="I2153">
        <v>4</v>
      </c>
      <c r="J2153">
        <v>5.8</v>
      </c>
      <c r="K2153">
        <v>5</v>
      </c>
      <c r="L2153">
        <v>0.17499999999999999</v>
      </c>
      <c r="M2153">
        <v>2</v>
      </c>
      <c r="N2153">
        <v>82</v>
      </c>
      <c r="O2153">
        <v>3</v>
      </c>
      <c r="P2153">
        <v>0.315</v>
      </c>
      <c r="Q2153">
        <v>5</v>
      </c>
      <c r="R2153">
        <v>1.2E-2</v>
      </c>
      <c r="T2153" s="8" t="s">
        <v>6178</v>
      </c>
    </row>
    <row r="2154" spans="1:20" x14ac:dyDescent="0.2">
      <c r="A2154" t="s">
        <v>6180</v>
      </c>
      <c r="B2154" t="s">
        <v>2022</v>
      </c>
      <c r="C2154" t="s">
        <v>2222</v>
      </c>
      <c r="D2154" t="s">
        <v>2024</v>
      </c>
      <c r="E2154" t="s">
        <v>6181</v>
      </c>
      <c r="F2154" t="s">
        <v>6182</v>
      </c>
      <c r="G2154">
        <v>3</v>
      </c>
      <c r="H2154">
        <v>1650</v>
      </c>
      <c r="I2154">
        <v>5</v>
      </c>
      <c r="J2154">
        <v>8.6999999999999993</v>
      </c>
      <c r="K2154">
        <v>5</v>
      </c>
      <c r="L2154">
        <v>0.26500000000000001</v>
      </c>
      <c r="M2154">
        <v>3</v>
      </c>
      <c r="N2154">
        <v>67</v>
      </c>
      <c r="O2154">
        <v>5</v>
      </c>
      <c r="P2154">
        <v>0.39</v>
      </c>
      <c r="Q2154">
        <v>4</v>
      </c>
      <c r="R2154">
        <v>8.3000000000000001E-3</v>
      </c>
      <c r="T2154" s="8" t="s">
        <v>6181</v>
      </c>
    </row>
    <row r="2155" spans="1:20" x14ac:dyDescent="0.2">
      <c r="A2155" t="s">
        <v>6183</v>
      </c>
      <c r="B2155" t="s">
        <v>2022</v>
      </c>
      <c r="C2155" t="s">
        <v>2049</v>
      </c>
      <c r="D2155" t="s">
        <v>2024</v>
      </c>
      <c r="E2155" t="s">
        <v>6184</v>
      </c>
      <c r="F2155" t="s">
        <v>447</v>
      </c>
      <c r="G2155">
        <v>5</v>
      </c>
      <c r="H2155">
        <v>1750</v>
      </c>
      <c r="I2155">
        <v>3</v>
      </c>
      <c r="J2155">
        <v>5</v>
      </c>
      <c r="K2155">
        <v>3</v>
      </c>
      <c r="L2155">
        <v>0.14000000000000001</v>
      </c>
      <c r="M2155">
        <v>3</v>
      </c>
      <c r="N2155">
        <v>126</v>
      </c>
      <c r="O2155">
        <v>3</v>
      </c>
      <c r="P2155">
        <v>0.46</v>
      </c>
      <c r="Q2155">
        <v>3</v>
      </c>
      <c r="R2155">
        <v>1.52E-2</v>
      </c>
      <c r="T2155" s="8" t="s">
        <v>6184</v>
      </c>
    </row>
    <row r="2156" spans="1:20" x14ac:dyDescent="0.2">
      <c r="A2156" t="s">
        <v>6185</v>
      </c>
      <c r="B2156" t="s">
        <v>2022</v>
      </c>
      <c r="C2156" t="s">
        <v>2101</v>
      </c>
      <c r="D2156" t="s">
        <v>2024</v>
      </c>
      <c r="E2156" t="s">
        <v>6186</v>
      </c>
      <c r="F2156" t="s">
        <v>6187</v>
      </c>
      <c r="G2156">
        <v>1</v>
      </c>
      <c r="H2156">
        <v>1570</v>
      </c>
      <c r="I2156">
        <v>1</v>
      </c>
      <c r="J2156">
        <v>2</v>
      </c>
      <c r="K2156">
        <v>1</v>
      </c>
      <c r="L2156">
        <v>1.15E-2</v>
      </c>
      <c r="M2156">
        <v>2</v>
      </c>
      <c r="N2156">
        <v>74</v>
      </c>
      <c r="O2156">
        <v>1</v>
      </c>
      <c r="P2156">
        <v>7.4999999999999997E-2</v>
      </c>
      <c r="Q2156">
        <v>1</v>
      </c>
      <c r="R2156">
        <v>5.0000000000000001E-4</v>
      </c>
      <c r="T2156" s="8" t="s">
        <v>6186</v>
      </c>
    </row>
    <row r="2157" spans="1:20" x14ac:dyDescent="0.2">
      <c r="A2157" t="s">
        <v>6188</v>
      </c>
      <c r="B2157" t="s">
        <v>2022</v>
      </c>
      <c r="C2157" t="s">
        <v>2036</v>
      </c>
      <c r="D2157" t="s">
        <v>2024</v>
      </c>
      <c r="E2157" t="s">
        <v>357</v>
      </c>
      <c r="F2157" t="s">
        <v>6189</v>
      </c>
      <c r="G2157">
        <v>1</v>
      </c>
      <c r="H2157">
        <v>1540</v>
      </c>
      <c r="I2157">
        <v>1</v>
      </c>
      <c r="J2157">
        <v>2.2000000000000002</v>
      </c>
      <c r="K2157">
        <v>1</v>
      </c>
      <c r="L2157">
        <v>5.5E-2</v>
      </c>
      <c r="M2157">
        <v>1</v>
      </c>
      <c r="N2157">
        <v>76</v>
      </c>
      <c r="O2157">
        <v>1</v>
      </c>
      <c r="P2157">
        <v>9.5000000000000001E-2</v>
      </c>
      <c r="Q2157">
        <v>1</v>
      </c>
      <c r="R2157">
        <v>1.5E-3</v>
      </c>
      <c r="T2157" s="8" t="s">
        <v>357</v>
      </c>
    </row>
    <row r="2158" spans="1:20" x14ac:dyDescent="0.2">
      <c r="A2158" t="s">
        <v>6190</v>
      </c>
      <c r="B2158" t="s">
        <v>2022</v>
      </c>
      <c r="C2158" t="s">
        <v>2036</v>
      </c>
      <c r="D2158" t="s">
        <v>2024</v>
      </c>
      <c r="E2158" t="s">
        <v>6191</v>
      </c>
      <c r="F2158" t="s">
        <v>6192</v>
      </c>
      <c r="G2158">
        <v>4</v>
      </c>
      <c r="H2158">
        <v>1840</v>
      </c>
      <c r="I2158">
        <v>5</v>
      </c>
      <c r="J2158">
        <v>7</v>
      </c>
      <c r="K2158">
        <v>5</v>
      </c>
      <c r="L2158">
        <v>0.17499999999999999</v>
      </c>
      <c r="M2158">
        <v>4</v>
      </c>
      <c r="N2158">
        <v>94</v>
      </c>
      <c r="O2158">
        <v>5</v>
      </c>
      <c r="P2158">
        <v>0.53500000000000003</v>
      </c>
      <c r="Q2158">
        <v>5</v>
      </c>
      <c r="R2158">
        <v>1.2E-2</v>
      </c>
      <c r="T2158" s="8" t="s">
        <v>6191</v>
      </c>
    </row>
    <row r="2159" spans="1:20" x14ac:dyDescent="0.2">
      <c r="A2159" t="s">
        <v>6193</v>
      </c>
      <c r="B2159" t="s">
        <v>2022</v>
      </c>
      <c r="C2159" t="s">
        <v>2036</v>
      </c>
      <c r="D2159" t="s">
        <v>2136</v>
      </c>
      <c r="E2159" t="s">
        <v>6194</v>
      </c>
      <c r="F2159" t="s">
        <v>6195</v>
      </c>
      <c r="G2159">
        <v>2</v>
      </c>
      <c r="H2159">
        <v>1640</v>
      </c>
      <c r="I2159">
        <v>5</v>
      </c>
      <c r="J2159">
        <v>7</v>
      </c>
      <c r="K2159">
        <v>5</v>
      </c>
      <c r="L2159">
        <v>0.17499999999999999</v>
      </c>
      <c r="M2159">
        <v>2</v>
      </c>
      <c r="N2159">
        <v>82</v>
      </c>
      <c r="O2159">
        <v>4</v>
      </c>
      <c r="P2159">
        <v>0.42499999999999999</v>
      </c>
      <c r="Q2159">
        <v>5</v>
      </c>
      <c r="R2159">
        <v>1.2E-2</v>
      </c>
      <c r="T2159" s="8" t="s">
        <v>6194</v>
      </c>
    </row>
    <row r="2160" spans="1:20" x14ac:dyDescent="0.2">
      <c r="A2160" t="s">
        <v>6196</v>
      </c>
      <c r="B2160" t="s">
        <v>2022</v>
      </c>
      <c r="C2160" t="s">
        <v>2222</v>
      </c>
      <c r="D2160" t="s">
        <v>2024</v>
      </c>
      <c r="E2160" t="s">
        <v>6197</v>
      </c>
      <c r="F2160" t="s">
        <v>447</v>
      </c>
      <c r="G2160">
        <v>2</v>
      </c>
      <c r="H2160">
        <v>1550</v>
      </c>
      <c r="I2160">
        <v>1</v>
      </c>
      <c r="J2160">
        <v>2.2999999999999998</v>
      </c>
      <c r="K2160">
        <v>2</v>
      </c>
      <c r="L2160">
        <v>5.5E-2</v>
      </c>
      <c r="M2160">
        <v>1</v>
      </c>
      <c r="N2160">
        <v>59</v>
      </c>
      <c r="O2160">
        <v>1</v>
      </c>
      <c r="P2160">
        <v>7.0000000000000007E-2</v>
      </c>
      <c r="Q2160">
        <v>2</v>
      </c>
      <c r="R2160">
        <v>2.3E-3</v>
      </c>
      <c r="T2160" s="8" t="s">
        <v>6197</v>
      </c>
    </row>
    <row r="2161" spans="1:20" x14ac:dyDescent="0.2">
      <c r="A2161" t="s">
        <v>6198</v>
      </c>
      <c r="B2161" t="s">
        <v>2022</v>
      </c>
      <c r="C2161" t="s">
        <v>2095</v>
      </c>
      <c r="D2161" t="s">
        <v>2024</v>
      </c>
      <c r="E2161" t="s">
        <v>6199</v>
      </c>
      <c r="F2161" t="s">
        <v>6200</v>
      </c>
      <c r="G2161">
        <v>4</v>
      </c>
      <c r="H2161">
        <v>1835</v>
      </c>
      <c r="I2161">
        <v>1</v>
      </c>
      <c r="J2161">
        <v>4.5</v>
      </c>
      <c r="K2161">
        <v>2</v>
      </c>
      <c r="L2161">
        <v>0.13</v>
      </c>
      <c r="M2161">
        <v>3</v>
      </c>
      <c r="N2161">
        <v>86</v>
      </c>
      <c r="O2161">
        <v>1</v>
      </c>
      <c r="P2161">
        <v>0.15</v>
      </c>
      <c r="Q2161">
        <v>2</v>
      </c>
      <c r="R2161">
        <v>5.8999999999999999E-3</v>
      </c>
      <c r="T2161" s="8" t="s">
        <v>6199</v>
      </c>
    </row>
    <row r="2162" spans="1:20" x14ac:dyDescent="0.2">
      <c r="A2162" t="s">
        <v>6201</v>
      </c>
      <c r="B2162" t="s">
        <v>2022</v>
      </c>
      <c r="C2162" t="s">
        <v>2023</v>
      </c>
      <c r="D2162" t="s">
        <v>2024</v>
      </c>
      <c r="E2162" t="s">
        <v>6199</v>
      </c>
      <c r="F2162" t="s">
        <v>6200</v>
      </c>
      <c r="G2162">
        <v>5</v>
      </c>
      <c r="H2162">
        <v>1800</v>
      </c>
      <c r="I2162">
        <v>2</v>
      </c>
      <c r="J2162">
        <v>3.4</v>
      </c>
      <c r="K2162">
        <v>1</v>
      </c>
      <c r="L2162">
        <v>6.0000000000000001E-3</v>
      </c>
      <c r="M2162">
        <v>1</v>
      </c>
      <c r="N2162">
        <v>74</v>
      </c>
      <c r="O2162">
        <v>1</v>
      </c>
      <c r="P2162">
        <v>7.4999999999999997E-2</v>
      </c>
      <c r="Q2162">
        <v>1</v>
      </c>
      <c r="R2162">
        <v>5.0000000000000001E-4</v>
      </c>
      <c r="T2162" s="8" t="s">
        <v>6199</v>
      </c>
    </row>
    <row r="2163" spans="1:20" x14ac:dyDescent="0.2">
      <c r="A2163" t="s">
        <v>6202</v>
      </c>
      <c r="B2163" t="s">
        <v>2022</v>
      </c>
      <c r="C2163" t="s">
        <v>2023</v>
      </c>
      <c r="D2163" t="s">
        <v>2024</v>
      </c>
      <c r="E2163" t="s">
        <v>6203</v>
      </c>
      <c r="F2163" t="s">
        <v>6204</v>
      </c>
      <c r="G2163">
        <v>4</v>
      </c>
      <c r="H2163">
        <v>1720</v>
      </c>
      <c r="I2163">
        <v>5</v>
      </c>
      <c r="J2163">
        <v>10.9</v>
      </c>
      <c r="K2163">
        <v>5</v>
      </c>
      <c r="L2163">
        <v>8.5999999999999993E-2</v>
      </c>
      <c r="M2163">
        <v>2</v>
      </c>
      <c r="N2163">
        <v>84</v>
      </c>
      <c r="O2163">
        <v>5</v>
      </c>
      <c r="P2163">
        <v>0.67500000000000004</v>
      </c>
      <c r="Q2163">
        <v>5</v>
      </c>
      <c r="R2163">
        <v>8.0000000000000002E-3</v>
      </c>
      <c r="T2163" s="8" t="s">
        <v>6203</v>
      </c>
    </row>
    <row r="2164" spans="1:20" x14ac:dyDescent="0.2">
      <c r="A2164" t="s">
        <v>6205</v>
      </c>
      <c r="B2164" t="s">
        <v>2022</v>
      </c>
      <c r="C2164" t="s">
        <v>2023</v>
      </c>
      <c r="D2164" t="s">
        <v>2024</v>
      </c>
      <c r="E2164" t="s">
        <v>6206</v>
      </c>
      <c r="F2164" t="s">
        <v>6207</v>
      </c>
      <c r="G2164">
        <v>3</v>
      </c>
      <c r="H2164">
        <v>1640</v>
      </c>
      <c r="I2164">
        <v>5</v>
      </c>
      <c r="J2164">
        <v>10.9</v>
      </c>
      <c r="K2164">
        <v>5</v>
      </c>
      <c r="L2164">
        <v>8.5999999999999993E-2</v>
      </c>
      <c r="M2164">
        <v>2</v>
      </c>
      <c r="N2164">
        <v>84</v>
      </c>
      <c r="O2164">
        <v>4</v>
      </c>
      <c r="P2164">
        <v>0.52500000000000002</v>
      </c>
      <c r="Q2164">
        <v>5</v>
      </c>
      <c r="R2164">
        <v>8.0000000000000002E-3</v>
      </c>
      <c r="T2164" s="8" t="s">
        <v>6206</v>
      </c>
    </row>
    <row r="2165" spans="1:20" x14ac:dyDescent="0.2">
      <c r="A2165" t="s">
        <v>6208</v>
      </c>
      <c r="B2165" t="s">
        <v>2022</v>
      </c>
      <c r="C2165" t="s">
        <v>2023</v>
      </c>
      <c r="D2165" t="s">
        <v>2024</v>
      </c>
      <c r="E2165" t="s">
        <v>357</v>
      </c>
      <c r="F2165" t="s">
        <v>6209</v>
      </c>
      <c r="G2165">
        <v>2</v>
      </c>
      <c r="H2165">
        <v>1560</v>
      </c>
      <c r="I2165">
        <v>2</v>
      </c>
      <c r="J2165">
        <v>3.4</v>
      </c>
      <c r="K2165">
        <v>2</v>
      </c>
      <c r="L2165">
        <v>2.5999999999999999E-2</v>
      </c>
      <c r="M2165">
        <v>5</v>
      </c>
      <c r="N2165">
        <v>114</v>
      </c>
      <c r="O2165">
        <v>5</v>
      </c>
      <c r="P2165">
        <v>0.67500000000000004</v>
      </c>
      <c r="Q2165">
        <v>5</v>
      </c>
      <c r="R2165">
        <v>8.0000000000000002E-3</v>
      </c>
      <c r="T2165" s="8" t="s">
        <v>357</v>
      </c>
    </row>
    <row r="2166" spans="1:20" x14ac:dyDescent="0.2">
      <c r="A2166" t="s">
        <v>6210</v>
      </c>
      <c r="B2166" t="s">
        <v>2022</v>
      </c>
      <c r="C2166" t="s">
        <v>2023</v>
      </c>
      <c r="E2166" t="s">
        <v>2004</v>
      </c>
      <c r="F2166" t="s">
        <v>2005</v>
      </c>
      <c r="G2166">
        <v>4</v>
      </c>
      <c r="H2166">
        <v>1720</v>
      </c>
      <c r="I2166">
        <v>4</v>
      </c>
      <c r="J2166">
        <v>8.4</v>
      </c>
      <c r="K2166">
        <v>4</v>
      </c>
      <c r="L2166">
        <v>0.24299999999999999</v>
      </c>
      <c r="M2166">
        <v>5</v>
      </c>
      <c r="N2166">
        <v>114</v>
      </c>
      <c r="O2166">
        <v>4</v>
      </c>
      <c r="P2166">
        <v>0.52500000000000002</v>
      </c>
      <c r="Q2166">
        <v>4</v>
      </c>
      <c r="R2166">
        <v>1.6E-2</v>
      </c>
      <c r="T2166" s="8" t="s">
        <v>2004</v>
      </c>
    </row>
    <row r="2167" spans="1:20" x14ac:dyDescent="0.2">
      <c r="A2167" t="s">
        <v>6211</v>
      </c>
      <c r="B2167" t="s">
        <v>2022</v>
      </c>
      <c r="C2167" t="s">
        <v>2053</v>
      </c>
      <c r="D2167" t="s">
        <v>2024</v>
      </c>
      <c r="E2167" t="s">
        <v>6212</v>
      </c>
      <c r="F2167" t="s">
        <v>6213</v>
      </c>
      <c r="G2167">
        <v>2</v>
      </c>
      <c r="H2167">
        <v>1600</v>
      </c>
      <c r="I2167">
        <v>3</v>
      </c>
      <c r="J2167">
        <v>6.55</v>
      </c>
      <c r="K2167">
        <v>2</v>
      </c>
      <c r="L2167">
        <v>8.5000000000000006E-2</v>
      </c>
      <c r="M2167">
        <v>1</v>
      </c>
      <c r="N2167">
        <v>73</v>
      </c>
      <c r="O2167">
        <v>2</v>
      </c>
      <c r="P2167">
        <v>0.22500000000000001</v>
      </c>
      <c r="Q2167">
        <v>2</v>
      </c>
      <c r="R2167">
        <v>5.1999999999999998E-3</v>
      </c>
      <c r="T2167" s="8" t="s">
        <v>6212</v>
      </c>
    </row>
    <row r="2168" spans="1:20" x14ac:dyDescent="0.2">
      <c r="A2168" t="s">
        <v>6214</v>
      </c>
      <c r="B2168" t="s">
        <v>2022</v>
      </c>
      <c r="C2168" t="s">
        <v>2023</v>
      </c>
      <c r="D2168" t="s">
        <v>2024</v>
      </c>
      <c r="E2168" t="s">
        <v>6215</v>
      </c>
      <c r="F2168" t="s">
        <v>6216</v>
      </c>
      <c r="G2168">
        <v>1</v>
      </c>
      <c r="H2168">
        <v>1480</v>
      </c>
      <c r="I2168">
        <v>2</v>
      </c>
      <c r="J2168">
        <v>3.4</v>
      </c>
      <c r="K2168">
        <v>2</v>
      </c>
      <c r="L2168">
        <v>2.5999999999999999E-2</v>
      </c>
      <c r="M2168">
        <v>1</v>
      </c>
      <c r="N2168">
        <v>74</v>
      </c>
      <c r="O2168">
        <v>1</v>
      </c>
      <c r="P2168">
        <v>7.4999999999999997E-2</v>
      </c>
      <c r="Q2168">
        <v>2</v>
      </c>
      <c r="R2168">
        <v>2E-3</v>
      </c>
      <c r="T2168" s="8" t="s">
        <v>6215</v>
      </c>
    </row>
    <row r="2169" spans="1:20" x14ac:dyDescent="0.2">
      <c r="A2169" t="s">
        <v>6217</v>
      </c>
      <c r="B2169" t="s">
        <v>2022</v>
      </c>
      <c r="C2169" t="s">
        <v>2036</v>
      </c>
      <c r="D2169" t="s">
        <v>2024</v>
      </c>
      <c r="E2169" t="s">
        <v>6218</v>
      </c>
      <c r="F2169" t="s">
        <v>6219</v>
      </c>
      <c r="G2169">
        <v>2</v>
      </c>
      <c r="H2169">
        <v>1640</v>
      </c>
      <c r="I2169">
        <v>5</v>
      </c>
      <c r="J2169">
        <v>7</v>
      </c>
      <c r="K2169">
        <v>5</v>
      </c>
      <c r="L2169">
        <v>0.17499999999999999</v>
      </c>
      <c r="M2169">
        <v>2</v>
      </c>
      <c r="N2169">
        <v>82</v>
      </c>
      <c r="O2169">
        <v>4</v>
      </c>
      <c r="P2169">
        <v>0.42499999999999999</v>
      </c>
      <c r="Q2169">
        <v>5</v>
      </c>
      <c r="R2169">
        <v>1.2E-2</v>
      </c>
      <c r="T2169" s="8" t="s">
        <v>6218</v>
      </c>
    </row>
    <row r="2170" spans="1:20" x14ac:dyDescent="0.2">
      <c r="A2170" t="s">
        <v>6220</v>
      </c>
      <c r="B2170" t="s">
        <v>2022</v>
      </c>
      <c r="C2170" t="s">
        <v>2036</v>
      </c>
      <c r="D2170" t="s">
        <v>2154</v>
      </c>
      <c r="E2170" t="s">
        <v>357</v>
      </c>
      <c r="F2170" t="s">
        <v>447</v>
      </c>
      <c r="G2170">
        <v>4</v>
      </c>
      <c r="H2170">
        <v>1840</v>
      </c>
      <c r="I2170">
        <v>3</v>
      </c>
      <c r="J2170">
        <v>4.5999999999999996</v>
      </c>
      <c r="K2170">
        <v>5</v>
      </c>
      <c r="L2170">
        <v>0.17499999999999999</v>
      </c>
      <c r="M2170">
        <v>5</v>
      </c>
      <c r="N2170">
        <v>100</v>
      </c>
      <c r="O2170">
        <v>3</v>
      </c>
      <c r="P2170">
        <v>0.315</v>
      </c>
      <c r="Q2170">
        <v>5</v>
      </c>
      <c r="R2170">
        <v>1.2E-2</v>
      </c>
      <c r="T2170" s="8" t="s">
        <v>357</v>
      </c>
    </row>
    <row r="2171" spans="1:20" x14ac:dyDescent="0.2">
      <c r="A2171" t="s">
        <v>6221</v>
      </c>
      <c r="B2171" t="s">
        <v>2022</v>
      </c>
      <c r="C2171" t="s">
        <v>2023</v>
      </c>
      <c r="D2171" t="s">
        <v>2024</v>
      </c>
      <c r="E2171" t="s">
        <v>6222</v>
      </c>
      <c r="F2171" t="s">
        <v>6223</v>
      </c>
      <c r="G2171">
        <v>2</v>
      </c>
      <c r="H2171">
        <v>1560</v>
      </c>
      <c r="I2171">
        <v>2</v>
      </c>
      <c r="J2171">
        <v>3.4</v>
      </c>
      <c r="K2171">
        <v>3</v>
      </c>
      <c r="L2171">
        <v>4.5999999999999999E-2</v>
      </c>
      <c r="M2171">
        <v>1</v>
      </c>
      <c r="N2171">
        <v>74</v>
      </c>
      <c r="O2171">
        <v>1</v>
      </c>
      <c r="P2171">
        <v>7.4999999999999997E-2</v>
      </c>
      <c r="Q2171">
        <v>2</v>
      </c>
      <c r="R2171">
        <v>2E-3</v>
      </c>
      <c r="T2171" s="8" t="s">
        <v>6222</v>
      </c>
    </row>
    <row r="2172" spans="1:20" x14ac:dyDescent="0.2">
      <c r="A2172" t="s">
        <v>6224</v>
      </c>
      <c r="B2172" t="s">
        <v>2022</v>
      </c>
      <c r="C2172" t="s">
        <v>2036</v>
      </c>
      <c r="D2172" t="s">
        <v>2024</v>
      </c>
      <c r="E2172" t="s">
        <v>6225</v>
      </c>
      <c r="F2172" t="s">
        <v>6226</v>
      </c>
      <c r="G2172">
        <v>2</v>
      </c>
      <c r="H2172">
        <v>1640</v>
      </c>
      <c r="I2172">
        <v>1</v>
      </c>
      <c r="J2172">
        <v>2.2000000000000002</v>
      </c>
      <c r="K2172">
        <v>1</v>
      </c>
      <c r="L2172">
        <v>5.5E-2</v>
      </c>
      <c r="M2172">
        <v>1</v>
      </c>
      <c r="N2172">
        <v>76</v>
      </c>
      <c r="O2172">
        <v>1</v>
      </c>
      <c r="P2172">
        <v>9.5000000000000001E-2</v>
      </c>
      <c r="Q2172">
        <v>1</v>
      </c>
      <c r="R2172">
        <v>1.5E-3</v>
      </c>
      <c r="T2172" s="8" t="s">
        <v>6225</v>
      </c>
    </row>
    <row r="2173" spans="1:20" x14ac:dyDescent="0.2">
      <c r="A2173" t="s">
        <v>6227</v>
      </c>
      <c r="B2173" t="s">
        <v>2022</v>
      </c>
      <c r="C2173" t="s">
        <v>2036</v>
      </c>
      <c r="D2173" t="s">
        <v>2024</v>
      </c>
      <c r="E2173" t="s">
        <v>6228</v>
      </c>
      <c r="F2173" t="s">
        <v>6229</v>
      </c>
      <c r="G2173">
        <v>1</v>
      </c>
      <c r="H2173">
        <v>1540</v>
      </c>
      <c r="I2173">
        <v>1</v>
      </c>
      <c r="J2173">
        <v>2.2000000000000002</v>
      </c>
      <c r="K2173">
        <v>1</v>
      </c>
      <c r="L2173">
        <v>5.5E-2</v>
      </c>
      <c r="M2173">
        <v>1</v>
      </c>
      <c r="N2173">
        <v>76</v>
      </c>
      <c r="O2173">
        <v>1</v>
      </c>
      <c r="P2173">
        <v>9.5000000000000001E-2</v>
      </c>
      <c r="Q2173">
        <v>1</v>
      </c>
      <c r="R2173">
        <v>1.5E-3</v>
      </c>
      <c r="T2173" s="8" t="s">
        <v>6228</v>
      </c>
    </row>
    <row r="2174" spans="1:20" x14ac:dyDescent="0.2">
      <c r="A2174" t="s">
        <v>6230</v>
      </c>
      <c r="B2174" t="s">
        <v>2022</v>
      </c>
      <c r="C2174" t="s">
        <v>2036</v>
      </c>
      <c r="D2174" t="s">
        <v>2024</v>
      </c>
      <c r="E2174" t="s">
        <v>6231</v>
      </c>
      <c r="F2174" t="s">
        <v>6232</v>
      </c>
      <c r="G2174">
        <v>2</v>
      </c>
      <c r="H2174">
        <v>1640</v>
      </c>
      <c r="I2174">
        <v>4</v>
      </c>
      <c r="J2174">
        <v>5.8</v>
      </c>
      <c r="K2174">
        <v>4</v>
      </c>
      <c r="L2174">
        <v>0.14499999999999999</v>
      </c>
      <c r="M2174">
        <v>2</v>
      </c>
      <c r="N2174">
        <v>82</v>
      </c>
      <c r="O2174">
        <v>3</v>
      </c>
      <c r="P2174">
        <v>0.315</v>
      </c>
      <c r="Q2174">
        <v>3</v>
      </c>
      <c r="R2174">
        <v>6.7499999999999999E-3</v>
      </c>
      <c r="T2174" s="8" t="s">
        <v>6231</v>
      </c>
    </row>
    <row r="2175" spans="1:20" x14ac:dyDescent="0.2">
      <c r="A2175" t="s">
        <v>6233</v>
      </c>
      <c r="B2175" t="s">
        <v>2022</v>
      </c>
      <c r="C2175" t="s">
        <v>2036</v>
      </c>
      <c r="D2175" t="s">
        <v>2024</v>
      </c>
      <c r="E2175" t="s">
        <v>6234</v>
      </c>
      <c r="F2175" t="s">
        <v>6235</v>
      </c>
      <c r="G2175">
        <v>1</v>
      </c>
      <c r="H2175">
        <v>1540</v>
      </c>
      <c r="I2175">
        <v>5</v>
      </c>
      <c r="J2175">
        <v>7</v>
      </c>
      <c r="K2175">
        <v>4</v>
      </c>
      <c r="L2175">
        <v>0.14499999999999999</v>
      </c>
      <c r="M2175">
        <v>1</v>
      </c>
      <c r="N2175">
        <v>76</v>
      </c>
      <c r="O2175">
        <v>4</v>
      </c>
      <c r="P2175">
        <v>0.42499999999999999</v>
      </c>
      <c r="Q2175">
        <v>3</v>
      </c>
      <c r="R2175">
        <v>6.7499999999999999E-3</v>
      </c>
      <c r="T2175" s="8" t="s">
        <v>6234</v>
      </c>
    </row>
    <row r="2176" spans="1:20" x14ac:dyDescent="0.2">
      <c r="A2176" t="s">
        <v>6236</v>
      </c>
      <c r="B2176" t="s">
        <v>2022</v>
      </c>
      <c r="C2176" t="s">
        <v>2101</v>
      </c>
      <c r="D2176" t="s">
        <v>2024</v>
      </c>
      <c r="E2176" t="s">
        <v>6237</v>
      </c>
      <c r="F2176" t="s">
        <v>6238</v>
      </c>
      <c r="G2176">
        <v>2</v>
      </c>
      <c r="H2176">
        <v>1670</v>
      </c>
      <c r="I2176">
        <v>2</v>
      </c>
      <c r="J2176">
        <v>5</v>
      </c>
      <c r="K2176">
        <v>2</v>
      </c>
      <c r="L2176">
        <v>9.6500000000000002E-2</v>
      </c>
      <c r="M2176">
        <v>1</v>
      </c>
      <c r="N2176">
        <v>66</v>
      </c>
      <c r="O2176">
        <v>2</v>
      </c>
      <c r="P2176">
        <v>0.22500000000000001</v>
      </c>
      <c r="Q2176">
        <v>2</v>
      </c>
      <c r="R2176">
        <v>4.4999999999999997E-3</v>
      </c>
      <c r="T2176" s="8" t="s">
        <v>6237</v>
      </c>
    </row>
    <row r="2177" spans="1:20" x14ac:dyDescent="0.2">
      <c r="A2177" t="s">
        <v>6239</v>
      </c>
      <c r="B2177" t="s">
        <v>2022</v>
      </c>
      <c r="C2177" t="s">
        <v>2101</v>
      </c>
      <c r="D2177" t="s">
        <v>2024</v>
      </c>
      <c r="E2177" t="s">
        <v>6237</v>
      </c>
      <c r="F2177" t="s">
        <v>6238</v>
      </c>
      <c r="G2177">
        <v>5</v>
      </c>
      <c r="H2177">
        <v>1970</v>
      </c>
      <c r="I2177">
        <v>5</v>
      </c>
      <c r="J2177">
        <v>14</v>
      </c>
      <c r="K2177">
        <v>5</v>
      </c>
      <c r="L2177">
        <v>0.53749999999999998</v>
      </c>
      <c r="M2177">
        <v>4</v>
      </c>
      <c r="N2177">
        <v>90</v>
      </c>
      <c r="O2177">
        <v>5</v>
      </c>
      <c r="P2177">
        <v>0.67500000000000004</v>
      </c>
      <c r="Q2177">
        <v>5</v>
      </c>
      <c r="R2177">
        <v>2.5499999999999998E-2</v>
      </c>
      <c r="T2177" s="8" t="s">
        <v>6237</v>
      </c>
    </row>
    <row r="2178" spans="1:20" x14ac:dyDescent="0.2">
      <c r="A2178" t="s">
        <v>6240</v>
      </c>
      <c r="B2178" t="s">
        <v>2022</v>
      </c>
      <c r="C2178" t="s">
        <v>2053</v>
      </c>
      <c r="D2178" t="s">
        <v>2024</v>
      </c>
      <c r="E2178" t="s">
        <v>6241</v>
      </c>
      <c r="F2178" t="s">
        <v>6242</v>
      </c>
      <c r="G2178">
        <v>1</v>
      </c>
      <c r="H2178">
        <v>1500</v>
      </c>
      <c r="I2178">
        <v>1</v>
      </c>
      <c r="J2178">
        <v>1.55</v>
      </c>
      <c r="K2178">
        <v>2</v>
      </c>
      <c r="L2178">
        <v>8.5000000000000006E-2</v>
      </c>
      <c r="M2178">
        <v>5</v>
      </c>
      <c r="N2178">
        <v>113</v>
      </c>
      <c r="O2178">
        <v>2</v>
      </c>
      <c r="P2178">
        <v>0.22500000000000001</v>
      </c>
      <c r="Q2178">
        <v>2</v>
      </c>
      <c r="R2178">
        <v>5.1999999999999998E-3</v>
      </c>
      <c r="T2178" s="8" t="s">
        <v>6241</v>
      </c>
    </row>
    <row r="2179" spans="1:20" x14ac:dyDescent="0.2">
      <c r="A2179" t="s">
        <v>6243</v>
      </c>
      <c r="B2179" t="s">
        <v>2022</v>
      </c>
      <c r="C2179" t="s">
        <v>2023</v>
      </c>
      <c r="D2179" t="s">
        <v>2024</v>
      </c>
      <c r="E2179" t="s">
        <v>357</v>
      </c>
      <c r="F2179" t="s">
        <v>6244</v>
      </c>
      <c r="G2179">
        <v>1</v>
      </c>
      <c r="H2179">
        <v>1480</v>
      </c>
      <c r="I2179">
        <v>2</v>
      </c>
      <c r="J2179">
        <v>3.4</v>
      </c>
      <c r="K2179">
        <v>2</v>
      </c>
      <c r="L2179">
        <v>2.5999999999999999E-2</v>
      </c>
      <c r="M2179">
        <v>5</v>
      </c>
      <c r="N2179">
        <v>114</v>
      </c>
      <c r="O2179">
        <v>5</v>
      </c>
      <c r="P2179">
        <v>0.67500000000000004</v>
      </c>
      <c r="Q2179">
        <v>5</v>
      </c>
      <c r="R2179">
        <v>8.0000000000000002E-3</v>
      </c>
      <c r="T2179" s="8" t="s">
        <v>357</v>
      </c>
    </row>
    <row r="2180" spans="1:20" x14ac:dyDescent="0.2">
      <c r="A2180" t="s">
        <v>6245</v>
      </c>
      <c r="B2180" t="s">
        <v>2022</v>
      </c>
      <c r="C2180" t="s">
        <v>2095</v>
      </c>
      <c r="D2180" t="s">
        <v>2024</v>
      </c>
      <c r="E2180" t="s">
        <v>6246</v>
      </c>
      <c r="F2180" t="s">
        <v>6247</v>
      </c>
      <c r="G2180">
        <v>1</v>
      </c>
      <c r="H2180">
        <v>1565</v>
      </c>
      <c r="I2180">
        <v>1</v>
      </c>
      <c r="J2180">
        <v>4.5</v>
      </c>
      <c r="K2180">
        <v>1</v>
      </c>
      <c r="L2180">
        <v>1.4999999999999999E-2</v>
      </c>
      <c r="M2180">
        <v>1</v>
      </c>
      <c r="N2180">
        <v>74</v>
      </c>
      <c r="O2180">
        <v>1</v>
      </c>
      <c r="P2180">
        <v>0.15</v>
      </c>
      <c r="Q2180">
        <v>1</v>
      </c>
      <c r="R2180">
        <v>6.9999999999999999E-4</v>
      </c>
      <c r="T2180" s="8" t="s">
        <v>6246</v>
      </c>
    </row>
    <row r="2181" spans="1:20" x14ac:dyDescent="0.2">
      <c r="A2181" t="s">
        <v>6248</v>
      </c>
      <c r="B2181" t="s">
        <v>2022</v>
      </c>
      <c r="C2181" t="s">
        <v>2101</v>
      </c>
      <c r="D2181" t="s">
        <v>2024</v>
      </c>
      <c r="E2181" t="s">
        <v>293</v>
      </c>
      <c r="F2181" t="s">
        <v>6249</v>
      </c>
      <c r="G2181">
        <v>1</v>
      </c>
      <c r="H2181">
        <v>1570</v>
      </c>
      <c r="I2181">
        <v>1</v>
      </c>
      <c r="J2181">
        <v>2</v>
      </c>
      <c r="K2181">
        <v>1</v>
      </c>
      <c r="L2181">
        <v>1.15E-2</v>
      </c>
      <c r="M2181">
        <v>2</v>
      </c>
      <c r="N2181">
        <v>74</v>
      </c>
      <c r="O2181">
        <v>1</v>
      </c>
      <c r="P2181">
        <v>7.4999999999999997E-2</v>
      </c>
      <c r="Q2181">
        <v>1</v>
      </c>
      <c r="R2181">
        <v>5.0000000000000001E-4</v>
      </c>
      <c r="T2181" s="8" t="s">
        <v>293</v>
      </c>
    </row>
    <row r="2182" spans="1:20" x14ac:dyDescent="0.2">
      <c r="A2182" t="s">
        <v>6250</v>
      </c>
      <c r="B2182" t="s">
        <v>2022</v>
      </c>
      <c r="C2182" t="s">
        <v>2101</v>
      </c>
      <c r="D2182" t="s">
        <v>2024</v>
      </c>
      <c r="E2182" t="s">
        <v>293</v>
      </c>
      <c r="F2182" t="s">
        <v>6249</v>
      </c>
      <c r="G2182">
        <v>1</v>
      </c>
      <c r="H2182">
        <v>1570</v>
      </c>
      <c r="I2182">
        <v>1</v>
      </c>
      <c r="J2182">
        <v>2</v>
      </c>
      <c r="K2182">
        <v>2</v>
      </c>
      <c r="L2182">
        <v>9.6500000000000002E-2</v>
      </c>
      <c r="M2182">
        <v>1</v>
      </c>
      <c r="N2182">
        <v>66</v>
      </c>
      <c r="O2182">
        <v>1</v>
      </c>
      <c r="P2182">
        <v>7.4999999999999997E-2</v>
      </c>
      <c r="Q2182">
        <v>2</v>
      </c>
      <c r="R2182">
        <v>4.4999999999999997E-3</v>
      </c>
      <c r="T2182" s="8" t="s">
        <v>293</v>
      </c>
    </row>
    <row r="2183" spans="1:20" x14ac:dyDescent="0.2">
      <c r="A2183" t="s">
        <v>6251</v>
      </c>
      <c r="B2183" t="s">
        <v>2022</v>
      </c>
      <c r="C2183" t="s">
        <v>2101</v>
      </c>
      <c r="D2183" t="s">
        <v>2024</v>
      </c>
      <c r="E2183" t="s">
        <v>293</v>
      </c>
      <c r="F2183" t="s">
        <v>6249</v>
      </c>
      <c r="G2183">
        <v>1</v>
      </c>
      <c r="H2183">
        <v>1570</v>
      </c>
      <c r="I2183">
        <v>1</v>
      </c>
      <c r="J2183">
        <v>2</v>
      </c>
      <c r="K2183">
        <v>1</v>
      </c>
      <c r="L2183">
        <v>1.15E-2</v>
      </c>
      <c r="M2183">
        <v>2</v>
      </c>
      <c r="N2183">
        <v>74</v>
      </c>
      <c r="O2183">
        <v>1</v>
      </c>
      <c r="P2183">
        <v>7.4999999999999997E-2</v>
      </c>
      <c r="Q2183">
        <v>1</v>
      </c>
      <c r="R2183">
        <v>5.0000000000000001E-4</v>
      </c>
      <c r="T2183" s="8" t="s">
        <v>293</v>
      </c>
    </row>
    <row r="2184" spans="1:20" x14ac:dyDescent="0.2">
      <c r="A2184" t="s">
        <v>6252</v>
      </c>
      <c r="B2184" t="s">
        <v>2022</v>
      </c>
      <c r="C2184" t="s">
        <v>2036</v>
      </c>
      <c r="D2184" t="s">
        <v>2024</v>
      </c>
      <c r="E2184" t="s">
        <v>293</v>
      </c>
      <c r="F2184" t="s">
        <v>6249</v>
      </c>
      <c r="G2184">
        <v>2</v>
      </c>
      <c r="H2184">
        <v>1640</v>
      </c>
      <c r="I2184">
        <v>2</v>
      </c>
      <c r="J2184">
        <v>3.4</v>
      </c>
      <c r="K2184">
        <v>3</v>
      </c>
      <c r="L2184">
        <v>0.115</v>
      </c>
      <c r="M2184">
        <v>4</v>
      </c>
      <c r="N2184">
        <v>94</v>
      </c>
      <c r="O2184">
        <v>2</v>
      </c>
      <c r="P2184">
        <v>0.20499999999999999</v>
      </c>
      <c r="Q2184">
        <v>3</v>
      </c>
      <c r="R2184">
        <v>6.7499999999999999E-3</v>
      </c>
      <c r="T2184" s="8" t="s">
        <v>293</v>
      </c>
    </row>
    <row r="2185" spans="1:20" x14ac:dyDescent="0.2">
      <c r="A2185" t="s">
        <v>6253</v>
      </c>
      <c r="B2185" t="s">
        <v>2022</v>
      </c>
      <c r="C2185" t="s">
        <v>2023</v>
      </c>
      <c r="D2185" t="s">
        <v>2024</v>
      </c>
      <c r="E2185" t="s">
        <v>6254</v>
      </c>
      <c r="F2185" t="s">
        <v>6255</v>
      </c>
      <c r="G2185">
        <v>2</v>
      </c>
      <c r="H2185">
        <v>1560</v>
      </c>
      <c r="I2185">
        <v>4</v>
      </c>
      <c r="J2185">
        <v>8.4</v>
      </c>
      <c r="K2185">
        <v>5</v>
      </c>
      <c r="L2185">
        <v>8.5999999999999993E-2</v>
      </c>
      <c r="M2185">
        <v>2</v>
      </c>
      <c r="N2185">
        <v>84</v>
      </c>
      <c r="O2185">
        <v>4</v>
      </c>
      <c r="P2185">
        <v>0.52500000000000002</v>
      </c>
      <c r="Q2185">
        <v>5</v>
      </c>
      <c r="R2185">
        <v>8.0000000000000002E-3</v>
      </c>
      <c r="T2185" s="8" t="s">
        <v>6254</v>
      </c>
    </row>
    <row r="2186" spans="1:20" x14ac:dyDescent="0.2">
      <c r="A2186" t="s">
        <v>6256</v>
      </c>
      <c r="B2186" t="s">
        <v>2022</v>
      </c>
      <c r="C2186" t="s">
        <v>2101</v>
      </c>
      <c r="D2186" t="s">
        <v>2024</v>
      </c>
      <c r="E2186" t="s">
        <v>6257</v>
      </c>
      <c r="F2186" t="s">
        <v>6258</v>
      </c>
      <c r="G2186">
        <v>1</v>
      </c>
      <c r="H2186">
        <v>1570</v>
      </c>
      <c r="I2186">
        <v>5</v>
      </c>
      <c r="J2186">
        <v>14</v>
      </c>
      <c r="K2186">
        <v>5</v>
      </c>
      <c r="L2186">
        <v>0.53749999999999998</v>
      </c>
      <c r="M2186">
        <v>2</v>
      </c>
      <c r="N2186">
        <v>74</v>
      </c>
      <c r="O2186">
        <v>5</v>
      </c>
      <c r="P2186">
        <v>0.67500000000000004</v>
      </c>
      <c r="Q2186">
        <v>5</v>
      </c>
      <c r="R2186">
        <v>2.5499999999999998E-2</v>
      </c>
      <c r="T2186" s="8" t="s">
        <v>6257</v>
      </c>
    </row>
    <row r="2187" spans="1:20" x14ac:dyDescent="0.2">
      <c r="A2187" t="s">
        <v>6259</v>
      </c>
      <c r="B2187" t="s">
        <v>2022</v>
      </c>
      <c r="C2187" t="s">
        <v>2036</v>
      </c>
      <c r="D2187" t="s">
        <v>2024</v>
      </c>
      <c r="E2187" t="s">
        <v>6260</v>
      </c>
      <c r="F2187" t="s">
        <v>6261</v>
      </c>
      <c r="G2187">
        <v>2</v>
      </c>
      <c r="H2187">
        <v>1640</v>
      </c>
      <c r="I2187">
        <v>5</v>
      </c>
      <c r="J2187">
        <v>7</v>
      </c>
      <c r="K2187">
        <v>5</v>
      </c>
      <c r="L2187">
        <v>0.17499999999999999</v>
      </c>
      <c r="M2187">
        <v>2</v>
      </c>
      <c r="N2187">
        <v>82</v>
      </c>
      <c r="O2187">
        <v>3</v>
      </c>
      <c r="P2187">
        <v>0.315</v>
      </c>
      <c r="Q2187">
        <v>5</v>
      </c>
      <c r="R2187">
        <v>1.2E-2</v>
      </c>
      <c r="T2187" s="8" t="s">
        <v>6260</v>
      </c>
    </row>
    <row r="2188" spans="1:20" x14ac:dyDescent="0.2">
      <c r="A2188" t="s">
        <v>6262</v>
      </c>
      <c r="B2188" t="s">
        <v>2022</v>
      </c>
      <c r="C2188" t="s">
        <v>2053</v>
      </c>
      <c r="D2188" t="s">
        <v>2024</v>
      </c>
      <c r="E2188" t="s">
        <v>6263</v>
      </c>
      <c r="F2188" t="s">
        <v>6264</v>
      </c>
      <c r="G2188">
        <v>1</v>
      </c>
      <c r="H2188">
        <v>1500</v>
      </c>
      <c r="I2188">
        <v>2</v>
      </c>
      <c r="J2188">
        <v>4.05</v>
      </c>
      <c r="K2188">
        <v>2</v>
      </c>
      <c r="L2188">
        <v>8.5000000000000006E-2</v>
      </c>
      <c r="M2188">
        <v>1</v>
      </c>
      <c r="N2188">
        <v>73</v>
      </c>
      <c r="O2188">
        <v>2</v>
      </c>
      <c r="P2188">
        <v>0.22500000000000001</v>
      </c>
      <c r="Q2188">
        <v>2</v>
      </c>
      <c r="R2188">
        <v>5.1999999999999998E-3</v>
      </c>
      <c r="T2188" s="8" t="s">
        <v>6263</v>
      </c>
    </row>
    <row r="2189" spans="1:20" x14ac:dyDescent="0.2">
      <c r="A2189" t="s">
        <v>6265</v>
      </c>
      <c r="B2189" t="s">
        <v>2022</v>
      </c>
      <c r="C2189" t="s">
        <v>2036</v>
      </c>
      <c r="D2189" t="s">
        <v>2024</v>
      </c>
      <c r="E2189" t="s">
        <v>6266</v>
      </c>
      <c r="F2189" t="s">
        <v>6267</v>
      </c>
      <c r="G2189">
        <v>3</v>
      </c>
      <c r="H2189">
        <v>1740</v>
      </c>
      <c r="I2189">
        <v>5</v>
      </c>
      <c r="J2189">
        <v>7</v>
      </c>
      <c r="K2189">
        <v>5</v>
      </c>
      <c r="L2189">
        <v>0.17499999999999999</v>
      </c>
      <c r="M2189">
        <v>3</v>
      </c>
      <c r="N2189">
        <v>88</v>
      </c>
      <c r="O2189">
        <v>5</v>
      </c>
      <c r="P2189">
        <v>0.53500000000000003</v>
      </c>
      <c r="Q2189">
        <v>5</v>
      </c>
      <c r="R2189">
        <v>1.2E-2</v>
      </c>
      <c r="T2189" s="8" t="s">
        <v>6266</v>
      </c>
    </row>
    <row r="2190" spans="1:20" x14ac:dyDescent="0.2">
      <c r="A2190" t="s">
        <v>6268</v>
      </c>
      <c r="B2190" t="s">
        <v>2022</v>
      </c>
      <c r="C2190" t="s">
        <v>2049</v>
      </c>
      <c r="D2190" t="s">
        <v>2154</v>
      </c>
      <c r="E2190" t="s">
        <v>6269</v>
      </c>
      <c r="F2190" t="s">
        <v>6270</v>
      </c>
      <c r="G2190">
        <v>5</v>
      </c>
      <c r="H2190">
        <v>1750</v>
      </c>
      <c r="I2190">
        <v>5</v>
      </c>
      <c r="J2190">
        <v>8.6</v>
      </c>
      <c r="K2190">
        <v>5</v>
      </c>
      <c r="L2190">
        <v>0.3</v>
      </c>
      <c r="M2190">
        <v>3</v>
      </c>
      <c r="N2190">
        <v>126</v>
      </c>
      <c r="O2190">
        <v>5</v>
      </c>
      <c r="P2190">
        <v>0.86</v>
      </c>
      <c r="Q2190">
        <v>5</v>
      </c>
      <c r="R2190">
        <v>3.32E-2</v>
      </c>
      <c r="T2190" s="8" t="s">
        <v>6269</v>
      </c>
    </row>
    <row r="2191" spans="1:20" x14ac:dyDescent="0.2">
      <c r="A2191" t="s">
        <v>6271</v>
      </c>
      <c r="B2191" t="s">
        <v>2022</v>
      </c>
      <c r="C2191" t="s">
        <v>2095</v>
      </c>
      <c r="D2191" t="s">
        <v>2024</v>
      </c>
      <c r="E2191" t="s">
        <v>6272</v>
      </c>
      <c r="F2191" t="s">
        <v>6273</v>
      </c>
      <c r="G2191">
        <v>5</v>
      </c>
      <c r="H2191">
        <v>1925</v>
      </c>
      <c r="I2191">
        <v>2</v>
      </c>
      <c r="J2191">
        <v>7.5</v>
      </c>
      <c r="K2191">
        <v>2</v>
      </c>
      <c r="L2191">
        <v>0.13</v>
      </c>
      <c r="M2191">
        <v>4</v>
      </c>
      <c r="N2191">
        <v>92</v>
      </c>
      <c r="O2191">
        <v>2</v>
      </c>
      <c r="P2191">
        <v>0.35</v>
      </c>
      <c r="Q2191">
        <v>2</v>
      </c>
      <c r="R2191">
        <v>5.8999999999999999E-3</v>
      </c>
      <c r="T2191" s="8" t="s">
        <v>6272</v>
      </c>
    </row>
    <row r="2192" spans="1:20" x14ac:dyDescent="0.2">
      <c r="A2192" t="s">
        <v>6274</v>
      </c>
      <c r="B2192" t="s">
        <v>2022</v>
      </c>
      <c r="C2192" t="s">
        <v>2023</v>
      </c>
      <c r="D2192" t="s">
        <v>2024</v>
      </c>
      <c r="E2192" t="s">
        <v>6275</v>
      </c>
      <c r="F2192" t="s">
        <v>6276</v>
      </c>
      <c r="G2192">
        <v>5</v>
      </c>
      <c r="H2192">
        <v>1800</v>
      </c>
      <c r="I2192">
        <v>2</v>
      </c>
      <c r="J2192">
        <v>3.4</v>
      </c>
      <c r="K2192">
        <v>2</v>
      </c>
      <c r="L2192">
        <v>2.5999999999999999E-2</v>
      </c>
      <c r="M2192">
        <v>3</v>
      </c>
      <c r="N2192">
        <v>94</v>
      </c>
      <c r="O2192">
        <v>2</v>
      </c>
      <c r="P2192">
        <v>0.22500000000000001</v>
      </c>
      <c r="Q2192">
        <v>1</v>
      </c>
      <c r="R2192">
        <v>5.0000000000000001E-4</v>
      </c>
      <c r="T2192" s="8" t="s">
        <v>6275</v>
      </c>
    </row>
    <row r="2193" spans="1:20" x14ac:dyDescent="0.2">
      <c r="A2193" t="s">
        <v>6277</v>
      </c>
      <c r="B2193" t="s">
        <v>2022</v>
      </c>
      <c r="C2193" t="s">
        <v>2023</v>
      </c>
      <c r="D2193" t="s">
        <v>2024</v>
      </c>
      <c r="E2193" t="s">
        <v>6278</v>
      </c>
      <c r="F2193" t="s">
        <v>6279</v>
      </c>
      <c r="G2193">
        <v>4</v>
      </c>
      <c r="H2193">
        <v>1720</v>
      </c>
      <c r="I2193">
        <v>1</v>
      </c>
      <c r="J2193">
        <v>0.9</v>
      </c>
      <c r="K2193">
        <v>1</v>
      </c>
      <c r="L2193">
        <v>6.0000000000000001E-3</v>
      </c>
      <c r="M2193">
        <v>3</v>
      </c>
      <c r="N2193">
        <v>94</v>
      </c>
      <c r="O2193">
        <v>1</v>
      </c>
      <c r="P2193">
        <v>7.4999999999999997E-2</v>
      </c>
      <c r="Q2193">
        <v>1</v>
      </c>
      <c r="R2193">
        <v>5.0000000000000001E-4</v>
      </c>
      <c r="T2193" s="8" t="s">
        <v>6278</v>
      </c>
    </row>
    <row r="2194" spans="1:20" x14ac:dyDescent="0.2">
      <c r="A2194" t="s">
        <v>6280</v>
      </c>
      <c r="B2194" t="s">
        <v>2022</v>
      </c>
      <c r="C2194" t="s">
        <v>2053</v>
      </c>
      <c r="D2194" t="s">
        <v>2024</v>
      </c>
      <c r="E2194" t="s">
        <v>6281</v>
      </c>
      <c r="F2194" t="s">
        <v>447</v>
      </c>
      <c r="G2194">
        <v>1</v>
      </c>
      <c r="H2194">
        <v>1500</v>
      </c>
      <c r="I2194">
        <v>2</v>
      </c>
      <c r="J2194">
        <v>4.05</v>
      </c>
      <c r="K2194">
        <v>1</v>
      </c>
      <c r="L2194">
        <v>1.4999999999999999E-2</v>
      </c>
      <c r="M2194">
        <v>2</v>
      </c>
      <c r="N2194">
        <v>83</v>
      </c>
      <c r="O2194">
        <v>2</v>
      </c>
      <c r="P2194">
        <v>0.22500000000000001</v>
      </c>
      <c r="Q2194">
        <v>1</v>
      </c>
      <c r="R2194">
        <v>8.4999999999999995E-4</v>
      </c>
      <c r="T2194" s="8" t="s">
        <v>6281</v>
      </c>
    </row>
    <row r="2195" spans="1:20" x14ac:dyDescent="0.2">
      <c r="A2195" t="s">
        <v>6282</v>
      </c>
      <c r="B2195" t="s">
        <v>2022</v>
      </c>
      <c r="C2195" t="s">
        <v>2023</v>
      </c>
      <c r="D2195" t="s">
        <v>2024</v>
      </c>
      <c r="E2195" t="s">
        <v>6283</v>
      </c>
      <c r="F2195" t="s">
        <v>6284</v>
      </c>
      <c r="G2195">
        <v>1</v>
      </c>
      <c r="H2195">
        <v>1480</v>
      </c>
      <c r="I2195">
        <v>1</v>
      </c>
      <c r="J2195">
        <v>0.9</v>
      </c>
      <c r="K2195">
        <v>1</v>
      </c>
      <c r="L2195">
        <v>6.0000000000000001E-3</v>
      </c>
      <c r="M2195">
        <v>2</v>
      </c>
      <c r="N2195">
        <v>84</v>
      </c>
      <c r="O2195">
        <v>1</v>
      </c>
      <c r="P2195">
        <v>7.4999999999999997E-2</v>
      </c>
      <c r="Q2195">
        <v>1</v>
      </c>
      <c r="R2195">
        <v>5.0000000000000001E-4</v>
      </c>
      <c r="T2195" s="8" t="s">
        <v>6283</v>
      </c>
    </row>
    <row r="2196" spans="1:20" x14ac:dyDescent="0.2">
      <c r="A2196" t="s">
        <v>6285</v>
      </c>
      <c r="B2196" t="s">
        <v>2022</v>
      </c>
      <c r="C2196" t="s">
        <v>2049</v>
      </c>
      <c r="D2196" t="s">
        <v>2024</v>
      </c>
      <c r="E2196" t="s">
        <v>6286</v>
      </c>
      <c r="F2196" t="s">
        <v>447</v>
      </c>
      <c r="G2196">
        <v>2</v>
      </c>
      <c r="H2196">
        <v>1450</v>
      </c>
      <c r="I2196">
        <v>4</v>
      </c>
      <c r="J2196">
        <v>6.8</v>
      </c>
      <c r="K2196">
        <v>3</v>
      </c>
      <c r="L2196">
        <v>0.14000000000000001</v>
      </c>
      <c r="M2196">
        <v>1</v>
      </c>
      <c r="N2196">
        <v>86</v>
      </c>
      <c r="O2196">
        <v>3</v>
      </c>
      <c r="P2196">
        <v>0.46</v>
      </c>
      <c r="Q2196">
        <v>3</v>
      </c>
      <c r="R2196">
        <v>1.52E-2</v>
      </c>
      <c r="T2196" s="8" t="s">
        <v>6286</v>
      </c>
    </row>
    <row r="2197" spans="1:20" x14ac:dyDescent="0.2">
      <c r="A2197" t="s">
        <v>6287</v>
      </c>
      <c r="B2197" t="s">
        <v>2022</v>
      </c>
      <c r="C2197" t="s">
        <v>2023</v>
      </c>
      <c r="D2197" t="s">
        <v>2024</v>
      </c>
      <c r="E2197" t="s">
        <v>6288</v>
      </c>
      <c r="F2197" t="s">
        <v>6289</v>
      </c>
      <c r="G2197">
        <v>1</v>
      </c>
      <c r="H2197">
        <v>1480</v>
      </c>
      <c r="I2197">
        <v>3</v>
      </c>
      <c r="J2197">
        <v>5.9</v>
      </c>
      <c r="K2197">
        <v>2</v>
      </c>
      <c r="L2197">
        <v>2.5999999999999999E-2</v>
      </c>
      <c r="M2197">
        <v>3</v>
      </c>
      <c r="N2197">
        <v>94</v>
      </c>
      <c r="O2197">
        <v>4</v>
      </c>
      <c r="P2197">
        <v>0.52500000000000002</v>
      </c>
      <c r="Q2197">
        <v>2</v>
      </c>
      <c r="R2197">
        <v>2E-3</v>
      </c>
      <c r="T2197" s="8" t="s">
        <v>6288</v>
      </c>
    </row>
    <row r="2198" spans="1:20" x14ac:dyDescent="0.2">
      <c r="A2198" t="s">
        <v>6290</v>
      </c>
      <c r="B2198" t="s">
        <v>2022</v>
      </c>
      <c r="C2198" t="s">
        <v>2053</v>
      </c>
      <c r="D2198" t="s">
        <v>2024</v>
      </c>
      <c r="E2198" t="s">
        <v>6291</v>
      </c>
      <c r="F2198" t="s">
        <v>6292</v>
      </c>
      <c r="G2198">
        <v>1</v>
      </c>
      <c r="H2198">
        <v>1500</v>
      </c>
      <c r="I2198">
        <v>2</v>
      </c>
      <c r="J2198">
        <v>4.05</v>
      </c>
      <c r="K2198">
        <v>3</v>
      </c>
      <c r="L2198">
        <v>0.19500000000000001</v>
      </c>
      <c r="M2198">
        <v>5</v>
      </c>
      <c r="N2198">
        <v>113</v>
      </c>
      <c r="O2198">
        <v>3</v>
      </c>
      <c r="P2198">
        <v>0.375</v>
      </c>
      <c r="Q2198">
        <v>3</v>
      </c>
      <c r="R2198">
        <v>1.2200000000000001E-2</v>
      </c>
      <c r="T2198" s="8" t="s">
        <v>6291</v>
      </c>
    </row>
    <row r="2199" spans="1:20" x14ac:dyDescent="0.2">
      <c r="A2199" t="s">
        <v>6293</v>
      </c>
      <c r="B2199" t="s">
        <v>2022</v>
      </c>
      <c r="C2199" t="s">
        <v>2036</v>
      </c>
      <c r="D2199" t="s">
        <v>2024</v>
      </c>
      <c r="E2199" t="s">
        <v>6294</v>
      </c>
      <c r="F2199" t="s">
        <v>6295</v>
      </c>
      <c r="G2199">
        <v>5</v>
      </c>
      <c r="H2199">
        <v>1940</v>
      </c>
      <c r="I2199">
        <v>2</v>
      </c>
      <c r="J2199">
        <v>3.4</v>
      </c>
      <c r="K2199">
        <v>2</v>
      </c>
      <c r="L2199">
        <v>8.5000000000000006E-2</v>
      </c>
      <c r="M2199">
        <v>4</v>
      </c>
      <c r="N2199">
        <v>94</v>
      </c>
      <c r="O2199">
        <v>2</v>
      </c>
      <c r="P2199">
        <v>0.20499999999999999</v>
      </c>
      <c r="Q2199">
        <v>2</v>
      </c>
      <c r="R2199">
        <v>4.2500000000000003E-3</v>
      </c>
      <c r="T2199" s="8" t="s">
        <v>6294</v>
      </c>
    </row>
    <row r="2200" spans="1:20" x14ac:dyDescent="0.2">
      <c r="A2200" t="s">
        <v>6296</v>
      </c>
      <c r="B2200" t="s">
        <v>2022</v>
      </c>
      <c r="C2200" t="s">
        <v>2023</v>
      </c>
      <c r="D2200" t="s">
        <v>2024</v>
      </c>
      <c r="E2200" t="s">
        <v>6297</v>
      </c>
      <c r="F2200" t="s">
        <v>6298</v>
      </c>
      <c r="G2200">
        <v>4</v>
      </c>
      <c r="H2200">
        <v>1720</v>
      </c>
      <c r="I2200">
        <v>5</v>
      </c>
      <c r="J2200">
        <v>10.9</v>
      </c>
      <c r="K2200">
        <v>5</v>
      </c>
      <c r="L2200">
        <v>8.5999999999999993E-2</v>
      </c>
      <c r="M2200">
        <v>2</v>
      </c>
      <c r="N2200">
        <v>84</v>
      </c>
      <c r="O2200">
        <v>5</v>
      </c>
      <c r="P2200">
        <v>0.67500000000000004</v>
      </c>
      <c r="Q2200">
        <v>5</v>
      </c>
      <c r="R2200">
        <v>8.0000000000000002E-3</v>
      </c>
      <c r="T2200" s="8" t="s">
        <v>6297</v>
      </c>
    </row>
    <row r="2201" spans="1:20" x14ac:dyDescent="0.2">
      <c r="A2201" t="s">
        <v>6299</v>
      </c>
      <c r="B2201" t="s">
        <v>2022</v>
      </c>
      <c r="C2201" t="s">
        <v>2053</v>
      </c>
      <c r="D2201" t="s">
        <v>2024</v>
      </c>
      <c r="E2201" t="s">
        <v>6300</v>
      </c>
      <c r="F2201" t="s">
        <v>6301</v>
      </c>
      <c r="G2201">
        <v>2</v>
      </c>
      <c r="H2201">
        <v>1600</v>
      </c>
      <c r="I2201">
        <v>5</v>
      </c>
      <c r="J2201">
        <v>11.55</v>
      </c>
      <c r="K2201">
        <v>5</v>
      </c>
      <c r="L2201">
        <v>0.41499999999999998</v>
      </c>
      <c r="M2201">
        <v>3</v>
      </c>
      <c r="N2201">
        <v>93</v>
      </c>
      <c r="O2201">
        <v>5</v>
      </c>
      <c r="P2201">
        <v>0.67500000000000004</v>
      </c>
      <c r="Q2201">
        <v>5</v>
      </c>
      <c r="R2201">
        <v>2.6200000000000001E-2</v>
      </c>
      <c r="T2201" s="8" t="s">
        <v>6300</v>
      </c>
    </row>
    <row r="2202" spans="1:20" x14ac:dyDescent="0.2">
      <c r="A2202" t="s">
        <v>6302</v>
      </c>
      <c r="B2202" t="s">
        <v>2022</v>
      </c>
      <c r="C2202" t="s">
        <v>2101</v>
      </c>
      <c r="D2202" t="s">
        <v>2024</v>
      </c>
      <c r="E2202" t="s">
        <v>6303</v>
      </c>
      <c r="F2202" t="s">
        <v>6304</v>
      </c>
      <c r="G2202">
        <v>1</v>
      </c>
      <c r="H2202">
        <v>1570</v>
      </c>
      <c r="I2202">
        <v>2</v>
      </c>
      <c r="J2202">
        <v>5</v>
      </c>
      <c r="K2202">
        <v>1</v>
      </c>
      <c r="L2202">
        <v>1.15E-2</v>
      </c>
      <c r="M2202">
        <v>1</v>
      </c>
      <c r="N2202">
        <v>66</v>
      </c>
      <c r="O2202">
        <v>1</v>
      </c>
      <c r="P2202">
        <v>7.4999999999999997E-2</v>
      </c>
      <c r="Q2202">
        <v>1</v>
      </c>
      <c r="R2202">
        <v>5.0000000000000001E-4</v>
      </c>
      <c r="T2202" s="8" t="s">
        <v>6303</v>
      </c>
    </row>
    <row r="2203" spans="1:20" x14ac:dyDescent="0.2">
      <c r="A2203" t="s">
        <v>6305</v>
      </c>
      <c r="B2203" t="s">
        <v>2022</v>
      </c>
      <c r="C2203" t="s">
        <v>2036</v>
      </c>
      <c r="D2203" t="s">
        <v>2024</v>
      </c>
      <c r="E2203" t="s">
        <v>6306</v>
      </c>
      <c r="F2203" t="s">
        <v>6307</v>
      </c>
      <c r="G2203">
        <v>1</v>
      </c>
      <c r="H2203">
        <v>1540</v>
      </c>
      <c r="I2203">
        <v>2</v>
      </c>
      <c r="J2203">
        <v>3.4</v>
      </c>
      <c r="K2203">
        <v>1</v>
      </c>
      <c r="L2203">
        <v>5.5E-2</v>
      </c>
      <c r="M2203">
        <v>2</v>
      </c>
      <c r="N2203">
        <v>82</v>
      </c>
      <c r="O2203">
        <v>2</v>
      </c>
      <c r="P2203">
        <v>0.20499999999999999</v>
      </c>
      <c r="Q2203">
        <v>2</v>
      </c>
      <c r="R2203">
        <v>4.2500000000000003E-3</v>
      </c>
      <c r="T2203" s="8" t="s">
        <v>6306</v>
      </c>
    </row>
    <row r="2204" spans="1:20" x14ac:dyDescent="0.2">
      <c r="A2204" t="s">
        <v>6308</v>
      </c>
      <c r="B2204" t="s">
        <v>2022</v>
      </c>
      <c r="C2204" t="s">
        <v>2036</v>
      </c>
      <c r="D2204" t="s">
        <v>2024</v>
      </c>
      <c r="E2204" t="s">
        <v>6309</v>
      </c>
      <c r="F2204" t="s">
        <v>6310</v>
      </c>
      <c r="G2204">
        <v>2</v>
      </c>
      <c r="H2204">
        <v>1640</v>
      </c>
      <c r="I2204">
        <v>2</v>
      </c>
      <c r="J2204">
        <v>3.4</v>
      </c>
      <c r="K2204">
        <v>4</v>
      </c>
      <c r="L2204">
        <v>0.14499999999999999</v>
      </c>
      <c r="M2204">
        <v>2</v>
      </c>
      <c r="N2204">
        <v>82</v>
      </c>
      <c r="O2204">
        <v>2</v>
      </c>
      <c r="P2204">
        <v>0.20499999999999999</v>
      </c>
      <c r="Q2204">
        <v>3</v>
      </c>
      <c r="R2204">
        <v>6.7499999999999999E-3</v>
      </c>
      <c r="T2204" s="8" t="s">
        <v>6309</v>
      </c>
    </row>
    <row r="2205" spans="1:20" x14ac:dyDescent="0.2">
      <c r="A2205" t="s">
        <v>6311</v>
      </c>
      <c r="B2205" t="s">
        <v>2022</v>
      </c>
      <c r="C2205" t="s">
        <v>2053</v>
      </c>
      <c r="D2205" t="s">
        <v>2024</v>
      </c>
      <c r="E2205" t="s">
        <v>6312</v>
      </c>
      <c r="F2205" t="s">
        <v>6313</v>
      </c>
      <c r="G2205">
        <v>2</v>
      </c>
      <c r="H2205">
        <v>1600</v>
      </c>
      <c r="I2205">
        <v>4</v>
      </c>
      <c r="J2205">
        <v>9.0500000000000007</v>
      </c>
      <c r="K2205">
        <v>4</v>
      </c>
      <c r="L2205">
        <v>0.30499999999999999</v>
      </c>
      <c r="M2205">
        <v>3</v>
      </c>
      <c r="N2205">
        <v>93</v>
      </c>
      <c r="O2205">
        <v>4</v>
      </c>
      <c r="P2205">
        <v>0.52500000000000002</v>
      </c>
      <c r="Q2205">
        <v>3</v>
      </c>
      <c r="R2205">
        <v>1.2200000000000001E-2</v>
      </c>
      <c r="T2205" s="8" t="s">
        <v>6312</v>
      </c>
    </row>
    <row r="2206" spans="1:20" x14ac:dyDescent="0.2">
      <c r="A2206" t="s">
        <v>6314</v>
      </c>
      <c r="B2206" t="s">
        <v>2022</v>
      </c>
      <c r="C2206" t="s">
        <v>2023</v>
      </c>
      <c r="D2206" t="s">
        <v>2024</v>
      </c>
      <c r="E2206" t="s">
        <v>6315</v>
      </c>
      <c r="F2206" t="s">
        <v>6316</v>
      </c>
      <c r="G2206">
        <v>1</v>
      </c>
      <c r="H2206">
        <v>1480</v>
      </c>
      <c r="I2206">
        <v>3</v>
      </c>
      <c r="J2206">
        <v>5.9</v>
      </c>
      <c r="K2206">
        <v>5</v>
      </c>
      <c r="L2206">
        <v>8.5999999999999993E-2</v>
      </c>
      <c r="M2206">
        <v>3</v>
      </c>
      <c r="N2206">
        <v>94</v>
      </c>
      <c r="O2206">
        <v>3</v>
      </c>
      <c r="P2206">
        <v>0.375</v>
      </c>
      <c r="Q2206">
        <v>5</v>
      </c>
      <c r="R2206">
        <v>8.0000000000000002E-3</v>
      </c>
      <c r="T2206" s="8" t="s">
        <v>6315</v>
      </c>
    </row>
    <row r="2207" spans="1:20" x14ac:dyDescent="0.2">
      <c r="A2207" t="s">
        <v>6317</v>
      </c>
      <c r="B2207" t="s">
        <v>2022</v>
      </c>
      <c r="C2207" t="s">
        <v>2173</v>
      </c>
      <c r="D2207" t="s">
        <v>2154</v>
      </c>
      <c r="E2207" t="s">
        <v>357</v>
      </c>
      <c r="F2207" t="s">
        <v>447</v>
      </c>
      <c r="G2207">
        <v>1</v>
      </c>
      <c r="H2207">
        <v>1882.5</v>
      </c>
      <c r="I2207">
        <v>2</v>
      </c>
      <c r="J2207">
        <v>6.35</v>
      </c>
      <c r="K2207">
        <v>1</v>
      </c>
      <c r="L2207">
        <v>1.4999999999999999E-2</v>
      </c>
      <c r="M2207">
        <v>2</v>
      </c>
      <c r="N2207">
        <v>107.5</v>
      </c>
      <c r="O2207">
        <v>2</v>
      </c>
      <c r="P2207">
        <v>0.33</v>
      </c>
      <c r="Q2207">
        <v>2</v>
      </c>
      <c r="R2207">
        <v>4.7999999999999996E-3</v>
      </c>
      <c r="T2207" s="8" t="s">
        <v>357</v>
      </c>
    </row>
    <row r="2208" spans="1:20" x14ac:dyDescent="0.2">
      <c r="A2208" t="s">
        <v>6318</v>
      </c>
      <c r="B2208" t="s">
        <v>2022</v>
      </c>
      <c r="C2208" t="s">
        <v>2173</v>
      </c>
      <c r="D2208" t="s">
        <v>2154</v>
      </c>
      <c r="E2208" t="s">
        <v>357</v>
      </c>
      <c r="F2208" t="s">
        <v>447</v>
      </c>
      <c r="G2208">
        <v>5</v>
      </c>
      <c r="H2208">
        <v>2182.5</v>
      </c>
      <c r="I2208">
        <v>1</v>
      </c>
      <c r="J2208">
        <v>3.65</v>
      </c>
      <c r="K2208">
        <v>2</v>
      </c>
      <c r="L2208">
        <v>0.09</v>
      </c>
      <c r="M2208">
        <v>5</v>
      </c>
      <c r="N2208">
        <v>140.5</v>
      </c>
      <c r="O2208">
        <v>2</v>
      </c>
      <c r="P2208">
        <v>0.33</v>
      </c>
      <c r="Q2208">
        <v>2</v>
      </c>
      <c r="R2208">
        <v>4.7999999999999996E-3</v>
      </c>
      <c r="T2208" s="8" t="s">
        <v>357</v>
      </c>
    </row>
    <row r="2209" spans="1:20" x14ac:dyDescent="0.2">
      <c r="A2209" t="s">
        <v>6319</v>
      </c>
      <c r="B2209" t="s">
        <v>2022</v>
      </c>
      <c r="C2209" t="s">
        <v>2053</v>
      </c>
      <c r="D2209" t="s">
        <v>2024</v>
      </c>
      <c r="E2209" t="s">
        <v>6320</v>
      </c>
      <c r="F2209" t="s">
        <v>6321</v>
      </c>
      <c r="G2209">
        <v>2</v>
      </c>
      <c r="H2209">
        <v>1600</v>
      </c>
      <c r="I2209">
        <v>1</v>
      </c>
      <c r="J2209">
        <v>1.55</v>
      </c>
      <c r="K2209">
        <v>1</v>
      </c>
      <c r="L2209">
        <v>1.4999999999999999E-2</v>
      </c>
      <c r="M2209">
        <v>1</v>
      </c>
      <c r="N2209">
        <v>73</v>
      </c>
      <c r="O2209">
        <v>1</v>
      </c>
      <c r="P2209">
        <v>7.4999999999999997E-2</v>
      </c>
      <c r="Q2209">
        <v>1</v>
      </c>
      <c r="R2209">
        <v>8.4999999999999995E-4</v>
      </c>
      <c r="T2209" s="8" t="s">
        <v>6320</v>
      </c>
    </row>
    <row r="2210" spans="1:20" x14ac:dyDescent="0.2">
      <c r="A2210" t="s">
        <v>6322</v>
      </c>
      <c r="B2210" t="s">
        <v>2022</v>
      </c>
      <c r="C2210" t="s">
        <v>2023</v>
      </c>
      <c r="D2210" t="s">
        <v>2024</v>
      </c>
      <c r="E2210" t="s">
        <v>6323</v>
      </c>
      <c r="F2210" t="s">
        <v>6324</v>
      </c>
      <c r="G2210">
        <v>2</v>
      </c>
      <c r="H2210">
        <v>1560</v>
      </c>
      <c r="I2210">
        <v>2</v>
      </c>
      <c r="J2210">
        <v>3.4</v>
      </c>
      <c r="K2210">
        <v>2</v>
      </c>
      <c r="L2210">
        <v>2.5999999999999999E-2</v>
      </c>
      <c r="M2210">
        <v>5</v>
      </c>
      <c r="N2210">
        <v>114</v>
      </c>
      <c r="O2210">
        <v>2</v>
      </c>
      <c r="P2210">
        <v>0.22500000000000001</v>
      </c>
      <c r="Q2210">
        <v>2</v>
      </c>
      <c r="R2210">
        <v>2E-3</v>
      </c>
      <c r="T2210" s="8" t="s">
        <v>6323</v>
      </c>
    </row>
    <row r="2211" spans="1:20" x14ac:dyDescent="0.2">
      <c r="A2211" t="s">
        <v>6325</v>
      </c>
      <c r="B2211" t="s">
        <v>2022</v>
      </c>
      <c r="C2211" t="s">
        <v>2023</v>
      </c>
      <c r="D2211" t="s">
        <v>2024</v>
      </c>
      <c r="E2211" t="s">
        <v>6326</v>
      </c>
      <c r="F2211" t="s">
        <v>6327</v>
      </c>
      <c r="G2211">
        <v>5</v>
      </c>
      <c r="H2211">
        <v>1800</v>
      </c>
      <c r="I2211">
        <v>4</v>
      </c>
      <c r="J2211">
        <v>8.4</v>
      </c>
      <c r="K2211">
        <v>5</v>
      </c>
      <c r="L2211">
        <v>8.5999999999999993E-2</v>
      </c>
      <c r="M2211">
        <v>3</v>
      </c>
      <c r="N2211">
        <v>94</v>
      </c>
      <c r="O2211">
        <v>3</v>
      </c>
      <c r="P2211">
        <v>0.375</v>
      </c>
      <c r="Q2211">
        <v>5</v>
      </c>
      <c r="R2211">
        <v>8.0000000000000002E-3</v>
      </c>
      <c r="T2211" s="8" t="s">
        <v>6326</v>
      </c>
    </row>
    <row r="2212" spans="1:20" x14ac:dyDescent="0.2">
      <c r="A2212" t="s">
        <v>6328</v>
      </c>
      <c r="B2212" t="s">
        <v>2022</v>
      </c>
      <c r="C2212" t="s">
        <v>2053</v>
      </c>
      <c r="D2212" t="s">
        <v>2024</v>
      </c>
      <c r="E2212" t="s">
        <v>6329</v>
      </c>
      <c r="F2212" t="s">
        <v>6330</v>
      </c>
      <c r="G2212">
        <v>4</v>
      </c>
      <c r="H2212">
        <v>1800</v>
      </c>
      <c r="I2212">
        <v>2</v>
      </c>
      <c r="J2212">
        <v>4.05</v>
      </c>
      <c r="K2212">
        <v>2</v>
      </c>
      <c r="L2212">
        <v>8.5000000000000006E-2</v>
      </c>
      <c r="M2212">
        <v>1</v>
      </c>
      <c r="N2212">
        <v>73</v>
      </c>
      <c r="O2212">
        <v>1</v>
      </c>
      <c r="P2212">
        <v>7.4999999999999997E-2</v>
      </c>
      <c r="Q2212">
        <v>2</v>
      </c>
      <c r="R2212">
        <v>5.1999999999999998E-3</v>
      </c>
      <c r="T2212" s="8" t="s">
        <v>6329</v>
      </c>
    </row>
    <row r="2213" spans="1:20" x14ac:dyDescent="0.2">
      <c r="A2213" t="s">
        <v>6331</v>
      </c>
      <c r="B2213" t="s">
        <v>2022</v>
      </c>
      <c r="C2213" t="s">
        <v>2053</v>
      </c>
      <c r="D2213" t="s">
        <v>2024</v>
      </c>
      <c r="E2213" t="s">
        <v>6332</v>
      </c>
      <c r="F2213" t="s">
        <v>6333</v>
      </c>
      <c r="G2213">
        <v>2</v>
      </c>
      <c r="H2213">
        <v>1600</v>
      </c>
      <c r="I2213">
        <v>1</v>
      </c>
      <c r="J2213">
        <v>1.55</v>
      </c>
      <c r="K2213">
        <v>2</v>
      </c>
      <c r="L2213">
        <v>8.5000000000000006E-2</v>
      </c>
      <c r="M2213">
        <v>2</v>
      </c>
      <c r="N2213">
        <v>83</v>
      </c>
      <c r="O2213">
        <v>1</v>
      </c>
      <c r="P2213">
        <v>7.4999999999999997E-2</v>
      </c>
      <c r="Q2213">
        <v>2</v>
      </c>
      <c r="R2213">
        <v>5.1999999999999998E-3</v>
      </c>
      <c r="T2213" s="8" t="s">
        <v>6332</v>
      </c>
    </row>
    <row r="2214" spans="1:20" x14ac:dyDescent="0.2">
      <c r="A2214" t="s">
        <v>6334</v>
      </c>
      <c r="B2214" t="s">
        <v>2022</v>
      </c>
      <c r="C2214" t="s">
        <v>2106</v>
      </c>
      <c r="D2214" t="s">
        <v>2024</v>
      </c>
      <c r="E2214" t="s">
        <v>6335</v>
      </c>
      <c r="F2214" t="s">
        <v>6336</v>
      </c>
      <c r="G2214">
        <v>2</v>
      </c>
      <c r="H2214">
        <v>1825</v>
      </c>
      <c r="I2214">
        <v>5</v>
      </c>
      <c r="J2214">
        <v>13.25</v>
      </c>
      <c r="K2214">
        <v>5</v>
      </c>
      <c r="L2214">
        <v>0.3</v>
      </c>
      <c r="M2214">
        <v>5</v>
      </c>
      <c r="N2214">
        <v>89.5</v>
      </c>
      <c r="O2214">
        <v>5</v>
      </c>
      <c r="P2214">
        <v>0.45</v>
      </c>
      <c r="Q2214">
        <v>5</v>
      </c>
      <c r="R2214">
        <v>8.5000000000000006E-3</v>
      </c>
      <c r="T2214" s="8" t="s">
        <v>6335</v>
      </c>
    </row>
    <row r="2215" spans="1:20" x14ac:dyDescent="0.2">
      <c r="A2215" t="s">
        <v>6337</v>
      </c>
      <c r="B2215" t="s">
        <v>2022</v>
      </c>
      <c r="C2215" t="s">
        <v>2053</v>
      </c>
      <c r="D2215" t="s">
        <v>2024</v>
      </c>
      <c r="E2215" t="s">
        <v>6338</v>
      </c>
      <c r="F2215" t="s">
        <v>6339</v>
      </c>
      <c r="G2215">
        <v>3</v>
      </c>
      <c r="H2215">
        <v>1700</v>
      </c>
      <c r="I2215">
        <v>5</v>
      </c>
      <c r="J2215">
        <v>11.55</v>
      </c>
      <c r="K2215">
        <v>5</v>
      </c>
      <c r="L2215">
        <v>0.41499999999999998</v>
      </c>
      <c r="M2215">
        <v>3</v>
      </c>
      <c r="N2215">
        <v>93</v>
      </c>
      <c r="O2215">
        <v>5</v>
      </c>
      <c r="P2215">
        <v>0.67500000000000004</v>
      </c>
      <c r="Q2215">
        <v>5</v>
      </c>
      <c r="R2215">
        <v>2.6200000000000001E-2</v>
      </c>
      <c r="T2215" s="8" t="s">
        <v>6338</v>
      </c>
    </row>
    <row r="2216" spans="1:20" x14ac:dyDescent="0.2">
      <c r="A2216" t="s">
        <v>6340</v>
      </c>
      <c r="B2216" t="s">
        <v>2022</v>
      </c>
      <c r="C2216" t="s">
        <v>2104</v>
      </c>
      <c r="D2216" t="s">
        <v>2024</v>
      </c>
      <c r="E2216" t="s">
        <v>6341</v>
      </c>
      <c r="F2216" t="s">
        <v>6342</v>
      </c>
      <c r="G2216">
        <v>5</v>
      </c>
      <c r="H2216">
        <v>2237.5</v>
      </c>
      <c r="I2216">
        <v>5</v>
      </c>
      <c r="J2216">
        <v>10.15</v>
      </c>
      <c r="K2216">
        <v>5</v>
      </c>
      <c r="L2216">
        <v>0.191</v>
      </c>
      <c r="M2216">
        <v>4</v>
      </c>
      <c r="N2216">
        <v>81</v>
      </c>
      <c r="P2216">
        <v>0</v>
      </c>
      <c r="Q2216">
        <v>4</v>
      </c>
      <c r="R2216">
        <v>1.32E-2</v>
      </c>
      <c r="T2216" s="8" t="s">
        <v>6341</v>
      </c>
    </row>
    <row r="2217" spans="1:20" x14ac:dyDescent="0.2">
      <c r="A2217" t="s">
        <v>6343</v>
      </c>
      <c r="B2217" t="s">
        <v>2022</v>
      </c>
      <c r="C2217" t="s">
        <v>2049</v>
      </c>
      <c r="D2217" t="s">
        <v>2136</v>
      </c>
      <c r="E2217" t="s">
        <v>6344</v>
      </c>
      <c r="F2217" t="s">
        <v>6345</v>
      </c>
      <c r="G2217">
        <v>2</v>
      </c>
      <c r="H2217">
        <v>1450</v>
      </c>
      <c r="I2217">
        <v>3</v>
      </c>
      <c r="J2217">
        <v>5</v>
      </c>
      <c r="K2217">
        <v>4</v>
      </c>
      <c r="L2217">
        <v>0.22</v>
      </c>
      <c r="M2217">
        <v>5</v>
      </c>
      <c r="N2217">
        <v>166</v>
      </c>
      <c r="O2217">
        <v>5</v>
      </c>
      <c r="P2217">
        <v>0.86</v>
      </c>
      <c r="Q2217">
        <v>5</v>
      </c>
      <c r="R2217">
        <v>3.32E-2</v>
      </c>
      <c r="T2217" s="8" t="s">
        <v>6344</v>
      </c>
    </row>
    <row r="2218" spans="1:20" x14ac:dyDescent="0.2">
      <c r="A2218" t="s">
        <v>6346</v>
      </c>
      <c r="B2218" t="s">
        <v>2022</v>
      </c>
      <c r="C2218" t="s">
        <v>2023</v>
      </c>
      <c r="D2218" t="s">
        <v>2024</v>
      </c>
      <c r="E2218" t="s">
        <v>6347</v>
      </c>
      <c r="F2218" t="s">
        <v>6348</v>
      </c>
      <c r="G2218">
        <v>4</v>
      </c>
      <c r="H2218">
        <v>1720</v>
      </c>
      <c r="I2218">
        <v>1</v>
      </c>
      <c r="J2218">
        <v>0.9</v>
      </c>
      <c r="K2218">
        <v>2</v>
      </c>
      <c r="L2218">
        <v>2.5999999999999999E-2</v>
      </c>
      <c r="M2218">
        <v>2</v>
      </c>
      <c r="N2218">
        <v>84</v>
      </c>
      <c r="O2218">
        <v>1</v>
      </c>
      <c r="P2218">
        <v>7.4999999999999997E-2</v>
      </c>
      <c r="Q2218">
        <v>1</v>
      </c>
      <c r="R2218">
        <v>5.0000000000000001E-4</v>
      </c>
      <c r="T2218" s="8" t="s">
        <v>6347</v>
      </c>
    </row>
    <row r="2219" spans="1:20" x14ac:dyDescent="0.2">
      <c r="A2219" t="s">
        <v>6349</v>
      </c>
      <c r="B2219" t="s">
        <v>2022</v>
      </c>
      <c r="C2219" t="s">
        <v>2023</v>
      </c>
      <c r="D2219" t="s">
        <v>2024</v>
      </c>
      <c r="E2219" t="s">
        <v>6350</v>
      </c>
      <c r="F2219" t="s">
        <v>6351</v>
      </c>
      <c r="G2219">
        <v>1</v>
      </c>
      <c r="H2219">
        <v>1480</v>
      </c>
      <c r="I2219">
        <v>1</v>
      </c>
      <c r="J2219">
        <v>0.9</v>
      </c>
      <c r="K2219">
        <v>2</v>
      </c>
      <c r="L2219">
        <v>2.5999999999999999E-2</v>
      </c>
      <c r="M2219">
        <v>2</v>
      </c>
      <c r="N2219">
        <v>84</v>
      </c>
      <c r="O2219">
        <v>1</v>
      </c>
      <c r="P2219">
        <v>7.4999999999999997E-2</v>
      </c>
      <c r="Q2219">
        <v>1</v>
      </c>
      <c r="R2219">
        <v>5.0000000000000001E-4</v>
      </c>
      <c r="T2219" s="8" t="s">
        <v>6350</v>
      </c>
    </row>
    <row r="2220" spans="1:20" x14ac:dyDescent="0.2">
      <c r="A2220" t="s">
        <v>6352</v>
      </c>
      <c r="B2220" t="s">
        <v>2022</v>
      </c>
      <c r="C2220" t="s">
        <v>2023</v>
      </c>
      <c r="D2220" t="s">
        <v>2024</v>
      </c>
      <c r="E2220" t="s">
        <v>6353</v>
      </c>
      <c r="F2220" t="s">
        <v>6354</v>
      </c>
      <c r="G2220">
        <v>2</v>
      </c>
      <c r="H2220">
        <v>1560</v>
      </c>
      <c r="I2220">
        <v>2</v>
      </c>
      <c r="J2220">
        <v>3.4</v>
      </c>
      <c r="K2220">
        <v>1</v>
      </c>
      <c r="L2220">
        <v>6.0000000000000001E-3</v>
      </c>
      <c r="M2220">
        <v>1</v>
      </c>
      <c r="N2220">
        <v>74</v>
      </c>
      <c r="O2220">
        <v>1</v>
      </c>
      <c r="P2220">
        <v>7.4999999999999997E-2</v>
      </c>
      <c r="Q2220">
        <v>1</v>
      </c>
      <c r="R2220">
        <v>5.0000000000000001E-4</v>
      </c>
      <c r="T2220" s="8" t="s">
        <v>6353</v>
      </c>
    </row>
    <row r="2221" spans="1:20" x14ac:dyDescent="0.2">
      <c r="A2221" t="s">
        <v>6355</v>
      </c>
      <c r="B2221" t="s">
        <v>2022</v>
      </c>
      <c r="C2221" t="s">
        <v>2023</v>
      </c>
      <c r="D2221" t="s">
        <v>2024</v>
      </c>
      <c r="E2221" t="s">
        <v>6356</v>
      </c>
      <c r="F2221" t="s">
        <v>6357</v>
      </c>
      <c r="G2221">
        <v>3</v>
      </c>
      <c r="H2221">
        <v>1640</v>
      </c>
      <c r="I2221">
        <v>3</v>
      </c>
      <c r="J2221">
        <v>5.9</v>
      </c>
      <c r="K2221">
        <v>5</v>
      </c>
      <c r="L2221">
        <v>8.5999999999999993E-2</v>
      </c>
      <c r="M2221">
        <v>1</v>
      </c>
      <c r="N2221">
        <v>74</v>
      </c>
      <c r="O2221">
        <v>2</v>
      </c>
      <c r="P2221">
        <v>0.22500000000000001</v>
      </c>
      <c r="Q2221">
        <v>5</v>
      </c>
      <c r="R2221">
        <v>8.0000000000000002E-3</v>
      </c>
      <c r="T2221" s="8" t="s">
        <v>6356</v>
      </c>
    </row>
    <row r="2222" spans="1:20" x14ac:dyDescent="0.2">
      <c r="A2222" t="s">
        <v>6358</v>
      </c>
      <c r="B2222" t="s">
        <v>2022</v>
      </c>
      <c r="C2222" t="s">
        <v>2023</v>
      </c>
      <c r="D2222" t="s">
        <v>2024</v>
      </c>
      <c r="E2222" t="s">
        <v>6359</v>
      </c>
      <c r="F2222" t="s">
        <v>6360</v>
      </c>
      <c r="G2222">
        <v>5</v>
      </c>
      <c r="H2222">
        <v>1800</v>
      </c>
      <c r="I2222">
        <v>3</v>
      </c>
      <c r="J2222">
        <v>5.9</v>
      </c>
      <c r="K2222">
        <v>2</v>
      </c>
      <c r="L2222">
        <v>2.5999999999999999E-2</v>
      </c>
      <c r="M2222">
        <v>3</v>
      </c>
      <c r="N2222">
        <v>94</v>
      </c>
      <c r="O2222">
        <v>2</v>
      </c>
      <c r="P2222">
        <v>0.22500000000000001</v>
      </c>
      <c r="Q2222">
        <v>2</v>
      </c>
      <c r="R2222">
        <v>2E-3</v>
      </c>
      <c r="T2222" s="8" t="s">
        <v>6359</v>
      </c>
    </row>
    <row r="2223" spans="1:20" x14ac:dyDescent="0.2">
      <c r="A2223" t="s">
        <v>6361</v>
      </c>
      <c r="B2223" t="s">
        <v>2022</v>
      </c>
      <c r="C2223" t="s">
        <v>2053</v>
      </c>
      <c r="D2223" t="s">
        <v>2136</v>
      </c>
      <c r="E2223" t="s">
        <v>6362</v>
      </c>
      <c r="F2223" t="s">
        <v>6363</v>
      </c>
      <c r="G2223">
        <v>1</v>
      </c>
      <c r="H2223">
        <v>1500</v>
      </c>
      <c r="I2223">
        <v>1</v>
      </c>
      <c r="J2223">
        <v>1.55</v>
      </c>
      <c r="K2223">
        <v>2</v>
      </c>
      <c r="L2223">
        <v>8.5000000000000006E-2</v>
      </c>
      <c r="M2223">
        <v>1</v>
      </c>
      <c r="N2223">
        <v>73</v>
      </c>
      <c r="O2223">
        <v>1</v>
      </c>
      <c r="P2223">
        <v>7.4999999999999997E-2</v>
      </c>
      <c r="Q2223">
        <v>2</v>
      </c>
      <c r="R2223">
        <v>5.1999999999999998E-3</v>
      </c>
      <c r="T2223" s="8" t="s">
        <v>6362</v>
      </c>
    </row>
    <row r="2224" spans="1:20" x14ac:dyDescent="0.2">
      <c r="A2224" t="s">
        <v>6364</v>
      </c>
      <c r="B2224" t="s">
        <v>2022</v>
      </c>
      <c r="C2224" t="s">
        <v>2101</v>
      </c>
      <c r="D2224" t="s">
        <v>2024</v>
      </c>
      <c r="E2224" t="s">
        <v>6365</v>
      </c>
      <c r="F2224" t="s">
        <v>6366</v>
      </c>
      <c r="G2224">
        <v>2</v>
      </c>
      <c r="H2224">
        <v>1670</v>
      </c>
      <c r="I2224">
        <v>1</v>
      </c>
      <c r="J2224">
        <v>2</v>
      </c>
      <c r="K2224">
        <v>1</v>
      </c>
      <c r="L2224">
        <v>1.15E-2</v>
      </c>
      <c r="M2224">
        <v>3</v>
      </c>
      <c r="N2224">
        <v>82</v>
      </c>
      <c r="O2224">
        <v>1</v>
      </c>
      <c r="P2224">
        <v>7.4999999999999997E-2</v>
      </c>
      <c r="Q2224">
        <v>1</v>
      </c>
      <c r="R2224">
        <v>5.0000000000000001E-4</v>
      </c>
      <c r="T2224" s="8" t="s">
        <v>6365</v>
      </c>
    </row>
    <row r="2225" spans="1:20" x14ac:dyDescent="0.2">
      <c r="A2225" t="s">
        <v>6367</v>
      </c>
      <c r="B2225" t="s">
        <v>2022</v>
      </c>
      <c r="C2225" t="s">
        <v>2101</v>
      </c>
      <c r="D2225" t="s">
        <v>2024</v>
      </c>
      <c r="E2225" t="s">
        <v>268</v>
      </c>
      <c r="F2225" t="s">
        <v>6368</v>
      </c>
      <c r="G2225">
        <v>2</v>
      </c>
      <c r="H2225">
        <v>1670</v>
      </c>
      <c r="I2225">
        <v>4</v>
      </c>
      <c r="J2225">
        <v>11</v>
      </c>
      <c r="K2225">
        <v>3</v>
      </c>
      <c r="L2225">
        <v>0.24349999999999999</v>
      </c>
      <c r="M2225">
        <v>3</v>
      </c>
      <c r="N2225">
        <v>82</v>
      </c>
      <c r="O2225">
        <v>4</v>
      </c>
      <c r="P2225">
        <v>0.52500000000000002</v>
      </c>
      <c r="Q2225">
        <v>4</v>
      </c>
      <c r="R2225">
        <v>1.8499999999999999E-2</v>
      </c>
      <c r="T2225" s="8" t="s">
        <v>268</v>
      </c>
    </row>
    <row r="2226" spans="1:20" x14ac:dyDescent="0.2">
      <c r="A2226" t="s">
        <v>6369</v>
      </c>
      <c r="B2226" t="s">
        <v>2022</v>
      </c>
      <c r="C2226" t="s">
        <v>2049</v>
      </c>
      <c r="D2226" t="s">
        <v>2024</v>
      </c>
      <c r="E2226" t="s">
        <v>6370</v>
      </c>
      <c r="F2226" t="s">
        <v>6371</v>
      </c>
      <c r="G2226">
        <v>1</v>
      </c>
      <c r="H2226">
        <v>1350</v>
      </c>
      <c r="I2226">
        <v>1</v>
      </c>
      <c r="J2226">
        <v>1.4</v>
      </c>
      <c r="K2226">
        <v>1</v>
      </c>
      <c r="L2226">
        <v>0.01</v>
      </c>
      <c r="M2226">
        <v>5</v>
      </c>
      <c r="N2226">
        <v>166</v>
      </c>
      <c r="O2226">
        <v>2</v>
      </c>
      <c r="P2226">
        <v>0.26</v>
      </c>
      <c r="Q2226">
        <v>2</v>
      </c>
      <c r="R2226">
        <v>6.1999999999999998E-3</v>
      </c>
      <c r="T2226" s="8" t="s">
        <v>6370</v>
      </c>
    </row>
    <row r="2227" spans="1:20" x14ac:dyDescent="0.2">
      <c r="A2227" t="s">
        <v>6372</v>
      </c>
      <c r="B2227" t="s">
        <v>2022</v>
      </c>
      <c r="C2227" t="s">
        <v>2036</v>
      </c>
      <c r="D2227" t="s">
        <v>2024</v>
      </c>
      <c r="E2227" t="s">
        <v>357</v>
      </c>
      <c r="F2227" t="s">
        <v>6373</v>
      </c>
      <c r="G2227">
        <v>3</v>
      </c>
      <c r="H2227">
        <v>1740</v>
      </c>
      <c r="I2227">
        <v>5</v>
      </c>
      <c r="J2227">
        <v>7</v>
      </c>
      <c r="K2227">
        <v>5</v>
      </c>
      <c r="L2227">
        <v>0.17499999999999999</v>
      </c>
      <c r="M2227">
        <v>2</v>
      </c>
      <c r="N2227">
        <v>82</v>
      </c>
      <c r="O2227">
        <v>5</v>
      </c>
      <c r="P2227">
        <v>0.53500000000000003</v>
      </c>
      <c r="Q2227">
        <v>5</v>
      </c>
      <c r="R2227">
        <v>1.2E-2</v>
      </c>
      <c r="T2227" s="8" t="s">
        <v>357</v>
      </c>
    </row>
    <row r="2228" spans="1:20" x14ac:dyDescent="0.2">
      <c r="A2228" t="s">
        <v>6374</v>
      </c>
      <c r="B2228" t="s">
        <v>2022</v>
      </c>
      <c r="C2228" t="s">
        <v>2508</v>
      </c>
      <c r="D2228" t="s">
        <v>2024</v>
      </c>
      <c r="E2228" t="s">
        <v>6375</v>
      </c>
      <c r="F2228" t="s">
        <v>6376</v>
      </c>
      <c r="G2228">
        <v>3</v>
      </c>
      <c r="H2228">
        <v>1450</v>
      </c>
      <c r="I2228">
        <v>5</v>
      </c>
      <c r="J2228">
        <v>17</v>
      </c>
      <c r="K2228">
        <v>5</v>
      </c>
      <c r="L2228">
        <v>0.57999999999999996</v>
      </c>
      <c r="M2228">
        <v>2</v>
      </c>
      <c r="N2228">
        <v>157.5</v>
      </c>
      <c r="O2228">
        <v>5</v>
      </c>
      <c r="P2228">
        <v>1.65</v>
      </c>
      <c r="Q2228">
        <v>5</v>
      </c>
      <c r="R2228">
        <v>0.06</v>
      </c>
      <c r="T2228" s="8" t="s">
        <v>6375</v>
      </c>
    </row>
    <row r="2229" spans="1:20" x14ac:dyDescent="0.2">
      <c r="A2229" t="s">
        <v>6377</v>
      </c>
      <c r="B2229" t="s">
        <v>2022</v>
      </c>
      <c r="C2229" t="s">
        <v>2049</v>
      </c>
      <c r="D2229" t="s">
        <v>2024</v>
      </c>
      <c r="E2229" t="s">
        <v>6375</v>
      </c>
      <c r="F2229" t="s">
        <v>6376</v>
      </c>
      <c r="G2229">
        <v>5</v>
      </c>
      <c r="H2229">
        <v>1750</v>
      </c>
      <c r="I2229">
        <v>4</v>
      </c>
      <c r="J2229">
        <v>6.8</v>
      </c>
      <c r="K2229">
        <v>3</v>
      </c>
      <c r="L2229">
        <v>0.14000000000000001</v>
      </c>
      <c r="M2229">
        <v>1</v>
      </c>
      <c r="N2229">
        <v>86</v>
      </c>
      <c r="O2229">
        <v>2</v>
      </c>
      <c r="P2229">
        <v>0.26</v>
      </c>
      <c r="Q2229">
        <v>2</v>
      </c>
      <c r="R2229">
        <v>6.1999999999999998E-3</v>
      </c>
      <c r="T2229" s="8" t="s">
        <v>6375</v>
      </c>
    </row>
    <row r="2230" spans="1:20" x14ac:dyDescent="0.2">
      <c r="A2230" t="s">
        <v>6378</v>
      </c>
      <c r="B2230" t="s">
        <v>2022</v>
      </c>
      <c r="C2230" t="s">
        <v>2049</v>
      </c>
      <c r="D2230" t="s">
        <v>2024</v>
      </c>
      <c r="E2230" t="s">
        <v>6375</v>
      </c>
      <c r="F2230" t="s">
        <v>6376</v>
      </c>
      <c r="G2230">
        <v>2</v>
      </c>
      <c r="H2230">
        <v>1450</v>
      </c>
      <c r="I2230">
        <v>5</v>
      </c>
      <c r="J2230">
        <v>8.6</v>
      </c>
      <c r="K2230">
        <v>5</v>
      </c>
      <c r="L2230">
        <v>0.3</v>
      </c>
      <c r="M2230">
        <v>4</v>
      </c>
      <c r="N2230">
        <v>146</v>
      </c>
      <c r="O2230">
        <v>5</v>
      </c>
      <c r="P2230">
        <v>0.86</v>
      </c>
      <c r="Q2230">
        <v>5</v>
      </c>
      <c r="R2230">
        <v>3.32E-2</v>
      </c>
      <c r="T2230" s="8" t="s">
        <v>6375</v>
      </c>
    </row>
    <row r="2231" spans="1:20" x14ac:dyDescent="0.2">
      <c r="A2231" t="s">
        <v>6379</v>
      </c>
      <c r="B2231" t="s">
        <v>2022</v>
      </c>
      <c r="C2231" t="s">
        <v>2049</v>
      </c>
      <c r="D2231" t="s">
        <v>2024</v>
      </c>
      <c r="E2231" t="s">
        <v>6375</v>
      </c>
      <c r="F2231" t="s">
        <v>6380</v>
      </c>
      <c r="G2231">
        <v>1</v>
      </c>
      <c r="H2231">
        <v>1350</v>
      </c>
      <c r="I2231">
        <v>5</v>
      </c>
      <c r="J2231">
        <v>8.6</v>
      </c>
      <c r="K2231">
        <v>4</v>
      </c>
      <c r="L2231">
        <v>0.22</v>
      </c>
      <c r="M2231">
        <v>2</v>
      </c>
      <c r="N2231">
        <v>106</v>
      </c>
      <c r="O2231">
        <v>4</v>
      </c>
      <c r="P2231">
        <v>0.66</v>
      </c>
      <c r="Q2231">
        <v>3</v>
      </c>
      <c r="R2231">
        <v>1.52E-2</v>
      </c>
      <c r="T2231" s="8" t="s">
        <v>6375</v>
      </c>
    </row>
    <row r="2232" spans="1:20" x14ac:dyDescent="0.2">
      <c r="A2232" t="s">
        <v>6381</v>
      </c>
      <c r="B2232" t="s">
        <v>2022</v>
      </c>
      <c r="C2232" t="s">
        <v>2023</v>
      </c>
      <c r="D2232" t="s">
        <v>2024</v>
      </c>
      <c r="E2232" t="s">
        <v>6382</v>
      </c>
      <c r="F2232" t="s">
        <v>6383</v>
      </c>
      <c r="G2232">
        <v>3</v>
      </c>
      <c r="H2232">
        <v>1640</v>
      </c>
      <c r="I2232">
        <v>2</v>
      </c>
      <c r="J2232">
        <v>3.4</v>
      </c>
      <c r="K2232">
        <v>2</v>
      </c>
      <c r="L2232">
        <v>2.5999999999999999E-2</v>
      </c>
      <c r="M2232">
        <v>3</v>
      </c>
      <c r="N2232">
        <v>94</v>
      </c>
      <c r="O2232">
        <v>2</v>
      </c>
      <c r="P2232">
        <v>0.22500000000000001</v>
      </c>
      <c r="Q2232">
        <v>1</v>
      </c>
      <c r="R2232">
        <v>5.0000000000000001E-4</v>
      </c>
      <c r="T2232" s="8" t="s">
        <v>6382</v>
      </c>
    </row>
    <row r="2233" spans="1:20" x14ac:dyDescent="0.2">
      <c r="A2233" t="s">
        <v>6384</v>
      </c>
      <c r="B2233" t="s">
        <v>2022</v>
      </c>
      <c r="C2233" t="s">
        <v>2508</v>
      </c>
      <c r="D2233" t="s">
        <v>2024</v>
      </c>
      <c r="E2233" t="s">
        <v>6385</v>
      </c>
      <c r="F2233" t="s">
        <v>6386</v>
      </c>
      <c r="G2233">
        <v>5</v>
      </c>
      <c r="H2233">
        <v>1650</v>
      </c>
      <c r="I2233">
        <v>2</v>
      </c>
      <c r="J2233">
        <v>5</v>
      </c>
      <c r="K2233">
        <v>2</v>
      </c>
      <c r="L2233">
        <v>0.1</v>
      </c>
      <c r="M2233">
        <v>1</v>
      </c>
      <c r="N2233">
        <v>92.5</v>
      </c>
      <c r="O2233">
        <v>1</v>
      </c>
      <c r="P2233">
        <v>0.45</v>
      </c>
      <c r="Q2233">
        <v>1</v>
      </c>
      <c r="R2233">
        <v>1.2E-2</v>
      </c>
      <c r="T2233" s="8" t="s">
        <v>6385</v>
      </c>
    </row>
    <row r="2234" spans="1:20" x14ac:dyDescent="0.2">
      <c r="A2234" t="s">
        <v>78</v>
      </c>
      <c r="B2234" t="s">
        <v>2022</v>
      </c>
      <c r="C2234" t="s">
        <v>2023</v>
      </c>
      <c r="D2234" t="s">
        <v>2024</v>
      </c>
      <c r="E2234" t="s">
        <v>277</v>
      </c>
      <c r="F2234" t="s">
        <v>6387</v>
      </c>
      <c r="G2234">
        <v>1</v>
      </c>
      <c r="H2234">
        <v>1480</v>
      </c>
      <c r="I2234">
        <v>1</v>
      </c>
      <c r="J2234">
        <v>0.9</v>
      </c>
      <c r="K2234">
        <v>2</v>
      </c>
      <c r="L2234">
        <v>2.5999999999999999E-2</v>
      </c>
      <c r="M2234">
        <v>1</v>
      </c>
      <c r="N2234">
        <v>74</v>
      </c>
      <c r="O2234">
        <v>1</v>
      </c>
      <c r="P2234">
        <v>7.4999999999999997E-2</v>
      </c>
      <c r="Q2234">
        <v>1</v>
      </c>
      <c r="R2234">
        <v>5.0000000000000001E-4</v>
      </c>
      <c r="T2234" s="8" t="s">
        <v>277</v>
      </c>
    </row>
    <row r="2235" spans="1:20" x14ac:dyDescent="0.2">
      <c r="A2235" t="s">
        <v>6388</v>
      </c>
      <c r="B2235" t="s">
        <v>2022</v>
      </c>
      <c r="C2235" t="s">
        <v>2023</v>
      </c>
      <c r="D2235" t="s">
        <v>2136</v>
      </c>
      <c r="E2235" t="s">
        <v>6389</v>
      </c>
      <c r="F2235" t="s">
        <v>6390</v>
      </c>
      <c r="G2235">
        <v>1</v>
      </c>
      <c r="H2235">
        <v>1480</v>
      </c>
      <c r="I2235">
        <v>1</v>
      </c>
      <c r="J2235">
        <v>0.9</v>
      </c>
      <c r="K2235">
        <v>4</v>
      </c>
      <c r="L2235">
        <v>6.6000000000000003E-2</v>
      </c>
      <c r="M2235">
        <v>5</v>
      </c>
      <c r="N2235">
        <v>114</v>
      </c>
      <c r="O2235">
        <v>2</v>
      </c>
      <c r="P2235">
        <v>0.22500000000000001</v>
      </c>
      <c r="Q2235">
        <v>5</v>
      </c>
      <c r="R2235">
        <v>8.0000000000000002E-3</v>
      </c>
      <c r="T2235" s="8" t="s">
        <v>6389</v>
      </c>
    </row>
    <row r="2236" spans="1:20" x14ac:dyDescent="0.2">
      <c r="A2236" t="s">
        <v>6391</v>
      </c>
      <c r="B2236" t="s">
        <v>2022</v>
      </c>
      <c r="C2236" t="s">
        <v>2028</v>
      </c>
      <c r="D2236" t="s">
        <v>2024</v>
      </c>
      <c r="E2236" t="s">
        <v>6392</v>
      </c>
      <c r="F2236" t="s">
        <v>6393</v>
      </c>
      <c r="G2236">
        <v>5</v>
      </c>
      <c r="H2236">
        <v>1450</v>
      </c>
      <c r="I2236">
        <v>5</v>
      </c>
      <c r="J2236">
        <v>6.65</v>
      </c>
      <c r="K2236">
        <v>5</v>
      </c>
      <c r="L2236">
        <v>0.26700000000000002</v>
      </c>
      <c r="M2236">
        <v>1</v>
      </c>
      <c r="N2236">
        <v>100</v>
      </c>
      <c r="O2236">
        <v>2</v>
      </c>
      <c r="P2236">
        <v>0.45</v>
      </c>
      <c r="Q2236">
        <v>3</v>
      </c>
      <c r="R2236">
        <v>1.6250000000000001E-2</v>
      </c>
      <c r="T2236" s="8" t="s">
        <v>6392</v>
      </c>
    </row>
    <row r="2237" spans="1:20" x14ac:dyDescent="0.2">
      <c r="A2237" t="s">
        <v>6394</v>
      </c>
      <c r="B2237" t="s">
        <v>2022</v>
      </c>
      <c r="C2237" t="s">
        <v>2023</v>
      </c>
      <c r="D2237" t="s">
        <v>2024</v>
      </c>
      <c r="E2237" t="s">
        <v>6395</v>
      </c>
      <c r="F2237" t="s">
        <v>6396</v>
      </c>
      <c r="G2237">
        <v>1</v>
      </c>
      <c r="H2237">
        <v>1480</v>
      </c>
      <c r="I2237">
        <v>1</v>
      </c>
      <c r="J2237">
        <v>0.9</v>
      </c>
      <c r="K2237">
        <v>1</v>
      </c>
      <c r="L2237">
        <v>6.0000000000000001E-3</v>
      </c>
      <c r="M2237">
        <v>1</v>
      </c>
      <c r="N2237">
        <v>74</v>
      </c>
      <c r="O2237">
        <v>1</v>
      </c>
      <c r="P2237">
        <v>7.4999999999999997E-2</v>
      </c>
      <c r="Q2237">
        <v>1</v>
      </c>
      <c r="R2237">
        <v>5.0000000000000001E-4</v>
      </c>
      <c r="T2237" s="8" t="s">
        <v>6395</v>
      </c>
    </row>
    <row r="2238" spans="1:20" x14ac:dyDescent="0.2">
      <c r="A2238" t="s">
        <v>6397</v>
      </c>
      <c r="B2238" t="s">
        <v>2022</v>
      </c>
      <c r="C2238" t="s">
        <v>2023</v>
      </c>
      <c r="D2238" t="s">
        <v>2024</v>
      </c>
      <c r="E2238" t="s">
        <v>6398</v>
      </c>
      <c r="F2238" t="s">
        <v>6399</v>
      </c>
      <c r="G2238">
        <v>3</v>
      </c>
      <c r="H2238">
        <v>1640</v>
      </c>
      <c r="I2238">
        <v>4</v>
      </c>
      <c r="J2238">
        <v>8.4</v>
      </c>
      <c r="K2238">
        <v>5</v>
      </c>
      <c r="L2238">
        <v>8.5999999999999993E-2</v>
      </c>
      <c r="M2238">
        <v>3</v>
      </c>
      <c r="N2238">
        <v>94</v>
      </c>
      <c r="O2238">
        <v>4</v>
      </c>
      <c r="P2238">
        <v>0.52500000000000002</v>
      </c>
      <c r="Q2238">
        <v>5</v>
      </c>
      <c r="R2238">
        <v>8.0000000000000002E-3</v>
      </c>
      <c r="T2238" s="8" t="s">
        <v>6398</v>
      </c>
    </row>
    <row r="2239" spans="1:20" x14ac:dyDescent="0.2">
      <c r="A2239" t="s">
        <v>6400</v>
      </c>
      <c r="B2239" t="s">
        <v>2022</v>
      </c>
      <c r="C2239" t="s">
        <v>2023</v>
      </c>
      <c r="D2239" t="s">
        <v>2024</v>
      </c>
      <c r="E2239" t="s">
        <v>6401</v>
      </c>
      <c r="F2239" t="s">
        <v>6402</v>
      </c>
      <c r="G2239">
        <v>2</v>
      </c>
      <c r="H2239">
        <v>1560</v>
      </c>
      <c r="I2239">
        <v>3</v>
      </c>
      <c r="J2239">
        <v>5.9</v>
      </c>
      <c r="K2239">
        <v>5</v>
      </c>
      <c r="L2239">
        <v>8.5999999999999993E-2</v>
      </c>
      <c r="M2239">
        <v>3</v>
      </c>
      <c r="N2239">
        <v>94</v>
      </c>
      <c r="O2239">
        <v>3</v>
      </c>
      <c r="P2239">
        <v>0.375</v>
      </c>
      <c r="Q2239">
        <v>5</v>
      </c>
      <c r="R2239">
        <v>8.0000000000000002E-3</v>
      </c>
      <c r="T2239" s="8" t="s">
        <v>6401</v>
      </c>
    </row>
    <row r="2240" spans="1:20" x14ac:dyDescent="0.2">
      <c r="A2240" t="s">
        <v>6403</v>
      </c>
      <c r="B2240" t="s">
        <v>2022</v>
      </c>
      <c r="C2240" t="s">
        <v>2036</v>
      </c>
      <c r="D2240" t="s">
        <v>2024</v>
      </c>
      <c r="E2240" t="s">
        <v>6404</v>
      </c>
      <c r="F2240" t="s">
        <v>6405</v>
      </c>
      <c r="G2240">
        <v>4</v>
      </c>
      <c r="H2240">
        <v>1840</v>
      </c>
      <c r="I2240">
        <v>5</v>
      </c>
      <c r="J2240">
        <v>7</v>
      </c>
      <c r="K2240">
        <v>5</v>
      </c>
      <c r="L2240">
        <v>0.17499999999999999</v>
      </c>
      <c r="M2240">
        <v>3</v>
      </c>
      <c r="N2240">
        <v>88</v>
      </c>
      <c r="O2240">
        <v>5</v>
      </c>
      <c r="P2240">
        <v>0.53500000000000003</v>
      </c>
      <c r="Q2240">
        <v>5</v>
      </c>
      <c r="R2240">
        <v>1.2E-2</v>
      </c>
      <c r="T2240" s="8" t="s">
        <v>6404</v>
      </c>
    </row>
    <row r="2241" spans="1:20" x14ac:dyDescent="0.2">
      <c r="A2241" t="s">
        <v>6406</v>
      </c>
      <c r="B2241" t="s">
        <v>2022</v>
      </c>
      <c r="C2241" t="s">
        <v>2036</v>
      </c>
      <c r="D2241" t="s">
        <v>2024</v>
      </c>
      <c r="E2241" t="s">
        <v>6407</v>
      </c>
      <c r="F2241" t="s">
        <v>6408</v>
      </c>
      <c r="G2241">
        <v>3</v>
      </c>
      <c r="H2241">
        <v>1740</v>
      </c>
      <c r="I2241">
        <v>2</v>
      </c>
      <c r="J2241">
        <v>3.4</v>
      </c>
      <c r="K2241">
        <v>2</v>
      </c>
      <c r="L2241">
        <v>8.5000000000000006E-2</v>
      </c>
      <c r="M2241">
        <v>2</v>
      </c>
      <c r="N2241">
        <v>82</v>
      </c>
      <c r="O2241">
        <v>2</v>
      </c>
      <c r="P2241">
        <v>0.20499999999999999</v>
      </c>
      <c r="Q2241">
        <v>2</v>
      </c>
      <c r="R2241">
        <v>4.2500000000000003E-3</v>
      </c>
      <c r="T2241" s="8" t="s">
        <v>6407</v>
      </c>
    </row>
    <row r="2242" spans="1:20" x14ac:dyDescent="0.2">
      <c r="A2242" t="s">
        <v>6409</v>
      </c>
      <c r="B2242" t="s">
        <v>2022</v>
      </c>
      <c r="C2242" t="s">
        <v>2023</v>
      </c>
      <c r="D2242" t="s">
        <v>2024</v>
      </c>
      <c r="E2242" t="s">
        <v>6410</v>
      </c>
      <c r="F2242" t="s">
        <v>6411</v>
      </c>
      <c r="G2242">
        <v>4</v>
      </c>
      <c r="H2242">
        <v>1720</v>
      </c>
      <c r="I2242">
        <v>2</v>
      </c>
      <c r="J2242">
        <v>3.4</v>
      </c>
      <c r="K2242">
        <v>3</v>
      </c>
      <c r="L2242">
        <v>4.5999999999999999E-2</v>
      </c>
      <c r="M2242">
        <v>5</v>
      </c>
      <c r="N2242">
        <v>114</v>
      </c>
      <c r="O2242">
        <v>3</v>
      </c>
      <c r="P2242">
        <v>0.375</v>
      </c>
      <c r="Q2242">
        <v>3</v>
      </c>
      <c r="R2242">
        <v>4.0000000000000001E-3</v>
      </c>
      <c r="T2242" s="8" t="s">
        <v>6410</v>
      </c>
    </row>
    <row r="2243" spans="1:20" x14ac:dyDescent="0.2">
      <c r="A2243" t="s">
        <v>6412</v>
      </c>
      <c r="B2243" t="s">
        <v>2022</v>
      </c>
      <c r="C2243" t="s">
        <v>2023</v>
      </c>
      <c r="D2243" t="s">
        <v>2024</v>
      </c>
      <c r="E2243" t="s">
        <v>6413</v>
      </c>
      <c r="F2243" t="s">
        <v>6414</v>
      </c>
      <c r="G2243">
        <v>4</v>
      </c>
      <c r="H2243">
        <v>1720</v>
      </c>
      <c r="I2243">
        <v>2</v>
      </c>
      <c r="J2243">
        <v>3.4</v>
      </c>
      <c r="K2243">
        <v>4</v>
      </c>
      <c r="L2243">
        <v>6.6000000000000003E-2</v>
      </c>
      <c r="M2243">
        <v>3</v>
      </c>
      <c r="N2243">
        <v>94</v>
      </c>
      <c r="O2243">
        <v>1</v>
      </c>
      <c r="P2243">
        <v>7.4999999999999997E-2</v>
      </c>
      <c r="Q2243">
        <v>3</v>
      </c>
      <c r="R2243">
        <v>4.0000000000000001E-3</v>
      </c>
      <c r="T2243" s="8" t="s">
        <v>6413</v>
      </c>
    </row>
    <row r="2244" spans="1:20" x14ac:dyDescent="0.2">
      <c r="A2244" t="s">
        <v>6415</v>
      </c>
      <c r="B2244" t="s">
        <v>2022</v>
      </c>
      <c r="C2244" t="s">
        <v>2095</v>
      </c>
      <c r="D2244" t="s">
        <v>2154</v>
      </c>
      <c r="E2244" t="s">
        <v>6416</v>
      </c>
      <c r="F2244" t="s">
        <v>447</v>
      </c>
      <c r="G2244">
        <v>4</v>
      </c>
      <c r="H2244">
        <v>1835</v>
      </c>
      <c r="I2244">
        <v>1</v>
      </c>
      <c r="J2244">
        <v>4.5</v>
      </c>
      <c r="K2244">
        <v>2</v>
      </c>
      <c r="L2244">
        <v>0.13</v>
      </c>
      <c r="M2244">
        <v>2</v>
      </c>
      <c r="N2244">
        <v>80</v>
      </c>
      <c r="O2244">
        <v>1</v>
      </c>
      <c r="P2244">
        <v>0.15</v>
      </c>
      <c r="Q2244">
        <v>2</v>
      </c>
      <c r="R2244">
        <v>5.8999999999999999E-3</v>
      </c>
      <c r="T2244" s="8" t="s">
        <v>6416</v>
      </c>
    </row>
    <row r="2245" spans="1:20" x14ac:dyDescent="0.2">
      <c r="A2245" t="s">
        <v>6417</v>
      </c>
      <c r="B2245" t="s">
        <v>2022</v>
      </c>
      <c r="C2245" t="s">
        <v>2053</v>
      </c>
      <c r="D2245" t="s">
        <v>2024</v>
      </c>
      <c r="E2245" t="s">
        <v>6416</v>
      </c>
      <c r="F2245" t="s">
        <v>447</v>
      </c>
      <c r="G2245">
        <v>4</v>
      </c>
      <c r="H2245">
        <v>1800</v>
      </c>
      <c r="I2245">
        <v>2</v>
      </c>
      <c r="J2245">
        <v>4.05</v>
      </c>
      <c r="K2245">
        <v>2</v>
      </c>
      <c r="L2245">
        <v>8.5000000000000006E-2</v>
      </c>
      <c r="M2245">
        <v>5</v>
      </c>
      <c r="N2245">
        <v>113</v>
      </c>
      <c r="O2245">
        <v>2</v>
      </c>
      <c r="P2245">
        <v>0.22500000000000001</v>
      </c>
      <c r="Q2245">
        <v>2</v>
      </c>
      <c r="R2245">
        <v>5.1999999999999998E-3</v>
      </c>
      <c r="T2245" s="8" t="s">
        <v>6416</v>
      </c>
    </row>
    <row r="2246" spans="1:20" x14ac:dyDescent="0.2">
      <c r="A2246" t="s">
        <v>6418</v>
      </c>
      <c r="B2246" t="s">
        <v>2022</v>
      </c>
      <c r="C2246" t="s">
        <v>2036</v>
      </c>
      <c r="D2246" t="s">
        <v>2154</v>
      </c>
      <c r="E2246" t="s">
        <v>6419</v>
      </c>
      <c r="F2246" t="s">
        <v>447</v>
      </c>
      <c r="G2246">
        <v>1</v>
      </c>
      <c r="H2246">
        <v>1540</v>
      </c>
      <c r="I2246">
        <v>1</v>
      </c>
      <c r="J2246">
        <v>2.2000000000000002</v>
      </c>
      <c r="K2246">
        <v>1</v>
      </c>
      <c r="L2246">
        <v>5.5E-2</v>
      </c>
      <c r="M2246">
        <v>4</v>
      </c>
      <c r="N2246">
        <v>94</v>
      </c>
      <c r="O2246">
        <v>1</v>
      </c>
      <c r="P2246">
        <v>9.5000000000000001E-2</v>
      </c>
      <c r="Q2246">
        <v>1</v>
      </c>
      <c r="R2246">
        <v>1.5E-3</v>
      </c>
      <c r="T2246" s="8" t="s">
        <v>6419</v>
      </c>
    </row>
    <row r="2247" spans="1:20" x14ac:dyDescent="0.2">
      <c r="A2247" t="s">
        <v>6420</v>
      </c>
      <c r="B2247" t="s">
        <v>2022</v>
      </c>
      <c r="C2247" t="s">
        <v>2023</v>
      </c>
      <c r="D2247" t="s">
        <v>2024</v>
      </c>
      <c r="E2247" t="s">
        <v>6421</v>
      </c>
      <c r="F2247" t="s">
        <v>6422</v>
      </c>
      <c r="G2247">
        <v>5</v>
      </c>
      <c r="H2247">
        <v>1800</v>
      </c>
      <c r="I2247">
        <v>3</v>
      </c>
      <c r="J2247">
        <v>5.9</v>
      </c>
      <c r="K2247">
        <v>3</v>
      </c>
      <c r="L2247">
        <v>4.5999999999999999E-2</v>
      </c>
      <c r="M2247">
        <v>4</v>
      </c>
      <c r="N2247">
        <v>104</v>
      </c>
      <c r="O2247">
        <v>2</v>
      </c>
      <c r="P2247">
        <v>0.22500000000000001</v>
      </c>
      <c r="Q2247">
        <v>2</v>
      </c>
      <c r="R2247">
        <v>2E-3</v>
      </c>
      <c r="T2247" s="8" t="s">
        <v>6421</v>
      </c>
    </row>
    <row r="2248" spans="1:20" x14ac:dyDescent="0.2">
      <c r="A2248" t="s">
        <v>6423</v>
      </c>
      <c r="B2248" t="s">
        <v>2022</v>
      </c>
      <c r="C2248" t="s">
        <v>2036</v>
      </c>
      <c r="D2248" t="s">
        <v>2024</v>
      </c>
      <c r="E2248" t="s">
        <v>6424</v>
      </c>
      <c r="F2248" t="s">
        <v>6425</v>
      </c>
      <c r="G2248">
        <v>3</v>
      </c>
      <c r="H2248">
        <v>1740</v>
      </c>
      <c r="I2248">
        <v>4</v>
      </c>
      <c r="J2248">
        <v>5.8</v>
      </c>
      <c r="K2248">
        <v>3</v>
      </c>
      <c r="L2248">
        <v>0.115</v>
      </c>
      <c r="M2248">
        <v>3</v>
      </c>
      <c r="N2248">
        <v>88</v>
      </c>
      <c r="O2248">
        <v>3</v>
      </c>
      <c r="P2248">
        <v>0.315</v>
      </c>
      <c r="Q2248">
        <v>2</v>
      </c>
      <c r="R2248">
        <v>4.2500000000000003E-3</v>
      </c>
      <c r="T2248" s="8" t="s">
        <v>6424</v>
      </c>
    </row>
    <row r="2249" spans="1:20" x14ac:dyDescent="0.2">
      <c r="A2249" t="s">
        <v>6426</v>
      </c>
      <c r="B2249" t="s">
        <v>2022</v>
      </c>
      <c r="C2249" t="s">
        <v>2104</v>
      </c>
      <c r="D2249" t="s">
        <v>2024</v>
      </c>
      <c r="E2249" t="s">
        <v>6427</v>
      </c>
      <c r="F2249" t="s">
        <v>6428</v>
      </c>
      <c r="G2249">
        <v>1</v>
      </c>
      <c r="H2249">
        <v>1537.5</v>
      </c>
      <c r="I2249">
        <v>1</v>
      </c>
      <c r="J2249">
        <v>0.95</v>
      </c>
      <c r="K2249">
        <v>1</v>
      </c>
      <c r="L2249">
        <v>8.0000000000000002E-3</v>
      </c>
      <c r="M2249">
        <v>5</v>
      </c>
      <c r="N2249">
        <v>89</v>
      </c>
      <c r="P2249">
        <v>0</v>
      </c>
      <c r="Q2249">
        <v>3</v>
      </c>
      <c r="R2249">
        <v>8.2000000000000007E-3</v>
      </c>
      <c r="T2249" s="8" t="s">
        <v>6427</v>
      </c>
    </row>
    <row r="2250" spans="1:20" x14ac:dyDescent="0.2">
      <c r="A2250" t="s">
        <v>6429</v>
      </c>
      <c r="B2250" t="s">
        <v>2022</v>
      </c>
      <c r="C2250" t="s">
        <v>2028</v>
      </c>
      <c r="D2250" t="s">
        <v>2024</v>
      </c>
      <c r="E2250" t="s">
        <v>6430</v>
      </c>
      <c r="F2250" t="s">
        <v>447</v>
      </c>
      <c r="G2250">
        <v>2</v>
      </c>
      <c r="H2250">
        <v>850</v>
      </c>
      <c r="I2250">
        <v>2</v>
      </c>
      <c r="J2250">
        <v>1.55</v>
      </c>
      <c r="K2250">
        <v>2</v>
      </c>
      <c r="L2250">
        <v>4.4999999999999998E-2</v>
      </c>
      <c r="M2250">
        <v>5</v>
      </c>
      <c r="N2250">
        <v>500</v>
      </c>
      <c r="O2250">
        <v>3</v>
      </c>
      <c r="P2250">
        <v>0.75</v>
      </c>
      <c r="Q2250">
        <v>2</v>
      </c>
      <c r="R2250">
        <v>7.7499999999999999E-3</v>
      </c>
      <c r="T2250" s="8" t="s">
        <v>6430</v>
      </c>
    </row>
    <row r="2251" spans="1:20" x14ac:dyDescent="0.2">
      <c r="A2251" t="s">
        <v>6431</v>
      </c>
      <c r="B2251" t="s">
        <v>2022</v>
      </c>
      <c r="C2251" t="s">
        <v>2036</v>
      </c>
      <c r="D2251" t="s">
        <v>2024</v>
      </c>
      <c r="E2251" t="s">
        <v>6432</v>
      </c>
      <c r="F2251" t="s">
        <v>6433</v>
      </c>
      <c r="G2251">
        <v>1</v>
      </c>
      <c r="H2251">
        <v>1540</v>
      </c>
      <c r="I2251">
        <v>5</v>
      </c>
      <c r="J2251">
        <v>7</v>
      </c>
      <c r="K2251">
        <v>3</v>
      </c>
      <c r="L2251">
        <v>0.115</v>
      </c>
      <c r="M2251">
        <v>1</v>
      </c>
      <c r="N2251">
        <v>76</v>
      </c>
      <c r="O2251">
        <v>3</v>
      </c>
      <c r="P2251">
        <v>0.315</v>
      </c>
      <c r="Q2251">
        <v>3</v>
      </c>
      <c r="R2251">
        <v>6.7499999999999999E-3</v>
      </c>
      <c r="T2251" s="8" t="s">
        <v>6432</v>
      </c>
    </row>
    <row r="2252" spans="1:20" x14ac:dyDescent="0.2">
      <c r="A2252" t="s">
        <v>6434</v>
      </c>
      <c r="B2252" t="s">
        <v>2022</v>
      </c>
      <c r="C2252" t="s">
        <v>2023</v>
      </c>
      <c r="D2252" t="s">
        <v>2024</v>
      </c>
      <c r="E2252" t="s">
        <v>6435</v>
      </c>
      <c r="F2252" t="s">
        <v>6436</v>
      </c>
      <c r="G2252">
        <v>4</v>
      </c>
      <c r="H2252">
        <v>1720</v>
      </c>
      <c r="I2252">
        <v>3</v>
      </c>
      <c r="J2252">
        <v>5.9</v>
      </c>
      <c r="K2252">
        <v>2</v>
      </c>
      <c r="L2252">
        <v>2.5999999999999999E-2</v>
      </c>
      <c r="M2252">
        <v>2</v>
      </c>
      <c r="N2252">
        <v>84</v>
      </c>
      <c r="O2252">
        <v>3</v>
      </c>
      <c r="P2252">
        <v>0.375</v>
      </c>
      <c r="Q2252">
        <v>2</v>
      </c>
      <c r="R2252">
        <v>2E-3</v>
      </c>
      <c r="T2252" s="8" t="s">
        <v>6435</v>
      </c>
    </row>
    <row r="2253" spans="1:20" x14ac:dyDescent="0.2">
      <c r="A2253" t="s">
        <v>6437</v>
      </c>
      <c r="B2253" t="s">
        <v>2022</v>
      </c>
      <c r="C2253" t="s">
        <v>2023</v>
      </c>
      <c r="D2253" t="s">
        <v>2024</v>
      </c>
      <c r="E2253" t="s">
        <v>6438</v>
      </c>
      <c r="F2253" t="s">
        <v>6439</v>
      </c>
      <c r="G2253">
        <v>3</v>
      </c>
      <c r="H2253">
        <v>1640</v>
      </c>
      <c r="I2253">
        <v>5</v>
      </c>
      <c r="J2253">
        <v>10.9</v>
      </c>
      <c r="K2253">
        <v>5</v>
      </c>
      <c r="L2253">
        <v>8.5999999999999993E-2</v>
      </c>
      <c r="M2253">
        <v>5</v>
      </c>
      <c r="N2253">
        <v>114</v>
      </c>
      <c r="O2253">
        <v>5</v>
      </c>
      <c r="P2253">
        <v>0.67500000000000004</v>
      </c>
      <c r="Q2253">
        <v>5</v>
      </c>
      <c r="R2253">
        <v>8.0000000000000002E-3</v>
      </c>
      <c r="T2253" s="8" t="s">
        <v>6438</v>
      </c>
    </row>
    <row r="2254" spans="1:20" x14ac:dyDescent="0.2">
      <c r="A2254" t="s">
        <v>6440</v>
      </c>
      <c r="B2254" t="s">
        <v>2022</v>
      </c>
      <c r="C2254" t="s">
        <v>2049</v>
      </c>
      <c r="D2254" t="s">
        <v>2024</v>
      </c>
      <c r="E2254" t="s">
        <v>6441</v>
      </c>
      <c r="F2254" t="s">
        <v>6442</v>
      </c>
      <c r="G2254">
        <v>5</v>
      </c>
      <c r="H2254">
        <v>1750</v>
      </c>
      <c r="I2254">
        <v>3</v>
      </c>
      <c r="J2254">
        <v>5</v>
      </c>
      <c r="K2254">
        <v>4</v>
      </c>
      <c r="L2254">
        <v>0.22</v>
      </c>
      <c r="M2254">
        <v>3</v>
      </c>
      <c r="N2254">
        <v>126</v>
      </c>
      <c r="O2254">
        <v>3</v>
      </c>
      <c r="P2254">
        <v>0.46</v>
      </c>
      <c r="Q2254">
        <v>3</v>
      </c>
      <c r="R2254">
        <v>1.52E-2</v>
      </c>
      <c r="T2254" s="8" t="s">
        <v>6441</v>
      </c>
    </row>
    <row r="2255" spans="1:20" x14ac:dyDescent="0.2">
      <c r="A2255" t="s">
        <v>6443</v>
      </c>
      <c r="B2255" t="s">
        <v>2022</v>
      </c>
      <c r="C2255" t="s">
        <v>2053</v>
      </c>
      <c r="D2255" t="s">
        <v>2024</v>
      </c>
      <c r="E2255" t="s">
        <v>6444</v>
      </c>
      <c r="F2255" t="s">
        <v>6445</v>
      </c>
      <c r="G2255">
        <v>1</v>
      </c>
      <c r="H2255">
        <v>1500</v>
      </c>
      <c r="I2255">
        <v>1</v>
      </c>
      <c r="J2255">
        <v>1.55</v>
      </c>
      <c r="K2255">
        <v>1</v>
      </c>
      <c r="L2255">
        <v>1.4999999999999999E-2</v>
      </c>
      <c r="M2255">
        <v>2</v>
      </c>
      <c r="N2255">
        <v>83</v>
      </c>
      <c r="O2255">
        <v>1</v>
      </c>
      <c r="P2255">
        <v>7.4999999999999997E-2</v>
      </c>
      <c r="Q2255">
        <v>1</v>
      </c>
      <c r="R2255">
        <v>8.4999999999999995E-4</v>
      </c>
      <c r="T2255" s="8" t="s">
        <v>6444</v>
      </c>
    </row>
    <row r="2256" spans="1:20" x14ac:dyDescent="0.2">
      <c r="A2256" t="s">
        <v>6446</v>
      </c>
      <c r="B2256" t="s">
        <v>2022</v>
      </c>
      <c r="C2256" t="s">
        <v>2036</v>
      </c>
      <c r="D2256" t="s">
        <v>2024</v>
      </c>
      <c r="E2256" t="s">
        <v>6447</v>
      </c>
      <c r="F2256" t="s">
        <v>6448</v>
      </c>
      <c r="G2256">
        <v>2</v>
      </c>
      <c r="H2256">
        <v>1640</v>
      </c>
      <c r="I2256">
        <v>3</v>
      </c>
      <c r="J2256">
        <v>4.5999999999999996</v>
      </c>
      <c r="K2256">
        <v>1</v>
      </c>
      <c r="L2256">
        <v>5.5E-2</v>
      </c>
      <c r="M2256">
        <v>3</v>
      </c>
      <c r="N2256">
        <v>88</v>
      </c>
      <c r="O2256">
        <v>2</v>
      </c>
      <c r="P2256">
        <v>0.20499999999999999</v>
      </c>
      <c r="Q2256">
        <v>2</v>
      </c>
      <c r="R2256">
        <v>4.2500000000000003E-3</v>
      </c>
      <c r="T2256" s="8" t="s">
        <v>6447</v>
      </c>
    </row>
    <row r="2257" spans="1:20" x14ac:dyDescent="0.2">
      <c r="A2257" t="s">
        <v>6449</v>
      </c>
      <c r="B2257" t="s">
        <v>2022</v>
      </c>
      <c r="C2257" t="s">
        <v>2053</v>
      </c>
      <c r="D2257" t="s">
        <v>2024</v>
      </c>
      <c r="E2257" t="s">
        <v>6450</v>
      </c>
      <c r="F2257" t="s">
        <v>6451</v>
      </c>
      <c r="G2257">
        <v>3</v>
      </c>
      <c r="H2257">
        <v>1700</v>
      </c>
      <c r="I2257">
        <v>3</v>
      </c>
      <c r="J2257">
        <v>6.55</v>
      </c>
      <c r="K2257">
        <v>3</v>
      </c>
      <c r="L2257">
        <v>0.19500000000000001</v>
      </c>
      <c r="M2257">
        <v>4</v>
      </c>
      <c r="N2257">
        <v>103</v>
      </c>
      <c r="O2257">
        <v>3</v>
      </c>
      <c r="P2257">
        <v>0.375</v>
      </c>
      <c r="Q2257">
        <v>3</v>
      </c>
      <c r="R2257">
        <v>1.2200000000000001E-2</v>
      </c>
      <c r="T2257" s="8" t="s">
        <v>6450</v>
      </c>
    </row>
    <row r="2258" spans="1:20" x14ac:dyDescent="0.2">
      <c r="A2258" t="s">
        <v>6452</v>
      </c>
      <c r="B2258" t="s">
        <v>2022</v>
      </c>
      <c r="C2258" t="s">
        <v>2023</v>
      </c>
      <c r="D2258" t="s">
        <v>2024</v>
      </c>
      <c r="E2258" t="s">
        <v>294</v>
      </c>
      <c r="F2258" t="s">
        <v>6453</v>
      </c>
      <c r="G2258">
        <v>2</v>
      </c>
      <c r="H2258">
        <v>1560</v>
      </c>
      <c r="I2258">
        <v>1</v>
      </c>
      <c r="J2258">
        <v>0.9</v>
      </c>
      <c r="K2258">
        <v>2</v>
      </c>
      <c r="L2258">
        <v>2.5999999999999999E-2</v>
      </c>
      <c r="M2258">
        <v>1</v>
      </c>
      <c r="N2258">
        <v>74</v>
      </c>
      <c r="O2258">
        <v>1</v>
      </c>
      <c r="P2258">
        <v>7.4999999999999997E-2</v>
      </c>
      <c r="Q2258">
        <v>2</v>
      </c>
      <c r="R2258">
        <v>2E-3</v>
      </c>
      <c r="T2258" s="8" t="s">
        <v>294</v>
      </c>
    </row>
    <row r="2259" spans="1:20" x14ac:dyDescent="0.2">
      <c r="A2259" t="s">
        <v>6454</v>
      </c>
      <c r="B2259" t="s">
        <v>2022</v>
      </c>
      <c r="C2259" t="s">
        <v>2036</v>
      </c>
      <c r="D2259" t="s">
        <v>2024</v>
      </c>
      <c r="E2259" t="s">
        <v>6455</v>
      </c>
      <c r="F2259" t="s">
        <v>6456</v>
      </c>
      <c r="G2259">
        <v>4</v>
      </c>
      <c r="H2259">
        <v>1840</v>
      </c>
      <c r="I2259">
        <v>2</v>
      </c>
      <c r="J2259">
        <v>3.4</v>
      </c>
      <c r="K2259">
        <v>3</v>
      </c>
      <c r="L2259">
        <v>0.115</v>
      </c>
      <c r="M2259">
        <v>5</v>
      </c>
      <c r="N2259">
        <v>100</v>
      </c>
      <c r="O2259">
        <v>2</v>
      </c>
      <c r="P2259">
        <v>0.20499999999999999</v>
      </c>
      <c r="Q2259">
        <v>3</v>
      </c>
      <c r="R2259">
        <v>6.7499999999999999E-3</v>
      </c>
      <c r="T2259" s="8" t="s">
        <v>6455</v>
      </c>
    </row>
    <row r="2260" spans="1:20" x14ac:dyDescent="0.2">
      <c r="A2260" t="s">
        <v>6457</v>
      </c>
      <c r="B2260" t="s">
        <v>2022</v>
      </c>
      <c r="C2260" t="s">
        <v>2036</v>
      </c>
      <c r="D2260" t="s">
        <v>2136</v>
      </c>
      <c r="E2260" t="s">
        <v>6458</v>
      </c>
      <c r="F2260" t="s">
        <v>6459</v>
      </c>
      <c r="G2260">
        <v>5</v>
      </c>
      <c r="H2260">
        <v>1940</v>
      </c>
      <c r="I2260">
        <v>2</v>
      </c>
      <c r="J2260">
        <v>3.4</v>
      </c>
      <c r="K2260">
        <v>2</v>
      </c>
      <c r="L2260">
        <v>8.5000000000000006E-2</v>
      </c>
      <c r="M2260">
        <v>4</v>
      </c>
      <c r="N2260">
        <v>94</v>
      </c>
      <c r="O2260">
        <v>1</v>
      </c>
      <c r="P2260">
        <v>9.5000000000000001E-2</v>
      </c>
      <c r="Q2260">
        <v>2</v>
      </c>
      <c r="R2260">
        <v>4.2500000000000003E-3</v>
      </c>
      <c r="T2260" s="8" t="s">
        <v>6458</v>
      </c>
    </row>
    <row r="2261" spans="1:20" x14ac:dyDescent="0.2">
      <c r="A2261" t="s">
        <v>6460</v>
      </c>
      <c r="B2261" t="s">
        <v>2022</v>
      </c>
      <c r="C2261" t="s">
        <v>2036</v>
      </c>
      <c r="D2261" t="s">
        <v>2024</v>
      </c>
      <c r="E2261" t="s">
        <v>6461</v>
      </c>
      <c r="F2261" t="s">
        <v>6462</v>
      </c>
      <c r="G2261">
        <v>5</v>
      </c>
      <c r="H2261">
        <v>1940</v>
      </c>
      <c r="I2261">
        <v>3</v>
      </c>
      <c r="J2261">
        <v>4.5999999999999996</v>
      </c>
      <c r="K2261">
        <v>2</v>
      </c>
      <c r="L2261">
        <v>8.5000000000000006E-2</v>
      </c>
      <c r="M2261">
        <v>5</v>
      </c>
      <c r="N2261">
        <v>100</v>
      </c>
      <c r="O2261">
        <v>2</v>
      </c>
      <c r="P2261">
        <v>0.20499999999999999</v>
      </c>
      <c r="Q2261">
        <v>2</v>
      </c>
      <c r="R2261">
        <v>4.2500000000000003E-3</v>
      </c>
      <c r="T2261" s="8" t="s">
        <v>6461</v>
      </c>
    </row>
    <row r="2262" spans="1:20" x14ac:dyDescent="0.2">
      <c r="A2262" t="s">
        <v>6463</v>
      </c>
      <c r="B2262" t="s">
        <v>2022</v>
      </c>
      <c r="C2262" t="s">
        <v>2023</v>
      </c>
      <c r="D2262" t="s">
        <v>2024</v>
      </c>
      <c r="E2262" t="s">
        <v>6464</v>
      </c>
      <c r="F2262" t="s">
        <v>447</v>
      </c>
      <c r="G2262">
        <v>2</v>
      </c>
      <c r="H2262">
        <v>1560</v>
      </c>
      <c r="I2262">
        <v>3</v>
      </c>
      <c r="J2262">
        <v>5.9</v>
      </c>
      <c r="K2262">
        <v>5</v>
      </c>
      <c r="L2262">
        <v>8.5999999999999993E-2</v>
      </c>
      <c r="M2262">
        <v>1</v>
      </c>
      <c r="N2262">
        <v>74</v>
      </c>
      <c r="O2262">
        <v>2</v>
      </c>
      <c r="P2262">
        <v>0.22500000000000001</v>
      </c>
      <c r="Q2262">
        <v>4</v>
      </c>
      <c r="R2262">
        <v>6.0000000000000001E-3</v>
      </c>
      <c r="T2262" s="8" t="s">
        <v>6464</v>
      </c>
    </row>
    <row r="2263" spans="1:20" x14ac:dyDescent="0.2">
      <c r="A2263" t="s">
        <v>6465</v>
      </c>
      <c r="B2263" t="s">
        <v>2022</v>
      </c>
      <c r="C2263" t="s">
        <v>2023</v>
      </c>
      <c r="D2263" t="s">
        <v>2024</v>
      </c>
      <c r="E2263" t="s">
        <v>6466</v>
      </c>
      <c r="F2263" t="s">
        <v>6467</v>
      </c>
      <c r="G2263">
        <v>4</v>
      </c>
      <c r="H2263">
        <v>1720</v>
      </c>
      <c r="I2263">
        <v>2</v>
      </c>
      <c r="J2263">
        <v>3.4</v>
      </c>
      <c r="K2263">
        <v>4</v>
      </c>
      <c r="L2263">
        <v>6.6000000000000003E-2</v>
      </c>
      <c r="M2263">
        <v>2</v>
      </c>
      <c r="N2263">
        <v>84</v>
      </c>
      <c r="O2263">
        <v>2</v>
      </c>
      <c r="P2263">
        <v>0.22500000000000001</v>
      </c>
      <c r="Q2263">
        <v>3</v>
      </c>
      <c r="R2263">
        <v>4.0000000000000001E-3</v>
      </c>
      <c r="T2263" s="8" t="s">
        <v>6466</v>
      </c>
    </row>
    <row r="2264" spans="1:20" x14ac:dyDescent="0.2">
      <c r="A2264" t="s">
        <v>6468</v>
      </c>
      <c r="B2264" t="s">
        <v>2022</v>
      </c>
      <c r="C2264" t="s">
        <v>2053</v>
      </c>
      <c r="D2264" t="s">
        <v>2024</v>
      </c>
      <c r="E2264" t="s">
        <v>6469</v>
      </c>
      <c r="F2264" t="s">
        <v>6470</v>
      </c>
      <c r="G2264">
        <v>1</v>
      </c>
      <c r="H2264">
        <v>1500</v>
      </c>
      <c r="I2264">
        <v>1</v>
      </c>
      <c r="J2264">
        <v>1.55</v>
      </c>
      <c r="K2264">
        <v>2</v>
      </c>
      <c r="L2264">
        <v>8.5000000000000006E-2</v>
      </c>
      <c r="M2264">
        <v>2</v>
      </c>
      <c r="N2264">
        <v>83</v>
      </c>
      <c r="O2264">
        <v>1</v>
      </c>
      <c r="P2264">
        <v>7.4999999999999997E-2</v>
      </c>
      <c r="Q2264">
        <v>2</v>
      </c>
      <c r="R2264">
        <v>5.1999999999999998E-3</v>
      </c>
      <c r="T2264" s="8" t="s">
        <v>6469</v>
      </c>
    </row>
    <row r="2265" spans="1:20" x14ac:dyDescent="0.2">
      <c r="A2265" t="s">
        <v>6471</v>
      </c>
      <c r="B2265" t="s">
        <v>2022</v>
      </c>
      <c r="C2265" t="s">
        <v>2222</v>
      </c>
      <c r="D2265" t="s">
        <v>2024</v>
      </c>
      <c r="E2265" t="s">
        <v>6472</v>
      </c>
      <c r="F2265" t="s">
        <v>6473</v>
      </c>
      <c r="G2265">
        <v>2</v>
      </c>
      <c r="H2265">
        <v>1550</v>
      </c>
      <c r="I2265">
        <v>1</v>
      </c>
      <c r="J2265">
        <v>2.2999999999999998</v>
      </c>
      <c r="K2265">
        <v>2</v>
      </c>
      <c r="L2265">
        <v>5.5E-2</v>
      </c>
      <c r="M2265">
        <v>4</v>
      </c>
      <c r="N2265">
        <v>71</v>
      </c>
      <c r="O2265">
        <v>2</v>
      </c>
      <c r="P2265">
        <v>0.15</v>
      </c>
      <c r="Q2265">
        <v>2</v>
      </c>
      <c r="R2265">
        <v>2.3E-3</v>
      </c>
      <c r="T2265" s="8" t="s">
        <v>6472</v>
      </c>
    </row>
    <row r="2266" spans="1:20" x14ac:dyDescent="0.2">
      <c r="A2266" t="s">
        <v>6474</v>
      </c>
      <c r="B2266" t="s">
        <v>2022</v>
      </c>
      <c r="C2266" t="s">
        <v>2053</v>
      </c>
      <c r="D2266" t="s">
        <v>2024</v>
      </c>
      <c r="E2266" t="s">
        <v>6475</v>
      </c>
      <c r="F2266" t="s">
        <v>6476</v>
      </c>
      <c r="G2266">
        <v>4</v>
      </c>
      <c r="H2266">
        <v>1800</v>
      </c>
      <c r="I2266">
        <v>5</v>
      </c>
      <c r="J2266">
        <v>11.55</v>
      </c>
      <c r="K2266">
        <v>5</v>
      </c>
      <c r="L2266">
        <v>0.41499999999999998</v>
      </c>
      <c r="M2266">
        <v>1</v>
      </c>
      <c r="N2266">
        <v>73</v>
      </c>
      <c r="O2266">
        <v>4</v>
      </c>
      <c r="P2266">
        <v>0.52500000000000002</v>
      </c>
      <c r="Q2266">
        <v>4</v>
      </c>
      <c r="R2266">
        <v>1.9199999999999998E-2</v>
      </c>
      <c r="T2266" s="8" t="s">
        <v>6475</v>
      </c>
    </row>
    <row r="2267" spans="1:20" x14ac:dyDescent="0.2">
      <c r="A2267" t="s">
        <v>6477</v>
      </c>
      <c r="B2267" t="s">
        <v>2022</v>
      </c>
      <c r="C2267" t="s">
        <v>2222</v>
      </c>
      <c r="D2267" t="s">
        <v>2024</v>
      </c>
      <c r="E2267" t="s">
        <v>6478</v>
      </c>
      <c r="F2267" t="s">
        <v>6479</v>
      </c>
      <c r="G2267">
        <v>3</v>
      </c>
      <c r="H2267">
        <v>1650</v>
      </c>
      <c r="I2267">
        <v>2</v>
      </c>
      <c r="J2267">
        <v>3.9</v>
      </c>
      <c r="K2267">
        <v>2</v>
      </c>
      <c r="L2267">
        <v>5.5E-2</v>
      </c>
      <c r="M2267">
        <v>5</v>
      </c>
      <c r="N2267">
        <v>75</v>
      </c>
      <c r="O2267">
        <v>2</v>
      </c>
      <c r="P2267">
        <v>0.15</v>
      </c>
      <c r="Q2267">
        <v>2</v>
      </c>
      <c r="R2267">
        <v>2.3E-3</v>
      </c>
      <c r="T2267" s="8" t="s">
        <v>6478</v>
      </c>
    </row>
    <row r="2268" spans="1:20" x14ac:dyDescent="0.2">
      <c r="A2268" t="s">
        <v>6480</v>
      </c>
      <c r="B2268" t="s">
        <v>2022</v>
      </c>
      <c r="C2268" t="s">
        <v>2053</v>
      </c>
      <c r="D2268" t="s">
        <v>2024</v>
      </c>
      <c r="E2268" t="s">
        <v>6481</v>
      </c>
      <c r="F2268" t="s">
        <v>6482</v>
      </c>
      <c r="G2268">
        <v>3</v>
      </c>
      <c r="H2268">
        <v>1700</v>
      </c>
      <c r="I2268">
        <v>4</v>
      </c>
      <c r="J2268">
        <v>9.0500000000000007</v>
      </c>
      <c r="K2268">
        <v>4</v>
      </c>
      <c r="L2268">
        <v>0.30499999999999999</v>
      </c>
      <c r="M2268">
        <v>2</v>
      </c>
      <c r="N2268">
        <v>83</v>
      </c>
      <c r="O2268">
        <v>3</v>
      </c>
      <c r="P2268">
        <v>0.375</v>
      </c>
      <c r="Q2268">
        <v>3</v>
      </c>
      <c r="R2268">
        <v>1.2200000000000001E-2</v>
      </c>
      <c r="T2268" s="8" t="s">
        <v>6481</v>
      </c>
    </row>
    <row r="2269" spans="1:20" x14ac:dyDescent="0.2">
      <c r="A2269" t="s">
        <v>6483</v>
      </c>
      <c r="B2269" t="s">
        <v>2022</v>
      </c>
      <c r="C2269" t="s">
        <v>2023</v>
      </c>
      <c r="D2269" t="s">
        <v>2024</v>
      </c>
      <c r="E2269" t="s">
        <v>6484</v>
      </c>
      <c r="F2269" t="s">
        <v>6485</v>
      </c>
      <c r="G2269">
        <v>2</v>
      </c>
      <c r="H2269">
        <v>1560</v>
      </c>
      <c r="I2269">
        <v>3</v>
      </c>
      <c r="J2269">
        <v>5.9</v>
      </c>
      <c r="K2269">
        <v>5</v>
      </c>
      <c r="L2269">
        <v>8.5999999999999993E-2</v>
      </c>
      <c r="M2269">
        <v>1</v>
      </c>
      <c r="N2269">
        <v>74</v>
      </c>
      <c r="O2269">
        <v>2</v>
      </c>
      <c r="P2269">
        <v>0.22500000000000001</v>
      </c>
      <c r="Q2269">
        <v>5</v>
      </c>
      <c r="R2269">
        <v>8.0000000000000002E-3</v>
      </c>
      <c r="T2269" s="8" t="s">
        <v>6484</v>
      </c>
    </row>
    <row r="2270" spans="1:20" x14ac:dyDescent="0.2">
      <c r="A2270" t="s">
        <v>6486</v>
      </c>
      <c r="B2270" t="s">
        <v>2022</v>
      </c>
      <c r="C2270" t="s">
        <v>2028</v>
      </c>
      <c r="D2270" t="s">
        <v>2024</v>
      </c>
      <c r="E2270" t="s">
        <v>6487</v>
      </c>
      <c r="F2270" t="s">
        <v>6488</v>
      </c>
      <c r="G2270">
        <v>4</v>
      </c>
      <c r="H2270">
        <v>1250</v>
      </c>
      <c r="I2270">
        <v>2</v>
      </c>
      <c r="J2270">
        <v>1.55</v>
      </c>
      <c r="K2270">
        <v>2</v>
      </c>
      <c r="L2270">
        <v>4.4999999999999998E-2</v>
      </c>
      <c r="M2270">
        <v>2</v>
      </c>
      <c r="N2270">
        <v>200</v>
      </c>
      <c r="O2270">
        <v>1</v>
      </c>
      <c r="P2270">
        <v>0.15</v>
      </c>
      <c r="Q2270">
        <v>1</v>
      </c>
      <c r="R2270">
        <v>1.75E-3</v>
      </c>
      <c r="T2270" s="8" t="s">
        <v>6487</v>
      </c>
    </row>
    <row r="2271" spans="1:20" x14ac:dyDescent="0.2">
      <c r="A2271" t="s">
        <v>6489</v>
      </c>
      <c r="B2271" t="s">
        <v>2022</v>
      </c>
      <c r="C2271" t="s">
        <v>2023</v>
      </c>
      <c r="D2271" t="s">
        <v>2024</v>
      </c>
      <c r="E2271" t="s">
        <v>6490</v>
      </c>
      <c r="F2271" t="s">
        <v>6491</v>
      </c>
      <c r="G2271">
        <v>3</v>
      </c>
      <c r="H2271">
        <v>1640</v>
      </c>
      <c r="I2271">
        <v>3</v>
      </c>
      <c r="J2271">
        <v>5.9</v>
      </c>
      <c r="K2271">
        <v>5</v>
      </c>
      <c r="L2271">
        <v>8.5999999999999993E-2</v>
      </c>
      <c r="M2271">
        <v>2</v>
      </c>
      <c r="N2271">
        <v>84</v>
      </c>
      <c r="O2271">
        <v>3</v>
      </c>
      <c r="P2271">
        <v>0.375</v>
      </c>
      <c r="Q2271">
        <v>4</v>
      </c>
      <c r="R2271">
        <v>6.0000000000000001E-3</v>
      </c>
      <c r="T2271" s="8" t="s">
        <v>6490</v>
      </c>
    </row>
    <row r="2272" spans="1:20" x14ac:dyDescent="0.2">
      <c r="A2272" t="s">
        <v>6492</v>
      </c>
      <c r="B2272" t="s">
        <v>2022</v>
      </c>
      <c r="C2272" t="s">
        <v>2023</v>
      </c>
      <c r="D2272" t="s">
        <v>2024</v>
      </c>
      <c r="E2272" t="s">
        <v>6493</v>
      </c>
      <c r="F2272" t="s">
        <v>6494</v>
      </c>
      <c r="G2272">
        <v>4</v>
      </c>
      <c r="H2272">
        <v>1720</v>
      </c>
      <c r="I2272">
        <v>2</v>
      </c>
      <c r="J2272">
        <v>3.4</v>
      </c>
      <c r="K2272">
        <v>2</v>
      </c>
      <c r="L2272">
        <v>2.5999999999999999E-2</v>
      </c>
      <c r="M2272">
        <v>2</v>
      </c>
      <c r="N2272">
        <v>84</v>
      </c>
      <c r="O2272">
        <v>2</v>
      </c>
      <c r="P2272">
        <v>0.22500000000000001</v>
      </c>
      <c r="Q2272">
        <v>1</v>
      </c>
      <c r="R2272">
        <v>5.0000000000000001E-4</v>
      </c>
      <c r="T2272" s="8" t="s">
        <v>6493</v>
      </c>
    </row>
    <row r="2273" spans="1:20" x14ac:dyDescent="0.2">
      <c r="A2273" t="s">
        <v>6495</v>
      </c>
      <c r="B2273" t="s">
        <v>2022</v>
      </c>
      <c r="C2273" t="s">
        <v>2049</v>
      </c>
      <c r="D2273" t="s">
        <v>2024</v>
      </c>
      <c r="E2273" t="s">
        <v>6496</v>
      </c>
      <c r="F2273" t="s">
        <v>447</v>
      </c>
      <c r="G2273">
        <v>4</v>
      </c>
      <c r="H2273">
        <v>1650</v>
      </c>
      <c r="I2273">
        <v>4</v>
      </c>
      <c r="J2273">
        <v>6.8</v>
      </c>
      <c r="K2273">
        <v>4</v>
      </c>
      <c r="L2273">
        <v>0.22</v>
      </c>
      <c r="M2273">
        <v>2</v>
      </c>
      <c r="N2273">
        <v>106</v>
      </c>
      <c r="O2273">
        <v>3</v>
      </c>
      <c r="P2273">
        <v>0.46</v>
      </c>
      <c r="Q2273">
        <v>3</v>
      </c>
      <c r="R2273">
        <v>1.52E-2</v>
      </c>
      <c r="T2273" s="8" t="s">
        <v>6496</v>
      </c>
    </row>
    <row r="2274" spans="1:20" x14ac:dyDescent="0.2">
      <c r="A2274" t="s">
        <v>6497</v>
      </c>
      <c r="B2274" t="s">
        <v>2022</v>
      </c>
      <c r="C2274" t="s">
        <v>2036</v>
      </c>
      <c r="D2274" t="s">
        <v>2024</v>
      </c>
      <c r="E2274" t="s">
        <v>6498</v>
      </c>
      <c r="F2274" t="s">
        <v>6499</v>
      </c>
      <c r="G2274">
        <v>5</v>
      </c>
      <c r="H2274">
        <v>1940</v>
      </c>
      <c r="I2274">
        <v>5</v>
      </c>
      <c r="J2274">
        <v>7</v>
      </c>
      <c r="K2274">
        <v>5</v>
      </c>
      <c r="L2274">
        <v>0.17499999999999999</v>
      </c>
      <c r="M2274">
        <v>5</v>
      </c>
      <c r="N2274">
        <v>100</v>
      </c>
      <c r="O2274">
        <v>5</v>
      </c>
      <c r="P2274">
        <v>0.53500000000000003</v>
      </c>
      <c r="Q2274">
        <v>5</v>
      </c>
      <c r="R2274">
        <v>1.2E-2</v>
      </c>
      <c r="T2274" s="8" t="s">
        <v>6498</v>
      </c>
    </row>
    <row r="2275" spans="1:20" x14ac:dyDescent="0.2">
      <c r="A2275" t="s">
        <v>6500</v>
      </c>
      <c r="B2275" t="s">
        <v>2022</v>
      </c>
      <c r="C2275" t="s">
        <v>2036</v>
      </c>
      <c r="D2275" t="s">
        <v>2024</v>
      </c>
      <c r="E2275" t="s">
        <v>6501</v>
      </c>
      <c r="F2275" t="s">
        <v>6502</v>
      </c>
      <c r="G2275">
        <v>3</v>
      </c>
      <c r="H2275">
        <v>1740</v>
      </c>
      <c r="I2275">
        <v>4</v>
      </c>
      <c r="J2275">
        <v>5.8</v>
      </c>
      <c r="K2275">
        <v>3</v>
      </c>
      <c r="L2275">
        <v>0.115</v>
      </c>
      <c r="M2275">
        <v>3</v>
      </c>
      <c r="N2275">
        <v>88</v>
      </c>
      <c r="O2275">
        <v>3</v>
      </c>
      <c r="P2275">
        <v>0.315</v>
      </c>
      <c r="Q2275">
        <v>3</v>
      </c>
      <c r="R2275">
        <v>6.7499999999999999E-3</v>
      </c>
      <c r="T2275" s="8" t="s">
        <v>6501</v>
      </c>
    </row>
    <row r="2276" spans="1:20" x14ac:dyDescent="0.2">
      <c r="A2276" t="s">
        <v>6503</v>
      </c>
      <c r="B2276" t="s">
        <v>2022</v>
      </c>
      <c r="C2276" t="s">
        <v>2053</v>
      </c>
      <c r="D2276" t="s">
        <v>2024</v>
      </c>
      <c r="E2276" t="s">
        <v>6504</v>
      </c>
      <c r="F2276" t="s">
        <v>6505</v>
      </c>
      <c r="G2276">
        <v>1</v>
      </c>
      <c r="H2276">
        <v>1500</v>
      </c>
      <c r="I2276">
        <v>2</v>
      </c>
      <c r="J2276">
        <v>4.05</v>
      </c>
      <c r="K2276">
        <v>1</v>
      </c>
      <c r="L2276">
        <v>1.4999999999999999E-2</v>
      </c>
      <c r="M2276">
        <v>2</v>
      </c>
      <c r="N2276">
        <v>83</v>
      </c>
      <c r="O2276">
        <v>2</v>
      </c>
      <c r="P2276">
        <v>0.22500000000000001</v>
      </c>
      <c r="Q2276">
        <v>1</v>
      </c>
      <c r="R2276">
        <v>8.4999999999999995E-4</v>
      </c>
      <c r="T2276" s="8" t="s">
        <v>6504</v>
      </c>
    </row>
    <row r="2277" spans="1:20" x14ac:dyDescent="0.2">
      <c r="A2277" t="s">
        <v>6506</v>
      </c>
      <c r="B2277" t="s">
        <v>2022</v>
      </c>
      <c r="C2277" t="s">
        <v>2023</v>
      </c>
      <c r="D2277" t="s">
        <v>2024</v>
      </c>
      <c r="E2277" t="s">
        <v>6507</v>
      </c>
      <c r="F2277" t="s">
        <v>6508</v>
      </c>
      <c r="G2277">
        <v>1</v>
      </c>
      <c r="H2277">
        <v>1480</v>
      </c>
      <c r="I2277">
        <v>5</v>
      </c>
      <c r="J2277">
        <v>10.9</v>
      </c>
      <c r="K2277">
        <v>3</v>
      </c>
      <c r="L2277">
        <v>4.5999999999999999E-2</v>
      </c>
      <c r="M2277">
        <v>1</v>
      </c>
      <c r="N2277">
        <v>74</v>
      </c>
      <c r="O2277">
        <v>5</v>
      </c>
      <c r="P2277">
        <v>0.67500000000000004</v>
      </c>
      <c r="Q2277">
        <v>2</v>
      </c>
      <c r="R2277">
        <v>2E-3</v>
      </c>
      <c r="T2277" s="8" t="s">
        <v>6507</v>
      </c>
    </row>
    <row r="2278" spans="1:20" x14ac:dyDescent="0.2">
      <c r="A2278" t="s">
        <v>6509</v>
      </c>
      <c r="B2278" t="s">
        <v>2022</v>
      </c>
      <c r="C2278" t="s">
        <v>2023</v>
      </c>
      <c r="D2278" t="s">
        <v>2024</v>
      </c>
      <c r="E2278" t="s">
        <v>6510</v>
      </c>
      <c r="F2278" t="s">
        <v>6511</v>
      </c>
      <c r="G2278">
        <v>5</v>
      </c>
      <c r="H2278">
        <v>1800</v>
      </c>
      <c r="I2278">
        <v>2</v>
      </c>
      <c r="J2278">
        <v>3.4</v>
      </c>
      <c r="K2278">
        <v>2</v>
      </c>
      <c r="L2278">
        <v>2.5999999999999999E-2</v>
      </c>
      <c r="M2278">
        <v>4</v>
      </c>
      <c r="N2278">
        <v>104</v>
      </c>
      <c r="O2278">
        <v>2</v>
      </c>
      <c r="P2278">
        <v>0.22500000000000001</v>
      </c>
      <c r="Q2278">
        <v>2</v>
      </c>
      <c r="R2278">
        <v>2E-3</v>
      </c>
      <c r="T2278" s="8" t="s">
        <v>6510</v>
      </c>
    </row>
    <row r="2279" spans="1:20" x14ac:dyDescent="0.2">
      <c r="A2279" t="s">
        <v>6512</v>
      </c>
      <c r="B2279" t="s">
        <v>2022</v>
      </c>
      <c r="C2279" t="s">
        <v>2023</v>
      </c>
      <c r="D2279" t="s">
        <v>2024</v>
      </c>
      <c r="E2279" t="s">
        <v>6513</v>
      </c>
      <c r="F2279" t="s">
        <v>447</v>
      </c>
      <c r="G2279">
        <v>1</v>
      </c>
      <c r="H2279">
        <v>1480</v>
      </c>
      <c r="I2279">
        <v>1</v>
      </c>
      <c r="J2279">
        <v>0.9</v>
      </c>
      <c r="K2279">
        <v>1</v>
      </c>
      <c r="L2279">
        <v>6.0000000000000001E-3</v>
      </c>
      <c r="M2279">
        <v>5</v>
      </c>
      <c r="N2279">
        <v>114</v>
      </c>
      <c r="O2279">
        <v>2</v>
      </c>
      <c r="P2279">
        <v>0.22500000000000001</v>
      </c>
      <c r="Q2279">
        <v>2</v>
      </c>
      <c r="R2279">
        <v>2E-3</v>
      </c>
      <c r="T2279" s="8" t="s">
        <v>6513</v>
      </c>
    </row>
    <row r="2280" spans="1:20" x14ac:dyDescent="0.2">
      <c r="A2280" t="s">
        <v>6514</v>
      </c>
      <c r="B2280" t="s">
        <v>2022</v>
      </c>
      <c r="C2280" t="s">
        <v>2508</v>
      </c>
      <c r="D2280" t="s">
        <v>2024</v>
      </c>
      <c r="E2280" t="s">
        <v>6515</v>
      </c>
      <c r="F2280" t="s">
        <v>6516</v>
      </c>
      <c r="G2280">
        <v>4</v>
      </c>
      <c r="H2280">
        <v>1550</v>
      </c>
      <c r="I2280">
        <v>5</v>
      </c>
      <c r="J2280">
        <v>17</v>
      </c>
      <c r="K2280">
        <v>5</v>
      </c>
      <c r="L2280">
        <v>0.57999999999999996</v>
      </c>
      <c r="M2280">
        <v>2</v>
      </c>
      <c r="N2280">
        <v>157.5</v>
      </c>
      <c r="O2280">
        <v>4</v>
      </c>
      <c r="P2280">
        <v>1.35</v>
      </c>
      <c r="Q2280">
        <v>4</v>
      </c>
      <c r="R2280">
        <v>4.8000000000000001E-2</v>
      </c>
      <c r="T2280" s="8" t="s">
        <v>6515</v>
      </c>
    </row>
    <row r="2281" spans="1:20" x14ac:dyDescent="0.2">
      <c r="A2281" t="s">
        <v>6517</v>
      </c>
      <c r="B2281" t="s">
        <v>2022</v>
      </c>
      <c r="C2281" t="s">
        <v>2023</v>
      </c>
      <c r="D2281" t="s">
        <v>2024</v>
      </c>
      <c r="E2281" t="s">
        <v>6518</v>
      </c>
      <c r="F2281" t="s">
        <v>6519</v>
      </c>
      <c r="G2281">
        <v>3</v>
      </c>
      <c r="H2281">
        <v>1640</v>
      </c>
      <c r="I2281">
        <v>3</v>
      </c>
      <c r="J2281">
        <v>5.9</v>
      </c>
      <c r="K2281">
        <v>5</v>
      </c>
      <c r="L2281">
        <v>8.5999999999999993E-2</v>
      </c>
      <c r="M2281">
        <v>4</v>
      </c>
      <c r="N2281">
        <v>104</v>
      </c>
      <c r="O2281">
        <v>3</v>
      </c>
      <c r="P2281">
        <v>0.375</v>
      </c>
      <c r="Q2281">
        <v>5</v>
      </c>
      <c r="R2281">
        <v>8.0000000000000002E-3</v>
      </c>
      <c r="T2281" s="8" t="s">
        <v>6518</v>
      </c>
    </row>
    <row r="2282" spans="1:20" x14ac:dyDescent="0.2">
      <c r="A2282" t="s">
        <v>6520</v>
      </c>
      <c r="B2282" t="s">
        <v>2022</v>
      </c>
      <c r="C2282" t="s">
        <v>2023</v>
      </c>
      <c r="D2282" t="s">
        <v>2024</v>
      </c>
      <c r="E2282" t="s">
        <v>357</v>
      </c>
      <c r="F2282" t="s">
        <v>6521</v>
      </c>
      <c r="G2282">
        <v>1</v>
      </c>
      <c r="H2282">
        <v>1480</v>
      </c>
      <c r="I2282">
        <v>2</v>
      </c>
      <c r="J2282">
        <v>3.4</v>
      </c>
      <c r="K2282">
        <v>4</v>
      </c>
      <c r="L2282">
        <v>6.6000000000000003E-2</v>
      </c>
      <c r="M2282">
        <v>5</v>
      </c>
      <c r="N2282">
        <v>114</v>
      </c>
      <c r="O2282">
        <v>2</v>
      </c>
      <c r="P2282">
        <v>0.22500000000000001</v>
      </c>
      <c r="Q2282">
        <v>4</v>
      </c>
      <c r="R2282">
        <v>6.0000000000000001E-3</v>
      </c>
      <c r="T2282" s="8" t="s">
        <v>357</v>
      </c>
    </row>
    <row r="2283" spans="1:20" x14ac:dyDescent="0.2">
      <c r="A2283" t="s">
        <v>6522</v>
      </c>
      <c r="B2283" t="s">
        <v>2022</v>
      </c>
      <c r="C2283" t="s">
        <v>2023</v>
      </c>
      <c r="D2283" t="s">
        <v>2024</v>
      </c>
      <c r="E2283" t="s">
        <v>6523</v>
      </c>
      <c r="F2283" t="s">
        <v>447</v>
      </c>
      <c r="G2283">
        <v>5</v>
      </c>
      <c r="H2283">
        <v>1800</v>
      </c>
      <c r="I2283">
        <v>2</v>
      </c>
      <c r="J2283">
        <v>3.4</v>
      </c>
      <c r="K2283">
        <v>5</v>
      </c>
      <c r="L2283">
        <v>8.5999999999999993E-2</v>
      </c>
      <c r="M2283">
        <v>5</v>
      </c>
      <c r="N2283">
        <v>114</v>
      </c>
      <c r="O2283">
        <v>3</v>
      </c>
      <c r="P2283">
        <v>0.375</v>
      </c>
      <c r="Q2283">
        <v>5</v>
      </c>
      <c r="R2283">
        <v>8.0000000000000002E-3</v>
      </c>
      <c r="T2283" s="8" t="s">
        <v>6523</v>
      </c>
    </row>
    <row r="2284" spans="1:20" x14ac:dyDescent="0.2">
      <c r="A2284" t="s">
        <v>6524</v>
      </c>
      <c r="B2284" t="s">
        <v>2022</v>
      </c>
      <c r="C2284" t="s">
        <v>2104</v>
      </c>
      <c r="D2284" t="s">
        <v>2024</v>
      </c>
      <c r="E2284" t="s">
        <v>6525</v>
      </c>
      <c r="F2284" t="s">
        <v>6526</v>
      </c>
      <c r="G2284">
        <v>1</v>
      </c>
      <c r="H2284">
        <v>1537.5</v>
      </c>
      <c r="I2284">
        <v>1</v>
      </c>
      <c r="J2284">
        <v>0.95</v>
      </c>
      <c r="K2284">
        <v>2</v>
      </c>
      <c r="L2284">
        <v>4.1000000000000002E-2</v>
      </c>
      <c r="M2284">
        <v>2</v>
      </c>
      <c r="N2284">
        <v>65</v>
      </c>
      <c r="P2284">
        <v>0</v>
      </c>
      <c r="Q2284">
        <v>1</v>
      </c>
      <c r="R2284">
        <v>3.5E-4</v>
      </c>
      <c r="T2284" s="8" t="s">
        <v>6525</v>
      </c>
    </row>
    <row r="2285" spans="1:20" x14ac:dyDescent="0.2">
      <c r="A2285" t="s">
        <v>6527</v>
      </c>
      <c r="B2285" t="s">
        <v>2022</v>
      </c>
      <c r="C2285" t="s">
        <v>2023</v>
      </c>
      <c r="D2285" t="s">
        <v>2136</v>
      </c>
      <c r="E2285" t="s">
        <v>6528</v>
      </c>
      <c r="F2285" t="s">
        <v>6529</v>
      </c>
      <c r="G2285">
        <v>2</v>
      </c>
      <c r="H2285">
        <v>1560</v>
      </c>
      <c r="I2285">
        <v>3</v>
      </c>
      <c r="J2285">
        <v>5.9</v>
      </c>
      <c r="K2285">
        <v>5</v>
      </c>
      <c r="L2285">
        <v>8.5999999999999993E-2</v>
      </c>
      <c r="M2285">
        <v>2</v>
      </c>
      <c r="N2285">
        <v>84</v>
      </c>
      <c r="O2285">
        <v>3</v>
      </c>
      <c r="P2285">
        <v>0.375</v>
      </c>
      <c r="Q2285">
        <v>4</v>
      </c>
      <c r="R2285">
        <v>6.0000000000000001E-3</v>
      </c>
      <c r="T2285" s="8" t="s">
        <v>6528</v>
      </c>
    </row>
    <row r="2286" spans="1:20" x14ac:dyDescent="0.2">
      <c r="A2286" t="s">
        <v>6530</v>
      </c>
      <c r="B2286" t="s">
        <v>2022</v>
      </c>
      <c r="C2286" t="s">
        <v>2036</v>
      </c>
      <c r="D2286" t="s">
        <v>2024</v>
      </c>
      <c r="E2286" t="s">
        <v>6531</v>
      </c>
      <c r="F2286" t="s">
        <v>6532</v>
      </c>
      <c r="G2286">
        <v>2</v>
      </c>
      <c r="H2286">
        <v>1640</v>
      </c>
      <c r="I2286">
        <v>4</v>
      </c>
      <c r="J2286">
        <v>5.8</v>
      </c>
      <c r="K2286">
        <v>5</v>
      </c>
      <c r="L2286">
        <v>0.17499999999999999</v>
      </c>
      <c r="M2286">
        <v>2</v>
      </c>
      <c r="N2286">
        <v>82</v>
      </c>
      <c r="O2286">
        <v>3</v>
      </c>
      <c r="P2286">
        <v>0.315</v>
      </c>
      <c r="Q2286">
        <v>4</v>
      </c>
      <c r="R2286">
        <v>9.2499999999999995E-3</v>
      </c>
      <c r="T2286" s="8" t="s">
        <v>6531</v>
      </c>
    </row>
    <row r="2287" spans="1:20" x14ac:dyDescent="0.2">
      <c r="A2287" t="s">
        <v>6533</v>
      </c>
      <c r="B2287" t="s">
        <v>2022</v>
      </c>
      <c r="C2287" t="s">
        <v>2036</v>
      </c>
      <c r="D2287" t="s">
        <v>2024</v>
      </c>
      <c r="E2287" t="s">
        <v>6534</v>
      </c>
      <c r="F2287" t="s">
        <v>6535</v>
      </c>
      <c r="G2287">
        <v>3</v>
      </c>
      <c r="H2287">
        <v>1740</v>
      </c>
      <c r="I2287">
        <v>1</v>
      </c>
      <c r="J2287">
        <v>2.2000000000000002</v>
      </c>
      <c r="K2287">
        <v>2</v>
      </c>
      <c r="L2287">
        <v>8.5000000000000006E-2</v>
      </c>
      <c r="M2287">
        <v>3</v>
      </c>
      <c r="N2287">
        <v>88</v>
      </c>
      <c r="O2287">
        <v>1</v>
      </c>
      <c r="P2287">
        <v>9.5000000000000001E-2</v>
      </c>
      <c r="Q2287">
        <v>2</v>
      </c>
      <c r="R2287">
        <v>4.2500000000000003E-3</v>
      </c>
      <c r="T2287" s="8" t="s">
        <v>6534</v>
      </c>
    </row>
    <row r="2288" spans="1:20" x14ac:dyDescent="0.2">
      <c r="A2288" t="s">
        <v>6536</v>
      </c>
      <c r="B2288" t="s">
        <v>2022</v>
      </c>
      <c r="C2288" t="s">
        <v>2053</v>
      </c>
      <c r="D2288" t="s">
        <v>2136</v>
      </c>
      <c r="E2288" t="s">
        <v>6537</v>
      </c>
      <c r="F2288" t="s">
        <v>6538</v>
      </c>
      <c r="G2288">
        <v>2</v>
      </c>
      <c r="H2288">
        <v>1600</v>
      </c>
      <c r="I2288">
        <v>2</v>
      </c>
      <c r="J2288">
        <v>4.05</v>
      </c>
      <c r="K2288">
        <v>2</v>
      </c>
      <c r="L2288">
        <v>8.5000000000000006E-2</v>
      </c>
      <c r="M2288">
        <v>3</v>
      </c>
      <c r="N2288">
        <v>93</v>
      </c>
      <c r="O2288">
        <v>2</v>
      </c>
      <c r="P2288">
        <v>0.22500000000000001</v>
      </c>
      <c r="Q2288">
        <v>2</v>
      </c>
      <c r="R2288">
        <v>5.1999999999999998E-3</v>
      </c>
      <c r="T2288" s="8" t="s">
        <v>6537</v>
      </c>
    </row>
    <row r="2289" spans="1:20" x14ac:dyDescent="0.2">
      <c r="A2289" t="s">
        <v>6539</v>
      </c>
      <c r="B2289" t="s">
        <v>2022</v>
      </c>
      <c r="C2289" t="s">
        <v>2049</v>
      </c>
      <c r="D2289" t="s">
        <v>2024</v>
      </c>
      <c r="E2289" t="s">
        <v>6540</v>
      </c>
      <c r="F2289" t="s">
        <v>6541</v>
      </c>
      <c r="G2289">
        <v>2</v>
      </c>
      <c r="H2289">
        <v>1450</v>
      </c>
      <c r="I2289">
        <v>3</v>
      </c>
      <c r="J2289">
        <v>5</v>
      </c>
      <c r="K2289">
        <v>3</v>
      </c>
      <c r="L2289">
        <v>0.14000000000000001</v>
      </c>
      <c r="M2289">
        <v>2</v>
      </c>
      <c r="N2289">
        <v>106</v>
      </c>
      <c r="O2289">
        <v>2</v>
      </c>
      <c r="P2289">
        <v>0.26</v>
      </c>
      <c r="Q2289">
        <v>2</v>
      </c>
      <c r="R2289">
        <v>6.1999999999999998E-3</v>
      </c>
      <c r="T2289" s="8" t="s">
        <v>6540</v>
      </c>
    </row>
    <row r="2290" spans="1:20" x14ac:dyDescent="0.2">
      <c r="A2290" t="s">
        <v>6542</v>
      </c>
      <c r="B2290" t="s">
        <v>2022</v>
      </c>
      <c r="C2290" t="s">
        <v>2023</v>
      </c>
      <c r="D2290" t="s">
        <v>2024</v>
      </c>
      <c r="E2290" t="s">
        <v>6543</v>
      </c>
      <c r="F2290" t="s">
        <v>447</v>
      </c>
      <c r="G2290">
        <v>5</v>
      </c>
      <c r="H2290">
        <v>1800</v>
      </c>
      <c r="I2290">
        <v>4</v>
      </c>
      <c r="J2290">
        <v>8.4</v>
      </c>
      <c r="K2290">
        <v>5</v>
      </c>
      <c r="L2290">
        <v>8.5999999999999993E-2</v>
      </c>
      <c r="M2290">
        <v>2</v>
      </c>
      <c r="N2290">
        <v>84</v>
      </c>
      <c r="O2290">
        <v>3</v>
      </c>
      <c r="P2290">
        <v>0.375</v>
      </c>
      <c r="Q2290">
        <v>5</v>
      </c>
      <c r="R2290">
        <v>8.0000000000000002E-3</v>
      </c>
      <c r="T2290" s="8" t="s">
        <v>6543</v>
      </c>
    </row>
    <row r="2291" spans="1:20" x14ac:dyDescent="0.2">
      <c r="A2291" t="s">
        <v>6544</v>
      </c>
      <c r="B2291" t="s">
        <v>2022</v>
      </c>
      <c r="C2291" t="s">
        <v>2023</v>
      </c>
      <c r="D2291" t="s">
        <v>2024</v>
      </c>
      <c r="E2291" t="s">
        <v>6543</v>
      </c>
      <c r="F2291" t="s">
        <v>447</v>
      </c>
      <c r="G2291">
        <v>4</v>
      </c>
      <c r="H2291">
        <v>1720</v>
      </c>
      <c r="I2291">
        <v>5</v>
      </c>
      <c r="J2291">
        <v>10.9</v>
      </c>
      <c r="K2291">
        <v>5</v>
      </c>
      <c r="L2291">
        <v>8.5999999999999993E-2</v>
      </c>
      <c r="M2291">
        <v>2</v>
      </c>
      <c r="N2291">
        <v>84</v>
      </c>
      <c r="O2291">
        <v>4</v>
      </c>
      <c r="P2291">
        <v>0.52500000000000002</v>
      </c>
      <c r="Q2291">
        <v>5</v>
      </c>
      <c r="R2291">
        <v>8.0000000000000002E-3</v>
      </c>
      <c r="T2291" s="8" t="s">
        <v>6543</v>
      </c>
    </row>
    <row r="2292" spans="1:20" x14ac:dyDescent="0.2">
      <c r="A2292" t="s">
        <v>6545</v>
      </c>
      <c r="B2292" t="s">
        <v>2022</v>
      </c>
      <c r="C2292" t="s">
        <v>2028</v>
      </c>
      <c r="D2292" t="s">
        <v>2024</v>
      </c>
      <c r="E2292" t="s">
        <v>6546</v>
      </c>
      <c r="F2292" t="s">
        <v>6547</v>
      </c>
      <c r="G2292">
        <v>3</v>
      </c>
      <c r="H2292">
        <v>1050</v>
      </c>
      <c r="I2292">
        <v>5</v>
      </c>
      <c r="J2292">
        <v>6.65</v>
      </c>
      <c r="K2292">
        <v>5</v>
      </c>
      <c r="L2292">
        <v>0.26700000000000002</v>
      </c>
      <c r="M2292">
        <v>2</v>
      </c>
      <c r="N2292">
        <v>200</v>
      </c>
      <c r="O2292">
        <v>5</v>
      </c>
      <c r="P2292">
        <v>1.35</v>
      </c>
      <c r="Q2292">
        <v>5</v>
      </c>
      <c r="R2292">
        <v>3.3500000000000002E-2</v>
      </c>
      <c r="T2292" s="8" t="s">
        <v>6546</v>
      </c>
    </row>
    <row r="2293" spans="1:20" x14ac:dyDescent="0.2">
      <c r="A2293" t="s">
        <v>6548</v>
      </c>
      <c r="B2293" t="s">
        <v>2022</v>
      </c>
      <c r="C2293" t="s">
        <v>2036</v>
      </c>
      <c r="D2293" t="s">
        <v>2024</v>
      </c>
      <c r="E2293" t="s">
        <v>6549</v>
      </c>
      <c r="F2293" t="s">
        <v>6550</v>
      </c>
      <c r="G2293">
        <v>3</v>
      </c>
      <c r="H2293">
        <v>1740</v>
      </c>
      <c r="I2293">
        <v>5</v>
      </c>
      <c r="J2293">
        <v>7</v>
      </c>
      <c r="K2293">
        <v>5</v>
      </c>
      <c r="L2293">
        <v>0.17499999999999999</v>
      </c>
      <c r="M2293">
        <v>3</v>
      </c>
      <c r="N2293">
        <v>88</v>
      </c>
      <c r="O2293">
        <v>4</v>
      </c>
      <c r="P2293">
        <v>0.42499999999999999</v>
      </c>
      <c r="Q2293">
        <v>5</v>
      </c>
      <c r="R2293">
        <v>1.2E-2</v>
      </c>
      <c r="T2293" s="8" t="s">
        <v>6549</v>
      </c>
    </row>
    <row r="2294" spans="1:20" x14ac:dyDescent="0.2">
      <c r="A2294" t="s">
        <v>6551</v>
      </c>
      <c r="B2294" t="s">
        <v>2022</v>
      </c>
      <c r="C2294" t="s">
        <v>2173</v>
      </c>
      <c r="D2294" t="s">
        <v>2024</v>
      </c>
      <c r="E2294" t="s">
        <v>6552</v>
      </c>
      <c r="F2294" t="s">
        <v>6553</v>
      </c>
      <c r="G2294">
        <v>5</v>
      </c>
      <c r="H2294">
        <v>2182.5</v>
      </c>
      <c r="I2294">
        <v>2</v>
      </c>
      <c r="J2294">
        <v>6.35</v>
      </c>
      <c r="K2294">
        <v>1</v>
      </c>
      <c r="L2294">
        <v>1.4999999999999999E-2</v>
      </c>
      <c r="M2294">
        <v>4</v>
      </c>
      <c r="N2294">
        <v>129.5</v>
      </c>
      <c r="O2294">
        <v>2</v>
      </c>
      <c r="P2294">
        <v>0.33</v>
      </c>
      <c r="Q2294">
        <v>1</v>
      </c>
      <c r="R2294">
        <v>6.4999999999999997E-4</v>
      </c>
      <c r="T2294" s="8" t="s">
        <v>6552</v>
      </c>
    </row>
    <row r="2295" spans="1:20" x14ac:dyDescent="0.2">
      <c r="A2295" t="s">
        <v>6554</v>
      </c>
      <c r="B2295" t="s">
        <v>2022</v>
      </c>
      <c r="C2295" t="s">
        <v>2023</v>
      </c>
      <c r="D2295" t="s">
        <v>2024</v>
      </c>
      <c r="E2295" t="s">
        <v>6555</v>
      </c>
      <c r="F2295" t="s">
        <v>6556</v>
      </c>
      <c r="G2295">
        <v>1</v>
      </c>
      <c r="H2295">
        <v>1480</v>
      </c>
      <c r="I2295">
        <v>3</v>
      </c>
      <c r="J2295">
        <v>5.9</v>
      </c>
      <c r="K2295">
        <v>5</v>
      </c>
      <c r="L2295">
        <v>8.5999999999999993E-2</v>
      </c>
      <c r="M2295">
        <v>2</v>
      </c>
      <c r="N2295">
        <v>84</v>
      </c>
      <c r="O2295">
        <v>2</v>
      </c>
      <c r="P2295">
        <v>0.22500000000000001</v>
      </c>
      <c r="Q2295">
        <v>4</v>
      </c>
      <c r="R2295">
        <v>6.0000000000000001E-3</v>
      </c>
      <c r="T2295" s="8" t="s">
        <v>6555</v>
      </c>
    </row>
    <row r="2296" spans="1:20" x14ac:dyDescent="0.2">
      <c r="A2296" t="s">
        <v>6557</v>
      </c>
      <c r="B2296" t="s">
        <v>2022</v>
      </c>
      <c r="C2296" t="s">
        <v>2023</v>
      </c>
      <c r="D2296" t="s">
        <v>2024</v>
      </c>
      <c r="E2296" t="s">
        <v>6558</v>
      </c>
      <c r="F2296" t="s">
        <v>6559</v>
      </c>
      <c r="G2296">
        <v>3</v>
      </c>
      <c r="H2296">
        <v>1640</v>
      </c>
      <c r="I2296">
        <v>2</v>
      </c>
      <c r="J2296">
        <v>3.4</v>
      </c>
      <c r="K2296">
        <v>2</v>
      </c>
      <c r="L2296">
        <v>2.5999999999999999E-2</v>
      </c>
      <c r="M2296">
        <v>1</v>
      </c>
      <c r="N2296">
        <v>74</v>
      </c>
      <c r="O2296">
        <v>2</v>
      </c>
      <c r="P2296">
        <v>0.22500000000000001</v>
      </c>
      <c r="Q2296">
        <v>1</v>
      </c>
      <c r="R2296">
        <v>5.0000000000000001E-4</v>
      </c>
      <c r="T2296" s="8" t="s">
        <v>6558</v>
      </c>
    </row>
    <row r="2297" spans="1:20" x14ac:dyDescent="0.2">
      <c r="A2297" t="s">
        <v>6560</v>
      </c>
      <c r="B2297" t="s">
        <v>2022</v>
      </c>
      <c r="C2297" t="s">
        <v>2023</v>
      </c>
      <c r="D2297" t="s">
        <v>2024</v>
      </c>
      <c r="E2297" t="s">
        <v>357</v>
      </c>
      <c r="F2297" t="s">
        <v>447</v>
      </c>
      <c r="G2297">
        <v>4</v>
      </c>
      <c r="H2297">
        <v>1720</v>
      </c>
      <c r="I2297">
        <v>5</v>
      </c>
      <c r="J2297">
        <v>10.9</v>
      </c>
      <c r="K2297">
        <v>5</v>
      </c>
      <c r="L2297">
        <v>8.5999999999999993E-2</v>
      </c>
      <c r="M2297">
        <v>2</v>
      </c>
      <c r="N2297">
        <v>84</v>
      </c>
      <c r="O2297">
        <v>4</v>
      </c>
      <c r="P2297">
        <v>0.52500000000000002</v>
      </c>
      <c r="Q2297">
        <v>5</v>
      </c>
      <c r="R2297">
        <v>8.0000000000000002E-3</v>
      </c>
      <c r="T2297" s="8" t="s">
        <v>357</v>
      </c>
    </row>
    <row r="2298" spans="1:20" x14ac:dyDescent="0.2">
      <c r="A2298" t="s">
        <v>6561</v>
      </c>
      <c r="B2298" t="s">
        <v>2022</v>
      </c>
      <c r="C2298" t="s">
        <v>2053</v>
      </c>
      <c r="D2298" t="s">
        <v>2024</v>
      </c>
      <c r="E2298" t="s">
        <v>6562</v>
      </c>
      <c r="F2298" t="s">
        <v>6563</v>
      </c>
      <c r="G2298">
        <v>5</v>
      </c>
      <c r="H2298">
        <v>1900</v>
      </c>
      <c r="I2298">
        <v>2</v>
      </c>
      <c r="J2298">
        <v>4.05</v>
      </c>
      <c r="K2298">
        <v>2</v>
      </c>
      <c r="L2298">
        <v>8.5000000000000006E-2</v>
      </c>
      <c r="M2298">
        <v>3</v>
      </c>
      <c r="N2298">
        <v>93</v>
      </c>
      <c r="O2298">
        <v>2</v>
      </c>
      <c r="P2298">
        <v>0.22500000000000001</v>
      </c>
      <c r="Q2298">
        <v>2</v>
      </c>
      <c r="R2298">
        <v>5.1999999999999998E-3</v>
      </c>
      <c r="T2298" s="8" t="s">
        <v>6562</v>
      </c>
    </row>
    <row r="2299" spans="1:20" x14ac:dyDescent="0.2">
      <c r="A2299" t="s">
        <v>6564</v>
      </c>
      <c r="B2299" t="s">
        <v>2022</v>
      </c>
      <c r="C2299" t="s">
        <v>2036</v>
      </c>
      <c r="D2299" t="s">
        <v>2024</v>
      </c>
      <c r="E2299" t="s">
        <v>357</v>
      </c>
      <c r="F2299" t="s">
        <v>6565</v>
      </c>
      <c r="G2299">
        <v>3</v>
      </c>
      <c r="H2299">
        <v>1740</v>
      </c>
      <c r="I2299">
        <v>5</v>
      </c>
      <c r="J2299">
        <v>7</v>
      </c>
      <c r="K2299">
        <v>5</v>
      </c>
      <c r="L2299">
        <v>0.17499999999999999</v>
      </c>
      <c r="M2299">
        <v>3</v>
      </c>
      <c r="N2299">
        <v>88</v>
      </c>
      <c r="O2299">
        <v>5</v>
      </c>
      <c r="P2299">
        <v>0.53500000000000003</v>
      </c>
      <c r="Q2299">
        <v>5</v>
      </c>
      <c r="R2299">
        <v>1.2E-2</v>
      </c>
      <c r="T2299" s="8" t="s">
        <v>357</v>
      </c>
    </row>
    <row r="2300" spans="1:20" x14ac:dyDescent="0.2">
      <c r="A2300" t="s">
        <v>6566</v>
      </c>
      <c r="B2300" t="s">
        <v>2022</v>
      </c>
      <c r="C2300" t="s">
        <v>2036</v>
      </c>
      <c r="D2300" t="s">
        <v>2024</v>
      </c>
      <c r="E2300" t="s">
        <v>6567</v>
      </c>
      <c r="F2300" t="s">
        <v>6568</v>
      </c>
      <c r="G2300">
        <v>4</v>
      </c>
      <c r="H2300">
        <v>1840</v>
      </c>
      <c r="I2300">
        <v>5</v>
      </c>
      <c r="J2300">
        <v>7</v>
      </c>
      <c r="K2300">
        <v>5</v>
      </c>
      <c r="L2300">
        <v>0.17499999999999999</v>
      </c>
      <c r="M2300">
        <v>3</v>
      </c>
      <c r="N2300">
        <v>88</v>
      </c>
      <c r="O2300">
        <v>4</v>
      </c>
      <c r="P2300">
        <v>0.42499999999999999</v>
      </c>
      <c r="Q2300">
        <v>5</v>
      </c>
      <c r="R2300">
        <v>1.2E-2</v>
      </c>
      <c r="T2300" s="8" t="s">
        <v>6567</v>
      </c>
    </row>
    <row r="2301" spans="1:20" x14ac:dyDescent="0.2">
      <c r="A2301" t="s">
        <v>6569</v>
      </c>
      <c r="B2301" t="s">
        <v>2022</v>
      </c>
      <c r="C2301" t="s">
        <v>2173</v>
      </c>
      <c r="D2301" t="s">
        <v>2024</v>
      </c>
      <c r="E2301" t="s">
        <v>6570</v>
      </c>
      <c r="F2301" t="s">
        <v>6571</v>
      </c>
      <c r="G2301">
        <v>2</v>
      </c>
      <c r="H2301">
        <v>1957.5</v>
      </c>
      <c r="I2301">
        <v>5</v>
      </c>
      <c r="J2301">
        <v>14.45</v>
      </c>
      <c r="K2301">
        <v>5</v>
      </c>
      <c r="L2301">
        <v>0.45</v>
      </c>
      <c r="M2301">
        <v>4</v>
      </c>
      <c r="N2301">
        <v>129.5</v>
      </c>
      <c r="O2301">
        <v>5</v>
      </c>
      <c r="P2301">
        <v>0.87</v>
      </c>
      <c r="Q2301">
        <v>5</v>
      </c>
      <c r="R2301">
        <v>2.58E-2</v>
      </c>
      <c r="T2301" s="8" t="s">
        <v>6570</v>
      </c>
    </row>
    <row r="2302" spans="1:20" x14ac:dyDescent="0.2">
      <c r="A2302" t="s">
        <v>6572</v>
      </c>
      <c r="B2302" t="s">
        <v>2022</v>
      </c>
      <c r="C2302" t="s">
        <v>2023</v>
      </c>
      <c r="D2302" t="s">
        <v>2024</v>
      </c>
      <c r="E2302" t="s">
        <v>6573</v>
      </c>
      <c r="F2302" t="s">
        <v>6574</v>
      </c>
      <c r="G2302">
        <v>2</v>
      </c>
      <c r="H2302">
        <v>1560</v>
      </c>
      <c r="I2302">
        <v>3</v>
      </c>
      <c r="J2302">
        <v>5.9</v>
      </c>
      <c r="K2302">
        <v>5</v>
      </c>
      <c r="L2302">
        <v>8.5999999999999993E-2</v>
      </c>
      <c r="M2302">
        <v>3</v>
      </c>
      <c r="N2302">
        <v>94</v>
      </c>
      <c r="O2302">
        <v>3</v>
      </c>
      <c r="P2302">
        <v>0.375</v>
      </c>
      <c r="Q2302">
        <v>5</v>
      </c>
      <c r="R2302">
        <v>8.0000000000000002E-3</v>
      </c>
      <c r="T2302" s="8" t="s">
        <v>6573</v>
      </c>
    </row>
    <row r="2303" spans="1:20" x14ac:dyDescent="0.2">
      <c r="A2303" t="s">
        <v>6575</v>
      </c>
      <c r="B2303" t="s">
        <v>2022</v>
      </c>
      <c r="C2303" t="s">
        <v>2036</v>
      </c>
      <c r="D2303" t="s">
        <v>2024</v>
      </c>
      <c r="E2303" t="s">
        <v>6576</v>
      </c>
      <c r="F2303" t="s">
        <v>6577</v>
      </c>
      <c r="G2303">
        <v>1</v>
      </c>
      <c r="H2303">
        <v>1540</v>
      </c>
      <c r="I2303">
        <v>1</v>
      </c>
      <c r="J2303">
        <v>2.2000000000000002</v>
      </c>
      <c r="K2303">
        <v>1</v>
      </c>
      <c r="L2303">
        <v>5.5E-2</v>
      </c>
      <c r="M2303">
        <v>1</v>
      </c>
      <c r="N2303">
        <v>76</v>
      </c>
      <c r="O2303">
        <v>1</v>
      </c>
      <c r="P2303">
        <v>9.5000000000000001E-2</v>
      </c>
      <c r="Q2303">
        <v>1</v>
      </c>
      <c r="R2303">
        <v>1.5E-3</v>
      </c>
      <c r="T2303" s="8" t="s">
        <v>6576</v>
      </c>
    </row>
    <row r="2304" spans="1:20" x14ac:dyDescent="0.2">
      <c r="A2304" t="s">
        <v>6578</v>
      </c>
      <c r="B2304" t="s">
        <v>2022</v>
      </c>
      <c r="C2304" t="s">
        <v>2036</v>
      </c>
      <c r="D2304" t="s">
        <v>2024</v>
      </c>
      <c r="E2304" t="s">
        <v>6579</v>
      </c>
      <c r="F2304" t="s">
        <v>6580</v>
      </c>
      <c r="G2304">
        <v>5</v>
      </c>
      <c r="H2304">
        <v>1940</v>
      </c>
      <c r="I2304">
        <v>5</v>
      </c>
      <c r="J2304">
        <v>7</v>
      </c>
      <c r="K2304">
        <v>5</v>
      </c>
      <c r="L2304">
        <v>0.17499999999999999</v>
      </c>
      <c r="M2304">
        <v>5</v>
      </c>
      <c r="N2304">
        <v>100</v>
      </c>
      <c r="O2304">
        <v>5</v>
      </c>
      <c r="P2304">
        <v>0.53500000000000003</v>
      </c>
      <c r="Q2304">
        <v>5</v>
      </c>
      <c r="R2304">
        <v>1.2E-2</v>
      </c>
      <c r="T2304" s="8" t="s">
        <v>6579</v>
      </c>
    </row>
    <row r="2305" spans="1:20" x14ac:dyDescent="0.2">
      <c r="A2305" t="s">
        <v>6581</v>
      </c>
      <c r="B2305" t="s">
        <v>2022</v>
      </c>
      <c r="C2305" t="s">
        <v>2049</v>
      </c>
      <c r="E2305" t="s">
        <v>357</v>
      </c>
      <c r="F2305" t="s">
        <v>447</v>
      </c>
      <c r="G2305">
        <v>3</v>
      </c>
      <c r="H2305">
        <v>1550</v>
      </c>
      <c r="I2305">
        <v>4</v>
      </c>
      <c r="J2305">
        <v>6.8</v>
      </c>
      <c r="K2305">
        <v>4</v>
      </c>
      <c r="L2305">
        <v>0.22</v>
      </c>
      <c r="M2305">
        <v>3</v>
      </c>
      <c r="N2305">
        <v>126</v>
      </c>
      <c r="O2305">
        <v>3</v>
      </c>
      <c r="P2305">
        <v>0.46</v>
      </c>
      <c r="Q2305">
        <v>3</v>
      </c>
      <c r="R2305">
        <v>1.52E-2</v>
      </c>
      <c r="T2305" s="8" t="s">
        <v>357</v>
      </c>
    </row>
    <row r="2306" spans="1:20" x14ac:dyDescent="0.2">
      <c r="A2306" t="s">
        <v>6582</v>
      </c>
      <c r="B2306" t="s">
        <v>2022</v>
      </c>
      <c r="C2306" t="s">
        <v>2023</v>
      </c>
      <c r="D2306" t="s">
        <v>2024</v>
      </c>
      <c r="E2306" t="s">
        <v>6583</v>
      </c>
      <c r="F2306" t="s">
        <v>6584</v>
      </c>
      <c r="G2306">
        <v>1</v>
      </c>
      <c r="H2306">
        <v>1480</v>
      </c>
      <c r="I2306">
        <v>1</v>
      </c>
      <c r="J2306">
        <v>0.9</v>
      </c>
      <c r="K2306">
        <v>1</v>
      </c>
      <c r="L2306">
        <v>6.0000000000000001E-3</v>
      </c>
      <c r="M2306">
        <v>2</v>
      </c>
      <c r="N2306">
        <v>84</v>
      </c>
      <c r="O2306">
        <v>1</v>
      </c>
      <c r="P2306">
        <v>7.4999999999999997E-2</v>
      </c>
      <c r="Q2306">
        <v>1</v>
      </c>
      <c r="R2306">
        <v>5.0000000000000001E-4</v>
      </c>
      <c r="T2306" s="8" t="s">
        <v>6583</v>
      </c>
    </row>
    <row r="2307" spans="1:20" x14ac:dyDescent="0.2">
      <c r="A2307" t="s">
        <v>6585</v>
      </c>
      <c r="B2307" t="s">
        <v>2022</v>
      </c>
      <c r="C2307" t="s">
        <v>2257</v>
      </c>
      <c r="D2307" t="s">
        <v>2024</v>
      </c>
      <c r="E2307" t="s">
        <v>357</v>
      </c>
      <c r="F2307" t="s">
        <v>447</v>
      </c>
      <c r="G2307">
        <v>5</v>
      </c>
      <c r="H2307">
        <v>1300</v>
      </c>
      <c r="I2307">
        <v>5</v>
      </c>
      <c r="J2307">
        <v>5.65</v>
      </c>
      <c r="K2307">
        <v>5</v>
      </c>
      <c r="L2307">
        <v>0.187</v>
      </c>
      <c r="M2307">
        <v>2</v>
      </c>
      <c r="N2307">
        <v>500</v>
      </c>
      <c r="O2307">
        <v>5</v>
      </c>
      <c r="P2307">
        <v>2.7</v>
      </c>
      <c r="Q2307">
        <v>5</v>
      </c>
      <c r="R2307">
        <v>8.1000000000000003E-2</v>
      </c>
      <c r="T2307" s="8" t="s">
        <v>357</v>
      </c>
    </row>
    <row r="2308" spans="1:20" x14ac:dyDescent="0.2">
      <c r="A2308" t="s">
        <v>6586</v>
      </c>
      <c r="B2308" t="s">
        <v>2022</v>
      </c>
      <c r="C2308" t="s">
        <v>2053</v>
      </c>
      <c r="D2308" t="s">
        <v>2024</v>
      </c>
      <c r="E2308" t="s">
        <v>6587</v>
      </c>
      <c r="F2308" t="s">
        <v>6588</v>
      </c>
      <c r="G2308">
        <v>2</v>
      </c>
      <c r="H2308">
        <v>1600</v>
      </c>
      <c r="I2308">
        <v>5</v>
      </c>
      <c r="J2308">
        <v>11.55</v>
      </c>
      <c r="K2308">
        <v>5</v>
      </c>
      <c r="L2308">
        <v>0.41499999999999998</v>
      </c>
      <c r="M2308">
        <v>4</v>
      </c>
      <c r="N2308">
        <v>103</v>
      </c>
      <c r="O2308">
        <v>5</v>
      </c>
      <c r="P2308">
        <v>0.67500000000000004</v>
      </c>
      <c r="Q2308">
        <v>5</v>
      </c>
      <c r="R2308">
        <v>2.6200000000000001E-2</v>
      </c>
      <c r="T2308" s="8" t="s">
        <v>6587</v>
      </c>
    </row>
    <row r="2309" spans="1:20" x14ac:dyDescent="0.2">
      <c r="A2309" t="s">
        <v>6589</v>
      </c>
      <c r="B2309" t="s">
        <v>2022</v>
      </c>
      <c r="C2309" t="s">
        <v>2023</v>
      </c>
      <c r="D2309" t="s">
        <v>2136</v>
      </c>
      <c r="E2309" t="s">
        <v>357</v>
      </c>
      <c r="F2309" t="s">
        <v>6590</v>
      </c>
      <c r="G2309">
        <v>3</v>
      </c>
      <c r="H2309">
        <v>1640</v>
      </c>
      <c r="I2309">
        <v>2</v>
      </c>
      <c r="J2309">
        <v>3.4</v>
      </c>
      <c r="K2309">
        <v>2</v>
      </c>
      <c r="L2309">
        <v>2.5999999999999999E-2</v>
      </c>
      <c r="M2309">
        <v>3</v>
      </c>
      <c r="N2309">
        <v>94</v>
      </c>
      <c r="O2309">
        <v>1</v>
      </c>
      <c r="P2309">
        <v>7.4999999999999997E-2</v>
      </c>
      <c r="Q2309">
        <v>1</v>
      </c>
      <c r="R2309">
        <v>5.0000000000000001E-4</v>
      </c>
      <c r="T2309" s="8" t="s">
        <v>357</v>
      </c>
    </row>
    <row r="2310" spans="1:20" x14ac:dyDescent="0.2">
      <c r="A2310" t="s">
        <v>6591</v>
      </c>
      <c r="B2310" t="s">
        <v>2022</v>
      </c>
      <c r="C2310" t="s">
        <v>2104</v>
      </c>
      <c r="D2310" t="s">
        <v>2024</v>
      </c>
      <c r="E2310" t="s">
        <v>6592</v>
      </c>
      <c r="F2310" t="s">
        <v>6593</v>
      </c>
      <c r="G2310">
        <v>4</v>
      </c>
      <c r="H2310">
        <v>2062.5</v>
      </c>
      <c r="I2310">
        <v>3</v>
      </c>
      <c r="J2310">
        <v>5.55</v>
      </c>
      <c r="K2310">
        <v>5</v>
      </c>
      <c r="L2310">
        <v>0.191</v>
      </c>
      <c r="M2310">
        <v>3</v>
      </c>
      <c r="N2310">
        <v>73</v>
      </c>
      <c r="P2310">
        <v>0</v>
      </c>
      <c r="Q2310">
        <v>3</v>
      </c>
      <c r="R2310">
        <v>8.2000000000000007E-3</v>
      </c>
      <c r="T2310" s="8" t="s">
        <v>6592</v>
      </c>
    </row>
    <row r="2311" spans="1:20" x14ac:dyDescent="0.2">
      <c r="A2311" t="s">
        <v>6594</v>
      </c>
      <c r="B2311" t="s">
        <v>2022</v>
      </c>
      <c r="C2311" t="s">
        <v>2101</v>
      </c>
      <c r="D2311" t="s">
        <v>2024</v>
      </c>
      <c r="E2311" t="s">
        <v>6595</v>
      </c>
      <c r="F2311" t="s">
        <v>6596</v>
      </c>
      <c r="G2311">
        <v>5</v>
      </c>
      <c r="H2311">
        <v>1970</v>
      </c>
      <c r="I2311">
        <v>2</v>
      </c>
      <c r="J2311">
        <v>5</v>
      </c>
      <c r="K2311">
        <v>1</v>
      </c>
      <c r="L2311">
        <v>1.15E-2</v>
      </c>
      <c r="M2311">
        <v>5</v>
      </c>
      <c r="N2311">
        <v>98</v>
      </c>
      <c r="O2311">
        <v>2</v>
      </c>
      <c r="P2311">
        <v>0.22500000000000001</v>
      </c>
      <c r="Q2311">
        <v>1</v>
      </c>
      <c r="R2311">
        <v>5.0000000000000001E-4</v>
      </c>
      <c r="T2311" s="8" t="s">
        <v>6595</v>
      </c>
    </row>
    <row r="2312" spans="1:20" x14ac:dyDescent="0.2">
      <c r="A2312" t="s">
        <v>6597</v>
      </c>
      <c r="B2312" t="s">
        <v>2022</v>
      </c>
      <c r="C2312" t="s">
        <v>2023</v>
      </c>
      <c r="D2312" t="s">
        <v>2024</v>
      </c>
      <c r="E2312" t="s">
        <v>357</v>
      </c>
      <c r="F2312" t="s">
        <v>447</v>
      </c>
      <c r="G2312">
        <v>3</v>
      </c>
      <c r="H2312">
        <v>1640</v>
      </c>
      <c r="I2312">
        <v>2</v>
      </c>
      <c r="J2312">
        <v>3.4</v>
      </c>
      <c r="K2312">
        <v>2</v>
      </c>
      <c r="L2312">
        <v>2.5999999999999999E-2</v>
      </c>
      <c r="M2312">
        <v>5</v>
      </c>
      <c r="N2312">
        <v>114</v>
      </c>
      <c r="O2312">
        <v>5</v>
      </c>
      <c r="P2312">
        <v>0.67500000000000004</v>
      </c>
      <c r="Q2312">
        <v>5</v>
      </c>
      <c r="R2312">
        <v>8.0000000000000002E-3</v>
      </c>
      <c r="T2312" s="8" t="s">
        <v>357</v>
      </c>
    </row>
    <row r="2313" spans="1:20" x14ac:dyDescent="0.2">
      <c r="A2313" t="s">
        <v>6598</v>
      </c>
      <c r="B2313" t="s">
        <v>2022</v>
      </c>
      <c r="C2313" t="s">
        <v>2023</v>
      </c>
      <c r="D2313" t="s">
        <v>2024</v>
      </c>
      <c r="E2313" t="s">
        <v>262</v>
      </c>
      <c r="F2313" t="s">
        <v>447</v>
      </c>
      <c r="G2313">
        <v>5</v>
      </c>
      <c r="H2313">
        <v>1800</v>
      </c>
      <c r="I2313">
        <v>2</v>
      </c>
      <c r="J2313">
        <v>3.4</v>
      </c>
      <c r="K2313">
        <v>3</v>
      </c>
      <c r="L2313">
        <v>4.5999999999999999E-2</v>
      </c>
      <c r="M2313">
        <v>5</v>
      </c>
      <c r="N2313">
        <v>114</v>
      </c>
      <c r="O2313">
        <v>1</v>
      </c>
      <c r="P2313">
        <v>7.4999999999999997E-2</v>
      </c>
      <c r="Q2313">
        <v>2</v>
      </c>
      <c r="R2313">
        <v>2E-3</v>
      </c>
      <c r="T2313" s="8" t="s">
        <v>262</v>
      </c>
    </row>
    <row r="2314" spans="1:20" x14ac:dyDescent="0.2">
      <c r="A2314" t="s">
        <v>6599</v>
      </c>
      <c r="B2314" t="s">
        <v>2022</v>
      </c>
      <c r="C2314" t="s">
        <v>2104</v>
      </c>
      <c r="D2314" t="s">
        <v>2024</v>
      </c>
      <c r="E2314" t="s">
        <v>262</v>
      </c>
      <c r="F2314" t="s">
        <v>447</v>
      </c>
      <c r="G2314">
        <v>5</v>
      </c>
      <c r="H2314">
        <v>2237.5</v>
      </c>
      <c r="I2314">
        <v>4</v>
      </c>
      <c r="J2314">
        <v>7.85</v>
      </c>
      <c r="K2314">
        <v>4</v>
      </c>
      <c r="L2314">
        <v>0.14099999999999999</v>
      </c>
      <c r="M2314">
        <v>1</v>
      </c>
      <c r="N2314">
        <v>57</v>
      </c>
      <c r="P2314">
        <v>0</v>
      </c>
      <c r="Q2314">
        <v>2</v>
      </c>
      <c r="R2314">
        <v>3.2000000000000002E-3</v>
      </c>
      <c r="T2314" s="8" t="s">
        <v>262</v>
      </c>
    </row>
    <row r="2315" spans="1:20" x14ac:dyDescent="0.2">
      <c r="A2315" t="s">
        <v>6600</v>
      </c>
      <c r="B2315" t="s">
        <v>2022</v>
      </c>
      <c r="C2315" t="s">
        <v>2101</v>
      </c>
      <c r="D2315" t="s">
        <v>2024</v>
      </c>
      <c r="E2315" t="s">
        <v>262</v>
      </c>
      <c r="F2315" t="s">
        <v>447</v>
      </c>
      <c r="G2315">
        <v>5</v>
      </c>
      <c r="H2315">
        <v>1970</v>
      </c>
      <c r="I2315">
        <v>3</v>
      </c>
      <c r="J2315">
        <v>8</v>
      </c>
      <c r="K2315">
        <v>3</v>
      </c>
      <c r="L2315">
        <v>0.24349999999999999</v>
      </c>
      <c r="M2315">
        <v>4</v>
      </c>
      <c r="N2315">
        <v>90</v>
      </c>
      <c r="O2315">
        <v>3</v>
      </c>
      <c r="P2315">
        <v>0.375</v>
      </c>
      <c r="Q2315">
        <v>3</v>
      </c>
      <c r="R2315">
        <v>1.15E-2</v>
      </c>
      <c r="T2315" s="8" t="s">
        <v>262</v>
      </c>
    </row>
    <row r="2316" spans="1:20" x14ac:dyDescent="0.2">
      <c r="A2316" t="s">
        <v>6601</v>
      </c>
      <c r="B2316" t="s">
        <v>2022</v>
      </c>
      <c r="C2316" t="s">
        <v>2023</v>
      </c>
      <c r="D2316" t="s">
        <v>2024</v>
      </c>
      <c r="E2316" t="s">
        <v>6602</v>
      </c>
      <c r="F2316" t="s">
        <v>6603</v>
      </c>
      <c r="G2316">
        <v>2</v>
      </c>
      <c r="H2316">
        <v>1560</v>
      </c>
      <c r="I2316">
        <v>3</v>
      </c>
      <c r="J2316">
        <v>5.9</v>
      </c>
      <c r="K2316">
        <v>3</v>
      </c>
      <c r="L2316">
        <v>4.5999999999999999E-2</v>
      </c>
      <c r="M2316">
        <v>1</v>
      </c>
      <c r="N2316">
        <v>74</v>
      </c>
      <c r="O2316">
        <v>2</v>
      </c>
      <c r="P2316">
        <v>0.22500000000000001</v>
      </c>
      <c r="Q2316">
        <v>2</v>
      </c>
      <c r="R2316">
        <v>2E-3</v>
      </c>
      <c r="T2316" s="8" t="s">
        <v>6602</v>
      </c>
    </row>
    <row r="2317" spans="1:20" x14ac:dyDescent="0.2">
      <c r="A2317" t="s">
        <v>6604</v>
      </c>
      <c r="B2317" t="s">
        <v>2022</v>
      </c>
      <c r="C2317" t="s">
        <v>2023</v>
      </c>
      <c r="D2317" t="s">
        <v>2024</v>
      </c>
      <c r="E2317" t="s">
        <v>6605</v>
      </c>
      <c r="F2317" t="s">
        <v>6606</v>
      </c>
      <c r="G2317">
        <v>5</v>
      </c>
      <c r="H2317">
        <v>1800</v>
      </c>
      <c r="I2317">
        <v>5</v>
      </c>
      <c r="J2317">
        <v>10.9</v>
      </c>
      <c r="K2317">
        <v>5</v>
      </c>
      <c r="L2317">
        <v>8.5999999999999993E-2</v>
      </c>
      <c r="M2317">
        <v>3</v>
      </c>
      <c r="N2317">
        <v>94</v>
      </c>
      <c r="O2317">
        <v>5</v>
      </c>
      <c r="P2317">
        <v>0.67500000000000004</v>
      </c>
      <c r="Q2317">
        <v>5</v>
      </c>
      <c r="R2317">
        <v>8.0000000000000002E-3</v>
      </c>
      <c r="T2317" s="8" t="s">
        <v>6605</v>
      </c>
    </row>
    <row r="2318" spans="1:20" x14ac:dyDescent="0.2">
      <c r="A2318" t="s">
        <v>6607</v>
      </c>
      <c r="B2318" t="s">
        <v>2022</v>
      </c>
      <c r="C2318" t="s">
        <v>2023</v>
      </c>
      <c r="D2318" t="s">
        <v>2024</v>
      </c>
      <c r="E2318" t="s">
        <v>6608</v>
      </c>
      <c r="F2318" t="s">
        <v>6609</v>
      </c>
      <c r="G2318">
        <v>1</v>
      </c>
      <c r="H2318">
        <v>1480</v>
      </c>
      <c r="I2318">
        <v>1</v>
      </c>
      <c r="J2318">
        <v>0.9</v>
      </c>
      <c r="K2318">
        <v>1</v>
      </c>
      <c r="L2318">
        <v>6.0000000000000001E-3</v>
      </c>
      <c r="M2318">
        <v>1</v>
      </c>
      <c r="N2318">
        <v>74</v>
      </c>
      <c r="O2318">
        <v>1</v>
      </c>
      <c r="P2318">
        <v>7.4999999999999997E-2</v>
      </c>
      <c r="Q2318">
        <v>1</v>
      </c>
      <c r="R2318">
        <v>5.0000000000000001E-4</v>
      </c>
      <c r="T2318" s="8" t="s">
        <v>6608</v>
      </c>
    </row>
    <row r="2319" spans="1:20" x14ac:dyDescent="0.2">
      <c r="A2319" t="s">
        <v>6610</v>
      </c>
      <c r="B2319" t="s">
        <v>2022</v>
      </c>
      <c r="C2319" t="s">
        <v>2101</v>
      </c>
      <c r="D2319" t="s">
        <v>2136</v>
      </c>
      <c r="E2319" t="s">
        <v>6611</v>
      </c>
      <c r="F2319" t="s">
        <v>6612</v>
      </c>
      <c r="G2319">
        <v>5</v>
      </c>
      <c r="H2319">
        <v>1970</v>
      </c>
      <c r="I2319">
        <v>2</v>
      </c>
      <c r="J2319">
        <v>5</v>
      </c>
      <c r="K2319">
        <v>2</v>
      </c>
      <c r="L2319">
        <v>9.6500000000000002E-2</v>
      </c>
      <c r="M2319">
        <v>4</v>
      </c>
      <c r="N2319">
        <v>90</v>
      </c>
      <c r="O2319">
        <v>2</v>
      </c>
      <c r="P2319">
        <v>0.22500000000000001</v>
      </c>
      <c r="Q2319">
        <v>2</v>
      </c>
      <c r="R2319">
        <v>4.4999999999999997E-3</v>
      </c>
      <c r="T2319" s="8" t="s">
        <v>6611</v>
      </c>
    </row>
    <row r="2320" spans="1:20" x14ac:dyDescent="0.2">
      <c r="A2320" t="s">
        <v>6613</v>
      </c>
      <c r="B2320" t="s">
        <v>2022</v>
      </c>
      <c r="C2320" t="s">
        <v>2222</v>
      </c>
      <c r="D2320" t="s">
        <v>2024</v>
      </c>
      <c r="E2320" t="s">
        <v>6614</v>
      </c>
      <c r="F2320" t="s">
        <v>6615</v>
      </c>
      <c r="G2320">
        <v>3</v>
      </c>
      <c r="H2320">
        <v>1650</v>
      </c>
      <c r="I2320">
        <v>1</v>
      </c>
      <c r="J2320">
        <v>2.2999999999999998</v>
      </c>
      <c r="K2320">
        <v>1</v>
      </c>
      <c r="L2320">
        <v>0.01</v>
      </c>
      <c r="M2320">
        <v>3</v>
      </c>
      <c r="N2320">
        <v>67</v>
      </c>
      <c r="O2320">
        <v>1</v>
      </c>
      <c r="P2320">
        <v>7.0000000000000007E-2</v>
      </c>
      <c r="Q2320">
        <v>1</v>
      </c>
      <c r="R2320">
        <v>4.0000000000000002E-4</v>
      </c>
      <c r="T2320" s="8" t="s">
        <v>6614</v>
      </c>
    </row>
    <row r="2321" spans="1:20" x14ac:dyDescent="0.2">
      <c r="A2321" t="s">
        <v>6616</v>
      </c>
      <c r="B2321" t="s">
        <v>2022</v>
      </c>
      <c r="C2321" t="s">
        <v>2053</v>
      </c>
      <c r="D2321" t="s">
        <v>2136</v>
      </c>
      <c r="E2321" t="s">
        <v>6617</v>
      </c>
      <c r="F2321" t="s">
        <v>6618</v>
      </c>
      <c r="G2321">
        <v>5</v>
      </c>
      <c r="H2321">
        <v>1900</v>
      </c>
      <c r="I2321">
        <v>2</v>
      </c>
      <c r="J2321">
        <v>4.05</v>
      </c>
      <c r="K2321">
        <v>1</v>
      </c>
      <c r="L2321">
        <v>1.4999999999999999E-2</v>
      </c>
      <c r="M2321">
        <v>2</v>
      </c>
      <c r="N2321">
        <v>83</v>
      </c>
      <c r="O2321">
        <v>2</v>
      </c>
      <c r="P2321">
        <v>0.22500000000000001</v>
      </c>
      <c r="Q2321">
        <v>1</v>
      </c>
      <c r="R2321">
        <v>8.4999999999999995E-4</v>
      </c>
      <c r="T2321" s="8" t="s">
        <v>6617</v>
      </c>
    </row>
    <row r="2322" spans="1:20" x14ac:dyDescent="0.2">
      <c r="A2322" t="s">
        <v>6619</v>
      </c>
      <c r="B2322" t="s">
        <v>2022</v>
      </c>
      <c r="C2322" t="s">
        <v>2028</v>
      </c>
      <c r="D2322" t="s">
        <v>2024</v>
      </c>
      <c r="E2322" t="s">
        <v>6620</v>
      </c>
      <c r="F2322" t="s">
        <v>6621</v>
      </c>
      <c r="G2322">
        <v>3</v>
      </c>
      <c r="H2322">
        <v>1050</v>
      </c>
      <c r="I2322">
        <v>2</v>
      </c>
      <c r="J2322">
        <v>1.55</v>
      </c>
      <c r="K2322">
        <v>2</v>
      </c>
      <c r="L2322">
        <v>4.4999999999999998E-2</v>
      </c>
      <c r="M2322">
        <v>2</v>
      </c>
      <c r="N2322">
        <v>200</v>
      </c>
      <c r="O2322">
        <v>2</v>
      </c>
      <c r="P2322">
        <v>0.45</v>
      </c>
      <c r="Q2322">
        <v>2</v>
      </c>
      <c r="R2322">
        <v>7.7499999999999999E-3</v>
      </c>
      <c r="T2322" s="8" t="s">
        <v>6620</v>
      </c>
    </row>
    <row r="2323" spans="1:20" x14ac:dyDescent="0.2">
      <c r="A2323" t="s">
        <v>6622</v>
      </c>
      <c r="B2323" t="s">
        <v>2022</v>
      </c>
      <c r="C2323" t="s">
        <v>2049</v>
      </c>
      <c r="D2323" t="s">
        <v>2024</v>
      </c>
      <c r="E2323" t="s">
        <v>6623</v>
      </c>
      <c r="F2323" t="s">
        <v>6621</v>
      </c>
      <c r="G2323">
        <v>3</v>
      </c>
      <c r="H2323">
        <v>1550</v>
      </c>
      <c r="I2323">
        <v>3</v>
      </c>
      <c r="J2323">
        <v>5</v>
      </c>
      <c r="K2323">
        <v>3</v>
      </c>
      <c r="L2323">
        <v>0.14000000000000001</v>
      </c>
      <c r="M2323">
        <v>2</v>
      </c>
      <c r="N2323">
        <v>106</v>
      </c>
      <c r="O2323">
        <v>2</v>
      </c>
      <c r="P2323">
        <v>0.26</v>
      </c>
      <c r="Q2323">
        <v>2</v>
      </c>
      <c r="R2323">
        <v>6.1999999999999998E-3</v>
      </c>
      <c r="T2323" s="8" t="s">
        <v>6623</v>
      </c>
    </row>
    <row r="2324" spans="1:20" x14ac:dyDescent="0.2">
      <c r="A2324" t="s">
        <v>6624</v>
      </c>
      <c r="B2324" t="s">
        <v>2022</v>
      </c>
      <c r="C2324" t="s">
        <v>2053</v>
      </c>
      <c r="D2324" t="s">
        <v>2024</v>
      </c>
      <c r="E2324" t="s">
        <v>6625</v>
      </c>
      <c r="F2324" t="s">
        <v>6626</v>
      </c>
      <c r="G2324">
        <v>4</v>
      </c>
      <c r="H2324">
        <v>1800</v>
      </c>
      <c r="I2324">
        <v>1</v>
      </c>
      <c r="J2324">
        <v>1.55</v>
      </c>
      <c r="K2324">
        <v>1</v>
      </c>
      <c r="L2324">
        <v>1.4999999999999999E-2</v>
      </c>
      <c r="M2324">
        <v>5</v>
      </c>
      <c r="N2324">
        <v>113</v>
      </c>
      <c r="O2324">
        <v>1</v>
      </c>
      <c r="P2324">
        <v>7.4999999999999997E-2</v>
      </c>
      <c r="Q2324">
        <v>1</v>
      </c>
      <c r="R2324">
        <v>8.4999999999999995E-4</v>
      </c>
      <c r="T2324" s="8" t="s">
        <v>6625</v>
      </c>
    </row>
    <row r="2325" spans="1:20" x14ac:dyDescent="0.2">
      <c r="A2325" t="s">
        <v>6627</v>
      </c>
      <c r="B2325" t="s">
        <v>2022</v>
      </c>
      <c r="C2325" t="s">
        <v>2036</v>
      </c>
      <c r="D2325" t="s">
        <v>2024</v>
      </c>
      <c r="E2325" t="s">
        <v>6628</v>
      </c>
      <c r="F2325" t="s">
        <v>6629</v>
      </c>
      <c r="G2325">
        <v>4</v>
      </c>
      <c r="H2325">
        <v>1840</v>
      </c>
      <c r="I2325">
        <v>3</v>
      </c>
      <c r="J2325">
        <v>4.5999999999999996</v>
      </c>
      <c r="K2325">
        <v>4</v>
      </c>
      <c r="L2325">
        <v>0.14499999999999999</v>
      </c>
      <c r="M2325">
        <v>5</v>
      </c>
      <c r="N2325">
        <v>100</v>
      </c>
      <c r="O2325">
        <v>3</v>
      </c>
      <c r="P2325">
        <v>0.315</v>
      </c>
      <c r="Q2325">
        <v>3</v>
      </c>
      <c r="R2325">
        <v>6.7499999999999999E-3</v>
      </c>
      <c r="T2325" s="8" t="s">
        <v>6628</v>
      </c>
    </row>
    <row r="2326" spans="1:20" x14ac:dyDescent="0.2">
      <c r="A2326" t="s">
        <v>6630</v>
      </c>
      <c r="B2326" t="s">
        <v>2022</v>
      </c>
      <c r="C2326" t="s">
        <v>2053</v>
      </c>
      <c r="D2326" t="s">
        <v>2024</v>
      </c>
      <c r="E2326" t="s">
        <v>6631</v>
      </c>
      <c r="F2326" t="s">
        <v>6632</v>
      </c>
      <c r="G2326">
        <v>3</v>
      </c>
      <c r="H2326">
        <v>1700</v>
      </c>
      <c r="I2326">
        <v>2</v>
      </c>
      <c r="J2326">
        <v>4.05</v>
      </c>
      <c r="K2326">
        <v>2</v>
      </c>
      <c r="L2326">
        <v>8.5000000000000006E-2</v>
      </c>
      <c r="M2326">
        <v>3</v>
      </c>
      <c r="N2326">
        <v>93</v>
      </c>
      <c r="O2326">
        <v>2</v>
      </c>
      <c r="P2326">
        <v>0.22500000000000001</v>
      </c>
      <c r="Q2326">
        <v>2</v>
      </c>
      <c r="R2326">
        <v>5.1999999999999998E-3</v>
      </c>
      <c r="T2326" s="8" t="s">
        <v>6631</v>
      </c>
    </row>
    <row r="2327" spans="1:20" x14ac:dyDescent="0.2">
      <c r="A2327" t="s">
        <v>6633</v>
      </c>
      <c r="B2327" t="s">
        <v>2022</v>
      </c>
      <c r="C2327" t="s">
        <v>2104</v>
      </c>
      <c r="D2327" t="s">
        <v>2024</v>
      </c>
      <c r="E2327" t="s">
        <v>6634</v>
      </c>
      <c r="F2327" t="s">
        <v>6635</v>
      </c>
      <c r="G2327">
        <v>1</v>
      </c>
      <c r="H2327">
        <v>1537.5</v>
      </c>
      <c r="I2327">
        <v>3</v>
      </c>
      <c r="J2327">
        <v>5.55</v>
      </c>
      <c r="K2327">
        <v>5</v>
      </c>
      <c r="L2327">
        <v>0.191</v>
      </c>
      <c r="M2327">
        <v>2</v>
      </c>
      <c r="N2327">
        <v>65</v>
      </c>
      <c r="P2327">
        <v>0</v>
      </c>
      <c r="Q2327">
        <v>3</v>
      </c>
      <c r="R2327">
        <v>8.2000000000000007E-3</v>
      </c>
      <c r="T2327" s="8" t="s">
        <v>6634</v>
      </c>
    </row>
    <row r="2328" spans="1:20" x14ac:dyDescent="0.2">
      <c r="A2328" t="s">
        <v>6636</v>
      </c>
      <c r="B2328" t="s">
        <v>2022</v>
      </c>
      <c r="C2328" t="s">
        <v>2036</v>
      </c>
      <c r="D2328" t="s">
        <v>2024</v>
      </c>
      <c r="E2328" t="s">
        <v>6634</v>
      </c>
      <c r="F2328" t="s">
        <v>6635</v>
      </c>
      <c r="G2328">
        <v>1</v>
      </c>
      <c r="H2328">
        <v>1540</v>
      </c>
      <c r="I2328">
        <v>2</v>
      </c>
      <c r="J2328">
        <v>3.4</v>
      </c>
      <c r="K2328">
        <v>1</v>
      </c>
      <c r="L2328">
        <v>5.5E-2</v>
      </c>
      <c r="M2328">
        <v>1</v>
      </c>
      <c r="N2328">
        <v>76</v>
      </c>
      <c r="O2328">
        <v>2</v>
      </c>
      <c r="P2328">
        <v>0.20499999999999999</v>
      </c>
      <c r="Q2328">
        <v>1</v>
      </c>
      <c r="R2328">
        <v>1.5E-3</v>
      </c>
      <c r="T2328" s="8" t="s">
        <v>6634</v>
      </c>
    </row>
    <row r="2329" spans="1:20" x14ac:dyDescent="0.2">
      <c r="A2329" t="s">
        <v>6637</v>
      </c>
      <c r="B2329" t="s">
        <v>2022</v>
      </c>
      <c r="C2329" t="s">
        <v>2049</v>
      </c>
      <c r="D2329" t="s">
        <v>2024</v>
      </c>
      <c r="E2329" t="s">
        <v>6638</v>
      </c>
      <c r="F2329" t="s">
        <v>6639</v>
      </c>
      <c r="G2329">
        <v>4</v>
      </c>
      <c r="H2329">
        <v>1650</v>
      </c>
      <c r="I2329">
        <v>1</v>
      </c>
      <c r="J2329">
        <v>1.4</v>
      </c>
      <c r="K2329">
        <v>1</v>
      </c>
      <c r="L2329">
        <v>0.01</v>
      </c>
      <c r="M2329">
        <v>4</v>
      </c>
      <c r="N2329">
        <v>146</v>
      </c>
      <c r="O2329">
        <v>1</v>
      </c>
      <c r="P2329">
        <v>0.06</v>
      </c>
      <c r="Q2329">
        <v>1</v>
      </c>
      <c r="R2329">
        <v>8.4999999999999995E-4</v>
      </c>
      <c r="T2329" s="8" t="s">
        <v>6638</v>
      </c>
    </row>
    <row r="2330" spans="1:20" x14ac:dyDescent="0.2">
      <c r="A2330" t="s">
        <v>6640</v>
      </c>
      <c r="B2330" t="s">
        <v>2022</v>
      </c>
      <c r="C2330" t="s">
        <v>2053</v>
      </c>
      <c r="D2330" t="s">
        <v>2024</v>
      </c>
      <c r="E2330" t="s">
        <v>6641</v>
      </c>
      <c r="F2330" t="s">
        <v>6642</v>
      </c>
      <c r="G2330">
        <v>2</v>
      </c>
      <c r="H2330">
        <v>1600</v>
      </c>
      <c r="I2330">
        <v>1</v>
      </c>
      <c r="J2330">
        <v>1.55</v>
      </c>
      <c r="K2330">
        <v>1</v>
      </c>
      <c r="L2330">
        <v>1.4999999999999999E-2</v>
      </c>
      <c r="M2330">
        <v>4</v>
      </c>
      <c r="N2330">
        <v>103</v>
      </c>
      <c r="O2330">
        <v>1</v>
      </c>
      <c r="P2330">
        <v>7.4999999999999997E-2</v>
      </c>
      <c r="Q2330">
        <v>1</v>
      </c>
      <c r="R2330">
        <v>8.4999999999999995E-4</v>
      </c>
      <c r="T2330" s="8" t="s">
        <v>6641</v>
      </c>
    </row>
    <row r="2331" spans="1:20" x14ac:dyDescent="0.2">
      <c r="A2331" t="s">
        <v>6643</v>
      </c>
      <c r="B2331" t="s">
        <v>2022</v>
      </c>
      <c r="C2331" t="s">
        <v>2023</v>
      </c>
      <c r="D2331" t="s">
        <v>2024</v>
      </c>
      <c r="E2331" t="s">
        <v>6644</v>
      </c>
      <c r="F2331" t="s">
        <v>6645</v>
      </c>
      <c r="G2331">
        <v>3</v>
      </c>
      <c r="H2331">
        <v>1640</v>
      </c>
      <c r="I2331">
        <v>2</v>
      </c>
      <c r="J2331">
        <v>3.4</v>
      </c>
      <c r="K2331">
        <v>1</v>
      </c>
      <c r="L2331">
        <v>6.0000000000000001E-3</v>
      </c>
      <c r="M2331">
        <v>5</v>
      </c>
      <c r="N2331">
        <v>114</v>
      </c>
      <c r="O2331">
        <v>2</v>
      </c>
      <c r="P2331">
        <v>0.22500000000000001</v>
      </c>
      <c r="Q2331">
        <v>2</v>
      </c>
      <c r="R2331">
        <v>2E-3</v>
      </c>
      <c r="T2331" s="8" t="s">
        <v>6644</v>
      </c>
    </row>
    <row r="2332" spans="1:20" x14ac:dyDescent="0.2">
      <c r="A2332" t="s">
        <v>6646</v>
      </c>
      <c r="B2332" t="s">
        <v>2022</v>
      </c>
      <c r="C2332" t="s">
        <v>2049</v>
      </c>
      <c r="D2332" t="s">
        <v>2154</v>
      </c>
      <c r="E2332" t="s">
        <v>6647</v>
      </c>
      <c r="F2332" t="s">
        <v>6648</v>
      </c>
      <c r="G2332">
        <v>4</v>
      </c>
      <c r="H2332">
        <v>1650</v>
      </c>
      <c r="I2332">
        <v>4</v>
      </c>
      <c r="J2332">
        <v>6.8</v>
      </c>
      <c r="K2332">
        <v>2</v>
      </c>
      <c r="L2332">
        <v>0.06</v>
      </c>
      <c r="M2332">
        <v>5</v>
      </c>
      <c r="N2332">
        <v>166</v>
      </c>
      <c r="O2332">
        <v>5</v>
      </c>
      <c r="P2332">
        <v>0.86</v>
      </c>
      <c r="Q2332">
        <v>2</v>
      </c>
      <c r="R2332">
        <v>6.1999999999999998E-3</v>
      </c>
      <c r="T2332" s="8" t="s">
        <v>6647</v>
      </c>
    </row>
    <row r="2333" spans="1:20" x14ac:dyDescent="0.2">
      <c r="A2333" t="s">
        <v>6649</v>
      </c>
      <c r="B2333" t="s">
        <v>2022</v>
      </c>
      <c r="C2333" t="s">
        <v>2053</v>
      </c>
      <c r="D2333" t="s">
        <v>2024</v>
      </c>
      <c r="E2333" t="s">
        <v>6650</v>
      </c>
      <c r="F2333" t="s">
        <v>6651</v>
      </c>
      <c r="G2333">
        <v>3</v>
      </c>
      <c r="H2333">
        <v>1700</v>
      </c>
      <c r="I2333">
        <v>1</v>
      </c>
      <c r="J2333">
        <v>1.55</v>
      </c>
      <c r="K2333">
        <v>2</v>
      </c>
      <c r="L2333">
        <v>8.5000000000000006E-2</v>
      </c>
      <c r="M2333">
        <v>5</v>
      </c>
      <c r="N2333">
        <v>113</v>
      </c>
      <c r="O2333">
        <v>3</v>
      </c>
      <c r="P2333">
        <v>0.375</v>
      </c>
      <c r="Q2333">
        <v>2</v>
      </c>
      <c r="R2333">
        <v>5.1999999999999998E-3</v>
      </c>
      <c r="T2333" s="8" t="s">
        <v>6650</v>
      </c>
    </row>
    <row r="2334" spans="1:20" x14ac:dyDescent="0.2">
      <c r="A2334" t="s">
        <v>6652</v>
      </c>
      <c r="B2334" t="s">
        <v>2022</v>
      </c>
      <c r="C2334" t="s">
        <v>2023</v>
      </c>
      <c r="D2334" t="s">
        <v>2024</v>
      </c>
      <c r="E2334" t="s">
        <v>357</v>
      </c>
      <c r="F2334" t="s">
        <v>6653</v>
      </c>
      <c r="G2334">
        <v>1</v>
      </c>
      <c r="H2334">
        <v>1480</v>
      </c>
      <c r="I2334">
        <v>2</v>
      </c>
      <c r="J2334">
        <v>3.4</v>
      </c>
      <c r="K2334">
        <v>1</v>
      </c>
      <c r="L2334">
        <v>6.0000000000000001E-3</v>
      </c>
      <c r="M2334">
        <v>5</v>
      </c>
      <c r="N2334">
        <v>114</v>
      </c>
      <c r="O2334">
        <v>5</v>
      </c>
      <c r="P2334">
        <v>0.67500000000000004</v>
      </c>
      <c r="Q2334">
        <v>3</v>
      </c>
      <c r="R2334">
        <v>4.0000000000000001E-3</v>
      </c>
      <c r="T2334" s="8" t="s">
        <v>357</v>
      </c>
    </row>
    <row r="2335" spans="1:20" x14ac:dyDescent="0.2">
      <c r="A2335" t="s">
        <v>6654</v>
      </c>
      <c r="B2335" t="s">
        <v>2022</v>
      </c>
      <c r="C2335" t="s">
        <v>2023</v>
      </c>
      <c r="D2335" t="s">
        <v>2024</v>
      </c>
      <c r="E2335" t="s">
        <v>6655</v>
      </c>
      <c r="F2335" t="s">
        <v>6656</v>
      </c>
      <c r="G2335">
        <v>5</v>
      </c>
      <c r="H2335">
        <v>1800</v>
      </c>
      <c r="I2335">
        <v>1</v>
      </c>
      <c r="J2335">
        <v>0.9</v>
      </c>
      <c r="K2335">
        <v>1</v>
      </c>
      <c r="L2335">
        <v>6.0000000000000001E-3</v>
      </c>
      <c r="M2335">
        <v>2</v>
      </c>
      <c r="N2335">
        <v>84</v>
      </c>
      <c r="O2335">
        <v>1</v>
      </c>
      <c r="P2335">
        <v>7.4999999999999997E-2</v>
      </c>
      <c r="Q2335">
        <v>1</v>
      </c>
      <c r="R2335">
        <v>5.0000000000000001E-4</v>
      </c>
      <c r="T2335" s="8" t="s">
        <v>6655</v>
      </c>
    </row>
    <row r="2336" spans="1:20" x14ac:dyDescent="0.2">
      <c r="A2336" t="s">
        <v>6657</v>
      </c>
      <c r="B2336" t="s">
        <v>2022</v>
      </c>
      <c r="C2336" t="s">
        <v>2023</v>
      </c>
      <c r="D2336" t="s">
        <v>2154</v>
      </c>
      <c r="E2336" t="s">
        <v>6658</v>
      </c>
      <c r="F2336" t="s">
        <v>6659</v>
      </c>
      <c r="G2336">
        <v>5</v>
      </c>
      <c r="H2336">
        <v>1800</v>
      </c>
      <c r="I2336">
        <v>5</v>
      </c>
      <c r="J2336">
        <v>10.9</v>
      </c>
      <c r="K2336">
        <v>5</v>
      </c>
      <c r="L2336">
        <v>8.5999999999999993E-2</v>
      </c>
      <c r="M2336">
        <v>3</v>
      </c>
      <c r="N2336">
        <v>94</v>
      </c>
      <c r="O2336">
        <v>5</v>
      </c>
      <c r="P2336">
        <v>0.67500000000000004</v>
      </c>
      <c r="Q2336">
        <v>5</v>
      </c>
      <c r="R2336">
        <v>8.0000000000000002E-3</v>
      </c>
      <c r="T2336" s="8" t="s">
        <v>6658</v>
      </c>
    </row>
    <row r="2337" spans="1:20" x14ac:dyDescent="0.2">
      <c r="A2337" t="s">
        <v>1368</v>
      </c>
      <c r="B2337" t="s">
        <v>2022</v>
      </c>
      <c r="C2337" t="s">
        <v>2036</v>
      </c>
      <c r="D2337" t="s">
        <v>2024</v>
      </c>
      <c r="E2337" t="s">
        <v>6660</v>
      </c>
      <c r="F2337" t="s">
        <v>6661</v>
      </c>
      <c r="G2337">
        <v>2</v>
      </c>
      <c r="H2337">
        <v>1640</v>
      </c>
      <c r="I2337">
        <v>3</v>
      </c>
      <c r="J2337">
        <v>4.5999999999999996</v>
      </c>
      <c r="K2337">
        <v>1</v>
      </c>
      <c r="L2337">
        <v>5.5E-2</v>
      </c>
      <c r="M2337">
        <v>2</v>
      </c>
      <c r="N2337">
        <v>82</v>
      </c>
      <c r="O2337">
        <v>2</v>
      </c>
      <c r="P2337">
        <v>0.20499999999999999</v>
      </c>
      <c r="Q2337">
        <v>1</v>
      </c>
      <c r="R2337">
        <v>1.5E-3</v>
      </c>
      <c r="T2337" s="8" t="s">
        <v>6660</v>
      </c>
    </row>
    <row r="2338" spans="1:20" x14ac:dyDescent="0.2">
      <c r="A2338" t="s">
        <v>6662</v>
      </c>
      <c r="B2338" t="s">
        <v>2022</v>
      </c>
      <c r="C2338" t="s">
        <v>2023</v>
      </c>
      <c r="D2338" t="s">
        <v>2024</v>
      </c>
      <c r="E2338" t="s">
        <v>6663</v>
      </c>
      <c r="F2338" t="s">
        <v>447</v>
      </c>
      <c r="G2338">
        <v>1</v>
      </c>
      <c r="H2338">
        <v>1480</v>
      </c>
      <c r="I2338">
        <v>3</v>
      </c>
      <c r="J2338">
        <v>5.9</v>
      </c>
      <c r="K2338">
        <v>5</v>
      </c>
      <c r="L2338">
        <v>8.5999999999999993E-2</v>
      </c>
      <c r="M2338">
        <v>1</v>
      </c>
      <c r="N2338">
        <v>74</v>
      </c>
      <c r="O2338">
        <v>3</v>
      </c>
      <c r="P2338">
        <v>0.375</v>
      </c>
      <c r="Q2338">
        <v>5</v>
      </c>
      <c r="R2338">
        <v>8.0000000000000002E-3</v>
      </c>
      <c r="T2338" s="8" t="s">
        <v>6663</v>
      </c>
    </row>
    <row r="2339" spans="1:20" x14ac:dyDescent="0.2">
      <c r="A2339" t="s">
        <v>6664</v>
      </c>
      <c r="B2339" t="s">
        <v>2022</v>
      </c>
      <c r="C2339" t="s">
        <v>2036</v>
      </c>
      <c r="D2339" t="s">
        <v>2024</v>
      </c>
      <c r="E2339" t="s">
        <v>292</v>
      </c>
      <c r="F2339" t="s">
        <v>6665</v>
      </c>
      <c r="G2339">
        <v>1</v>
      </c>
      <c r="H2339">
        <v>1540</v>
      </c>
      <c r="I2339">
        <v>1</v>
      </c>
      <c r="J2339">
        <v>2.2000000000000002</v>
      </c>
      <c r="K2339">
        <v>1</v>
      </c>
      <c r="L2339">
        <v>5.5E-2</v>
      </c>
      <c r="M2339">
        <v>1</v>
      </c>
      <c r="N2339">
        <v>76</v>
      </c>
      <c r="O2339">
        <v>1</v>
      </c>
      <c r="P2339">
        <v>9.5000000000000001E-2</v>
      </c>
      <c r="Q2339">
        <v>1</v>
      </c>
      <c r="R2339">
        <v>1.5E-3</v>
      </c>
      <c r="T2339" s="8" t="s">
        <v>292</v>
      </c>
    </row>
    <row r="2340" spans="1:20" x14ac:dyDescent="0.2">
      <c r="A2340" t="s">
        <v>6666</v>
      </c>
      <c r="B2340" t="s">
        <v>2022</v>
      </c>
      <c r="C2340" t="s">
        <v>2023</v>
      </c>
      <c r="D2340" t="s">
        <v>2024</v>
      </c>
      <c r="E2340" t="s">
        <v>6667</v>
      </c>
      <c r="F2340" t="s">
        <v>6668</v>
      </c>
      <c r="G2340">
        <v>1</v>
      </c>
      <c r="H2340">
        <v>1480</v>
      </c>
      <c r="I2340">
        <v>5</v>
      </c>
      <c r="J2340">
        <v>10.9</v>
      </c>
      <c r="K2340">
        <v>4</v>
      </c>
      <c r="L2340">
        <v>6.6000000000000003E-2</v>
      </c>
      <c r="M2340">
        <v>5</v>
      </c>
      <c r="N2340">
        <v>114</v>
      </c>
      <c r="O2340">
        <v>5</v>
      </c>
      <c r="P2340">
        <v>0.67500000000000004</v>
      </c>
      <c r="Q2340">
        <v>5</v>
      </c>
      <c r="R2340">
        <v>8.0000000000000002E-3</v>
      </c>
      <c r="T2340" s="8" t="s">
        <v>6667</v>
      </c>
    </row>
    <row r="2341" spans="1:20" x14ac:dyDescent="0.2">
      <c r="A2341" t="s">
        <v>6669</v>
      </c>
      <c r="B2341" t="s">
        <v>2022</v>
      </c>
      <c r="C2341" t="s">
        <v>2101</v>
      </c>
      <c r="D2341" t="s">
        <v>2136</v>
      </c>
      <c r="E2341" t="s">
        <v>6670</v>
      </c>
      <c r="F2341" t="s">
        <v>6671</v>
      </c>
      <c r="G2341">
        <v>4</v>
      </c>
      <c r="H2341">
        <v>1870</v>
      </c>
      <c r="I2341">
        <v>1</v>
      </c>
      <c r="J2341">
        <v>2</v>
      </c>
      <c r="K2341">
        <v>1</v>
      </c>
      <c r="L2341">
        <v>1.15E-2</v>
      </c>
      <c r="M2341">
        <v>5</v>
      </c>
      <c r="N2341">
        <v>98</v>
      </c>
      <c r="O2341">
        <v>2</v>
      </c>
      <c r="P2341">
        <v>0.22500000000000001</v>
      </c>
      <c r="Q2341">
        <v>2</v>
      </c>
      <c r="R2341">
        <v>4.4999999999999997E-3</v>
      </c>
      <c r="T2341" s="8" t="s">
        <v>6670</v>
      </c>
    </row>
    <row r="2342" spans="1:20" x14ac:dyDescent="0.2">
      <c r="A2342" t="s">
        <v>6658</v>
      </c>
      <c r="B2342" t="s">
        <v>2022</v>
      </c>
      <c r="C2342" t="s">
        <v>2095</v>
      </c>
      <c r="D2342" t="s">
        <v>2024</v>
      </c>
      <c r="E2342" t="s">
        <v>6672</v>
      </c>
      <c r="F2342" t="s">
        <v>6673</v>
      </c>
      <c r="G2342">
        <v>5</v>
      </c>
      <c r="H2342">
        <v>1925</v>
      </c>
      <c r="I2342">
        <v>3</v>
      </c>
      <c r="J2342">
        <v>10.5</v>
      </c>
      <c r="K2342">
        <v>3</v>
      </c>
      <c r="L2342">
        <v>0.33</v>
      </c>
      <c r="M2342">
        <v>5</v>
      </c>
      <c r="N2342">
        <v>98</v>
      </c>
      <c r="O2342">
        <v>5</v>
      </c>
      <c r="P2342">
        <v>0.95</v>
      </c>
      <c r="Q2342">
        <v>4</v>
      </c>
      <c r="R2342">
        <v>2.3900000000000001E-2</v>
      </c>
      <c r="T2342" s="8" t="s">
        <v>6672</v>
      </c>
    </row>
    <row r="2343" spans="1:20" x14ac:dyDescent="0.2">
      <c r="A2343" t="s">
        <v>6674</v>
      </c>
      <c r="B2343" t="s">
        <v>2022</v>
      </c>
      <c r="C2343" t="s">
        <v>2053</v>
      </c>
      <c r="D2343" t="s">
        <v>2024</v>
      </c>
      <c r="E2343" t="s">
        <v>6675</v>
      </c>
      <c r="F2343" t="s">
        <v>6676</v>
      </c>
      <c r="G2343">
        <v>4</v>
      </c>
      <c r="H2343">
        <v>1800</v>
      </c>
      <c r="I2343">
        <v>5</v>
      </c>
      <c r="J2343">
        <v>11.55</v>
      </c>
      <c r="K2343">
        <v>5</v>
      </c>
      <c r="L2343">
        <v>0.41499999999999998</v>
      </c>
      <c r="M2343">
        <v>3</v>
      </c>
      <c r="N2343">
        <v>93</v>
      </c>
      <c r="O2343">
        <v>4</v>
      </c>
      <c r="P2343">
        <v>0.52500000000000002</v>
      </c>
      <c r="Q2343">
        <v>4</v>
      </c>
      <c r="R2343">
        <v>1.9199999999999998E-2</v>
      </c>
      <c r="T2343" s="8" t="s">
        <v>6675</v>
      </c>
    </row>
    <row r="2344" spans="1:20" x14ac:dyDescent="0.2">
      <c r="A2344" t="s">
        <v>6677</v>
      </c>
      <c r="B2344" t="s">
        <v>2022</v>
      </c>
      <c r="C2344" t="s">
        <v>2049</v>
      </c>
      <c r="D2344" t="s">
        <v>2024</v>
      </c>
      <c r="E2344" t="s">
        <v>6678</v>
      </c>
      <c r="F2344" t="s">
        <v>6679</v>
      </c>
      <c r="G2344">
        <v>4</v>
      </c>
      <c r="H2344">
        <v>1650</v>
      </c>
      <c r="I2344">
        <v>5</v>
      </c>
      <c r="J2344">
        <v>8.6</v>
      </c>
      <c r="K2344">
        <v>5</v>
      </c>
      <c r="L2344">
        <v>0.3</v>
      </c>
      <c r="M2344">
        <v>2</v>
      </c>
      <c r="N2344">
        <v>106</v>
      </c>
      <c r="O2344">
        <v>5</v>
      </c>
      <c r="P2344">
        <v>0.86</v>
      </c>
      <c r="Q2344">
        <v>3</v>
      </c>
      <c r="R2344">
        <v>1.52E-2</v>
      </c>
      <c r="T2344" s="8" t="s">
        <v>6678</v>
      </c>
    </row>
    <row r="2345" spans="1:20" x14ac:dyDescent="0.2">
      <c r="A2345" t="s">
        <v>6680</v>
      </c>
      <c r="B2345" t="s">
        <v>2022</v>
      </c>
      <c r="C2345" t="s">
        <v>2036</v>
      </c>
      <c r="D2345" t="s">
        <v>2024</v>
      </c>
      <c r="E2345" t="s">
        <v>6681</v>
      </c>
      <c r="F2345" t="s">
        <v>6682</v>
      </c>
      <c r="G2345">
        <v>4</v>
      </c>
      <c r="H2345">
        <v>1840</v>
      </c>
      <c r="I2345">
        <v>5</v>
      </c>
      <c r="J2345">
        <v>7</v>
      </c>
      <c r="K2345">
        <v>5</v>
      </c>
      <c r="L2345">
        <v>0.17499999999999999</v>
      </c>
      <c r="M2345">
        <v>4</v>
      </c>
      <c r="N2345">
        <v>94</v>
      </c>
      <c r="O2345">
        <v>5</v>
      </c>
      <c r="P2345">
        <v>0.53500000000000003</v>
      </c>
      <c r="Q2345">
        <v>5</v>
      </c>
      <c r="R2345">
        <v>1.2E-2</v>
      </c>
      <c r="T2345" s="8" t="s">
        <v>6681</v>
      </c>
    </row>
    <row r="2346" spans="1:20" x14ac:dyDescent="0.2">
      <c r="A2346" t="s">
        <v>6683</v>
      </c>
      <c r="B2346" t="s">
        <v>2022</v>
      </c>
      <c r="C2346" t="s">
        <v>2104</v>
      </c>
      <c r="D2346" t="s">
        <v>2136</v>
      </c>
      <c r="E2346" t="s">
        <v>6684</v>
      </c>
      <c r="F2346" t="s">
        <v>447</v>
      </c>
      <c r="G2346">
        <v>1</v>
      </c>
      <c r="H2346">
        <v>1537.5</v>
      </c>
      <c r="I2346">
        <v>1</v>
      </c>
      <c r="J2346">
        <v>0.95</v>
      </c>
      <c r="K2346">
        <v>2</v>
      </c>
      <c r="L2346">
        <v>4.1000000000000002E-2</v>
      </c>
      <c r="M2346">
        <v>1</v>
      </c>
      <c r="N2346">
        <v>57</v>
      </c>
      <c r="P2346">
        <v>0</v>
      </c>
      <c r="Q2346">
        <v>1</v>
      </c>
      <c r="R2346">
        <v>3.5E-4</v>
      </c>
      <c r="T2346" s="8" t="s">
        <v>6684</v>
      </c>
    </row>
    <row r="2347" spans="1:20" x14ac:dyDescent="0.2">
      <c r="A2347" t="s">
        <v>6685</v>
      </c>
      <c r="B2347" t="s">
        <v>2022</v>
      </c>
      <c r="C2347" t="s">
        <v>2036</v>
      </c>
      <c r="D2347" t="s">
        <v>2136</v>
      </c>
      <c r="E2347" t="s">
        <v>6686</v>
      </c>
      <c r="F2347" t="s">
        <v>6687</v>
      </c>
      <c r="G2347">
        <v>1</v>
      </c>
      <c r="H2347">
        <v>1540</v>
      </c>
      <c r="I2347">
        <v>1</v>
      </c>
      <c r="J2347">
        <v>2.2000000000000002</v>
      </c>
      <c r="K2347">
        <v>1</v>
      </c>
      <c r="L2347">
        <v>5.5E-2</v>
      </c>
      <c r="M2347">
        <v>2</v>
      </c>
      <c r="N2347">
        <v>82</v>
      </c>
      <c r="O2347">
        <v>1</v>
      </c>
      <c r="P2347">
        <v>9.5000000000000001E-2</v>
      </c>
      <c r="Q2347">
        <v>2</v>
      </c>
      <c r="R2347">
        <v>4.2500000000000003E-3</v>
      </c>
      <c r="T2347" s="8" t="s">
        <v>6686</v>
      </c>
    </row>
    <row r="2348" spans="1:20" x14ac:dyDescent="0.2">
      <c r="A2348" t="s">
        <v>6688</v>
      </c>
      <c r="B2348" t="s">
        <v>2022</v>
      </c>
      <c r="C2348" t="s">
        <v>2023</v>
      </c>
      <c r="D2348" t="s">
        <v>2024</v>
      </c>
      <c r="E2348" t="s">
        <v>6689</v>
      </c>
      <c r="F2348" t="s">
        <v>447</v>
      </c>
      <c r="G2348">
        <v>5</v>
      </c>
      <c r="H2348">
        <v>1800</v>
      </c>
      <c r="I2348">
        <v>4</v>
      </c>
      <c r="J2348">
        <v>8.4</v>
      </c>
      <c r="K2348">
        <v>5</v>
      </c>
      <c r="L2348">
        <v>8.5999999999999993E-2</v>
      </c>
      <c r="M2348">
        <v>2</v>
      </c>
      <c r="N2348">
        <v>84</v>
      </c>
      <c r="O2348">
        <v>3</v>
      </c>
      <c r="P2348">
        <v>0.375</v>
      </c>
      <c r="Q2348">
        <v>5</v>
      </c>
      <c r="R2348">
        <v>8.0000000000000002E-3</v>
      </c>
      <c r="T2348" s="8" t="s">
        <v>6689</v>
      </c>
    </row>
    <row r="2349" spans="1:20" x14ac:dyDescent="0.2">
      <c r="A2349" t="s">
        <v>6690</v>
      </c>
      <c r="B2349" t="s">
        <v>2022</v>
      </c>
      <c r="C2349" t="s">
        <v>2036</v>
      </c>
      <c r="D2349" t="s">
        <v>2024</v>
      </c>
      <c r="E2349" t="s">
        <v>6689</v>
      </c>
      <c r="F2349" t="s">
        <v>447</v>
      </c>
      <c r="G2349">
        <v>3</v>
      </c>
      <c r="H2349">
        <v>1740</v>
      </c>
      <c r="I2349">
        <v>3</v>
      </c>
      <c r="J2349">
        <v>4.5999999999999996</v>
      </c>
      <c r="K2349">
        <v>1</v>
      </c>
      <c r="L2349">
        <v>5.5E-2</v>
      </c>
      <c r="M2349">
        <v>2</v>
      </c>
      <c r="N2349">
        <v>82</v>
      </c>
      <c r="O2349">
        <v>2</v>
      </c>
      <c r="P2349">
        <v>0.20499999999999999</v>
      </c>
      <c r="Q2349">
        <v>1</v>
      </c>
      <c r="R2349">
        <v>1.5E-3</v>
      </c>
      <c r="T2349" s="8" t="s">
        <v>6689</v>
      </c>
    </row>
    <row r="2350" spans="1:20" x14ac:dyDescent="0.2">
      <c r="A2350" t="s">
        <v>6691</v>
      </c>
      <c r="B2350" t="s">
        <v>2022</v>
      </c>
      <c r="C2350" t="s">
        <v>2023</v>
      </c>
      <c r="D2350" t="s">
        <v>2136</v>
      </c>
      <c r="E2350" t="s">
        <v>6692</v>
      </c>
      <c r="F2350" t="s">
        <v>6693</v>
      </c>
      <c r="G2350">
        <v>1</v>
      </c>
      <c r="H2350">
        <v>1480</v>
      </c>
      <c r="I2350">
        <v>4</v>
      </c>
      <c r="J2350">
        <v>8.4</v>
      </c>
      <c r="K2350">
        <v>5</v>
      </c>
      <c r="L2350">
        <v>8.5999999999999993E-2</v>
      </c>
      <c r="M2350">
        <v>5</v>
      </c>
      <c r="N2350">
        <v>114</v>
      </c>
      <c r="O2350">
        <v>5</v>
      </c>
      <c r="P2350">
        <v>0.67500000000000004</v>
      </c>
      <c r="Q2350">
        <v>5</v>
      </c>
      <c r="R2350">
        <v>8.0000000000000002E-3</v>
      </c>
      <c r="T2350" s="8" t="s">
        <v>6692</v>
      </c>
    </row>
    <row r="2351" spans="1:20" x14ac:dyDescent="0.2">
      <c r="A2351" t="s">
        <v>6694</v>
      </c>
      <c r="B2351" t="s">
        <v>2022</v>
      </c>
      <c r="C2351" t="s">
        <v>2049</v>
      </c>
      <c r="D2351" t="s">
        <v>2024</v>
      </c>
      <c r="E2351" t="s">
        <v>6695</v>
      </c>
      <c r="F2351" t="s">
        <v>447</v>
      </c>
      <c r="G2351">
        <v>4</v>
      </c>
      <c r="H2351">
        <v>1650</v>
      </c>
      <c r="I2351">
        <v>5</v>
      </c>
      <c r="J2351">
        <v>8.6</v>
      </c>
      <c r="K2351">
        <v>5</v>
      </c>
      <c r="L2351">
        <v>0.3</v>
      </c>
      <c r="M2351">
        <v>2</v>
      </c>
      <c r="N2351">
        <v>106</v>
      </c>
      <c r="O2351">
        <v>4</v>
      </c>
      <c r="P2351">
        <v>0.66</v>
      </c>
      <c r="Q2351">
        <v>4</v>
      </c>
      <c r="R2351">
        <v>2.4199999999999999E-2</v>
      </c>
      <c r="T2351" s="8" t="s">
        <v>6695</v>
      </c>
    </row>
    <row r="2352" spans="1:20" x14ac:dyDescent="0.2">
      <c r="A2352" t="s">
        <v>6696</v>
      </c>
      <c r="B2352" t="s">
        <v>2022</v>
      </c>
      <c r="C2352" t="s">
        <v>2036</v>
      </c>
      <c r="D2352" t="s">
        <v>2024</v>
      </c>
      <c r="E2352" t="s">
        <v>357</v>
      </c>
      <c r="F2352" t="s">
        <v>6697</v>
      </c>
      <c r="G2352">
        <v>2</v>
      </c>
      <c r="H2352">
        <v>1640</v>
      </c>
      <c r="I2352">
        <v>3</v>
      </c>
      <c r="J2352">
        <v>4.5999999999999996</v>
      </c>
      <c r="K2352">
        <v>1</v>
      </c>
      <c r="L2352">
        <v>5.5E-2</v>
      </c>
      <c r="M2352">
        <v>2</v>
      </c>
      <c r="N2352">
        <v>82</v>
      </c>
      <c r="O2352">
        <v>2</v>
      </c>
      <c r="P2352">
        <v>0.20499999999999999</v>
      </c>
      <c r="Q2352">
        <v>1</v>
      </c>
      <c r="R2352">
        <v>1.5E-3</v>
      </c>
      <c r="T2352" s="8" t="s">
        <v>357</v>
      </c>
    </row>
    <row r="2353" spans="1:20" x14ac:dyDescent="0.2">
      <c r="A2353" t="s">
        <v>6698</v>
      </c>
      <c r="B2353" t="s">
        <v>2022</v>
      </c>
      <c r="C2353" t="s">
        <v>2023</v>
      </c>
      <c r="D2353" t="s">
        <v>2024</v>
      </c>
      <c r="E2353" t="s">
        <v>6699</v>
      </c>
      <c r="F2353" t="s">
        <v>6700</v>
      </c>
      <c r="G2353">
        <v>2</v>
      </c>
      <c r="H2353">
        <v>1560</v>
      </c>
      <c r="I2353">
        <v>1</v>
      </c>
      <c r="J2353">
        <v>0.9</v>
      </c>
      <c r="K2353">
        <v>1</v>
      </c>
      <c r="L2353">
        <v>6.0000000000000001E-3</v>
      </c>
      <c r="M2353">
        <v>2</v>
      </c>
      <c r="N2353">
        <v>84</v>
      </c>
      <c r="O2353">
        <v>1</v>
      </c>
      <c r="P2353">
        <v>7.4999999999999997E-2</v>
      </c>
      <c r="Q2353">
        <v>1</v>
      </c>
      <c r="R2353">
        <v>5.0000000000000001E-4</v>
      </c>
      <c r="T2353" s="8" t="s">
        <v>6699</v>
      </c>
    </row>
    <row r="2354" spans="1:20" x14ac:dyDescent="0.2">
      <c r="A2354" t="s">
        <v>6701</v>
      </c>
      <c r="B2354" t="s">
        <v>2022</v>
      </c>
      <c r="C2354" t="s">
        <v>2023</v>
      </c>
      <c r="D2354" t="s">
        <v>2024</v>
      </c>
      <c r="E2354" t="s">
        <v>6702</v>
      </c>
      <c r="F2354" t="s">
        <v>6703</v>
      </c>
      <c r="G2354">
        <v>2</v>
      </c>
      <c r="H2354">
        <v>1560</v>
      </c>
      <c r="I2354">
        <v>1</v>
      </c>
      <c r="J2354">
        <v>0.9</v>
      </c>
      <c r="K2354">
        <v>1</v>
      </c>
      <c r="L2354">
        <v>6.0000000000000001E-3</v>
      </c>
      <c r="M2354">
        <v>1</v>
      </c>
      <c r="N2354">
        <v>74</v>
      </c>
      <c r="O2354">
        <v>1</v>
      </c>
      <c r="P2354">
        <v>7.4999999999999997E-2</v>
      </c>
      <c r="Q2354">
        <v>1</v>
      </c>
      <c r="R2354">
        <v>5.0000000000000001E-4</v>
      </c>
      <c r="T2354" s="8" t="s">
        <v>6702</v>
      </c>
    </row>
    <row r="2355" spans="1:20" x14ac:dyDescent="0.2">
      <c r="A2355" t="s">
        <v>6704</v>
      </c>
      <c r="B2355" t="s">
        <v>2022</v>
      </c>
      <c r="C2355" t="s">
        <v>2053</v>
      </c>
      <c r="D2355" t="s">
        <v>2024</v>
      </c>
      <c r="E2355" t="s">
        <v>6705</v>
      </c>
      <c r="F2355" t="s">
        <v>6706</v>
      </c>
      <c r="G2355">
        <v>3</v>
      </c>
      <c r="H2355">
        <v>1700</v>
      </c>
      <c r="I2355">
        <v>2</v>
      </c>
      <c r="J2355">
        <v>4.05</v>
      </c>
      <c r="K2355">
        <v>1</v>
      </c>
      <c r="L2355">
        <v>1.4999999999999999E-2</v>
      </c>
      <c r="M2355">
        <v>1</v>
      </c>
      <c r="N2355">
        <v>73</v>
      </c>
      <c r="O2355">
        <v>1</v>
      </c>
      <c r="P2355">
        <v>7.4999999999999997E-2</v>
      </c>
      <c r="Q2355">
        <v>1</v>
      </c>
      <c r="R2355">
        <v>8.4999999999999995E-4</v>
      </c>
      <c r="T2355" s="8" t="s">
        <v>6705</v>
      </c>
    </row>
    <row r="2356" spans="1:20" x14ac:dyDescent="0.2">
      <c r="A2356" t="s">
        <v>6707</v>
      </c>
      <c r="B2356" t="s">
        <v>2022</v>
      </c>
      <c r="C2356" t="s">
        <v>2023</v>
      </c>
      <c r="D2356" t="s">
        <v>2136</v>
      </c>
      <c r="E2356" t="s">
        <v>6708</v>
      </c>
      <c r="F2356" t="s">
        <v>6709</v>
      </c>
      <c r="G2356">
        <v>5</v>
      </c>
      <c r="H2356">
        <v>1800</v>
      </c>
      <c r="I2356">
        <v>1</v>
      </c>
      <c r="J2356">
        <v>0.9</v>
      </c>
      <c r="K2356">
        <v>1</v>
      </c>
      <c r="L2356">
        <v>6.0000000000000001E-3</v>
      </c>
      <c r="M2356">
        <v>5</v>
      </c>
      <c r="N2356">
        <v>114</v>
      </c>
      <c r="O2356">
        <v>2</v>
      </c>
      <c r="P2356">
        <v>0.22500000000000001</v>
      </c>
      <c r="Q2356">
        <v>2</v>
      </c>
      <c r="R2356">
        <v>2E-3</v>
      </c>
      <c r="T2356" s="8" t="s">
        <v>6708</v>
      </c>
    </row>
    <row r="2357" spans="1:20" x14ac:dyDescent="0.2">
      <c r="A2357" t="s">
        <v>6710</v>
      </c>
      <c r="B2357" t="s">
        <v>2022</v>
      </c>
      <c r="C2357" t="s">
        <v>2028</v>
      </c>
      <c r="D2357" t="s">
        <v>2136</v>
      </c>
      <c r="E2357" t="s">
        <v>6708</v>
      </c>
      <c r="F2357" t="s">
        <v>6709</v>
      </c>
      <c r="G2357">
        <v>4</v>
      </c>
      <c r="H2357">
        <v>1250</v>
      </c>
      <c r="I2357">
        <v>2</v>
      </c>
      <c r="J2357">
        <v>1.55</v>
      </c>
      <c r="K2357">
        <v>2</v>
      </c>
      <c r="L2357">
        <v>4.4999999999999998E-2</v>
      </c>
      <c r="M2357">
        <v>5</v>
      </c>
      <c r="N2357">
        <v>500</v>
      </c>
      <c r="O2357">
        <v>4</v>
      </c>
      <c r="P2357">
        <v>1.05</v>
      </c>
      <c r="Q2357">
        <v>2</v>
      </c>
      <c r="R2357">
        <v>7.7499999999999999E-3</v>
      </c>
      <c r="T2357" s="8" t="s">
        <v>6708</v>
      </c>
    </row>
    <row r="2358" spans="1:20" x14ac:dyDescent="0.2">
      <c r="A2358" t="s">
        <v>6711</v>
      </c>
      <c r="B2358" t="s">
        <v>2022</v>
      </c>
      <c r="C2358" t="s">
        <v>2023</v>
      </c>
      <c r="D2358" t="s">
        <v>2136</v>
      </c>
      <c r="E2358" t="s">
        <v>6708</v>
      </c>
      <c r="F2358" t="s">
        <v>6709</v>
      </c>
      <c r="G2358">
        <v>5</v>
      </c>
      <c r="H2358">
        <v>1800</v>
      </c>
      <c r="I2358">
        <v>1</v>
      </c>
      <c r="J2358">
        <v>0.9</v>
      </c>
      <c r="K2358">
        <v>2</v>
      </c>
      <c r="L2358">
        <v>2.5999999999999999E-2</v>
      </c>
      <c r="M2358">
        <v>5</v>
      </c>
      <c r="N2358">
        <v>114</v>
      </c>
      <c r="O2358">
        <v>2</v>
      </c>
      <c r="P2358">
        <v>0.22500000000000001</v>
      </c>
      <c r="Q2358">
        <v>3</v>
      </c>
      <c r="R2358">
        <v>4.0000000000000001E-3</v>
      </c>
      <c r="T2358" s="8" t="s">
        <v>6708</v>
      </c>
    </row>
    <row r="2359" spans="1:20" x14ac:dyDescent="0.2">
      <c r="A2359" t="s">
        <v>6712</v>
      </c>
      <c r="B2359" t="s">
        <v>2022</v>
      </c>
      <c r="C2359" t="s">
        <v>2101</v>
      </c>
      <c r="D2359" t="s">
        <v>2024</v>
      </c>
      <c r="E2359" t="s">
        <v>6713</v>
      </c>
      <c r="F2359" t="s">
        <v>6714</v>
      </c>
      <c r="G2359">
        <v>4</v>
      </c>
      <c r="H2359">
        <v>1870</v>
      </c>
      <c r="I2359">
        <v>5</v>
      </c>
      <c r="J2359">
        <v>14</v>
      </c>
      <c r="K2359">
        <v>5</v>
      </c>
      <c r="L2359">
        <v>0.53749999999999998</v>
      </c>
      <c r="M2359">
        <v>3</v>
      </c>
      <c r="N2359">
        <v>82</v>
      </c>
      <c r="O2359">
        <v>5</v>
      </c>
      <c r="P2359">
        <v>0.67500000000000004</v>
      </c>
      <c r="Q2359">
        <v>5</v>
      </c>
      <c r="R2359">
        <v>2.5499999999999998E-2</v>
      </c>
      <c r="T2359" s="8" t="s">
        <v>6713</v>
      </c>
    </row>
    <row r="2360" spans="1:20" x14ac:dyDescent="0.2">
      <c r="A2360" t="s">
        <v>6715</v>
      </c>
      <c r="B2360" t="s">
        <v>2022</v>
      </c>
      <c r="C2360" t="s">
        <v>2508</v>
      </c>
      <c r="D2360" t="s">
        <v>2024</v>
      </c>
      <c r="E2360" t="s">
        <v>6716</v>
      </c>
      <c r="F2360" t="s">
        <v>447</v>
      </c>
      <c r="G2360">
        <v>2</v>
      </c>
      <c r="H2360">
        <v>1350</v>
      </c>
      <c r="I2360">
        <v>2</v>
      </c>
      <c r="J2360">
        <v>5</v>
      </c>
      <c r="K2360">
        <v>3</v>
      </c>
      <c r="L2360">
        <v>0.26</v>
      </c>
      <c r="M2360">
        <v>1</v>
      </c>
      <c r="N2360">
        <v>92.5</v>
      </c>
      <c r="O2360">
        <v>1</v>
      </c>
      <c r="P2360">
        <v>0.45</v>
      </c>
      <c r="Q2360">
        <v>2</v>
      </c>
      <c r="R2360">
        <v>2.4E-2</v>
      </c>
      <c r="T2360" s="8" t="s">
        <v>6716</v>
      </c>
    </row>
    <row r="2361" spans="1:20" x14ac:dyDescent="0.2">
      <c r="A2361" t="s">
        <v>6717</v>
      </c>
      <c r="B2361" t="s">
        <v>2022</v>
      </c>
      <c r="C2361" t="s">
        <v>2053</v>
      </c>
      <c r="D2361" t="s">
        <v>2024</v>
      </c>
      <c r="E2361" t="s">
        <v>357</v>
      </c>
      <c r="F2361" t="s">
        <v>447</v>
      </c>
      <c r="G2361">
        <v>2</v>
      </c>
      <c r="H2361">
        <v>1600</v>
      </c>
      <c r="I2361">
        <v>2</v>
      </c>
      <c r="J2361">
        <v>4.05</v>
      </c>
      <c r="K2361">
        <v>2</v>
      </c>
      <c r="L2361">
        <v>8.5000000000000006E-2</v>
      </c>
      <c r="M2361">
        <v>1</v>
      </c>
      <c r="N2361">
        <v>73</v>
      </c>
      <c r="O2361">
        <v>2</v>
      </c>
      <c r="P2361">
        <v>0.22500000000000001</v>
      </c>
      <c r="Q2361">
        <v>2</v>
      </c>
      <c r="R2361">
        <v>5.1999999999999998E-3</v>
      </c>
      <c r="T2361" s="8" t="s">
        <v>357</v>
      </c>
    </row>
    <row r="2362" spans="1:20" x14ac:dyDescent="0.2">
      <c r="A2362" t="s">
        <v>6718</v>
      </c>
      <c r="B2362" t="s">
        <v>2022</v>
      </c>
      <c r="C2362" t="s">
        <v>2053</v>
      </c>
      <c r="D2362" t="s">
        <v>2136</v>
      </c>
      <c r="E2362" t="s">
        <v>6719</v>
      </c>
      <c r="F2362" t="s">
        <v>6720</v>
      </c>
      <c r="G2362">
        <v>3</v>
      </c>
      <c r="H2362">
        <v>1700</v>
      </c>
      <c r="I2362">
        <v>2</v>
      </c>
      <c r="J2362">
        <v>4.05</v>
      </c>
      <c r="K2362">
        <v>3</v>
      </c>
      <c r="L2362">
        <v>0.19500000000000001</v>
      </c>
      <c r="M2362">
        <v>3</v>
      </c>
      <c r="N2362">
        <v>93</v>
      </c>
      <c r="O2362">
        <v>2</v>
      </c>
      <c r="P2362">
        <v>0.22500000000000001</v>
      </c>
      <c r="Q2362">
        <v>2</v>
      </c>
      <c r="R2362">
        <v>5.1999999999999998E-3</v>
      </c>
      <c r="T2362" s="8" t="s">
        <v>6719</v>
      </c>
    </row>
    <row r="2363" spans="1:20" x14ac:dyDescent="0.2">
      <c r="A2363" t="s">
        <v>6721</v>
      </c>
      <c r="B2363" t="s">
        <v>2022</v>
      </c>
      <c r="C2363" t="s">
        <v>2036</v>
      </c>
      <c r="D2363" t="s">
        <v>2136</v>
      </c>
      <c r="E2363" t="s">
        <v>6722</v>
      </c>
      <c r="F2363" t="s">
        <v>6723</v>
      </c>
      <c r="G2363">
        <v>2</v>
      </c>
      <c r="H2363">
        <v>1640</v>
      </c>
      <c r="I2363">
        <v>2</v>
      </c>
      <c r="J2363">
        <v>3.4</v>
      </c>
      <c r="K2363">
        <v>2</v>
      </c>
      <c r="L2363">
        <v>8.5000000000000006E-2</v>
      </c>
      <c r="M2363">
        <v>2</v>
      </c>
      <c r="N2363">
        <v>82</v>
      </c>
      <c r="O2363">
        <v>1</v>
      </c>
      <c r="P2363">
        <v>9.5000000000000001E-2</v>
      </c>
      <c r="Q2363">
        <v>2</v>
      </c>
      <c r="R2363">
        <v>4.2500000000000003E-3</v>
      </c>
      <c r="T2363" s="8" t="s">
        <v>6722</v>
      </c>
    </row>
    <row r="2364" spans="1:20" x14ac:dyDescent="0.2">
      <c r="A2364" t="s">
        <v>6724</v>
      </c>
      <c r="B2364" t="s">
        <v>2022</v>
      </c>
      <c r="C2364" t="s">
        <v>2053</v>
      </c>
      <c r="D2364" t="s">
        <v>2136</v>
      </c>
      <c r="E2364" t="s">
        <v>6725</v>
      </c>
      <c r="F2364" t="s">
        <v>6726</v>
      </c>
      <c r="G2364">
        <v>5</v>
      </c>
      <c r="H2364">
        <v>1900</v>
      </c>
      <c r="I2364">
        <v>2</v>
      </c>
      <c r="J2364">
        <v>4.05</v>
      </c>
      <c r="K2364">
        <v>2</v>
      </c>
      <c r="L2364">
        <v>8.5000000000000006E-2</v>
      </c>
      <c r="M2364">
        <v>5</v>
      </c>
      <c r="N2364">
        <v>113</v>
      </c>
      <c r="O2364">
        <v>3</v>
      </c>
      <c r="P2364">
        <v>0.375</v>
      </c>
      <c r="Q2364">
        <v>2</v>
      </c>
      <c r="R2364">
        <v>5.1999999999999998E-3</v>
      </c>
      <c r="T2364" s="8" t="s">
        <v>6725</v>
      </c>
    </row>
    <row r="2365" spans="1:20" x14ac:dyDescent="0.2">
      <c r="A2365" t="s">
        <v>6727</v>
      </c>
      <c r="B2365" t="s">
        <v>2022</v>
      </c>
      <c r="C2365" t="s">
        <v>2023</v>
      </c>
      <c r="D2365" t="s">
        <v>2024</v>
      </c>
      <c r="E2365" t="s">
        <v>6728</v>
      </c>
      <c r="F2365" t="s">
        <v>6729</v>
      </c>
      <c r="G2365">
        <v>1</v>
      </c>
      <c r="H2365">
        <v>1480</v>
      </c>
      <c r="I2365">
        <v>2</v>
      </c>
      <c r="J2365">
        <v>3.4</v>
      </c>
      <c r="K2365">
        <v>4</v>
      </c>
      <c r="L2365">
        <v>6.6000000000000003E-2</v>
      </c>
      <c r="M2365">
        <v>2</v>
      </c>
      <c r="N2365">
        <v>84</v>
      </c>
      <c r="O2365">
        <v>1</v>
      </c>
      <c r="P2365">
        <v>7.4999999999999997E-2</v>
      </c>
      <c r="Q2365">
        <v>3</v>
      </c>
      <c r="R2365">
        <v>4.0000000000000001E-3</v>
      </c>
      <c r="T2365" s="8" t="s">
        <v>6728</v>
      </c>
    </row>
    <row r="2366" spans="1:20" x14ac:dyDescent="0.2">
      <c r="A2366" t="s">
        <v>6730</v>
      </c>
      <c r="B2366" t="s">
        <v>2022</v>
      </c>
      <c r="C2366" t="s">
        <v>2023</v>
      </c>
      <c r="D2366" t="s">
        <v>2024</v>
      </c>
      <c r="E2366" t="s">
        <v>6731</v>
      </c>
      <c r="F2366" t="s">
        <v>6732</v>
      </c>
      <c r="G2366">
        <v>1</v>
      </c>
      <c r="H2366">
        <v>1480</v>
      </c>
      <c r="I2366">
        <v>1</v>
      </c>
      <c r="J2366">
        <v>0.9</v>
      </c>
      <c r="K2366">
        <v>2</v>
      </c>
      <c r="L2366">
        <v>2.5999999999999999E-2</v>
      </c>
      <c r="M2366">
        <v>1</v>
      </c>
      <c r="N2366">
        <v>74</v>
      </c>
      <c r="O2366">
        <v>1</v>
      </c>
      <c r="P2366">
        <v>7.4999999999999997E-2</v>
      </c>
      <c r="Q2366">
        <v>2</v>
      </c>
      <c r="R2366">
        <v>2E-3</v>
      </c>
      <c r="T2366" s="8" t="s">
        <v>6731</v>
      </c>
    </row>
    <row r="2367" spans="1:20" x14ac:dyDescent="0.2">
      <c r="A2367" t="s">
        <v>6733</v>
      </c>
      <c r="B2367" t="s">
        <v>2022</v>
      </c>
      <c r="C2367" t="s">
        <v>2106</v>
      </c>
      <c r="D2367" t="s">
        <v>2024</v>
      </c>
      <c r="E2367" t="s">
        <v>6734</v>
      </c>
      <c r="F2367" t="s">
        <v>6735</v>
      </c>
      <c r="G2367">
        <v>5</v>
      </c>
      <c r="H2367">
        <v>2275</v>
      </c>
      <c r="I2367">
        <v>5</v>
      </c>
      <c r="J2367">
        <v>13.25</v>
      </c>
      <c r="K2367">
        <v>5</v>
      </c>
      <c r="L2367">
        <v>0.3</v>
      </c>
      <c r="M2367">
        <v>5</v>
      </c>
      <c r="N2367">
        <v>89.5</v>
      </c>
      <c r="O2367">
        <v>5</v>
      </c>
      <c r="P2367">
        <v>0.45</v>
      </c>
      <c r="Q2367">
        <v>5</v>
      </c>
      <c r="R2367">
        <v>8.5000000000000006E-3</v>
      </c>
      <c r="T2367" s="8" t="s">
        <v>6734</v>
      </c>
    </row>
    <row r="2368" spans="1:20" x14ac:dyDescent="0.2">
      <c r="A2368" t="s">
        <v>6736</v>
      </c>
      <c r="B2368" t="s">
        <v>2022</v>
      </c>
      <c r="C2368" t="s">
        <v>2023</v>
      </c>
      <c r="D2368" t="s">
        <v>2024</v>
      </c>
      <c r="E2368" t="s">
        <v>6737</v>
      </c>
      <c r="F2368" t="s">
        <v>6738</v>
      </c>
      <c r="G2368">
        <v>4</v>
      </c>
      <c r="H2368">
        <v>1720</v>
      </c>
      <c r="I2368">
        <v>3</v>
      </c>
      <c r="J2368">
        <v>5.9</v>
      </c>
      <c r="K2368">
        <v>5</v>
      </c>
      <c r="L2368">
        <v>8.5999999999999993E-2</v>
      </c>
      <c r="M2368">
        <v>2</v>
      </c>
      <c r="N2368">
        <v>84</v>
      </c>
      <c r="O2368">
        <v>3</v>
      </c>
      <c r="P2368">
        <v>0.375</v>
      </c>
      <c r="Q2368">
        <v>4</v>
      </c>
      <c r="R2368">
        <v>6.0000000000000001E-3</v>
      </c>
      <c r="T2368" s="8" t="s">
        <v>6737</v>
      </c>
    </row>
    <row r="2369" spans="1:20" x14ac:dyDescent="0.2">
      <c r="A2369" t="s">
        <v>6739</v>
      </c>
      <c r="B2369" t="s">
        <v>2022</v>
      </c>
      <c r="C2369" t="s">
        <v>2023</v>
      </c>
      <c r="D2369" t="s">
        <v>2024</v>
      </c>
      <c r="E2369" t="s">
        <v>6740</v>
      </c>
      <c r="F2369" t="s">
        <v>6741</v>
      </c>
      <c r="G2369">
        <v>5</v>
      </c>
      <c r="H2369">
        <v>1800</v>
      </c>
      <c r="I2369">
        <v>5</v>
      </c>
      <c r="J2369">
        <v>10.9</v>
      </c>
      <c r="K2369">
        <v>5</v>
      </c>
      <c r="L2369">
        <v>8.5999999999999993E-2</v>
      </c>
      <c r="M2369">
        <v>2</v>
      </c>
      <c r="N2369">
        <v>84</v>
      </c>
      <c r="O2369">
        <v>4</v>
      </c>
      <c r="P2369">
        <v>0.52500000000000002</v>
      </c>
      <c r="Q2369">
        <v>5</v>
      </c>
      <c r="R2369">
        <v>8.0000000000000002E-3</v>
      </c>
      <c r="T2369" s="8" t="s">
        <v>6740</v>
      </c>
    </row>
    <row r="2370" spans="1:20" x14ac:dyDescent="0.2">
      <c r="A2370" t="s">
        <v>6742</v>
      </c>
      <c r="B2370" t="s">
        <v>2022</v>
      </c>
      <c r="C2370" t="s">
        <v>2023</v>
      </c>
      <c r="D2370" t="s">
        <v>2024</v>
      </c>
      <c r="E2370" t="s">
        <v>357</v>
      </c>
      <c r="F2370" t="s">
        <v>447</v>
      </c>
      <c r="G2370">
        <v>3</v>
      </c>
      <c r="H2370">
        <v>1640</v>
      </c>
      <c r="I2370">
        <v>1</v>
      </c>
      <c r="J2370">
        <v>0.9</v>
      </c>
      <c r="K2370">
        <v>1</v>
      </c>
      <c r="L2370">
        <v>6.0000000000000001E-3</v>
      </c>
      <c r="M2370">
        <v>3</v>
      </c>
      <c r="N2370">
        <v>94</v>
      </c>
      <c r="O2370">
        <v>1</v>
      </c>
      <c r="P2370">
        <v>7.4999999999999997E-2</v>
      </c>
      <c r="Q2370">
        <v>1</v>
      </c>
      <c r="R2370">
        <v>5.0000000000000001E-4</v>
      </c>
      <c r="T2370" s="8" t="s">
        <v>357</v>
      </c>
    </row>
    <row r="2371" spans="1:20" x14ac:dyDescent="0.2">
      <c r="A2371" t="s">
        <v>6743</v>
      </c>
      <c r="B2371" t="s">
        <v>2022</v>
      </c>
      <c r="C2371" t="s">
        <v>2053</v>
      </c>
      <c r="D2371" t="s">
        <v>2154</v>
      </c>
      <c r="E2371" t="s">
        <v>6744</v>
      </c>
      <c r="F2371" t="s">
        <v>6745</v>
      </c>
      <c r="G2371">
        <v>1</v>
      </c>
      <c r="H2371">
        <v>1500</v>
      </c>
      <c r="I2371">
        <v>2</v>
      </c>
      <c r="J2371">
        <v>4.05</v>
      </c>
      <c r="K2371">
        <v>3</v>
      </c>
      <c r="L2371">
        <v>0.19500000000000001</v>
      </c>
      <c r="M2371">
        <v>5</v>
      </c>
      <c r="N2371">
        <v>113</v>
      </c>
      <c r="O2371">
        <v>5</v>
      </c>
      <c r="P2371">
        <v>0.67500000000000004</v>
      </c>
      <c r="Q2371">
        <v>5</v>
      </c>
      <c r="R2371">
        <v>2.6200000000000001E-2</v>
      </c>
      <c r="T2371" s="8" t="s">
        <v>6744</v>
      </c>
    </row>
    <row r="2372" spans="1:20" x14ac:dyDescent="0.2">
      <c r="A2372" t="s">
        <v>6746</v>
      </c>
      <c r="B2372" t="s">
        <v>2022</v>
      </c>
      <c r="C2372" t="s">
        <v>2023</v>
      </c>
      <c r="D2372" t="s">
        <v>2024</v>
      </c>
      <c r="E2372" t="s">
        <v>6747</v>
      </c>
      <c r="F2372" t="s">
        <v>6748</v>
      </c>
      <c r="G2372">
        <v>1</v>
      </c>
      <c r="H2372">
        <v>1480</v>
      </c>
      <c r="I2372">
        <v>1</v>
      </c>
      <c r="J2372">
        <v>0.9</v>
      </c>
      <c r="K2372">
        <v>2</v>
      </c>
      <c r="L2372">
        <v>2.5999999999999999E-2</v>
      </c>
      <c r="M2372">
        <v>2</v>
      </c>
      <c r="N2372">
        <v>84</v>
      </c>
      <c r="O2372">
        <v>1</v>
      </c>
      <c r="P2372">
        <v>7.4999999999999997E-2</v>
      </c>
      <c r="Q2372">
        <v>2</v>
      </c>
      <c r="R2372">
        <v>2E-3</v>
      </c>
      <c r="T2372" s="8" t="s">
        <v>6747</v>
      </c>
    </row>
    <row r="2373" spans="1:20" x14ac:dyDescent="0.2">
      <c r="A2373" t="s">
        <v>6749</v>
      </c>
      <c r="B2373" t="s">
        <v>2022</v>
      </c>
      <c r="C2373" t="s">
        <v>2036</v>
      </c>
      <c r="D2373" t="s">
        <v>2024</v>
      </c>
      <c r="E2373" t="s">
        <v>6750</v>
      </c>
      <c r="F2373" t="s">
        <v>6751</v>
      </c>
      <c r="G2373">
        <v>4</v>
      </c>
      <c r="H2373">
        <v>1840</v>
      </c>
      <c r="I2373">
        <v>3</v>
      </c>
      <c r="J2373">
        <v>4.5999999999999996</v>
      </c>
      <c r="K2373">
        <v>2</v>
      </c>
      <c r="L2373">
        <v>8.5000000000000006E-2</v>
      </c>
      <c r="M2373">
        <v>2</v>
      </c>
      <c r="N2373">
        <v>82</v>
      </c>
      <c r="O2373">
        <v>2</v>
      </c>
      <c r="P2373">
        <v>0.20499999999999999</v>
      </c>
      <c r="Q2373">
        <v>2</v>
      </c>
      <c r="R2373">
        <v>4.2500000000000003E-3</v>
      </c>
      <c r="T2373" s="8" t="s">
        <v>6750</v>
      </c>
    </row>
    <row r="2374" spans="1:20" x14ac:dyDescent="0.2">
      <c r="A2374" t="s">
        <v>6752</v>
      </c>
      <c r="B2374" t="s">
        <v>2022</v>
      </c>
      <c r="C2374" t="s">
        <v>2023</v>
      </c>
      <c r="D2374" t="s">
        <v>2024</v>
      </c>
      <c r="E2374" t="s">
        <v>6753</v>
      </c>
      <c r="F2374" t="s">
        <v>6754</v>
      </c>
      <c r="G2374">
        <v>2</v>
      </c>
      <c r="H2374">
        <v>1560</v>
      </c>
      <c r="I2374">
        <v>1</v>
      </c>
      <c r="J2374">
        <v>0.9</v>
      </c>
      <c r="K2374">
        <v>2</v>
      </c>
      <c r="L2374">
        <v>2.5999999999999999E-2</v>
      </c>
      <c r="M2374">
        <v>1</v>
      </c>
      <c r="N2374">
        <v>74</v>
      </c>
      <c r="O2374">
        <v>1</v>
      </c>
      <c r="P2374">
        <v>7.4999999999999997E-2</v>
      </c>
      <c r="Q2374">
        <v>2</v>
      </c>
      <c r="R2374">
        <v>2E-3</v>
      </c>
      <c r="T2374" s="8" t="s">
        <v>6753</v>
      </c>
    </row>
    <row r="2375" spans="1:20" x14ac:dyDescent="0.2">
      <c r="A2375" t="s">
        <v>6755</v>
      </c>
      <c r="B2375" t="s">
        <v>2022</v>
      </c>
      <c r="C2375" t="s">
        <v>2053</v>
      </c>
      <c r="D2375" t="s">
        <v>2024</v>
      </c>
      <c r="E2375" t="s">
        <v>6756</v>
      </c>
      <c r="F2375" t="s">
        <v>6757</v>
      </c>
      <c r="G2375">
        <v>3</v>
      </c>
      <c r="H2375">
        <v>1700</v>
      </c>
      <c r="I2375">
        <v>2</v>
      </c>
      <c r="J2375">
        <v>4.05</v>
      </c>
      <c r="K2375">
        <v>2</v>
      </c>
      <c r="L2375">
        <v>8.5000000000000006E-2</v>
      </c>
      <c r="M2375">
        <v>3</v>
      </c>
      <c r="N2375">
        <v>93</v>
      </c>
      <c r="O2375">
        <v>2</v>
      </c>
      <c r="P2375">
        <v>0.22500000000000001</v>
      </c>
      <c r="Q2375">
        <v>2</v>
      </c>
      <c r="R2375">
        <v>5.1999999999999998E-3</v>
      </c>
      <c r="T2375" s="8" t="s">
        <v>6756</v>
      </c>
    </row>
    <row r="2376" spans="1:20" x14ac:dyDescent="0.2">
      <c r="A2376" t="s">
        <v>6758</v>
      </c>
      <c r="B2376" t="s">
        <v>2022</v>
      </c>
      <c r="C2376" t="s">
        <v>2036</v>
      </c>
      <c r="D2376" t="s">
        <v>2024</v>
      </c>
      <c r="E2376" t="s">
        <v>6759</v>
      </c>
      <c r="F2376" t="s">
        <v>6760</v>
      </c>
      <c r="G2376">
        <v>3</v>
      </c>
      <c r="H2376">
        <v>1740</v>
      </c>
      <c r="I2376">
        <v>2</v>
      </c>
      <c r="J2376">
        <v>3.4</v>
      </c>
      <c r="K2376">
        <v>5</v>
      </c>
      <c r="L2376">
        <v>0.17499999999999999</v>
      </c>
      <c r="M2376">
        <v>3</v>
      </c>
      <c r="N2376">
        <v>88</v>
      </c>
      <c r="O2376">
        <v>2</v>
      </c>
      <c r="P2376">
        <v>0.20499999999999999</v>
      </c>
      <c r="Q2376">
        <v>4</v>
      </c>
      <c r="R2376">
        <v>9.2499999999999995E-3</v>
      </c>
      <c r="T2376" s="8" t="s">
        <v>6759</v>
      </c>
    </row>
    <row r="2377" spans="1:20" x14ac:dyDescent="0.2">
      <c r="A2377" t="s">
        <v>6761</v>
      </c>
      <c r="B2377" t="s">
        <v>2022</v>
      </c>
      <c r="C2377" t="s">
        <v>2049</v>
      </c>
      <c r="D2377" t="s">
        <v>2024</v>
      </c>
      <c r="E2377" t="s">
        <v>6762</v>
      </c>
      <c r="F2377" t="s">
        <v>6763</v>
      </c>
      <c r="G2377">
        <v>3</v>
      </c>
      <c r="H2377">
        <v>1550</v>
      </c>
      <c r="I2377">
        <v>1</v>
      </c>
      <c r="J2377">
        <v>1.4</v>
      </c>
      <c r="K2377">
        <v>1</v>
      </c>
      <c r="L2377">
        <v>0.01</v>
      </c>
      <c r="M2377">
        <v>5</v>
      </c>
      <c r="N2377">
        <v>166</v>
      </c>
      <c r="O2377">
        <v>2</v>
      </c>
      <c r="P2377">
        <v>0.26</v>
      </c>
      <c r="Q2377">
        <v>2</v>
      </c>
      <c r="R2377">
        <v>6.1999999999999998E-3</v>
      </c>
      <c r="T2377" s="8" t="s">
        <v>6762</v>
      </c>
    </row>
    <row r="2378" spans="1:20" x14ac:dyDescent="0.2">
      <c r="A2378" t="s">
        <v>6764</v>
      </c>
      <c r="B2378" t="s">
        <v>2022</v>
      </c>
      <c r="C2378" t="s">
        <v>2049</v>
      </c>
      <c r="D2378" t="s">
        <v>2024</v>
      </c>
      <c r="E2378" t="s">
        <v>6765</v>
      </c>
      <c r="F2378" t="s">
        <v>6766</v>
      </c>
      <c r="G2378">
        <v>4</v>
      </c>
      <c r="H2378">
        <v>1650</v>
      </c>
      <c r="I2378">
        <v>4</v>
      </c>
      <c r="J2378">
        <v>6.8</v>
      </c>
      <c r="K2378">
        <v>4</v>
      </c>
      <c r="L2378">
        <v>0.22</v>
      </c>
      <c r="M2378">
        <v>1</v>
      </c>
      <c r="N2378">
        <v>86</v>
      </c>
      <c r="O2378">
        <v>3</v>
      </c>
      <c r="P2378">
        <v>0.46</v>
      </c>
      <c r="Q2378">
        <v>3</v>
      </c>
      <c r="R2378">
        <v>1.52E-2</v>
      </c>
      <c r="T2378" s="8" t="s">
        <v>6765</v>
      </c>
    </row>
    <row r="2379" spans="1:20" x14ac:dyDescent="0.2">
      <c r="A2379" t="s">
        <v>6767</v>
      </c>
      <c r="B2379" t="s">
        <v>2022</v>
      </c>
      <c r="C2379" t="s">
        <v>2053</v>
      </c>
      <c r="D2379" t="s">
        <v>2024</v>
      </c>
      <c r="E2379" t="s">
        <v>6768</v>
      </c>
      <c r="F2379" t="s">
        <v>6769</v>
      </c>
      <c r="G2379">
        <v>5</v>
      </c>
      <c r="H2379">
        <v>1900</v>
      </c>
      <c r="I2379">
        <v>3</v>
      </c>
      <c r="J2379">
        <v>6.55</v>
      </c>
      <c r="K2379">
        <v>3</v>
      </c>
      <c r="L2379">
        <v>0.19500000000000001</v>
      </c>
      <c r="M2379">
        <v>3</v>
      </c>
      <c r="N2379">
        <v>93</v>
      </c>
      <c r="O2379">
        <v>3</v>
      </c>
      <c r="P2379">
        <v>0.375</v>
      </c>
      <c r="Q2379">
        <v>2</v>
      </c>
      <c r="R2379">
        <v>5.1999999999999998E-3</v>
      </c>
      <c r="T2379" s="8" t="s">
        <v>6768</v>
      </c>
    </row>
    <row r="2380" spans="1:20" x14ac:dyDescent="0.2">
      <c r="A2380" t="s">
        <v>6770</v>
      </c>
      <c r="B2380" t="s">
        <v>2022</v>
      </c>
      <c r="C2380" t="s">
        <v>2095</v>
      </c>
      <c r="D2380" t="s">
        <v>2024</v>
      </c>
      <c r="E2380" t="s">
        <v>6771</v>
      </c>
      <c r="F2380" t="s">
        <v>6772</v>
      </c>
      <c r="G2380">
        <v>3</v>
      </c>
      <c r="H2380">
        <v>1745</v>
      </c>
      <c r="I2380">
        <v>5</v>
      </c>
      <c r="J2380">
        <v>16.5</v>
      </c>
      <c r="K2380">
        <v>5</v>
      </c>
      <c r="L2380">
        <v>0.73</v>
      </c>
      <c r="M2380">
        <v>2</v>
      </c>
      <c r="N2380">
        <v>80</v>
      </c>
      <c r="O2380">
        <v>5</v>
      </c>
      <c r="P2380">
        <v>0.95</v>
      </c>
      <c r="Q2380">
        <v>5</v>
      </c>
      <c r="R2380">
        <v>3.2899999999999999E-2</v>
      </c>
      <c r="T2380" s="8" t="s">
        <v>6771</v>
      </c>
    </row>
    <row r="2381" spans="1:20" x14ac:dyDescent="0.2">
      <c r="A2381" t="s">
        <v>6773</v>
      </c>
      <c r="B2381" t="s">
        <v>2022</v>
      </c>
      <c r="C2381" t="s">
        <v>2053</v>
      </c>
      <c r="D2381" t="s">
        <v>2024</v>
      </c>
      <c r="E2381" t="s">
        <v>6774</v>
      </c>
      <c r="F2381" t="s">
        <v>447</v>
      </c>
      <c r="G2381">
        <v>2</v>
      </c>
      <c r="H2381">
        <v>1600</v>
      </c>
      <c r="I2381">
        <v>1</v>
      </c>
      <c r="J2381">
        <v>1.55</v>
      </c>
      <c r="K2381">
        <v>1</v>
      </c>
      <c r="L2381">
        <v>1.4999999999999999E-2</v>
      </c>
      <c r="M2381">
        <v>1</v>
      </c>
      <c r="N2381">
        <v>73</v>
      </c>
      <c r="O2381">
        <v>1</v>
      </c>
      <c r="P2381">
        <v>7.4999999999999997E-2</v>
      </c>
      <c r="Q2381">
        <v>1</v>
      </c>
      <c r="R2381">
        <v>8.4999999999999995E-4</v>
      </c>
      <c r="T2381" s="8" t="s">
        <v>6774</v>
      </c>
    </row>
    <row r="2382" spans="1:20" x14ac:dyDescent="0.2">
      <c r="A2382" t="s">
        <v>6775</v>
      </c>
      <c r="B2382" t="s">
        <v>2022</v>
      </c>
      <c r="C2382" t="s">
        <v>2023</v>
      </c>
      <c r="D2382" t="s">
        <v>2024</v>
      </c>
      <c r="E2382" t="s">
        <v>6776</v>
      </c>
      <c r="F2382" t="s">
        <v>6777</v>
      </c>
      <c r="G2382">
        <v>2</v>
      </c>
      <c r="H2382">
        <v>1560</v>
      </c>
      <c r="I2382">
        <v>2</v>
      </c>
      <c r="J2382">
        <v>3.4</v>
      </c>
      <c r="K2382">
        <v>5</v>
      </c>
      <c r="L2382">
        <v>8.5999999999999993E-2</v>
      </c>
      <c r="M2382">
        <v>1</v>
      </c>
      <c r="N2382">
        <v>74</v>
      </c>
      <c r="O2382">
        <v>2</v>
      </c>
      <c r="P2382">
        <v>0.22500000000000001</v>
      </c>
      <c r="Q2382">
        <v>3</v>
      </c>
      <c r="R2382">
        <v>4.0000000000000001E-3</v>
      </c>
      <c r="T2382" s="8" t="s">
        <v>6776</v>
      </c>
    </row>
    <row r="2383" spans="1:20" x14ac:dyDescent="0.2">
      <c r="A2383" t="s">
        <v>6778</v>
      </c>
      <c r="B2383" t="s">
        <v>2022</v>
      </c>
      <c r="C2383" t="s">
        <v>2023</v>
      </c>
      <c r="D2383" t="s">
        <v>2024</v>
      </c>
      <c r="E2383" t="s">
        <v>6779</v>
      </c>
      <c r="F2383" t="s">
        <v>6780</v>
      </c>
      <c r="G2383">
        <v>1</v>
      </c>
      <c r="H2383">
        <v>1480</v>
      </c>
      <c r="I2383">
        <v>1</v>
      </c>
      <c r="J2383">
        <v>0.9</v>
      </c>
      <c r="K2383">
        <v>1</v>
      </c>
      <c r="L2383">
        <v>6.0000000000000001E-3</v>
      </c>
      <c r="M2383">
        <v>1</v>
      </c>
      <c r="N2383">
        <v>74</v>
      </c>
      <c r="O2383">
        <v>1</v>
      </c>
      <c r="P2383">
        <v>7.4999999999999997E-2</v>
      </c>
      <c r="Q2383">
        <v>1</v>
      </c>
      <c r="R2383">
        <v>5.0000000000000001E-4</v>
      </c>
      <c r="T2383" s="8" t="s">
        <v>6779</v>
      </c>
    </row>
    <row r="2384" spans="1:20" x14ac:dyDescent="0.2">
      <c r="A2384" t="s">
        <v>6781</v>
      </c>
      <c r="B2384" t="s">
        <v>2022</v>
      </c>
      <c r="C2384" t="s">
        <v>2023</v>
      </c>
      <c r="D2384" t="s">
        <v>2024</v>
      </c>
      <c r="E2384" t="s">
        <v>6782</v>
      </c>
      <c r="F2384" t="s">
        <v>6783</v>
      </c>
      <c r="G2384">
        <v>3</v>
      </c>
      <c r="H2384">
        <v>1640</v>
      </c>
      <c r="I2384">
        <v>2</v>
      </c>
      <c r="J2384">
        <v>3.4</v>
      </c>
      <c r="K2384">
        <v>2</v>
      </c>
      <c r="L2384">
        <v>2.5999999999999999E-2</v>
      </c>
      <c r="M2384">
        <v>2</v>
      </c>
      <c r="N2384">
        <v>84</v>
      </c>
      <c r="O2384">
        <v>2</v>
      </c>
      <c r="P2384">
        <v>0.22500000000000001</v>
      </c>
      <c r="Q2384">
        <v>2</v>
      </c>
      <c r="R2384">
        <v>2E-3</v>
      </c>
      <c r="T2384" s="8" t="s">
        <v>6782</v>
      </c>
    </row>
    <row r="2385" spans="1:20" x14ac:dyDescent="0.2">
      <c r="A2385" t="s">
        <v>6784</v>
      </c>
      <c r="B2385" t="s">
        <v>2022</v>
      </c>
      <c r="C2385" t="s">
        <v>2023</v>
      </c>
      <c r="D2385" t="s">
        <v>2024</v>
      </c>
      <c r="E2385" t="s">
        <v>6785</v>
      </c>
      <c r="F2385" t="s">
        <v>447</v>
      </c>
      <c r="G2385">
        <v>1</v>
      </c>
      <c r="H2385">
        <v>1480</v>
      </c>
      <c r="I2385">
        <v>1</v>
      </c>
      <c r="J2385">
        <v>0.9</v>
      </c>
      <c r="K2385">
        <v>1</v>
      </c>
      <c r="L2385">
        <v>6.0000000000000001E-3</v>
      </c>
      <c r="M2385">
        <v>5</v>
      </c>
      <c r="N2385">
        <v>114</v>
      </c>
      <c r="O2385">
        <v>2</v>
      </c>
      <c r="P2385">
        <v>0.22500000000000001</v>
      </c>
      <c r="Q2385">
        <v>3</v>
      </c>
      <c r="R2385">
        <v>4.0000000000000001E-3</v>
      </c>
      <c r="T2385" s="8" t="s">
        <v>6785</v>
      </c>
    </row>
    <row r="2386" spans="1:20" x14ac:dyDescent="0.2">
      <c r="A2386" t="s">
        <v>6786</v>
      </c>
      <c r="B2386" t="s">
        <v>2022</v>
      </c>
      <c r="C2386" t="s">
        <v>2023</v>
      </c>
      <c r="D2386" t="s">
        <v>2136</v>
      </c>
      <c r="E2386" t="s">
        <v>357</v>
      </c>
      <c r="F2386" t="s">
        <v>447</v>
      </c>
      <c r="G2386">
        <v>1</v>
      </c>
      <c r="H2386">
        <v>1480</v>
      </c>
      <c r="I2386">
        <v>1</v>
      </c>
      <c r="J2386">
        <v>0.9</v>
      </c>
      <c r="K2386">
        <v>1</v>
      </c>
      <c r="L2386">
        <v>6.0000000000000001E-3</v>
      </c>
      <c r="M2386">
        <v>4</v>
      </c>
      <c r="N2386">
        <v>104</v>
      </c>
      <c r="O2386">
        <v>1</v>
      </c>
      <c r="P2386">
        <v>7.4999999999999997E-2</v>
      </c>
      <c r="Q2386">
        <v>1</v>
      </c>
      <c r="R2386">
        <v>5.0000000000000001E-4</v>
      </c>
      <c r="T2386" s="8" t="s">
        <v>357</v>
      </c>
    </row>
    <row r="2387" spans="1:20" x14ac:dyDescent="0.2">
      <c r="A2387" t="s">
        <v>6787</v>
      </c>
      <c r="B2387" t="s">
        <v>2022</v>
      </c>
      <c r="C2387" t="s">
        <v>2023</v>
      </c>
      <c r="D2387" t="s">
        <v>2136</v>
      </c>
      <c r="E2387" t="s">
        <v>6788</v>
      </c>
      <c r="F2387" t="s">
        <v>6789</v>
      </c>
      <c r="G2387">
        <v>5</v>
      </c>
      <c r="H2387">
        <v>1800</v>
      </c>
      <c r="I2387">
        <v>1</v>
      </c>
      <c r="J2387">
        <v>0.9</v>
      </c>
      <c r="K2387">
        <v>1</v>
      </c>
      <c r="L2387">
        <v>6.0000000000000001E-3</v>
      </c>
      <c r="M2387">
        <v>2</v>
      </c>
      <c r="N2387">
        <v>84</v>
      </c>
      <c r="O2387">
        <v>1</v>
      </c>
      <c r="P2387">
        <v>7.4999999999999997E-2</v>
      </c>
      <c r="Q2387">
        <v>1</v>
      </c>
      <c r="R2387">
        <v>5.0000000000000001E-4</v>
      </c>
      <c r="T2387" s="8" t="s">
        <v>6788</v>
      </c>
    </row>
    <row r="2388" spans="1:20" x14ac:dyDescent="0.2">
      <c r="A2388" t="s">
        <v>6790</v>
      </c>
      <c r="B2388" t="s">
        <v>2022</v>
      </c>
      <c r="C2388" t="s">
        <v>2036</v>
      </c>
      <c r="D2388" t="s">
        <v>2024</v>
      </c>
      <c r="E2388" t="s">
        <v>6791</v>
      </c>
      <c r="F2388" t="s">
        <v>6792</v>
      </c>
      <c r="G2388">
        <v>3</v>
      </c>
      <c r="H2388">
        <v>1740</v>
      </c>
      <c r="I2388">
        <v>5</v>
      </c>
      <c r="J2388">
        <v>7</v>
      </c>
      <c r="K2388">
        <v>5</v>
      </c>
      <c r="L2388">
        <v>0.17499999999999999</v>
      </c>
      <c r="M2388">
        <v>3</v>
      </c>
      <c r="N2388">
        <v>88</v>
      </c>
      <c r="O2388">
        <v>5</v>
      </c>
      <c r="P2388">
        <v>0.53500000000000003</v>
      </c>
      <c r="Q2388">
        <v>4</v>
      </c>
      <c r="R2388">
        <v>9.2499999999999995E-3</v>
      </c>
      <c r="T2388" s="8" t="s">
        <v>6791</v>
      </c>
    </row>
    <row r="2389" spans="1:20" x14ac:dyDescent="0.2">
      <c r="A2389" t="s">
        <v>6793</v>
      </c>
      <c r="B2389" t="s">
        <v>2022</v>
      </c>
      <c r="C2389" t="s">
        <v>2053</v>
      </c>
      <c r="D2389" t="s">
        <v>2024</v>
      </c>
      <c r="E2389" t="s">
        <v>6794</v>
      </c>
      <c r="F2389" t="s">
        <v>6795</v>
      </c>
      <c r="G2389">
        <v>1</v>
      </c>
      <c r="H2389">
        <v>1500</v>
      </c>
      <c r="I2389">
        <v>3</v>
      </c>
      <c r="J2389">
        <v>6.55</v>
      </c>
      <c r="K2389">
        <v>4</v>
      </c>
      <c r="L2389">
        <v>0.30499999999999999</v>
      </c>
      <c r="M2389">
        <v>1</v>
      </c>
      <c r="N2389">
        <v>73</v>
      </c>
      <c r="O2389">
        <v>3</v>
      </c>
      <c r="P2389">
        <v>0.375</v>
      </c>
      <c r="Q2389">
        <v>3</v>
      </c>
      <c r="R2389">
        <v>1.2200000000000001E-2</v>
      </c>
      <c r="T2389" s="8" t="s">
        <v>6794</v>
      </c>
    </row>
    <row r="2390" spans="1:20" x14ac:dyDescent="0.2">
      <c r="A2390" t="s">
        <v>6796</v>
      </c>
      <c r="B2390" t="s">
        <v>2022</v>
      </c>
      <c r="C2390" t="s">
        <v>2095</v>
      </c>
      <c r="D2390" t="s">
        <v>2024</v>
      </c>
      <c r="E2390" t="s">
        <v>6797</v>
      </c>
      <c r="F2390" t="s">
        <v>6798</v>
      </c>
      <c r="G2390">
        <v>3</v>
      </c>
      <c r="H2390">
        <v>1745</v>
      </c>
      <c r="I2390">
        <v>5</v>
      </c>
      <c r="J2390">
        <v>16.5</v>
      </c>
      <c r="K2390">
        <v>5</v>
      </c>
      <c r="L2390">
        <v>0.73</v>
      </c>
      <c r="M2390">
        <v>2</v>
      </c>
      <c r="N2390">
        <v>80</v>
      </c>
      <c r="O2390">
        <v>5</v>
      </c>
      <c r="P2390">
        <v>0.95</v>
      </c>
      <c r="Q2390">
        <v>5</v>
      </c>
      <c r="R2390">
        <v>3.2899999999999999E-2</v>
      </c>
      <c r="T2390" s="8" t="s">
        <v>6797</v>
      </c>
    </row>
    <row r="2391" spans="1:20" x14ac:dyDescent="0.2">
      <c r="A2391" t="s">
        <v>6799</v>
      </c>
      <c r="B2391" t="s">
        <v>2022</v>
      </c>
      <c r="C2391" t="s">
        <v>2222</v>
      </c>
      <c r="D2391" t="s">
        <v>2024</v>
      </c>
      <c r="E2391" t="s">
        <v>357</v>
      </c>
      <c r="F2391" t="s">
        <v>6800</v>
      </c>
      <c r="G2391">
        <v>5</v>
      </c>
      <c r="H2391">
        <v>1850</v>
      </c>
      <c r="I2391">
        <v>1</v>
      </c>
      <c r="J2391">
        <v>2.2999999999999998</v>
      </c>
      <c r="K2391">
        <v>1</v>
      </c>
      <c r="L2391">
        <v>0.01</v>
      </c>
      <c r="M2391">
        <v>5</v>
      </c>
      <c r="N2391">
        <v>75</v>
      </c>
      <c r="O2391">
        <v>1</v>
      </c>
      <c r="P2391">
        <v>7.0000000000000007E-2</v>
      </c>
      <c r="Q2391">
        <v>1</v>
      </c>
      <c r="R2391">
        <v>4.0000000000000002E-4</v>
      </c>
      <c r="T2391" s="8" t="s">
        <v>357</v>
      </c>
    </row>
    <row r="2392" spans="1:20" x14ac:dyDescent="0.2">
      <c r="A2392" t="s">
        <v>6801</v>
      </c>
      <c r="B2392" t="s">
        <v>2022</v>
      </c>
      <c r="C2392" t="s">
        <v>2053</v>
      </c>
      <c r="D2392" t="s">
        <v>2024</v>
      </c>
      <c r="E2392" t="s">
        <v>6802</v>
      </c>
      <c r="F2392" t="s">
        <v>6803</v>
      </c>
      <c r="G2392">
        <v>2</v>
      </c>
      <c r="H2392">
        <v>1600</v>
      </c>
      <c r="I2392">
        <v>5</v>
      </c>
      <c r="J2392">
        <v>11.55</v>
      </c>
      <c r="K2392">
        <v>5</v>
      </c>
      <c r="L2392">
        <v>0.41499999999999998</v>
      </c>
      <c r="M2392">
        <v>4</v>
      </c>
      <c r="N2392">
        <v>103</v>
      </c>
      <c r="O2392">
        <v>5</v>
      </c>
      <c r="P2392">
        <v>0.67500000000000004</v>
      </c>
      <c r="Q2392">
        <v>5</v>
      </c>
      <c r="R2392">
        <v>2.6200000000000001E-2</v>
      </c>
      <c r="T2392" s="8" t="s">
        <v>6802</v>
      </c>
    </row>
    <row r="2393" spans="1:20" x14ac:dyDescent="0.2">
      <c r="A2393" t="s">
        <v>6804</v>
      </c>
      <c r="B2393" t="s">
        <v>2022</v>
      </c>
      <c r="C2393" t="s">
        <v>2053</v>
      </c>
      <c r="D2393" t="s">
        <v>2024</v>
      </c>
      <c r="E2393" t="s">
        <v>6805</v>
      </c>
      <c r="F2393" t="s">
        <v>6806</v>
      </c>
      <c r="G2393">
        <v>5</v>
      </c>
      <c r="H2393">
        <v>1900</v>
      </c>
      <c r="I2393">
        <v>1</v>
      </c>
      <c r="J2393">
        <v>1.55</v>
      </c>
      <c r="K2393">
        <v>2</v>
      </c>
      <c r="L2393">
        <v>8.5000000000000006E-2</v>
      </c>
      <c r="M2393">
        <v>4</v>
      </c>
      <c r="N2393">
        <v>103</v>
      </c>
      <c r="O2393">
        <v>1</v>
      </c>
      <c r="P2393">
        <v>7.4999999999999997E-2</v>
      </c>
      <c r="Q2393">
        <v>2</v>
      </c>
      <c r="R2393">
        <v>5.1999999999999998E-3</v>
      </c>
      <c r="T2393" s="8" t="s">
        <v>6805</v>
      </c>
    </row>
    <row r="2394" spans="1:20" x14ac:dyDescent="0.2">
      <c r="A2394" t="s">
        <v>6807</v>
      </c>
      <c r="B2394" t="s">
        <v>2022</v>
      </c>
      <c r="C2394" t="s">
        <v>2257</v>
      </c>
      <c r="D2394" t="s">
        <v>2024</v>
      </c>
      <c r="E2394" t="s">
        <v>6808</v>
      </c>
      <c r="F2394" t="s">
        <v>447</v>
      </c>
      <c r="G2394">
        <v>4</v>
      </c>
      <c r="H2394">
        <v>1200</v>
      </c>
      <c r="I2394">
        <v>5</v>
      </c>
      <c r="J2394">
        <v>5.65</v>
      </c>
      <c r="K2394">
        <v>5</v>
      </c>
      <c r="L2394">
        <v>0.187</v>
      </c>
      <c r="M2394">
        <v>1</v>
      </c>
      <c r="N2394">
        <v>300</v>
      </c>
      <c r="O2394">
        <v>3</v>
      </c>
      <c r="P2394">
        <v>1.5</v>
      </c>
      <c r="Q2394">
        <v>3</v>
      </c>
      <c r="R2394">
        <v>3.6999999999999998E-2</v>
      </c>
      <c r="T2394" s="8" t="s">
        <v>6808</v>
      </c>
    </row>
    <row r="2395" spans="1:20" x14ac:dyDescent="0.2">
      <c r="A2395" t="s">
        <v>6809</v>
      </c>
      <c r="B2395" t="s">
        <v>2022</v>
      </c>
      <c r="C2395" t="s">
        <v>2036</v>
      </c>
      <c r="D2395" t="s">
        <v>2024</v>
      </c>
      <c r="E2395" t="s">
        <v>6810</v>
      </c>
      <c r="F2395" t="s">
        <v>6811</v>
      </c>
      <c r="G2395">
        <v>3</v>
      </c>
      <c r="H2395">
        <v>1740</v>
      </c>
      <c r="I2395">
        <v>2</v>
      </c>
      <c r="J2395">
        <v>3.4</v>
      </c>
      <c r="K2395">
        <v>2</v>
      </c>
      <c r="L2395">
        <v>8.5000000000000006E-2</v>
      </c>
      <c r="M2395">
        <v>2</v>
      </c>
      <c r="N2395">
        <v>82</v>
      </c>
      <c r="O2395">
        <v>1</v>
      </c>
      <c r="P2395">
        <v>9.5000000000000001E-2</v>
      </c>
      <c r="Q2395">
        <v>2</v>
      </c>
      <c r="R2395">
        <v>4.2500000000000003E-3</v>
      </c>
      <c r="T2395" s="8" t="s">
        <v>6810</v>
      </c>
    </row>
    <row r="2396" spans="1:20" x14ac:dyDescent="0.2">
      <c r="A2396" t="s">
        <v>6812</v>
      </c>
      <c r="B2396" t="s">
        <v>2022</v>
      </c>
      <c r="C2396" t="s">
        <v>2023</v>
      </c>
      <c r="D2396" t="s">
        <v>2024</v>
      </c>
      <c r="E2396" t="s">
        <v>6813</v>
      </c>
      <c r="F2396" t="s">
        <v>6814</v>
      </c>
      <c r="G2396">
        <v>2</v>
      </c>
      <c r="H2396">
        <v>1560</v>
      </c>
      <c r="I2396">
        <v>1</v>
      </c>
      <c r="J2396">
        <v>0.9</v>
      </c>
      <c r="K2396">
        <v>1</v>
      </c>
      <c r="L2396">
        <v>6.0000000000000001E-3</v>
      </c>
      <c r="M2396">
        <v>2</v>
      </c>
      <c r="N2396">
        <v>84</v>
      </c>
      <c r="O2396">
        <v>1</v>
      </c>
      <c r="P2396">
        <v>7.4999999999999997E-2</v>
      </c>
      <c r="Q2396">
        <v>1</v>
      </c>
      <c r="R2396">
        <v>5.0000000000000001E-4</v>
      </c>
      <c r="T2396" s="8" t="s">
        <v>6813</v>
      </c>
    </row>
    <row r="2397" spans="1:20" x14ac:dyDescent="0.2">
      <c r="A2397" t="s">
        <v>6815</v>
      </c>
      <c r="B2397" t="s">
        <v>2022</v>
      </c>
      <c r="C2397" t="s">
        <v>2023</v>
      </c>
      <c r="D2397" t="s">
        <v>2024</v>
      </c>
      <c r="E2397" t="s">
        <v>6816</v>
      </c>
      <c r="F2397" t="s">
        <v>6814</v>
      </c>
      <c r="G2397">
        <v>5</v>
      </c>
      <c r="H2397">
        <v>1800</v>
      </c>
      <c r="I2397">
        <v>4</v>
      </c>
      <c r="J2397">
        <v>8.4</v>
      </c>
      <c r="K2397">
        <v>5</v>
      </c>
      <c r="L2397">
        <v>8.5999999999999993E-2</v>
      </c>
      <c r="M2397">
        <v>5</v>
      </c>
      <c r="N2397">
        <v>114</v>
      </c>
      <c r="O2397">
        <v>3</v>
      </c>
      <c r="P2397">
        <v>0.375</v>
      </c>
      <c r="Q2397">
        <v>5</v>
      </c>
      <c r="R2397">
        <v>8.0000000000000002E-3</v>
      </c>
      <c r="T2397" s="8" t="s">
        <v>6816</v>
      </c>
    </row>
    <row r="2398" spans="1:20" x14ac:dyDescent="0.2">
      <c r="A2398" t="s">
        <v>6817</v>
      </c>
      <c r="B2398" t="s">
        <v>2022</v>
      </c>
      <c r="C2398" t="s">
        <v>2023</v>
      </c>
      <c r="D2398" t="s">
        <v>2024</v>
      </c>
      <c r="E2398" t="s">
        <v>6816</v>
      </c>
      <c r="F2398" t="s">
        <v>6814</v>
      </c>
      <c r="G2398">
        <v>1</v>
      </c>
      <c r="H2398">
        <v>1480</v>
      </c>
      <c r="I2398">
        <v>1</v>
      </c>
      <c r="J2398">
        <v>0.9</v>
      </c>
      <c r="K2398">
        <v>1</v>
      </c>
      <c r="L2398">
        <v>6.0000000000000001E-3</v>
      </c>
      <c r="M2398">
        <v>5</v>
      </c>
      <c r="N2398">
        <v>114</v>
      </c>
      <c r="O2398">
        <v>1</v>
      </c>
      <c r="P2398">
        <v>7.4999999999999997E-2</v>
      </c>
      <c r="Q2398">
        <v>2</v>
      </c>
      <c r="R2398">
        <v>2E-3</v>
      </c>
      <c r="T2398" s="8" t="s">
        <v>6816</v>
      </c>
    </row>
    <row r="2399" spans="1:20" x14ac:dyDescent="0.2">
      <c r="A2399" t="s">
        <v>6818</v>
      </c>
      <c r="B2399" t="s">
        <v>2022</v>
      </c>
      <c r="C2399" t="s">
        <v>2053</v>
      </c>
      <c r="D2399" t="s">
        <v>2024</v>
      </c>
      <c r="E2399" t="s">
        <v>6813</v>
      </c>
      <c r="F2399" t="s">
        <v>6814</v>
      </c>
      <c r="G2399">
        <v>1</v>
      </c>
      <c r="H2399">
        <v>1500</v>
      </c>
      <c r="I2399">
        <v>1</v>
      </c>
      <c r="J2399">
        <v>1.55</v>
      </c>
      <c r="K2399">
        <v>1</v>
      </c>
      <c r="L2399">
        <v>1.4999999999999999E-2</v>
      </c>
      <c r="M2399">
        <v>1</v>
      </c>
      <c r="N2399">
        <v>73</v>
      </c>
      <c r="O2399">
        <v>1</v>
      </c>
      <c r="P2399">
        <v>7.4999999999999997E-2</v>
      </c>
      <c r="Q2399">
        <v>1</v>
      </c>
      <c r="R2399">
        <v>8.4999999999999995E-4</v>
      </c>
      <c r="T2399" s="8" t="s">
        <v>6813</v>
      </c>
    </row>
    <row r="2400" spans="1:20" x14ac:dyDescent="0.2">
      <c r="A2400" t="s">
        <v>6819</v>
      </c>
      <c r="B2400" t="s">
        <v>2022</v>
      </c>
      <c r="C2400" t="s">
        <v>2095</v>
      </c>
      <c r="D2400" t="s">
        <v>2024</v>
      </c>
      <c r="E2400" t="s">
        <v>6820</v>
      </c>
      <c r="F2400" t="s">
        <v>6821</v>
      </c>
      <c r="G2400">
        <v>3</v>
      </c>
      <c r="H2400">
        <v>1745</v>
      </c>
      <c r="I2400">
        <v>5</v>
      </c>
      <c r="J2400">
        <v>16.5</v>
      </c>
      <c r="K2400">
        <v>5</v>
      </c>
      <c r="L2400">
        <v>0.73</v>
      </c>
      <c r="M2400">
        <v>5</v>
      </c>
      <c r="N2400">
        <v>98</v>
      </c>
      <c r="O2400">
        <v>5</v>
      </c>
      <c r="P2400">
        <v>0.95</v>
      </c>
      <c r="Q2400">
        <v>5</v>
      </c>
      <c r="R2400">
        <v>3.2899999999999999E-2</v>
      </c>
      <c r="T2400" s="8" t="s">
        <v>6820</v>
      </c>
    </row>
    <row r="2401" spans="1:20" x14ac:dyDescent="0.2">
      <c r="A2401" t="s">
        <v>6822</v>
      </c>
      <c r="B2401" t="s">
        <v>2022</v>
      </c>
      <c r="C2401" t="s">
        <v>2023</v>
      </c>
      <c r="D2401" t="s">
        <v>2024</v>
      </c>
      <c r="E2401" t="s">
        <v>6823</v>
      </c>
      <c r="F2401" t="s">
        <v>6824</v>
      </c>
      <c r="G2401">
        <v>1</v>
      </c>
      <c r="H2401">
        <v>1480</v>
      </c>
      <c r="I2401">
        <v>1</v>
      </c>
      <c r="J2401">
        <v>0.9</v>
      </c>
      <c r="K2401">
        <v>1</v>
      </c>
      <c r="L2401">
        <v>6.0000000000000001E-3</v>
      </c>
      <c r="M2401">
        <v>2</v>
      </c>
      <c r="N2401">
        <v>84</v>
      </c>
      <c r="O2401">
        <v>1</v>
      </c>
      <c r="P2401">
        <v>7.4999999999999997E-2</v>
      </c>
      <c r="Q2401">
        <v>1</v>
      </c>
      <c r="R2401">
        <v>5.0000000000000001E-4</v>
      </c>
      <c r="T2401" s="8" t="s">
        <v>6823</v>
      </c>
    </row>
    <row r="2402" spans="1:20" x14ac:dyDescent="0.2">
      <c r="A2402" t="s">
        <v>6825</v>
      </c>
      <c r="B2402" t="s">
        <v>2022</v>
      </c>
      <c r="C2402" t="s">
        <v>2036</v>
      </c>
      <c r="D2402" t="s">
        <v>2024</v>
      </c>
      <c r="E2402" t="s">
        <v>6826</v>
      </c>
      <c r="F2402" t="s">
        <v>6827</v>
      </c>
      <c r="G2402">
        <v>4</v>
      </c>
      <c r="H2402">
        <v>1840</v>
      </c>
      <c r="I2402">
        <v>5</v>
      </c>
      <c r="J2402">
        <v>7</v>
      </c>
      <c r="K2402">
        <v>5</v>
      </c>
      <c r="L2402">
        <v>0.17499999999999999</v>
      </c>
      <c r="M2402">
        <v>4</v>
      </c>
      <c r="N2402">
        <v>94</v>
      </c>
      <c r="O2402">
        <v>5</v>
      </c>
      <c r="P2402">
        <v>0.53500000000000003</v>
      </c>
      <c r="Q2402">
        <v>5</v>
      </c>
      <c r="R2402">
        <v>1.2E-2</v>
      </c>
      <c r="T2402" s="8" t="s">
        <v>6826</v>
      </c>
    </row>
    <row r="2403" spans="1:20" x14ac:dyDescent="0.2">
      <c r="A2403" t="s">
        <v>6828</v>
      </c>
      <c r="B2403" t="s">
        <v>2022</v>
      </c>
      <c r="C2403" t="s">
        <v>2036</v>
      </c>
      <c r="D2403" t="s">
        <v>2024</v>
      </c>
      <c r="E2403" t="s">
        <v>6829</v>
      </c>
      <c r="F2403" t="s">
        <v>6830</v>
      </c>
      <c r="G2403">
        <v>2</v>
      </c>
      <c r="H2403">
        <v>1640</v>
      </c>
      <c r="I2403">
        <v>5</v>
      </c>
      <c r="J2403">
        <v>7</v>
      </c>
      <c r="K2403">
        <v>5</v>
      </c>
      <c r="L2403">
        <v>0.17499999999999999</v>
      </c>
      <c r="M2403">
        <v>1</v>
      </c>
      <c r="N2403">
        <v>76</v>
      </c>
      <c r="O2403">
        <v>5</v>
      </c>
      <c r="P2403">
        <v>0.53500000000000003</v>
      </c>
      <c r="Q2403">
        <v>5</v>
      </c>
      <c r="R2403">
        <v>1.2E-2</v>
      </c>
      <c r="T2403" s="8" t="s">
        <v>6829</v>
      </c>
    </row>
    <row r="2404" spans="1:20" x14ac:dyDescent="0.2">
      <c r="A2404" t="s">
        <v>6831</v>
      </c>
      <c r="B2404" t="s">
        <v>2022</v>
      </c>
      <c r="C2404" t="s">
        <v>2049</v>
      </c>
      <c r="D2404" t="s">
        <v>2024</v>
      </c>
      <c r="E2404" t="s">
        <v>6832</v>
      </c>
      <c r="F2404" t="s">
        <v>447</v>
      </c>
      <c r="G2404">
        <v>4</v>
      </c>
      <c r="H2404">
        <v>1650</v>
      </c>
      <c r="I2404">
        <v>3</v>
      </c>
      <c r="J2404">
        <v>5</v>
      </c>
      <c r="K2404">
        <v>4</v>
      </c>
      <c r="L2404">
        <v>0.22</v>
      </c>
      <c r="M2404">
        <v>5</v>
      </c>
      <c r="N2404">
        <v>166</v>
      </c>
      <c r="O2404">
        <v>4</v>
      </c>
      <c r="P2404">
        <v>0.66</v>
      </c>
      <c r="Q2404">
        <v>4</v>
      </c>
      <c r="R2404">
        <v>2.4199999999999999E-2</v>
      </c>
      <c r="T2404" s="8" t="s">
        <v>6832</v>
      </c>
    </row>
    <row r="2405" spans="1:20" x14ac:dyDescent="0.2">
      <c r="A2405" t="s">
        <v>6833</v>
      </c>
      <c r="B2405" t="s">
        <v>2022</v>
      </c>
      <c r="C2405" t="s">
        <v>2036</v>
      </c>
      <c r="D2405" t="s">
        <v>2136</v>
      </c>
      <c r="E2405" t="s">
        <v>357</v>
      </c>
      <c r="F2405" t="s">
        <v>447</v>
      </c>
      <c r="G2405">
        <v>3</v>
      </c>
      <c r="H2405">
        <v>1740</v>
      </c>
      <c r="I2405">
        <v>4</v>
      </c>
      <c r="J2405">
        <v>5.8</v>
      </c>
      <c r="K2405">
        <v>5</v>
      </c>
      <c r="L2405">
        <v>0.17499999999999999</v>
      </c>
      <c r="M2405">
        <v>5</v>
      </c>
      <c r="N2405">
        <v>100</v>
      </c>
      <c r="O2405">
        <v>4</v>
      </c>
      <c r="P2405">
        <v>0.42499999999999999</v>
      </c>
      <c r="Q2405">
        <v>5</v>
      </c>
      <c r="R2405">
        <v>1.2E-2</v>
      </c>
      <c r="T2405" s="8" t="s">
        <v>357</v>
      </c>
    </row>
    <row r="2406" spans="1:20" x14ac:dyDescent="0.2">
      <c r="A2406" t="s">
        <v>6834</v>
      </c>
      <c r="B2406" t="s">
        <v>2022</v>
      </c>
      <c r="C2406" t="s">
        <v>2222</v>
      </c>
      <c r="D2406" t="s">
        <v>2024</v>
      </c>
      <c r="E2406" t="s">
        <v>6835</v>
      </c>
      <c r="F2406" t="s">
        <v>6836</v>
      </c>
      <c r="G2406">
        <v>2</v>
      </c>
      <c r="H2406">
        <v>1550</v>
      </c>
      <c r="I2406">
        <v>1</v>
      </c>
      <c r="J2406">
        <v>2.2999999999999998</v>
      </c>
      <c r="K2406">
        <v>1</v>
      </c>
      <c r="L2406">
        <v>0.01</v>
      </c>
      <c r="M2406">
        <v>2</v>
      </c>
      <c r="N2406">
        <v>63</v>
      </c>
      <c r="O2406">
        <v>1</v>
      </c>
      <c r="P2406">
        <v>7.0000000000000007E-2</v>
      </c>
      <c r="Q2406">
        <v>1</v>
      </c>
      <c r="R2406">
        <v>4.0000000000000002E-4</v>
      </c>
      <c r="T2406" s="8" t="s">
        <v>6835</v>
      </c>
    </row>
    <row r="2407" spans="1:20" x14ac:dyDescent="0.2">
      <c r="A2407" t="s">
        <v>6837</v>
      </c>
      <c r="B2407" t="s">
        <v>2022</v>
      </c>
      <c r="C2407" t="s">
        <v>2173</v>
      </c>
      <c r="D2407" t="s">
        <v>2024</v>
      </c>
      <c r="E2407" t="s">
        <v>6838</v>
      </c>
      <c r="F2407" t="s">
        <v>6839</v>
      </c>
      <c r="G2407">
        <v>3</v>
      </c>
      <c r="H2407">
        <v>2032.5</v>
      </c>
      <c r="I2407">
        <v>3</v>
      </c>
      <c r="J2407">
        <v>9.0500000000000007</v>
      </c>
      <c r="K2407">
        <v>3</v>
      </c>
      <c r="L2407">
        <v>0.21</v>
      </c>
      <c r="M2407">
        <v>2</v>
      </c>
      <c r="N2407">
        <v>107.5</v>
      </c>
      <c r="O2407">
        <v>3</v>
      </c>
      <c r="P2407">
        <v>0.51</v>
      </c>
      <c r="Q2407">
        <v>3</v>
      </c>
      <c r="R2407">
        <v>1.18E-2</v>
      </c>
      <c r="T2407" s="8" t="s">
        <v>6838</v>
      </c>
    </row>
    <row r="2408" spans="1:20" x14ac:dyDescent="0.2">
      <c r="A2408" t="s">
        <v>6840</v>
      </c>
      <c r="B2408" t="s">
        <v>2022</v>
      </c>
      <c r="C2408" t="s">
        <v>2023</v>
      </c>
      <c r="D2408" t="s">
        <v>2024</v>
      </c>
      <c r="E2408" t="s">
        <v>6841</v>
      </c>
      <c r="F2408" t="s">
        <v>6842</v>
      </c>
      <c r="G2408">
        <v>5</v>
      </c>
      <c r="H2408">
        <v>1800</v>
      </c>
      <c r="I2408">
        <v>2</v>
      </c>
      <c r="J2408">
        <v>3.4</v>
      </c>
      <c r="K2408">
        <v>3</v>
      </c>
      <c r="L2408">
        <v>4.5999999999999999E-2</v>
      </c>
      <c r="M2408">
        <v>2</v>
      </c>
      <c r="N2408">
        <v>84</v>
      </c>
      <c r="O2408">
        <v>2</v>
      </c>
      <c r="P2408">
        <v>0.22500000000000001</v>
      </c>
      <c r="Q2408">
        <v>2</v>
      </c>
      <c r="R2408">
        <v>2E-3</v>
      </c>
      <c r="T2408" s="8" t="s">
        <v>6841</v>
      </c>
    </row>
    <row r="2409" spans="1:20" x14ac:dyDescent="0.2">
      <c r="A2409" t="s">
        <v>6843</v>
      </c>
      <c r="B2409" t="s">
        <v>2022</v>
      </c>
      <c r="C2409" t="s">
        <v>2036</v>
      </c>
      <c r="D2409" t="s">
        <v>2024</v>
      </c>
      <c r="E2409" t="s">
        <v>6844</v>
      </c>
      <c r="F2409" t="s">
        <v>6845</v>
      </c>
      <c r="G2409">
        <v>2</v>
      </c>
      <c r="H2409">
        <v>1640</v>
      </c>
      <c r="I2409">
        <v>5</v>
      </c>
      <c r="J2409">
        <v>7</v>
      </c>
      <c r="K2409">
        <v>5</v>
      </c>
      <c r="L2409">
        <v>0.17499999999999999</v>
      </c>
      <c r="M2409">
        <v>4</v>
      </c>
      <c r="N2409">
        <v>94</v>
      </c>
      <c r="O2409">
        <v>4</v>
      </c>
      <c r="P2409">
        <v>0.42499999999999999</v>
      </c>
      <c r="Q2409">
        <v>5</v>
      </c>
      <c r="R2409">
        <v>1.2E-2</v>
      </c>
      <c r="T2409" s="8" t="s">
        <v>6844</v>
      </c>
    </row>
    <row r="2410" spans="1:20" x14ac:dyDescent="0.2">
      <c r="A2410" t="s">
        <v>6846</v>
      </c>
      <c r="B2410" t="s">
        <v>2022</v>
      </c>
      <c r="C2410" t="s">
        <v>2257</v>
      </c>
      <c r="D2410" t="s">
        <v>2136</v>
      </c>
      <c r="E2410" t="s">
        <v>6847</v>
      </c>
      <c r="F2410" t="s">
        <v>6848</v>
      </c>
      <c r="G2410">
        <v>5</v>
      </c>
      <c r="H2410">
        <v>1300</v>
      </c>
      <c r="I2410">
        <v>1</v>
      </c>
      <c r="J2410">
        <v>0.45</v>
      </c>
      <c r="K2410">
        <v>1</v>
      </c>
      <c r="L2410">
        <v>6.0000000000000001E-3</v>
      </c>
      <c r="M2410">
        <v>1</v>
      </c>
      <c r="N2410">
        <v>300</v>
      </c>
      <c r="O2410">
        <v>1</v>
      </c>
      <c r="P2410">
        <v>0.3</v>
      </c>
      <c r="Q2410">
        <v>1</v>
      </c>
      <c r="R2410">
        <v>2E-3</v>
      </c>
      <c r="T2410" s="8" t="s">
        <v>6847</v>
      </c>
    </row>
    <row r="2411" spans="1:20" x14ac:dyDescent="0.2">
      <c r="A2411" t="s">
        <v>6849</v>
      </c>
      <c r="B2411" t="s">
        <v>2022</v>
      </c>
      <c r="C2411" t="s">
        <v>2101</v>
      </c>
      <c r="D2411" t="s">
        <v>2024</v>
      </c>
      <c r="E2411" t="s">
        <v>6850</v>
      </c>
      <c r="F2411" t="s">
        <v>6851</v>
      </c>
      <c r="G2411">
        <v>4</v>
      </c>
      <c r="H2411">
        <v>1870</v>
      </c>
      <c r="I2411">
        <v>5</v>
      </c>
      <c r="J2411">
        <v>14</v>
      </c>
      <c r="K2411">
        <v>5</v>
      </c>
      <c r="L2411">
        <v>0.53749999999999998</v>
      </c>
      <c r="M2411">
        <v>3</v>
      </c>
      <c r="N2411">
        <v>82</v>
      </c>
      <c r="O2411">
        <v>5</v>
      </c>
      <c r="P2411">
        <v>0.67500000000000004</v>
      </c>
      <c r="Q2411">
        <v>5</v>
      </c>
      <c r="R2411">
        <v>2.5499999999999998E-2</v>
      </c>
      <c r="T2411" s="8" t="s">
        <v>6850</v>
      </c>
    </row>
    <row r="2412" spans="1:20" x14ac:dyDescent="0.2">
      <c r="A2412" t="s">
        <v>6852</v>
      </c>
      <c r="B2412" t="s">
        <v>2022</v>
      </c>
      <c r="C2412" t="s">
        <v>2023</v>
      </c>
      <c r="D2412" t="s">
        <v>2024</v>
      </c>
      <c r="E2412" t="s">
        <v>6853</v>
      </c>
      <c r="F2412" t="s">
        <v>6854</v>
      </c>
      <c r="G2412">
        <v>2</v>
      </c>
      <c r="H2412">
        <v>1560</v>
      </c>
      <c r="I2412">
        <v>2</v>
      </c>
      <c r="J2412">
        <v>3.4</v>
      </c>
      <c r="K2412">
        <v>2</v>
      </c>
      <c r="L2412">
        <v>2.5999999999999999E-2</v>
      </c>
      <c r="M2412">
        <v>1</v>
      </c>
      <c r="N2412">
        <v>74</v>
      </c>
      <c r="O2412">
        <v>2</v>
      </c>
      <c r="P2412">
        <v>0.22500000000000001</v>
      </c>
      <c r="Q2412">
        <v>1</v>
      </c>
      <c r="R2412">
        <v>5.0000000000000001E-4</v>
      </c>
      <c r="T2412" s="8" t="s">
        <v>6853</v>
      </c>
    </row>
    <row r="2413" spans="1:20" x14ac:dyDescent="0.2">
      <c r="A2413" t="s">
        <v>6855</v>
      </c>
      <c r="B2413" t="s">
        <v>2022</v>
      </c>
      <c r="C2413" t="s">
        <v>2049</v>
      </c>
      <c r="D2413" t="s">
        <v>2024</v>
      </c>
      <c r="E2413" t="s">
        <v>223</v>
      </c>
      <c r="F2413" t="s">
        <v>6856</v>
      </c>
      <c r="G2413">
        <v>2</v>
      </c>
      <c r="H2413">
        <v>1450</v>
      </c>
      <c r="I2413">
        <v>2</v>
      </c>
      <c r="J2413">
        <v>3.2</v>
      </c>
      <c r="K2413">
        <v>3</v>
      </c>
      <c r="L2413">
        <v>0.14000000000000001</v>
      </c>
      <c r="M2413">
        <v>1</v>
      </c>
      <c r="N2413">
        <v>86</v>
      </c>
      <c r="O2413">
        <v>2</v>
      </c>
      <c r="P2413">
        <v>0.26</v>
      </c>
      <c r="Q2413">
        <v>2</v>
      </c>
      <c r="R2413">
        <v>6.1999999999999998E-3</v>
      </c>
      <c r="T2413" s="8" t="s">
        <v>223</v>
      </c>
    </row>
    <row r="2414" spans="1:20" x14ac:dyDescent="0.2">
      <c r="A2414" t="s">
        <v>6857</v>
      </c>
      <c r="B2414" t="s">
        <v>2022</v>
      </c>
      <c r="C2414" t="s">
        <v>2036</v>
      </c>
      <c r="D2414" t="s">
        <v>2136</v>
      </c>
      <c r="E2414" t="s">
        <v>2296</v>
      </c>
      <c r="F2414" t="s">
        <v>2297</v>
      </c>
      <c r="G2414">
        <v>5</v>
      </c>
      <c r="H2414">
        <v>1940</v>
      </c>
      <c r="I2414">
        <v>5</v>
      </c>
      <c r="J2414">
        <v>7</v>
      </c>
      <c r="K2414">
        <v>5</v>
      </c>
      <c r="L2414">
        <v>0.17499999999999999</v>
      </c>
      <c r="M2414">
        <v>5</v>
      </c>
      <c r="N2414">
        <v>100</v>
      </c>
      <c r="O2414">
        <v>4</v>
      </c>
      <c r="P2414">
        <v>0.42499999999999999</v>
      </c>
      <c r="Q2414">
        <v>5</v>
      </c>
      <c r="R2414">
        <v>1.2E-2</v>
      </c>
      <c r="T2414" s="8" t="s">
        <v>2296</v>
      </c>
    </row>
    <row r="2415" spans="1:20" x14ac:dyDescent="0.2">
      <c r="A2415" t="s">
        <v>6858</v>
      </c>
      <c r="B2415" t="s">
        <v>2022</v>
      </c>
      <c r="C2415" t="s">
        <v>2036</v>
      </c>
      <c r="D2415" t="s">
        <v>2136</v>
      </c>
      <c r="E2415" t="s">
        <v>2296</v>
      </c>
      <c r="F2415" t="s">
        <v>2297</v>
      </c>
      <c r="G2415">
        <v>5</v>
      </c>
      <c r="H2415">
        <v>1940</v>
      </c>
      <c r="I2415">
        <v>5</v>
      </c>
      <c r="J2415">
        <v>7</v>
      </c>
      <c r="K2415">
        <v>5</v>
      </c>
      <c r="L2415">
        <v>0.17499999999999999</v>
      </c>
      <c r="M2415">
        <v>4</v>
      </c>
      <c r="N2415">
        <v>94</v>
      </c>
      <c r="O2415">
        <v>4</v>
      </c>
      <c r="P2415">
        <v>0.42499999999999999</v>
      </c>
      <c r="Q2415">
        <v>5</v>
      </c>
      <c r="R2415">
        <v>1.2E-2</v>
      </c>
      <c r="T2415" s="8" t="s">
        <v>2296</v>
      </c>
    </row>
    <row r="2416" spans="1:20" x14ac:dyDescent="0.2">
      <c r="A2416" t="s">
        <v>6859</v>
      </c>
      <c r="B2416" t="s">
        <v>2022</v>
      </c>
      <c r="C2416" t="s">
        <v>2036</v>
      </c>
      <c r="D2416" t="s">
        <v>2136</v>
      </c>
      <c r="E2416" t="s">
        <v>2296</v>
      </c>
      <c r="F2416" t="s">
        <v>2297</v>
      </c>
      <c r="G2416">
        <v>5</v>
      </c>
      <c r="H2416">
        <v>1940</v>
      </c>
      <c r="I2416">
        <v>5</v>
      </c>
      <c r="J2416">
        <v>7</v>
      </c>
      <c r="K2416">
        <v>5</v>
      </c>
      <c r="L2416">
        <v>0.17499999999999999</v>
      </c>
      <c r="M2416">
        <v>5</v>
      </c>
      <c r="N2416">
        <v>100</v>
      </c>
      <c r="O2416">
        <v>3</v>
      </c>
      <c r="P2416">
        <v>0.315</v>
      </c>
      <c r="Q2416">
        <v>5</v>
      </c>
      <c r="R2416">
        <v>1.2E-2</v>
      </c>
      <c r="T2416" s="8" t="s">
        <v>2296</v>
      </c>
    </row>
    <row r="2417" spans="1:20" x14ac:dyDescent="0.2">
      <c r="A2417" t="s">
        <v>6860</v>
      </c>
      <c r="B2417" t="s">
        <v>2022</v>
      </c>
      <c r="C2417" t="s">
        <v>2023</v>
      </c>
      <c r="D2417" t="s">
        <v>2136</v>
      </c>
      <c r="E2417" t="s">
        <v>6861</v>
      </c>
      <c r="F2417" t="s">
        <v>6862</v>
      </c>
      <c r="G2417">
        <v>3</v>
      </c>
      <c r="H2417">
        <v>1640</v>
      </c>
      <c r="I2417">
        <v>4</v>
      </c>
      <c r="J2417">
        <v>8.4</v>
      </c>
      <c r="K2417">
        <v>5</v>
      </c>
      <c r="L2417">
        <v>8.5999999999999993E-2</v>
      </c>
      <c r="M2417">
        <v>1</v>
      </c>
      <c r="N2417">
        <v>74</v>
      </c>
      <c r="O2417">
        <v>3</v>
      </c>
      <c r="P2417">
        <v>0.375</v>
      </c>
      <c r="Q2417">
        <v>5</v>
      </c>
      <c r="R2417">
        <v>8.0000000000000002E-3</v>
      </c>
      <c r="T2417" s="8" t="s">
        <v>6861</v>
      </c>
    </row>
    <row r="2418" spans="1:20" x14ac:dyDescent="0.2">
      <c r="A2418" t="s">
        <v>6863</v>
      </c>
      <c r="B2418" t="s">
        <v>2022</v>
      </c>
      <c r="C2418" t="s">
        <v>2036</v>
      </c>
      <c r="D2418" t="s">
        <v>2024</v>
      </c>
      <c r="E2418" t="s">
        <v>6864</v>
      </c>
      <c r="F2418" t="s">
        <v>6865</v>
      </c>
      <c r="G2418">
        <v>2</v>
      </c>
      <c r="H2418">
        <v>1640</v>
      </c>
      <c r="I2418">
        <v>3</v>
      </c>
      <c r="J2418">
        <v>4.5999999999999996</v>
      </c>
      <c r="K2418">
        <v>1</v>
      </c>
      <c r="L2418">
        <v>5.5E-2</v>
      </c>
      <c r="M2418">
        <v>2</v>
      </c>
      <c r="N2418">
        <v>82</v>
      </c>
      <c r="O2418">
        <v>2</v>
      </c>
      <c r="P2418">
        <v>0.20499999999999999</v>
      </c>
      <c r="Q2418">
        <v>1</v>
      </c>
      <c r="R2418">
        <v>1.5E-3</v>
      </c>
      <c r="T2418" s="8" t="s">
        <v>6864</v>
      </c>
    </row>
    <row r="2419" spans="1:20" x14ac:dyDescent="0.2">
      <c r="A2419" t="s">
        <v>6866</v>
      </c>
      <c r="B2419" t="s">
        <v>2022</v>
      </c>
      <c r="C2419" t="s">
        <v>2023</v>
      </c>
      <c r="D2419" t="s">
        <v>2024</v>
      </c>
      <c r="E2419" t="s">
        <v>6867</v>
      </c>
      <c r="F2419" t="s">
        <v>6868</v>
      </c>
      <c r="G2419">
        <v>1</v>
      </c>
      <c r="H2419">
        <v>1480</v>
      </c>
      <c r="I2419">
        <v>2</v>
      </c>
      <c r="J2419">
        <v>3.4</v>
      </c>
      <c r="K2419">
        <v>1</v>
      </c>
      <c r="L2419">
        <v>6.0000000000000001E-3</v>
      </c>
      <c r="M2419">
        <v>5</v>
      </c>
      <c r="N2419">
        <v>114</v>
      </c>
      <c r="O2419">
        <v>5</v>
      </c>
      <c r="P2419">
        <v>0.67500000000000004</v>
      </c>
      <c r="Q2419">
        <v>2</v>
      </c>
      <c r="R2419">
        <v>2E-3</v>
      </c>
      <c r="T2419" s="8" t="s">
        <v>6867</v>
      </c>
    </row>
    <row r="2420" spans="1:20" x14ac:dyDescent="0.2">
      <c r="A2420" t="s">
        <v>6869</v>
      </c>
      <c r="B2420" t="s">
        <v>2022</v>
      </c>
      <c r="C2420" t="s">
        <v>2101</v>
      </c>
      <c r="D2420" t="s">
        <v>2024</v>
      </c>
      <c r="E2420" t="s">
        <v>6870</v>
      </c>
      <c r="F2420" t="s">
        <v>6871</v>
      </c>
      <c r="G2420">
        <v>4</v>
      </c>
      <c r="H2420">
        <v>1870</v>
      </c>
      <c r="I2420">
        <v>5</v>
      </c>
      <c r="J2420">
        <v>14</v>
      </c>
      <c r="K2420">
        <v>3</v>
      </c>
      <c r="L2420">
        <v>0.24349999999999999</v>
      </c>
      <c r="M2420">
        <v>2</v>
      </c>
      <c r="N2420">
        <v>74</v>
      </c>
      <c r="O2420">
        <v>4</v>
      </c>
      <c r="P2420">
        <v>0.52500000000000002</v>
      </c>
      <c r="Q2420">
        <v>3</v>
      </c>
      <c r="R2420">
        <v>1.15E-2</v>
      </c>
      <c r="T2420" s="8" t="s">
        <v>6870</v>
      </c>
    </row>
    <row r="2421" spans="1:20" x14ac:dyDescent="0.2">
      <c r="A2421" t="s">
        <v>6872</v>
      </c>
      <c r="B2421" t="s">
        <v>2022</v>
      </c>
      <c r="C2421" t="s">
        <v>2028</v>
      </c>
      <c r="D2421" t="s">
        <v>2024</v>
      </c>
      <c r="E2421" t="s">
        <v>6873</v>
      </c>
      <c r="F2421" t="s">
        <v>6874</v>
      </c>
      <c r="G2421">
        <v>3</v>
      </c>
      <c r="H2421">
        <v>1050</v>
      </c>
      <c r="I2421">
        <v>2</v>
      </c>
      <c r="J2421">
        <v>1.55</v>
      </c>
      <c r="K2421">
        <v>2</v>
      </c>
      <c r="L2421">
        <v>4.4999999999999998E-2</v>
      </c>
      <c r="M2421">
        <v>4</v>
      </c>
      <c r="N2421">
        <v>400</v>
      </c>
      <c r="O2421">
        <v>2</v>
      </c>
      <c r="P2421">
        <v>0.45</v>
      </c>
      <c r="Q2421">
        <v>1</v>
      </c>
      <c r="R2421">
        <v>1.75E-3</v>
      </c>
      <c r="T2421" s="8" t="s">
        <v>6873</v>
      </c>
    </row>
    <row r="2422" spans="1:20" x14ac:dyDescent="0.2">
      <c r="A2422" t="s">
        <v>6875</v>
      </c>
      <c r="B2422" t="s">
        <v>2022</v>
      </c>
      <c r="C2422" t="s">
        <v>2095</v>
      </c>
      <c r="D2422" t="s">
        <v>2024</v>
      </c>
      <c r="E2422" t="s">
        <v>6876</v>
      </c>
      <c r="F2422" t="s">
        <v>6877</v>
      </c>
      <c r="G2422">
        <v>1</v>
      </c>
      <c r="H2422">
        <v>1565</v>
      </c>
      <c r="I2422">
        <v>3</v>
      </c>
      <c r="J2422">
        <v>10.5</v>
      </c>
      <c r="K2422">
        <v>2</v>
      </c>
      <c r="L2422">
        <v>0.13</v>
      </c>
      <c r="M2422">
        <v>3</v>
      </c>
      <c r="N2422">
        <v>86</v>
      </c>
      <c r="O2422">
        <v>3</v>
      </c>
      <c r="P2422">
        <v>0.55000000000000004</v>
      </c>
      <c r="Q2422">
        <v>3</v>
      </c>
      <c r="R2422">
        <v>1.49E-2</v>
      </c>
      <c r="T2422" s="8" t="s">
        <v>6876</v>
      </c>
    </row>
    <row r="2423" spans="1:20" x14ac:dyDescent="0.2">
      <c r="A2423" t="s">
        <v>6878</v>
      </c>
      <c r="B2423" t="s">
        <v>2022</v>
      </c>
      <c r="C2423" t="s">
        <v>2028</v>
      </c>
      <c r="D2423" t="s">
        <v>2024</v>
      </c>
      <c r="E2423" t="s">
        <v>6879</v>
      </c>
      <c r="F2423" t="s">
        <v>6880</v>
      </c>
      <c r="G2423">
        <v>1</v>
      </c>
      <c r="H2423">
        <v>650</v>
      </c>
      <c r="I2423">
        <v>1</v>
      </c>
      <c r="J2423">
        <v>0.35</v>
      </c>
      <c r="K2423">
        <v>1</v>
      </c>
      <c r="L2423">
        <v>4.0000000000000001E-3</v>
      </c>
      <c r="M2423">
        <v>5</v>
      </c>
      <c r="N2423">
        <v>500</v>
      </c>
      <c r="O2423">
        <v>2</v>
      </c>
      <c r="P2423">
        <v>0.45</v>
      </c>
      <c r="Q2423">
        <v>2</v>
      </c>
      <c r="R2423">
        <v>7.7499999999999999E-3</v>
      </c>
      <c r="T2423" s="8" t="s">
        <v>6879</v>
      </c>
    </row>
    <row r="2424" spans="1:20" x14ac:dyDescent="0.2">
      <c r="A2424" t="s">
        <v>6881</v>
      </c>
      <c r="B2424" t="s">
        <v>2022</v>
      </c>
      <c r="C2424" t="s">
        <v>2023</v>
      </c>
      <c r="D2424" t="s">
        <v>2024</v>
      </c>
      <c r="E2424" t="s">
        <v>6882</v>
      </c>
      <c r="F2424" t="s">
        <v>6883</v>
      </c>
      <c r="G2424">
        <v>3</v>
      </c>
      <c r="H2424">
        <v>1640</v>
      </c>
      <c r="I2424">
        <v>1</v>
      </c>
      <c r="J2424">
        <v>0.9</v>
      </c>
      <c r="K2424">
        <v>2</v>
      </c>
      <c r="L2424">
        <v>2.5999999999999999E-2</v>
      </c>
      <c r="M2424">
        <v>3</v>
      </c>
      <c r="N2424">
        <v>94</v>
      </c>
      <c r="O2424">
        <v>1</v>
      </c>
      <c r="P2424">
        <v>7.4999999999999997E-2</v>
      </c>
      <c r="Q2424">
        <v>2</v>
      </c>
      <c r="R2424">
        <v>2E-3</v>
      </c>
      <c r="T2424" s="8" t="s">
        <v>6882</v>
      </c>
    </row>
    <row r="2425" spans="1:20" x14ac:dyDescent="0.2">
      <c r="A2425" t="s">
        <v>6884</v>
      </c>
      <c r="B2425" t="s">
        <v>2022</v>
      </c>
      <c r="C2425" t="s">
        <v>2053</v>
      </c>
      <c r="D2425" t="s">
        <v>2024</v>
      </c>
      <c r="E2425" t="s">
        <v>6885</v>
      </c>
      <c r="F2425" t="s">
        <v>447</v>
      </c>
      <c r="G2425">
        <v>1</v>
      </c>
      <c r="H2425">
        <v>1500</v>
      </c>
      <c r="I2425">
        <v>3</v>
      </c>
      <c r="J2425">
        <v>6.55</v>
      </c>
      <c r="K2425">
        <v>3</v>
      </c>
      <c r="L2425">
        <v>0.19500000000000001</v>
      </c>
      <c r="M2425">
        <v>2</v>
      </c>
      <c r="N2425">
        <v>83</v>
      </c>
      <c r="O2425">
        <v>3</v>
      </c>
      <c r="P2425">
        <v>0.375</v>
      </c>
      <c r="Q2425">
        <v>2</v>
      </c>
      <c r="R2425">
        <v>5.1999999999999998E-3</v>
      </c>
      <c r="T2425" s="8" t="s">
        <v>6885</v>
      </c>
    </row>
    <row r="2426" spans="1:20" x14ac:dyDescent="0.2">
      <c r="A2426" t="s">
        <v>6886</v>
      </c>
      <c r="B2426" t="s">
        <v>2022</v>
      </c>
      <c r="C2426" t="s">
        <v>2023</v>
      </c>
      <c r="D2426" t="s">
        <v>2024</v>
      </c>
      <c r="E2426" t="s">
        <v>6887</v>
      </c>
      <c r="F2426" t="s">
        <v>6888</v>
      </c>
      <c r="G2426">
        <v>4</v>
      </c>
      <c r="H2426">
        <v>1720</v>
      </c>
      <c r="I2426">
        <v>4</v>
      </c>
      <c r="J2426">
        <v>8.4</v>
      </c>
      <c r="K2426">
        <v>5</v>
      </c>
      <c r="L2426">
        <v>8.5999999999999993E-2</v>
      </c>
      <c r="M2426">
        <v>4</v>
      </c>
      <c r="N2426">
        <v>104</v>
      </c>
      <c r="O2426">
        <v>4</v>
      </c>
      <c r="P2426">
        <v>0.52500000000000002</v>
      </c>
      <c r="Q2426">
        <v>5</v>
      </c>
      <c r="R2426">
        <v>8.0000000000000002E-3</v>
      </c>
      <c r="T2426" s="8" t="s">
        <v>6887</v>
      </c>
    </row>
    <row r="2427" spans="1:20" x14ac:dyDescent="0.2">
      <c r="A2427" t="s">
        <v>6889</v>
      </c>
      <c r="B2427" t="s">
        <v>2022</v>
      </c>
      <c r="C2427" t="s">
        <v>2049</v>
      </c>
      <c r="D2427" t="s">
        <v>2024</v>
      </c>
      <c r="E2427" t="s">
        <v>311</v>
      </c>
      <c r="F2427" t="s">
        <v>6890</v>
      </c>
      <c r="G2427">
        <v>5</v>
      </c>
      <c r="H2427">
        <v>1750</v>
      </c>
      <c r="I2427">
        <v>1</v>
      </c>
      <c r="J2427">
        <v>1.4</v>
      </c>
      <c r="K2427">
        <v>2</v>
      </c>
      <c r="L2427">
        <v>0.06</v>
      </c>
      <c r="M2427">
        <v>2</v>
      </c>
      <c r="N2427">
        <v>106</v>
      </c>
      <c r="O2427">
        <v>1</v>
      </c>
      <c r="P2427">
        <v>0.06</v>
      </c>
      <c r="Q2427">
        <v>1</v>
      </c>
      <c r="R2427">
        <v>8.4999999999999995E-4</v>
      </c>
      <c r="T2427" s="8" t="s">
        <v>311</v>
      </c>
    </row>
    <row r="2428" spans="1:20" x14ac:dyDescent="0.2">
      <c r="A2428" t="s">
        <v>6891</v>
      </c>
      <c r="B2428" t="s">
        <v>2022</v>
      </c>
      <c r="C2428" t="s">
        <v>2053</v>
      </c>
      <c r="D2428" t="s">
        <v>2024</v>
      </c>
      <c r="E2428" t="s">
        <v>6892</v>
      </c>
      <c r="F2428" t="s">
        <v>6893</v>
      </c>
      <c r="G2428">
        <v>2</v>
      </c>
      <c r="H2428">
        <v>1600</v>
      </c>
      <c r="I2428">
        <v>3</v>
      </c>
      <c r="J2428">
        <v>6.55</v>
      </c>
      <c r="K2428">
        <v>3</v>
      </c>
      <c r="L2428">
        <v>0.19500000000000001</v>
      </c>
      <c r="M2428">
        <v>1</v>
      </c>
      <c r="N2428">
        <v>73</v>
      </c>
      <c r="O2428">
        <v>2</v>
      </c>
      <c r="P2428">
        <v>0.22500000000000001</v>
      </c>
      <c r="Q2428">
        <v>2</v>
      </c>
      <c r="R2428">
        <v>5.1999999999999998E-3</v>
      </c>
      <c r="T2428" s="8" t="s">
        <v>6892</v>
      </c>
    </row>
    <row r="2429" spans="1:20" x14ac:dyDescent="0.2">
      <c r="A2429" t="s">
        <v>6894</v>
      </c>
      <c r="B2429" t="s">
        <v>2022</v>
      </c>
      <c r="C2429" t="s">
        <v>2023</v>
      </c>
      <c r="D2429" t="s">
        <v>2136</v>
      </c>
      <c r="E2429" t="s">
        <v>357</v>
      </c>
      <c r="F2429" t="s">
        <v>447</v>
      </c>
      <c r="G2429">
        <v>1</v>
      </c>
      <c r="H2429">
        <v>1480</v>
      </c>
      <c r="I2429">
        <v>1</v>
      </c>
      <c r="J2429">
        <v>0.9</v>
      </c>
      <c r="K2429">
        <v>1</v>
      </c>
      <c r="L2429">
        <v>6.0000000000000001E-3</v>
      </c>
      <c r="M2429">
        <v>3</v>
      </c>
      <c r="N2429">
        <v>94</v>
      </c>
      <c r="O2429">
        <v>1</v>
      </c>
      <c r="P2429">
        <v>7.4999999999999997E-2</v>
      </c>
      <c r="Q2429">
        <v>1</v>
      </c>
      <c r="R2429">
        <v>5.0000000000000001E-4</v>
      </c>
      <c r="T2429" s="8" t="s">
        <v>357</v>
      </c>
    </row>
    <row r="2430" spans="1:20" x14ac:dyDescent="0.2">
      <c r="A2430" t="s">
        <v>6895</v>
      </c>
      <c r="B2430" t="s">
        <v>2022</v>
      </c>
      <c r="C2430" t="s">
        <v>2036</v>
      </c>
      <c r="D2430" t="s">
        <v>2024</v>
      </c>
      <c r="E2430" t="s">
        <v>357</v>
      </c>
      <c r="F2430" t="s">
        <v>6896</v>
      </c>
      <c r="G2430">
        <v>1</v>
      </c>
      <c r="H2430">
        <v>1540</v>
      </c>
      <c r="I2430">
        <v>2</v>
      </c>
      <c r="J2430">
        <v>3.4</v>
      </c>
      <c r="K2430">
        <v>2</v>
      </c>
      <c r="L2430">
        <v>8.5000000000000006E-2</v>
      </c>
      <c r="M2430">
        <v>1</v>
      </c>
      <c r="N2430">
        <v>76</v>
      </c>
      <c r="O2430">
        <v>2</v>
      </c>
      <c r="P2430">
        <v>0.20499999999999999</v>
      </c>
      <c r="Q2430">
        <v>2</v>
      </c>
      <c r="R2430">
        <v>4.2500000000000003E-3</v>
      </c>
      <c r="T2430" s="8" t="s">
        <v>357</v>
      </c>
    </row>
    <row r="2431" spans="1:20" x14ac:dyDescent="0.2">
      <c r="A2431" t="s">
        <v>6897</v>
      </c>
      <c r="B2431" t="s">
        <v>2022</v>
      </c>
      <c r="C2431" t="s">
        <v>2023</v>
      </c>
      <c r="D2431" t="s">
        <v>2024</v>
      </c>
      <c r="E2431" t="s">
        <v>6898</v>
      </c>
      <c r="F2431" t="s">
        <v>6899</v>
      </c>
      <c r="G2431">
        <v>5</v>
      </c>
      <c r="H2431">
        <v>1800</v>
      </c>
      <c r="I2431">
        <v>4</v>
      </c>
      <c r="J2431">
        <v>8.4</v>
      </c>
      <c r="K2431">
        <v>5</v>
      </c>
      <c r="L2431">
        <v>8.5999999999999993E-2</v>
      </c>
      <c r="M2431">
        <v>2</v>
      </c>
      <c r="N2431">
        <v>84</v>
      </c>
      <c r="O2431">
        <v>3</v>
      </c>
      <c r="P2431">
        <v>0.375</v>
      </c>
      <c r="Q2431">
        <v>5</v>
      </c>
      <c r="R2431">
        <v>8.0000000000000002E-3</v>
      </c>
      <c r="T2431" s="8" t="s">
        <v>6898</v>
      </c>
    </row>
    <row r="2432" spans="1:20" x14ac:dyDescent="0.2">
      <c r="A2432" t="s">
        <v>6900</v>
      </c>
      <c r="B2432" t="s">
        <v>2022</v>
      </c>
      <c r="C2432" t="s">
        <v>2173</v>
      </c>
      <c r="D2432" t="s">
        <v>2024</v>
      </c>
      <c r="E2432" t="s">
        <v>6901</v>
      </c>
      <c r="F2432" t="s">
        <v>6902</v>
      </c>
      <c r="G2432">
        <v>1</v>
      </c>
      <c r="H2432">
        <v>1882.5</v>
      </c>
      <c r="I2432">
        <v>1</v>
      </c>
      <c r="J2432">
        <v>3.65</v>
      </c>
      <c r="K2432">
        <v>1</v>
      </c>
      <c r="L2432">
        <v>1.4999999999999999E-2</v>
      </c>
      <c r="M2432">
        <v>2</v>
      </c>
      <c r="N2432">
        <v>107.5</v>
      </c>
      <c r="O2432">
        <v>1</v>
      </c>
      <c r="P2432">
        <v>0.15</v>
      </c>
      <c r="Q2432">
        <v>1</v>
      </c>
      <c r="R2432">
        <v>6.4999999999999997E-4</v>
      </c>
      <c r="T2432" s="8" t="s">
        <v>6901</v>
      </c>
    </row>
    <row r="2433" spans="1:20" x14ac:dyDescent="0.2">
      <c r="A2433" t="s">
        <v>6903</v>
      </c>
      <c r="B2433" t="s">
        <v>2022</v>
      </c>
      <c r="C2433" t="s">
        <v>2023</v>
      </c>
      <c r="D2433" t="s">
        <v>2024</v>
      </c>
      <c r="E2433" t="s">
        <v>6904</v>
      </c>
      <c r="F2433" t="s">
        <v>6905</v>
      </c>
      <c r="G2433">
        <v>2</v>
      </c>
      <c r="H2433">
        <v>1560</v>
      </c>
      <c r="I2433">
        <v>5</v>
      </c>
      <c r="J2433">
        <v>10.9</v>
      </c>
      <c r="K2433">
        <v>5</v>
      </c>
      <c r="L2433">
        <v>8.5999999999999993E-2</v>
      </c>
      <c r="M2433">
        <v>2</v>
      </c>
      <c r="N2433">
        <v>84</v>
      </c>
      <c r="O2433">
        <v>5</v>
      </c>
      <c r="P2433">
        <v>0.67500000000000004</v>
      </c>
      <c r="Q2433">
        <v>5</v>
      </c>
      <c r="R2433">
        <v>8.0000000000000002E-3</v>
      </c>
      <c r="T2433" s="8" t="s">
        <v>6904</v>
      </c>
    </row>
    <row r="2434" spans="1:20" x14ac:dyDescent="0.2">
      <c r="A2434" t="s">
        <v>6906</v>
      </c>
      <c r="B2434" t="s">
        <v>2022</v>
      </c>
      <c r="C2434" t="s">
        <v>2036</v>
      </c>
      <c r="D2434" t="s">
        <v>2024</v>
      </c>
      <c r="E2434" t="s">
        <v>6907</v>
      </c>
      <c r="F2434" t="s">
        <v>6908</v>
      </c>
      <c r="G2434">
        <v>2</v>
      </c>
      <c r="H2434">
        <v>1640</v>
      </c>
      <c r="I2434">
        <v>2</v>
      </c>
      <c r="J2434">
        <v>3.4</v>
      </c>
      <c r="K2434">
        <v>2</v>
      </c>
      <c r="L2434">
        <v>8.5000000000000006E-2</v>
      </c>
      <c r="M2434">
        <v>2</v>
      </c>
      <c r="N2434">
        <v>82</v>
      </c>
      <c r="O2434">
        <v>2</v>
      </c>
      <c r="P2434">
        <v>0.20499999999999999</v>
      </c>
      <c r="Q2434">
        <v>2</v>
      </c>
      <c r="R2434">
        <v>4.2500000000000003E-3</v>
      </c>
      <c r="T2434" s="8" t="s">
        <v>6907</v>
      </c>
    </row>
    <row r="2435" spans="1:20" x14ac:dyDescent="0.2">
      <c r="A2435" t="s">
        <v>6909</v>
      </c>
      <c r="B2435" t="s">
        <v>2022</v>
      </c>
      <c r="C2435" t="s">
        <v>2023</v>
      </c>
      <c r="D2435" t="s">
        <v>2024</v>
      </c>
      <c r="E2435" t="s">
        <v>357</v>
      </c>
      <c r="F2435" t="s">
        <v>6910</v>
      </c>
      <c r="G2435">
        <v>1</v>
      </c>
      <c r="H2435">
        <v>1480</v>
      </c>
      <c r="I2435">
        <v>1</v>
      </c>
      <c r="J2435">
        <v>0.9</v>
      </c>
      <c r="K2435">
        <v>1</v>
      </c>
      <c r="L2435">
        <v>6.0000000000000001E-3</v>
      </c>
      <c r="M2435">
        <v>5</v>
      </c>
      <c r="N2435">
        <v>114</v>
      </c>
      <c r="O2435">
        <v>2</v>
      </c>
      <c r="P2435">
        <v>0.22500000000000001</v>
      </c>
      <c r="Q2435">
        <v>3</v>
      </c>
      <c r="R2435">
        <v>4.0000000000000001E-3</v>
      </c>
      <c r="T2435" s="8" t="s">
        <v>357</v>
      </c>
    </row>
    <row r="2436" spans="1:20" x14ac:dyDescent="0.2">
      <c r="A2436" t="s">
        <v>6911</v>
      </c>
      <c r="B2436" t="s">
        <v>2022</v>
      </c>
      <c r="C2436" t="s">
        <v>2101</v>
      </c>
      <c r="D2436" t="s">
        <v>2024</v>
      </c>
      <c r="E2436" t="s">
        <v>6912</v>
      </c>
      <c r="F2436" t="s">
        <v>6913</v>
      </c>
      <c r="G2436">
        <v>4</v>
      </c>
      <c r="H2436">
        <v>1870</v>
      </c>
      <c r="I2436">
        <v>2</v>
      </c>
      <c r="J2436">
        <v>5</v>
      </c>
      <c r="K2436">
        <v>2</v>
      </c>
      <c r="L2436">
        <v>9.6500000000000002E-2</v>
      </c>
      <c r="M2436">
        <v>2</v>
      </c>
      <c r="N2436">
        <v>74</v>
      </c>
      <c r="O2436">
        <v>2</v>
      </c>
      <c r="P2436">
        <v>0.22500000000000001</v>
      </c>
      <c r="Q2436">
        <v>2</v>
      </c>
      <c r="R2436">
        <v>4.4999999999999997E-3</v>
      </c>
      <c r="T2436" s="8" t="s">
        <v>6912</v>
      </c>
    </row>
    <row r="2437" spans="1:20" x14ac:dyDescent="0.2">
      <c r="A2437" t="s">
        <v>6914</v>
      </c>
      <c r="B2437" t="s">
        <v>2022</v>
      </c>
      <c r="C2437" t="s">
        <v>2104</v>
      </c>
      <c r="D2437" t="s">
        <v>2024</v>
      </c>
      <c r="E2437" t="s">
        <v>6915</v>
      </c>
      <c r="F2437" t="s">
        <v>6916</v>
      </c>
      <c r="G2437">
        <v>1</v>
      </c>
      <c r="H2437">
        <v>1537.5</v>
      </c>
      <c r="I2437">
        <v>3</v>
      </c>
      <c r="J2437">
        <v>5.55</v>
      </c>
      <c r="K2437">
        <v>2</v>
      </c>
      <c r="L2437">
        <v>4.1000000000000002E-2</v>
      </c>
      <c r="M2437">
        <v>4</v>
      </c>
      <c r="N2437">
        <v>81</v>
      </c>
      <c r="P2437">
        <v>0</v>
      </c>
      <c r="Q2437">
        <v>2</v>
      </c>
      <c r="R2437">
        <v>3.2000000000000002E-3</v>
      </c>
      <c r="T2437" s="8" t="s">
        <v>6915</v>
      </c>
    </row>
    <row r="2438" spans="1:20" x14ac:dyDescent="0.2">
      <c r="A2438" t="s">
        <v>6917</v>
      </c>
      <c r="B2438" t="s">
        <v>2022</v>
      </c>
      <c r="C2438" t="s">
        <v>2023</v>
      </c>
      <c r="D2438" t="s">
        <v>2024</v>
      </c>
      <c r="E2438" t="s">
        <v>6918</v>
      </c>
      <c r="F2438" t="s">
        <v>6919</v>
      </c>
      <c r="G2438">
        <v>1</v>
      </c>
      <c r="H2438">
        <v>1480</v>
      </c>
      <c r="I2438">
        <v>1</v>
      </c>
      <c r="J2438">
        <v>0.9</v>
      </c>
      <c r="K2438">
        <v>2</v>
      </c>
      <c r="L2438">
        <v>2.5999999999999999E-2</v>
      </c>
      <c r="M2438">
        <v>1</v>
      </c>
      <c r="N2438">
        <v>74</v>
      </c>
      <c r="O2438">
        <v>1</v>
      </c>
      <c r="P2438">
        <v>7.4999999999999997E-2</v>
      </c>
      <c r="Q2438">
        <v>2</v>
      </c>
      <c r="R2438">
        <v>2E-3</v>
      </c>
      <c r="T2438" s="8" t="s">
        <v>6918</v>
      </c>
    </row>
    <row r="2439" spans="1:20" x14ac:dyDescent="0.2">
      <c r="A2439" t="s">
        <v>6920</v>
      </c>
      <c r="B2439" t="s">
        <v>2022</v>
      </c>
      <c r="C2439" t="s">
        <v>2023</v>
      </c>
      <c r="D2439" t="s">
        <v>2024</v>
      </c>
      <c r="E2439" t="s">
        <v>6921</v>
      </c>
      <c r="F2439" t="s">
        <v>6922</v>
      </c>
      <c r="G2439">
        <v>3</v>
      </c>
      <c r="H2439">
        <v>1640</v>
      </c>
      <c r="I2439">
        <v>5</v>
      </c>
      <c r="J2439">
        <v>10.9</v>
      </c>
      <c r="K2439">
        <v>5</v>
      </c>
      <c r="L2439">
        <v>8.5999999999999993E-2</v>
      </c>
      <c r="M2439">
        <v>4</v>
      </c>
      <c r="N2439">
        <v>104</v>
      </c>
      <c r="O2439">
        <v>5</v>
      </c>
      <c r="P2439">
        <v>0.67500000000000004</v>
      </c>
      <c r="Q2439">
        <v>5</v>
      </c>
      <c r="R2439">
        <v>8.0000000000000002E-3</v>
      </c>
      <c r="T2439" s="8" t="s">
        <v>6921</v>
      </c>
    </row>
    <row r="2440" spans="1:20" x14ac:dyDescent="0.2">
      <c r="A2440" t="s">
        <v>6923</v>
      </c>
      <c r="B2440" t="s">
        <v>2022</v>
      </c>
      <c r="C2440" t="s">
        <v>2036</v>
      </c>
      <c r="D2440" t="s">
        <v>2136</v>
      </c>
      <c r="E2440" t="s">
        <v>6924</v>
      </c>
      <c r="F2440" t="s">
        <v>6925</v>
      </c>
      <c r="G2440">
        <v>5</v>
      </c>
      <c r="H2440">
        <v>1940</v>
      </c>
      <c r="I2440">
        <v>3</v>
      </c>
      <c r="J2440">
        <v>4.5999999999999996</v>
      </c>
      <c r="K2440">
        <v>3</v>
      </c>
      <c r="L2440">
        <v>0.115</v>
      </c>
      <c r="M2440">
        <v>3</v>
      </c>
      <c r="N2440">
        <v>88</v>
      </c>
      <c r="O2440">
        <v>2</v>
      </c>
      <c r="P2440">
        <v>0.20499999999999999</v>
      </c>
      <c r="Q2440">
        <v>2</v>
      </c>
      <c r="R2440">
        <v>4.2500000000000003E-3</v>
      </c>
      <c r="T2440" s="8" t="s">
        <v>6924</v>
      </c>
    </row>
    <row r="2441" spans="1:20" x14ac:dyDescent="0.2">
      <c r="A2441" t="s">
        <v>6926</v>
      </c>
      <c r="B2441" t="s">
        <v>2022</v>
      </c>
      <c r="C2441" t="s">
        <v>2053</v>
      </c>
      <c r="D2441" t="s">
        <v>2024</v>
      </c>
      <c r="E2441" t="s">
        <v>6927</v>
      </c>
      <c r="F2441" t="s">
        <v>6928</v>
      </c>
      <c r="G2441">
        <v>5</v>
      </c>
      <c r="H2441">
        <v>1900</v>
      </c>
      <c r="I2441">
        <v>2</v>
      </c>
      <c r="J2441">
        <v>4.05</v>
      </c>
      <c r="K2441">
        <v>3</v>
      </c>
      <c r="L2441">
        <v>0.19500000000000001</v>
      </c>
      <c r="M2441">
        <v>5</v>
      </c>
      <c r="N2441">
        <v>113</v>
      </c>
      <c r="O2441">
        <v>4</v>
      </c>
      <c r="P2441">
        <v>0.52500000000000002</v>
      </c>
      <c r="Q2441">
        <v>4</v>
      </c>
      <c r="R2441">
        <v>1.9199999999999998E-2</v>
      </c>
      <c r="T2441" s="8" t="s">
        <v>6927</v>
      </c>
    </row>
    <row r="2442" spans="1:20" x14ac:dyDescent="0.2">
      <c r="A2442" t="s">
        <v>6929</v>
      </c>
      <c r="B2442" t="s">
        <v>2022</v>
      </c>
      <c r="C2442" t="s">
        <v>2049</v>
      </c>
      <c r="D2442" t="s">
        <v>2024</v>
      </c>
      <c r="E2442" t="s">
        <v>6930</v>
      </c>
      <c r="F2442" t="s">
        <v>6931</v>
      </c>
      <c r="G2442">
        <v>1</v>
      </c>
      <c r="H2442">
        <v>1350</v>
      </c>
      <c r="I2442">
        <v>1</v>
      </c>
      <c r="J2442">
        <v>1.4</v>
      </c>
      <c r="K2442">
        <v>1</v>
      </c>
      <c r="L2442">
        <v>0.01</v>
      </c>
      <c r="M2442">
        <v>1</v>
      </c>
      <c r="N2442">
        <v>86</v>
      </c>
      <c r="O2442">
        <v>1</v>
      </c>
      <c r="P2442">
        <v>0.06</v>
      </c>
      <c r="Q2442">
        <v>1</v>
      </c>
      <c r="R2442">
        <v>8.4999999999999995E-4</v>
      </c>
      <c r="T2442" s="8" t="s">
        <v>6930</v>
      </c>
    </row>
    <row r="2443" spans="1:20" x14ac:dyDescent="0.2">
      <c r="A2443" t="s">
        <v>6932</v>
      </c>
      <c r="B2443" t="s">
        <v>2022</v>
      </c>
      <c r="C2443" t="s">
        <v>2023</v>
      </c>
      <c r="D2443" t="s">
        <v>2024</v>
      </c>
      <c r="E2443" t="s">
        <v>6933</v>
      </c>
      <c r="F2443" t="s">
        <v>6934</v>
      </c>
      <c r="G2443">
        <v>1</v>
      </c>
      <c r="H2443">
        <v>1480</v>
      </c>
      <c r="I2443">
        <v>2</v>
      </c>
      <c r="J2443">
        <v>3.4</v>
      </c>
      <c r="K2443">
        <v>3</v>
      </c>
      <c r="L2443">
        <v>4.5999999999999999E-2</v>
      </c>
      <c r="M2443">
        <v>5</v>
      </c>
      <c r="N2443">
        <v>114</v>
      </c>
      <c r="O2443">
        <v>2</v>
      </c>
      <c r="P2443">
        <v>0.22500000000000001</v>
      </c>
      <c r="Q2443">
        <v>2</v>
      </c>
      <c r="R2443">
        <v>2E-3</v>
      </c>
      <c r="T2443" s="8" t="s">
        <v>6933</v>
      </c>
    </row>
    <row r="2444" spans="1:20" x14ac:dyDescent="0.2">
      <c r="A2444" t="s">
        <v>6935</v>
      </c>
      <c r="B2444" t="s">
        <v>2022</v>
      </c>
      <c r="C2444" t="s">
        <v>2101</v>
      </c>
      <c r="D2444" t="s">
        <v>2024</v>
      </c>
      <c r="E2444" t="s">
        <v>6936</v>
      </c>
      <c r="F2444" t="s">
        <v>6937</v>
      </c>
      <c r="G2444">
        <v>5</v>
      </c>
      <c r="H2444">
        <v>1970</v>
      </c>
      <c r="I2444">
        <v>2</v>
      </c>
      <c r="J2444">
        <v>5</v>
      </c>
      <c r="K2444">
        <v>2</v>
      </c>
      <c r="L2444">
        <v>9.6500000000000002E-2</v>
      </c>
      <c r="M2444">
        <v>4</v>
      </c>
      <c r="N2444">
        <v>90</v>
      </c>
      <c r="O2444">
        <v>2</v>
      </c>
      <c r="P2444">
        <v>0.22500000000000001</v>
      </c>
      <c r="Q2444">
        <v>2</v>
      </c>
      <c r="R2444">
        <v>4.4999999999999997E-3</v>
      </c>
      <c r="T2444" s="8" t="s">
        <v>6936</v>
      </c>
    </row>
    <row r="2445" spans="1:20" x14ac:dyDescent="0.2">
      <c r="A2445" t="s">
        <v>6938</v>
      </c>
      <c r="B2445" t="s">
        <v>2022</v>
      </c>
      <c r="C2445" t="s">
        <v>2036</v>
      </c>
      <c r="D2445" t="s">
        <v>2024</v>
      </c>
      <c r="E2445" t="s">
        <v>6939</v>
      </c>
      <c r="F2445" t="s">
        <v>6940</v>
      </c>
      <c r="G2445">
        <v>2</v>
      </c>
      <c r="H2445">
        <v>1640</v>
      </c>
      <c r="I2445">
        <v>1</v>
      </c>
      <c r="J2445">
        <v>2.2000000000000002</v>
      </c>
      <c r="K2445">
        <v>1</v>
      </c>
      <c r="L2445">
        <v>5.5E-2</v>
      </c>
      <c r="M2445">
        <v>5</v>
      </c>
      <c r="N2445">
        <v>100</v>
      </c>
      <c r="O2445">
        <v>1</v>
      </c>
      <c r="P2445">
        <v>9.5000000000000001E-2</v>
      </c>
      <c r="Q2445">
        <v>2</v>
      </c>
      <c r="R2445">
        <v>4.2500000000000003E-3</v>
      </c>
      <c r="T2445" s="8" t="s">
        <v>6939</v>
      </c>
    </row>
    <row r="2446" spans="1:20" x14ac:dyDescent="0.2">
      <c r="A2446" t="s">
        <v>6941</v>
      </c>
      <c r="B2446" t="s">
        <v>2022</v>
      </c>
      <c r="C2446" t="s">
        <v>2053</v>
      </c>
      <c r="D2446" t="s">
        <v>2024</v>
      </c>
      <c r="E2446" t="s">
        <v>6942</v>
      </c>
      <c r="F2446" t="s">
        <v>6943</v>
      </c>
      <c r="G2446">
        <v>2</v>
      </c>
      <c r="H2446">
        <v>1600</v>
      </c>
      <c r="I2446">
        <v>3</v>
      </c>
      <c r="J2446">
        <v>6.55</v>
      </c>
      <c r="K2446">
        <v>2</v>
      </c>
      <c r="L2446">
        <v>8.5000000000000006E-2</v>
      </c>
      <c r="M2446">
        <v>3</v>
      </c>
      <c r="N2446">
        <v>93</v>
      </c>
      <c r="O2446">
        <v>3</v>
      </c>
      <c r="P2446">
        <v>0.375</v>
      </c>
      <c r="Q2446">
        <v>2</v>
      </c>
      <c r="R2446">
        <v>5.1999999999999998E-3</v>
      </c>
      <c r="T2446" s="8" t="s">
        <v>6942</v>
      </c>
    </row>
    <row r="2447" spans="1:20" x14ac:dyDescent="0.2">
      <c r="A2447" t="s">
        <v>6944</v>
      </c>
      <c r="B2447" t="s">
        <v>2022</v>
      </c>
      <c r="C2447" t="s">
        <v>2222</v>
      </c>
      <c r="D2447" t="s">
        <v>2024</v>
      </c>
      <c r="E2447" t="s">
        <v>6945</v>
      </c>
      <c r="F2447" t="s">
        <v>6946</v>
      </c>
      <c r="G2447">
        <v>5</v>
      </c>
      <c r="H2447">
        <v>1850</v>
      </c>
      <c r="I2447">
        <v>5</v>
      </c>
      <c r="J2447">
        <v>8.6999999999999993</v>
      </c>
      <c r="K2447">
        <v>5</v>
      </c>
      <c r="L2447">
        <v>0.26500000000000001</v>
      </c>
      <c r="M2447">
        <v>5</v>
      </c>
      <c r="N2447">
        <v>75</v>
      </c>
      <c r="O2447">
        <v>5</v>
      </c>
      <c r="P2447">
        <v>0.39</v>
      </c>
      <c r="Q2447">
        <v>5</v>
      </c>
      <c r="R2447">
        <v>1.1299999999999999E-2</v>
      </c>
      <c r="T2447" s="8" t="s">
        <v>6945</v>
      </c>
    </row>
    <row r="2448" spans="1:20" x14ac:dyDescent="0.2">
      <c r="A2448" t="s">
        <v>6947</v>
      </c>
      <c r="B2448" t="s">
        <v>2022</v>
      </c>
      <c r="C2448" t="s">
        <v>2095</v>
      </c>
      <c r="D2448" t="s">
        <v>2024</v>
      </c>
      <c r="E2448" t="s">
        <v>6948</v>
      </c>
      <c r="F2448" t="s">
        <v>6949</v>
      </c>
      <c r="G2448">
        <v>2</v>
      </c>
      <c r="H2448">
        <v>1655</v>
      </c>
      <c r="I2448">
        <v>3</v>
      </c>
      <c r="J2448">
        <v>10.5</v>
      </c>
      <c r="K2448">
        <v>2</v>
      </c>
      <c r="L2448">
        <v>0.13</v>
      </c>
      <c r="M2448">
        <v>1</v>
      </c>
      <c r="N2448">
        <v>74</v>
      </c>
      <c r="O2448">
        <v>3</v>
      </c>
      <c r="P2448">
        <v>0.55000000000000004</v>
      </c>
      <c r="Q2448">
        <v>1</v>
      </c>
      <c r="R2448">
        <v>6.9999999999999999E-4</v>
      </c>
      <c r="T2448" s="8" t="s">
        <v>6948</v>
      </c>
    </row>
    <row r="2449" spans="1:20" x14ac:dyDescent="0.2">
      <c r="A2449" t="s">
        <v>6950</v>
      </c>
      <c r="B2449" t="s">
        <v>2022</v>
      </c>
      <c r="C2449" t="s">
        <v>2095</v>
      </c>
      <c r="D2449" t="s">
        <v>2024</v>
      </c>
      <c r="E2449" t="s">
        <v>6951</v>
      </c>
      <c r="F2449" t="s">
        <v>6952</v>
      </c>
      <c r="G2449">
        <v>1</v>
      </c>
      <c r="H2449">
        <v>1565</v>
      </c>
      <c r="I2449">
        <v>1</v>
      </c>
      <c r="J2449">
        <v>4.5</v>
      </c>
      <c r="K2449">
        <v>1</v>
      </c>
      <c r="L2449">
        <v>1.4999999999999999E-2</v>
      </c>
      <c r="M2449">
        <v>1</v>
      </c>
      <c r="N2449">
        <v>74</v>
      </c>
      <c r="O2449">
        <v>1</v>
      </c>
      <c r="P2449">
        <v>0.15</v>
      </c>
      <c r="Q2449">
        <v>1</v>
      </c>
      <c r="R2449">
        <v>6.9999999999999999E-4</v>
      </c>
      <c r="T2449" s="8" t="s">
        <v>6951</v>
      </c>
    </row>
    <row r="2450" spans="1:20" x14ac:dyDescent="0.2">
      <c r="A2450" t="s">
        <v>6953</v>
      </c>
      <c r="B2450" t="s">
        <v>2022</v>
      </c>
      <c r="C2450" t="s">
        <v>2053</v>
      </c>
      <c r="D2450" t="s">
        <v>2136</v>
      </c>
      <c r="E2450" t="s">
        <v>6954</v>
      </c>
      <c r="F2450" t="s">
        <v>6955</v>
      </c>
      <c r="G2450">
        <v>2</v>
      </c>
      <c r="H2450">
        <v>1600</v>
      </c>
      <c r="I2450">
        <v>1</v>
      </c>
      <c r="J2450">
        <v>1.55</v>
      </c>
      <c r="K2450">
        <v>2</v>
      </c>
      <c r="L2450">
        <v>8.5000000000000006E-2</v>
      </c>
      <c r="M2450">
        <v>1</v>
      </c>
      <c r="N2450">
        <v>73</v>
      </c>
      <c r="O2450">
        <v>1</v>
      </c>
      <c r="P2450">
        <v>7.4999999999999997E-2</v>
      </c>
      <c r="Q2450">
        <v>2</v>
      </c>
      <c r="R2450">
        <v>5.1999999999999998E-3</v>
      </c>
      <c r="T2450" s="8" t="s">
        <v>6954</v>
      </c>
    </row>
    <row r="2451" spans="1:20" x14ac:dyDescent="0.2">
      <c r="A2451" t="s">
        <v>6956</v>
      </c>
      <c r="B2451" t="s">
        <v>2022</v>
      </c>
      <c r="C2451" t="s">
        <v>2222</v>
      </c>
      <c r="D2451" t="s">
        <v>2024</v>
      </c>
      <c r="E2451" t="s">
        <v>6957</v>
      </c>
      <c r="F2451" t="s">
        <v>6958</v>
      </c>
      <c r="G2451">
        <v>1</v>
      </c>
      <c r="H2451">
        <v>1450</v>
      </c>
      <c r="I2451">
        <v>5</v>
      </c>
      <c r="J2451">
        <v>8.6999999999999993</v>
      </c>
      <c r="K2451">
        <v>5</v>
      </c>
      <c r="L2451">
        <v>0.26500000000000001</v>
      </c>
      <c r="M2451">
        <v>1</v>
      </c>
      <c r="N2451">
        <v>59</v>
      </c>
      <c r="O2451">
        <v>5</v>
      </c>
      <c r="P2451">
        <v>0.39</v>
      </c>
      <c r="Q2451">
        <v>5</v>
      </c>
      <c r="R2451">
        <v>1.1299999999999999E-2</v>
      </c>
      <c r="T2451" s="8" t="s">
        <v>6957</v>
      </c>
    </row>
    <row r="2452" spans="1:20" x14ac:dyDescent="0.2">
      <c r="A2452" t="s">
        <v>6959</v>
      </c>
      <c r="B2452" t="s">
        <v>2022</v>
      </c>
      <c r="C2452" t="s">
        <v>2023</v>
      </c>
      <c r="D2452" t="s">
        <v>2024</v>
      </c>
      <c r="E2452" t="s">
        <v>6960</v>
      </c>
      <c r="F2452" t="s">
        <v>6961</v>
      </c>
      <c r="G2452">
        <v>3</v>
      </c>
      <c r="H2452">
        <v>1640</v>
      </c>
      <c r="I2452">
        <v>2</v>
      </c>
      <c r="J2452">
        <v>3.4</v>
      </c>
      <c r="K2452">
        <v>1</v>
      </c>
      <c r="L2452">
        <v>6.0000000000000001E-3</v>
      </c>
      <c r="M2452">
        <v>1</v>
      </c>
      <c r="N2452">
        <v>74</v>
      </c>
      <c r="O2452">
        <v>2</v>
      </c>
      <c r="P2452">
        <v>0.22500000000000001</v>
      </c>
      <c r="Q2452">
        <v>1</v>
      </c>
      <c r="R2452">
        <v>5.0000000000000001E-4</v>
      </c>
      <c r="T2452" s="8" t="s">
        <v>6960</v>
      </c>
    </row>
    <row r="2453" spans="1:20" x14ac:dyDescent="0.2">
      <c r="A2453" t="s">
        <v>6962</v>
      </c>
      <c r="B2453" t="s">
        <v>2022</v>
      </c>
      <c r="C2453" t="s">
        <v>2053</v>
      </c>
      <c r="D2453" t="s">
        <v>2024</v>
      </c>
      <c r="E2453" t="s">
        <v>6963</v>
      </c>
      <c r="F2453" t="s">
        <v>447</v>
      </c>
      <c r="G2453">
        <v>4</v>
      </c>
      <c r="H2453">
        <v>1800</v>
      </c>
      <c r="I2453">
        <v>1</v>
      </c>
      <c r="J2453">
        <v>1.55</v>
      </c>
      <c r="K2453">
        <v>2</v>
      </c>
      <c r="L2453">
        <v>8.5000000000000006E-2</v>
      </c>
      <c r="M2453">
        <v>4</v>
      </c>
      <c r="N2453">
        <v>103</v>
      </c>
      <c r="O2453">
        <v>1</v>
      </c>
      <c r="P2453">
        <v>7.4999999999999997E-2</v>
      </c>
      <c r="Q2453">
        <v>2</v>
      </c>
      <c r="R2453">
        <v>5.1999999999999998E-3</v>
      </c>
      <c r="T2453" s="8" t="s">
        <v>6963</v>
      </c>
    </row>
    <row r="2454" spans="1:20" x14ac:dyDescent="0.2">
      <c r="A2454" t="s">
        <v>6964</v>
      </c>
      <c r="B2454" t="s">
        <v>2022</v>
      </c>
      <c r="C2454" t="s">
        <v>2053</v>
      </c>
      <c r="D2454" t="s">
        <v>2024</v>
      </c>
      <c r="E2454" t="s">
        <v>6965</v>
      </c>
      <c r="F2454" t="s">
        <v>447</v>
      </c>
      <c r="G2454">
        <v>4</v>
      </c>
      <c r="H2454">
        <v>1800</v>
      </c>
      <c r="I2454">
        <v>2</v>
      </c>
      <c r="J2454">
        <v>4.05</v>
      </c>
      <c r="K2454">
        <v>2</v>
      </c>
      <c r="L2454">
        <v>8.5000000000000006E-2</v>
      </c>
      <c r="M2454">
        <v>4</v>
      </c>
      <c r="N2454">
        <v>103</v>
      </c>
      <c r="O2454">
        <v>2</v>
      </c>
      <c r="P2454">
        <v>0.22500000000000001</v>
      </c>
      <c r="Q2454">
        <v>2</v>
      </c>
      <c r="R2454">
        <v>5.1999999999999998E-3</v>
      </c>
      <c r="T2454" s="8" t="s">
        <v>6965</v>
      </c>
    </row>
    <row r="2455" spans="1:20" x14ac:dyDescent="0.2">
      <c r="A2455" t="s">
        <v>6966</v>
      </c>
      <c r="B2455" t="s">
        <v>2022</v>
      </c>
      <c r="C2455" t="s">
        <v>2036</v>
      </c>
      <c r="D2455" t="s">
        <v>2024</v>
      </c>
      <c r="E2455" t="s">
        <v>6967</v>
      </c>
      <c r="F2455" t="s">
        <v>6968</v>
      </c>
      <c r="G2455">
        <v>2</v>
      </c>
      <c r="H2455">
        <v>1640</v>
      </c>
      <c r="I2455">
        <v>3</v>
      </c>
      <c r="J2455">
        <v>4.5999999999999996</v>
      </c>
      <c r="K2455">
        <v>1</v>
      </c>
      <c r="L2455">
        <v>5.5E-2</v>
      </c>
      <c r="M2455">
        <v>2</v>
      </c>
      <c r="N2455">
        <v>82</v>
      </c>
      <c r="O2455">
        <v>2</v>
      </c>
      <c r="P2455">
        <v>0.20499999999999999</v>
      </c>
      <c r="Q2455">
        <v>1</v>
      </c>
      <c r="R2455">
        <v>1.5E-3</v>
      </c>
      <c r="T2455" s="8" t="s">
        <v>6967</v>
      </c>
    </row>
    <row r="2456" spans="1:20" x14ac:dyDescent="0.2">
      <c r="A2456" t="s">
        <v>6969</v>
      </c>
      <c r="B2456" t="s">
        <v>2022</v>
      </c>
      <c r="C2456" t="s">
        <v>2023</v>
      </c>
      <c r="D2456" t="s">
        <v>2024</v>
      </c>
      <c r="E2456" t="s">
        <v>6970</v>
      </c>
      <c r="F2456" t="s">
        <v>6971</v>
      </c>
      <c r="G2456">
        <v>4</v>
      </c>
      <c r="H2456">
        <v>1720</v>
      </c>
      <c r="I2456">
        <v>4</v>
      </c>
      <c r="J2456">
        <v>8.4</v>
      </c>
      <c r="K2456">
        <v>2</v>
      </c>
      <c r="L2456">
        <v>2.5999999999999999E-2</v>
      </c>
      <c r="M2456">
        <v>3</v>
      </c>
      <c r="N2456">
        <v>94</v>
      </c>
      <c r="O2456">
        <v>3</v>
      </c>
      <c r="P2456">
        <v>0.375</v>
      </c>
      <c r="Q2456">
        <v>2</v>
      </c>
      <c r="R2456">
        <v>2E-3</v>
      </c>
      <c r="T2456" s="8" t="s">
        <v>6970</v>
      </c>
    </row>
    <row r="2457" spans="1:20" x14ac:dyDescent="0.2">
      <c r="A2457" t="s">
        <v>6972</v>
      </c>
      <c r="B2457" t="s">
        <v>2022</v>
      </c>
      <c r="C2457" t="s">
        <v>2101</v>
      </c>
      <c r="D2457" t="s">
        <v>2024</v>
      </c>
      <c r="E2457" t="s">
        <v>6973</v>
      </c>
      <c r="F2457" t="s">
        <v>6974</v>
      </c>
      <c r="G2457">
        <v>1</v>
      </c>
      <c r="H2457">
        <v>1570</v>
      </c>
      <c r="I2457">
        <v>5</v>
      </c>
      <c r="J2457">
        <v>14</v>
      </c>
      <c r="K2457">
        <v>5</v>
      </c>
      <c r="L2457">
        <v>0.53749999999999998</v>
      </c>
      <c r="M2457">
        <v>5</v>
      </c>
      <c r="N2457">
        <v>98</v>
      </c>
      <c r="O2457">
        <v>5</v>
      </c>
      <c r="P2457">
        <v>0.67500000000000004</v>
      </c>
      <c r="Q2457">
        <v>5</v>
      </c>
      <c r="R2457">
        <v>2.5499999999999998E-2</v>
      </c>
      <c r="T2457" s="8" t="s">
        <v>6973</v>
      </c>
    </row>
    <row r="2458" spans="1:20" x14ac:dyDescent="0.2">
      <c r="A2458" t="s">
        <v>6975</v>
      </c>
      <c r="B2458" t="s">
        <v>2022</v>
      </c>
      <c r="C2458" t="s">
        <v>2101</v>
      </c>
      <c r="D2458" t="s">
        <v>2024</v>
      </c>
      <c r="E2458" t="s">
        <v>6973</v>
      </c>
      <c r="F2458" t="s">
        <v>6974</v>
      </c>
      <c r="G2458">
        <v>2</v>
      </c>
      <c r="H2458">
        <v>1670</v>
      </c>
      <c r="I2458">
        <v>5</v>
      </c>
      <c r="J2458">
        <v>14</v>
      </c>
      <c r="K2458">
        <v>5</v>
      </c>
      <c r="L2458">
        <v>0.53749999999999998</v>
      </c>
      <c r="M2458">
        <v>2</v>
      </c>
      <c r="N2458">
        <v>74</v>
      </c>
      <c r="O2458">
        <v>5</v>
      </c>
      <c r="P2458">
        <v>0.67500000000000004</v>
      </c>
      <c r="Q2458">
        <v>5</v>
      </c>
      <c r="R2458">
        <v>2.5499999999999998E-2</v>
      </c>
      <c r="T2458" s="8" t="s">
        <v>6973</v>
      </c>
    </row>
    <row r="2459" spans="1:20" x14ac:dyDescent="0.2">
      <c r="A2459" t="s">
        <v>6976</v>
      </c>
      <c r="B2459" t="s">
        <v>2022</v>
      </c>
      <c r="C2459" t="s">
        <v>2023</v>
      </c>
      <c r="D2459" t="s">
        <v>2024</v>
      </c>
      <c r="E2459" t="s">
        <v>6973</v>
      </c>
      <c r="F2459" t="s">
        <v>6974</v>
      </c>
      <c r="G2459">
        <v>5</v>
      </c>
      <c r="H2459">
        <v>1800</v>
      </c>
      <c r="I2459">
        <v>5</v>
      </c>
      <c r="J2459">
        <v>10.9</v>
      </c>
      <c r="K2459">
        <v>5</v>
      </c>
      <c r="L2459">
        <v>8.5999999999999993E-2</v>
      </c>
      <c r="M2459">
        <v>3</v>
      </c>
      <c r="N2459">
        <v>94</v>
      </c>
      <c r="O2459">
        <v>5</v>
      </c>
      <c r="P2459">
        <v>0.67500000000000004</v>
      </c>
      <c r="Q2459">
        <v>5</v>
      </c>
      <c r="R2459">
        <v>8.0000000000000002E-3</v>
      </c>
      <c r="T2459" s="8" t="s">
        <v>6973</v>
      </c>
    </row>
    <row r="2460" spans="1:20" x14ac:dyDescent="0.2">
      <c r="A2460" t="s">
        <v>6977</v>
      </c>
      <c r="B2460" t="s">
        <v>2022</v>
      </c>
      <c r="C2460" t="s">
        <v>2053</v>
      </c>
      <c r="D2460" t="s">
        <v>2024</v>
      </c>
      <c r="E2460" t="s">
        <v>6978</v>
      </c>
      <c r="F2460" t="s">
        <v>6979</v>
      </c>
      <c r="G2460">
        <v>2</v>
      </c>
      <c r="H2460">
        <v>1600</v>
      </c>
      <c r="I2460">
        <v>1</v>
      </c>
      <c r="J2460">
        <v>1.55</v>
      </c>
      <c r="K2460">
        <v>1</v>
      </c>
      <c r="L2460">
        <v>1.4999999999999999E-2</v>
      </c>
      <c r="M2460">
        <v>5</v>
      </c>
      <c r="N2460">
        <v>113</v>
      </c>
      <c r="O2460">
        <v>1</v>
      </c>
      <c r="P2460">
        <v>7.4999999999999997E-2</v>
      </c>
      <c r="Q2460">
        <v>1</v>
      </c>
      <c r="R2460">
        <v>8.4999999999999995E-4</v>
      </c>
      <c r="T2460" s="8" t="s">
        <v>6978</v>
      </c>
    </row>
    <row r="2461" spans="1:20" x14ac:dyDescent="0.2">
      <c r="A2461" t="s">
        <v>6980</v>
      </c>
      <c r="B2461" t="s">
        <v>2022</v>
      </c>
      <c r="C2461" t="s">
        <v>2036</v>
      </c>
      <c r="D2461" t="s">
        <v>2024</v>
      </c>
      <c r="E2461" t="s">
        <v>6981</v>
      </c>
      <c r="F2461" t="s">
        <v>6982</v>
      </c>
      <c r="G2461">
        <v>3</v>
      </c>
      <c r="H2461">
        <v>1740</v>
      </c>
      <c r="I2461">
        <v>5</v>
      </c>
      <c r="J2461">
        <v>7</v>
      </c>
      <c r="K2461">
        <v>2</v>
      </c>
      <c r="L2461">
        <v>8.5000000000000006E-2</v>
      </c>
      <c r="M2461">
        <v>1</v>
      </c>
      <c r="N2461">
        <v>76</v>
      </c>
      <c r="O2461">
        <v>5</v>
      </c>
      <c r="P2461">
        <v>0.53500000000000003</v>
      </c>
      <c r="Q2461">
        <v>2</v>
      </c>
      <c r="R2461">
        <v>4.2500000000000003E-3</v>
      </c>
      <c r="T2461" s="8" t="s">
        <v>6981</v>
      </c>
    </row>
    <row r="2462" spans="1:20" x14ac:dyDescent="0.2">
      <c r="A2462" t="s">
        <v>6983</v>
      </c>
      <c r="B2462" t="s">
        <v>2022</v>
      </c>
      <c r="C2462" t="s">
        <v>2508</v>
      </c>
      <c r="D2462" t="s">
        <v>2024</v>
      </c>
      <c r="E2462" t="s">
        <v>6984</v>
      </c>
      <c r="F2462" t="s">
        <v>6985</v>
      </c>
      <c r="G2462">
        <v>2</v>
      </c>
      <c r="H2462">
        <v>1350</v>
      </c>
      <c r="I2462">
        <v>1</v>
      </c>
      <c r="J2462">
        <v>1</v>
      </c>
      <c r="K2462">
        <v>2</v>
      </c>
      <c r="L2462">
        <v>0.1</v>
      </c>
      <c r="M2462">
        <v>3</v>
      </c>
      <c r="N2462">
        <v>222.5</v>
      </c>
      <c r="O2462">
        <v>1</v>
      </c>
      <c r="P2462">
        <v>0.45</v>
      </c>
      <c r="Q2462">
        <v>1</v>
      </c>
      <c r="R2462">
        <v>1.2E-2</v>
      </c>
      <c r="T2462" s="8" t="s">
        <v>6984</v>
      </c>
    </row>
    <row r="2463" spans="1:20" x14ac:dyDescent="0.2">
      <c r="A2463" t="s">
        <v>6986</v>
      </c>
      <c r="B2463" t="s">
        <v>2022</v>
      </c>
      <c r="C2463" t="s">
        <v>2508</v>
      </c>
      <c r="D2463" t="s">
        <v>2024</v>
      </c>
      <c r="E2463" t="s">
        <v>6987</v>
      </c>
      <c r="F2463" t="s">
        <v>6988</v>
      </c>
      <c r="G2463">
        <v>4</v>
      </c>
      <c r="H2463">
        <v>1550</v>
      </c>
      <c r="I2463">
        <v>5</v>
      </c>
      <c r="J2463">
        <v>17</v>
      </c>
      <c r="K2463">
        <v>5</v>
      </c>
      <c r="L2463">
        <v>0.57999999999999996</v>
      </c>
      <c r="M2463">
        <v>2</v>
      </c>
      <c r="N2463">
        <v>157.5</v>
      </c>
      <c r="O2463">
        <v>5</v>
      </c>
      <c r="P2463">
        <v>1.65</v>
      </c>
      <c r="Q2463">
        <v>5</v>
      </c>
      <c r="R2463">
        <v>0.06</v>
      </c>
      <c r="T2463" s="8" t="s">
        <v>6987</v>
      </c>
    </row>
    <row r="2464" spans="1:20" x14ac:dyDescent="0.2">
      <c r="A2464" t="s">
        <v>6989</v>
      </c>
      <c r="B2464" t="s">
        <v>2022</v>
      </c>
      <c r="C2464" t="s">
        <v>2023</v>
      </c>
      <c r="D2464" t="s">
        <v>2024</v>
      </c>
      <c r="E2464" t="s">
        <v>265</v>
      </c>
      <c r="F2464" t="s">
        <v>6990</v>
      </c>
      <c r="G2464">
        <v>1</v>
      </c>
      <c r="H2464">
        <v>1480</v>
      </c>
      <c r="I2464">
        <v>1</v>
      </c>
      <c r="J2464">
        <v>0.9</v>
      </c>
      <c r="K2464">
        <v>1</v>
      </c>
      <c r="L2464">
        <v>6.0000000000000001E-3</v>
      </c>
      <c r="M2464">
        <v>1</v>
      </c>
      <c r="N2464">
        <v>74</v>
      </c>
      <c r="O2464">
        <v>1</v>
      </c>
      <c r="P2464">
        <v>7.4999999999999997E-2</v>
      </c>
      <c r="Q2464">
        <v>1</v>
      </c>
      <c r="R2464">
        <v>5.0000000000000001E-4</v>
      </c>
      <c r="T2464" s="8" t="s">
        <v>265</v>
      </c>
    </row>
    <row r="2465" spans="1:20" x14ac:dyDescent="0.2">
      <c r="A2465" t="s">
        <v>6991</v>
      </c>
      <c r="B2465" t="s">
        <v>2022</v>
      </c>
      <c r="C2465" t="s">
        <v>2023</v>
      </c>
      <c r="D2465" t="s">
        <v>2024</v>
      </c>
      <c r="E2465" t="s">
        <v>6992</v>
      </c>
      <c r="F2465" t="s">
        <v>6993</v>
      </c>
      <c r="G2465">
        <v>5</v>
      </c>
      <c r="H2465">
        <v>1800</v>
      </c>
      <c r="I2465">
        <v>5</v>
      </c>
      <c r="J2465">
        <v>10.9</v>
      </c>
      <c r="K2465">
        <v>5</v>
      </c>
      <c r="L2465">
        <v>8.5999999999999993E-2</v>
      </c>
      <c r="M2465">
        <v>2</v>
      </c>
      <c r="N2465">
        <v>84</v>
      </c>
      <c r="O2465">
        <v>5</v>
      </c>
      <c r="P2465">
        <v>0.67500000000000004</v>
      </c>
      <c r="Q2465">
        <v>5</v>
      </c>
      <c r="R2465">
        <v>8.0000000000000002E-3</v>
      </c>
      <c r="T2465" s="8" t="s">
        <v>6992</v>
      </c>
    </row>
    <row r="2466" spans="1:20" x14ac:dyDescent="0.2">
      <c r="A2466" t="s">
        <v>6994</v>
      </c>
      <c r="B2466" t="s">
        <v>2022</v>
      </c>
      <c r="C2466" t="s">
        <v>2023</v>
      </c>
      <c r="D2466" t="s">
        <v>2024</v>
      </c>
      <c r="E2466" t="s">
        <v>6995</v>
      </c>
      <c r="F2466" t="s">
        <v>6996</v>
      </c>
      <c r="G2466">
        <v>3</v>
      </c>
      <c r="H2466">
        <v>1640</v>
      </c>
      <c r="I2466">
        <v>4</v>
      </c>
      <c r="J2466">
        <v>8.4</v>
      </c>
      <c r="K2466">
        <v>5</v>
      </c>
      <c r="L2466">
        <v>8.5999999999999993E-2</v>
      </c>
      <c r="M2466">
        <v>2</v>
      </c>
      <c r="N2466">
        <v>84</v>
      </c>
      <c r="O2466">
        <v>3</v>
      </c>
      <c r="P2466">
        <v>0.375</v>
      </c>
      <c r="Q2466">
        <v>5</v>
      </c>
      <c r="R2466">
        <v>8.0000000000000002E-3</v>
      </c>
      <c r="T2466" s="8" t="s">
        <v>6995</v>
      </c>
    </row>
    <row r="2467" spans="1:20" x14ac:dyDescent="0.2">
      <c r="A2467" t="s">
        <v>6997</v>
      </c>
      <c r="B2467" t="s">
        <v>2022</v>
      </c>
      <c r="C2467" t="s">
        <v>2053</v>
      </c>
      <c r="D2467" t="s">
        <v>2024</v>
      </c>
      <c r="E2467" t="s">
        <v>323</v>
      </c>
      <c r="F2467" t="s">
        <v>6998</v>
      </c>
      <c r="G2467">
        <v>1</v>
      </c>
      <c r="H2467">
        <v>1500</v>
      </c>
      <c r="I2467">
        <v>2</v>
      </c>
      <c r="J2467">
        <v>4.05</v>
      </c>
      <c r="K2467">
        <v>2</v>
      </c>
      <c r="L2467">
        <v>8.5000000000000006E-2</v>
      </c>
      <c r="M2467">
        <v>5</v>
      </c>
      <c r="N2467">
        <v>113</v>
      </c>
      <c r="O2467">
        <v>3</v>
      </c>
      <c r="P2467">
        <v>0.375</v>
      </c>
      <c r="Q2467">
        <v>2</v>
      </c>
      <c r="R2467">
        <v>5.1999999999999998E-3</v>
      </c>
      <c r="T2467" s="8" t="s">
        <v>323</v>
      </c>
    </row>
    <row r="2468" spans="1:20" x14ac:dyDescent="0.2">
      <c r="A2468" t="s">
        <v>6999</v>
      </c>
      <c r="B2468" t="s">
        <v>2022</v>
      </c>
      <c r="C2468" t="s">
        <v>2023</v>
      </c>
      <c r="D2468" t="s">
        <v>2136</v>
      </c>
      <c r="E2468" t="s">
        <v>7000</v>
      </c>
      <c r="F2468" t="s">
        <v>7001</v>
      </c>
      <c r="G2468">
        <v>1</v>
      </c>
      <c r="H2468">
        <v>1480</v>
      </c>
      <c r="I2468">
        <v>1</v>
      </c>
      <c r="J2468">
        <v>0.9</v>
      </c>
      <c r="K2468">
        <v>2</v>
      </c>
      <c r="L2468">
        <v>2.5999999999999999E-2</v>
      </c>
      <c r="M2468">
        <v>3</v>
      </c>
      <c r="N2468">
        <v>94</v>
      </c>
      <c r="O2468">
        <v>1</v>
      </c>
      <c r="P2468">
        <v>7.4999999999999997E-2</v>
      </c>
      <c r="Q2468">
        <v>2</v>
      </c>
      <c r="R2468">
        <v>2E-3</v>
      </c>
      <c r="T2468" s="8" t="s">
        <v>7000</v>
      </c>
    </row>
    <row r="2469" spans="1:20" x14ac:dyDescent="0.2">
      <c r="A2469" t="s">
        <v>7002</v>
      </c>
      <c r="B2469" t="s">
        <v>2022</v>
      </c>
      <c r="C2469" t="s">
        <v>2036</v>
      </c>
      <c r="D2469" t="s">
        <v>2024</v>
      </c>
      <c r="E2469" t="s">
        <v>7003</v>
      </c>
      <c r="F2469" t="s">
        <v>7004</v>
      </c>
      <c r="G2469">
        <v>4</v>
      </c>
      <c r="H2469">
        <v>1840</v>
      </c>
      <c r="I2469">
        <v>5</v>
      </c>
      <c r="J2469">
        <v>7</v>
      </c>
      <c r="K2469">
        <v>5</v>
      </c>
      <c r="L2469">
        <v>0.17499999999999999</v>
      </c>
      <c r="M2469">
        <v>4</v>
      </c>
      <c r="N2469">
        <v>94</v>
      </c>
      <c r="O2469">
        <v>5</v>
      </c>
      <c r="P2469">
        <v>0.53500000000000003</v>
      </c>
      <c r="Q2469">
        <v>5</v>
      </c>
      <c r="R2469">
        <v>1.2E-2</v>
      </c>
      <c r="T2469" s="8" t="s">
        <v>7003</v>
      </c>
    </row>
    <row r="2470" spans="1:20" x14ac:dyDescent="0.2">
      <c r="A2470" t="s">
        <v>7005</v>
      </c>
      <c r="B2470" t="s">
        <v>2022</v>
      </c>
      <c r="C2470" t="s">
        <v>2023</v>
      </c>
      <c r="D2470" t="s">
        <v>2024</v>
      </c>
      <c r="E2470" t="s">
        <v>7006</v>
      </c>
      <c r="F2470" t="s">
        <v>7007</v>
      </c>
      <c r="G2470">
        <v>1</v>
      </c>
      <c r="H2470">
        <v>1480</v>
      </c>
      <c r="I2470">
        <v>1</v>
      </c>
      <c r="J2470">
        <v>0.9</v>
      </c>
      <c r="K2470">
        <v>2</v>
      </c>
      <c r="L2470">
        <v>2.5999999999999999E-2</v>
      </c>
      <c r="M2470">
        <v>1</v>
      </c>
      <c r="N2470">
        <v>74</v>
      </c>
      <c r="O2470">
        <v>1</v>
      </c>
      <c r="P2470">
        <v>7.4999999999999997E-2</v>
      </c>
      <c r="Q2470">
        <v>2</v>
      </c>
      <c r="R2470">
        <v>2E-3</v>
      </c>
      <c r="T2470" s="8" t="s">
        <v>7006</v>
      </c>
    </row>
    <row r="2471" spans="1:20" x14ac:dyDescent="0.2">
      <c r="A2471" t="s">
        <v>7008</v>
      </c>
      <c r="B2471" t="s">
        <v>2022</v>
      </c>
      <c r="C2471" t="s">
        <v>2023</v>
      </c>
      <c r="D2471" t="s">
        <v>2136</v>
      </c>
      <c r="E2471" t="s">
        <v>7009</v>
      </c>
      <c r="F2471" t="s">
        <v>2297</v>
      </c>
      <c r="G2471">
        <v>3</v>
      </c>
      <c r="H2471">
        <v>1640</v>
      </c>
      <c r="I2471">
        <v>2</v>
      </c>
      <c r="J2471">
        <v>3.4</v>
      </c>
      <c r="K2471">
        <v>3</v>
      </c>
      <c r="L2471">
        <v>4.5999999999999999E-2</v>
      </c>
      <c r="M2471">
        <v>1</v>
      </c>
      <c r="N2471">
        <v>74</v>
      </c>
      <c r="O2471">
        <v>1</v>
      </c>
      <c r="P2471">
        <v>7.4999999999999997E-2</v>
      </c>
      <c r="Q2471">
        <v>2</v>
      </c>
      <c r="R2471">
        <v>2E-3</v>
      </c>
      <c r="T2471" s="8" t="s">
        <v>7009</v>
      </c>
    </row>
    <row r="2472" spans="1:20" x14ac:dyDescent="0.2">
      <c r="A2472" t="s">
        <v>7010</v>
      </c>
      <c r="B2472" t="s">
        <v>2022</v>
      </c>
      <c r="C2472" t="s">
        <v>2101</v>
      </c>
      <c r="D2472" t="s">
        <v>2024</v>
      </c>
      <c r="E2472" t="s">
        <v>7011</v>
      </c>
      <c r="F2472" t="s">
        <v>7012</v>
      </c>
      <c r="G2472">
        <v>4</v>
      </c>
      <c r="H2472">
        <v>1870</v>
      </c>
      <c r="I2472">
        <v>1</v>
      </c>
      <c r="J2472">
        <v>2</v>
      </c>
      <c r="K2472">
        <v>2</v>
      </c>
      <c r="L2472">
        <v>9.6500000000000002E-2</v>
      </c>
      <c r="M2472">
        <v>2</v>
      </c>
      <c r="N2472">
        <v>74</v>
      </c>
      <c r="O2472">
        <v>1</v>
      </c>
      <c r="P2472">
        <v>7.4999999999999997E-2</v>
      </c>
      <c r="Q2472">
        <v>2</v>
      </c>
      <c r="R2472">
        <v>4.4999999999999997E-3</v>
      </c>
      <c r="T2472" s="8" t="s">
        <v>7011</v>
      </c>
    </row>
    <row r="2473" spans="1:20" x14ac:dyDescent="0.2">
      <c r="A2473" t="s">
        <v>7013</v>
      </c>
      <c r="B2473" t="s">
        <v>2022</v>
      </c>
      <c r="C2473" t="s">
        <v>2095</v>
      </c>
      <c r="D2473" t="s">
        <v>2024</v>
      </c>
      <c r="E2473" t="s">
        <v>7014</v>
      </c>
      <c r="F2473" t="s">
        <v>7015</v>
      </c>
      <c r="G2473">
        <v>3</v>
      </c>
      <c r="H2473">
        <v>1745</v>
      </c>
      <c r="I2473">
        <v>1</v>
      </c>
      <c r="J2473">
        <v>4.5</v>
      </c>
      <c r="K2473">
        <v>1</v>
      </c>
      <c r="L2473">
        <v>1.4999999999999999E-2</v>
      </c>
      <c r="M2473">
        <v>4</v>
      </c>
      <c r="N2473">
        <v>92</v>
      </c>
      <c r="O2473">
        <v>1</v>
      </c>
      <c r="P2473">
        <v>0.15</v>
      </c>
      <c r="Q2473">
        <v>2</v>
      </c>
      <c r="R2473">
        <v>5.8999999999999999E-3</v>
      </c>
      <c r="T2473" s="8" t="s">
        <v>7014</v>
      </c>
    </row>
    <row r="2474" spans="1:20" x14ac:dyDescent="0.2">
      <c r="A2474" t="s">
        <v>7016</v>
      </c>
      <c r="B2474" t="s">
        <v>2022</v>
      </c>
      <c r="C2474" t="s">
        <v>2023</v>
      </c>
      <c r="D2474" t="s">
        <v>2024</v>
      </c>
      <c r="E2474" t="s">
        <v>7017</v>
      </c>
      <c r="F2474" t="s">
        <v>7018</v>
      </c>
      <c r="G2474">
        <v>1</v>
      </c>
      <c r="H2474">
        <v>1480</v>
      </c>
      <c r="I2474">
        <v>2</v>
      </c>
      <c r="J2474">
        <v>3.4</v>
      </c>
      <c r="K2474">
        <v>3</v>
      </c>
      <c r="L2474">
        <v>4.5999999999999999E-2</v>
      </c>
      <c r="M2474">
        <v>2</v>
      </c>
      <c r="N2474">
        <v>84</v>
      </c>
      <c r="O2474">
        <v>2</v>
      </c>
      <c r="P2474">
        <v>0.22500000000000001</v>
      </c>
      <c r="Q2474">
        <v>2</v>
      </c>
      <c r="R2474">
        <v>2E-3</v>
      </c>
      <c r="T2474" s="8" t="s">
        <v>7017</v>
      </c>
    </row>
    <row r="2475" spans="1:20" x14ac:dyDescent="0.2">
      <c r="A2475" t="s">
        <v>7019</v>
      </c>
      <c r="B2475" t="s">
        <v>2022</v>
      </c>
      <c r="C2475" t="s">
        <v>2036</v>
      </c>
      <c r="D2475" t="s">
        <v>2024</v>
      </c>
      <c r="E2475" t="s">
        <v>7020</v>
      </c>
      <c r="F2475" t="s">
        <v>7021</v>
      </c>
      <c r="G2475">
        <v>5</v>
      </c>
      <c r="H2475">
        <v>1940</v>
      </c>
      <c r="I2475">
        <v>5</v>
      </c>
      <c r="J2475">
        <v>7</v>
      </c>
      <c r="K2475">
        <v>5</v>
      </c>
      <c r="L2475">
        <v>0.17499999999999999</v>
      </c>
      <c r="M2475">
        <v>4</v>
      </c>
      <c r="N2475">
        <v>94</v>
      </c>
      <c r="O2475">
        <v>5</v>
      </c>
      <c r="P2475">
        <v>0.53500000000000003</v>
      </c>
      <c r="Q2475">
        <v>5</v>
      </c>
      <c r="R2475">
        <v>1.2E-2</v>
      </c>
      <c r="T2475" s="8" t="s">
        <v>7020</v>
      </c>
    </row>
    <row r="2476" spans="1:20" x14ac:dyDescent="0.2">
      <c r="A2476" t="s">
        <v>7022</v>
      </c>
      <c r="B2476" t="s">
        <v>2022</v>
      </c>
      <c r="C2476" t="s">
        <v>2036</v>
      </c>
      <c r="D2476" t="s">
        <v>2154</v>
      </c>
      <c r="E2476" t="s">
        <v>7023</v>
      </c>
      <c r="F2476" t="s">
        <v>7024</v>
      </c>
      <c r="G2476">
        <v>2</v>
      </c>
      <c r="H2476">
        <v>1640</v>
      </c>
      <c r="I2476">
        <v>2</v>
      </c>
      <c r="J2476">
        <v>3.4</v>
      </c>
      <c r="K2476">
        <v>4</v>
      </c>
      <c r="L2476">
        <v>0.14499999999999999</v>
      </c>
      <c r="M2476">
        <v>1</v>
      </c>
      <c r="N2476">
        <v>76</v>
      </c>
      <c r="O2476">
        <v>1</v>
      </c>
      <c r="P2476">
        <v>9.5000000000000001E-2</v>
      </c>
      <c r="Q2476">
        <v>3</v>
      </c>
      <c r="R2476">
        <v>6.7499999999999999E-3</v>
      </c>
      <c r="T2476" s="8" t="s">
        <v>7023</v>
      </c>
    </row>
    <row r="2477" spans="1:20" x14ac:dyDescent="0.2">
      <c r="A2477" t="s">
        <v>7025</v>
      </c>
      <c r="B2477" t="s">
        <v>2022</v>
      </c>
      <c r="C2477" t="s">
        <v>2023</v>
      </c>
      <c r="D2477" t="s">
        <v>2024</v>
      </c>
      <c r="E2477" t="s">
        <v>301</v>
      </c>
      <c r="F2477" t="s">
        <v>7026</v>
      </c>
      <c r="G2477">
        <v>2</v>
      </c>
      <c r="H2477">
        <v>1560</v>
      </c>
      <c r="I2477">
        <v>1</v>
      </c>
      <c r="J2477">
        <v>0.9</v>
      </c>
      <c r="K2477">
        <v>2</v>
      </c>
      <c r="L2477">
        <v>2.5999999999999999E-2</v>
      </c>
      <c r="M2477">
        <v>4</v>
      </c>
      <c r="N2477">
        <v>104</v>
      </c>
      <c r="O2477">
        <v>1</v>
      </c>
      <c r="P2477">
        <v>7.4999999999999997E-2</v>
      </c>
      <c r="Q2477">
        <v>2</v>
      </c>
      <c r="R2477">
        <v>2E-3</v>
      </c>
      <c r="T2477" s="8" t="s">
        <v>301</v>
      </c>
    </row>
    <row r="2478" spans="1:20" x14ac:dyDescent="0.2">
      <c r="A2478" t="s">
        <v>7027</v>
      </c>
      <c r="B2478" t="s">
        <v>2022</v>
      </c>
      <c r="C2478" t="s">
        <v>2036</v>
      </c>
      <c r="D2478" t="s">
        <v>2024</v>
      </c>
      <c r="E2478" t="s">
        <v>7028</v>
      </c>
      <c r="F2478" t="s">
        <v>7029</v>
      </c>
      <c r="G2478">
        <v>4</v>
      </c>
      <c r="H2478">
        <v>1840</v>
      </c>
      <c r="I2478">
        <v>5</v>
      </c>
      <c r="J2478">
        <v>7</v>
      </c>
      <c r="K2478">
        <v>5</v>
      </c>
      <c r="L2478">
        <v>0.17499999999999999</v>
      </c>
      <c r="M2478">
        <v>4</v>
      </c>
      <c r="N2478">
        <v>94</v>
      </c>
      <c r="O2478">
        <v>5</v>
      </c>
      <c r="P2478">
        <v>0.53500000000000003</v>
      </c>
      <c r="Q2478">
        <v>4</v>
      </c>
      <c r="R2478">
        <v>9.2499999999999995E-3</v>
      </c>
      <c r="T2478" s="8" t="s">
        <v>7028</v>
      </c>
    </row>
    <row r="2479" spans="1:20" x14ac:dyDescent="0.2">
      <c r="A2479" t="s">
        <v>7030</v>
      </c>
      <c r="B2479" t="s">
        <v>2022</v>
      </c>
      <c r="C2479" t="s">
        <v>2036</v>
      </c>
      <c r="D2479" t="s">
        <v>2024</v>
      </c>
      <c r="E2479" t="s">
        <v>7031</v>
      </c>
      <c r="F2479" t="s">
        <v>7032</v>
      </c>
      <c r="G2479">
        <v>3</v>
      </c>
      <c r="H2479">
        <v>1740</v>
      </c>
      <c r="I2479">
        <v>5</v>
      </c>
      <c r="J2479">
        <v>7</v>
      </c>
      <c r="K2479">
        <v>5</v>
      </c>
      <c r="L2479">
        <v>0.17499999999999999</v>
      </c>
      <c r="M2479">
        <v>3</v>
      </c>
      <c r="N2479">
        <v>88</v>
      </c>
      <c r="O2479">
        <v>4</v>
      </c>
      <c r="P2479">
        <v>0.42499999999999999</v>
      </c>
      <c r="Q2479">
        <v>4</v>
      </c>
      <c r="R2479">
        <v>9.2499999999999995E-3</v>
      </c>
      <c r="T2479" s="8" t="s">
        <v>7031</v>
      </c>
    </row>
    <row r="2480" spans="1:20" x14ac:dyDescent="0.2">
      <c r="A2480" t="s">
        <v>7033</v>
      </c>
      <c r="B2480" t="s">
        <v>2022</v>
      </c>
      <c r="C2480" t="s">
        <v>2023</v>
      </c>
      <c r="D2480" t="s">
        <v>2024</v>
      </c>
      <c r="E2480" t="s">
        <v>7034</v>
      </c>
      <c r="F2480" t="s">
        <v>7035</v>
      </c>
      <c r="G2480">
        <v>5</v>
      </c>
      <c r="H2480">
        <v>1800</v>
      </c>
      <c r="I2480">
        <v>5</v>
      </c>
      <c r="J2480">
        <v>10.9</v>
      </c>
      <c r="K2480">
        <v>5</v>
      </c>
      <c r="L2480">
        <v>8.5999999999999993E-2</v>
      </c>
      <c r="M2480">
        <v>2</v>
      </c>
      <c r="N2480">
        <v>84</v>
      </c>
      <c r="O2480">
        <v>5</v>
      </c>
      <c r="P2480">
        <v>0.67500000000000004</v>
      </c>
      <c r="Q2480">
        <v>5</v>
      </c>
      <c r="R2480">
        <v>8.0000000000000002E-3</v>
      </c>
      <c r="T2480" s="8" t="s">
        <v>7034</v>
      </c>
    </row>
    <row r="2481" spans="1:20" x14ac:dyDescent="0.2">
      <c r="A2481" t="s">
        <v>7036</v>
      </c>
      <c r="B2481" t="s">
        <v>2022</v>
      </c>
      <c r="C2481" t="s">
        <v>2095</v>
      </c>
      <c r="D2481" t="s">
        <v>2136</v>
      </c>
      <c r="E2481" t="s">
        <v>7037</v>
      </c>
      <c r="F2481" t="s">
        <v>2847</v>
      </c>
      <c r="G2481">
        <v>4</v>
      </c>
      <c r="H2481">
        <v>1835</v>
      </c>
      <c r="I2481">
        <v>5</v>
      </c>
      <c r="J2481">
        <v>16.5</v>
      </c>
      <c r="K2481">
        <v>5</v>
      </c>
      <c r="L2481">
        <v>0.73</v>
      </c>
      <c r="M2481">
        <v>3</v>
      </c>
      <c r="N2481">
        <v>86</v>
      </c>
      <c r="O2481">
        <v>4</v>
      </c>
      <c r="P2481">
        <v>0.75</v>
      </c>
      <c r="Q2481">
        <v>5</v>
      </c>
      <c r="R2481">
        <v>3.2899999999999999E-2</v>
      </c>
      <c r="T2481" s="8" t="s">
        <v>7037</v>
      </c>
    </row>
    <row r="2482" spans="1:20" x14ac:dyDescent="0.2">
      <c r="A2482" t="s">
        <v>7038</v>
      </c>
      <c r="B2482" t="s">
        <v>2022</v>
      </c>
      <c r="C2482" t="s">
        <v>2036</v>
      </c>
      <c r="D2482" t="s">
        <v>2024</v>
      </c>
      <c r="E2482" t="s">
        <v>7039</v>
      </c>
      <c r="F2482" t="s">
        <v>7040</v>
      </c>
      <c r="G2482">
        <v>3</v>
      </c>
      <c r="H2482">
        <v>1740</v>
      </c>
      <c r="I2482">
        <v>3</v>
      </c>
      <c r="J2482">
        <v>4.5999999999999996</v>
      </c>
      <c r="K2482">
        <v>3</v>
      </c>
      <c r="L2482">
        <v>0.115</v>
      </c>
      <c r="M2482">
        <v>3</v>
      </c>
      <c r="N2482">
        <v>88</v>
      </c>
      <c r="O2482">
        <v>2</v>
      </c>
      <c r="P2482">
        <v>0.20499999999999999</v>
      </c>
      <c r="Q2482">
        <v>3</v>
      </c>
      <c r="R2482">
        <v>6.7499999999999999E-3</v>
      </c>
      <c r="T2482" s="8" t="s">
        <v>7039</v>
      </c>
    </row>
    <row r="2483" spans="1:20" x14ac:dyDescent="0.2">
      <c r="A2483" t="s">
        <v>7041</v>
      </c>
      <c r="B2483" t="s">
        <v>2022</v>
      </c>
      <c r="C2483" t="s">
        <v>2101</v>
      </c>
      <c r="D2483" t="s">
        <v>2024</v>
      </c>
      <c r="E2483" t="s">
        <v>7042</v>
      </c>
      <c r="F2483" t="s">
        <v>7043</v>
      </c>
      <c r="G2483">
        <v>1</v>
      </c>
      <c r="H2483">
        <v>1570</v>
      </c>
      <c r="I2483">
        <v>1</v>
      </c>
      <c r="J2483">
        <v>2</v>
      </c>
      <c r="K2483">
        <v>1</v>
      </c>
      <c r="L2483">
        <v>1.15E-2</v>
      </c>
      <c r="M2483">
        <v>2</v>
      </c>
      <c r="N2483">
        <v>74</v>
      </c>
      <c r="O2483">
        <v>1</v>
      </c>
      <c r="P2483">
        <v>7.4999999999999997E-2</v>
      </c>
      <c r="Q2483">
        <v>1</v>
      </c>
      <c r="R2483">
        <v>5.0000000000000001E-4</v>
      </c>
      <c r="T2483" s="8" t="s">
        <v>7042</v>
      </c>
    </row>
    <row r="2484" spans="1:20" x14ac:dyDescent="0.2">
      <c r="A2484" t="s">
        <v>7044</v>
      </c>
      <c r="B2484" t="s">
        <v>2022</v>
      </c>
      <c r="C2484" t="s">
        <v>2222</v>
      </c>
      <c r="D2484" t="s">
        <v>2024</v>
      </c>
      <c r="E2484" t="s">
        <v>7045</v>
      </c>
      <c r="F2484" t="s">
        <v>447</v>
      </c>
      <c r="G2484">
        <v>4</v>
      </c>
      <c r="H2484">
        <v>1750</v>
      </c>
      <c r="I2484">
        <v>5</v>
      </c>
      <c r="J2484">
        <v>8.6999999999999993</v>
      </c>
      <c r="K2484">
        <v>2</v>
      </c>
      <c r="L2484">
        <v>5.5E-2</v>
      </c>
      <c r="M2484">
        <v>1</v>
      </c>
      <c r="N2484">
        <v>59</v>
      </c>
      <c r="O2484">
        <v>5</v>
      </c>
      <c r="P2484">
        <v>0.39</v>
      </c>
      <c r="Q2484">
        <v>2</v>
      </c>
      <c r="R2484">
        <v>2.3E-3</v>
      </c>
      <c r="T2484" s="8" t="s">
        <v>7045</v>
      </c>
    </row>
    <row r="2485" spans="1:20" x14ac:dyDescent="0.2">
      <c r="A2485" t="s">
        <v>7046</v>
      </c>
      <c r="B2485" t="s">
        <v>2022</v>
      </c>
      <c r="C2485" t="s">
        <v>2508</v>
      </c>
      <c r="D2485" t="s">
        <v>2024</v>
      </c>
      <c r="E2485" t="s">
        <v>7047</v>
      </c>
      <c r="F2485" t="s">
        <v>7048</v>
      </c>
      <c r="G2485">
        <v>3</v>
      </c>
      <c r="H2485">
        <v>1450</v>
      </c>
      <c r="I2485">
        <v>5</v>
      </c>
      <c r="J2485">
        <v>17</v>
      </c>
      <c r="K2485">
        <v>5</v>
      </c>
      <c r="L2485">
        <v>0.57999999999999996</v>
      </c>
      <c r="M2485">
        <v>4</v>
      </c>
      <c r="N2485">
        <v>287.5</v>
      </c>
      <c r="O2485">
        <v>5</v>
      </c>
      <c r="P2485">
        <v>1.65</v>
      </c>
      <c r="Q2485">
        <v>5</v>
      </c>
      <c r="R2485">
        <v>0.06</v>
      </c>
      <c r="T2485" s="8" t="s">
        <v>7047</v>
      </c>
    </row>
    <row r="2486" spans="1:20" x14ac:dyDescent="0.2">
      <c r="A2486" t="s">
        <v>7049</v>
      </c>
      <c r="B2486" t="s">
        <v>2022</v>
      </c>
      <c r="C2486" t="s">
        <v>2053</v>
      </c>
      <c r="D2486" t="s">
        <v>2024</v>
      </c>
      <c r="E2486" t="s">
        <v>7050</v>
      </c>
      <c r="F2486" t="s">
        <v>7051</v>
      </c>
      <c r="G2486">
        <v>3</v>
      </c>
      <c r="H2486">
        <v>1700</v>
      </c>
      <c r="I2486">
        <v>3</v>
      </c>
      <c r="J2486">
        <v>6.55</v>
      </c>
      <c r="K2486">
        <v>3</v>
      </c>
      <c r="L2486">
        <v>0.19500000000000001</v>
      </c>
      <c r="M2486">
        <v>2</v>
      </c>
      <c r="N2486">
        <v>83</v>
      </c>
      <c r="O2486">
        <v>3</v>
      </c>
      <c r="P2486">
        <v>0.375</v>
      </c>
      <c r="Q2486">
        <v>3</v>
      </c>
      <c r="R2486">
        <v>1.2200000000000001E-2</v>
      </c>
      <c r="T2486" s="8" t="s">
        <v>7050</v>
      </c>
    </row>
    <row r="2487" spans="1:20" x14ac:dyDescent="0.2">
      <c r="A2487" t="s">
        <v>7052</v>
      </c>
      <c r="B2487" t="s">
        <v>2022</v>
      </c>
      <c r="C2487" t="s">
        <v>2036</v>
      </c>
      <c r="D2487" t="s">
        <v>2024</v>
      </c>
      <c r="E2487" t="s">
        <v>7053</v>
      </c>
      <c r="F2487" t="s">
        <v>7054</v>
      </c>
      <c r="G2487">
        <v>1</v>
      </c>
      <c r="H2487">
        <v>1540</v>
      </c>
      <c r="I2487">
        <v>2</v>
      </c>
      <c r="J2487">
        <v>3.4</v>
      </c>
      <c r="K2487">
        <v>1</v>
      </c>
      <c r="L2487">
        <v>5.5E-2</v>
      </c>
      <c r="M2487">
        <v>1</v>
      </c>
      <c r="N2487">
        <v>76</v>
      </c>
      <c r="O2487">
        <v>2</v>
      </c>
      <c r="P2487">
        <v>0.20499999999999999</v>
      </c>
      <c r="Q2487">
        <v>1</v>
      </c>
      <c r="R2487">
        <v>1.5E-3</v>
      </c>
      <c r="T2487" s="8" t="s">
        <v>7053</v>
      </c>
    </row>
    <row r="2488" spans="1:20" x14ac:dyDescent="0.2">
      <c r="A2488" t="s">
        <v>7055</v>
      </c>
      <c r="B2488" t="s">
        <v>2022</v>
      </c>
      <c r="C2488" t="s">
        <v>2053</v>
      </c>
      <c r="D2488" t="s">
        <v>2024</v>
      </c>
      <c r="E2488" t="s">
        <v>7056</v>
      </c>
      <c r="F2488" t="s">
        <v>7057</v>
      </c>
      <c r="G2488">
        <v>5</v>
      </c>
      <c r="H2488">
        <v>1900</v>
      </c>
      <c r="I2488">
        <v>2</v>
      </c>
      <c r="J2488">
        <v>4.05</v>
      </c>
      <c r="K2488">
        <v>2</v>
      </c>
      <c r="L2488">
        <v>8.5000000000000006E-2</v>
      </c>
      <c r="M2488">
        <v>4</v>
      </c>
      <c r="N2488">
        <v>103</v>
      </c>
      <c r="O2488">
        <v>2</v>
      </c>
      <c r="P2488">
        <v>0.22500000000000001</v>
      </c>
      <c r="Q2488">
        <v>2</v>
      </c>
      <c r="R2488">
        <v>5.1999999999999998E-3</v>
      </c>
      <c r="T2488" s="8" t="s">
        <v>7056</v>
      </c>
    </row>
    <row r="2489" spans="1:20" x14ac:dyDescent="0.2">
      <c r="A2489" t="s">
        <v>7058</v>
      </c>
      <c r="B2489" t="s">
        <v>2022</v>
      </c>
      <c r="C2489" t="s">
        <v>2023</v>
      </c>
      <c r="D2489" t="s">
        <v>2154</v>
      </c>
      <c r="E2489" t="s">
        <v>7059</v>
      </c>
      <c r="F2489" t="s">
        <v>7060</v>
      </c>
      <c r="G2489">
        <v>5</v>
      </c>
      <c r="H2489">
        <v>1800</v>
      </c>
      <c r="I2489">
        <v>2</v>
      </c>
      <c r="J2489">
        <v>3.4</v>
      </c>
      <c r="K2489">
        <v>1</v>
      </c>
      <c r="L2489">
        <v>6.0000000000000001E-3</v>
      </c>
      <c r="M2489">
        <v>2</v>
      </c>
      <c r="N2489">
        <v>84</v>
      </c>
      <c r="O2489">
        <v>1</v>
      </c>
      <c r="P2489">
        <v>7.4999999999999997E-2</v>
      </c>
      <c r="Q2489">
        <v>1</v>
      </c>
      <c r="R2489">
        <v>5.0000000000000001E-4</v>
      </c>
      <c r="T2489" s="8" t="s">
        <v>7059</v>
      </c>
    </row>
    <row r="2490" spans="1:20" x14ac:dyDescent="0.2">
      <c r="A2490" t="s">
        <v>7061</v>
      </c>
      <c r="B2490" t="s">
        <v>2022</v>
      </c>
      <c r="C2490" t="s">
        <v>2023</v>
      </c>
      <c r="D2490" t="s">
        <v>2024</v>
      </c>
      <c r="E2490" t="s">
        <v>7062</v>
      </c>
      <c r="F2490" t="s">
        <v>7063</v>
      </c>
      <c r="G2490">
        <v>2</v>
      </c>
      <c r="H2490">
        <v>1560</v>
      </c>
      <c r="I2490">
        <v>2</v>
      </c>
      <c r="J2490">
        <v>3.4</v>
      </c>
      <c r="K2490">
        <v>3</v>
      </c>
      <c r="L2490">
        <v>4.5999999999999999E-2</v>
      </c>
      <c r="M2490">
        <v>5</v>
      </c>
      <c r="N2490">
        <v>114</v>
      </c>
      <c r="O2490">
        <v>2</v>
      </c>
      <c r="P2490">
        <v>0.22500000000000001</v>
      </c>
      <c r="Q2490">
        <v>4</v>
      </c>
      <c r="R2490">
        <v>6.0000000000000001E-3</v>
      </c>
      <c r="T2490" s="8" t="s">
        <v>7062</v>
      </c>
    </row>
    <row r="2491" spans="1:20" x14ac:dyDescent="0.2">
      <c r="A2491" t="s">
        <v>7064</v>
      </c>
      <c r="B2491" t="s">
        <v>2022</v>
      </c>
      <c r="C2491" t="s">
        <v>2023</v>
      </c>
      <c r="D2491" t="s">
        <v>2024</v>
      </c>
      <c r="E2491" t="s">
        <v>7065</v>
      </c>
      <c r="F2491" t="s">
        <v>7066</v>
      </c>
      <c r="G2491">
        <v>3</v>
      </c>
      <c r="H2491">
        <v>1640</v>
      </c>
      <c r="I2491">
        <v>3</v>
      </c>
      <c r="J2491">
        <v>5.9</v>
      </c>
      <c r="K2491">
        <v>5</v>
      </c>
      <c r="L2491">
        <v>8.5999999999999993E-2</v>
      </c>
      <c r="M2491">
        <v>5</v>
      </c>
      <c r="N2491">
        <v>114</v>
      </c>
      <c r="O2491">
        <v>4</v>
      </c>
      <c r="P2491">
        <v>0.52500000000000002</v>
      </c>
      <c r="Q2491">
        <v>5</v>
      </c>
      <c r="R2491">
        <v>8.0000000000000002E-3</v>
      </c>
      <c r="T2491" s="8" t="s">
        <v>7065</v>
      </c>
    </row>
    <row r="2492" spans="1:20" x14ac:dyDescent="0.2">
      <c r="A2492" t="s">
        <v>7067</v>
      </c>
      <c r="B2492" t="s">
        <v>2022</v>
      </c>
      <c r="C2492" t="s">
        <v>2023</v>
      </c>
      <c r="D2492" t="s">
        <v>2136</v>
      </c>
      <c r="E2492" t="s">
        <v>7068</v>
      </c>
      <c r="F2492" t="s">
        <v>7069</v>
      </c>
      <c r="G2492">
        <v>1</v>
      </c>
      <c r="H2492">
        <v>1480</v>
      </c>
      <c r="I2492">
        <v>2</v>
      </c>
      <c r="J2492">
        <v>3.4</v>
      </c>
      <c r="K2492">
        <v>2</v>
      </c>
      <c r="L2492">
        <v>2.5999999999999999E-2</v>
      </c>
      <c r="M2492">
        <v>5</v>
      </c>
      <c r="N2492">
        <v>114</v>
      </c>
      <c r="O2492">
        <v>2</v>
      </c>
      <c r="P2492">
        <v>0.22500000000000001</v>
      </c>
      <c r="Q2492">
        <v>2</v>
      </c>
      <c r="R2492">
        <v>2E-3</v>
      </c>
      <c r="T2492" s="8" t="s">
        <v>7068</v>
      </c>
    </row>
    <row r="2493" spans="1:20" x14ac:dyDescent="0.2">
      <c r="A2493" t="s">
        <v>7070</v>
      </c>
      <c r="B2493" t="s">
        <v>2022</v>
      </c>
      <c r="C2493" t="s">
        <v>2049</v>
      </c>
      <c r="D2493" t="s">
        <v>2024</v>
      </c>
      <c r="E2493" t="s">
        <v>7071</v>
      </c>
      <c r="F2493" t="s">
        <v>7072</v>
      </c>
      <c r="G2493">
        <v>5</v>
      </c>
      <c r="H2493">
        <v>1750</v>
      </c>
      <c r="I2493">
        <v>5</v>
      </c>
      <c r="J2493">
        <v>8.6</v>
      </c>
      <c r="K2493">
        <v>5</v>
      </c>
      <c r="L2493">
        <v>0.3</v>
      </c>
      <c r="M2493">
        <v>5</v>
      </c>
      <c r="N2493">
        <v>166</v>
      </c>
      <c r="O2493">
        <v>5</v>
      </c>
      <c r="P2493">
        <v>0.86</v>
      </c>
      <c r="Q2493">
        <v>5</v>
      </c>
      <c r="R2493">
        <v>3.32E-2</v>
      </c>
      <c r="T2493" s="8" t="s">
        <v>7071</v>
      </c>
    </row>
    <row r="2494" spans="1:20" x14ac:dyDescent="0.2">
      <c r="A2494" t="s">
        <v>7073</v>
      </c>
      <c r="B2494" t="s">
        <v>2022</v>
      </c>
      <c r="C2494" t="s">
        <v>2036</v>
      </c>
      <c r="D2494" t="s">
        <v>2024</v>
      </c>
      <c r="E2494" t="s">
        <v>7074</v>
      </c>
      <c r="F2494" t="s">
        <v>7075</v>
      </c>
      <c r="G2494">
        <v>2</v>
      </c>
      <c r="H2494">
        <v>1640</v>
      </c>
      <c r="I2494">
        <v>4</v>
      </c>
      <c r="J2494">
        <v>5.8</v>
      </c>
      <c r="K2494">
        <v>5</v>
      </c>
      <c r="L2494">
        <v>0.17499999999999999</v>
      </c>
      <c r="M2494">
        <v>2</v>
      </c>
      <c r="N2494">
        <v>82</v>
      </c>
      <c r="O2494">
        <v>3</v>
      </c>
      <c r="P2494">
        <v>0.315</v>
      </c>
      <c r="Q2494">
        <v>5</v>
      </c>
      <c r="R2494">
        <v>1.2E-2</v>
      </c>
      <c r="T2494" s="8" t="s">
        <v>7074</v>
      </c>
    </row>
    <row r="2495" spans="1:20" x14ac:dyDescent="0.2">
      <c r="A2495" t="s">
        <v>7076</v>
      </c>
      <c r="B2495" t="s">
        <v>2022</v>
      </c>
      <c r="C2495" t="s">
        <v>2023</v>
      </c>
      <c r="D2495" t="s">
        <v>2024</v>
      </c>
      <c r="E2495" t="s">
        <v>7077</v>
      </c>
      <c r="F2495" t="s">
        <v>447</v>
      </c>
      <c r="G2495">
        <v>2</v>
      </c>
      <c r="H2495">
        <v>1560</v>
      </c>
      <c r="I2495">
        <v>3</v>
      </c>
      <c r="J2495">
        <v>5.9</v>
      </c>
      <c r="K2495">
        <v>5</v>
      </c>
      <c r="L2495">
        <v>8.5999999999999993E-2</v>
      </c>
      <c r="M2495">
        <v>3</v>
      </c>
      <c r="N2495">
        <v>94</v>
      </c>
      <c r="O2495">
        <v>3</v>
      </c>
      <c r="P2495">
        <v>0.375</v>
      </c>
      <c r="Q2495">
        <v>5</v>
      </c>
      <c r="R2495">
        <v>8.0000000000000002E-3</v>
      </c>
      <c r="T2495" s="8" t="s">
        <v>7077</v>
      </c>
    </row>
    <row r="2496" spans="1:20" x14ac:dyDescent="0.2">
      <c r="A2496" t="s">
        <v>7078</v>
      </c>
      <c r="B2496" t="s">
        <v>2022</v>
      </c>
      <c r="C2496" t="s">
        <v>2023</v>
      </c>
      <c r="D2496" t="s">
        <v>2024</v>
      </c>
      <c r="E2496" t="s">
        <v>7079</v>
      </c>
      <c r="F2496" t="s">
        <v>7080</v>
      </c>
      <c r="G2496">
        <v>5</v>
      </c>
      <c r="H2496">
        <v>1800</v>
      </c>
      <c r="I2496">
        <v>3</v>
      </c>
      <c r="J2496">
        <v>5.9</v>
      </c>
      <c r="K2496">
        <v>5</v>
      </c>
      <c r="L2496">
        <v>8.5999999999999993E-2</v>
      </c>
      <c r="M2496">
        <v>2</v>
      </c>
      <c r="N2496">
        <v>84</v>
      </c>
      <c r="O2496">
        <v>3</v>
      </c>
      <c r="P2496">
        <v>0.375</v>
      </c>
      <c r="Q2496">
        <v>5</v>
      </c>
      <c r="R2496">
        <v>8.0000000000000002E-3</v>
      </c>
      <c r="T2496" s="8" t="s">
        <v>7079</v>
      </c>
    </row>
    <row r="2497" spans="1:20" x14ac:dyDescent="0.2">
      <c r="A2497" t="s">
        <v>7081</v>
      </c>
      <c r="B2497" t="s">
        <v>2022</v>
      </c>
      <c r="C2497" t="s">
        <v>2095</v>
      </c>
      <c r="D2497" t="s">
        <v>2136</v>
      </c>
      <c r="E2497" t="s">
        <v>209</v>
      </c>
      <c r="F2497" t="s">
        <v>1456</v>
      </c>
      <c r="G2497">
        <v>1</v>
      </c>
      <c r="H2497">
        <v>1565</v>
      </c>
      <c r="I2497">
        <v>1</v>
      </c>
      <c r="J2497">
        <v>4.5</v>
      </c>
      <c r="K2497">
        <v>1</v>
      </c>
      <c r="L2497">
        <v>1.4999999999999999E-2</v>
      </c>
      <c r="M2497">
        <v>3</v>
      </c>
      <c r="N2497">
        <v>86</v>
      </c>
      <c r="O2497">
        <v>1</v>
      </c>
      <c r="P2497">
        <v>0.15</v>
      </c>
      <c r="Q2497">
        <v>1</v>
      </c>
      <c r="R2497">
        <v>6.9999999999999999E-4</v>
      </c>
      <c r="T2497" s="8" t="s">
        <v>209</v>
      </c>
    </row>
    <row r="2498" spans="1:20" x14ac:dyDescent="0.2">
      <c r="A2498" t="s">
        <v>7082</v>
      </c>
      <c r="B2498" t="s">
        <v>2022</v>
      </c>
      <c r="C2498" t="s">
        <v>2053</v>
      </c>
      <c r="D2498" t="s">
        <v>2136</v>
      </c>
      <c r="E2498" t="s">
        <v>209</v>
      </c>
      <c r="F2498" t="s">
        <v>1456</v>
      </c>
      <c r="G2498">
        <v>1</v>
      </c>
      <c r="H2498">
        <v>1500</v>
      </c>
      <c r="I2498">
        <v>1</v>
      </c>
      <c r="J2498">
        <v>1.55</v>
      </c>
      <c r="K2498">
        <v>2</v>
      </c>
      <c r="L2498">
        <v>8.5000000000000006E-2</v>
      </c>
      <c r="M2498">
        <v>2</v>
      </c>
      <c r="N2498">
        <v>83</v>
      </c>
      <c r="O2498">
        <v>1</v>
      </c>
      <c r="P2498">
        <v>7.4999999999999997E-2</v>
      </c>
      <c r="Q2498">
        <v>2</v>
      </c>
      <c r="R2498">
        <v>5.1999999999999998E-3</v>
      </c>
      <c r="T2498" s="8" t="s">
        <v>209</v>
      </c>
    </row>
    <row r="2499" spans="1:20" x14ac:dyDescent="0.2">
      <c r="A2499" t="s">
        <v>7083</v>
      </c>
      <c r="B2499" t="s">
        <v>2022</v>
      </c>
      <c r="C2499" t="s">
        <v>2101</v>
      </c>
      <c r="D2499" t="s">
        <v>2136</v>
      </c>
      <c r="E2499" t="s">
        <v>209</v>
      </c>
      <c r="F2499" t="s">
        <v>1456</v>
      </c>
      <c r="G2499">
        <v>1</v>
      </c>
      <c r="H2499">
        <v>1570</v>
      </c>
      <c r="I2499">
        <v>1</v>
      </c>
      <c r="J2499">
        <v>2</v>
      </c>
      <c r="K2499">
        <v>1</v>
      </c>
      <c r="L2499">
        <v>1.15E-2</v>
      </c>
      <c r="M2499">
        <v>1</v>
      </c>
      <c r="N2499">
        <v>66</v>
      </c>
      <c r="O2499">
        <v>1</v>
      </c>
      <c r="P2499">
        <v>7.4999999999999997E-2</v>
      </c>
      <c r="Q2499">
        <v>1</v>
      </c>
      <c r="R2499">
        <v>5.0000000000000001E-4</v>
      </c>
      <c r="T2499" s="8" t="s">
        <v>209</v>
      </c>
    </row>
    <row r="2500" spans="1:20" x14ac:dyDescent="0.2">
      <c r="A2500" t="s">
        <v>7084</v>
      </c>
      <c r="B2500" t="s">
        <v>2022</v>
      </c>
      <c r="C2500" t="s">
        <v>2036</v>
      </c>
      <c r="D2500" t="s">
        <v>2136</v>
      </c>
      <c r="E2500" t="s">
        <v>209</v>
      </c>
      <c r="F2500" t="s">
        <v>1456</v>
      </c>
      <c r="G2500">
        <v>1</v>
      </c>
      <c r="H2500">
        <v>1540</v>
      </c>
      <c r="I2500">
        <v>2</v>
      </c>
      <c r="J2500">
        <v>3.4</v>
      </c>
      <c r="K2500">
        <v>3</v>
      </c>
      <c r="L2500">
        <v>0.115</v>
      </c>
      <c r="M2500">
        <v>1</v>
      </c>
      <c r="N2500">
        <v>76</v>
      </c>
      <c r="O2500">
        <v>2</v>
      </c>
      <c r="P2500">
        <v>0.20499999999999999</v>
      </c>
      <c r="Q2500">
        <v>2</v>
      </c>
      <c r="R2500">
        <v>4.2500000000000003E-3</v>
      </c>
      <c r="T2500" s="8" t="s">
        <v>209</v>
      </c>
    </row>
    <row r="2501" spans="1:20" x14ac:dyDescent="0.2">
      <c r="A2501" t="s">
        <v>7085</v>
      </c>
      <c r="B2501" t="s">
        <v>2022</v>
      </c>
      <c r="C2501" t="s">
        <v>2023</v>
      </c>
      <c r="D2501" t="s">
        <v>2136</v>
      </c>
      <c r="E2501" t="s">
        <v>7086</v>
      </c>
      <c r="F2501" t="s">
        <v>447</v>
      </c>
      <c r="G2501">
        <v>5</v>
      </c>
      <c r="H2501">
        <v>1800</v>
      </c>
      <c r="I2501">
        <v>3</v>
      </c>
      <c r="J2501">
        <v>5.9</v>
      </c>
      <c r="K2501">
        <v>5</v>
      </c>
      <c r="L2501">
        <v>8.5999999999999993E-2</v>
      </c>
      <c r="M2501">
        <v>1</v>
      </c>
      <c r="N2501">
        <v>74</v>
      </c>
      <c r="O2501">
        <v>2</v>
      </c>
      <c r="P2501">
        <v>0.22500000000000001</v>
      </c>
      <c r="Q2501">
        <v>4</v>
      </c>
      <c r="R2501">
        <v>6.0000000000000001E-3</v>
      </c>
      <c r="T2501" s="8" t="s">
        <v>7086</v>
      </c>
    </row>
    <row r="2502" spans="1:20" x14ac:dyDescent="0.2">
      <c r="A2502" t="s">
        <v>7087</v>
      </c>
      <c r="B2502" t="s">
        <v>2022</v>
      </c>
      <c r="C2502" t="s">
        <v>2023</v>
      </c>
      <c r="D2502" t="s">
        <v>2136</v>
      </c>
      <c r="E2502" t="s">
        <v>7086</v>
      </c>
      <c r="F2502" t="s">
        <v>447</v>
      </c>
      <c r="G2502">
        <v>5</v>
      </c>
      <c r="H2502">
        <v>1800</v>
      </c>
      <c r="I2502">
        <v>1</v>
      </c>
      <c r="J2502">
        <v>0.9</v>
      </c>
      <c r="K2502">
        <v>2</v>
      </c>
      <c r="L2502">
        <v>2.5999999999999999E-2</v>
      </c>
      <c r="M2502">
        <v>1</v>
      </c>
      <c r="N2502">
        <v>74</v>
      </c>
      <c r="O2502">
        <v>1</v>
      </c>
      <c r="P2502">
        <v>7.4999999999999997E-2</v>
      </c>
      <c r="Q2502">
        <v>1</v>
      </c>
      <c r="R2502">
        <v>5.0000000000000001E-4</v>
      </c>
      <c r="T2502" s="8" t="s">
        <v>7086</v>
      </c>
    </row>
    <row r="2503" spans="1:20" x14ac:dyDescent="0.2">
      <c r="A2503" t="s">
        <v>7088</v>
      </c>
      <c r="B2503" t="s">
        <v>2022</v>
      </c>
      <c r="C2503" t="s">
        <v>2023</v>
      </c>
      <c r="D2503" t="s">
        <v>2136</v>
      </c>
      <c r="E2503" t="s">
        <v>7086</v>
      </c>
      <c r="F2503" t="s">
        <v>447</v>
      </c>
      <c r="G2503">
        <v>5</v>
      </c>
      <c r="H2503">
        <v>1800</v>
      </c>
      <c r="I2503">
        <v>3</v>
      </c>
      <c r="J2503">
        <v>5.9</v>
      </c>
      <c r="K2503">
        <v>5</v>
      </c>
      <c r="L2503">
        <v>8.5999999999999993E-2</v>
      </c>
      <c r="M2503">
        <v>1</v>
      </c>
      <c r="N2503">
        <v>74</v>
      </c>
      <c r="O2503">
        <v>2</v>
      </c>
      <c r="P2503">
        <v>0.22500000000000001</v>
      </c>
      <c r="Q2503">
        <v>3</v>
      </c>
      <c r="R2503">
        <v>4.0000000000000001E-3</v>
      </c>
      <c r="T2503" s="8" t="s">
        <v>7086</v>
      </c>
    </row>
    <row r="2504" spans="1:20" x14ac:dyDescent="0.2">
      <c r="A2504" t="s">
        <v>7089</v>
      </c>
      <c r="B2504" t="s">
        <v>2022</v>
      </c>
      <c r="C2504" t="s">
        <v>2036</v>
      </c>
      <c r="D2504" t="s">
        <v>2136</v>
      </c>
      <c r="E2504" t="s">
        <v>7090</v>
      </c>
      <c r="F2504" t="s">
        <v>7091</v>
      </c>
      <c r="G2504">
        <v>1</v>
      </c>
      <c r="H2504">
        <v>1540</v>
      </c>
      <c r="I2504">
        <v>4</v>
      </c>
      <c r="J2504">
        <v>5.8</v>
      </c>
      <c r="K2504">
        <v>5</v>
      </c>
      <c r="L2504">
        <v>0.17499999999999999</v>
      </c>
      <c r="M2504">
        <v>1</v>
      </c>
      <c r="N2504">
        <v>76</v>
      </c>
      <c r="O2504">
        <v>3</v>
      </c>
      <c r="P2504">
        <v>0.315</v>
      </c>
      <c r="Q2504">
        <v>5</v>
      </c>
      <c r="R2504">
        <v>1.2E-2</v>
      </c>
      <c r="T2504" s="8" t="s">
        <v>7090</v>
      </c>
    </row>
    <row r="2505" spans="1:20" x14ac:dyDescent="0.2">
      <c r="A2505" t="s">
        <v>7092</v>
      </c>
      <c r="B2505" t="s">
        <v>2022</v>
      </c>
      <c r="C2505" t="s">
        <v>2023</v>
      </c>
      <c r="D2505" t="s">
        <v>2024</v>
      </c>
      <c r="E2505" t="s">
        <v>7093</v>
      </c>
      <c r="F2505" t="s">
        <v>7094</v>
      </c>
      <c r="G2505">
        <v>2</v>
      </c>
      <c r="H2505">
        <v>1560</v>
      </c>
      <c r="I2505">
        <v>4</v>
      </c>
      <c r="J2505">
        <v>8.4</v>
      </c>
      <c r="K2505">
        <v>5</v>
      </c>
      <c r="L2505">
        <v>8.5999999999999993E-2</v>
      </c>
      <c r="M2505">
        <v>2</v>
      </c>
      <c r="N2505">
        <v>84</v>
      </c>
      <c r="O2505">
        <v>4</v>
      </c>
      <c r="P2505">
        <v>0.52500000000000002</v>
      </c>
      <c r="Q2505">
        <v>5</v>
      </c>
      <c r="R2505">
        <v>8.0000000000000002E-3</v>
      </c>
      <c r="T2505" s="8" t="s">
        <v>7093</v>
      </c>
    </row>
    <row r="2506" spans="1:20" x14ac:dyDescent="0.2">
      <c r="A2506" t="s">
        <v>7095</v>
      </c>
      <c r="B2506" t="s">
        <v>2022</v>
      </c>
      <c r="C2506" t="s">
        <v>2053</v>
      </c>
      <c r="D2506" t="s">
        <v>2024</v>
      </c>
      <c r="E2506" t="s">
        <v>7096</v>
      </c>
      <c r="F2506" t="s">
        <v>7097</v>
      </c>
      <c r="G2506">
        <v>1</v>
      </c>
      <c r="H2506">
        <v>1500</v>
      </c>
      <c r="I2506">
        <v>4</v>
      </c>
      <c r="J2506">
        <v>9.0500000000000007</v>
      </c>
      <c r="K2506">
        <v>3</v>
      </c>
      <c r="L2506">
        <v>0.19500000000000001</v>
      </c>
      <c r="M2506">
        <v>4</v>
      </c>
      <c r="N2506">
        <v>103</v>
      </c>
      <c r="O2506">
        <v>4</v>
      </c>
      <c r="P2506">
        <v>0.52500000000000002</v>
      </c>
      <c r="Q2506">
        <v>3</v>
      </c>
      <c r="R2506">
        <v>1.2200000000000001E-2</v>
      </c>
      <c r="T2506" s="8" t="s">
        <v>7096</v>
      </c>
    </row>
    <row r="2507" spans="1:20" x14ac:dyDescent="0.2">
      <c r="A2507" t="s">
        <v>7098</v>
      </c>
      <c r="B2507" t="s">
        <v>2022</v>
      </c>
      <c r="C2507" t="s">
        <v>2023</v>
      </c>
      <c r="D2507" t="s">
        <v>2136</v>
      </c>
      <c r="E2507" t="s">
        <v>7099</v>
      </c>
      <c r="F2507" t="s">
        <v>7100</v>
      </c>
      <c r="G2507">
        <v>3</v>
      </c>
      <c r="H2507">
        <v>1640</v>
      </c>
      <c r="I2507">
        <v>5</v>
      </c>
      <c r="J2507">
        <v>10.9</v>
      </c>
      <c r="K2507">
        <v>5</v>
      </c>
      <c r="L2507">
        <v>8.5999999999999993E-2</v>
      </c>
      <c r="M2507">
        <v>1</v>
      </c>
      <c r="N2507">
        <v>74</v>
      </c>
      <c r="O2507">
        <v>4</v>
      </c>
      <c r="P2507">
        <v>0.52500000000000002</v>
      </c>
      <c r="Q2507">
        <v>5</v>
      </c>
      <c r="R2507">
        <v>8.0000000000000002E-3</v>
      </c>
      <c r="T2507" s="8" t="s">
        <v>7099</v>
      </c>
    </row>
    <row r="2508" spans="1:20" x14ac:dyDescent="0.2">
      <c r="A2508" t="s">
        <v>7101</v>
      </c>
      <c r="B2508" t="s">
        <v>2022</v>
      </c>
      <c r="C2508" t="s">
        <v>2023</v>
      </c>
      <c r="D2508" t="s">
        <v>2024</v>
      </c>
      <c r="E2508" t="s">
        <v>7102</v>
      </c>
      <c r="F2508" t="s">
        <v>7103</v>
      </c>
      <c r="G2508">
        <v>3</v>
      </c>
      <c r="H2508">
        <v>1640</v>
      </c>
      <c r="I2508">
        <v>2</v>
      </c>
      <c r="J2508">
        <v>3.4</v>
      </c>
      <c r="K2508">
        <v>2</v>
      </c>
      <c r="L2508">
        <v>2.5999999999999999E-2</v>
      </c>
      <c r="M2508">
        <v>2</v>
      </c>
      <c r="N2508">
        <v>84</v>
      </c>
      <c r="O2508">
        <v>1</v>
      </c>
      <c r="P2508">
        <v>7.4999999999999997E-2</v>
      </c>
      <c r="Q2508">
        <v>2</v>
      </c>
      <c r="R2508">
        <v>2E-3</v>
      </c>
      <c r="T2508" s="8" t="s">
        <v>7102</v>
      </c>
    </row>
    <row r="2509" spans="1:20" x14ac:dyDescent="0.2">
      <c r="A2509" t="s">
        <v>7104</v>
      </c>
      <c r="B2509" t="s">
        <v>2022</v>
      </c>
      <c r="C2509" t="s">
        <v>2036</v>
      </c>
      <c r="D2509" t="s">
        <v>2024</v>
      </c>
      <c r="E2509" t="s">
        <v>7105</v>
      </c>
      <c r="F2509" t="s">
        <v>7106</v>
      </c>
      <c r="G2509">
        <v>2</v>
      </c>
      <c r="H2509">
        <v>1640</v>
      </c>
      <c r="I2509">
        <v>2</v>
      </c>
      <c r="J2509">
        <v>3.4</v>
      </c>
      <c r="K2509">
        <v>2</v>
      </c>
      <c r="L2509">
        <v>8.5000000000000006E-2</v>
      </c>
      <c r="M2509">
        <v>3</v>
      </c>
      <c r="N2509">
        <v>88</v>
      </c>
      <c r="O2509">
        <v>2</v>
      </c>
      <c r="P2509">
        <v>0.20499999999999999</v>
      </c>
      <c r="Q2509">
        <v>2</v>
      </c>
      <c r="R2509">
        <v>4.2500000000000003E-3</v>
      </c>
      <c r="T2509" s="8" t="s">
        <v>7105</v>
      </c>
    </row>
    <row r="2510" spans="1:20" x14ac:dyDescent="0.2">
      <c r="A2510" t="s">
        <v>7107</v>
      </c>
      <c r="B2510" t="s">
        <v>2022</v>
      </c>
      <c r="C2510" t="s">
        <v>2036</v>
      </c>
      <c r="D2510" t="s">
        <v>2154</v>
      </c>
      <c r="E2510" t="s">
        <v>7108</v>
      </c>
      <c r="F2510" t="s">
        <v>7109</v>
      </c>
      <c r="G2510">
        <v>3</v>
      </c>
      <c r="H2510">
        <v>1740</v>
      </c>
      <c r="I2510">
        <v>5</v>
      </c>
      <c r="J2510">
        <v>7</v>
      </c>
      <c r="K2510">
        <v>5</v>
      </c>
      <c r="L2510">
        <v>0.17499999999999999</v>
      </c>
      <c r="M2510">
        <v>1</v>
      </c>
      <c r="N2510">
        <v>76</v>
      </c>
      <c r="O2510">
        <v>5</v>
      </c>
      <c r="P2510">
        <v>0.53500000000000003</v>
      </c>
      <c r="Q2510">
        <v>5</v>
      </c>
      <c r="R2510">
        <v>1.2E-2</v>
      </c>
      <c r="T2510" s="8" t="s">
        <v>7108</v>
      </c>
    </row>
    <row r="2511" spans="1:20" x14ac:dyDescent="0.2">
      <c r="A2511" t="s">
        <v>7110</v>
      </c>
      <c r="B2511" t="s">
        <v>2022</v>
      </c>
      <c r="C2511" t="s">
        <v>2101</v>
      </c>
      <c r="D2511" t="s">
        <v>2024</v>
      </c>
      <c r="E2511" t="s">
        <v>7111</v>
      </c>
      <c r="F2511" t="s">
        <v>7112</v>
      </c>
      <c r="G2511">
        <v>2</v>
      </c>
      <c r="H2511">
        <v>1670</v>
      </c>
      <c r="I2511">
        <v>3</v>
      </c>
      <c r="J2511">
        <v>8</v>
      </c>
      <c r="K2511">
        <v>3</v>
      </c>
      <c r="L2511">
        <v>0.24349999999999999</v>
      </c>
      <c r="M2511">
        <v>2</v>
      </c>
      <c r="N2511">
        <v>74</v>
      </c>
      <c r="O2511">
        <v>3</v>
      </c>
      <c r="P2511">
        <v>0.375</v>
      </c>
      <c r="Q2511">
        <v>3</v>
      </c>
      <c r="R2511">
        <v>1.15E-2</v>
      </c>
      <c r="T2511" s="8" t="s">
        <v>7111</v>
      </c>
    </row>
    <row r="2512" spans="1:20" x14ac:dyDescent="0.2">
      <c r="A2512" t="s">
        <v>7113</v>
      </c>
      <c r="B2512" t="s">
        <v>2022</v>
      </c>
      <c r="C2512" t="s">
        <v>2023</v>
      </c>
      <c r="D2512" t="s">
        <v>2024</v>
      </c>
      <c r="E2512" t="s">
        <v>7114</v>
      </c>
      <c r="F2512" t="s">
        <v>7115</v>
      </c>
      <c r="G2512">
        <v>5</v>
      </c>
      <c r="H2512">
        <v>1800</v>
      </c>
      <c r="I2512">
        <v>2</v>
      </c>
      <c r="J2512">
        <v>3.4</v>
      </c>
      <c r="K2512">
        <v>2</v>
      </c>
      <c r="L2512">
        <v>2.5999999999999999E-2</v>
      </c>
      <c r="M2512">
        <v>1</v>
      </c>
      <c r="N2512">
        <v>74</v>
      </c>
      <c r="O2512">
        <v>1</v>
      </c>
      <c r="P2512">
        <v>7.4999999999999997E-2</v>
      </c>
      <c r="Q2512">
        <v>1</v>
      </c>
      <c r="R2512">
        <v>5.0000000000000001E-4</v>
      </c>
      <c r="T2512" s="8" t="s">
        <v>7114</v>
      </c>
    </row>
    <row r="2513" spans="1:20" x14ac:dyDescent="0.2">
      <c r="A2513" t="s">
        <v>7113</v>
      </c>
      <c r="B2513" t="s">
        <v>2022</v>
      </c>
      <c r="C2513" t="s">
        <v>2023</v>
      </c>
      <c r="D2513" t="s">
        <v>2024</v>
      </c>
      <c r="E2513" t="s">
        <v>7114</v>
      </c>
      <c r="F2513" t="s">
        <v>7115</v>
      </c>
      <c r="G2513">
        <v>5</v>
      </c>
      <c r="H2513">
        <v>1800</v>
      </c>
      <c r="I2513">
        <v>2</v>
      </c>
      <c r="J2513">
        <v>3.4</v>
      </c>
      <c r="K2513">
        <v>2</v>
      </c>
      <c r="L2513">
        <v>2.5999999999999999E-2</v>
      </c>
      <c r="M2513">
        <v>1</v>
      </c>
      <c r="N2513">
        <v>74</v>
      </c>
      <c r="O2513">
        <v>1</v>
      </c>
      <c r="P2513">
        <v>7.4999999999999997E-2</v>
      </c>
      <c r="Q2513">
        <v>1</v>
      </c>
      <c r="R2513">
        <v>5.0000000000000001E-4</v>
      </c>
      <c r="T2513" s="8" t="s">
        <v>7114</v>
      </c>
    </row>
    <row r="2514" spans="1:20" x14ac:dyDescent="0.2">
      <c r="A2514" t="s">
        <v>7116</v>
      </c>
      <c r="B2514" t="s">
        <v>2022</v>
      </c>
      <c r="C2514" t="s">
        <v>2095</v>
      </c>
      <c r="D2514" t="s">
        <v>2024</v>
      </c>
      <c r="E2514" t="s">
        <v>7117</v>
      </c>
      <c r="F2514" t="s">
        <v>7118</v>
      </c>
      <c r="G2514">
        <v>2</v>
      </c>
      <c r="H2514">
        <v>1655</v>
      </c>
      <c r="I2514">
        <v>3</v>
      </c>
      <c r="J2514">
        <v>10.5</v>
      </c>
      <c r="K2514">
        <v>2</v>
      </c>
      <c r="L2514">
        <v>0.13</v>
      </c>
      <c r="M2514">
        <v>1</v>
      </c>
      <c r="N2514">
        <v>74</v>
      </c>
      <c r="O2514">
        <v>3</v>
      </c>
      <c r="P2514">
        <v>0.55000000000000004</v>
      </c>
      <c r="Q2514">
        <v>2</v>
      </c>
      <c r="R2514">
        <v>5.8999999999999999E-3</v>
      </c>
      <c r="T2514" s="8" t="s">
        <v>7117</v>
      </c>
    </row>
    <row r="2515" spans="1:20" x14ac:dyDescent="0.2">
      <c r="A2515" t="s">
        <v>7119</v>
      </c>
      <c r="B2515" t="s">
        <v>2022</v>
      </c>
      <c r="C2515" t="s">
        <v>2036</v>
      </c>
      <c r="D2515" t="s">
        <v>2024</v>
      </c>
      <c r="E2515" t="s">
        <v>7120</v>
      </c>
      <c r="F2515" t="s">
        <v>7121</v>
      </c>
      <c r="G2515">
        <v>3</v>
      </c>
      <c r="H2515">
        <v>1740</v>
      </c>
      <c r="I2515">
        <v>5</v>
      </c>
      <c r="J2515">
        <v>7</v>
      </c>
      <c r="K2515">
        <v>3</v>
      </c>
      <c r="L2515">
        <v>0.115</v>
      </c>
      <c r="M2515">
        <v>4</v>
      </c>
      <c r="N2515">
        <v>94</v>
      </c>
      <c r="O2515">
        <v>5</v>
      </c>
      <c r="P2515">
        <v>0.53500000000000003</v>
      </c>
      <c r="Q2515">
        <v>3</v>
      </c>
      <c r="R2515">
        <v>6.7499999999999999E-3</v>
      </c>
      <c r="T2515" s="8" t="s">
        <v>7120</v>
      </c>
    </row>
    <row r="2516" spans="1:20" x14ac:dyDescent="0.2">
      <c r="A2516" t="s">
        <v>7122</v>
      </c>
      <c r="B2516" t="s">
        <v>2022</v>
      </c>
      <c r="C2516" t="s">
        <v>2053</v>
      </c>
      <c r="D2516" t="s">
        <v>2154</v>
      </c>
      <c r="E2516" t="s">
        <v>357</v>
      </c>
      <c r="F2516" t="s">
        <v>7123</v>
      </c>
      <c r="G2516">
        <v>5</v>
      </c>
      <c r="H2516">
        <v>1900</v>
      </c>
      <c r="I2516">
        <v>1</v>
      </c>
      <c r="J2516">
        <v>1.55</v>
      </c>
      <c r="K2516">
        <v>1</v>
      </c>
      <c r="L2516">
        <v>1.4999999999999999E-2</v>
      </c>
      <c r="M2516">
        <v>4</v>
      </c>
      <c r="N2516">
        <v>103</v>
      </c>
      <c r="O2516">
        <v>1</v>
      </c>
      <c r="P2516">
        <v>7.4999999999999997E-2</v>
      </c>
      <c r="Q2516">
        <v>1</v>
      </c>
      <c r="R2516">
        <v>8.4999999999999995E-4</v>
      </c>
      <c r="T2516" s="8" t="s">
        <v>357</v>
      </c>
    </row>
    <row r="2517" spans="1:20" x14ac:dyDescent="0.2">
      <c r="A2517" t="s">
        <v>7124</v>
      </c>
      <c r="B2517" t="s">
        <v>2022</v>
      </c>
      <c r="C2517" t="s">
        <v>2028</v>
      </c>
      <c r="D2517" t="s">
        <v>2024</v>
      </c>
      <c r="E2517" t="s">
        <v>357</v>
      </c>
      <c r="F2517" t="s">
        <v>7123</v>
      </c>
      <c r="G2517">
        <v>5</v>
      </c>
      <c r="H2517">
        <v>1450</v>
      </c>
      <c r="I2517">
        <v>3</v>
      </c>
      <c r="J2517">
        <v>3.25</v>
      </c>
      <c r="K2517">
        <v>2</v>
      </c>
      <c r="L2517">
        <v>4.4999999999999998E-2</v>
      </c>
      <c r="M2517">
        <v>1</v>
      </c>
      <c r="N2517">
        <v>100</v>
      </c>
      <c r="O2517">
        <v>1</v>
      </c>
      <c r="P2517">
        <v>0.15</v>
      </c>
      <c r="Q2517">
        <v>1</v>
      </c>
      <c r="R2517">
        <v>1.75E-3</v>
      </c>
      <c r="T2517" s="8" t="s">
        <v>357</v>
      </c>
    </row>
    <row r="2518" spans="1:20" x14ac:dyDescent="0.2">
      <c r="A2518" t="s">
        <v>7125</v>
      </c>
      <c r="B2518" t="s">
        <v>2022</v>
      </c>
      <c r="C2518" t="s">
        <v>2049</v>
      </c>
      <c r="D2518" t="s">
        <v>2024</v>
      </c>
      <c r="E2518" t="s">
        <v>357</v>
      </c>
      <c r="F2518" t="s">
        <v>7123</v>
      </c>
      <c r="G2518">
        <v>5</v>
      </c>
      <c r="H2518">
        <v>1750</v>
      </c>
      <c r="I2518">
        <v>2</v>
      </c>
      <c r="J2518">
        <v>3.2</v>
      </c>
      <c r="K2518">
        <v>1</v>
      </c>
      <c r="L2518">
        <v>0.01</v>
      </c>
      <c r="M2518">
        <v>3</v>
      </c>
      <c r="N2518">
        <v>126</v>
      </c>
      <c r="O2518">
        <v>2</v>
      </c>
      <c r="P2518">
        <v>0.26</v>
      </c>
      <c r="Q2518">
        <v>1</v>
      </c>
      <c r="R2518">
        <v>8.4999999999999995E-4</v>
      </c>
      <c r="T2518" s="8" t="s">
        <v>357</v>
      </c>
    </row>
    <row r="2519" spans="1:20" x14ac:dyDescent="0.2">
      <c r="A2519" t="s">
        <v>7126</v>
      </c>
      <c r="B2519" t="s">
        <v>2022</v>
      </c>
      <c r="C2519" t="s">
        <v>2023</v>
      </c>
      <c r="D2519" t="s">
        <v>2024</v>
      </c>
      <c r="E2519" t="s">
        <v>357</v>
      </c>
      <c r="F2519" t="s">
        <v>7123</v>
      </c>
      <c r="G2519">
        <v>5</v>
      </c>
      <c r="H2519">
        <v>1800</v>
      </c>
      <c r="I2519">
        <v>2</v>
      </c>
      <c r="J2519">
        <v>3.4</v>
      </c>
      <c r="K2519">
        <v>2</v>
      </c>
      <c r="L2519">
        <v>2.5999999999999999E-2</v>
      </c>
      <c r="M2519">
        <v>4</v>
      </c>
      <c r="N2519">
        <v>104</v>
      </c>
      <c r="O2519">
        <v>2</v>
      </c>
      <c r="P2519">
        <v>0.22500000000000001</v>
      </c>
      <c r="Q2519">
        <v>2</v>
      </c>
      <c r="R2519">
        <v>2E-3</v>
      </c>
      <c r="T2519" s="8" t="s">
        <v>357</v>
      </c>
    </row>
    <row r="2520" spans="1:20" x14ac:dyDescent="0.2">
      <c r="A2520" t="s">
        <v>7127</v>
      </c>
      <c r="B2520" t="s">
        <v>2022</v>
      </c>
      <c r="C2520" t="s">
        <v>2053</v>
      </c>
      <c r="D2520" t="s">
        <v>2024</v>
      </c>
      <c r="E2520" t="s">
        <v>7128</v>
      </c>
      <c r="F2520" t="s">
        <v>7129</v>
      </c>
      <c r="G2520">
        <v>2</v>
      </c>
      <c r="H2520">
        <v>1600</v>
      </c>
      <c r="I2520">
        <v>3</v>
      </c>
      <c r="J2520">
        <v>6.55</v>
      </c>
      <c r="K2520">
        <v>3</v>
      </c>
      <c r="L2520">
        <v>0.19500000000000001</v>
      </c>
      <c r="M2520">
        <v>1</v>
      </c>
      <c r="N2520">
        <v>73</v>
      </c>
      <c r="O2520">
        <v>2</v>
      </c>
      <c r="P2520">
        <v>0.22500000000000001</v>
      </c>
      <c r="Q2520">
        <v>3</v>
      </c>
      <c r="R2520">
        <v>1.2200000000000001E-2</v>
      </c>
      <c r="T2520" s="8" t="s">
        <v>7128</v>
      </c>
    </row>
    <row r="2521" spans="1:20" x14ac:dyDescent="0.2">
      <c r="A2521" t="s">
        <v>7130</v>
      </c>
      <c r="B2521" t="s">
        <v>2022</v>
      </c>
      <c r="C2521" t="s">
        <v>2036</v>
      </c>
      <c r="D2521" t="s">
        <v>2024</v>
      </c>
      <c r="E2521" t="s">
        <v>7131</v>
      </c>
      <c r="F2521" t="s">
        <v>7132</v>
      </c>
      <c r="G2521">
        <v>2</v>
      </c>
      <c r="H2521">
        <v>1640</v>
      </c>
      <c r="I2521">
        <v>3</v>
      </c>
      <c r="J2521">
        <v>4.5999999999999996</v>
      </c>
      <c r="K2521">
        <v>2</v>
      </c>
      <c r="L2521">
        <v>8.5000000000000006E-2</v>
      </c>
      <c r="M2521">
        <v>4</v>
      </c>
      <c r="N2521">
        <v>94</v>
      </c>
      <c r="O2521">
        <v>3</v>
      </c>
      <c r="P2521">
        <v>0.315</v>
      </c>
      <c r="Q2521">
        <v>2</v>
      </c>
      <c r="R2521">
        <v>4.2500000000000003E-3</v>
      </c>
      <c r="T2521" s="8" t="s">
        <v>7131</v>
      </c>
    </row>
    <row r="2522" spans="1:20" x14ac:dyDescent="0.2">
      <c r="A2522" t="s">
        <v>7133</v>
      </c>
      <c r="B2522" t="s">
        <v>2022</v>
      </c>
      <c r="C2522" t="s">
        <v>2053</v>
      </c>
      <c r="D2522" t="s">
        <v>2024</v>
      </c>
      <c r="E2522" t="s">
        <v>7134</v>
      </c>
      <c r="F2522" t="s">
        <v>7135</v>
      </c>
      <c r="G2522">
        <v>5</v>
      </c>
      <c r="H2522">
        <v>1900</v>
      </c>
      <c r="I2522">
        <v>5</v>
      </c>
      <c r="J2522">
        <v>11.55</v>
      </c>
      <c r="K2522">
        <v>5</v>
      </c>
      <c r="L2522">
        <v>0.41499999999999998</v>
      </c>
      <c r="M2522">
        <v>3</v>
      </c>
      <c r="N2522">
        <v>93</v>
      </c>
      <c r="O2522">
        <v>5</v>
      </c>
      <c r="P2522">
        <v>0.67500000000000004</v>
      </c>
      <c r="Q2522">
        <v>5</v>
      </c>
      <c r="R2522">
        <v>2.6200000000000001E-2</v>
      </c>
      <c r="T2522" s="8" t="s">
        <v>7134</v>
      </c>
    </row>
    <row r="2523" spans="1:20" x14ac:dyDescent="0.2">
      <c r="A2523" t="s">
        <v>7136</v>
      </c>
      <c r="B2523" t="s">
        <v>2022</v>
      </c>
      <c r="C2523" t="s">
        <v>2023</v>
      </c>
      <c r="D2523" t="s">
        <v>2024</v>
      </c>
      <c r="E2523" t="s">
        <v>7137</v>
      </c>
      <c r="F2523" t="s">
        <v>7138</v>
      </c>
      <c r="G2523">
        <v>2</v>
      </c>
      <c r="H2523">
        <v>1560</v>
      </c>
      <c r="I2523">
        <v>1</v>
      </c>
      <c r="J2523">
        <v>0.9</v>
      </c>
      <c r="K2523">
        <v>2</v>
      </c>
      <c r="L2523">
        <v>2.5999999999999999E-2</v>
      </c>
      <c r="M2523">
        <v>2</v>
      </c>
      <c r="N2523">
        <v>84</v>
      </c>
      <c r="O2523">
        <v>1</v>
      </c>
      <c r="P2523">
        <v>7.4999999999999997E-2</v>
      </c>
      <c r="Q2523">
        <v>2</v>
      </c>
      <c r="R2523">
        <v>2E-3</v>
      </c>
      <c r="T2523" s="8" t="s">
        <v>7137</v>
      </c>
    </row>
    <row r="2524" spans="1:20" x14ac:dyDescent="0.2">
      <c r="A2524" t="s">
        <v>75</v>
      </c>
      <c r="B2524" t="s">
        <v>2022</v>
      </c>
      <c r="C2524" t="s">
        <v>2049</v>
      </c>
      <c r="D2524" t="s">
        <v>2024</v>
      </c>
      <c r="E2524" t="s">
        <v>275</v>
      </c>
      <c r="F2524" t="s">
        <v>7139</v>
      </c>
      <c r="G2524">
        <v>3</v>
      </c>
      <c r="H2524">
        <v>1550</v>
      </c>
      <c r="I2524">
        <v>2</v>
      </c>
      <c r="J2524">
        <v>3.2</v>
      </c>
      <c r="K2524">
        <v>2</v>
      </c>
      <c r="L2524">
        <v>0.06</v>
      </c>
      <c r="M2524">
        <v>1</v>
      </c>
      <c r="N2524">
        <v>86</v>
      </c>
      <c r="O2524">
        <v>2</v>
      </c>
      <c r="P2524">
        <v>0.26</v>
      </c>
      <c r="Q2524">
        <v>2</v>
      </c>
      <c r="R2524">
        <v>6.1999999999999998E-3</v>
      </c>
      <c r="T2524" s="8" t="s">
        <v>275</v>
      </c>
    </row>
    <row r="2525" spans="1:20" x14ac:dyDescent="0.2">
      <c r="A2525" t="s">
        <v>7140</v>
      </c>
      <c r="B2525" t="s">
        <v>2022</v>
      </c>
      <c r="C2525" t="s">
        <v>2028</v>
      </c>
      <c r="D2525" t="s">
        <v>2024</v>
      </c>
      <c r="E2525" t="s">
        <v>7141</v>
      </c>
      <c r="F2525" t="s">
        <v>7142</v>
      </c>
      <c r="G2525">
        <v>1</v>
      </c>
      <c r="H2525">
        <v>650</v>
      </c>
      <c r="I2525">
        <v>2</v>
      </c>
      <c r="J2525">
        <v>1.55</v>
      </c>
      <c r="K2525">
        <v>2</v>
      </c>
      <c r="L2525">
        <v>4.4999999999999998E-2</v>
      </c>
      <c r="M2525">
        <v>4</v>
      </c>
      <c r="N2525">
        <v>400</v>
      </c>
      <c r="O2525">
        <v>4</v>
      </c>
      <c r="P2525">
        <v>1.05</v>
      </c>
      <c r="Q2525">
        <v>5</v>
      </c>
      <c r="R2525">
        <v>3.3500000000000002E-2</v>
      </c>
      <c r="T2525" s="8" t="s">
        <v>7141</v>
      </c>
    </row>
    <row r="2526" spans="1:20" x14ac:dyDescent="0.2">
      <c r="A2526" t="s">
        <v>7143</v>
      </c>
      <c r="B2526" t="s">
        <v>2022</v>
      </c>
      <c r="C2526" t="s">
        <v>2036</v>
      </c>
      <c r="D2526" t="s">
        <v>2024</v>
      </c>
      <c r="E2526" t="s">
        <v>7144</v>
      </c>
      <c r="F2526" t="s">
        <v>7145</v>
      </c>
      <c r="G2526">
        <v>5</v>
      </c>
      <c r="H2526">
        <v>1940</v>
      </c>
      <c r="I2526">
        <v>5</v>
      </c>
      <c r="J2526">
        <v>7</v>
      </c>
      <c r="K2526">
        <v>5</v>
      </c>
      <c r="L2526">
        <v>0.17499999999999999</v>
      </c>
      <c r="M2526">
        <v>5</v>
      </c>
      <c r="N2526">
        <v>100</v>
      </c>
      <c r="O2526">
        <v>5</v>
      </c>
      <c r="P2526">
        <v>0.53500000000000003</v>
      </c>
      <c r="Q2526">
        <v>5</v>
      </c>
      <c r="R2526">
        <v>1.2E-2</v>
      </c>
      <c r="T2526" s="8" t="s">
        <v>7144</v>
      </c>
    </row>
    <row r="2527" spans="1:20" x14ac:dyDescent="0.2">
      <c r="A2527" t="s">
        <v>7146</v>
      </c>
      <c r="B2527" t="s">
        <v>2022</v>
      </c>
      <c r="C2527" t="s">
        <v>2036</v>
      </c>
      <c r="D2527" t="s">
        <v>2024</v>
      </c>
      <c r="E2527" t="s">
        <v>7147</v>
      </c>
      <c r="F2527" t="s">
        <v>7148</v>
      </c>
      <c r="G2527">
        <v>2</v>
      </c>
      <c r="H2527">
        <v>1640</v>
      </c>
      <c r="I2527">
        <v>2</v>
      </c>
      <c r="J2527">
        <v>3.4</v>
      </c>
      <c r="K2527">
        <v>3</v>
      </c>
      <c r="L2527">
        <v>0.115</v>
      </c>
      <c r="M2527">
        <v>1</v>
      </c>
      <c r="N2527">
        <v>76</v>
      </c>
      <c r="O2527">
        <v>2</v>
      </c>
      <c r="P2527">
        <v>0.20499999999999999</v>
      </c>
      <c r="Q2527">
        <v>3</v>
      </c>
      <c r="R2527">
        <v>6.7499999999999999E-3</v>
      </c>
      <c r="T2527" s="8" t="s">
        <v>7147</v>
      </c>
    </row>
    <row r="2528" spans="1:20" x14ac:dyDescent="0.2">
      <c r="A2528" t="s">
        <v>7149</v>
      </c>
      <c r="B2528" t="s">
        <v>2022</v>
      </c>
      <c r="C2528" t="s">
        <v>2053</v>
      </c>
      <c r="D2528" t="s">
        <v>2136</v>
      </c>
      <c r="E2528" t="s">
        <v>7150</v>
      </c>
      <c r="F2528" t="s">
        <v>2297</v>
      </c>
      <c r="G2528">
        <v>5</v>
      </c>
      <c r="H2528">
        <v>1900</v>
      </c>
      <c r="I2528">
        <v>3</v>
      </c>
      <c r="J2528">
        <v>6.55</v>
      </c>
      <c r="K2528">
        <v>5</v>
      </c>
      <c r="L2528">
        <v>0.41499999999999998</v>
      </c>
      <c r="M2528">
        <v>3</v>
      </c>
      <c r="N2528">
        <v>93</v>
      </c>
      <c r="O2528">
        <v>3</v>
      </c>
      <c r="P2528">
        <v>0.375</v>
      </c>
      <c r="Q2528">
        <v>4</v>
      </c>
      <c r="R2528">
        <v>1.9199999999999998E-2</v>
      </c>
      <c r="T2528" s="8" t="s">
        <v>7150</v>
      </c>
    </row>
    <row r="2529" spans="1:20" x14ac:dyDescent="0.2">
      <c r="A2529" t="s">
        <v>7151</v>
      </c>
      <c r="B2529" t="s">
        <v>2022</v>
      </c>
      <c r="C2529" t="s">
        <v>2257</v>
      </c>
      <c r="D2529" t="s">
        <v>2024</v>
      </c>
      <c r="E2529" t="s">
        <v>357</v>
      </c>
      <c r="F2529" t="s">
        <v>7152</v>
      </c>
      <c r="G2529">
        <v>5</v>
      </c>
      <c r="H2529">
        <v>1300</v>
      </c>
      <c r="I2529">
        <v>5</v>
      </c>
      <c r="J2529">
        <v>5.65</v>
      </c>
      <c r="K2529">
        <v>5</v>
      </c>
      <c r="L2529">
        <v>0.187</v>
      </c>
      <c r="M2529">
        <v>5</v>
      </c>
      <c r="N2529">
        <v>1100</v>
      </c>
      <c r="O2529">
        <v>5</v>
      </c>
      <c r="P2529">
        <v>2.7</v>
      </c>
      <c r="Q2529">
        <v>5</v>
      </c>
      <c r="R2529">
        <v>8.1000000000000003E-2</v>
      </c>
      <c r="T2529" s="8" t="s">
        <v>357</v>
      </c>
    </row>
    <row r="2530" spans="1:20" x14ac:dyDescent="0.2">
      <c r="A2530" t="s">
        <v>7153</v>
      </c>
      <c r="B2530" t="s">
        <v>2022</v>
      </c>
      <c r="C2530" t="s">
        <v>2023</v>
      </c>
      <c r="D2530" t="s">
        <v>2024</v>
      </c>
      <c r="E2530" t="s">
        <v>7154</v>
      </c>
      <c r="F2530" t="s">
        <v>7155</v>
      </c>
      <c r="G2530">
        <v>4</v>
      </c>
      <c r="H2530">
        <v>1720</v>
      </c>
      <c r="I2530">
        <v>3</v>
      </c>
      <c r="J2530">
        <v>5.9</v>
      </c>
      <c r="K2530">
        <v>5</v>
      </c>
      <c r="L2530">
        <v>8.5999999999999993E-2</v>
      </c>
      <c r="M2530">
        <v>3</v>
      </c>
      <c r="N2530">
        <v>94</v>
      </c>
      <c r="O2530">
        <v>3</v>
      </c>
      <c r="P2530">
        <v>0.375</v>
      </c>
      <c r="Q2530">
        <v>3</v>
      </c>
      <c r="R2530">
        <v>4.0000000000000001E-3</v>
      </c>
      <c r="T2530" s="8" t="s">
        <v>7154</v>
      </c>
    </row>
    <row r="2531" spans="1:20" x14ac:dyDescent="0.2">
      <c r="A2531" t="s">
        <v>7156</v>
      </c>
      <c r="B2531" t="s">
        <v>2022</v>
      </c>
      <c r="C2531" t="s">
        <v>2036</v>
      </c>
      <c r="D2531" t="s">
        <v>2024</v>
      </c>
      <c r="E2531" t="s">
        <v>7157</v>
      </c>
      <c r="F2531" t="s">
        <v>7158</v>
      </c>
      <c r="G2531">
        <v>5</v>
      </c>
      <c r="H2531">
        <v>1940</v>
      </c>
      <c r="I2531">
        <v>4</v>
      </c>
      <c r="J2531">
        <v>5.8</v>
      </c>
      <c r="K2531">
        <v>1</v>
      </c>
      <c r="L2531">
        <v>5.5E-2</v>
      </c>
      <c r="M2531">
        <v>5</v>
      </c>
      <c r="N2531">
        <v>100</v>
      </c>
      <c r="O2531">
        <v>3</v>
      </c>
      <c r="P2531">
        <v>0.315</v>
      </c>
      <c r="Q2531">
        <v>1</v>
      </c>
      <c r="R2531">
        <v>1.5E-3</v>
      </c>
      <c r="T2531" s="8" t="s">
        <v>7157</v>
      </c>
    </row>
    <row r="2532" spans="1:20" x14ac:dyDescent="0.2">
      <c r="A2532" t="s">
        <v>7159</v>
      </c>
      <c r="B2532" t="s">
        <v>2022</v>
      </c>
      <c r="C2532" t="s">
        <v>2023</v>
      </c>
      <c r="D2532" t="s">
        <v>2024</v>
      </c>
      <c r="E2532" t="s">
        <v>7160</v>
      </c>
      <c r="F2532" t="s">
        <v>7161</v>
      </c>
      <c r="G2532">
        <v>3</v>
      </c>
      <c r="H2532">
        <v>1640</v>
      </c>
      <c r="I2532">
        <v>1</v>
      </c>
      <c r="J2532">
        <v>0.9</v>
      </c>
      <c r="K2532">
        <v>1</v>
      </c>
      <c r="L2532">
        <v>6.0000000000000001E-3</v>
      </c>
      <c r="M2532">
        <v>2</v>
      </c>
      <c r="N2532">
        <v>84</v>
      </c>
      <c r="O2532">
        <v>1</v>
      </c>
      <c r="P2532">
        <v>7.4999999999999997E-2</v>
      </c>
      <c r="Q2532">
        <v>1</v>
      </c>
      <c r="R2532">
        <v>5.0000000000000001E-4</v>
      </c>
      <c r="T2532" s="8" t="s">
        <v>7160</v>
      </c>
    </row>
    <row r="2533" spans="1:20" x14ac:dyDescent="0.2">
      <c r="A2533" t="s">
        <v>7162</v>
      </c>
      <c r="B2533" t="s">
        <v>2022</v>
      </c>
      <c r="C2533" t="s">
        <v>2053</v>
      </c>
      <c r="D2533" t="s">
        <v>2024</v>
      </c>
      <c r="E2533" t="s">
        <v>7163</v>
      </c>
      <c r="F2533" t="s">
        <v>7164</v>
      </c>
      <c r="G2533">
        <v>1</v>
      </c>
      <c r="H2533">
        <v>1500</v>
      </c>
      <c r="I2533">
        <v>2</v>
      </c>
      <c r="J2533">
        <v>4.05</v>
      </c>
      <c r="K2533">
        <v>2</v>
      </c>
      <c r="L2533">
        <v>8.5000000000000006E-2</v>
      </c>
      <c r="M2533">
        <v>1</v>
      </c>
      <c r="N2533">
        <v>73</v>
      </c>
      <c r="O2533">
        <v>2</v>
      </c>
      <c r="P2533">
        <v>0.22500000000000001</v>
      </c>
      <c r="Q2533">
        <v>2</v>
      </c>
      <c r="R2533">
        <v>5.1999999999999998E-3</v>
      </c>
      <c r="T2533" s="8" t="s">
        <v>7163</v>
      </c>
    </row>
    <row r="2534" spans="1:20" x14ac:dyDescent="0.2">
      <c r="A2534" t="s">
        <v>7165</v>
      </c>
      <c r="B2534" t="s">
        <v>2022</v>
      </c>
      <c r="C2534" t="s">
        <v>2036</v>
      </c>
      <c r="D2534" t="s">
        <v>2024</v>
      </c>
      <c r="E2534" t="s">
        <v>7166</v>
      </c>
      <c r="F2534" t="s">
        <v>447</v>
      </c>
      <c r="G2534">
        <v>4</v>
      </c>
      <c r="H2534">
        <v>1840</v>
      </c>
      <c r="I2534">
        <v>4</v>
      </c>
      <c r="J2534">
        <v>5.8</v>
      </c>
      <c r="K2534">
        <v>5</v>
      </c>
      <c r="L2534">
        <v>0.17499999999999999</v>
      </c>
      <c r="M2534">
        <v>5</v>
      </c>
      <c r="N2534">
        <v>100</v>
      </c>
      <c r="O2534">
        <v>3</v>
      </c>
      <c r="P2534">
        <v>0.315</v>
      </c>
      <c r="Q2534">
        <v>5</v>
      </c>
      <c r="R2534">
        <v>1.2E-2</v>
      </c>
      <c r="T2534" s="8" t="s">
        <v>7166</v>
      </c>
    </row>
    <row r="2535" spans="1:20" x14ac:dyDescent="0.2">
      <c r="A2535" t="s">
        <v>7167</v>
      </c>
      <c r="B2535" t="s">
        <v>2022</v>
      </c>
      <c r="C2535" t="s">
        <v>2049</v>
      </c>
      <c r="D2535" t="s">
        <v>2024</v>
      </c>
      <c r="E2535" t="s">
        <v>7168</v>
      </c>
      <c r="F2535" t="s">
        <v>7169</v>
      </c>
      <c r="G2535">
        <v>5</v>
      </c>
      <c r="H2535">
        <v>1750</v>
      </c>
      <c r="I2535">
        <v>4</v>
      </c>
      <c r="J2535">
        <v>6.8</v>
      </c>
      <c r="K2535">
        <v>4</v>
      </c>
      <c r="L2535">
        <v>0.22</v>
      </c>
      <c r="M2535">
        <v>3</v>
      </c>
      <c r="N2535">
        <v>126</v>
      </c>
      <c r="O2535">
        <v>3</v>
      </c>
      <c r="P2535">
        <v>0.46</v>
      </c>
      <c r="Q2535">
        <v>3</v>
      </c>
      <c r="R2535">
        <v>1.52E-2</v>
      </c>
      <c r="T2535" s="8" t="s">
        <v>7168</v>
      </c>
    </row>
    <row r="2536" spans="1:20" x14ac:dyDescent="0.2">
      <c r="A2536" t="s">
        <v>7170</v>
      </c>
      <c r="B2536" t="s">
        <v>2022</v>
      </c>
      <c r="C2536" t="s">
        <v>2053</v>
      </c>
      <c r="D2536" t="s">
        <v>2024</v>
      </c>
      <c r="E2536" t="s">
        <v>7171</v>
      </c>
      <c r="F2536" t="s">
        <v>7172</v>
      </c>
      <c r="G2536">
        <v>3</v>
      </c>
      <c r="H2536">
        <v>1700</v>
      </c>
      <c r="I2536">
        <v>3</v>
      </c>
      <c r="J2536">
        <v>6.55</v>
      </c>
      <c r="K2536">
        <v>3</v>
      </c>
      <c r="L2536">
        <v>0.19500000000000001</v>
      </c>
      <c r="M2536">
        <v>3</v>
      </c>
      <c r="N2536">
        <v>93</v>
      </c>
      <c r="O2536">
        <v>3</v>
      </c>
      <c r="P2536">
        <v>0.375</v>
      </c>
      <c r="Q2536">
        <v>3</v>
      </c>
      <c r="R2536">
        <v>1.2200000000000001E-2</v>
      </c>
      <c r="T2536" s="8" t="s">
        <v>7171</v>
      </c>
    </row>
    <row r="2537" spans="1:20" x14ac:dyDescent="0.2">
      <c r="A2537" t="s">
        <v>7173</v>
      </c>
      <c r="B2537" t="s">
        <v>2022</v>
      </c>
      <c r="C2537" t="s">
        <v>2095</v>
      </c>
      <c r="D2537" t="s">
        <v>2024</v>
      </c>
      <c r="E2537" t="s">
        <v>7174</v>
      </c>
      <c r="F2537" t="s">
        <v>7175</v>
      </c>
      <c r="G2537">
        <v>4</v>
      </c>
      <c r="H2537">
        <v>1835</v>
      </c>
      <c r="I2537">
        <v>5</v>
      </c>
      <c r="J2537">
        <v>16.5</v>
      </c>
      <c r="K2537">
        <v>4</v>
      </c>
      <c r="L2537">
        <v>0.53</v>
      </c>
      <c r="M2537">
        <v>5</v>
      </c>
      <c r="N2537">
        <v>98</v>
      </c>
      <c r="O2537">
        <v>5</v>
      </c>
      <c r="P2537">
        <v>0.95</v>
      </c>
      <c r="Q2537">
        <v>5</v>
      </c>
      <c r="R2537">
        <v>3.2899999999999999E-2</v>
      </c>
      <c r="T2537" s="8" t="s">
        <v>7174</v>
      </c>
    </row>
    <row r="2538" spans="1:20" x14ac:dyDescent="0.2">
      <c r="A2538" t="s">
        <v>7176</v>
      </c>
      <c r="B2538" t="s">
        <v>2022</v>
      </c>
      <c r="C2538" t="s">
        <v>2036</v>
      </c>
      <c r="D2538" t="s">
        <v>2024</v>
      </c>
      <c r="E2538" t="s">
        <v>7177</v>
      </c>
      <c r="F2538" t="s">
        <v>447</v>
      </c>
      <c r="G2538">
        <v>3</v>
      </c>
      <c r="H2538">
        <v>1740</v>
      </c>
      <c r="I2538">
        <v>3</v>
      </c>
      <c r="J2538">
        <v>4.5999999999999996</v>
      </c>
      <c r="K2538">
        <v>4</v>
      </c>
      <c r="L2538">
        <v>0.14499999999999999</v>
      </c>
      <c r="M2538">
        <v>2</v>
      </c>
      <c r="N2538">
        <v>82</v>
      </c>
      <c r="O2538">
        <v>2</v>
      </c>
      <c r="P2538">
        <v>0.20499999999999999</v>
      </c>
      <c r="Q2538">
        <v>3</v>
      </c>
      <c r="R2538">
        <v>6.7499999999999999E-3</v>
      </c>
      <c r="T2538" s="8" t="s">
        <v>7177</v>
      </c>
    </row>
    <row r="2539" spans="1:20" x14ac:dyDescent="0.2">
      <c r="A2539" t="s">
        <v>7178</v>
      </c>
      <c r="B2539" t="s">
        <v>2022</v>
      </c>
      <c r="C2539" t="s">
        <v>2023</v>
      </c>
      <c r="D2539" t="s">
        <v>2154</v>
      </c>
      <c r="E2539" t="s">
        <v>7179</v>
      </c>
      <c r="F2539" t="s">
        <v>7180</v>
      </c>
      <c r="G2539">
        <v>1</v>
      </c>
      <c r="H2539">
        <v>1480</v>
      </c>
      <c r="I2539">
        <v>1</v>
      </c>
      <c r="J2539">
        <v>0.9</v>
      </c>
      <c r="K2539">
        <v>1</v>
      </c>
      <c r="L2539">
        <v>6.0000000000000001E-3</v>
      </c>
      <c r="M2539">
        <v>5</v>
      </c>
      <c r="N2539">
        <v>114</v>
      </c>
      <c r="O2539">
        <v>2</v>
      </c>
      <c r="P2539">
        <v>0.22500000000000001</v>
      </c>
      <c r="Q2539">
        <v>2</v>
      </c>
      <c r="R2539">
        <v>2E-3</v>
      </c>
      <c r="T2539" s="8" t="s">
        <v>7179</v>
      </c>
    </row>
    <row r="2540" spans="1:20" x14ac:dyDescent="0.2">
      <c r="A2540" t="s">
        <v>7181</v>
      </c>
      <c r="B2540" t="s">
        <v>2022</v>
      </c>
      <c r="C2540" t="s">
        <v>2036</v>
      </c>
      <c r="D2540" t="s">
        <v>2154</v>
      </c>
      <c r="E2540" t="s">
        <v>7182</v>
      </c>
      <c r="F2540" t="s">
        <v>7183</v>
      </c>
      <c r="G2540">
        <v>2</v>
      </c>
      <c r="H2540">
        <v>1640</v>
      </c>
      <c r="I2540">
        <v>4</v>
      </c>
      <c r="J2540">
        <v>5.8</v>
      </c>
      <c r="K2540">
        <v>5</v>
      </c>
      <c r="L2540">
        <v>0.17499999999999999</v>
      </c>
      <c r="M2540">
        <v>2</v>
      </c>
      <c r="N2540">
        <v>82</v>
      </c>
      <c r="O2540">
        <v>3</v>
      </c>
      <c r="P2540">
        <v>0.315</v>
      </c>
      <c r="Q2540">
        <v>4</v>
      </c>
      <c r="R2540">
        <v>9.2499999999999995E-3</v>
      </c>
      <c r="T2540" s="8" t="s">
        <v>7182</v>
      </c>
    </row>
    <row r="2541" spans="1:20" x14ac:dyDescent="0.2">
      <c r="A2541" t="s">
        <v>7184</v>
      </c>
      <c r="B2541" t="s">
        <v>2022</v>
      </c>
      <c r="C2541" t="s">
        <v>2036</v>
      </c>
      <c r="D2541" t="s">
        <v>2024</v>
      </c>
      <c r="E2541" t="s">
        <v>7185</v>
      </c>
      <c r="F2541" t="s">
        <v>7186</v>
      </c>
      <c r="G2541">
        <v>2</v>
      </c>
      <c r="H2541">
        <v>1640</v>
      </c>
      <c r="I2541">
        <v>5</v>
      </c>
      <c r="J2541">
        <v>7</v>
      </c>
      <c r="K2541">
        <v>5</v>
      </c>
      <c r="L2541">
        <v>0.17499999999999999</v>
      </c>
      <c r="M2541">
        <v>2</v>
      </c>
      <c r="N2541">
        <v>82</v>
      </c>
      <c r="O2541">
        <v>4</v>
      </c>
      <c r="P2541">
        <v>0.42499999999999999</v>
      </c>
      <c r="Q2541">
        <v>5</v>
      </c>
      <c r="R2541">
        <v>1.2E-2</v>
      </c>
      <c r="T2541" s="8" t="s">
        <v>7185</v>
      </c>
    </row>
    <row r="2542" spans="1:20" x14ac:dyDescent="0.2">
      <c r="A2542" t="s">
        <v>7187</v>
      </c>
      <c r="B2542" t="s">
        <v>2022</v>
      </c>
      <c r="C2542" t="s">
        <v>2023</v>
      </c>
      <c r="D2542" t="s">
        <v>2024</v>
      </c>
      <c r="E2542" t="s">
        <v>7188</v>
      </c>
      <c r="F2542" t="s">
        <v>7189</v>
      </c>
      <c r="G2542">
        <v>3</v>
      </c>
      <c r="H2542">
        <v>1640</v>
      </c>
      <c r="I2542">
        <v>2</v>
      </c>
      <c r="J2542">
        <v>3.4</v>
      </c>
      <c r="K2542">
        <v>3</v>
      </c>
      <c r="L2542">
        <v>4.5999999999999999E-2</v>
      </c>
      <c r="M2542">
        <v>3</v>
      </c>
      <c r="N2542">
        <v>94</v>
      </c>
      <c r="O2542">
        <v>2</v>
      </c>
      <c r="P2542">
        <v>0.22500000000000001</v>
      </c>
      <c r="Q2542">
        <v>2</v>
      </c>
      <c r="R2542">
        <v>2E-3</v>
      </c>
      <c r="T2542" s="8" t="s">
        <v>7188</v>
      </c>
    </row>
    <row r="2543" spans="1:20" x14ac:dyDescent="0.2">
      <c r="A2543" t="s">
        <v>7190</v>
      </c>
      <c r="B2543" t="s">
        <v>2022</v>
      </c>
      <c r="C2543" t="s">
        <v>2023</v>
      </c>
      <c r="D2543" t="s">
        <v>2024</v>
      </c>
      <c r="E2543" t="s">
        <v>7191</v>
      </c>
      <c r="F2543" t="s">
        <v>7192</v>
      </c>
      <c r="G2543">
        <v>5</v>
      </c>
      <c r="H2543">
        <v>1800</v>
      </c>
      <c r="I2543">
        <v>3</v>
      </c>
      <c r="J2543">
        <v>5.9</v>
      </c>
      <c r="K2543">
        <v>5</v>
      </c>
      <c r="L2543">
        <v>8.5999999999999993E-2</v>
      </c>
      <c r="M2543">
        <v>5</v>
      </c>
      <c r="N2543">
        <v>114</v>
      </c>
      <c r="O2543">
        <v>3</v>
      </c>
      <c r="P2543">
        <v>0.375</v>
      </c>
      <c r="Q2543">
        <v>4</v>
      </c>
      <c r="R2543">
        <v>6.0000000000000001E-3</v>
      </c>
      <c r="T2543" s="8" t="s">
        <v>7191</v>
      </c>
    </row>
    <row r="2544" spans="1:20" x14ac:dyDescent="0.2">
      <c r="A2544" t="s">
        <v>7193</v>
      </c>
      <c r="B2544" t="s">
        <v>2022</v>
      </c>
      <c r="C2544" t="s">
        <v>2222</v>
      </c>
      <c r="D2544" t="s">
        <v>2024</v>
      </c>
      <c r="E2544" t="s">
        <v>7194</v>
      </c>
      <c r="F2544" t="s">
        <v>7195</v>
      </c>
      <c r="G2544">
        <v>5</v>
      </c>
      <c r="H2544">
        <v>1850</v>
      </c>
      <c r="I2544">
        <v>5</v>
      </c>
      <c r="J2544">
        <v>8.6999999999999993</v>
      </c>
      <c r="K2544">
        <v>5</v>
      </c>
      <c r="L2544">
        <v>0.26500000000000001</v>
      </c>
      <c r="M2544">
        <v>1</v>
      </c>
      <c r="N2544">
        <v>59</v>
      </c>
      <c r="O2544">
        <v>4</v>
      </c>
      <c r="P2544">
        <v>0.31</v>
      </c>
      <c r="Q2544">
        <v>4</v>
      </c>
      <c r="R2544">
        <v>8.3000000000000001E-3</v>
      </c>
      <c r="T2544" s="8" t="s">
        <v>7194</v>
      </c>
    </row>
    <row r="2545" spans="1:20" x14ac:dyDescent="0.2">
      <c r="A2545" t="s">
        <v>7196</v>
      </c>
      <c r="B2545" t="s">
        <v>2022</v>
      </c>
      <c r="C2545" t="s">
        <v>2036</v>
      </c>
      <c r="D2545" t="s">
        <v>2024</v>
      </c>
      <c r="E2545" t="s">
        <v>7197</v>
      </c>
      <c r="F2545" t="s">
        <v>7198</v>
      </c>
      <c r="G2545">
        <v>2</v>
      </c>
      <c r="H2545">
        <v>1640</v>
      </c>
      <c r="I2545">
        <v>2</v>
      </c>
      <c r="J2545">
        <v>3.4</v>
      </c>
      <c r="K2545">
        <v>2</v>
      </c>
      <c r="L2545">
        <v>8.5000000000000006E-2</v>
      </c>
      <c r="M2545">
        <v>1</v>
      </c>
      <c r="N2545">
        <v>76</v>
      </c>
      <c r="O2545">
        <v>1</v>
      </c>
      <c r="P2545">
        <v>9.5000000000000001E-2</v>
      </c>
      <c r="Q2545">
        <v>2</v>
      </c>
      <c r="R2545">
        <v>4.2500000000000003E-3</v>
      </c>
      <c r="T2545" s="8" t="s">
        <v>7197</v>
      </c>
    </row>
    <row r="2546" spans="1:20" x14ac:dyDescent="0.2">
      <c r="A2546" t="s">
        <v>7199</v>
      </c>
      <c r="B2546" t="s">
        <v>2022</v>
      </c>
      <c r="C2546" t="s">
        <v>2095</v>
      </c>
      <c r="D2546" t="s">
        <v>2136</v>
      </c>
      <c r="E2546" t="s">
        <v>7200</v>
      </c>
      <c r="F2546" t="s">
        <v>7201</v>
      </c>
      <c r="G2546">
        <v>3</v>
      </c>
      <c r="H2546">
        <v>1745</v>
      </c>
      <c r="I2546">
        <v>1</v>
      </c>
      <c r="J2546">
        <v>4.5</v>
      </c>
      <c r="K2546">
        <v>1</v>
      </c>
      <c r="L2546">
        <v>1.4999999999999999E-2</v>
      </c>
      <c r="M2546">
        <v>1</v>
      </c>
      <c r="N2546">
        <v>74</v>
      </c>
      <c r="O2546">
        <v>1</v>
      </c>
      <c r="P2546">
        <v>0.15</v>
      </c>
      <c r="Q2546">
        <v>1</v>
      </c>
      <c r="R2546">
        <v>6.9999999999999999E-4</v>
      </c>
      <c r="T2546" s="8" t="s">
        <v>7200</v>
      </c>
    </row>
    <row r="2547" spans="1:20" x14ac:dyDescent="0.2">
      <c r="A2547" t="s">
        <v>7202</v>
      </c>
      <c r="B2547" t="s">
        <v>2022</v>
      </c>
      <c r="C2547" t="s">
        <v>2023</v>
      </c>
      <c r="D2547" t="s">
        <v>2024</v>
      </c>
      <c r="E2547" t="s">
        <v>7203</v>
      </c>
      <c r="F2547" t="s">
        <v>7204</v>
      </c>
      <c r="G2547">
        <v>1</v>
      </c>
      <c r="H2547">
        <v>1480</v>
      </c>
      <c r="I2547">
        <v>2</v>
      </c>
      <c r="J2547">
        <v>3.4</v>
      </c>
      <c r="K2547">
        <v>2</v>
      </c>
      <c r="L2547">
        <v>2.5999999999999999E-2</v>
      </c>
      <c r="M2547">
        <v>2</v>
      </c>
      <c r="N2547">
        <v>84</v>
      </c>
      <c r="O2547">
        <v>2</v>
      </c>
      <c r="P2547">
        <v>0.22500000000000001</v>
      </c>
      <c r="Q2547">
        <v>2</v>
      </c>
      <c r="R2547">
        <v>2E-3</v>
      </c>
      <c r="T2547" s="8" t="s">
        <v>7203</v>
      </c>
    </row>
    <row r="2548" spans="1:20" x14ac:dyDescent="0.2">
      <c r="A2548" t="s">
        <v>7205</v>
      </c>
      <c r="B2548" t="s">
        <v>2022</v>
      </c>
      <c r="C2548" t="s">
        <v>2028</v>
      </c>
      <c r="D2548" t="s">
        <v>2024</v>
      </c>
      <c r="E2548" t="s">
        <v>7206</v>
      </c>
      <c r="F2548" t="s">
        <v>7207</v>
      </c>
      <c r="G2548">
        <v>5</v>
      </c>
      <c r="H2548">
        <v>1450</v>
      </c>
      <c r="I2548">
        <v>5</v>
      </c>
      <c r="J2548">
        <v>6.65</v>
      </c>
      <c r="K2548">
        <v>5</v>
      </c>
      <c r="L2548">
        <v>0.26700000000000002</v>
      </c>
      <c r="M2548">
        <v>1</v>
      </c>
      <c r="N2548">
        <v>100</v>
      </c>
      <c r="O2548">
        <v>3</v>
      </c>
      <c r="P2548">
        <v>0.75</v>
      </c>
      <c r="Q2548">
        <v>4</v>
      </c>
      <c r="R2548">
        <v>2.4750000000000001E-2</v>
      </c>
      <c r="T2548" s="8" t="s">
        <v>7206</v>
      </c>
    </row>
    <row r="2549" spans="1:20" x14ac:dyDescent="0.2">
      <c r="A2549" t="s">
        <v>7208</v>
      </c>
      <c r="B2549" t="s">
        <v>2022</v>
      </c>
      <c r="C2549" t="s">
        <v>2036</v>
      </c>
      <c r="D2549" t="s">
        <v>2024</v>
      </c>
      <c r="E2549" t="s">
        <v>7209</v>
      </c>
      <c r="F2549" t="s">
        <v>7210</v>
      </c>
      <c r="G2549">
        <v>2</v>
      </c>
      <c r="H2549">
        <v>1640</v>
      </c>
      <c r="I2549">
        <v>1</v>
      </c>
      <c r="J2549">
        <v>2.2000000000000002</v>
      </c>
      <c r="K2549">
        <v>1</v>
      </c>
      <c r="L2549">
        <v>5.5E-2</v>
      </c>
      <c r="M2549">
        <v>2</v>
      </c>
      <c r="N2549">
        <v>82</v>
      </c>
      <c r="O2549">
        <v>1</v>
      </c>
      <c r="P2549">
        <v>9.5000000000000001E-2</v>
      </c>
      <c r="Q2549">
        <v>1</v>
      </c>
      <c r="R2549">
        <v>1.5E-3</v>
      </c>
      <c r="T2549" s="8" t="s">
        <v>7209</v>
      </c>
    </row>
    <row r="2550" spans="1:20" x14ac:dyDescent="0.2">
      <c r="A2550" t="s">
        <v>7211</v>
      </c>
      <c r="B2550" t="s">
        <v>2022</v>
      </c>
      <c r="C2550" t="s">
        <v>2036</v>
      </c>
      <c r="D2550" t="s">
        <v>2024</v>
      </c>
      <c r="E2550" t="s">
        <v>7212</v>
      </c>
      <c r="F2550" t="s">
        <v>7213</v>
      </c>
      <c r="G2550">
        <v>2</v>
      </c>
      <c r="H2550">
        <v>1640</v>
      </c>
      <c r="I2550">
        <v>1</v>
      </c>
      <c r="J2550">
        <v>2.2000000000000002</v>
      </c>
      <c r="K2550">
        <v>1</v>
      </c>
      <c r="L2550">
        <v>5.5E-2</v>
      </c>
      <c r="M2550">
        <v>2</v>
      </c>
      <c r="N2550">
        <v>82</v>
      </c>
      <c r="O2550">
        <v>1</v>
      </c>
      <c r="P2550">
        <v>9.5000000000000001E-2</v>
      </c>
      <c r="Q2550">
        <v>2</v>
      </c>
      <c r="R2550">
        <v>4.2500000000000003E-3</v>
      </c>
      <c r="T2550" s="8" t="s">
        <v>7212</v>
      </c>
    </row>
    <row r="2551" spans="1:20" x14ac:dyDescent="0.2">
      <c r="A2551" t="s">
        <v>7214</v>
      </c>
      <c r="B2551" t="s">
        <v>2022</v>
      </c>
      <c r="C2551" t="s">
        <v>2023</v>
      </c>
      <c r="D2551" t="s">
        <v>2024</v>
      </c>
      <c r="E2551" t="s">
        <v>7215</v>
      </c>
      <c r="F2551" t="s">
        <v>7216</v>
      </c>
      <c r="G2551">
        <v>2</v>
      </c>
      <c r="H2551">
        <v>1560</v>
      </c>
      <c r="I2551">
        <v>2</v>
      </c>
      <c r="J2551">
        <v>3.4</v>
      </c>
      <c r="K2551">
        <v>3</v>
      </c>
      <c r="L2551">
        <v>4.5999999999999999E-2</v>
      </c>
      <c r="M2551">
        <v>2</v>
      </c>
      <c r="N2551">
        <v>84</v>
      </c>
      <c r="O2551">
        <v>1</v>
      </c>
      <c r="P2551">
        <v>7.4999999999999997E-2</v>
      </c>
      <c r="Q2551">
        <v>2</v>
      </c>
      <c r="R2551">
        <v>2E-3</v>
      </c>
      <c r="T2551" s="8" t="s">
        <v>7215</v>
      </c>
    </row>
    <row r="2552" spans="1:20" x14ac:dyDescent="0.2">
      <c r="A2552" t="s">
        <v>7217</v>
      </c>
      <c r="B2552" t="s">
        <v>2022</v>
      </c>
      <c r="C2552" t="s">
        <v>2023</v>
      </c>
      <c r="D2552" t="s">
        <v>2024</v>
      </c>
      <c r="E2552" t="s">
        <v>7215</v>
      </c>
      <c r="F2552" t="s">
        <v>7216</v>
      </c>
      <c r="G2552">
        <v>2</v>
      </c>
      <c r="H2552">
        <v>1560</v>
      </c>
      <c r="I2552">
        <v>3</v>
      </c>
      <c r="J2552">
        <v>5.9</v>
      </c>
      <c r="K2552">
        <v>5</v>
      </c>
      <c r="L2552">
        <v>8.5999999999999993E-2</v>
      </c>
      <c r="M2552">
        <v>2</v>
      </c>
      <c r="N2552">
        <v>84</v>
      </c>
      <c r="O2552">
        <v>2</v>
      </c>
      <c r="P2552">
        <v>0.22500000000000001</v>
      </c>
      <c r="Q2552">
        <v>4</v>
      </c>
      <c r="R2552">
        <v>6.0000000000000001E-3</v>
      </c>
      <c r="T2552" s="8" t="s">
        <v>7215</v>
      </c>
    </row>
    <row r="2553" spans="1:20" x14ac:dyDescent="0.2">
      <c r="A2553" t="s">
        <v>7218</v>
      </c>
      <c r="B2553" t="s">
        <v>2022</v>
      </c>
      <c r="C2553" t="s">
        <v>2104</v>
      </c>
      <c r="D2553" t="s">
        <v>2024</v>
      </c>
      <c r="E2553" t="s">
        <v>7215</v>
      </c>
      <c r="F2553" t="s">
        <v>7216</v>
      </c>
      <c r="G2553">
        <v>1</v>
      </c>
      <c r="H2553">
        <v>1537.5</v>
      </c>
      <c r="I2553">
        <v>5</v>
      </c>
      <c r="J2553">
        <v>10.15</v>
      </c>
      <c r="K2553">
        <v>5</v>
      </c>
      <c r="L2553">
        <v>0.191</v>
      </c>
      <c r="M2553">
        <v>2</v>
      </c>
      <c r="N2553">
        <v>65</v>
      </c>
      <c r="P2553">
        <v>0</v>
      </c>
      <c r="Q2553">
        <v>5</v>
      </c>
      <c r="R2553">
        <v>1.8200000000000001E-2</v>
      </c>
      <c r="T2553" s="8" t="s">
        <v>7215</v>
      </c>
    </row>
    <row r="2554" spans="1:20" x14ac:dyDescent="0.2">
      <c r="A2554" t="s">
        <v>7219</v>
      </c>
      <c r="B2554" t="s">
        <v>2022</v>
      </c>
      <c r="C2554" t="s">
        <v>2036</v>
      </c>
      <c r="D2554" t="s">
        <v>2024</v>
      </c>
      <c r="E2554" t="s">
        <v>7220</v>
      </c>
      <c r="F2554" t="s">
        <v>447</v>
      </c>
      <c r="G2554">
        <v>1</v>
      </c>
      <c r="H2554">
        <v>1540</v>
      </c>
      <c r="I2554">
        <v>3</v>
      </c>
      <c r="J2554">
        <v>4.5999999999999996</v>
      </c>
      <c r="K2554">
        <v>3</v>
      </c>
      <c r="L2554">
        <v>0.115</v>
      </c>
      <c r="M2554">
        <v>1</v>
      </c>
      <c r="N2554">
        <v>76</v>
      </c>
      <c r="O2554">
        <v>2</v>
      </c>
      <c r="P2554">
        <v>0.20499999999999999</v>
      </c>
      <c r="Q2554">
        <v>2</v>
      </c>
      <c r="R2554">
        <v>4.2500000000000003E-3</v>
      </c>
      <c r="T2554" s="8" t="s">
        <v>7220</v>
      </c>
    </row>
    <row r="2555" spans="1:20" x14ac:dyDescent="0.2">
      <c r="A2555" t="s">
        <v>7221</v>
      </c>
      <c r="B2555" t="s">
        <v>2022</v>
      </c>
      <c r="C2555" t="s">
        <v>2101</v>
      </c>
      <c r="D2555" t="s">
        <v>2024</v>
      </c>
      <c r="E2555" t="s">
        <v>7220</v>
      </c>
      <c r="F2555" t="s">
        <v>447</v>
      </c>
      <c r="G2555">
        <v>1</v>
      </c>
      <c r="H2555">
        <v>1570</v>
      </c>
      <c r="I2555">
        <v>1</v>
      </c>
      <c r="J2555">
        <v>2</v>
      </c>
      <c r="K2555">
        <v>1</v>
      </c>
      <c r="L2555">
        <v>1.15E-2</v>
      </c>
      <c r="M2555">
        <v>1</v>
      </c>
      <c r="N2555">
        <v>66</v>
      </c>
      <c r="O2555">
        <v>2</v>
      </c>
      <c r="P2555">
        <v>0.22500000000000001</v>
      </c>
      <c r="Q2555">
        <v>1</v>
      </c>
      <c r="R2555">
        <v>5.0000000000000001E-4</v>
      </c>
      <c r="T2555" s="8" t="s">
        <v>7220</v>
      </c>
    </row>
    <row r="2556" spans="1:20" x14ac:dyDescent="0.2">
      <c r="A2556" t="s">
        <v>7222</v>
      </c>
      <c r="B2556" t="s">
        <v>2022</v>
      </c>
      <c r="C2556" t="s">
        <v>2036</v>
      </c>
      <c r="D2556" t="s">
        <v>2024</v>
      </c>
      <c r="E2556" t="s">
        <v>7220</v>
      </c>
      <c r="F2556" t="s">
        <v>447</v>
      </c>
      <c r="G2556">
        <v>1</v>
      </c>
      <c r="H2556">
        <v>1540</v>
      </c>
      <c r="I2556">
        <v>5</v>
      </c>
      <c r="J2556">
        <v>7</v>
      </c>
      <c r="K2556">
        <v>4</v>
      </c>
      <c r="L2556">
        <v>0.14499999999999999</v>
      </c>
      <c r="M2556">
        <v>1</v>
      </c>
      <c r="N2556">
        <v>76</v>
      </c>
      <c r="O2556">
        <v>3</v>
      </c>
      <c r="P2556">
        <v>0.315</v>
      </c>
      <c r="Q2556">
        <v>3</v>
      </c>
      <c r="R2556">
        <v>6.7499999999999999E-3</v>
      </c>
      <c r="T2556" s="8" t="s">
        <v>7220</v>
      </c>
    </row>
    <row r="2557" spans="1:20" x14ac:dyDescent="0.2">
      <c r="A2557" t="s">
        <v>7223</v>
      </c>
      <c r="B2557" t="s">
        <v>2022</v>
      </c>
      <c r="C2557" t="s">
        <v>2222</v>
      </c>
      <c r="D2557" t="s">
        <v>2024</v>
      </c>
      <c r="E2557" t="s">
        <v>7220</v>
      </c>
      <c r="F2557" t="s">
        <v>447</v>
      </c>
      <c r="G2557">
        <v>1</v>
      </c>
      <c r="H2557">
        <v>1450</v>
      </c>
      <c r="I2557">
        <v>3</v>
      </c>
      <c r="J2557">
        <v>5.5</v>
      </c>
      <c r="K2557">
        <v>2</v>
      </c>
      <c r="L2557">
        <v>5.5E-2</v>
      </c>
      <c r="M2557">
        <v>1</v>
      </c>
      <c r="N2557">
        <v>59</v>
      </c>
      <c r="O2557">
        <v>3</v>
      </c>
      <c r="P2557">
        <v>0.23</v>
      </c>
      <c r="Q2557">
        <v>1</v>
      </c>
      <c r="R2557">
        <v>4.0000000000000002E-4</v>
      </c>
      <c r="T2557" s="8" t="s">
        <v>7220</v>
      </c>
    </row>
    <row r="2558" spans="1:20" x14ac:dyDescent="0.2">
      <c r="A2558" t="s">
        <v>7224</v>
      </c>
      <c r="B2558" t="s">
        <v>2022</v>
      </c>
      <c r="C2558" t="s">
        <v>2036</v>
      </c>
      <c r="D2558" t="s">
        <v>2024</v>
      </c>
      <c r="E2558" t="s">
        <v>7225</v>
      </c>
      <c r="F2558" t="s">
        <v>7226</v>
      </c>
      <c r="G2558">
        <v>1</v>
      </c>
      <c r="H2558">
        <v>1540</v>
      </c>
      <c r="I2558">
        <v>2</v>
      </c>
      <c r="J2558">
        <v>3.4</v>
      </c>
      <c r="K2558">
        <v>2</v>
      </c>
      <c r="L2558">
        <v>8.5000000000000006E-2</v>
      </c>
      <c r="M2558">
        <v>1</v>
      </c>
      <c r="N2558">
        <v>76</v>
      </c>
      <c r="O2558">
        <v>2</v>
      </c>
      <c r="P2558">
        <v>0.20499999999999999</v>
      </c>
      <c r="Q2558">
        <v>2</v>
      </c>
      <c r="R2558">
        <v>4.2500000000000003E-3</v>
      </c>
      <c r="T2558" s="8" t="s">
        <v>7225</v>
      </c>
    </row>
    <row r="2559" spans="1:20" x14ac:dyDescent="0.2">
      <c r="A2559" t="s">
        <v>7227</v>
      </c>
      <c r="B2559" t="s">
        <v>2022</v>
      </c>
      <c r="C2559" t="s">
        <v>2036</v>
      </c>
      <c r="D2559" t="s">
        <v>2024</v>
      </c>
      <c r="E2559" t="s">
        <v>7228</v>
      </c>
      <c r="F2559" t="s">
        <v>7229</v>
      </c>
      <c r="G2559">
        <v>5</v>
      </c>
      <c r="H2559">
        <v>1940</v>
      </c>
      <c r="I2559">
        <v>4</v>
      </c>
      <c r="J2559">
        <v>5.8</v>
      </c>
      <c r="K2559">
        <v>1</v>
      </c>
      <c r="L2559">
        <v>5.5E-2</v>
      </c>
      <c r="M2559">
        <v>5</v>
      </c>
      <c r="N2559">
        <v>100</v>
      </c>
      <c r="O2559">
        <v>3</v>
      </c>
      <c r="P2559">
        <v>0.315</v>
      </c>
      <c r="Q2559">
        <v>1</v>
      </c>
      <c r="R2559">
        <v>1.5E-3</v>
      </c>
      <c r="T2559" s="8" t="s">
        <v>7228</v>
      </c>
    </row>
    <row r="2560" spans="1:20" x14ac:dyDescent="0.2">
      <c r="A2560" t="s">
        <v>7230</v>
      </c>
      <c r="B2560" t="s">
        <v>2022</v>
      </c>
      <c r="C2560" t="s">
        <v>2036</v>
      </c>
      <c r="D2560" t="s">
        <v>2024</v>
      </c>
      <c r="E2560" t="s">
        <v>7231</v>
      </c>
      <c r="F2560" t="s">
        <v>7232</v>
      </c>
      <c r="G2560">
        <v>3</v>
      </c>
      <c r="H2560">
        <v>1740</v>
      </c>
      <c r="I2560">
        <v>3</v>
      </c>
      <c r="J2560">
        <v>4.5999999999999996</v>
      </c>
      <c r="K2560">
        <v>2</v>
      </c>
      <c r="L2560">
        <v>8.5000000000000006E-2</v>
      </c>
      <c r="M2560">
        <v>3</v>
      </c>
      <c r="N2560">
        <v>88</v>
      </c>
      <c r="O2560">
        <v>2</v>
      </c>
      <c r="P2560">
        <v>0.20499999999999999</v>
      </c>
      <c r="Q2560">
        <v>2</v>
      </c>
      <c r="R2560">
        <v>4.2500000000000003E-3</v>
      </c>
      <c r="T2560" s="8" t="s">
        <v>7231</v>
      </c>
    </row>
    <row r="2561" spans="1:20" x14ac:dyDescent="0.2">
      <c r="A2561" t="s">
        <v>7233</v>
      </c>
      <c r="B2561" t="s">
        <v>2022</v>
      </c>
      <c r="C2561" t="s">
        <v>2023</v>
      </c>
      <c r="D2561" t="s">
        <v>2024</v>
      </c>
      <c r="E2561" t="s">
        <v>7234</v>
      </c>
      <c r="F2561" t="s">
        <v>7235</v>
      </c>
      <c r="G2561">
        <v>4</v>
      </c>
      <c r="H2561">
        <v>1720</v>
      </c>
      <c r="I2561">
        <v>2</v>
      </c>
      <c r="J2561">
        <v>3.4</v>
      </c>
      <c r="K2561">
        <v>5</v>
      </c>
      <c r="L2561">
        <v>8.5999999999999993E-2</v>
      </c>
      <c r="M2561">
        <v>4</v>
      </c>
      <c r="N2561">
        <v>104</v>
      </c>
      <c r="O2561">
        <v>2</v>
      </c>
      <c r="P2561">
        <v>0.22500000000000001</v>
      </c>
      <c r="Q2561">
        <v>4</v>
      </c>
      <c r="R2561">
        <v>6.0000000000000001E-3</v>
      </c>
      <c r="T2561" s="8" t="s">
        <v>7234</v>
      </c>
    </row>
    <row r="2562" spans="1:20" x14ac:dyDescent="0.2">
      <c r="A2562" t="s">
        <v>7236</v>
      </c>
      <c r="B2562" t="s">
        <v>2022</v>
      </c>
      <c r="C2562" t="s">
        <v>2053</v>
      </c>
      <c r="D2562" t="s">
        <v>2024</v>
      </c>
      <c r="E2562" t="s">
        <v>7237</v>
      </c>
      <c r="F2562" t="s">
        <v>7238</v>
      </c>
      <c r="G2562">
        <v>3</v>
      </c>
      <c r="H2562">
        <v>1700</v>
      </c>
      <c r="I2562">
        <v>5</v>
      </c>
      <c r="J2562">
        <v>11.55</v>
      </c>
      <c r="K2562">
        <v>5</v>
      </c>
      <c r="L2562">
        <v>0.41499999999999998</v>
      </c>
      <c r="M2562">
        <v>3</v>
      </c>
      <c r="N2562">
        <v>93</v>
      </c>
      <c r="O2562">
        <v>5</v>
      </c>
      <c r="P2562">
        <v>0.67500000000000004</v>
      </c>
      <c r="Q2562">
        <v>5</v>
      </c>
      <c r="R2562">
        <v>2.6200000000000001E-2</v>
      </c>
      <c r="T2562" s="8" t="s">
        <v>7237</v>
      </c>
    </row>
    <row r="2563" spans="1:20" x14ac:dyDescent="0.2">
      <c r="A2563" t="s">
        <v>7239</v>
      </c>
      <c r="B2563" t="s">
        <v>2022</v>
      </c>
      <c r="C2563" t="s">
        <v>2173</v>
      </c>
      <c r="D2563" t="s">
        <v>2024</v>
      </c>
      <c r="E2563" t="s">
        <v>7240</v>
      </c>
      <c r="F2563" t="s">
        <v>7241</v>
      </c>
      <c r="G2563">
        <v>2</v>
      </c>
      <c r="H2563">
        <v>1957.5</v>
      </c>
      <c r="I2563">
        <v>1</v>
      </c>
      <c r="J2563">
        <v>3.65</v>
      </c>
      <c r="K2563">
        <v>1</v>
      </c>
      <c r="L2563">
        <v>1.4999999999999999E-2</v>
      </c>
      <c r="M2563">
        <v>4</v>
      </c>
      <c r="N2563">
        <v>129.5</v>
      </c>
      <c r="O2563">
        <v>1</v>
      </c>
      <c r="P2563">
        <v>0.15</v>
      </c>
      <c r="Q2563">
        <v>2</v>
      </c>
      <c r="R2563">
        <v>4.7999999999999996E-3</v>
      </c>
      <c r="T2563" s="8" t="s">
        <v>7240</v>
      </c>
    </row>
    <row r="2564" spans="1:20" x14ac:dyDescent="0.2">
      <c r="A2564" t="s">
        <v>7242</v>
      </c>
      <c r="B2564" t="s">
        <v>2022</v>
      </c>
      <c r="C2564" t="s">
        <v>2173</v>
      </c>
      <c r="D2564" t="s">
        <v>2024</v>
      </c>
      <c r="E2564" t="s">
        <v>7243</v>
      </c>
      <c r="F2564" t="s">
        <v>7244</v>
      </c>
      <c r="G2564">
        <v>5</v>
      </c>
      <c r="H2564">
        <v>2182.5</v>
      </c>
      <c r="I2564">
        <v>4</v>
      </c>
      <c r="J2564">
        <v>11.75</v>
      </c>
      <c r="K2564">
        <v>5</v>
      </c>
      <c r="L2564">
        <v>0.45</v>
      </c>
      <c r="M2564">
        <v>1</v>
      </c>
      <c r="N2564">
        <v>96.5</v>
      </c>
      <c r="O2564">
        <v>3</v>
      </c>
      <c r="P2564">
        <v>0.51</v>
      </c>
      <c r="Q2564">
        <v>5</v>
      </c>
      <c r="R2564">
        <v>2.58E-2</v>
      </c>
      <c r="T2564" s="8" t="s">
        <v>7243</v>
      </c>
    </row>
    <row r="2565" spans="1:20" x14ac:dyDescent="0.2">
      <c r="A2565" t="s">
        <v>7245</v>
      </c>
      <c r="B2565" t="s">
        <v>2022</v>
      </c>
      <c r="C2565" t="s">
        <v>2036</v>
      </c>
      <c r="D2565" t="s">
        <v>2024</v>
      </c>
      <c r="E2565" t="s">
        <v>7246</v>
      </c>
      <c r="F2565" t="s">
        <v>7247</v>
      </c>
      <c r="G2565">
        <v>1</v>
      </c>
      <c r="H2565">
        <v>1540</v>
      </c>
      <c r="I2565">
        <v>3</v>
      </c>
      <c r="J2565">
        <v>4.5999999999999996</v>
      </c>
      <c r="K2565">
        <v>3</v>
      </c>
      <c r="L2565">
        <v>0.115</v>
      </c>
      <c r="M2565">
        <v>2</v>
      </c>
      <c r="N2565">
        <v>82</v>
      </c>
      <c r="O2565">
        <v>2</v>
      </c>
      <c r="P2565">
        <v>0.20499999999999999</v>
      </c>
      <c r="Q2565">
        <v>3</v>
      </c>
      <c r="R2565">
        <v>6.7499999999999999E-3</v>
      </c>
      <c r="T2565" s="8" t="s">
        <v>7246</v>
      </c>
    </row>
    <row r="2566" spans="1:20" x14ac:dyDescent="0.2">
      <c r="A2566" t="s">
        <v>7248</v>
      </c>
      <c r="B2566" t="s">
        <v>2022</v>
      </c>
      <c r="C2566" t="s">
        <v>2023</v>
      </c>
      <c r="D2566" t="s">
        <v>2024</v>
      </c>
      <c r="E2566" t="s">
        <v>7249</v>
      </c>
      <c r="F2566" t="s">
        <v>7250</v>
      </c>
      <c r="G2566">
        <v>3</v>
      </c>
      <c r="H2566">
        <v>1640</v>
      </c>
      <c r="I2566">
        <v>3</v>
      </c>
      <c r="J2566">
        <v>5.9</v>
      </c>
      <c r="K2566">
        <v>5</v>
      </c>
      <c r="L2566">
        <v>8.5999999999999993E-2</v>
      </c>
      <c r="M2566">
        <v>3</v>
      </c>
      <c r="N2566">
        <v>94</v>
      </c>
      <c r="O2566">
        <v>2</v>
      </c>
      <c r="P2566">
        <v>0.22500000000000001</v>
      </c>
      <c r="Q2566">
        <v>5</v>
      </c>
      <c r="R2566">
        <v>8.0000000000000002E-3</v>
      </c>
      <c r="T2566" s="8" t="s">
        <v>7249</v>
      </c>
    </row>
    <row r="2567" spans="1:20" x14ac:dyDescent="0.2">
      <c r="A2567" t="s">
        <v>7251</v>
      </c>
      <c r="B2567" t="s">
        <v>2022</v>
      </c>
      <c r="C2567" t="s">
        <v>2023</v>
      </c>
      <c r="D2567" t="s">
        <v>2024</v>
      </c>
      <c r="E2567" t="s">
        <v>7252</v>
      </c>
      <c r="F2567" t="s">
        <v>447</v>
      </c>
      <c r="G2567">
        <v>5</v>
      </c>
      <c r="H2567">
        <v>1800</v>
      </c>
      <c r="I2567">
        <v>5</v>
      </c>
      <c r="J2567">
        <v>10.9</v>
      </c>
      <c r="K2567">
        <v>5</v>
      </c>
      <c r="L2567">
        <v>8.5999999999999993E-2</v>
      </c>
      <c r="M2567">
        <v>2</v>
      </c>
      <c r="N2567">
        <v>84</v>
      </c>
      <c r="O2567">
        <v>4</v>
      </c>
      <c r="P2567">
        <v>0.52500000000000002</v>
      </c>
      <c r="Q2567">
        <v>5</v>
      </c>
      <c r="R2567">
        <v>8.0000000000000002E-3</v>
      </c>
      <c r="T2567" s="8" t="s">
        <v>7252</v>
      </c>
    </row>
    <row r="2568" spans="1:20" x14ac:dyDescent="0.2">
      <c r="A2568" t="s">
        <v>7253</v>
      </c>
      <c r="B2568" t="s">
        <v>2022</v>
      </c>
      <c r="C2568" t="s">
        <v>2053</v>
      </c>
      <c r="D2568" t="s">
        <v>2024</v>
      </c>
      <c r="E2568" t="s">
        <v>7254</v>
      </c>
      <c r="F2568" t="s">
        <v>7255</v>
      </c>
      <c r="G2568">
        <v>2</v>
      </c>
      <c r="H2568">
        <v>1600</v>
      </c>
      <c r="I2568">
        <v>3</v>
      </c>
      <c r="J2568">
        <v>6.55</v>
      </c>
      <c r="K2568">
        <v>3</v>
      </c>
      <c r="L2568">
        <v>0.19500000000000001</v>
      </c>
      <c r="M2568">
        <v>4</v>
      </c>
      <c r="N2568">
        <v>103</v>
      </c>
      <c r="O2568">
        <v>3</v>
      </c>
      <c r="P2568">
        <v>0.375</v>
      </c>
      <c r="Q2568">
        <v>3</v>
      </c>
      <c r="R2568">
        <v>1.2200000000000001E-2</v>
      </c>
      <c r="T2568" s="8" t="s">
        <v>7254</v>
      </c>
    </row>
    <row r="2569" spans="1:20" x14ac:dyDescent="0.2">
      <c r="A2569" t="s">
        <v>7256</v>
      </c>
      <c r="B2569" t="s">
        <v>2022</v>
      </c>
      <c r="C2569" t="s">
        <v>2036</v>
      </c>
      <c r="D2569" t="s">
        <v>2024</v>
      </c>
      <c r="E2569" t="s">
        <v>7257</v>
      </c>
      <c r="F2569" t="s">
        <v>7258</v>
      </c>
      <c r="G2569">
        <v>3</v>
      </c>
      <c r="H2569">
        <v>1740</v>
      </c>
      <c r="I2569">
        <v>5</v>
      </c>
      <c r="J2569">
        <v>7</v>
      </c>
      <c r="K2569">
        <v>5</v>
      </c>
      <c r="L2569">
        <v>0.17499999999999999</v>
      </c>
      <c r="M2569">
        <v>3</v>
      </c>
      <c r="N2569">
        <v>88</v>
      </c>
      <c r="O2569">
        <v>5</v>
      </c>
      <c r="P2569">
        <v>0.53500000000000003</v>
      </c>
      <c r="Q2569">
        <v>5</v>
      </c>
      <c r="R2569">
        <v>1.2E-2</v>
      </c>
      <c r="T2569" s="8" t="s">
        <v>7257</v>
      </c>
    </row>
    <row r="2570" spans="1:20" x14ac:dyDescent="0.2">
      <c r="A2570" t="s">
        <v>7259</v>
      </c>
      <c r="B2570" t="s">
        <v>2022</v>
      </c>
      <c r="C2570" t="s">
        <v>2023</v>
      </c>
      <c r="D2570" t="s">
        <v>2024</v>
      </c>
      <c r="E2570" t="s">
        <v>5817</v>
      </c>
      <c r="F2570" t="s">
        <v>447</v>
      </c>
      <c r="G2570">
        <v>3</v>
      </c>
      <c r="H2570">
        <v>1640</v>
      </c>
      <c r="I2570">
        <v>2</v>
      </c>
      <c r="J2570">
        <v>3.4</v>
      </c>
      <c r="K2570">
        <v>2</v>
      </c>
      <c r="L2570">
        <v>2.5999999999999999E-2</v>
      </c>
      <c r="M2570">
        <v>2</v>
      </c>
      <c r="N2570">
        <v>84</v>
      </c>
      <c r="O2570">
        <v>1</v>
      </c>
      <c r="P2570">
        <v>7.4999999999999997E-2</v>
      </c>
      <c r="Q2570">
        <v>1</v>
      </c>
      <c r="R2570">
        <v>5.0000000000000001E-4</v>
      </c>
      <c r="T2570" s="8" t="s">
        <v>5817</v>
      </c>
    </row>
    <row r="2571" spans="1:20" x14ac:dyDescent="0.2">
      <c r="A2571" t="s">
        <v>7260</v>
      </c>
      <c r="B2571" t="s">
        <v>2022</v>
      </c>
      <c r="C2571" t="s">
        <v>2095</v>
      </c>
      <c r="D2571" t="s">
        <v>2024</v>
      </c>
      <c r="E2571" t="s">
        <v>7261</v>
      </c>
      <c r="F2571" t="s">
        <v>7262</v>
      </c>
      <c r="G2571">
        <v>2</v>
      </c>
      <c r="H2571">
        <v>1655</v>
      </c>
      <c r="I2571">
        <v>2</v>
      </c>
      <c r="J2571">
        <v>7.5</v>
      </c>
      <c r="K2571">
        <v>1</v>
      </c>
      <c r="L2571">
        <v>1.4999999999999999E-2</v>
      </c>
      <c r="M2571">
        <v>5</v>
      </c>
      <c r="N2571">
        <v>98</v>
      </c>
      <c r="O2571">
        <v>3</v>
      </c>
      <c r="P2571">
        <v>0.55000000000000004</v>
      </c>
      <c r="Q2571">
        <v>2</v>
      </c>
      <c r="R2571">
        <v>5.8999999999999999E-3</v>
      </c>
      <c r="T2571" s="8" t="s">
        <v>7261</v>
      </c>
    </row>
    <row r="2572" spans="1:20" x14ac:dyDescent="0.2">
      <c r="A2572" t="s">
        <v>7263</v>
      </c>
      <c r="B2572" t="s">
        <v>2022</v>
      </c>
      <c r="C2572" t="s">
        <v>2053</v>
      </c>
      <c r="D2572" t="s">
        <v>2024</v>
      </c>
      <c r="E2572" t="s">
        <v>7264</v>
      </c>
      <c r="F2572" t="s">
        <v>7265</v>
      </c>
      <c r="G2572">
        <v>4</v>
      </c>
      <c r="H2572">
        <v>1800</v>
      </c>
      <c r="I2572">
        <v>3</v>
      </c>
      <c r="J2572">
        <v>6.55</v>
      </c>
      <c r="K2572">
        <v>3</v>
      </c>
      <c r="L2572">
        <v>0.19500000000000001</v>
      </c>
      <c r="M2572">
        <v>3</v>
      </c>
      <c r="N2572">
        <v>93</v>
      </c>
      <c r="O2572">
        <v>3</v>
      </c>
      <c r="P2572">
        <v>0.375</v>
      </c>
      <c r="Q2572">
        <v>3</v>
      </c>
      <c r="R2572">
        <v>1.2200000000000001E-2</v>
      </c>
      <c r="T2572" s="8" t="s">
        <v>7264</v>
      </c>
    </row>
    <row r="2573" spans="1:20" x14ac:dyDescent="0.2">
      <c r="A2573" t="s">
        <v>7266</v>
      </c>
      <c r="B2573" t="s">
        <v>2022</v>
      </c>
      <c r="C2573" t="s">
        <v>2023</v>
      </c>
      <c r="D2573" t="s">
        <v>2154</v>
      </c>
      <c r="E2573" t="s">
        <v>7267</v>
      </c>
      <c r="F2573" t="s">
        <v>7268</v>
      </c>
      <c r="G2573">
        <v>1</v>
      </c>
      <c r="H2573">
        <v>1480</v>
      </c>
      <c r="I2573">
        <v>2</v>
      </c>
      <c r="J2573">
        <v>3.4</v>
      </c>
      <c r="K2573">
        <v>2</v>
      </c>
      <c r="L2573">
        <v>2.5999999999999999E-2</v>
      </c>
      <c r="M2573">
        <v>1</v>
      </c>
      <c r="N2573">
        <v>74</v>
      </c>
      <c r="O2573">
        <v>1</v>
      </c>
      <c r="P2573">
        <v>7.4999999999999997E-2</v>
      </c>
      <c r="Q2573">
        <v>1</v>
      </c>
      <c r="R2573">
        <v>5.0000000000000001E-4</v>
      </c>
      <c r="T2573" s="8" t="s">
        <v>7267</v>
      </c>
    </row>
    <row r="2574" spans="1:20" x14ac:dyDescent="0.2">
      <c r="A2574" t="s">
        <v>7269</v>
      </c>
      <c r="B2574" t="s">
        <v>2022</v>
      </c>
      <c r="C2574" t="s">
        <v>2036</v>
      </c>
      <c r="D2574" t="s">
        <v>2024</v>
      </c>
      <c r="E2574" t="s">
        <v>7270</v>
      </c>
      <c r="F2574" t="s">
        <v>447</v>
      </c>
      <c r="G2574">
        <v>1</v>
      </c>
      <c r="H2574">
        <v>1540</v>
      </c>
      <c r="I2574">
        <v>5</v>
      </c>
      <c r="J2574">
        <v>7</v>
      </c>
      <c r="K2574">
        <v>4</v>
      </c>
      <c r="L2574">
        <v>0.14499999999999999</v>
      </c>
      <c r="M2574">
        <v>1</v>
      </c>
      <c r="N2574">
        <v>76</v>
      </c>
      <c r="O2574">
        <v>3</v>
      </c>
      <c r="P2574">
        <v>0.315</v>
      </c>
      <c r="Q2574">
        <v>3</v>
      </c>
      <c r="R2574">
        <v>6.7499999999999999E-3</v>
      </c>
      <c r="T2574" s="8" t="s">
        <v>7270</v>
      </c>
    </row>
    <row r="2575" spans="1:20" x14ac:dyDescent="0.2">
      <c r="A2575" t="s">
        <v>7271</v>
      </c>
      <c r="B2575" t="s">
        <v>2022</v>
      </c>
      <c r="C2575" t="s">
        <v>2028</v>
      </c>
      <c r="D2575" t="s">
        <v>2024</v>
      </c>
      <c r="E2575" t="s">
        <v>7272</v>
      </c>
      <c r="F2575" t="s">
        <v>7273</v>
      </c>
      <c r="G2575">
        <v>5</v>
      </c>
      <c r="H2575">
        <v>1450</v>
      </c>
      <c r="I2575">
        <v>5</v>
      </c>
      <c r="J2575">
        <v>6.65</v>
      </c>
      <c r="K2575">
        <v>5</v>
      </c>
      <c r="L2575">
        <v>0.26700000000000002</v>
      </c>
      <c r="M2575">
        <v>1</v>
      </c>
      <c r="N2575">
        <v>100</v>
      </c>
      <c r="O2575">
        <v>2</v>
      </c>
      <c r="P2575">
        <v>0.45</v>
      </c>
      <c r="Q2575">
        <v>3</v>
      </c>
      <c r="R2575">
        <v>1.6250000000000001E-2</v>
      </c>
      <c r="T2575" s="8" t="s">
        <v>7272</v>
      </c>
    </row>
    <row r="2576" spans="1:20" x14ac:dyDescent="0.2">
      <c r="A2576" t="s">
        <v>7274</v>
      </c>
      <c r="B2576" t="s">
        <v>2022</v>
      </c>
      <c r="C2576" t="s">
        <v>2023</v>
      </c>
      <c r="D2576" t="s">
        <v>2024</v>
      </c>
      <c r="E2576" t="s">
        <v>7275</v>
      </c>
      <c r="F2576" t="s">
        <v>7276</v>
      </c>
      <c r="G2576">
        <v>4</v>
      </c>
      <c r="H2576">
        <v>1720</v>
      </c>
      <c r="I2576">
        <v>2</v>
      </c>
      <c r="J2576">
        <v>3.4</v>
      </c>
      <c r="K2576">
        <v>2</v>
      </c>
      <c r="L2576">
        <v>2.5999999999999999E-2</v>
      </c>
      <c r="M2576">
        <v>3</v>
      </c>
      <c r="N2576">
        <v>94</v>
      </c>
      <c r="O2576">
        <v>2</v>
      </c>
      <c r="P2576">
        <v>0.22500000000000001</v>
      </c>
      <c r="Q2576">
        <v>1</v>
      </c>
      <c r="R2576">
        <v>5.0000000000000001E-4</v>
      </c>
      <c r="T2576" s="8" t="s">
        <v>7275</v>
      </c>
    </row>
    <row r="2577" spans="1:20" x14ac:dyDescent="0.2">
      <c r="A2577" t="s">
        <v>7277</v>
      </c>
      <c r="B2577" t="s">
        <v>2022</v>
      </c>
      <c r="C2577" t="s">
        <v>2104</v>
      </c>
      <c r="D2577" t="s">
        <v>2024</v>
      </c>
      <c r="E2577" t="s">
        <v>7278</v>
      </c>
      <c r="F2577" t="s">
        <v>7279</v>
      </c>
      <c r="G2577">
        <v>2</v>
      </c>
      <c r="H2577">
        <v>1712.5</v>
      </c>
      <c r="I2577">
        <v>2</v>
      </c>
      <c r="J2577">
        <v>3.25</v>
      </c>
      <c r="K2577">
        <v>4</v>
      </c>
      <c r="L2577">
        <v>0.14099999999999999</v>
      </c>
      <c r="M2577">
        <v>4</v>
      </c>
      <c r="N2577">
        <v>81</v>
      </c>
      <c r="P2577">
        <v>0</v>
      </c>
      <c r="Q2577">
        <v>3</v>
      </c>
      <c r="R2577">
        <v>8.2000000000000007E-3</v>
      </c>
      <c r="T2577" s="8" t="s">
        <v>7278</v>
      </c>
    </row>
    <row r="2578" spans="1:20" x14ac:dyDescent="0.2">
      <c r="A2578" t="s">
        <v>7280</v>
      </c>
      <c r="B2578" t="s">
        <v>2022</v>
      </c>
      <c r="C2578" t="s">
        <v>2036</v>
      </c>
      <c r="D2578" t="s">
        <v>2024</v>
      </c>
      <c r="E2578" t="s">
        <v>7278</v>
      </c>
      <c r="F2578" t="s">
        <v>7279</v>
      </c>
      <c r="G2578">
        <v>2</v>
      </c>
      <c r="H2578">
        <v>1640</v>
      </c>
      <c r="I2578">
        <v>5</v>
      </c>
      <c r="J2578">
        <v>7</v>
      </c>
      <c r="K2578">
        <v>5</v>
      </c>
      <c r="L2578">
        <v>0.17499999999999999</v>
      </c>
      <c r="M2578">
        <v>5</v>
      </c>
      <c r="N2578">
        <v>100</v>
      </c>
      <c r="O2578">
        <v>4</v>
      </c>
      <c r="P2578">
        <v>0.42499999999999999</v>
      </c>
      <c r="Q2578">
        <v>5</v>
      </c>
      <c r="R2578">
        <v>1.2E-2</v>
      </c>
      <c r="T2578" s="8" t="s">
        <v>7278</v>
      </c>
    </row>
    <row r="2579" spans="1:20" x14ac:dyDescent="0.2">
      <c r="A2579" t="s">
        <v>7281</v>
      </c>
      <c r="B2579" t="s">
        <v>2022</v>
      </c>
      <c r="C2579" t="s">
        <v>2023</v>
      </c>
      <c r="D2579" t="s">
        <v>2024</v>
      </c>
      <c r="E2579" t="s">
        <v>357</v>
      </c>
      <c r="F2579" t="s">
        <v>7282</v>
      </c>
      <c r="G2579">
        <v>1</v>
      </c>
      <c r="H2579">
        <v>1480</v>
      </c>
      <c r="I2579">
        <v>1</v>
      </c>
      <c r="J2579">
        <v>0.9</v>
      </c>
      <c r="K2579">
        <v>2</v>
      </c>
      <c r="L2579">
        <v>2.5999999999999999E-2</v>
      </c>
      <c r="M2579">
        <v>1</v>
      </c>
      <c r="N2579">
        <v>74</v>
      </c>
      <c r="O2579">
        <v>1</v>
      </c>
      <c r="P2579">
        <v>7.4999999999999997E-2</v>
      </c>
      <c r="Q2579">
        <v>1</v>
      </c>
      <c r="R2579">
        <v>5.0000000000000001E-4</v>
      </c>
      <c r="T2579" s="8" t="s">
        <v>357</v>
      </c>
    </row>
    <row r="2580" spans="1:20" x14ac:dyDescent="0.2">
      <c r="A2580" t="s">
        <v>7283</v>
      </c>
      <c r="B2580" t="s">
        <v>2022</v>
      </c>
      <c r="C2580" t="s">
        <v>2023</v>
      </c>
      <c r="D2580" t="s">
        <v>2024</v>
      </c>
      <c r="E2580" t="s">
        <v>7284</v>
      </c>
      <c r="F2580" t="s">
        <v>7285</v>
      </c>
      <c r="G2580">
        <v>4</v>
      </c>
      <c r="H2580">
        <v>1720</v>
      </c>
      <c r="I2580">
        <v>5</v>
      </c>
      <c r="J2580">
        <v>10.9</v>
      </c>
      <c r="K2580">
        <v>5</v>
      </c>
      <c r="L2580">
        <v>8.5999999999999993E-2</v>
      </c>
      <c r="M2580">
        <v>2</v>
      </c>
      <c r="N2580">
        <v>84</v>
      </c>
      <c r="O2580">
        <v>5</v>
      </c>
      <c r="P2580">
        <v>0.67500000000000004</v>
      </c>
      <c r="Q2580">
        <v>5</v>
      </c>
      <c r="R2580">
        <v>8.0000000000000002E-3</v>
      </c>
      <c r="T2580" s="8" t="s">
        <v>7284</v>
      </c>
    </row>
    <row r="2581" spans="1:20" x14ac:dyDescent="0.2">
      <c r="A2581" t="s">
        <v>7286</v>
      </c>
      <c r="B2581" t="s">
        <v>2022</v>
      </c>
      <c r="C2581" t="s">
        <v>2036</v>
      </c>
      <c r="D2581" t="s">
        <v>2024</v>
      </c>
      <c r="E2581" t="s">
        <v>7287</v>
      </c>
      <c r="F2581" t="s">
        <v>7288</v>
      </c>
      <c r="G2581">
        <v>4</v>
      </c>
      <c r="H2581">
        <v>1840</v>
      </c>
      <c r="I2581">
        <v>3</v>
      </c>
      <c r="J2581">
        <v>4.5999999999999996</v>
      </c>
      <c r="K2581">
        <v>3</v>
      </c>
      <c r="L2581">
        <v>0.115</v>
      </c>
      <c r="M2581">
        <v>3</v>
      </c>
      <c r="N2581">
        <v>88</v>
      </c>
      <c r="O2581">
        <v>2</v>
      </c>
      <c r="P2581">
        <v>0.20499999999999999</v>
      </c>
      <c r="Q2581">
        <v>3</v>
      </c>
      <c r="R2581">
        <v>6.7499999999999999E-3</v>
      </c>
      <c r="T2581" s="8" t="s">
        <v>7287</v>
      </c>
    </row>
    <row r="2582" spans="1:20" x14ac:dyDescent="0.2">
      <c r="A2582" t="s">
        <v>7289</v>
      </c>
      <c r="B2582" t="s">
        <v>2022</v>
      </c>
      <c r="C2582" t="s">
        <v>2053</v>
      </c>
      <c r="D2582" t="s">
        <v>2024</v>
      </c>
      <c r="E2582" t="s">
        <v>7290</v>
      </c>
      <c r="F2582" t="s">
        <v>7291</v>
      </c>
      <c r="G2582">
        <v>5</v>
      </c>
      <c r="H2582">
        <v>1900</v>
      </c>
      <c r="I2582">
        <v>4</v>
      </c>
      <c r="J2582">
        <v>9.0500000000000007</v>
      </c>
      <c r="K2582">
        <v>3</v>
      </c>
      <c r="L2582">
        <v>0.19500000000000001</v>
      </c>
      <c r="M2582">
        <v>1</v>
      </c>
      <c r="N2582">
        <v>73</v>
      </c>
      <c r="O2582">
        <v>3</v>
      </c>
      <c r="P2582">
        <v>0.375</v>
      </c>
      <c r="Q2582">
        <v>3</v>
      </c>
      <c r="R2582">
        <v>1.2200000000000001E-2</v>
      </c>
      <c r="T2582" s="8" t="s">
        <v>7290</v>
      </c>
    </row>
    <row r="2583" spans="1:20" x14ac:dyDescent="0.2">
      <c r="A2583" t="s">
        <v>7292</v>
      </c>
      <c r="B2583" t="s">
        <v>2022</v>
      </c>
      <c r="C2583" t="s">
        <v>2095</v>
      </c>
      <c r="D2583" t="s">
        <v>2024</v>
      </c>
      <c r="E2583" t="s">
        <v>7293</v>
      </c>
      <c r="F2583" t="s">
        <v>7294</v>
      </c>
      <c r="G2583">
        <v>3</v>
      </c>
      <c r="H2583">
        <v>1745</v>
      </c>
      <c r="I2583">
        <v>4</v>
      </c>
      <c r="J2583">
        <v>13.5</v>
      </c>
      <c r="K2583">
        <v>4</v>
      </c>
      <c r="L2583">
        <v>0.53</v>
      </c>
      <c r="M2583">
        <v>2</v>
      </c>
      <c r="N2583">
        <v>80</v>
      </c>
      <c r="O2583">
        <v>4</v>
      </c>
      <c r="P2583">
        <v>0.75</v>
      </c>
      <c r="Q2583">
        <v>4</v>
      </c>
      <c r="R2583">
        <v>2.3900000000000001E-2</v>
      </c>
      <c r="T2583" s="8" t="s">
        <v>7293</v>
      </c>
    </row>
    <row r="2584" spans="1:20" x14ac:dyDescent="0.2">
      <c r="A2584" t="s">
        <v>7295</v>
      </c>
      <c r="B2584" t="s">
        <v>2022</v>
      </c>
      <c r="C2584" t="s">
        <v>2104</v>
      </c>
      <c r="D2584" t="s">
        <v>2024</v>
      </c>
      <c r="E2584" t="s">
        <v>239</v>
      </c>
      <c r="F2584" t="s">
        <v>7296</v>
      </c>
      <c r="G2584">
        <v>3</v>
      </c>
      <c r="H2584">
        <v>1887.5</v>
      </c>
      <c r="I2584">
        <v>5</v>
      </c>
      <c r="J2584">
        <v>10.15</v>
      </c>
      <c r="K2584">
        <v>5</v>
      </c>
      <c r="L2584">
        <v>0.191</v>
      </c>
      <c r="M2584">
        <v>4</v>
      </c>
      <c r="N2584">
        <v>81</v>
      </c>
      <c r="P2584">
        <v>0</v>
      </c>
      <c r="Q2584">
        <v>5</v>
      </c>
      <c r="R2584">
        <v>1.8200000000000001E-2</v>
      </c>
      <c r="T2584" s="8" t="s">
        <v>239</v>
      </c>
    </row>
    <row r="2585" spans="1:20" x14ac:dyDescent="0.2">
      <c r="A2585" t="s">
        <v>7297</v>
      </c>
      <c r="B2585" t="s">
        <v>2022</v>
      </c>
      <c r="C2585" t="s">
        <v>2036</v>
      </c>
      <c r="D2585" t="s">
        <v>2024</v>
      </c>
      <c r="E2585" t="s">
        <v>7298</v>
      </c>
      <c r="F2585" t="s">
        <v>7299</v>
      </c>
      <c r="G2585">
        <v>1</v>
      </c>
      <c r="H2585">
        <v>1540</v>
      </c>
      <c r="I2585">
        <v>2</v>
      </c>
      <c r="J2585">
        <v>3.4</v>
      </c>
      <c r="K2585">
        <v>1</v>
      </c>
      <c r="L2585">
        <v>5.5E-2</v>
      </c>
      <c r="M2585">
        <v>1</v>
      </c>
      <c r="N2585">
        <v>76</v>
      </c>
      <c r="O2585">
        <v>1</v>
      </c>
      <c r="P2585">
        <v>9.5000000000000001E-2</v>
      </c>
      <c r="Q2585">
        <v>1</v>
      </c>
      <c r="R2585">
        <v>1.5E-3</v>
      </c>
      <c r="T2585" s="8" t="s">
        <v>7298</v>
      </c>
    </row>
    <row r="2586" spans="1:20" x14ac:dyDescent="0.2">
      <c r="A2586" t="s">
        <v>7300</v>
      </c>
      <c r="B2586" t="s">
        <v>2022</v>
      </c>
      <c r="C2586" t="s">
        <v>2222</v>
      </c>
      <c r="D2586" t="s">
        <v>2024</v>
      </c>
      <c r="E2586" t="s">
        <v>7301</v>
      </c>
      <c r="F2586" t="s">
        <v>7302</v>
      </c>
      <c r="G2586">
        <v>3</v>
      </c>
      <c r="H2586">
        <v>1650</v>
      </c>
      <c r="I2586">
        <v>1</v>
      </c>
      <c r="J2586">
        <v>2.2999999999999998</v>
      </c>
      <c r="K2586">
        <v>2</v>
      </c>
      <c r="L2586">
        <v>5.5E-2</v>
      </c>
      <c r="M2586">
        <v>2</v>
      </c>
      <c r="N2586">
        <v>63</v>
      </c>
      <c r="O2586">
        <v>2</v>
      </c>
      <c r="P2586">
        <v>0.15</v>
      </c>
      <c r="Q2586">
        <v>2</v>
      </c>
      <c r="R2586">
        <v>2.3E-3</v>
      </c>
      <c r="T2586" s="8" t="s">
        <v>7301</v>
      </c>
    </row>
    <row r="2587" spans="1:20" x14ac:dyDescent="0.2">
      <c r="A2587" t="s">
        <v>7303</v>
      </c>
      <c r="B2587" t="s">
        <v>2022</v>
      </c>
      <c r="C2587" t="s">
        <v>2222</v>
      </c>
      <c r="D2587" t="s">
        <v>2024</v>
      </c>
      <c r="E2587" t="s">
        <v>7304</v>
      </c>
      <c r="F2587" t="s">
        <v>7305</v>
      </c>
      <c r="G2587">
        <v>1</v>
      </c>
      <c r="H2587">
        <v>1450</v>
      </c>
      <c r="I2587">
        <v>2</v>
      </c>
      <c r="J2587">
        <v>3.9</v>
      </c>
      <c r="K2587">
        <v>4</v>
      </c>
      <c r="L2587">
        <v>0.19500000000000001</v>
      </c>
      <c r="M2587">
        <v>2</v>
      </c>
      <c r="N2587">
        <v>63</v>
      </c>
      <c r="O2587">
        <v>2</v>
      </c>
      <c r="P2587">
        <v>0.15</v>
      </c>
      <c r="Q2587">
        <v>4</v>
      </c>
      <c r="R2587">
        <v>8.3000000000000001E-3</v>
      </c>
      <c r="T2587" s="8" t="s">
        <v>7304</v>
      </c>
    </row>
    <row r="2588" spans="1:20" x14ac:dyDescent="0.2">
      <c r="A2588" t="s">
        <v>7306</v>
      </c>
      <c r="B2588" t="s">
        <v>2022</v>
      </c>
      <c r="C2588" t="s">
        <v>2036</v>
      </c>
      <c r="D2588" t="s">
        <v>2154</v>
      </c>
      <c r="E2588" t="s">
        <v>7307</v>
      </c>
      <c r="F2588" t="s">
        <v>7308</v>
      </c>
      <c r="G2588">
        <v>1</v>
      </c>
      <c r="H2588">
        <v>1540</v>
      </c>
      <c r="I2588">
        <v>3</v>
      </c>
      <c r="J2588">
        <v>4.5999999999999996</v>
      </c>
      <c r="K2588">
        <v>5</v>
      </c>
      <c r="L2588">
        <v>0.17499999999999999</v>
      </c>
      <c r="M2588">
        <v>3</v>
      </c>
      <c r="N2588">
        <v>88</v>
      </c>
      <c r="O2588">
        <v>3</v>
      </c>
      <c r="P2588">
        <v>0.315</v>
      </c>
      <c r="Q2588">
        <v>5</v>
      </c>
      <c r="R2588">
        <v>1.2E-2</v>
      </c>
      <c r="T2588" s="8" t="s">
        <v>7307</v>
      </c>
    </row>
    <row r="2589" spans="1:20" x14ac:dyDescent="0.2">
      <c r="A2589" t="s">
        <v>7309</v>
      </c>
      <c r="B2589" t="s">
        <v>2022</v>
      </c>
      <c r="C2589" t="s">
        <v>2053</v>
      </c>
      <c r="D2589" t="s">
        <v>2154</v>
      </c>
      <c r="E2589" t="s">
        <v>7310</v>
      </c>
      <c r="F2589" t="s">
        <v>7311</v>
      </c>
      <c r="G2589">
        <v>1</v>
      </c>
      <c r="H2589">
        <v>1500</v>
      </c>
      <c r="I2589">
        <v>1</v>
      </c>
      <c r="J2589">
        <v>1.55</v>
      </c>
      <c r="K2589">
        <v>2</v>
      </c>
      <c r="L2589">
        <v>8.5000000000000006E-2</v>
      </c>
      <c r="M2589">
        <v>2</v>
      </c>
      <c r="N2589">
        <v>83</v>
      </c>
      <c r="O2589">
        <v>1</v>
      </c>
      <c r="P2589">
        <v>7.4999999999999997E-2</v>
      </c>
      <c r="Q2589">
        <v>2</v>
      </c>
      <c r="R2589">
        <v>5.1999999999999998E-3</v>
      </c>
      <c r="T2589" s="8" t="s">
        <v>7310</v>
      </c>
    </row>
    <row r="2590" spans="1:20" x14ac:dyDescent="0.2">
      <c r="A2590" t="s">
        <v>7312</v>
      </c>
      <c r="B2590" t="s">
        <v>2022</v>
      </c>
      <c r="C2590" t="s">
        <v>2053</v>
      </c>
      <c r="D2590" t="s">
        <v>2024</v>
      </c>
      <c r="E2590" t="s">
        <v>7313</v>
      </c>
      <c r="F2590" t="s">
        <v>447</v>
      </c>
      <c r="G2590">
        <v>2</v>
      </c>
      <c r="H2590">
        <v>1600</v>
      </c>
      <c r="I2590">
        <v>2</v>
      </c>
      <c r="J2590">
        <v>4.05</v>
      </c>
      <c r="K2590">
        <v>3</v>
      </c>
      <c r="L2590">
        <v>0.19500000000000001</v>
      </c>
      <c r="M2590">
        <v>1</v>
      </c>
      <c r="N2590">
        <v>73</v>
      </c>
      <c r="O2590">
        <v>2</v>
      </c>
      <c r="P2590">
        <v>0.22500000000000001</v>
      </c>
      <c r="Q2590">
        <v>2</v>
      </c>
      <c r="R2590">
        <v>5.1999999999999998E-3</v>
      </c>
      <c r="T2590" s="8" t="s">
        <v>7313</v>
      </c>
    </row>
    <row r="2591" spans="1:20" x14ac:dyDescent="0.2">
      <c r="A2591" t="s">
        <v>7314</v>
      </c>
      <c r="B2591" t="s">
        <v>2022</v>
      </c>
      <c r="C2591" t="s">
        <v>2036</v>
      </c>
      <c r="D2591" t="s">
        <v>2024</v>
      </c>
      <c r="E2591" t="s">
        <v>7315</v>
      </c>
      <c r="F2591" t="s">
        <v>7316</v>
      </c>
      <c r="G2591">
        <v>3</v>
      </c>
      <c r="H2591">
        <v>1740</v>
      </c>
      <c r="I2591">
        <v>3</v>
      </c>
      <c r="J2591">
        <v>4.5999999999999996</v>
      </c>
      <c r="K2591">
        <v>3</v>
      </c>
      <c r="L2591">
        <v>0.115</v>
      </c>
      <c r="M2591">
        <v>3</v>
      </c>
      <c r="N2591">
        <v>88</v>
      </c>
      <c r="O2591">
        <v>2</v>
      </c>
      <c r="P2591">
        <v>0.20499999999999999</v>
      </c>
      <c r="Q2591">
        <v>2</v>
      </c>
      <c r="R2591">
        <v>4.2500000000000003E-3</v>
      </c>
      <c r="T2591" s="8" t="s">
        <v>7315</v>
      </c>
    </row>
    <row r="2592" spans="1:20" x14ac:dyDescent="0.2">
      <c r="A2592" t="s">
        <v>7317</v>
      </c>
      <c r="B2592" t="s">
        <v>2022</v>
      </c>
      <c r="C2592" t="s">
        <v>2101</v>
      </c>
      <c r="D2592" t="s">
        <v>2024</v>
      </c>
      <c r="E2592" t="s">
        <v>7318</v>
      </c>
      <c r="F2592" t="s">
        <v>7319</v>
      </c>
      <c r="G2592">
        <v>3</v>
      </c>
      <c r="H2592">
        <v>1770</v>
      </c>
      <c r="I2592">
        <v>5</v>
      </c>
      <c r="J2592">
        <v>14</v>
      </c>
      <c r="K2592">
        <v>5</v>
      </c>
      <c r="L2592">
        <v>0.53749999999999998</v>
      </c>
      <c r="M2592">
        <v>2</v>
      </c>
      <c r="N2592">
        <v>74</v>
      </c>
      <c r="O2592">
        <v>5</v>
      </c>
      <c r="P2592">
        <v>0.67500000000000004</v>
      </c>
      <c r="Q2592">
        <v>5</v>
      </c>
      <c r="R2592">
        <v>2.5499999999999998E-2</v>
      </c>
      <c r="T2592" s="8" t="s">
        <v>7318</v>
      </c>
    </row>
    <row r="2593" spans="1:20" x14ac:dyDescent="0.2">
      <c r="A2593" t="s">
        <v>7320</v>
      </c>
      <c r="B2593" t="s">
        <v>2022</v>
      </c>
      <c r="C2593" t="s">
        <v>2023</v>
      </c>
      <c r="D2593" t="s">
        <v>2024</v>
      </c>
      <c r="E2593" t="s">
        <v>7321</v>
      </c>
      <c r="F2593" t="s">
        <v>7322</v>
      </c>
      <c r="G2593">
        <v>3</v>
      </c>
      <c r="H2593">
        <v>1640</v>
      </c>
      <c r="I2593">
        <v>2</v>
      </c>
      <c r="J2593">
        <v>3.4</v>
      </c>
      <c r="K2593">
        <v>3</v>
      </c>
      <c r="L2593">
        <v>4.5999999999999999E-2</v>
      </c>
      <c r="M2593">
        <v>1</v>
      </c>
      <c r="N2593">
        <v>74</v>
      </c>
      <c r="O2593">
        <v>2</v>
      </c>
      <c r="P2593">
        <v>0.22500000000000001</v>
      </c>
      <c r="Q2593">
        <v>2</v>
      </c>
      <c r="R2593">
        <v>2E-3</v>
      </c>
      <c r="T2593" s="8" t="s">
        <v>7321</v>
      </c>
    </row>
    <row r="2594" spans="1:20" x14ac:dyDescent="0.2">
      <c r="A2594" t="s">
        <v>7323</v>
      </c>
      <c r="B2594" t="s">
        <v>2022</v>
      </c>
      <c r="C2594" t="s">
        <v>2036</v>
      </c>
      <c r="D2594" t="s">
        <v>2024</v>
      </c>
      <c r="E2594" t="s">
        <v>7324</v>
      </c>
      <c r="F2594" t="s">
        <v>7325</v>
      </c>
      <c r="G2594">
        <v>4</v>
      </c>
      <c r="H2594">
        <v>1840</v>
      </c>
      <c r="I2594">
        <v>3</v>
      </c>
      <c r="J2594">
        <v>4.5999999999999996</v>
      </c>
      <c r="K2594">
        <v>1</v>
      </c>
      <c r="L2594">
        <v>5.5E-2</v>
      </c>
      <c r="M2594">
        <v>4</v>
      </c>
      <c r="N2594">
        <v>94</v>
      </c>
      <c r="O2594">
        <v>2</v>
      </c>
      <c r="P2594">
        <v>0.20499999999999999</v>
      </c>
      <c r="Q2594">
        <v>1</v>
      </c>
      <c r="R2594">
        <v>1.5E-3</v>
      </c>
      <c r="T2594" s="8" t="s">
        <v>7324</v>
      </c>
    </row>
    <row r="2595" spans="1:20" x14ac:dyDescent="0.2">
      <c r="A2595" t="s">
        <v>7326</v>
      </c>
      <c r="B2595" t="s">
        <v>2022</v>
      </c>
      <c r="C2595" t="s">
        <v>2053</v>
      </c>
      <c r="D2595" t="s">
        <v>2024</v>
      </c>
      <c r="E2595" t="s">
        <v>7327</v>
      </c>
      <c r="F2595" t="s">
        <v>7328</v>
      </c>
      <c r="G2595">
        <v>1</v>
      </c>
      <c r="H2595">
        <v>1500</v>
      </c>
      <c r="I2595">
        <v>1</v>
      </c>
      <c r="J2595">
        <v>1.55</v>
      </c>
      <c r="K2595">
        <v>1</v>
      </c>
      <c r="L2595">
        <v>1.4999999999999999E-2</v>
      </c>
      <c r="M2595">
        <v>1</v>
      </c>
      <c r="N2595">
        <v>73</v>
      </c>
      <c r="O2595">
        <v>1</v>
      </c>
      <c r="P2595">
        <v>7.4999999999999997E-2</v>
      </c>
      <c r="Q2595">
        <v>1</v>
      </c>
      <c r="R2595">
        <v>8.4999999999999995E-4</v>
      </c>
      <c r="T2595" s="8" t="s">
        <v>7327</v>
      </c>
    </row>
    <row r="2596" spans="1:20" x14ac:dyDescent="0.2">
      <c r="A2596" t="s">
        <v>7329</v>
      </c>
      <c r="B2596" t="s">
        <v>2022</v>
      </c>
      <c r="C2596" t="s">
        <v>2222</v>
      </c>
      <c r="D2596" t="s">
        <v>2024</v>
      </c>
      <c r="E2596" t="s">
        <v>7330</v>
      </c>
      <c r="F2596" t="s">
        <v>7331</v>
      </c>
      <c r="G2596">
        <v>3</v>
      </c>
      <c r="H2596">
        <v>1650</v>
      </c>
      <c r="I2596">
        <v>3</v>
      </c>
      <c r="J2596">
        <v>5.5</v>
      </c>
      <c r="K2596">
        <v>4</v>
      </c>
      <c r="L2596">
        <v>0.19500000000000001</v>
      </c>
      <c r="M2596">
        <v>3</v>
      </c>
      <c r="N2596">
        <v>67</v>
      </c>
      <c r="O2596">
        <v>3</v>
      </c>
      <c r="P2596">
        <v>0.23</v>
      </c>
      <c r="Q2596">
        <v>4</v>
      </c>
      <c r="R2596">
        <v>8.3000000000000001E-3</v>
      </c>
      <c r="T2596" s="8" t="s">
        <v>7330</v>
      </c>
    </row>
    <row r="2597" spans="1:20" x14ac:dyDescent="0.2">
      <c r="A2597" t="s">
        <v>7332</v>
      </c>
      <c r="B2597" t="s">
        <v>2022</v>
      </c>
      <c r="C2597" t="s">
        <v>2036</v>
      </c>
      <c r="D2597" t="s">
        <v>2024</v>
      </c>
      <c r="E2597" t="s">
        <v>7333</v>
      </c>
      <c r="F2597" t="s">
        <v>7334</v>
      </c>
      <c r="G2597">
        <v>2</v>
      </c>
      <c r="H2597">
        <v>1640</v>
      </c>
      <c r="I2597">
        <v>3</v>
      </c>
      <c r="J2597">
        <v>4.5999999999999996</v>
      </c>
      <c r="K2597">
        <v>3</v>
      </c>
      <c r="L2597">
        <v>0.115</v>
      </c>
      <c r="M2597">
        <v>3</v>
      </c>
      <c r="N2597">
        <v>88</v>
      </c>
      <c r="O2597">
        <v>3</v>
      </c>
      <c r="P2597">
        <v>0.315</v>
      </c>
      <c r="Q2597">
        <v>3</v>
      </c>
      <c r="R2597">
        <v>6.7499999999999999E-3</v>
      </c>
      <c r="T2597" s="8" t="s">
        <v>7333</v>
      </c>
    </row>
    <row r="2598" spans="1:20" x14ac:dyDescent="0.2">
      <c r="A2598" t="s">
        <v>7335</v>
      </c>
      <c r="B2598" t="s">
        <v>2022</v>
      </c>
      <c r="C2598" t="s">
        <v>2036</v>
      </c>
      <c r="D2598" t="s">
        <v>2024</v>
      </c>
      <c r="E2598" t="s">
        <v>7336</v>
      </c>
      <c r="F2598" t="s">
        <v>7337</v>
      </c>
      <c r="G2598">
        <v>4</v>
      </c>
      <c r="H2598">
        <v>1840</v>
      </c>
      <c r="I2598">
        <v>2</v>
      </c>
      <c r="J2598">
        <v>3.4</v>
      </c>
      <c r="K2598">
        <v>4</v>
      </c>
      <c r="L2598">
        <v>0.14499999999999999</v>
      </c>
      <c r="M2598">
        <v>5</v>
      </c>
      <c r="N2598">
        <v>100</v>
      </c>
      <c r="O2598">
        <v>2</v>
      </c>
      <c r="P2598">
        <v>0.20499999999999999</v>
      </c>
      <c r="Q2598">
        <v>4</v>
      </c>
      <c r="R2598">
        <v>9.2499999999999995E-3</v>
      </c>
      <c r="T2598" s="8" t="s">
        <v>7336</v>
      </c>
    </row>
    <row r="2599" spans="1:20" x14ac:dyDescent="0.2">
      <c r="A2599" t="s">
        <v>7338</v>
      </c>
      <c r="B2599" t="s">
        <v>2022</v>
      </c>
      <c r="C2599" t="s">
        <v>2036</v>
      </c>
      <c r="D2599" t="s">
        <v>2024</v>
      </c>
      <c r="E2599" t="s">
        <v>7339</v>
      </c>
      <c r="F2599" t="s">
        <v>7340</v>
      </c>
      <c r="G2599">
        <v>1</v>
      </c>
      <c r="H2599">
        <v>1540</v>
      </c>
      <c r="I2599">
        <v>5</v>
      </c>
      <c r="J2599">
        <v>7</v>
      </c>
      <c r="K2599">
        <v>5</v>
      </c>
      <c r="L2599">
        <v>0.17499999999999999</v>
      </c>
      <c r="M2599">
        <v>2</v>
      </c>
      <c r="N2599">
        <v>82</v>
      </c>
      <c r="O2599">
        <v>4</v>
      </c>
      <c r="P2599">
        <v>0.42499999999999999</v>
      </c>
      <c r="Q2599">
        <v>5</v>
      </c>
      <c r="R2599">
        <v>1.2E-2</v>
      </c>
      <c r="T2599" s="8" t="s">
        <v>7339</v>
      </c>
    </row>
    <row r="2600" spans="1:20" x14ac:dyDescent="0.2">
      <c r="A2600" t="s">
        <v>7341</v>
      </c>
      <c r="B2600" t="s">
        <v>2022</v>
      </c>
      <c r="C2600" t="s">
        <v>2023</v>
      </c>
      <c r="D2600" t="s">
        <v>2024</v>
      </c>
      <c r="E2600" t="s">
        <v>7342</v>
      </c>
      <c r="F2600" t="s">
        <v>7343</v>
      </c>
      <c r="G2600">
        <v>3</v>
      </c>
      <c r="H2600">
        <v>1640</v>
      </c>
      <c r="I2600">
        <v>5</v>
      </c>
      <c r="J2600">
        <v>10.9</v>
      </c>
      <c r="K2600">
        <v>3</v>
      </c>
      <c r="L2600">
        <v>4.5999999999999999E-2</v>
      </c>
      <c r="M2600">
        <v>3</v>
      </c>
      <c r="N2600">
        <v>94</v>
      </c>
      <c r="O2600">
        <v>5</v>
      </c>
      <c r="P2600">
        <v>0.67500000000000004</v>
      </c>
      <c r="Q2600">
        <v>3</v>
      </c>
      <c r="R2600">
        <v>4.0000000000000001E-3</v>
      </c>
      <c r="T2600" s="8" t="s">
        <v>7342</v>
      </c>
    </row>
    <row r="2601" spans="1:20" x14ac:dyDescent="0.2">
      <c r="A2601" t="s">
        <v>7344</v>
      </c>
      <c r="B2601" t="s">
        <v>2022</v>
      </c>
      <c r="C2601" t="s">
        <v>2101</v>
      </c>
      <c r="D2601" t="s">
        <v>2024</v>
      </c>
      <c r="E2601" t="s">
        <v>7345</v>
      </c>
      <c r="F2601" t="s">
        <v>447</v>
      </c>
      <c r="G2601">
        <v>4</v>
      </c>
      <c r="H2601">
        <v>1870</v>
      </c>
      <c r="I2601">
        <v>2</v>
      </c>
      <c r="J2601">
        <v>5</v>
      </c>
      <c r="K2601">
        <v>2</v>
      </c>
      <c r="L2601">
        <v>9.6500000000000002E-2</v>
      </c>
      <c r="M2601">
        <v>2</v>
      </c>
      <c r="N2601">
        <v>74</v>
      </c>
      <c r="O2601">
        <v>2</v>
      </c>
      <c r="P2601">
        <v>0.22500000000000001</v>
      </c>
      <c r="Q2601">
        <v>2</v>
      </c>
      <c r="R2601">
        <v>4.4999999999999997E-3</v>
      </c>
      <c r="T2601" s="8" t="s">
        <v>7345</v>
      </c>
    </row>
    <row r="2602" spans="1:20" x14ac:dyDescent="0.2">
      <c r="A2602" t="s">
        <v>7346</v>
      </c>
      <c r="B2602" t="s">
        <v>2022</v>
      </c>
      <c r="C2602" t="s">
        <v>2101</v>
      </c>
      <c r="D2602" t="s">
        <v>2024</v>
      </c>
      <c r="E2602" t="s">
        <v>7345</v>
      </c>
      <c r="F2602" t="s">
        <v>447</v>
      </c>
      <c r="G2602">
        <v>5</v>
      </c>
      <c r="H2602">
        <v>1970</v>
      </c>
      <c r="I2602">
        <v>4</v>
      </c>
      <c r="J2602">
        <v>11</v>
      </c>
      <c r="K2602">
        <v>2</v>
      </c>
      <c r="L2602">
        <v>9.6500000000000002E-2</v>
      </c>
      <c r="M2602">
        <v>3</v>
      </c>
      <c r="N2602">
        <v>82</v>
      </c>
      <c r="O2602">
        <v>3</v>
      </c>
      <c r="P2602">
        <v>0.375</v>
      </c>
      <c r="Q2602">
        <v>2</v>
      </c>
      <c r="R2602">
        <v>4.4999999999999997E-3</v>
      </c>
      <c r="T2602" s="8" t="s">
        <v>7345</v>
      </c>
    </row>
    <row r="2603" spans="1:20" x14ac:dyDescent="0.2">
      <c r="A2603" t="s">
        <v>7347</v>
      </c>
      <c r="B2603" t="s">
        <v>2022</v>
      </c>
      <c r="C2603" t="s">
        <v>2036</v>
      </c>
      <c r="D2603" t="s">
        <v>2024</v>
      </c>
      <c r="E2603" t="s">
        <v>7348</v>
      </c>
      <c r="F2603" t="s">
        <v>7349</v>
      </c>
      <c r="G2603">
        <v>2</v>
      </c>
      <c r="H2603">
        <v>1640</v>
      </c>
      <c r="I2603">
        <v>3</v>
      </c>
      <c r="J2603">
        <v>4.5999999999999996</v>
      </c>
      <c r="K2603">
        <v>3</v>
      </c>
      <c r="L2603">
        <v>0.115</v>
      </c>
      <c r="M2603">
        <v>3</v>
      </c>
      <c r="N2603">
        <v>88</v>
      </c>
      <c r="O2603">
        <v>3</v>
      </c>
      <c r="P2603">
        <v>0.315</v>
      </c>
      <c r="Q2603">
        <v>3</v>
      </c>
      <c r="R2603">
        <v>6.7499999999999999E-3</v>
      </c>
      <c r="T2603" s="8" t="s">
        <v>7348</v>
      </c>
    </row>
    <row r="2604" spans="1:20" x14ac:dyDescent="0.2">
      <c r="A2604" t="s">
        <v>7350</v>
      </c>
      <c r="B2604" t="s">
        <v>2022</v>
      </c>
      <c r="C2604" t="s">
        <v>2036</v>
      </c>
      <c r="D2604" t="s">
        <v>2024</v>
      </c>
      <c r="E2604" t="s">
        <v>7351</v>
      </c>
      <c r="F2604" t="s">
        <v>7352</v>
      </c>
      <c r="G2604">
        <v>1</v>
      </c>
      <c r="H2604">
        <v>1540</v>
      </c>
      <c r="I2604">
        <v>2</v>
      </c>
      <c r="J2604">
        <v>3.4</v>
      </c>
      <c r="K2604">
        <v>3</v>
      </c>
      <c r="L2604">
        <v>0.115</v>
      </c>
      <c r="M2604">
        <v>1</v>
      </c>
      <c r="N2604">
        <v>76</v>
      </c>
      <c r="O2604">
        <v>2</v>
      </c>
      <c r="P2604">
        <v>0.20499999999999999</v>
      </c>
      <c r="Q2604">
        <v>2</v>
      </c>
      <c r="R2604">
        <v>4.2500000000000003E-3</v>
      </c>
      <c r="T2604" s="8" t="s">
        <v>7351</v>
      </c>
    </row>
    <row r="2605" spans="1:20" x14ac:dyDescent="0.2">
      <c r="A2605" t="s">
        <v>7353</v>
      </c>
      <c r="B2605" t="s">
        <v>2022</v>
      </c>
      <c r="C2605" t="s">
        <v>2095</v>
      </c>
      <c r="D2605" t="s">
        <v>2024</v>
      </c>
      <c r="E2605" t="s">
        <v>7354</v>
      </c>
      <c r="F2605" t="s">
        <v>7355</v>
      </c>
      <c r="G2605">
        <v>3</v>
      </c>
      <c r="H2605">
        <v>1745</v>
      </c>
      <c r="I2605">
        <v>1</v>
      </c>
      <c r="J2605">
        <v>4.5</v>
      </c>
      <c r="K2605">
        <v>2</v>
      </c>
      <c r="L2605">
        <v>0.13</v>
      </c>
      <c r="M2605">
        <v>2</v>
      </c>
      <c r="N2605">
        <v>80</v>
      </c>
      <c r="O2605">
        <v>2</v>
      </c>
      <c r="P2605">
        <v>0.35</v>
      </c>
      <c r="Q2605">
        <v>2</v>
      </c>
      <c r="R2605">
        <v>5.8999999999999999E-3</v>
      </c>
      <c r="T2605" s="8" t="s">
        <v>7354</v>
      </c>
    </row>
    <row r="2606" spans="1:20" x14ac:dyDescent="0.2">
      <c r="A2606" t="s">
        <v>7356</v>
      </c>
      <c r="B2606" t="s">
        <v>2022</v>
      </c>
      <c r="C2606" t="s">
        <v>2036</v>
      </c>
      <c r="D2606" t="s">
        <v>2024</v>
      </c>
      <c r="E2606" t="s">
        <v>7357</v>
      </c>
      <c r="F2606" t="s">
        <v>7358</v>
      </c>
      <c r="G2606">
        <v>4</v>
      </c>
      <c r="H2606">
        <v>1840</v>
      </c>
      <c r="I2606">
        <v>2</v>
      </c>
      <c r="J2606">
        <v>3.4</v>
      </c>
      <c r="K2606">
        <v>3</v>
      </c>
      <c r="L2606">
        <v>0.115</v>
      </c>
      <c r="M2606">
        <v>5</v>
      </c>
      <c r="N2606">
        <v>100</v>
      </c>
      <c r="O2606">
        <v>2</v>
      </c>
      <c r="P2606">
        <v>0.20499999999999999</v>
      </c>
      <c r="Q2606">
        <v>2</v>
      </c>
      <c r="R2606">
        <v>4.2500000000000003E-3</v>
      </c>
      <c r="T2606" s="8" t="s">
        <v>7357</v>
      </c>
    </row>
    <row r="2607" spans="1:20" x14ac:dyDescent="0.2">
      <c r="A2607" t="s">
        <v>7359</v>
      </c>
      <c r="B2607" t="s">
        <v>2022</v>
      </c>
      <c r="C2607" t="s">
        <v>2095</v>
      </c>
      <c r="D2607" t="s">
        <v>2024</v>
      </c>
      <c r="E2607" t="s">
        <v>7360</v>
      </c>
      <c r="F2607" t="s">
        <v>447</v>
      </c>
      <c r="G2607">
        <v>5</v>
      </c>
      <c r="H2607">
        <v>1925</v>
      </c>
      <c r="I2607">
        <v>5</v>
      </c>
      <c r="J2607">
        <v>16.5</v>
      </c>
      <c r="K2607">
        <v>5</v>
      </c>
      <c r="L2607">
        <v>0.73</v>
      </c>
      <c r="M2607">
        <v>5</v>
      </c>
      <c r="N2607">
        <v>98</v>
      </c>
      <c r="O2607">
        <v>5</v>
      </c>
      <c r="P2607">
        <v>0.95</v>
      </c>
      <c r="Q2607">
        <v>5</v>
      </c>
      <c r="R2607">
        <v>3.2899999999999999E-2</v>
      </c>
      <c r="T2607" s="8" t="s">
        <v>7360</v>
      </c>
    </row>
    <row r="2608" spans="1:20" x14ac:dyDescent="0.2">
      <c r="A2608" t="s">
        <v>7361</v>
      </c>
      <c r="B2608" t="s">
        <v>2022</v>
      </c>
      <c r="C2608" t="s">
        <v>2036</v>
      </c>
      <c r="D2608" t="s">
        <v>2136</v>
      </c>
      <c r="E2608" t="s">
        <v>7362</v>
      </c>
      <c r="F2608" t="s">
        <v>7363</v>
      </c>
      <c r="G2608">
        <v>4</v>
      </c>
      <c r="H2608">
        <v>1840</v>
      </c>
      <c r="I2608">
        <v>5</v>
      </c>
      <c r="J2608">
        <v>7</v>
      </c>
      <c r="K2608">
        <v>3</v>
      </c>
      <c r="L2608">
        <v>0.115</v>
      </c>
      <c r="M2608">
        <v>5</v>
      </c>
      <c r="N2608">
        <v>100</v>
      </c>
      <c r="O2608">
        <v>3</v>
      </c>
      <c r="P2608">
        <v>0.315</v>
      </c>
      <c r="Q2608">
        <v>2</v>
      </c>
      <c r="R2608">
        <v>4.2500000000000003E-3</v>
      </c>
      <c r="T2608" s="8" t="s">
        <v>7362</v>
      </c>
    </row>
    <row r="2609" spans="1:20" x14ac:dyDescent="0.2">
      <c r="A2609" t="s">
        <v>7364</v>
      </c>
      <c r="B2609" t="s">
        <v>2022</v>
      </c>
      <c r="C2609" t="s">
        <v>2053</v>
      </c>
      <c r="D2609" t="s">
        <v>2024</v>
      </c>
      <c r="E2609" t="s">
        <v>7365</v>
      </c>
      <c r="F2609" t="s">
        <v>7366</v>
      </c>
      <c r="G2609">
        <v>1</v>
      </c>
      <c r="H2609">
        <v>1500</v>
      </c>
      <c r="I2609">
        <v>4</v>
      </c>
      <c r="J2609">
        <v>9.0500000000000007</v>
      </c>
      <c r="K2609">
        <v>4</v>
      </c>
      <c r="L2609">
        <v>0.30499999999999999</v>
      </c>
      <c r="M2609">
        <v>4</v>
      </c>
      <c r="N2609">
        <v>103</v>
      </c>
      <c r="O2609">
        <v>4</v>
      </c>
      <c r="P2609">
        <v>0.52500000000000002</v>
      </c>
      <c r="Q2609">
        <v>5</v>
      </c>
      <c r="R2609">
        <v>2.6200000000000001E-2</v>
      </c>
      <c r="T2609" s="8" t="s">
        <v>7365</v>
      </c>
    </row>
    <row r="2610" spans="1:20" x14ac:dyDescent="0.2">
      <c r="A2610" t="s">
        <v>7367</v>
      </c>
      <c r="B2610" t="s">
        <v>2022</v>
      </c>
      <c r="C2610" t="s">
        <v>2101</v>
      </c>
      <c r="D2610" t="s">
        <v>2024</v>
      </c>
      <c r="E2610" t="s">
        <v>7368</v>
      </c>
      <c r="F2610" t="s">
        <v>7369</v>
      </c>
      <c r="G2610">
        <v>5</v>
      </c>
      <c r="H2610">
        <v>1970</v>
      </c>
      <c r="I2610">
        <v>3</v>
      </c>
      <c r="J2610">
        <v>8</v>
      </c>
      <c r="K2610">
        <v>2</v>
      </c>
      <c r="L2610">
        <v>9.6500000000000002E-2</v>
      </c>
      <c r="M2610">
        <v>5</v>
      </c>
      <c r="N2610">
        <v>98</v>
      </c>
      <c r="O2610">
        <v>2</v>
      </c>
      <c r="P2610">
        <v>0.22500000000000001</v>
      </c>
      <c r="Q2610">
        <v>2</v>
      </c>
      <c r="R2610">
        <v>4.4999999999999997E-3</v>
      </c>
      <c r="T2610" s="8" t="s">
        <v>7368</v>
      </c>
    </row>
    <row r="2611" spans="1:20" x14ac:dyDescent="0.2">
      <c r="A2611" t="s">
        <v>7370</v>
      </c>
      <c r="B2611" t="s">
        <v>2022</v>
      </c>
      <c r="C2611" t="s">
        <v>2036</v>
      </c>
      <c r="D2611" t="s">
        <v>2024</v>
      </c>
      <c r="E2611" t="s">
        <v>7371</v>
      </c>
      <c r="F2611" t="s">
        <v>7372</v>
      </c>
      <c r="G2611">
        <v>2</v>
      </c>
      <c r="H2611">
        <v>1640</v>
      </c>
      <c r="I2611">
        <v>5</v>
      </c>
      <c r="J2611">
        <v>7</v>
      </c>
      <c r="K2611">
        <v>5</v>
      </c>
      <c r="L2611">
        <v>0.17499999999999999</v>
      </c>
      <c r="M2611">
        <v>2</v>
      </c>
      <c r="N2611">
        <v>82</v>
      </c>
      <c r="O2611">
        <v>5</v>
      </c>
      <c r="P2611">
        <v>0.53500000000000003</v>
      </c>
      <c r="Q2611">
        <v>5</v>
      </c>
      <c r="R2611">
        <v>1.2E-2</v>
      </c>
      <c r="T2611" s="8" t="s">
        <v>7371</v>
      </c>
    </row>
    <row r="2612" spans="1:20" x14ac:dyDescent="0.2">
      <c r="A2612" t="s">
        <v>7373</v>
      </c>
      <c r="B2612" t="s">
        <v>2022</v>
      </c>
      <c r="C2612" t="s">
        <v>2023</v>
      </c>
      <c r="D2612" t="s">
        <v>2024</v>
      </c>
      <c r="E2612" t="s">
        <v>7374</v>
      </c>
      <c r="F2612" t="s">
        <v>7375</v>
      </c>
      <c r="G2612">
        <v>1</v>
      </c>
      <c r="H2612">
        <v>1480</v>
      </c>
      <c r="I2612">
        <v>3</v>
      </c>
      <c r="J2612">
        <v>5.9</v>
      </c>
      <c r="K2612">
        <v>5</v>
      </c>
      <c r="L2612">
        <v>8.5999999999999993E-2</v>
      </c>
      <c r="M2612">
        <v>2</v>
      </c>
      <c r="N2612">
        <v>84</v>
      </c>
      <c r="O2612">
        <v>2</v>
      </c>
      <c r="P2612">
        <v>0.22500000000000001</v>
      </c>
      <c r="Q2612">
        <v>5</v>
      </c>
      <c r="R2612">
        <v>8.0000000000000002E-3</v>
      </c>
      <c r="T2612" s="8" t="s">
        <v>7374</v>
      </c>
    </row>
    <row r="2613" spans="1:20" x14ac:dyDescent="0.2">
      <c r="A2613" t="s">
        <v>7376</v>
      </c>
      <c r="B2613" t="s">
        <v>2022</v>
      </c>
      <c r="C2613" t="s">
        <v>2028</v>
      </c>
      <c r="D2613" t="s">
        <v>2024</v>
      </c>
      <c r="E2613" t="s">
        <v>7377</v>
      </c>
      <c r="F2613" t="s">
        <v>447</v>
      </c>
      <c r="G2613">
        <v>5</v>
      </c>
      <c r="H2613">
        <v>1450</v>
      </c>
      <c r="I2613">
        <v>5</v>
      </c>
      <c r="J2613">
        <v>6.65</v>
      </c>
      <c r="K2613">
        <v>5</v>
      </c>
      <c r="L2613">
        <v>0.26700000000000002</v>
      </c>
      <c r="M2613">
        <v>2</v>
      </c>
      <c r="N2613">
        <v>200</v>
      </c>
      <c r="O2613">
        <v>5</v>
      </c>
      <c r="P2613">
        <v>1.35</v>
      </c>
      <c r="Q2613">
        <v>5</v>
      </c>
      <c r="R2613">
        <v>3.3500000000000002E-2</v>
      </c>
      <c r="T2613" s="8" t="s">
        <v>7377</v>
      </c>
    </row>
    <row r="2614" spans="1:20" x14ac:dyDescent="0.2">
      <c r="A2614" t="s">
        <v>7378</v>
      </c>
      <c r="B2614" t="s">
        <v>2022</v>
      </c>
      <c r="C2614" t="s">
        <v>2023</v>
      </c>
      <c r="D2614" t="s">
        <v>2024</v>
      </c>
      <c r="E2614" t="s">
        <v>7379</v>
      </c>
      <c r="F2614" t="s">
        <v>7380</v>
      </c>
      <c r="G2614">
        <v>3</v>
      </c>
      <c r="H2614">
        <v>1640</v>
      </c>
      <c r="I2614">
        <v>1</v>
      </c>
      <c r="J2614">
        <v>0.9</v>
      </c>
      <c r="K2614">
        <v>1</v>
      </c>
      <c r="L2614">
        <v>6.0000000000000001E-3</v>
      </c>
      <c r="M2614">
        <v>4</v>
      </c>
      <c r="N2614">
        <v>104</v>
      </c>
      <c r="O2614">
        <v>1</v>
      </c>
      <c r="P2614">
        <v>7.4999999999999997E-2</v>
      </c>
      <c r="Q2614">
        <v>1</v>
      </c>
      <c r="R2614">
        <v>5.0000000000000001E-4</v>
      </c>
      <c r="T2614" s="8" t="s">
        <v>7379</v>
      </c>
    </row>
    <row r="2615" spans="1:20" x14ac:dyDescent="0.2">
      <c r="A2615" t="s">
        <v>7381</v>
      </c>
      <c r="B2615" t="s">
        <v>2022</v>
      </c>
      <c r="C2615" t="s">
        <v>2023</v>
      </c>
      <c r="D2615" t="s">
        <v>2024</v>
      </c>
      <c r="E2615" t="s">
        <v>7382</v>
      </c>
      <c r="F2615" t="s">
        <v>7383</v>
      </c>
      <c r="G2615">
        <v>2</v>
      </c>
      <c r="H2615">
        <v>1560</v>
      </c>
      <c r="I2615">
        <v>1</v>
      </c>
      <c r="J2615">
        <v>0.9</v>
      </c>
      <c r="K2615">
        <v>2</v>
      </c>
      <c r="L2615">
        <v>2.5999999999999999E-2</v>
      </c>
      <c r="M2615">
        <v>1</v>
      </c>
      <c r="N2615">
        <v>74</v>
      </c>
      <c r="O2615">
        <v>1</v>
      </c>
      <c r="P2615">
        <v>7.4999999999999997E-2</v>
      </c>
      <c r="Q2615">
        <v>1</v>
      </c>
      <c r="R2615">
        <v>5.0000000000000001E-4</v>
      </c>
      <c r="T2615" s="8" t="s">
        <v>7382</v>
      </c>
    </row>
    <row r="2616" spans="1:20" x14ac:dyDescent="0.2">
      <c r="A2616" t="s">
        <v>7384</v>
      </c>
      <c r="B2616" t="s">
        <v>2022</v>
      </c>
      <c r="C2616" t="s">
        <v>2036</v>
      </c>
      <c r="D2616" t="s">
        <v>2024</v>
      </c>
      <c r="E2616" t="s">
        <v>7385</v>
      </c>
      <c r="F2616" t="s">
        <v>7386</v>
      </c>
      <c r="G2616">
        <v>3</v>
      </c>
      <c r="H2616">
        <v>1740</v>
      </c>
      <c r="I2616">
        <v>1</v>
      </c>
      <c r="J2616">
        <v>2.2000000000000002</v>
      </c>
      <c r="K2616">
        <v>1</v>
      </c>
      <c r="L2616">
        <v>5.5E-2</v>
      </c>
      <c r="M2616">
        <v>3</v>
      </c>
      <c r="N2616">
        <v>88</v>
      </c>
      <c r="O2616">
        <v>1</v>
      </c>
      <c r="P2616">
        <v>9.5000000000000001E-2</v>
      </c>
      <c r="Q2616">
        <v>1</v>
      </c>
      <c r="R2616">
        <v>1.5E-3</v>
      </c>
      <c r="T2616" s="8" t="s">
        <v>7385</v>
      </c>
    </row>
    <row r="2617" spans="1:20" x14ac:dyDescent="0.2">
      <c r="A2617" t="s">
        <v>7387</v>
      </c>
      <c r="B2617" t="s">
        <v>2022</v>
      </c>
      <c r="C2617" t="s">
        <v>2023</v>
      </c>
      <c r="D2617" t="s">
        <v>2024</v>
      </c>
      <c r="E2617" t="s">
        <v>7388</v>
      </c>
      <c r="F2617" t="s">
        <v>7389</v>
      </c>
      <c r="G2617">
        <v>3</v>
      </c>
      <c r="H2617">
        <v>1640</v>
      </c>
      <c r="I2617">
        <v>3</v>
      </c>
      <c r="J2617">
        <v>5.9</v>
      </c>
      <c r="K2617">
        <v>5</v>
      </c>
      <c r="L2617">
        <v>8.5999999999999993E-2</v>
      </c>
      <c r="M2617">
        <v>4</v>
      </c>
      <c r="N2617">
        <v>104</v>
      </c>
      <c r="O2617">
        <v>3</v>
      </c>
      <c r="P2617">
        <v>0.375</v>
      </c>
      <c r="Q2617">
        <v>4</v>
      </c>
      <c r="R2617">
        <v>6.0000000000000001E-3</v>
      </c>
      <c r="T2617" s="8" t="s">
        <v>7388</v>
      </c>
    </row>
    <row r="2618" spans="1:20" x14ac:dyDescent="0.2">
      <c r="A2618" t="s">
        <v>7390</v>
      </c>
      <c r="B2618" t="s">
        <v>2022</v>
      </c>
      <c r="C2618" t="s">
        <v>2053</v>
      </c>
      <c r="D2618" t="s">
        <v>2024</v>
      </c>
      <c r="E2618" t="s">
        <v>7391</v>
      </c>
      <c r="F2618" t="s">
        <v>7392</v>
      </c>
      <c r="G2618">
        <v>5</v>
      </c>
      <c r="H2618">
        <v>1900</v>
      </c>
      <c r="I2618">
        <v>5</v>
      </c>
      <c r="J2618">
        <v>11.55</v>
      </c>
      <c r="K2618">
        <v>4</v>
      </c>
      <c r="L2618">
        <v>0.30499999999999999</v>
      </c>
      <c r="M2618">
        <v>2</v>
      </c>
      <c r="N2618">
        <v>83</v>
      </c>
      <c r="O2618">
        <v>4</v>
      </c>
      <c r="P2618">
        <v>0.52500000000000002</v>
      </c>
      <c r="Q2618">
        <v>3</v>
      </c>
      <c r="R2618">
        <v>1.2200000000000001E-2</v>
      </c>
      <c r="T2618" s="8" t="s">
        <v>7391</v>
      </c>
    </row>
    <row r="2619" spans="1:20" x14ac:dyDescent="0.2">
      <c r="A2619" t="s">
        <v>7393</v>
      </c>
      <c r="B2619" t="s">
        <v>2022</v>
      </c>
      <c r="C2619" t="s">
        <v>2101</v>
      </c>
      <c r="D2619" t="s">
        <v>2024</v>
      </c>
      <c r="E2619" t="s">
        <v>7394</v>
      </c>
      <c r="F2619" t="s">
        <v>447</v>
      </c>
      <c r="G2619">
        <v>5</v>
      </c>
      <c r="H2619">
        <v>1970</v>
      </c>
      <c r="I2619">
        <v>3</v>
      </c>
      <c r="J2619">
        <v>8</v>
      </c>
      <c r="K2619">
        <v>3</v>
      </c>
      <c r="L2619">
        <v>0.24349999999999999</v>
      </c>
      <c r="M2619">
        <v>4</v>
      </c>
      <c r="N2619">
        <v>90</v>
      </c>
      <c r="O2619">
        <v>3</v>
      </c>
      <c r="P2619">
        <v>0.375</v>
      </c>
      <c r="Q2619">
        <v>3</v>
      </c>
      <c r="R2619">
        <v>1.15E-2</v>
      </c>
      <c r="T2619" s="8" t="s">
        <v>7394</v>
      </c>
    </row>
    <row r="2620" spans="1:20" x14ac:dyDescent="0.2">
      <c r="A2620" t="s">
        <v>7395</v>
      </c>
      <c r="B2620" t="s">
        <v>2022</v>
      </c>
      <c r="C2620" t="s">
        <v>2036</v>
      </c>
      <c r="D2620" t="s">
        <v>2024</v>
      </c>
      <c r="E2620" t="s">
        <v>7396</v>
      </c>
      <c r="F2620" t="s">
        <v>7397</v>
      </c>
      <c r="G2620">
        <v>3</v>
      </c>
      <c r="H2620">
        <v>1740</v>
      </c>
      <c r="I2620">
        <v>5</v>
      </c>
      <c r="J2620">
        <v>7</v>
      </c>
      <c r="K2620">
        <v>5</v>
      </c>
      <c r="L2620">
        <v>0.17499999999999999</v>
      </c>
      <c r="M2620">
        <v>4</v>
      </c>
      <c r="N2620">
        <v>94</v>
      </c>
      <c r="O2620">
        <v>5</v>
      </c>
      <c r="P2620">
        <v>0.53500000000000003</v>
      </c>
      <c r="Q2620">
        <v>5</v>
      </c>
      <c r="R2620">
        <v>1.2E-2</v>
      </c>
      <c r="T2620" s="8" t="s">
        <v>7396</v>
      </c>
    </row>
    <row r="2621" spans="1:20" x14ac:dyDescent="0.2">
      <c r="A2621" t="s">
        <v>7398</v>
      </c>
      <c r="B2621" t="s">
        <v>2022</v>
      </c>
      <c r="C2621" t="s">
        <v>2023</v>
      </c>
      <c r="D2621" t="s">
        <v>2024</v>
      </c>
      <c r="E2621" t="s">
        <v>7399</v>
      </c>
      <c r="F2621" t="s">
        <v>7400</v>
      </c>
      <c r="G2621">
        <v>4</v>
      </c>
      <c r="H2621">
        <v>1720</v>
      </c>
      <c r="I2621">
        <v>1</v>
      </c>
      <c r="J2621">
        <v>0.9</v>
      </c>
      <c r="K2621">
        <v>1</v>
      </c>
      <c r="L2621">
        <v>6.0000000000000001E-3</v>
      </c>
      <c r="M2621">
        <v>4</v>
      </c>
      <c r="N2621">
        <v>104</v>
      </c>
      <c r="O2621">
        <v>1</v>
      </c>
      <c r="P2621">
        <v>7.4999999999999997E-2</v>
      </c>
      <c r="Q2621">
        <v>1</v>
      </c>
      <c r="R2621">
        <v>5.0000000000000001E-4</v>
      </c>
      <c r="T2621" s="8" t="s">
        <v>7399</v>
      </c>
    </row>
    <row r="2622" spans="1:20" x14ac:dyDescent="0.2">
      <c r="A2622" t="s">
        <v>7401</v>
      </c>
      <c r="B2622" t="s">
        <v>2022</v>
      </c>
      <c r="C2622" t="s">
        <v>2053</v>
      </c>
      <c r="D2622" t="s">
        <v>2024</v>
      </c>
      <c r="E2622" t="s">
        <v>7402</v>
      </c>
      <c r="F2622" t="s">
        <v>7403</v>
      </c>
      <c r="G2622">
        <v>1</v>
      </c>
      <c r="H2622">
        <v>1500</v>
      </c>
      <c r="I2622">
        <v>1</v>
      </c>
      <c r="J2622">
        <v>1.55</v>
      </c>
      <c r="K2622">
        <v>1</v>
      </c>
      <c r="L2622">
        <v>1.4999999999999999E-2</v>
      </c>
      <c r="M2622">
        <v>2</v>
      </c>
      <c r="N2622">
        <v>83</v>
      </c>
      <c r="O2622">
        <v>1</v>
      </c>
      <c r="P2622">
        <v>7.4999999999999997E-2</v>
      </c>
      <c r="Q2622">
        <v>1</v>
      </c>
      <c r="R2622">
        <v>8.4999999999999995E-4</v>
      </c>
      <c r="T2622" s="8" t="s">
        <v>7402</v>
      </c>
    </row>
    <row r="2623" spans="1:20" x14ac:dyDescent="0.2">
      <c r="A2623" t="s">
        <v>7404</v>
      </c>
      <c r="B2623" t="s">
        <v>2022</v>
      </c>
      <c r="C2623" t="s">
        <v>2036</v>
      </c>
      <c r="D2623" t="s">
        <v>2024</v>
      </c>
      <c r="E2623" t="s">
        <v>7405</v>
      </c>
      <c r="F2623" t="s">
        <v>7406</v>
      </c>
      <c r="G2623">
        <v>3</v>
      </c>
      <c r="H2623">
        <v>1740</v>
      </c>
      <c r="I2623">
        <v>1</v>
      </c>
      <c r="J2623">
        <v>2.2000000000000002</v>
      </c>
      <c r="K2623">
        <v>2</v>
      </c>
      <c r="L2623">
        <v>8.5000000000000006E-2</v>
      </c>
      <c r="M2623">
        <v>2</v>
      </c>
      <c r="N2623">
        <v>82</v>
      </c>
      <c r="O2623">
        <v>1</v>
      </c>
      <c r="P2623">
        <v>9.5000000000000001E-2</v>
      </c>
      <c r="Q2623">
        <v>2</v>
      </c>
      <c r="R2623">
        <v>4.2500000000000003E-3</v>
      </c>
      <c r="T2623" s="8" t="s">
        <v>7405</v>
      </c>
    </row>
    <row r="2624" spans="1:20" x14ac:dyDescent="0.2">
      <c r="A2624" t="s">
        <v>7407</v>
      </c>
      <c r="B2624" t="s">
        <v>2022</v>
      </c>
      <c r="C2624" t="s">
        <v>2053</v>
      </c>
      <c r="D2624" t="s">
        <v>2024</v>
      </c>
      <c r="E2624" t="s">
        <v>7408</v>
      </c>
      <c r="F2624" t="s">
        <v>7409</v>
      </c>
      <c r="G2624">
        <v>1</v>
      </c>
      <c r="H2624">
        <v>1500</v>
      </c>
      <c r="I2624">
        <v>4</v>
      </c>
      <c r="J2624">
        <v>9.0500000000000007</v>
      </c>
      <c r="K2624">
        <v>4</v>
      </c>
      <c r="L2624">
        <v>0.30499999999999999</v>
      </c>
      <c r="M2624">
        <v>2</v>
      </c>
      <c r="N2624">
        <v>83</v>
      </c>
      <c r="O2624">
        <v>4</v>
      </c>
      <c r="P2624">
        <v>0.52500000000000002</v>
      </c>
      <c r="Q2624">
        <v>3</v>
      </c>
      <c r="R2624">
        <v>1.2200000000000001E-2</v>
      </c>
      <c r="T2624" s="8" t="s">
        <v>7408</v>
      </c>
    </row>
    <row r="2625" spans="1:20" x14ac:dyDescent="0.2">
      <c r="A2625" t="s">
        <v>7410</v>
      </c>
      <c r="B2625" t="s">
        <v>2022</v>
      </c>
      <c r="C2625" t="s">
        <v>2036</v>
      </c>
      <c r="D2625" t="s">
        <v>2024</v>
      </c>
      <c r="E2625" t="s">
        <v>357</v>
      </c>
      <c r="F2625" t="s">
        <v>7411</v>
      </c>
      <c r="G2625">
        <v>3</v>
      </c>
      <c r="H2625">
        <v>1740</v>
      </c>
      <c r="I2625">
        <v>5</v>
      </c>
      <c r="J2625">
        <v>7</v>
      </c>
      <c r="K2625">
        <v>5</v>
      </c>
      <c r="L2625">
        <v>0.17499999999999999</v>
      </c>
      <c r="M2625">
        <v>5</v>
      </c>
      <c r="N2625">
        <v>100</v>
      </c>
      <c r="O2625">
        <v>5</v>
      </c>
      <c r="P2625">
        <v>0.53500000000000003</v>
      </c>
      <c r="Q2625">
        <v>5</v>
      </c>
      <c r="R2625">
        <v>1.2E-2</v>
      </c>
      <c r="T2625" s="8" t="s">
        <v>357</v>
      </c>
    </row>
    <row r="2626" spans="1:20" x14ac:dyDescent="0.2">
      <c r="A2626" t="s">
        <v>7412</v>
      </c>
      <c r="B2626" t="s">
        <v>2022</v>
      </c>
      <c r="C2626" t="s">
        <v>2036</v>
      </c>
      <c r="D2626" t="s">
        <v>2024</v>
      </c>
      <c r="E2626" t="s">
        <v>7413</v>
      </c>
      <c r="F2626" t="s">
        <v>7414</v>
      </c>
      <c r="G2626">
        <v>1</v>
      </c>
      <c r="H2626">
        <v>1540</v>
      </c>
      <c r="I2626">
        <v>2</v>
      </c>
      <c r="J2626">
        <v>3.4</v>
      </c>
      <c r="K2626">
        <v>2</v>
      </c>
      <c r="L2626">
        <v>8.5000000000000006E-2</v>
      </c>
      <c r="M2626">
        <v>3</v>
      </c>
      <c r="N2626">
        <v>88</v>
      </c>
      <c r="O2626">
        <v>2</v>
      </c>
      <c r="P2626">
        <v>0.20499999999999999</v>
      </c>
      <c r="Q2626">
        <v>2</v>
      </c>
      <c r="R2626">
        <v>4.2500000000000003E-3</v>
      </c>
      <c r="T2626" s="8" t="s">
        <v>7413</v>
      </c>
    </row>
    <row r="2627" spans="1:20" x14ac:dyDescent="0.2">
      <c r="A2627" t="s">
        <v>7415</v>
      </c>
      <c r="B2627" t="s">
        <v>2022</v>
      </c>
      <c r="C2627" t="s">
        <v>2053</v>
      </c>
      <c r="D2627" t="s">
        <v>2024</v>
      </c>
      <c r="E2627" t="s">
        <v>7416</v>
      </c>
      <c r="F2627" t="s">
        <v>7417</v>
      </c>
      <c r="G2627">
        <v>2</v>
      </c>
      <c r="H2627">
        <v>1600</v>
      </c>
      <c r="I2627">
        <v>2</v>
      </c>
      <c r="J2627">
        <v>4.05</v>
      </c>
      <c r="K2627">
        <v>2</v>
      </c>
      <c r="L2627">
        <v>8.5000000000000006E-2</v>
      </c>
      <c r="M2627">
        <v>1</v>
      </c>
      <c r="N2627">
        <v>73</v>
      </c>
      <c r="O2627">
        <v>2</v>
      </c>
      <c r="P2627">
        <v>0.22500000000000001</v>
      </c>
      <c r="Q2627">
        <v>1</v>
      </c>
      <c r="R2627">
        <v>8.4999999999999995E-4</v>
      </c>
      <c r="T2627" s="8" t="s">
        <v>7416</v>
      </c>
    </row>
    <row r="2628" spans="1:20" x14ac:dyDescent="0.2">
      <c r="A2628" t="s">
        <v>7418</v>
      </c>
      <c r="B2628" t="s">
        <v>2022</v>
      </c>
      <c r="C2628" t="s">
        <v>2023</v>
      </c>
      <c r="D2628" t="s">
        <v>2024</v>
      </c>
      <c r="E2628" t="s">
        <v>7419</v>
      </c>
      <c r="F2628" t="s">
        <v>7420</v>
      </c>
      <c r="G2628">
        <v>2</v>
      </c>
      <c r="H2628">
        <v>1560</v>
      </c>
      <c r="I2628">
        <v>2</v>
      </c>
      <c r="J2628">
        <v>3.4</v>
      </c>
      <c r="K2628">
        <v>2</v>
      </c>
      <c r="L2628">
        <v>2.5999999999999999E-2</v>
      </c>
      <c r="M2628">
        <v>1</v>
      </c>
      <c r="N2628">
        <v>74</v>
      </c>
      <c r="O2628">
        <v>1</v>
      </c>
      <c r="P2628">
        <v>7.4999999999999997E-2</v>
      </c>
      <c r="Q2628">
        <v>1</v>
      </c>
      <c r="R2628">
        <v>5.0000000000000001E-4</v>
      </c>
      <c r="T2628" s="8" t="s">
        <v>7419</v>
      </c>
    </row>
    <row r="2629" spans="1:20" x14ac:dyDescent="0.2">
      <c r="A2629" t="s">
        <v>7421</v>
      </c>
      <c r="B2629" t="s">
        <v>2022</v>
      </c>
      <c r="C2629" t="s">
        <v>2036</v>
      </c>
      <c r="D2629" t="s">
        <v>2136</v>
      </c>
      <c r="E2629" t="s">
        <v>7422</v>
      </c>
      <c r="F2629" t="s">
        <v>7423</v>
      </c>
      <c r="G2629">
        <v>2</v>
      </c>
      <c r="H2629">
        <v>1640</v>
      </c>
      <c r="I2629">
        <v>5</v>
      </c>
      <c r="J2629">
        <v>7</v>
      </c>
      <c r="K2629">
        <v>5</v>
      </c>
      <c r="L2629">
        <v>0.17499999999999999</v>
      </c>
      <c r="M2629">
        <v>2</v>
      </c>
      <c r="N2629">
        <v>82</v>
      </c>
      <c r="O2629">
        <v>4</v>
      </c>
      <c r="P2629">
        <v>0.42499999999999999</v>
      </c>
      <c r="Q2629">
        <v>4</v>
      </c>
      <c r="R2629">
        <v>9.2499999999999995E-3</v>
      </c>
      <c r="T2629" s="8" t="s">
        <v>7422</v>
      </c>
    </row>
    <row r="2630" spans="1:20" x14ac:dyDescent="0.2">
      <c r="A2630" t="s">
        <v>7424</v>
      </c>
      <c r="B2630" t="s">
        <v>2022</v>
      </c>
      <c r="C2630" t="s">
        <v>2036</v>
      </c>
      <c r="D2630" t="s">
        <v>2024</v>
      </c>
      <c r="E2630" t="s">
        <v>7425</v>
      </c>
      <c r="F2630" t="s">
        <v>7426</v>
      </c>
      <c r="G2630">
        <v>4</v>
      </c>
      <c r="H2630">
        <v>1840</v>
      </c>
      <c r="I2630">
        <v>5</v>
      </c>
      <c r="J2630">
        <v>7</v>
      </c>
      <c r="K2630">
        <v>5</v>
      </c>
      <c r="L2630">
        <v>0.17499999999999999</v>
      </c>
      <c r="M2630">
        <v>3</v>
      </c>
      <c r="N2630">
        <v>88</v>
      </c>
      <c r="O2630">
        <v>5</v>
      </c>
      <c r="P2630">
        <v>0.53500000000000003</v>
      </c>
      <c r="Q2630">
        <v>5</v>
      </c>
      <c r="R2630">
        <v>1.2E-2</v>
      </c>
      <c r="T2630" s="8" t="s">
        <v>7425</v>
      </c>
    </row>
    <row r="2631" spans="1:20" x14ac:dyDescent="0.2">
      <c r="A2631" t="s">
        <v>7427</v>
      </c>
      <c r="B2631" t="s">
        <v>2022</v>
      </c>
      <c r="C2631" t="s">
        <v>2036</v>
      </c>
      <c r="D2631" t="s">
        <v>2024</v>
      </c>
      <c r="E2631" t="s">
        <v>7428</v>
      </c>
      <c r="F2631" t="s">
        <v>7429</v>
      </c>
      <c r="G2631">
        <v>5</v>
      </c>
      <c r="H2631">
        <v>1940</v>
      </c>
      <c r="I2631">
        <v>5</v>
      </c>
      <c r="J2631">
        <v>7</v>
      </c>
      <c r="K2631">
        <v>5</v>
      </c>
      <c r="L2631">
        <v>0.17499999999999999</v>
      </c>
      <c r="M2631">
        <v>5</v>
      </c>
      <c r="N2631">
        <v>100</v>
      </c>
      <c r="O2631">
        <v>5</v>
      </c>
      <c r="P2631">
        <v>0.53500000000000003</v>
      </c>
      <c r="Q2631">
        <v>5</v>
      </c>
      <c r="R2631">
        <v>1.2E-2</v>
      </c>
      <c r="T2631" s="8" t="s">
        <v>7428</v>
      </c>
    </row>
    <row r="2632" spans="1:20" x14ac:dyDescent="0.2">
      <c r="A2632" t="s">
        <v>7430</v>
      </c>
      <c r="B2632" t="s">
        <v>2022</v>
      </c>
      <c r="C2632" t="s">
        <v>2023</v>
      </c>
      <c r="D2632" t="s">
        <v>2024</v>
      </c>
      <c r="E2632" t="s">
        <v>7431</v>
      </c>
      <c r="F2632" t="s">
        <v>7432</v>
      </c>
      <c r="G2632">
        <v>4</v>
      </c>
      <c r="H2632">
        <v>1720</v>
      </c>
      <c r="I2632">
        <v>5</v>
      </c>
      <c r="J2632">
        <v>10.9</v>
      </c>
      <c r="K2632">
        <v>5</v>
      </c>
      <c r="L2632">
        <v>8.5999999999999993E-2</v>
      </c>
      <c r="M2632">
        <v>2</v>
      </c>
      <c r="N2632">
        <v>84</v>
      </c>
      <c r="O2632">
        <v>4</v>
      </c>
      <c r="P2632">
        <v>0.52500000000000002</v>
      </c>
      <c r="Q2632">
        <v>5</v>
      </c>
      <c r="R2632">
        <v>8.0000000000000002E-3</v>
      </c>
      <c r="T2632" s="8" t="s">
        <v>7431</v>
      </c>
    </row>
    <row r="2633" spans="1:20" x14ac:dyDescent="0.2">
      <c r="A2633" t="s">
        <v>7433</v>
      </c>
      <c r="B2633" t="s">
        <v>2022</v>
      </c>
      <c r="C2633" t="s">
        <v>2023</v>
      </c>
      <c r="D2633" t="s">
        <v>2136</v>
      </c>
      <c r="E2633" t="s">
        <v>7434</v>
      </c>
      <c r="F2633" t="s">
        <v>7435</v>
      </c>
      <c r="G2633">
        <v>4</v>
      </c>
      <c r="H2633">
        <v>1720</v>
      </c>
      <c r="I2633">
        <v>2</v>
      </c>
      <c r="J2633">
        <v>3.4</v>
      </c>
      <c r="K2633">
        <v>2</v>
      </c>
      <c r="L2633">
        <v>2.5999999999999999E-2</v>
      </c>
      <c r="M2633">
        <v>3</v>
      </c>
      <c r="N2633">
        <v>94</v>
      </c>
      <c r="O2633">
        <v>1</v>
      </c>
      <c r="P2633">
        <v>7.4999999999999997E-2</v>
      </c>
      <c r="Q2633">
        <v>2</v>
      </c>
      <c r="R2633">
        <v>2E-3</v>
      </c>
      <c r="T2633" s="8" t="s">
        <v>7434</v>
      </c>
    </row>
    <row r="2634" spans="1:20" x14ac:dyDescent="0.2">
      <c r="A2634" t="s">
        <v>7436</v>
      </c>
      <c r="B2634" t="s">
        <v>2022</v>
      </c>
      <c r="C2634" t="s">
        <v>2222</v>
      </c>
      <c r="D2634" t="s">
        <v>2024</v>
      </c>
      <c r="E2634" t="s">
        <v>7437</v>
      </c>
      <c r="F2634" t="s">
        <v>7438</v>
      </c>
      <c r="G2634">
        <v>5</v>
      </c>
      <c r="H2634">
        <v>1850</v>
      </c>
      <c r="I2634">
        <v>1</v>
      </c>
      <c r="J2634">
        <v>2.2999999999999998</v>
      </c>
      <c r="K2634">
        <v>2</v>
      </c>
      <c r="L2634">
        <v>5.5E-2</v>
      </c>
      <c r="M2634">
        <v>2</v>
      </c>
      <c r="N2634">
        <v>63</v>
      </c>
      <c r="O2634">
        <v>1</v>
      </c>
      <c r="P2634">
        <v>7.0000000000000007E-2</v>
      </c>
      <c r="Q2634">
        <v>1</v>
      </c>
      <c r="R2634">
        <v>4.0000000000000002E-4</v>
      </c>
      <c r="T2634" s="8" t="s">
        <v>7437</v>
      </c>
    </row>
    <row r="2635" spans="1:20" x14ac:dyDescent="0.2">
      <c r="A2635" t="s">
        <v>7439</v>
      </c>
      <c r="B2635" t="s">
        <v>2022</v>
      </c>
      <c r="C2635" t="s">
        <v>2023</v>
      </c>
      <c r="D2635" t="s">
        <v>2024</v>
      </c>
      <c r="E2635" t="s">
        <v>7440</v>
      </c>
      <c r="F2635" t="s">
        <v>7441</v>
      </c>
      <c r="G2635">
        <v>3</v>
      </c>
      <c r="H2635">
        <v>1640</v>
      </c>
      <c r="I2635">
        <v>5</v>
      </c>
      <c r="J2635">
        <v>10.9</v>
      </c>
      <c r="K2635">
        <v>5</v>
      </c>
      <c r="L2635">
        <v>8.5999999999999993E-2</v>
      </c>
      <c r="M2635">
        <v>2</v>
      </c>
      <c r="N2635">
        <v>84</v>
      </c>
      <c r="O2635">
        <v>5</v>
      </c>
      <c r="P2635">
        <v>0.67500000000000004</v>
      </c>
      <c r="Q2635">
        <v>5</v>
      </c>
      <c r="R2635">
        <v>8.0000000000000002E-3</v>
      </c>
      <c r="T2635" s="8" t="s">
        <v>7440</v>
      </c>
    </row>
    <row r="2636" spans="1:20" x14ac:dyDescent="0.2">
      <c r="A2636" t="s">
        <v>7442</v>
      </c>
      <c r="B2636" t="s">
        <v>2022</v>
      </c>
      <c r="C2636" t="s">
        <v>2053</v>
      </c>
      <c r="D2636" t="s">
        <v>2024</v>
      </c>
      <c r="E2636" t="s">
        <v>7443</v>
      </c>
      <c r="F2636" t="s">
        <v>7444</v>
      </c>
      <c r="G2636">
        <v>5</v>
      </c>
      <c r="H2636">
        <v>1900</v>
      </c>
      <c r="I2636">
        <v>3</v>
      </c>
      <c r="J2636">
        <v>6.55</v>
      </c>
      <c r="K2636">
        <v>2</v>
      </c>
      <c r="L2636">
        <v>8.5000000000000006E-2</v>
      </c>
      <c r="M2636">
        <v>3</v>
      </c>
      <c r="N2636">
        <v>93</v>
      </c>
      <c r="O2636">
        <v>2</v>
      </c>
      <c r="P2636">
        <v>0.22500000000000001</v>
      </c>
      <c r="Q2636">
        <v>2</v>
      </c>
      <c r="R2636">
        <v>5.1999999999999998E-3</v>
      </c>
      <c r="T2636" s="8" t="s">
        <v>7443</v>
      </c>
    </row>
    <row r="2637" spans="1:20" x14ac:dyDescent="0.2">
      <c r="A2637" t="s">
        <v>7445</v>
      </c>
      <c r="B2637" t="s">
        <v>2022</v>
      </c>
      <c r="C2637" t="s">
        <v>2023</v>
      </c>
      <c r="D2637" t="s">
        <v>2024</v>
      </c>
      <c r="E2637" t="s">
        <v>7446</v>
      </c>
      <c r="F2637" t="s">
        <v>7447</v>
      </c>
      <c r="G2637">
        <v>5</v>
      </c>
      <c r="H2637">
        <v>1800</v>
      </c>
      <c r="I2637">
        <v>4</v>
      </c>
      <c r="J2637">
        <v>8.4</v>
      </c>
      <c r="K2637">
        <v>5</v>
      </c>
      <c r="L2637">
        <v>8.5999999999999993E-2</v>
      </c>
      <c r="M2637">
        <v>2</v>
      </c>
      <c r="N2637">
        <v>84</v>
      </c>
      <c r="O2637">
        <v>3</v>
      </c>
      <c r="P2637">
        <v>0.375</v>
      </c>
      <c r="Q2637">
        <v>5</v>
      </c>
      <c r="R2637">
        <v>8.0000000000000002E-3</v>
      </c>
      <c r="T2637" s="8" t="s">
        <v>7446</v>
      </c>
    </row>
    <row r="2638" spans="1:20" x14ac:dyDescent="0.2">
      <c r="A2638" t="s">
        <v>7448</v>
      </c>
      <c r="B2638" t="s">
        <v>2022</v>
      </c>
      <c r="C2638" t="s">
        <v>2049</v>
      </c>
      <c r="D2638" t="s">
        <v>2024</v>
      </c>
      <c r="E2638" t="s">
        <v>7449</v>
      </c>
      <c r="F2638" t="s">
        <v>447</v>
      </c>
      <c r="G2638">
        <v>2</v>
      </c>
      <c r="H2638">
        <v>1450</v>
      </c>
      <c r="I2638">
        <v>5</v>
      </c>
      <c r="J2638">
        <v>8.6</v>
      </c>
      <c r="K2638">
        <v>5</v>
      </c>
      <c r="L2638">
        <v>0.3</v>
      </c>
      <c r="M2638">
        <v>3</v>
      </c>
      <c r="N2638">
        <v>126</v>
      </c>
      <c r="O2638">
        <v>5</v>
      </c>
      <c r="P2638">
        <v>0.86</v>
      </c>
      <c r="Q2638">
        <v>5</v>
      </c>
      <c r="R2638">
        <v>3.32E-2</v>
      </c>
      <c r="T2638" s="8" t="s">
        <v>7449</v>
      </c>
    </row>
    <row r="2639" spans="1:20" x14ac:dyDescent="0.2">
      <c r="A2639" t="s">
        <v>7450</v>
      </c>
      <c r="B2639" t="s">
        <v>2022</v>
      </c>
      <c r="C2639" t="s">
        <v>2053</v>
      </c>
      <c r="D2639" t="s">
        <v>2024</v>
      </c>
      <c r="E2639" t="s">
        <v>7451</v>
      </c>
      <c r="F2639" t="s">
        <v>7452</v>
      </c>
      <c r="G2639">
        <v>4</v>
      </c>
      <c r="H2639">
        <v>1800</v>
      </c>
      <c r="I2639">
        <v>3</v>
      </c>
      <c r="J2639">
        <v>6.55</v>
      </c>
      <c r="K2639">
        <v>3</v>
      </c>
      <c r="L2639">
        <v>0.19500000000000001</v>
      </c>
      <c r="M2639">
        <v>3</v>
      </c>
      <c r="N2639">
        <v>93</v>
      </c>
      <c r="O2639">
        <v>3</v>
      </c>
      <c r="P2639">
        <v>0.375</v>
      </c>
      <c r="Q2639">
        <v>2</v>
      </c>
      <c r="R2639">
        <v>5.1999999999999998E-3</v>
      </c>
      <c r="T2639" s="8" t="s">
        <v>7451</v>
      </c>
    </row>
    <row r="2640" spans="1:20" x14ac:dyDescent="0.2">
      <c r="A2640" t="s">
        <v>7453</v>
      </c>
      <c r="B2640" t="s">
        <v>2022</v>
      </c>
      <c r="C2640" t="s">
        <v>2023</v>
      </c>
      <c r="D2640" t="s">
        <v>2024</v>
      </c>
      <c r="E2640" t="s">
        <v>7454</v>
      </c>
      <c r="F2640" t="s">
        <v>7455</v>
      </c>
      <c r="G2640">
        <v>3</v>
      </c>
      <c r="H2640">
        <v>1640</v>
      </c>
      <c r="I2640">
        <v>1</v>
      </c>
      <c r="J2640">
        <v>0.9</v>
      </c>
      <c r="K2640">
        <v>1</v>
      </c>
      <c r="L2640">
        <v>6.0000000000000001E-3</v>
      </c>
      <c r="M2640">
        <v>2</v>
      </c>
      <c r="N2640">
        <v>84</v>
      </c>
      <c r="O2640">
        <v>1</v>
      </c>
      <c r="P2640">
        <v>7.4999999999999997E-2</v>
      </c>
      <c r="Q2640">
        <v>1</v>
      </c>
      <c r="R2640">
        <v>5.0000000000000001E-4</v>
      </c>
      <c r="T2640" s="8" t="s">
        <v>7454</v>
      </c>
    </row>
    <row r="2641" spans="1:20" x14ac:dyDescent="0.2">
      <c r="A2641" t="s">
        <v>7456</v>
      </c>
      <c r="B2641" t="s">
        <v>2022</v>
      </c>
      <c r="C2641" t="s">
        <v>2023</v>
      </c>
      <c r="D2641" t="s">
        <v>2024</v>
      </c>
      <c r="E2641" t="s">
        <v>7457</v>
      </c>
      <c r="F2641" t="s">
        <v>7458</v>
      </c>
      <c r="G2641">
        <v>3</v>
      </c>
      <c r="H2641">
        <v>1640</v>
      </c>
      <c r="I2641">
        <v>5</v>
      </c>
      <c r="J2641">
        <v>10.9</v>
      </c>
      <c r="K2641">
        <v>3</v>
      </c>
      <c r="L2641">
        <v>4.5999999999999999E-2</v>
      </c>
      <c r="M2641">
        <v>2</v>
      </c>
      <c r="N2641">
        <v>84</v>
      </c>
      <c r="O2641">
        <v>5</v>
      </c>
      <c r="P2641">
        <v>0.67500000000000004</v>
      </c>
      <c r="Q2641">
        <v>2</v>
      </c>
      <c r="R2641">
        <v>2E-3</v>
      </c>
      <c r="T2641" s="8" t="s">
        <v>7457</v>
      </c>
    </row>
    <row r="2642" spans="1:20" x14ac:dyDescent="0.2">
      <c r="A2642" t="s">
        <v>7459</v>
      </c>
      <c r="B2642" t="s">
        <v>2022</v>
      </c>
      <c r="C2642" t="s">
        <v>2023</v>
      </c>
      <c r="D2642" t="s">
        <v>2024</v>
      </c>
      <c r="E2642" t="s">
        <v>7460</v>
      </c>
      <c r="F2642" t="s">
        <v>7461</v>
      </c>
      <c r="G2642">
        <v>1</v>
      </c>
      <c r="H2642">
        <v>1480</v>
      </c>
      <c r="I2642">
        <v>3</v>
      </c>
      <c r="J2642">
        <v>5.9</v>
      </c>
      <c r="K2642">
        <v>5</v>
      </c>
      <c r="L2642">
        <v>8.5999999999999993E-2</v>
      </c>
      <c r="M2642">
        <v>1</v>
      </c>
      <c r="N2642">
        <v>74</v>
      </c>
      <c r="O2642">
        <v>2</v>
      </c>
      <c r="P2642">
        <v>0.22500000000000001</v>
      </c>
      <c r="Q2642">
        <v>5</v>
      </c>
      <c r="R2642">
        <v>8.0000000000000002E-3</v>
      </c>
      <c r="T2642" s="8" t="s">
        <v>7460</v>
      </c>
    </row>
    <row r="2643" spans="1:20" x14ac:dyDescent="0.2">
      <c r="A2643" t="s">
        <v>7462</v>
      </c>
      <c r="B2643" t="s">
        <v>2022</v>
      </c>
      <c r="C2643" t="s">
        <v>2023</v>
      </c>
      <c r="D2643" t="s">
        <v>2024</v>
      </c>
      <c r="E2643" t="s">
        <v>7463</v>
      </c>
      <c r="F2643" t="s">
        <v>7464</v>
      </c>
      <c r="G2643">
        <v>3</v>
      </c>
      <c r="H2643">
        <v>1640</v>
      </c>
      <c r="I2643">
        <v>3</v>
      </c>
      <c r="J2643">
        <v>5.9</v>
      </c>
      <c r="K2643">
        <v>5</v>
      </c>
      <c r="L2643">
        <v>8.5999999999999993E-2</v>
      </c>
      <c r="M2643">
        <v>2</v>
      </c>
      <c r="N2643">
        <v>84</v>
      </c>
      <c r="O2643">
        <v>3</v>
      </c>
      <c r="P2643">
        <v>0.375</v>
      </c>
      <c r="Q2643">
        <v>3</v>
      </c>
      <c r="R2643">
        <v>4.0000000000000001E-3</v>
      </c>
      <c r="T2643" s="8" t="s">
        <v>7463</v>
      </c>
    </row>
    <row r="2644" spans="1:20" x14ac:dyDescent="0.2">
      <c r="A2644" t="s">
        <v>7465</v>
      </c>
      <c r="B2644" t="s">
        <v>2022</v>
      </c>
      <c r="C2644" t="s">
        <v>2049</v>
      </c>
      <c r="D2644" t="s">
        <v>2136</v>
      </c>
      <c r="E2644" t="s">
        <v>357</v>
      </c>
      <c r="F2644" t="s">
        <v>447</v>
      </c>
      <c r="G2644">
        <v>1</v>
      </c>
      <c r="H2644">
        <v>1350</v>
      </c>
      <c r="I2644">
        <v>1</v>
      </c>
      <c r="J2644">
        <v>1.4</v>
      </c>
      <c r="K2644">
        <v>2</v>
      </c>
      <c r="L2644">
        <v>0.06</v>
      </c>
      <c r="M2644">
        <v>5</v>
      </c>
      <c r="N2644">
        <v>166</v>
      </c>
      <c r="O2644">
        <v>4</v>
      </c>
      <c r="P2644">
        <v>0.66</v>
      </c>
      <c r="Q2644">
        <v>2</v>
      </c>
      <c r="R2644">
        <v>6.1999999999999998E-3</v>
      </c>
      <c r="T2644" s="8" t="s">
        <v>357</v>
      </c>
    </row>
    <row r="2645" spans="1:20" x14ac:dyDescent="0.2">
      <c r="A2645" t="s">
        <v>7466</v>
      </c>
      <c r="B2645" t="s">
        <v>2022</v>
      </c>
      <c r="C2645" t="s">
        <v>2257</v>
      </c>
      <c r="D2645" t="s">
        <v>2024</v>
      </c>
      <c r="E2645" t="s">
        <v>357</v>
      </c>
      <c r="F2645" t="s">
        <v>7467</v>
      </c>
      <c r="G2645">
        <v>1</v>
      </c>
      <c r="H2645">
        <v>900</v>
      </c>
      <c r="I2645">
        <v>1</v>
      </c>
      <c r="J2645">
        <v>0.45</v>
      </c>
      <c r="K2645">
        <v>1</v>
      </c>
      <c r="L2645">
        <v>6.0000000000000001E-3</v>
      </c>
      <c r="M2645">
        <v>4</v>
      </c>
      <c r="N2645">
        <v>900</v>
      </c>
      <c r="O2645">
        <v>1</v>
      </c>
      <c r="P2645">
        <v>0.3</v>
      </c>
      <c r="Q2645">
        <v>2</v>
      </c>
      <c r="R2645">
        <v>1.4999999999999999E-2</v>
      </c>
      <c r="T2645" s="8" t="s">
        <v>357</v>
      </c>
    </row>
    <row r="2646" spans="1:20" x14ac:dyDescent="0.2">
      <c r="A2646" t="s">
        <v>7468</v>
      </c>
      <c r="B2646" t="s">
        <v>2022</v>
      </c>
      <c r="C2646" t="s">
        <v>2023</v>
      </c>
      <c r="D2646" t="s">
        <v>2024</v>
      </c>
      <c r="E2646" t="s">
        <v>7469</v>
      </c>
      <c r="F2646" t="s">
        <v>7470</v>
      </c>
      <c r="G2646">
        <v>3</v>
      </c>
      <c r="H2646">
        <v>1640</v>
      </c>
      <c r="I2646">
        <v>5</v>
      </c>
      <c r="J2646">
        <v>10.9</v>
      </c>
      <c r="K2646">
        <v>5</v>
      </c>
      <c r="L2646">
        <v>8.5999999999999993E-2</v>
      </c>
      <c r="M2646">
        <v>3</v>
      </c>
      <c r="N2646">
        <v>94</v>
      </c>
      <c r="O2646">
        <v>5</v>
      </c>
      <c r="P2646">
        <v>0.67500000000000004</v>
      </c>
      <c r="Q2646">
        <v>5</v>
      </c>
      <c r="R2646">
        <v>8.0000000000000002E-3</v>
      </c>
      <c r="T2646" s="8" t="s">
        <v>7469</v>
      </c>
    </row>
    <row r="2647" spans="1:20" x14ac:dyDescent="0.2">
      <c r="A2647" t="s">
        <v>7471</v>
      </c>
      <c r="B2647" t="s">
        <v>2022</v>
      </c>
      <c r="C2647" t="s">
        <v>2036</v>
      </c>
      <c r="D2647" t="s">
        <v>2024</v>
      </c>
      <c r="E2647" t="s">
        <v>7472</v>
      </c>
      <c r="F2647" t="s">
        <v>7473</v>
      </c>
      <c r="G2647">
        <v>5</v>
      </c>
      <c r="H2647">
        <v>1940</v>
      </c>
      <c r="I2647">
        <v>5</v>
      </c>
      <c r="J2647">
        <v>7</v>
      </c>
      <c r="K2647">
        <v>5</v>
      </c>
      <c r="L2647">
        <v>0.17499999999999999</v>
      </c>
      <c r="M2647">
        <v>5</v>
      </c>
      <c r="N2647">
        <v>100</v>
      </c>
      <c r="O2647">
        <v>4</v>
      </c>
      <c r="P2647">
        <v>0.42499999999999999</v>
      </c>
      <c r="Q2647">
        <v>5</v>
      </c>
      <c r="R2647">
        <v>1.2E-2</v>
      </c>
      <c r="T2647" s="8" t="s">
        <v>7472</v>
      </c>
    </row>
    <row r="2648" spans="1:20" x14ac:dyDescent="0.2">
      <c r="A2648" t="s">
        <v>7474</v>
      </c>
      <c r="B2648" t="s">
        <v>2022</v>
      </c>
      <c r="C2648" t="s">
        <v>2053</v>
      </c>
      <c r="D2648" t="s">
        <v>2024</v>
      </c>
      <c r="E2648" t="s">
        <v>7475</v>
      </c>
      <c r="F2648" t="s">
        <v>7476</v>
      </c>
      <c r="G2648">
        <v>5</v>
      </c>
      <c r="H2648">
        <v>1900</v>
      </c>
      <c r="I2648">
        <v>1</v>
      </c>
      <c r="J2648">
        <v>1.55</v>
      </c>
      <c r="K2648">
        <v>1</v>
      </c>
      <c r="L2648">
        <v>1.4999999999999999E-2</v>
      </c>
      <c r="M2648">
        <v>3</v>
      </c>
      <c r="N2648">
        <v>93</v>
      </c>
      <c r="O2648">
        <v>1</v>
      </c>
      <c r="P2648">
        <v>7.4999999999999997E-2</v>
      </c>
      <c r="Q2648">
        <v>1</v>
      </c>
      <c r="R2648">
        <v>8.4999999999999995E-4</v>
      </c>
      <c r="T2648" s="8" t="s">
        <v>7475</v>
      </c>
    </row>
    <row r="2649" spans="1:20" x14ac:dyDescent="0.2">
      <c r="A2649" t="s">
        <v>7477</v>
      </c>
      <c r="B2649" t="s">
        <v>2022</v>
      </c>
      <c r="C2649" t="s">
        <v>2023</v>
      </c>
      <c r="D2649" t="s">
        <v>2024</v>
      </c>
      <c r="E2649" t="s">
        <v>7478</v>
      </c>
      <c r="F2649" t="s">
        <v>7479</v>
      </c>
      <c r="G2649">
        <v>3</v>
      </c>
      <c r="H2649">
        <v>1640</v>
      </c>
      <c r="I2649">
        <v>2</v>
      </c>
      <c r="J2649">
        <v>3.4</v>
      </c>
      <c r="K2649">
        <v>5</v>
      </c>
      <c r="L2649">
        <v>8.5999999999999993E-2</v>
      </c>
      <c r="M2649">
        <v>2</v>
      </c>
      <c r="N2649">
        <v>84</v>
      </c>
      <c r="O2649">
        <v>2</v>
      </c>
      <c r="P2649">
        <v>0.22500000000000001</v>
      </c>
      <c r="Q2649">
        <v>4</v>
      </c>
      <c r="R2649">
        <v>6.0000000000000001E-3</v>
      </c>
      <c r="T2649" s="8" t="s">
        <v>7478</v>
      </c>
    </row>
    <row r="2650" spans="1:20" x14ac:dyDescent="0.2">
      <c r="A2650" t="s">
        <v>7480</v>
      </c>
      <c r="B2650" t="s">
        <v>2022</v>
      </c>
      <c r="C2650" t="s">
        <v>2023</v>
      </c>
      <c r="D2650" t="s">
        <v>2024</v>
      </c>
      <c r="E2650" t="s">
        <v>7481</v>
      </c>
      <c r="F2650" t="s">
        <v>7482</v>
      </c>
      <c r="G2650">
        <v>4</v>
      </c>
      <c r="H2650">
        <v>1720</v>
      </c>
      <c r="I2650">
        <v>1</v>
      </c>
      <c r="J2650">
        <v>0.9</v>
      </c>
      <c r="K2650">
        <v>2</v>
      </c>
      <c r="L2650">
        <v>2.5999999999999999E-2</v>
      </c>
      <c r="M2650">
        <v>4</v>
      </c>
      <c r="N2650">
        <v>104</v>
      </c>
      <c r="O2650">
        <v>1</v>
      </c>
      <c r="P2650">
        <v>7.4999999999999997E-2</v>
      </c>
      <c r="Q2650">
        <v>1</v>
      </c>
      <c r="R2650">
        <v>5.0000000000000001E-4</v>
      </c>
      <c r="T2650" s="8" t="s">
        <v>7481</v>
      </c>
    </row>
    <row r="2651" spans="1:20" x14ac:dyDescent="0.2">
      <c r="A2651" t="s">
        <v>7483</v>
      </c>
      <c r="B2651" t="s">
        <v>2022</v>
      </c>
      <c r="C2651" t="s">
        <v>2023</v>
      </c>
      <c r="D2651" t="s">
        <v>2024</v>
      </c>
      <c r="E2651" t="s">
        <v>7484</v>
      </c>
      <c r="F2651" t="s">
        <v>7485</v>
      </c>
      <c r="G2651">
        <v>2</v>
      </c>
      <c r="H2651">
        <v>1560</v>
      </c>
      <c r="I2651">
        <v>2</v>
      </c>
      <c r="J2651">
        <v>3.4</v>
      </c>
      <c r="K2651">
        <v>2</v>
      </c>
      <c r="L2651">
        <v>2.5999999999999999E-2</v>
      </c>
      <c r="M2651">
        <v>2</v>
      </c>
      <c r="N2651">
        <v>84</v>
      </c>
      <c r="O2651">
        <v>1</v>
      </c>
      <c r="P2651">
        <v>7.4999999999999997E-2</v>
      </c>
      <c r="Q2651">
        <v>1</v>
      </c>
      <c r="R2651">
        <v>5.0000000000000001E-4</v>
      </c>
      <c r="T2651" s="8" t="s">
        <v>7484</v>
      </c>
    </row>
    <row r="2652" spans="1:20" x14ac:dyDescent="0.2">
      <c r="A2652" t="s">
        <v>7486</v>
      </c>
      <c r="B2652" t="s">
        <v>2022</v>
      </c>
      <c r="C2652" t="s">
        <v>2023</v>
      </c>
      <c r="D2652" t="s">
        <v>2024</v>
      </c>
      <c r="E2652" t="s">
        <v>7487</v>
      </c>
      <c r="F2652" t="s">
        <v>7488</v>
      </c>
      <c r="G2652">
        <v>4</v>
      </c>
      <c r="H2652">
        <v>1720</v>
      </c>
      <c r="I2652">
        <v>2</v>
      </c>
      <c r="J2652">
        <v>3.4</v>
      </c>
      <c r="K2652">
        <v>4</v>
      </c>
      <c r="L2652">
        <v>6.6000000000000003E-2</v>
      </c>
      <c r="M2652">
        <v>3</v>
      </c>
      <c r="N2652">
        <v>94</v>
      </c>
      <c r="O2652">
        <v>1</v>
      </c>
      <c r="P2652">
        <v>7.4999999999999997E-2</v>
      </c>
      <c r="Q2652">
        <v>3</v>
      </c>
      <c r="R2652">
        <v>4.0000000000000001E-3</v>
      </c>
      <c r="T2652" s="8" t="s">
        <v>7487</v>
      </c>
    </row>
    <row r="2653" spans="1:20" x14ac:dyDescent="0.2">
      <c r="A2653" t="s">
        <v>7489</v>
      </c>
      <c r="B2653" t="s">
        <v>2022</v>
      </c>
      <c r="C2653" t="s">
        <v>2101</v>
      </c>
      <c r="D2653" t="s">
        <v>2024</v>
      </c>
      <c r="E2653" t="s">
        <v>1566</v>
      </c>
      <c r="F2653" t="s">
        <v>7490</v>
      </c>
      <c r="G2653">
        <v>2</v>
      </c>
      <c r="H2653">
        <v>1670</v>
      </c>
      <c r="I2653">
        <v>3</v>
      </c>
      <c r="J2653">
        <v>8</v>
      </c>
      <c r="K2653">
        <v>2</v>
      </c>
      <c r="L2653">
        <v>9.6500000000000002E-2</v>
      </c>
      <c r="M2653">
        <v>1</v>
      </c>
      <c r="N2653">
        <v>66</v>
      </c>
      <c r="O2653">
        <v>3</v>
      </c>
      <c r="P2653">
        <v>0.375</v>
      </c>
      <c r="Q2653">
        <v>2</v>
      </c>
      <c r="R2653">
        <v>4.4999999999999997E-3</v>
      </c>
      <c r="T2653" s="8" t="s">
        <v>1566</v>
      </c>
    </row>
    <row r="2654" spans="1:20" x14ac:dyDescent="0.2">
      <c r="A2654" t="s">
        <v>7491</v>
      </c>
      <c r="B2654" t="s">
        <v>2022</v>
      </c>
      <c r="C2654" t="s">
        <v>2028</v>
      </c>
      <c r="D2654" t="s">
        <v>2024</v>
      </c>
      <c r="E2654" t="s">
        <v>7492</v>
      </c>
      <c r="F2654" t="s">
        <v>7493</v>
      </c>
      <c r="G2654">
        <v>2</v>
      </c>
      <c r="H2654">
        <v>850</v>
      </c>
      <c r="I2654">
        <v>2</v>
      </c>
      <c r="J2654">
        <v>1.55</v>
      </c>
      <c r="K2654">
        <v>1</v>
      </c>
      <c r="L2654">
        <v>4.0000000000000001E-3</v>
      </c>
      <c r="M2654">
        <v>5</v>
      </c>
      <c r="N2654">
        <v>500</v>
      </c>
      <c r="O2654">
        <v>5</v>
      </c>
      <c r="P2654">
        <v>1.35</v>
      </c>
      <c r="Q2654">
        <v>3</v>
      </c>
      <c r="R2654">
        <v>1.6250000000000001E-2</v>
      </c>
      <c r="T2654" s="8" t="s">
        <v>7492</v>
      </c>
    </row>
    <row r="2655" spans="1:20" x14ac:dyDescent="0.2">
      <c r="A2655" t="s">
        <v>7494</v>
      </c>
      <c r="B2655" t="s">
        <v>2022</v>
      </c>
      <c r="C2655" t="s">
        <v>2028</v>
      </c>
      <c r="D2655" t="s">
        <v>2024</v>
      </c>
      <c r="E2655" t="s">
        <v>7495</v>
      </c>
      <c r="F2655" t="s">
        <v>7496</v>
      </c>
      <c r="G2655">
        <v>2</v>
      </c>
      <c r="H2655">
        <v>850</v>
      </c>
      <c r="I2655">
        <v>2</v>
      </c>
      <c r="J2655">
        <v>1.55</v>
      </c>
      <c r="K2655">
        <v>2</v>
      </c>
      <c r="L2655">
        <v>4.4999999999999998E-2</v>
      </c>
      <c r="M2655">
        <v>5</v>
      </c>
      <c r="N2655">
        <v>500</v>
      </c>
      <c r="O2655">
        <v>4</v>
      </c>
      <c r="P2655">
        <v>1.05</v>
      </c>
      <c r="Q2655">
        <v>2</v>
      </c>
      <c r="R2655">
        <v>7.7499999999999999E-3</v>
      </c>
      <c r="T2655" s="8" t="s">
        <v>7495</v>
      </c>
    </row>
    <row r="2656" spans="1:20" x14ac:dyDescent="0.2">
      <c r="A2656" t="s">
        <v>7497</v>
      </c>
      <c r="B2656" t="s">
        <v>2022</v>
      </c>
      <c r="C2656" t="s">
        <v>2049</v>
      </c>
      <c r="D2656" t="s">
        <v>2024</v>
      </c>
      <c r="E2656" t="s">
        <v>7498</v>
      </c>
      <c r="F2656" t="s">
        <v>7499</v>
      </c>
      <c r="G2656">
        <v>3</v>
      </c>
      <c r="H2656">
        <v>1550</v>
      </c>
      <c r="I2656">
        <v>4</v>
      </c>
      <c r="J2656">
        <v>6.8</v>
      </c>
      <c r="K2656">
        <v>4</v>
      </c>
      <c r="L2656">
        <v>0.22</v>
      </c>
      <c r="M2656">
        <v>2</v>
      </c>
      <c r="N2656">
        <v>106</v>
      </c>
      <c r="O2656">
        <v>3</v>
      </c>
      <c r="P2656">
        <v>0.46</v>
      </c>
      <c r="Q2656">
        <v>3</v>
      </c>
      <c r="R2656">
        <v>1.52E-2</v>
      </c>
      <c r="T2656" s="8" t="s">
        <v>7498</v>
      </c>
    </row>
    <row r="2657" spans="1:20" x14ac:dyDescent="0.2">
      <c r="A2657" t="s">
        <v>7500</v>
      </c>
      <c r="B2657" t="s">
        <v>2022</v>
      </c>
      <c r="C2657" t="s">
        <v>2036</v>
      </c>
      <c r="D2657" t="s">
        <v>2024</v>
      </c>
      <c r="E2657" t="s">
        <v>7501</v>
      </c>
      <c r="F2657" t="s">
        <v>7502</v>
      </c>
      <c r="G2657">
        <v>3</v>
      </c>
      <c r="H2657">
        <v>1740</v>
      </c>
      <c r="I2657">
        <v>2</v>
      </c>
      <c r="J2657">
        <v>3.4</v>
      </c>
      <c r="K2657">
        <v>1</v>
      </c>
      <c r="L2657">
        <v>5.5E-2</v>
      </c>
      <c r="M2657">
        <v>2</v>
      </c>
      <c r="N2657">
        <v>82</v>
      </c>
      <c r="O2657">
        <v>2</v>
      </c>
      <c r="P2657">
        <v>0.20499999999999999</v>
      </c>
      <c r="Q2657">
        <v>2</v>
      </c>
      <c r="R2657">
        <v>4.2500000000000003E-3</v>
      </c>
      <c r="T2657" s="8" t="s">
        <v>7501</v>
      </c>
    </row>
    <row r="2658" spans="1:20" x14ac:dyDescent="0.2">
      <c r="A2658" t="s">
        <v>7503</v>
      </c>
      <c r="B2658" t="s">
        <v>2022</v>
      </c>
      <c r="C2658" t="s">
        <v>2101</v>
      </c>
      <c r="D2658" t="s">
        <v>2024</v>
      </c>
      <c r="E2658" t="s">
        <v>7504</v>
      </c>
      <c r="F2658" t="s">
        <v>7505</v>
      </c>
      <c r="G2658">
        <v>1</v>
      </c>
      <c r="H2658">
        <v>1570</v>
      </c>
      <c r="I2658">
        <v>3</v>
      </c>
      <c r="J2658">
        <v>8</v>
      </c>
      <c r="K2658">
        <v>3</v>
      </c>
      <c r="L2658">
        <v>0.24349999999999999</v>
      </c>
      <c r="M2658">
        <v>5</v>
      </c>
      <c r="N2658">
        <v>98</v>
      </c>
      <c r="O2658">
        <v>5</v>
      </c>
      <c r="P2658">
        <v>0.67500000000000004</v>
      </c>
      <c r="Q2658">
        <v>5</v>
      </c>
      <c r="R2658">
        <v>2.5499999999999998E-2</v>
      </c>
      <c r="T2658" s="8" t="s">
        <v>7504</v>
      </c>
    </row>
    <row r="2659" spans="1:20" x14ac:dyDescent="0.2">
      <c r="A2659" t="s">
        <v>7506</v>
      </c>
      <c r="B2659" t="s">
        <v>2022</v>
      </c>
      <c r="C2659" t="s">
        <v>2023</v>
      </c>
      <c r="D2659" t="s">
        <v>2024</v>
      </c>
      <c r="E2659" t="s">
        <v>357</v>
      </c>
      <c r="F2659" t="s">
        <v>7507</v>
      </c>
      <c r="G2659">
        <v>1</v>
      </c>
      <c r="H2659">
        <v>1480</v>
      </c>
      <c r="I2659">
        <v>3</v>
      </c>
      <c r="J2659">
        <v>5.9</v>
      </c>
      <c r="K2659">
        <v>5</v>
      </c>
      <c r="L2659">
        <v>8.5999999999999993E-2</v>
      </c>
      <c r="M2659">
        <v>5</v>
      </c>
      <c r="N2659">
        <v>114</v>
      </c>
      <c r="O2659">
        <v>5</v>
      </c>
      <c r="P2659">
        <v>0.67500000000000004</v>
      </c>
      <c r="Q2659">
        <v>5</v>
      </c>
      <c r="R2659">
        <v>8.0000000000000002E-3</v>
      </c>
      <c r="T2659" s="8" t="s">
        <v>357</v>
      </c>
    </row>
    <row r="2660" spans="1:20" x14ac:dyDescent="0.2">
      <c r="A2660" t="s">
        <v>7508</v>
      </c>
      <c r="B2660" t="s">
        <v>2022</v>
      </c>
      <c r="C2660" t="s">
        <v>2053</v>
      </c>
      <c r="D2660" t="s">
        <v>2024</v>
      </c>
      <c r="E2660" t="s">
        <v>7509</v>
      </c>
      <c r="F2660" t="s">
        <v>7510</v>
      </c>
      <c r="G2660">
        <v>3</v>
      </c>
      <c r="H2660">
        <v>1700</v>
      </c>
      <c r="I2660">
        <v>4</v>
      </c>
      <c r="J2660">
        <v>9.0500000000000007</v>
      </c>
      <c r="K2660">
        <v>3</v>
      </c>
      <c r="L2660">
        <v>0.19500000000000001</v>
      </c>
      <c r="M2660">
        <v>4</v>
      </c>
      <c r="N2660">
        <v>103</v>
      </c>
      <c r="O2660">
        <v>4</v>
      </c>
      <c r="P2660">
        <v>0.52500000000000002</v>
      </c>
      <c r="Q2660">
        <v>3</v>
      </c>
      <c r="R2660">
        <v>1.2200000000000001E-2</v>
      </c>
      <c r="T2660" s="8" t="s">
        <v>7509</v>
      </c>
    </row>
    <row r="2661" spans="1:20" x14ac:dyDescent="0.2">
      <c r="A2661" t="s">
        <v>7511</v>
      </c>
      <c r="B2661" t="s">
        <v>2022</v>
      </c>
      <c r="C2661" t="s">
        <v>2095</v>
      </c>
      <c r="D2661" t="s">
        <v>2024</v>
      </c>
      <c r="E2661" t="s">
        <v>7512</v>
      </c>
      <c r="F2661" t="s">
        <v>7513</v>
      </c>
      <c r="G2661">
        <v>1</v>
      </c>
      <c r="H2661">
        <v>1565</v>
      </c>
      <c r="I2661">
        <v>3</v>
      </c>
      <c r="J2661">
        <v>10.5</v>
      </c>
      <c r="K2661">
        <v>3</v>
      </c>
      <c r="L2661">
        <v>0.33</v>
      </c>
      <c r="M2661">
        <v>1</v>
      </c>
      <c r="N2661">
        <v>74</v>
      </c>
      <c r="O2661">
        <v>3</v>
      </c>
      <c r="P2661">
        <v>0.55000000000000004</v>
      </c>
      <c r="Q2661">
        <v>3</v>
      </c>
      <c r="R2661">
        <v>1.49E-2</v>
      </c>
      <c r="T2661" s="8" t="s">
        <v>7512</v>
      </c>
    </row>
    <row r="2662" spans="1:20" x14ac:dyDescent="0.2">
      <c r="A2662" t="s">
        <v>7514</v>
      </c>
      <c r="B2662" t="s">
        <v>2022</v>
      </c>
      <c r="C2662" t="s">
        <v>2095</v>
      </c>
      <c r="D2662" t="s">
        <v>2024</v>
      </c>
      <c r="E2662" t="s">
        <v>258</v>
      </c>
      <c r="F2662" t="s">
        <v>7513</v>
      </c>
      <c r="G2662">
        <v>2</v>
      </c>
      <c r="H2662">
        <v>1655</v>
      </c>
      <c r="I2662">
        <v>5</v>
      </c>
      <c r="J2662">
        <v>16.5</v>
      </c>
      <c r="K2662">
        <v>4</v>
      </c>
      <c r="L2662">
        <v>0.53</v>
      </c>
      <c r="M2662">
        <v>3</v>
      </c>
      <c r="N2662">
        <v>86</v>
      </c>
      <c r="O2662">
        <v>4</v>
      </c>
      <c r="P2662">
        <v>0.75</v>
      </c>
      <c r="Q2662">
        <v>5</v>
      </c>
      <c r="R2662">
        <v>3.2899999999999999E-2</v>
      </c>
      <c r="T2662" s="8" t="s">
        <v>258</v>
      </c>
    </row>
    <row r="2663" spans="1:20" x14ac:dyDescent="0.2">
      <c r="A2663" t="s">
        <v>7515</v>
      </c>
      <c r="B2663" t="s">
        <v>2022</v>
      </c>
      <c r="C2663" t="s">
        <v>2095</v>
      </c>
      <c r="D2663" t="s">
        <v>2024</v>
      </c>
      <c r="E2663" t="s">
        <v>7516</v>
      </c>
      <c r="F2663" t="s">
        <v>7513</v>
      </c>
      <c r="G2663">
        <v>1</v>
      </c>
      <c r="H2663">
        <v>1565</v>
      </c>
      <c r="I2663">
        <v>3</v>
      </c>
      <c r="J2663">
        <v>10.5</v>
      </c>
      <c r="K2663">
        <v>3</v>
      </c>
      <c r="L2663">
        <v>0.33</v>
      </c>
      <c r="M2663">
        <v>3</v>
      </c>
      <c r="N2663">
        <v>86</v>
      </c>
      <c r="O2663">
        <v>3</v>
      </c>
      <c r="P2663">
        <v>0.55000000000000004</v>
      </c>
      <c r="Q2663">
        <v>4</v>
      </c>
      <c r="R2663">
        <v>2.3900000000000001E-2</v>
      </c>
      <c r="T2663" s="8" t="s">
        <v>7516</v>
      </c>
    </row>
    <row r="2664" spans="1:20" x14ac:dyDescent="0.2">
      <c r="A2664" t="s">
        <v>7517</v>
      </c>
      <c r="B2664" t="s">
        <v>2022</v>
      </c>
      <c r="C2664" t="s">
        <v>2095</v>
      </c>
      <c r="D2664" t="s">
        <v>2024</v>
      </c>
      <c r="E2664" t="s">
        <v>7518</v>
      </c>
      <c r="F2664" t="s">
        <v>7513</v>
      </c>
      <c r="G2664">
        <v>2</v>
      </c>
      <c r="H2664">
        <v>1655</v>
      </c>
      <c r="I2664">
        <v>3</v>
      </c>
      <c r="J2664">
        <v>10.5</v>
      </c>
      <c r="K2664">
        <v>3</v>
      </c>
      <c r="L2664">
        <v>0.33</v>
      </c>
      <c r="M2664">
        <v>1</v>
      </c>
      <c r="N2664">
        <v>74</v>
      </c>
      <c r="O2664">
        <v>3</v>
      </c>
      <c r="P2664">
        <v>0.55000000000000004</v>
      </c>
      <c r="Q2664">
        <v>3</v>
      </c>
      <c r="R2664">
        <v>1.49E-2</v>
      </c>
      <c r="T2664" s="8" t="s">
        <v>7518</v>
      </c>
    </row>
    <row r="2665" spans="1:20" x14ac:dyDescent="0.2">
      <c r="A2665" t="s">
        <v>7519</v>
      </c>
      <c r="B2665" t="s">
        <v>2022</v>
      </c>
      <c r="C2665" t="s">
        <v>2095</v>
      </c>
      <c r="D2665" t="s">
        <v>2024</v>
      </c>
      <c r="E2665" t="s">
        <v>7520</v>
      </c>
      <c r="F2665" t="s">
        <v>7513</v>
      </c>
      <c r="G2665">
        <v>1</v>
      </c>
      <c r="H2665">
        <v>1565</v>
      </c>
      <c r="I2665">
        <v>3</v>
      </c>
      <c r="J2665">
        <v>10.5</v>
      </c>
      <c r="K2665">
        <v>3</v>
      </c>
      <c r="L2665">
        <v>0.33</v>
      </c>
      <c r="M2665">
        <v>1</v>
      </c>
      <c r="N2665">
        <v>74</v>
      </c>
      <c r="O2665">
        <v>3</v>
      </c>
      <c r="P2665">
        <v>0.55000000000000004</v>
      </c>
      <c r="Q2665">
        <v>3</v>
      </c>
      <c r="R2665">
        <v>1.49E-2</v>
      </c>
      <c r="T2665" s="8" t="s">
        <v>7520</v>
      </c>
    </row>
    <row r="2666" spans="1:20" x14ac:dyDescent="0.2">
      <c r="A2666" t="s">
        <v>7521</v>
      </c>
      <c r="B2666" t="s">
        <v>2022</v>
      </c>
      <c r="C2666" t="s">
        <v>2095</v>
      </c>
      <c r="D2666" t="s">
        <v>2024</v>
      </c>
      <c r="E2666" t="s">
        <v>7522</v>
      </c>
      <c r="F2666" t="s">
        <v>7523</v>
      </c>
      <c r="G2666">
        <v>3</v>
      </c>
      <c r="H2666">
        <v>1745</v>
      </c>
      <c r="I2666">
        <v>1</v>
      </c>
      <c r="J2666">
        <v>4.5</v>
      </c>
      <c r="K2666">
        <v>1</v>
      </c>
      <c r="L2666">
        <v>1.4999999999999999E-2</v>
      </c>
      <c r="M2666">
        <v>4</v>
      </c>
      <c r="N2666">
        <v>92</v>
      </c>
      <c r="O2666">
        <v>1</v>
      </c>
      <c r="P2666">
        <v>0.15</v>
      </c>
      <c r="Q2666">
        <v>1</v>
      </c>
      <c r="R2666">
        <v>6.9999999999999999E-4</v>
      </c>
      <c r="T2666" s="8" t="s">
        <v>7522</v>
      </c>
    </row>
    <row r="2667" spans="1:20" x14ac:dyDescent="0.2">
      <c r="A2667" t="s">
        <v>7524</v>
      </c>
      <c r="B2667" t="s">
        <v>2022</v>
      </c>
      <c r="C2667" t="s">
        <v>2053</v>
      </c>
      <c r="D2667" t="s">
        <v>2024</v>
      </c>
      <c r="E2667" t="s">
        <v>7525</v>
      </c>
      <c r="F2667" t="s">
        <v>447</v>
      </c>
      <c r="G2667">
        <v>2</v>
      </c>
      <c r="H2667">
        <v>1600</v>
      </c>
      <c r="I2667">
        <v>3</v>
      </c>
      <c r="J2667">
        <v>6.55</v>
      </c>
      <c r="K2667">
        <v>2</v>
      </c>
      <c r="L2667">
        <v>8.5000000000000006E-2</v>
      </c>
      <c r="M2667">
        <v>2</v>
      </c>
      <c r="N2667">
        <v>83</v>
      </c>
      <c r="O2667">
        <v>3</v>
      </c>
      <c r="P2667">
        <v>0.375</v>
      </c>
      <c r="Q2667">
        <v>2</v>
      </c>
      <c r="R2667">
        <v>5.1999999999999998E-3</v>
      </c>
      <c r="T2667" s="8" t="s">
        <v>7525</v>
      </c>
    </row>
    <row r="2668" spans="1:20" x14ac:dyDescent="0.2">
      <c r="A2668" t="s">
        <v>7526</v>
      </c>
      <c r="B2668" t="s">
        <v>2022</v>
      </c>
      <c r="C2668" t="s">
        <v>2023</v>
      </c>
      <c r="D2668" t="s">
        <v>2024</v>
      </c>
      <c r="E2668" t="s">
        <v>7527</v>
      </c>
      <c r="F2668" t="s">
        <v>447</v>
      </c>
      <c r="G2668">
        <v>1</v>
      </c>
      <c r="H2668">
        <v>1480</v>
      </c>
      <c r="I2668">
        <v>3</v>
      </c>
      <c r="J2668">
        <v>5.9</v>
      </c>
      <c r="K2668">
        <v>5</v>
      </c>
      <c r="L2668">
        <v>8.5999999999999993E-2</v>
      </c>
      <c r="M2668">
        <v>1</v>
      </c>
      <c r="N2668">
        <v>74</v>
      </c>
      <c r="O2668">
        <v>2</v>
      </c>
      <c r="P2668">
        <v>0.22500000000000001</v>
      </c>
      <c r="Q2668">
        <v>5</v>
      </c>
      <c r="R2668">
        <v>8.0000000000000002E-3</v>
      </c>
      <c r="T2668" s="8" t="s">
        <v>7527</v>
      </c>
    </row>
    <row r="2669" spans="1:20" x14ac:dyDescent="0.2">
      <c r="A2669" t="s">
        <v>7528</v>
      </c>
      <c r="B2669" t="s">
        <v>2022</v>
      </c>
      <c r="C2669" t="s">
        <v>2053</v>
      </c>
      <c r="D2669" t="s">
        <v>2024</v>
      </c>
      <c r="E2669" t="s">
        <v>7529</v>
      </c>
      <c r="F2669" t="s">
        <v>447</v>
      </c>
      <c r="G2669">
        <v>2</v>
      </c>
      <c r="H2669">
        <v>1600</v>
      </c>
      <c r="I2669">
        <v>1</v>
      </c>
      <c r="J2669">
        <v>1.55</v>
      </c>
      <c r="K2669">
        <v>2</v>
      </c>
      <c r="L2669">
        <v>8.5000000000000006E-2</v>
      </c>
      <c r="M2669">
        <v>2</v>
      </c>
      <c r="N2669">
        <v>83</v>
      </c>
      <c r="O2669">
        <v>1</v>
      </c>
      <c r="P2669">
        <v>7.4999999999999997E-2</v>
      </c>
      <c r="Q2669">
        <v>2</v>
      </c>
      <c r="R2669">
        <v>5.1999999999999998E-3</v>
      </c>
      <c r="T2669" s="8" t="s">
        <v>7529</v>
      </c>
    </row>
    <row r="2670" spans="1:20" x14ac:dyDescent="0.2">
      <c r="A2670" t="s">
        <v>7530</v>
      </c>
      <c r="B2670" t="s">
        <v>2022</v>
      </c>
      <c r="C2670" t="s">
        <v>2028</v>
      </c>
      <c r="D2670" t="s">
        <v>2024</v>
      </c>
      <c r="E2670" t="s">
        <v>7531</v>
      </c>
      <c r="F2670" t="s">
        <v>7532</v>
      </c>
      <c r="G2670">
        <v>5</v>
      </c>
      <c r="H2670">
        <v>1450</v>
      </c>
      <c r="I2670">
        <v>5</v>
      </c>
      <c r="J2670">
        <v>6.65</v>
      </c>
      <c r="K2670">
        <v>5</v>
      </c>
      <c r="L2670">
        <v>0.26700000000000002</v>
      </c>
      <c r="M2670">
        <v>1</v>
      </c>
      <c r="N2670">
        <v>100</v>
      </c>
      <c r="O2670">
        <v>2</v>
      </c>
      <c r="P2670">
        <v>0.45</v>
      </c>
      <c r="Q2670">
        <v>3</v>
      </c>
      <c r="R2670">
        <v>1.6250000000000001E-2</v>
      </c>
      <c r="T2670" s="8" t="s">
        <v>7531</v>
      </c>
    </row>
    <row r="2671" spans="1:20" x14ac:dyDescent="0.2">
      <c r="A2671" t="s">
        <v>7533</v>
      </c>
      <c r="B2671" t="s">
        <v>2022</v>
      </c>
      <c r="C2671" t="s">
        <v>2036</v>
      </c>
      <c r="D2671" t="s">
        <v>2024</v>
      </c>
      <c r="E2671" t="s">
        <v>7534</v>
      </c>
      <c r="F2671" t="s">
        <v>7535</v>
      </c>
      <c r="G2671">
        <v>2</v>
      </c>
      <c r="H2671">
        <v>1640</v>
      </c>
      <c r="I2671">
        <v>2</v>
      </c>
      <c r="J2671">
        <v>3.4</v>
      </c>
      <c r="K2671">
        <v>1</v>
      </c>
      <c r="L2671">
        <v>5.5E-2</v>
      </c>
      <c r="M2671">
        <v>2</v>
      </c>
      <c r="N2671">
        <v>82</v>
      </c>
      <c r="O2671">
        <v>2</v>
      </c>
      <c r="P2671">
        <v>0.20499999999999999</v>
      </c>
      <c r="Q2671">
        <v>1</v>
      </c>
      <c r="R2671">
        <v>1.5E-3</v>
      </c>
      <c r="T2671" s="8" t="s">
        <v>7534</v>
      </c>
    </row>
    <row r="2672" spans="1:20" x14ac:dyDescent="0.2">
      <c r="A2672" t="s">
        <v>7536</v>
      </c>
      <c r="B2672" t="s">
        <v>2022</v>
      </c>
      <c r="C2672" t="s">
        <v>2023</v>
      </c>
      <c r="D2672" t="s">
        <v>2024</v>
      </c>
      <c r="E2672" t="s">
        <v>7537</v>
      </c>
      <c r="F2672" t="s">
        <v>7538</v>
      </c>
      <c r="G2672">
        <v>2</v>
      </c>
      <c r="H2672">
        <v>1560</v>
      </c>
      <c r="I2672">
        <v>2</v>
      </c>
      <c r="J2672">
        <v>3.4</v>
      </c>
      <c r="K2672">
        <v>3</v>
      </c>
      <c r="L2672">
        <v>4.5999999999999999E-2</v>
      </c>
      <c r="M2672">
        <v>1</v>
      </c>
      <c r="N2672">
        <v>74</v>
      </c>
      <c r="O2672">
        <v>1</v>
      </c>
      <c r="P2672">
        <v>7.4999999999999997E-2</v>
      </c>
      <c r="Q2672">
        <v>2</v>
      </c>
      <c r="R2672">
        <v>2E-3</v>
      </c>
      <c r="T2672" s="8" t="s">
        <v>7537</v>
      </c>
    </row>
    <row r="2673" spans="1:20" x14ac:dyDescent="0.2">
      <c r="A2673" t="s">
        <v>7539</v>
      </c>
      <c r="B2673" t="s">
        <v>2022</v>
      </c>
      <c r="C2673" t="s">
        <v>2036</v>
      </c>
      <c r="D2673" t="s">
        <v>2024</v>
      </c>
      <c r="E2673" t="s">
        <v>7540</v>
      </c>
      <c r="F2673" t="s">
        <v>7541</v>
      </c>
      <c r="G2673">
        <v>3</v>
      </c>
      <c r="H2673">
        <v>1740</v>
      </c>
      <c r="I2673">
        <v>2</v>
      </c>
      <c r="J2673">
        <v>3.4</v>
      </c>
      <c r="K2673">
        <v>2</v>
      </c>
      <c r="L2673">
        <v>8.5000000000000006E-2</v>
      </c>
      <c r="M2673">
        <v>2</v>
      </c>
      <c r="N2673">
        <v>82</v>
      </c>
      <c r="O2673">
        <v>1</v>
      </c>
      <c r="P2673">
        <v>9.5000000000000001E-2</v>
      </c>
      <c r="Q2673">
        <v>2</v>
      </c>
      <c r="R2673">
        <v>4.2500000000000003E-3</v>
      </c>
      <c r="T2673" s="8" t="s">
        <v>7540</v>
      </c>
    </row>
    <row r="2674" spans="1:20" x14ac:dyDescent="0.2">
      <c r="A2674" t="s">
        <v>7542</v>
      </c>
      <c r="B2674" t="s">
        <v>2022</v>
      </c>
      <c r="C2674" t="s">
        <v>2023</v>
      </c>
      <c r="E2674" t="s">
        <v>7543</v>
      </c>
      <c r="F2674" t="s">
        <v>7544</v>
      </c>
      <c r="G2674">
        <v>4</v>
      </c>
      <c r="H2674">
        <v>1720</v>
      </c>
      <c r="I2674">
        <v>5</v>
      </c>
      <c r="J2674">
        <v>10.9</v>
      </c>
      <c r="K2674">
        <v>5</v>
      </c>
      <c r="L2674">
        <v>0.33300000000000002</v>
      </c>
      <c r="M2674">
        <v>1</v>
      </c>
      <c r="N2674">
        <v>74</v>
      </c>
      <c r="O2674">
        <v>4</v>
      </c>
      <c r="P2674">
        <v>0.52500000000000002</v>
      </c>
      <c r="Q2674">
        <v>5</v>
      </c>
      <c r="R2674">
        <v>2.1999999999999999E-2</v>
      </c>
      <c r="T2674" s="8" t="s">
        <v>7543</v>
      </c>
    </row>
    <row r="2675" spans="1:20" x14ac:dyDescent="0.2">
      <c r="A2675" t="s">
        <v>7545</v>
      </c>
      <c r="B2675" t="s">
        <v>2022</v>
      </c>
      <c r="C2675" t="s">
        <v>2101</v>
      </c>
      <c r="D2675" t="s">
        <v>2024</v>
      </c>
      <c r="E2675" t="s">
        <v>7546</v>
      </c>
      <c r="F2675" t="s">
        <v>7547</v>
      </c>
      <c r="G2675">
        <v>5</v>
      </c>
      <c r="H2675">
        <v>1970</v>
      </c>
      <c r="I2675">
        <v>5</v>
      </c>
      <c r="J2675">
        <v>14</v>
      </c>
      <c r="K2675">
        <v>5</v>
      </c>
      <c r="L2675">
        <v>0.53749999999999998</v>
      </c>
      <c r="M2675">
        <v>5</v>
      </c>
      <c r="N2675">
        <v>98</v>
      </c>
      <c r="O2675">
        <v>5</v>
      </c>
      <c r="P2675">
        <v>0.67500000000000004</v>
      </c>
      <c r="Q2675">
        <v>5</v>
      </c>
      <c r="R2675">
        <v>2.5499999999999998E-2</v>
      </c>
      <c r="T2675" s="8" t="s">
        <v>7546</v>
      </c>
    </row>
    <row r="2676" spans="1:20" x14ac:dyDescent="0.2">
      <c r="A2676" t="s">
        <v>7548</v>
      </c>
      <c r="B2676" t="s">
        <v>2022</v>
      </c>
      <c r="C2676" t="s">
        <v>2023</v>
      </c>
      <c r="D2676" t="s">
        <v>2024</v>
      </c>
      <c r="E2676" t="s">
        <v>7549</v>
      </c>
      <c r="F2676" t="s">
        <v>7550</v>
      </c>
      <c r="G2676">
        <v>4</v>
      </c>
      <c r="H2676">
        <v>1720</v>
      </c>
      <c r="I2676">
        <v>4</v>
      </c>
      <c r="J2676">
        <v>8.4</v>
      </c>
      <c r="K2676">
        <v>5</v>
      </c>
      <c r="L2676">
        <v>8.5999999999999993E-2</v>
      </c>
      <c r="M2676">
        <v>3</v>
      </c>
      <c r="N2676">
        <v>94</v>
      </c>
      <c r="O2676">
        <v>3</v>
      </c>
      <c r="P2676">
        <v>0.375</v>
      </c>
      <c r="Q2676">
        <v>5</v>
      </c>
      <c r="R2676">
        <v>8.0000000000000002E-3</v>
      </c>
      <c r="T2676" s="8" t="s">
        <v>7549</v>
      </c>
    </row>
    <row r="2677" spans="1:20" x14ac:dyDescent="0.2">
      <c r="A2677" t="s">
        <v>7551</v>
      </c>
      <c r="B2677" t="s">
        <v>2022</v>
      </c>
      <c r="C2677" t="s">
        <v>2053</v>
      </c>
      <c r="D2677" t="s">
        <v>2024</v>
      </c>
      <c r="E2677" t="s">
        <v>7552</v>
      </c>
      <c r="F2677" t="s">
        <v>7553</v>
      </c>
      <c r="G2677">
        <v>1</v>
      </c>
      <c r="H2677">
        <v>1500</v>
      </c>
      <c r="I2677">
        <v>1</v>
      </c>
      <c r="J2677">
        <v>1.55</v>
      </c>
      <c r="K2677">
        <v>1</v>
      </c>
      <c r="L2677">
        <v>1.4999999999999999E-2</v>
      </c>
      <c r="M2677">
        <v>1</v>
      </c>
      <c r="N2677">
        <v>73</v>
      </c>
      <c r="O2677">
        <v>1</v>
      </c>
      <c r="P2677">
        <v>7.4999999999999997E-2</v>
      </c>
      <c r="Q2677">
        <v>1</v>
      </c>
      <c r="R2677">
        <v>8.4999999999999995E-4</v>
      </c>
      <c r="T2677" s="8" t="s">
        <v>7552</v>
      </c>
    </row>
    <row r="2678" spans="1:20" x14ac:dyDescent="0.2">
      <c r="A2678" t="s">
        <v>7554</v>
      </c>
      <c r="B2678" t="s">
        <v>2022</v>
      </c>
      <c r="C2678" t="s">
        <v>2049</v>
      </c>
      <c r="D2678" t="s">
        <v>2136</v>
      </c>
      <c r="E2678" t="s">
        <v>7555</v>
      </c>
      <c r="F2678" t="s">
        <v>7556</v>
      </c>
      <c r="G2678">
        <v>4</v>
      </c>
      <c r="H2678">
        <v>1650</v>
      </c>
      <c r="I2678">
        <v>2</v>
      </c>
      <c r="J2678">
        <v>3.2</v>
      </c>
      <c r="K2678">
        <v>2</v>
      </c>
      <c r="L2678">
        <v>0.06</v>
      </c>
      <c r="M2678">
        <v>2</v>
      </c>
      <c r="N2678">
        <v>106</v>
      </c>
      <c r="O2678">
        <v>2</v>
      </c>
      <c r="P2678">
        <v>0.26</v>
      </c>
      <c r="Q2678">
        <v>1</v>
      </c>
      <c r="R2678">
        <v>8.4999999999999995E-4</v>
      </c>
      <c r="T2678" s="8" t="s">
        <v>7555</v>
      </c>
    </row>
    <row r="2679" spans="1:20" x14ac:dyDescent="0.2">
      <c r="A2679" t="s">
        <v>7557</v>
      </c>
      <c r="B2679" t="s">
        <v>2022</v>
      </c>
      <c r="C2679" t="s">
        <v>2049</v>
      </c>
      <c r="D2679" t="s">
        <v>2136</v>
      </c>
      <c r="E2679" t="s">
        <v>7555</v>
      </c>
      <c r="F2679" t="s">
        <v>7556</v>
      </c>
      <c r="G2679">
        <v>3</v>
      </c>
      <c r="H2679">
        <v>1550</v>
      </c>
      <c r="I2679">
        <v>1</v>
      </c>
      <c r="J2679">
        <v>1.4</v>
      </c>
      <c r="K2679">
        <v>1</v>
      </c>
      <c r="L2679">
        <v>0.01</v>
      </c>
      <c r="M2679">
        <v>2</v>
      </c>
      <c r="N2679">
        <v>106</v>
      </c>
      <c r="O2679">
        <v>1</v>
      </c>
      <c r="P2679">
        <v>0.06</v>
      </c>
      <c r="Q2679">
        <v>1</v>
      </c>
      <c r="R2679">
        <v>8.4999999999999995E-4</v>
      </c>
      <c r="T2679" s="8" t="s">
        <v>7555</v>
      </c>
    </row>
    <row r="2680" spans="1:20" x14ac:dyDescent="0.2">
      <c r="A2680" t="s">
        <v>7558</v>
      </c>
      <c r="B2680" t="s">
        <v>2022</v>
      </c>
      <c r="C2680" t="s">
        <v>2023</v>
      </c>
      <c r="D2680" t="s">
        <v>2024</v>
      </c>
      <c r="E2680" t="s">
        <v>7559</v>
      </c>
      <c r="F2680" t="s">
        <v>7560</v>
      </c>
      <c r="G2680">
        <v>5</v>
      </c>
      <c r="H2680">
        <v>1800</v>
      </c>
      <c r="I2680">
        <v>5</v>
      </c>
      <c r="J2680">
        <v>10.9</v>
      </c>
      <c r="K2680">
        <v>5</v>
      </c>
      <c r="L2680">
        <v>8.5999999999999993E-2</v>
      </c>
      <c r="M2680">
        <v>2</v>
      </c>
      <c r="N2680">
        <v>84</v>
      </c>
      <c r="O2680">
        <v>4</v>
      </c>
      <c r="P2680">
        <v>0.52500000000000002</v>
      </c>
      <c r="Q2680">
        <v>5</v>
      </c>
      <c r="R2680">
        <v>8.0000000000000002E-3</v>
      </c>
      <c r="T2680" s="8" t="s">
        <v>7559</v>
      </c>
    </row>
    <row r="2681" spans="1:20" x14ac:dyDescent="0.2">
      <c r="A2681" t="s">
        <v>7561</v>
      </c>
      <c r="B2681" t="s">
        <v>2022</v>
      </c>
      <c r="C2681" t="s">
        <v>2023</v>
      </c>
      <c r="D2681" t="s">
        <v>2024</v>
      </c>
      <c r="E2681" t="s">
        <v>7562</v>
      </c>
      <c r="F2681" t="s">
        <v>7563</v>
      </c>
      <c r="G2681">
        <v>3</v>
      </c>
      <c r="H2681">
        <v>1640</v>
      </c>
      <c r="I2681">
        <v>2</v>
      </c>
      <c r="J2681">
        <v>3.4</v>
      </c>
      <c r="K2681">
        <v>4</v>
      </c>
      <c r="L2681">
        <v>6.6000000000000003E-2</v>
      </c>
      <c r="M2681">
        <v>2</v>
      </c>
      <c r="N2681">
        <v>84</v>
      </c>
      <c r="O2681">
        <v>1</v>
      </c>
      <c r="P2681">
        <v>7.4999999999999997E-2</v>
      </c>
      <c r="Q2681">
        <v>3</v>
      </c>
      <c r="R2681">
        <v>4.0000000000000001E-3</v>
      </c>
      <c r="T2681" s="8" t="s">
        <v>7562</v>
      </c>
    </row>
    <row r="2682" spans="1:20" x14ac:dyDescent="0.2">
      <c r="A2682" t="s">
        <v>7564</v>
      </c>
      <c r="B2682" t="s">
        <v>2022</v>
      </c>
      <c r="C2682" t="s">
        <v>2023</v>
      </c>
      <c r="D2682" t="s">
        <v>2136</v>
      </c>
      <c r="E2682" t="s">
        <v>7565</v>
      </c>
      <c r="F2682" t="s">
        <v>7566</v>
      </c>
      <c r="G2682">
        <v>1</v>
      </c>
      <c r="H2682">
        <v>1480</v>
      </c>
      <c r="I2682">
        <v>3</v>
      </c>
      <c r="J2682">
        <v>5.9</v>
      </c>
      <c r="K2682">
        <v>5</v>
      </c>
      <c r="L2682">
        <v>8.5999999999999993E-2</v>
      </c>
      <c r="M2682">
        <v>5</v>
      </c>
      <c r="N2682">
        <v>114</v>
      </c>
      <c r="O2682">
        <v>4</v>
      </c>
      <c r="P2682">
        <v>0.52500000000000002</v>
      </c>
      <c r="Q2682">
        <v>5</v>
      </c>
      <c r="R2682">
        <v>8.0000000000000002E-3</v>
      </c>
      <c r="T2682" s="8" t="s">
        <v>7565</v>
      </c>
    </row>
    <row r="2683" spans="1:20" x14ac:dyDescent="0.2">
      <c r="A2683" t="s">
        <v>7567</v>
      </c>
      <c r="B2683" t="s">
        <v>2022</v>
      </c>
      <c r="C2683" t="s">
        <v>2023</v>
      </c>
      <c r="D2683" t="s">
        <v>2024</v>
      </c>
      <c r="E2683" t="s">
        <v>280</v>
      </c>
      <c r="F2683" t="s">
        <v>7568</v>
      </c>
      <c r="G2683">
        <v>1</v>
      </c>
      <c r="H2683">
        <v>1480</v>
      </c>
      <c r="I2683">
        <v>1</v>
      </c>
      <c r="J2683">
        <v>0.9</v>
      </c>
      <c r="K2683">
        <v>2</v>
      </c>
      <c r="L2683">
        <v>2.5999999999999999E-2</v>
      </c>
      <c r="M2683">
        <v>1</v>
      </c>
      <c r="N2683">
        <v>74</v>
      </c>
      <c r="O2683">
        <v>1</v>
      </c>
      <c r="P2683">
        <v>7.4999999999999997E-2</v>
      </c>
      <c r="Q2683">
        <v>2</v>
      </c>
      <c r="R2683">
        <v>2E-3</v>
      </c>
      <c r="T2683" s="8" t="s">
        <v>280</v>
      </c>
    </row>
    <row r="2684" spans="1:20" x14ac:dyDescent="0.2">
      <c r="A2684" t="s">
        <v>7569</v>
      </c>
      <c r="B2684" t="s">
        <v>2022</v>
      </c>
      <c r="C2684" t="s">
        <v>2023</v>
      </c>
      <c r="D2684" t="s">
        <v>2024</v>
      </c>
      <c r="E2684" t="s">
        <v>7570</v>
      </c>
      <c r="F2684" t="s">
        <v>7571</v>
      </c>
      <c r="G2684">
        <v>5</v>
      </c>
      <c r="H2684">
        <v>1800</v>
      </c>
      <c r="I2684">
        <v>2</v>
      </c>
      <c r="J2684">
        <v>3.4</v>
      </c>
      <c r="K2684">
        <v>2</v>
      </c>
      <c r="L2684">
        <v>2.5999999999999999E-2</v>
      </c>
      <c r="M2684">
        <v>2</v>
      </c>
      <c r="N2684">
        <v>84</v>
      </c>
      <c r="O2684">
        <v>1</v>
      </c>
      <c r="P2684">
        <v>7.4999999999999997E-2</v>
      </c>
      <c r="Q2684">
        <v>1</v>
      </c>
      <c r="R2684">
        <v>5.0000000000000001E-4</v>
      </c>
      <c r="T2684" s="8" t="s">
        <v>7570</v>
      </c>
    </row>
    <row r="2685" spans="1:20" x14ac:dyDescent="0.2">
      <c r="A2685" t="s">
        <v>7572</v>
      </c>
      <c r="B2685" t="s">
        <v>2022</v>
      </c>
      <c r="C2685" t="s">
        <v>2023</v>
      </c>
      <c r="D2685" t="s">
        <v>2024</v>
      </c>
      <c r="E2685" t="s">
        <v>7573</v>
      </c>
      <c r="F2685" t="s">
        <v>7574</v>
      </c>
      <c r="G2685">
        <v>2</v>
      </c>
      <c r="H2685">
        <v>1560</v>
      </c>
      <c r="I2685">
        <v>2</v>
      </c>
      <c r="J2685">
        <v>3.4</v>
      </c>
      <c r="K2685">
        <v>5</v>
      </c>
      <c r="L2685">
        <v>8.5999999999999993E-2</v>
      </c>
      <c r="M2685">
        <v>2</v>
      </c>
      <c r="N2685">
        <v>84</v>
      </c>
      <c r="O2685">
        <v>2</v>
      </c>
      <c r="P2685">
        <v>0.22500000000000001</v>
      </c>
      <c r="Q2685">
        <v>4</v>
      </c>
      <c r="R2685">
        <v>6.0000000000000001E-3</v>
      </c>
      <c r="T2685" s="8" t="s">
        <v>7573</v>
      </c>
    </row>
    <row r="2686" spans="1:20" x14ac:dyDescent="0.2">
      <c r="A2686" t="s">
        <v>7575</v>
      </c>
      <c r="B2686" t="s">
        <v>2022</v>
      </c>
      <c r="C2686" t="s">
        <v>2023</v>
      </c>
      <c r="D2686" t="s">
        <v>2024</v>
      </c>
      <c r="E2686" t="s">
        <v>7576</v>
      </c>
      <c r="F2686" t="s">
        <v>7577</v>
      </c>
      <c r="G2686">
        <v>3</v>
      </c>
      <c r="H2686">
        <v>1640</v>
      </c>
      <c r="I2686">
        <v>5</v>
      </c>
      <c r="J2686">
        <v>10.9</v>
      </c>
      <c r="K2686">
        <v>5</v>
      </c>
      <c r="L2686">
        <v>8.5999999999999993E-2</v>
      </c>
      <c r="M2686">
        <v>3</v>
      </c>
      <c r="N2686">
        <v>94</v>
      </c>
      <c r="O2686">
        <v>5</v>
      </c>
      <c r="P2686">
        <v>0.67500000000000004</v>
      </c>
      <c r="Q2686">
        <v>5</v>
      </c>
      <c r="R2686">
        <v>8.0000000000000002E-3</v>
      </c>
      <c r="T2686" s="8" t="s">
        <v>7576</v>
      </c>
    </row>
    <row r="2687" spans="1:20" x14ac:dyDescent="0.2">
      <c r="A2687" t="s">
        <v>7578</v>
      </c>
      <c r="B2687" t="s">
        <v>2022</v>
      </c>
      <c r="C2687" t="s">
        <v>2023</v>
      </c>
      <c r="D2687" t="s">
        <v>2024</v>
      </c>
      <c r="E2687" t="s">
        <v>7579</v>
      </c>
      <c r="F2687" t="s">
        <v>7580</v>
      </c>
      <c r="G2687">
        <v>4</v>
      </c>
      <c r="H2687">
        <v>1720</v>
      </c>
      <c r="I2687">
        <v>5</v>
      </c>
      <c r="J2687">
        <v>10.9</v>
      </c>
      <c r="K2687">
        <v>5</v>
      </c>
      <c r="L2687">
        <v>8.5999999999999993E-2</v>
      </c>
      <c r="M2687">
        <v>3</v>
      </c>
      <c r="N2687">
        <v>94</v>
      </c>
      <c r="O2687">
        <v>5</v>
      </c>
      <c r="P2687">
        <v>0.67500000000000004</v>
      </c>
      <c r="Q2687">
        <v>5</v>
      </c>
      <c r="R2687">
        <v>8.0000000000000002E-3</v>
      </c>
      <c r="T2687" s="8" t="s">
        <v>7579</v>
      </c>
    </row>
    <row r="2688" spans="1:20" x14ac:dyDescent="0.2">
      <c r="A2688" t="s">
        <v>7581</v>
      </c>
      <c r="B2688" t="s">
        <v>2022</v>
      </c>
      <c r="C2688" t="s">
        <v>2023</v>
      </c>
      <c r="D2688" t="s">
        <v>2024</v>
      </c>
      <c r="E2688" t="s">
        <v>7582</v>
      </c>
      <c r="F2688" t="s">
        <v>7583</v>
      </c>
      <c r="G2688">
        <v>4</v>
      </c>
      <c r="H2688">
        <v>1720</v>
      </c>
      <c r="I2688">
        <v>1</v>
      </c>
      <c r="J2688">
        <v>0.9</v>
      </c>
      <c r="K2688">
        <v>1</v>
      </c>
      <c r="L2688">
        <v>6.0000000000000001E-3</v>
      </c>
      <c r="M2688">
        <v>4</v>
      </c>
      <c r="N2688">
        <v>104</v>
      </c>
      <c r="O2688">
        <v>1</v>
      </c>
      <c r="P2688">
        <v>7.4999999999999997E-2</v>
      </c>
      <c r="Q2688">
        <v>1</v>
      </c>
      <c r="R2688">
        <v>5.0000000000000001E-4</v>
      </c>
      <c r="T2688" s="8" t="s">
        <v>7582</v>
      </c>
    </row>
    <row r="2689" spans="1:20" x14ac:dyDescent="0.2">
      <c r="A2689" t="s">
        <v>7584</v>
      </c>
      <c r="B2689" t="s">
        <v>2022</v>
      </c>
      <c r="C2689" t="s">
        <v>2036</v>
      </c>
      <c r="D2689" t="s">
        <v>2024</v>
      </c>
      <c r="E2689" t="s">
        <v>7585</v>
      </c>
      <c r="F2689" t="s">
        <v>7586</v>
      </c>
      <c r="G2689">
        <v>3</v>
      </c>
      <c r="H2689">
        <v>1740</v>
      </c>
      <c r="I2689">
        <v>5</v>
      </c>
      <c r="J2689">
        <v>7</v>
      </c>
      <c r="K2689">
        <v>5</v>
      </c>
      <c r="L2689">
        <v>0.17499999999999999</v>
      </c>
      <c r="M2689">
        <v>3</v>
      </c>
      <c r="N2689">
        <v>88</v>
      </c>
      <c r="O2689">
        <v>4</v>
      </c>
      <c r="P2689">
        <v>0.42499999999999999</v>
      </c>
      <c r="Q2689">
        <v>5</v>
      </c>
      <c r="R2689">
        <v>1.2E-2</v>
      </c>
      <c r="T2689" s="8" t="s">
        <v>7585</v>
      </c>
    </row>
    <row r="2690" spans="1:20" x14ac:dyDescent="0.2">
      <c r="A2690" t="s">
        <v>7587</v>
      </c>
      <c r="B2690" t="s">
        <v>2022</v>
      </c>
      <c r="C2690" t="s">
        <v>2023</v>
      </c>
      <c r="D2690" t="s">
        <v>2024</v>
      </c>
      <c r="E2690" t="s">
        <v>7588</v>
      </c>
      <c r="F2690" t="s">
        <v>7589</v>
      </c>
      <c r="G2690">
        <v>4</v>
      </c>
      <c r="H2690">
        <v>1720</v>
      </c>
      <c r="I2690">
        <v>1</v>
      </c>
      <c r="J2690">
        <v>0.9</v>
      </c>
      <c r="K2690">
        <v>2</v>
      </c>
      <c r="L2690">
        <v>2.5999999999999999E-2</v>
      </c>
      <c r="M2690">
        <v>4</v>
      </c>
      <c r="N2690">
        <v>104</v>
      </c>
      <c r="O2690">
        <v>1</v>
      </c>
      <c r="P2690">
        <v>7.4999999999999997E-2</v>
      </c>
      <c r="Q2690">
        <v>2</v>
      </c>
      <c r="R2690">
        <v>2E-3</v>
      </c>
      <c r="T2690" s="8" t="s">
        <v>7588</v>
      </c>
    </row>
    <row r="2691" spans="1:20" x14ac:dyDescent="0.2">
      <c r="A2691" t="s">
        <v>7590</v>
      </c>
      <c r="B2691" t="s">
        <v>2022</v>
      </c>
      <c r="C2691" t="s">
        <v>2036</v>
      </c>
      <c r="D2691" t="s">
        <v>2024</v>
      </c>
      <c r="E2691" t="s">
        <v>7591</v>
      </c>
      <c r="F2691" t="s">
        <v>7592</v>
      </c>
      <c r="G2691">
        <v>4</v>
      </c>
      <c r="H2691">
        <v>1840</v>
      </c>
      <c r="I2691">
        <v>5</v>
      </c>
      <c r="J2691">
        <v>7</v>
      </c>
      <c r="K2691">
        <v>5</v>
      </c>
      <c r="L2691">
        <v>0.17499999999999999</v>
      </c>
      <c r="M2691">
        <v>3</v>
      </c>
      <c r="N2691">
        <v>88</v>
      </c>
      <c r="O2691">
        <v>4</v>
      </c>
      <c r="P2691">
        <v>0.42499999999999999</v>
      </c>
      <c r="Q2691">
        <v>5</v>
      </c>
      <c r="R2691">
        <v>1.2E-2</v>
      </c>
      <c r="T2691" s="8" t="s">
        <v>7591</v>
      </c>
    </row>
    <row r="2692" spans="1:20" x14ac:dyDescent="0.2">
      <c r="A2692" t="s">
        <v>7593</v>
      </c>
      <c r="B2692" t="s">
        <v>2022</v>
      </c>
      <c r="C2692" t="s">
        <v>2049</v>
      </c>
      <c r="D2692" t="s">
        <v>2024</v>
      </c>
      <c r="E2692" t="s">
        <v>7594</v>
      </c>
      <c r="F2692" t="s">
        <v>7595</v>
      </c>
      <c r="G2692">
        <v>2</v>
      </c>
      <c r="H2692">
        <v>1450</v>
      </c>
      <c r="I2692">
        <v>1</v>
      </c>
      <c r="J2692">
        <v>1.4</v>
      </c>
      <c r="K2692">
        <v>2</v>
      </c>
      <c r="L2692">
        <v>0.06</v>
      </c>
      <c r="M2692">
        <v>5</v>
      </c>
      <c r="N2692">
        <v>166</v>
      </c>
      <c r="O2692">
        <v>2</v>
      </c>
      <c r="P2692">
        <v>0.26</v>
      </c>
      <c r="Q2692">
        <v>2</v>
      </c>
      <c r="R2692">
        <v>6.1999999999999998E-3</v>
      </c>
      <c r="T2692" s="8" t="s">
        <v>7594</v>
      </c>
    </row>
    <row r="2693" spans="1:20" x14ac:dyDescent="0.2">
      <c r="A2693" t="s">
        <v>7596</v>
      </c>
      <c r="B2693" t="s">
        <v>2022</v>
      </c>
      <c r="C2693" t="s">
        <v>2053</v>
      </c>
      <c r="D2693" t="s">
        <v>2136</v>
      </c>
      <c r="E2693" t="s">
        <v>357</v>
      </c>
      <c r="F2693" t="s">
        <v>7597</v>
      </c>
      <c r="G2693">
        <v>5</v>
      </c>
      <c r="H2693">
        <v>1900</v>
      </c>
      <c r="I2693">
        <v>3</v>
      </c>
      <c r="J2693">
        <v>6.55</v>
      </c>
      <c r="K2693">
        <v>3</v>
      </c>
      <c r="L2693">
        <v>0.19500000000000001</v>
      </c>
      <c r="M2693">
        <v>2</v>
      </c>
      <c r="N2693">
        <v>83</v>
      </c>
      <c r="O2693">
        <v>3</v>
      </c>
      <c r="P2693">
        <v>0.375</v>
      </c>
      <c r="Q2693">
        <v>3</v>
      </c>
      <c r="R2693">
        <v>1.2200000000000001E-2</v>
      </c>
      <c r="T2693" s="8" t="s">
        <v>357</v>
      </c>
    </row>
    <row r="2694" spans="1:20" x14ac:dyDescent="0.2">
      <c r="A2694" t="s">
        <v>7598</v>
      </c>
      <c r="B2694" t="s">
        <v>2022</v>
      </c>
      <c r="C2694" t="s">
        <v>2257</v>
      </c>
      <c r="D2694" t="s">
        <v>2024</v>
      </c>
      <c r="E2694" t="s">
        <v>357</v>
      </c>
      <c r="F2694" t="s">
        <v>447</v>
      </c>
      <c r="G2694">
        <v>1</v>
      </c>
      <c r="H2694">
        <v>900</v>
      </c>
      <c r="I2694">
        <v>4</v>
      </c>
      <c r="J2694">
        <v>4.3499999999999996</v>
      </c>
      <c r="K2694">
        <v>2</v>
      </c>
      <c r="L2694">
        <v>3.6999999999999998E-2</v>
      </c>
      <c r="M2694">
        <v>3</v>
      </c>
      <c r="N2694">
        <v>700</v>
      </c>
      <c r="O2694">
        <v>5</v>
      </c>
      <c r="P2694">
        <v>2.7</v>
      </c>
      <c r="Q2694">
        <v>2</v>
      </c>
      <c r="R2694">
        <v>1.4999999999999999E-2</v>
      </c>
      <c r="T2694" s="8" t="s">
        <v>357</v>
      </c>
    </row>
    <row r="2695" spans="1:20" x14ac:dyDescent="0.2">
      <c r="A2695" t="s">
        <v>7599</v>
      </c>
      <c r="B2695" t="s">
        <v>2022</v>
      </c>
      <c r="C2695" t="s">
        <v>2036</v>
      </c>
      <c r="D2695" t="s">
        <v>2024</v>
      </c>
      <c r="E2695" t="s">
        <v>7600</v>
      </c>
      <c r="F2695" t="s">
        <v>7601</v>
      </c>
      <c r="G2695">
        <v>3</v>
      </c>
      <c r="H2695">
        <v>1740</v>
      </c>
      <c r="I2695">
        <v>5</v>
      </c>
      <c r="J2695">
        <v>7</v>
      </c>
      <c r="K2695">
        <v>5</v>
      </c>
      <c r="L2695">
        <v>0.17499999999999999</v>
      </c>
      <c r="M2695">
        <v>2</v>
      </c>
      <c r="N2695">
        <v>82</v>
      </c>
      <c r="O2695">
        <v>4</v>
      </c>
      <c r="P2695">
        <v>0.42499999999999999</v>
      </c>
      <c r="Q2695">
        <v>5</v>
      </c>
      <c r="R2695">
        <v>1.2E-2</v>
      </c>
      <c r="T2695" s="8" t="s">
        <v>7600</v>
      </c>
    </row>
    <row r="2696" spans="1:20" x14ac:dyDescent="0.2">
      <c r="A2696" t="s">
        <v>7602</v>
      </c>
      <c r="B2696" t="s">
        <v>2022</v>
      </c>
      <c r="C2696" t="s">
        <v>2023</v>
      </c>
      <c r="D2696" t="s">
        <v>2024</v>
      </c>
      <c r="E2696" t="s">
        <v>7603</v>
      </c>
      <c r="F2696" t="s">
        <v>7604</v>
      </c>
      <c r="G2696">
        <v>3</v>
      </c>
      <c r="H2696">
        <v>1640</v>
      </c>
      <c r="I2696">
        <v>2</v>
      </c>
      <c r="J2696">
        <v>3.4</v>
      </c>
      <c r="K2696">
        <v>2</v>
      </c>
      <c r="L2696">
        <v>2.5999999999999999E-2</v>
      </c>
      <c r="M2696">
        <v>2</v>
      </c>
      <c r="N2696">
        <v>84</v>
      </c>
      <c r="O2696">
        <v>2</v>
      </c>
      <c r="P2696">
        <v>0.22500000000000001</v>
      </c>
      <c r="Q2696">
        <v>1</v>
      </c>
      <c r="R2696">
        <v>5.0000000000000001E-4</v>
      </c>
      <c r="T2696" s="8" t="s">
        <v>7603</v>
      </c>
    </row>
    <row r="2697" spans="1:20" x14ac:dyDescent="0.2">
      <c r="A2697" t="s">
        <v>7605</v>
      </c>
      <c r="B2697" t="s">
        <v>2022</v>
      </c>
      <c r="C2697" t="s">
        <v>2023</v>
      </c>
      <c r="D2697" t="s">
        <v>2024</v>
      </c>
      <c r="E2697" t="s">
        <v>7606</v>
      </c>
      <c r="F2697" t="s">
        <v>7607</v>
      </c>
      <c r="G2697">
        <v>5</v>
      </c>
      <c r="H2697">
        <v>1800</v>
      </c>
      <c r="I2697">
        <v>2</v>
      </c>
      <c r="J2697">
        <v>3.4</v>
      </c>
      <c r="K2697">
        <v>2</v>
      </c>
      <c r="L2697">
        <v>2.5999999999999999E-2</v>
      </c>
      <c r="M2697">
        <v>3</v>
      </c>
      <c r="N2697">
        <v>94</v>
      </c>
      <c r="O2697">
        <v>2</v>
      </c>
      <c r="P2697">
        <v>0.22500000000000001</v>
      </c>
      <c r="Q2697">
        <v>2</v>
      </c>
      <c r="R2697">
        <v>2E-3</v>
      </c>
      <c r="T2697" s="8" t="s">
        <v>7606</v>
      </c>
    </row>
    <row r="2698" spans="1:20" x14ac:dyDescent="0.2">
      <c r="A2698" t="s">
        <v>7608</v>
      </c>
      <c r="B2698" t="s">
        <v>2022</v>
      </c>
      <c r="C2698" t="s">
        <v>2023</v>
      </c>
      <c r="D2698" t="s">
        <v>2136</v>
      </c>
      <c r="E2698" t="s">
        <v>7609</v>
      </c>
      <c r="F2698" t="s">
        <v>7610</v>
      </c>
      <c r="G2698">
        <v>4</v>
      </c>
      <c r="H2698">
        <v>1720</v>
      </c>
      <c r="I2698">
        <v>2</v>
      </c>
      <c r="J2698">
        <v>3.4</v>
      </c>
      <c r="K2698">
        <v>4</v>
      </c>
      <c r="L2698">
        <v>6.6000000000000003E-2</v>
      </c>
      <c r="M2698">
        <v>2</v>
      </c>
      <c r="N2698">
        <v>84</v>
      </c>
      <c r="O2698">
        <v>1</v>
      </c>
      <c r="P2698">
        <v>7.4999999999999997E-2</v>
      </c>
      <c r="Q2698">
        <v>3</v>
      </c>
      <c r="R2698">
        <v>4.0000000000000001E-3</v>
      </c>
      <c r="T2698" s="8" t="s">
        <v>7609</v>
      </c>
    </row>
    <row r="2699" spans="1:20" x14ac:dyDescent="0.2">
      <c r="A2699" t="s">
        <v>7611</v>
      </c>
      <c r="B2699" t="s">
        <v>2022</v>
      </c>
      <c r="C2699" t="s">
        <v>2053</v>
      </c>
      <c r="D2699" t="s">
        <v>2024</v>
      </c>
      <c r="E2699" t="s">
        <v>7612</v>
      </c>
      <c r="F2699" t="s">
        <v>7613</v>
      </c>
      <c r="G2699">
        <v>1</v>
      </c>
      <c r="H2699">
        <v>1500</v>
      </c>
      <c r="I2699">
        <v>1</v>
      </c>
      <c r="J2699">
        <v>1.55</v>
      </c>
      <c r="K2699">
        <v>1</v>
      </c>
      <c r="L2699">
        <v>1.4999999999999999E-2</v>
      </c>
      <c r="M2699">
        <v>1</v>
      </c>
      <c r="N2699">
        <v>73</v>
      </c>
      <c r="O2699">
        <v>1</v>
      </c>
      <c r="P2699">
        <v>7.4999999999999997E-2</v>
      </c>
      <c r="Q2699">
        <v>1</v>
      </c>
      <c r="R2699">
        <v>8.4999999999999995E-4</v>
      </c>
      <c r="T2699" s="8" t="s">
        <v>7612</v>
      </c>
    </row>
    <row r="2700" spans="1:20" x14ac:dyDescent="0.2">
      <c r="A2700" t="s">
        <v>7614</v>
      </c>
      <c r="B2700" t="s">
        <v>2022</v>
      </c>
      <c r="C2700" t="s">
        <v>2095</v>
      </c>
      <c r="D2700" t="s">
        <v>2024</v>
      </c>
      <c r="E2700" t="s">
        <v>7615</v>
      </c>
      <c r="F2700" t="s">
        <v>7616</v>
      </c>
      <c r="G2700">
        <v>1</v>
      </c>
      <c r="H2700">
        <v>1565</v>
      </c>
      <c r="I2700">
        <v>1</v>
      </c>
      <c r="J2700">
        <v>4.5</v>
      </c>
      <c r="K2700">
        <v>1</v>
      </c>
      <c r="L2700">
        <v>1.4999999999999999E-2</v>
      </c>
      <c r="M2700">
        <v>1</v>
      </c>
      <c r="N2700">
        <v>74</v>
      </c>
      <c r="O2700">
        <v>1</v>
      </c>
      <c r="P2700">
        <v>0.15</v>
      </c>
      <c r="Q2700">
        <v>1</v>
      </c>
      <c r="R2700">
        <v>6.9999999999999999E-4</v>
      </c>
      <c r="T2700" s="8" t="s">
        <v>7615</v>
      </c>
    </row>
    <row r="2701" spans="1:20" x14ac:dyDescent="0.2">
      <c r="A2701" t="s">
        <v>7617</v>
      </c>
      <c r="B2701" t="s">
        <v>2022</v>
      </c>
      <c r="C2701" t="s">
        <v>2049</v>
      </c>
      <c r="D2701" t="s">
        <v>2024</v>
      </c>
      <c r="E2701" t="s">
        <v>7618</v>
      </c>
      <c r="F2701" t="s">
        <v>7619</v>
      </c>
      <c r="G2701">
        <v>2</v>
      </c>
      <c r="H2701">
        <v>1450</v>
      </c>
      <c r="I2701">
        <v>3</v>
      </c>
      <c r="J2701">
        <v>5</v>
      </c>
      <c r="K2701">
        <v>3</v>
      </c>
      <c r="L2701">
        <v>0.14000000000000001</v>
      </c>
      <c r="M2701">
        <v>2</v>
      </c>
      <c r="N2701">
        <v>106</v>
      </c>
      <c r="O2701">
        <v>2</v>
      </c>
      <c r="P2701">
        <v>0.26</v>
      </c>
      <c r="Q2701">
        <v>2</v>
      </c>
      <c r="R2701">
        <v>6.1999999999999998E-3</v>
      </c>
      <c r="T2701" s="8" t="s">
        <v>7618</v>
      </c>
    </row>
    <row r="2702" spans="1:20" x14ac:dyDescent="0.2">
      <c r="A2702" t="s">
        <v>7620</v>
      </c>
      <c r="B2702" t="s">
        <v>2022</v>
      </c>
      <c r="C2702" t="s">
        <v>2053</v>
      </c>
      <c r="D2702" t="s">
        <v>2024</v>
      </c>
      <c r="E2702" t="s">
        <v>7621</v>
      </c>
      <c r="F2702" t="s">
        <v>447</v>
      </c>
      <c r="G2702">
        <v>5</v>
      </c>
      <c r="H2702">
        <v>1900</v>
      </c>
      <c r="I2702">
        <v>2</v>
      </c>
      <c r="J2702">
        <v>4.05</v>
      </c>
      <c r="K2702">
        <v>2</v>
      </c>
      <c r="L2702">
        <v>8.5000000000000006E-2</v>
      </c>
      <c r="M2702">
        <v>2</v>
      </c>
      <c r="N2702">
        <v>83</v>
      </c>
      <c r="O2702">
        <v>2</v>
      </c>
      <c r="P2702">
        <v>0.22500000000000001</v>
      </c>
      <c r="Q2702">
        <v>2</v>
      </c>
      <c r="R2702">
        <v>5.1999999999999998E-3</v>
      </c>
      <c r="T2702" s="8" t="s">
        <v>7621</v>
      </c>
    </row>
    <row r="2703" spans="1:20" x14ac:dyDescent="0.2">
      <c r="A2703" t="s">
        <v>7622</v>
      </c>
      <c r="B2703" t="s">
        <v>2022</v>
      </c>
      <c r="C2703" t="s">
        <v>2036</v>
      </c>
      <c r="D2703" t="s">
        <v>2024</v>
      </c>
      <c r="E2703" t="s">
        <v>7623</v>
      </c>
      <c r="F2703" t="s">
        <v>7624</v>
      </c>
      <c r="G2703">
        <v>1</v>
      </c>
      <c r="H2703">
        <v>1540</v>
      </c>
      <c r="I2703">
        <v>1</v>
      </c>
      <c r="J2703">
        <v>2.2000000000000002</v>
      </c>
      <c r="K2703">
        <v>1</v>
      </c>
      <c r="L2703">
        <v>5.5E-2</v>
      </c>
      <c r="M2703">
        <v>1</v>
      </c>
      <c r="N2703">
        <v>76</v>
      </c>
      <c r="O2703">
        <v>1</v>
      </c>
      <c r="P2703">
        <v>9.5000000000000001E-2</v>
      </c>
      <c r="Q2703">
        <v>1</v>
      </c>
      <c r="R2703">
        <v>1.5E-3</v>
      </c>
      <c r="T2703" s="8" t="s">
        <v>7623</v>
      </c>
    </row>
    <row r="2704" spans="1:20" x14ac:dyDescent="0.2">
      <c r="A2704" t="s">
        <v>7625</v>
      </c>
      <c r="B2704" t="s">
        <v>2022</v>
      </c>
      <c r="C2704" t="s">
        <v>2028</v>
      </c>
      <c r="D2704" t="s">
        <v>2024</v>
      </c>
      <c r="E2704" t="s">
        <v>7626</v>
      </c>
      <c r="F2704" t="s">
        <v>7627</v>
      </c>
      <c r="G2704">
        <v>5</v>
      </c>
      <c r="H2704">
        <v>1450</v>
      </c>
      <c r="I2704">
        <v>3</v>
      </c>
      <c r="J2704">
        <v>3.25</v>
      </c>
      <c r="K2704">
        <v>2</v>
      </c>
      <c r="L2704">
        <v>4.4999999999999998E-2</v>
      </c>
      <c r="M2704">
        <v>1</v>
      </c>
      <c r="N2704">
        <v>100</v>
      </c>
      <c r="O2704">
        <v>1</v>
      </c>
      <c r="P2704">
        <v>0.15</v>
      </c>
      <c r="Q2704">
        <v>1</v>
      </c>
      <c r="R2704">
        <v>1.75E-3</v>
      </c>
      <c r="T2704" s="8" t="s">
        <v>7626</v>
      </c>
    </row>
    <row r="2705" spans="1:20" x14ac:dyDescent="0.2">
      <c r="A2705" t="s">
        <v>7628</v>
      </c>
      <c r="B2705" t="s">
        <v>2022</v>
      </c>
      <c r="C2705" t="s">
        <v>2028</v>
      </c>
      <c r="D2705" t="s">
        <v>2024</v>
      </c>
      <c r="E2705" t="s">
        <v>1588</v>
      </c>
      <c r="F2705" t="s">
        <v>7629</v>
      </c>
      <c r="G2705">
        <v>5</v>
      </c>
      <c r="H2705">
        <v>1450</v>
      </c>
      <c r="I2705">
        <v>5</v>
      </c>
      <c r="J2705">
        <v>6.65</v>
      </c>
      <c r="K2705">
        <v>4</v>
      </c>
      <c r="L2705">
        <v>0.193</v>
      </c>
      <c r="M2705">
        <v>1</v>
      </c>
      <c r="N2705">
        <v>100</v>
      </c>
      <c r="O2705">
        <v>2</v>
      </c>
      <c r="P2705">
        <v>0.45</v>
      </c>
      <c r="Q2705">
        <v>2</v>
      </c>
      <c r="R2705">
        <v>7.7499999999999999E-3</v>
      </c>
      <c r="T2705" s="8" t="s">
        <v>1588</v>
      </c>
    </row>
    <row r="2706" spans="1:20" x14ac:dyDescent="0.2">
      <c r="A2706" t="s">
        <v>7630</v>
      </c>
      <c r="B2706" t="s">
        <v>2022</v>
      </c>
      <c r="C2706" t="s">
        <v>2023</v>
      </c>
      <c r="D2706" t="s">
        <v>2024</v>
      </c>
      <c r="E2706" t="s">
        <v>7631</v>
      </c>
      <c r="F2706" t="s">
        <v>7632</v>
      </c>
      <c r="G2706">
        <v>4</v>
      </c>
      <c r="H2706">
        <v>1720</v>
      </c>
      <c r="I2706">
        <v>4</v>
      </c>
      <c r="J2706">
        <v>8.4</v>
      </c>
      <c r="K2706">
        <v>5</v>
      </c>
      <c r="L2706">
        <v>8.5999999999999993E-2</v>
      </c>
      <c r="M2706">
        <v>5</v>
      </c>
      <c r="N2706">
        <v>114</v>
      </c>
      <c r="O2706">
        <v>5</v>
      </c>
      <c r="P2706">
        <v>0.67500000000000004</v>
      </c>
      <c r="Q2706">
        <v>5</v>
      </c>
      <c r="R2706">
        <v>8.0000000000000002E-3</v>
      </c>
      <c r="T2706" s="8" t="s">
        <v>7631</v>
      </c>
    </row>
    <row r="2707" spans="1:20" x14ac:dyDescent="0.2">
      <c r="A2707" t="s">
        <v>7633</v>
      </c>
      <c r="B2707" t="s">
        <v>2022</v>
      </c>
      <c r="C2707" t="s">
        <v>2053</v>
      </c>
      <c r="D2707" t="s">
        <v>2024</v>
      </c>
      <c r="E2707" t="s">
        <v>7634</v>
      </c>
      <c r="F2707" t="s">
        <v>7635</v>
      </c>
      <c r="G2707">
        <v>2</v>
      </c>
      <c r="H2707">
        <v>1600</v>
      </c>
      <c r="I2707">
        <v>1</v>
      </c>
      <c r="J2707">
        <v>1.55</v>
      </c>
      <c r="K2707">
        <v>2</v>
      </c>
      <c r="L2707">
        <v>8.5000000000000006E-2</v>
      </c>
      <c r="M2707">
        <v>1</v>
      </c>
      <c r="N2707">
        <v>73</v>
      </c>
      <c r="O2707">
        <v>1</v>
      </c>
      <c r="P2707">
        <v>7.4999999999999997E-2</v>
      </c>
      <c r="Q2707">
        <v>2</v>
      </c>
      <c r="R2707">
        <v>5.1999999999999998E-3</v>
      </c>
      <c r="T2707" s="8" t="s">
        <v>7634</v>
      </c>
    </row>
    <row r="2708" spans="1:20" x14ac:dyDescent="0.2">
      <c r="A2708" t="s">
        <v>7636</v>
      </c>
      <c r="B2708" t="s">
        <v>2022</v>
      </c>
      <c r="C2708" t="s">
        <v>2023</v>
      </c>
      <c r="D2708" t="s">
        <v>2024</v>
      </c>
      <c r="E2708" t="s">
        <v>7637</v>
      </c>
      <c r="F2708" t="s">
        <v>7638</v>
      </c>
      <c r="G2708">
        <v>2</v>
      </c>
      <c r="H2708">
        <v>1560</v>
      </c>
      <c r="I2708">
        <v>5</v>
      </c>
      <c r="J2708">
        <v>10.9</v>
      </c>
      <c r="K2708">
        <v>5</v>
      </c>
      <c r="L2708">
        <v>8.5999999999999993E-2</v>
      </c>
      <c r="M2708">
        <v>1</v>
      </c>
      <c r="N2708">
        <v>74</v>
      </c>
      <c r="O2708">
        <v>5</v>
      </c>
      <c r="P2708">
        <v>0.67500000000000004</v>
      </c>
      <c r="Q2708">
        <v>5</v>
      </c>
      <c r="R2708">
        <v>8.0000000000000002E-3</v>
      </c>
      <c r="T2708" s="8" t="s">
        <v>7637</v>
      </c>
    </row>
    <row r="2709" spans="1:20" x14ac:dyDescent="0.2">
      <c r="A2709" t="s">
        <v>7639</v>
      </c>
      <c r="B2709" t="s">
        <v>2022</v>
      </c>
      <c r="C2709" t="s">
        <v>2053</v>
      </c>
      <c r="D2709" t="s">
        <v>2024</v>
      </c>
      <c r="E2709" t="s">
        <v>7640</v>
      </c>
      <c r="F2709" t="s">
        <v>7641</v>
      </c>
      <c r="G2709">
        <v>1</v>
      </c>
      <c r="H2709">
        <v>1500</v>
      </c>
      <c r="I2709">
        <v>2</v>
      </c>
      <c r="J2709">
        <v>4.05</v>
      </c>
      <c r="K2709">
        <v>1</v>
      </c>
      <c r="L2709">
        <v>1.4999999999999999E-2</v>
      </c>
      <c r="M2709">
        <v>5</v>
      </c>
      <c r="N2709">
        <v>113</v>
      </c>
      <c r="O2709">
        <v>3</v>
      </c>
      <c r="P2709">
        <v>0.375</v>
      </c>
      <c r="Q2709">
        <v>2</v>
      </c>
      <c r="R2709">
        <v>5.1999999999999998E-3</v>
      </c>
      <c r="T2709" s="8" t="s">
        <v>7640</v>
      </c>
    </row>
    <row r="2710" spans="1:20" x14ac:dyDescent="0.2">
      <c r="A2710" t="s">
        <v>7642</v>
      </c>
      <c r="B2710" t="s">
        <v>2022</v>
      </c>
      <c r="C2710" t="s">
        <v>2023</v>
      </c>
      <c r="D2710" t="s">
        <v>2024</v>
      </c>
      <c r="E2710" t="s">
        <v>7643</v>
      </c>
      <c r="F2710" t="s">
        <v>7644</v>
      </c>
      <c r="G2710">
        <v>2</v>
      </c>
      <c r="H2710">
        <v>1560</v>
      </c>
      <c r="I2710">
        <v>2</v>
      </c>
      <c r="J2710">
        <v>3.4</v>
      </c>
      <c r="K2710">
        <v>3</v>
      </c>
      <c r="L2710">
        <v>4.5999999999999999E-2</v>
      </c>
      <c r="M2710">
        <v>4</v>
      </c>
      <c r="N2710">
        <v>104</v>
      </c>
      <c r="O2710">
        <v>2</v>
      </c>
      <c r="P2710">
        <v>0.22500000000000001</v>
      </c>
      <c r="Q2710">
        <v>2</v>
      </c>
      <c r="R2710">
        <v>2E-3</v>
      </c>
      <c r="T2710" s="8" t="s">
        <v>7643</v>
      </c>
    </row>
    <row r="2711" spans="1:20" x14ac:dyDescent="0.2">
      <c r="A2711" t="s">
        <v>7645</v>
      </c>
      <c r="B2711" t="s">
        <v>2022</v>
      </c>
      <c r="C2711" t="s">
        <v>2023</v>
      </c>
      <c r="D2711" t="s">
        <v>2024</v>
      </c>
      <c r="E2711" t="s">
        <v>7646</v>
      </c>
      <c r="F2711" t="s">
        <v>7647</v>
      </c>
      <c r="G2711">
        <v>1</v>
      </c>
      <c r="H2711">
        <v>1480</v>
      </c>
      <c r="I2711">
        <v>2</v>
      </c>
      <c r="J2711">
        <v>3.4</v>
      </c>
      <c r="K2711">
        <v>2</v>
      </c>
      <c r="L2711">
        <v>2.5999999999999999E-2</v>
      </c>
      <c r="M2711">
        <v>3</v>
      </c>
      <c r="N2711">
        <v>94</v>
      </c>
      <c r="O2711">
        <v>3</v>
      </c>
      <c r="P2711">
        <v>0.375</v>
      </c>
      <c r="Q2711">
        <v>2</v>
      </c>
      <c r="R2711">
        <v>2E-3</v>
      </c>
      <c r="T2711" s="8" t="s">
        <v>7646</v>
      </c>
    </row>
    <row r="2712" spans="1:20" x14ac:dyDescent="0.2">
      <c r="A2712" t="s">
        <v>7648</v>
      </c>
      <c r="B2712" t="s">
        <v>2022</v>
      </c>
      <c r="C2712" t="s">
        <v>2036</v>
      </c>
      <c r="D2712" t="s">
        <v>2024</v>
      </c>
      <c r="E2712" t="s">
        <v>7649</v>
      </c>
      <c r="F2712" t="s">
        <v>7650</v>
      </c>
      <c r="G2712">
        <v>5</v>
      </c>
      <c r="H2712">
        <v>1940</v>
      </c>
      <c r="I2712">
        <v>1</v>
      </c>
      <c r="J2712">
        <v>2.2000000000000002</v>
      </c>
      <c r="K2712">
        <v>2</v>
      </c>
      <c r="L2712">
        <v>8.5000000000000006E-2</v>
      </c>
      <c r="M2712">
        <v>3</v>
      </c>
      <c r="N2712">
        <v>88</v>
      </c>
      <c r="O2712">
        <v>1</v>
      </c>
      <c r="P2712">
        <v>9.5000000000000001E-2</v>
      </c>
      <c r="Q2712">
        <v>2</v>
      </c>
      <c r="R2712">
        <v>4.2500000000000003E-3</v>
      </c>
      <c r="T2712" s="8" t="s">
        <v>7649</v>
      </c>
    </row>
    <row r="2713" spans="1:20" x14ac:dyDescent="0.2">
      <c r="A2713" t="s">
        <v>7651</v>
      </c>
      <c r="B2713" t="s">
        <v>2022</v>
      </c>
      <c r="C2713" t="s">
        <v>2036</v>
      </c>
      <c r="D2713" t="s">
        <v>2024</v>
      </c>
      <c r="E2713" t="s">
        <v>7652</v>
      </c>
      <c r="F2713" t="s">
        <v>7653</v>
      </c>
      <c r="G2713">
        <v>3</v>
      </c>
      <c r="H2713">
        <v>1740</v>
      </c>
      <c r="I2713">
        <v>2</v>
      </c>
      <c r="J2713">
        <v>3.4</v>
      </c>
      <c r="K2713">
        <v>2</v>
      </c>
      <c r="L2713">
        <v>8.5000000000000006E-2</v>
      </c>
      <c r="M2713">
        <v>3</v>
      </c>
      <c r="N2713">
        <v>88</v>
      </c>
      <c r="O2713">
        <v>2</v>
      </c>
      <c r="P2713">
        <v>0.20499999999999999</v>
      </c>
      <c r="Q2713">
        <v>2</v>
      </c>
      <c r="R2713">
        <v>4.2500000000000003E-3</v>
      </c>
      <c r="T2713" s="8" t="s">
        <v>7652</v>
      </c>
    </row>
    <row r="2714" spans="1:20" x14ac:dyDescent="0.2">
      <c r="A2714" t="s">
        <v>7654</v>
      </c>
      <c r="B2714" t="s">
        <v>2022</v>
      </c>
      <c r="C2714" t="s">
        <v>2023</v>
      </c>
      <c r="D2714" t="s">
        <v>2024</v>
      </c>
      <c r="E2714" t="s">
        <v>7655</v>
      </c>
      <c r="F2714" t="s">
        <v>7656</v>
      </c>
      <c r="G2714">
        <v>2</v>
      </c>
      <c r="H2714">
        <v>1560</v>
      </c>
      <c r="I2714">
        <v>3</v>
      </c>
      <c r="J2714">
        <v>5.9</v>
      </c>
      <c r="K2714">
        <v>5</v>
      </c>
      <c r="L2714">
        <v>8.5999999999999993E-2</v>
      </c>
      <c r="M2714">
        <v>2</v>
      </c>
      <c r="N2714">
        <v>84</v>
      </c>
      <c r="O2714">
        <v>2</v>
      </c>
      <c r="P2714">
        <v>0.22500000000000001</v>
      </c>
      <c r="Q2714">
        <v>5</v>
      </c>
      <c r="R2714">
        <v>8.0000000000000002E-3</v>
      </c>
      <c r="T2714" s="8" t="s">
        <v>7655</v>
      </c>
    </row>
    <row r="2715" spans="1:20" x14ac:dyDescent="0.2">
      <c r="A2715" t="s">
        <v>7657</v>
      </c>
      <c r="B2715" t="s">
        <v>2022</v>
      </c>
      <c r="C2715" t="s">
        <v>2049</v>
      </c>
      <c r="D2715" t="s">
        <v>2136</v>
      </c>
      <c r="E2715" t="s">
        <v>357</v>
      </c>
      <c r="F2715" t="s">
        <v>447</v>
      </c>
      <c r="G2715">
        <v>2</v>
      </c>
      <c r="H2715">
        <v>1450</v>
      </c>
      <c r="I2715">
        <v>2</v>
      </c>
      <c r="J2715">
        <v>3.2</v>
      </c>
      <c r="K2715">
        <v>2</v>
      </c>
      <c r="L2715">
        <v>0.06</v>
      </c>
      <c r="M2715">
        <v>2</v>
      </c>
      <c r="N2715">
        <v>106</v>
      </c>
      <c r="O2715">
        <v>2</v>
      </c>
      <c r="P2715">
        <v>0.26</v>
      </c>
      <c r="Q2715">
        <v>2</v>
      </c>
      <c r="R2715">
        <v>6.1999999999999998E-3</v>
      </c>
      <c r="T2715" s="8" t="s">
        <v>357</v>
      </c>
    </row>
    <row r="2716" spans="1:20" x14ac:dyDescent="0.2">
      <c r="A2716" t="s">
        <v>7658</v>
      </c>
      <c r="B2716" t="s">
        <v>2022</v>
      </c>
      <c r="C2716" t="s">
        <v>2036</v>
      </c>
      <c r="D2716" t="s">
        <v>2024</v>
      </c>
      <c r="E2716" t="s">
        <v>357</v>
      </c>
      <c r="F2716" t="s">
        <v>7659</v>
      </c>
      <c r="G2716">
        <v>4</v>
      </c>
      <c r="H2716">
        <v>1840</v>
      </c>
      <c r="I2716">
        <v>3</v>
      </c>
      <c r="J2716">
        <v>4.5999999999999996</v>
      </c>
      <c r="K2716">
        <v>2</v>
      </c>
      <c r="L2716">
        <v>8.5000000000000006E-2</v>
      </c>
      <c r="M2716">
        <v>3</v>
      </c>
      <c r="N2716">
        <v>88</v>
      </c>
      <c r="O2716">
        <v>2</v>
      </c>
      <c r="P2716">
        <v>0.20499999999999999</v>
      </c>
      <c r="Q2716">
        <v>2</v>
      </c>
      <c r="R2716">
        <v>4.2500000000000003E-3</v>
      </c>
      <c r="T2716" s="8" t="s">
        <v>357</v>
      </c>
    </row>
    <row r="2717" spans="1:20" x14ac:dyDescent="0.2">
      <c r="A2717" t="s">
        <v>7660</v>
      </c>
      <c r="B2717" t="s">
        <v>2022</v>
      </c>
      <c r="C2717" t="s">
        <v>2023</v>
      </c>
      <c r="D2717" t="s">
        <v>2024</v>
      </c>
      <c r="E2717" t="s">
        <v>7661</v>
      </c>
      <c r="F2717" t="s">
        <v>7662</v>
      </c>
      <c r="G2717">
        <v>5</v>
      </c>
      <c r="H2717">
        <v>1800</v>
      </c>
      <c r="I2717">
        <v>5</v>
      </c>
      <c r="J2717">
        <v>10.9</v>
      </c>
      <c r="K2717">
        <v>5</v>
      </c>
      <c r="L2717">
        <v>8.5999999999999993E-2</v>
      </c>
      <c r="M2717">
        <v>5</v>
      </c>
      <c r="N2717">
        <v>114</v>
      </c>
      <c r="O2717">
        <v>5</v>
      </c>
      <c r="P2717">
        <v>0.67500000000000004</v>
      </c>
      <c r="Q2717">
        <v>5</v>
      </c>
      <c r="R2717">
        <v>8.0000000000000002E-3</v>
      </c>
      <c r="T2717" s="8" t="s">
        <v>7661</v>
      </c>
    </row>
    <row r="2718" spans="1:20" x14ac:dyDescent="0.2">
      <c r="A2718" t="s">
        <v>7663</v>
      </c>
      <c r="B2718" t="s">
        <v>2022</v>
      </c>
      <c r="C2718" t="s">
        <v>2101</v>
      </c>
      <c r="D2718" t="s">
        <v>2024</v>
      </c>
      <c r="E2718" t="s">
        <v>7664</v>
      </c>
      <c r="F2718" t="s">
        <v>7665</v>
      </c>
      <c r="G2718">
        <v>3</v>
      </c>
      <c r="H2718">
        <v>1770</v>
      </c>
      <c r="I2718">
        <v>5</v>
      </c>
      <c r="J2718">
        <v>14</v>
      </c>
      <c r="K2718">
        <v>5</v>
      </c>
      <c r="L2718">
        <v>0.53749999999999998</v>
      </c>
      <c r="M2718">
        <v>3</v>
      </c>
      <c r="N2718">
        <v>82</v>
      </c>
      <c r="O2718">
        <v>5</v>
      </c>
      <c r="P2718">
        <v>0.67500000000000004</v>
      </c>
      <c r="Q2718">
        <v>5</v>
      </c>
      <c r="R2718">
        <v>2.5499999999999998E-2</v>
      </c>
      <c r="T2718" s="8" t="s">
        <v>7664</v>
      </c>
    </row>
    <row r="2719" spans="1:20" x14ac:dyDescent="0.2">
      <c r="A2719" t="s">
        <v>7666</v>
      </c>
      <c r="B2719" t="s">
        <v>2022</v>
      </c>
      <c r="C2719" t="s">
        <v>2053</v>
      </c>
      <c r="D2719" t="s">
        <v>2024</v>
      </c>
      <c r="E2719" t="s">
        <v>7667</v>
      </c>
      <c r="F2719" t="s">
        <v>7668</v>
      </c>
      <c r="G2719">
        <v>2</v>
      </c>
      <c r="H2719">
        <v>1600</v>
      </c>
      <c r="I2719">
        <v>1</v>
      </c>
      <c r="J2719">
        <v>1.55</v>
      </c>
      <c r="K2719">
        <v>2</v>
      </c>
      <c r="L2719">
        <v>8.5000000000000006E-2</v>
      </c>
      <c r="M2719">
        <v>1</v>
      </c>
      <c r="N2719">
        <v>73</v>
      </c>
      <c r="O2719">
        <v>1</v>
      </c>
      <c r="P2719">
        <v>7.4999999999999997E-2</v>
      </c>
      <c r="Q2719">
        <v>1</v>
      </c>
      <c r="R2719">
        <v>8.4999999999999995E-4</v>
      </c>
      <c r="T2719" s="8" t="s">
        <v>7667</v>
      </c>
    </row>
    <row r="2720" spans="1:20" x14ac:dyDescent="0.2">
      <c r="A2720" t="s">
        <v>7669</v>
      </c>
      <c r="B2720" t="s">
        <v>2022</v>
      </c>
      <c r="C2720" t="s">
        <v>2053</v>
      </c>
      <c r="D2720" t="s">
        <v>2024</v>
      </c>
      <c r="E2720" t="s">
        <v>7670</v>
      </c>
      <c r="F2720" t="s">
        <v>7671</v>
      </c>
      <c r="G2720">
        <v>3</v>
      </c>
      <c r="H2720">
        <v>1700</v>
      </c>
      <c r="I2720">
        <v>4</v>
      </c>
      <c r="J2720">
        <v>9.0500000000000007</v>
      </c>
      <c r="K2720">
        <v>1</v>
      </c>
      <c r="L2720">
        <v>1.4999999999999999E-2</v>
      </c>
      <c r="M2720">
        <v>1</v>
      </c>
      <c r="N2720">
        <v>73</v>
      </c>
      <c r="O2720">
        <v>3</v>
      </c>
      <c r="P2720">
        <v>0.375</v>
      </c>
      <c r="Q2720">
        <v>1</v>
      </c>
      <c r="R2720">
        <v>8.4999999999999995E-4</v>
      </c>
      <c r="T2720" s="8" t="s">
        <v>7670</v>
      </c>
    </row>
    <row r="2721" spans="1:20" x14ac:dyDescent="0.2">
      <c r="A2721" t="s">
        <v>7672</v>
      </c>
      <c r="B2721" t="s">
        <v>2022</v>
      </c>
      <c r="C2721" t="s">
        <v>2023</v>
      </c>
      <c r="D2721" t="s">
        <v>2024</v>
      </c>
      <c r="E2721" t="s">
        <v>7673</v>
      </c>
      <c r="F2721" t="s">
        <v>7674</v>
      </c>
      <c r="G2721">
        <v>1</v>
      </c>
      <c r="H2721">
        <v>1480</v>
      </c>
      <c r="I2721">
        <v>4</v>
      </c>
      <c r="J2721">
        <v>8.4</v>
      </c>
      <c r="K2721">
        <v>5</v>
      </c>
      <c r="L2721">
        <v>8.5999999999999993E-2</v>
      </c>
      <c r="M2721">
        <v>2</v>
      </c>
      <c r="N2721">
        <v>84</v>
      </c>
      <c r="O2721">
        <v>3</v>
      </c>
      <c r="P2721">
        <v>0.375</v>
      </c>
      <c r="Q2721">
        <v>5</v>
      </c>
      <c r="R2721">
        <v>8.0000000000000002E-3</v>
      </c>
      <c r="T2721" s="8" t="s">
        <v>7673</v>
      </c>
    </row>
    <row r="2722" spans="1:20" x14ac:dyDescent="0.2">
      <c r="A2722" t="s">
        <v>7675</v>
      </c>
      <c r="B2722" t="s">
        <v>2022</v>
      </c>
      <c r="C2722" t="s">
        <v>2053</v>
      </c>
      <c r="D2722" t="s">
        <v>2024</v>
      </c>
      <c r="E2722" t="s">
        <v>7676</v>
      </c>
      <c r="F2722" t="s">
        <v>7677</v>
      </c>
      <c r="G2722">
        <v>3</v>
      </c>
      <c r="H2722">
        <v>1700</v>
      </c>
      <c r="I2722">
        <v>4</v>
      </c>
      <c r="J2722">
        <v>9.0500000000000007</v>
      </c>
      <c r="K2722">
        <v>5</v>
      </c>
      <c r="L2722">
        <v>0.41499999999999998</v>
      </c>
      <c r="M2722">
        <v>3</v>
      </c>
      <c r="N2722">
        <v>93</v>
      </c>
      <c r="O2722">
        <v>4</v>
      </c>
      <c r="P2722">
        <v>0.52500000000000002</v>
      </c>
      <c r="Q2722">
        <v>5</v>
      </c>
      <c r="R2722">
        <v>2.6200000000000001E-2</v>
      </c>
      <c r="T2722" s="8" t="s">
        <v>7676</v>
      </c>
    </row>
    <row r="2723" spans="1:20" x14ac:dyDescent="0.2">
      <c r="A2723" t="s">
        <v>7678</v>
      </c>
      <c r="B2723" t="s">
        <v>2022</v>
      </c>
      <c r="C2723" t="s">
        <v>2053</v>
      </c>
      <c r="D2723" t="s">
        <v>2136</v>
      </c>
      <c r="E2723" t="s">
        <v>357</v>
      </c>
      <c r="F2723" t="s">
        <v>447</v>
      </c>
      <c r="G2723">
        <v>3</v>
      </c>
      <c r="H2723">
        <v>1700</v>
      </c>
      <c r="I2723">
        <v>3</v>
      </c>
      <c r="J2723">
        <v>6.55</v>
      </c>
      <c r="K2723">
        <v>1</v>
      </c>
      <c r="L2723">
        <v>1.4999999999999999E-2</v>
      </c>
      <c r="M2723">
        <v>5</v>
      </c>
      <c r="N2723">
        <v>113</v>
      </c>
      <c r="O2723">
        <v>3</v>
      </c>
      <c r="P2723">
        <v>0.375</v>
      </c>
      <c r="Q2723">
        <v>2</v>
      </c>
      <c r="R2723">
        <v>5.1999999999999998E-3</v>
      </c>
      <c r="T2723" s="8" t="s">
        <v>357</v>
      </c>
    </row>
    <row r="2724" spans="1:20" x14ac:dyDescent="0.2">
      <c r="A2724" t="s">
        <v>7679</v>
      </c>
      <c r="B2724" t="s">
        <v>2022</v>
      </c>
      <c r="C2724" t="s">
        <v>2053</v>
      </c>
      <c r="D2724" t="s">
        <v>2136</v>
      </c>
      <c r="E2724" t="s">
        <v>357</v>
      </c>
      <c r="F2724" t="s">
        <v>447</v>
      </c>
      <c r="G2724">
        <v>3</v>
      </c>
      <c r="H2724">
        <v>1700</v>
      </c>
      <c r="I2724">
        <v>4</v>
      </c>
      <c r="J2724">
        <v>9.0500000000000007</v>
      </c>
      <c r="K2724">
        <v>2</v>
      </c>
      <c r="L2724">
        <v>8.5000000000000006E-2</v>
      </c>
      <c r="M2724">
        <v>5</v>
      </c>
      <c r="N2724">
        <v>113</v>
      </c>
      <c r="O2724">
        <v>5</v>
      </c>
      <c r="P2724">
        <v>0.67500000000000004</v>
      </c>
      <c r="Q2724">
        <v>2</v>
      </c>
      <c r="R2724">
        <v>5.1999999999999998E-3</v>
      </c>
      <c r="T2724" s="8" t="s">
        <v>357</v>
      </c>
    </row>
    <row r="2725" spans="1:20" x14ac:dyDescent="0.2">
      <c r="A2725" t="s">
        <v>7680</v>
      </c>
      <c r="B2725" t="s">
        <v>2022</v>
      </c>
      <c r="C2725" t="s">
        <v>2257</v>
      </c>
      <c r="D2725" t="s">
        <v>2024</v>
      </c>
      <c r="E2725" t="s">
        <v>357</v>
      </c>
      <c r="F2725" t="s">
        <v>7681</v>
      </c>
      <c r="G2725">
        <v>5</v>
      </c>
      <c r="H2725">
        <v>1300</v>
      </c>
      <c r="I2725">
        <v>1</v>
      </c>
      <c r="J2725">
        <v>0.45</v>
      </c>
      <c r="K2725">
        <v>1</v>
      </c>
      <c r="L2725">
        <v>6.0000000000000001E-3</v>
      </c>
      <c r="M2725">
        <v>5</v>
      </c>
      <c r="N2725">
        <v>1100</v>
      </c>
      <c r="O2725">
        <v>2</v>
      </c>
      <c r="P2725">
        <v>0.9</v>
      </c>
      <c r="Q2725">
        <v>2</v>
      </c>
      <c r="R2725">
        <v>1.4999999999999999E-2</v>
      </c>
      <c r="T2725" s="8" t="s">
        <v>357</v>
      </c>
    </row>
    <row r="2726" spans="1:20" x14ac:dyDescent="0.2">
      <c r="A2726" t="s">
        <v>7682</v>
      </c>
      <c r="B2726" t="s">
        <v>2022</v>
      </c>
      <c r="C2726" t="s">
        <v>2049</v>
      </c>
      <c r="D2726" t="s">
        <v>2024</v>
      </c>
      <c r="E2726" t="s">
        <v>357</v>
      </c>
      <c r="F2726" t="s">
        <v>7681</v>
      </c>
      <c r="G2726">
        <v>1</v>
      </c>
      <c r="H2726">
        <v>1350</v>
      </c>
      <c r="I2726">
        <v>1</v>
      </c>
      <c r="J2726">
        <v>1.4</v>
      </c>
      <c r="K2726">
        <v>1</v>
      </c>
      <c r="L2726">
        <v>0.01</v>
      </c>
      <c r="M2726">
        <v>5</v>
      </c>
      <c r="N2726">
        <v>166</v>
      </c>
      <c r="O2726">
        <v>5</v>
      </c>
      <c r="P2726">
        <v>0.86</v>
      </c>
      <c r="Q2726">
        <v>2</v>
      </c>
      <c r="R2726">
        <v>6.1999999999999998E-3</v>
      </c>
      <c r="T2726" s="8" t="s">
        <v>357</v>
      </c>
    </row>
    <row r="2727" spans="1:20" x14ac:dyDescent="0.2">
      <c r="A2727" t="s">
        <v>7683</v>
      </c>
      <c r="B2727" t="s">
        <v>2022</v>
      </c>
      <c r="C2727" t="s">
        <v>2104</v>
      </c>
      <c r="D2727" t="s">
        <v>2024</v>
      </c>
      <c r="E2727" t="s">
        <v>7684</v>
      </c>
      <c r="F2727" t="s">
        <v>7685</v>
      </c>
      <c r="G2727">
        <v>4</v>
      </c>
      <c r="H2727">
        <v>2062.5</v>
      </c>
      <c r="I2727">
        <v>4</v>
      </c>
      <c r="J2727">
        <v>7.85</v>
      </c>
      <c r="K2727">
        <v>5</v>
      </c>
      <c r="L2727">
        <v>0.191</v>
      </c>
      <c r="M2727">
        <v>5</v>
      </c>
      <c r="N2727">
        <v>89</v>
      </c>
      <c r="P2727">
        <v>0</v>
      </c>
      <c r="Q2727">
        <v>5</v>
      </c>
      <c r="R2727">
        <v>1.8200000000000001E-2</v>
      </c>
      <c r="T2727" s="8" t="s">
        <v>7684</v>
      </c>
    </row>
    <row r="2728" spans="1:20" x14ac:dyDescent="0.2">
      <c r="A2728" t="s">
        <v>7686</v>
      </c>
      <c r="B2728" t="s">
        <v>2022</v>
      </c>
      <c r="C2728" t="s">
        <v>2053</v>
      </c>
      <c r="D2728" t="s">
        <v>2024</v>
      </c>
      <c r="E2728" t="s">
        <v>7687</v>
      </c>
      <c r="F2728" t="s">
        <v>7688</v>
      </c>
      <c r="G2728">
        <v>2</v>
      </c>
      <c r="H2728">
        <v>1600</v>
      </c>
      <c r="I2728">
        <v>2</v>
      </c>
      <c r="J2728">
        <v>4.05</v>
      </c>
      <c r="K2728">
        <v>2</v>
      </c>
      <c r="L2728">
        <v>8.5000000000000006E-2</v>
      </c>
      <c r="M2728">
        <v>2</v>
      </c>
      <c r="N2728">
        <v>83</v>
      </c>
      <c r="O2728">
        <v>1</v>
      </c>
      <c r="P2728">
        <v>7.4999999999999997E-2</v>
      </c>
      <c r="Q2728">
        <v>2</v>
      </c>
      <c r="R2728">
        <v>5.1999999999999998E-3</v>
      </c>
      <c r="T2728" s="8" t="s">
        <v>7687</v>
      </c>
    </row>
    <row r="2729" spans="1:20" x14ac:dyDescent="0.2">
      <c r="A2729" t="s">
        <v>7689</v>
      </c>
      <c r="B2729" t="s">
        <v>2022</v>
      </c>
      <c r="C2729" t="s">
        <v>2053</v>
      </c>
      <c r="D2729" t="s">
        <v>2024</v>
      </c>
      <c r="E2729" t="s">
        <v>7690</v>
      </c>
      <c r="F2729" t="s">
        <v>7691</v>
      </c>
      <c r="G2729">
        <v>3</v>
      </c>
      <c r="H2729">
        <v>1700</v>
      </c>
      <c r="I2729">
        <v>2</v>
      </c>
      <c r="J2729">
        <v>4.05</v>
      </c>
      <c r="K2729">
        <v>3</v>
      </c>
      <c r="L2729">
        <v>0.19500000000000001</v>
      </c>
      <c r="M2729">
        <v>3</v>
      </c>
      <c r="N2729">
        <v>93</v>
      </c>
      <c r="O2729">
        <v>2</v>
      </c>
      <c r="P2729">
        <v>0.22500000000000001</v>
      </c>
      <c r="Q2729">
        <v>3</v>
      </c>
      <c r="R2729">
        <v>1.2200000000000001E-2</v>
      </c>
      <c r="T2729" s="8" t="s">
        <v>7690</v>
      </c>
    </row>
    <row r="2730" spans="1:20" x14ac:dyDescent="0.2">
      <c r="A2730" t="s">
        <v>7692</v>
      </c>
      <c r="B2730" t="s">
        <v>2022</v>
      </c>
      <c r="C2730" t="s">
        <v>2023</v>
      </c>
      <c r="D2730" t="s">
        <v>2024</v>
      </c>
      <c r="E2730" t="s">
        <v>7693</v>
      </c>
      <c r="F2730" t="s">
        <v>7694</v>
      </c>
      <c r="G2730">
        <v>5</v>
      </c>
      <c r="H2730">
        <v>1800</v>
      </c>
      <c r="I2730">
        <v>1</v>
      </c>
      <c r="J2730">
        <v>0.9</v>
      </c>
      <c r="K2730">
        <v>1</v>
      </c>
      <c r="L2730">
        <v>6.0000000000000001E-3</v>
      </c>
      <c r="M2730">
        <v>5</v>
      </c>
      <c r="N2730">
        <v>114</v>
      </c>
      <c r="O2730">
        <v>1</v>
      </c>
      <c r="P2730">
        <v>7.4999999999999997E-2</v>
      </c>
      <c r="Q2730">
        <v>1</v>
      </c>
      <c r="R2730">
        <v>5.0000000000000001E-4</v>
      </c>
      <c r="T2730" s="8" t="s">
        <v>7693</v>
      </c>
    </row>
    <row r="2731" spans="1:20" x14ac:dyDescent="0.2">
      <c r="A2731" t="s">
        <v>7695</v>
      </c>
      <c r="B2731" t="s">
        <v>2022</v>
      </c>
      <c r="C2731" t="s">
        <v>2023</v>
      </c>
      <c r="D2731" t="s">
        <v>2024</v>
      </c>
      <c r="E2731" t="s">
        <v>7696</v>
      </c>
      <c r="F2731" t="s">
        <v>7697</v>
      </c>
      <c r="G2731">
        <v>1</v>
      </c>
      <c r="H2731">
        <v>1480</v>
      </c>
      <c r="I2731">
        <v>2</v>
      </c>
      <c r="J2731">
        <v>3.4</v>
      </c>
      <c r="K2731">
        <v>5</v>
      </c>
      <c r="L2731">
        <v>8.5999999999999993E-2</v>
      </c>
      <c r="M2731">
        <v>5</v>
      </c>
      <c r="N2731">
        <v>114</v>
      </c>
      <c r="O2731">
        <v>2</v>
      </c>
      <c r="P2731">
        <v>0.22500000000000001</v>
      </c>
      <c r="Q2731">
        <v>5</v>
      </c>
      <c r="R2731">
        <v>8.0000000000000002E-3</v>
      </c>
      <c r="T2731" s="8" t="s">
        <v>7696</v>
      </c>
    </row>
    <row r="2732" spans="1:20" x14ac:dyDescent="0.2">
      <c r="A2732" t="s">
        <v>7698</v>
      </c>
      <c r="B2732" t="s">
        <v>2022</v>
      </c>
      <c r="C2732" t="s">
        <v>2023</v>
      </c>
      <c r="D2732" t="s">
        <v>2024</v>
      </c>
      <c r="E2732" t="s">
        <v>7699</v>
      </c>
      <c r="F2732" t="s">
        <v>7700</v>
      </c>
      <c r="G2732">
        <v>2</v>
      </c>
      <c r="H2732">
        <v>1560</v>
      </c>
      <c r="I2732">
        <v>3</v>
      </c>
      <c r="J2732">
        <v>5.9</v>
      </c>
      <c r="K2732">
        <v>5</v>
      </c>
      <c r="L2732">
        <v>8.5999999999999993E-2</v>
      </c>
      <c r="M2732">
        <v>5</v>
      </c>
      <c r="N2732">
        <v>114</v>
      </c>
      <c r="O2732">
        <v>4</v>
      </c>
      <c r="P2732">
        <v>0.52500000000000002</v>
      </c>
      <c r="Q2732">
        <v>5</v>
      </c>
      <c r="R2732">
        <v>8.0000000000000002E-3</v>
      </c>
      <c r="T2732" s="8" t="s">
        <v>7699</v>
      </c>
    </row>
    <row r="2733" spans="1:20" x14ac:dyDescent="0.2">
      <c r="A2733" t="s">
        <v>7701</v>
      </c>
      <c r="B2733" t="s">
        <v>2022</v>
      </c>
      <c r="C2733" t="s">
        <v>2023</v>
      </c>
      <c r="D2733" t="s">
        <v>2024</v>
      </c>
      <c r="E2733" t="s">
        <v>7702</v>
      </c>
      <c r="F2733" t="s">
        <v>447</v>
      </c>
      <c r="G2733">
        <v>2</v>
      </c>
      <c r="H2733">
        <v>1560</v>
      </c>
      <c r="I2733">
        <v>2</v>
      </c>
      <c r="J2733">
        <v>3.4</v>
      </c>
      <c r="K2733">
        <v>2</v>
      </c>
      <c r="L2733">
        <v>2.5999999999999999E-2</v>
      </c>
      <c r="M2733">
        <v>1</v>
      </c>
      <c r="N2733">
        <v>74</v>
      </c>
      <c r="O2733">
        <v>1</v>
      </c>
      <c r="P2733">
        <v>7.4999999999999997E-2</v>
      </c>
      <c r="Q2733">
        <v>2</v>
      </c>
      <c r="R2733">
        <v>2E-3</v>
      </c>
      <c r="T2733" s="8" t="s">
        <v>7702</v>
      </c>
    </row>
    <row r="2734" spans="1:20" x14ac:dyDescent="0.2">
      <c r="A2734" t="s">
        <v>7703</v>
      </c>
      <c r="B2734" t="s">
        <v>2022</v>
      </c>
      <c r="C2734" t="s">
        <v>2036</v>
      </c>
      <c r="D2734" t="s">
        <v>2136</v>
      </c>
      <c r="E2734" t="s">
        <v>7704</v>
      </c>
      <c r="F2734" t="s">
        <v>7705</v>
      </c>
      <c r="G2734">
        <v>5</v>
      </c>
      <c r="H2734">
        <v>1940</v>
      </c>
      <c r="I2734">
        <v>5</v>
      </c>
      <c r="J2734">
        <v>7</v>
      </c>
      <c r="K2734">
        <v>5</v>
      </c>
      <c r="L2734">
        <v>0.17499999999999999</v>
      </c>
      <c r="M2734">
        <v>4</v>
      </c>
      <c r="N2734">
        <v>94</v>
      </c>
      <c r="O2734">
        <v>5</v>
      </c>
      <c r="P2734">
        <v>0.53500000000000003</v>
      </c>
      <c r="Q2734">
        <v>5</v>
      </c>
      <c r="R2734">
        <v>1.2E-2</v>
      </c>
      <c r="T2734" s="8" t="s">
        <v>7704</v>
      </c>
    </row>
    <row r="2735" spans="1:20" x14ac:dyDescent="0.2">
      <c r="A2735" t="s">
        <v>7706</v>
      </c>
      <c r="B2735" t="s">
        <v>2022</v>
      </c>
      <c r="C2735" t="s">
        <v>2036</v>
      </c>
      <c r="D2735" t="s">
        <v>2136</v>
      </c>
      <c r="E2735" t="s">
        <v>7704</v>
      </c>
      <c r="F2735" t="s">
        <v>7707</v>
      </c>
      <c r="G2735">
        <v>2</v>
      </c>
      <c r="H2735">
        <v>1640</v>
      </c>
      <c r="I2735">
        <v>3</v>
      </c>
      <c r="J2735">
        <v>4.5999999999999996</v>
      </c>
      <c r="K2735">
        <v>3</v>
      </c>
      <c r="L2735">
        <v>0.115</v>
      </c>
      <c r="M2735">
        <v>4</v>
      </c>
      <c r="N2735">
        <v>94</v>
      </c>
      <c r="O2735">
        <v>3</v>
      </c>
      <c r="P2735">
        <v>0.315</v>
      </c>
      <c r="Q2735">
        <v>3</v>
      </c>
      <c r="R2735">
        <v>6.7499999999999999E-3</v>
      </c>
      <c r="T2735" s="8" t="s">
        <v>7704</v>
      </c>
    </row>
    <row r="2736" spans="1:20" x14ac:dyDescent="0.2">
      <c r="A2736" t="s">
        <v>7708</v>
      </c>
      <c r="B2736" t="s">
        <v>2022</v>
      </c>
      <c r="C2736" t="s">
        <v>2036</v>
      </c>
      <c r="D2736" t="s">
        <v>2136</v>
      </c>
      <c r="E2736" t="s">
        <v>7704</v>
      </c>
      <c r="F2736" t="s">
        <v>7709</v>
      </c>
      <c r="G2736">
        <v>2</v>
      </c>
      <c r="H2736">
        <v>1640</v>
      </c>
      <c r="I2736">
        <v>5</v>
      </c>
      <c r="J2736">
        <v>7</v>
      </c>
      <c r="K2736">
        <v>5</v>
      </c>
      <c r="L2736">
        <v>0.17499999999999999</v>
      </c>
      <c r="M2736">
        <v>3</v>
      </c>
      <c r="N2736">
        <v>88</v>
      </c>
      <c r="O2736">
        <v>3</v>
      </c>
      <c r="P2736">
        <v>0.315</v>
      </c>
      <c r="Q2736">
        <v>5</v>
      </c>
      <c r="R2736">
        <v>1.2E-2</v>
      </c>
      <c r="T2736" s="8" t="s">
        <v>7704</v>
      </c>
    </row>
    <row r="2737" spans="1:20" x14ac:dyDescent="0.2">
      <c r="A2737" t="s">
        <v>7710</v>
      </c>
      <c r="B2737" t="s">
        <v>2022</v>
      </c>
      <c r="C2737" t="s">
        <v>2036</v>
      </c>
      <c r="D2737" t="s">
        <v>2136</v>
      </c>
      <c r="E2737" t="s">
        <v>7704</v>
      </c>
      <c r="F2737" t="s">
        <v>7711</v>
      </c>
      <c r="G2737">
        <v>2</v>
      </c>
      <c r="H2737">
        <v>1640</v>
      </c>
      <c r="I2737">
        <v>2</v>
      </c>
      <c r="J2737">
        <v>3.4</v>
      </c>
      <c r="K2737">
        <v>4</v>
      </c>
      <c r="L2737">
        <v>0.14499999999999999</v>
      </c>
      <c r="M2737">
        <v>4</v>
      </c>
      <c r="N2737">
        <v>94</v>
      </c>
      <c r="O2737">
        <v>2</v>
      </c>
      <c r="P2737">
        <v>0.20499999999999999</v>
      </c>
      <c r="Q2737">
        <v>3</v>
      </c>
      <c r="R2737">
        <v>6.7499999999999999E-3</v>
      </c>
      <c r="T2737" s="8" t="s">
        <v>7704</v>
      </c>
    </row>
    <row r="2738" spans="1:20" x14ac:dyDescent="0.2">
      <c r="A2738" t="s">
        <v>7712</v>
      </c>
      <c r="B2738" t="s">
        <v>2022</v>
      </c>
      <c r="C2738" t="s">
        <v>2053</v>
      </c>
      <c r="D2738" t="s">
        <v>2136</v>
      </c>
      <c r="E2738" t="s">
        <v>7704</v>
      </c>
      <c r="F2738" t="s">
        <v>7713</v>
      </c>
      <c r="G2738">
        <v>3</v>
      </c>
      <c r="H2738">
        <v>1700</v>
      </c>
      <c r="I2738">
        <v>3</v>
      </c>
      <c r="J2738">
        <v>6.55</v>
      </c>
      <c r="K2738">
        <v>3</v>
      </c>
      <c r="L2738">
        <v>0.19500000000000001</v>
      </c>
      <c r="M2738">
        <v>3</v>
      </c>
      <c r="N2738">
        <v>93</v>
      </c>
      <c r="O2738">
        <v>2</v>
      </c>
      <c r="P2738">
        <v>0.22500000000000001</v>
      </c>
      <c r="Q2738">
        <v>2</v>
      </c>
      <c r="R2738">
        <v>5.1999999999999998E-3</v>
      </c>
      <c r="T2738" s="8" t="s">
        <v>7704</v>
      </c>
    </row>
    <row r="2739" spans="1:20" x14ac:dyDescent="0.2">
      <c r="A2739" t="s">
        <v>7714</v>
      </c>
      <c r="B2739" t="s">
        <v>2022</v>
      </c>
      <c r="C2739" t="s">
        <v>2023</v>
      </c>
      <c r="D2739" t="s">
        <v>2024</v>
      </c>
      <c r="E2739" t="s">
        <v>7715</v>
      </c>
      <c r="F2739" t="s">
        <v>7716</v>
      </c>
      <c r="G2739">
        <v>2</v>
      </c>
      <c r="H2739">
        <v>1560</v>
      </c>
      <c r="I2739">
        <v>4</v>
      </c>
      <c r="J2739">
        <v>8.4</v>
      </c>
      <c r="K2739">
        <v>5</v>
      </c>
      <c r="L2739">
        <v>8.5999999999999993E-2</v>
      </c>
      <c r="M2739">
        <v>1</v>
      </c>
      <c r="N2739">
        <v>74</v>
      </c>
      <c r="O2739">
        <v>3</v>
      </c>
      <c r="P2739">
        <v>0.375</v>
      </c>
      <c r="Q2739">
        <v>5</v>
      </c>
      <c r="R2739">
        <v>8.0000000000000002E-3</v>
      </c>
      <c r="T2739" s="8" t="s">
        <v>7715</v>
      </c>
    </row>
    <row r="2740" spans="1:20" x14ac:dyDescent="0.2">
      <c r="A2740" t="s">
        <v>7717</v>
      </c>
      <c r="B2740" t="s">
        <v>2022</v>
      </c>
      <c r="C2740" t="s">
        <v>2049</v>
      </c>
      <c r="D2740" t="s">
        <v>2024</v>
      </c>
      <c r="E2740" t="s">
        <v>227</v>
      </c>
      <c r="F2740" t="s">
        <v>7718</v>
      </c>
      <c r="G2740">
        <v>2</v>
      </c>
      <c r="H2740">
        <v>1450</v>
      </c>
      <c r="I2740">
        <v>3</v>
      </c>
      <c r="J2740">
        <v>5</v>
      </c>
      <c r="K2740">
        <v>3</v>
      </c>
      <c r="L2740">
        <v>0.14000000000000001</v>
      </c>
      <c r="M2740">
        <v>2</v>
      </c>
      <c r="N2740">
        <v>106</v>
      </c>
      <c r="O2740">
        <v>2</v>
      </c>
      <c r="P2740">
        <v>0.26</v>
      </c>
      <c r="Q2740">
        <v>2</v>
      </c>
      <c r="R2740">
        <v>6.1999999999999998E-3</v>
      </c>
      <c r="T2740" s="8" t="s">
        <v>227</v>
      </c>
    </row>
    <row r="2741" spans="1:20" x14ac:dyDescent="0.2">
      <c r="A2741" t="s">
        <v>7719</v>
      </c>
      <c r="B2741" t="s">
        <v>2022</v>
      </c>
      <c r="C2741" t="s">
        <v>2036</v>
      </c>
      <c r="D2741" t="s">
        <v>2024</v>
      </c>
      <c r="E2741" t="s">
        <v>357</v>
      </c>
      <c r="F2741" t="s">
        <v>447</v>
      </c>
      <c r="G2741">
        <v>5</v>
      </c>
      <c r="H2741">
        <v>1940</v>
      </c>
      <c r="I2741">
        <v>5</v>
      </c>
      <c r="J2741">
        <v>7</v>
      </c>
      <c r="K2741">
        <v>5</v>
      </c>
      <c r="L2741">
        <v>0.17499999999999999</v>
      </c>
      <c r="M2741">
        <v>5</v>
      </c>
      <c r="N2741">
        <v>100</v>
      </c>
      <c r="O2741">
        <v>5</v>
      </c>
      <c r="P2741">
        <v>0.53500000000000003</v>
      </c>
      <c r="Q2741">
        <v>5</v>
      </c>
      <c r="R2741">
        <v>1.2E-2</v>
      </c>
      <c r="T2741" s="8" t="s">
        <v>357</v>
      </c>
    </row>
    <row r="2742" spans="1:20" x14ac:dyDescent="0.2">
      <c r="A2742" t="s">
        <v>7720</v>
      </c>
      <c r="B2742" t="s">
        <v>2022</v>
      </c>
      <c r="C2742" t="s">
        <v>2049</v>
      </c>
      <c r="D2742" t="s">
        <v>2024</v>
      </c>
      <c r="E2742" t="s">
        <v>357</v>
      </c>
      <c r="F2742" t="s">
        <v>447</v>
      </c>
      <c r="G2742">
        <v>1</v>
      </c>
      <c r="H2742">
        <v>1350</v>
      </c>
      <c r="I2742">
        <v>3</v>
      </c>
      <c r="J2742">
        <v>5</v>
      </c>
      <c r="K2742">
        <v>4</v>
      </c>
      <c r="L2742">
        <v>0.22</v>
      </c>
      <c r="M2742">
        <v>5</v>
      </c>
      <c r="N2742">
        <v>166</v>
      </c>
      <c r="O2742">
        <v>5</v>
      </c>
      <c r="P2742">
        <v>0.86</v>
      </c>
      <c r="Q2742">
        <v>5</v>
      </c>
      <c r="R2742">
        <v>3.32E-2</v>
      </c>
      <c r="T2742" s="8" t="s">
        <v>357</v>
      </c>
    </row>
    <row r="2743" spans="1:20" x14ac:dyDescent="0.2">
      <c r="A2743" t="s">
        <v>7721</v>
      </c>
      <c r="B2743" t="s">
        <v>2022</v>
      </c>
      <c r="C2743" t="s">
        <v>2053</v>
      </c>
      <c r="D2743" t="s">
        <v>2024</v>
      </c>
      <c r="E2743" t="s">
        <v>7722</v>
      </c>
      <c r="F2743" t="s">
        <v>7723</v>
      </c>
      <c r="G2743">
        <v>2</v>
      </c>
      <c r="H2743">
        <v>1600</v>
      </c>
      <c r="I2743">
        <v>4</v>
      </c>
      <c r="J2743">
        <v>9.0500000000000007</v>
      </c>
      <c r="K2743">
        <v>3</v>
      </c>
      <c r="L2743">
        <v>0.19500000000000001</v>
      </c>
      <c r="M2743">
        <v>2</v>
      </c>
      <c r="N2743">
        <v>83</v>
      </c>
      <c r="O2743">
        <v>4</v>
      </c>
      <c r="P2743">
        <v>0.52500000000000002</v>
      </c>
      <c r="Q2743">
        <v>3</v>
      </c>
      <c r="R2743">
        <v>1.2200000000000001E-2</v>
      </c>
      <c r="T2743" s="8" t="s">
        <v>7722</v>
      </c>
    </row>
    <row r="2744" spans="1:20" x14ac:dyDescent="0.2">
      <c r="A2744" t="s">
        <v>7724</v>
      </c>
      <c r="B2744" t="s">
        <v>2022</v>
      </c>
      <c r="C2744" t="s">
        <v>2053</v>
      </c>
      <c r="D2744" t="s">
        <v>2024</v>
      </c>
      <c r="E2744" t="s">
        <v>357</v>
      </c>
      <c r="F2744" t="s">
        <v>7725</v>
      </c>
      <c r="G2744">
        <v>3</v>
      </c>
      <c r="H2744">
        <v>1700</v>
      </c>
      <c r="I2744">
        <v>1</v>
      </c>
      <c r="J2744">
        <v>1.55</v>
      </c>
      <c r="K2744">
        <v>1</v>
      </c>
      <c r="L2744">
        <v>1.4999999999999999E-2</v>
      </c>
      <c r="M2744">
        <v>4</v>
      </c>
      <c r="N2744">
        <v>103</v>
      </c>
      <c r="O2744">
        <v>1</v>
      </c>
      <c r="P2744">
        <v>7.4999999999999997E-2</v>
      </c>
      <c r="Q2744">
        <v>1</v>
      </c>
      <c r="R2744">
        <v>8.4999999999999995E-4</v>
      </c>
      <c r="T2744" s="8" t="s">
        <v>357</v>
      </c>
    </row>
    <row r="2745" spans="1:20" x14ac:dyDescent="0.2">
      <c r="A2745" t="s">
        <v>7726</v>
      </c>
      <c r="B2745" t="s">
        <v>2022</v>
      </c>
      <c r="C2745" t="s">
        <v>2036</v>
      </c>
      <c r="D2745" t="s">
        <v>2024</v>
      </c>
      <c r="E2745" t="s">
        <v>357</v>
      </c>
      <c r="F2745" t="s">
        <v>447</v>
      </c>
      <c r="G2745">
        <v>5</v>
      </c>
      <c r="H2745">
        <v>1940</v>
      </c>
      <c r="I2745">
        <v>5</v>
      </c>
      <c r="J2745">
        <v>7</v>
      </c>
      <c r="K2745">
        <v>5</v>
      </c>
      <c r="L2745">
        <v>0.17499999999999999</v>
      </c>
      <c r="M2745">
        <v>4</v>
      </c>
      <c r="N2745">
        <v>94</v>
      </c>
      <c r="O2745">
        <v>5</v>
      </c>
      <c r="P2745">
        <v>0.53500000000000003</v>
      </c>
      <c r="Q2745">
        <v>5</v>
      </c>
      <c r="R2745">
        <v>1.2E-2</v>
      </c>
      <c r="T2745" s="8" t="s">
        <v>357</v>
      </c>
    </row>
    <row r="2746" spans="1:20" x14ac:dyDescent="0.2">
      <c r="A2746" t="s">
        <v>7727</v>
      </c>
      <c r="B2746" t="s">
        <v>2022</v>
      </c>
      <c r="C2746" t="s">
        <v>2053</v>
      </c>
      <c r="D2746" t="s">
        <v>2024</v>
      </c>
      <c r="E2746" t="s">
        <v>7728</v>
      </c>
      <c r="F2746" t="s">
        <v>7729</v>
      </c>
      <c r="G2746">
        <v>5</v>
      </c>
      <c r="H2746">
        <v>1900</v>
      </c>
      <c r="I2746">
        <v>1</v>
      </c>
      <c r="J2746">
        <v>1.55</v>
      </c>
      <c r="K2746">
        <v>1</v>
      </c>
      <c r="L2746">
        <v>1.4999999999999999E-2</v>
      </c>
      <c r="M2746">
        <v>3</v>
      </c>
      <c r="N2746">
        <v>93</v>
      </c>
      <c r="O2746">
        <v>1</v>
      </c>
      <c r="P2746">
        <v>7.4999999999999997E-2</v>
      </c>
      <c r="Q2746">
        <v>1</v>
      </c>
      <c r="R2746">
        <v>8.4999999999999995E-4</v>
      </c>
      <c r="T2746" s="8" t="s">
        <v>7728</v>
      </c>
    </row>
    <row r="2747" spans="1:20" x14ac:dyDescent="0.2">
      <c r="A2747" t="s">
        <v>7730</v>
      </c>
      <c r="B2747" t="s">
        <v>2022</v>
      </c>
      <c r="C2747" t="s">
        <v>2508</v>
      </c>
      <c r="D2747" t="s">
        <v>2154</v>
      </c>
      <c r="E2747" t="s">
        <v>357</v>
      </c>
      <c r="F2747" t="s">
        <v>447</v>
      </c>
      <c r="G2747">
        <v>1</v>
      </c>
      <c r="H2747">
        <v>1250</v>
      </c>
      <c r="I2747">
        <v>2</v>
      </c>
      <c r="J2747">
        <v>5</v>
      </c>
      <c r="K2747">
        <v>1</v>
      </c>
      <c r="L2747">
        <v>0.01</v>
      </c>
      <c r="M2747">
        <v>5</v>
      </c>
      <c r="N2747">
        <v>352.5</v>
      </c>
      <c r="O2747">
        <v>4</v>
      </c>
      <c r="P2747">
        <v>1.35</v>
      </c>
      <c r="Q2747">
        <v>1</v>
      </c>
      <c r="R2747">
        <v>1.2E-2</v>
      </c>
      <c r="T2747" s="8" t="s">
        <v>357</v>
      </c>
    </row>
    <row r="2748" spans="1:20" x14ac:dyDescent="0.2">
      <c r="A2748" t="s">
        <v>7731</v>
      </c>
      <c r="B2748" t="s">
        <v>2022</v>
      </c>
      <c r="C2748" t="s">
        <v>2023</v>
      </c>
      <c r="D2748" t="s">
        <v>2024</v>
      </c>
      <c r="E2748" t="s">
        <v>7732</v>
      </c>
      <c r="F2748" t="s">
        <v>7733</v>
      </c>
      <c r="G2748">
        <v>3</v>
      </c>
      <c r="H2748">
        <v>1640</v>
      </c>
      <c r="I2748">
        <v>2</v>
      </c>
      <c r="J2748">
        <v>3.4</v>
      </c>
      <c r="K2748">
        <v>1</v>
      </c>
      <c r="L2748">
        <v>6.0000000000000001E-3</v>
      </c>
      <c r="M2748">
        <v>2</v>
      </c>
      <c r="N2748">
        <v>84</v>
      </c>
      <c r="O2748">
        <v>1</v>
      </c>
      <c r="P2748">
        <v>7.4999999999999997E-2</v>
      </c>
      <c r="Q2748">
        <v>1</v>
      </c>
      <c r="R2748">
        <v>5.0000000000000001E-4</v>
      </c>
      <c r="T2748" s="8" t="s">
        <v>7732</v>
      </c>
    </row>
    <row r="2749" spans="1:20" x14ac:dyDescent="0.2">
      <c r="A2749" t="s">
        <v>7734</v>
      </c>
      <c r="B2749" t="s">
        <v>2022</v>
      </c>
      <c r="C2749" t="s">
        <v>2053</v>
      </c>
      <c r="D2749" t="s">
        <v>2024</v>
      </c>
      <c r="E2749" t="s">
        <v>7735</v>
      </c>
      <c r="F2749" t="s">
        <v>7736</v>
      </c>
      <c r="G2749">
        <v>1</v>
      </c>
      <c r="H2749">
        <v>1500</v>
      </c>
      <c r="I2749">
        <v>2</v>
      </c>
      <c r="J2749">
        <v>4.05</v>
      </c>
      <c r="K2749">
        <v>2</v>
      </c>
      <c r="L2749">
        <v>8.5000000000000006E-2</v>
      </c>
      <c r="M2749">
        <v>5</v>
      </c>
      <c r="N2749">
        <v>113</v>
      </c>
      <c r="O2749">
        <v>5</v>
      </c>
      <c r="P2749">
        <v>0.67500000000000004</v>
      </c>
      <c r="Q2749">
        <v>4</v>
      </c>
      <c r="R2749">
        <v>1.9199999999999998E-2</v>
      </c>
      <c r="T2749" s="8" t="s">
        <v>7735</v>
      </c>
    </row>
    <row r="2750" spans="1:20" x14ac:dyDescent="0.2">
      <c r="A2750" t="s">
        <v>7737</v>
      </c>
      <c r="B2750" t="s">
        <v>2022</v>
      </c>
      <c r="C2750" t="s">
        <v>2023</v>
      </c>
      <c r="D2750" t="s">
        <v>2024</v>
      </c>
      <c r="E2750" t="s">
        <v>7738</v>
      </c>
      <c r="F2750" t="s">
        <v>7739</v>
      </c>
      <c r="G2750">
        <v>1</v>
      </c>
      <c r="H2750">
        <v>1480</v>
      </c>
      <c r="I2750">
        <v>1</v>
      </c>
      <c r="J2750">
        <v>0.9</v>
      </c>
      <c r="K2750">
        <v>1</v>
      </c>
      <c r="L2750">
        <v>6.0000000000000001E-3</v>
      </c>
      <c r="M2750">
        <v>2</v>
      </c>
      <c r="N2750">
        <v>84</v>
      </c>
      <c r="O2750">
        <v>1</v>
      </c>
      <c r="P2750">
        <v>7.4999999999999997E-2</v>
      </c>
      <c r="Q2750">
        <v>1</v>
      </c>
      <c r="R2750">
        <v>5.0000000000000001E-4</v>
      </c>
      <c r="T2750" s="8" t="s">
        <v>7738</v>
      </c>
    </row>
    <row r="2751" spans="1:20" x14ac:dyDescent="0.2">
      <c r="A2751" t="s">
        <v>7740</v>
      </c>
      <c r="B2751" t="s">
        <v>2022</v>
      </c>
      <c r="C2751" t="s">
        <v>2036</v>
      </c>
      <c r="D2751" t="s">
        <v>2024</v>
      </c>
      <c r="E2751" t="s">
        <v>7741</v>
      </c>
      <c r="F2751" t="s">
        <v>7742</v>
      </c>
      <c r="G2751">
        <v>5</v>
      </c>
      <c r="H2751">
        <v>1940</v>
      </c>
      <c r="I2751">
        <v>3</v>
      </c>
      <c r="J2751">
        <v>4.5999999999999996</v>
      </c>
      <c r="K2751">
        <v>5</v>
      </c>
      <c r="L2751">
        <v>0.17499999999999999</v>
      </c>
      <c r="M2751">
        <v>5</v>
      </c>
      <c r="N2751">
        <v>100</v>
      </c>
      <c r="O2751">
        <v>2</v>
      </c>
      <c r="P2751">
        <v>0.20499999999999999</v>
      </c>
      <c r="Q2751">
        <v>4</v>
      </c>
      <c r="R2751">
        <v>9.2499999999999995E-3</v>
      </c>
      <c r="T2751" s="8" t="s">
        <v>7741</v>
      </c>
    </row>
    <row r="2752" spans="1:20" x14ac:dyDescent="0.2">
      <c r="A2752" t="s">
        <v>7743</v>
      </c>
      <c r="B2752" t="s">
        <v>2022</v>
      </c>
      <c r="C2752" t="s">
        <v>2104</v>
      </c>
      <c r="D2752" t="s">
        <v>2024</v>
      </c>
      <c r="E2752" t="s">
        <v>7744</v>
      </c>
      <c r="F2752" t="s">
        <v>7745</v>
      </c>
      <c r="G2752">
        <v>3</v>
      </c>
      <c r="H2752">
        <v>1887.5</v>
      </c>
      <c r="I2752">
        <v>5</v>
      </c>
      <c r="J2752">
        <v>10.15</v>
      </c>
      <c r="K2752">
        <v>5</v>
      </c>
      <c r="L2752">
        <v>0.191</v>
      </c>
      <c r="M2752">
        <v>3</v>
      </c>
      <c r="N2752">
        <v>73</v>
      </c>
      <c r="P2752">
        <v>0</v>
      </c>
      <c r="Q2752">
        <v>4</v>
      </c>
      <c r="R2752">
        <v>1.32E-2</v>
      </c>
      <c r="T2752" s="8" t="s">
        <v>7744</v>
      </c>
    </row>
    <row r="2753" spans="1:20" x14ac:dyDescent="0.2">
      <c r="A2753" t="s">
        <v>7746</v>
      </c>
      <c r="B2753" t="s">
        <v>2022</v>
      </c>
      <c r="C2753" t="s">
        <v>2222</v>
      </c>
      <c r="D2753" t="s">
        <v>2024</v>
      </c>
      <c r="E2753" t="s">
        <v>7747</v>
      </c>
      <c r="F2753" t="s">
        <v>7748</v>
      </c>
      <c r="G2753">
        <v>4</v>
      </c>
      <c r="H2753">
        <v>1750</v>
      </c>
      <c r="I2753">
        <v>2</v>
      </c>
      <c r="J2753">
        <v>3.9</v>
      </c>
      <c r="K2753">
        <v>2</v>
      </c>
      <c r="L2753">
        <v>5.5E-2</v>
      </c>
      <c r="M2753">
        <v>5</v>
      </c>
      <c r="N2753">
        <v>75</v>
      </c>
      <c r="O2753">
        <v>2</v>
      </c>
      <c r="P2753">
        <v>0.15</v>
      </c>
      <c r="Q2753">
        <v>2</v>
      </c>
      <c r="R2753">
        <v>2.3E-3</v>
      </c>
      <c r="T2753" s="8" t="s">
        <v>7747</v>
      </c>
    </row>
    <row r="2754" spans="1:20" x14ac:dyDescent="0.2">
      <c r="A2754" t="s">
        <v>7749</v>
      </c>
      <c r="B2754" t="s">
        <v>2022</v>
      </c>
      <c r="C2754" t="s">
        <v>2106</v>
      </c>
      <c r="D2754" t="s">
        <v>2024</v>
      </c>
      <c r="E2754" t="s">
        <v>7750</v>
      </c>
      <c r="F2754" t="s">
        <v>7751</v>
      </c>
      <c r="G2754">
        <v>2</v>
      </c>
      <c r="H2754">
        <v>1825</v>
      </c>
      <c r="I2754">
        <v>1</v>
      </c>
      <c r="J2754">
        <v>3.25</v>
      </c>
      <c r="K2754">
        <v>3</v>
      </c>
      <c r="L2754">
        <v>0.14000000000000001</v>
      </c>
      <c r="M2754">
        <v>2</v>
      </c>
      <c r="N2754">
        <v>68.5</v>
      </c>
      <c r="O2754">
        <v>2</v>
      </c>
      <c r="P2754">
        <v>0.15</v>
      </c>
      <c r="Q2754">
        <v>3</v>
      </c>
      <c r="R2754">
        <v>4.4999999999999997E-3</v>
      </c>
      <c r="T2754" s="8" t="s">
        <v>7750</v>
      </c>
    </row>
    <row r="2755" spans="1:20" x14ac:dyDescent="0.2">
      <c r="A2755" t="s">
        <v>7752</v>
      </c>
      <c r="B2755" t="s">
        <v>2022</v>
      </c>
      <c r="C2755" t="s">
        <v>2106</v>
      </c>
      <c r="D2755" t="s">
        <v>2024</v>
      </c>
      <c r="E2755" t="s">
        <v>7753</v>
      </c>
      <c r="F2755" t="s">
        <v>7754</v>
      </c>
      <c r="G2755">
        <v>2</v>
      </c>
      <c r="H2755">
        <v>1825</v>
      </c>
      <c r="I2755">
        <v>2</v>
      </c>
      <c r="J2755">
        <v>5.75</v>
      </c>
      <c r="K2755">
        <v>3</v>
      </c>
      <c r="L2755">
        <v>0.14000000000000001</v>
      </c>
      <c r="M2755">
        <v>2</v>
      </c>
      <c r="N2755">
        <v>68.5</v>
      </c>
      <c r="O2755">
        <v>3</v>
      </c>
      <c r="P2755">
        <v>0.25</v>
      </c>
      <c r="Q2755">
        <v>4</v>
      </c>
      <c r="R2755">
        <v>6.4999999999999997E-3</v>
      </c>
      <c r="T2755" s="8" t="s">
        <v>7753</v>
      </c>
    </row>
    <row r="2756" spans="1:20" x14ac:dyDescent="0.2">
      <c r="A2756" t="s">
        <v>7755</v>
      </c>
      <c r="B2756" t="s">
        <v>2022</v>
      </c>
      <c r="C2756" t="s">
        <v>2101</v>
      </c>
      <c r="D2756" t="s">
        <v>2024</v>
      </c>
      <c r="E2756" t="s">
        <v>7756</v>
      </c>
      <c r="F2756" t="s">
        <v>7757</v>
      </c>
      <c r="G2756">
        <v>1</v>
      </c>
      <c r="H2756">
        <v>1570</v>
      </c>
      <c r="I2756">
        <v>2</v>
      </c>
      <c r="J2756">
        <v>5</v>
      </c>
      <c r="K2756">
        <v>2</v>
      </c>
      <c r="L2756">
        <v>9.6500000000000002E-2</v>
      </c>
      <c r="M2756">
        <v>2</v>
      </c>
      <c r="N2756">
        <v>74</v>
      </c>
      <c r="O2756">
        <v>2</v>
      </c>
      <c r="P2756">
        <v>0.22500000000000001</v>
      </c>
      <c r="Q2756">
        <v>2</v>
      </c>
      <c r="R2756">
        <v>4.4999999999999997E-3</v>
      </c>
      <c r="T2756" s="8" t="s">
        <v>7756</v>
      </c>
    </row>
    <row r="2757" spans="1:20" x14ac:dyDescent="0.2">
      <c r="A2757" t="s">
        <v>7758</v>
      </c>
      <c r="B2757" t="s">
        <v>2022</v>
      </c>
      <c r="C2757" t="s">
        <v>2101</v>
      </c>
      <c r="D2757" t="s">
        <v>2024</v>
      </c>
      <c r="E2757" t="s">
        <v>7759</v>
      </c>
      <c r="F2757" t="s">
        <v>7760</v>
      </c>
      <c r="G2757">
        <v>2</v>
      </c>
      <c r="H2757">
        <v>1670</v>
      </c>
      <c r="I2757">
        <v>2</v>
      </c>
      <c r="J2757">
        <v>5</v>
      </c>
      <c r="K2757">
        <v>2</v>
      </c>
      <c r="L2757">
        <v>9.6500000000000002E-2</v>
      </c>
      <c r="M2757">
        <v>1</v>
      </c>
      <c r="N2757">
        <v>66</v>
      </c>
      <c r="O2757">
        <v>2</v>
      </c>
      <c r="P2757">
        <v>0.22500000000000001</v>
      </c>
      <c r="Q2757">
        <v>2</v>
      </c>
      <c r="R2757">
        <v>4.4999999999999997E-3</v>
      </c>
      <c r="T2757" s="8" t="s">
        <v>7759</v>
      </c>
    </row>
    <row r="2758" spans="1:20" x14ac:dyDescent="0.2">
      <c r="A2758" t="s">
        <v>7761</v>
      </c>
      <c r="B2758" t="s">
        <v>2022</v>
      </c>
      <c r="C2758" t="s">
        <v>2023</v>
      </c>
      <c r="D2758" t="s">
        <v>2024</v>
      </c>
      <c r="E2758" t="s">
        <v>7762</v>
      </c>
      <c r="F2758" t="s">
        <v>7763</v>
      </c>
      <c r="G2758">
        <v>3</v>
      </c>
      <c r="H2758">
        <v>1640</v>
      </c>
      <c r="I2758">
        <v>5</v>
      </c>
      <c r="J2758">
        <v>10.9</v>
      </c>
      <c r="K2758">
        <v>5</v>
      </c>
      <c r="L2758">
        <v>8.5999999999999993E-2</v>
      </c>
      <c r="M2758">
        <v>4</v>
      </c>
      <c r="N2758">
        <v>104</v>
      </c>
      <c r="O2758">
        <v>5</v>
      </c>
      <c r="P2758">
        <v>0.67500000000000004</v>
      </c>
      <c r="Q2758">
        <v>5</v>
      </c>
      <c r="R2758">
        <v>8.0000000000000002E-3</v>
      </c>
      <c r="T2758" s="8" t="s">
        <v>7762</v>
      </c>
    </row>
    <row r="2759" spans="1:20" x14ac:dyDescent="0.2">
      <c r="A2759" t="s">
        <v>7764</v>
      </c>
      <c r="B2759" t="s">
        <v>2022</v>
      </c>
      <c r="C2759" t="s">
        <v>2222</v>
      </c>
      <c r="E2759" t="s">
        <v>7765</v>
      </c>
      <c r="F2759" t="s">
        <v>7766</v>
      </c>
      <c r="G2759">
        <v>1</v>
      </c>
      <c r="H2759">
        <v>1550</v>
      </c>
      <c r="I2759">
        <v>1</v>
      </c>
      <c r="J2759">
        <v>2.2999999999999998</v>
      </c>
      <c r="K2759">
        <v>1</v>
      </c>
      <c r="L2759">
        <v>0.01</v>
      </c>
      <c r="M2759">
        <v>2</v>
      </c>
      <c r="N2759">
        <v>66.5</v>
      </c>
      <c r="O2759">
        <v>2</v>
      </c>
      <c r="P2759">
        <v>0.15</v>
      </c>
      <c r="Q2759">
        <v>2</v>
      </c>
      <c r="R2759">
        <v>2.3E-3</v>
      </c>
      <c r="T2759" s="8" t="s">
        <v>7765</v>
      </c>
    </row>
    <row r="2760" spans="1:20" x14ac:dyDescent="0.2">
      <c r="A2760" t="s">
        <v>7767</v>
      </c>
      <c r="B2760" t="s">
        <v>2022</v>
      </c>
      <c r="C2760" t="s">
        <v>2023</v>
      </c>
      <c r="E2760" t="s">
        <v>211</v>
      </c>
      <c r="F2760" t="s">
        <v>2009</v>
      </c>
      <c r="G2760">
        <v>1</v>
      </c>
      <c r="H2760">
        <v>1480</v>
      </c>
      <c r="I2760">
        <v>2</v>
      </c>
      <c r="J2760">
        <v>3.4</v>
      </c>
      <c r="K2760">
        <v>1</v>
      </c>
      <c r="L2760">
        <v>8.9999999999999993E-3</v>
      </c>
      <c r="M2760">
        <v>3</v>
      </c>
      <c r="N2760">
        <v>94</v>
      </c>
      <c r="O2760">
        <v>1</v>
      </c>
      <c r="P2760">
        <v>7.4999999999999997E-2</v>
      </c>
      <c r="Q2760">
        <v>1</v>
      </c>
      <c r="R2760">
        <v>5.0000000000000001E-4</v>
      </c>
      <c r="T2760" s="8" t="s">
        <v>211</v>
      </c>
    </row>
    <row r="2761" spans="1:20" x14ac:dyDescent="0.2">
      <c r="A2761" t="s">
        <v>7768</v>
      </c>
      <c r="B2761" t="s">
        <v>2022</v>
      </c>
      <c r="C2761" t="s">
        <v>2036</v>
      </c>
      <c r="D2761" t="s">
        <v>2024</v>
      </c>
      <c r="E2761" t="s">
        <v>7769</v>
      </c>
      <c r="F2761" t="s">
        <v>7770</v>
      </c>
      <c r="G2761">
        <v>2</v>
      </c>
      <c r="H2761">
        <v>1640</v>
      </c>
      <c r="I2761">
        <v>1</v>
      </c>
      <c r="J2761">
        <v>2.2000000000000002</v>
      </c>
      <c r="K2761">
        <v>2</v>
      </c>
      <c r="L2761">
        <v>8.5000000000000006E-2</v>
      </c>
      <c r="M2761">
        <v>2</v>
      </c>
      <c r="N2761">
        <v>82</v>
      </c>
      <c r="O2761">
        <v>1</v>
      </c>
      <c r="P2761">
        <v>9.5000000000000001E-2</v>
      </c>
      <c r="Q2761">
        <v>2</v>
      </c>
      <c r="R2761">
        <v>4.2500000000000003E-3</v>
      </c>
      <c r="T2761" s="8" t="s">
        <v>7769</v>
      </c>
    </row>
    <row r="2762" spans="1:20" x14ac:dyDescent="0.2">
      <c r="A2762" t="s">
        <v>7771</v>
      </c>
      <c r="B2762" t="s">
        <v>2022</v>
      </c>
      <c r="C2762" t="s">
        <v>2036</v>
      </c>
      <c r="D2762" t="s">
        <v>2024</v>
      </c>
      <c r="E2762" t="s">
        <v>7772</v>
      </c>
      <c r="F2762" t="s">
        <v>447</v>
      </c>
      <c r="G2762">
        <v>2</v>
      </c>
      <c r="H2762">
        <v>1640</v>
      </c>
      <c r="I2762">
        <v>3</v>
      </c>
      <c r="J2762">
        <v>4.5999999999999996</v>
      </c>
      <c r="K2762">
        <v>5</v>
      </c>
      <c r="L2762">
        <v>0.17499999999999999</v>
      </c>
      <c r="M2762">
        <v>3</v>
      </c>
      <c r="N2762">
        <v>88</v>
      </c>
      <c r="O2762">
        <v>2</v>
      </c>
      <c r="P2762">
        <v>0.20499999999999999</v>
      </c>
      <c r="Q2762">
        <v>4</v>
      </c>
      <c r="R2762">
        <v>9.2499999999999995E-3</v>
      </c>
      <c r="T2762" s="8" t="s">
        <v>7772</v>
      </c>
    </row>
    <row r="2763" spans="1:20" x14ac:dyDescent="0.2">
      <c r="A2763" t="s">
        <v>7773</v>
      </c>
      <c r="B2763" t="s">
        <v>2022</v>
      </c>
      <c r="C2763" t="s">
        <v>2036</v>
      </c>
      <c r="D2763" t="s">
        <v>2024</v>
      </c>
      <c r="E2763" t="s">
        <v>7774</v>
      </c>
      <c r="F2763" t="s">
        <v>7775</v>
      </c>
      <c r="G2763">
        <v>3</v>
      </c>
      <c r="H2763">
        <v>1740</v>
      </c>
      <c r="I2763">
        <v>5</v>
      </c>
      <c r="J2763">
        <v>7</v>
      </c>
      <c r="K2763">
        <v>5</v>
      </c>
      <c r="L2763">
        <v>0.17499999999999999</v>
      </c>
      <c r="M2763">
        <v>3</v>
      </c>
      <c r="N2763">
        <v>88</v>
      </c>
      <c r="O2763">
        <v>5</v>
      </c>
      <c r="P2763">
        <v>0.53500000000000003</v>
      </c>
      <c r="Q2763">
        <v>5</v>
      </c>
      <c r="R2763">
        <v>1.2E-2</v>
      </c>
      <c r="T2763" s="8" t="s">
        <v>7774</v>
      </c>
    </row>
    <row r="2764" spans="1:20" x14ac:dyDescent="0.2">
      <c r="A2764" t="s">
        <v>7776</v>
      </c>
      <c r="B2764" t="s">
        <v>2022</v>
      </c>
      <c r="C2764" t="s">
        <v>2023</v>
      </c>
      <c r="D2764" t="s">
        <v>2024</v>
      </c>
      <c r="E2764" t="s">
        <v>7777</v>
      </c>
      <c r="F2764" t="s">
        <v>7778</v>
      </c>
      <c r="G2764">
        <v>3</v>
      </c>
      <c r="H2764">
        <v>1640</v>
      </c>
      <c r="I2764">
        <v>3</v>
      </c>
      <c r="J2764">
        <v>5.9</v>
      </c>
      <c r="K2764">
        <v>2</v>
      </c>
      <c r="L2764">
        <v>2.5999999999999999E-2</v>
      </c>
      <c r="M2764">
        <v>4</v>
      </c>
      <c r="N2764">
        <v>104</v>
      </c>
      <c r="O2764">
        <v>3</v>
      </c>
      <c r="P2764">
        <v>0.375</v>
      </c>
      <c r="Q2764">
        <v>2</v>
      </c>
      <c r="R2764">
        <v>2E-3</v>
      </c>
      <c r="T2764" s="8" t="s">
        <v>7777</v>
      </c>
    </row>
    <row r="2765" spans="1:20" x14ac:dyDescent="0.2">
      <c r="A2765" t="s">
        <v>7779</v>
      </c>
      <c r="B2765" t="s">
        <v>2022</v>
      </c>
      <c r="C2765" t="s">
        <v>2023</v>
      </c>
      <c r="D2765" t="s">
        <v>2154</v>
      </c>
      <c r="E2765" t="s">
        <v>7780</v>
      </c>
      <c r="F2765" t="s">
        <v>447</v>
      </c>
      <c r="G2765">
        <v>5</v>
      </c>
      <c r="H2765">
        <v>1800</v>
      </c>
      <c r="I2765">
        <v>1</v>
      </c>
      <c r="J2765">
        <v>0.9</v>
      </c>
      <c r="K2765">
        <v>2</v>
      </c>
      <c r="L2765">
        <v>2.5999999999999999E-2</v>
      </c>
      <c r="M2765">
        <v>5</v>
      </c>
      <c r="N2765">
        <v>114</v>
      </c>
      <c r="O2765">
        <v>1</v>
      </c>
      <c r="P2765">
        <v>7.4999999999999997E-2</v>
      </c>
      <c r="Q2765">
        <v>1</v>
      </c>
      <c r="R2765">
        <v>5.0000000000000001E-4</v>
      </c>
      <c r="T2765" s="8" t="s">
        <v>7780</v>
      </c>
    </row>
    <row r="2766" spans="1:20" x14ac:dyDescent="0.2">
      <c r="A2766" t="s">
        <v>7781</v>
      </c>
      <c r="B2766" t="s">
        <v>2022</v>
      </c>
      <c r="C2766" t="s">
        <v>2036</v>
      </c>
      <c r="D2766" t="s">
        <v>2136</v>
      </c>
      <c r="E2766" t="s">
        <v>7782</v>
      </c>
      <c r="F2766" t="s">
        <v>7783</v>
      </c>
      <c r="G2766">
        <v>3</v>
      </c>
      <c r="H2766">
        <v>1740</v>
      </c>
      <c r="I2766">
        <v>2</v>
      </c>
      <c r="J2766">
        <v>3.4</v>
      </c>
      <c r="K2766">
        <v>2</v>
      </c>
      <c r="L2766">
        <v>8.5000000000000006E-2</v>
      </c>
      <c r="M2766">
        <v>2</v>
      </c>
      <c r="N2766">
        <v>82</v>
      </c>
      <c r="O2766">
        <v>2</v>
      </c>
      <c r="P2766">
        <v>0.20499999999999999</v>
      </c>
      <c r="Q2766">
        <v>2</v>
      </c>
      <c r="R2766">
        <v>4.2500000000000003E-3</v>
      </c>
      <c r="T2766" s="8" t="s">
        <v>7782</v>
      </c>
    </row>
    <row r="2767" spans="1:20" x14ac:dyDescent="0.2">
      <c r="A2767" t="s">
        <v>1621</v>
      </c>
      <c r="B2767" t="s">
        <v>2022</v>
      </c>
      <c r="C2767" t="s">
        <v>2053</v>
      </c>
      <c r="D2767" t="s">
        <v>2024</v>
      </c>
      <c r="E2767" t="s">
        <v>1622</v>
      </c>
      <c r="F2767" t="s">
        <v>1623</v>
      </c>
      <c r="G2767">
        <v>1</v>
      </c>
      <c r="H2767">
        <v>1500</v>
      </c>
      <c r="I2767">
        <v>2</v>
      </c>
      <c r="J2767">
        <v>4.05</v>
      </c>
      <c r="K2767">
        <v>2</v>
      </c>
      <c r="L2767">
        <v>8.5000000000000006E-2</v>
      </c>
      <c r="M2767">
        <v>3</v>
      </c>
      <c r="N2767">
        <v>93</v>
      </c>
      <c r="O2767">
        <v>2</v>
      </c>
      <c r="P2767">
        <v>0.22500000000000001</v>
      </c>
      <c r="Q2767">
        <v>2</v>
      </c>
      <c r="R2767">
        <v>5.1999999999999998E-3</v>
      </c>
      <c r="T2767" s="8" t="s">
        <v>1622</v>
      </c>
    </row>
    <row r="2768" spans="1:20" x14ac:dyDescent="0.2">
      <c r="A2768" t="s">
        <v>7784</v>
      </c>
      <c r="B2768" t="s">
        <v>2022</v>
      </c>
      <c r="C2768" t="s">
        <v>2036</v>
      </c>
      <c r="D2768" t="s">
        <v>2024</v>
      </c>
      <c r="E2768" t="s">
        <v>7785</v>
      </c>
      <c r="F2768" t="s">
        <v>7786</v>
      </c>
      <c r="G2768">
        <v>2</v>
      </c>
      <c r="H2768">
        <v>1640</v>
      </c>
      <c r="I2768">
        <v>5</v>
      </c>
      <c r="J2768">
        <v>7</v>
      </c>
      <c r="K2768">
        <v>5</v>
      </c>
      <c r="L2768">
        <v>0.17499999999999999</v>
      </c>
      <c r="M2768">
        <v>3</v>
      </c>
      <c r="N2768">
        <v>88</v>
      </c>
      <c r="O2768">
        <v>3</v>
      </c>
      <c r="P2768">
        <v>0.315</v>
      </c>
      <c r="Q2768">
        <v>5</v>
      </c>
      <c r="R2768">
        <v>1.2E-2</v>
      </c>
      <c r="T2768" s="8" t="s">
        <v>7785</v>
      </c>
    </row>
    <row r="2769" spans="1:20" x14ac:dyDescent="0.2">
      <c r="A2769" t="s">
        <v>7787</v>
      </c>
      <c r="B2769" t="s">
        <v>2022</v>
      </c>
      <c r="C2769" t="s">
        <v>2053</v>
      </c>
      <c r="D2769" t="s">
        <v>2024</v>
      </c>
      <c r="E2769" t="s">
        <v>7788</v>
      </c>
      <c r="F2769" t="s">
        <v>7789</v>
      </c>
      <c r="G2769">
        <v>2</v>
      </c>
      <c r="H2769">
        <v>1600</v>
      </c>
      <c r="I2769">
        <v>5</v>
      </c>
      <c r="J2769">
        <v>11.55</v>
      </c>
      <c r="K2769">
        <v>2</v>
      </c>
      <c r="L2769">
        <v>8.5000000000000006E-2</v>
      </c>
      <c r="M2769">
        <v>2</v>
      </c>
      <c r="N2769">
        <v>83</v>
      </c>
      <c r="O2769">
        <v>5</v>
      </c>
      <c r="P2769">
        <v>0.67500000000000004</v>
      </c>
      <c r="Q2769">
        <v>2</v>
      </c>
      <c r="R2769">
        <v>5.1999999999999998E-3</v>
      </c>
      <c r="T2769" s="8" t="s">
        <v>7788</v>
      </c>
    </row>
    <row r="2770" spans="1:20" x14ac:dyDescent="0.2">
      <c r="A2770" t="s">
        <v>7790</v>
      </c>
      <c r="B2770" t="s">
        <v>2022</v>
      </c>
      <c r="C2770" t="s">
        <v>2023</v>
      </c>
      <c r="D2770" t="s">
        <v>2024</v>
      </c>
      <c r="E2770" t="s">
        <v>7791</v>
      </c>
      <c r="F2770" t="s">
        <v>7792</v>
      </c>
      <c r="G2770">
        <v>5</v>
      </c>
      <c r="H2770">
        <v>1800</v>
      </c>
      <c r="I2770">
        <v>4</v>
      </c>
      <c r="J2770">
        <v>8.4</v>
      </c>
      <c r="K2770">
        <v>5</v>
      </c>
      <c r="L2770">
        <v>8.5999999999999993E-2</v>
      </c>
      <c r="M2770">
        <v>4</v>
      </c>
      <c r="N2770">
        <v>104</v>
      </c>
      <c r="O2770">
        <v>4</v>
      </c>
      <c r="P2770">
        <v>0.52500000000000002</v>
      </c>
      <c r="Q2770">
        <v>4</v>
      </c>
      <c r="R2770">
        <v>6.0000000000000001E-3</v>
      </c>
      <c r="T2770" s="8" t="s">
        <v>7791</v>
      </c>
    </row>
    <row r="2771" spans="1:20" x14ac:dyDescent="0.2">
      <c r="A2771" t="s">
        <v>7793</v>
      </c>
      <c r="B2771" t="s">
        <v>2022</v>
      </c>
      <c r="C2771" t="s">
        <v>2173</v>
      </c>
      <c r="D2771" t="s">
        <v>2024</v>
      </c>
      <c r="E2771" t="s">
        <v>7794</v>
      </c>
      <c r="F2771" t="s">
        <v>7795</v>
      </c>
      <c r="G2771">
        <v>1</v>
      </c>
      <c r="H2771">
        <v>1882.5</v>
      </c>
      <c r="I2771">
        <v>5</v>
      </c>
      <c r="J2771">
        <v>14.45</v>
      </c>
      <c r="K2771">
        <v>2</v>
      </c>
      <c r="L2771">
        <v>0.09</v>
      </c>
      <c r="M2771">
        <v>2</v>
      </c>
      <c r="N2771">
        <v>107.5</v>
      </c>
      <c r="O2771">
        <v>4</v>
      </c>
      <c r="P2771">
        <v>0.69</v>
      </c>
      <c r="Q2771">
        <v>2</v>
      </c>
      <c r="R2771">
        <v>4.7999999999999996E-3</v>
      </c>
      <c r="T2771" s="8" t="s">
        <v>7794</v>
      </c>
    </row>
    <row r="2772" spans="1:20" x14ac:dyDescent="0.2">
      <c r="A2772" t="s">
        <v>7796</v>
      </c>
      <c r="B2772" t="s">
        <v>2022</v>
      </c>
      <c r="C2772" t="s">
        <v>2023</v>
      </c>
      <c r="D2772" t="s">
        <v>2024</v>
      </c>
      <c r="E2772" t="s">
        <v>7797</v>
      </c>
      <c r="F2772" t="s">
        <v>7798</v>
      </c>
      <c r="G2772">
        <v>4</v>
      </c>
      <c r="H2772">
        <v>1720</v>
      </c>
      <c r="I2772">
        <v>3</v>
      </c>
      <c r="J2772">
        <v>5.9</v>
      </c>
      <c r="K2772">
        <v>5</v>
      </c>
      <c r="L2772">
        <v>8.5999999999999993E-2</v>
      </c>
      <c r="M2772">
        <v>2</v>
      </c>
      <c r="N2772">
        <v>84</v>
      </c>
      <c r="O2772">
        <v>2</v>
      </c>
      <c r="P2772">
        <v>0.22500000000000001</v>
      </c>
      <c r="Q2772">
        <v>5</v>
      </c>
      <c r="R2772">
        <v>8.0000000000000002E-3</v>
      </c>
      <c r="T2772" s="8" t="s">
        <v>7797</v>
      </c>
    </row>
    <row r="2773" spans="1:20" x14ac:dyDescent="0.2">
      <c r="A2773" t="s">
        <v>7799</v>
      </c>
      <c r="B2773" t="s">
        <v>2022</v>
      </c>
      <c r="C2773" t="s">
        <v>2036</v>
      </c>
      <c r="D2773" t="s">
        <v>2154</v>
      </c>
      <c r="E2773" t="s">
        <v>357</v>
      </c>
      <c r="F2773" t="s">
        <v>7800</v>
      </c>
      <c r="G2773">
        <v>4</v>
      </c>
      <c r="H2773">
        <v>1840</v>
      </c>
      <c r="I2773">
        <v>5</v>
      </c>
      <c r="J2773">
        <v>7</v>
      </c>
      <c r="K2773">
        <v>5</v>
      </c>
      <c r="L2773">
        <v>0.17499999999999999</v>
      </c>
      <c r="M2773">
        <v>3</v>
      </c>
      <c r="N2773">
        <v>88</v>
      </c>
      <c r="O2773">
        <v>5</v>
      </c>
      <c r="P2773">
        <v>0.53500000000000003</v>
      </c>
      <c r="Q2773">
        <v>5</v>
      </c>
      <c r="R2773">
        <v>1.2E-2</v>
      </c>
      <c r="T2773" s="8" t="s">
        <v>357</v>
      </c>
    </row>
    <row r="2774" spans="1:20" x14ac:dyDescent="0.2">
      <c r="A2774" t="s">
        <v>7801</v>
      </c>
      <c r="B2774" t="s">
        <v>2022</v>
      </c>
      <c r="C2774" t="s">
        <v>2101</v>
      </c>
      <c r="D2774" t="s">
        <v>2024</v>
      </c>
      <c r="E2774" t="s">
        <v>7802</v>
      </c>
      <c r="F2774" t="s">
        <v>7803</v>
      </c>
      <c r="G2774">
        <v>2</v>
      </c>
      <c r="H2774">
        <v>1670</v>
      </c>
      <c r="I2774">
        <v>2</v>
      </c>
      <c r="J2774">
        <v>5</v>
      </c>
      <c r="K2774">
        <v>1</v>
      </c>
      <c r="L2774">
        <v>1.15E-2</v>
      </c>
      <c r="M2774">
        <v>2</v>
      </c>
      <c r="N2774">
        <v>74</v>
      </c>
      <c r="O2774">
        <v>2</v>
      </c>
      <c r="P2774">
        <v>0.22500000000000001</v>
      </c>
      <c r="Q2774">
        <v>1</v>
      </c>
      <c r="R2774">
        <v>5.0000000000000001E-4</v>
      </c>
      <c r="T2774" s="8" t="s">
        <v>7802</v>
      </c>
    </row>
    <row r="2775" spans="1:20" x14ac:dyDescent="0.2">
      <c r="A2775" t="s">
        <v>7804</v>
      </c>
      <c r="B2775" t="s">
        <v>2022</v>
      </c>
      <c r="C2775" t="s">
        <v>2222</v>
      </c>
      <c r="D2775" t="s">
        <v>2136</v>
      </c>
      <c r="E2775" t="s">
        <v>7805</v>
      </c>
      <c r="F2775" t="s">
        <v>7806</v>
      </c>
      <c r="G2775">
        <v>5</v>
      </c>
      <c r="H2775">
        <v>1850</v>
      </c>
      <c r="I2775">
        <v>2</v>
      </c>
      <c r="J2775">
        <v>3.9</v>
      </c>
      <c r="K2775">
        <v>2</v>
      </c>
      <c r="L2775">
        <v>5.5E-2</v>
      </c>
      <c r="M2775">
        <v>5</v>
      </c>
      <c r="N2775">
        <v>75</v>
      </c>
      <c r="O2775">
        <v>2</v>
      </c>
      <c r="P2775">
        <v>0.15</v>
      </c>
      <c r="Q2775">
        <v>2</v>
      </c>
      <c r="R2775">
        <v>2.3E-3</v>
      </c>
      <c r="T2775" s="8" t="s">
        <v>7805</v>
      </c>
    </row>
    <row r="2776" spans="1:20" x14ac:dyDescent="0.2">
      <c r="A2776" t="s">
        <v>7807</v>
      </c>
      <c r="B2776" t="s">
        <v>2022</v>
      </c>
      <c r="C2776" t="s">
        <v>2222</v>
      </c>
      <c r="D2776" t="s">
        <v>2136</v>
      </c>
      <c r="E2776" t="s">
        <v>7805</v>
      </c>
      <c r="F2776" t="s">
        <v>7806</v>
      </c>
      <c r="G2776">
        <v>3</v>
      </c>
      <c r="H2776">
        <v>1650</v>
      </c>
      <c r="I2776">
        <v>2</v>
      </c>
      <c r="J2776">
        <v>3.9</v>
      </c>
      <c r="K2776">
        <v>2</v>
      </c>
      <c r="L2776">
        <v>5.5E-2</v>
      </c>
      <c r="M2776">
        <v>4</v>
      </c>
      <c r="N2776">
        <v>71</v>
      </c>
      <c r="O2776">
        <v>2</v>
      </c>
      <c r="P2776">
        <v>0.15</v>
      </c>
      <c r="Q2776">
        <v>2</v>
      </c>
      <c r="R2776">
        <v>2.3E-3</v>
      </c>
      <c r="T2776" s="8" t="s">
        <v>7805</v>
      </c>
    </row>
    <row r="2777" spans="1:20" x14ac:dyDescent="0.2">
      <c r="A2777" t="s">
        <v>7808</v>
      </c>
      <c r="B2777" t="s">
        <v>2022</v>
      </c>
      <c r="C2777" t="s">
        <v>2222</v>
      </c>
      <c r="D2777" t="s">
        <v>2136</v>
      </c>
      <c r="E2777" t="s">
        <v>7805</v>
      </c>
      <c r="F2777" t="s">
        <v>7806</v>
      </c>
      <c r="G2777">
        <v>2</v>
      </c>
      <c r="H2777">
        <v>1550</v>
      </c>
      <c r="I2777">
        <v>2</v>
      </c>
      <c r="J2777">
        <v>3.9</v>
      </c>
      <c r="K2777">
        <v>2</v>
      </c>
      <c r="L2777">
        <v>5.5E-2</v>
      </c>
      <c r="M2777">
        <v>4</v>
      </c>
      <c r="N2777">
        <v>71</v>
      </c>
      <c r="O2777">
        <v>3</v>
      </c>
      <c r="P2777">
        <v>0.23</v>
      </c>
      <c r="Q2777">
        <v>2</v>
      </c>
      <c r="R2777">
        <v>2.3E-3</v>
      </c>
      <c r="T2777" s="8" t="s">
        <v>7805</v>
      </c>
    </row>
    <row r="2778" spans="1:20" x14ac:dyDescent="0.2">
      <c r="A2778" t="s">
        <v>7809</v>
      </c>
      <c r="B2778" t="s">
        <v>2022</v>
      </c>
      <c r="C2778" t="s">
        <v>2104</v>
      </c>
      <c r="D2778" t="s">
        <v>2136</v>
      </c>
      <c r="E2778" t="s">
        <v>7805</v>
      </c>
      <c r="F2778" t="s">
        <v>7806</v>
      </c>
      <c r="G2778">
        <v>3</v>
      </c>
      <c r="H2778">
        <v>1887.5</v>
      </c>
      <c r="I2778">
        <v>3</v>
      </c>
      <c r="J2778">
        <v>5.55</v>
      </c>
      <c r="K2778">
        <v>3</v>
      </c>
      <c r="L2778">
        <v>9.0999999999999998E-2</v>
      </c>
      <c r="M2778">
        <v>3</v>
      </c>
      <c r="N2778">
        <v>73</v>
      </c>
      <c r="P2778">
        <v>0</v>
      </c>
      <c r="Q2778">
        <v>2</v>
      </c>
      <c r="R2778">
        <v>3.2000000000000002E-3</v>
      </c>
      <c r="T2778" s="8" t="s">
        <v>7805</v>
      </c>
    </row>
    <row r="2779" spans="1:20" x14ac:dyDescent="0.2">
      <c r="A2779" t="s">
        <v>7810</v>
      </c>
      <c r="B2779" t="s">
        <v>2022</v>
      </c>
      <c r="C2779" t="s">
        <v>2053</v>
      </c>
      <c r="D2779" t="s">
        <v>2024</v>
      </c>
      <c r="E2779" t="s">
        <v>7811</v>
      </c>
      <c r="F2779" t="s">
        <v>7812</v>
      </c>
      <c r="G2779">
        <v>2</v>
      </c>
      <c r="H2779">
        <v>1600</v>
      </c>
      <c r="I2779">
        <v>3</v>
      </c>
      <c r="J2779">
        <v>6.55</v>
      </c>
      <c r="K2779">
        <v>3</v>
      </c>
      <c r="L2779">
        <v>0.19500000000000001</v>
      </c>
      <c r="M2779">
        <v>5</v>
      </c>
      <c r="N2779">
        <v>113</v>
      </c>
      <c r="O2779">
        <v>3</v>
      </c>
      <c r="P2779">
        <v>0.375</v>
      </c>
      <c r="Q2779">
        <v>3</v>
      </c>
      <c r="R2779">
        <v>1.2200000000000001E-2</v>
      </c>
      <c r="T2779" s="8" t="s">
        <v>7811</v>
      </c>
    </row>
    <row r="2780" spans="1:20" x14ac:dyDescent="0.2">
      <c r="A2780" t="s">
        <v>7813</v>
      </c>
      <c r="B2780" t="s">
        <v>2022</v>
      </c>
      <c r="C2780" t="s">
        <v>2053</v>
      </c>
      <c r="D2780" t="s">
        <v>2024</v>
      </c>
      <c r="E2780" t="s">
        <v>7814</v>
      </c>
      <c r="F2780" t="s">
        <v>7815</v>
      </c>
      <c r="G2780">
        <v>2</v>
      </c>
      <c r="H2780">
        <v>1600</v>
      </c>
      <c r="I2780">
        <v>3</v>
      </c>
      <c r="J2780">
        <v>6.55</v>
      </c>
      <c r="K2780">
        <v>1</v>
      </c>
      <c r="L2780">
        <v>1.4999999999999999E-2</v>
      </c>
      <c r="M2780">
        <v>4</v>
      </c>
      <c r="N2780">
        <v>103</v>
      </c>
      <c r="O2780">
        <v>3</v>
      </c>
      <c r="P2780">
        <v>0.375</v>
      </c>
      <c r="Q2780">
        <v>1</v>
      </c>
      <c r="R2780">
        <v>8.4999999999999995E-4</v>
      </c>
      <c r="T2780" s="8" t="s">
        <v>7814</v>
      </c>
    </row>
    <row r="2781" spans="1:20" x14ac:dyDescent="0.2">
      <c r="A2781" t="s">
        <v>7816</v>
      </c>
      <c r="B2781" t="s">
        <v>2022</v>
      </c>
      <c r="C2781" t="s">
        <v>2023</v>
      </c>
      <c r="D2781" t="s">
        <v>2136</v>
      </c>
      <c r="E2781" t="s">
        <v>7817</v>
      </c>
      <c r="F2781" t="s">
        <v>7818</v>
      </c>
      <c r="G2781">
        <v>3</v>
      </c>
      <c r="H2781">
        <v>1640</v>
      </c>
      <c r="I2781">
        <v>1</v>
      </c>
      <c r="J2781">
        <v>0.9</v>
      </c>
      <c r="K2781">
        <v>2</v>
      </c>
      <c r="L2781">
        <v>2.5999999999999999E-2</v>
      </c>
      <c r="M2781">
        <v>5</v>
      </c>
      <c r="N2781">
        <v>114</v>
      </c>
      <c r="O2781">
        <v>2</v>
      </c>
      <c r="P2781">
        <v>0.22500000000000001</v>
      </c>
      <c r="Q2781">
        <v>2</v>
      </c>
      <c r="R2781">
        <v>2E-3</v>
      </c>
      <c r="T2781" s="8" t="s">
        <v>7817</v>
      </c>
    </row>
    <row r="2782" spans="1:20" x14ac:dyDescent="0.2">
      <c r="A2782" t="s">
        <v>7819</v>
      </c>
      <c r="B2782" t="s">
        <v>2022</v>
      </c>
      <c r="C2782" t="s">
        <v>2053</v>
      </c>
      <c r="D2782" t="s">
        <v>2024</v>
      </c>
      <c r="E2782" t="s">
        <v>7820</v>
      </c>
      <c r="F2782" t="s">
        <v>7821</v>
      </c>
      <c r="G2782">
        <v>2</v>
      </c>
      <c r="H2782">
        <v>1600</v>
      </c>
      <c r="I2782">
        <v>3</v>
      </c>
      <c r="J2782">
        <v>6.55</v>
      </c>
      <c r="K2782">
        <v>2</v>
      </c>
      <c r="L2782">
        <v>8.5000000000000006E-2</v>
      </c>
      <c r="M2782">
        <v>4</v>
      </c>
      <c r="N2782">
        <v>103</v>
      </c>
      <c r="O2782">
        <v>3</v>
      </c>
      <c r="P2782">
        <v>0.375</v>
      </c>
      <c r="Q2782">
        <v>2</v>
      </c>
      <c r="R2782">
        <v>5.1999999999999998E-3</v>
      </c>
      <c r="T2782" s="8" t="s">
        <v>7820</v>
      </c>
    </row>
    <row r="2783" spans="1:20" x14ac:dyDescent="0.2">
      <c r="A2783" t="s">
        <v>7822</v>
      </c>
      <c r="B2783" t="s">
        <v>2022</v>
      </c>
      <c r="C2783" t="s">
        <v>2023</v>
      </c>
      <c r="D2783" t="s">
        <v>2024</v>
      </c>
      <c r="E2783" t="s">
        <v>7823</v>
      </c>
      <c r="F2783" t="s">
        <v>7824</v>
      </c>
      <c r="G2783">
        <v>4</v>
      </c>
      <c r="H2783">
        <v>1720</v>
      </c>
      <c r="I2783">
        <v>4</v>
      </c>
      <c r="J2783">
        <v>8.4</v>
      </c>
      <c r="K2783">
        <v>5</v>
      </c>
      <c r="L2783">
        <v>8.5999999999999993E-2</v>
      </c>
      <c r="M2783">
        <v>2</v>
      </c>
      <c r="N2783">
        <v>84</v>
      </c>
      <c r="O2783">
        <v>3</v>
      </c>
      <c r="P2783">
        <v>0.375</v>
      </c>
      <c r="Q2783">
        <v>5</v>
      </c>
      <c r="R2783">
        <v>8.0000000000000002E-3</v>
      </c>
      <c r="T2783" s="8" t="s">
        <v>7823</v>
      </c>
    </row>
    <row r="2784" spans="1:20" x14ac:dyDescent="0.2">
      <c r="A2784" t="s">
        <v>7825</v>
      </c>
      <c r="B2784" t="s">
        <v>2022</v>
      </c>
      <c r="C2784" t="s">
        <v>2036</v>
      </c>
      <c r="D2784" t="s">
        <v>2024</v>
      </c>
      <c r="E2784" t="s">
        <v>7826</v>
      </c>
      <c r="F2784" t="s">
        <v>7827</v>
      </c>
      <c r="G2784">
        <v>3</v>
      </c>
      <c r="H2784">
        <v>1740</v>
      </c>
      <c r="I2784">
        <v>2</v>
      </c>
      <c r="J2784">
        <v>3.4</v>
      </c>
      <c r="K2784">
        <v>5</v>
      </c>
      <c r="L2784">
        <v>0.17499999999999999</v>
      </c>
      <c r="M2784">
        <v>3</v>
      </c>
      <c r="N2784">
        <v>88</v>
      </c>
      <c r="O2784">
        <v>2</v>
      </c>
      <c r="P2784">
        <v>0.20499999999999999</v>
      </c>
      <c r="Q2784">
        <v>3</v>
      </c>
      <c r="R2784">
        <v>6.7499999999999999E-3</v>
      </c>
      <c r="T2784" s="8" t="s">
        <v>7826</v>
      </c>
    </row>
    <row r="2785" spans="1:20" x14ac:dyDescent="0.2">
      <c r="A2785" t="s">
        <v>7828</v>
      </c>
      <c r="B2785" t="s">
        <v>2022</v>
      </c>
      <c r="C2785" t="s">
        <v>2023</v>
      </c>
      <c r="D2785" t="s">
        <v>2024</v>
      </c>
      <c r="E2785" t="s">
        <v>7829</v>
      </c>
      <c r="F2785" t="s">
        <v>7830</v>
      </c>
      <c r="G2785">
        <v>5</v>
      </c>
      <c r="H2785">
        <v>1800</v>
      </c>
      <c r="I2785">
        <v>4</v>
      </c>
      <c r="J2785">
        <v>8.4</v>
      </c>
      <c r="K2785">
        <v>5</v>
      </c>
      <c r="L2785">
        <v>8.5999999999999993E-2</v>
      </c>
      <c r="M2785">
        <v>3</v>
      </c>
      <c r="N2785">
        <v>94</v>
      </c>
      <c r="O2785">
        <v>3</v>
      </c>
      <c r="P2785">
        <v>0.375</v>
      </c>
      <c r="Q2785">
        <v>5</v>
      </c>
      <c r="R2785">
        <v>8.0000000000000002E-3</v>
      </c>
      <c r="T2785" s="8" t="s">
        <v>7829</v>
      </c>
    </row>
    <row r="2786" spans="1:20" x14ac:dyDescent="0.2">
      <c r="A2786" t="s">
        <v>7831</v>
      </c>
      <c r="B2786" t="s">
        <v>2022</v>
      </c>
      <c r="C2786" t="s">
        <v>2023</v>
      </c>
      <c r="D2786" t="s">
        <v>2024</v>
      </c>
      <c r="E2786" t="s">
        <v>7832</v>
      </c>
      <c r="F2786" t="s">
        <v>7833</v>
      </c>
      <c r="G2786">
        <v>1</v>
      </c>
      <c r="H2786">
        <v>1480</v>
      </c>
      <c r="I2786">
        <v>2</v>
      </c>
      <c r="J2786">
        <v>3.4</v>
      </c>
      <c r="K2786">
        <v>3</v>
      </c>
      <c r="L2786">
        <v>4.5999999999999999E-2</v>
      </c>
      <c r="M2786">
        <v>1</v>
      </c>
      <c r="N2786">
        <v>74</v>
      </c>
      <c r="O2786">
        <v>2</v>
      </c>
      <c r="P2786">
        <v>0.22500000000000001</v>
      </c>
      <c r="Q2786">
        <v>2</v>
      </c>
      <c r="R2786">
        <v>2E-3</v>
      </c>
      <c r="T2786" s="8" t="s">
        <v>7832</v>
      </c>
    </row>
    <row r="2787" spans="1:20" x14ac:dyDescent="0.2">
      <c r="A2787" t="s">
        <v>7834</v>
      </c>
      <c r="B2787" t="s">
        <v>2022</v>
      </c>
      <c r="C2787" t="s">
        <v>2036</v>
      </c>
      <c r="D2787" t="s">
        <v>2024</v>
      </c>
      <c r="E2787" t="s">
        <v>7835</v>
      </c>
      <c r="F2787" t="s">
        <v>7836</v>
      </c>
      <c r="G2787">
        <v>3</v>
      </c>
      <c r="H2787">
        <v>1740</v>
      </c>
      <c r="I2787">
        <v>5</v>
      </c>
      <c r="J2787">
        <v>7</v>
      </c>
      <c r="K2787">
        <v>5</v>
      </c>
      <c r="L2787">
        <v>0.17499999999999999</v>
      </c>
      <c r="M2787">
        <v>3</v>
      </c>
      <c r="N2787">
        <v>88</v>
      </c>
      <c r="O2787">
        <v>3</v>
      </c>
      <c r="P2787">
        <v>0.315</v>
      </c>
      <c r="Q2787">
        <v>5</v>
      </c>
      <c r="R2787">
        <v>1.2E-2</v>
      </c>
      <c r="T2787" s="8" t="s">
        <v>7835</v>
      </c>
    </row>
    <row r="2788" spans="1:20" x14ac:dyDescent="0.2">
      <c r="A2788" t="s">
        <v>7837</v>
      </c>
      <c r="B2788" t="s">
        <v>2022</v>
      </c>
      <c r="C2788" t="s">
        <v>2036</v>
      </c>
      <c r="D2788" t="s">
        <v>2136</v>
      </c>
      <c r="E2788" t="s">
        <v>357</v>
      </c>
      <c r="F2788" t="s">
        <v>447</v>
      </c>
      <c r="G2788">
        <v>2</v>
      </c>
      <c r="H2788">
        <v>1640</v>
      </c>
      <c r="I2788">
        <v>5</v>
      </c>
      <c r="J2788">
        <v>7</v>
      </c>
      <c r="K2788">
        <v>4</v>
      </c>
      <c r="L2788">
        <v>0.14499999999999999</v>
      </c>
      <c r="M2788">
        <v>4</v>
      </c>
      <c r="N2788">
        <v>94</v>
      </c>
      <c r="O2788">
        <v>4</v>
      </c>
      <c r="P2788">
        <v>0.42499999999999999</v>
      </c>
      <c r="Q2788">
        <v>4</v>
      </c>
      <c r="R2788">
        <v>9.2499999999999995E-3</v>
      </c>
      <c r="T2788" s="8" t="s">
        <v>357</v>
      </c>
    </row>
    <row r="2789" spans="1:20" x14ac:dyDescent="0.2">
      <c r="A2789" t="s">
        <v>7838</v>
      </c>
      <c r="B2789" t="s">
        <v>2022</v>
      </c>
      <c r="C2789" t="s">
        <v>2023</v>
      </c>
      <c r="D2789" t="s">
        <v>2024</v>
      </c>
      <c r="E2789" t="s">
        <v>7839</v>
      </c>
      <c r="F2789" t="s">
        <v>7840</v>
      </c>
      <c r="G2789">
        <v>3</v>
      </c>
      <c r="H2789">
        <v>1640</v>
      </c>
      <c r="I2789">
        <v>3</v>
      </c>
      <c r="J2789">
        <v>5.9</v>
      </c>
      <c r="K2789">
        <v>5</v>
      </c>
      <c r="L2789">
        <v>8.5999999999999993E-2</v>
      </c>
      <c r="M2789">
        <v>5</v>
      </c>
      <c r="N2789">
        <v>114</v>
      </c>
      <c r="O2789">
        <v>3</v>
      </c>
      <c r="P2789">
        <v>0.375</v>
      </c>
      <c r="Q2789">
        <v>5</v>
      </c>
      <c r="R2789">
        <v>8.0000000000000002E-3</v>
      </c>
      <c r="T2789" s="8" t="s">
        <v>7839</v>
      </c>
    </row>
    <row r="2790" spans="1:20" x14ac:dyDescent="0.2">
      <c r="A2790" t="s">
        <v>7841</v>
      </c>
      <c r="B2790" t="s">
        <v>2022</v>
      </c>
      <c r="C2790" t="s">
        <v>2101</v>
      </c>
      <c r="D2790" t="s">
        <v>2024</v>
      </c>
      <c r="E2790" t="s">
        <v>7839</v>
      </c>
      <c r="F2790" t="s">
        <v>7840</v>
      </c>
      <c r="G2790">
        <v>2</v>
      </c>
      <c r="H2790">
        <v>1670</v>
      </c>
      <c r="I2790">
        <v>3</v>
      </c>
      <c r="J2790">
        <v>8</v>
      </c>
      <c r="K2790">
        <v>3</v>
      </c>
      <c r="L2790">
        <v>0.24349999999999999</v>
      </c>
      <c r="M2790">
        <v>3</v>
      </c>
      <c r="N2790">
        <v>82</v>
      </c>
      <c r="O2790">
        <v>3</v>
      </c>
      <c r="P2790">
        <v>0.375</v>
      </c>
      <c r="Q2790">
        <v>3</v>
      </c>
      <c r="R2790">
        <v>1.15E-2</v>
      </c>
      <c r="T2790" s="8" t="s">
        <v>7839</v>
      </c>
    </row>
    <row r="2791" spans="1:20" x14ac:dyDescent="0.2">
      <c r="A2791" t="s">
        <v>7842</v>
      </c>
      <c r="B2791" t="s">
        <v>2022</v>
      </c>
      <c r="C2791" t="s">
        <v>2023</v>
      </c>
      <c r="D2791" t="s">
        <v>2024</v>
      </c>
      <c r="E2791" t="s">
        <v>7839</v>
      </c>
      <c r="F2791" t="s">
        <v>7840</v>
      </c>
      <c r="G2791">
        <v>5</v>
      </c>
      <c r="H2791">
        <v>1800</v>
      </c>
      <c r="I2791">
        <v>5</v>
      </c>
      <c r="J2791">
        <v>10.9</v>
      </c>
      <c r="K2791">
        <v>5</v>
      </c>
      <c r="L2791">
        <v>8.5999999999999993E-2</v>
      </c>
      <c r="M2791">
        <v>5</v>
      </c>
      <c r="N2791">
        <v>114</v>
      </c>
      <c r="O2791">
        <v>5</v>
      </c>
      <c r="P2791">
        <v>0.67500000000000004</v>
      </c>
      <c r="Q2791">
        <v>5</v>
      </c>
      <c r="R2791">
        <v>8.0000000000000002E-3</v>
      </c>
      <c r="T2791" s="8" t="s">
        <v>7839</v>
      </c>
    </row>
    <row r="2792" spans="1:20" x14ac:dyDescent="0.2">
      <c r="A2792" t="s">
        <v>7843</v>
      </c>
      <c r="B2792" t="s">
        <v>2022</v>
      </c>
      <c r="C2792" t="s">
        <v>2036</v>
      </c>
      <c r="D2792" t="s">
        <v>2024</v>
      </c>
      <c r="E2792" t="s">
        <v>7839</v>
      </c>
      <c r="F2792" t="s">
        <v>7840</v>
      </c>
      <c r="G2792">
        <v>3</v>
      </c>
      <c r="H2792">
        <v>1740</v>
      </c>
      <c r="I2792">
        <v>5</v>
      </c>
      <c r="J2792">
        <v>7</v>
      </c>
      <c r="K2792">
        <v>5</v>
      </c>
      <c r="L2792">
        <v>0.17499999999999999</v>
      </c>
      <c r="M2792">
        <v>3</v>
      </c>
      <c r="N2792">
        <v>88</v>
      </c>
      <c r="O2792">
        <v>4</v>
      </c>
      <c r="P2792">
        <v>0.42499999999999999</v>
      </c>
      <c r="Q2792">
        <v>5</v>
      </c>
      <c r="R2792">
        <v>1.2E-2</v>
      </c>
      <c r="T2792" s="8" t="s">
        <v>7839</v>
      </c>
    </row>
    <row r="2793" spans="1:20" x14ac:dyDescent="0.2">
      <c r="A2793" t="s">
        <v>7844</v>
      </c>
      <c r="B2793" t="s">
        <v>2022</v>
      </c>
      <c r="C2793" t="s">
        <v>2023</v>
      </c>
      <c r="D2793" t="s">
        <v>2024</v>
      </c>
      <c r="E2793" t="s">
        <v>7845</v>
      </c>
      <c r="F2793" t="s">
        <v>7846</v>
      </c>
      <c r="G2793">
        <v>2</v>
      </c>
      <c r="H2793">
        <v>1560</v>
      </c>
      <c r="I2793">
        <v>1</v>
      </c>
      <c r="J2793">
        <v>0.9</v>
      </c>
      <c r="K2793">
        <v>1</v>
      </c>
      <c r="L2793">
        <v>6.0000000000000001E-3</v>
      </c>
      <c r="M2793">
        <v>2</v>
      </c>
      <c r="N2793">
        <v>84</v>
      </c>
      <c r="O2793">
        <v>1</v>
      </c>
      <c r="P2793">
        <v>7.4999999999999997E-2</v>
      </c>
      <c r="Q2793">
        <v>1</v>
      </c>
      <c r="R2793">
        <v>5.0000000000000001E-4</v>
      </c>
      <c r="T2793" s="8" t="s">
        <v>7845</v>
      </c>
    </row>
    <row r="2794" spans="1:20" x14ac:dyDescent="0.2">
      <c r="A2794" t="s">
        <v>7847</v>
      </c>
      <c r="B2794" t="s">
        <v>2022</v>
      </c>
      <c r="C2794" t="s">
        <v>2023</v>
      </c>
      <c r="D2794" t="s">
        <v>2024</v>
      </c>
      <c r="E2794" t="s">
        <v>7848</v>
      </c>
      <c r="F2794" t="s">
        <v>7849</v>
      </c>
      <c r="G2794">
        <v>2</v>
      </c>
      <c r="H2794">
        <v>1560</v>
      </c>
      <c r="I2794">
        <v>1</v>
      </c>
      <c r="J2794">
        <v>0.9</v>
      </c>
      <c r="K2794">
        <v>2</v>
      </c>
      <c r="L2794">
        <v>2.5999999999999999E-2</v>
      </c>
      <c r="M2794">
        <v>3</v>
      </c>
      <c r="N2794">
        <v>94</v>
      </c>
      <c r="O2794">
        <v>1</v>
      </c>
      <c r="P2794">
        <v>7.4999999999999997E-2</v>
      </c>
      <c r="Q2794">
        <v>2</v>
      </c>
      <c r="R2794">
        <v>2E-3</v>
      </c>
      <c r="T2794" s="8" t="s">
        <v>7848</v>
      </c>
    </row>
    <row r="2795" spans="1:20" x14ac:dyDescent="0.2">
      <c r="A2795" t="s">
        <v>7850</v>
      </c>
      <c r="B2795" t="s">
        <v>2022</v>
      </c>
      <c r="C2795" t="s">
        <v>2053</v>
      </c>
      <c r="D2795" t="s">
        <v>2024</v>
      </c>
      <c r="E2795" t="s">
        <v>7851</v>
      </c>
      <c r="F2795" t="s">
        <v>447</v>
      </c>
      <c r="G2795">
        <v>4</v>
      </c>
      <c r="H2795">
        <v>1800</v>
      </c>
      <c r="I2795">
        <v>2</v>
      </c>
      <c r="J2795">
        <v>4.05</v>
      </c>
      <c r="K2795">
        <v>2</v>
      </c>
      <c r="L2795">
        <v>8.5000000000000006E-2</v>
      </c>
      <c r="M2795">
        <v>3</v>
      </c>
      <c r="N2795">
        <v>93</v>
      </c>
      <c r="O2795">
        <v>2</v>
      </c>
      <c r="P2795">
        <v>0.22500000000000001</v>
      </c>
      <c r="Q2795">
        <v>2</v>
      </c>
      <c r="R2795">
        <v>5.1999999999999998E-3</v>
      </c>
      <c r="T2795" s="8" t="s">
        <v>7851</v>
      </c>
    </row>
    <row r="2796" spans="1:20" x14ac:dyDescent="0.2">
      <c r="A2796" t="s">
        <v>7852</v>
      </c>
      <c r="B2796" t="s">
        <v>2022</v>
      </c>
      <c r="C2796" t="s">
        <v>2049</v>
      </c>
      <c r="D2796" t="s">
        <v>2136</v>
      </c>
      <c r="E2796" t="s">
        <v>7853</v>
      </c>
      <c r="F2796" t="s">
        <v>7854</v>
      </c>
      <c r="G2796">
        <v>2</v>
      </c>
      <c r="H2796">
        <v>1450</v>
      </c>
      <c r="I2796">
        <v>2</v>
      </c>
      <c r="J2796">
        <v>3.2</v>
      </c>
      <c r="K2796">
        <v>2</v>
      </c>
      <c r="L2796">
        <v>0.06</v>
      </c>
      <c r="M2796">
        <v>1</v>
      </c>
      <c r="N2796">
        <v>86</v>
      </c>
      <c r="O2796">
        <v>2</v>
      </c>
      <c r="P2796">
        <v>0.26</v>
      </c>
      <c r="Q2796">
        <v>2</v>
      </c>
      <c r="R2796">
        <v>6.1999999999999998E-3</v>
      </c>
      <c r="T2796" s="8" t="s">
        <v>7853</v>
      </c>
    </row>
    <row r="2797" spans="1:20" x14ac:dyDescent="0.2">
      <c r="A2797" t="s">
        <v>7855</v>
      </c>
      <c r="B2797" t="s">
        <v>2022</v>
      </c>
      <c r="C2797" t="s">
        <v>2053</v>
      </c>
      <c r="D2797" t="s">
        <v>2136</v>
      </c>
      <c r="E2797" t="s">
        <v>7856</v>
      </c>
      <c r="F2797" t="s">
        <v>7854</v>
      </c>
      <c r="G2797">
        <v>3</v>
      </c>
      <c r="H2797">
        <v>1700</v>
      </c>
      <c r="I2797">
        <v>1</v>
      </c>
      <c r="J2797">
        <v>1.55</v>
      </c>
      <c r="K2797">
        <v>2</v>
      </c>
      <c r="L2797">
        <v>8.5000000000000006E-2</v>
      </c>
      <c r="M2797">
        <v>4</v>
      </c>
      <c r="N2797">
        <v>103</v>
      </c>
      <c r="O2797">
        <v>2</v>
      </c>
      <c r="P2797">
        <v>0.22500000000000001</v>
      </c>
      <c r="Q2797">
        <v>2</v>
      </c>
      <c r="R2797">
        <v>5.1999999999999998E-3</v>
      </c>
      <c r="T2797" s="8" t="s">
        <v>7856</v>
      </c>
    </row>
    <row r="2798" spans="1:20" x14ac:dyDescent="0.2">
      <c r="A2798" t="s">
        <v>7857</v>
      </c>
      <c r="B2798" t="s">
        <v>2022</v>
      </c>
      <c r="C2798" t="s">
        <v>2104</v>
      </c>
      <c r="D2798" t="s">
        <v>2024</v>
      </c>
      <c r="E2798" t="s">
        <v>7858</v>
      </c>
      <c r="F2798" t="s">
        <v>7859</v>
      </c>
      <c r="G2798">
        <v>2</v>
      </c>
      <c r="H2798">
        <v>1712.5</v>
      </c>
      <c r="I2798">
        <v>5</v>
      </c>
      <c r="J2798">
        <v>10.15</v>
      </c>
      <c r="K2798">
        <v>5</v>
      </c>
      <c r="L2798">
        <v>0.191</v>
      </c>
      <c r="M2798">
        <v>2</v>
      </c>
      <c r="N2798">
        <v>65</v>
      </c>
      <c r="P2798">
        <v>0</v>
      </c>
      <c r="Q2798">
        <v>4</v>
      </c>
      <c r="R2798">
        <v>1.32E-2</v>
      </c>
      <c r="T2798" s="8" t="s">
        <v>7858</v>
      </c>
    </row>
    <row r="2799" spans="1:20" x14ac:dyDescent="0.2">
      <c r="A2799" t="s">
        <v>7860</v>
      </c>
      <c r="B2799" t="s">
        <v>2022</v>
      </c>
      <c r="C2799" t="s">
        <v>2023</v>
      </c>
      <c r="D2799" t="s">
        <v>2024</v>
      </c>
      <c r="E2799" t="s">
        <v>7858</v>
      </c>
      <c r="F2799" t="s">
        <v>7859</v>
      </c>
      <c r="G2799">
        <v>2</v>
      </c>
      <c r="H2799">
        <v>1560</v>
      </c>
      <c r="I2799">
        <v>5</v>
      </c>
      <c r="J2799">
        <v>10.9</v>
      </c>
      <c r="K2799">
        <v>5</v>
      </c>
      <c r="L2799">
        <v>8.5999999999999993E-2</v>
      </c>
      <c r="M2799">
        <v>2</v>
      </c>
      <c r="N2799">
        <v>84</v>
      </c>
      <c r="O2799">
        <v>5</v>
      </c>
      <c r="P2799">
        <v>0.67500000000000004</v>
      </c>
      <c r="Q2799">
        <v>5</v>
      </c>
      <c r="R2799">
        <v>8.0000000000000002E-3</v>
      </c>
      <c r="T2799" s="8" t="s">
        <v>7858</v>
      </c>
    </row>
    <row r="2800" spans="1:20" x14ac:dyDescent="0.2">
      <c r="A2800" t="s">
        <v>7861</v>
      </c>
      <c r="B2800" t="s">
        <v>2022</v>
      </c>
      <c r="C2800" t="s">
        <v>2023</v>
      </c>
      <c r="D2800" t="s">
        <v>2024</v>
      </c>
      <c r="E2800" t="s">
        <v>7862</v>
      </c>
      <c r="F2800" t="s">
        <v>7863</v>
      </c>
      <c r="G2800">
        <v>1</v>
      </c>
      <c r="H2800">
        <v>1480</v>
      </c>
      <c r="I2800">
        <v>1</v>
      </c>
      <c r="J2800">
        <v>0.9</v>
      </c>
      <c r="K2800">
        <v>1</v>
      </c>
      <c r="L2800">
        <v>6.0000000000000001E-3</v>
      </c>
      <c r="M2800">
        <v>1</v>
      </c>
      <c r="N2800">
        <v>74</v>
      </c>
      <c r="O2800">
        <v>1</v>
      </c>
      <c r="P2800">
        <v>7.4999999999999997E-2</v>
      </c>
      <c r="Q2800">
        <v>1</v>
      </c>
      <c r="R2800">
        <v>5.0000000000000001E-4</v>
      </c>
      <c r="T2800" s="8" t="s">
        <v>7862</v>
      </c>
    </row>
    <row r="2801" spans="1:20" x14ac:dyDescent="0.2">
      <c r="A2801" t="s">
        <v>7864</v>
      </c>
      <c r="B2801" t="s">
        <v>2022</v>
      </c>
      <c r="C2801" t="s">
        <v>2053</v>
      </c>
      <c r="D2801" t="s">
        <v>2024</v>
      </c>
      <c r="E2801" t="s">
        <v>7865</v>
      </c>
      <c r="F2801" t="s">
        <v>7866</v>
      </c>
      <c r="G2801">
        <v>2</v>
      </c>
      <c r="H2801">
        <v>1600</v>
      </c>
      <c r="I2801">
        <v>2</v>
      </c>
      <c r="J2801">
        <v>4.05</v>
      </c>
      <c r="K2801">
        <v>2</v>
      </c>
      <c r="L2801">
        <v>8.5000000000000006E-2</v>
      </c>
      <c r="M2801">
        <v>2</v>
      </c>
      <c r="N2801">
        <v>83</v>
      </c>
      <c r="O2801">
        <v>2</v>
      </c>
      <c r="P2801">
        <v>0.22500000000000001</v>
      </c>
      <c r="Q2801">
        <v>2</v>
      </c>
      <c r="R2801">
        <v>5.1999999999999998E-3</v>
      </c>
      <c r="T2801" s="8" t="s">
        <v>7865</v>
      </c>
    </row>
    <row r="2802" spans="1:20" x14ac:dyDescent="0.2">
      <c r="A2802" t="s">
        <v>7867</v>
      </c>
      <c r="B2802" t="s">
        <v>2022</v>
      </c>
      <c r="C2802" t="s">
        <v>2101</v>
      </c>
      <c r="D2802" t="s">
        <v>2024</v>
      </c>
      <c r="E2802" t="s">
        <v>7868</v>
      </c>
      <c r="F2802" t="s">
        <v>7869</v>
      </c>
      <c r="G2802">
        <v>2</v>
      </c>
      <c r="H2802">
        <v>1670</v>
      </c>
      <c r="I2802">
        <v>5</v>
      </c>
      <c r="J2802">
        <v>14</v>
      </c>
      <c r="K2802">
        <v>5</v>
      </c>
      <c r="L2802">
        <v>0.53749999999999998</v>
      </c>
      <c r="M2802">
        <v>1</v>
      </c>
      <c r="N2802">
        <v>66</v>
      </c>
      <c r="O2802">
        <v>5</v>
      </c>
      <c r="P2802">
        <v>0.67500000000000004</v>
      </c>
      <c r="Q2802">
        <v>5</v>
      </c>
      <c r="R2802">
        <v>2.5499999999999998E-2</v>
      </c>
      <c r="T2802" s="8" t="s">
        <v>7868</v>
      </c>
    </row>
    <row r="2803" spans="1:20" x14ac:dyDescent="0.2">
      <c r="A2803" t="s">
        <v>7870</v>
      </c>
      <c r="B2803" t="s">
        <v>2022</v>
      </c>
      <c r="C2803" t="s">
        <v>2101</v>
      </c>
      <c r="D2803" t="s">
        <v>2024</v>
      </c>
      <c r="E2803" t="s">
        <v>7871</v>
      </c>
      <c r="F2803" t="s">
        <v>7872</v>
      </c>
      <c r="G2803">
        <v>2</v>
      </c>
      <c r="H2803">
        <v>1670</v>
      </c>
      <c r="I2803">
        <v>2</v>
      </c>
      <c r="J2803">
        <v>5</v>
      </c>
      <c r="K2803">
        <v>2</v>
      </c>
      <c r="L2803">
        <v>9.6500000000000002E-2</v>
      </c>
      <c r="M2803">
        <v>2</v>
      </c>
      <c r="N2803">
        <v>74</v>
      </c>
      <c r="O2803">
        <v>2</v>
      </c>
      <c r="P2803">
        <v>0.22500000000000001</v>
      </c>
      <c r="Q2803">
        <v>2</v>
      </c>
      <c r="R2803">
        <v>4.4999999999999997E-3</v>
      </c>
      <c r="T2803" s="8" t="s">
        <v>7871</v>
      </c>
    </row>
    <row r="2804" spans="1:20" x14ac:dyDescent="0.2">
      <c r="A2804" t="s">
        <v>7873</v>
      </c>
      <c r="B2804" t="s">
        <v>2022</v>
      </c>
      <c r="C2804" t="s">
        <v>2101</v>
      </c>
      <c r="D2804" t="s">
        <v>2024</v>
      </c>
      <c r="E2804" t="s">
        <v>7871</v>
      </c>
      <c r="F2804" t="s">
        <v>7872</v>
      </c>
      <c r="G2804">
        <v>2</v>
      </c>
      <c r="H2804">
        <v>1670</v>
      </c>
      <c r="I2804">
        <v>2</v>
      </c>
      <c r="J2804">
        <v>5</v>
      </c>
      <c r="K2804">
        <v>2</v>
      </c>
      <c r="L2804">
        <v>9.6500000000000002E-2</v>
      </c>
      <c r="M2804">
        <v>2</v>
      </c>
      <c r="N2804">
        <v>74</v>
      </c>
      <c r="O2804">
        <v>2</v>
      </c>
      <c r="P2804">
        <v>0.22500000000000001</v>
      </c>
      <c r="Q2804">
        <v>2</v>
      </c>
      <c r="R2804">
        <v>4.4999999999999997E-3</v>
      </c>
      <c r="T2804" s="8" t="s">
        <v>7871</v>
      </c>
    </row>
    <row r="2805" spans="1:20" x14ac:dyDescent="0.2">
      <c r="A2805" t="s">
        <v>7874</v>
      </c>
      <c r="B2805" t="s">
        <v>2022</v>
      </c>
      <c r="C2805" t="s">
        <v>2101</v>
      </c>
      <c r="D2805" t="s">
        <v>2024</v>
      </c>
      <c r="E2805" t="s">
        <v>7871</v>
      </c>
      <c r="F2805" t="s">
        <v>7872</v>
      </c>
      <c r="G2805">
        <v>2</v>
      </c>
      <c r="H2805">
        <v>1670</v>
      </c>
      <c r="I2805">
        <v>3</v>
      </c>
      <c r="J2805">
        <v>8</v>
      </c>
      <c r="K2805">
        <v>2</v>
      </c>
      <c r="L2805">
        <v>9.6500000000000002E-2</v>
      </c>
      <c r="M2805">
        <v>2</v>
      </c>
      <c r="N2805">
        <v>74</v>
      </c>
      <c r="O2805">
        <v>3</v>
      </c>
      <c r="P2805">
        <v>0.375</v>
      </c>
      <c r="Q2805">
        <v>2</v>
      </c>
      <c r="R2805">
        <v>4.4999999999999997E-3</v>
      </c>
      <c r="T2805" s="8" t="s">
        <v>7871</v>
      </c>
    </row>
    <row r="2806" spans="1:20" x14ac:dyDescent="0.2">
      <c r="A2806" t="s">
        <v>7875</v>
      </c>
      <c r="B2806" t="s">
        <v>2022</v>
      </c>
      <c r="C2806" t="s">
        <v>2106</v>
      </c>
      <c r="D2806" t="s">
        <v>2024</v>
      </c>
      <c r="E2806" t="s">
        <v>7871</v>
      </c>
      <c r="F2806" t="s">
        <v>7872</v>
      </c>
      <c r="G2806">
        <v>4</v>
      </c>
      <c r="H2806">
        <v>2125</v>
      </c>
      <c r="I2806">
        <v>5</v>
      </c>
      <c r="J2806">
        <v>13.25</v>
      </c>
      <c r="K2806">
        <v>3</v>
      </c>
      <c r="L2806">
        <v>0.14000000000000001</v>
      </c>
      <c r="M2806">
        <v>1</v>
      </c>
      <c r="N2806">
        <v>61.5</v>
      </c>
      <c r="O2806">
        <v>4</v>
      </c>
      <c r="P2806">
        <v>0.35</v>
      </c>
      <c r="Q2806">
        <v>3</v>
      </c>
      <c r="R2806">
        <v>4.4999999999999997E-3</v>
      </c>
      <c r="T2806" s="8" t="s">
        <v>7871</v>
      </c>
    </row>
    <row r="2807" spans="1:20" x14ac:dyDescent="0.2">
      <c r="A2807" t="s">
        <v>7876</v>
      </c>
      <c r="B2807" t="s">
        <v>2022</v>
      </c>
      <c r="C2807" t="s">
        <v>2101</v>
      </c>
      <c r="D2807" t="s">
        <v>2024</v>
      </c>
      <c r="E2807" t="s">
        <v>7871</v>
      </c>
      <c r="F2807" t="s">
        <v>7872</v>
      </c>
      <c r="G2807">
        <v>3</v>
      </c>
      <c r="H2807">
        <v>1770</v>
      </c>
      <c r="I2807">
        <v>4</v>
      </c>
      <c r="J2807">
        <v>11</v>
      </c>
      <c r="K2807">
        <v>3</v>
      </c>
      <c r="L2807">
        <v>0.24349999999999999</v>
      </c>
      <c r="M2807">
        <v>1</v>
      </c>
      <c r="N2807">
        <v>66</v>
      </c>
      <c r="O2807">
        <v>3</v>
      </c>
      <c r="P2807">
        <v>0.375</v>
      </c>
      <c r="Q2807">
        <v>2</v>
      </c>
      <c r="R2807">
        <v>4.4999999999999997E-3</v>
      </c>
      <c r="T2807" s="8" t="s">
        <v>7871</v>
      </c>
    </row>
    <row r="2808" spans="1:20" x14ac:dyDescent="0.2">
      <c r="A2808" t="s">
        <v>7877</v>
      </c>
      <c r="B2808" t="s">
        <v>2022</v>
      </c>
      <c r="C2808" t="s">
        <v>2101</v>
      </c>
      <c r="D2808" t="s">
        <v>2024</v>
      </c>
      <c r="E2808" t="s">
        <v>7871</v>
      </c>
      <c r="F2808" t="s">
        <v>7872</v>
      </c>
      <c r="G2808">
        <v>4</v>
      </c>
      <c r="H2808">
        <v>1870</v>
      </c>
      <c r="I2808">
        <v>5</v>
      </c>
      <c r="J2808">
        <v>14</v>
      </c>
      <c r="K2808">
        <v>5</v>
      </c>
      <c r="L2808">
        <v>0.53749999999999998</v>
      </c>
      <c r="M2808">
        <v>1</v>
      </c>
      <c r="N2808">
        <v>66</v>
      </c>
      <c r="O2808">
        <v>4</v>
      </c>
      <c r="P2808">
        <v>0.52500000000000002</v>
      </c>
      <c r="Q2808">
        <v>4</v>
      </c>
      <c r="R2808">
        <v>1.8499999999999999E-2</v>
      </c>
      <c r="T2808" s="8" t="s">
        <v>7871</v>
      </c>
    </row>
    <row r="2809" spans="1:20" x14ac:dyDescent="0.2">
      <c r="A2809" t="s">
        <v>7878</v>
      </c>
      <c r="B2809" t="s">
        <v>2022</v>
      </c>
      <c r="C2809" t="s">
        <v>2104</v>
      </c>
      <c r="D2809" t="s">
        <v>2136</v>
      </c>
      <c r="E2809" t="s">
        <v>357</v>
      </c>
      <c r="F2809" t="s">
        <v>447</v>
      </c>
      <c r="G2809">
        <v>1</v>
      </c>
      <c r="H2809">
        <v>1537.5</v>
      </c>
      <c r="I2809">
        <v>1</v>
      </c>
      <c r="J2809">
        <v>0.95</v>
      </c>
      <c r="K2809">
        <v>1</v>
      </c>
      <c r="L2809">
        <v>8.0000000000000002E-3</v>
      </c>
      <c r="M2809">
        <v>5</v>
      </c>
      <c r="N2809">
        <v>89</v>
      </c>
      <c r="P2809">
        <v>0</v>
      </c>
      <c r="Q2809">
        <v>5</v>
      </c>
      <c r="R2809">
        <v>1.8200000000000001E-2</v>
      </c>
      <c r="T2809" s="8" t="s">
        <v>357</v>
      </c>
    </row>
    <row r="2810" spans="1:20" x14ac:dyDescent="0.2">
      <c r="A2810" t="s">
        <v>7879</v>
      </c>
      <c r="B2810" t="s">
        <v>2022</v>
      </c>
      <c r="C2810" t="s">
        <v>2036</v>
      </c>
      <c r="D2810" t="s">
        <v>2024</v>
      </c>
      <c r="E2810" t="s">
        <v>7880</v>
      </c>
      <c r="F2810" t="s">
        <v>7881</v>
      </c>
      <c r="G2810">
        <v>1</v>
      </c>
      <c r="H2810">
        <v>1540</v>
      </c>
      <c r="I2810">
        <v>2</v>
      </c>
      <c r="J2810">
        <v>3.4</v>
      </c>
      <c r="K2810">
        <v>1</v>
      </c>
      <c r="L2810">
        <v>5.5E-2</v>
      </c>
      <c r="M2810">
        <v>1</v>
      </c>
      <c r="N2810">
        <v>76</v>
      </c>
      <c r="O2810">
        <v>2</v>
      </c>
      <c r="P2810">
        <v>0.20499999999999999</v>
      </c>
      <c r="Q2810">
        <v>1</v>
      </c>
      <c r="R2810">
        <v>1.5E-3</v>
      </c>
      <c r="T2810" s="8" t="s">
        <v>7880</v>
      </c>
    </row>
    <row r="2811" spans="1:20" x14ac:dyDescent="0.2">
      <c r="A2811" t="s">
        <v>7882</v>
      </c>
      <c r="B2811" t="s">
        <v>2022</v>
      </c>
      <c r="C2811" t="s">
        <v>2023</v>
      </c>
      <c r="D2811" t="s">
        <v>2024</v>
      </c>
      <c r="E2811" t="s">
        <v>7883</v>
      </c>
      <c r="F2811" t="s">
        <v>7884</v>
      </c>
      <c r="G2811">
        <v>5</v>
      </c>
      <c r="H2811">
        <v>1800</v>
      </c>
      <c r="I2811">
        <v>5</v>
      </c>
      <c r="J2811">
        <v>10.9</v>
      </c>
      <c r="K2811">
        <v>5</v>
      </c>
      <c r="L2811">
        <v>8.5999999999999993E-2</v>
      </c>
      <c r="M2811">
        <v>5</v>
      </c>
      <c r="N2811">
        <v>114</v>
      </c>
      <c r="O2811">
        <v>5</v>
      </c>
      <c r="P2811">
        <v>0.67500000000000004</v>
      </c>
      <c r="Q2811">
        <v>5</v>
      </c>
      <c r="R2811">
        <v>8.0000000000000002E-3</v>
      </c>
      <c r="T2811" s="8" t="s">
        <v>7883</v>
      </c>
    </row>
    <row r="2812" spans="1:20" x14ac:dyDescent="0.2">
      <c r="A2812" t="s">
        <v>7885</v>
      </c>
      <c r="B2812" t="s">
        <v>2022</v>
      </c>
      <c r="C2812" t="s">
        <v>2023</v>
      </c>
      <c r="D2812" t="s">
        <v>2024</v>
      </c>
      <c r="E2812" t="s">
        <v>357</v>
      </c>
      <c r="F2812" t="s">
        <v>7886</v>
      </c>
      <c r="G2812">
        <v>2</v>
      </c>
      <c r="H2812">
        <v>1560</v>
      </c>
      <c r="I2812">
        <v>2</v>
      </c>
      <c r="J2812">
        <v>3.4</v>
      </c>
      <c r="K2812">
        <v>5</v>
      </c>
      <c r="L2812">
        <v>8.5999999999999993E-2</v>
      </c>
      <c r="M2812">
        <v>5</v>
      </c>
      <c r="N2812">
        <v>114</v>
      </c>
      <c r="O2812">
        <v>3</v>
      </c>
      <c r="P2812">
        <v>0.375</v>
      </c>
      <c r="Q2812">
        <v>5</v>
      </c>
      <c r="R2812">
        <v>8.0000000000000002E-3</v>
      </c>
      <c r="T2812" s="8" t="s">
        <v>357</v>
      </c>
    </row>
    <row r="2813" spans="1:20" x14ac:dyDescent="0.2">
      <c r="A2813" t="s">
        <v>7887</v>
      </c>
      <c r="B2813" t="s">
        <v>2022</v>
      </c>
      <c r="C2813" t="s">
        <v>2053</v>
      </c>
      <c r="D2813" t="s">
        <v>2024</v>
      </c>
      <c r="E2813" t="s">
        <v>7888</v>
      </c>
      <c r="F2813" t="s">
        <v>7889</v>
      </c>
      <c r="G2813">
        <v>3</v>
      </c>
      <c r="H2813">
        <v>1700</v>
      </c>
      <c r="I2813">
        <v>1</v>
      </c>
      <c r="J2813">
        <v>1.55</v>
      </c>
      <c r="K2813">
        <v>1</v>
      </c>
      <c r="L2813">
        <v>1.4999999999999999E-2</v>
      </c>
      <c r="M2813">
        <v>3</v>
      </c>
      <c r="N2813">
        <v>93</v>
      </c>
      <c r="O2813">
        <v>1</v>
      </c>
      <c r="P2813">
        <v>7.4999999999999997E-2</v>
      </c>
      <c r="Q2813">
        <v>1</v>
      </c>
      <c r="R2813">
        <v>8.4999999999999995E-4</v>
      </c>
      <c r="T2813" s="8" t="s">
        <v>7888</v>
      </c>
    </row>
    <row r="2814" spans="1:20" x14ac:dyDescent="0.2">
      <c r="A2814" t="s">
        <v>7890</v>
      </c>
      <c r="B2814" t="s">
        <v>2022</v>
      </c>
      <c r="C2814" t="s">
        <v>2023</v>
      </c>
      <c r="D2814" t="s">
        <v>2024</v>
      </c>
      <c r="E2814" t="s">
        <v>7891</v>
      </c>
      <c r="F2814" t="s">
        <v>7892</v>
      </c>
      <c r="G2814">
        <v>5</v>
      </c>
      <c r="H2814">
        <v>1800</v>
      </c>
      <c r="I2814">
        <v>2</v>
      </c>
      <c r="J2814">
        <v>3.4</v>
      </c>
      <c r="K2814">
        <v>2</v>
      </c>
      <c r="L2814">
        <v>2.5999999999999999E-2</v>
      </c>
      <c r="M2814">
        <v>3</v>
      </c>
      <c r="N2814">
        <v>94</v>
      </c>
      <c r="O2814">
        <v>2</v>
      </c>
      <c r="P2814">
        <v>0.22500000000000001</v>
      </c>
      <c r="Q2814">
        <v>1</v>
      </c>
      <c r="R2814">
        <v>5.0000000000000001E-4</v>
      </c>
      <c r="T2814" s="8" t="s">
        <v>7891</v>
      </c>
    </row>
    <row r="2815" spans="1:20" x14ac:dyDescent="0.2">
      <c r="A2815" t="s">
        <v>7893</v>
      </c>
      <c r="B2815" t="s">
        <v>2022</v>
      </c>
      <c r="C2815" t="s">
        <v>2036</v>
      </c>
      <c r="D2815" t="s">
        <v>2024</v>
      </c>
      <c r="E2815" t="s">
        <v>7894</v>
      </c>
      <c r="F2815" t="s">
        <v>7895</v>
      </c>
      <c r="G2815">
        <v>3</v>
      </c>
      <c r="H2815">
        <v>1740</v>
      </c>
      <c r="I2815">
        <v>2</v>
      </c>
      <c r="J2815">
        <v>3.4</v>
      </c>
      <c r="K2815">
        <v>1</v>
      </c>
      <c r="L2815">
        <v>5.5E-2</v>
      </c>
      <c r="M2815">
        <v>1</v>
      </c>
      <c r="N2815">
        <v>76</v>
      </c>
      <c r="O2815">
        <v>2</v>
      </c>
      <c r="P2815">
        <v>0.20499999999999999</v>
      </c>
      <c r="Q2815">
        <v>1</v>
      </c>
      <c r="R2815">
        <v>1.5E-3</v>
      </c>
      <c r="T2815" s="8" t="s">
        <v>7894</v>
      </c>
    </row>
    <row r="2816" spans="1:20" x14ac:dyDescent="0.2">
      <c r="A2816" t="s">
        <v>7896</v>
      </c>
      <c r="B2816" t="s">
        <v>2022</v>
      </c>
      <c r="C2816" t="s">
        <v>2173</v>
      </c>
      <c r="D2816" t="s">
        <v>2136</v>
      </c>
      <c r="E2816" t="s">
        <v>7897</v>
      </c>
      <c r="F2816" t="s">
        <v>7898</v>
      </c>
      <c r="G2816">
        <v>5</v>
      </c>
      <c r="H2816">
        <v>2182.5</v>
      </c>
      <c r="I2816">
        <v>2</v>
      </c>
      <c r="J2816">
        <v>6.35</v>
      </c>
      <c r="K2816">
        <v>2</v>
      </c>
      <c r="L2816">
        <v>0.09</v>
      </c>
      <c r="M2816">
        <v>4</v>
      </c>
      <c r="N2816">
        <v>129.5</v>
      </c>
      <c r="O2816">
        <v>2</v>
      </c>
      <c r="P2816">
        <v>0.33</v>
      </c>
      <c r="Q2816">
        <v>2</v>
      </c>
      <c r="R2816">
        <v>4.7999999999999996E-3</v>
      </c>
      <c r="T2816" s="8" t="s">
        <v>7897</v>
      </c>
    </row>
    <row r="2817" spans="1:20" x14ac:dyDescent="0.2">
      <c r="A2817" t="s">
        <v>7899</v>
      </c>
      <c r="B2817" t="s">
        <v>2022</v>
      </c>
      <c r="C2817" t="s">
        <v>2101</v>
      </c>
      <c r="D2817" t="s">
        <v>2024</v>
      </c>
      <c r="E2817" t="s">
        <v>7900</v>
      </c>
      <c r="F2817" t="s">
        <v>7901</v>
      </c>
      <c r="G2817">
        <v>2</v>
      </c>
      <c r="H2817">
        <v>1670</v>
      </c>
      <c r="I2817">
        <v>2</v>
      </c>
      <c r="J2817">
        <v>5</v>
      </c>
      <c r="K2817">
        <v>2</v>
      </c>
      <c r="L2817">
        <v>9.6500000000000002E-2</v>
      </c>
      <c r="M2817">
        <v>4</v>
      </c>
      <c r="N2817">
        <v>90</v>
      </c>
      <c r="O2817">
        <v>3</v>
      </c>
      <c r="P2817">
        <v>0.375</v>
      </c>
      <c r="Q2817">
        <v>2</v>
      </c>
      <c r="R2817">
        <v>4.4999999999999997E-3</v>
      </c>
      <c r="T2817" s="8" t="s">
        <v>7900</v>
      </c>
    </row>
    <row r="2818" spans="1:20" x14ac:dyDescent="0.2">
      <c r="A2818" t="s">
        <v>7902</v>
      </c>
      <c r="B2818" t="s">
        <v>2022</v>
      </c>
      <c r="C2818" t="s">
        <v>2222</v>
      </c>
      <c r="D2818" t="s">
        <v>2024</v>
      </c>
      <c r="E2818" t="s">
        <v>7903</v>
      </c>
      <c r="F2818" t="s">
        <v>7904</v>
      </c>
      <c r="G2818">
        <v>5</v>
      </c>
      <c r="H2818">
        <v>1850</v>
      </c>
      <c r="I2818">
        <v>3</v>
      </c>
      <c r="J2818">
        <v>5.5</v>
      </c>
      <c r="K2818">
        <v>4</v>
      </c>
      <c r="L2818">
        <v>0.19500000000000001</v>
      </c>
      <c r="M2818">
        <v>3</v>
      </c>
      <c r="N2818">
        <v>67</v>
      </c>
      <c r="O2818">
        <v>3</v>
      </c>
      <c r="P2818">
        <v>0.23</v>
      </c>
      <c r="Q2818">
        <v>4</v>
      </c>
      <c r="R2818">
        <v>8.3000000000000001E-3</v>
      </c>
      <c r="T2818" s="8" t="s">
        <v>7903</v>
      </c>
    </row>
    <row r="2819" spans="1:20" x14ac:dyDescent="0.2">
      <c r="A2819" t="s">
        <v>7905</v>
      </c>
      <c r="B2819" t="s">
        <v>2022</v>
      </c>
      <c r="C2819" t="s">
        <v>2023</v>
      </c>
      <c r="D2819" t="s">
        <v>2024</v>
      </c>
      <c r="E2819" t="s">
        <v>7906</v>
      </c>
      <c r="F2819" t="s">
        <v>447</v>
      </c>
      <c r="G2819">
        <v>3</v>
      </c>
      <c r="H2819">
        <v>1640</v>
      </c>
      <c r="I2819">
        <v>1</v>
      </c>
      <c r="J2819">
        <v>0.9</v>
      </c>
      <c r="K2819">
        <v>1</v>
      </c>
      <c r="L2819">
        <v>6.0000000000000001E-3</v>
      </c>
      <c r="M2819">
        <v>2</v>
      </c>
      <c r="N2819">
        <v>84</v>
      </c>
      <c r="O2819">
        <v>1</v>
      </c>
      <c r="P2819">
        <v>7.4999999999999997E-2</v>
      </c>
      <c r="Q2819">
        <v>1</v>
      </c>
      <c r="R2819">
        <v>5.0000000000000001E-4</v>
      </c>
      <c r="T2819" s="8" t="s">
        <v>7906</v>
      </c>
    </row>
    <row r="2820" spans="1:20" x14ac:dyDescent="0.2">
      <c r="A2820" t="s">
        <v>7907</v>
      </c>
      <c r="B2820" t="s">
        <v>2022</v>
      </c>
      <c r="C2820" t="s">
        <v>2023</v>
      </c>
      <c r="D2820" t="s">
        <v>2024</v>
      </c>
      <c r="E2820" t="s">
        <v>7908</v>
      </c>
      <c r="F2820" t="s">
        <v>447</v>
      </c>
      <c r="G2820">
        <v>4</v>
      </c>
      <c r="H2820">
        <v>1720</v>
      </c>
      <c r="I2820">
        <v>1</v>
      </c>
      <c r="J2820">
        <v>0.9</v>
      </c>
      <c r="K2820">
        <v>1</v>
      </c>
      <c r="L2820">
        <v>6.0000000000000001E-3</v>
      </c>
      <c r="M2820">
        <v>3</v>
      </c>
      <c r="N2820">
        <v>94</v>
      </c>
      <c r="O2820">
        <v>1</v>
      </c>
      <c r="P2820">
        <v>7.4999999999999997E-2</v>
      </c>
      <c r="Q2820">
        <v>1</v>
      </c>
      <c r="R2820">
        <v>5.0000000000000001E-4</v>
      </c>
      <c r="T2820" s="8" t="s">
        <v>7908</v>
      </c>
    </row>
    <row r="2821" spans="1:20" x14ac:dyDescent="0.2">
      <c r="A2821" t="s">
        <v>7909</v>
      </c>
      <c r="B2821" t="s">
        <v>2022</v>
      </c>
      <c r="C2821" t="s">
        <v>2053</v>
      </c>
      <c r="D2821" t="s">
        <v>2024</v>
      </c>
      <c r="E2821" t="s">
        <v>7910</v>
      </c>
      <c r="F2821" t="s">
        <v>7911</v>
      </c>
      <c r="G2821">
        <v>1</v>
      </c>
      <c r="H2821">
        <v>1500</v>
      </c>
      <c r="I2821">
        <v>2</v>
      </c>
      <c r="J2821">
        <v>4.05</v>
      </c>
      <c r="K2821">
        <v>1</v>
      </c>
      <c r="L2821">
        <v>1.4999999999999999E-2</v>
      </c>
      <c r="M2821">
        <v>1</v>
      </c>
      <c r="N2821">
        <v>73</v>
      </c>
      <c r="O2821">
        <v>2</v>
      </c>
      <c r="P2821">
        <v>0.22500000000000001</v>
      </c>
      <c r="Q2821">
        <v>1</v>
      </c>
      <c r="R2821">
        <v>8.4999999999999995E-4</v>
      </c>
      <c r="T2821" s="8" t="s">
        <v>7910</v>
      </c>
    </row>
    <row r="2822" spans="1:20" x14ac:dyDescent="0.2">
      <c r="A2822" t="s">
        <v>7912</v>
      </c>
      <c r="B2822" t="s">
        <v>2022</v>
      </c>
      <c r="C2822" t="s">
        <v>2101</v>
      </c>
      <c r="D2822" t="s">
        <v>2024</v>
      </c>
      <c r="E2822" t="s">
        <v>7913</v>
      </c>
      <c r="F2822" t="s">
        <v>7914</v>
      </c>
      <c r="G2822">
        <v>5</v>
      </c>
      <c r="H2822">
        <v>1970</v>
      </c>
      <c r="I2822">
        <v>2</v>
      </c>
      <c r="J2822">
        <v>5</v>
      </c>
      <c r="K2822">
        <v>1</v>
      </c>
      <c r="L2822">
        <v>1.15E-2</v>
      </c>
      <c r="M2822">
        <v>5</v>
      </c>
      <c r="N2822">
        <v>98</v>
      </c>
      <c r="O2822">
        <v>2</v>
      </c>
      <c r="P2822">
        <v>0.22500000000000001</v>
      </c>
      <c r="Q2822">
        <v>1</v>
      </c>
      <c r="R2822">
        <v>5.0000000000000001E-4</v>
      </c>
      <c r="T2822" s="8" t="s">
        <v>7913</v>
      </c>
    </row>
    <row r="2823" spans="1:20" x14ac:dyDescent="0.2">
      <c r="A2823" t="s">
        <v>7915</v>
      </c>
      <c r="B2823" t="s">
        <v>2022</v>
      </c>
      <c r="C2823" t="s">
        <v>2023</v>
      </c>
      <c r="D2823" t="s">
        <v>2024</v>
      </c>
      <c r="E2823" t="s">
        <v>7916</v>
      </c>
      <c r="F2823" t="s">
        <v>7917</v>
      </c>
      <c r="G2823">
        <v>3</v>
      </c>
      <c r="H2823">
        <v>1640</v>
      </c>
      <c r="I2823">
        <v>3</v>
      </c>
      <c r="J2823">
        <v>5.9</v>
      </c>
      <c r="K2823">
        <v>5</v>
      </c>
      <c r="L2823">
        <v>8.5999999999999993E-2</v>
      </c>
      <c r="M2823">
        <v>3</v>
      </c>
      <c r="N2823">
        <v>94</v>
      </c>
      <c r="O2823">
        <v>2</v>
      </c>
      <c r="P2823">
        <v>0.22500000000000001</v>
      </c>
      <c r="Q2823">
        <v>5</v>
      </c>
      <c r="R2823">
        <v>8.0000000000000002E-3</v>
      </c>
      <c r="T2823" s="8" t="s">
        <v>7916</v>
      </c>
    </row>
    <row r="2824" spans="1:20" x14ac:dyDescent="0.2">
      <c r="A2824" t="s">
        <v>7918</v>
      </c>
      <c r="B2824" t="s">
        <v>2022</v>
      </c>
      <c r="C2824" t="s">
        <v>2101</v>
      </c>
      <c r="D2824" t="s">
        <v>2024</v>
      </c>
      <c r="E2824" t="s">
        <v>7919</v>
      </c>
      <c r="F2824" t="s">
        <v>7920</v>
      </c>
      <c r="G2824">
        <v>3</v>
      </c>
      <c r="H2824">
        <v>1770</v>
      </c>
      <c r="I2824">
        <v>4</v>
      </c>
      <c r="J2824">
        <v>11</v>
      </c>
      <c r="K2824">
        <v>4</v>
      </c>
      <c r="L2824">
        <v>0.39050000000000001</v>
      </c>
      <c r="M2824">
        <v>5</v>
      </c>
      <c r="N2824">
        <v>98</v>
      </c>
      <c r="O2824">
        <v>5</v>
      </c>
      <c r="P2824">
        <v>0.67500000000000004</v>
      </c>
      <c r="Q2824">
        <v>4</v>
      </c>
      <c r="R2824">
        <v>1.8499999999999999E-2</v>
      </c>
      <c r="T2824" s="8" t="s">
        <v>7919</v>
      </c>
    </row>
    <row r="2825" spans="1:20" x14ac:dyDescent="0.2">
      <c r="A2825" t="s">
        <v>7921</v>
      </c>
      <c r="B2825" t="s">
        <v>2022</v>
      </c>
      <c r="C2825" t="s">
        <v>2053</v>
      </c>
      <c r="D2825" t="s">
        <v>2024</v>
      </c>
      <c r="E2825" t="s">
        <v>7922</v>
      </c>
      <c r="F2825" t="s">
        <v>7923</v>
      </c>
      <c r="G2825">
        <v>3</v>
      </c>
      <c r="H2825">
        <v>1700</v>
      </c>
      <c r="I2825">
        <v>3</v>
      </c>
      <c r="J2825">
        <v>6.55</v>
      </c>
      <c r="K2825">
        <v>2</v>
      </c>
      <c r="L2825">
        <v>8.5000000000000006E-2</v>
      </c>
      <c r="M2825">
        <v>3</v>
      </c>
      <c r="N2825">
        <v>93</v>
      </c>
      <c r="O2825">
        <v>3</v>
      </c>
      <c r="P2825">
        <v>0.375</v>
      </c>
      <c r="Q2825">
        <v>2</v>
      </c>
      <c r="R2825">
        <v>5.1999999999999998E-3</v>
      </c>
      <c r="T2825" s="8" t="s">
        <v>7922</v>
      </c>
    </row>
    <row r="2826" spans="1:20" x14ac:dyDescent="0.2">
      <c r="A2826" t="s">
        <v>7924</v>
      </c>
      <c r="B2826" t="s">
        <v>2022</v>
      </c>
      <c r="C2826" t="s">
        <v>2053</v>
      </c>
      <c r="D2826" t="s">
        <v>2024</v>
      </c>
      <c r="E2826" t="s">
        <v>7925</v>
      </c>
      <c r="F2826" t="s">
        <v>7926</v>
      </c>
      <c r="G2826">
        <v>2</v>
      </c>
      <c r="H2826">
        <v>1600</v>
      </c>
      <c r="I2826">
        <v>2</v>
      </c>
      <c r="J2826">
        <v>4.05</v>
      </c>
      <c r="K2826">
        <v>1</v>
      </c>
      <c r="L2826">
        <v>1.4999999999999999E-2</v>
      </c>
      <c r="M2826">
        <v>2</v>
      </c>
      <c r="N2826">
        <v>83</v>
      </c>
      <c r="O2826">
        <v>2</v>
      </c>
      <c r="P2826">
        <v>0.22500000000000001</v>
      </c>
      <c r="Q2826">
        <v>1</v>
      </c>
      <c r="R2826">
        <v>8.4999999999999995E-4</v>
      </c>
      <c r="T2826" s="8" t="s">
        <v>7925</v>
      </c>
    </row>
    <row r="2827" spans="1:20" x14ac:dyDescent="0.2">
      <c r="A2827" t="s">
        <v>7927</v>
      </c>
      <c r="B2827" t="s">
        <v>2022</v>
      </c>
      <c r="C2827" t="s">
        <v>2036</v>
      </c>
      <c r="D2827" t="s">
        <v>2024</v>
      </c>
      <c r="E2827" t="s">
        <v>7928</v>
      </c>
      <c r="F2827" t="s">
        <v>7929</v>
      </c>
      <c r="G2827">
        <v>1</v>
      </c>
      <c r="H2827">
        <v>1540</v>
      </c>
      <c r="I2827">
        <v>4</v>
      </c>
      <c r="J2827">
        <v>5.8</v>
      </c>
      <c r="K2827">
        <v>5</v>
      </c>
      <c r="L2827">
        <v>0.17499999999999999</v>
      </c>
      <c r="M2827">
        <v>1</v>
      </c>
      <c r="N2827">
        <v>76</v>
      </c>
      <c r="O2827">
        <v>3</v>
      </c>
      <c r="P2827">
        <v>0.315</v>
      </c>
      <c r="Q2827">
        <v>4</v>
      </c>
      <c r="R2827">
        <v>9.2499999999999995E-3</v>
      </c>
      <c r="T2827" s="8" t="s">
        <v>7928</v>
      </c>
    </row>
    <row r="2828" spans="1:20" x14ac:dyDescent="0.2">
      <c r="A2828" t="s">
        <v>7930</v>
      </c>
      <c r="B2828" t="s">
        <v>2022</v>
      </c>
      <c r="C2828" t="s">
        <v>2023</v>
      </c>
      <c r="D2828" t="s">
        <v>2024</v>
      </c>
      <c r="E2828" t="s">
        <v>7931</v>
      </c>
      <c r="F2828" t="s">
        <v>7932</v>
      </c>
      <c r="G2828">
        <v>2</v>
      </c>
      <c r="H2828">
        <v>1560</v>
      </c>
      <c r="I2828">
        <v>3</v>
      </c>
      <c r="J2828">
        <v>5.9</v>
      </c>
      <c r="K2828">
        <v>5</v>
      </c>
      <c r="L2828">
        <v>8.5999999999999993E-2</v>
      </c>
      <c r="M2828">
        <v>2</v>
      </c>
      <c r="N2828">
        <v>84</v>
      </c>
      <c r="O2828">
        <v>3</v>
      </c>
      <c r="P2828">
        <v>0.375</v>
      </c>
      <c r="Q2828">
        <v>5</v>
      </c>
      <c r="R2828">
        <v>8.0000000000000002E-3</v>
      </c>
      <c r="T2828" s="8" t="s">
        <v>7931</v>
      </c>
    </row>
    <row r="2829" spans="1:20" x14ac:dyDescent="0.2">
      <c r="A2829" t="s">
        <v>7933</v>
      </c>
      <c r="B2829" t="s">
        <v>2022</v>
      </c>
      <c r="C2829" t="s">
        <v>2023</v>
      </c>
      <c r="D2829" t="s">
        <v>2024</v>
      </c>
      <c r="E2829" t="s">
        <v>7934</v>
      </c>
      <c r="F2829" t="s">
        <v>7935</v>
      </c>
      <c r="G2829">
        <v>1</v>
      </c>
      <c r="H2829">
        <v>1480</v>
      </c>
      <c r="I2829">
        <v>2</v>
      </c>
      <c r="J2829">
        <v>3.4</v>
      </c>
      <c r="K2829">
        <v>2</v>
      </c>
      <c r="L2829">
        <v>2.5999999999999999E-2</v>
      </c>
      <c r="M2829">
        <v>1</v>
      </c>
      <c r="N2829">
        <v>74</v>
      </c>
      <c r="O2829">
        <v>1</v>
      </c>
      <c r="P2829">
        <v>7.4999999999999997E-2</v>
      </c>
      <c r="Q2829">
        <v>2</v>
      </c>
      <c r="R2829">
        <v>2E-3</v>
      </c>
      <c r="T2829" s="8" t="s">
        <v>7934</v>
      </c>
    </row>
    <row r="2830" spans="1:20" x14ac:dyDescent="0.2">
      <c r="A2830" t="s">
        <v>7936</v>
      </c>
      <c r="B2830" t="s">
        <v>2022</v>
      </c>
      <c r="C2830" t="s">
        <v>2023</v>
      </c>
      <c r="D2830" t="s">
        <v>2024</v>
      </c>
      <c r="E2830" t="s">
        <v>7937</v>
      </c>
      <c r="F2830" t="s">
        <v>7938</v>
      </c>
      <c r="G2830">
        <v>3</v>
      </c>
      <c r="H2830">
        <v>1640</v>
      </c>
      <c r="I2830">
        <v>3</v>
      </c>
      <c r="J2830">
        <v>5.9</v>
      </c>
      <c r="K2830">
        <v>5</v>
      </c>
      <c r="L2830">
        <v>8.5999999999999993E-2</v>
      </c>
      <c r="M2830">
        <v>2</v>
      </c>
      <c r="N2830">
        <v>84</v>
      </c>
      <c r="O2830">
        <v>2</v>
      </c>
      <c r="P2830">
        <v>0.22500000000000001</v>
      </c>
      <c r="Q2830">
        <v>4</v>
      </c>
      <c r="R2830">
        <v>6.0000000000000001E-3</v>
      </c>
      <c r="T2830" s="8" t="s">
        <v>7937</v>
      </c>
    </row>
    <row r="2831" spans="1:20" x14ac:dyDescent="0.2">
      <c r="A2831" t="s">
        <v>7939</v>
      </c>
      <c r="B2831" t="s">
        <v>2022</v>
      </c>
      <c r="C2831" t="s">
        <v>2222</v>
      </c>
      <c r="D2831" t="s">
        <v>2024</v>
      </c>
      <c r="E2831" t="s">
        <v>7940</v>
      </c>
      <c r="F2831" t="s">
        <v>7941</v>
      </c>
      <c r="G2831">
        <v>3</v>
      </c>
      <c r="H2831">
        <v>1650</v>
      </c>
      <c r="I2831">
        <v>5</v>
      </c>
      <c r="J2831">
        <v>8.6999999999999993</v>
      </c>
      <c r="K2831">
        <v>5</v>
      </c>
      <c r="L2831">
        <v>0.26500000000000001</v>
      </c>
      <c r="M2831">
        <v>3</v>
      </c>
      <c r="N2831">
        <v>67</v>
      </c>
      <c r="O2831">
        <v>5</v>
      </c>
      <c r="P2831">
        <v>0.39</v>
      </c>
      <c r="Q2831">
        <v>5</v>
      </c>
      <c r="R2831">
        <v>1.1299999999999999E-2</v>
      </c>
      <c r="T2831" s="8" t="s">
        <v>7940</v>
      </c>
    </row>
    <row r="2832" spans="1:20" x14ac:dyDescent="0.2">
      <c r="A2832" t="s">
        <v>7942</v>
      </c>
      <c r="B2832" t="s">
        <v>2022</v>
      </c>
      <c r="C2832" t="s">
        <v>2023</v>
      </c>
      <c r="D2832" t="s">
        <v>2024</v>
      </c>
      <c r="E2832" t="s">
        <v>322</v>
      </c>
      <c r="F2832" t="s">
        <v>7943</v>
      </c>
      <c r="G2832">
        <v>3</v>
      </c>
      <c r="H2832">
        <v>1640</v>
      </c>
      <c r="I2832">
        <v>3</v>
      </c>
      <c r="J2832">
        <v>5.9</v>
      </c>
      <c r="K2832">
        <v>5</v>
      </c>
      <c r="L2832">
        <v>8.5999999999999993E-2</v>
      </c>
      <c r="M2832">
        <v>1</v>
      </c>
      <c r="N2832">
        <v>74</v>
      </c>
      <c r="O2832">
        <v>2</v>
      </c>
      <c r="P2832">
        <v>0.22500000000000001</v>
      </c>
      <c r="Q2832">
        <v>3</v>
      </c>
      <c r="R2832">
        <v>4.0000000000000001E-3</v>
      </c>
      <c r="T2832" s="8" t="s">
        <v>322</v>
      </c>
    </row>
    <row r="2833" spans="1:20" x14ac:dyDescent="0.2">
      <c r="A2833" t="s">
        <v>7944</v>
      </c>
      <c r="B2833" t="s">
        <v>2022</v>
      </c>
      <c r="C2833" t="s">
        <v>2036</v>
      </c>
      <c r="D2833" t="s">
        <v>2024</v>
      </c>
      <c r="E2833" t="s">
        <v>7945</v>
      </c>
      <c r="F2833" t="s">
        <v>7946</v>
      </c>
      <c r="G2833">
        <v>2</v>
      </c>
      <c r="H2833">
        <v>1640</v>
      </c>
      <c r="I2833">
        <v>1</v>
      </c>
      <c r="J2833">
        <v>2.2000000000000002</v>
      </c>
      <c r="K2833">
        <v>1</v>
      </c>
      <c r="L2833">
        <v>5.5E-2</v>
      </c>
      <c r="M2833">
        <v>3</v>
      </c>
      <c r="N2833">
        <v>88</v>
      </c>
      <c r="O2833">
        <v>1</v>
      </c>
      <c r="P2833">
        <v>9.5000000000000001E-2</v>
      </c>
      <c r="Q2833">
        <v>1</v>
      </c>
      <c r="R2833">
        <v>1.5E-3</v>
      </c>
      <c r="T2833" s="8" t="s">
        <v>7945</v>
      </c>
    </row>
    <row r="2834" spans="1:20" x14ac:dyDescent="0.2">
      <c r="A2834" t="s">
        <v>7947</v>
      </c>
      <c r="B2834" t="s">
        <v>2022</v>
      </c>
      <c r="C2834" t="s">
        <v>2023</v>
      </c>
      <c r="D2834" t="s">
        <v>2024</v>
      </c>
      <c r="E2834" t="s">
        <v>7948</v>
      </c>
      <c r="F2834" t="s">
        <v>7949</v>
      </c>
      <c r="G2834">
        <v>2</v>
      </c>
      <c r="H2834">
        <v>1560</v>
      </c>
      <c r="I2834">
        <v>2</v>
      </c>
      <c r="J2834">
        <v>3.4</v>
      </c>
      <c r="K2834">
        <v>2</v>
      </c>
      <c r="L2834">
        <v>2.5999999999999999E-2</v>
      </c>
      <c r="M2834">
        <v>2</v>
      </c>
      <c r="N2834">
        <v>84</v>
      </c>
      <c r="O2834">
        <v>1</v>
      </c>
      <c r="P2834">
        <v>7.4999999999999997E-2</v>
      </c>
      <c r="Q2834">
        <v>2</v>
      </c>
      <c r="R2834">
        <v>2E-3</v>
      </c>
      <c r="T2834" s="8" t="s">
        <v>7948</v>
      </c>
    </row>
    <row r="2835" spans="1:20" x14ac:dyDescent="0.2">
      <c r="A2835" t="s">
        <v>7950</v>
      </c>
      <c r="B2835" t="s">
        <v>2022</v>
      </c>
      <c r="C2835" t="s">
        <v>2053</v>
      </c>
      <c r="D2835" t="s">
        <v>2024</v>
      </c>
      <c r="E2835" t="s">
        <v>7951</v>
      </c>
      <c r="F2835" t="s">
        <v>7952</v>
      </c>
      <c r="G2835">
        <v>3</v>
      </c>
      <c r="H2835">
        <v>1700</v>
      </c>
      <c r="I2835">
        <v>2</v>
      </c>
      <c r="J2835">
        <v>4.05</v>
      </c>
      <c r="K2835">
        <v>2</v>
      </c>
      <c r="L2835">
        <v>8.5000000000000006E-2</v>
      </c>
      <c r="M2835">
        <v>2</v>
      </c>
      <c r="N2835">
        <v>83</v>
      </c>
      <c r="O2835">
        <v>2</v>
      </c>
      <c r="P2835">
        <v>0.22500000000000001</v>
      </c>
      <c r="Q2835">
        <v>2</v>
      </c>
      <c r="R2835">
        <v>5.1999999999999998E-3</v>
      </c>
      <c r="T2835" s="8" t="s">
        <v>7951</v>
      </c>
    </row>
    <row r="2836" spans="1:20" x14ac:dyDescent="0.2">
      <c r="A2836" t="s">
        <v>7953</v>
      </c>
      <c r="B2836" t="s">
        <v>2022</v>
      </c>
      <c r="C2836" t="s">
        <v>2036</v>
      </c>
      <c r="D2836" t="s">
        <v>2024</v>
      </c>
      <c r="E2836" t="s">
        <v>7954</v>
      </c>
      <c r="F2836" t="s">
        <v>447</v>
      </c>
      <c r="G2836">
        <v>1</v>
      </c>
      <c r="H2836">
        <v>1540</v>
      </c>
      <c r="I2836">
        <v>5</v>
      </c>
      <c r="J2836">
        <v>7</v>
      </c>
      <c r="K2836">
        <v>5</v>
      </c>
      <c r="L2836">
        <v>0.17499999999999999</v>
      </c>
      <c r="M2836">
        <v>1</v>
      </c>
      <c r="N2836">
        <v>76</v>
      </c>
      <c r="O2836">
        <v>5</v>
      </c>
      <c r="P2836">
        <v>0.53500000000000003</v>
      </c>
      <c r="Q2836">
        <v>5</v>
      </c>
      <c r="R2836">
        <v>1.2E-2</v>
      </c>
      <c r="T2836" s="8" t="s">
        <v>7954</v>
      </c>
    </row>
    <row r="2837" spans="1:20" x14ac:dyDescent="0.2">
      <c r="A2837" t="s">
        <v>7955</v>
      </c>
      <c r="B2837" t="s">
        <v>2022</v>
      </c>
      <c r="C2837" t="s">
        <v>2036</v>
      </c>
      <c r="D2837" t="s">
        <v>2024</v>
      </c>
      <c r="E2837" t="s">
        <v>7956</v>
      </c>
      <c r="F2837" t="s">
        <v>7957</v>
      </c>
      <c r="G2837">
        <v>2</v>
      </c>
      <c r="H2837">
        <v>1640</v>
      </c>
      <c r="I2837">
        <v>1</v>
      </c>
      <c r="J2837">
        <v>2.2000000000000002</v>
      </c>
      <c r="K2837">
        <v>1</v>
      </c>
      <c r="L2837">
        <v>5.5E-2</v>
      </c>
      <c r="M2837">
        <v>2</v>
      </c>
      <c r="N2837">
        <v>82</v>
      </c>
      <c r="O2837">
        <v>1</v>
      </c>
      <c r="P2837">
        <v>9.5000000000000001E-2</v>
      </c>
      <c r="Q2837">
        <v>1</v>
      </c>
      <c r="R2837">
        <v>1.5E-3</v>
      </c>
      <c r="T2837" s="8" t="s">
        <v>7956</v>
      </c>
    </row>
    <row r="2838" spans="1:20" x14ac:dyDescent="0.2">
      <c r="A2838" t="s">
        <v>7958</v>
      </c>
      <c r="B2838" t="s">
        <v>2022</v>
      </c>
      <c r="C2838" t="s">
        <v>2053</v>
      </c>
      <c r="D2838" t="s">
        <v>2024</v>
      </c>
      <c r="E2838" t="s">
        <v>7959</v>
      </c>
      <c r="F2838" t="s">
        <v>7960</v>
      </c>
      <c r="G2838">
        <v>1</v>
      </c>
      <c r="H2838">
        <v>1500</v>
      </c>
      <c r="I2838">
        <v>2</v>
      </c>
      <c r="J2838">
        <v>4.05</v>
      </c>
      <c r="K2838">
        <v>1</v>
      </c>
      <c r="L2838">
        <v>1.4999999999999999E-2</v>
      </c>
      <c r="M2838">
        <v>4</v>
      </c>
      <c r="N2838">
        <v>103</v>
      </c>
      <c r="O2838">
        <v>2</v>
      </c>
      <c r="P2838">
        <v>0.22500000000000001</v>
      </c>
      <c r="Q2838">
        <v>1</v>
      </c>
      <c r="R2838">
        <v>8.4999999999999995E-4</v>
      </c>
      <c r="T2838" s="8" t="s">
        <v>7959</v>
      </c>
    </row>
    <row r="2839" spans="1:20" x14ac:dyDescent="0.2">
      <c r="A2839" t="s">
        <v>7961</v>
      </c>
      <c r="B2839" t="s">
        <v>2022</v>
      </c>
      <c r="C2839" t="s">
        <v>2023</v>
      </c>
      <c r="D2839" t="s">
        <v>2024</v>
      </c>
      <c r="E2839" t="s">
        <v>7962</v>
      </c>
      <c r="F2839" t="s">
        <v>7963</v>
      </c>
      <c r="G2839">
        <v>5</v>
      </c>
      <c r="H2839">
        <v>1800</v>
      </c>
      <c r="I2839">
        <v>2</v>
      </c>
      <c r="J2839">
        <v>3.4</v>
      </c>
      <c r="K2839">
        <v>4</v>
      </c>
      <c r="L2839">
        <v>6.6000000000000003E-2</v>
      </c>
      <c r="M2839">
        <v>4</v>
      </c>
      <c r="N2839">
        <v>104</v>
      </c>
      <c r="O2839">
        <v>2</v>
      </c>
      <c r="P2839">
        <v>0.22500000000000001</v>
      </c>
      <c r="Q2839">
        <v>3</v>
      </c>
      <c r="R2839">
        <v>4.0000000000000001E-3</v>
      </c>
      <c r="T2839" s="8" t="s">
        <v>7962</v>
      </c>
    </row>
    <row r="2840" spans="1:20" x14ac:dyDescent="0.2">
      <c r="A2840" t="s">
        <v>7964</v>
      </c>
      <c r="B2840" t="s">
        <v>2022</v>
      </c>
      <c r="C2840" t="s">
        <v>2023</v>
      </c>
      <c r="D2840" t="s">
        <v>2024</v>
      </c>
      <c r="E2840" t="s">
        <v>357</v>
      </c>
      <c r="F2840" t="s">
        <v>7965</v>
      </c>
      <c r="G2840">
        <v>3</v>
      </c>
      <c r="H2840">
        <v>1640</v>
      </c>
      <c r="I2840">
        <v>2</v>
      </c>
      <c r="J2840">
        <v>3.4</v>
      </c>
      <c r="K2840">
        <v>2</v>
      </c>
      <c r="L2840">
        <v>2.5999999999999999E-2</v>
      </c>
      <c r="M2840">
        <v>4</v>
      </c>
      <c r="N2840">
        <v>104</v>
      </c>
      <c r="O2840">
        <v>2</v>
      </c>
      <c r="P2840">
        <v>0.22500000000000001</v>
      </c>
      <c r="Q2840">
        <v>2</v>
      </c>
      <c r="R2840">
        <v>2E-3</v>
      </c>
      <c r="T2840" s="8" t="s">
        <v>357</v>
      </c>
    </row>
    <row r="2841" spans="1:20" x14ac:dyDescent="0.2">
      <c r="A2841" t="s">
        <v>7966</v>
      </c>
      <c r="B2841" t="s">
        <v>2022</v>
      </c>
      <c r="C2841" t="s">
        <v>2101</v>
      </c>
      <c r="D2841" t="s">
        <v>2024</v>
      </c>
      <c r="E2841" t="s">
        <v>7967</v>
      </c>
      <c r="F2841" t="s">
        <v>7968</v>
      </c>
      <c r="G2841">
        <v>2</v>
      </c>
      <c r="H2841">
        <v>1670</v>
      </c>
      <c r="I2841">
        <v>1</v>
      </c>
      <c r="J2841">
        <v>2</v>
      </c>
      <c r="K2841">
        <v>2</v>
      </c>
      <c r="L2841">
        <v>9.6500000000000002E-2</v>
      </c>
      <c r="M2841">
        <v>5</v>
      </c>
      <c r="N2841">
        <v>98</v>
      </c>
      <c r="O2841">
        <v>2</v>
      </c>
      <c r="P2841">
        <v>0.22500000000000001</v>
      </c>
      <c r="Q2841">
        <v>2</v>
      </c>
      <c r="R2841">
        <v>4.4999999999999997E-3</v>
      </c>
      <c r="T2841" s="8" t="s">
        <v>7967</v>
      </c>
    </row>
    <row r="2842" spans="1:20" x14ac:dyDescent="0.2">
      <c r="A2842" t="s">
        <v>7969</v>
      </c>
      <c r="B2842" t="s">
        <v>2022</v>
      </c>
      <c r="C2842" t="s">
        <v>2023</v>
      </c>
      <c r="D2842" t="s">
        <v>2024</v>
      </c>
      <c r="E2842" t="s">
        <v>7970</v>
      </c>
      <c r="F2842" t="s">
        <v>7971</v>
      </c>
      <c r="G2842">
        <v>5</v>
      </c>
      <c r="H2842">
        <v>1800</v>
      </c>
      <c r="I2842">
        <v>2</v>
      </c>
      <c r="J2842">
        <v>3.4</v>
      </c>
      <c r="K2842">
        <v>4</v>
      </c>
      <c r="L2842">
        <v>6.6000000000000003E-2</v>
      </c>
      <c r="M2842">
        <v>4</v>
      </c>
      <c r="N2842">
        <v>104</v>
      </c>
      <c r="O2842">
        <v>2</v>
      </c>
      <c r="P2842">
        <v>0.22500000000000001</v>
      </c>
      <c r="Q2842">
        <v>3</v>
      </c>
      <c r="R2842">
        <v>4.0000000000000001E-3</v>
      </c>
      <c r="T2842" s="8" t="s">
        <v>7970</v>
      </c>
    </row>
    <row r="2843" spans="1:20" x14ac:dyDescent="0.2">
      <c r="A2843" t="s">
        <v>7972</v>
      </c>
      <c r="B2843" t="s">
        <v>2022</v>
      </c>
      <c r="C2843" t="s">
        <v>2023</v>
      </c>
      <c r="D2843" t="s">
        <v>2024</v>
      </c>
      <c r="E2843" t="s">
        <v>7973</v>
      </c>
      <c r="F2843" t="s">
        <v>7974</v>
      </c>
      <c r="G2843">
        <v>4</v>
      </c>
      <c r="H2843">
        <v>1720</v>
      </c>
      <c r="I2843">
        <v>2</v>
      </c>
      <c r="J2843">
        <v>3.4</v>
      </c>
      <c r="K2843">
        <v>2</v>
      </c>
      <c r="L2843">
        <v>2.5999999999999999E-2</v>
      </c>
      <c r="M2843">
        <v>3</v>
      </c>
      <c r="N2843">
        <v>94</v>
      </c>
      <c r="O2843">
        <v>2</v>
      </c>
      <c r="P2843">
        <v>0.22500000000000001</v>
      </c>
      <c r="Q2843">
        <v>1</v>
      </c>
      <c r="R2843">
        <v>5.0000000000000001E-4</v>
      </c>
      <c r="T2843" s="8" t="s">
        <v>7973</v>
      </c>
    </row>
    <row r="2844" spans="1:20" x14ac:dyDescent="0.2">
      <c r="A2844" t="s">
        <v>7975</v>
      </c>
      <c r="B2844" t="s">
        <v>2022</v>
      </c>
      <c r="C2844" t="s">
        <v>2023</v>
      </c>
      <c r="D2844" t="s">
        <v>2136</v>
      </c>
      <c r="E2844" t="s">
        <v>7976</v>
      </c>
      <c r="F2844" t="s">
        <v>7977</v>
      </c>
      <c r="G2844">
        <v>1</v>
      </c>
      <c r="H2844">
        <v>1480</v>
      </c>
      <c r="I2844">
        <v>2</v>
      </c>
      <c r="J2844">
        <v>3.4</v>
      </c>
      <c r="K2844">
        <v>2</v>
      </c>
      <c r="L2844">
        <v>2.5999999999999999E-2</v>
      </c>
      <c r="M2844">
        <v>5</v>
      </c>
      <c r="N2844">
        <v>114</v>
      </c>
      <c r="O2844">
        <v>2</v>
      </c>
      <c r="P2844">
        <v>0.22500000000000001</v>
      </c>
      <c r="Q2844">
        <v>2</v>
      </c>
      <c r="R2844">
        <v>2E-3</v>
      </c>
      <c r="T2844" s="8" t="s">
        <v>7976</v>
      </c>
    </row>
    <row r="2845" spans="1:20" x14ac:dyDescent="0.2">
      <c r="A2845" t="s">
        <v>7978</v>
      </c>
      <c r="B2845" t="s">
        <v>2022</v>
      </c>
      <c r="C2845" t="s">
        <v>2222</v>
      </c>
      <c r="D2845" t="s">
        <v>2024</v>
      </c>
      <c r="E2845" t="s">
        <v>7979</v>
      </c>
      <c r="F2845" t="s">
        <v>7980</v>
      </c>
      <c r="G2845">
        <v>3</v>
      </c>
      <c r="H2845">
        <v>1650</v>
      </c>
      <c r="I2845">
        <v>1</v>
      </c>
      <c r="J2845">
        <v>2.2999999999999998</v>
      </c>
      <c r="K2845">
        <v>1</v>
      </c>
      <c r="L2845">
        <v>0.01</v>
      </c>
      <c r="M2845">
        <v>3</v>
      </c>
      <c r="N2845">
        <v>67</v>
      </c>
      <c r="O2845">
        <v>1</v>
      </c>
      <c r="P2845">
        <v>7.0000000000000007E-2</v>
      </c>
      <c r="Q2845">
        <v>1</v>
      </c>
      <c r="R2845">
        <v>4.0000000000000002E-4</v>
      </c>
      <c r="T2845" s="8" t="s">
        <v>7979</v>
      </c>
    </row>
    <row r="2846" spans="1:20" x14ac:dyDescent="0.2">
      <c r="A2846" t="s">
        <v>7981</v>
      </c>
      <c r="B2846" t="s">
        <v>2022</v>
      </c>
      <c r="C2846" t="s">
        <v>2036</v>
      </c>
      <c r="D2846" t="s">
        <v>2024</v>
      </c>
      <c r="E2846" t="s">
        <v>7982</v>
      </c>
      <c r="F2846" t="s">
        <v>7983</v>
      </c>
      <c r="G2846">
        <v>2</v>
      </c>
      <c r="H2846">
        <v>1640</v>
      </c>
      <c r="I2846">
        <v>2</v>
      </c>
      <c r="J2846">
        <v>3.4</v>
      </c>
      <c r="K2846">
        <v>1</v>
      </c>
      <c r="L2846">
        <v>5.5E-2</v>
      </c>
      <c r="M2846">
        <v>2</v>
      </c>
      <c r="N2846">
        <v>82</v>
      </c>
      <c r="O2846">
        <v>2</v>
      </c>
      <c r="P2846">
        <v>0.20499999999999999</v>
      </c>
      <c r="Q2846">
        <v>2</v>
      </c>
      <c r="R2846">
        <v>4.2500000000000003E-3</v>
      </c>
      <c r="T2846" s="8" t="s">
        <v>7982</v>
      </c>
    </row>
    <row r="2847" spans="1:20" x14ac:dyDescent="0.2">
      <c r="A2847" t="s">
        <v>7984</v>
      </c>
      <c r="B2847" t="s">
        <v>2022</v>
      </c>
      <c r="C2847" t="s">
        <v>2049</v>
      </c>
      <c r="D2847" t="s">
        <v>2136</v>
      </c>
      <c r="E2847" t="s">
        <v>7985</v>
      </c>
      <c r="F2847" t="s">
        <v>7986</v>
      </c>
      <c r="G2847">
        <v>2</v>
      </c>
      <c r="H2847">
        <v>1450</v>
      </c>
      <c r="I2847">
        <v>1</v>
      </c>
      <c r="J2847">
        <v>1.4</v>
      </c>
      <c r="K2847">
        <v>1</v>
      </c>
      <c r="L2847">
        <v>0.01</v>
      </c>
      <c r="M2847">
        <v>4</v>
      </c>
      <c r="N2847">
        <v>146</v>
      </c>
      <c r="O2847">
        <v>1</v>
      </c>
      <c r="P2847">
        <v>0.06</v>
      </c>
      <c r="Q2847">
        <v>1</v>
      </c>
      <c r="R2847">
        <v>8.4999999999999995E-4</v>
      </c>
      <c r="T2847" s="8" t="s">
        <v>7985</v>
      </c>
    </row>
    <row r="2848" spans="1:20" x14ac:dyDescent="0.2">
      <c r="A2848" t="s">
        <v>7987</v>
      </c>
      <c r="B2848" t="s">
        <v>2022</v>
      </c>
      <c r="C2848" t="s">
        <v>2023</v>
      </c>
      <c r="D2848" t="s">
        <v>2136</v>
      </c>
      <c r="E2848" t="s">
        <v>7988</v>
      </c>
      <c r="F2848" t="s">
        <v>7989</v>
      </c>
      <c r="G2848">
        <v>2</v>
      </c>
      <c r="H2848">
        <v>1560</v>
      </c>
      <c r="I2848">
        <v>1</v>
      </c>
      <c r="J2848">
        <v>0.9</v>
      </c>
      <c r="K2848">
        <v>2</v>
      </c>
      <c r="L2848">
        <v>2.5999999999999999E-2</v>
      </c>
      <c r="M2848">
        <v>3</v>
      </c>
      <c r="N2848">
        <v>94</v>
      </c>
      <c r="O2848">
        <v>1</v>
      </c>
      <c r="P2848">
        <v>7.4999999999999997E-2</v>
      </c>
      <c r="Q2848">
        <v>2</v>
      </c>
      <c r="R2848">
        <v>2E-3</v>
      </c>
      <c r="T2848" s="8" t="s">
        <v>7988</v>
      </c>
    </row>
    <row r="2849" spans="1:20" x14ac:dyDescent="0.2">
      <c r="A2849" t="s">
        <v>7990</v>
      </c>
      <c r="B2849" t="s">
        <v>2022</v>
      </c>
      <c r="C2849" t="s">
        <v>2036</v>
      </c>
      <c r="D2849" t="s">
        <v>2024</v>
      </c>
      <c r="E2849" t="s">
        <v>7991</v>
      </c>
      <c r="F2849" t="s">
        <v>7992</v>
      </c>
      <c r="G2849">
        <v>5</v>
      </c>
      <c r="H2849">
        <v>1940</v>
      </c>
      <c r="I2849">
        <v>2</v>
      </c>
      <c r="J2849">
        <v>3.4</v>
      </c>
      <c r="K2849">
        <v>2</v>
      </c>
      <c r="L2849">
        <v>8.5000000000000006E-2</v>
      </c>
      <c r="M2849">
        <v>5</v>
      </c>
      <c r="N2849">
        <v>100</v>
      </c>
      <c r="O2849">
        <v>2</v>
      </c>
      <c r="P2849">
        <v>0.20499999999999999</v>
      </c>
      <c r="Q2849">
        <v>2</v>
      </c>
      <c r="R2849">
        <v>4.2500000000000003E-3</v>
      </c>
      <c r="T2849" s="8" t="s">
        <v>7991</v>
      </c>
    </row>
    <row r="2850" spans="1:20" x14ac:dyDescent="0.2">
      <c r="A2850" t="s">
        <v>7993</v>
      </c>
      <c r="B2850" t="s">
        <v>2022</v>
      </c>
      <c r="C2850" t="s">
        <v>2049</v>
      </c>
      <c r="D2850" t="s">
        <v>2024</v>
      </c>
      <c r="E2850" t="s">
        <v>7994</v>
      </c>
      <c r="F2850" t="s">
        <v>7995</v>
      </c>
      <c r="G2850">
        <v>3</v>
      </c>
      <c r="H2850">
        <v>1550</v>
      </c>
      <c r="I2850">
        <v>1</v>
      </c>
      <c r="J2850">
        <v>1.4</v>
      </c>
      <c r="K2850">
        <v>1</v>
      </c>
      <c r="L2850">
        <v>0.01</v>
      </c>
      <c r="M2850">
        <v>3</v>
      </c>
      <c r="N2850">
        <v>126</v>
      </c>
      <c r="O2850">
        <v>1</v>
      </c>
      <c r="P2850">
        <v>0.06</v>
      </c>
      <c r="Q2850">
        <v>1</v>
      </c>
      <c r="R2850">
        <v>8.4999999999999995E-4</v>
      </c>
      <c r="T2850" s="8" t="s">
        <v>7994</v>
      </c>
    </row>
    <row r="2851" spans="1:20" x14ac:dyDescent="0.2">
      <c r="A2851" t="s">
        <v>7996</v>
      </c>
      <c r="B2851" t="s">
        <v>2022</v>
      </c>
      <c r="C2851" t="s">
        <v>2023</v>
      </c>
      <c r="D2851" t="s">
        <v>2024</v>
      </c>
      <c r="E2851" t="s">
        <v>7997</v>
      </c>
      <c r="F2851" t="s">
        <v>7998</v>
      </c>
      <c r="G2851">
        <v>2</v>
      </c>
      <c r="H2851">
        <v>1560</v>
      </c>
      <c r="I2851">
        <v>1</v>
      </c>
      <c r="J2851">
        <v>0.9</v>
      </c>
      <c r="K2851">
        <v>2</v>
      </c>
      <c r="L2851">
        <v>2.5999999999999999E-2</v>
      </c>
      <c r="M2851">
        <v>1</v>
      </c>
      <c r="N2851">
        <v>74</v>
      </c>
      <c r="O2851">
        <v>1</v>
      </c>
      <c r="P2851">
        <v>7.4999999999999997E-2</v>
      </c>
      <c r="Q2851">
        <v>1</v>
      </c>
      <c r="R2851">
        <v>5.0000000000000001E-4</v>
      </c>
      <c r="T2851" s="8" t="s">
        <v>7997</v>
      </c>
    </row>
    <row r="2852" spans="1:20" x14ac:dyDescent="0.2">
      <c r="A2852" t="s">
        <v>7999</v>
      </c>
      <c r="B2852" t="s">
        <v>2022</v>
      </c>
      <c r="C2852" t="s">
        <v>2101</v>
      </c>
      <c r="D2852" t="s">
        <v>2024</v>
      </c>
      <c r="E2852" t="s">
        <v>8000</v>
      </c>
      <c r="F2852" t="s">
        <v>8001</v>
      </c>
      <c r="G2852">
        <v>3</v>
      </c>
      <c r="H2852">
        <v>1770</v>
      </c>
      <c r="I2852">
        <v>1</v>
      </c>
      <c r="J2852">
        <v>2</v>
      </c>
      <c r="K2852">
        <v>2</v>
      </c>
      <c r="L2852">
        <v>9.6500000000000002E-2</v>
      </c>
      <c r="M2852">
        <v>1</v>
      </c>
      <c r="N2852">
        <v>66</v>
      </c>
      <c r="O2852">
        <v>1</v>
      </c>
      <c r="P2852">
        <v>7.4999999999999997E-2</v>
      </c>
      <c r="Q2852">
        <v>2</v>
      </c>
      <c r="R2852">
        <v>4.4999999999999997E-3</v>
      </c>
      <c r="T2852" s="8" t="s">
        <v>8000</v>
      </c>
    </row>
    <row r="2853" spans="1:20" x14ac:dyDescent="0.2">
      <c r="A2853" t="s">
        <v>8002</v>
      </c>
      <c r="B2853" t="s">
        <v>2022</v>
      </c>
      <c r="C2853" t="s">
        <v>2101</v>
      </c>
      <c r="D2853" t="s">
        <v>2024</v>
      </c>
      <c r="E2853" t="s">
        <v>8003</v>
      </c>
      <c r="F2853" t="s">
        <v>8004</v>
      </c>
      <c r="G2853">
        <v>3</v>
      </c>
      <c r="H2853">
        <v>1770</v>
      </c>
      <c r="I2853">
        <v>3</v>
      </c>
      <c r="J2853">
        <v>8</v>
      </c>
      <c r="K2853">
        <v>2</v>
      </c>
      <c r="L2853">
        <v>9.6500000000000002E-2</v>
      </c>
      <c r="M2853">
        <v>2</v>
      </c>
      <c r="N2853">
        <v>74</v>
      </c>
      <c r="O2853">
        <v>3</v>
      </c>
      <c r="P2853">
        <v>0.375</v>
      </c>
      <c r="Q2853">
        <v>2</v>
      </c>
      <c r="R2853">
        <v>4.4999999999999997E-3</v>
      </c>
      <c r="T2853" s="8" t="s">
        <v>8003</v>
      </c>
    </row>
    <row r="2854" spans="1:20" x14ac:dyDescent="0.2">
      <c r="A2854" t="s">
        <v>8005</v>
      </c>
      <c r="B2854" t="s">
        <v>2022</v>
      </c>
      <c r="C2854" t="s">
        <v>2173</v>
      </c>
      <c r="D2854" t="s">
        <v>2024</v>
      </c>
      <c r="E2854" t="s">
        <v>8006</v>
      </c>
      <c r="F2854" t="s">
        <v>8007</v>
      </c>
      <c r="G2854">
        <v>2</v>
      </c>
      <c r="H2854">
        <v>1957.5</v>
      </c>
      <c r="I2854">
        <v>1</v>
      </c>
      <c r="J2854">
        <v>3.65</v>
      </c>
      <c r="K2854">
        <v>1</v>
      </c>
      <c r="L2854">
        <v>1.4999999999999999E-2</v>
      </c>
      <c r="M2854">
        <v>2</v>
      </c>
      <c r="N2854">
        <v>107.5</v>
      </c>
      <c r="O2854">
        <v>1</v>
      </c>
      <c r="P2854">
        <v>0.15</v>
      </c>
      <c r="Q2854">
        <v>1</v>
      </c>
      <c r="R2854">
        <v>6.4999999999999997E-4</v>
      </c>
      <c r="T2854" s="8" t="s">
        <v>8006</v>
      </c>
    </row>
    <row r="2855" spans="1:20" x14ac:dyDescent="0.2">
      <c r="A2855" t="s">
        <v>8008</v>
      </c>
      <c r="B2855" t="s">
        <v>2022</v>
      </c>
      <c r="C2855" t="s">
        <v>2049</v>
      </c>
      <c r="D2855" t="s">
        <v>2024</v>
      </c>
      <c r="E2855" t="s">
        <v>232</v>
      </c>
      <c r="F2855" t="s">
        <v>8009</v>
      </c>
      <c r="G2855">
        <v>4</v>
      </c>
      <c r="H2855">
        <v>1650</v>
      </c>
      <c r="I2855">
        <v>2</v>
      </c>
      <c r="J2855">
        <v>3.2</v>
      </c>
      <c r="K2855">
        <v>2</v>
      </c>
      <c r="L2855">
        <v>0.06</v>
      </c>
      <c r="M2855">
        <v>4</v>
      </c>
      <c r="N2855">
        <v>146</v>
      </c>
      <c r="O2855">
        <v>2</v>
      </c>
      <c r="P2855">
        <v>0.26</v>
      </c>
      <c r="Q2855">
        <v>2</v>
      </c>
      <c r="R2855">
        <v>6.1999999999999998E-3</v>
      </c>
      <c r="T2855" s="8" t="s">
        <v>232</v>
      </c>
    </row>
    <row r="2856" spans="1:20" x14ac:dyDescent="0.2">
      <c r="A2856" t="s">
        <v>8010</v>
      </c>
      <c r="B2856" t="s">
        <v>2022</v>
      </c>
      <c r="C2856" t="s">
        <v>2053</v>
      </c>
      <c r="D2856" t="s">
        <v>2024</v>
      </c>
      <c r="E2856" t="s">
        <v>8011</v>
      </c>
      <c r="F2856" t="s">
        <v>8012</v>
      </c>
      <c r="G2856">
        <v>3</v>
      </c>
      <c r="H2856">
        <v>1700</v>
      </c>
      <c r="I2856">
        <v>2</v>
      </c>
      <c r="J2856">
        <v>4.05</v>
      </c>
      <c r="K2856">
        <v>2</v>
      </c>
      <c r="L2856">
        <v>8.5000000000000006E-2</v>
      </c>
      <c r="M2856">
        <v>1</v>
      </c>
      <c r="N2856">
        <v>73</v>
      </c>
      <c r="O2856">
        <v>2</v>
      </c>
      <c r="P2856">
        <v>0.22500000000000001</v>
      </c>
      <c r="Q2856">
        <v>2</v>
      </c>
      <c r="R2856">
        <v>5.1999999999999998E-3</v>
      </c>
      <c r="T2856" s="8" t="s">
        <v>8011</v>
      </c>
    </row>
    <row r="2857" spans="1:20" x14ac:dyDescent="0.2">
      <c r="A2857" t="s">
        <v>8013</v>
      </c>
      <c r="B2857" t="s">
        <v>2022</v>
      </c>
      <c r="C2857" t="s">
        <v>2023</v>
      </c>
      <c r="D2857" t="s">
        <v>2024</v>
      </c>
      <c r="E2857" t="s">
        <v>8014</v>
      </c>
      <c r="F2857" t="s">
        <v>8015</v>
      </c>
      <c r="G2857">
        <v>3</v>
      </c>
      <c r="H2857">
        <v>1640</v>
      </c>
      <c r="I2857">
        <v>5</v>
      </c>
      <c r="J2857">
        <v>10.9</v>
      </c>
      <c r="K2857">
        <v>5</v>
      </c>
      <c r="L2857">
        <v>8.5999999999999993E-2</v>
      </c>
      <c r="M2857">
        <v>3</v>
      </c>
      <c r="N2857">
        <v>94</v>
      </c>
      <c r="O2857">
        <v>5</v>
      </c>
      <c r="P2857">
        <v>0.67500000000000004</v>
      </c>
      <c r="Q2857">
        <v>5</v>
      </c>
      <c r="R2857">
        <v>8.0000000000000002E-3</v>
      </c>
      <c r="T2857" s="8" t="s">
        <v>8014</v>
      </c>
    </row>
    <row r="2858" spans="1:20" x14ac:dyDescent="0.2">
      <c r="A2858" t="s">
        <v>8016</v>
      </c>
      <c r="B2858" t="s">
        <v>2022</v>
      </c>
      <c r="C2858" t="s">
        <v>2095</v>
      </c>
      <c r="D2858" t="s">
        <v>2024</v>
      </c>
      <c r="E2858" t="s">
        <v>8014</v>
      </c>
      <c r="F2858" t="s">
        <v>8015</v>
      </c>
      <c r="G2858">
        <v>1</v>
      </c>
      <c r="H2858">
        <v>1565</v>
      </c>
      <c r="I2858">
        <v>3</v>
      </c>
      <c r="J2858">
        <v>10.5</v>
      </c>
      <c r="K2858">
        <v>2</v>
      </c>
      <c r="L2858">
        <v>0.13</v>
      </c>
      <c r="M2858">
        <v>1</v>
      </c>
      <c r="N2858">
        <v>74</v>
      </c>
      <c r="O2858">
        <v>3</v>
      </c>
      <c r="P2858">
        <v>0.55000000000000004</v>
      </c>
      <c r="Q2858">
        <v>2</v>
      </c>
      <c r="R2858">
        <v>5.8999999999999999E-3</v>
      </c>
      <c r="T2858" s="8" t="s">
        <v>8014</v>
      </c>
    </row>
    <row r="2859" spans="1:20" x14ac:dyDescent="0.2">
      <c r="A2859" t="s">
        <v>8017</v>
      </c>
      <c r="B2859" t="s">
        <v>2022</v>
      </c>
      <c r="C2859" t="s">
        <v>2023</v>
      </c>
      <c r="D2859" t="s">
        <v>2024</v>
      </c>
      <c r="E2859" t="s">
        <v>8018</v>
      </c>
      <c r="F2859" t="s">
        <v>8019</v>
      </c>
      <c r="G2859">
        <v>2</v>
      </c>
      <c r="H2859">
        <v>1560</v>
      </c>
      <c r="I2859">
        <v>2</v>
      </c>
      <c r="J2859">
        <v>3.4</v>
      </c>
      <c r="K2859">
        <v>3</v>
      </c>
      <c r="L2859">
        <v>4.5999999999999999E-2</v>
      </c>
      <c r="M2859">
        <v>2</v>
      </c>
      <c r="N2859">
        <v>84</v>
      </c>
      <c r="O2859">
        <v>2</v>
      </c>
      <c r="P2859">
        <v>0.22500000000000001</v>
      </c>
      <c r="Q2859">
        <v>2</v>
      </c>
      <c r="R2859">
        <v>2E-3</v>
      </c>
      <c r="T2859" s="8" t="s">
        <v>8018</v>
      </c>
    </row>
    <row r="2860" spans="1:20" x14ac:dyDescent="0.2">
      <c r="A2860" t="s">
        <v>8020</v>
      </c>
      <c r="B2860" t="s">
        <v>2022</v>
      </c>
      <c r="C2860" t="s">
        <v>2023</v>
      </c>
      <c r="D2860" t="s">
        <v>2024</v>
      </c>
      <c r="E2860" t="s">
        <v>8021</v>
      </c>
      <c r="F2860" t="s">
        <v>8022</v>
      </c>
      <c r="G2860">
        <v>4</v>
      </c>
      <c r="H2860">
        <v>1720</v>
      </c>
      <c r="I2860">
        <v>3</v>
      </c>
      <c r="J2860">
        <v>5.9</v>
      </c>
      <c r="K2860">
        <v>5</v>
      </c>
      <c r="L2860">
        <v>8.5999999999999993E-2</v>
      </c>
      <c r="M2860">
        <v>3</v>
      </c>
      <c r="N2860">
        <v>94</v>
      </c>
      <c r="O2860">
        <v>3</v>
      </c>
      <c r="P2860">
        <v>0.375</v>
      </c>
      <c r="Q2860">
        <v>5</v>
      </c>
      <c r="R2860">
        <v>8.0000000000000002E-3</v>
      </c>
      <c r="T2860" s="8" t="s">
        <v>8021</v>
      </c>
    </row>
    <row r="2861" spans="1:20" x14ac:dyDescent="0.2">
      <c r="A2861" t="s">
        <v>8023</v>
      </c>
      <c r="B2861" t="s">
        <v>2022</v>
      </c>
      <c r="C2861" t="s">
        <v>2104</v>
      </c>
      <c r="D2861" t="s">
        <v>2024</v>
      </c>
      <c r="E2861" t="s">
        <v>8024</v>
      </c>
      <c r="F2861" t="s">
        <v>8025</v>
      </c>
      <c r="G2861">
        <v>2</v>
      </c>
      <c r="H2861">
        <v>1712.5</v>
      </c>
      <c r="I2861">
        <v>3</v>
      </c>
      <c r="J2861">
        <v>5.55</v>
      </c>
      <c r="K2861">
        <v>4</v>
      </c>
      <c r="L2861">
        <v>0.14099999999999999</v>
      </c>
      <c r="M2861">
        <v>2</v>
      </c>
      <c r="N2861">
        <v>65</v>
      </c>
      <c r="P2861">
        <v>0</v>
      </c>
      <c r="Q2861">
        <v>2</v>
      </c>
      <c r="R2861">
        <v>3.2000000000000002E-3</v>
      </c>
      <c r="T2861" s="8" t="s">
        <v>8024</v>
      </c>
    </row>
    <row r="2862" spans="1:20" x14ac:dyDescent="0.2">
      <c r="A2862" t="s">
        <v>8026</v>
      </c>
      <c r="B2862" t="s">
        <v>2022</v>
      </c>
      <c r="C2862" t="s">
        <v>2095</v>
      </c>
      <c r="D2862" t="s">
        <v>2024</v>
      </c>
      <c r="E2862" t="s">
        <v>8027</v>
      </c>
      <c r="F2862" t="s">
        <v>8028</v>
      </c>
      <c r="G2862">
        <v>4</v>
      </c>
      <c r="H2862">
        <v>1835</v>
      </c>
      <c r="I2862">
        <v>4</v>
      </c>
      <c r="J2862">
        <v>13.5</v>
      </c>
      <c r="K2862">
        <v>3</v>
      </c>
      <c r="L2862">
        <v>0.33</v>
      </c>
      <c r="M2862">
        <v>3</v>
      </c>
      <c r="N2862">
        <v>86</v>
      </c>
      <c r="O2862">
        <v>3</v>
      </c>
      <c r="P2862">
        <v>0.55000000000000004</v>
      </c>
      <c r="Q2862">
        <v>3</v>
      </c>
      <c r="R2862">
        <v>1.49E-2</v>
      </c>
      <c r="T2862" s="8" t="s">
        <v>8027</v>
      </c>
    </row>
    <row r="2863" spans="1:20" x14ac:dyDescent="0.2">
      <c r="A2863" t="s">
        <v>8029</v>
      </c>
      <c r="B2863" t="s">
        <v>2022</v>
      </c>
      <c r="C2863" t="s">
        <v>2036</v>
      </c>
      <c r="D2863" t="s">
        <v>2024</v>
      </c>
      <c r="E2863" t="s">
        <v>8030</v>
      </c>
      <c r="F2863" t="s">
        <v>8031</v>
      </c>
      <c r="G2863">
        <v>3</v>
      </c>
      <c r="H2863">
        <v>1740</v>
      </c>
      <c r="I2863">
        <v>3</v>
      </c>
      <c r="J2863">
        <v>4.5999999999999996</v>
      </c>
      <c r="K2863">
        <v>3</v>
      </c>
      <c r="L2863">
        <v>0.115</v>
      </c>
      <c r="M2863">
        <v>3</v>
      </c>
      <c r="N2863">
        <v>88</v>
      </c>
      <c r="O2863">
        <v>2</v>
      </c>
      <c r="P2863">
        <v>0.20499999999999999</v>
      </c>
      <c r="Q2863">
        <v>2</v>
      </c>
      <c r="R2863">
        <v>4.2500000000000003E-3</v>
      </c>
      <c r="T2863" s="8" t="s">
        <v>8030</v>
      </c>
    </row>
    <row r="2864" spans="1:20" x14ac:dyDescent="0.2">
      <c r="A2864" t="s">
        <v>8032</v>
      </c>
      <c r="B2864" t="s">
        <v>2022</v>
      </c>
      <c r="C2864" t="s">
        <v>2049</v>
      </c>
      <c r="D2864" t="s">
        <v>2136</v>
      </c>
      <c r="E2864" t="s">
        <v>8033</v>
      </c>
      <c r="F2864" t="s">
        <v>447</v>
      </c>
      <c r="G2864">
        <v>1</v>
      </c>
      <c r="H2864">
        <v>1350</v>
      </c>
      <c r="I2864">
        <v>2</v>
      </c>
      <c r="J2864">
        <v>3.2</v>
      </c>
      <c r="K2864">
        <v>2</v>
      </c>
      <c r="L2864">
        <v>0.06</v>
      </c>
      <c r="M2864">
        <v>5</v>
      </c>
      <c r="N2864">
        <v>166</v>
      </c>
      <c r="O2864">
        <v>3</v>
      </c>
      <c r="P2864">
        <v>0.46</v>
      </c>
      <c r="Q2864">
        <v>2</v>
      </c>
      <c r="R2864">
        <v>6.1999999999999998E-3</v>
      </c>
      <c r="T2864" s="8" t="s">
        <v>8033</v>
      </c>
    </row>
    <row r="2865" spans="1:20" x14ac:dyDescent="0.2">
      <c r="A2865" t="s">
        <v>8034</v>
      </c>
      <c r="B2865" t="s">
        <v>2022</v>
      </c>
      <c r="C2865" t="s">
        <v>2023</v>
      </c>
      <c r="D2865" t="s">
        <v>2024</v>
      </c>
      <c r="E2865" t="s">
        <v>8035</v>
      </c>
      <c r="F2865" t="s">
        <v>8036</v>
      </c>
      <c r="G2865">
        <v>5</v>
      </c>
      <c r="H2865">
        <v>1800</v>
      </c>
      <c r="I2865">
        <v>3</v>
      </c>
      <c r="J2865">
        <v>5.9</v>
      </c>
      <c r="K2865">
        <v>5</v>
      </c>
      <c r="L2865">
        <v>8.5999999999999993E-2</v>
      </c>
      <c r="M2865">
        <v>3</v>
      </c>
      <c r="N2865">
        <v>94</v>
      </c>
      <c r="O2865">
        <v>2</v>
      </c>
      <c r="P2865">
        <v>0.22500000000000001</v>
      </c>
      <c r="Q2865">
        <v>3</v>
      </c>
      <c r="R2865">
        <v>4.0000000000000001E-3</v>
      </c>
      <c r="T2865" s="8" t="s">
        <v>8035</v>
      </c>
    </row>
    <row r="2866" spans="1:20" x14ac:dyDescent="0.2">
      <c r="A2866" t="s">
        <v>8037</v>
      </c>
      <c r="B2866" t="s">
        <v>2022</v>
      </c>
      <c r="C2866" t="s">
        <v>2023</v>
      </c>
      <c r="D2866" t="s">
        <v>2024</v>
      </c>
      <c r="E2866" t="s">
        <v>8038</v>
      </c>
      <c r="F2866" t="s">
        <v>8039</v>
      </c>
      <c r="G2866">
        <v>5</v>
      </c>
      <c r="H2866">
        <v>1800</v>
      </c>
      <c r="I2866">
        <v>4</v>
      </c>
      <c r="J2866">
        <v>8.4</v>
      </c>
      <c r="K2866">
        <v>5</v>
      </c>
      <c r="L2866">
        <v>8.5999999999999993E-2</v>
      </c>
      <c r="M2866">
        <v>5</v>
      </c>
      <c r="N2866">
        <v>114</v>
      </c>
      <c r="O2866">
        <v>5</v>
      </c>
      <c r="P2866">
        <v>0.67500000000000004</v>
      </c>
      <c r="Q2866">
        <v>5</v>
      </c>
      <c r="R2866">
        <v>8.0000000000000002E-3</v>
      </c>
      <c r="T2866" s="8" t="s">
        <v>8038</v>
      </c>
    </row>
    <row r="2867" spans="1:20" x14ac:dyDescent="0.2">
      <c r="A2867" t="s">
        <v>8040</v>
      </c>
      <c r="B2867" t="s">
        <v>2022</v>
      </c>
      <c r="C2867" t="s">
        <v>2036</v>
      </c>
      <c r="D2867" t="s">
        <v>2024</v>
      </c>
      <c r="E2867" t="s">
        <v>8041</v>
      </c>
      <c r="F2867" t="s">
        <v>8042</v>
      </c>
      <c r="G2867">
        <v>4</v>
      </c>
      <c r="H2867">
        <v>1840</v>
      </c>
      <c r="I2867">
        <v>5</v>
      </c>
      <c r="J2867">
        <v>7</v>
      </c>
      <c r="K2867">
        <v>5</v>
      </c>
      <c r="L2867">
        <v>0.17499999999999999</v>
      </c>
      <c r="M2867">
        <v>4</v>
      </c>
      <c r="N2867">
        <v>94</v>
      </c>
      <c r="O2867">
        <v>4</v>
      </c>
      <c r="P2867">
        <v>0.42499999999999999</v>
      </c>
      <c r="Q2867">
        <v>4</v>
      </c>
      <c r="R2867">
        <v>9.2499999999999995E-3</v>
      </c>
      <c r="T2867" s="8" t="s">
        <v>8041</v>
      </c>
    </row>
    <row r="2868" spans="1:20" x14ac:dyDescent="0.2">
      <c r="A2868" t="s">
        <v>8043</v>
      </c>
      <c r="B2868" t="s">
        <v>2022</v>
      </c>
      <c r="C2868" t="s">
        <v>2023</v>
      </c>
      <c r="D2868" t="s">
        <v>2024</v>
      </c>
      <c r="E2868" t="s">
        <v>8044</v>
      </c>
      <c r="F2868" t="s">
        <v>8045</v>
      </c>
      <c r="G2868">
        <v>1</v>
      </c>
      <c r="H2868">
        <v>1480</v>
      </c>
      <c r="I2868">
        <v>2</v>
      </c>
      <c r="J2868">
        <v>3.4</v>
      </c>
      <c r="K2868">
        <v>5</v>
      </c>
      <c r="L2868">
        <v>8.5999999999999993E-2</v>
      </c>
      <c r="M2868">
        <v>5</v>
      </c>
      <c r="N2868">
        <v>114</v>
      </c>
      <c r="O2868">
        <v>3</v>
      </c>
      <c r="P2868">
        <v>0.375</v>
      </c>
      <c r="Q2868">
        <v>5</v>
      </c>
      <c r="R2868">
        <v>8.0000000000000002E-3</v>
      </c>
      <c r="T2868" s="8" t="s">
        <v>8044</v>
      </c>
    </row>
    <row r="2869" spans="1:20" x14ac:dyDescent="0.2">
      <c r="A2869" t="s">
        <v>8046</v>
      </c>
      <c r="B2869" t="s">
        <v>2022</v>
      </c>
      <c r="C2869" t="s">
        <v>2095</v>
      </c>
      <c r="D2869" t="s">
        <v>2024</v>
      </c>
      <c r="E2869" t="s">
        <v>8047</v>
      </c>
      <c r="F2869" t="s">
        <v>8048</v>
      </c>
      <c r="G2869">
        <v>1</v>
      </c>
      <c r="H2869">
        <v>1565</v>
      </c>
      <c r="I2869">
        <v>4</v>
      </c>
      <c r="J2869">
        <v>13.5</v>
      </c>
      <c r="K2869">
        <v>3</v>
      </c>
      <c r="L2869">
        <v>0.33</v>
      </c>
      <c r="M2869">
        <v>3</v>
      </c>
      <c r="N2869">
        <v>86</v>
      </c>
      <c r="O2869">
        <v>4</v>
      </c>
      <c r="P2869">
        <v>0.75</v>
      </c>
      <c r="Q2869">
        <v>4</v>
      </c>
      <c r="R2869">
        <v>2.3900000000000001E-2</v>
      </c>
      <c r="T2869" s="8" t="s">
        <v>8047</v>
      </c>
    </row>
    <row r="2870" spans="1:20" x14ac:dyDescent="0.2">
      <c r="A2870" t="s">
        <v>8049</v>
      </c>
      <c r="B2870" t="s">
        <v>2022</v>
      </c>
      <c r="C2870" t="s">
        <v>2036</v>
      </c>
      <c r="D2870" t="s">
        <v>2024</v>
      </c>
      <c r="E2870" t="s">
        <v>8050</v>
      </c>
      <c r="F2870" t="s">
        <v>8051</v>
      </c>
      <c r="G2870">
        <v>2</v>
      </c>
      <c r="H2870">
        <v>1640</v>
      </c>
      <c r="I2870">
        <v>1</v>
      </c>
      <c r="J2870">
        <v>2.2000000000000002</v>
      </c>
      <c r="K2870">
        <v>2</v>
      </c>
      <c r="L2870">
        <v>8.5000000000000006E-2</v>
      </c>
      <c r="M2870">
        <v>3</v>
      </c>
      <c r="N2870">
        <v>88</v>
      </c>
      <c r="O2870">
        <v>1</v>
      </c>
      <c r="P2870">
        <v>9.5000000000000001E-2</v>
      </c>
      <c r="Q2870">
        <v>2</v>
      </c>
      <c r="R2870">
        <v>4.2500000000000003E-3</v>
      </c>
      <c r="T2870" s="8" t="s">
        <v>8050</v>
      </c>
    </row>
    <row r="2871" spans="1:20" x14ac:dyDescent="0.2">
      <c r="A2871" t="s">
        <v>8052</v>
      </c>
      <c r="B2871" t="s">
        <v>2022</v>
      </c>
      <c r="C2871" t="s">
        <v>2049</v>
      </c>
      <c r="D2871" t="s">
        <v>2024</v>
      </c>
      <c r="E2871" t="s">
        <v>8053</v>
      </c>
      <c r="F2871" t="s">
        <v>8054</v>
      </c>
      <c r="G2871">
        <v>5</v>
      </c>
      <c r="H2871">
        <v>1750</v>
      </c>
      <c r="I2871">
        <v>5</v>
      </c>
      <c r="J2871">
        <v>8.6</v>
      </c>
      <c r="K2871">
        <v>5</v>
      </c>
      <c r="L2871">
        <v>0.3</v>
      </c>
      <c r="M2871">
        <v>2</v>
      </c>
      <c r="N2871">
        <v>106</v>
      </c>
      <c r="O2871">
        <v>5</v>
      </c>
      <c r="P2871">
        <v>0.86</v>
      </c>
      <c r="Q2871">
        <v>4</v>
      </c>
      <c r="R2871">
        <v>2.4199999999999999E-2</v>
      </c>
      <c r="T2871" s="8" t="s">
        <v>8053</v>
      </c>
    </row>
    <row r="2872" spans="1:20" x14ac:dyDescent="0.2">
      <c r="A2872" t="s">
        <v>8055</v>
      </c>
      <c r="B2872" t="s">
        <v>2022</v>
      </c>
      <c r="C2872" t="s">
        <v>2023</v>
      </c>
      <c r="D2872" t="s">
        <v>2024</v>
      </c>
      <c r="E2872" t="s">
        <v>8056</v>
      </c>
      <c r="F2872" t="s">
        <v>8057</v>
      </c>
      <c r="G2872">
        <v>5</v>
      </c>
      <c r="H2872">
        <v>1800</v>
      </c>
      <c r="I2872">
        <v>4</v>
      </c>
      <c r="J2872">
        <v>8.4</v>
      </c>
      <c r="K2872">
        <v>5</v>
      </c>
      <c r="L2872">
        <v>8.5999999999999993E-2</v>
      </c>
      <c r="M2872">
        <v>4</v>
      </c>
      <c r="N2872">
        <v>104</v>
      </c>
      <c r="O2872">
        <v>4</v>
      </c>
      <c r="P2872">
        <v>0.52500000000000002</v>
      </c>
      <c r="Q2872">
        <v>5</v>
      </c>
      <c r="R2872">
        <v>8.0000000000000002E-3</v>
      </c>
      <c r="T2872" s="8" t="s">
        <v>8056</v>
      </c>
    </row>
    <row r="2873" spans="1:20" x14ac:dyDescent="0.2">
      <c r="A2873" t="s">
        <v>8058</v>
      </c>
      <c r="B2873" t="s">
        <v>2022</v>
      </c>
      <c r="C2873" t="s">
        <v>2023</v>
      </c>
      <c r="D2873" t="s">
        <v>2024</v>
      </c>
      <c r="E2873" t="s">
        <v>8059</v>
      </c>
      <c r="F2873" t="s">
        <v>447</v>
      </c>
      <c r="G2873">
        <v>1</v>
      </c>
      <c r="H2873">
        <v>1480</v>
      </c>
      <c r="I2873">
        <v>2</v>
      </c>
      <c r="J2873">
        <v>3.4</v>
      </c>
      <c r="K2873">
        <v>3</v>
      </c>
      <c r="L2873">
        <v>4.5999999999999999E-2</v>
      </c>
      <c r="M2873">
        <v>3</v>
      </c>
      <c r="N2873">
        <v>94</v>
      </c>
      <c r="O2873">
        <v>2</v>
      </c>
      <c r="P2873">
        <v>0.22500000000000001</v>
      </c>
      <c r="Q2873">
        <v>3</v>
      </c>
      <c r="R2873">
        <v>4.0000000000000001E-3</v>
      </c>
      <c r="T2873" s="8" t="s">
        <v>8059</v>
      </c>
    </row>
    <row r="2874" spans="1:20" x14ac:dyDescent="0.2">
      <c r="A2874" t="s">
        <v>8060</v>
      </c>
      <c r="B2874" t="s">
        <v>2022</v>
      </c>
      <c r="C2874" t="s">
        <v>2023</v>
      </c>
      <c r="D2874" t="s">
        <v>2024</v>
      </c>
      <c r="E2874" t="s">
        <v>8061</v>
      </c>
      <c r="F2874" t="s">
        <v>8062</v>
      </c>
      <c r="G2874">
        <v>3</v>
      </c>
      <c r="H2874">
        <v>1640</v>
      </c>
      <c r="I2874">
        <v>5</v>
      </c>
      <c r="J2874">
        <v>10.9</v>
      </c>
      <c r="K2874">
        <v>5</v>
      </c>
      <c r="L2874">
        <v>8.5999999999999993E-2</v>
      </c>
      <c r="M2874">
        <v>1</v>
      </c>
      <c r="N2874">
        <v>74</v>
      </c>
      <c r="O2874">
        <v>4</v>
      </c>
      <c r="P2874">
        <v>0.52500000000000002</v>
      </c>
      <c r="Q2874">
        <v>5</v>
      </c>
      <c r="R2874">
        <v>8.0000000000000002E-3</v>
      </c>
      <c r="T2874" s="8" t="s">
        <v>8061</v>
      </c>
    </row>
    <row r="2875" spans="1:20" x14ac:dyDescent="0.2">
      <c r="A2875" t="s">
        <v>8063</v>
      </c>
      <c r="B2875" t="s">
        <v>2022</v>
      </c>
      <c r="C2875" t="s">
        <v>2023</v>
      </c>
      <c r="D2875" t="s">
        <v>2024</v>
      </c>
      <c r="E2875" t="s">
        <v>8064</v>
      </c>
      <c r="F2875" t="s">
        <v>8065</v>
      </c>
      <c r="G2875">
        <v>3</v>
      </c>
      <c r="H2875">
        <v>1640</v>
      </c>
      <c r="I2875">
        <v>3</v>
      </c>
      <c r="J2875">
        <v>5.9</v>
      </c>
      <c r="K2875">
        <v>5</v>
      </c>
      <c r="L2875">
        <v>8.5999999999999993E-2</v>
      </c>
      <c r="M2875">
        <v>4</v>
      </c>
      <c r="N2875">
        <v>104</v>
      </c>
      <c r="O2875">
        <v>4</v>
      </c>
      <c r="P2875">
        <v>0.52500000000000002</v>
      </c>
      <c r="Q2875">
        <v>5</v>
      </c>
      <c r="R2875">
        <v>8.0000000000000002E-3</v>
      </c>
      <c r="T2875" s="8" t="s">
        <v>8064</v>
      </c>
    </row>
    <row r="2876" spans="1:20" x14ac:dyDescent="0.2">
      <c r="A2876" t="s">
        <v>8066</v>
      </c>
      <c r="B2876" t="s">
        <v>2022</v>
      </c>
      <c r="C2876" t="s">
        <v>2023</v>
      </c>
      <c r="D2876" t="s">
        <v>2024</v>
      </c>
      <c r="E2876" t="s">
        <v>8067</v>
      </c>
      <c r="F2876" t="s">
        <v>8068</v>
      </c>
      <c r="G2876">
        <v>3</v>
      </c>
      <c r="H2876">
        <v>1640</v>
      </c>
      <c r="I2876">
        <v>1</v>
      </c>
      <c r="J2876">
        <v>0.9</v>
      </c>
      <c r="K2876">
        <v>1</v>
      </c>
      <c r="L2876">
        <v>6.0000000000000001E-3</v>
      </c>
      <c r="M2876">
        <v>1</v>
      </c>
      <c r="N2876">
        <v>74</v>
      </c>
      <c r="O2876">
        <v>1</v>
      </c>
      <c r="P2876">
        <v>7.4999999999999997E-2</v>
      </c>
      <c r="Q2876">
        <v>1</v>
      </c>
      <c r="R2876">
        <v>5.0000000000000001E-4</v>
      </c>
      <c r="T2876" s="8" t="s">
        <v>8067</v>
      </c>
    </row>
    <row r="2877" spans="1:20" x14ac:dyDescent="0.2">
      <c r="A2877" t="s">
        <v>8069</v>
      </c>
      <c r="B2877" t="s">
        <v>2022</v>
      </c>
      <c r="C2877" t="s">
        <v>2023</v>
      </c>
      <c r="D2877" t="s">
        <v>2024</v>
      </c>
      <c r="E2877" t="s">
        <v>8070</v>
      </c>
      <c r="F2877" t="s">
        <v>8071</v>
      </c>
      <c r="G2877">
        <v>3</v>
      </c>
      <c r="H2877">
        <v>1640</v>
      </c>
      <c r="I2877">
        <v>2</v>
      </c>
      <c r="J2877">
        <v>3.4</v>
      </c>
      <c r="K2877">
        <v>2</v>
      </c>
      <c r="L2877">
        <v>2.5999999999999999E-2</v>
      </c>
      <c r="M2877">
        <v>2</v>
      </c>
      <c r="N2877">
        <v>84</v>
      </c>
      <c r="O2877">
        <v>1</v>
      </c>
      <c r="P2877">
        <v>7.4999999999999997E-2</v>
      </c>
      <c r="Q2877">
        <v>1</v>
      </c>
      <c r="R2877">
        <v>5.0000000000000001E-4</v>
      </c>
      <c r="T2877" s="8" t="s">
        <v>8070</v>
      </c>
    </row>
    <row r="2878" spans="1:20" x14ac:dyDescent="0.2">
      <c r="A2878" t="s">
        <v>8072</v>
      </c>
      <c r="B2878" t="s">
        <v>2022</v>
      </c>
      <c r="C2878" t="s">
        <v>2023</v>
      </c>
      <c r="D2878" t="s">
        <v>2024</v>
      </c>
      <c r="E2878" t="s">
        <v>8073</v>
      </c>
      <c r="F2878" t="s">
        <v>8074</v>
      </c>
      <c r="G2878">
        <v>3</v>
      </c>
      <c r="H2878">
        <v>1640</v>
      </c>
      <c r="I2878">
        <v>1</v>
      </c>
      <c r="J2878">
        <v>0.9</v>
      </c>
      <c r="K2878">
        <v>1</v>
      </c>
      <c r="L2878">
        <v>6.0000000000000001E-3</v>
      </c>
      <c r="M2878">
        <v>5</v>
      </c>
      <c r="N2878">
        <v>114</v>
      </c>
      <c r="O2878">
        <v>1</v>
      </c>
      <c r="P2878">
        <v>7.4999999999999997E-2</v>
      </c>
      <c r="Q2878">
        <v>1</v>
      </c>
      <c r="R2878">
        <v>5.0000000000000001E-4</v>
      </c>
      <c r="T2878" s="8" t="s">
        <v>8073</v>
      </c>
    </row>
    <row r="2879" spans="1:20" x14ac:dyDescent="0.2">
      <c r="A2879" t="s">
        <v>8075</v>
      </c>
      <c r="B2879" t="s">
        <v>2022</v>
      </c>
      <c r="C2879" t="s">
        <v>2049</v>
      </c>
      <c r="D2879" t="s">
        <v>2024</v>
      </c>
      <c r="E2879" t="s">
        <v>8076</v>
      </c>
      <c r="F2879" t="s">
        <v>8077</v>
      </c>
      <c r="G2879">
        <v>1</v>
      </c>
      <c r="H2879">
        <v>1350</v>
      </c>
      <c r="I2879">
        <v>3</v>
      </c>
      <c r="J2879">
        <v>5</v>
      </c>
      <c r="K2879">
        <v>3</v>
      </c>
      <c r="L2879">
        <v>0.14000000000000001</v>
      </c>
      <c r="M2879">
        <v>3</v>
      </c>
      <c r="N2879">
        <v>126</v>
      </c>
      <c r="O2879">
        <v>3</v>
      </c>
      <c r="P2879">
        <v>0.46</v>
      </c>
      <c r="Q2879">
        <v>3</v>
      </c>
      <c r="R2879">
        <v>1.52E-2</v>
      </c>
      <c r="T2879" s="8" t="s">
        <v>8076</v>
      </c>
    </row>
    <row r="2880" spans="1:20" x14ac:dyDescent="0.2">
      <c r="A2880" t="s">
        <v>8078</v>
      </c>
      <c r="B2880" t="s">
        <v>2022</v>
      </c>
      <c r="C2880" t="s">
        <v>2023</v>
      </c>
      <c r="D2880" t="s">
        <v>2024</v>
      </c>
      <c r="E2880" t="s">
        <v>8079</v>
      </c>
      <c r="F2880" t="s">
        <v>8080</v>
      </c>
      <c r="G2880">
        <v>4</v>
      </c>
      <c r="H2880">
        <v>1720</v>
      </c>
      <c r="I2880">
        <v>4</v>
      </c>
      <c r="J2880">
        <v>8.4</v>
      </c>
      <c r="K2880">
        <v>5</v>
      </c>
      <c r="L2880">
        <v>8.5999999999999993E-2</v>
      </c>
      <c r="M2880">
        <v>2</v>
      </c>
      <c r="N2880">
        <v>84</v>
      </c>
      <c r="O2880">
        <v>3</v>
      </c>
      <c r="P2880">
        <v>0.375</v>
      </c>
      <c r="Q2880">
        <v>5</v>
      </c>
      <c r="R2880">
        <v>8.0000000000000002E-3</v>
      </c>
      <c r="T2880" s="8" t="s">
        <v>8079</v>
      </c>
    </row>
    <row r="2881" spans="1:20" x14ac:dyDescent="0.2">
      <c r="A2881" t="s">
        <v>8081</v>
      </c>
      <c r="B2881" t="s">
        <v>2022</v>
      </c>
      <c r="C2881" t="s">
        <v>2023</v>
      </c>
      <c r="D2881" t="s">
        <v>2024</v>
      </c>
      <c r="E2881" t="s">
        <v>8082</v>
      </c>
      <c r="F2881" t="s">
        <v>8083</v>
      </c>
      <c r="G2881">
        <v>5</v>
      </c>
      <c r="H2881">
        <v>1800</v>
      </c>
      <c r="I2881">
        <v>5</v>
      </c>
      <c r="J2881">
        <v>10.9</v>
      </c>
      <c r="K2881">
        <v>5</v>
      </c>
      <c r="L2881">
        <v>8.5999999999999993E-2</v>
      </c>
      <c r="M2881">
        <v>2</v>
      </c>
      <c r="N2881">
        <v>84</v>
      </c>
      <c r="O2881">
        <v>3</v>
      </c>
      <c r="P2881">
        <v>0.375</v>
      </c>
      <c r="Q2881">
        <v>5</v>
      </c>
      <c r="R2881">
        <v>8.0000000000000002E-3</v>
      </c>
      <c r="T2881" s="8" t="s">
        <v>8082</v>
      </c>
    </row>
    <row r="2882" spans="1:20" x14ac:dyDescent="0.2">
      <c r="A2882" t="s">
        <v>8084</v>
      </c>
      <c r="B2882" t="s">
        <v>2022</v>
      </c>
      <c r="C2882" t="s">
        <v>2049</v>
      </c>
      <c r="D2882" t="s">
        <v>2024</v>
      </c>
      <c r="E2882" t="s">
        <v>8085</v>
      </c>
      <c r="F2882" t="s">
        <v>447</v>
      </c>
      <c r="G2882">
        <v>3</v>
      </c>
      <c r="H2882">
        <v>1550</v>
      </c>
      <c r="I2882">
        <v>5</v>
      </c>
      <c r="J2882">
        <v>8.6</v>
      </c>
      <c r="K2882">
        <v>5</v>
      </c>
      <c r="L2882">
        <v>0.3</v>
      </c>
      <c r="M2882">
        <v>2</v>
      </c>
      <c r="N2882">
        <v>106</v>
      </c>
      <c r="O2882">
        <v>5</v>
      </c>
      <c r="P2882">
        <v>0.86</v>
      </c>
      <c r="Q2882">
        <v>5</v>
      </c>
      <c r="R2882">
        <v>3.32E-2</v>
      </c>
      <c r="T2882" s="8" t="s">
        <v>8085</v>
      </c>
    </row>
    <row r="2883" spans="1:20" x14ac:dyDescent="0.2">
      <c r="A2883" t="s">
        <v>8086</v>
      </c>
      <c r="B2883" t="s">
        <v>2022</v>
      </c>
      <c r="C2883" t="s">
        <v>2036</v>
      </c>
      <c r="D2883" t="s">
        <v>2024</v>
      </c>
      <c r="E2883" t="s">
        <v>8087</v>
      </c>
      <c r="F2883" t="s">
        <v>8088</v>
      </c>
      <c r="G2883">
        <v>3</v>
      </c>
      <c r="H2883">
        <v>1740</v>
      </c>
      <c r="I2883">
        <v>5</v>
      </c>
      <c r="J2883">
        <v>7</v>
      </c>
      <c r="K2883">
        <v>5</v>
      </c>
      <c r="L2883">
        <v>0.17499999999999999</v>
      </c>
      <c r="M2883">
        <v>4</v>
      </c>
      <c r="N2883">
        <v>94</v>
      </c>
      <c r="O2883">
        <v>4</v>
      </c>
      <c r="P2883">
        <v>0.42499999999999999</v>
      </c>
      <c r="Q2883">
        <v>5</v>
      </c>
      <c r="R2883">
        <v>1.2E-2</v>
      </c>
      <c r="T2883" s="8" t="s">
        <v>8087</v>
      </c>
    </row>
    <row r="2884" spans="1:20" x14ac:dyDescent="0.2">
      <c r="A2884" t="s">
        <v>8089</v>
      </c>
      <c r="B2884" t="s">
        <v>2022</v>
      </c>
      <c r="C2884" t="s">
        <v>2023</v>
      </c>
      <c r="D2884" t="s">
        <v>2024</v>
      </c>
      <c r="E2884" t="s">
        <v>357</v>
      </c>
      <c r="F2884" t="s">
        <v>447</v>
      </c>
      <c r="G2884">
        <v>2</v>
      </c>
      <c r="H2884">
        <v>1560</v>
      </c>
      <c r="I2884">
        <v>3</v>
      </c>
      <c r="J2884">
        <v>5.9</v>
      </c>
      <c r="K2884">
        <v>2</v>
      </c>
      <c r="L2884">
        <v>2.5999999999999999E-2</v>
      </c>
      <c r="M2884">
        <v>2</v>
      </c>
      <c r="N2884">
        <v>84</v>
      </c>
      <c r="O2884">
        <v>2</v>
      </c>
      <c r="P2884">
        <v>0.22500000000000001</v>
      </c>
      <c r="Q2884">
        <v>2</v>
      </c>
      <c r="R2884">
        <v>2E-3</v>
      </c>
      <c r="T2884" s="8" t="s">
        <v>357</v>
      </c>
    </row>
    <row r="2885" spans="1:20" x14ac:dyDescent="0.2">
      <c r="A2885" t="s">
        <v>8090</v>
      </c>
      <c r="B2885" t="s">
        <v>2022</v>
      </c>
      <c r="C2885" t="s">
        <v>2023</v>
      </c>
      <c r="D2885" t="s">
        <v>2024</v>
      </c>
      <c r="E2885" t="s">
        <v>8091</v>
      </c>
      <c r="F2885" t="s">
        <v>8092</v>
      </c>
      <c r="G2885">
        <v>2</v>
      </c>
      <c r="H2885">
        <v>1560</v>
      </c>
      <c r="I2885">
        <v>2</v>
      </c>
      <c r="J2885">
        <v>3.4</v>
      </c>
      <c r="K2885">
        <v>2</v>
      </c>
      <c r="L2885">
        <v>2.5999999999999999E-2</v>
      </c>
      <c r="M2885">
        <v>2</v>
      </c>
      <c r="N2885">
        <v>84</v>
      </c>
      <c r="O2885">
        <v>2</v>
      </c>
      <c r="P2885">
        <v>0.22500000000000001</v>
      </c>
      <c r="Q2885">
        <v>1</v>
      </c>
      <c r="R2885">
        <v>5.0000000000000001E-4</v>
      </c>
      <c r="T2885" s="8" t="s">
        <v>8091</v>
      </c>
    </row>
    <row r="2886" spans="1:20" x14ac:dyDescent="0.2">
      <c r="A2886" t="s">
        <v>8093</v>
      </c>
      <c r="B2886" t="s">
        <v>2022</v>
      </c>
      <c r="C2886" t="s">
        <v>2023</v>
      </c>
      <c r="D2886" t="s">
        <v>2154</v>
      </c>
      <c r="E2886" t="s">
        <v>8094</v>
      </c>
      <c r="F2886" t="s">
        <v>8095</v>
      </c>
      <c r="G2886">
        <v>5</v>
      </c>
      <c r="H2886">
        <v>1800</v>
      </c>
      <c r="I2886">
        <v>5</v>
      </c>
      <c r="J2886">
        <v>10.9</v>
      </c>
      <c r="K2886">
        <v>5</v>
      </c>
      <c r="L2886">
        <v>8.5999999999999993E-2</v>
      </c>
      <c r="M2886">
        <v>5</v>
      </c>
      <c r="N2886">
        <v>114</v>
      </c>
      <c r="O2886">
        <v>5</v>
      </c>
      <c r="P2886">
        <v>0.67500000000000004</v>
      </c>
      <c r="Q2886">
        <v>5</v>
      </c>
      <c r="R2886">
        <v>8.0000000000000002E-3</v>
      </c>
      <c r="T2886" s="8" t="s">
        <v>8094</v>
      </c>
    </row>
    <row r="2887" spans="1:20" x14ac:dyDescent="0.2">
      <c r="A2887" t="s">
        <v>8096</v>
      </c>
      <c r="B2887" t="s">
        <v>2022</v>
      </c>
      <c r="C2887" t="s">
        <v>2023</v>
      </c>
      <c r="D2887" t="s">
        <v>2024</v>
      </c>
      <c r="E2887" t="s">
        <v>8094</v>
      </c>
      <c r="F2887" t="s">
        <v>8095</v>
      </c>
      <c r="G2887">
        <v>3</v>
      </c>
      <c r="H2887">
        <v>1640</v>
      </c>
      <c r="I2887">
        <v>3</v>
      </c>
      <c r="J2887">
        <v>5.9</v>
      </c>
      <c r="K2887">
        <v>5</v>
      </c>
      <c r="L2887">
        <v>8.5999999999999993E-2</v>
      </c>
      <c r="M2887">
        <v>2</v>
      </c>
      <c r="N2887">
        <v>84</v>
      </c>
      <c r="O2887">
        <v>3</v>
      </c>
      <c r="P2887">
        <v>0.375</v>
      </c>
      <c r="Q2887">
        <v>5</v>
      </c>
      <c r="R2887">
        <v>8.0000000000000002E-3</v>
      </c>
      <c r="T2887" s="8" t="s">
        <v>8094</v>
      </c>
    </row>
    <row r="2888" spans="1:20" x14ac:dyDescent="0.2">
      <c r="A2888" t="s">
        <v>8097</v>
      </c>
      <c r="B2888" t="s">
        <v>2022</v>
      </c>
      <c r="C2888" t="s">
        <v>2101</v>
      </c>
      <c r="D2888" t="s">
        <v>2024</v>
      </c>
      <c r="E2888" t="s">
        <v>8098</v>
      </c>
      <c r="F2888" t="s">
        <v>8099</v>
      </c>
      <c r="G2888">
        <v>2</v>
      </c>
      <c r="H2888">
        <v>1670</v>
      </c>
      <c r="I2888">
        <v>2</v>
      </c>
      <c r="J2888">
        <v>5</v>
      </c>
      <c r="K2888">
        <v>2</v>
      </c>
      <c r="L2888">
        <v>9.6500000000000002E-2</v>
      </c>
      <c r="M2888">
        <v>2</v>
      </c>
      <c r="N2888">
        <v>74</v>
      </c>
      <c r="O2888">
        <v>2</v>
      </c>
      <c r="P2888">
        <v>0.22500000000000001</v>
      </c>
      <c r="Q2888">
        <v>2</v>
      </c>
      <c r="R2888">
        <v>4.4999999999999997E-3</v>
      </c>
      <c r="T2888" s="8" t="s">
        <v>8098</v>
      </c>
    </row>
    <row r="2889" spans="1:20" x14ac:dyDescent="0.2">
      <c r="A2889" t="s">
        <v>8100</v>
      </c>
      <c r="B2889" t="s">
        <v>2022</v>
      </c>
      <c r="C2889" t="s">
        <v>2053</v>
      </c>
      <c r="D2889" t="s">
        <v>2024</v>
      </c>
      <c r="E2889" t="s">
        <v>8101</v>
      </c>
      <c r="F2889" t="s">
        <v>8102</v>
      </c>
      <c r="G2889">
        <v>1</v>
      </c>
      <c r="H2889">
        <v>1500</v>
      </c>
      <c r="I2889">
        <v>1</v>
      </c>
      <c r="J2889">
        <v>1.55</v>
      </c>
      <c r="K2889">
        <v>1</v>
      </c>
      <c r="L2889">
        <v>1.4999999999999999E-2</v>
      </c>
      <c r="M2889">
        <v>5</v>
      </c>
      <c r="N2889">
        <v>113</v>
      </c>
      <c r="O2889">
        <v>4</v>
      </c>
      <c r="P2889">
        <v>0.52500000000000002</v>
      </c>
      <c r="Q2889">
        <v>2</v>
      </c>
      <c r="R2889">
        <v>5.1999999999999998E-3</v>
      </c>
      <c r="T2889" s="8" t="s">
        <v>8101</v>
      </c>
    </row>
    <row r="2890" spans="1:20" x14ac:dyDescent="0.2">
      <c r="A2890" t="s">
        <v>8103</v>
      </c>
      <c r="B2890" t="s">
        <v>2022</v>
      </c>
      <c r="C2890" t="s">
        <v>2028</v>
      </c>
      <c r="D2890" t="s">
        <v>2024</v>
      </c>
      <c r="E2890" t="s">
        <v>8104</v>
      </c>
      <c r="F2890" t="s">
        <v>8105</v>
      </c>
      <c r="G2890">
        <v>4</v>
      </c>
      <c r="H2890">
        <v>1250</v>
      </c>
      <c r="I2890">
        <v>4</v>
      </c>
      <c r="J2890">
        <v>4.95</v>
      </c>
      <c r="K2890">
        <v>2</v>
      </c>
      <c r="L2890">
        <v>4.4999999999999998E-2</v>
      </c>
      <c r="M2890">
        <v>3</v>
      </c>
      <c r="N2890">
        <v>300</v>
      </c>
      <c r="O2890">
        <v>4</v>
      </c>
      <c r="P2890">
        <v>1.05</v>
      </c>
      <c r="Q2890">
        <v>1</v>
      </c>
      <c r="R2890">
        <v>1.75E-3</v>
      </c>
      <c r="T2890" s="8" t="s">
        <v>8104</v>
      </c>
    </row>
    <row r="2891" spans="1:20" x14ac:dyDescent="0.2">
      <c r="A2891" t="s">
        <v>8106</v>
      </c>
      <c r="B2891" t="s">
        <v>2022</v>
      </c>
      <c r="C2891" t="s">
        <v>2101</v>
      </c>
      <c r="D2891" t="s">
        <v>2024</v>
      </c>
      <c r="E2891" t="s">
        <v>8107</v>
      </c>
      <c r="F2891" t="s">
        <v>8108</v>
      </c>
      <c r="G2891">
        <v>1</v>
      </c>
      <c r="H2891">
        <v>1570</v>
      </c>
      <c r="I2891">
        <v>1</v>
      </c>
      <c r="J2891">
        <v>2</v>
      </c>
      <c r="K2891">
        <v>1</v>
      </c>
      <c r="L2891">
        <v>1.15E-2</v>
      </c>
      <c r="M2891">
        <v>5</v>
      </c>
      <c r="N2891">
        <v>98</v>
      </c>
      <c r="O2891">
        <v>3</v>
      </c>
      <c r="P2891">
        <v>0.375</v>
      </c>
      <c r="Q2891">
        <v>2</v>
      </c>
      <c r="R2891">
        <v>4.4999999999999997E-3</v>
      </c>
      <c r="T2891" s="8" t="s">
        <v>8107</v>
      </c>
    </row>
    <row r="2892" spans="1:20" x14ac:dyDescent="0.2">
      <c r="A2892" t="s">
        <v>8109</v>
      </c>
      <c r="B2892" t="s">
        <v>2022</v>
      </c>
      <c r="C2892" t="s">
        <v>2053</v>
      </c>
      <c r="D2892" t="s">
        <v>2024</v>
      </c>
      <c r="E2892" t="s">
        <v>8110</v>
      </c>
      <c r="F2892" t="s">
        <v>8111</v>
      </c>
      <c r="G2892">
        <v>1</v>
      </c>
      <c r="H2892">
        <v>1500</v>
      </c>
      <c r="I2892">
        <v>2</v>
      </c>
      <c r="J2892">
        <v>4.05</v>
      </c>
      <c r="K2892">
        <v>2</v>
      </c>
      <c r="L2892">
        <v>8.5000000000000006E-2</v>
      </c>
      <c r="M2892">
        <v>1</v>
      </c>
      <c r="N2892">
        <v>73</v>
      </c>
      <c r="O2892">
        <v>2</v>
      </c>
      <c r="P2892">
        <v>0.22500000000000001</v>
      </c>
      <c r="Q2892">
        <v>2</v>
      </c>
      <c r="R2892">
        <v>5.1999999999999998E-3</v>
      </c>
      <c r="T2892" s="8" t="s">
        <v>8110</v>
      </c>
    </row>
    <row r="2893" spans="1:20" x14ac:dyDescent="0.2">
      <c r="A2893" t="s">
        <v>8112</v>
      </c>
      <c r="B2893" t="s">
        <v>2022</v>
      </c>
      <c r="C2893" t="s">
        <v>2023</v>
      </c>
      <c r="D2893" t="s">
        <v>2024</v>
      </c>
      <c r="E2893" t="s">
        <v>8113</v>
      </c>
      <c r="F2893" t="s">
        <v>8114</v>
      </c>
      <c r="G2893">
        <v>3</v>
      </c>
      <c r="H2893">
        <v>1640</v>
      </c>
      <c r="I2893">
        <v>2</v>
      </c>
      <c r="J2893">
        <v>3.4</v>
      </c>
      <c r="K2893">
        <v>2</v>
      </c>
      <c r="L2893">
        <v>2.5999999999999999E-2</v>
      </c>
      <c r="M2893">
        <v>5</v>
      </c>
      <c r="N2893">
        <v>114</v>
      </c>
      <c r="O2893">
        <v>2</v>
      </c>
      <c r="P2893">
        <v>0.22500000000000001</v>
      </c>
      <c r="Q2893">
        <v>2</v>
      </c>
      <c r="R2893">
        <v>2E-3</v>
      </c>
      <c r="T2893" s="8" t="s">
        <v>8113</v>
      </c>
    </row>
    <row r="2894" spans="1:20" x14ac:dyDescent="0.2">
      <c r="A2894" t="s">
        <v>8115</v>
      </c>
      <c r="B2894" t="s">
        <v>2022</v>
      </c>
      <c r="C2894" t="s">
        <v>2023</v>
      </c>
      <c r="D2894" t="s">
        <v>2024</v>
      </c>
      <c r="E2894" t="s">
        <v>8116</v>
      </c>
      <c r="F2894" t="s">
        <v>8117</v>
      </c>
      <c r="G2894">
        <v>4</v>
      </c>
      <c r="H2894">
        <v>1720</v>
      </c>
      <c r="I2894">
        <v>2</v>
      </c>
      <c r="J2894">
        <v>3.4</v>
      </c>
      <c r="K2894">
        <v>2</v>
      </c>
      <c r="L2894">
        <v>2.5999999999999999E-2</v>
      </c>
      <c r="M2894">
        <v>3</v>
      </c>
      <c r="N2894">
        <v>94</v>
      </c>
      <c r="O2894">
        <v>2</v>
      </c>
      <c r="P2894">
        <v>0.22500000000000001</v>
      </c>
      <c r="Q2894">
        <v>2</v>
      </c>
      <c r="R2894">
        <v>2E-3</v>
      </c>
      <c r="T2894" s="8" t="s">
        <v>8116</v>
      </c>
    </row>
    <row r="2895" spans="1:20" x14ac:dyDescent="0.2">
      <c r="A2895" t="s">
        <v>8118</v>
      </c>
      <c r="B2895" t="s">
        <v>2022</v>
      </c>
      <c r="C2895" t="s">
        <v>2023</v>
      </c>
      <c r="D2895" t="s">
        <v>2024</v>
      </c>
      <c r="E2895" t="s">
        <v>8119</v>
      </c>
      <c r="F2895" t="s">
        <v>8120</v>
      </c>
      <c r="G2895">
        <v>1</v>
      </c>
      <c r="H2895">
        <v>1480</v>
      </c>
      <c r="I2895">
        <v>2</v>
      </c>
      <c r="J2895">
        <v>3.4</v>
      </c>
      <c r="K2895">
        <v>2</v>
      </c>
      <c r="L2895">
        <v>2.5999999999999999E-2</v>
      </c>
      <c r="M2895">
        <v>2</v>
      </c>
      <c r="N2895">
        <v>84</v>
      </c>
      <c r="O2895">
        <v>2</v>
      </c>
      <c r="P2895">
        <v>0.22500000000000001</v>
      </c>
      <c r="Q2895">
        <v>2</v>
      </c>
      <c r="R2895">
        <v>2E-3</v>
      </c>
      <c r="T2895" s="8" t="s">
        <v>8119</v>
      </c>
    </row>
    <row r="2896" spans="1:20" x14ac:dyDescent="0.2">
      <c r="A2896" t="s">
        <v>8121</v>
      </c>
      <c r="B2896" t="s">
        <v>2022</v>
      </c>
      <c r="C2896" t="s">
        <v>2036</v>
      </c>
      <c r="D2896" t="s">
        <v>2024</v>
      </c>
      <c r="E2896" t="s">
        <v>8122</v>
      </c>
      <c r="F2896" t="s">
        <v>8123</v>
      </c>
      <c r="G2896">
        <v>2</v>
      </c>
      <c r="H2896">
        <v>1640</v>
      </c>
      <c r="I2896">
        <v>2</v>
      </c>
      <c r="J2896">
        <v>3.4</v>
      </c>
      <c r="K2896">
        <v>1</v>
      </c>
      <c r="L2896">
        <v>5.5E-2</v>
      </c>
      <c r="M2896">
        <v>5</v>
      </c>
      <c r="N2896">
        <v>100</v>
      </c>
      <c r="O2896">
        <v>3</v>
      </c>
      <c r="P2896">
        <v>0.315</v>
      </c>
      <c r="Q2896">
        <v>2</v>
      </c>
      <c r="R2896">
        <v>4.2500000000000003E-3</v>
      </c>
      <c r="T2896" s="8" t="s">
        <v>8122</v>
      </c>
    </row>
    <row r="2897" spans="1:20" x14ac:dyDescent="0.2">
      <c r="A2897" t="s">
        <v>8124</v>
      </c>
      <c r="B2897" t="s">
        <v>2022</v>
      </c>
      <c r="C2897" t="s">
        <v>2049</v>
      </c>
      <c r="D2897" t="s">
        <v>2024</v>
      </c>
      <c r="E2897" t="s">
        <v>8125</v>
      </c>
      <c r="F2897" t="s">
        <v>8126</v>
      </c>
      <c r="G2897">
        <v>3</v>
      </c>
      <c r="H2897">
        <v>1550</v>
      </c>
      <c r="I2897">
        <v>5</v>
      </c>
      <c r="J2897">
        <v>8.6</v>
      </c>
      <c r="K2897">
        <v>5</v>
      </c>
      <c r="L2897">
        <v>0.3</v>
      </c>
      <c r="M2897">
        <v>5</v>
      </c>
      <c r="N2897">
        <v>166</v>
      </c>
      <c r="O2897">
        <v>5</v>
      </c>
      <c r="P2897">
        <v>0.86</v>
      </c>
      <c r="Q2897">
        <v>5</v>
      </c>
      <c r="R2897">
        <v>3.32E-2</v>
      </c>
      <c r="T2897" s="8" t="s">
        <v>8125</v>
      </c>
    </row>
    <row r="2898" spans="1:20" x14ac:dyDescent="0.2">
      <c r="A2898" t="s">
        <v>8127</v>
      </c>
      <c r="B2898" t="s">
        <v>2022</v>
      </c>
      <c r="C2898" t="s">
        <v>2049</v>
      </c>
      <c r="D2898" t="s">
        <v>2024</v>
      </c>
      <c r="E2898" t="s">
        <v>8128</v>
      </c>
      <c r="F2898" t="s">
        <v>8129</v>
      </c>
      <c r="G2898">
        <v>3</v>
      </c>
      <c r="H2898">
        <v>1550</v>
      </c>
      <c r="I2898">
        <v>4</v>
      </c>
      <c r="J2898">
        <v>6.8</v>
      </c>
      <c r="K2898">
        <v>4</v>
      </c>
      <c r="L2898">
        <v>0.22</v>
      </c>
      <c r="M2898">
        <v>2</v>
      </c>
      <c r="N2898">
        <v>106</v>
      </c>
      <c r="O2898">
        <v>3</v>
      </c>
      <c r="P2898">
        <v>0.46</v>
      </c>
      <c r="Q2898">
        <v>3</v>
      </c>
      <c r="R2898">
        <v>1.52E-2</v>
      </c>
      <c r="T2898" s="8" t="s">
        <v>8128</v>
      </c>
    </row>
    <row r="2899" spans="1:20" x14ac:dyDescent="0.2">
      <c r="A2899" t="s">
        <v>8130</v>
      </c>
      <c r="B2899" t="s">
        <v>2022</v>
      </c>
      <c r="C2899" t="s">
        <v>2023</v>
      </c>
      <c r="D2899" t="s">
        <v>2024</v>
      </c>
      <c r="E2899" t="s">
        <v>8131</v>
      </c>
      <c r="F2899" t="s">
        <v>447</v>
      </c>
      <c r="G2899">
        <v>3</v>
      </c>
      <c r="H2899">
        <v>1640</v>
      </c>
      <c r="I2899">
        <v>1</v>
      </c>
      <c r="J2899">
        <v>0.9</v>
      </c>
      <c r="K2899">
        <v>1</v>
      </c>
      <c r="L2899">
        <v>6.0000000000000001E-3</v>
      </c>
      <c r="M2899">
        <v>3</v>
      </c>
      <c r="N2899">
        <v>94</v>
      </c>
      <c r="O2899">
        <v>1</v>
      </c>
      <c r="P2899">
        <v>7.4999999999999997E-2</v>
      </c>
      <c r="Q2899">
        <v>1</v>
      </c>
      <c r="R2899">
        <v>5.0000000000000001E-4</v>
      </c>
      <c r="T2899" s="8" t="s">
        <v>8131</v>
      </c>
    </row>
    <row r="2900" spans="1:20" x14ac:dyDescent="0.2">
      <c r="A2900" t="s">
        <v>8132</v>
      </c>
      <c r="B2900" t="s">
        <v>2022</v>
      </c>
      <c r="C2900" t="s">
        <v>2023</v>
      </c>
      <c r="D2900" t="s">
        <v>2024</v>
      </c>
      <c r="E2900" t="s">
        <v>8133</v>
      </c>
      <c r="F2900" t="s">
        <v>8134</v>
      </c>
      <c r="G2900">
        <v>3</v>
      </c>
      <c r="H2900">
        <v>1640</v>
      </c>
      <c r="I2900">
        <v>3</v>
      </c>
      <c r="J2900">
        <v>5.9</v>
      </c>
      <c r="K2900">
        <v>2</v>
      </c>
      <c r="L2900">
        <v>2.5999999999999999E-2</v>
      </c>
      <c r="M2900">
        <v>1</v>
      </c>
      <c r="N2900">
        <v>74</v>
      </c>
      <c r="O2900">
        <v>2</v>
      </c>
      <c r="P2900">
        <v>0.22500000000000001</v>
      </c>
      <c r="Q2900">
        <v>1</v>
      </c>
      <c r="R2900">
        <v>5.0000000000000001E-4</v>
      </c>
      <c r="T2900" s="8" t="s">
        <v>8133</v>
      </c>
    </row>
    <row r="2901" spans="1:20" x14ac:dyDescent="0.2">
      <c r="A2901" t="s">
        <v>8135</v>
      </c>
      <c r="B2901" t="s">
        <v>2022</v>
      </c>
      <c r="C2901" t="s">
        <v>2036</v>
      </c>
      <c r="D2901" t="s">
        <v>2024</v>
      </c>
      <c r="E2901" t="s">
        <v>8136</v>
      </c>
      <c r="F2901" t="s">
        <v>8137</v>
      </c>
      <c r="G2901">
        <v>2</v>
      </c>
      <c r="H2901">
        <v>1640</v>
      </c>
      <c r="I2901">
        <v>4</v>
      </c>
      <c r="J2901">
        <v>5.8</v>
      </c>
      <c r="K2901">
        <v>4</v>
      </c>
      <c r="L2901">
        <v>0.14499999999999999</v>
      </c>
      <c r="M2901">
        <v>4</v>
      </c>
      <c r="N2901">
        <v>94</v>
      </c>
      <c r="O2901">
        <v>3</v>
      </c>
      <c r="P2901">
        <v>0.315</v>
      </c>
      <c r="Q2901">
        <v>3</v>
      </c>
      <c r="R2901">
        <v>6.7499999999999999E-3</v>
      </c>
      <c r="T2901" s="8" t="s">
        <v>8136</v>
      </c>
    </row>
    <row r="2902" spans="1:20" x14ac:dyDescent="0.2">
      <c r="A2902" t="s">
        <v>8138</v>
      </c>
      <c r="B2902" t="s">
        <v>2022</v>
      </c>
      <c r="C2902" t="s">
        <v>2053</v>
      </c>
      <c r="D2902" t="s">
        <v>2024</v>
      </c>
      <c r="E2902" t="s">
        <v>8139</v>
      </c>
      <c r="F2902" t="s">
        <v>447</v>
      </c>
      <c r="G2902">
        <v>5</v>
      </c>
      <c r="H2902">
        <v>1900</v>
      </c>
      <c r="I2902">
        <v>5</v>
      </c>
      <c r="J2902">
        <v>11.55</v>
      </c>
      <c r="K2902">
        <v>4</v>
      </c>
      <c r="L2902">
        <v>0.30499999999999999</v>
      </c>
      <c r="M2902">
        <v>4</v>
      </c>
      <c r="N2902">
        <v>103</v>
      </c>
      <c r="O2902">
        <v>4</v>
      </c>
      <c r="P2902">
        <v>0.52500000000000002</v>
      </c>
      <c r="Q2902">
        <v>4</v>
      </c>
      <c r="R2902">
        <v>1.9199999999999998E-2</v>
      </c>
      <c r="T2902" s="8" t="s">
        <v>8139</v>
      </c>
    </row>
    <row r="2903" spans="1:20" x14ac:dyDescent="0.2">
      <c r="A2903" t="s">
        <v>8140</v>
      </c>
      <c r="B2903" t="s">
        <v>2022</v>
      </c>
      <c r="C2903" t="s">
        <v>2023</v>
      </c>
      <c r="D2903" t="s">
        <v>2136</v>
      </c>
      <c r="E2903" t="s">
        <v>8141</v>
      </c>
      <c r="F2903" t="s">
        <v>8142</v>
      </c>
      <c r="G2903">
        <v>4</v>
      </c>
      <c r="H2903">
        <v>1720</v>
      </c>
      <c r="I2903">
        <v>1</v>
      </c>
      <c r="J2903">
        <v>0.9</v>
      </c>
      <c r="K2903">
        <v>2</v>
      </c>
      <c r="L2903">
        <v>2.5999999999999999E-2</v>
      </c>
      <c r="M2903">
        <v>4</v>
      </c>
      <c r="N2903">
        <v>104</v>
      </c>
      <c r="O2903">
        <v>1</v>
      </c>
      <c r="P2903">
        <v>7.4999999999999997E-2</v>
      </c>
      <c r="Q2903">
        <v>2</v>
      </c>
      <c r="R2903">
        <v>2E-3</v>
      </c>
      <c r="T2903" s="8" t="s">
        <v>8141</v>
      </c>
    </row>
    <row r="2904" spans="1:20" x14ac:dyDescent="0.2">
      <c r="A2904" t="s">
        <v>8143</v>
      </c>
      <c r="B2904" t="s">
        <v>2022</v>
      </c>
      <c r="C2904" t="s">
        <v>2036</v>
      </c>
      <c r="D2904" t="s">
        <v>2024</v>
      </c>
      <c r="E2904" t="s">
        <v>8144</v>
      </c>
      <c r="F2904" t="s">
        <v>8145</v>
      </c>
      <c r="G2904">
        <v>5</v>
      </c>
      <c r="H2904">
        <v>1940</v>
      </c>
      <c r="I2904">
        <v>3</v>
      </c>
      <c r="J2904">
        <v>4.5999999999999996</v>
      </c>
      <c r="K2904">
        <v>5</v>
      </c>
      <c r="L2904">
        <v>0.17499999999999999</v>
      </c>
      <c r="M2904">
        <v>3</v>
      </c>
      <c r="N2904">
        <v>88</v>
      </c>
      <c r="O2904">
        <v>2</v>
      </c>
      <c r="P2904">
        <v>0.20499999999999999</v>
      </c>
      <c r="Q2904">
        <v>3</v>
      </c>
      <c r="R2904">
        <v>6.7499999999999999E-3</v>
      </c>
      <c r="T2904" s="8" t="s">
        <v>8144</v>
      </c>
    </row>
    <row r="2905" spans="1:20" x14ac:dyDescent="0.2">
      <c r="A2905" t="s">
        <v>8146</v>
      </c>
      <c r="B2905" t="s">
        <v>2022</v>
      </c>
      <c r="C2905" t="s">
        <v>2036</v>
      </c>
      <c r="D2905" t="s">
        <v>2024</v>
      </c>
      <c r="E2905" t="s">
        <v>8147</v>
      </c>
      <c r="F2905" t="s">
        <v>8148</v>
      </c>
      <c r="G2905">
        <v>2</v>
      </c>
      <c r="H2905">
        <v>1640</v>
      </c>
      <c r="I2905">
        <v>1</v>
      </c>
      <c r="J2905">
        <v>2.2000000000000002</v>
      </c>
      <c r="K2905">
        <v>1</v>
      </c>
      <c r="L2905">
        <v>5.5E-2</v>
      </c>
      <c r="M2905">
        <v>2</v>
      </c>
      <c r="N2905">
        <v>82</v>
      </c>
      <c r="O2905">
        <v>1</v>
      </c>
      <c r="P2905">
        <v>9.5000000000000001E-2</v>
      </c>
      <c r="Q2905">
        <v>1</v>
      </c>
      <c r="R2905">
        <v>1.5E-3</v>
      </c>
      <c r="T2905" s="8" t="s">
        <v>8147</v>
      </c>
    </row>
    <row r="2906" spans="1:20" x14ac:dyDescent="0.2">
      <c r="A2906" t="s">
        <v>8149</v>
      </c>
      <c r="B2906" t="s">
        <v>2022</v>
      </c>
      <c r="C2906" t="s">
        <v>2101</v>
      </c>
      <c r="D2906" t="s">
        <v>2024</v>
      </c>
      <c r="E2906" t="s">
        <v>8150</v>
      </c>
      <c r="F2906" t="s">
        <v>8151</v>
      </c>
      <c r="G2906">
        <v>2</v>
      </c>
      <c r="H2906">
        <v>1670</v>
      </c>
      <c r="I2906">
        <v>5</v>
      </c>
      <c r="J2906">
        <v>14</v>
      </c>
      <c r="K2906">
        <v>5</v>
      </c>
      <c r="L2906">
        <v>0.53749999999999998</v>
      </c>
      <c r="M2906">
        <v>2</v>
      </c>
      <c r="N2906">
        <v>74</v>
      </c>
      <c r="O2906">
        <v>5</v>
      </c>
      <c r="P2906">
        <v>0.67500000000000004</v>
      </c>
      <c r="Q2906">
        <v>5</v>
      </c>
      <c r="R2906">
        <v>2.5499999999999998E-2</v>
      </c>
      <c r="T2906" s="8" t="s">
        <v>8150</v>
      </c>
    </row>
    <row r="2907" spans="1:20" x14ac:dyDescent="0.2">
      <c r="A2907" t="s">
        <v>8152</v>
      </c>
      <c r="B2907" t="s">
        <v>2022</v>
      </c>
      <c r="C2907" t="s">
        <v>2101</v>
      </c>
      <c r="D2907" t="s">
        <v>2024</v>
      </c>
      <c r="E2907" t="s">
        <v>8153</v>
      </c>
      <c r="F2907" t="s">
        <v>8154</v>
      </c>
      <c r="G2907">
        <v>3</v>
      </c>
      <c r="H2907">
        <v>1770</v>
      </c>
      <c r="I2907">
        <v>2</v>
      </c>
      <c r="J2907">
        <v>5</v>
      </c>
      <c r="K2907">
        <v>2</v>
      </c>
      <c r="L2907">
        <v>9.6500000000000002E-2</v>
      </c>
      <c r="M2907">
        <v>4</v>
      </c>
      <c r="N2907">
        <v>90</v>
      </c>
      <c r="O2907">
        <v>2</v>
      </c>
      <c r="P2907">
        <v>0.22500000000000001</v>
      </c>
      <c r="Q2907">
        <v>2</v>
      </c>
      <c r="R2907">
        <v>4.4999999999999997E-3</v>
      </c>
      <c r="T2907" s="8" t="s">
        <v>8153</v>
      </c>
    </row>
    <row r="2908" spans="1:20" x14ac:dyDescent="0.2">
      <c r="A2908" t="s">
        <v>8155</v>
      </c>
      <c r="B2908" t="s">
        <v>2022</v>
      </c>
      <c r="C2908" t="s">
        <v>2036</v>
      </c>
      <c r="D2908" t="s">
        <v>2024</v>
      </c>
      <c r="E2908" t="s">
        <v>8156</v>
      </c>
      <c r="F2908" t="s">
        <v>8157</v>
      </c>
      <c r="G2908">
        <v>5</v>
      </c>
      <c r="H2908">
        <v>1940</v>
      </c>
      <c r="I2908">
        <v>5</v>
      </c>
      <c r="J2908">
        <v>7</v>
      </c>
      <c r="K2908">
        <v>5</v>
      </c>
      <c r="L2908">
        <v>0.17499999999999999</v>
      </c>
      <c r="M2908">
        <v>3</v>
      </c>
      <c r="N2908">
        <v>88</v>
      </c>
      <c r="O2908">
        <v>5</v>
      </c>
      <c r="P2908">
        <v>0.53500000000000003</v>
      </c>
      <c r="Q2908">
        <v>5</v>
      </c>
      <c r="R2908">
        <v>1.2E-2</v>
      </c>
      <c r="T2908" s="8" t="s">
        <v>8156</v>
      </c>
    </row>
    <row r="2909" spans="1:20" x14ac:dyDescent="0.2">
      <c r="A2909" t="s">
        <v>8158</v>
      </c>
      <c r="B2909" t="s">
        <v>2022</v>
      </c>
      <c r="C2909" t="s">
        <v>2053</v>
      </c>
      <c r="D2909" t="s">
        <v>2024</v>
      </c>
      <c r="E2909" t="s">
        <v>8159</v>
      </c>
      <c r="F2909" t="s">
        <v>8160</v>
      </c>
      <c r="G2909">
        <v>5</v>
      </c>
      <c r="H2909">
        <v>1900</v>
      </c>
      <c r="I2909">
        <v>5</v>
      </c>
      <c r="J2909">
        <v>11.55</v>
      </c>
      <c r="K2909">
        <v>5</v>
      </c>
      <c r="L2909">
        <v>0.41499999999999998</v>
      </c>
      <c r="M2909">
        <v>2</v>
      </c>
      <c r="N2909">
        <v>83</v>
      </c>
      <c r="O2909">
        <v>4</v>
      </c>
      <c r="P2909">
        <v>0.52500000000000002</v>
      </c>
      <c r="Q2909">
        <v>4</v>
      </c>
      <c r="R2909">
        <v>1.9199999999999998E-2</v>
      </c>
      <c r="T2909" s="8" t="s">
        <v>8159</v>
      </c>
    </row>
    <row r="2910" spans="1:20" x14ac:dyDescent="0.2">
      <c r="A2910" t="s">
        <v>8161</v>
      </c>
      <c r="B2910" t="s">
        <v>2022</v>
      </c>
      <c r="C2910" t="s">
        <v>2101</v>
      </c>
      <c r="D2910" t="s">
        <v>2024</v>
      </c>
      <c r="E2910" t="s">
        <v>357</v>
      </c>
      <c r="F2910" t="s">
        <v>447</v>
      </c>
      <c r="G2910">
        <v>3</v>
      </c>
      <c r="H2910">
        <v>1770</v>
      </c>
      <c r="I2910">
        <v>5</v>
      </c>
      <c r="J2910">
        <v>14</v>
      </c>
      <c r="K2910">
        <v>5</v>
      </c>
      <c r="L2910">
        <v>0.53749999999999998</v>
      </c>
      <c r="M2910">
        <v>5</v>
      </c>
      <c r="N2910">
        <v>98</v>
      </c>
      <c r="O2910">
        <v>5</v>
      </c>
      <c r="P2910">
        <v>0.67500000000000004</v>
      </c>
      <c r="Q2910">
        <v>5</v>
      </c>
      <c r="R2910">
        <v>2.5499999999999998E-2</v>
      </c>
      <c r="T2910" s="8" t="s">
        <v>357</v>
      </c>
    </row>
    <row r="2911" spans="1:20" x14ac:dyDescent="0.2">
      <c r="A2911" t="s">
        <v>8162</v>
      </c>
      <c r="B2911" t="s">
        <v>2022</v>
      </c>
      <c r="C2911" t="s">
        <v>2053</v>
      </c>
      <c r="D2911" t="s">
        <v>2024</v>
      </c>
      <c r="E2911" t="s">
        <v>8163</v>
      </c>
      <c r="F2911" t="s">
        <v>8164</v>
      </c>
      <c r="G2911">
        <v>2</v>
      </c>
      <c r="H2911">
        <v>1600</v>
      </c>
      <c r="I2911">
        <v>2</v>
      </c>
      <c r="J2911">
        <v>4.05</v>
      </c>
      <c r="K2911">
        <v>2</v>
      </c>
      <c r="L2911">
        <v>8.5000000000000006E-2</v>
      </c>
      <c r="M2911">
        <v>1</v>
      </c>
      <c r="N2911">
        <v>73</v>
      </c>
      <c r="O2911">
        <v>2</v>
      </c>
      <c r="P2911">
        <v>0.22500000000000001</v>
      </c>
      <c r="Q2911">
        <v>2</v>
      </c>
      <c r="R2911">
        <v>5.1999999999999998E-3</v>
      </c>
      <c r="T2911" s="8" t="s">
        <v>8163</v>
      </c>
    </row>
    <row r="2912" spans="1:20" x14ac:dyDescent="0.2">
      <c r="A2912" t="s">
        <v>8165</v>
      </c>
      <c r="B2912" t="s">
        <v>2022</v>
      </c>
      <c r="C2912" t="s">
        <v>2036</v>
      </c>
      <c r="E2912" t="s">
        <v>8166</v>
      </c>
      <c r="F2912" t="s">
        <v>8167</v>
      </c>
      <c r="G2912">
        <v>1</v>
      </c>
      <c r="H2912">
        <v>1540</v>
      </c>
      <c r="I2912">
        <v>2</v>
      </c>
      <c r="J2912">
        <v>4</v>
      </c>
      <c r="K2912">
        <v>3</v>
      </c>
      <c r="L2912">
        <v>0.185</v>
      </c>
      <c r="M2912">
        <v>1</v>
      </c>
      <c r="N2912">
        <v>76</v>
      </c>
      <c r="O2912">
        <v>2</v>
      </c>
      <c r="P2912">
        <v>0.20499999999999999</v>
      </c>
      <c r="Q2912">
        <v>3</v>
      </c>
      <c r="R2912">
        <v>9.2999999999999992E-3</v>
      </c>
      <c r="T2912" s="8" t="s">
        <v>8166</v>
      </c>
    </row>
    <row r="2913" spans="1:20" x14ac:dyDescent="0.2">
      <c r="A2913" t="s">
        <v>8168</v>
      </c>
      <c r="B2913" t="s">
        <v>2022</v>
      </c>
      <c r="C2913" t="s">
        <v>2508</v>
      </c>
      <c r="D2913" t="s">
        <v>2024</v>
      </c>
      <c r="E2913" t="s">
        <v>8169</v>
      </c>
      <c r="F2913" t="s">
        <v>8170</v>
      </c>
      <c r="G2913">
        <v>4</v>
      </c>
      <c r="H2913">
        <v>1550</v>
      </c>
      <c r="I2913">
        <v>5</v>
      </c>
      <c r="J2913">
        <v>17</v>
      </c>
      <c r="K2913">
        <v>4</v>
      </c>
      <c r="L2913">
        <v>0.42</v>
      </c>
      <c r="M2913">
        <v>1</v>
      </c>
      <c r="N2913">
        <v>92.5</v>
      </c>
      <c r="O2913">
        <v>4</v>
      </c>
      <c r="P2913">
        <v>1.35</v>
      </c>
      <c r="Q2913">
        <v>3</v>
      </c>
      <c r="R2913">
        <v>3.5999999999999997E-2</v>
      </c>
      <c r="T2913" s="8" t="s">
        <v>8169</v>
      </c>
    </row>
    <row r="2914" spans="1:20" x14ac:dyDescent="0.2">
      <c r="A2914" t="s">
        <v>8171</v>
      </c>
      <c r="B2914" t="s">
        <v>2022</v>
      </c>
      <c r="C2914" t="s">
        <v>2036</v>
      </c>
      <c r="D2914" t="s">
        <v>2024</v>
      </c>
      <c r="E2914" t="s">
        <v>8172</v>
      </c>
      <c r="F2914" t="s">
        <v>8173</v>
      </c>
      <c r="G2914">
        <v>2</v>
      </c>
      <c r="H2914">
        <v>1640</v>
      </c>
      <c r="I2914">
        <v>3</v>
      </c>
      <c r="J2914">
        <v>4.5999999999999996</v>
      </c>
      <c r="K2914">
        <v>3</v>
      </c>
      <c r="L2914">
        <v>0.115</v>
      </c>
      <c r="M2914">
        <v>2</v>
      </c>
      <c r="N2914">
        <v>82</v>
      </c>
      <c r="O2914">
        <v>2</v>
      </c>
      <c r="P2914">
        <v>0.20499999999999999</v>
      </c>
      <c r="Q2914">
        <v>2</v>
      </c>
      <c r="R2914">
        <v>4.2500000000000003E-3</v>
      </c>
      <c r="T2914" s="8" t="s">
        <v>8172</v>
      </c>
    </row>
    <row r="2915" spans="1:20" x14ac:dyDescent="0.2">
      <c r="A2915" t="s">
        <v>8174</v>
      </c>
      <c r="B2915" t="s">
        <v>2022</v>
      </c>
      <c r="C2915" t="s">
        <v>2101</v>
      </c>
      <c r="D2915" t="s">
        <v>2024</v>
      </c>
      <c r="E2915" t="s">
        <v>8175</v>
      </c>
      <c r="F2915" t="s">
        <v>8176</v>
      </c>
      <c r="G2915">
        <v>5</v>
      </c>
      <c r="H2915">
        <v>1970</v>
      </c>
      <c r="I2915">
        <v>3</v>
      </c>
      <c r="J2915">
        <v>8</v>
      </c>
      <c r="K2915">
        <v>2</v>
      </c>
      <c r="L2915">
        <v>9.6500000000000002E-2</v>
      </c>
      <c r="M2915">
        <v>4</v>
      </c>
      <c r="N2915">
        <v>90</v>
      </c>
      <c r="O2915">
        <v>3</v>
      </c>
      <c r="P2915">
        <v>0.375</v>
      </c>
      <c r="Q2915">
        <v>2</v>
      </c>
      <c r="R2915">
        <v>4.4999999999999997E-3</v>
      </c>
      <c r="T2915" s="8" t="s">
        <v>8175</v>
      </c>
    </row>
    <row r="2916" spans="1:20" x14ac:dyDescent="0.2">
      <c r="A2916" t="s">
        <v>8177</v>
      </c>
      <c r="B2916" t="s">
        <v>2022</v>
      </c>
      <c r="C2916" t="s">
        <v>2053</v>
      </c>
      <c r="D2916" t="s">
        <v>2024</v>
      </c>
      <c r="E2916" t="s">
        <v>8178</v>
      </c>
      <c r="F2916" t="s">
        <v>8179</v>
      </c>
      <c r="G2916">
        <v>1</v>
      </c>
      <c r="H2916">
        <v>1500</v>
      </c>
      <c r="I2916">
        <v>1</v>
      </c>
      <c r="J2916">
        <v>1.55</v>
      </c>
      <c r="K2916">
        <v>2</v>
      </c>
      <c r="L2916">
        <v>8.5000000000000006E-2</v>
      </c>
      <c r="M2916">
        <v>1</v>
      </c>
      <c r="N2916">
        <v>73</v>
      </c>
      <c r="O2916">
        <v>1</v>
      </c>
      <c r="P2916">
        <v>7.4999999999999997E-2</v>
      </c>
      <c r="Q2916">
        <v>1</v>
      </c>
      <c r="R2916">
        <v>8.4999999999999995E-4</v>
      </c>
      <c r="T2916" s="8" t="s">
        <v>8178</v>
      </c>
    </row>
    <row r="2917" spans="1:20" x14ac:dyDescent="0.2">
      <c r="A2917" t="s">
        <v>8180</v>
      </c>
      <c r="B2917" t="s">
        <v>2022</v>
      </c>
      <c r="C2917" t="s">
        <v>2036</v>
      </c>
      <c r="D2917" t="s">
        <v>2024</v>
      </c>
      <c r="E2917" t="s">
        <v>8181</v>
      </c>
      <c r="F2917" t="s">
        <v>8182</v>
      </c>
      <c r="G2917">
        <v>4</v>
      </c>
      <c r="H2917">
        <v>1840</v>
      </c>
      <c r="I2917">
        <v>3</v>
      </c>
      <c r="J2917">
        <v>4.5999999999999996</v>
      </c>
      <c r="K2917">
        <v>5</v>
      </c>
      <c r="L2917">
        <v>0.17499999999999999</v>
      </c>
      <c r="M2917">
        <v>3</v>
      </c>
      <c r="N2917">
        <v>88</v>
      </c>
      <c r="O2917">
        <v>2</v>
      </c>
      <c r="P2917">
        <v>0.20499999999999999</v>
      </c>
      <c r="Q2917">
        <v>4</v>
      </c>
      <c r="R2917">
        <v>9.2499999999999995E-3</v>
      </c>
      <c r="T2917" s="8" t="s">
        <v>8181</v>
      </c>
    </row>
    <row r="2918" spans="1:20" x14ac:dyDescent="0.2">
      <c r="A2918" t="s">
        <v>8183</v>
      </c>
      <c r="B2918" t="s">
        <v>2022</v>
      </c>
      <c r="C2918" t="s">
        <v>2053</v>
      </c>
      <c r="D2918" t="s">
        <v>2024</v>
      </c>
      <c r="E2918" t="s">
        <v>8184</v>
      </c>
      <c r="F2918" t="s">
        <v>447</v>
      </c>
      <c r="G2918">
        <v>5</v>
      </c>
      <c r="H2918">
        <v>1900</v>
      </c>
      <c r="I2918">
        <v>5</v>
      </c>
      <c r="J2918">
        <v>11.55</v>
      </c>
      <c r="K2918">
        <v>4</v>
      </c>
      <c r="L2918">
        <v>0.30499999999999999</v>
      </c>
      <c r="M2918">
        <v>5</v>
      </c>
      <c r="N2918">
        <v>113</v>
      </c>
      <c r="O2918">
        <v>4</v>
      </c>
      <c r="P2918">
        <v>0.52500000000000002</v>
      </c>
      <c r="Q2918">
        <v>4</v>
      </c>
      <c r="R2918">
        <v>1.9199999999999998E-2</v>
      </c>
      <c r="T2918" s="8" t="s">
        <v>8184</v>
      </c>
    </row>
    <row r="2919" spans="1:20" x14ac:dyDescent="0.2">
      <c r="A2919" t="s">
        <v>8185</v>
      </c>
      <c r="B2919" t="s">
        <v>2022</v>
      </c>
      <c r="C2919" t="s">
        <v>2053</v>
      </c>
      <c r="D2919" t="s">
        <v>2136</v>
      </c>
      <c r="E2919" t="s">
        <v>357</v>
      </c>
      <c r="F2919" t="s">
        <v>8186</v>
      </c>
      <c r="G2919">
        <v>5</v>
      </c>
      <c r="H2919">
        <v>1900</v>
      </c>
      <c r="I2919">
        <v>2</v>
      </c>
      <c r="J2919">
        <v>4.05</v>
      </c>
      <c r="K2919">
        <v>2</v>
      </c>
      <c r="L2919">
        <v>8.5000000000000006E-2</v>
      </c>
      <c r="M2919">
        <v>4</v>
      </c>
      <c r="N2919">
        <v>103</v>
      </c>
      <c r="O2919">
        <v>2</v>
      </c>
      <c r="P2919">
        <v>0.22500000000000001</v>
      </c>
      <c r="Q2919">
        <v>2</v>
      </c>
      <c r="R2919">
        <v>5.1999999999999998E-3</v>
      </c>
      <c r="T2919" s="8" t="s">
        <v>357</v>
      </c>
    </row>
    <row r="2920" spans="1:20" x14ac:dyDescent="0.2">
      <c r="A2920" t="s">
        <v>8187</v>
      </c>
      <c r="B2920" t="s">
        <v>2022</v>
      </c>
      <c r="C2920" t="s">
        <v>2053</v>
      </c>
      <c r="D2920" t="s">
        <v>2024</v>
      </c>
      <c r="E2920" t="s">
        <v>8188</v>
      </c>
      <c r="F2920" t="s">
        <v>8189</v>
      </c>
      <c r="G2920">
        <v>3</v>
      </c>
      <c r="H2920">
        <v>1700</v>
      </c>
      <c r="I2920">
        <v>2</v>
      </c>
      <c r="J2920">
        <v>4.05</v>
      </c>
      <c r="K2920">
        <v>2</v>
      </c>
      <c r="L2920">
        <v>8.5000000000000006E-2</v>
      </c>
      <c r="M2920">
        <v>2</v>
      </c>
      <c r="N2920">
        <v>83</v>
      </c>
      <c r="O2920">
        <v>1</v>
      </c>
      <c r="P2920">
        <v>7.4999999999999997E-2</v>
      </c>
      <c r="Q2920">
        <v>2</v>
      </c>
      <c r="R2920">
        <v>5.1999999999999998E-3</v>
      </c>
      <c r="T2920" s="8" t="s">
        <v>8188</v>
      </c>
    </row>
    <row r="2921" spans="1:20" x14ac:dyDescent="0.2">
      <c r="A2921" t="s">
        <v>8190</v>
      </c>
      <c r="B2921" t="s">
        <v>2022</v>
      </c>
      <c r="C2921" t="s">
        <v>2023</v>
      </c>
      <c r="D2921" t="s">
        <v>2024</v>
      </c>
      <c r="E2921" t="s">
        <v>8191</v>
      </c>
      <c r="F2921" t="s">
        <v>8192</v>
      </c>
      <c r="G2921">
        <v>4</v>
      </c>
      <c r="H2921">
        <v>1720</v>
      </c>
      <c r="I2921">
        <v>3</v>
      </c>
      <c r="J2921">
        <v>5.9</v>
      </c>
      <c r="K2921">
        <v>5</v>
      </c>
      <c r="L2921">
        <v>8.5999999999999993E-2</v>
      </c>
      <c r="M2921">
        <v>2</v>
      </c>
      <c r="N2921">
        <v>84</v>
      </c>
      <c r="O2921">
        <v>2</v>
      </c>
      <c r="P2921">
        <v>0.22500000000000001</v>
      </c>
      <c r="Q2921">
        <v>5</v>
      </c>
      <c r="R2921">
        <v>8.0000000000000002E-3</v>
      </c>
      <c r="T2921" s="8" t="s">
        <v>8191</v>
      </c>
    </row>
    <row r="2922" spans="1:20" x14ac:dyDescent="0.2">
      <c r="A2922" t="s">
        <v>8193</v>
      </c>
      <c r="B2922" t="s">
        <v>2022</v>
      </c>
      <c r="C2922" t="s">
        <v>2023</v>
      </c>
      <c r="D2922" t="s">
        <v>2024</v>
      </c>
      <c r="E2922" t="s">
        <v>8194</v>
      </c>
      <c r="F2922" t="s">
        <v>8195</v>
      </c>
      <c r="G2922">
        <v>3</v>
      </c>
      <c r="H2922">
        <v>1640</v>
      </c>
      <c r="I2922">
        <v>2</v>
      </c>
      <c r="J2922">
        <v>3.4</v>
      </c>
      <c r="K2922">
        <v>4</v>
      </c>
      <c r="L2922">
        <v>6.6000000000000003E-2</v>
      </c>
      <c r="M2922">
        <v>4</v>
      </c>
      <c r="N2922">
        <v>104</v>
      </c>
      <c r="O2922">
        <v>2</v>
      </c>
      <c r="P2922">
        <v>0.22500000000000001</v>
      </c>
      <c r="Q2922">
        <v>3</v>
      </c>
      <c r="R2922">
        <v>4.0000000000000001E-3</v>
      </c>
      <c r="T2922" s="8" t="s">
        <v>8194</v>
      </c>
    </row>
    <row r="2923" spans="1:20" x14ac:dyDescent="0.2">
      <c r="A2923" t="s">
        <v>8196</v>
      </c>
      <c r="B2923" t="s">
        <v>2022</v>
      </c>
      <c r="C2923" t="s">
        <v>2049</v>
      </c>
      <c r="D2923" t="s">
        <v>2024</v>
      </c>
      <c r="E2923" t="s">
        <v>8197</v>
      </c>
      <c r="F2923" t="s">
        <v>8198</v>
      </c>
      <c r="G2923">
        <v>2</v>
      </c>
      <c r="H2923">
        <v>1450</v>
      </c>
      <c r="I2923">
        <v>3</v>
      </c>
      <c r="J2923">
        <v>5</v>
      </c>
      <c r="K2923">
        <v>2</v>
      </c>
      <c r="L2923">
        <v>0.06</v>
      </c>
      <c r="M2923">
        <v>5</v>
      </c>
      <c r="N2923">
        <v>166</v>
      </c>
      <c r="O2923">
        <v>5</v>
      </c>
      <c r="P2923">
        <v>0.86</v>
      </c>
      <c r="Q2923">
        <v>3</v>
      </c>
      <c r="R2923">
        <v>1.52E-2</v>
      </c>
      <c r="T2923" s="8" t="s">
        <v>8197</v>
      </c>
    </row>
    <row r="2924" spans="1:20" x14ac:dyDescent="0.2">
      <c r="A2924" t="s">
        <v>8199</v>
      </c>
      <c r="B2924" t="s">
        <v>2022</v>
      </c>
      <c r="C2924" t="s">
        <v>2036</v>
      </c>
      <c r="D2924" t="s">
        <v>2024</v>
      </c>
      <c r="E2924" t="s">
        <v>8200</v>
      </c>
      <c r="F2924" t="s">
        <v>8201</v>
      </c>
      <c r="G2924">
        <v>2</v>
      </c>
      <c r="H2924">
        <v>1640</v>
      </c>
      <c r="I2924">
        <v>1</v>
      </c>
      <c r="J2924">
        <v>2.2000000000000002</v>
      </c>
      <c r="K2924">
        <v>2</v>
      </c>
      <c r="L2924">
        <v>8.5000000000000006E-2</v>
      </c>
      <c r="M2924">
        <v>2</v>
      </c>
      <c r="N2924">
        <v>82</v>
      </c>
      <c r="O2924">
        <v>1</v>
      </c>
      <c r="P2924">
        <v>9.5000000000000001E-2</v>
      </c>
      <c r="Q2924">
        <v>2</v>
      </c>
      <c r="R2924">
        <v>4.2500000000000003E-3</v>
      </c>
      <c r="T2924" s="8" t="s">
        <v>8200</v>
      </c>
    </row>
    <row r="2925" spans="1:20" x14ac:dyDescent="0.2">
      <c r="A2925" t="s">
        <v>8202</v>
      </c>
      <c r="B2925" t="s">
        <v>2022</v>
      </c>
      <c r="C2925" t="s">
        <v>2023</v>
      </c>
      <c r="D2925" t="s">
        <v>2136</v>
      </c>
      <c r="E2925" t="s">
        <v>8203</v>
      </c>
      <c r="F2925" t="s">
        <v>8204</v>
      </c>
      <c r="G2925">
        <v>5</v>
      </c>
      <c r="H2925">
        <v>1800</v>
      </c>
      <c r="I2925">
        <v>2</v>
      </c>
      <c r="J2925">
        <v>3.4</v>
      </c>
      <c r="K2925">
        <v>2</v>
      </c>
      <c r="L2925">
        <v>2.5999999999999999E-2</v>
      </c>
      <c r="M2925">
        <v>5</v>
      </c>
      <c r="N2925">
        <v>114</v>
      </c>
      <c r="O2925">
        <v>3</v>
      </c>
      <c r="P2925">
        <v>0.375</v>
      </c>
      <c r="Q2925">
        <v>2</v>
      </c>
      <c r="R2925">
        <v>2E-3</v>
      </c>
      <c r="T2925" s="8" t="s">
        <v>8203</v>
      </c>
    </row>
    <row r="2926" spans="1:20" x14ac:dyDescent="0.2">
      <c r="A2926" t="s">
        <v>8205</v>
      </c>
      <c r="B2926" t="s">
        <v>2022</v>
      </c>
      <c r="C2926" t="s">
        <v>2023</v>
      </c>
      <c r="D2926" t="s">
        <v>2024</v>
      </c>
      <c r="E2926" t="s">
        <v>8206</v>
      </c>
      <c r="F2926" t="s">
        <v>447</v>
      </c>
      <c r="G2926">
        <v>4</v>
      </c>
      <c r="H2926">
        <v>1720</v>
      </c>
      <c r="I2926">
        <v>1</v>
      </c>
      <c r="J2926">
        <v>0.9</v>
      </c>
      <c r="K2926">
        <v>1</v>
      </c>
      <c r="L2926">
        <v>6.0000000000000001E-3</v>
      </c>
      <c r="M2926">
        <v>3</v>
      </c>
      <c r="N2926">
        <v>94</v>
      </c>
      <c r="O2926">
        <v>1</v>
      </c>
      <c r="P2926">
        <v>7.4999999999999997E-2</v>
      </c>
      <c r="Q2926">
        <v>1</v>
      </c>
      <c r="R2926">
        <v>5.0000000000000001E-4</v>
      </c>
      <c r="T2926" s="8" t="s">
        <v>8206</v>
      </c>
    </row>
    <row r="2927" spans="1:20" x14ac:dyDescent="0.2">
      <c r="A2927" t="s">
        <v>8207</v>
      </c>
      <c r="B2927" t="s">
        <v>2022</v>
      </c>
      <c r="C2927" t="s">
        <v>2023</v>
      </c>
      <c r="D2927" t="s">
        <v>2024</v>
      </c>
      <c r="E2927" t="s">
        <v>8208</v>
      </c>
      <c r="F2927" t="s">
        <v>8209</v>
      </c>
      <c r="G2927">
        <v>5</v>
      </c>
      <c r="H2927">
        <v>1800</v>
      </c>
      <c r="I2927">
        <v>5</v>
      </c>
      <c r="J2927">
        <v>10.9</v>
      </c>
      <c r="K2927">
        <v>5</v>
      </c>
      <c r="L2927">
        <v>8.5999999999999993E-2</v>
      </c>
      <c r="M2927">
        <v>4</v>
      </c>
      <c r="N2927">
        <v>104</v>
      </c>
      <c r="O2927">
        <v>5</v>
      </c>
      <c r="P2927">
        <v>0.67500000000000004</v>
      </c>
      <c r="Q2927">
        <v>5</v>
      </c>
      <c r="R2927">
        <v>8.0000000000000002E-3</v>
      </c>
      <c r="T2927" s="8" t="s">
        <v>8208</v>
      </c>
    </row>
    <row r="2928" spans="1:20" x14ac:dyDescent="0.2">
      <c r="A2928" t="s">
        <v>8210</v>
      </c>
      <c r="B2928" t="s">
        <v>2022</v>
      </c>
      <c r="C2928" t="s">
        <v>2036</v>
      </c>
      <c r="D2928" t="s">
        <v>2024</v>
      </c>
      <c r="E2928" t="s">
        <v>8211</v>
      </c>
      <c r="F2928" t="s">
        <v>8212</v>
      </c>
      <c r="G2928">
        <v>3</v>
      </c>
      <c r="H2928">
        <v>1740</v>
      </c>
      <c r="I2928">
        <v>5</v>
      </c>
      <c r="J2928">
        <v>7</v>
      </c>
      <c r="K2928">
        <v>5</v>
      </c>
      <c r="L2928">
        <v>0.17499999999999999</v>
      </c>
      <c r="M2928">
        <v>3</v>
      </c>
      <c r="N2928">
        <v>88</v>
      </c>
      <c r="O2928">
        <v>3</v>
      </c>
      <c r="P2928">
        <v>0.315</v>
      </c>
      <c r="Q2928">
        <v>5</v>
      </c>
      <c r="R2928">
        <v>1.2E-2</v>
      </c>
      <c r="T2928" s="8" t="s">
        <v>8211</v>
      </c>
    </row>
    <row r="2929" spans="1:20" x14ac:dyDescent="0.2">
      <c r="A2929" t="s">
        <v>8213</v>
      </c>
      <c r="B2929" t="s">
        <v>2022</v>
      </c>
      <c r="C2929" t="s">
        <v>2036</v>
      </c>
      <c r="D2929" t="s">
        <v>2024</v>
      </c>
      <c r="E2929" t="s">
        <v>8214</v>
      </c>
      <c r="F2929" t="s">
        <v>8215</v>
      </c>
      <c r="G2929">
        <v>5</v>
      </c>
      <c r="H2929">
        <v>1940</v>
      </c>
      <c r="I2929">
        <v>5</v>
      </c>
      <c r="J2929">
        <v>7</v>
      </c>
      <c r="K2929">
        <v>5</v>
      </c>
      <c r="L2929">
        <v>0.17499999999999999</v>
      </c>
      <c r="M2929">
        <v>5</v>
      </c>
      <c r="N2929">
        <v>100</v>
      </c>
      <c r="O2929">
        <v>5</v>
      </c>
      <c r="P2929">
        <v>0.53500000000000003</v>
      </c>
      <c r="Q2929">
        <v>5</v>
      </c>
      <c r="R2929">
        <v>1.2E-2</v>
      </c>
      <c r="T2929" s="8" t="s">
        <v>8214</v>
      </c>
    </row>
    <row r="2930" spans="1:20" x14ac:dyDescent="0.2">
      <c r="A2930" t="s">
        <v>8216</v>
      </c>
      <c r="B2930" t="s">
        <v>2022</v>
      </c>
      <c r="C2930" t="s">
        <v>2053</v>
      </c>
      <c r="D2930" t="s">
        <v>2024</v>
      </c>
      <c r="E2930" t="s">
        <v>8217</v>
      </c>
      <c r="F2930" t="s">
        <v>8218</v>
      </c>
      <c r="G2930">
        <v>1</v>
      </c>
      <c r="H2930">
        <v>1500</v>
      </c>
      <c r="I2930">
        <v>2</v>
      </c>
      <c r="J2930">
        <v>4.05</v>
      </c>
      <c r="K2930">
        <v>2</v>
      </c>
      <c r="L2930">
        <v>8.5000000000000006E-2</v>
      </c>
      <c r="M2930">
        <v>5</v>
      </c>
      <c r="N2930">
        <v>113</v>
      </c>
      <c r="O2930">
        <v>3</v>
      </c>
      <c r="P2930">
        <v>0.375</v>
      </c>
      <c r="Q2930">
        <v>3</v>
      </c>
      <c r="R2930">
        <v>1.2200000000000001E-2</v>
      </c>
      <c r="T2930" s="8" t="s">
        <v>8217</v>
      </c>
    </row>
    <row r="2931" spans="1:20" x14ac:dyDescent="0.2">
      <c r="A2931" t="s">
        <v>8219</v>
      </c>
      <c r="B2931" t="s">
        <v>2022</v>
      </c>
      <c r="C2931" t="s">
        <v>2036</v>
      </c>
      <c r="D2931" t="s">
        <v>2024</v>
      </c>
      <c r="E2931" t="s">
        <v>8220</v>
      </c>
      <c r="F2931" t="s">
        <v>8221</v>
      </c>
      <c r="G2931">
        <v>5</v>
      </c>
      <c r="H2931">
        <v>1940</v>
      </c>
      <c r="I2931">
        <v>5</v>
      </c>
      <c r="J2931">
        <v>7</v>
      </c>
      <c r="K2931">
        <v>5</v>
      </c>
      <c r="L2931">
        <v>0.17499999999999999</v>
      </c>
      <c r="M2931">
        <v>5</v>
      </c>
      <c r="N2931">
        <v>100</v>
      </c>
      <c r="O2931">
        <v>4</v>
      </c>
      <c r="P2931">
        <v>0.42499999999999999</v>
      </c>
      <c r="Q2931">
        <v>5</v>
      </c>
      <c r="R2931">
        <v>1.2E-2</v>
      </c>
      <c r="T2931" s="8" t="s">
        <v>8220</v>
      </c>
    </row>
    <row r="2932" spans="1:20" x14ac:dyDescent="0.2">
      <c r="A2932" t="s">
        <v>8222</v>
      </c>
      <c r="B2932" t="s">
        <v>2022</v>
      </c>
      <c r="C2932" t="s">
        <v>2023</v>
      </c>
      <c r="D2932" t="s">
        <v>2024</v>
      </c>
      <c r="E2932" t="s">
        <v>8223</v>
      </c>
      <c r="F2932" t="s">
        <v>8224</v>
      </c>
      <c r="G2932">
        <v>3</v>
      </c>
      <c r="H2932">
        <v>1640</v>
      </c>
      <c r="I2932">
        <v>2</v>
      </c>
      <c r="J2932">
        <v>3.4</v>
      </c>
      <c r="K2932">
        <v>2</v>
      </c>
      <c r="L2932">
        <v>2.5999999999999999E-2</v>
      </c>
      <c r="M2932">
        <v>2</v>
      </c>
      <c r="N2932">
        <v>84</v>
      </c>
      <c r="O2932">
        <v>2</v>
      </c>
      <c r="P2932">
        <v>0.22500000000000001</v>
      </c>
      <c r="Q2932">
        <v>2</v>
      </c>
      <c r="R2932">
        <v>2E-3</v>
      </c>
      <c r="T2932" s="8" t="s">
        <v>8223</v>
      </c>
    </row>
    <row r="2933" spans="1:20" x14ac:dyDescent="0.2">
      <c r="A2933" t="s">
        <v>8225</v>
      </c>
      <c r="B2933" t="s">
        <v>2022</v>
      </c>
      <c r="C2933" t="s">
        <v>2023</v>
      </c>
      <c r="D2933" t="s">
        <v>2024</v>
      </c>
      <c r="E2933" t="s">
        <v>8226</v>
      </c>
      <c r="F2933" t="s">
        <v>8227</v>
      </c>
      <c r="G2933">
        <v>1</v>
      </c>
      <c r="H2933">
        <v>1480</v>
      </c>
      <c r="I2933">
        <v>2</v>
      </c>
      <c r="J2933">
        <v>3.4</v>
      </c>
      <c r="K2933">
        <v>3</v>
      </c>
      <c r="L2933">
        <v>4.5999999999999999E-2</v>
      </c>
      <c r="M2933">
        <v>3</v>
      </c>
      <c r="N2933">
        <v>94</v>
      </c>
      <c r="O2933">
        <v>2</v>
      </c>
      <c r="P2933">
        <v>0.22500000000000001</v>
      </c>
      <c r="Q2933">
        <v>3</v>
      </c>
      <c r="R2933">
        <v>4.0000000000000001E-3</v>
      </c>
      <c r="T2933" s="8" t="s">
        <v>8226</v>
      </c>
    </row>
    <row r="2934" spans="1:20" x14ac:dyDescent="0.2">
      <c r="A2934" t="s">
        <v>8228</v>
      </c>
      <c r="B2934" t="s">
        <v>2022</v>
      </c>
      <c r="C2934" t="s">
        <v>2101</v>
      </c>
      <c r="D2934" t="s">
        <v>2024</v>
      </c>
      <c r="E2934" t="s">
        <v>8229</v>
      </c>
      <c r="F2934" t="s">
        <v>8230</v>
      </c>
      <c r="G2934">
        <v>1</v>
      </c>
      <c r="H2934">
        <v>1570</v>
      </c>
      <c r="I2934">
        <v>3</v>
      </c>
      <c r="J2934">
        <v>8</v>
      </c>
      <c r="K2934">
        <v>3</v>
      </c>
      <c r="L2934">
        <v>0.24349999999999999</v>
      </c>
      <c r="M2934">
        <v>5</v>
      </c>
      <c r="N2934">
        <v>98</v>
      </c>
      <c r="O2934">
        <v>4</v>
      </c>
      <c r="P2934">
        <v>0.52500000000000002</v>
      </c>
      <c r="Q2934">
        <v>4</v>
      </c>
      <c r="R2934">
        <v>1.8499999999999999E-2</v>
      </c>
      <c r="T2934" s="8" t="s">
        <v>8229</v>
      </c>
    </row>
    <row r="2935" spans="1:20" x14ac:dyDescent="0.2">
      <c r="A2935" t="s">
        <v>8231</v>
      </c>
      <c r="B2935" t="s">
        <v>2022</v>
      </c>
      <c r="C2935" t="s">
        <v>2036</v>
      </c>
      <c r="D2935" t="s">
        <v>2024</v>
      </c>
      <c r="E2935" t="s">
        <v>8232</v>
      </c>
      <c r="F2935" t="s">
        <v>8233</v>
      </c>
      <c r="G2935">
        <v>5</v>
      </c>
      <c r="H2935">
        <v>1940</v>
      </c>
      <c r="I2935">
        <v>5</v>
      </c>
      <c r="J2935">
        <v>7</v>
      </c>
      <c r="K2935">
        <v>5</v>
      </c>
      <c r="L2935">
        <v>0.17499999999999999</v>
      </c>
      <c r="M2935">
        <v>5</v>
      </c>
      <c r="N2935">
        <v>100</v>
      </c>
      <c r="O2935">
        <v>5</v>
      </c>
      <c r="P2935">
        <v>0.53500000000000003</v>
      </c>
      <c r="Q2935">
        <v>5</v>
      </c>
      <c r="R2935">
        <v>1.2E-2</v>
      </c>
      <c r="T2935" s="8" t="s">
        <v>8232</v>
      </c>
    </row>
    <row r="2936" spans="1:20" x14ac:dyDescent="0.2">
      <c r="A2936" t="s">
        <v>8234</v>
      </c>
      <c r="B2936" t="s">
        <v>2022</v>
      </c>
      <c r="C2936" t="s">
        <v>2036</v>
      </c>
      <c r="D2936" t="s">
        <v>2024</v>
      </c>
      <c r="E2936" t="s">
        <v>8235</v>
      </c>
      <c r="F2936" t="s">
        <v>8236</v>
      </c>
      <c r="G2936">
        <v>4</v>
      </c>
      <c r="H2936">
        <v>1840</v>
      </c>
      <c r="I2936">
        <v>5</v>
      </c>
      <c r="J2936">
        <v>7</v>
      </c>
      <c r="K2936">
        <v>5</v>
      </c>
      <c r="L2936">
        <v>0.17499999999999999</v>
      </c>
      <c r="M2936">
        <v>4</v>
      </c>
      <c r="N2936">
        <v>94</v>
      </c>
      <c r="O2936">
        <v>5</v>
      </c>
      <c r="P2936">
        <v>0.53500000000000003</v>
      </c>
      <c r="Q2936">
        <v>5</v>
      </c>
      <c r="R2936">
        <v>1.2E-2</v>
      </c>
      <c r="T2936" s="8" t="s">
        <v>8235</v>
      </c>
    </row>
    <row r="2937" spans="1:20" x14ac:dyDescent="0.2">
      <c r="A2937" t="s">
        <v>8237</v>
      </c>
      <c r="B2937" t="s">
        <v>2022</v>
      </c>
      <c r="C2937" t="s">
        <v>2023</v>
      </c>
      <c r="D2937" t="s">
        <v>2024</v>
      </c>
      <c r="E2937" t="s">
        <v>8238</v>
      </c>
      <c r="F2937" t="s">
        <v>8239</v>
      </c>
      <c r="G2937">
        <v>4</v>
      </c>
      <c r="H2937">
        <v>1720</v>
      </c>
      <c r="I2937">
        <v>5</v>
      </c>
      <c r="J2937">
        <v>10.9</v>
      </c>
      <c r="K2937">
        <v>5</v>
      </c>
      <c r="L2937">
        <v>8.5999999999999993E-2</v>
      </c>
      <c r="M2937">
        <v>1</v>
      </c>
      <c r="N2937">
        <v>74</v>
      </c>
      <c r="O2937">
        <v>5</v>
      </c>
      <c r="P2937">
        <v>0.67500000000000004</v>
      </c>
      <c r="Q2937">
        <v>5</v>
      </c>
      <c r="R2937">
        <v>8.0000000000000002E-3</v>
      </c>
      <c r="T2937" s="8" t="s">
        <v>8238</v>
      </c>
    </row>
    <row r="2938" spans="1:20" x14ac:dyDescent="0.2">
      <c r="A2938" t="s">
        <v>8240</v>
      </c>
      <c r="B2938" t="s">
        <v>2022</v>
      </c>
      <c r="C2938" t="s">
        <v>2023</v>
      </c>
      <c r="D2938" t="s">
        <v>2024</v>
      </c>
      <c r="E2938" t="s">
        <v>8241</v>
      </c>
      <c r="F2938" t="s">
        <v>8242</v>
      </c>
      <c r="G2938">
        <v>2</v>
      </c>
      <c r="H2938">
        <v>1560</v>
      </c>
      <c r="I2938">
        <v>2</v>
      </c>
      <c r="J2938">
        <v>3.4</v>
      </c>
      <c r="K2938">
        <v>3</v>
      </c>
      <c r="L2938">
        <v>4.5999999999999999E-2</v>
      </c>
      <c r="M2938">
        <v>3</v>
      </c>
      <c r="N2938">
        <v>94</v>
      </c>
      <c r="O2938">
        <v>2</v>
      </c>
      <c r="P2938">
        <v>0.22500000000000001</v>
      </c>
      <c r="Q2938">
        <v>2</v>
      </c>
      <c r="R2938">
        <v>2E-3</v>
      </c>
      <c r="T2938" s="8" t="s">
        <v>8241</v>
      </c>
    </row>
    <row r="2939" spans="1:20" x14ac:dyDescent="0.2">
      <c r="A2939" t="s">
        <v>8243</v>
      </c>
      <c r="B2939" t="s">
        <v>2022</v>
      </c>
      <c r="C2939" t="s">
        <v>2023</v>
      </c>
      <c r="D2939" t="s">
        <v>2136</v>
      </c>
      <c r="E2939" t="s">
        <v>8244</v>
      </c>
      <c r="F2939" t="s">
        <v>8245</v>
      </c>
      <c r="G2939">
        <v>5</v>
      </c>
      <c r="H2939">
        <v>1800</v>
      </c>
      <c r="I2939">
        <v>2</v>
      </c>
      <c r="J2939">
        <v>3.4</v>
      </c>
      <c r="K2939">
        <v>2</v>
      </c>
      <c r="L2939">
        <v>2.5999999999999999E-2</v>
      </c>
      <c r="M2939">
        <v>2</v>
      </c>
      <c r="N2939">
        <v>84</v>
      </c>
      <c r="O2939">
        <v>2</v>
      </c>
      <c r="P2939">
        <v>0.22500000000000001</v>
      </c>
      <c r="Q2939">
        <v>1</v>
      </c>
      <c r="R2939">
        <v>5.0000000000000001E-4</v>
      </c>
      <c r="T2939" s="8" t="s">
        <v>8244</v>
      </c>
    </row>
    <row r="2940" spans="1:20" x14ac:dyDescent="0.2">
      <c r="A2940" t="s">
        <v>8246</v>
      </c>
      <c r="B2940" t="s">
        <v>2022</v>
      </c>
      <c r="C2940" t="s">
        <v>2036</v>
      </c>
      <c r="D2940" t="s">
        <v>2136</v>
      </c>
      <c r="E2940" t="s">
        <v>8247</v>
      </c>
      <c r="F2940" t="s">
        <v>447</v>
      </c>
      <c r="G2940">
        <v>1</v>
      </c>
      <c r="H2940">
        <v>1540</v>
      </c>
      <c r="I2940">
        <v>3</v>
      </c>
      <c r="J2940">
        <v>4.5999999999999996</v>
      </c>
      <c r="K2940">
        <v>5</v>
      </c>
      <c r="L2940">
        <v>0.17499999999999999</v>
      </c>
      <c r="M2940">
        <v>4</v>
      </c>
      <c r="N2940">
        <v>94</v>
      </c>
      <c r="O2940">
        <v>3</v>
      </c>
      <c r="P2940">
        <v>0.315</v>
      </c>
      <c r="Q2940">
        <v>5</v>
      </c>
      <c r="R2940">
        <v>1.2E-2</v>
      </c>
      <c r="T2940" s="8" t="s">
        <v>8247</v>
      </c>
    </row>
    <row r="2941" spans="1:20" x14ac:dyDescent="0.2">
      <c r="A2941" t="s">
        <v>8248</v>
      </c>
      <c r="B2941" t="s">
        <v>2022</v>
      </c>
      <c r="C2941" t="s">
        <v>2036</v>
      </c>
      <c r="D2941" t="s">
        <v>2024</v>
      </c>
      <c r="E2941" t="s">
        <v>8249</v>
      </c>
      <c r="F2941" t="s">
        <v>8250</v>
      </c>
      <c r="G2941">
        <v>4</v>
      </c>
      <c r="H2941">
        <v>1840</v>
      </c>
      <c r="I2941">
        <v>1</v>
      </c>
      <c r="J2941">
        <v>2.2000000000000002</v>
      </c>
      <c r="K2941">
        <v>2</v>
      </c>
      <c r="L2941">
        <v>8.5000000000000006E-2</v>
      </c>
      <c r="M2941">
        <v>2</v>
      </c>
      <c r="N2941">
        <v>82</v>
      </c>
      <c r="O2941">
        <v>1</v>
      </c>
      <c r="P2941">
        <v>9.5000000000000001E-2</v>
      </c>
      <c r="Q2941">
        <v>2</v>
      </c>
      <c r="R2941">
        <v>4.2500000000000003E-3</v>
      </c>
      <c r="T2941" s="8" t="s">
        <v>8249</v>
      </c>
    </row>
    <row r="2942" spans="1:20" x14ac:dyDescent="0.2">
      <c r="A2942" t="s">
        <v>8251</v>
      </c>
      <c r="B2942" t="s">
        <v>2022</v>
      </c>
      <c r="C2942" t="s">
        <v>2023</v>
      </c>
      <c r="D2942" t="s">
        <v>2024</v>
      </c>
      <c r="E2942" t="s">
        <v>8252</v>
      </c>
      <c r="F2942" t="s">
        <v>8253</v>
      </c>
      <c r="G2942">
        <v>5</v>
      </c>
      <c r="H2942">
        <v>1800</v>
      </c>
      <c r="I2942">
        <v>3</v>
      </c>
      <c r="J2942">
        <v>5.9</v>
      </c>
      <c r="K2942">
        <v>2</v>
      </c>
      <c r="L2942">
        <v>2.5999999999999999E-2</v>
      </c>
      <c r="M2942">
        <v>2</v>
      </c>
      <c r="N2942">
        <v>84</v>
      </c>
      <c r="O2942">
        <v>2</v>
      </c>
      <c r="P2942">
        <v>0.22500000000000001</v>
      </c>
      <c r="Q2942">
        <v>2</v>
      </c>
      <c r="R2942">
        <v>2E-3</v>
      </c>
      <c r="T2942" s="8" t="s">
        <v>8252</v>
      </c>
    </row>
    <row r="2943" spans="1:20" x14ac:dyDescent="0.2">
      <c r="A2943" t="s">
        <v>8254</v>
      </c>
      <c r="B2943" t="s">
        <v>2022</v>
      </c>
      <c r="C2943" t="s">
        <v>2023</v>
      </c>
      <c r="D2943" t="s">
        <v>2024</v>
      </c>
      <c r="E2943" t="s">
        <v>8255</v>
      </c>
      <c r="F2943" t="s">
        <v>8256</v>
      </c>
      <c r="G2943">
        <v>2</v>
      </c>
      <c r="H2943">
        <v>1560</v>
      </c>
      <c r="I2943">
        <v>4</v>
      </c>
      <c r="J2943">
        <v>8.4</v>
      </c>
      <c r="K2943">
        <v>2</v>
      </c>
      <c r="L2943">
        <v>2.5999999999999999E-2</v>
      </c>
      <c r="M2943">
        <v>1</v>
      </c>
      <c r="N2943">
        <v>74</v>
      </c>
      <c r="O2943">
        <v>3</v>
      </c>
      <c r="P2943">
        <v>0.375</v>
      </c>
      <c r="Q2943">
        <v>2</v>
      </c>
      <c r="R2943">
        <v>2E-3</v>
      </c>
      <c r="T2943" s="8" t="s">
        <v>8255</v>
      </c>
    </row>
    <row r="2944" spans="1:20" x14ac:dyDescent="0.2">
      <c r="A2944" t="s">
        <v>8257</v>
      </c>
      <c r="B2944" t="s">
        <v>2022</v>
      </c>
      <c r="C2944" t="s">
        <v>2023</v>
      </c>
      <c r="D2944" t="s">
        <v>2024</v>
      </c>
      <c r="E2944" t="s">
        <v>8258</v>
      </c>
      <c r="F2944" t="s">
        <v>8259</v>
      </c>
      <c r="G2944">
        <v>2</v>
      </c>
      <c r="H2944">
        <v>1560</v>
      </c>
      <c r="I2944">
        <v>2</v>
      </c>
      <c r="J2944">
        <v>3.4</v>
      </c>
      <c r="K2944">
        <v>2</v>
      </c>
      <c r="L2944">
        <v>2.5999999999999999E-2</v>
      </c>
      <c r="M2944">
        <v>2</v>
      </c>
      <c r="N2944">
        <v>84</v>
      </c>
      <c r="O2944">
        <v>2</v>
      </c>
      <c r="P2944">
        <v>0.22500000000000001</v>
      </c>
      <c r="Q2944">
        <v>2</v>
      </c>
      <c r="R2944">
        <v>2E-3</v>
      </c>
      <c r="T2944" s="8" t="s">
        <v>8258</v>
      </c>
    </row>
    <row r="2945" spans="1:20" x14ac:dyDescent="0.2">
      <c r="A2945" t="s">
        <v>8260</v>
      </c>
      <c r="B2945" t="s">
        <v>2022</v>
      </c>
      <c r="C2945" t="s">
        <v>2036</v>
      </c>
      <c r="D2945" t="s">
        <v>2024</v>
      </c>
      <c r="E2945" t="s">
        <v>8261</v>
      </c>
      <c r="F2945" t="s">
        <v>8262</v>
      </c>
      <c r="G2945">
        <v>5</v>
      </c>
      <c r="H2945">
        <v>1940</v>
      </c>
      <c r="I2945">
        <v>4</v>
      </c>
      <c r="J2945">
        <v>5.8</v>
      </c>
      <c r="K2945">
        <v>5</v>
      </c>
      <c r="L2945">
        <v>0.17499999999999999</v>
      </c>
      <c r="M2945">
        <v>4</v>
      </c>
      <c r="N2945">
        <v>94</v>
      </c>
      <c r="O2945">
        <v>3</v>
      </c>
      <c r="P2945">
        <v>0.315</v>
      </c>
      <c r="Q2945">
        <v>4</v>
      </c>
      <c r="R2945">
        <v>9.2499999999999995E-3</v>
      </c>
      <c r="T2945" s="8" t="s">
        <v>8261</v>
      </c>
    </row>
    <row r="2946" spans="1:20" x14ac:dyDescent="0.2">
      <c r="A2946" t="s">
        <v>8263</v>
      </c>
      <c r="B2946" t="s">
        <v>2022</v>
      </c>
      <c r="C2946" t="s">
        <v>2053</v>
      </c>
      <c r="D2946" t="s">
        <v>2024</v>
      </c>
      <c r="E2946" t="s">
        <v>8264</v>
      </c>
      <c r="F2946" t="s">
        <v>8265</v>
      </c>
      <c r="G2946">
        <v>3</v>
      </c>
      <c r="H2946">
        <v>1700</v>
      </c>
      <c r="I2946">
        <v>2</v>
      </c>
      <c r="J2946">
        <v>4.05</v>
      </c>
      <c r="K2946">
        <v>1</v>
      </c>
      <c r="L2946">
        <v>1.4999999999999999E-2</v>
      </c>
      <c r="M2946">
        <v>3</v>
      </c>
      <c r="N2946">
        <v>93</v>
      </c>
      <c r="O2946">
        <v>2</v>
      </c>
      <c r="P2946">
        <v>0.22500000000000001</v>
      </c>
      <c r="Q2946">
        <v>1</v>
      </c>
      <c r="R2946">
        <v>8.4999999999999995E-4</v>
      </c>
      <c r="T2946" s="8" t="s">
        <v>8264</v>
      </c>
    </row>
    <row r="2947" spans="1:20" x14ac:dyDescent="0.2">
      <c r="A2947" t="s">
        <v>8266</v>
      </c>
      <c r="B2947" t="s">
        <v>2022</v>
      </c>
      <c r="C2947" t="s">
        <v>2023</v>
      </c>
      <c r="D2947" t="s">
        <v>2024</v>
      </c>
      <c r="E2947" t="s">
        <v>295</v>
      </c>
      <c r="F2947" t="s">
        <v>8267</v>
      </c>
      <c r="G2947">
        <v>1</v>
      </c>
      <c r="H2947">
        <v>1480</v>
      </c>
      <c r="I2947">
        <v>5</v>
      </c>
      <c r="J2947">
        <v>10.9</v>
      </c>
      <c r="K2947">
        <v>5</v>
      </c>
      <c r="L2947">
        <v>8.5999999999999993E-2</v>
      </c>
      <c r="M2947">
        <v>3</v>
      </c>
      <c r="N2947">
        <v>94</v>
      </c>
      <c r="O2947">
        <v>5</v>
      </c>
      <c r="P2947">
        <v>0.67500000000000004</v>
      </c>
      <c r="Q2947">
        <v>5</v>
      </c>
      <c r="R2947">
        <v>8.0000000000000002E-3</v>
      </c>
      <c r="T2947" s="8" t="s">
        <v>295</v>
      </c>
    </row>
    <row r="2948" spans="1:20" x14ac:dyDescent="0.2">
      <c r="A2948" t="s">
        <v>8268</v>
      </c>
      <c r="B2948" t="s">
        <v>2022</v>
      </c>
      <c r="C2948" t="s">
        <v>2023</v>
      </c>
      <c r="D2948" t="s">
        <v>2024</v>
      </c>
      <c r="E2948" t="s">
        <v>8269</v>
      </c>
      <c r="F2948" t="s">
        <v>8270</v>
      </c>
      <c r="G2948">
        <v>3</v>
      </c>
      <c r="H2948">
        <v>1640</v>
      </c>
      <c r="I2948">
        <v>5</v>
      </c>
      <c r="J2948">
        <v>10.9</v>
      </c>
      <c r="K2948">
        <v>5</v>
      </c>
      <c r="L2948">
        <v>8.5999999999999993E-2</v>
      </c>
      <c r="M2948">
        <v>3</v>
      </c>
      <c r="N2948">
        <v>94</v>
      </c>
      <c r="O2948">
        <v>5</v>
      </c>
      <c r="P2948">
        <v>0.67500000000000004</v>
      </c>
      <c r="Q2948">
        <v>5</v>
      </c>
      <c r="R2948">
        <v>8.0000000000000002E-3</v>
      </c>
      <c r="T2948" s="8" t="s">
        <v>8269</v>
      </c>
    </row>
    <row r="2949" spans="1:20" x14ac:dyDescent="0.2">
      <c r="A2949" t="s">
        <v>8271</v>
      </c>
      <c r="B2949" t="s">
        <v>2022</v>
      </c>
      <c r="C2949" t="s">
        <v>2023</v>
      </c>
      <c r="D2949" t="s">
        <v>2024</v>
      </c>
      <c r="E2949" t="s">
        <v>8272</v>
      </c>
      <c r="F2949" t="s">
        <v>8273</v>
      </c>
      <c r="G2949">
        <v>5</v>
      </c>
      <c r="H2949">
        <v>1800</v>
      </c>
      <c r="I2949">
        <v>2</v>
      </c>
      <c r="J2949">
        <v>3.4</v>
      </c>
      <c r="K2949">
        <v>2</v>
      </c>
      <c r="L2949">
        <v>2.5999999999999999E-2</v>
      </c>
      <c r="M2949">
        <v>3</v>
      </c>
      <c r="N2949">
        <v>94</v>
      </c>
      <c r="O2949">
        <v>1</v>
      </c>
      <c r="P2949">
        <v>7.4999999999999997E-2</v>
      </c>
      <c r="Q2949">
        <v>2</v>
      </c>
      <c r="R2949">
        <v>2E-3</v>
      </c>
      <c r="T2949" s="8" t="s">
        <v>8272</v>
      </c>
    </row>
    <row r="2950" spans="1:20" x14ac:dyDescent="0.2">
      <c r="A2950" t="s">
        <v>8274</v>
      </c>
      <c r="B2950" t="s">
        <v>2022</v>
      </c>
      <c r="C2950" t="s">
        <v>2173</v>
      </c>
      <c r="D2950" t="s">
        <v>2024</v>
      </c>
      <c r="E2950" t="s">
        <v>8275</v>
      </c>
      <c r="F2950" t="s">
        <v>8276</v>
      </c>
      <c r="G2950">
        <v>5</v>
      </c>
      <c r="H2950">
        <v>2182.5</v>
      </c>
      <c r="I2950">
        <v>3</v>
      </c>
      <c r="J2950">
        <v>9.0500000000000007</v>
      </c>
      <c r="K2950">
        <v>5</v>
      </c>
      <c r="L2950">
        <v>0.45</v>
      </c>
      <c r="M2950">
        <v>5</v>
      </c>
      <c r="N2950">
        <v>140.5</v>
      </c>
      <c r="O2950">
        <v>4</v>
      </c>
      <c r="P2950">
        <v>0.69</v>
      </c>
      <c r="Q2950">
        <v>5</v>
      </c>
      <c r="R2950">
        <v>2.58E-2</v>
      </c>
      <c r="T2950" s="8" t="s">
        <v>8275</v>
      </c>
    </row>
    <row r="2951" spans="1:20" x14ac:dyDescent="0.2">
      <c r="A2951" t="s">
        <v>8277</v>
      </c>
      <c r="B2951" t="s">
        <v>2022</v>
      </c>
      <c r="C2951" t="s">
        <v>2023</v>
      </c>
      <c r="D2951" t="s">
        <v>2024</v>
      </c>
      <c r="E2951" t="s">
        <v>357</v>
      </c>
      <c r="F2951" t="s">
        <v>447</v>
      </c>
      <c r="G2951">
        <v>1</v>
      </c>
      <c r="H2951">
        <v>1480</v>
      </c>
      <c r="I2951">
        <v>1</v>
      </c>
      <c r="J2951">
        <v>0.9</v>
      </c>
      <c r="K2951">
        <v>1</v>
      </c>
      <c r="L2951">
        <v>6.0000000000000001E-3</v>
      </c>
      <c r="M2951">
        <v>5</v>
      </c>
      <c r="N2951">
        <v>114</v>
      </c>
      <c r="O2951">
        <v>2</v>
      </c>
      <c r="P2951">
        <v>0.22500000000000001</v>
      </c>
      <c r="Q2951">
        <v>4</v>
      </c>
      <c r="R2951">
        <v>6.0000000000000001E-3</v>
      </c>
      <c r="T2951" s="8" t="s">
        <v>357</v>
      </c>
    </row>
    <row r="2952" spans="1:20" x14ac:dyDescent="0.2">
      <c r="A2952" t="s">
        <v>8278</v>
      </c>
      <c r="B2952" t="s">
        <v>2022</v>
      </c>
      <c r="C2952" t="s">
        <v>2023</v>
      </c>
      <c r="D2952" t="s">
        <v>2024</v>
      </c>
      <c r="E2952" t="s">
        <v>8279</v>
      </c>
      <c r="F2952" t="s">
        <v>8280</v>
      </c>
      <c r="G2952">
        <v>2</v>
      </c>
      <c r="H2952">
        <v>1560</v>
      </c>
      <c r="I2952">
        <v>2</v>
      </c>
      <c r="J2952">
        <v>3.4</v>
      </c>
      <c r="K2952">
        <v>2</v>
      </c>
      <c r="L2952">
        <v>2.5999999999999999E-2</v>
      </c>
      <c r="M2952">
        <v>1</v>
      </c>
      <c r="N2952">
        <v>74</v>
      </c>
      <c r="O2952">
        <v>2</v>
      </c>
      <c r="P2952">
        <v>0.22500000000000001</v>
      </c>
      <c r="Q2952">
        <v>1</v>
      </c>
      <c r="R2952">
        <v>5.0000000000000001E-4</v>
      </c>
      <c r="T2952" s="8" t="s">
        <v>8279</v>
      </c>
    </row>
    <row r="2953" spans="1:20" x14ac:dyDescent="0.2">
      <c r="A2953" t="s">
        <v>8281</v>
      </c>
      <c r="B2953" t="s">
        <v>2022</v>
      </c>
      <c r="C2953" t="s">
        <v>2023</v>
      </c>
      <c r="D2953" t="s">
        <v>2024</v>
      </c>
      <c r="E2953" t="s">
        <v>8282</v>
      </c>
      <c r="F2953" t="s">
        <v>8283</v>
      </c>
      <c r="G2953">
        <v>5</v>
      </c>
      <c r="H2953">
        <v>1800</v>
      </c>
      <c r="I2953">
        <v>4</v>
      </c>
      <c r="J2953">
        <v>8.4</v>
      </c>
      <c r="K2953">
        <v>5</v>
      </c>
      <c r="L2953">
        <v>8.5999999999999993E-2</v>
      </c>
      <c r="M2953">
        <v>3</v>
      </c>
      <c r="N2953">
        <v>94</v>
      </c>
      <c r="O2953">
        <v>3</v>
      </c>
      <c r="P2953">
        <v>0.375</v>
      </c>
      <c r="Q2953">
        <v>5</v>
      </c>
      <c r="R2953">
        <v>8.0000000000000002E-3</v>
      </c>
      <c r="T2953" s="8" t="s">
        <v>8282</v>
      </c>
    </row>
    <row r="2954" spans="1:20" x14ac:dyDescent="0.2">
      <c r="A2954" t="s">
        <v>8284</v>
      </c>
      <c r="B2954" t="s">
        <v>2022</v>
      </c>
      <c r="C2954" t="s">
        <v>2053</v>
      </c>
      <c r="D2954" t="s">
        <v>2024</v>
      </c>
      <c r="E2954" t="s">
        <v>8285</v>
      </c>
      <c r="F2954" t="s">
        <v>8286</v>
      </c>
      <c r="G2954">
        <v>1</v>
      </c>
      <c r="H2954">
        <v>1500</v>
      </c>
      <c r="I2954">
        <v>3</v>
      </c>
      <c r="J2954">
        <v>6.55</v>
      </c>
      <c r="K2954">
        <v>3</v>
      </c>
      <c r="L2954">
        <v>0.19500000000000001</v>
      </c>
      <c r="M2954">
        <v>2</v>
      </c>
      <c r="N2954">
        <v>83</v>
      </c>
      <c r="O2954">
        <v>3</v>
      </c>
      <c r="P2954">
        <v>0.375</v>
      </c>
      <c r="Q2954">
        <v>3</v>
      </c>
      <c r="R2954">
        <v>1.2200000000000001E-2</v>
      </c>
      <c r="T2954" s="8" t="s">
        <v>8285</v>
      </c>
    </row>
    <row r="2955" spans="1:20" x14ac:dyDescent="0.2">
      <c r="A2955" t="s">
        <v>8287</v>
      </c>
      <c r="B2955" t="s">
        <v>2022</v>
      </c>
      <c r="C2955" t="s">
        <v>2101</v>
      </c>
      <c r="D2955" t="s">
        <v>2024</v>
      </c>
      <c r="E2955" t="s">
        <v>212</v>
      </c>
      <c r="F2955" t="s">
        <v>8288</v>
      </c>
      <c r="G2955">
        <v>1</v>
      </c>
      <c r="H2955">
        <v>1570</v>
      </c>
      <c r="I2955">
        <v>1</v>
      </c>
      <c r="J2955">
        <v>2</v>
      </c>
      <c r="K2955">
        <v>1</v>
      </c>
      <c r="L2955">
        <v>1.15E-2</v>
      </c>
      <c r="M2955">
        <v>1</v>
      </c>
      <c r="N2955">
        <v>66</v>
      </c>
      <c r="O2955">
        <v>1</v>
      </c>
      <c r="P2955">
        <v>7.4999999999999997E-2</v>
      </c>
      <c r="Q2955">
        <v>1</v>
      </c>
      <c r="R2955">
        <v>5.0000000000000001E-4</v>
      </c>
      <c r="T2955" s="8" t="s">
        <v>212</v>
      </c>
    </row>
    <row r="2956" spans="1:20" x14ac:dyDescent="0.2">
      <c r="A2956" t="s">
        <v>8289</v>
      </c>
      <c r="B2956" t="s">
        <v>2022</v>
      </c>
      <c r="C2956" t="s">
        <v>2023</v>
      </c>
      <c r="D2956" t="s">
        <v>2024</v>
      </c>
      <c r="E2956" t="s">
        <v>212</v>
      </c>
      <c r="F2956" t="s">
        <v>8288</v>
      </c>
      <c r="G2956">
        <v>4</v>
      </c>
      <c r="H2956">
        <v>1720</v>
      </c>
      <c r="I2956">
        <v>1</v>
      </c>
      <c r="J2956">
        <v>0.9</v>
      </c>
      <c r="K2956">
        <v>1</v>
      </c>
      <c r="L2956">
        <v>6.0000000000000001E-3</v>
      </c>
      <c r="M2956">
        <v>1</v>
      </c>
      <c r="N2956">
        <v>74</v>
      </c>
      <c r="O2956">
        <v>1</v>
      </c>
      <c r="P2956">
        <v>7.4999999999999997E-2</v>
      </c>
      <c r="Q2956">
        <v>1</v>
      </c>
      <c r="R2956">
        <v>5.0000000000000001E-4</v>
      </c>
      <c r="T2956" s="8" t="s">
        <v>212</v>
      </c>
    </row>
    <row r="2957" spans="1:20" x14ac:dyDescent="0.2">
      <c r="A2957" t="s">
        <v>8290</v>
      </c>
      <c r="B2957" t="s">
        <v>2022</v>
      </c>
      <c r="C2957" t="s">
        <v>2036</v>
      </c>
      <c r="D2957" t="s">
        <v>2024</v>
      </c>
      <c r="E2957" t="s">
        <v>212</v>
      </c>
      <c r="F2957" t="s">
        <v>8288</v>
      </c>
      <c r="G2957">
        <v>1</v>
      </c>
      <c r="H2957">
        <v>1540</v>
      </c>
      <c r="I2957">
        <v>2</v>
      </c>
      <c r="J2957">
        <v>3.4</v>
      </c>
      <c r="K2957">
        <v>2</v>
      </c>
      <c r="L2957">
        <v>8.5000000000000006E-2</v>
      </c>
      <c r="M2957">
        <v>1</v>
      </c>
      <c r="N2957">
        <v>76</v>
      </c>
      <c r="O2957">
        <v>1</v>
      </c>
      <c r="P2957">
        <v>9.5000000000000001E-2</v>
      </c>
      <c r="Q2957">
        <v>2</v>
      </c>
      <c r="R2957">
        <v>4.2500000000000003E-3</v>
      </c>
      <c r="T2957" s="8" t="s">
        <v>212</v>
      </c>
    </row>
    <row r="2958" spans="1:20" x14ac:dyDescent="0.2">
      <c r="A2958" t="s">
        <v>8291</v>
      </c>
      <c r="B2958" t="s">
        <v>2022</v>
      </c>
      <c r="C2958" t="s">
        <v>2023</v>
      </c>
      <c r="D2958" t="s">
        <v>2024</v>
      </c>
      <c r="E2958" t="s">
        <v>212</v>
      </c>
      <c r="F2958" t="s">
        <v>8288</v>
      </c>
      <c r="G2958">
        <v>1</v>
      </c>
      <c r="H2958">
        <v>1480</v>
      </c>
      <c r="I2958">
        <v>1</v>
      </c>
      <c r="J2958">
        <v>0.9</v>
      </c>
      <c r="K2958">
        <v>2</v>
      </c>
      <c r="L2958">
        <v>2.5999999999999999E-2</v>
      </c>
      <c r="M2958">
        <v>1</v>
      </c>
      <c r="N2958">
        <v>74</v>
      </c>
      <c r="O2958">
        <v>1</v>
      </c>
      <c r="P2958">
        <v>7.4999999999999997E-2</v>
      </c>
      <c r="Q2958">
        <v>2</v>
      </c>
      <c r="R2958">
        <v>2E-3</v>
      </c>
      <c r="T2958" s="8" t="s">
        <v>212</v>
      </c>
    </row>
    <row r="2959" spans="1:20" x14ac:dyDescent="0.2">
      <c r="A2959" t="s">
        <v>8292</v>
      </c>
      <c r="B2959" t="s">
        <v>2022</v>
      </c>
      <c r="C2959" t="s">
        <v>2023</v>
      </c>
      <c r="D2959" t="s">
        <v>2024</v>
      </c>
      <c r="E2959" t="s">
        <v>8293</v>
      </c>
      <c r="F2959" t="s">
        <v>8294</v>
      </c>
      <c r="G2959">
        <v>4</v>
      </c>
      <c r="H2959">
        <v>1720</v>
      </c>
      <c r="I2959">
        <v>3</v>
      </c>
      <c r="J2959">
        <v>5.9</v>
      </c>
      <c r="K2959">
        <v>5</v>
      </c>
      <c r="L2959">
        <v>8.5999999999999993E-2</v>
      </c>
      <c r="M2959">
        <v>5</v>
      </c>
      <c r="N2959">
        <v>114</v>
      </c>
      <c r="O2959">
        <v>5</v>
      </c>
      <c r="P2959">
        <v>0.67500000000000004</v>
      </c>
      <c r="Q2959">
        <v>5</v>
      </c>
      <c r="R2959">
        <v>8.0000000000000002E-3</v>
      </c>
      <c r="T2959" s="8" t="s">
        <v>8293</v>
      </c>
    </row>
    <row r="2960" spans="1:20" x14ac:dyDescent="0.2">
      <c r="A2960" t="s">
        <v>8295</v>
      </c>
      <c r="B2960" t="s">
        <v>2022</v>
      </c>
      <c r="C2960" t="s">
        <v>2023</v>
      </c>
      <c r="D2960" t="s">
        <v>2024</v>
      </c>
      <c r="E2960" t="s">
        <v>8296</v>
      </c>
      <c r="F2960" t="s">
        <v>8294</v>
      </c>
      <c r="G2960">
        <v>5</v>
      </c>
      <c r="H2960">
        <v>1800</v>
      </c>
      <c r="I2960">
        <v>3</v>
      </c>
      <c r="J2960">
        <v>5.9</v>
      </c>
      <c r="K2960">
        <v>5</v>
      </c>
      <c r="L2960">
        <v>8.5999999999999993E-2</v>
      </c>
      <c r="M2960">
        <v>5</v>
      </c>
      <c r="N2960">
        <v>114</v>
      </c>
      <c r="O2960">
        <v>3</v>
      </c>
      <c r="P2960">
        <v>0.375</v>
      </c>
      <c r="Q2960">
        <v>5</v>
      </c>
      <c r="R2960">
        <v>8.0000000000000002E-3</v>
      </c>
      <c r="T2960" s="8" t="s">
        <v>8296</v>
      </c>
    </row>
    <row r="2961" spans="1:20" x14ac:dyDescent="0.2">
      <c r="A2961" t="s">
        <v>8297</v>
      </c>
      <c r="B2961" t="s">
        <v>2022</v>
      </c>
      <c r="C2961" t="s">
        <v>2053</v>
      </c>
      <c r="D2961" t="s">
        <v>2024</v>
      </c>
      <c r="E2961" t="s">
        <v>8298</v>
      </c>
      <c r="F2961" t="s">
        <v>8299</v>
      </c>
      <c r="G2961">
        <v>5</v>
      </c>
      <c r="H2961">
        <v>1900</v>
      </c>
      <c r="I2961">
        <v>3</v>
      </c>
      <c r="J2961">
        <v>6.55</v>
      </c>
      <c r="K2961">
        <v>2</v>
      </c>
      <c r="L2961">
        <v>8.5000000000000006E-2</v>
      </c>
      <c r="M2961">
        <v>5</v>
      </c>
      <c r="N2961">
        <v>113</v>
      </c>
      <c r="O2961">
        <v>3</v>
      </c>
      <c r="P2961">
        <v>0.375</v>
      </c>
      <c r="Q2961">
        <v>3</v>
      </c>
      <c r="R2961">
        <v>1.2200000000000001E-2</v>
      </c>
      <c r="T2961" s="8" t="s">
        <v>8298</v>
      </c>
    </row>
    <row r="2962" spans="1:20" x14ac:dyDescent="0.2">
      <c r="A2962" t="s">
        <v>8300</v>
      </c>
      <c r="B2962" t="s">
        <v>2022</v>
      </c>
      <c r="C2962" t="s">
        <v>2023</v>
      </c>
      <c r="D2962" t="s">
        <v>2024</v>
      </c>
      <c r="E2962" t="s">
        <v>8301</v>
      </c>
      <c r="F2962" t="s">
        <v>447</v>
      </c>
      <c r="G2962">
        <v>5</v>
      </c>
      <c r="H2962">
        <v>1800</v>
      </c>
      <c r="I2962">
        <v>3</v>
      </c>
      <c r="J2962">
        <v>5.9</v>
      </c>
      <c r="K2962">
        <v>5</v>
      </c>
      <c r="L2962">
        <v>8.5999999999999993E-2</v>
      </c>
      <c r="M2962">
        <v>2</v>
      </c>
      <c r="N2962">
        <v>84</v>
      </c>
      <c r="O2962">
        <v>3</v>
      </c>
      <c r="P2962">
        <v>0.375</v>
      </c>
      <c r="Q2962">
        <v>5</v>
      </c>
      <c r="R2962">
        <v>8.0000000000000002E-3</v>
      </c>
      <c r="T2962" s="8" t="s">
        <v>8301</v>
      </c>
    </row>
    <row r="2963" spans="1:20" x14ac:dyDescent="0.2">
      <c r="A2963" t="s">
        <v>8302</v>
      </c>
      <c r="B2963" t="s">
        <v>2022</v>
      </c>
      <c r="C2963" t="s">
        <v>2023</v>
      </c>
      <c r="D2963" t="s">
        <v>2024</v>
      </c>
      <c r="E2963" t="s">
        <v>8303</v>
      </c>
      <c r="F2963" t="s">
        <v>8304</v>
      </c>
      <c r="G2963">
        <v>2</v>
      </c>
      <c r="H2963">
        <v>1560</v>
      </c>
      <c r="I2963">
        <v>1</v>
      </c>
      <c r="J2963">
        <v>0.9</v>
      </c>
      <c r="K2963">
        <v>1</v>
      </c>
      <c r="L2963">
        <v>6.0000000000000001E-3</v>
      </c>
      <c r="M2963">
        <v>1</v>
      </c>
      <c r="N2963">
        <v>74</v>
      </c>
      <c r="O2963">
        <v>1</v>
      </c>
      <c r="P2963">
        <v>7.4999999999999997E-2</v>
      </c>
      <c r="Q2963">
        <v>1</v>
      </c>
      <c r="R2963">
        <v>5.0000000000000001E-4</v>
      </c>
      <c r="T2963" s="8" t="s">
        <v>8303</v>
      </c>
    </row>
    <row r="2964" spans="1:20" x14ac:dyDescent="0.2">
      <c r="A2964" t="s">
        <v>8305</v>
      </c>
      <c r="B2964" t="s">
        <v>2022</v>
      </c>
      <c r="C2964" t="s">
        <v>2101</v>
      </c>
      <c r="D2964" t="s">
        <v>2024</v>
      </c>
      <c r="E2964" t="s">
        <v>8306</v>
      </c>
      <c r="F2964" t="s">
        <v>8307</v>
      </c>
      <c r="G2964">
        <v>2</v>
      </c>
      <c r="H2964">
        <v>1670</v>
      </c>
      <c r="I2964">
        <v>1</v>
      </c>
      <c r="J2964">
        <v>2</v>
      </c>
      <c r="K2964">
        <v>2</v>
      </c>
      <c r="L2964">
        <v>9.6500000000000002E-2</v>
      </c>
      <c r="M2964">
        <v>1</v>
      </c>
      <c r="N2964">
        <v>66</v>
      </c>
      <c r="O2964">
        <v>1</v>
      </c>
      <c r="P2964">
        <v>7.4999999999999997E-2</v>
      </c>
      <c r="Q2964">
        <v>2</v>
      </c>
      <c r="R2964">
        <v>4.4999999999999997E-3</v>
      </c>
      <c r="T2964" s="8" t="s">
        <v>8306</v>
      </c>
    </row>
    <row r="2965" spans="1:20" x14ac:dyDescent="0.2">
      <c r="A2965" t="s">
        <v>8308</v>
      </c>
      <c r="B2965" t="s">
        <v>2022</v>
      </c>
      <c r="C2965" t="s">
        <v>2106</v>
      </c>
      <c r="D2965" t="s">
        <v>2024</v>
      </c>
      <c r="E2965" t="s">
        <v>8306</v>
      </c>
      <c r="F2965" t="s">
        <v>8307</v>
      </c>
      <c r="G2965">
        <v>3</v>
      </c>
      <c r="H2965">
        <v>1975</v>
      </c>
      <c r="I2965">
        <v>1</v>
      </c>
      <c r="J2965">
        <v>3.25</v>
      </c>
      <c r="K2965">
        <v>1</v>
      </c>
      <c r="L2965">
        <v>0.01</v>
      </c>
      <c r="M2965">
        <v>2</v>
      </c>
      <c r="N2965">
        <v>68.5</v>
      </c>
      <c r="O2965">
        <v>1</v>
      </c>
      <c r="P2965">
        <v>0.05</v>
      </c>
      <c r="Q2965">
        <v>1</v>
      </c>
      <c r="R2965">
        <v>5.0000000000000001E-4</v>
      </c>
      <c r="T2965" s="8" t="s">
        <v>8306</v>
      </c>
    </row>
    <row r="2966" spans="1:20" x14ac:dyDescent="0.2">
      <c r="A2966" t="s">
        <v>8309</v>
      </c>
      <c r="B2966" t="s">
        <v>2022</v>
      </c>
      <c r="C2966" t="s">
        <v>2023</v>
      </c>
      <c r="D2966" t="s">
        <v>2024</v>
      </c>
      <c r="E2966" t="s">
        <v>8310</v>
      </c>
      <c r="F2966" t="s">
        <v>8311</v>
      </c>
      <c r="G2966">
        <v>4</v>
      </c>
      <c r="H2966">
        <v>1720</v>
      </c>
      <c r="I2966">
        <v>2</v>
      </c>
      <c r="J2966">
        <v>3.4</v>
      </c>
      <c r="K2966">
        <v>2</v>
      </c>
      <c r="L2966">
        <v>2.5999999999999999E-2</v>
      </c>
      <c r="M2966">
        <v>2</v>
      </c>
      <c r="N2966">
        <v>84</v>
      </c>
      <c r="O2966">
        <v>2</v>
      </c>
      <c r="P2966">
        <v>0.22500000000000001</v>
      </c>
      <c r="Q2966">
        <v>2</v>
      </c>
      <c r="R2966">
        <v>2E-3</v>
      </c>
      <c r="T2966" s="8" t="s">
        <v>8310</v>
      </c>
    </row>
    <row r="2967" spans="1:20" x14ac:dyDescent="0.2">
      <c r="A2967" t="s">
        <v>8312</v>
      </c>
      <c r="B2967" t="s">
        <v>2022</v>
      </c>
      <c r="C2967" t="s">
        <v>2036</v>
      </c>
      <c r="D2967" t="s">
        <v>2024</v>
      </c>
      <c r="E2967" t="s">
        <v>8313</v>
      </c>
      <c r="F2967" t="s">
        <v>8314</v>
      </c>
      <c r="G2967">
        <v>3</v>
      </c>
      <c r="H2967">
        <v>1740</v>
      </c>
      <c r="I2967">
        <v>2</v>
      </c>
      <c r="J2967">
        <v>3.4</v>
      </c>
      <c r="K2967">
        <v>4</v>
      </c>
      <c r="L2967">
        <v>0.14499999999999999</v>
      </c>
      <c r="M2967">
        <v>5</v>
      </c>
      <c r="N2967">
        <v>100</v>
      </c>
      <c r="O2967">
        <v>2</v>
      </c>
      <c r="P2967">
        <v>0.20499999999999999</v>
      </c>
      <c r="Q2967">
        <v>3</v>
      </c>
      <c r="R2967">
        <v>6.7499999999999999E-3</v>
      </c>
      <c r="T2967" s="8" t="s">
        <v>8313</v>
      </c>
    </row>
    <row r="2968" spans="1:20" x14ac:dyDescent="0.2">
      <c r="A2968" t="s">
        <v>8315</v>
      </c>
      <c r="B2968" t="s">
        <v>2022</v>
      </c>
      <c r="C2968" t="s">
        <v>2036</v>
      </c>
      <c r="D2968" t="s">
        <v>2154</v>
      </c>
      <c r="E2968" t="s">
        <v>8316</v>
      </c>
      <c r="F2968" t="s">
        <v>8317</v>
      </c>
      <c r="G2968">
        <v>2</v>
      </c>
      <c r="H2968">
        <v>1640</v>
      </c>
      <c r="I2968">
        <v>5</v>
      </c>
      <c r="J2968">
        <v>7</v>
      </c>
      <c r="K2968">
        <v>5</v>
      </c>
      <c r="L2968">
        <v>0.17499999999999999</v>
      </c>
      <c r="M2968">
        <v>2</v>
      </c>
      <c r="N2968">
        <v>82</v>
      </c>
      <c r="O2968">
        <v>5</v>
      </c>
      <c r="P2968">
        <v>0.53500000000000003</v>
      </c>
      <c r="Q2968">
        <v>5</v>
      </c>
      <c r="R2968">
        <v>1.2E-2</v>
      </c>
      <c r="T2968" s="8" t="s">
        <v>8316</v>
      </c>
    </row>
    <row r="2969" spans="1:20" x14ac:dyDescent="0.2">
      <c r="A2969" t="s">
        <v>8318</v>
      </c>
      <c r="B2969" t="s">
        <v>2022</v>
      </c>
      <c r="C2969" t="s">
        <v>2053</v>
      </c>
      <c r="D2969" t="s">
        <v>2024</v>
      </c>
      <c r="E2969" t="s">
        <v>8319</v>
      </c>
      <c r="F2969" t="s">
        <v>8320</v>
      </c>
      <c r="G2969">
        <v>3</v>
      </c>
      <c r="H2969">
        <v>1700</v>
      </c>
      <c r="I2969">
        <v>5</v>
      </c>
      <c r="J2969">
        <v>11.55</v>
      </c>
      <c r="K2969">
        <v>5</v>
      </c>
      <c r="L2969">
        <v>0.41499999999999998</v>
      </c>
      <c r="M2969">
        <v>3</v>
      </c>
      <c r="N2969">
        <v>93</v>
      </c>
      <c r="O2969">
        <v>5</v>
      </c>
      <c r="P2969">
        <v>0.67500000000000004</v>
      </c>
      <c r="Q2969">
        <v>5</v>
      </c>
      <c r="R2969">
        <v>2.6200000000000001E-2</v>
      </c>
      <c r="T2969" s="8" t="s">
        <v>8319</v>
      </c>
    </row>
    <row r="2970" spans="1:20" x14ac:dyDescent="0.2">
      <c r="A2970" t="s">
        <v>8321</v>
      </c>
      <c r="B2970" t="s">
        <v>2022</v>
      </c>
      <c r="C2970" t="s">
        <v>2036</v>
      </c>
      <c r="D2970" t="s">
        <v>2136</v>
      </c>
      <c r="E2970" t="s">
        <v>8322</v>
      </c>
      <c r="F2970" t="s">
        <v>8323</v>
      </c>
      <c r="G2970">
        <v>1</v>
      </c>
      <c r="H2970">
        <v>1540</v>
      </c>
      <c r="I2970">
        <v>1</v>
      </c>
      <c r="J2970">
        <v>2.2000000000000002</v>
      </c>
      <c r="K2970">
        <v>2</v>
      </c>
      <c r="L2970">
        <v>8.5000000000000006E-2</v>
      </c>
      <c r="M2970">
        <v>1</v>
      </c>
      <c r="N2970">
        <v>76</v>
      </c>
      <c r="O2970">
        <v>1</v>
      </c>
      <c r="P2970">
        <v>9.5000000000000001E-2</v>
      </c>
      <c r="Q2970">
        <v>2</v>
      </c>
      <c r="R2970">
        <v>4.2500000000000003E-3</v>
      </c>
      <c r="T2970" s="8" t="s">
        <v>8322</v>
      </c>
    </row>
    <row r="2971" spans="1:20" x14ac:dyDescent="0.2">
      <c r="A2971" t="s">
        <v>8324</v>
      </c>
      <c r="B2971" t="s">
        <v>2022</v>
      </c>
      <c r="C2971" t="s">
        <v>2036</v>
      </c>
      <c r="D2971" t="s">
        <v>2024</v>
      </c>
      <c r="E2971" t="s">
        <v>8325</v>
      </c>
      <c r="F2971" t="s">
        <v>8326</v>
      </c>
      <c r="G2971">
        <v>3</v>
      </c>
      <c r="H2971">
        <v>1740</v>
      </c>
      <c r="I2971">
        <v>3</v>
      </c>
      <c r="J2971">
        <v>4.5999999999999996</v>
      </c>
      <c r="K2971">
        <v>2</v>
      </c>
      <c r="L2971">
        <v>8.5000000000000006E-2</v>
      </c>
      <c r="M2971">
        <v>3</v>
      </c>
      <c r="N2971">
        <v>88</v>
      </c>
      <c r="O2971">
        <v>2</v>
      </c>
      <c r="P2971">
        <v>0.20499999999999999</v>
      </c>
      <c r="Q2971">
        <v>2</v>
      </c>
      <c r="R2971">
        <v>4.2500000000000003E-3</v>
      </c>
      <c r="T2971" s="8" t="s">
        <v>8325</v>
      </c>
    </row>
    <row r="2972" spans="1:20" x14ac:dyDescent="0.2">
      <c r="A2972" t="s">
        <v>8327</v>
      </c>
      <c r="B2972" t="s">
        <v>2022</v>
      </c>
      <c r="C2972" t="s">
        <v>2028</v>
      </c>
      <c r="D2972" t="s">
        <v>2024</v>
      </c>
      <c r="E2972" t="s">
        <v>8328</v>
      </c>
      <c r="F2972" t="s">
        <v>8329</v>
      </c>
      <c r="G2972">
        <v>5</v>
      </c>
      <c r="H2972">
        <v>1450</v>
      </c>
      <c r="I2972">
        <v>5</v>
      </c>
      <c r="J2972">
        <v>6.65</v>
      </c>
      <c r="K2972">
        <v>4</v>
      </c>
      <c r="L2972">
        <v>0.193</v>
      </c>
      <c r="M2972">
        <v>2</v>
      </c>
      <c r="N2972">
        <v>200</v>
      </c>
      <c r="O2972">
        <v>3</v>
      </c>
      <c r="P2972">
        <v>0.75</v>
      </c>
      <c r="Q2972">
        <v>4</v>
      </c>
      <c r="R2972">
        <v>2.4750000000000001E-2</v>
      </c>
      <c r="T2972" s="8" t="s">
        <v>8328</v>
      </c>
    </row>
    <row r="2973" spans="1:20" x14ac:dyDescent="0.2">
      <c r="A2973" t="s">
        <v>8330</v>
      </c>
      <c r="B2973" t="s">
        <v>2022</v>
      </c>
      <c r="C2973" t="s">
        <v>2023</v>
      </c>
      <c r="D2973" t="s">
        <v>2154</v>
      </c>
      <c r="E2973" t="s">
        <v>8331</v>
      </c>
      <c r="F2973" t="s">
        <v>8332</v>
      </c>
      <c r="G2973">
        <v>3</v>
      </c>
      <c r="H2973">
        <v>1640</v>
      </c>
      <c r="I2973">
        <v>5</v>
      </c>
      <c r="J2973">
        <v>10.9</v>
      </c>
      <c r="K2973">
        <v>5</v>
      </c>
      <c r="L2973">
        <v>8.5999999999999993E-2</v>
      </c>
      <c r="M2973">
        <v>3</v>
      </c>
      <c r="N2973">
        <v>94</v>
      </c>
      <c r="O2973">
        <v>5</v>
      </c>
      <c r="P2973">
        <v>0.67500000000000004</v>
      </c>
      <c r="Q2973">
        <v>5</v>
      </c>
      <c r="R2973">
        <v>8.0000000000000002E-3</v>
      </c>
      <c r="T2973" s="8" t="s">
        <v>8331</v>
      </c>
    </row>
    <row r="2974" spans="1:20" x14ac:dyDescent="0.2">
      <c r="A2974" t="s">
        <v>8333</v>
      </c>
      <c r="B2974" t="s">
        <v>2022</v>
      </c>
      <c r="C2974" t="s">
        <v>2036</v>
      </c>
      <c r="D2974" t="s">
        <v>2136</v>
      </c>
      <c r="E2974" t="s">
        <v>357</v>
      </c>
      <c r="F2974" t="s">
        <v>447</v>
      </c>
      <c r="G2974">
        <v>5</v>
      </c>
      <c r="H2974">
        <v>1940</v>
      </c>
      <c r="I2974">
        <v>3</v>
      </c>
      <c r="J2974">
        <v>4.5999999999999996</v>
      </c>
      <c r="K2974">
        <v>5</v>
      </c>
      <c r="L2974">
        <v>0.17499999999999999</v>
      </c>
      <c r="M2974">
        <v>5</v>
      </c>
      <c r="N2974">
        <v>100</v>
      </c>
      <c r="O2974">
        <v>3</v>
      </c>
      <c r="P2974">
        <v>0.315</v>
      </c>
      <c r="Q2974">
        <v>5</v>
      </c>
      <c r="R2974">
        <v>1.2E-2</v>
      </c>
      <c r="T2974" s="8" t="s">
        <v>357</v>
      </c>
    </row>
    <row r="2975" spans="1:20" x14ac:dyDescent="0.2">
      <c r="A2975" t="s">
        <v>8334</v>
      </c>
      <c r="B2975" t="s">
        <v>2022</v>
      </c>
      <c r="C2975" t="s">
        <v>2036</v>
      </c>
      <c r="D2975" t="s">
        <v>2154</v>
      </c>
      <c r="E2975" t="s">
        <v>8335</v>
      </c>
      <c r="F2975" t="s">
        <v>447</v>
      </c>
      <c r="G2975">
        <v>4</v>
      </c>
      <c r="H2975">
        <v>1840</v>
      </c>
      <c r="I2975">
        <v>1</v>
      </c>
      <c r="J2975">
        <v>2.2000000000000002</v>
      </c>
      <c r="K2975">
        <v>1</v>
      </c>
      <c r="L2975">
        <v>5.5E-2</v>
      </c>
      <c r="M2975">
        <v>1</v>
      </c>
      <c r="N2975">
        <v>76</v>
      </c>
      <c r="O2975">
        <v>1</v>
      </c>
      <c r="P2975">
        <v>9.5000000000000001E-2</v>
      </c>
      <c r="Q2975">
        <v>1</v>
      </c>
      <c r="R2975">
        <v>1.5E-3</v>
      </c>
      <c r="T2975" s="8" t="s">
        <v>8335</v>
      </c>
    </row>
    <row r="2976" spans="1:20" x14ac:dyDescent="0.2">
      <c r="A2976" t="s">
        <v>8336</v>
      </c>
      <c r="B2976" t="s">
        <v>2022</v>
      </c>
      <c r="C2976" t="s">
        <v>2257</v>
      </c>
      <c r="D2976" t="s">
        <v>2024</v>
      </c>
      <c r="E2976" t="s">
        <v>357</v>
      </c>
      <c r="F2976" t="s">
        <v>447</v>
      </c>
      <c r="G2976">
        <v>5</v>
      </c>
      <c r="H2976">
        <v>1300</v>
      </c>
      <c r="I2976">
        <v>4</v>
      </c>
      <c r="J2976">
        <v>4.3499999999999996</v>
      </c>
      <c r="K2976">
        <v>5</v>
      </c>
      <c r="L2976">
        <v>0.187</v>
      </c>
      <c r="M2976">
        <v>5</v>
      </c>
      <c r="N2976">
        <v>1100</v>
      </c>
      <c r="O2976">
        <v>5</v>
      </c>
      <c r="P2976">
        <v>2.7</v>
      </c>
      <c r="Q2976">
        <v>5</v>
      </c>
      <c r="R2976">
        <v>8.1000000000000003E-2</v>
      </c>
      <c r="T2976" s="8" t="s">
        <v>357</v>
      </c>
    </row>
    <row r="2977" spans="1:20" x14ac:dyDescent="0.2">
      <c r="A2977" t="s">
        <v>8337</v>
      </c>
      <c r="B2977" t="s">
        <v>2022</v>
      </c>
      <c r="C2977" t="s">
        <v>2104</v>
      </c>
      <c r="D2977" t="s">
        <v>2024</v>
      </c>
      <c r="E2977" t="s">
        <v>8338</v>
      </c>
      <c r="F2977" t="s">
        <v>8339</v>
      </c>
      <c r="G2977">
        <v>4</v>
      </c>
      <c r="H2977">
        <v>2062.5</v>
      </c>
      <c r="I2977">
        <v>2</v>
      </c>
      <c r="J2977">
        <v>3.25</v>
      </c>
      <c r="K2977">
        <v>2</v>
      </c>
      <c r="L2977">
        <v>4.1000000000000002E-2</v>
      </c>
      <c r="M2977">
        <v>2</v>
      </c>
      <c r="N2977">
        <v>65</v>
      </c>
      <c r="P2977">
        <v>0</v>
      </c>
      <c r="Q2977">
        <v>2</v>
      </c>
      <c r="R2977">
        <v>3.2000000000000002E-3</v>
      </c>
      <c r="T2977" s="8" t="s">
        <v>8338</v>
      </c>
    </row>
    <row r="2978" spans="1:20" x14ac:dyDescent="0.2">
      <c r="A2978" t="s">
        <v>8340</v>
      </c>
      <c r="B2978" t="s">
        <v>2022</v>
      </c>
      <c r="C2978" t="s">
        <v>2053</v>
      </c>
      <c r="D2978" t="s">
        <v>2024</v>
      </c>
      <c r="E2978" t="s">
        <v>8341</v>
      </c>
      <c r="F2978" t="s">
        <v>8342</v>
      </c>
      <c r="G2978">
        <v>5</v>
      </c>
      <c r="H2978">
        <v>1900</v>
      </c>
      <c r="I2978">
        <v>3</v>
      </c>
      <c r="J2978">
        <v>6.55</v>
      </c>
      <c r="K2978">
        <v>3</v>
      </c>
      <c r="L2978">
        <v>0.19500000000000001</v>
      </c>
      <c r="M2978">
        <v>1</v>
      </c>
      <c r="N2978">
        <v>73</v>
      </c>
      <c r="O2978">
        <v>2</v>
      </c>
      <c r="P2978">
        <v>0.22500000000000001</v>
      </c>
      <c r="Q2978">
        <v>2</v>
      </c>
      <c r="R2978">
        <v>5.1999999999999998E-3</v>
      </c>
      <c r="T2978" s="8" t="s">
        <v>8341</v>
      </c>
    </row>
    <row r="2979" spans="1:20" x14ac:dyDescent="0.2">
      <c r="A2979" t="s">
        <v>8343</v>
      </c>
      <c r="B2979" t="s">
        <v>2022</v>
      </c>
      <c r="C2979" t="s">
        <v>2222</v>
      </c>
      <c r="D2979" t="s">
        <v>2024</v>
      </c>
      <c r="E2979" t="s">
        <v>8344</v>
      </c>
      <c r="F2979" t="s">
        <v>8345</v>
      </c>
      <c r="G2979">
        <v>4</v>
      </c>
      <c r="H2979">
        <v>1750</v>
      </c>
      <c r="I2979">
        <v>4</v>
      </c>
      <c r="J2979">
        <v>7.1</v>
      </c>
      <c r="K2979">
        <v>4</v>
      </c>
      <c r="L2979">
        <v>0.19500000000000001</v>
      </c>
      <c r="M2979">
        <v>1</v>
      </c>
      <c r="N2979">
        <v>59</v>
      </c>
      <c r="O2979">
        <v>3</v>
      </c>
      <c r="P2979">
        <v>0.23</v>
      </c>
      <c r="Q2979">
        <v>3</v>
      </c>
      <c r="R2979">
        <v>5.3E-3</v>
      </c>
      <c r="T2979" s="8" t="s">
        <v>8344</v>
      </c>
    </row>
    <row r="2980" spans="1:20" x14ac:dyDescent="0.2">
      <c r="A2980" t="s">
        <v>8346</v>
      </c>
      <c r="B2980" t="s">
        <v>2022</v>
      </c>
      <c r="C2980" t="s">
        <v>2053</v>
      </c>
      <c r="D2980" t="s">
        <v>2024</v>
      </c>
      <c r="E2980" t="s">
        <v>8347</v>
      </c>
      <c r="F2980" t="s">
        <v>8348</v>
      </c>
      <c r="G2980">
        <v>3</v>
      </c>
      <c r="H2980">
        <v>1700</v>
      </c>
      <c r="I2980">
        <v>5</v>
      </c>
      <c r="J2980">
        <v>11.55</v>
      </c>
      <c r="K2980">
        <v>4</v>
      </c>
      <c r="L2980">
        <v>0.30499999999999999</v>
      </c>
      <c r="M2980">
        <v>4</v>
      </c>
      <c r="N2980">
        <v>103</v>
      </c>
      <c r="O2980">
        <v>5</v>
      </c>
      <c r="P2980">
        <v>0.67500000000000004</v>
      </c>
      <c r="Q2980">
        <v>4</v>
      </c>
      <c r="R2980">
        <v>1.9199999999999998E-2</v>
      </c>
      <c r="T2980" s="8" t="s">
        <v>8347</v>
      </c>
    </row>
    <row r="2981" spans="1:20" x14ac:dyDescent="0.2">
      <c r="A2981" t="s">
        <v>8349</v>
      </c>
      <c r="B2981" t="s">
        <v>2022</v>
      </c>
      <c r="C2981" t="s">
        <v>2023</v>
      </c>
      <c r="D2981" t="s">
        <v>2136</v>
      </c>
      <c r="E2981" t="s">
        <v>8350</v>
      </c>
      <c r="F2981" t="s">
        <v>447</v>
      </c>
      <c r="G2981">
        <v>1</v>
      </c>
      <c r="H2981">
        <v>1480</v>
      </c>
      <c r="I2981">
        <v>1</v>
      </c>
      <c r="J2981">
        <v>0.9</v>
      </c>
      <c r="K2981">
        <v>1</v>
      </c>
      <c r="L2981">
        <v>6.0000000000000001E-3</v>
      </c>
      <c r="M2981">
        <v>2</v>
      </c>
      <c r="N2981">
        <v>84</v>
      </c>
      <c r="O2981">
        <v>1</v>
      </c>
      <c r="P2981">
        <v>7.4999999999999997E-2</v>
      </c>
      <c r="Q2981">
        <v>1</v>
      </c>
      <c r="R2981">
        <v>5.0000000000000001E-4</v>
      </c>
      <c r="T2981" s="8" t="s">
        <v>8350</v>
      </c>
    </row>
    <row r="2982" spans="1:20" x14ac:dyDescent="0.2">
      <c r="A2982" t="s">
        <v>8351</v>
      </c>
      <c r="B2982" t="s">
        <v>2022</v>
      </c>
      <c r="C2982" t="s">
        <v>2036</v>
      </c>
      <c r="D2982" t="s">
        <v>2024</v>
      </c>
      <c r="E2982" t="s">
        <v>8352</v>
      </c>
      <c r="F2982" t="s">
        <v>8353</v>
      </c>
      <c r="G2982">
        <v>5</v>
      </c>
      <c r="H2982">
        <v>1940</v>
      </c>
      <c r="I2982">
        <v>3</v>
      </c>
      <c r="J2982">
        <v>4.5999999999999996</v>
      </c>
      <c r="K2982">
        <v>2</v>
      </c>
      <c r="L2982">
        <v>8.5000000000000006E-2</v>
      </c>
      <c r="M2982">
        <v>1</v>
      </c>
      <c r="N2982">
        <v>76</v>
      </c>
      <c r="O2982">
        <v>2</v>
      </c>
      <c r="P2982">
        <v>0.20499999999999999</v>
      </c>
      <c r="Q2982">
        <v>2</v>
      </c>
      <c r="R2982">
        <v>4.2500000000000003E-3</v>
      </c>
      <c r="T2982" s="8" t="s">
        <v>8352</v>
      </c>
    </row>
    <row r="2983" spans="1:20" x14ac:dyDescent="0.2">
      <c r="A2983" t="s">
        <v>8354</v>
      </c>
      <c r="B2983" t="s">
        <v>2022</v>
      </c>
      <c r="C2983" t="s">
        <v>2095</v>
      </c>
      <c r="D2983" t="s">
        <v>2024</v>
      </c>
      <c r="E2983" t="s">
        <v>8355</v>
      </c>
      <c r="F2983" t="s">
        <v>8356</v>
      </c>
      <c r="G2983">
        <v>2</v>
      </c>
      <c r="H2983">
        <v>1655</v>
      </c>
      <c r="I2983">
        <v>1</v>
      </c>
      <c r="J2983">
        <v>4.5</v>
      </c>
      <c r="K2983">
        <v>1</v>
      </c>
      <c r="L2983">
        <v>1.4999999999999999E-2</v>
      </c>
      <c r="M2983">
        <v>1</v>
      </c>
      <c r="N2983">
        <v>74</v>
      </c>
      <c r="O2983">
        <v>1</v>
      </c>
      <c r="P2983">
        <v>0.15</v>
      </c>
      <c r="Q2983">
        <v>1</v>
      </c>
      <c r="R2983">
        <v>6.9999999999999999E-4</v>
      </c>
      <c r="T2983" s="8" t="s">
        <v>8355</v>
      </c>
    </row>
    <row r="2984" spans="1:20" x14ac:dyDescent="0.2">
      <c r="A2984" t="s">
        <v>8357</v>
      </c>
      <c r="B2984" t="s">
        <v>2022</v>
      </c>
      <c r="C2984" t="s">
        <v>2053</v>
      </c>
      <c r="D2984" t="s">
        <v>2024</v>
      </c>
      <c r="E2984" t="s">
        <v>8358</v>
      </c>
      <c r="F2984" t="s">
        <v>8359</v>
      </c>
      <c r="G2984">
        <v>2</v>
      </c>
      <c r="H2984">
        <v>1600</v>
      </c>
      <c r="I2984">
        <v>1</v>
      </c>
      <c r="J2984">
        <v>1.55</v>
      </c>
      <c r="K2984">
        <v>1</v>
      </c>
      <c r="L2984">
        <v>1.4999999999999999E-2</v>
      </c>
      <c r="M2984">
        <v>2</v>
      </c>
      <c r="N2984">
        <v>83</v>
      </c>
      <c r="O2984">
        <v>1</v>
      </c>
      <c r="P2984">
        <v>7.4999999999999997E-2</v>
      </c>
      <c r="Q2984">
        <v>1</v>
      </c>
      <c r="R2984">
        <v>8.4999999999999995E-4</v>
      </c>
      <c r="T2984" s="8" t="s">
        <v>8358</v>
      </c>
    </row>
    <row r="2985" spans="1:20" x14ac:dyDescent="0.2">
      <c r="A2985" t="s">
        <v>8360</v>
      </c>
      <c r="B2985" t="s">
        <v>2022</v>
      </c>
      <c r="C2985" t="s">
        <v>2028</v>
      </c>
      <c r="D2985" t="s">
        <v>2024</v>
      </c>
      <c r="E2985" t="s">
        <v>8361</v>
      </c>
      <c r="F2985" t="s">
        <v>8362</v>
      </c>
      <c r="G2985">
        <v>5</v>
      </c>
      <c r="H2985">
        <v>1450</v>
      </c>
      <c r="I2985">
        <v>3</v>
      </c>
      <c r="J2985">
        <v>3.25</v>
      </c>
      <c r="K2985">
        <v>2</v>
      </c>
      <c r="L2985">
        <v>4.4999999999999998E-2</v>
      </c>
      <c r="M2985">
        <v>1</v>
      </c>
      <c r="N2985">
        <v>100</v>
      </c>
      <c r="O2985">
        <v>1</v>
      </c>
      <c r="P2985">
        <v>0.15</v>
      </c>
      <c r="Q2985">
        <v>1</v>
      </c>
      <c r="R2985">
        <v>1.75E-3</v>
      </c>
      <c r="T2985" s="8" t="s">
        <v>8361</v>
      </c>
    </row>
    <row r="2986" spans="1:20" x14ac:dyDescent="0.2">
      <c r="A2986" t="s">
        <v>8363</v>
      </c>
      <c r="B2986" t="s">
        <v>2022</v>
      </c>
      <c r="C2986" t="s">
        <v>2023</v>
      </c>
      <c r="D2986" t="s">
        <v>2024</v>
      </c>
      <c r="E2986" t="s">
        <v>8364</v>
      </c>
      <c r="F2986" t="s">
        <v>8365</v>
      </c>
      <c r="G2986">
        <v>1</v>
      </c>
      <c r="H2986">
        <v>1480</v>
      </c>
      <c r="I2986">
        <v>3</v>
      </c>
      <c r="J2986">
        <v>5.9</v>
      </c>
      <c r="K2986">
        <v>5</v>
      </c>
      <c r="L2986">
        <v>8.5999999999999993E-2</v>
      </c>
      <c r="M2986">
        <v>1</v>
      </c>
      <c r="N2986">
        <v>74</v>
      </c>
      <c r="O2986">
        <v>2</v>
      </c>
      <c r="P2986">
        <v>0.22500000000000001</v>
      </c>
      <c r="Q2986">
        <v>4</v>
      </c>
      <c r="R2986">
        <v>6.0000000000000001E-3</v>
      </c>
      <c r="T2986" s="8" t="s">
        <v>8364</v>
      </c>
    </row>
    <row r="2987" spans="1:20" x14ac:dyDescent="0.2">
      <c r="A2987" t="s">
        <v>8366</v>
      </c>
      <c r="B2987" t="s">
        <v>2022</v>
      </c>
      <c r="C2987" t="s">
        <v>2023</v>
      </c>
      <c r="D2987" t="s">
        <v>2024</v>
      </c>
      <c r="E2987" t="s">
        <v>8367</v>
      </c>
      <c r="F2987" t="s">
        <v>8368</v>
      </c>
      <c r="G2987">
        <v>4</v>
      </c>
      <c r="H2987">
        <v>1720</v>
      </c>
      <c r="I2987">
        <v>2</v>
      </c>
      <c r="J2987">
        <v>3.4</v>
      </c>
      <c r="K2987">
        <v>2</v>
      </c>
      <c r="L2987">
        <v>2.5999999999999999E-2</v>
      </c>
      <c r="M2987">
        <v>2</v>
      </c>
      <c r="N2987">
        <v>84</v>
      </c>
      <c r="O2987">
        <v>1</v>
      </c>
      <c r="P2987">
        <v>7.4999999999999997E-2</v>
      </c>
      <c r="Q2987">
        <v>1</v>
      </c>
      <c r="R2987">
        <v>5.0000000000000001E-4</v>
      </c>
      <c r="T2987" s="8" t="s">
        <v>8367</v>
      </c>
    </row>
    <row r="2988" spans="1:20" x14ac:dyDescent="0.2">
      <c r="A2988" t="s">
        <v>8369</v>
      </c>
      <c r="B2988" t="s">
        <v>2022</v>
      </c>
      <c r="C2988" t="s">
        <v>2023</v>
      </c>
      <c r="D2988" t="s">
        <v>2024</v>
      </c>
      <c r="E2988" t="s">
        <v>357</v>
      </c>
      <c r="F2988" t="s">
        <v>8370</v>
      </c>
      <c r="G2988">
        <v>3</v>
      </c>
      <c r="H2988">
        <v>1640</v>
      </c>
      <c r="I2988">
        <v>1</v>
      </c>
      <c r="J2988">
        <v>0.9</v>
      </c>
      <c r="K2988">
        <v>2</v>
      </c>
      <c r="L2988">
        <v>2.5999999999999999E-2</v>
      </c>
      <c r="M2988">
        <v>4</v>
      </c>
      <c r="N2988">
        <v>104</v>
      </c>
      <c r="O2988">
        <v>1</v>
      </c>
      <c r="P2988">
        <v>7.4999999999999997E-2</v>
      </c>
      <c r="Q2988">
        <v>2</v>
      </c>
      <c r="R2988">
        <v>2E-3</v>
      </c>
      <c r="T2988" s="8" t="s">
        <v>357</v>
      </c>
    </row>
    <row r="2989" spans="1:20" x14ac:dyDescent="0.2">
      <c r="A2989" t="s">
        <v>8371</v>
      </c>
      <c r="B2989" t="s">
        <v>2022</v>
      </c>
      <c r="C2989" t="s">
        <v>2053</v>
      </c>
      <c r="D2989" t="s">
        <v>2024</v>
      </c>
      <c r="E2989" t="s">
        <v>8372</v>
      </c>
      <c r="F2989" t="s">
        <v>8373</v>
      </c>
      <c r="G2989">
        <v>1</v>
      </c>
      <c r="H2989">
        <v>1500</v>
      </c>
      <c r="I2989">
        <v>1</v>
      </c>
      <c r="J2989">
        <v>1.55</v>
      </c>
      <c r="K2989">
        <v>1</v>
      </c>
      <c r="L2989">
        <v>1.4999999999999999E-2</v>
      </c>
      <c r="M2989">
        <v>2</v>
      </c>
      <c r="N2989">
        <v>83</v>
      </c>
      <c r="O2989">
        <v>1</v>
      </c>
      <c r="P2989">
        <v>7.4999999999999997E-2</v>
      </c>
      <c r="Q2989">
        <v>1</v>
      </c>
      <c r="R2989">
        <v>8.4999999999999995E-4</v>
      </c>
      <c r="T2989" s="8" t="s">
        <v>8372</v>
      </c>
    </row>
    <row r="2990" spans="1:20" x14ac:dyDescent="0.2">
      <c r="A2990" t="s">
        <v>8374</v>
      </c>
      <c r="B2990" t="s">
        <v>2022</v>
      </c>
      <c r="C2990" t="s">
        <v>2053</v>
      </c>
      <c r="D2990" t="s">
        <v>2024</v>
      </c>
      <c r="E2990" t="s">
        <v>8375</v>
      </c>
      <c r="F2990" t="s">
        <v>8376</v>
      </c>
      <c r="G2990">
        <v>1</v>
      </c>
      <c r="H2990">
        <v>1500</v>
      </c>
      <c r="I2990">
        <v>1</v>
      </c>
      <c r="J2990">
        <v>1.55</v>
      </c>
      <c r="K2990">
        <v>2</v>
      </c>
      <c r="L2990">
        <v>8.5000000000000006E-2</v>
      </c>
      <c r="M2990">
        <v>1</v>
      </c>
      <c r="N2990">
        <v>73</v>
      </c>
      <c r="O2990">
        <v>1</v>
      </c>
      <c r="P2990">
        <v>7.4999999999999997E-2</v>
      </c>
      <c r="Q2990">
        <v>2</v>
      </c>
      <c r="R2990">
        <v>5.1999999999999998E-3</v>
      </c>
      <c r="T2990" s="8" t="s">
        <v>8375</v>
      </c>
    </row>
    <row r="2991" spans="1:20" x14ac:dyDescent="0.2">
      <c r="A2991" t="s">
        <v>8377</v>
      </c>
      <c r="B2991" t="s">
        <v>2022</v>
      </c>
      <c r="C2991" t="s">
        <v>2053</v>
      </c>
      <c r="D2991" t="s">
        <v>2024</v>
      </c>
      <c r="E2991" t="s">
        <v>8378</v>
      </c>
      <c r="F2991" t="s">
        <v>8379</v>
      </c>
      <c r="G2991">
        <v>3</v>
      </c>
      <c r="H2991">
        <v>1700</v>
      </c>
      <c r="I2991">
        <v>1</v>
      </c>
      <c r="J2991">
        <v>1.55</v>
      </c>
      <c r="K2991">
        <v>1</v>
      </c>
      <c r="L2991">
        <v>1.4999999999999999E-2</v>
      </c>
      <c r="M2991">
        <v>2</v>
      </c>
      <c r="N2991">
        <v>83</v>
      </c>
      <c r="O2991">
        <v>1</v>
      </c>
      <c r="P2991">
        <v>7.4999999999999997E-2</v>
      </c>
      <c r="Q2991">
        <v>1</v>
      </c>
      <c r="R2991">
        <v>8.4999999999999995E-4</v>
      </c>
      <c r="T2991" s="8" t="s">
        <v>8378</v>
      </c>
    </row>
    <row r="2992" spans="1:20" x14ac:dyDescent="0.2">
      <c r="A2992" t="s">
        <v>8380</v>
      </c>
      <c r="B2992" t="s">
        <v>2022</v>
      </c>
      <c r="C2992" t="s">
        <v>2036</v>
      </c>
      <c r="D2992" t="s">
        <v>2024</v>
      </c>
      <c r="E2992" t="s">
        <v>8381</v>
      </c>
      <c r="F2992" t="s">
        <v>8382</v>
      </c>
      <c r="G2992">
        <v>3</v>
      </c>
      <c r="H2992">
        <v>1740</v>
      </c>
      <c r="I2992">
        <v>3</v>
      </c>
      <c r="J2992">
        <v>4.5999999999999996</v>
      </c>
      <c r="K2992">
        <v>2</v>
      </c>
      <c r="L2992">
        <v>8.5000000000000006E-2</v>
      </c>
      <c r="M2992">
        <v>1</v>
      </c>
      <c r="N2992">
        <v>76</v>
      </c>
      <c r="O2992">
        <v>2</v>
      </c>
      <c r="P2992">
        <v>0.20499999999999999</v>
      </c>
      <c r="Q2992">
        <v>2</v>
      </c>
      <c r="R2992">
        <v>4.2500000000000003E-3</v>
      </c>
      <c r="T2992" s="8" t="s">
        <v>8381</v>
      </c>
    </row>
    <row r="2993" spans="1:20" x14ac:dyDescent="0.2">
      <c r="A2993" t="s">
        <v>8383</v>
      </c>
      <c r="B2993" t="s">
        <v>2022</v>
      </c>
      <c r="C2993" t="s">
        <v>2023</v>
      </c>
      <c r="D2993" t="s">
        <v>2024</v>
      </c>
      <c r="E2993" t="s">
        <v>8384</v>
      </c>
      <c r="F2993" t="s">
        <v>8385</v>
      </c>
      <c r="G2993">
        <v>1</v>
      </c>
      <c r="H2993">
        <v>1480</v>
      </c>
      <c r="I2993">
        <v>1</v>
      </c>
      <c r="J2993">
        <v>0.9</v>
      </c>
      <c r="K2993">
        <v>1</v>
      </c>
      <c r="L2993">
        <v>6.0000000000000001E-3</v>
      </c>
      <c r="M2993">
        <v>1</v>
      </c>
      <c r="N2993">
        <v>74</v>
      </c>
      <c r="O2993">
        <v>1</v>
      </c>
      <c r="P2993">
        <v>7.4999999999999997E-2</v>
      </c>
      <c r="Q2993">
        <v>1</v>
      </c>
      <c r="R2993">
        <v>5.0000000000000001E-4</v>
      </c>
      <c r="T2993" s="8" t="s">
        <v>8384</v>
      </c>
    </row>
    <row r="2994" spans="1:20" x14ac:dyDescent="0.2">
      <c r="A2994" t="s">
        <v>8386</v>
      </c>
      <c r="B2994" t="s">
        <v>2022</v>
      </c>
      <c r="C2994" t="s">
        <v>2036</v>
      </c>
      <c r="D2994" t="s">
        <v>2024</v>
      </c>
      <c r="E2994" t="s">
        <v>8387</v>
      </c>
      <c r="F2994" t="s">
        <v>8388</v>
      </c>
      <c r="G2994">
        <v>2</v>
      </c>
      <c r="H2994">
        <v>1640</v>
      </c>
      <c r="I2994">
        <v>3</v>
      </c>
      <c r="J2994">
        <v>4.5999999999999996</v>
      </c>
      <c r="K2994">
        <v>2</v>
      </c>
      <c r="L2994">
        <v>8.5000000000000006E-2</v>
      </c>
      <c r="M2994">
        <v>2</v>
      </c>
      <c r="N2994">
        <v>82</v>
      </c>
      <c r="O2994">
        <v>2</v>
      </c>
      <c r="P2994">
        <v>0.20499999999999999</v>
      </c>
      <c r="Q2994">
        <v>2</v>
      </c>
      <c r="R2994">
        <v>4.2500000000000003E-3</v>
      </c>
      <c r="T2994" s="8" t="s">
        <v>8387</v>
      </c>
    </row>
    <row r="2995" spans="1:20" x14ac:dyDescent="0.2">
      <c r="A2995" t="s">
        <v>8389</v>
      </c>
      <c r="B2995" t="s">
        <v>2022</v>
      </c>
      <c r="C2995" t="s">
        <v>2053</v>
      </c>
      <c r="D2995" t="s">
        <v>2024</v>
      </c>
      <c r="E2995" t="s">
        <v>8390</v>
      </c>
      <c r="F2995" t="s">
        <v>8391</v>
      </c>
      <c r="G2995">
        <v>1</v>
      </c>
      <c r="H2995">
        <v>1500</v>
      </c>
      <c r="I2995">
        <v>2</v>
      </c>
      <c r="J2995">
        <v>4.05</v>
      </c>
      <c r="K2995">
        <v>2</v>
      </c>
      <c r="L2995">
        <v>8.5000000000000006E-2</v>
      </c>
      <c r="M2995">
        <v>1</v>
      </c>
      <c r="N2995">
        <v>73</v>
      </c>
      <c r="O2995">
        <v>2</v>
      </c>
      <c r="P2995">
        <v>0.22500000000000001</v>
      </c>
      <c r="Q2995">
        <v>2</v>
      </c>
      <c r="R2995">
        <v>5.1999999999999998E-3</v>
      </c>
      <c r="T2995" s="8" t="s">
        <v>8390</v>
      </c>
    </row>
    <row r="2996" spans="1:20" x14ac:dyDescent="0.2">
      <c r="A2996" t="s">
        <v>8392</v>
      </c>
      <c r="B2996" t="s">
        <v>2022</v>
      </c>
      <c r="C2996" t="s">
        <v>2101</v>
      </c>
      <c r="D2996" t="s">
        <v>2024</v>
      </c>
      <c r="E2996" t="s">
        <v>8393</v>
      </c>
      <c r="F2996" t="s">
        <v>8394</v>
      </c>
      <c r="G2996">
        <v>4</v>
      </c>
      <c r="H2996">
        <v>1870</v>
      </c>
      <c r="I2996">
        <v>4</v>
      </c>
      <c r="J2996">
        <v>11</v>
      </c>
      <c r="K2996">
        <v>4</v>
      </c>
      <c r="L2996">
        <v>0.39050000000000001</v>
      </c>
      <c r="M2996">
        <v>1</v>
      </c>
      <c r="N2996">
        <v>66</v>
      </c>
      <c r="O2996">
        <v>3</v>
      </c>
      <c r="P2996">
        <v>0.375</v>
      </c>
      <c r="Q2996">
        <v>3</v>
      </c>
      <c r="R2996">
        <v>1.15E-2</v>
      </c>
      <c r="T2996" s="8" t="s">
        <v>8393</v>
      </c>
    </row>
    <row r="2997" spans="1:20" x14ac:dyDescent="0.2">
      <c r="A2997" t="s">
        <v>8395</v>
      </c>
      <c r="B2997" t="s">
        <v>2022</v>
      </c>
      <c r="C2997" t="s">
        <v>2222</v>
      </c>
      <c r="D2997" t="s">
        <v>2024</v>
      </c>
      <c r="E2997" t="s">
        <v>8393</v>
      </c>
      <c r="F2997" t="s">
        <v>8394</v>
      </c>
      <c r="G2997">
        <v>5</v>
      </c>
      <c r="H2997">
        <v>1850</v>
      </c>
      <c r="I2997">
        <v>5</v>
      </c>
      <c r="J2997">
        <v>8.6999999999999993</v>
      </c>
      <c r="K2997">
        <v>5</v>
      </c>
      <c r="L2997">
        <v>0.26500000000000001</v>
      </c>
      <c r="M2997">
        <v>4</v>
      </c>
      <c r="N2997">
        <v>71</v>
      </c>
      <c r="O2997">
        <v>4</v>
      </c>
      <c r="P2997">
        <v>0.31</v>
      </c>
      <c r="Q2997">
        <v>4</v>
      </c>
      <c r="R2997">
        <v>8.3000000000000001E-3</v>
      </c>
      <c r="T2997" s="8" t="s">
        <v>8393</v>
      </c>
    </row>
    <row r="2998" spans="1:20" x14ac:dyDescent="0.2">
      <c r="A2998" t="s">
        <v>8396</v>
      </c>
      <c r="B2998" t="s">
        <v>2022</v>
      </c>
      <c r="C2998" t="s">
        <v>2222</v>
      </c>
      <c r="D2998" t="s">
        <v>2024</v>
      </c>
      <c r="E2998" t="s">
        <v>8393</v>
      </c>
      <c r="F2998" t="s">
        <v>8394</v>
      </c>
      <c r="G2998">
        <v>5</v>
      </c>
      <c r="H2998">
        <v>1850</v>
      </c>
      <c r="I2998">
        <v>5</v>
      </c>
      <c r="J2998">
        <v>8.6999999999999993</v>
      </c>
      <c r="K2998">
        <v>5</v>
      </c>
      <c r="L2998">
        <v>0.26500000000000001</v>
      </c>
      <c r="M2998">
        <v>5</v>
      </c>
      <c r="N2998">
        <v>75</v>
      </c>
      <c r="O2998">
        <v>5</v>
      </c>
      <c r="P2998">
        <v>0.39</v>
      </c>
      <c r="Q2998">
        <v>5</v>
      </c>
      <c r="R2998">
        <v>1.1299999999999999E-2</v>
      </c>
      <c r="T2998" s="8" t="s">
        <v>8393</v>
      </c>
    </row>
    <row r="2999" spans="1:20" x14ac:dyDescent="0.2">
      <c r="A2999" t="s">
        <v>8397</v>
      </c>
      <c r="B2999" t="s">
        <v>2022</v>
      </c>
      <c r="C2999" t="s">
        <v>2222</v>
      </c>
      <c r="D2999" t="s">
        <v>2024</v>
      </c>
      <c r="E2999" t="s">
        <v>8393</v>
      </c>
      <c r="F2999" t="s">
        <v>8394</v>
      </c>
      <c r="G2999">
        <v>5</v>
      </c>
      <c r="H2999">
        <v>1850</v>
      </c>
      <c r="I2999">
        <v>4</v>
      </c>
      <c r="J2999">
        <v>7.1</v>
      </c>
      <c r="K2999">
        <v>4</v>
      </c>
      <c r="L2999">
        <v>0.19500000000000001</v>
      </c>
      <c r="M2999">
        <v>5</v>
      </c>
      <c r="N2999">
        <v>75</v>
      </c>
      <c r="O2999">
        <v>4</v>
      </c>
      <c r="P2999">
        <v>0.31</v>
      </c>
      <c r="Q2999">
        <v>3</v>
      </c>
      <c r="R2999">
        <v>5.3E-3</v>
      </c>
      <c r="T2999" s="8" t="s">
        <v>8393</v>
      </c>
    </row>
    <row r="3000" spans="1:20" x14ac:dyDescent="0.2">
      <c r="A3000" t="s">
        <v>8398</v>
      </c>
      <c r="B3000" t="s">
        <v>2022</v>
      </c>
      <c r="C3000" t="s">
        <v>2023</v>
      </c>
      <c r="D3000" t="s">
        <v>2024</v>
      </c>
      <c r="E3000" t="s">
        <v>8399</v>
      </c>
      <c r="F3000" t="s">
        <v>8400</v>
      </c>
      <c r="G3000">
        <v>5</v>
      </c>
      <c r="H3000">
        <v>1800</v>
      </c>
      <c r="I3000">
        <v>3</v>
      </c>
      <c r="J3000">
        <v>5.9</v>
      </c>
      <c r="K3000">
        <v>2</v>
      </c>
      <c r="L3000">
        <v>2.5999999999999999E-2</v>
      </c>
      <c r="M3000">
        <v>4</v>
      </c>
      <c r="N3000">
        <v>104</v>
      </c>
      <c r="O3000">
        <v>2</v>
      </c>
      <c r="P3000">
        <v>0.22500000000000001</v>
      </c>
      <c r="Q3000">
        <v>2</v>
      </c>
      <c r="R3000">
        <v>2E-3</v>
      </c>
      <c r="T3000" s="8" t="s">
        <v>8399</v>
      </c>
    </row>
    <row r="3001" spans="1:20" x14ac:dyDescent="0.2">
      <c r="A3001" t="s">
        <v>8401</v>
      </c>
      <c r="B3001" t="s">
        <v>2022</v>
      </c>
      <c r="C3001" t="s">
        <v>2023</v>
      </c>
      <c r="D3001" t="s">
        <v>2024</v>
      </c>
      <c r="E3001" t="s">
        <v>357</v>
      </c>
      <c r="F3001" t="s">
        <v>447</v>
      </c>
      <c r="G3001">
        <v>1</v>
      </c>
      <c r="H3001">
        <v>1480</v>
      </c>
      <c r="I3001">
        <v>2</v>
      </c>
      <c r="J3001">
        <v>3.4</v>
      </c>
      <c r="K3001">
        <v>5</v>
      </c>
      <c r="L3001">
        <v>8.5999999999999993E-2</v>
      </c>
      <c r="M3001">
        <v>5</v>
      </c>
      <c r="N3001">
        <v>114</v>
      </c>
      <c r="O3001">
        <v>5</v>
      </c>
      <c r="P3001">
        <v>0.67500000000000004</v>
      </c>
      <c r="Q3001">
        <v>5</v>
      </c>
      <c r="R3001">
        <v>8.0000000000000002E-3</v>
      </c>
      <c r="T3001" s="8" t="s">
        <v>357</v>
      </c>
    </row>
    <row r="3002" spans="1:20" x14ac:dyDescent="0.2">
      <c r="A3002" t="s">
        <v>8402</v>
      </c>
      <c r="B3002" t="s">
        <v>2022</v>
      </c>
      <c r="C3002" t="s">
        <v>2053</v>
      </c>
      <c r="D3002" t="s">
        <v>2024</v>
      </c>
      <c r="E3002" t="s">
        <v>8403</v>
      </c>
      <c r="F3002" t="s">
        <v>8404</v>
      </c>
      <c r="G3002">
        <v>1</v>
      </c>
      <c r="H3002">
        <v>1500</v>
      </c>
      <c r="I3002">
        <v>4</v>
      </c>
      <c r="J3002">
        <v>9.0500000000000007</v>
      </c>
      <c r="K3002">
        <v>5</v>
      </c>
      <c r="L3002">
        <v>0.41499999999999998</v>
      </c>
      <c r="M3002">
        <v>5</v>
      </c>
      <c r="N3002">
        <v>113</v>
      </c>
      <c r="O3002">
        <v>5</v>
      </c>
      <c r="P3002">
        <v>0.67500000000000004</v>
      </c>
      <c r="Q3002">
        <v>5</v>
      </c>
      <c r="R3002">
        <v>2.6200000000000001E-2</v>
      </c>
      <c r="T3002" s="8" t="s">
        <v>8403</v>
      </c>
    </row>
    <row r="3003" spans="1:20" x14ac:dyDescent="0.2">
      <c r="A3003" t="s">
        <v>8405</v>
      </c>
      <c r="B3003" t="s">
        <v>2022</v>
      </c>
      <c r="C3003" t="s">
        <v>2036</v>
      </c>
      <c r="D3003" t="s">
        <v>2024</v>
      </c>
      <c r="E3003" t="s">
        <v>8406</v>
      </c>
      <c r="F3003" t="s">
        <v>8407</v>
      </c>
      <c r="G3003">
        <v>4</v>
      </c>
      <c r="H3003">
        <v>1840</v>
      </c>
      <c r="I3003">
        <v>2</v>
      </c>
      <c r="J3003">
        <v>3.4</v>
      </c>
      <c r="K3003">
        <v>2</v>
      </c>
      <c r="L3003">
        <v>8.5000000000000006E-2</v>
      </c>
      <c r="M3003">
        <v>3</v>
      </c>
      <c r="N3003">
        <v>88</v>
      </c>
      <c r="O3003">
        <v>2</v>
      </c>
      <c r="P3003">
        <v>0.20499999999999999</v>
      </c>
      <c r="Q3003">
        <v>2</v>
      </c>
      <c r="R3003">
        <v>4.2500000000000003E-3</v>
      </c>
      <c r="T3003" s="8" t="s">
        <v>8406</v>
      </c>
    </row>
    <row r="3004" spans="1:20" x14ac:dyDescent="0.2">
      <c r="A3004" t="s">
        <v>8408</v>
      </c>
      <c r="B3004" t="s">
        <v>2022</v>
      </c>
      <c r="C3004" t="s">
        <v>2101</v>
      </c>
      <c r="D3004" t="s">
        <v>2024</v>
      </c>
      <c r="E3004" t="s">
        <v>8409</v>
      </c>
      <c r="F3004" t="s">
        <v>8410</v>
      </c>
      <c r="G3004">
        <v>4</v>
      </c>
      <c r="H3004">
        <v>1870</v>
      </c>
      <c r="I3004">
        <v>2</v>
      </c>
      <c r="J3004">
        <v>5</v>
      </c>
      <c r="K3004">
        <v>2</v>
      </c>
      <c r="L3004">
        <v>9.6500000000000002E-2</v>
      </c>
      <c r="M3004">
        <v>4</v>
      </c>
      <c r="N3004">
        <v>90</v>
      </c>
      <c r="O3004">
        <v>3</v>
      </c>
      <c r="P3004">
        <v>0.375</v>
      </c>
      <c r="Q3004">
        <v>2</v>
      </c>
      <c r="R3004">
        <v>4.4999999999999997E-3</v>
      </c>
      <c r="T3004" s="8" t="s">
        <v>8409</v>
      </c>
    </row>
    <row r="3005" spans="1:20" x14ac:dyDescent="0.2">
      <c r="A3005" t="s">
        <v>8411</v>
      </c>
      <c r="B3005" t="s">
        <v>2022</v>
      </c>
      <c r="C3005" t="s">
        <v>2101</v>
      </c>
      <c r="D3005" t="s">
        <v>2024</v>
      </c>
      <c r="E3005" t="s">
        <v>8412</v>
      </c>
      <c r="F3005" t="s">
        <v>8413</v>
      </c>
      <c r="G3005">
        <v>2</v>
      </c>
      <c r="H3005">
        <v>1670</v>
      </c>
      <c r="I3005">
        <v>2</v>
      </c>
      <c r="J3005">
        <v>5</v>
      </c>
      <c r="K3005">
        <v>2</v>
      </c>
      <c r="L3005">
        <v>9.6500000000000002E-2</v>
      </c>
      <c r="M3005">
        <v>2</v>
      </c>
      <c r="N3005">
        <v>74</v>
      </c>
      <c r="O3005">
        <v>2</v>
      </c>
      <c r="P3005">
        <v>0.22500000000000001</v>
      </c>
      <c r="Q3005">
        <v>2</v>
      </c>
      <c r="R3005">
        <v>4.4999999999999997E-3</v>
      </c>
      <c r="T3005" s="8" t="s">
        <v>8412</v>
      </c>
    </row>
    <row r="3006" spans="1:20" x14ac:dyDescent="0.2">
      <c r="A3006" t="s">
        <v>8414</v>
      </c>
      <c r="B3006" t="s">
        <v>2022</v>
      </c>
      <c r="C3006" t="s">
        <v>2101</v>
      </c>
      <c r="D3006" t="s">
        <v>2024</v>
      </c>
      <c r="E3006" t="s">
        <v>8415</v>
      </c>
      <c r="F3006" t="s">
        <v>8416</v>
      </c>
      <c r="G3006">
        <v>4</v>
      </c>
      <c r="H3006">
        <v>1870</v>
      </c>
      <c r="I3006">
        <v>2</v>
      </c>
      <c r="J3006">
        <v>5</v>
      </c>
      <c r="K3006">
        <v>3</v>
      </c>
      <c r="L3006">
        <v>0.24349999999999999</v>
      </c>
      <c r="M3006">
        <v>1</v>
      </c>
      <c r="N3006">
        <v>66</v>
      </c>
      <c r="O3006">
        <v>2</v>
      </c>
      <c r="P3006">
        <v>0.22500000000000001</v>
      </c>
      <c r="Q3006">
        <v>2</v>
      </c>
      <c r="R3006">
        <v>4.4999999999999997E-3</v>
      </c>
      <c r="T3006" s="8" t="s">
        <v>8415</v>
      </c>
    </row>
    <row r="3007" spans="1:20" x14ac:dyDescent="0.2">
      <c r="A3007" t="s">
        <v>8417</v>
      </c>
      <c r="B3007" t="s">
        <v>2022</v>
      </c>
      <c r="C3007" t="s">
        <v>2028</v>
      </c>
      <c r="D3007" t="s">
        <v>2024</v>
      </c>
      <c r="E3007" t="s">
        <v>8418</v>
      </c>
      <c r="F3007" t="s">
        <v>8419</v>
      </c>
      <c r="G3007">
        <v>1</v>
      </c>
      <c r="H3007">
        <v>650</v>
      </c>
      <c r="I3007">
        <v>1</v>
      </c>
      <c r="J3007">
        <v>0.35</v>
      </c>
      <c r="K3007">
        <v>1</v>
      </c>
      <c r="L3007">
        <v>4.0000000000000001E-3</v>
      </c>
      <c r="M3007">
        <v>5</v>
      </c>
      <c r="N3007">
        <v>500</v>
      </c>
      <c r="O3007">
        <v>3</v>
      </c>
      <c r="P3007">
        <v>0.75</v>
      </c>
      <c r="Q3007">
        <v>2</v>
      </c>
      <c r="R3007">
        <v>7.7499999999999999E-3</v>
      </c>
      <c r="T3007" s="8" t="s">
        <v>8418</v>
      </c>
    </row>
    <row r="3008" spans="1:20" x14ac:dyDescent="0.2">
      <c r="A3008" t="s">
        <v>8420</v>
      </c>
      <c r="B3008" t="s">
        <v>2022</v>
      </c>
      <c r="C3008" t="s">
        <v>2023</v>
      </c>
      <c r="D3008" t="s">
        <v>2024</v>
      </c>
      <c r="E3008" t="s">
        <v>8421</v>
      </c>
      <c r="F3008" t="s">
        <v>8422</v>
      </c>
      <c r="G3008">
        <v>3</v>
      </c>
      <c r="H3008">
        <v>1640</v>
      </c>
      <c r="I3008">
        <v>4</v>
      </c>
      <c r="J3008">
        <v>8.4</v>
      </c>
      <c r="K3008">
        <v>5</v>
      </c>
      <c r="L3008">
        <v>8.5999999999999993E-2</v>
      </c>
      <c r="M3008">
        <v>3</v>
      </c>
      <c r="N3008">
        <v>94</v>
      </c>
      <c r="O3008">
        <v>3</v>
      </c>
      <c r="P3008">
        <v>0.375</v>
      </c>
      <c r="Q3008">
        <v>5</v>
      </c>
      <c r="R3008">
        <v>8.0000000000000002E-3</v>
      </c>
      <c r="T3008" s="8" t="s">
        <v>8421</v>
      </c>
    </row>
    <row r="3009" spans="1:20" x14ac:dyDescent="0.2">
      <c r="A3009" t="s">
        <v>8423</v>
      </c>
      <c r="B3009" t="s">
        <v>2022</v>
      </c>
      <c r="C3009" t="s">
        <v>2036</v>
      </c>
      <c r="D3009" t="s">
        <v>2024</v>
      </c>
      <c r="E3009" t="s">
        <v>8424</v>
      </c>
      <c r="F3009" t="s">
        <v>8425</v>
      </c>
      <c r="G3009">
        <v>3</v>
      </c>
      <c r="H3009">
        <v>1740</v>
      </c>
      <c r="I3009">
        <v>2</v>
      </c>
      <c r="J3009">
        <v>3.4</v>
      </c>
      <c r="K3009">
        <v>2</v>
      </c>
      <c r="L3009">
        <v>8.5000000000000006E-2</v>
      </c>
      <c r="M3009">
        <v>3</v>
      </c>
      <c r="N3009">
        <v>88</v>
      </c>
      <c r="O3009">
        <v>1</v>
      </c>
      <c r="P3009">
        <v>9.5000000000000001E-2</v>
      </c>
      <c r="Q3009">
        <v>2</v>
      </c>
      <c r="R3009">
        <v>4.2500000000000003E-3</v>
      </c>
      <c r="T3009" s="8" t="s">
        <v>8424</v>
      </c>
    </row>
    <row r="3010" spans="1:20" x14ac:dyDescent="0.2">
      <c r="A3010" t="s">
        <v>8426</v>
      </c>
      <c r="B3010" t="s">
        <v>2022</v>
      </c>
      <c r="C3010" t="s">
        <v>2053</v>
      </c>
      <c r="D3010" t="s">
        <v>2024</v>
      </c>
      <c r="E3010" t="s">
        <v>8427</v>
      </c>
      <c r="F3010" t="s">
        <v>8428</v>
      </c>
      <c r="G3010">
        <v>1</v>
      </c>
      <c r="H3010">
        <v>1500</v>
      </c>
      <c r="I3010">
        <v>1</v>
      </c>
      <c r="J3010">
        <v>1.55</v>
      </c>
      <c r="K3010">
        <v>2</v>
      </c>
      <c r="L3010">
        <v>8.5000000000000006E-2</v>
      </c>
      <c r="M3010">
        <v>1</v>
      </c>
      <c r="N3010">
        <v>73</v>
      </c>
      <c r="O3010">
        <v>1</v>
      </c>
      <c r="P3010">
        <v>7.4999999999999997E-2</v>
      </c>
      <c r="Q3010">
        <v>2</v>
      </c>
      <c r="R3010">
        <v>5.1999999999999998E-3</v>
      </c>
      <c r="T3010" s="8" t="s">
        <v>8427</v>
      </c>
    </row>
    <row r="3011" spans="1:20" x14ac:dyDescent="0.2">
      <c r="A3011" t="s">
        <v>8429</v>
      </c>
      <c r="B3011" t="s">
        <v>2022</v>
      </c>
      <c r="C3011" t="s">
        <v>2053</v>
      </c>
      <c r="D3011" t="s">
        <v>2024</v>
      </c>
      <c r="E3011" t="s">
        <v>8430</v>
      </c>
      <c r="F3011" t="s">
        <v>447</v>
      </c>
      <c r="G3011">
        <v>1</v>
      </c>
      <c r="H3011">
        <v>1500</v>
      </c>
      <c r="I3011">
        <v>1</v>
      </c>
      <c r="J3011">
        <v>1.55</v>
      </c>
      <c r="K3011">
        <v>2</v>
      </c>
      <c r="L3011">
        <v>8.5000000000000006E-2</v>
      </c>
      <c r="M3011">
        <v>2</v>
      </c>
      <c r="N3011">
        <v>83</v>
      </c>
      <c r="O3011">
        <v>1</v>
      </c>
      <c r="P3011">
        <v>7.4999999999999997E-2</v>
      </c>
      <c r="Q3011">
        <v>2</v>
      </c>
      <c r="R3011">
        <v>5.1999999999999998E-3</v>
      </c>
      <c r="T3011" s="8" t="s">
        <v>8430</v>
      </c>
    </row>
    <row r="3012" spans="1:20" x14ac:dyDescent="0.2">
      <c r="A3012" t="s">
        <v>8431</v>
      </c>
      <c r="B3012" t="s">
        <v>2022</v>
      </c>
      <c r="C3012" t="s">
        <v>2049</v>
      </c>
      <c r="D3012" t="s">
        <v>2136</v>
      </c>
      <c r="E3012" t="s">
        <v>8432</v>
      </c>
      <c r="F3012" t="s">
        <v>8433</v>
      </c>
      <c r="G3012">
        <v>2</v>
      </c>
      <c r="H3012">
        <v>1450</v>
      </c>
      <c r="I3012">
        <v>2</v>
      </c>
      <c r="J3012">
        <v>3.2</v>
      </c>
      <c r="K3012">
        <v>3</v>
      </c>
      <c r="L3012">
        <v>0.14000000000000001</v>
      </c>
      <c r="M3012">
        <v>2</v>
      </c>
      <c r="N3012">
        <v>106</v>
      </c>
      <c r="O3012">
        <v>2</v>
      </c>
      <c r="P3012">
        <v>0.26</v>
      </c>
      <c r="Q3012">
        <v>2</v>
      </c>
      <c r="R3012">
        <v>6.1999999999999998E-3</v>
      </c>
      <c r="T3012" s="8" t="s">
        <v>8432</v>
      </c>
    </row>
    <row r="3013" spans="1:20" x14ac:dyDescent="0.2">
      <c r="A3013" t="s">
        <v>8434</v>
      </c>
      <c r="B3013" t="s">
        <v>2022</v>
      </c>
      <c r="C3013" t="s">
        <v>2036</v>
      </c>
      <c r="D3013" t="s">
        <v>2024</v>
      </c>
      <c r="E3013" t="s">
        <v>8435</v>
      </c>
      <c r="F3013" t="s">
        <v>8436</v>
      </c>
      <c r="G3013">
        <v>1</v>
      </c>
      <c r="H3013">
        <v>1540</v>
      </c>
      <c r="I3013">
        <v>2</v>
      </c>
      <c r="J3013">
        <v>3.4</v>
      </c>
      <c r="K3013">
        <v>2</v>
      </c>
      <c r="L3013">
        <v>8.5000000000000006E-2</v>
      </c>
      <c r="M3013">
        <v>1</v>
      </c>
      <c r="N3013">
        <v>76</v>
      </c>
      <c r="O3013">
        <v>2</v>
      </c>
      <c r="P3013">
        <v>0.20499999999999999</v>
      </c>
      <c r="Q3013">
        <v>2</v>
      </c>
      <c r="R3013">
        <v>4.2500000000000003E-3</v>
      </c>
      <c r="T3013" s="8" t="s">
        <v>8435</v>
      </c>
    </row>
    <row r="3014" spans="1:20" x14ac:dyDescent="0.2">
      <c r="A3014" t="s">
        <v>8437</v>
      </c>
      <c r="B3014" t="s">
        <v>2022</v>
      </c>
      <c r="C3014" t="s">
        <v>2049</v>
      </c>
      <c r="D3014" t="s">
        <v>2024</v>
      </c>
      <c r="E3014" t="s">
        <v>8438</v>
      </c>
      <c r="F3014" t="s">
        <v>8439</v>
      </c>
      <c r="G3014">
        <v>4</v>
      </c>
      <c r="H3014">
        <v>1650</v>
      </c>
      <c r="I3014">
        <v>5</v>
      </c>
      <c r="J3014">
        <v>8.6</v>
      </c>
      <c r="K3014">
        <v>5</v>
      </c>
      <c r="L3014">
        <v>0.3</v>
      </c>
      <c r="M3014">
        <v>5</v>
      </c>
      <c r="N3014">
        <v>166</v>
      </c>
      <c r="O3014">
        <v>5</v>
      </c>
      <c r="P3014">
        <v>0.86</v>
      </c>
      <c r="Q3014">
        <v>5</v>
      </c>
      <c r="R3014">
        <v>3.32E-2</v>
      </c>
      <c r="T3014" s="8" t="s">
        <v>8438</v>
      </c>
    </row>
    <row r="3015" spans="1:20" x14ac:dyDescent="0.2">
      <c r="A3015" t="s">
        <v>8440</v>
      </c>
      <c r="B3015" t="s">
        <v>2022</v>
      </c>
      <c r="C3015" t="s">
        <v>2508</v>
      </c>
      <c r="D3015" t="s">
        <v>2024</v>
      </c>
      <c r="E3015" t="s">
        <v>8441</v>
      </c>
      <c r="F3015" t="s">
        <v>8442</v>
      </c>
      <c r="G3015">
        <v>4</v>
      </c>
      <c r="H3015">
        <v>1550</v>
      </c>
      <c r="I3015">
        <v>1</v>
      </c>
      <c r="J3015">
        <v>1</v>
      </c>
      <c r="K3015">
        <v>2</v>
      </c>
      <c r="L3015">
        <v>0.1</v>
      </c>
      <c r="M3015">
        <v>5</v>
      </c>
      <c r="N3015">
        <v>352.5</v>
      </c>
      <c r="O3015">
        <v>2</v>
      </c>
      <c r="P3015">
        <v>0.75</v>
      </c>
      <c r="Q3015">
        <v>2</v>
      </c>
      <c r="R3015">
        <v>2.4E-2</v>
      </c>
      <c r="T3015" s="8" t="s">
        <v>8441</v>
      </c>
    </row>
    <row r="3016" spans="1:20" x14ac:dyDescent="0.2">
      <c r="A3016" t="s">
        <v>8443</v>
      </c>
      <c r="B3016" t="s">
        <v>2022</v>
      </c>
      <c r="C3016" t="s">
        <v>2053</v>
      </c>
      <c r="D3016" t="s">
        <v>2024</v>
      </c>
      <c r="E3016" t="s">
        <v>8444</v>
      </c>
      <c r="F3016" t="s">
        <v>8445</v>
      </c>
      <c r="G3016">
        <v>5</v>
      </c>
      <c r="H3016">
        <v>1900</v>
      </c>
      <c r="I3016">
        <v>1</v>
      </c>
      <c r="J3016">
        <v>1.55</v>
      </c>
      <c r="K3016">
        <v>1</v>
      </c>
      <c r="L3016">
        <v>1.4999999999999999E-2</v>
      </c>
      <c r="M3016">
        <v>5</v>
      </c>
      <c r="N3016">
        <v>113</v>
      </c>
      <c r="O3016">
        <v>1</v>
      </c>
      <c r="P3016">
        <v>7.4999999999999997E-2</v>
      </c>
      <c r="Q3016">
        <v>1</v>
      </c>
      <c r="R3016">
        <v>8.4999999999999995E-4</v>
      </c>
      <c r="T3016" s="8" t="s">
        <v>8444</v>
      </c>
    </row>
    <row r="3017" spans="1:20" x14ac:dyDescent="0.2">
      <c r="A3017" t="s">
        <v>8446</v>
      </c>
      <c r="B3017" t="s">
        <v>2022</v>
      </c>
      <c r="C3017" t="s">
        <v>2222</v>
      </c>
      <c r="D3017" t="s">
        <v>2024</v>
      </c>
      <c r="E3017" t="s">
        <v>8447</v>
      </c>
      <c r="F3017" t="s">
        <v>8448</v>
      </c>
      <c r="G3017">
        <v>4</v>
      </c>
      <c r="H3017">
        <v>1750</v>
      </c>
      <c r="I3017">
        <v>4</v>
      </c>
      <c r="J3017">
        <v>7.1</v>
      </c>
      <c r="K3017">
        <v>4</v>
      </c>
      <c r="L3017">
        <v>0.19500000000000001</v>
      </c>
      <c r="M3017">
        <v>4</v>
      </c>
      <c r="N3017">
        <v>71</v>
      </c>
      <c r="O3017">
        <v>4</v>
      </c>
      <c r="P3017">
        <v>0.31</v>
      </c>
      <c r="Q3017">
        <v>4</v>
      </c>
      <c r="R3017">
        <v>8.3000000000000001E-3</v>
      </c>
      <c r="T3017" s="8" t="s">
        <v>8447</v>
      </c>
    </row>
    <row r="3018" spans="1:20" x14ac:dyDescent="0.2">
      <c r="A3018" t="s">
        <v>8449</v>
      </c>
      <c r="B3018" t="s">
        <v>2022</v>
      </c>
      <c r="C3018" t="s">
        <v>2053</v>
      </c>
      <c r="D3018" t="s">
        <v>2136</v>
      </c>
      <c r="E3018" t="s">
        <v>337</v>
      </c>
      <c r="F3018" t="s">
        <v>8450</v>
      </c>
      <c r="G3018">
        <v>5</v>
      </c>
      <c r="H3018">
        <v>1900</v>
      </c>
      <c r="I3018">
        <v>4</v>
      </c>
      <c r="J3018">
        <v>9.0500000000000007</v>
      </c>
      <c r="K3018">
        <v>5</v>
      </c>
      <c r="L3018">
        <v>0.41499999999999998</v>
      </c>
      <c r="M3018">
        <v>4</v>
      </c>
      <c r="N3018">
        <v>103</v>
      </c>
      <c r="O3018">
        <v>4</v>
      </c>
      <c r="P3018">
        <v>0.52500000000000002</v>
      </c>
      <c r="Q3018">
        <v>4</v>
      </c>
      <c r="R3018">
        <v>1.9199999999999998E-2</v>
      </c>
      <c r="T3018" s="8" t="s">
        <v>337</v>
      </c>
    </row>
    <row r="3019" spans="1:20" x14ac:dyDescent="0.2">
      <c r="A3019" t="s">
        <v>8451</v>
      </c>
      <c r="B3019" t="s">
        <v>2022</v>
      </c>
      <c r="C3019" t="s">
        <v>2053</v>
      </c>
      <c r="D3019" t="s">
        <v>2136</v>
      </c>
      <c r="E3019" t="s">
        <v>337</v>
      </c>
      <c r="F3019" t="s">
        <v>8450</v>
      </c>
      <c r="G3019">
        <v>5</v>
      </c>
      <c r="H3019">
        <v>1900</v>
      </c>
      <c r="I3019">
        <v>5</v>
      </c>
      <c r="J3019">
        <v>11.55</v>
      </c>
      <c r="K3019">
        <v>5</v>
      </c>
      <c r="L3019">
        <v>0.41499999999999998</v>
      </c>
      <c r="M3019">
        <v>5</v>
      </c>
      <c r="N3019">
        <v>113</v>
      </c>
      <c r="O3019">
        <v>5</v>
      </c>
      <c r="P3019">
        <v>0.67500000000000004</v>
      </c>
      <c r="Q3019">
        <v>5</v>
      </c>
      <c r="R3019">
        <v>2.6200000000000001E-2</v>
      </c>
      <c r="T3019" s="8" t="s">
        <v>337</v>
      </c>
    </row>
    <row r="3020" spans="1:20" x14ac:dyDescent="0.2">
      <c r="A3020" t="s">
        <v>8452</v>
      </c>
      <c r="B3020" t="s">
        <v>2022</v>
      </c>
      <c r="C3020" t="s">
        <v>2053</v>
      </c>
      <c r="D3020" t="s">
        <v>2136</v>
      </c>
      <c r="E3020" t="s">
        <v>337</v>
      </c>
      <c r="F3020" t="s">
        <v>8450</v>
      </c>
      <c r="G3020">
        <v>5</v>
      </c>
      <c r="H3020">
        <v>1900</v>
      </c>
      <c r="I3020">
        <v>5</v>
      </c>
      <c r="J3020">
        <v>11.55</v>
      </c>
      <c r="K3020">
        <v>5</v>
      </c>
      <c r="L3020">
        <v>0.41499999999999998</v>
      </c>
      <c r="M3020">
        <v>5</v>
      </c>
      <c r="N3020">
        <v>113</v>
      </c>
      <c r="O3020">
        <v>5</v>
      </c>
      <c r="P3020">
        <v>0.67500000000000004</v>
      </c>
      <c r="Q3020">
        <v>5</v>
      </c>
      <c r="R3020">
        <v>2.6200000000000001E-2</v>
      </c>
      <c r="T3020" s="8" t="s">
        <v>337</v>
      </c>
    </row>
    <row r="3021" spans="1:20" x14ac:dyDescent="0.2">
      <c r="A3021" t="s">
        <v>8453</v>
      </c>
      <c r="B3021" t="s">
        <v>2022</v>
      </c>
      <c r="C3021" t="s">
        <v>2053</v>
      </c>
      <c r="D3021" t="s">
        <v>2136</v>
      </c>
      <c r="E3021" t="s">
        <v>337</v>
      </c>
      <c r="F3021" t="s">
        <v>8450</v>
      </c>
      <c r="G3021">
        <v>5</v>
      </c>
      <c r="H3021">
        <v>1900</v>
      </c>
      <c r="I3021">
        <v>2</v>
      </c>
      <c r="J3021">
        <v>4.05</v>
      </c>
      <c r="K3021">
        <v>3</v>
      </c>
      <c r="L3021">
        <v>0.19500000000000001</v>
      </c>
      <c r="M3021">
        <v>5</v>
      </c>
      <c r="N3021">
        <v>113</v>
      </c>
      <c r="O3021">
        <v>2</v>
      </c>
      <c r="P3021">
        <v>0.22500000000000001</v>
      </c>
      <c r="Q3021">
        <v>3</v>
      </c>
      <c r="R3021">
        <v>1.2200000000000001E-2</v>
      </c>
      <c r="T3021" s="8" t="s">
        <v>337</v>
      </c>
    </row>
    <row r="3022" spans="1:20" x14ac:dyDescent="0.2">
      <c r="A3022" t="s">
        <v>8454</v>
      </c>
      <c r="B3022" t="s">
        <v>2022</v>
      </c>
      <c r="C3022" t="s">
        <v>2053</v>
      </c>
      <c r="D3022" t="s">
        <v>2136</v>
      </c>
      <c r="E3022" t="s">
        <v>337</v>
      </c>
      <c r="F3022" t="s">
        <v>8450</v>
      </c>
      <c r="G3022">
        <v>5</v>
      </c>
      <c r="H3022">
        <v>1900</v>
      </c>
      <c r="I3022">
        <v>3</v>
      </c>
      <c r="J3022">
        <v>6.55</v>
      </c>
      <c r="K3022">
        <v>3</v>
      </c>
      <c r="L3022">
        <v>0.19500000000000001</v>
      </c>
      <c r="M3022">
        <v>5</v>
      </c>
      <c r="N3022">
        <v>113</v>
      </c>
      <c r="O3022">
        <v>3</v>
      </c>
      <c r="P3022">
        <v>0.375</v>
      </c>
      <c r="Q3022">
        <v>3</v>
      </c>
      <c r="R3022">
        <v>1.2200000000000001E-2</v>
      </c>
      <c r="T3022" s="8" t="s">
        <v>337</v>
      </c>
    </row>
    <row r="3023" spans="1:20" x14ac:dyDescent="0.2">
      <c r="A3023" t="s">
        <v>8455</v>
      </c>
      <c r="B3023" t="s">
        <v>2022</v>
      </c>
      <c r="C3023" t="s">
        <v>2053</v>
      </c>
      <c r="D3023" t="s">
        <v>2136</v>
      </c>
      <c r="E3023" t="s">
        <v>337</v>
      </c>
      <c r="F3023" t="s">
        <v>8450</v>
      </c>
      <c r="G3023">
        <v>5</v>
      </c>
      <c r="H3023">
        <v>1900</v>
      </c>
      <c r="I3023">
        <v>5</v>
      </c>
      <c r="J3023">
        <v>11.55</v>
      </c>
      <c r="K3023">
        <v>5</v>
      </c>
      <c r="L3023">
        <v>0.41499999999999998</v>
      </c>
      <c r="M3023">
        <v>5</v>
      </c>
      <c r="N3023">
        <v>113</v>
      </c>
      <c r="O3023">
        <v>5</v>
      </c>
      <c r="P3023">
        <v>0.67500000000000004</v>
      </c>
      <c r="Q3023">
        <v>5</v>
      </c>
      <c r="R3023">
        <v>2.6200000000000001E-2</v>
      </c>
      <c r="T3023" s="8" t="s">
        <v>337</v>
      </c>
    </row>
    <row r="3024" spans="1:20" x14ac:dyDescent="0.2">
      <c r="A3024" t="s">
        <v>8456</v>
      </c>
      <c r="B3024" t="s">
        <v>2022</v>
      </c>
      <c r="C3024" t="s">
        <v>2036</v>
      </c>
      <c r="D3024" t="s">
        <v>2136</v>
      </c>
      <c r="E3024" t="s">
        <v>337</v>
      </c>
      <c r="F3024" t="s">
        <v>8450</v>
      </c>
      <c r="G3024">
        <v>5</v>
      </c>
      <c r="H3024">
        <v>1940</v>
      </c>
      <c r="I3024">
        <v>5</v>
      </c>
      <c r="J3024">
        <v>7</v>
      </c>
      <c r="K3024">
        <v>5</v>
      </c>
      <c r="L3024">
        <v>0.17499999999999999</v>
      </c>
      <c r="M3024">
        <v>5</v>
      </c>
      <c r="N3024">
        <v>100</v>
      </c>
      <c r="O3024">
        <v>5</v>
      </c>
      <c r="P3024">
        <v>0.53500000000000003</v>
      </c>
      <c r="Q3024">
        <v>5</v>
      </c>
      <c r="R3024">
        <v>1.2E-2</v>
      </c>
      <c r="T3024" s="8" t="s">
        <v>337</v>
      </c>
    </row>
    <row r="3025" spans="1:20" x14ac:dyDescent="0.2">
      <c r="A3025" t="s">
        <v>8457</v>
      </c>
      <c r="B3025" t="s">
        <v>2022</v>
      </c>
      <c r="C3025" t="s">
        <v>2036</v>
      </c>
      <c r="D3025" t="s">
        <v>2136</v>
      </c>
      <c r="E3025" t="s">
        <v>357</v>
      </c>
      <c r="F3025" t="s">
        <v>8458</v>
      </c>
      <c r="G3025">
        <v>2</v>
      </c>
      <c r="H3025">
        <v>1640</v>
      </c>
      <c r="I3025">
        <v>3</v>
      </c>
      <c r="J3025">
        <v>4.5999999999999996</v>
      </c>
      <c r="K3025">
        <v>5</v>
      </c>
      <c r="L3025">
        <v>0.17499999999999999</v>
      </c>
      <c r="M3025">
        <v>1</v>
      </c>
      <c r="N3025">
        <v>76</v>
      </c>
      <c r="O3025">
        <v>2</v>
      </c>
      <c r="P3025">
        <v>0.20499999999999999</v>
      </c>
      <c r="Q3025">
        <v>4</v>
      </c>
      <c r="R3025">
        <v>9.2499999999999995E-3</v>
      </c>
      <c r="T3025" s="8" t="s">
        <v>357</v>
      </c>
    </row>
    <row r="3026" spans="1:20" x14ac:dyDescent="0.2">
      <c r="A3026" t="s">
        <v>8459</v>
      </c>
      <c r="B3026" t="s">
        <v>2022</v>
      </c>
      <c r="C3026" t="s">
        <v>2049</v>
      </c>
      <c r="D3026" t="s">
        <v>2024</v>
      </c>
      <c r="E3026" t="s">
        <v>8460</v>
      </c>
      <c r="F3026" t="s">
        <v>447</v>
      </c>
      <c r="G3026">
        <v>4</v>
      </c>
      <c r="H3026">
        <v>1650</v>
      </c>
      <c r="I3026">
        <v>3</v>
      </c>
      <c r="J3026">
        <v>5</v>
      </c>
      <c r="K3026">
        <v>2</v>
      </c>
      <c r="L3026">
        <v>0.06</v>
      </c>
      <c r="M3026">
        <v>2</v>
      </c>
      <c r="N3026">
        <v>106</v>
      </c>
      <c r="O3026">
        <v>2</v>
      </c>
      <c r="P3026">
        <v>0.26</v>
      </c>
      <c r="Q3026">
        <v>2</v>
      </c>
      <c r="R3026">
        <v>6.1999999999999998E-3</v>
      </c>
      <c r="T3026" s="8" t="s">
        <v>8460</v>
      </c>
    </row>
    <row r="3027" spans="1:20" x14ac:dyDescent="0.2">
      <c r="A3027" t="s">
        <v>8461</v>
      </c>
      <c r="B3027" t="s">
        <v>2022</v>
      </c>
      <c r="C3027" t="s">
        <v>2023</v>
      </c>
      <c r="D3027" t="s">
        <v>2024</v>
      </c>
      <c r="E3027" t="s">
        <v>8462</v>
      </c>
      <c r="F3027" t="s">
        <v>8463</v>
      </c>
      <c r="G3027">
        <v>2</v>
      </c>
      <c r="H3027">
        <v>1560</v>
      </c>
      <c r="I3027">
        <v>2</v>
      </c>
      <c r="J3027">
        <v>3.4</v>
      </c>
      <c r="K3027">
        <v>2</v>
      </c>
      <c r="L3027">
        <v>2.5999999999999999E-2</v>
      </c>
      <c r="M3027">
        <v>5</v>
      </c>
      <c r="N3027">
        <v>114</v>
      </c>
      <c r="O3027">
        <v>2</v>
      </c>
      <c r="P3027">
        <v>0.22500000000000001</v>
      </c>
      <c r="Q3027">
        <v>2</v>
      </c>
      <c r="R3027">
        <v>2E-3</v>
      </c>
      <c r="T3027" s="8" t="s">
        <v>8462</v>
      </c>
    </row>
    <row r="3028" spans="1:20" x14ac:dyDescent="0.2">
      <c r="A3028" t="s">
        <v>107</v>
      </c>
      <c r="B3028" t="s">
        <v>2022</v>
      </c>
      <c r="C3028" t="s">
        <v>2053</v>
      </c>
      <c r="D3028" t="s">
        <v>2024</v>
      </c>
      <c r="E3028" t="s">
        <v>316</v>
      </c>
      <c r="F3028" t="s">
        <v>8464</v>
      </c>
      <c r="G3028">
        <v>4</v>
      </c>
      <c r="H3028">
        <v>1800</v>
      </c>
      <c r="I3028">
        <v>4</v>
      </c>
      <c r="J3028">
        <v>9.0500000000000007</v>
      </c>
      <c r="K3028">
        <v>5</v>
      </c>
      <c r="L3028">
        <v>0.41499999999999998</v>
      </c>
      <c r="M3028">
        <v>5</v>
      </c>
      <c r="N3028">
        <v>113</v>
      </c>
      <c r="O3028">
        <v>5</v>
      </c>
      <c r="P3028">
        <v>0.67500000000000004</v>
      </c>
      <c r="Q3028">
        <v>5</v>
      </c>
      <c r="R3028">
        <v>2.6200000000000001E-2</v>
      </c>
      <c r="T3028" s="8" t="s">
        <v>316</v>
      </c>
    </row>
    <row r="3029" spans="1:20" x14ac:dyDescent="0.2">
      <c r="A3029" t="s">
        <v>8465</v>
      </c>
      <c r="B3029" t="s">
        <v>2022</v>
      </c>
      <c r="C3029" t="s">
        <v>2023</v>
      </c>
      <c r="D3029" t="s">
        <v>2024</v>
      </c>
      <c r="E3029" t="s">
        <v>357</v>
      </c>
      <c r="F3029" t="s">
        <v>8466</v>
      </c>
      <c r="G3029">
        <v>5</v>
      </c>
      <c r="H3029">
        <v>1800</v>
      </c>
      <c r="I3029">
        <v>5</v>
      </c>
      <c r="J3029">
        <v>10.9</v>
      </c>
      <c r="K3029">
        <v>5</v>
      </c>
      <c r="L3029">
        <v>8.5999999999999993E-2</v>
      </c>
      <c r="M3029">
        <v>2</v>
      </c>
      <c r="N3029">
        <v>84</v>
      </c>
      <c r="O3029">
        <v>5</v>
      </c>
      <c r="P3029">
        <v>0.67500000000000004</v>
      </c>
      <c r="Q3029">
        <v>5</v>
      </c>
      <c r="R3029">
        <v>8.0000000000000002E-3</v>
      </c>
      <c r="T3029" s="8" t="s">
        <v>357</v>
      </c>
    </row>
    <row r="3030" spans="1:20" x14ac:dyDescent="0.2">
      <c r="A3030" t="s">
        <v>8467</v>
      </c>
      <c r="B3030" t="s">
        <v>2022</v>
      </c>
      <c r="C3030" t="s">
        <v>2023</v>
      </c>
      <c r="D3030" t="s">
        <v>2024</v>
      </c>
      <c r="E3030" t="s">
        <v>8468</v>
      </c>
      <c r="F3030" t="s">
        <v>8469</v>
      </c>
      <c r="G3030">
        <v>1</v>
      </c>
      <c r="H3030">
        <v>1480</v>
      </c>
      <c r="I3030">
        <v>1</v>
      </c>
      <c r="J3030">
        <v>0.9</v>
      </c>
      <c r="K3030">
        <v>1</v>
      </c>
      <c r="L3030">
        <v>6.0000000000000001E-3</v>
      </c>
      <c r="M3030">
        <v>1</v>
      </c>
      <c r="N3030">
        <v>74</v>
      </c>
      <c r="O3030">
        <v>1</v>
      </c>
      <c r="P3030">
        <v>7.4999999999999997E-2</v>
      </c>
      <c r="Q3030">
        <v>1</v>
      </c>
      <c r="R3030">
        <v>5.0000000000000001E-4</v>
      </c>
      <c r="T3030" s="8" t="s">
        <v>8468</v>
      </c>
    </row>
    <row r="3031" spans="1:20" x14ac:dyDescent="0.2">
      <c r="A3031" t="s">
        <v>8470</v>
      </c>
      <c r="B3031" t="s">
        <v>2022</v>
      </c>
      <c r="C3031" t="s">
        <v>2036</v>
      </c>
      <c r="D3031" t="s">
        <v>2024</v>
      </c>
      <c r="E3031" t="s">
        <v>8471</v>
      </c>
      <c r="F3031" t="s">
        <v>8472</v>
      </c>
      <c r="G3031">
        <v>1</v>
      </c>
      <c r="H3031">
        <v>1540</v>
      </c>
      <c r="I3031">
        <v>1</v>
      </c>
      <c r="J3031">
        <v>2.2000000000000002</v>
      </c>
      <c r="K3031">
        <v>3</v>
      </c>
      <c r="L3031">
        <v>0.115</v>
      </c>
      <c r="M3031">
        <v>1</v>
      </c>
      <c r="N3031">
        <v>76</v>
      </c>
      <c r="O3031">
        <v>1</v>
      </c>
      <c r="P3031">
        <v>9.5000000000000001E-2</v>
      </c>
      <c r="Q3031">
        <v>2</v>
      </c>
      <c r="R3031">
        <v>4.2500000000000003E-3</v>
      </c>
      <c r="T3031" s="8" t="s">
        <v>8471</v>
      </c>
    </row>
    <row r="3032" spans="1:20" x14ac:dyDescent="0.2">
      <c r="A3032" t="s">
        <v>8473</v>
      </c>
      <c r="B3032" t="s">
        <v>2022</v>
      </c>
      <c r="C3032" t="s">
        <v>2023</v>
      </c>
      <c r="D3032" t="s">
        <v>2024</v>
      </c>
      <c r="E3032" t="s">
        <v>8474</v>
      </c>
      <c r="F3032" t="s">
        <v>8475</v>
      </c>
      <c r="G3032">
        <v>5</v>
      </c>
      <c r="H3032">
        <v>1800</v>
      </c>
      <c r="I3032">
        <v>5</v>
      </c>
      <c r="J3032">
        <v>10.9</v>
      </c>
      <c r="K3032">
        <v>5</v>
      </c>
      <c r="L3032">
        <v>8.5999999999999993E-2</v>
      </c>
      <c r="M3032">
        <v>4</v>
      </c>
      <c r="N3032">
        <v>104</v>
      </c>
      <c r="O3032">
        <v>5</v>
      </c>
      <c r="P3032">
        <v>0.67500000000000004</v>
      </c>
      <c r="Q3032">
        <v>5</v>
      </c>
      <c r="R3032">
        <v>8.0000000000000002E-3</v>
      </c>
      <c r="T3032" s="8" t="s">
        <v>8474</v>
      </c>
    </row>
    <row r="3033" spans="1:20" x14ac:dyDescent="0.2">
      <c r="A3033" t="s">
        <v>8476</v>
      </c>
      <c r="B3033" t="s">
        <v>2022</v>
      </c>
      <c r="C3033" t="s">
        <v>2028</v>
      </c>
      <c r="D3033" t="s">
        <v>2024</v>
      </c>
      <c r="E3033" t="s">
        <v>8477</v>
      </c>
      <c r="F3033" t="s">
        <v>8478</v>
      </c>
      <c r="G3033">
        <v>2</v>
      </c>
      <c r="H3033">
        <v>850</v>
      </c>
      <c r="I3033">
        <v>2</v>
      </c>
      <c r="J3033">
        <v>1.55</v>
      </c>
      <c r="K3033">
        <v>2</v>
      </c>
      <c r="L3033">
        <v>4.4999999999999998E-2</v>
      </c>
      <c r="M3033">
        <v>4</v>
      </c>
      <c r="N3033">
        <v>400</v>
      </c>
      <c r="O3033">
        <v>4</v>
      </c>
      <c r="P3033">
        <v>1.05</v>
      </c>
      <c r="Q3033">
        <v>5</v>
      </c>
      <c r="R3033">
        <v>3.3500000000000002E-2</v>
      </c>
      <c r="T3033" s="8" t="s">
        <v>8477</v>
      </c>
    </row>
    <row r="3034" spans="1:20" x14ac:dyDescent="0.2">
      <c r="A3034" t="s">
        <v>8479</v>
      </c>
      <c r="B3034" t="s">
        <v>2022</v>
      </c>
      <c r="C3034" t="s">
        <v>2173</v>
      </c>
      <c r="D3034" t="s">
        <v>2024</v>
      </c>
      <c r="E3034" t="s">
        <v>8480</v>
      </c>
      <c r="F3034" t="s">
        <v>8481</v>
      </c>
      <c r="G3034">
        <v>1</v>
      </c>
      <c r="H3034">
        <v>1882.5</v>
      </c>
      <c r="I3034">
        <v>1</v>
      </c>
      <c r="J3034">
        <v>3.65</v>
      </c>
      <c r="K3034">
        <v>2</v>
      </c>
      <c r="L3034">
        <v>0.09</v>
      </c>
      <c r="M3034">
        <v>5</v>
      </c>
      <c r="N3034">
        <v>140.5</v>
      </c>
      <c r="O3034">
        <v>3</v>
      </c>
      <c r="P3034">
        <v>0.51</v>
      </c>
      <c r="Q3034">
        <v>2</v>
      </c>
      <c r="R3034">
        <v>4.7999999999999996E-3</v>
      </c>
      <c r="T3034" s="8" t="s">
        <v>8480</v>
      </c>
    </row>
    <row r="3035" spans="1:20" x14ac:dyDescent="0.2">
      <c r="A3035" t="s">
        <v>8482</v>
      </c>
      <c r="B3035" t="s">
        <v>2022</v>
      </c>
      <c r="C3035" t="s">
        <v>2023</v>
      </c>
      <c r="D3035" t="s">
        <v>2024</v>
      </c>
      <c r="E3035" t="s">
        <v>8483</v>
      </c>
      <c r="F3035" t="s">
        <v>8484</v>
      </c>
      <c r="G3035">
        <v>3</v>
      </c>
      <c r="H3035">
        <v>1640</v>
      </c>
      <c r="I3035">
        <v>5</v>
      </c>
      <c r="J3035">
        <v>10.9</v>
      </c>
      <c r="K3035">
        <v>5</v>
      </c>
      <c r="L3035">
        <v>8.5999999999999993E-2</v>
      </c>
      <c r="M3035">
        <v>3</v>
      </c>
      <c r="N3035">
        <v>94</v>
      </c>
      <c r="O3035">
        <v>5</v>
      </c>
      <c r="P3035">
        <v>0.67500000000000004</v>
      </c>
      <c r="Q3035">
        <v>5</v>
      </c>
      <c r="R3035">
        <v>8.0000000000000002E-3</v>
      </c>
      <c r="T3035" s="8" t="s">
        <v>8483</v>
      </c>
    </row>
    <row r="3036" spans="1:20" x14ac:dyDescent="0.2">
      <c r="A3036" t="s">
        <v>8485</v>
      </c>
      <c r="B3036" t="s">
        <v>2022</v>
      </c>
      <c r="C3036" t="s">
        <v>2023</v>
      </c>
      <c r="D3036" t="s">
        <v>2024</v>
      </c>
      <c r="E3036" t="s">
        <v>8486</v>
      </c>
      <c r="F3036" t="s">
        <v>8487</v>
      </c>
      <c r="G3036">
        <v>1</v>
      </c>
      <c r="H3036">
        <v>1480</v>
      </c>
      <c r="I3036">
        <v>2</v>
      </c>
      <c r="J3036">
        <v>3.4</v>
      </c>
      <c r="K3036">
        <v>4</v>
      </c>
      <c r="L3036">
        <v>6.6000000000000003E-2</v>
      </c>
      <c r="M3036">
        <v>5</v>
      </c>
      <c r="N3036">
        <v>114</v>
      </c>
      <c r="O3036">
        <v>3</v>
      </c>
      <c r="P3036">
        <v>0.375</v>
      </c>
      <c r="Q3036">
        <v>4</v>
      </c>
      <c r="R3036">
        <v>6.0000000000000001E-3</v>
      </c>
      <c r="T3036" s="8" t="s">
        <v>8486</v>
      </c>
    </row>
    <row r="3037" spans="1:20" x14ac:dyDescent="0.2">
      <c r="A3037" t="s">
        <v>8488</v>
      </c>
      <c r="B3037" t="s">
        <v>2022</v>
      </c>
      <c r="C3037" t="s">
        <v>2095</v>
      </c>
      <c r="D3037" t="s">
        <v>2024</v>
      </c>
      <c r="E3037" t="s">
        <v>8489</v>
      </c>
      <c r="F3037" t="s">
        <v>447</v>
      </c>
      <c r="G3037">
        <v>3</v>
      </c>
      <c r="H3037">
        <v>1745</v>
      </c>
      <c r="I3037">
        <v>5</v>
      </c>
      <c r="J3037">
        <v>16.5</v>
      </c>
      <c r="K3037">
        <v>4</v>
      </c>
      <c r="L3037">
        <v>0.53</v>
      </c>
      <c r="M3037">
        <v>2</v>
      </c>
      <c r="N3037">
        <v>80</v>
      </c>
      <c r="O3037">
        <v>4</v>
      </c>
      <c r="P3037">
        <v>0.75</v>
      </c>
      <c r="Q3037">
        <v>4</v>
      </c>
      <c r="R3037">
        <v>2.3900000000000001E-2</v>
      </c>
      <c r="T3037" s="8" t="s">
        <v>8489</v>
      </c>
    </row>
    <row r="3038" spans="1:20" x14ac:dyDescent="0.2">
      <c r="A3038" t="s">
        <v>8490</v>
      </c>
      <c r="B3038" t="s">
        <v>2022</v>
      </c>
      <c r="C3038" t="s">
        <v>2053</v>
      </c>
      <c r="D3038" t="s">
        <v>2024</v>
      </c>
      <c r="E3038" t="s">
        <v>8491</v>
      </c>
      <c r="F3038" t="s">
        <v>8492</v>
      </c>
      <c r="G3038">
        <v>3</v>
      </c>
      <c r="H3038">
        <v>1700</v>
      </c>
      <c r="I3038">
        <v>3</v>
      </c>
      <c r="J3038">
        <v>6.55</v>
      </c>
      <c r="K3038">
        <v>2</v>
      </c>
      <c r="L3038">
        <v>8.5000000000000006E-2</v>
      </c>
      <c r="M3038">
        <v>4</v>
      </c>
      <c r="N3038">
        <v>103</v>
      </c>
      <c r="O3038">
        <v>3</v>
      </c>
      <c r="P3038">
        <v>0.375</v>
      </c>
      <c r="Q3038">
        <v>2</v>
      </c>
      <c r="R3038">
        <v>5.1999999999999998E-3</v>
      </c>
      <c r="T3038" s="8" t="s">
        <v>8491</v>
      </c>
    </row>
    <row r="3039" spans="1:20" x14ac:dyDescent="0.2">
      <c r="A3039" t="s">
        <v>8493</v>
      </c>
      <c r="B3039" t="s">
        <v>2022</v>
      </c>
      <c r="C3039" t="s">
        <v>2222</v>
      </c>
      <c r="D3039" t="s">
        <v>2024</v>
      </c>
      <c r="E3039" t="s">
        <v>8494</v>
      </c>
      <c r="F3039" t="s">
        <v>8495</v>
      </c>
      <c r="G3039">
        <v>3</v>
      </c>
      <c r="H3039">
        <v>1650</v>
      </c>
      <c r="I3039">
        <v>2</v>
      </c>
      <c r="J3039">
        <v>3.9</v>
      </c>
      <c r="K3039">
        <v>2</v>
      </c>
      <c r="L3039">
        <v>5.5E-2</v>
      </c>
      <c r="M3039">
        <v>3</v>
      </c>
      <c r="N3039">
        <v>67</v>
      </c>
      <c r="O3039">
        <v>2</v>
      </c>
      <c r="P3039">
        <v>0.15</v>
      </c>
      <c r="Q3039">
        <v>2</v>
      </c>
      <c r="R3039">
        <v>2.3E-3</v>
      </c>
      <c r="T3039" s="8" t="s">
        <v>8494</v>
      </c>
    </row>
    <row r="3040" spans="1:20" x14ac:dyDescent="0.2">
      <c r="A3040" t="s">
        <v>8496</v>
      </c>
      <c r="B3040" t="s">
        <v>2022</v>
      </c>
      <c r="C3040" t="s">
        <v>2036</v>
      </c>
      <c r="D3040" t="s">
        <v>2024</v>
      </c>
      <c r="E3040" t="s">
        <v>8497</v>
      </c>
      <c r="F3040" t="s">
        <v>8498</v>
      </c>
      <c r="G3040">
        <v>2</v>
      </c>
      <c r="H3040">
        <v>1640</v>
      </c>
      <c r="I3040">
        <v>1</v>
      </c>
      <c r="J3040">
        <v>2.2000000000000002</v>
      </c>
      <c r="K3040">
        <v>1</v>
      </c>
      <c r="L3040">
        <v>5.5E-2</v>
      </c>
      <c r="M3040">
        <v>2</v>
      </c>
      <c r="N3040">
        <v>82</v>
      </c>
      <c r="O3040">
        <v>1</v>
      </c>
      <c r="P3040">
        <v>9.5000000000000001E-2</v>
      </c>
      <c r="Q3040">
        <v>1</v>
      </c>
      <c r="R3040">
        <v>1.5E-3</v>
      </c>
      <c r="T3040" s="8" t="s">
        <v>8497</v>
      </c>
    </row>
    <row r="3041" spans="1:20" x14ac:dyDescent="0.2">
      <c r="A3041" t="s">
        <v>8499</v>
      </c>
      <c r="B3041" t="s">
        <v>2022</v>
      </c>
      <c r="C3041" t="s">
        <v>2023</v>
      </c>
      <c r="D3041" t="s">
        <v>2024</v>
      </c>
      <c r="E3041" t="s">
        <v>8500</v>
      </c>
      <c r="F3041" t="s">
        <v>8501</v>
      </c>
      <c r="G3041">
        <v>4</v>
      </c>
      <c r="H3041">
        <v>1720</v>
      </c>
      <c r="I3041">
        <v>5</v>
      </c>
      <c r="J3041">
        <v>10.9</v>
      </c>
      <c r="K3041">
        <v>5</v>
      </c>
      <c r="L3041">
        <v>8.5999999999999993E-2</v>
      </c>
      <c r="M3041">
        <v>3</v>
      </c>
      <c r="N3041">
        <v>94</v>
      </c>
      <c r="O3041">
        <v>5</v>
      </c>
      <c r="P3041">
        <v>0.67500000000000004</v>
      </c>
      <c r="Q3041">
        <v>5</v>
      </c>
      <c r="R3041">
        <v>8.0000000000000002E-3</v>
      </c>
      <c r="T3041" s="8" t="s">
        <v>8500</v>
      </c>
    </row>
    <row r="3042" spans="1:20" x14ac:dyDescent="0.2">
      <c r="A3042" t="s">
        <v>8502</v>
      </c>
      <c r="B3042" t="s">
        <v>2022</v>
      </c>
      <c r="C3042" t="s">
        <v>2023</v>
      </c>
      <c r="D3042" t="s">
        <v>2024</v>
      </c>
      <c r="E3042" t="s">
        <v>8503</v>
      </c>
      <c r="F3042" t="s">
        <v>8504</v>
      </c>
      <c r="G3042">
        <v>5</v>
      </c>
      <c r="H3042">
        <v>1800</v>
      </c>
      <c r="I3042">
        <v>5</v>
      </c>
      <c r="J3042">
        <v>10.9</v>
      </c>
      <c r="K3042">
        <v>5</v>
      </c>
      <c r="L3042">
        <v>8.5999999999999993E-2</v>
      </c>
      <c r="M3042">
        <v>3</v>
      </c>
      <c r="N3042">
        <v>94</v>
      </c>
      <c r="O3042">
        <v>4</v>
      </c>
      <c r="P3042">
        <v>0.52500000000000002</v>
      </c>
      <c r="Q3042">
        <v>5</v>
      </c>
      <c r="R3042">
        <v>8.0000000000000002E-3</v>
      </c>
      <c r="T3042" s="8" t="s">
        <v>8503</v>
      </c>
    </row>
    <row r="3043" spans="1:20" x14ac:dyDescent="0.2">
      <c r="A3043" t="s">
        <v>8505</v>
      </c>
      <c r="B3043" t="s">
        <v>2022</v>
      </c>
      <c r="C3043" t="s">
        <v>2053</v>
      </c>
      <c r="D3043" t="s">
        <v>2024</v>
      </c>
      <c r="E3043" t="s">
        <v>8506</v>
      </c>
      <c r="F3043" t="s">
        <v>8507</v>
      </c>
      <c r="G3043">
        <v>5</v>
      </c>
      <c r="H3043">
        <v>1900</v>
      </c>
      <c r="I3043">
        <v>3</v>
      </c>
      <c r="J3043">
        <v>6.55</v>
      </c>
      <c r="K3043">
        <v>3</v>
      </c>
      <c r="L3043">
        <v>0.19500000000000001</v>
      </c>
      <c r="M3043">
        <v>3</v>
      </c>
      <c r="N3043">
        <v>93</v>
      </c>
      <c r="O3043">
        <v>3</v>
      </c>
      <c r="P3043">
        <v>0.375</v>
      </c>
      <c r="Q3043">
        <v>3</v>
      </c>
      <c r="R3043">
        <v>1.2200000000000001E-2</v>
      </c>
      <c r="T3043" s="8" t="s">
        <v>8506</v>
      </c>
    </row>
    <row r="3044" spans="1:20" x14ac:dyDescent="0.2">
      <c r="A3044" t="s">
        <v>8508</v>
      </c>
      <c r="B3044" t="s">
        <v>2022</v>
      </c>
      <c r="C3044" t="s">
        <v>2023</v>
      </c>
      <c r="D3044" t="s">
        <v>2024</v>
      </c>
      <c r="E3044" t="s">
        <v>8509</v>
      </c>
      <c r="F3044" t="s">
        <v>8510</v>
      </c>
      <c r="G3044">
        <v>5</v>
      </c>
      <c r="H3044">
        <v>1800</v>
      </c>
      <c r="I3044">
        <v>2</v>
      </c>
      <c r="J3044">
        <v>3.4</v>
      </c>
      <c r="K3044">
        <v>4</v>
      </c>
      <c r="L3044">
        <v>6.6000000000000003E-2</v>
      </c>
      <c r="M3044">
        <v>5</v>
      </c>
      <c r="N3044">
        <v>114</v>
      </c>
      <c r="O3044">
        <v>5</v>
      </c>
      <c r="P3044">
        <v>0.67500000000000004</v>
      </c>
      <c r="Q3044">
        <v>5</v>
      </c>
      <c r="R3044">
        <v>8.0000000000000002E-3</v>
      </c>
      <c r="T3044" s="8" t="s">
        <v>8509</v>
      </c>
    </row>
    <row r="3045" spans="1:20" x14ac:dyDescent="0.2">
      <c r="A3045" t="s">
        <v>8511</v>
      </c>
      <c r="B3045" t="s">
        <v>2022</v>
      </c>
      <c r="C3045" t="s">
        <v>2036</v>
      </c>
      <c r="D3045" t="s">
        <v>2024</v>
      </c>
      <c r="E3045" t="s">
        <v>8512</v>
      </c>
      <c r="F3045" t="s">
        <v>8513</v>
      </c>
      <c r="G3045">
        <v>2</v>
      </c>
      <c r="H3045">
        <v>1640</v>
      </c>
      <c r="I3045">
        <v>1</v>
      </c>
      <c r="J3045">
        <v>2.2000000000000002</v>
      </c>
      <c r="K3045">
        <v>1</v>
      </c>
      <c r="L3045">
        <v>5.5E-2</v>
      </c>
      <c r="M3045">
        <v>2</v>
      </c>
      <c r="N3045">
        <v>82</v>
      </c>
      <c r="O3045">
        <v>1</v>
      </c>
      <c r="P3045">
        <v>9.5000000000000001E-2</v>
      </c>
      <c r="Q3045">
        <v>1</v>
      </c>
      <c r="R3045">
        <v>1.5E-3</v>
      </c>
      <c r="T3045" s="8" t="s">
        <v>8512</v>
      </c>
    </row>
    <row r="3046" spans="1:20" x14ac:dyDescent="0.2">
      <c r="A3046" t="s">
        <v>8514</v>
      </c>
      <c r="B3046" t="s">
        <v>2022</v>
      </c>
      <c r="C3046" t="s">
        <v>2023</v>
      </c>
      <c r="D3046" t="s">
        <v>2024</v>
      </c>
      <c r="E3046" t="s">
        <v>8515</v>
      </c>
      <c r="F3046" t="s">
        <v>8516</v>
      </c>
      <c r="G3046">
        <v>1</v>
      </c>
      <c r="H3046">
        <v>1480</v>
      </c>
      <c r="I3046">
        <v>1</v>
      </c>
      <c r="J3046">
        <v>0.9</v>
      </c>
      <c r="K3046">
        <v>1</v>
      </c>
      <c r="L3046">
        <v>6.0000000000000001E-3</v>
      </c>
      <c r="M3046">
        <v>1</v>
      </c>
      <c r="N3046">
        <v>74</v>
      </c>
      <c r="O3046">
        <v>1</v>
      </c>
      <c r="P3046">
        <v>7.4999999999999997E-2</v>
      </c>
      <c r="Q3046">
        <v>1</v>
      </c>
      <c r="R3046">
        <v>5.0000000000000001E-4</v>
      </c>
      <c r="T3046" s="8" t="s">
        <v>8515</v>
      </c>
    </row>
    <row r="3047" spans="1:20" x14ac:dyDescent="0.2">
      <c r="A3047" t="s">
        <v>8517</v>
      </c>
      <c r="B3047" t="s">
        <v>2022</v>
      </c>
      <c r="C3047" t="s">
        <v>2101</v>
      </c>
      <c r="D3047" t="s">
        <v>2024</v>
      </c>
      <c r="E3047" t="s">
        <v>8518</v>
      </c>
      <c r="F3047" t="s">
        <v>8519</v>
      </c>
      <c r="G3047">
        <v>3</v>
      </c>
      <c r="H3047">
        <v>1770</v>
      </c>
      <c r="I3047">
        <v>1</v>
      </c>
      <c r="J3047">
        <v>2</v>
      </c>
      <c r="K3047">
        <v>2</v>
      </c>
      <c r="L3047">
        <v>9.6500000000000002E-2</v>
      </c>
      <c r="M3047">
        <v>3</v>
      </c>
      <c r="N3047">
        <v>82</v>
      </c>
      <c r="O3047">
        <v>2</v>
      </c>
      <c r="P3047">
        <v>0.22500000000000001</v>
      </c>
      <c r="Q3047">
        <v>2</v>
      </c>
      <c r="R3047">
        <v>4.4999999999999997E-3</v>
      </c>
      <c r="T3047" s="8" t="s">
        <v>8518</v>
      </c>
    </row>
    <row r="3048" spans="1:20" x14ac:dyDescent="0.2">
      <c r="A3048" t="s">
        <v>8520</v>
      </c>
      <c r="B3048" t="s">
        <v>2022</v>
      </c>
      <c r="C3048" t="s">
        <v>2101</v>
      </c>
      <c r="D3048" t="s">
        <v>2024</v>
      </c>
      <c r="E3048" t="s">
        <v>357</v>
      </c>
      <c r="F3048" t="s">
        <v>8521</v>
      </c>
      <c r="G3048">
        <v>2</v>
      </c>
      <c r="H3048">
        <v>1670</v>
      </c>
      <c r="I3048">
        <v>2</v>
      </c>
      <c r="J3048">
        <v>5</v>
      </c>
      <c r="K3048">
        <v>2</v>
      </c>
      <c r="L3048">
        <v>9.6500000000000002E-2</v>
      </c>
      <c r="M3048">
        <v>3</v>
      </c>
      <c r="N3048">
        <v>82</v>
      </c>
      <c r="O3048">
        <v>2</v>
      </c>
      <c r="P3048">
        <v>0.22500000000000001</v>
      </c>
      <c r="Q3048">
        <v>2</v>
      </c>
      <c r="R3048">
        <v>4.4999999999999997E-3</v>
      </c>
      <c r="T3048" s="8" t="s">
        <v>357</v>
      </c>
    </row>
    <row r="3049" spans="1:20" x14ac:dyDescent="0.2">
      <c r="A3049" t="s">
        <v>8522</v>
      </c>
      <c r="B3049" t="s">
        <v>2022</v>
      </c>
      <c r="C3049" t="s">
        <v>2023</v>
      </c>
      <c r="D3049" t="s">
        <v>2024</v>
      </c>
      <c r="E3049" t="s">
        <v>8523</v>
      </c>
      <c r="F3049" t="s">
        <v>8524</v>
      </c>
      <c r="G3049">
        <v>1</v>
      </c>
      <c r="H3049">
        <v>1480</v>
      </c>
      <c r="I3049">
        <v>2</v>
      </c>
      <c r="J3049">
        <v>3.4</v>
      </c>
      <c r="K3049">
        <v>1</v>
      </c>
      <c r="L3049">
        <v>6.0000000000000001E-3</v>
      </c>
      <c r="M3049">
        <v>3</v>
      </c>
      <c r="N3049">
        <v>94</v>
      </c>
      <c r="O3049">
        <v>1</v>
      </c>
      <c r="P3049">
        <v>7.4999999999999997E-2</v>
      </c>
      <c r="Q3049">
        <v>1</v>
      </c>
      <c r="R3049">
        <v>5.0000000000000001E-4</v>
      </c>
      <c r="T3049" s="8" t="s">
        <v>8523</v>
      </c>
    </row>
    <row r="3050" spans="1:20" x14ac:dyDescent="0.2">
      <c r="A3050" t="s">
        <v>8525</v>
      </c>
      <c r="B3050" t="s">
        <v>2022</v>
      </c>
      <c r="C3050" t="s">
        <v>2053</v>
      </c>
      <c r="D3050" t="s">
        <v>2024</v>
      </c>
      <c r="E3050" t="s">
        <v>8526</v>
      </c>
      <c r="F3050" t="s">
        <v>8527</v>
      </c>
      <c r="G3050">
        <v>5</v>
      </c>
      <c r="H3050">
        <v>1900</v>
      </c>
      <c r="I3050">
        <v>4</v>
      </c>
      <c r="J3050">
        <v>9.0500000000000007</v>
      </c>
      <c r="K3050">
        <v>4</v>
      </c>
      <c r="L3050">
        <v>0.30499999999999999</v>
      </c>
      <c r="M3050">
        <v>1</v>
      </c>
      <c r="N3050">
        <v>73</v>
      </c>
      <c r="O3050">
        <v>3</v>
      </c>
      <c r="P3050">
        <v>0.375</v>
      </c>
      <c r="Q3050">
        <v>3</v>
      </c>
      <c r="R3050">
        <v>1.2200000000000001E-2</v>
      </c>
      <c r="T3050" s="8" t="s">
        <v>8526</v>
      </c>
    </row>
    <row r="3051" spans="1:20" x14ac:dyDescent="0.2">
      <c r="A3051" t="s">
        <v>8528</v>
      </c>
      <c r="B3051" t="s">
        <v>2022</v>
      </c>
      <c r="C3051" t="s">
        <v>2053</v>
      </c>
      <c r="D3051" t="s">
        <v>2024</v>
      </c>
      <c r="E3051" t="s">
        <v>8529</v>
      </c>
      <c r="F3051" t="s">
        <v>8530</v>
      </c>
      <c r="G3051">
        <v>1</v>
      </c>
      <c r="H3051">
        <v>1500</v>
      </c>
      <c r="I3051">
        <v>3</v>
      </c>
      <c r="J3051">
        <v>6.55</v>
      </c>
      <c r="K3051">
        <v>2</v>
      </c>
      <c r="L3051">
        <v>8.5000000000000006E-2</v>
      </c>
      <c r="M3051">
        <v>1</v>
      </c>
      <c r="N3051">
        <v>73</v>
      </c>
      <c r="O3051">
        <v>2</v>
      </c>
      <c r="P3051">
        <v>0.22500000000000001</v>
      </c>
      <c r="Q3051">
        <v>2</v>
      </c>
      <c r="R3051">
        <v>5.1999999999999998E-3</v>
      </c>
      <c r="T3051" s="8" t="s">
        <v>8529</v>
      </c>
    </row>
    <row r="3052" spans="1:20" x14ac:dyDescent="0.2">
      <c r="A3052" t="s">
        <v>8531</v>
      </c>
      <c r="B3052" t="s">
        <v>2022</v>
      </c>
      <c r="C3052" t="s">
        <v>2023</v>
      </c>
      <c r="D3052" t="s">
        <v>2024</v>
      </c>
      <c r="E3052" t="s">
        <v>8532</v>
      </c>
      <c r="F3052" t="s">
        <v>8533</v>
      </c>
      <c r="G3052">
        <v>2</v>
      </c>
      <c r="H3052">
        <v>1560</v>
      </c>
      <c r="I3052">
        <v>3</v>
      </c>
      <c r="J3052">
        <v>5.9</v>
      </c>
      <c r="K3052">
        <v>4</v>
      </c>
      <c r="L3052">
        <v>6.6000000000000003E-2</v>
      </c>
      <c r="M3052">
        <v>2</v>
      </c>
      <c r="N3052">
        <v>84</v>
      </c>
      <c r="O3052">
        <v>2</v>
      </c>
      <c r="P3052">
        <v>0.22500000000000001</v>
      </c>
      <c r="Q3052">
        <v>3</v>
      </c>
      <c r="R3052">
        <v>4.0000000000000001E-3</v>
      </c>
      <c r="T3052" s="8" t="s">
        <v>8532</v>
      </c>
    </row>
    <row r="3053" spans="1:20" x14ac:dyDescent="0.2">
      <c r="A3053" t="s">
        <v>8534</v>
      </c>
      <c r="B3053" t="s">
        <v>2022</v>
      </c>
      <c r="C3053" t="s">
        <v>2101</v>
      </c>
      <c r="D3053" t="s">
        <v>2024</v>
      </c>
      <c r="E3053" t="s">
        <v>8535</v>
      </c>
      <c r="F3053" t="s">
        <v>8536</v>
      </c>
      <c r="G3053">
        <v>2</v>
      </c>
      <c r="H3053">
        <v>1670</v>
      </c>
      <c r="I3053">
        <v>2</v>
      </c>
      <c r="J3053">
        <v>5</v>
      </c>
      <c r="K3053">
        <v>3</v>
      </c>
      <c r="L3053">
        <v>0.24349999999999999</v>
      </c>
      <c r="M3053">
        <v>3</v>
      </c>
      <c r="N3053">
        <v>82</v>
      </c>
      <c r="O3053">
        <v>2</v>
      </c>
      <c r="P3053">
        <v>0.22500000000000001</v>
      </c>
      <c r="Q3053">
        <v>3</v>
      </c>
      <c r="R3053">
        <v>1.15E-2</v>
      </c>
      <c r="T3053" s="8" t="s">
        <v>8535</v>
      </c>
    </row>
    <row r="3054" spans="1:20" x14ac:dyDescent="0.2">
      <c r="A3054" t="s">
        <v>8537</v>
      </c>
      <c r="B3054" t="s">
        <v>2022</v>
      </c>
      <c r="C3054" t="s">
        <v>2023</v>
      </c>
      <c r="D3054" t="s">
        <v>2136</v>
      </c>
      <c r="E3054" t="s">
        <v>8538</v>
      </c>
      <c r="F3054" t="s">
        <v>8539</v>
      </c>
      <c r="G3054">
        <v>2</v>
      </c>
      <c r="H3054">
        <v>1560</v>
      </c>
      <c r="I3054">
        <v>2</v>
      </c>
      <c r="J3054">
        <v>3.4</v>
      </c>
      <c r="K3054">
        <v>5</v>
      </c>
      <c r="L3054">
        <v>8.5999999999999993E-2</v>
      </c>
      <c r="M3054">
        <v>5</v>
      </c>
      <c r="N3054">
        <v>114</v>
      </c>
      <c r="O3054">
        <v>5</v>
      </c>
      <c r="P3054">
        <v>0.67500000000000004</v>
      </c>
      <c r="Q3054">
        <v>5</v>
      </c>
      <c r="R3054">
        <v>8.0000000000000002E-3</v>
      </c>
      <c r="T3054" s="8" t="s">
        <v>8538</v>
      </c>
    </row>
    <row r="3055" spans="1:20" x14ac:dyDescent="0.2">
      <c r="A3055" t="s">
        <v>8540</v>
      </c>
      <c r="B3055" t="s">
        <v>2022</v>
      </c>
      <c r="C3055" t="s">
        <v>2036</v>
      </c>
      <c r="D3055" t="s">
        <v>2024</v>
      </c>
      <c r="E3055" t="s">
        <v>8541</v>
      </c>
      <c r="F3055" t="s">
        <v>447</v>
      </c>
      <c r="G3055">
        <v>4</v>
      </c>
      <c r="H3055">
        <v>1840</v>
      </c>
      <c r="I3055">
        <v>4</v>
      </c>
      <c r="J3055">
        <v>5.8</v>
      </c>
      <c r="K3055">
        <v>5</v>
      </c>
      <c r="L3055">
        <v>0.17499999999999999</v>
      </c>
      <c r="M3055">
        <v>4</v>
      </c>
      <c r="N3055">
        <v>94</v>
      </c>
      <c r="O3055">
        <v>3</v>
      </c>
      <c r="P3055">
        <v>0.315</v>
      </c>
      <c r="Q3055">
        <v>4</v>
      </c>
      <c r="R3055">
        <v>9.2499999999999995E-3</v>
      </c>
      <c r="T3055" s="8" t="s">
        <v>8541</v>
      </c>
    </row>
    <row r="3056" spans="1:20" x14ac:dyDescent="0.2">
      <c r="A3056" t="s">
        <v>8542</v>
      </c>
      <c r="B3056" t="s">
        <v>2022</v>
      </c>
      <c r="C3056" t="s">
        <v>2053</v>
      </c>
      <c r="D3056" t="s">
        <v>2024</v>
      </c>
      <c r="E3056" t="s">
        <v>8543</v>
      </c>
      <c r="F3056" t="s">
        <v>447</v>
      </c>
      <c r="G3056">
        <v>4</v>
      </c>
      <c r="H3056">
        <v>1800</v>
      </c>
      <c r="I3056">
        <v>1</v>
      </c>
      <c r="J3056">
        <v>1.55</v>
      </c>
      <c r="K3056">
        <v>1</v>
      </c>
      <c r="L3056">
        <v>1.4999999999999999E-2</v>
      </c>
      <c r="M3056">
        <v>2</v>
      </c>
      <c r="N3056">
        <v>83</v>
      </c>
      <c r="O3056">
        <v>1</v>
      </c>
      <c r="P3056">
        <v>7.4999999999999997E-2</v>
      </c>
      <c r="Q3056">
        <v>1</v>
      </c>
      <c r="R3056">
        <v>8.4999999999999995E-4</v>
      </c>
      <c r="T3056" s="8" t="s">
        <v>8543</v>
      </c>
    </row>
    <row r="3057" spans="1:20" x14ac:dyDescent="0.2">
      <c r="A3057" t="s">
        <v>8544</v>
      </c>
      <c r="B3057" t="s">
        <v>2022</v>
      </c>
      <c r="C3057" t="s">
        <v>2036</v>
      </c>
      <c r="D3057" t="s">
        <v>2024</v>
      </c>
      <c r="E3057" t="s">
        <v>8545</v>
      </c>
      <c r="F3057" t="s">
        <v>8546</v>
      </c>
      <c r="G3057">
        <v>5</v>
      </c>
      <c r="H3057">
        <v>1940</v>
      </c>
      <c r="I3057">
        <v>5</v>
      </c>
      <c r="J3057">
        <v>7</v>
      </c>
      <c r="K3057">
        <v>5</v>
      </c>
      <c r="L3057">
        <v>0.17499999999999999</v>
      </c>
      <c r="M3057">
        <v>5</v>
      </c>
      <c r="N3057">
        <v>100</v>
      </c>
      <c r="O3057">
        <v>4</v>
      </c>
      <c r="P3057">
        <v>0.42499999999999999</v>
      </c>
      <c r="Q3057">
        <v>5</v>
      </c>
      <c r="R3057">
        <v>1.2E-2</v>
      </c>
      <c r="T3057" s="8" t="s">
        <v>8545</v>
      </c>
    </row>
    <row r="3058" spans="1:20" x14ac:dyDescent="0.2">
      <c r="A3058" t="s">
        <v>8547</v>
      </c>
      <c r="B3058" t="s">
        <v>2022</v>
      </c>
      <c r="C3058" t="s">
        <v>2023</v>
      </c>
      <c r="D3058" t="s">
        <v>2024</v>
      </c>
      <c r="E3058" t="s">
        <v>8548</v>
      </c>
      <c r="F3058" t="s">
        <v>8549</v>
      </c>
      <c r="G3058">
        <v>1</v>
      </c>
      <c r="H3058">
        <v>1480</v>
      </c>
      <c r="I3058">
        <v>2</v>
      </c>
      <c r="J3058">
        <v>3.4</v>
      </c>
      <c r="K3058">
        <v>3</v>
      </c>
      <c r="L3058">
        <v>4.5999999999999999E-2</v>
      </c>
      <c r="M3058">
        <v>1</v>
      </c>
      <c r="N3058">
        <v>74</v>
      </c>
      <c r="O3058">
        <v>1</v>
      </c>
      <c r="P3058">
        <v>7.4999999999999997E-2</v>
      </c>
      <c r="Q3058">
        <v>2</v>
      </c>
      <c r="R3058">
        <v>2E-3</v>
      </c>
      <c r="T3058" s="8" t="s">
        <v>8548</v>
      </c>
    </row>
    <row r="3059" spans="1:20" x14ac:dyDescent="0.2">
      <c r="A3059" t="s">
        <v>8550</v>
      </c>
      <c r="B3059" t="s">
        <v>2022</v>
      </c>
      <c r="C3059" t="s">
        <v>2023</v>
      </c>
      <c r="D3059" t="s">
        <v>2024</v>
      </c>
      <c r="E3059" t="s">
        <v>8551</v>
      </c>
      <c r="F3059" t="s">
        <v>8552</v>
      </c>
      <c r="G3059">
        <v>4</v>
      </c>
      <c r="H3059">
        <v>1720</v>
      </c>
      <c r="I3059">
        <v>4</v>
      </c>
      <c r="J3059">
        <v>8.4</v>
      </c>
      <c r="K3059">
        <v>5</v>
      </c>
      <c r="L3059">
        <v>8.5999999999999993E-2</v>
      </c>
      <c r="M3059">
        <v>3</v>
      </c>
      <c r="N3059">
        <v>94</v>
      </c>
      <c r="O3059">
        <v>3</v>
      </c>
      <c r="P3059">
        <v>0.375</v>
      </c>
      <c r="Q3059">
        <v>5</v>
      </c>
      <c r="R3059">
        <v>8.0000000000000002E-3</v>
      </c>
      <c r="T3059" s="8" t="s">
        <v>8551</v>
      </c>
    </row>
    <row r="3060" spans="1:20" x14ac:dyDescent="0.2">
      <c r="A3060" t="s">
        <v>8553</v>
      </c>
      <c r="B3060" t="s">
        <v>2022</v>
      </c>
      <c r="C3060" t="s">
        <v>2036</v>
      </c>
      <c r="D3060" t="s">
        <v>2024</v>
      </c>
      <c r="E3060" t="s">
        <v>8554</v>
      </c>
      <c r="F3060" t="s">
        <v>8555</v>
      </c>
      <c r="G3060">
        <v>1</v>
      </c>
      <c r="H3060">
        <v>1540</v>
      </c>
      <c r="I3060">
        <v>1</v>
      </c>
      <c r="J3060">
        <v>2.2000000000000002</v>
      </c>
      <c r="K3060">
        <v>1</v>
      </c>
      <c r="L3060">
        <v>5.5E-2</v>
      </c>
      <c r="M3060">
        <v>3</v>
      </c>
      <c r="N3060">
        <v>88</v>
      </c>
      <c r="O3060">
        <v>2</v>
      </c>
      <c r="P3060">
        <v>0.20499999999999999</v>
      </c>
      <c r="Q3060">
        <v>1</v>
      </c>
      <c r="R3060">
        <v>1.5E-3</v>
      </c>
      <c r="T3060" s="8" t="s">
        <v>8554</v>
      </c>
    </row>
    <row r="3061" spans="1:20" x14ac:dyDescent="0.2">
      <c r="A3061" t="s">
        <v>8556</v>
      </c>
      <c r="B3061" t="s">
        <v>2022</v>
      </c>
      <c r="C3061" t="s">
        <v>2053</v>
      </c>
      <c r="D3061" t="s">
        <v>2024</v>
      </c>
      <c r="E3061" t="s">
        <v>8557</v>
      </c>
      <c r="F3061" t="s">
        <v>8558</v>
      </c>
      <c r="G3061">
        <v>4</v>
      </c>
      <c r="H3061">
        <v>1800</v>
      </c>
      <c r="I3061">
        <v>4</v>
      </c>
      <c r="J3061">
        <v>9.0500000000000007</v>
      </c>
      <c r="K3061">
        <v>4</v>
      </c>
      <c r="L3061">
        <v>0.30499999999999999</v>
      </c>
      <c r="M3061">
        <v>2</v>
      </c>
      <c r="N3061">
        <v>83</v>
      </c>
      <c r="O3061">
        <v>3</v>
      </c>
      <c r="P3061">
        <v>0.375</v>
      </c>
      <c r="Q3061">
        <v>3</v>
      </c>
      <c r="R3061">
        <v>1.2200000000000001E-2</v>
      </c>
      <c r="T3061" s="8" t="s">
        <v>8557</v>
      </c>
    </row>
    <row r="3062" spans="1:20" x14ac:dyDescent="0.2">
      <c r="A3062" t="s">
        <v>8559</v>
      </c>
      <c r="B3062" t="s">
        <v>2022</v>
      </c>
      <c r="C3062" t="s">
        <v>2049</v>
      </c>
      <c r="D3062" t="s">
        <v>2024</v>
      </c>
      <c r="E3062" t="s">
        <v>8560</v>
      </c>
      <c r="F3062" t="s">
        <v>8561</v>
      </c>
      <c r="G3062">
        <v>5</v>
      </c>
      <c r="H3062">
        <v>1750</v>
      </c>
      <c r="I3062">
        <v>5</v>
      </c>
      <c r="J3062">
        <v>8.6</v>
      </c>
      <c r="K3062">
        <v>4</v>
      </c>
      <c r="L3062">
        <v>0.22</v>
      </c>
      <c r="M3062">
        <v>2</v>
      </c>
      <c r="N3062">
        <v>106</v>
      </c>
      <c r="O3062">
        <v>3</v>
      </c>
      <c r="P3062">
        <v>0.46</v>
      </c>
      <c r="Q3062">
        <v>3</v>
      </c>
      <c r="R3062">
        <v>1.52E-2</v>
      </c>
      <c r="T3062" s="8" t="s">
        <v>8560</v>
      </c>
    </row>
    <row r="3063" spans="1:20" x14ac:dyDescent="0.2">
      <c r="A3063" t="s">
        <v>8562</v>
      </c>
      <c r="B3063" t="s">
        <v>2022</v>
      </c>
      <c r="C3063" t="s">
        <v>2023</v>
      </c>
      <c r="D3063" t="s">
        <v>2024</v>
      </c>
      <c r="E3063" t="s">
        <v>8563</v>
      </c>
      <c r="F3063" t="s">
        <v>8564</v>
      </c>
      <c r="G3063">
        <v>2</v>
      </c>
      <c r="H3063">
        <v>1560</v>
      </c>
      <c r="I3063">
        <v>2</v>
      </c>
      <c r="J3063">
        <v>3.4</v>
      </c>
      <c r="K3063">
        <v>2</v>
      </c>
      <c r="L3063">
        <v>2.5999999999999999E-2</v>
      </c>
      <c r="M3063">
        <v>2</v>
      </c>
      <c r="N3063">
        <v>84</v>
      </c>
      <c r="O3063">
        <v>2</v>
      </c>
      <c r="P3063">
        <v>0.22500000000000001</v>
      </c>
      <c r="Q3063">
        <v>1</v>
      </c>
      <c r="R3063">
        <v>5.0000000000000001E-4</v>
      </c>
      <c r="T3063" s="8" t="s">
        <v>8563</v>
      </c>
    </row>
    <row r="3064" spans="1:20" x14ac:dyDescent="0.2">
      <c r="A3064" t="s">
        <v>8565</v>
      </c>
      <c r="B3064" t="s">
        <v>2022</v>
      </c>
      <c r="C3064" t="s">
        <v>2023</v>
      </c>
      <c r="D3064" t="s">
        <v>2024</v>
      </c>
      <c r="E3064" t="s">
        <v>357</v>
      </c>
      <c r="F3064" t="s">
        <v>8566</v>
      </c>
      <c r="G3064">
        <v>4</v>
      </c>
      <c r="H3064">
        <v>1720</v>
      </c>
      <c r="I3064">
        <v>4</v>
      </c>
      <c r="J3064">
        <v>8.4</v>
      </c>
      <c r="K3064">
        <v>5</v>
      </c>
      <c r="L3064">
        <v>8.5999999999999993E-2</v>
      </c>
      <c r="M3064">
        <v>4</v>
      </c>
      <c r="N3064">
        <v>104</v>
      </c>
      <c r="O3064">
        <v>4</v>
      </c>
      <c r="P3064">
        <v>0.52500000000000002</v>
      </c>
      <c r="Q3064">
        <v>5</v>
      </c>
      <c r="R3064">
        <v>8.0000000000000002E-3</v>
      </c>
      <c r="T3064" s="8" t="s">
        <v>357</v>
      </c>
    </row>
    <row r="3065" spans="1:20" x14ac:dyDescent="0.2">
      <c r="A3065" t="s">
        <v>8567</v>
      </c>
      <c r="B3065" t="s">
        <v>2022</v>
      </c>
      <c r="C3065" t="s">
        <v>2023</v>
      </c>
      <c r="D3065" t="s">
        <v>2024</v>
      </c>
      <c r="E3065" t="s">
        <v>8568</v>
      </c>
      <c r="F3065" t="s">
        <v>8569</v>
      </c>
      <c r="G3065">
        <v>2</v>
      </c>
      <c r="H3065">
        <v>1560</v>
      </c>
      <c r="I3065">
        <v>2</v>
      </c>
      <c r="J3065">
        <v>3.4</v>
      </c>
      <c r="K3065">
        <v>2</v>
      </c>
      <c r="L3065">
        <v>2.5999999999999999E-2</v>
      </c>
      <c r="M3065">
        <v>2</v>
      </c>
      <c r="N3065">
        <v>84</v>
      </c>
      <c r="O3065">
        <v>1</v>
      </c>
      <c r="P3065">
        <v>7.4999999999999997E-2</v>
      </c>
      <c r="Q3065">
        <v>1</v>
      </c>
      <c r="R3065">
        <v>5.0000000000000001E-4</v>
      </c>
      <c r="T3065" s="8" t="s">
        <v>8568</v>
      </c>
    </row>
    <row r="3066" spans="1:20" x14ac:dyDescent="0.2">
      <c r="A3066" t="s">
        <v>8570</v>
      </c>
      <c r="B3066" t="s">
        <v>2022</v>
      </c>
      <c r="C3066" t="s">
        <v>2095</v>
      </c>
      <c r="D3066" t="s">
        <v>2024</v>
      </c>
      <c r="E3066" t="s">
        <v>8571</v>
      </c>
      <c r="F3066" t="s">
        <v>8572</v>
      </c>
      <c r="G3066">
        <v>2</v>
      </c>
      <c r="H3066">
        <v>1655</v>
      </c>
      <c r="I3066">
        <v>3</v>
      </c>
      <c r="J3066">
        <v>10.5</v>
      </c>
      <c r="K3066">
        <v>3</v>
      </c>
      <c r="L3066">
        <v>0.33</v>
      </c>
      <c r="M3066">
        <v>3</v>
      </c>
      <c r="N3066">
        <v>86</v>
      </c>
      <c r="O3066">
        <v>3</v>
      </c>
      <c r="P3066">
        <v>0.55000000000000004</v>
      </c>
      <c r="Q3066">
        <v>3</v>
      </c>
      <c r="R3066">
        <v>1.49E-2</v>
      </c>
      <c r="T3066" s="8" t="s">
        <v>8571</v>
      </c>
    </row>
    <row r="3067" spans="1:20" x14ac:dyDescent="0.2">
      <c r="A3067" t="s">
        <v>8573</v>
      </c>
      <c r="B3067" t="s">
        <v>2022</v>
      </c>
      <c r="C3067" t="s">
        <v>2023</v>
      </c>
      <c r="D3067" t="s">
        <v>2024</v>
      </c>
      <c r="E3067" t="s">
        <v>8574</v>
      </c>
      <c r="F3067" t="s">
        <v>8575</v>
      </c>
      <c r="G3067">
        <v>3</v>
      </c>
      <c r="H3067">
        <v>1640</v>
      </c>
      <c r="I3067">
        <v>3</v>
      </c>
      <c r="J3067">
        <v>5.9</v>
      </c>
      <c r="K3067">
        <v>5</v>
      </c>
      <c r="L3067">
        <v>8.5999999999999993E-2</v>
      </c>
      <c r="M3067">
        <v>2</v>
      </c>
      <c r="N3067">
        <v>84</v>
      </c>
      <c r="O3067">
        <v>2</v>
      </c>
      <c r="P3067">
        <v>0.22500000000000001</v>
      </c>
      <c r="Q3067">
        <v>5</v>
      </c>
      <c r="R3067">
        <v>8.0000000000000002E-3</v>
      </c>
      <c r="T3067" s="8" t="s">
        <v>8574</v>
      </c>
    </row>
    <row r="3068" spans="1:20" x14ac:dyDescent="0.2">
      <c r="A3068" t="s">
        <v>8576</v>
      </c>
      <c r="B3068" t="s">
        <v>2022</v>
      </c>
      <c r="C3068" t="s">
        <v>2104</v>
      </c>
      <c r="D3068" t="s">
        <v>2024</v>
      </c>
      <c r="E3068" t="s">
        <v>8577</v>
      </c>
      <c r="F3068" t="s">
        <v>8578</v>
      </c>
      <c r="G3068">
        <v>5</v>
      </c>
      <c r="H3068">
        <v>2237.5</v>
      </c>
      <c r="I3068">
        <v>5</v>
      </c>
      <c r="J3068">
        <v>10.15</v>
      </c>
      <c r="K3068">
        <v>5</v>
      </c>
      <c r="L3068">
        <v>0.191</v>
      </c>
      <c r="M3068">
        <v>5</v>
      </c>
      <c r="N3068">
        <v>89</v>
      </c>
      <c r="P3068">
        <v>0</v>
      </c>
      <c r="Q3068">
        <v>4</v>
      </c>
      <c r="R3068">
        <v>1.32E-2</v>
      </c>
      <c r="T3068" s="8" t="s">
        <v>8577</v>
      </c>
    </row>
    <row r="3069" spans="1:20" x14ac:dyDescent="0.2">
      <c r="A3069" t="s">
        <v>8579</v>
      </c>
      <c r="B3069" t="s">
        <v>2022</v>
      </c>
      <c r="C3069" t="s">
        <v>2101</v>
      </c>
      <c r="D3069" t="s">
        <v>2024</v>
      </c>
      <c r="E3069" t="s">
        <v>8580</v>
      </c>
      <c r="F3069" t="s">
        <v>8581</v>
      </c>
      <c r="G3069">
        <v>1</v>
      </c>
      <c r="H3069">
        <v>1570</v>
      </c>
      <c r="I3069">
        <v>5</v>
      </c>
      <c r="J3069">
        <v>14</v>
      </c>
      <c r="K3069">
        <v>5</v>
      </c>
      <c r="L3069">
        <v>0.53749999999999998</v>
      </c>
      <c r="M3069">
        <v>3</v>
      </c>
      <c r="N3069">
        <v>82</v>
      </c>
      <c r="O3069">
        <v>5</v>
      </c>
      <c r="P3069">
        <v>0.67500000000000004</v>
      </c>
      <c r="Q3069">
        <v>5</v>
      </c>
      <c r="R3069">
        <v>2.5499999999999998E-2</v>
      </c>
      <c r="T3069" s="8" t="s">
        <v>8580</v>
      </c>
    </row>
    <row r="3070" spans="1:20" x14ac:dyDescent="0.2">
      <c r="A3070" t="s">
        <v>8582</v>
      </c>
      <c r="B3070" t="s">
        <v>2022</v>
      </c>
      <c r="C3070" t="s">
        <v>2173</v>
      </c>
      <c r="D3070" t="s">
        <v>2136</v>
      </c>
      <c r="E3070" t="s">
        <v>8583</v>
      </c>
      <c r="F3070" t="s">
        <v>8584</v>
      </c>
      <c r="G3070">
        <v>1</v>
      </c>
      <c r="H3070">
        <v>1882.5</v>
      </c>
      <c r="I3070">
        <v>1</v>
      </c>
      <c r="J3070">
        <v>3.65</v>
      </c>
      <c r="K3070">
        <v>1</v>
      </c>
      <c r="L3070">
        <v>1.4999999999999999E-2</v>
      </c>
      <c r="M3070">
        <v>3</v>
      </c>
      <c r="N3070">
        <v>118.5</v>
      </c>
      <c r="O3070">
        <v>1</v>
      </c>
      <c r="P3070">
        <v>0.15</v>
      </c>
      <c r="Q3070">
        <v>1</v>
      </c>
      <c r="R3070">
        <v>6.4999999999999997E-4</v>
      </c>
      <c r="T3070" s="8" t="s">
        <v>8583</v>
      </c>
    </row>
    <row r="3071" spans="1:20" x14ac:dyDescent="0.2">
      <c r="A3071" t="s">
        <v>8585</v>
      </c>
      <c r="B3071" t="s">
        <v>2022</v>
      </c>
      <c r="C3071" t="s">
        <v>2053</v>
      </c>
      <c r="D3071" t="s">
        <v>2024</v>
      </c>
      <c r="E3071" t="s">
        <v>8586</v>
      </c>
      <c r="F3071" t="s">
        <v>447</v>
      </c>
      <c r="G3071">
        <v>3</v>
      </c>
      <c r="H3071">
        <v>1700</v>
      </c>
      <c r="I3071">
        <v>2</v>
      </c>
      <c r="J3071">
        <v>4.05</v>
      </c>
      <c r="K3071">
        <v>1</v>
      </c>
      <c r="L3071">
        <v>1.4999999999999999E-2</v>
      </c>
      <c r="M3071">
        <v>3</v>
      </c>
      <c r="N3071">
        <v>93</v>
      </c>
      <c r="O3071">
        <v>2</v>
      </c>
      <c r="P3071">
        <v>0.22500000000000001</v>
      </c>
      <c r="Q3071">
        <v>1</v>
      </c>
      <c r="R3071">
        <v>8.4999999999999995E-4</v>
      </c>
      <c r="T3071" s="8" t="s">
        <v>8586</v>
      </c>
    </row>
    <row r="3072" spans="1:20" x14ac:dyDescent="0.2">
      <c r="A3072" t="s">
        <v>8587</v>
      </c>
      <c r="B3072" t="s">
        <v>2022</v>
      </c>
      <c r="C3072" t="s">
        <v>2023</v>
      </c>
      <c r="D3072" t="s">
        <v>2024</v>
      </c>
      <c r="E3072" t="s">
        <v>8588</v>
      </c>
      <c r="F3072" t="s">
        <v>8589</v>
      </c>
      <c r="G3072">
        <v>5</v>
      </c>
      <c r="H3072">
        <v>1800</v>
      </c>
      <c r="I3072">
        <v>5</v>
      </c>
      <c r="J3072">
        <v>10.9</v>
      </c>
      <c r="K3072">
        <v>5</v>
      </c>
      <c r="L3072">
        <v>8.5999999999999993E-2</v>
      </c>
      <c r="M3072">
        <v>5</v>
      </c>
      <c r="N3072">
        <v>114</v>
      </c>
      <c r="O3072">
        <v>5</v>
      </c>
      <c r="P3072">
        <v>0.67500000000000004</v>
      </c>
      <c r="Q3072">
        <v>5</v>
      </c>
      <c r="R3072">
        <v>8.0000000000000002E-3</v>
      </c>
      <c r="T3072" s="8" t="s">
        <v>8588</v>
      </c>
    </row>
    <row r="3073" spans="1:20" x14ac:dyDescent="0.2">
      <c r="A3073" t="s">
        <v>8590</v>
      </c>
      <c r="B3073" t="s">
        <v>2022</v>
      </c>
      <c r="C3073" t="s">
        <v>2104</v>
      </c>
      <c r="D3073" t="s">
        <v>2024</v>
      </c>
      <c r="E3073" t="s">
        <v>8591</v>
      </c>
      <c r="F3073" t="s">
        <v>8592</v>
      </c>
      <c r="G3073">
        <v>2</v>
      </c>
      <c r="H3073">
        <v>1712.5</v>
      </c>
      <c r="I3073">
        <v>4</v>
      </c>
      <c r="J3073">
        <v>7.85</v>
      </c>
      <c r="K3073">
        <v>3</v>
      </c>
      <c r="L3073">
        <v>9.0999999999999998E-2</v>
      </c>
      <c r="M3073">
        <v>3</v>
      </c>
      <c r="N3073">
        <v>73</v>
      </c>
      <c r="P3073">
        <v>0</v>
      </c>
      <c r="Q3073">
        <v>2</v>
      </c>
      <c r="R3073">
        <v>3.2000000000000002E-3</v>
      </c>
      <c r="T3073" s="8" t="s">
        <v>8591</v>
      </c>
    </row>
    <row r="3074" spans="1:20" x14ac:dyDescent="0.2">
      <c r="A3074" t="s">
        <v>8593</v>
      </c>
      <c r="B3074" t="s">
        <v>2022</v>
      </c>
      <c r="C3074" t="s">
        <v>2023</v>
      </c>
      <c r="D3074" t="s">
        <v>2024</v>
      </c>
      <c r="E3074" t="s">
        <v>8594</v>
      </c>
      <c r="F3074" t="s">
        <v>8595</v>
      </c>
      <c r="G3074">
        <v>3</v>
      </c>
      <c r="H3074">
        <v>1640</v>
      </c>
      <c r="I3074">
        <v>2</v>
      </c>
      <c r="J3074">
        <v>3.4</v>
      </c>
      <c r="K3074">
        <v>2</v>
      </c>
      <c r="L3074">
        <v>2.5999999999999999E-2</v>
      </c>
      <c r="M3074">
        <v>4</v>
      </c>
      <c r="N3074">
        <v>104</v>
      </c>
      <c r="O3074">
        <v>1</v>
      </c>
      <c r="P3074">
        <v>7.4999999999999997E-2</v>
      </c>
      <c r="Q3074">
        <v>2</v>
      </c>
      <c r="R3074">
        <v>2E-3</v>
      </c>
      <c r="T3074" s="8" t="s">
        <v>8594</v>
      </c>
    </row>
    <row r="3075" spans="1:20" x14ac:dyDescent="0.2">
      <c r="A3075" t="s">
        <v>8596</v>
      </c>
      <c r="B3075" t="s">
        <v>2022</v>
      </c>
      <c r="C3075" t="s">
        <v>2053</v>
      </c>
      <c r="D3075" t="s">
        <v>2024</v>
      </c>
      <c r="E3075" t="s">
        <v>8597</v>
      </c>
      <c r="F3075" t="s">
        <v>447</v>
      </c>
      <c r="G3075">
        <v>3</v>
      </c>
      <c r="H3075">
        <v>1700</v>
      </c>
      <c r="I3075">
        <v>4</v>
      </c>
      <c r="J3075">
        <v>9.0500000000000007</v>
      </c>
      <c r="K3075">
        <v>3</v>
      </c>
      <c r="L3075">
        <v>0.19500000000000001</v>
      </c>
      <c r="M3075">
        <v>3</v>
      </c>
      <c r="N3075">
        <v>93</v>
      </c>
      <c r="O3075">
        <v>4</v>
      </c>
      <c r="P3075">
        <v>0.52500000000000002</v>
      </c>
      <c r="Q3075">
        <v>3</v>
      </c>
      <c r="R3075">
        <v>1.2200000000000001E-2</v>
      </c>
      <c r="T3075" s="8" t="s">
        <v>8597</v>
      </c>
    </row>
    <row r="3076" spans="1:20" x14ac:dyDescent="0.2">
      <c r="A3076" t="s">
        <v>8598</v>
      </c>
      <c r="B3076" t="s">
        <v>2022</v>
      </c>
      <c r="C3076" t="s">
        <v>2023</v>
      </c>
      <c r="D3076" t="s">
        <v>2024</v>
      </c>
      <c r="E3076" t="s">
        <v>8599</v>
      </c>
      <c r="F3076" t="s">
        <v>8600</v>
      </c>
      <c r="G3076">
        <v>5</v>
      </c>
      <c r="H3076">
        <v>1800</v>
      </c>
      <c r="I3076">
        <v>5</v>
      </c>
      <c r="J3076">
        <v>10.9</v>
      </c>
      <c r="K3076">
        <v>5</v>
      </c>
      <c r="L3076">
        <v>8.5999999999999993E-2</v>
      </c>
      <c r="M3076">
        <v>2</v>
      </c>
      <c r="N3076">
        <v>84</v>
      </c>
      <c r="O3076">
        <v>5</v>
      </c>
      <c r="P3076">
        <v>0.67500000000000004</v>
      </c>
      <c r="Q3076">
        <v>5</v>
      </c>
      <c r="R3076">
        <v>8.0000000000000002E-3</v>
      </c>
      <c r="T3076" s="8" t="s">
        <v>8599</v>
      </c>
    </row>
    <row r="3077" spans="1:20" x14ac:dyDescent="0.2">
      <c r="A3077" t="s">
        <v>8601</v>
      </c>
      <c r="B3077" t="s">
        <v>2022</v>
      </c>
      <c r="C3077" t="s">
        <v>2036</v>
      </c>
      <c r="D3077" t="s">
        <v>2024</v>
      </c>
      <c r="E3077" t="s">
        <v>8602</v>
      </c>
      <c r="F3077" t="s">
        <v>8603</v>
      </c>
      <c r="G3077">
        <v>2</v>
      </c>
      <c r="H3077">
        <v>1640</v>
      </c>
      <c r="I3077">
        <v>2</v>
      </c>
      <c r="J3077">
        <v>3.4</v>
      </c>
      <c r="K3077">
        <v>1</v>
      </c>
      <c r="L3077">
        <v>5.5E-2</v>
      </c>
      <c r="M3077">
        <v>4</v>
      </c>
      <c r="N3077">
        <v>94</v>
      </c>
      <c r="O3077">
        <v>2</v>
      </c>
      <c r="P3077">
        <v>0.20499999999999999</v>
      </c>
      <c r="Q3077">
        <v>2</v>
      </c>
      <c r="R3077">
        <v>4.2500000000000003E-3</v>
      </c>
      <c r="T3077" s="8" t="s">
        <v>8602</v>
      </c>
    </row>
    <row r="3078" spans="1:20" x14ac:dyDescent="0.2">
      <c r="A3078" t="s">
        <v>8604</v>
      </c>
      <c r="B3078" t="s">
        <v>2022</v>
      </c>
      <c r="C3078" t="s">
        <v>2023</v>
      </c>
      <c r="D3078" t="s">
        <v>2024</v>
      </c>
      <c r="E3078" t="s">
        <v>8605</v>
      </c>
      <c r="F3078" t="s">
        <v>8606</v>
      </c>
      <c r="G3078">
        <v>3</v>
      </c>
      <c r="H3078">
        <v>1640</v>
      </c>
      <c r="I3078">
        <v>2</v>
      </c>
      <c r="J3078">
        <v>3.4</v>
      </c>
      <c r="K3078">
        <v>2</v>
      </c>
      <c r="L3078">
        <v>2.5999999999999999E-2</v>
      </c>
      <c r="M3078">
        <v>1</v>
      </c>
      <c r="N3078">
        <v>74</v>
      </c>
      <c r="O3078">
        <v>2</v>
      </c>
      <c r="P3078">
        <v>0.22500000000000001</v>
      </c>
      <c r="Q3078">
        <v>1</v>
      </c>
      <c r="R3078">
        <v>5.0000000000000001E-4</v>
      </c>
      <c r="T3078" s="8" t="s">
        <v>8605</v>
      </c>
    </row>
    <row r="3079" spans="1:20" x14ac:dyDescent="0.2">
      <c r="A3079" t="s">
        <v>8607</v>
      </c>
      <c r="B3079" t="s">
        <v>2022</v>
      </c>
      <c r="C3079" t="s">
        <v>2053</v>
      </c>
      <c r="D3079" t="s">
        <v>2024</v>
      </c>
      <c r="E3079" t="s">
        <v>8608</v>
      </c>
      <c r="F3079" t="s">
        <v>8609</v>
      </c>
      <c r="G3079">
        <v>5</v>
      </c>
      <c r="H3079">
        <v>1900</v>
      </c>
      <c r="I3079">
        <v>5</v>
      </c>
      <c r="J3079">
        <v>11.55</v>
      </c>
      <c r="K3079">
        <v>5</v>
      </c>
      <c r="L3079">
        <v>0.41499999999999998</v>
      </c>
      <c r="M3079">
        <v>2</v>
      </c>
      <c r="N3079">
        <v>83</v>
      </c>
      <c r="O3079">
        <v>4</v>
      </c>
      <c r="P3079">
        <v>0.52500000000000002</v>
      </c>
      <c r="Q3079">
        <v>4</v>
      </c>
      <c r="R3079">
        <v>1.9199999999999998E-2</v>
      </c>
      <c r="T3079" s="8" t="s">
        <v>8608</v>
      </c>
    </row>
    <row r="3080" spans="1:20" x14ac:dyDescent="0.2">
      <c r="A3080" t="s">
        <v>8610</v>
      </c>
      <c r="B3080" t="s">
        <v>2022</v>
      </c>
      <c r="C3080" t="s">
        <v>2095</v>
      </c>
      <c r="D3080" t="s">
        <v>2024</v>
      </c>
      <c r="E3080" t="s">
        <v>8611</v>
      </c>
      <c r="F3080" t="s">
        <v>447</v>
      </c>
      <c r="G3080">
        <v>5</v>
      </c>
      <c r="H3080">
        <v>1925</v>
      </c>
      <c r="I3080">
        <v>5</v>
      </c>
      <c r="J3080">
        <v>16.5</v>
      </c>
      <c r="K3080">
        <v>5</v>
      </c>
      <c r="L3080">
        <v>0.73</v>
      </c>
      <c r="M3080">
        <v>5</v>
      </c>
      <c r="N3080">
        <v>98</v>
      </c>
      <c r="O3080">
        <v>5</v>
      </c>
      <c r="P3080">
        <v>0.95</v>
      </c>
      <c r="Q3080">
        <v>5</v>
      </c>
      <c r="R3080">
        <v>3.2899999999999999E-2</v>
      </c>
      <c r="T3080" s="8" t="s">
        <v>8611</v>
      </c>
    </row>
    <row r="3081" spans="1:20" x14ac:dyDescent="0.2">
      <c r="A3081" t="s">
        <v>8612</v>
      </c>
      <c r="B3081" t="s">
        <v>2022</v>
      </c>
      <c r="C3081" t="s">
        <v>2036</v>
      </c>
      <c r="D3081" t="s">
        <v>2024</v>
      </c>
      <c r="E3081" t="s">
        <v>8613</v>
      </c>
      <c r="F3081" t="s">
        <v>8614</v>
      </c>
      <c r="G3081">
        <v>4</v>
      </c>
      <c r="H3081">
        <v>1840</v>
      </c>
      <c r="I3081">
        <v>5</v>
      </c>
      <c r="J3081">
        <v>7</v>
      </c>
      <c r="K3081">
        <v>5</v>
      </c>
      <c r="L3081">
        <v>0.17499999999999999</v>
      </c>
      <c r="M3081">
        <v>5</v>
      </c>
      <c r="N3081">
        <v>100</v>
      </c>
      <c r="O3081">
        <v>5</v>
      </c>
      <c r="P3081">
        <v>0.53500000000000003</v>
      </c>
      <c r="Q3081">
        <v>5</v>
      </c>
      <c r="R3081">
        <v>1.2E-2</v>
      </c>
      <c r="T3081" s="8" t="s">
        <v>8613</v>
      </c>
    </row>
    <row r="3082" spans="1:20" x14ac:dyDescent="0.2">
      <c r="A3082" t="s">
        <v>8615</v>
      </c>
      <c r="B3082" t="s">
        <v>2022</v>
      </c>
      <c r="C3082" t="s">
        <v>2053</v>
      </c>
      <c r="D3082" t="s">
        <v>2024</v>
      </c>
      <c r="E3082" t="s">
        <v>8616</v>
      </c>
      <c r="F3082" t="s">
        <v>447</v>
      </c>
      <c r="G3082">
        <v>2</v>
      </c>
      <c r="H3082">
        <v>1600</v>
      </c>
      <c r="I3082">
        <v>3</v>
      </c>
      <c r="J3082">
        <v>6.55</v>
      </c>
      <c r="K3082">
        <v>3</v>
      </c>
      <c r="L3082">
        <v>0.19500000000000001</v>
      </c>
      <c r="M3082">
        <v>2</v>
      </c>
      <c r="N3082">
        <v>83</v>
      </c>
      <c r="O3082">
        <v>3</v>
      </c>
      <c r="P3082">
        <v>0.375</v>
      </c>
      <c r="Q3082">
        <v>3</v>
      </c>
      <c r="R3082">
        <v>1.2200000000000001E-2</v>
      </c>
      <c r="T3082" s="8" t="s">
        <v>8616</v>
      </c>
    </row>
    <row r="3083" spans="1:20" x14ac:dyDescent="0.2">
      <c r="A3083" t="s">
        <v>8617</v>
      </c>
      <c r="B3083" t="s">
        <v>2022</v>
      </c>
      <c r="C3083" t="s">
        <v>2023</v>
      </c>
      <c r="D3083" t="s">
        <v>2024</v>
      </c>
      <c r="E3083" t="s">
        <v>8618</v>
      </c>
      <c r="F3083" t="s">
        <v>8619</v>
      </c>
      <c r="G3083">
        <v>3</v>
      </c>
      <c r="H3083">
        <v>1640</v>
      </c>
      <c r="I3083">
        <v>3</v>
      </c>
      <c r="J3083">
        <v>5.9</v>
      </c>
      <c r="K3083">
        <v>2</v>
      </c>
      <c r="L3083">
        <v>2.5999999999999999E-2</v>
      </c>
      <c r="M3083">
        <v>1</v>
      </c>
      <c r="N3083">
        <v>74</v>
      </c>
      <c r="O3083">
        <v>2</v>
      </c>
      <c r="P3083">
        <v>0.22500000000000001</v>
      </c>
      <c r="Q3083">
        <v>1</v>
      </c>
      <c r="R3083">
        <v>5.0000000000000001E-4</v>
      </c>
      <c r="T3083" s="8" t="s">
        <v>8618</v>
      </c>
    </row>
    <row r="3084" spans="1:20" x14ac:dyDescent="0.2">
      <c r="A3084" t="s">
        <v>8620</v>
      </c>
      <c r="B3084" t="s">
        <v>2022</v>
      </c>
      <c r="C3084" t="s">
        <v>2023</v>
      </c>
      <c r="D3084" t="s">
        <v>2024</v>
      </c>
      <c r="E3084" t="s">
        <v>8621</v>
      </c>
      <c r="F3084" t="s">
        <v>8622</v>
      </c>
      <c r="G3084">
        <v>5</v>
      </c>
      <c r="H3084">
        <v>1800</v>
      </c>
      <c r="I3084">
        <v>3</v>
      </c>
      <c r="J3084">
        <v>5.9</v>
      </c>
      <c r="K3084">
        <v>5</v>
      </c>
      <c r="L3084">
        <v>8.5999999999999993E-2</v>
      </c>
      <c r="M3084">
        <v>3</v>
      </c>
      <c r="N3084">
        <v>94</v>
      </c>
      <c r="O3084">
        <v>3</v>
      </c>
      <c r="P3084">
        <v>0.375</v>
      </c>
      <c r="Q3084">
        <v>5</v>
      </c>
      <c r="R3084">
        <v>8.0000000000000002E-3</v>
      </c>
      <c r="T3084" s="8" t="s">
        <v>8621</v>
      </c>
    </row>
    <row r="3085" spans="1:20" x14ac:dyDescent="0.2">
      <c r="A3085" t="s">
        <v>8623</v>
      </c>
      <c r="B3085" t="s">
        <v>2022</v>
      </c>
      <c r="C3085" t="s">
        <v>2023</v>
      </c>
      <c r="D3085" t="s">
        <v>2024</v>
      </c>
      <c r="E3085" t="s">
        <v>8624</v>
      </c>
      <c r="F3085" t="s">
        <v>8625</v>
      </c>
      <c r="G3085">
        <v>1</v>
      </c>
      <c r="H3085">
        <v>1480</v>
      </c>
      <c r="I3085">
        <v>2</v>
      </c>
      <c r="J3085">
        <v>3.4</v>
      </c>
      <c r="K3085">
        <v>4</v>
      </c>
      <c r="L3085">
        <v>6.6000000000000003E-2</v>
      </c>
      <c r="M3085">
        <v>1</v>
      </c>
      <c r="N3085">
        <v>74</v>
      </c>
      <c r="O3085">
        <v>2</v>
      </c>
      <c r="P3085">
        <v>0.22500000000000001</v>
      </c>
      <c r="Q3085">
        <v>3</v>
      </c>
      <c r="R3085">
        <v>4.0000000000000001E-3</v>
      </c>
      <c r="T3085" s="8" t="s">
        <v>8624</v>
      </c>
    </row>
    <row r="3086" spans="1:20" x14ac:dyDescent="0.2">
      <c r="A3086" t="s">
        <v>8626</v>
      </c>
      <c r="B3086" t="s">
        <v>2022</v>
      </c>
      <c r="C3086" t="s">
        <v>2104</v>
      </c>
      <c r="D3086" t="s">
        <v>2024</v>
      </c>
      <c r="E3086" t="s">
        <v>8627</v>
      </c>
      <c r="F3086" t="s">
        <v>8628</v>
      </c>
      <c r="G3086">
        <v>5</v>
      </c>
      <c r="H3086">
        <v>2237.5</v>
      </c>
      <c r="I3086">
        <v>5</v>
      </c>
      <c r="J3086">
        <v>10.15</v>
      </c>
      <c r="K3086">
        <v>5</v>
      </c>
      <c r="L3086">
        <v>0.191</v>
      </c>
      <c r="M3086">
        <v>5</v>
      </c>
      <c r="N3086">
        <v>89</v>
      </c>
      <c r="P3086">
        <v>0</v>
      </c>
      <c r="Q3086">
        <v>5</v>
      </c>
      <c r="R3086">
        <v>1.8200000000000001E-2</v>
      </c>
      <c r="T3086" s="8" t="s">
        <v>8627</v>
      </c>
    </row>
    <row r="3087" spans="1:20" x14ac:dyDescent="0.2">
      <c r="A3087" t="s">
        <v>8629</v>
      </c>
      <c r="B3087" t="s">
        <v>2022</v>
      </c>
      <c r="C3087" t="s">
        <v>2053</v>
      </c>
      <c r="D3087" t="s">
        <v>2024</v>
      </c>
      <c r="E3087" t="s">
        <v>8630</v>
      </c>
      <c r="F3087" t="s">
        <v>8631</v>
      </c>
      <c r="G3087">
        <v>1</v>
      </c>
      <c r="H3087">
        <v>1500</v>
      </c>
      <c r="I3087">
        <v>2</v>
      </c>
      <c r="J3087">
        <v>4.05</v>
      </c>
      <c r="K3087">
        <v>2</v>
      </c>
      <c r="L3087">
        <v>8.5000000000000006E-2</v>
      </c>
      <c r="M3087">
        <v>2</v>
      </c>
      <c r="N3087">
        <v>83</v>
      </c>
      <c r="O3087">
        <v>2</v>
      </c>
      <c r="P3087">
        <v>0.22500000000000001</v>
      </c>
      <c r="Q3087">
        <v>2</v>
      </c>
      <c r="R3087">
        <v>5.1999999999999998E-3</v>
      </c>
      <c r="T3087" s="8" t="s">
        <v>8630</v>
      </c>
    </row>
    <row r="3088" spans="1:20" x14ac:dyDescent="0.2">
      <c r="A3088" t="s">
        <v>8632</v>
      </c>
      <c r="B3088" t="s">
        <v>2022</v>
      </c>
      <c r="C3088" t="s">
        <v>2036</v>
      </c>
      <c r="D3088" t="s">
        <v>2024</v>
      </c>
      <c r="E3088" t="s">
        <v>270</v>
      </c>
      <c r="F3088" t="s">
        <v>8633</v>
      </c>
      <c r="G3088">
        <v>1</v>
      </c>
      <c r="H3088">
        <v>1540</v>
      </c>
      <c r="I3088">
        <v>1</v>
      </c>
      <c r="J3088">
        <v>2.2000000000000002</v>
      </c>
      <c r="K3088">
        <v>1</v>
      </c>
      <c r="L3088">
        <v>5.5E-2</v>
      </c>
      <c r="M3088">
        <v>2</v>
      </c>
      <c r="N3088">
        <v>82</v>
      </c>
      <c r="O3088">
        <v>1</v>
      </c>
      <c r="P3088">
        <v>9.5000000000000001E-2</v>
      </c>
      <c r="Q3088">
        <v>2</v>
      </c>
      <c r="R3088">
        <v>4.2500000000000003E-3</v>
      </c>
      <c r="T3088" s="8" t="s">
        <v>270</v>
      </c>
    </row>
    <row r="3089" spans="1:20" x14ac:dyDescent="0.2">
      <c r="A3089" t="s">
        <v>8634</v>
      </c>
      <c r="B3089" t="s">
        <v>2022</v>
      </c>
      <c r="C3089" t="s">
        <v>2095</v>
      </c>
      <c r="D3089" t="s">
        <v>2024</v>
      </c>
      <c r="E3089" t="s">
        <v>8635</v>
      </c>
      <c r="F3089" t="s">
        <v>8636</v>
      </c>
      <c r="G3089">
        <v>3</v>
      </c>
      <c r="H3089">
        <v>1745</v>
      </c>
      <c r="I3089">
        <v>2</v>
      </c>
      <c r="J3089">
        <v>7.5</v>
      </c>
      <c r="K3089">
        <v>2</v>
      </c>
      <c r="L3089">
        <v>0.13</v>
      </c>
      <c r="M3089">
        <v>2</v>
      </c>
      <c r="N3089">
        <v>80</v>
      </c>
      <c r="O3089">
        <v>2</v>
      </c>
      <c r="P3089">
        <v>0.35</v>
      </c>
      <c r="Q3089">
        <v>1</v>
      </c>
      <c r="R3089">
        <v>6.9999999999999999E-4</v>
      </c>
      <c r="T3089" s="8" t="s">
        <v>8635</v>
      </c>
    </row>
    <row r="3090" spans="1:20" x14ac:dyDescent="0.2">
      <c r="A3090" t="s">
        <v>8637</v>
      </c>
      <c r="B3090" t="s">
        <v>2022</v>
      </c>
      <c r="C3090" t="s">
        <v>2023</v>
      </c>
      <c r="D3090" t="s">
        <v>2024</v>
      </c>
      <c r="E3090" t="s">
        <v>8635</v>
      </c>
      <c r="F3090" t="s">
        <v>8636</v>
      </c>
      <c r="G3090">
        <v>2</v>
      </c>
      <c r="H3090">
        <v>1560</v>
      </c>
      <c r="I3090">
        <v>1</v>
      </c>
      <c r="J3090">
        <v>0.9</v>
      </c>
      <c r="K3090">
        <v>1</v>
      </c>
      <c r="L3090">
        <v>6.0000000000000001E-3</v>
      </c>
      <c r="M3090">
        <v>1</v>
      </c>
      <c r="N3090">
        <v>74</v>
      </c>
      <c r="O3090">
        <v>1</v>
      </c>
      <c r="P3090">
        <v>7.4999999999999997E-2</v>
      </c>
      <c r="Q3090">
        <v>1</v>
      </c>
      <c r="R3090">
        <v>5.0000000000000001E-4</v>
      </c>
      <c r="T3090" s="8" t="s">
        <v>8635</v>
      </c>
    </row>
    <row r="3091" spans="1:20" x14ac:dyDescent="0.2">
      <c r="A3091" t="s">
        <v>8638</v>
      </c>
      <c r="B3091" t="s">
        <v>2022</v>
      </c>
      <c r="C3091" t="s">
        <v>2023</v>
      </c>
      <c r="D3091" t="s">
        <v>2024</v>
      </c>
      <c r="E3091" t="s">
        <v>8639</v>
      </c>
      <c r="F3091" t="s">
        <v>8640</v>
      </c>
      <c r="G3091">
        <v>2</v>
      </c>
      <c r="H3091">
        <v>1560</v>
      </c>
      <c r="I3091">
        <v>1</v>
      </c>
      <c r="J3091">
        <v>0.9</v>
      </c>
      <c r="K3091">
        <v>1</v>
      </c>
      <c r="L3091">
        <v>6.0000000000000001E-3</v>
      </c>
      <c r="M3091">
        <v>2</v>
      </c>
      <c r="N3091">
        <v>84</v>
      </c>
      <c r="O3091">
        <v>1</v>
      </c>
      <c r="P3091">
        <v>7.4999999999999997E-2</v>
      </c>
      <c r="Q3091">
        <v>1</v>
      </c>
      <c r="R3091">
        <v>5.0000000000000001E-4</v>
      </c>
      <c r="T3091" s="8" t="s">
        <v>8639</v>
      </c>
    </row>
    <row r="3092" spans="1:20" x14ac:dyDescent="0.2">
      <c r="A3092" t="s">
        <v>8641</v>
      </c>
      <c r="B3092" t="s">
        <v>2022</v>
      </c>
      <c r="C3092" t="s">
        <v>2036</v>
      </c>
      <c r="D3092" t="s">
        <v>2024</v>
      </c>
      <c r="E3092" t="s">
        <v>357</v>
      </c>
      <c r="F3092" t="s">
        <v>8642</v>
      </c>
      <c r="G3092">
        <v>2</v>
      </c>
      <c r="H3092">
        <v>1640</v>
      </c>
      <c r="I3092">
        <v>3</v>
      </c>
      <c r="J3092">
        <v>4.5999999999999996</v>
      </c>
      <c r="K3092">
        <v>1</v>
      </c>
      <c r="L3092">
        <v>5.5E-2</v>
      </c>
      <c r="M3092">
        <v>2</v>
      </c>
      <c r="N3092">
        <v>82</v>
      </c>
      <c r="O3092">
        <v>2</v>
      </c>
      <c r="P3092">
        <v>0.20499999999999999</v>
      </c>
      <c r="Q3092">
        <v>1</v>
      </c>
      <c r="R3092">
        <v>1.5E-3</v>
      </c>
      <c r="T3092" s="8" t="s">
        <v>357</v>
      </c>
    </row>
    <row r="3093" spans="1:20" x14ac:dyDescent="0.2">
      <c r="A3093" t="s">
        <v>8643</v>
      </c>
      <c r="B3093" t="s">
        <v>2022</v>
      </c>
      <c r="C3093" t="s">
        <v>2023</v>
      </c>
      <c r="D3093" t="s">
        <v>2024</v>
      </c>
      <c r="E3093" t="s">
        <v>8644</v>
      </c>
      <c r="F3093" t="s">
        <v>8645</v>
      </c>
      <c r="G3093">
        <v>5</v>
      </c>
      <c r="H3093">
        <v>1800</v>
      </c>
      <c r="I3093">
        <v>2</v>
      </c>
      <c r="J3093">
        <v>3.4</v>
      </c>
      <c r="K3093">
        <v>2</v>
      </c>
      <c r="L3093">
        <v>2.5999999999999999E-2</v>
      </c>
      <c r="M3093">
        <v>3</v>
      </c>
      <c r="N3093">
        <v>94</v>
      </c>
      <c r="O3093">
        <v>1</v>
      </c>
      <c r="P3093">
        <v>7.4999999999999997E-2</v>
      </c>
      <c r="Q3093">
        <v>2</v>
      </c>
      <c r="R3093">
        <v>2E-3</v>
      </c>
      <c r="T3093" s="8" t="s">
        <v>8644</v>
      </c>
    </row>
    <row r="3094" spans="1:20" x14ac:dyDescent="0.2">
      <c r="A3094" t="s">
        <v>8646</v>
      </c>
      <c r="B3094" t="s">
        <v>2022</v>
      </c>
      <c r="C3094" t="s">
        <v>2053</v>
      </c>
      <c r="D3094" t="s">
        <v>2154</v>
      </c>
      <c r="E3094" t="s">
        <v>8647</v>
      </c>
      <c r="F3094" t="s">
        <v>8648</v>
      </c>
      <c r="G3094">
        <v>2</v>
      </c>
      <c r="H3094">
        <v>1600</v>
      </c>
      <c r="I3094">
        <v>3</v>
      </c>
      <c r="J3094">
        <v>6.55</v>
      </c>
      <c r="K3094">
        <v>3</v>
      </c>
      <c r="L3094">
        <v>0.19500000000000001</v>
      </c>
      <c r="M3094">
        <v>2</v>
      </c>
      <c r="N3094">
        <v>83</v>
      </c>
      <c r="O3094">
        <v>3</v>
      </c>
      <c r="P3094">
        <v>0.375</v>
      </c>
      <c r="Q3094">
        <v>2</v>
      </c>
      <c r="R3094">
        <v>5.1999999999999998E-3</v>
      </c>
      <c r="T3094" s="8" t="s">
        <v>8647</v>
      </c>
    </row>
    <row r="3095" spans="1:20" x14ac:dyDescent="0.2">
      <c r="A3095" t="s">
        <v>8649</v>
      </c>
      <c r="B3095" t="s">
        <v>2022</v>
      </c>
      <c r="C3095" t="s">
        <v>2023</v>
      </c>
      <c r="D3095" t="s">
        <v>2154</v>
      </c>
      <c r="E3095" t="s">
        <v>8650</v>
      </c>
      <c r="F3095" t="s">
        <v>447</v>
      </c>
      <c r="G3095">
        <v>2</v>
      </c>
      <c r="H3095">
        <v>1560</v>
      </c>
      <c r="I3095">
        <v>1</v>
      </c>
      <c r="J3095">
        <v>0.9</v>
      </c>
      <c r="K3095">
        <v>1</v>
      </c>
      <c r="L3095">
        <v>6.0000000000000001E-3</v>
      </c>
      <c r="M3095">
        <v>2</v>
      </c>
      <c r="N3095">
        <v>84</v>
      </c>
      <c r="O3095">
        <v>1</v>
      </c>
      <c r="P3095">
        <v>7.4999999999999997E-2</v>
      </c>
      <c r="Q3095">
        <v>1</v>
      </c>
      <c r="R3095">
        <v>5.0000000000000001E-4</v>
      </c>
      <c r="T3095" s="8" t="s">
        <v>8650</v>
      </c>
    </row>
    <row r="3096" spans="1:20" x14ac:dyDescent="0.2">
      <c r="A3096" t="s">
        <v>8651</v>
      </c>
      <c r="B3096" t="s">
        <v>2022</v>
      </c>
      <c r="C3096" t="s">
        <v>2023</v>
      </c>
      <c r="D3096" t="s">
        <v>2154</v>
      </c>
      <c r="E3096" t="s">
        <v>8652</v>
      </c>
      <c r="F3096" t="s">
        <v>8653</v>
      </c>
      <c r="G3096">
        <v>1</v>
      </c>
      <c r="H3096">
        <v>1480</v>
      </c>
      <c r="I3096">
        <v>1</v>
      </c>
      <c r="J3096">
        <v>0.9</v>
      </c>
      <c r="K3096">
        <v>1</v>
      </c>
      <c r="L3096">
        <v>6.0000000000000001E-3</v>
      </c>
      <c r="M3096">
        <v>2</v>
      </c>
      <c r="N3096">
        <v>84</v>
      </c>
      <c r="O3096">
        <v>1</v>
      </c>
      <c r="P3096">
        <v>7.4999999999999997E-2</v>
      </c>
      <c r="Q3096">
        <v>1</v>
      </c>
      <c r="R3096">
        <v>5.0000000000000001E-4</v>
      </c>
      <c r="T3096" s="8" t="s">
        <v>8652</v>
      </c>
    </row>
    <row r="3097" spans="1:20" x14ac:dyDescent="0.2">
      <c r="A3097" t="s">
        <v>8654</v>
      </c>
      <c r="B3097" t="s">
        <v>2022</v>
      </c>
      <c r="C3097" t="s">
        <v>2023</v>
      </c>
      <c r="D3097" t="s">
        <v>2024</v>
      </c>
      <c r="E3097" t="s">
        <v>8655</v>
      </c>
      <c r="F3097" t="s">
        <v>8656</v>
      </c>
      <c r="G3097">
        <v>1</v>
      </c>
      <c r="H3097">
        <v>1480</v>
      </c>
      <c r="I3097">
        <v>3</v>
      </c>
      <c r="J3097">
        <v>5.9</v>
      </c>
      <c r="K3097">
        <v>5</v>
      </c>
      <c r="L3097">
        <v>8.5999999999999993E-2</v>
      </c>
      <c r="M3097">
        <v>2</v>
      </c>
      <c r="N3097">
        <v>84</v>
      </c>
      <c r="O3097">
        <v>2</v>
      </c>
      <c r="P3097">
        <v>0.22500000000000001</v>
      </c>
      <c r="Q3097">
        <v>3</v>
      </c>
      <c r="R3097">
        <v>4.0000000000000001E-3</v>
      </c>
      <c r="T3097" s="8" t="s">
        <v>8655</v>
      </c>
    </row>
    <row r="3098" spans="1:20" x14ac:dyDescent="0.2">
      <c r="A3098" t="s">
        <v>8657</v>
      </c>
      <c r="B3098" t="s">
        <v>2022</v>
      </c>
      <c r="C3098" t="s">
        <v>2023</v>
      </c>
      <c r="D3098" t="s">
        <v>2024</v>
      </c>
      <c r="E3098" t="s">
        <v>8658</v>
      </c>
      <c r="F3098" t="s">
        <v>447</v>
      </c>
      <c r="G3098">
        <v>2</v>
      </c>
      <c r="H3098">
        <v>1560</v>
      </c>
      <c r="I3098">
        <v>5</v>
      </c>
      <c r="J3098">
        <v>10.9</v>
      </c>
      <c r="K3098">
        <v>5</v>
      </c>
      <c r="L3098">
        <v>8.5999999999999993E-2</v>
      </c>
      <c r="M3098">
        <v>5</v>
      </c>
      <c r="N3098">
        <v>114</v>
      </c>
      <c r="O3098">
        <v>5</v>
      </c>
      <c r="P3098">
        <v>0.67500000000000004</v>
      </c>
      <c r="Q3098">
        <v>5</v>
      </c>
      <c r="R3098">
        <v>8.0000000000000002E-3</v>
      </c>
      <c r="T3098" s="8" t="s">
        <v>8658</v>
      </c>
    </row>
    <row r="3099" spans="1:20" x14ac:dyDescent="0.2">
      <c r="A3099" t="s">
        <v>8659</v>
      </c>
      <c r="B3099" t="s">
        <v>2022</v>
      </c>
      <c r="C3099" t="s">
        <v>2053</v>
      </c>
      <c r="D3099" t="s">
        <v>2024</v>
      </c>
      <c r="E3099" t="s">
        <v>357</v>
      </c>
      <c r="F3099" t="s">
        <v>8660</v>
      </c>
      <c r="G3099">
        <v>1</v>
      </c>
      <c r="H3099">
        <v>1500</v>
      </c>
      <c r="I3099">
        <v>5</v>
      </c>
      <c r="J3099">
        <v>11.55</v>
      </c>
      <c r="K3099">
        <v>5</v>
      </c>
      <c r="L3099">
        <v>0.41499999999999998</v>
      </c>
      <c r="M3099">
        <v>5</v>
      </c>
      <c r="N3099">
        <v>113</v>
      </c>
      <c r="O3099">
        <v>5</v>
      </c>
      <c r="P3099">
        <v>0.67500000000000004</v>
      </c>
      <c r="Q3099">
        <v>5</v>
      </c>
      <c r="R3099">
        <v>2.6200000000000001E-2</v>
      </c>
      <c r="T3099" s="8" t="s">
        <v>357</v>
      </c>
    </row>
    <row r="3100" spans="1:20" x14ac:dyDescent="0.2">
      <c r="A3100" t="s">
        <v>8661</v>
      </c>
      <c r="B3100" t="s">
        <v>2022</v>
      </c>
      <c r="C3100" t="s">
        <v>2023</v>
      </c>
      <c r="D3100" t="s">
        <v>2024</v>
      </c>
      <c r="E3100" t="s">
        <v>8662</v>
      </c>
      <c r="F3100" t="s">
        <v>8663</v>
      </c>
      <c r="G3100">
        <v>4</v>
      </c>
      <c r="H3100">
        <v>1720</v>
      </c>
      <c r="I3100">
        <v>2</v>
      </c>
      <c r="J3100">
        <v>3.4</v>
      </c>
      <c r="K3100">
        <v>2</v>
      </c>
      <c r="L3100">
        <v>2.5999999999999999E-2</v>
      </c>
      <c r="M3100">
        <v>3</v>
      </c>
      <c r="N3100">
        <v>94</v>
      </c>
      <c r="O3100">
        <v>1</v>
      </c>
      <c r="P3100">
        <v>7.4999999999999997E-2</v>
      </c>
      <c r="Q3100">
        <v>1</v>
      </c>
      <c r="R3100">
        <v>5.0000000000000001E-4</v>
      </c>
      <c r="T3100" s="8" t="s">
        <v>8662</v>
      </c>
    </row>
    <row r="3101" spans="1:20" x14ac:dyDescent="0.2">
      <c r="A3101" t="s">
        <v>8664</v>
      </c>
      <c r="B3101" t="s">
        <v>2022</v>
      </c>
      <c r="C3101" t="s">
        <v>2101</v>
      </c>
      <c r="D3101" t="s">
        <v>2024</v>
      </c>
      <c r="E3101" t="s">
        <v>8662</v>
      </c>
      <c r="F3101" t="s">
        <v>8663</v>
      </c>
      <c r="G3101">
        <v>5</v>
      </c>
      <c r="H3101">
        <v>1970</v>
      </c>
      <c r="I3101">
        <v>1</v>
      </c>
      <c r="J3101">
        <v>2</v>
      </c>
      <c r="K3101">
        <v>1</v>
      </c>
      <c r="L3101">
        <v>1.15E-2</v>
      </c>
      <c r="M3101">
        <v>5</v>
      </c>
      <c r="N3101">
        <v>98</v>
      </c>
      <c r="O3101">
        <v>1</v>
      </c>
      <c r="P3101">
        <v>7.4999999999999997E-2</v>
      </c>
      <c r="Q3101">
        <v>1</v>
      </c>
      <c r="R3101">
        <v>5.0000000000000001E-4</v>
      </c>
      <c r="T3101" s="8" t="s">
        <v>8662</v>
      </c>
    </row>
    <row r="3102" spans="1:20" x14ac:dyDescent="0.2">
      <c r="A3102" t="s">
        <v>8665</v>
      </c>
      <c r="B3102" t="s">
        <v>2022</v>
      </c>
      <c r="C3102" t="s">
        <v>2023</v>
      </c>
      <c r="D3102" t="s">
        <v>2154</v>
      </c>
      <c r="E3102" t="s">
        <v>8666</v>
      </c>
      <c r="F3102" t="s">
        <v>8667</v>
      </c>
      <c r="G3102">
        <v>4</v>
      </c>
      <c r="H3102">
        <v>1720</v>
      </c>
      <c r="I3102">
        <v>3</v>
      </c>
      <c r="J3102">
        <v>5.9</v>
      </c>
      <c r="K3102">
        <v>2</v>
      </c>
      <c r="L3102">
        <v>2.5999999999999999E-2</v>
      </c>
      <c r="M3102">
        <v>2</v>
      </c>
      <c r="N3102">
        <v>84</v>
      </c>
      <c r="O3102">
        <v>2</v>
      </c>
      <c r="P3102">
        <v>0.22500000000000001</v>
      </c>
      <c r="Q3102">
        <v>2</v>
      </c>
      <c r="R3102">
        <v>2E-3</v>
      </c>
      <c r="T3102" s="8" t="s">
        <v>8666</v>
      </c>
    </row>
    <row r="3103" spans="1:20" x14ac:dyDescent="0.2">
      <c r="A3103" t="s">
        <v>8668</v>
      </c>
      <c r="B3103" t="s">
        <v>2022</v>
      </c>
      <c r="C3103" t="s">
        <v>2023</v>
      </c>
      <c r="D3103" t="s">
        <v>2024</v>
      </c>
      <c r="E3103" t="s">
        <v>8669</v>
      </c>
      <c r="F3103" t="s">
        <v>447</v>
      </c>
      <c r="G3103">
        <v>4</v>
      </c>
      <c r="H3103">
        <v>1720</v>
      </c>
      <c r="I3103">
        <v>3</v>
      </c>
      <c r="J3103">
        <v>5.9</v>
      </c>
      <c r="K3103">
        <v>5</v>
      </c>
      <c r="L3103">
        <v>8.5999999999999993E-2</v>
      </c>
      <c r="M3103">
        <v>2</v>
      </c>
      <c r="N3103">
        <v>84</v>
      </c>
      <c r="O3103">
        <v>2</v>
      </c>
      <c r="P3103">
        <v>0.22500000000000001</v>
      </c>
      <c r="Q3103">
        <v>5</v>
      </c>
      <c r="R3103">
        <v>8.0000000000000002E-3</v>
      </c>
      <c r="T3103" s="8" t="s">
        <v>8669</v>
      </c>
    </row>
    <row r="3104" spans="1:20" x14ac:dyDescent="0.2">
      <c r="A3104" t="s">
        <v>8670</v>
      </c>
      <c r="B3104" t="s">
        <v>2022</v>
      </c>
      <c r="C3104" t="s">
        <v>2053</v>
      </c>
      <c r="D3104" t="s">
        <v>2024</v>
      </c>
      <c r="E3104" t="s">
        <v>8671</v>
      </c>
      <c r="F3104" t="s">
        <v>8672</v>
      </c>
      <c r="G3104">
        <v>3</v>
      </c>
      <c r="H3104">
        <v>1700</v>
      </c>
      <c r="I3104">
        <v>2</v>
      </c>
      <c r="J3104">
        <v>4.05</v>
      </c>
      <c r="K3104">
        <v>2</v>
      </c>
      <c r="L3104">
        <v>8.5000000000000006E-2</v>
      </c>
      <c r="M3104">
        <v>2</v>
      </c>
      <c r="N3104">
        <v>83</v>
      </c>
      <c r="O3104">
        <v>2</v>
      </c>
      <c r="P3104">
        <v>0.22500000000000001</v>
      </c>
      <c r="Q3104">
        <v>2</v>
      </c>
      <c r="R3104">
        <v>5.1999999999999998E-3</v>
      </c>
      <c r="T3104" s="8" t="s">
        <v>8671</v>
      </c>
    </row>
    <row r="3105" spans="1:20" x14ac:dyDescent="0.2">
      <c r="A3105" t="s">
        <v>8673</v>
      </c>
      <c r="B3105" t="s">
        <v>2022</v>
      </c>
      <c r="C3105" t="s">
        <v>2106</v>
      </c>
      <c r="D3105" t="s">
        <v>2024</v>
      </c>
      <c r="E3105" t="s">
        <v>8674</v>
      </c>
      <c r="F3105" t="s">
        <v>2297</v>
      </c>
      <c r="G3105">
        <v>5</v>
      </c>
      <c r="H3105">
        <v>2275</v>
      </c>
      <c r="I3105">
        <v>2</v>
      </c>
      <c r="J3105">
        <v>5.75</v>
      </c>
      <c r="K3105">
        <v>3</v>
      </c>
      <c r="L3105">
        <v>0.14000000000000001</v>
      </c>
      <c r="M3105">
        <v>3</v>
      </c>
      <c r="N3105">
        <v>75.5</v>
      </c>
      <c r="O3105">
        <v>3</v>
      </c>
      <c r="P3105">
        <v>0.25</v>
      </c>
      <c r="Q3105">
        <v>3</v>
      </c>
      <c r="R3105">
        <v>4.4999999999999997E-3</v>
      </c>
      <c r="T3105" s="8" t="s">
        <v>8674</v>
      </c>
    </row>
    <row r="3106" spans="1:20" x14ac:dyDescent="0.2">
      <c r="A3106" t="s">
        <v>8675</v>
      </c>
      <c r="B3106" t="s">
        <v>2022</v>
      </c>
      <c r="C3106" t="s">
        <v>2101</v>
      </c>
      <c r="D3106" t="s">
        <v>2024</v>
      </c>
      <c r="E3106" t="s">
        <v>8676</v>
      </c>
      <c r="F3106" t="s">
        <v>8677</v>
      </c>
      <c r="G3106">
        <v>2</v>
      </c>
      <c r="H3106">
        <v>1670</v>
      </c>
      <c r="I3106">
        <v>2</v>
      </c>
      <c r="J3106">
        <v>5</v>
      </c>
      <c r="K3106">
        <v>2</v>
      </c>
      <c r="L3106">
        <v>9.6500000000000002E-2</v>
      </c>
      <c r="M3106">
        <v>3</v>
      </c>
      <c r="N3106">
        <v>82</v>
      </c>
      <c r="O3106">
        <v>2</v>
      </c>
      <c r="P3106">
        <v>0.22500000000000001</v>
      </c>
      <c r="Q3106">
        <v>2</v>
      </c>
      <c r="R3106">
        <v>4.4999999999999997E-3</v>
      </c>
      <c r="T3106" s="8" t="s">
        <v>8676</v>
      </c>
    </row>
    <row r="3107" spans="1:20" x14ac:dyDescent="0.2">
      <c r="A3107" t="s">
        <v>8675</v>
      </c>
      <c r="B3107" t="s">
        <v>2022</v>
      </c>
      <c r="C3107" t="s">
        <v>2101</v>
      </c>
      <c r="D3107" t="s">
        <v>2024</v>
      </c>
      <c r="E3107" t="s">
        <v>8676</v>
      </c>
      <c r="F3107" t="s">
        <v>8677</v>
      </c>
      <c r="G3107">
        <v>2</v>
      </c>
      <c r="H3107">
        <v>1670</v>
      </c>
      <c r="I3107">
        <v>2</v>
      </c>
      <c r="J3107">
        <v>5</v>
      </c>
      <c r="K3107">
        <v>2</v>
      </c>
      <c r="L3107">
        <v>9.6500000000000002E-2</v>
      </c>
      <c r="M3107">
        <v>3</v>
      </c>
      <c r="N3107">
        <v>82</v>
      </c>
      <c r="O3107">
        <v>2</v>
      </c>
      <c r="P3107">
        <v>0.22500000000000001</v>
      </c>
      <c r="Q3107">
        <v>2</v>
      </c>
      <c r="R3107">
        <v>4.4999999999999997E-3</v>
      </c>
      <c r="T3107" s="8" t="s">
        <v>8676</v>
      </c>
    </row>
    <row r="3108" spans="1:20" x14ac:dyDescent="0.2">
      <c r="A3108" t="s">
        <v>8678</v>
      </c>
      <c r="B3108" t="s">
        <v>2022</v>
      </c>
      <c r="C3108" t="s">
        <v>2023</v>
      </c>
      <c r="D3108" t="s">
        <v>2024</v>
      </c>
      <c r="E3108" t="s">
        <v>8679</v>
      </c>
      <c r="F3108" t="s">
        <v>8680</v>
      </c>
      <c r="G3108">
        <v>1</v>
      </c>
      <c r="H3108">
        <v>1480</v>
      </c>
      <c r="I3108">
        <v>1</v>
      </c>
      <c r="J3108">
        <v>0.9</v>
      </c>
      <c r="K3108">
        <v>1</v>
      </c>
      <c r="L3108">
        <v>6.0000000000000001E-3</v>
      </c>
      <c r="M3108">
        <v>1</v>
      </c>
      <c r="N3108">
        <v>74</v>
      </c>
      <c r="O3108">
        <v>1</v>
      </c>
      <c r="P3108">
        <v>7.4999999999999997E-2</v>
      </c>
      <c r="Q3108">
        <v>1</v>
      </c>
      <c r="R3108">
        <v>5.0000000000000001E-4</v>
      </c>
      <c r="T3108" s="8" t="s">
        <v>8679</v>
      </c>
    </row>
    <row r="3109" spans="1:20" x14ac:dyDescent="0.2">
      <c r="A3109" t="s">
        <v>8681</v>
      </c>
      <c r="B3109" t="s">
        <v>2022</v>
      </c>
      <c r="C3109" t="s">
        <v>2023</v>
      </c>
      <c r="D3109" t="s">
        <v>2136</v>
      </c>
      <c r="E3109" t="s">
        <v>8682</v>
      </c>
      <c r="F3109" t="s">
        <v>2297</v>
      </c>
      <c r="G3109">
        <v>2</v>
      </c>
      <c r="H3109">
        <v>1560</v>
      </c>
      <c r="I3109">
        <v>2</v>
      </c>
      <c r="J3109">
        <v>3.4</v>
      </c>
      <c r="K3109">
        <v>3</v>
      </c>
      <c r="L3109">
        <v>4.5999999999999999E-2</v>
      </c>
      <c r="M3109">
        <v>1</v>
      </c>
      <c r="N3109">
        <v>74</v>
      </c>
      <c r="O3109">
        <v>2</v>
      </c>
      <c r="P3109">
        <v>0.22500000000000001</v>
      </c>
      <c r="Q3109">
        <v>2</v>
      </c>
      <c r="R3109">
        <v>2E-3</v>
      </c>
      <c r="T3109" s="8" t="s">
        <v>8682</v>
      </c>
    </row>
    <row r="3110" spans="1:20" x14ac:dyDescent="0.2">
      <c r="A3110" t="s">
        <v>8683</v>
      </c>
      <c r="B3110" t="s">
        <v>2022</v>
      </c>
      <c r="C3110" t="s">
        <v>2023</v>
      </c>
      <c r="D3110" t="s">
        <v>2024</v>
      </c>
      <c r="E3110" t="s">
        <v>8684</v>
      </c>
      <c r="F3110" t="s">
        <v>8685</v>
      </c>
      <c r="G3110">
        <v>3</v>
      </c>
      <c r="H3110">
        <v>1640</v>
      </c>
      <c r="I3110">
        <v>5</v>
      </c>
      <c r="J3110">
        <v>10.9</v>
      </c>
      <c r="K3110">
        <v>5</v>
      </c>
      <c r="L3110">
        <v>8.5999999999999993E-2</v>
      </c>
      <c r="M3110">
        <v>2</v>
      </c>
      <c r="N3110">
        <v>84</v>
      </c>
      <c r="O3110">
        <v>4</v>
      </c>
      <c r="P3110">
        <v>0.52500000000000002</v>
      </c>
      <c r="Q3110">
        <v>5</v>
      </c>
      <c r="R3110">
        <v>8.0000000000000002E-3</v>
      </c>
      <c r="T3110" s="8" t="s">
        <v>8684</v>
      </c>
    </row>
    <row r="3111" spans="1:20" x14ac:dyDescent="0.2">
      <c r="A3111" t="s">
        <v>8686</v>
      </c>
      <c r="B3111" t="s">
        <v>2022</v>
      </c>
      <c r="C3111" t="s">
        <v>2023</v>
      </c>
      <c r="D3111" t="s">
        <v>2024</v>
      </c>
      <c r="E3111" t="s">
        <v>8687</v>
      </c>
      <c r="F3111" t="s">
        <v>8688</v>
      </c>
      <c r="G3111">
        <v>5</v>
      </c>
      <c r="H3111">
        <v>1800</v>
      </c>
      <c r="I3111">
        <v>2</v>
      </c>
      <c r="J3111">
        <v>3.4</v>
      </c>
      <c r="K3111">
        <v>2</v>
      </c>
      <c r="L3111">
        <v>2.5999999999999999E-2</v>
      </c>
      <c r="M3111">
        <v>3</v>
      </c>
      <c r="N3111">
        <v>94</v>
      </c>
      <c r="O3111">
        <v>2</v>
      </c>
      <c r="P3111">
        <v>0.22500000000000001</v>
      </c>
      <c r="Q3111">
        <v>1</v>
      </c>
      <c r="R3111">
        <v>5.0000000000000001E-4</v>
      </c>
      <c r="T3111" s="8" t="s">
        <v>8687</v>
      </c>
    </row>
    <row r="3112" spans="1:20" x14ac:dyDescent="0.2">
      <c r="A3112" t="s">
        <v>8689</v>
      </c>
      <c r="B3112" t="s">
        <v>2022</v>
      </c>
      <c r="C3112" t="s">
        <v>2023</v>
      </c>
      <c r="D3112" t="s">
        <v>2024</v>
      </c>
      <c r="E3112" t="s">
        <v>8690</v>
      </c>
      <c r="F3112" t="s">
        <v>447</v>
      </c>
      <c r="G3112">
        <v>4</v>
      </c>
      <c r="H3112">
        <v>1720</v>
      </c>
      <c r="I3112">
        <v>3</v>
      </c>
      <c r="J3112">
        <v>5.9</v>
      </c>
      <c r="K3112">
        <v>5</v>
      </c>
      <c r="L3112">
        <v>8.5999999999999993E-2</v>
      </c>
      <c r="M3112">
        <v>2</v>
      </c>
      <c r="N3112">
        <v>84</v>
      </c>
      <c r="O3112">
        <v>2</v>
      </c>
      <c r="P3112">
        <v>0.22500000000000001</v>
      </c>
      <c r="Q3112">
        <v>5</v>
      </c>
      <c r="R3112">
        <v>8.0000000000000002E-3</v>
      </c>
      <c r="T3112" s="8" t="s">
        <v>8690</v>
      </c>
    </row>
    <row r="3113" spans="1:20" x14ac:dyDescent="0.2">
      <c r="A3113" t="s">
        <v>8691</v>
      </c>
      <c r="B3113" t="s">
        <v>2022</v>
      </c>
      <c r="C3113" t="s">
        <v>2053</v>
      </c>
      <c r="D3113" t="s">
        <v>2024</v>
      </c>
      <c r="E3113" t="s">
        <v>8692</v>
      </c>
      <c r="F3113" t="s">
        <v>8693</v>
      </c>
      <c r="G3113">
        <v>3</v>
      </c>
      <c r="H3113">
        <v>1700</v>
      </c>
      <c r="I3113">
        <v>1</v>
      </c>
      <c r="J3113">
        <v>1.55</v>
      </c>
      <c r="K3113">
        <v>2</v>
      </c>
      <c r="L3113">
        <v>8.5000000000000006E-2</v>
      </c>
      <c r="M3113">
        <v>1</v>
      </c>
      <c r="N3113">
        <v>73</v>
      </c>
      <c r="O3113">
        <v>1</v>
      </c>
      <c r="P3113">
        <v>7.4999999999999997E-2</v>
      </c>
      <c r="Q3113">
        <v>2</v>
      </c>
      <c r="R3113">
        <v>5.1999999999999998E-3</v>
      </c>
      <c r="T3113" s="8" t="s">
        <v>8692</v>
      </c>
    </row>
    <row r="3114" spans="1:20" x14ac:dyDescent="0.2">
      <c r="A3114" t="s">
        <v>8694</v>
      </c>
      <c r="B3114" t="s">
        <v>2022</v>
      </c>
      <c r="C3114" t="s">
        <v>2023</v>
      </c>
      <c r="D3114" t="s">
        <v>2024</v>
      </c>
      <c r="E3114" t="s">
        <v>8695</v>
      </c>
      <c r="F3114" t="s">
        <v>2297</v>
      </c>
      <c r="G3114">
        <v>1</v>
      </c>
      <c r="H3114">
        <v>1480</v>
      </c>
      <c r="I3114">
        <v>2</v>
      </c>
      <c r="J3114">
        <v>3.4</v>
      </c>
      <c r="K3114">
        <v>3</v>
      </c>
      <c r="L3114">
        <v>4.5999999999999999E-2</v>
      </c>
      <c r="M3114">
        <v>1</v>
      </c>
      <c r="N3114">
        <v>74</v>
      </c>
      <c r="O3114">
        <v>2</v>
      </c>
      <c r="P3114">
        <v>0.22500000000000001</v>
      </c>
      <c r="Q3114">
        <v>2</v>
      </c>
      <c r="R3114">
        <v>2E-3</v>
      </c>
      <c r="T3114" s="8" t="s">
        <v>8695</v>
      </c>
    </row>
    <row r="3115" spans="1:20" x14ac:dyDescent="0.2">
      <c r="A3115" t="s">
        <v>8696</v>
      </c>
      <c r="B3115" t="s">
        <v>2022</v>
      </c>
      <c r="C3115" t="s">
        <v>2053</v>
      </c>
      <c r="D3115" t="s">
        <v>2024</v>
      </c>
      <c r="E3115" t="s">
        <v>8697</v>
      </c>
      <c r="F3115" t="s">
        <v>8698</v>
      </c>
      <c r="G3115">
        <v>4</v>
      </c>
      <c r="H3115">
        <v>1800</v>
      </c>
      <c r="I3115">
        <v>5</v>
      </c>
      <c r="J3115">
        <v>11.55</v>
      </c>
      <c r="K3115">
        <v>4</v>
      </c>
      <c r="L3115">
        <v>0.30499999999999999</v>
      </c>
      <c r="M3115">
        <v>4</v>
      </c>
      <c r="N3115">
        <v>103</v>
      </c>
      <c r="O3115">
        <v>5</v>
      </c>
      <c r="P3115">
        <v>0.67500000000000004</v>
      </c>
      <c r="Q3115">
        <v>4</v>
      </c>
      <c r="R3115">
        <v>1.9199999999999998E-2</v>
      </c>
      <c r="T3115" s="8" t="s">
        <v>8697</v>
      </c>
    </row>
    <row r="3116" spans="1:20" x14ac:dyDescent="0.2">
      <c r="A3116" t="s">
        <v>8699</v>
      </c>
      <c r="B3116" t="s">
        <v>2022</v>
      </c>
      <c r="C3116" t="s">
        <v>2023</v>
      </c>
      <c r="D3116" t="s">
        <v>2024</v>
      </c>
      <c r="E3116" t="s">
        <v>8700</v>
      </c>
      <c r="F3116" t="s">
        <v>2297</v>
      </c>
      <c r="G3116">
        <v>3</v>
      </c>
      <c r="H3116">
        <v>1640</v>
      </c>
      <c r="I3116">
        <v>2</v>
      </c>
      <c r="J3116">
        <v>3.4</v>
      </c>
      <c r="K3116">
        <v>4</v>
      </c>
      <c r="L3116">
        <v>6.6000000000000003E-2</v>
      </c>
      <c r="M3116">
        <v>1</v>
      </c>
      <c r="N3116">
        <v>74</v>
      </c>
      <c r="O3116">
        <v>1</v>
      </c>
      <c r="P3116">
        <v>7.4999999999999997E-2</v>
      </c>
      <c r="Q3116">
        <v>3</v>
      </c>
      <c r="R3116">
        <v>4.0000000000000001E-3</v>
      </c>
      <c r="T3116" s="8" t="s">
        <v>8700</v>
      </c>
    </row>
    <row r="3117" spans="1:20" x14ac:dyDescent="0.2">
      <c r="A3117" t="s">
        <v>8701</v>
      </c>
      <c r="B3117" t="s">
        <v>2022</v>
      </c>
      <c r="C3117" t="s">
        <v>2023</v>
      </c>
      <c r="D3117" t="s">
        <v>2024</v>
      </c>
      <c r="E3117" t="s">
        <v>8702</v>
      </c>
      <c r="F3117" t="s">
        <v>2297</v>
      </c>
      <c r="G3117">
        <v>5</v>
      </c>
      <c r="H3117">
        <v>1800</v>
      </c>
      <c r="I3117">
        <v>1</v>
      </c>
      <c r="J3117">
        <v>0.9</v>
      </c>
      <c r="K3117">
        <v>3</v>
      </c>
      <c r="L3117">
        <v>4.5999999999999999E-2</v>
      </c>
      <c r="M3117">
        <v>2</v>
      </c>
      <c r="N3117">
        <v>84</v>
      </c>
      <c r="O3117">
        <v>1</v>
      </c>
      <c r="P3117">
        <v>7.4999999999999997E-2</v>
      </c>
      <c r="Q3117">
        <v>2</v>
      </c>
      <c r="R3117">
        <v>2E-3</v>
      </c>
      <c r="T3117" s="8" t="s">
        <v>8702</v>
      </c>
    </row>
    <row r="3118" spans="1:20" x14ac:dyDescent="0.2">
      <c r="A3118" t="s">
        <v>8703</v>
      </c>
      <c r="B3118" t="s">
        <v>2022</v>
      </c>
      <c r="C3118" t="s">
        <v>2053</v>
      </c>
      <c r="D3118" t="s">
        <v>2154</v>
      </c>
      <c r="E3118" t="s">
        <v>8704</v>
      </c>
      <c r="F3118" t="s">
        <v>2297</v>
      </c>
      <c r="G3118">
        <v>4</v>
      </c>
      <c r="H3118">
        <v>1800</v>
      </c>
      <c r="I3118">
        <v>1</v>
      </c>
      <c r="J3118">
        <v>1.55</v>
      </c>
      <c r="K3118">
        <v>2</v>
      </c>
      <c r="L3118">
        <v>8.5000000000000006E-2</v>
      </c>
      <c r="M3118">
        <v>2</v>
      </c>
      <c r="N3118">
        <v>83</v>
      </c>
      <c r="O3118">
        <v>1</v>
      </c>
      <c r="P3118">
        <v>7.4999999999999997E-2</v>
      </c>
      <c r="Q3118">
        <v>2</v>
      </c>
      <c r="R3118">
        <v>5.1999999999999998E-3</v>
      </c>
      <c r="T3118" s="8" t="s">
        <v>8704</v>
      </c>
    </row>
    <row r="3119" spans="1:20" x14ac:dyDescent="0.2">
      <c r="A3119" t="s">
        <v>8705</v>
      </c>
      <c r="B3119" t="s">
        <v>2022</v>
      </c>
      <c r="C3119" t="s">
        <v>2023</v>
      </c>
      <c r="D3119" t="s">
        <v>2024</v>
      </c>
      <c r="E3119" t="s">
        <v>357</v>
      </c>
      <c r="F3119" t="s">
        <v>8706</v>
      </c>
      <c r="G3119">
        <v>2</v>
      </c>
      <c r="H3119">
        <v>1560</v>
      </c>
      <c r="I3119">
        <v>3</v>
      </c>
      <c r="J3119">
        <v>5.9</v>
      </c>
      <c r="K3119">
        <v>4</v>
      </c>
      <c r="L3119">
        <v>6.6000000000000003E-2</v>
      </c>
      <c r="M3119">
        <v>5</v>
      </c>
      <c r="N3119">
        <v>114</v>
      </c>
      <c r="O3119">
        <v>3</v>
      </c>
      <c r="P3119">
        <v>0.375</v>
      </c>
      <c r="Q3119">
        <v>4</v>
      </c>
      <c r="R3119">
        <v>6.0000000000000001E-3</v>
      </c>
      <c r="T3119" s="8" t="s">
        <v>357</v>
      </c>
    </row>
    <row r="3120" spans="1:20" x14ac:dyDescent="0.2">
      <c r="A3120" t="s">
        <v>8707</v>
      </c>
      <c r="B3120" t="s">
        <v>2022</v>
      </c>
      <c r="C3120" t="s">
        <v>2023</v>
      </c>
      <c r="D3120" t="s">
        <v>2024</v>
      </c>
      <c r="E3120" t="s">
        <v>8708</v>
      </c>
      <c r="F3120" t="s">
        <v>8709</v>
      </c>
      <c r="G3120">
        <v>5</v>
      </c>
      <c r="H3120">
        <v>1800</v>
      </c>
      <c r="I3120">
        <v>2</v>
      </c>
      <c r="J3120">
        <v>3.4</v>
      </c>
      <c r="K3120">
        <v>2</v>
      </c>
      <c r="L3120">
        <v>2.5999999999999999E-2</v>
      </c>
      <c r="M3120">
        <v>5</v>
      </c>
      <c r="N3120">
        <v>114</v>
      </c>
      <c r="O3120">
        <v>2</v>
      </c>
      <c r="P3120">
        <v>0.22500000000000001</v>
      </c>
      <c r="Q3120">
        <v>2</v>
      </c>
      <c r="R3120">
        <v>2E-3</v>
      </c>
      <c r="T3120" s="8" t="s">
        <v>8708</v>
      </c>
    </row>
    <row r="3121" spans="1:20" x14ac:dyDescent="0.2">
      <c r="A3121" t="s">
        <v>8710</v>
      </c>
      <c r="B3121" t="s">
        <v>2022</v>
      </c>
      <c r="C3121" t="s">
        <v>2106</v>
      </c>
      <c r="D3121" t="s">
        <v>2024</v>
      </c>
      <c r="E3121" t="s">
        <v>357</v>
      </c>
      <c r="F3121" t="s">
        <v>8711</v>
      </c>
      <c r="G3121">
        <v>1</v>
      </c>
      <c r="H3121">
        <v>1675</v>
      </c>
      <c r="I3121">
        <v>5</v>
      </c>
      <c r="J3121">
        <v>13.25</v>
      </c>
      <c r="K3121">
        <v>5</v>
      </c>
      <c r="L3121">
        <v>0.3</v>
      </c>
      <c r="M3121">
        <v>1</v>
      </c>
      <c r="N3121">
        <v>61.5</v>
      </c>
      <c r="O3121">
        <v>5</v>
      </c>
      <c r="P3121">
        <v>0.45</v>
      </c>
      <c r="Q3121">
        <v>5</v>
      </c>
      <c r="R3121">
        <v>8.5000000000000006E-3</v>
      </c>
      <c r="T3121" s="8" t="s">
        <v>357</v>
      </c>
    </row>
    <row r="3122" spans="1:20" x14ac:dyDescent="0.2">
      <c r="A3122" t="s">
        <v>8712</v>
      </c>
      <c r="B3122" t="s">
        <v>2022</v>
      </c>
      <c r="C3122" t="s">
        <v>2028</v>
      </c>
      <c r="D3122" t="s">
        <v>2024</v>
      </c>
      <c r="E3122" t="s">
        <v>8713</v>
      </c>
      <c r="F3122" t="s">
        <v>8714</v>
      </c>
      <c r="G3122">
        <v>5</v>
      </c>
      <c r="H3122">
        <v>1450</v>
      </c>
      <c r="I3122">
        <v>5</v>
      </c>
      <c r="J3122">
        <v>6.65</v>
      </c>
      <c r="K3122">
        <v>5</v>
      </c>
      <c r="L3122">
        <v>0.26700000000000002</v>
      </c>
      <c r="M3122">
        <v>2</v>
      </c>
      <c r="N3122">
        <v>200</v>
      </c>
      <c r="O3122">
        <v>5</v>
      </c>
      <c r="P3122">
        <v>1.35</v>
      </c>
      <c r="Q3122">
        <v>5</v>
      </c>
      <c r="R3122">
        <v>3.3500000000000002E-2</v>
      </c>
      <c r="T3122" s="8" t="s">
        <v>8713</v>
      </c>
    </row>
    <row r="3123" spans="1:20" x14ac:dyDescent="0.2">
      <c r="A3123" t="s">
        <v>8715</v>
      </c>
      <c r="B3123" t="s">
        <v>2022</v>
      </c>
      <c r="C3123" t="s">
        <v>2222</v>
      </c>
      <c r="D3123" t="s">
        <v>2024</v>
      </c>
      <c r="E3123" t="s">
        <v>8716</v>
      </c>
      <c r="F3123" t="s">
        <v>8717</v>
      </c>
      <c r="G3123">
        <v>2</v>
      </c>
      <c r="H3123">
        <v>1550</v>
      </c>
      <c r="I3123">
        <v>1</v>
      </c>
      <c r="J3123">
        <v>2.2999999999999998</v>
      </c>
      <c r="K3123">
        <v>1</v>
      </c>
      <c r="L3123">
        <v>0.01</v>
      </c>
      <c r="M3123">
        <v>2</v>
      </c>
      <c r="N3123">
        <v>63</v>
      </c>
      <c r="O3123">
        <v>2</v>
      </c>
      <c r="P3123">
        <v>0.15</v>
      </c>
      <c r="Q3123">
        <v>1</v>
      </c>
      <c r="R3123">
        <v>4.0000000000000002E-4</v>
      </c>
      <c r="T3123" s="8" t="s">
        <v>8716</v>
      </c>
    </row>
    <row r="3124" spans="1:20" x14ac:dyDescent="0.2">
      <c r="A3124" t="s">
        <v>8718</v>
      </c>
      <c r="B3124" t="s">
        <v>2022</v>
      </c>
      <c r="C3124" t="s">
        <v>2036</v>
      </c>
      <c r="D3124" t="s">
        <v>2024</v>
      </c>
      <c r="E3124" t="s">
        <v>8719</v>
      </c>
      <c r="F3124" t="s">
        <v>8720</v>
      </c>
      <c r="G3124">
        <v>1</v>
      </c>
      <c r="H3124">
        <v>1540</v>
      </c>
      <c r="I3124">
        <v>2</v>
      </c>
      <c r="J3124">
        <v>3.4</v>
      </c>
      <c r="K3124">
        <v>1</v>
      </c>
      <c r="L3124">
        <v>5.5E-2</v>
      </c>
      <c r="M3124">
        <v>3</v>
      </c>
      <c r="N3124">
        <v>88</v>
      </c>
      <c r="O3124">
        <v>2</v>
      </c>
      <c r="P3124">
        <v>0.20499999999999999</v>
      </c>
      <c r="Q3124">
        <v>1</v>
      </c>
      <c r="R3124">
        <v>1.5E-3</v>
      </c>
      <c r="T3124" s="8" t="s">
        <v>8719</v>
      </c>
    </row>
    <row r="3125" spans="1:20" x14ac:dyDescent="0.2">
      <c r="A3125" t="s">
        <v>8721</v>
      </c>
      <c r="B3125" t="s">
        <v>2022</v>
      </c>
      <c r="C3125" t="s">
        <v>2053</v>
      </c>
      <c r="D3125" t="s">
        <v>2024</v>
      </c>
      <c r="E3125" t="s">
        <v>8722</v>
      </c>
      <c r="F3125" t="s">
        <v>8723</v>
      </c>
      <c r="G3125">
        <v>3</v>
      </c>
      <c r="H3125">
        <v>1700</v>
      </c>
      <c r="I3125">
        <v>3</v>
      </c>
      <c r="J3125">
        <v>6.55</v>
      </c>
      <c r="K3125">
        <v>3</v>
      </c>
      <c r="L3125">
        <v>0.19500000000000001</v>
      </c>
      <c r="M3125">
        <v>1</v>
      </c>
      <c r="N3125">
        <v>73</v>
      </c>
      <c r="O3125">
        <v>2</v>
      </c>
      <c r="P3125">
        <v>0.22500000000000001</v>
      </c>
      <c r="Q3125">
        <v>3</v>
      </c>
      <c r="R3125">
        <v>1.2200000000000001E-2</v>
      </c>
      <c r="T3125" s="8" t="s">
        <v>8722</v>
      </c>
    </row>
    <row r="3126" spans="1:20" x14ac:dyDescent="0.2">
      <c r="A3126" t="s">
        <v>8724</v>
      </c>
      <c r="B3126" t="s">
        <v>2022</v>
      </c>
      <c r="C3126" t="s">
        <v>2053</v>
      </c>
      <c r="D3126" t="s">
        <v>2024</v>
      </c>
      <c r="E3126" t="s">
        <v>8725</v>
      </c>
      <c r="F3126" t="s">
        <v>8726</v>
      </c>
      <c r="G3126">
        <v>3</v>
      </c>
      <c r="H3126">
        <v>1700</v>
      </c>
      <c r="I3126">
        <v>2</v>
      </c>
      <c r="J3126">
        <v>4.05</v>
      </c>
      <c r="K3126">
        <v>2</v>
      </c>
      <c r="L3126">
        <v>8.5000000000000006E-2</v>
      </c>
      <c r="M3126">
        <v>1</v>
      </c>
      <c r="N3126">
        <v>73</v>
      </c>
      <c r="O3126">
        <v>2</v>
      </c>
      <c r="P3126">
        <v>0.22500000000000001</v>
      </c>
      <c r="Q3126">
        <v>2</v>
      </c>
      <c r="R3126">
        <v>5.1999999999999998E-3</v>
      </c>
      <c r="T3126" s="8" t="s">
        <v>8725</v>
      </c>
    </row>
    <row r="3127" spans="1:20" x14ac:dyDescent="0.2">
      <c r="A3127" t="s">
        <v>8727</v>
      </c>
      <c r="B3127" t="s">
        <v>2022</v>
      </c>
      <c r="C3127" t="s">
        <v>2053</v>
      </c>
      <c r="D3127" t="s">
        <v>2024</v>
      </c>
      <c r="E3127" t="s">
        <v>8728</v>
      </c>
      <c r="F3127" t="s">
        <v>447</v>
      </c>
      <c r="G3127">
        <v>5</v>
      </c>
      <c r="H3127">
        <v>1900</v>
      </c>
      <c r="I3127">
        <v>3</v>
      </c>
      <c r="J3127">
        <v>6.55</v>
      </c>
      <c r="K3127">
        <v>3</v>
      </c>
      <c r="L3127">
        <v>0.19500000000000001</v>
      </c>
      <c r="M3127">
        <v>2</v>
      </c>
      <c r="N3127">
        <v>83</v>
      </c>
      <c r="O3127">
        <v>2</v>
      </c>
      <c r="P3127">
        <v>0.22500000000000001</v>
      </c>
      <c r="Q3127">
        <v>2</v>
      </c>
      <c r="R3127">
        <v>5.1999999999999998E-3</v>
      </c>
      <c r="T3127" s="8" t="s">
        <v>8728</v>
      </c>
    </row>
    <row r="3128" spans="1:20" x14ac:dyDescent="0.2">
      <c r="A3128" t="s">
        <v>8729</v>
      </c>
      <c r="B3128" t="s">
        <v>2022</v>
      </c>
      <c r="C3128" t="s">
        <v>2036</v>
      </c>
      <c r="D3128" t="s">
        <v>2024</v>
      </c>
      <c r="E3128" t="s">
        <v>8730</v>
      </c>
      <c r="F3128" t="s">
        <v>8731</v>
      </c>
      <c r="G3128">
        <v>1</v>
      </c>
      <c r="H3128">
        <v>1540</v>
      </c>
      <c r="I3128">
        <v>2</v>
      </c>
      <c r="J3128">
        <v>3.4</v>
      </c>
      <c r="K3128">
        <v>1</v>
      </c>
      <c r="L3128">
        <v>5.5E-2</v>
      </c>
      <c r="M3128">
        <v>1</v>
      </c>
      <c r="N3128">
        <v>76</v>
      </c>
      <c r="O3128">
        <v>2</v>
      </c>
      <c r="P3128">
        <v>0.20499999999999999</v>
      </c>
      <c r="Q3128">
        <v>1</v>
      </c>
      <c r="R3128">
        <v>1.5E-3</v>
      </c>
      <c r="T3128" s="8" t="s">
        <v>8730</v>
      </c>
    </row>
    <row r="3129" spans="1:20" x14ac:dyDescent="0.2">
      <c r="A3129" t="s">
        <v>8732</v>
      </c>
      <c r="B3129" t="s">
        <v>2022</v>
      </c>
      <c r="C3129" t="s">
        <v>2053</v>
      </c>
      <c r="D3129" t="s">
        <v>2136</v>
      </c>
      <c r="E3129" t="s">
        <v>8733</v>
      </c>
      <c r="F3129" t="s">
        <v>8734</v>
      </c>
      <c r="G3129">
        <v>2</v>
      </c>
      <c r="H3129">
        <v>1600</v>
      </c>
      <c r="I3129">
        <v>5</v>
      </c>
      <c r="J3129">
        <v>11.55</v>
      </c>
      <c r="K3129">
        <v>5</v>
      </c>
      <c r="L3129">
        <v>0.41499999999999998</v>
      </c>
      <c r="M3129">
        <v>5</v>
      </c>
      <c r="N3129">
        <v>113</v>
      </c>
      <c r="O3129">
        <v>5</v>
      </c>
      <c r="P3129">
        <v>0.67500000000000004</v>
      </c>
      <c r="Q3129">
        <v>5</v>
      </c>
      <c r="R3129">
        <v>2.6200000000000001E-2</v>
      </c>
      <c r="T3129" s="8" t="s">
        <v>8733</v>
      </c>
    </row>
    <row r="3130" spans="1:20" x14ac:dyDescent="0.2">
      <c r="A3130" t="s">
        <v>8735</v>
      </c>
      <c r="B3130" t="s">
        <v>2022</v>
      </c>
      <c r="C3130" t="s">
        <v>2023</v>
      </c>
      <c r="D3130" t="s">
        <v>2024</v>
      </c>
      <c r="E3130" t="s">
        <v>8736</v>
      </c>
      <c r="F3130" t="s">
        <v>8737</v>
      </c>
      <c r="G3130">
        <v>2</v>
      </c>
      <c r="H3130">
        <v>1560</v>
      </c>
      <c r="I3130">
        <v>2</v>
      </c>
      <c r="J3130">
        <v>3.4</v>
      </c>
      <c r="K3130">
        <v>2</v>
      </c>
      <c r="L3130">
        <v>2.5999999999999999E-2</v>
      </c>
      <c r="M3130">
        <v>2</v>
      </c>
      <c r="N3130">
        <v>84</v>
      </c>
      <c r="O3130">
        <v>1</v>
      </c>
      <c r="P3130">
        <v>7.4999999999999997E-2</v>
      </c>
      <c r="Q3130">
        <v>2</v>
      </c>
      <c r="R3130">
        <v>2E-3</v>
      </c>
      <c r="T3130" s="8" t="s">
        <v>8736</v>
      </c>
    </row>
    <row r="3131" spans="1:20" x14ac:dyDescent="0.2">
      <c r="A3131" t="s">
        <v>8738</v>
      </c>
      <c r="B3131" t="s">
        <v>2022</v>
      </c>
      <c r="C3131" t="s">
        <v>2023</v>
      </c>
      <c r="D3131" t="s">
        <v>2024</v>
      </c>
      <c r="E3131" t="s">
        <v>2050</v>
      </c>
      <c r="F3131" t="s">
        <v>8739</v>
      </c>
      <c r="G3131">
        <v>1</v>
      </c>
      <c r="H3131">
        <v>1480</v>
      </c>
      <c r="I3131">
        <v>5</v>
      </c>
      <c r="J3131">
        <v>10.9</v>
      </c>
      <c r="K3131">
        <v>4</v>
      </c>
      <c r="L3131">
        <v>6.6000000000000003E-2</v>
      </c>
      <c r="M3131">
        <v>2</v>
      </c>
      <c r="N3131">
        <v>84</v>
      </c>
      <c r="O3131">
        <v>5</v>
      </c>
      <c r="P3131">
        <v>0.67500000000000004</v>
      </c>
      <c r="Q3131">
        <v>3</v>
      </c>
      <c r="R3131">
        <v>4.0000000000000001E-3</v>
      </c>
      <c r="T3131" s="8" t="s">
        <v>2050</v>
      </c>
    </row>
    <row r="3132" spans="1:20" x14ac:dyDescent="0.2">
      <c r="A3132" t="s">
        <v>8740</v>
      </c>
      <c r="B3132" t="s">
        <v>2022</v>
      </c>
      <c r="C3132" t="s">
        <v>2101</v>
      </c>
      <c r="D3132" t="s">
        <v>2024</v>
      </c>
      <c r="E3132" t="s">
        <v>8741</v>
      </c>
      <c r="F3132" t="s">
        <v>8742</v>
      </c>
      <c r="G3132">
        <v>5</v>
      </c>
      <c r="H3132">
        <v>1970</v>
      </c>
      <c r="I3132">
        <v>2</v>
      </c>
      <c r="J3132">
        <v>5</v>
      </c>
      <c r="K3132">
        <v>2</v>
      </c>
      <c r="L3132">
        <v>9.6500000000000002E-2</v>
      </c>
      <c r="M3132">
        <v>3</v>
      </c>
      <c r="N3132">
        <v>82</v>
      </c>
      <c r="O3132">
        <v>2</v>
      </c>
      <c r="P3132">
        <v>0.22500000000000001</v>
      </c>
      <c r="Q3132">
        <v>2</v>
      </c>
      <c r="R3132">
        <v>4.4999999999999997E-3</v>
      </c>
      <c r="T3132" s="8" t="s">
        <v>8741</v>
      </c>
    </row>
    <row r="3133" spans="1:20" x14ac:dyDescent="0.2">
      <c r="A3133" t="s">
        <v>8743</v>
      </c>
      <c r="B3133" t="s">
        <v>2022</v>
      </c>
      <c r="C3133" t="s">
        <v>2023</v>
      </c>
      <c r="D3133" t="s">
        <v>2024</v>
      </c>
      <c r="E3133" t="s">
        <v>8744</v>
      </c>
      <c r="F3133" t="s">
        <v>8745</v>
      </c>
      <c r="G3133">
        <v>1</v>
      </c>
      <c r="H3133">
        <v>1480</v>
      </c>
      <c r="I3133">
        <v>1</v>
      </c>
      <c r="J3133">
        <v>0.9</v>
      </c>
      <c r="K3133">
        <v>1</v>
      </c>
      <c r="L3133">
        <v>6.0000000000000001E-3</v>
      </c>
      <c r="M3133">
        <v>3</v>
      </c>
      <c r="N3133">
        <v>94</v>
      </c>
      <c r="O3133">
        <v>1</v>
      </c>
      <c r="P3133">
        <v>7.4999999999999997E-2</v>
      </c>
      <c r="Q3133">
        <v>1</v>
      </c>
      <c r="R3133">
        <v>5.0000000000000001E-4</v>
      </c>
      <c r="T3133" s="8" t="s">
        <v>8744</v>
      </c>
    </row>
    <row r="3134" spans="1:20" x14ac:dyDescent="0.2">
      <c r="A3134" t="s">
        <v>8746</v>
      </c>
      <c r="B3134" t="s">
        <v>2022</v>
      </c>
      <c r="C3134" t="s">
        <v>2036</v>
      </c>
      <c r="D3134" t="s">
        <v>2024</v>
      </c>
      <c r="E3134" t="s">
        <v>8747</v>
      </c>
      <c r="F3134" t="s">
        <v>8748</v>
      </c>
      <c r="G3134">
        <v>1</v>
      </c>
      <c r="H3134">
        <v>1540</v>
      </c>
      <c r="I3134">
        <v>2</v>
      </c>
      <c r="J3134">
        <v>3.4</v>
      </c>
      <c r="K3134">
        <v>3</v>
      </c>
      <c r="L3134">
        <v>0.115</v>
      </c>
      <c r="M3134">
        <v>3</v>
      </c>
      <c r="N3134">
        <v>88</v>
      </c>
      <c r="O3134">
        <v>2</v>
      </c>
      <c r="P3134">
        <v>0.20499999999999999</v>
      </c>
      <c r="Q3134">
        <v>3</v>
      </c>
      <c r="R3134">
        <v>6.7499999999999999E-3</v>
      </c>
      <c r="T3134" s="8" t="s">
        <v>8747</v>
      </c>
    </row>
    <row r="3135" spans="1:20" x14ac:dyDescent="0.2">
      <c r="A3135" t="s">
        <v>8749</v>
      </c>
      <c r="B3135" t="s">
        <v>2022</v>
      </c>
      <c r="C3135" t="s">
        <v>2173</v>
      </c>
      <c r="D3135" t="s">
        <v>2024</v>
      </c>
      <c r="E3135" t="s">
        <v>8750</v>
      </c>
      <c r="F3135" t="s">
        <v>8751</v>
      </c>
      <c r="G3135">
        <v>1</v>
      </c>
      <c r="H3135">
        <v>1882.5</v>
      </c>
      <c r="I3135">
        <v>3</v>
      </c>
      <c r="J3135">
        <v>9.0500000000000007</v>
      </c>
      <c r="K3135">
        <v>2</v>
      </c>
      <c r="L3135">
        <v>0.09</v>
      </c>
      <c r="M3135">
        <v>4</v>
      </c>
      <c r="N3135">
        <v>129.5</v>
      </c>
      <c r="O3135">
        <v>3</v>
      </c>
      <c r="P3135">
        <v>0.51</v>
      </c>
      <c r="Q3135">
        <v>2</v>
      </c>
      <c r="R3135">
        <v>4.7999999999999996E-3</v>
      </c>
      <c r="T3135" s="8" t="s">
        <v>8750</v>
      </c>
    </row>
    <row r="3136" spans="1:20" x14ac:dyDescent="0.2">
      <c r="A3136" t="s">
        <v>8752</v>
      </c>
      <c r="B3136" t="s">
        <v>2022</v>
      </c>
      <c r="C3136" t="s">
        <v>2023</v>
      </c>
      <c r="D3136" t="s">
        <v>2024</v>
      </c>
      <c r="E3136" t="s">
        <v>8753</v>
      </c>
      <c r="F3136" t="s">
        <v>8754</v>
      </c>
      <c r="G3136">
        <v>3</v>
      </c>
      <c r="H3136">
        <v>1640</v>
      </c>
      <c r="I3136">
        <v>2</v>
      </c>
      <c r="J3136">
        <v>3.4</v>
      </c>
      <c r="K3136">
        <v>4</v>
      </c>
      <c r="L3136">
        <v>6.6000000000000003E-2</v>
      </c>
      <c r="M3136">
        <v>3</v>
      </c>
      <c r="N3136">
        <v>94</v>
      </c>
      <c r="O3136">
        <v>2</v>
      </c>
      <c r="P3136">
        <v>0.22500000000000001</v>
      </c>
      <c r="Q3136">
        <v>3</v>
      </c>
      <c r="R3136">
        <v>4.0000000000000001E-3</v>
      </c>
      <c r="T3136" s="8" t="s">
        <v>8753</v>
      </c>
    </row>
    <row r="3137" spans="1:20" x14ac:dyDescent="0.2">
      <c r="A3137" t="s">
        <v>8755</v>
      </c>
      <c r="B3137" t="s">
        <v>2022</v>
      </c>
      <c r="C3137" t="s">
        <v>2053</v>
      </c>
      <c r="D3137" t="s">
        <v>2024</v>
      </c>
      <c r="E3137" t="s">
        <v>8756</v>
      </c>
      <c r="F3137" t="s">
        <v>8757</v>
      </c>
      <c r="G3137">
        <v>4</v>
      </c>
      <c r="H3137">
        <v>1800</v>
      </c>
      <c r="I3137">
        <v>1</v>
      </c>
      <c r="J3137">
        <v>1.55</v>
      </c>
      <c r="K3137">
        <v>1</v>
      </c>
      <c r="L3137">
        <v>1.4999999999999999E-2</v>
      </c>
      <c r="M3137">
        <v>4</v>
      </c>
      <c r="N3137">
        <v>103</v>
      </c>
      <c r="O3137">
        <v>2</v>
      </c>
      <c r="P3137">
        <v>0.22500000000000001</v>
      </c>
      <c r="Q3137">
        <v>1</v>
      </c>
      <c r="R3137">
        <v>8.4999999999999995E-4</v>
      </c>
      <c r="T3137" s="8" t="s">
        <v>8756</v>
      </c>
    </row>
    <row r="3138" spans="1:20" x14ac:dyDescent="0.2">
      <c r="A3138" t="s">
        <v>8758</v>
      </c>
      <c r="B3138" t="s">
        <v>2022</v>
      </c>
      <c r="C3138" t="s">
        <v>2023</v>
      </c>
      <c r="D3138" t="s">
        <v>2024</v>
      </c>
      <c r="E3138" t="s">
        <v>8759</v>
      </c>
      <c r="F3138" t="s">
        <v>8760</v>
      </c>
      <c r="G3138">
        <v>3</v>
      </c>
      <c r="H3138">
        <v>1640</v>
      </c>
      <c r="I3138">
        <v>5</v>
      </c>
      <c r="J3138">
        <v>10.9</v>
      </c>
      <c r="K3138">
        <v>5</v>
      </c>
      <c r="L3138">
        <v>8.5999999999999993E-2</v>
      </c>
      <c r="M3138">
        <v>4</v>
      </c>
      <c r="N3138">
        <v>104</v>
      </c>
      <c r="O3138">
        <v>5</v>
      </c>
      <c r="P3138">
        <v>0.67500000000000004</v>
      </c>
      <c r="Q3138">
        <v>5</v>
      </c>
      <c r="R3138">
        <v>8.0000000000000002E-3</v>
      </c>
      <c r="T3138" s="8" t="s">
        <v>8759</v>
      </c>
    </row>
    <row r="3139" spans="1:20" x14ac:dyDescent="0.2">
      <c r="A3139" t="s">
        <v>8761</v>
      </c>
      <c r="B3139" t="s">
        <v>2022</v>
      </c>
      <c r="C3139" t="s">
        <v>2053</v>
      </c>
      <c r="D3139" t="s">
        <v>2024</v>
      </c>
      <c r="E3139" t="s">
        <v>8762</v>
      </c>
      <c r="F3139" t="s">
        <v>8763</v>
      </c>
      <c r="G3139">
        <v>3</v>
      </c>
      <c r="H3139">
        <v>1700</v>
      </c>
      <c r="I3139">
        <v>1</v>
      </c>
      <c r="J3139">
        <v>1.55</v>
      </c>
      <c r="K3139">
        <v>1</v>
      </c>
      <c r="L3139">
        <v>1.4999999999999999E-2</v>
      </c>
      <c r="M3139">
        <v>1</v>
      </c>
      <c r="N3139">
        <v>73</v>
      </c>
      <c r="O3139">
        <v>1</v>
      </c>
      <c r="P3139">
        <v>7.4999999999999997E-2</v>
      </c>
      <c r="Q3139">
        <v>1</v>
      </c>
      <c r="R3139">
        <v>8.4999999999999995E-4</v>
      </c>
      <c r="T3139" s="8" t="s">
        <v>8762</v>
      </c>
    </row>
    <row r="3140" spans="1:20" x14ac:dyDescent="0.2">
      <c r="A3140" t="s">
        <v>8764</v>
      </c>
      <c r="B3140" t="s">
        <v>2022</v>
      </c>
      <c r="C3140" t="s">
        <v>2053</v>
      </c>
      <c r="D3140" t="s">
        <v>2024</v>
      </c>
      <c r="E3140" t="s">
        <v>8765</v>
      </c>
      <c r="F3140" t="s">
        <v>8766</v>
      </c>
      <c r="G3140">
        <v>3</v>
      </c>
      <c r="H3140">
        <v>1700</v>
      </c>
      <c r="I3140">
        <v>5</v>
      </c>
      <c r="J3140">
        <v>11.55</v>
      </c>
      <c r="K3140">
        <v>5</v>
      </c>
      <c r="L3140">
        <v>0.41499999999999998</v>
      </c>
      <c r="M3140">
        <v>1</v>
      </c>
      <c r="N3140">
        <v>73</v>
      </c>
      <c r="O3140">
        <v>5</v>
      </c>
      <c r="P3140">
        <v>0.67500000000000004</v>
      </c>
      <c r="Q3140">
        <v>5</v>
      </c>
      <c r="R3140">
        <v>2.6200000000000001E-2</v>
      </c>
      <c r="T3140" s="8" t="s">
        <v>8765</v>
      </c>
    </row>
    <row r="3141" spans="1:20" x14ac:dyDescent="0.2">
      <c r="A3141" t="s">
        <v>8767</v>
      </c>
      <c r="B3141" t="s">
        <v>2022</v>
      </c>
      <c r="C3141" t="s">
        <v>2101</v>
      </c>
      <c r="D3141" t="s">
        <v>2136</v>
      </c>
      <c r="E3141" t="s">
        <v>8768</v>
      </c>
      <c r="F3141" t="s">
        <v>8769</v>
      </c>
      <c r="G3141">
        <v>1</v>
      </c>
      <c r="H3141">
        <v>1570</v>
      </c>
      <c r="I3141">
        <v>2</v>
      </c>
      <c r="J3141">
        <v>5</v>
      </c>
      <c r="K3141">
        <v>2</v>
      </c>
      <c r="L3141">
        <v>9.6500000000000002E-2</v>
      </c>
      <c r="M3141">
        <v>1</v>
      </c>
      <c r="N3141">
        <v>66</v>
      </c>
      <c r="O3141">
        <v>2</v>
      </c>
      <c r="P3141">
        <v>0.22500000000000001</v>
      </c>
      <c r="Q3141">
        <v>2</v>
      </c>
      <c r="R3141">
        <v>4.4999999999999997E-3</v>
      </c>
      <c r="T3141" s="8" t="s">
        <v>8768</v>
      </c>
    </row>
    <row r="3142" spans="1:20" x14ac:dyDescent="0.2">
      <c r="A3142" t="s">
        <v>8770</v>
      </c>
      <c r="B3142" t="s">
        <v>2022</v>
      </c>
      <c r="C3142" t="s">
        <v>2023</v>
      </c>
      <c r="D3142" t="s">
        <v>2024</v>
      </c>
      <c r="E3142" t="s">
        <v>8771</v>
      </c>
      <c r="F3142" t="s">
        <v>8772</v>
      </c>
      <c r="G3142">
        <v>5</v>
      </c>
      <c r="H3142">
        <v>1800</v>
      </c>
      <c r="I3142">
        <v>1</v>
      </c>
      <c r="J3142">
        <v>0.9</v>
      </c>
      <c r="K3142">
        <v>1</v>
      </c>
      <c r="L3142">
        <v>6.0000000000000001E-3</v>
      </c>
      <c r="M3142">
        <v>3</v>
      </c>
      <c r="N3142">
        <v>94</v>
      </c>
      <c r="O3142">
        <v>1</v>
      </c>
      <c r="P3142">
        <v>7.4999999999999997E-2</v>
      </c>
      <c r="Q3142">
        <v>1</v>
      </c>
      <c r="R3142">
        <v>5.0000000000000001E-4</v>
      </c>
      <c r="T3142" s="8" t="s">
        <v>8771</v>
      </c>
    </row>
    <row r="3143" spans="1:20" x14ac:dyDescent="0.2">
      <c r="A3143" t="s">
        <v>8773</v>
      </c>
      <c r="B3143" t="s">
        <v>2022</v>
      </c>
      <c r="C3143" t="s">
        <v>2036</v>
      </c>
      <c r="D3143" t="s">
        <v>2024</v>
      </c>
      <c r="E3143" t="s">
        <v>8774</v>
      </c>
      <c r="F3143" t="s">
        <v>447</v>
      </c>
      <c r="G3143">
        <v>2</v>
      </c>
      <c r="H3143">
        <v>1640</v>
      </c>
      <c r="I3143">
        <v>1</v>
      </c>
      <c r="J3143">
        <v>2.2000000000000002</v>
      </c>
      <c r="K3143">
        <v>1</v>
      </c>
      <c r="L3143">
        <v>5.5E-2</v>
      </c>
      <c r="M3143">
        <v>2</v>
      </c>
      <c r="N3143">
        <v>82</v>
      </c>
      <c r="O3143">
        <v>1</v>
      </c>
      <c r="P3143">
        <v>9.5000000000000001E-2</v>
      </c>
      <c r="Q3143">
        <v>1</v>
      </c>
      <c r="R3143">
        <v>1.5E-3</v>
      </c>
      <c r="T3143" s="8" t="s">
        <v>8774</v>
      </c>
    </row>
    <row r="3144" spans="1:20" x14ac:dyDescent="0.2">
      <c r="A3144" t="s">
        <v>8775</v>
      </c>
      <c r="B3144" t="s">
        <v>2022</v>
      </c>
      <c r="C3144" t="s">
        <v>2222</v>
      </c>
      <c r="D3144" t="s">
        <v>2024</v>
      </c>
      <c r="E3144" t="s">
        <v>8776</v>
      </c>
      <c r="F3144" t="s">
        <v>8777</v>
      </c>
      <c r="G3144">
        <v>3</v>
      </c>
      <c r="H3144">
        <v>1650</v>
      </c>
      <c r="I3144">
        <v>2</v>
      </c>
      <c r="J3144">
        <v>3.9</v>
      </c>
      <c r="K3144">
        <v>3</v>
      </c>
      <c r="L3144">
        <v>0.125</v>
      </c>
      <c r="M3144">
        <v>2</v>
      </c>
      <c r="N3144">
        <v>63</v>
      </c>
      <c r="O3144">
        <v>2</v>
      </c>
      <c r="P3144">
        <v>0.15</v>
      </c>
      <c r="Q3144">
        <v>3</v>
      </c>
      <c r="R3144">
        <v>5.3E-3</v>
      </c>
      <c r="T3144" s="8" t="s">
        <v>8776</v>
      </c>
    </row>
    <row r="3145" spans="1:20" x14ac:dyDescent="0.2">
      <c r="A3145" t="s">
        <v>8778</v>
      </c>
      <c r="B3145" t="s">
        <v>2022</v>
      </c>
      <c r="C3145" t="s">
        <v>2053</v>
      </c>
      <c r="D3145" t="s">
        <v>2024</v>
      </c>
      <c r="E3145" t="s">
        <v>8779</v>
      </c>
      <c r="F3145" t="s">
        <v>8780</v>
      </c>
      <c r="G3145">
        <v>2</v>
      </c>
      <c r="H3145">
        <v>1600</v>
      </c>
      <c r="I3145">
        <v>3</v>
      </c>
      <c r="J3145">
        <v>6.55</v>
      </c>
      <c r="K3145">
        <v>2</v>
      </c>
      <c r="L3145">
        <v>8.5000000000000006E-2</v>
      </c>
      <c r="M3145">
        <v>4</v>
      </c>
      <c r="N3145">
        <v>103</v>
      </c>
      <c r="O3145">
        <v>3</v>
      </c>
      <c r="P3145">
        <v>0.375</v>
      </c>
      <c r="Q3145">
        <v>2</v>
      </c>
      <c r="R3145">
        <v>5.1999999999999998E-3</v>
      </c>
      <c r="T3145" s="8" t="s">
        <v>8779</v>
      </c>
    </row>
    <row r="3146" spans="1:20" x14ac:dyDescent="0.2">
      <c r="A3146" t="s">
        <v>8781</v>
      </c>
      <c r="B3146" t="s">
        <v>2022</v>
      </c>
      <c r="C3146" t="s">
        <v>2036</v>
      </c>
      <c r="D3146" t="s">
        <v>2024</v>
      </c>
      <c r="E3146" t="s">
        <v>8782</v>
      </c>
      <c r="F3146" t="s">
        <v>8783</v>
      </c>
      <c r="G3146">
        <v>4</v>
      </c>
      <c r="H3146">
        <v>1840</v>
      </c>
      <c r="I3146">
        <v>5</v>
      </c>
      <c r="J3146">
        <v>7</v>
      </c>
      <c r="K3146">
        <v>5</v>
      </c>
      <c r="L3146">
        <v>0.17499999999999999</v>
      </c>
      <c r="M3146">
        <v>5</v>
      </c>
      <c r="N3146">
        <v>100</v>
      </c>
      <c r="O3146">
        <v>5</v>
      </c>
      <c r="P3146">
        <v>0.53500000000000003</v>
      </c>
      <c r="Q3146">
        <v>5</v>
      </c>
      <c r="R3146">
        <v>1.2E-2</v>
      </c>
      <c r="T3146" s="8" t="s">
        <v>8782</v>
      </c>
    </row>
    <row r="3147" spans="1:20" x14ac:dyDescent="0.2">
      <c r="A3147" t="s">
        <v>8784</v>
      </c>
      <c r="B3147" t="s">
        <v>2022</v>
      </c>
      <c r="C3147" t="s">
        <v>2023</v>
      </c>
      <c r="D3147" t="s">
        <v>2024</v>
      </c>
      <c r="E3147" t="s">
        <v>8785</v>
      </c>
      <c r="F3147" t="s">
        <v>8786</v>
      </c>
      <c r="G3147">
        <v>3</v>
      </c>
      <c r="H3147">
        <v>1640</v>
      </c>
      <c r="I3147">
        <v>4</v>
      </c>
      <c r="J3147">
        <v>8.4</v>
      </c>
      <c r="K3147">
        <v>5</v>
      </c>
      <c r="L3147">
        <v>8.5999999999999993E-2</v>
      </c>
      <c r="M3147">
        <v>4</v>
      </c>
      <c r="N3147">
        <v>104</v>
      </c>
      <c r="O3147">
        <v>4</v>
      </c>
      <c r="P3147">
        <v>0.52500000000000002</v>
      </c>
      <c r="Q3147">
        <v>5</v>
      </c>
      <c r="R3147">
        <v>8.0000000000000002E-3</v>
      </c>
      <c r="T3147" s="8" t="s">
        <v>8785</v>
      </c>
    </row>
    <row r="3148" spans="1:20" x14ac:dyDescent="0.2">
      <c r="A3148" t="s">
        <v>8787</v>
      </c>
      <c r="B3148" t="s">
        <v>2022</v>
      </c>
      <c r="C3148" t="s">
        <v>2095</v>
      </c>
      <c r="D3148" t="s">
        <v>2024</v>
      </c>
      <c r="E3148" t="s">
        <v>8788</v>
      </c>
      <c r="F3148" t="s">
        <v>8789</v>
      </c>
      <c r="G3148">
        <v>2</v>
      </c>
      <c r="H3148">
        <v>1655</v>
      </c>
      <c r="I3148">
        <v>1</v>
      </c>
      <c r="J3148">
        <v>4.5</v>
      </c>
      <c r="K3148">
        <v>1</v>
      </c>
      <c r="L3148">
        <v>1.4999999999999999E-2</v>
      </c>
      <c r="M3148">
        <v>1</v>
      </c>
      <c r="N3148">
        <v>74</v>
      </c>
      <c r="O3148">
        <v>1</v>
      </c>
      <c r="P3148">
        <v>0.15</v>
      </c>
      <c r="Q3148">
        <v>1</v>
      </c>
      <c r="R3148">
        <v>6.9999999999999999E-4</v>
      </c>
      <c r="T3148" s="8" t="s">
        <v>8788</v>
      </c>
    </row>
    <row r="3149" spans="1:20" x14ac:dyDescent="0.2">
      <c r="A3149" t="s">
        <v>8790</v>
      </c>
      <c r="B3149" t="s">
        <v>2022</v>
      </c>
      <c r="C3149" t="s">
        <v>2023</v>
      </c>
      <c r="D3149" t="s">
        <v>2024</v>
      </c>
      <c r="E3149" t="s">
        <v>357</v>
      </c>
      <c r="F3149" t="s">
        <v>8791</v>
      </c>
      <c r="G3149">
        <v>3</v>
      </c>
      <c r="H3149">
        <v>1640</v>
      </c>
      <c r="I3149">
        <v>5</v>
      </c>
      <c r="J3149">
        <v>10.9</v>
      </c>
      <c r="K3149">
        <v>3</v>
      </c>
      <c r="L3149">
        <v>4.5999999999999999E-2</v>
      </c>
      <c r="M3149">
        <v>2</v>
      </c>
      <c r="N3149">
        <v>84</v>
      </c>
      <c r="O3149">
        <v>5</v>
      </c>
      <c r="P3149">
        <v>0.67500000000000004</v>
      </c>
      <c r="Q3149">
        <v>2</v>
      </c>
      <c r="R3149">
        <v>2E-3</v>
      </c>
      <c r="T3149" s="8" t="s">
        <v>357</v>
      </c>
    </row>
    <row r="3150" spans="1:20" x14ac:dyDescent="0.2">
      <c r="A3150" t="s">
        <v>8792</v>
      </c>
      <c r="B3150" t="s">
        <v>2022</v>
      </c>
      <c r="C3150" t="s">
        <v>2023</v>
      </c>
      <c r="D3150" t="s">
        <v>2024</v>
      </c>
      <c r="E3150" t="s">
        <v>8793</v>
      </c>
      <c r="F3150" t="s">
        <v>8794</v>
      </c>
      <c r="G3150">
        <v>3</v>
      </c>
      <c r="H3150">
        <v>1640</v>
      </c>
      <c r="I3150">
        <v>3</v>
      </c>
      <c r="J3150">
        <v>5.9</v>
      </c>
      <c r="K3150">
        <v>5</v>
      </c>
      <c r="L3150">
        <v>8.5999999999999993E-2</v>
      </c>
      <c r="M3150">
        <v>4</v>
      </c>
      <c r="N3150">
        <v>104</v>
      </c>
      <c r="O3150">
        <v>3</v>
      </c>
      <c r="P3150">
        <v>0.375</v>
      </c>
      <c r="Q3150">
        <v>4</v>
      </c>
      <c r="R3150">
        <v>6.0000000000000001E-3</v>
      </c>
      <c r="T3150" s="8" t="s">
        <v>8793</v>
      </c>
    </row>
    <row r="3151" spans="1:20" x14ac:dyDescent="0.2">
      <c r="A3151" t="s">
        <v>8795</v>
      </c>
      <c r="B3151" t="s">
        <v>2022</v>
      </c>
      <c r="C3151" t="s">
        <v>2053</v>
      </c>
      <c r="D3151" t="s">
        <v>2024</v>
      </c>
      <c r="E3151" t="s">
        <v>8796</v>
      </c>
      <c r="F3151" t="s">
        <v>8797</v>
      </c>
      <c r="G3151">
        <v>4</v>
      </c>
      <c r="H3151">
        <v>1800</v>
      </c>
      <c r="I3151">
        <v>3</v>
      </c>
      <c r="J3151">
        <v>6.55</v>
      </c>
      <c r="K3151">
        <v>3</v>
      </c>
      <c r="L3151">
        <v>0.19500000000000001</v>
      </c>
      <c r="M3151">
        <v>2</v>
      </c>
      <c r="N3151">
        <v>83</v>
      </c>
      <c r="O3151">
        <v>2</v>
      </c>
      <c r="P3151">
        <v>0.22500000000000001</v>
      </c>
      <c r="Q3151">
        <v>2</v>
      </c>
      <c r="R3151">
        <v>5.1999999999999998E-3</v>
      </c>
      <c r="T3151" s="8" t="s">
        <v>8796</v>
      </c>
    </row>
    <row r="3152" spans="1:20" x14ac:dyDescent="0.2">
      <c r="A3152" t="s">
        <v>8798</v>
      </c>
      <c r="B3152" t="s">
        <v>2022</v>
      </c>
      <c r="C3152" t="s">
        <v>2023</v>
      </c>
      <c r="D3152" t="s">
        <v>2024</v>
      </c>
      <c r="E3152" t="s">
        <v>8799</v>
      </c>
      <c r="F3152" t="s">
        <v>8800</v>
      </c>
      <c r="G3152">
        <v>4</v>
      </c>
      <c r="H3152">
        <v>1720</v>
      </c>
      <c r="I3152">
        <v>5</v>
      </c>
      <c r="J3152">
        <v>10.9</v>
      </c>
      <c r="K3152">
        <v>5</v>
      </c>
      <c r="L3152">
        <v>8.5999999999999993E-2</v>
      </c>
      <c r="M3152">
        <v>2</v>
      </c>
      <c r="N3152">
        <v>84</v>
      </c>
      <c r="O3152">
        <v>5</v>
      </c>
      <c r="P3152">
        <v>0.67500000000000004</v>
      </c>
      <c r="Q3152">
        <v>5</v>
      </c>
      <c r="R3152">
        <v>8.0000000000000002E-3</v>
      </c>
      <c r="T3152" s="8" t="s">
        <v>8799</v>
      </c>
    </row>
    <row r="3153" spans="1:20" x14ac:dyDescent="0.2">
      <c r="A3153" t="s">
        <v>8801</v>
      </c>
      <c r="B3153" t="s">
        <v>2022</v>
      </c>
      <c r="C3153" t="s">
        <v>2023</v>
      </c>
      <c r="D3153" t="s">
        <v>2024</v>
      </c>
      <c r="E3153" t="s">
        <v>8802</v>
      </c>
      <c r="F3153" t="s">
        <v>8803</v>
      </c>
      <c r="G3153">
        <v>2</v>
      </c>
      <c r="H3153">
        <v>1560</v>
      </c>
      <c r="I3153">
        <v>2</v>
      </c>
      <c r="J3153">
        <v>3.4</v>
      </c>
      <c r="K3153">
        <v>4</v>
      </c>
      <c r="L3153">
        <v>6.6000000000000003E-2</v>
      </c>
      <c r="M3153">
        <v>2</v>
      </c>
      <c r="N3153">
        <v>84</v>
      </c>
      <c r="O3153">
        <v>2</v>
      </c>
      <c r="P3153">
        <v>0.22500000000000001</v>
      </c>
      <c r="Q3153">
        <v>3</v>
      </c>
      <c r="R3153">
        <v>4.0000000000000001E-3</v>
      </c>
      <c r="T3153" s="8" t="s">
        <v>8802</v>
      </c>
    </row>
    <row r="3154" spans="1:20" x14ac:dyDescent="0.2">
      <c r="A3154" t="s">
        <v>8804</v>
      </c>
      <c r="B3154" t="s">
        <v>2022</v>
      </c>
      <c r="C3154" t="s">
        <v>2023</v>
      </c>
      <c r="D3154" t="s">
        <v>2024</v>
      </c>
      <c r="E3154" t="s">
        <v>8805</v>
      </c>
      <c r="F3154" t="s">
        <v>8806</v>
      </c>
      <c r="G3154">
        <v>3</v>
      </c>
      <c r="H3154">
        <v>1640</v>
      </c>
      <c r="I3154">
        <v>2</v>
      </c>
      <c r="J3154">
        <v>3.4</v>
      </c>
      <c r="K3154">
        <v>2</v>
      </c>
      <c r="L3154">
        <v>2.5999999999999999E-2</v>
      </c>
      <c r="M3154">
        <v>2</v>
      </c>
      <c r="N3154">
        <v>84</v>
      </c>
      <c r="O3154">
        <v>1</v>
      </c>
      <c r="P3154">
        <v>7.4999999999999997E-2</v>
      </c>
      <c r="Q3154">
        <v>2</v>
      </c>
      <c r="R3154">
        <v>2E-3</v>
      </c>
      <c r="T3154" s="8" t="s">
        <v>8805</v>
      </c>
    </row>
    <row r="3155" spans="1:20" x14ac:dyDescent="0.2">
      <c r="A3155" t="s">
        <v>8807</v>
      </c>
      <c r="B3155" t="s">
        <v>2022</v>
      </c>
      <c r="C3155" t="s">
        <v>2023</v>
      </c>
      <c r="D3155" t="s">
        <v>2024</v>
      </c>
      <c r="E3155" t="s">
        <v>8808</v>
      </c>
      <c r="F3155" t="s">
        <v>8809</v>
      </c>
      <c r="G3155">
        <v>4</v>
      </c>
      <c r="H3155">
        <v>1720</v>
      </c>
      <c r="I3155">
        <v>3</v>
      </c>
      <c r="J3155">
        <v>5.9</v>
      </c>
      <c r="K3155">
        <v>5</v>
      </c>
      <c r="L3155">
        <v>8.5999999999999993E-2</v>
      </c>
      <c r="M3155">
        <v>5</v>
      </c>
      <c r="N3155">
        <v>114</v>
      </c>
      <c r="O3155">
        <v>4</v>
      </c>
      <c r="P3155">
        <v>0.52500000000000002</v>
      </c>
      <c r="Q3155">
        <v>5</v>
      </c>
      <c r="R3155">
        <v>8.0000000000000002E-3</v>
      </c>
      <c r="T3155" s="8" t="s">
        <v>8808</v>
      </c>
    </row>
    <row r="3156" spans="1:20" x14ac:dyDescent="0.2">
      <c r="A3156" t="s">
        <v>8810</v>
      </c>
      <c r="B3156" t="s">
        <v>2022</v>
      </c>
      <c r="C3156" t="s">
        <v>2023</v>
      </c>
      <c r="D3156" t="s">
        <v>2154</v>
      </c>
      <c r="E3156" t="s">
        <v>8811</v>
      </c>
      <c r="F3156" t="s">
        <v>8812</v>
      </c>
      <c r="G3156">
        <v>1</v>
      </c>
      <c r="H3156">
        <v>1480</v>
      </c>
      <c r="I3156">
        <v>2</v>
      </c>
      <c r="J3156">
        <v>3.4</v>
      </c>
      <c r="K3156">
        <v>5</v>
      </c>
      <c r="L3156">
        <v>8.5999999999999993E-2</v>
      </c>
      <c r="M3156">
        <v>1</v>
      </c>
      <c r="N3156">
        <v>74</v>
      </c>
      <c r="O3156">
        <v>1</v>
      </c>
      <c r="P3156">
        <v>7.4999999999999997E-2</v>
      </c>
      <c r="Q3156">
        <v>3</v>
      </c>
      <c r="R3156">
        <v>4.0000000000000001E-3</v>
      </c>
      <c r="T3156" s="8" t="s">
        <v>8811</v>
      </c>
    </row>
    <row r="3157" spans="1:20" x14ac:dyDescent="0.2">
      <c r="A3157" t="s">
        <v>8813</v>
      </c>
      <c r="B3157" t="s">
        <v>2022</v>
      </c>
      <c r="C3157" t="s">
        <v>2053</v>
      </c>
      <c r="D3157" t="s">
        <v>2024</v>
      </c>
      <c r="E3157" t="s">
        <v>8811</v>
      </c>
      <c r="F3157" t="s">
        <v>8812</v>
      </c>
      <c r="G3157">
        <v>1</v>
      </c>
      <c r="H3157">
        <v>1500</v>
      </c>
      <c r="I3157">
        <v>2</v>
      </c>
      <c r="J3157">
        <v>4.05</v>
      </c>
      <c r="K3157">
        <v>2</v>
      </c>
      <c r="L3157">
        <v>8.5000000000000006E-2</v>
      </c>
      <c r="M3157">
        <v>1</v>
      </c>
      <c r="N3157">
        <v>73</v>
      </c>
      <c r="O3157">
        <v>2</v>
      </c>
      <c r="P3157">
        <v>0.22500000000000001</v>
      </c>
      <c r="Q3157">
        <v>2</v>
      </c>
      <c r="R3157">
        <v>5.1999999999999998E-3</v>
      </c>
      <c r="T3157" s="8" t="s">
        <v>8811</v>
      </c>
    </row>
    <row r="3158" spans="1:20" x14ac:dyDescent="0.2">
      <c r="A3158" t="s">
        <v>8814</v>
      </c>
      <c r="B3158" t="s">
        <v>2022</v>
      </c>
      <c r="C3158" t="s">
        <v>2028</v>
      </c>
      <c r="D3158" t="s">
        <v>2024</v>
      </c>
      <c r="E3158" t="s">
        <v>8815</v>
      </c>
      <c r="F3158" t="s">
        <v>447</v>
      </c>
      <c r="G3158">
        <v>1</v>
      </c>
      <c r="H3158">
        <v>650</v>
      </c>
      <c r="I3158">
        <v>1</v>
      </c>
      <c r="J3158">
        <v>0.35</v>
      </c>
      <c r="K3158">
        <v>1</v>
      </c>
      <c r="L3158">
        <v>4.0000000000000001E-3</v>
      </c>
      <c r="M3158">
        <v>5</v>
      </c>
      <c r="N3158">
        <v>500</v>
      </c>
      <c r="O3158">
        <v>5</v>
      </c>
      <c r="P3158">
        <v>1.35</v>
      </c>
      <c r="Q3158">
        <v>5</v>
      </c>
      <c r="R3158">
        <v>3.3500000000000002E-2</v>
      </c>
      <c r="T3158" s="8" t="s">
        <v>8815</v>
      </c>
    </row>
    <row r="3159" spans="1:20" x14ac:dyDescent="0.2">
      <c r="A3159" t="s">
        <v>8816</v>
      </c>
      <c r="B3159" t="s">
        <v>2022</v>
      </c>
      <c r="C3159" t="s">
        <v>2028</v>
      </c>
      <c r="D3159" t="s">
        <v>2024</v>
      </c>
      <c r="E3159" t="s">
        <v>8817</v>
      </c>
      <c r="F3159" t="s">
        <v>8818</v>
      </c>
      <c r="G3159">
        <v>2</v>
      </c>
      <c r="H3159">
        <v>850</v>
      </c>
      <c r="I3159">
        <v>3</v>
      </c>
      <c r="J3159">
        <v>3.25</v>
      </c>
      <c r="K3159">
        <v>3</v>
      </c>
      <c r="L3159">
        <v>0.11899999999999999</v>
      </c>
      <c r="M3159">
        <v>4</v>
      </c>
      <c r="N3159">
        <v>400</v>
      </c>
      <c r="O3159">
        <v>5</v>
      </c>
      <c r="P3159">
        <v>1.35</v>
      </c>
      <c r="Q3159">
        <v>5</v>
      </c>
      <c r="R3159">
        <v>3.3500000000000002E-2</v>
      </c>
      <c r="T3159" s="8" t="s">
        <v>8817</v>
      </c>
    </row>
    <row r="3160" spans="1:20" x14ac:dyDescent="0.2">
      <c r="A3160" t="s">
        <v>8819</v>
      </c>
      <c r="B3160" t="s">
        <v>2022</v>
      </c>
      <c r="C3160" t="s">
        <v>2023</v>
      </c>
      <c r="D3160" t="s">
        <v>2024</v>
      </c>
      <c r="E3160" t="s">
        <v>8820</v>
      </c>
      <c r="F3160" t="s">
        <v>8821</v>
      </c>
      <c r="G3160">
        <v>2</v>
      </c>
      <c r="H3160">
        <v>1560</v>
      </c>
      <c r="I3160">
        <v>4</v>
      </c>
      <c r="J3160">
        <v>8.4</v>
      </c>
      <c r="K3160">
        <v>5</v>
      </c>
      <c r="L3160">
        <v>8.5999999999999993E-2</v>
      </c>
      <c r="M3160">
        <v>3</v>
      </c>
      <c r="N3160">
        <v>94</v>
      </c>
      <c r="O3160">
        <v>4</v>
      </c>
      <c r="P3160">
        <v>0.52500000000000002</v>
      </c>
      <c r="Q3160">
        <v>5</v>
      </c>
      <c r="R3160">
        <v>8.0000000000000002E-3</v>
      </c>
      <c r="T3160" s="8" t="s">
        <v>8820</v>
      </c>
    </row>
    <row r="3161" spans="1:20" x14ac:dyDescent="0.2">
      <c r="A3161" t="s">
        <v>8822</v>
      </c>
      <c r="B3161" t="s">
        <v>2022</v>
      </c>
      <c r="C3161" t="s">
        <v>2023</v>
      </c>
      <c r="D3161" t="s">
        <v>2154</v>
      </c>
      <c r="E3161" t="s">
        <v>8823</v>
      </c>
      <c r="F3161" t="s">
        <v>8824</v>
      </c>
      <c r="G3161">
        <v>4</v>
      </c>
      <c r="H3161">
        <v>1720</v>
      </c>
      <c r="I3161">
        <v>4</v>
      </c>
      <c r="J3161">
        <v>8.4</v>
      </c>
      <c r="K3161">
        <v>5</v>
      </c>
      <c r="L3161">
        <v>8.5999999999999993E-2</v>
      </c>
      <c r="M3161">
        <v>4</v>
      </c>
      <c r="N3161">
        <v>104</v>
      </c>
      <c r="O3161">
        <v>4</v>
      </c>
      <c r="P3161">
        <v>0.52500000000000002</v>
      </c>
      <c r="Q3161">
        <v>5</v>
      </c>
      <c r="R3161">
        <v>8.0000000000000002E-3</v>
      </c>
      <c r="T3161" s="8" t="s">
        <v>8823</v>
      </c>
    </row>
    <row r="3162" spans="1:20" x14ac:dyDescent="0.2">
      <c r="A3162" t="s">
        <v>8825</v>
      </c>
      <c r="B3162" t="s">
        <v>2022</v>
      </c>
      <c r="C3162" t="s">
        <v>2036</v>
      </c>
      <c r="D3162" t="s">
        <v>2024</v>
      </c>
      <c r="E3162" t="s">
        <v>8826</v>
      </c>
      <c r="F3162" t="s">
        <v>8827</v>
      </c>
      <c r="G3162">
        <v>3</v>
      </c>
      <c r="H3162">
        <v>1740</v>
      </c>
      <c r="I3162">
        <v>1</v>
      </c>
      <c r="J3162">
        <v>2.2000000000000002</v>
      </c>
      <c r="K3162">
        <v>3</v>
      </c>
      <c r="L3162">
        <v>0.115</v>
      </c>
      <c r="M3162">
        <v>3</v>
      </c>
      <c r="N3162">
        <v>88</v>
      </c>
      <c r="O3162">
        <v>1</v>
      </c>
      <c r="P3162">
        <v>9.5000000000000001E-2</v>
      </c>
      <c r="Q3162">
        <v>2</v>
      </c>
      <c r="R3162">
        <v>4.2500000000000003E-3</v>
      </c>
      <c r="T3162" s="8" t="s">
        <v>8826</v>
      </c>
    </row>
    <row r="3163" spans="1:20" x14ac:dyDescent="0.2">
      <c r="A3163" t="s">
        <v>8828</v>
      </c>
      <c r="B3163" t="s">
        <v>2022</v>
      </c>
      <c r="C3163" t="s">
        <v>2023</v>
      </c>
      <c r="D3163" t="s">
        <v>2024</v>
      </c>
      <c r="E3163" t="s">
        <v>8829</v>
      </c>
      <c r="F3163" t="s">
        <v>447</v>
      </c>
      <c r="G3163">
        <v>5</v>
      </c>
      <c r="H3163">
        <v>1800</v>
      </c>
      <c r="I3163">
        <v>4</v>
      </c>
      <c r="J3163">
        <v>8.4</v>
      </c>
      <c r="K3163">
        <v>5</v>
      </c>
      <c r="L3163">
        <v>8.5999999999999993E-2</v>
      </c>
      <c r="M3163">
        <v>4</v>
      </c>
      <c r="N3163">
        <v>104</v>
      </c>
      <c r="O3163">
        <v>4</v>
      </c>
      <c r="P3163">
        <v>0.52500000000000002</v>
      </c>
      <c r="Q3163">
        <v>5</v>
      </c>
      <c r="R3163">
        <v>8.0000000000000002E-3</v>
      </c>
      <c r="T3163" s="8" t="s">
        <v>8829</v>
      </c>
    </row>
    <row r="3164" spans="1:20" x14ac:dyDescent="0.2">
      <c r="A3164" t="s">
        <v>8830</v>
      </c>
      <c r="B3164" t="s">
        <v>2022</v>
      </c>
      <c r="C3164" t="s">
        <v>2036</v>
      </c>
      <c r="D3164" t="s">
        <v>2024</v>
      </c>
      <c r="E3164" t="s">
        <v>8831</v>
      </c>
      <c r="F3164" t="s">
        <v>447</v>
      </c>
      <c r="G3164">
        <v>3</v>
      </c>
      <c r="H3164">
        <v>1740</v>
      </c>
      <c r="I3164">
        <v>2</v>
      </c>
      <c r="J3164">
        <v>3.4</v>
      </c>
      <c r="K3164">
        <v>4</v>
      </c>
      <c r="L3164">
        <v>0.14499999999999999</v>
      </c>
      <c r="M3164">
        <v>3</v>
      </c>
      <c r="N3164">
        <v>88</v>
      </c>
      <c r="O3164">
        <v>2</v>
      </c>
      <c r="P3164">
        <v>0.20499999999999999</v>
      </c>
      <c r="Q3164">
        <v>3</v>
      </c>
      <c r="R3164">
        <v>6.7499999999999999E-3</v>
      </c>
      <c r="T3164" s="8" t="s">
        <v>8831</v>
      </c>
    </row>
    <row r="3165" spans="1:20" x14ac:dyDescent="0.2">
      <c r="A3165" t="s">
        <v>8832</v>
      </c>
      <c r="B3165" t="s">
        <v>2022</v>
      </c>
      <c r="C3165" t="s">
        <v>2053</v>
      </c>
      <c r="D3165" t="s">
        <v>2136</v>
      </c>
      <c r="E3165" t="s">
        <v>8833</v>
      </c>
      <c r="F3165" t="s">
        <v>447</v>
      </c>
      <c r="G3165">
        <v>1</v>
      </c>
      <c r="H3165">
        <v>1500</v>
      </c>
      <c r="I3165">
        <v>5</v>
      </c>
      <c r="J3165">
        <v>11.55</v>
      </c>
      <c r="K3165">
        <v>5</v>
      </c>
      <c r="L3165">
        <v>0.41499999999999998</v>
      </c>
      <c r="M3165">
        <v>1</v>
      </c>
      <c r="N3165">
        <v>73</v>
      </c>
      <c r="O3165">
        <v>4</v>
      </c>
      <c r="P3165">
        <v>0.52500000000000002</v>
      </c>
      <c r="Q3165">
        <v>4</v>
      </c>
      <c r="R3165">
        <v>1.9199999999999998E-2</v>
      </c>
      <c r="T3165" s="8" t="s">
        <v>8833</v>
      </c>
    </row>
    <row r="3166" spans="1:20" x14ac:dyDescent="0.2">
      <c r="A3166" t="s">
        <v>8834</v>
      </c>
      <c r="B3166" t="s">
        <v>2022</v>
      </c>
      <c r="C3166" t="s">
        <v>2036</v>
      </c>
      <c r="D3166" t="s">
        <v>2024</v>
      </c>
      <c r="E3166" t="s">
        <v>8835</v>
      </c>
      <c r="F3166" t="s">
        <v>8836</v>
      </c>
      <c r="G3166">
        <v>4</v>
      </c>
      <c r="H3166">
        <v>1840</v>
      </c>
      <c r="I3166">
        <v>1</v>
      </c>
      <c r="J3166">
        <v>2.2000000000000002</v>
      </c>
      <c r="K3166">
        <v>1</v>
      </c>
      <c r="L3166">
        <v>5.5E-2</v>
      </c>
      <c r="M3166">
        <v>1</v>
      </c>
      <c r="N3166">
        <v>76</v>
      </c>
      <c r="O3166">
        <v>1</v>
      </c>
      <c r="P3166">
        <v>9.5000000000000001E-2</v>
      </c>
      <c r="Q3166">
        <v>1</v>
      </c>
      <c r="R3166">
        <v>1.5E-3</v>
      </c>
      <c r="T3166" s="8" t="s">
        <v>8835</v>
      </c>
    </row>
    <row r="3167" spans="1:20" x14ac:dyDescent="0.2">
      <c r="A3167" t="s">
        <v>8837</v>
      </c>
      <c r="B3167" t="s">
        <v>2022</v>
      </c>
      <c r="C3167" t="s">
        <v>2036</v>
      </c>
      <c r="D3167" t="s">
        <v>2024</v>
      </c>
      <c r="E3167" t="s">
        <v>8835</v>
      </c>
      <c r="F3167" t="s">
        <v>8836</v>
      </c>
      <c r="G3167">
        <v>1</v>
      </c>
      <c r="H3167">
        <v>1540</v>
      </c>
      <c r="I3167">
        <v>2</v>
      </c>
      <c r="J3167">
        <v>3.4</v>
      </c>
      <c r="K3167">
        <v>2</v>
      </c>
      <c r="L3167">
        <v>8.5000000000000006E-2</v>
      </c>
      <c r="M3167">
        <v>1</v>
      </c>
      <c r="N3167">
        <v>76</v>
      </c>
      <c r="O3167">
        <v>1</v>
      </c>
      <c r="P3167">
        <v>9.5000000000000001E-2</v>
      </c>
      <c r="Q3167">
        <v>2</v>
      </c>
      <c r="R3167">
        <v>4.2500000000000003E-3</v>
      </c>
      <c r="T3167" s="8" t="s">
        <v>8835</v>
      </c>
    </row>
    <row r="3168" spans="1:20" x14ac:dyDescent="0.2">
      <c r="A3168" t="s">
        <v>8838</v>
      </c>
      <c r="B3168" t="s">
        <v>2022</v>
      </c>
      <c r="C3168" t="s">
        <v>2023</v>
      </c>
      <c r="D3168" t="s">
        <v>2024</v>
      </c>
      <c r="E3168" t="s">
        <v>8839</v>
      </c>
      <c r="F3168" t="s">
        <v>8840</v>
      </c>
      <c r="G3168">
        <v>1</v>
      </c>
      <c r="H3168">
        <v>1480</v>
      </c>
      <c r="I3168">
        <v>2</v>
      </c>
      <c r="J3168">
        <v>3.4</v>
      </c>
      <c r="K3168">
        <v>5</v>
      </c>
      <c r="L3168">
        <v>8.5999999999999993E-2</v>
      </c>
      <c r="M3168">
        <v>1</v>
      </c>
      <c r="N3168">
        <v>74</v>
      </c>
      <c r="O3168">
        <v>2</v>
      </c>
      <c r="P3168">
        <v>0.22500000000000001</v>
      </c>
      <c r="Q3168">
        <v>3</v>
      </c>
      <c r="R3168">
        <v>4.0000000000000001E-3</v>
      </c>
      <c r="T3168" s="8" t="s">
        <v>8839</v>
      </c>
    </row>
    <row r="3169" spans="1:20" x14ac:dyDescent="0.2">
      <c r="A3169" t="s">
        <v>8841</v>
      </c>
      <c r="B3169" t="s">
        <v>2022</v>
      </c>
      <c r="C3169" t="s">
        <v>2023</v>
      </c>
      <c r="D3169" t="s">
        <v>2024</v>
      </c>
      <c r="E3169" t="s">
        <v>8842</v>
      </c>
      <c r="F3169" t="s">
        <v>8843</v>
      </c>
      <c r="G3169">
        <v>3</v>
      </c>
      <c r="H3169">
        <v>1640</v>
      </c>
      <c r="I3169">
        <v>3</v>
      </c>
      <c r="J3169">
        <v>5.9</v>
      </c>
      <c r="K3169">
        <v>5</v>
      </c>
      <c r="L3169">
        <v>8.5999999999999993E-2</v>
      </c>
      <c r="M3169">
        <v>3</v>
      </c>
      <c r="N3169">
        <v>94</v>
      </c>
      <c r="O3169">
        <v>2</v>
      </c>
      <c r="P3169">
        <v>0.22500000000000001</v>
      </c>
      <c r="Q3169">
        <v>5</v>
      </c>
      <c r="R3169">
        <v>8.0000000000000002E-3</v>
      </c>
      <c r="T3169" s="8" t="s">
        <v>8842</v>
      </c>
    </row>
    <row r="3170" spans="1:20" x14ac:dyDescent="0.2">
      <c r="A3170" t="s">
        <v>8844</v>
      </c>
      <c r="B3170" t="s">
        <v>2022</v>
      </c>
      <c r="C3170" t="s">
        <v>2036</v>
      </c>
      <c r="D3170" t="s">
        <v>2024</v>
      </c>
      <c r="E3170" t="s">
        <v>8845</v>
      </c>
      <c r="F3170" t="s">
        <v>8846</v>
      </c>
      <c r="G3170">
        <v>2</v>
      </c>
      <c r="H3170">
        <v>1640</v>
      </c>
      <c r="I3170">
        <v>2</v>
      </c>
      <c r="J3170">
        <v>3.4</v>
      </c>
      <c r="K3170">
        <v>2</v>
      </c>
      <c r="L3170">
        <v>8.5000000000000006E-2</v>
      </c>
      <c r="M3170">
        <v>1</v>
      </c>
      <c r="N3170">
        <v>76</v>
      </c>
      <c r="O3170">
        <v>2</v>
      </c>
      <c r="P3170">
        <v>0.20499999999999999</v>
      </c>
      <c r="Q3170">
        <v>2</v>
      </c>
      <c r="R3170">
        <v>4.2500000000000003E-3</v>
      </c>
      <c r="T3170" s="8" t="s">
        <v>8845</v>
      </c>
    </row>
    <row r="3171" spans="1:20" x14ac:dyDescent="0.2">
      <c r="A3171" t="s">
        <v>8847</v>
      </c>
      <c r="B3171" t="s">
        <v>2022</v>
      </c>
      <c r="C3171" t="s">
        <v>2101</v>
      </c>
      <c r="D3171" t="s">
        <v>2024</v>
      </c>
      <c r="E3171" t="s">
        <v>8848</v>
      </c>
      <c r="F3171" t="s">
        <v>8849</v>
      </c>
      <c r="G3171">
        <v>4</v>
      </c>
      <c r="H3171">
        <v>1870</v>
      </c>
      <c r="I3171">
        <v>3</v>
      </c>
      <c r="J3171">
        <v>8</v>
      </c>
      <c r="K3171">
        <v>3</v>
      </c>
      <c r="L3171">
        <v>0.24349999999999999</v>
      </c>
      <c r="M3171">
        <v>3</v>
      </c>
      <c r="N3171">
        <v>82</v>
      </c>
      <c r="O3171">
        <v>3</v>
      </c>
      <c r="P3171">
        <v>0.375</v>
      </c>
      <c r="Q3171">
        <v>2</v>
      </c>
      <c r="R3171">
        <v>4.4999999999999997E-3</v>
      </c>
      <c r="T3171" s="8" t="s">
        <v>8848</v>
      </c>
    </row>
    <row r="3172" spans="1:20" x14ac:dyDescent="0.2">
      <c r="A3172" t="s">
        <v>8850</v>
      </c>
      <c r="B3172" t="s">
        <v>2022</v>
      </c>
      <c r="C3172" t="s">
        <v>2095</v>
      </c>
      <c r="D3172" t="s">
        <v>2024</v>
      </c>
      <c r="E3172" t="s">
        <v>8848</v>
      </c>
      <c r="F3172" t="s">
        <v>8849</v>
      </c>
      <c r="G3172">
        <v>1</v>
      </c>
      <c r="H3172">
        <v>1565</v>
      </c>
      <c r="I3172">
        <v>1</v>
      </c>
      <c r="J3172">
        <v>4.5</v>
      </c>
      <c r="K3172">
        <v>2</v>
      </c>
      <c r="L3172">
        <v>0.13</v>
      </c>
      <c r="M3172">
        <v>1</v>
      </c>
      <c r="N3172">
        <v>74</v>
      </c>
      <c r="O3172">
        <v>1</v>
      </c>
      <c r="P3172">
        <v>0.15</v>
      </c>
      <c r="Q3172">
        <v>2</v>
      </c>
      <c r="R3172">
        <v>5.8999999999999999E-3</v>
      </c>
      <c r="T3172" s="8" t="s">
        <v>8848</v>
      </c>
    </row>
    <row r="3173" spans="1:20" x14ac:dyDescent="0.2">
      <c r="A3173" t="s">
        <v>8851</v>
      </c>
      <c r="B3173" t="s">
        <v>2022</v>
      </c>
      <c r="C3173" t="s">
        <v>2101</v>
      </c>
      <c r="D3173" t="s">
        <v>2024</v>
      </c>
      <c r="E3173" t="s">
        <v>8848</v>
      </c>
      <c r="F3173" t="s">
        <v>8849</v>
      </c>
      <c r="G3173">
        <v>2</v>
      </c>
      <c r="H3173">
        <v>1670</v>
      </c>
      <c r="I3173">
        <v>2</v>
      </c>
      <c r="J3173">
        <v>5</v>
      </c>
      <c r="K3173">
        <v>2</v>
      </c>
      <c r="L3173">
        <v>9.6500000000000002E-2</v>
      </c>
      <c r="M3173">
        <v>2</v>
      </c>
      <c r="N3173">
        <v>74</v>
      </c>
      <c r="O3173">
        <v>2</v>
      </c>
      <c r="P3173">
        <v>0.22500000000000001</v>
      </c>
      <c r="Q3173">
        <v>2</v>
      </c>
      <c r="R3173">
        <v>4.4999999999999997E-3</v>
      </c>
      <c r="T3173" s="8" t="s">
        <v>8848</v>
      </c>
    </row>
    <row r="3174" spans="1:20" x14ac:dyDescent="0.2">
      <c r="A3174" t="s">
        <v>8852</v>
      </c>
      <c r="B3174" t="s">
        <v>2022</v>
      </c>
      <c r="C3174" t="s">
        <v>2053</v>
      </c>
      <c r="D3174" t="s">
        <v>2024</v>
      </c>
      <c r="E3174" t="s">
        <v>8848</v>
      </c>
      <c r="F3174" t="s">
        <v>8849</v>
      </c>
      <c r="G3174">
        <v>2</v>
      </c>
      <c r="H3174">
        <v>1600</v>
      </c>
      <c r="I3174">
        <v>3</v>
      </c>
      <c r="J3174">
        <v>6.55</v>
      </c>
      <c r="K3174">
        <v>2</v>
      </c>
      <c r="L3174">
        <v>8.5000000000000006E-2</v>
      </c>
      <c r="M3174">
        <v>1</v>
      </c>
      <c r="N3174">
        <v>73</v>
      </c>
      <c r="O3174">
        <v>2</v>
      </c>
      <c r="P3174">
        <v>0.22500000000000001</v>
      </c>
      <c r="Q3174">
        <v>2</v>
      </c>
      <c r="R3174">
        <v>5.1999999999999998E-3</v>
      </c>
      <c r="T3174" s="8" t="s">
        <v>8848</v>
      </c>
    </row>
    <row r="3175" spans="1:20" x14ac:dyDescent="0.2">
      <c r="A3175" t="s">
        <v>8853</v>
      </c>
      <c r="B3175" t="s">
        <v>2022</v>
      </c>
      <c r="C3175" t="s">
        <v>2036</v>
      </c>
      <c r="D3175" t="s">
        <v>2024</v>
      </c>
      <c r="E3175" t="s">
        <v>8854</v>
      </c>
      <c r="F3175" t="s">
        <v>8855</v>
      </c>
      <c r="G3175">
        <v>4</v>
      </c>
      <c r="H3175">
        <v>1840</v>
      </c>
      <c r="I3175">
        <v>5</v>
      </c>
      <c r="J3175">
        <v>7</v>
      </c>
      <c r="K3175">
        <v>5</v>
      </c>
      <c r="L3175">
        <v>0.17499999999999999</v>
      </c>
      <c r="M3175">
        <v>5</v>
      </c>
      <c r="N3175">
        <v>100</v>
      </c>
      <c r="O3175">
        <v>5</v>
      </c>
      <c r="P3175">
        <v>0.53500000000000003</v>
      </c>
      <c r="Q3175">
        <v>5</v>
      </c>
      <c r="R3175">
        <v>1.2E-2</v>
      </c>
      <c r="T3175" s="8" t="s">
        <v>8854</v>
      </c>
    </row>
    <row r="3176" spans="1:20" x14ac:dyDescent="0.2">
      <c r="A3176" t="s">
        <v>8856</v>
      </c>
      <c r="B3176" t="s">
        <v>2022</v>
      </c>
      <c r="C3176" t="s">
        <v>2036</v>
      </c>
      <c r="D3176" t="s">
        <v>2024</v>
      </c>
      <c r="E3176" t="s">
        <v>8857</v>
      </c>
      <c r="F3176" t="s">
        <v>8858</v>
      </c>
      <c r="G3176">
        <v>3</v>
      </c>
      <c r="H3176">
        <v>1740</v>
      </c>
      <c r="I3176">
        <v>5</v>
      </c>
      <c r="J3176">
        <v>7</v>
      </c>
      <c r="K3176">
        <v>5</v>
      </c>
      <c r="L3176">
        <v>0.17499999999999999</v>
      </c>
      <c r="M3176">
        <v>2</v>
      </c>
      <c r="N3176">
        <v>82</v>
      </c>
      <c r="O3176">
        <v>5</v>
      </c>
      <c r="P3176">
        <v>0.53500000000000003</v>
      </c>
      <c r="Q3176">
        <v>5</v>
      </c>
      <c r="R3176">
        <v>1.2E-2</v>
      </c>
      <c r="T3176" s="8" t="s">
        <v>8857</v>
      </c>
    </row>
    <row r="3177" spans="1:20" x14ac:dyDescent="0.2">
      <c r="A3177" t="s">
        <v>8859</v>
      </c>
      <c r="B3177" t="s">
        <v>2022</v>
      </c>
      <c r="C3177" t="s">
        <v>2036</v>
      </c>
      <c r="D3177" t="s">
        <v>2024</v>
      </c>
      <c r="E3177" t="s">
        <v>8860</v>
      </c>
      <c r="F3177" t="s">
        <v>8861</v>
      </c>
      <c r="G3177">
        <v>3</v>
      </c>
      <c r="H3177">
        <v>1740</v>
      </c>
      <c r="I3177">
        <v>4</v>
      </c>
      <c r="J3177">
        <v>5.8</v>
      </c>
      <c r="K3177">
        <v>5</v>
      </c>
      <c r="L3177">
        <v>0.17499999999999999</v>
      </c>
      <c r="M3177">
        <v>1</v>
      </c>
      <c r="N3177">
        <v>76</v>
      </c>
      <c r="O3177">
        <v>2</v>
      </c>
      <c r="P3177">
        <v>0.20499999999999999</v>
      </c>
      <c r="Q3177">
        <v>4</v>
      </c>
      <c r="R3177">
        <v>9.2499999999999995E-3</v>
      </c>
      <c r="T3177" s="8" t="s">
        <v>8860</v>
      </c>
    </row>
    <row r="3178" spans="1:20" x14ac:dyDescent="0.2">
      <c r="A3178" t="s">
        <v>8862</v>
      </c>
      <c r="B3178" t="s">
        <v>2022</v>
      </c>
      <c r="C3178" t="s">
        <v>2053</v>
      </c>
      <c r="D3178" t="s">
        <v>2024</v>
      </c>
      <c r="E3178" t="s">
        <v>8863</v>
      </c>
      <c r="F3178" t="s">
        <v>8864</v>
      </c>
      <c r="G3178">
        <v>5</v>
      </c>
      <c r="H3178">
        <v>1900</v>
      </c>
      <c r="I3178">
        <v>5</v>
      </c>
      <c r="J3178">
        <v>11.55</v>
      </c>
      <c r="K3178">
        <v>5</v>
      </c>
      <c r="L3178">
        <v>0.41499999999999998</v>
      </c>
      <c r="M3178">
        <v>4</v>
      </c>
      <c r="N3178">
        <v>103</v>
      </c>
      <c r="O3178">
        <v>5</v>
      </c>
      <c r="P3178">
        <v>0.67500000000000004</v>
      </c>
      <c r="Q3178">
        <v>5</v>
      </c>
      <c r="R3178">
        <v>2.6200000000000001E-2</v>
      </c>
      <c r="T3178" s="8" t="s">
        <v>8863</v>
      </c>
    </row>
    <row r="3179" spans="1:20" x14ac:dyDescent="0.2">
      <c r="A3179" t="s">
        <v>8865</v>
      </c>
      <c r="B3179" t="s">
        <v>2022</v>
      </c>
      <c r="C3179" t="s">
        <v>2053</v>
      </c>
      <c r="D3179" t="s">
        <v>2024</v>
      </c>
      <c r="E3179" t="s">
        <v>8866</v>
      </c>
      <c r="F3179" t="s">
        <v>8867</v>
      </c>
      <c r="G3179">
        <v>5</v>
      </c>
      <c r="H3179">
        <v>1900</v>
      </c>
      <c r="I3179">
        <v>1</v>
      </c>
      <c r="J3179">
        <v>1.55</v>
      </c>
      <c r="K3179">
        <v>2</v>
      </c>
      <c r="L3179">
        <v>8.5000000000000006E-2</v>
      </c>
      <c r="M3179">
        <v>5</v>
      </c>
      <c r="N3179">
        <v>113</v>
      </c>
      <c r="O3179">
        <v>2</v>
      </c>
      <c r="P3179">
        <v>0.22500000000000001</v>
      </c>
      <c r="Q3179">
        <v>2</v>
      </c>
      <c r="R3179">
        <v>5.1999999999999998E-3</v>
      </c>
      <c r="T3179" s="8" t="s">
        <v>8866</v>
      </c>
    </row>
    <row r="3180" spans="1:20" x14ac:dyDescent="0.2">
      <c r="A3180" t="s">
        <v>8868</v>
      </c>
      <c r="B3180" t="s">
        <v>2022</v>
      </c>
      <c r="C3180" t="s">
        <v>2036</v>
      </c>
      <c r="D3180" t="s">
        <v>2136</v>
      </c>
      <c r="E3180" t="s">
        <v>8869</v>
      </c>
      <c r="F3180" t="s">
        <v>8870</v>
      </c>
      <c r="G3180">
        <v>2</v>
      </c>
      <c r="H3180">
        <v>1640</v>
      </c>
      <c r="I3180">
        <v>3</v>
      </c>
      <c r="J3180">
        <v>4.5999999999999996</v>
      </c>
      <c r="K3180">
        <v>5</v>
      </c>
      <c r="L3180">
        <v>0.17499999999999999</v>
      </c>
      <c r="M3180">
        <v>3</v>
      </c>
      <c r="N3180">
        <v>88</v>
      </c>
      <c r="O3180">
        <v>2</v>
      </c>
      <c r="P3180">
        <v>0.20499999999999999</v>
      </c>
      <c r="Q3180">
        <v>4</v>
      </c>
      <c r="R3180">
        <v>9.2499999999999995E-3</v>
      </c>
      <c r="T3180" s="8" t="s">
        <v>8869</v>
      </c>
    </row>
    <row r="3181" spans="1:20" x14ac:dyDescent="0.2">
      <c r="A3181" t="s">
        <v>8871</v>
      </c>
      <c r="B3181" t="s">
        <v>2022</v>
      </c>
      <c r="C3181" t="s">
        <v>2053</v>
      </c>
      <c r="D3181" t="s">
        <v>2154</v>
      </c>
      <c r="E3181" t="s">
        <v>357</v>
      </c>
      <c r="F3181" t="s">
        <v>447</v>
      </c>
      <c r="G3181">
        <v>1</v>
      </c>
      <c r="H3181">
        <v>1500</v>
      </c>
      <c r="I3181">
        <v>4</v>
      </c>
      <c r="J3181">
        <v>9.0500000000000007</v>
      </c>
      <c r="K3181">
        <v>5</v>
      </c>
      <c r="L3181">
        <v>0.41499999999999998</v>
      </c>
      <c r="M3181">
        <v>5</v>
      </c>
      <c r="N3181">
        <v>113</v>
      </c>
      <c r="O3181">
        <v>5</v>
      </c>
      <c r="P3181">
        <v>0.67500000000000004</v>
      </c>
      <c r="Q3181">
        <v>5</v>
      </c>
      <c r="R3181">
        <v>2.6200000000000001E-2</v>
      </c>
      <c r="T3181" s="8" t="s">
        <v>357</v>
      </c>
    </row>
    <row r="3182" spans="1:20" x14ac:dyDescent="0.2">
      <c r="A3182" t="s">
        <v>8872</v>
      </c>
      <c r="B3182" t="s">
        <v>2022</v>
      </c>
      <c r="C3182" t="s">
        <v>2104</v>
      </c>
      <c r="D3182" t="s">
        <v>2024</v>
      </c>
      <c r="E3182" t="s">
        <v>8873</v>
      </c>
      <c r="F3182" t="s">
        <v>8874</v>
      </c>
      <c r="G3182">
        <v>2</v>
      </c>
      <c r="H3182">
        <v>1712.5</v>
      </c>
      <c r="I3182">
        <v>2</v>
      </c>
      <c r="J3182">
        <v>3.25</v>
      </c>
      <c r="K3182">
        <v>2</v>
      </c>
      <c r="L3182">
        <v>4.1000000000000002E-2</v>
      </c>
      <c r="M3182">
        <v>2</v>
      </c>
      <c r="N3182">
        <v>65</v>
      </c>
      <c r="P3182">
        <v>0</v>
      </c>
      <c r="Q3182">
        <v>2</v>
      </c>
      <c r="R3182">
        <v>3.2000000000000002E-3</v>
      </c>
      <c r="T3182" s="8" t="s">
        <v>8873</v>
      </c>
    </row>
    <row r="3183" spans="1:20" x14ac:dyDescent="0.2">
      <c r="A3183" t="s">
        <v>8875</v>
      </c>
      <c r="B3183" t="s">
        <v>2022</v>
      </c>
      <c r="C3183" t="s">
        <v>2023</v>
      </c>
      <c r="D3183" t="s">
        <v>2024</v>
      </c>
      <c r="E3183" t="s">
        <v>220</v>
      </c>
      <c r="F3183" t="s">
        <v>8876</v>
      </c>
      <c r="G3183">
        <v>2</v>
      </c>
      <c r="H3183">
        <v>1560</v>
      </c>
      <c r="I3183">
        <v>1</v>
      </c>
      <c r="J3183">
        <v>0.9</v>
      </c>
      <c r="K3183">
        <v>1</v>
      </c>
      <c r="L3183">
        <v>6.0000000000000001E-3</v>
      </c>
      <c r="M3183">
        <v>4</v>
      </c>
      <c r="N3183">
        <v>104</v>
      </c>
      <c r="O3183">
        <v>1</v>
      </c>
      <c r="P3183">
        <v>7.4999999999999997E-2</v>
      </c>
      <c r="Q3183">
        <v>1</v>
      </c>
      <c r="R3183">
        <v>5.0000000000000001E-4</v>
      </c>
      <c r="T3183" s="8" t="s">
        <v>220</v>
      </c>
    </row>
    <row r="3184" spans="1:20" x14ac:dyDescent="0.2">
      <c r="A3184" t="s">
        <v>8877</v>
      </c>
      <c r="B3184" t="s">
        <v>2022</v>
      </c>
      <c r="C3184" t="s">
        <v>2053</v>
      </c>
      <c r="D3184" t="s">
        <v>2024</v>
      </c>
      <c r="E3184" t="s">
        <v>8878</v>
      </c>
      <c r="F3184" t="s">
        <v>8879</v>
      </c>
      <c r="G3184">
        <v>3</v>
      </c>
      <c r="H3184">
        <v>1700</v>
      </c>
      <c r="I3184">
        <v>5</v>
      </c>
      <c r="J3184">
        <v>11.55</v>
      </c>
      <c r="K3184">
        <v>5</v>
      </c>
      <c r="L3184">
        <v>0.41499999999999998</v>
      </c>
      <c r="M3184">
        <v>3</v>
      </c>
      <c r="N3184">
        <v>93</v>
      </c>
      <c r="O3184">
        <v>5</v>
      </c>
      <c r="P3184">
        <v>0.67500000000000004</v>
      </c>
      <c r="Q3184">
        <v>5</v>
      </c>
      <c r="R3184">
        <v>2.6200000000000001E-2</v>
      </c>
      <c r="T3184" s="8" t="s">
        <v>8878</v>
      </c>
    </row>
    <row r="3185" spans="1:20" x14ac:dyDescent="0.2">
      <c r="A3185" t="s">
        <v>8880</v>
      </c>
      <c r="B3185" t="s">
        <v>2022</v>
      </c>
      <c r="C3185" t="s">
        <v>2095</v>
      </c>
      <c r="D3185" t="s">
        <v>2136</v>
      </c>
      <c r="E3185" t="s">
        <v>8881</v>
      </c>
      <c r="F3185" t="s">
        <v>8882</v>
      </c>
      <c r="G3185">
        <v>3</v>
      </c>
      <c r="H3185">
        <v>1745</v>
      </c>
      <c r="I3185">
        <v>3</v>
      </c>
      <c r="J3185">
        <v>10.5</v>
      </c>
      <c r="K3185">
        <v>2</v>
      </c>
      <c r="L3185">
        <v>0.13</v>
      </c>
      <c r="M3185">
        <v>1</v>
      </c>
      <c r="N3185">
        <v>74</v>
      </c>
      <c r="O3185">
        <v>2</v>
      </c>
      <c r="P3185">
        <v>0.35</v>
      </c>
      <c r="Q3185">
        <v>2</v>
      </c>
      <c r="R3185">
        <v>5.8999999999999999E-3</v>
      </c>
      <c r="T3185" s="8" t="s">
        <v>8881</v>
      </c>
    </row>
    <row r="3186" spans="1:20" x14ac:dyDescent="0.2">
      <c r="A3186" t="s">
        <v>8883</v>
      </c>
      <c r="B3186" t="s">
        <v>2022</v>
      </c>
      <c r="C3186" t="s">
        <v>2053</v>
      </c>
      <c r="D3186" t="s">
        <v>2024</v>
      </c>
      <c r="E3186" t="s">
        <v>218</v>
      </c>
      <c r="F3186" t="s">
        <v>1314</v>
      </c>
      <c r="G3186">
        <v>2</v>
      </c>
      <c r="H3186">
        <v>1600</v>
      </c>
      <c r="I3186">
        <v>4</v>
      </c>
      <c r="J3186">
        <v>9.0500000000000007</v>
      </c>
      <c r="K3186">
        <v>3</v>
      </c>
      <c r="L3186">
        <v>0.19500000000000001</v>
      </c>
      <c r="M3186">
        <v>5</v>
      </c>
      <c r="N3186">
        <v>113</v>
      </c>
      <c r="O3186">
        <v>5</v>
      </c>
      <c r="P3186">
        <v>0.67500000000000004</v>
      </c>
      <c r="Q3186">
        <v>4</v>
      </c>
      <c r="R3186">
        <v>1.9199999999999998E-2</v>
      </c>
      <c r="T3186" s="8" t="s">
        <v>218</v>
      </c>
    </row>
    <row r="3187" spans="1:20" x14ac:dyDescent="0.2">
      <c r="A3187" t="s">
        <v>8884</v>
      </c>
      <c r="B3187" t="s">
        <v>2022</v>
      </c>
      <c r="C3187" t="s">
        <v>2049</v>
      </c>
      <c r="D3187" t="s">
        <v>2024</v>
      </c>
      <c r="E3187" t="s">
        <v>1864</v>
      </c>
      <c r="F3187" t="s">
        <v>1865</v>
      </c>
      <c r="G3187">
        <v>2</v>
      </c>
      <c r="H3187">
        <v>1450</v>
      </c>
      <c r="I3187">
        <v>5</v>
      </c>
      <c r="J3187">
        <v>8.6</v>
      </c>
      <c r="K3187">
        <v>3</v>
      </c>
      <c r="L3187">
        <v>0.14000000000000001</v>
      </c>
      <c r="M3187">
        <v>4</v>
      </c>
      <c r="N3187">
        <v>146</v>
      </c>
      <c r="O3187">
        <v>5</v>
      </c>
      <c r="P3187">
        <v>0.86</v>
      </c>
      <c r="Q3187">
        <v>3</v>
      </c>
      <c r="R3187">
        <v>1.52E-2</v>
      </c>
      <c r="T3187" s="8" t="s">
        <v>1864</v>
      </c>
    </row>
    <row r="3188" spans="1:20" x14ac:dyDescent="0.2">
      <c r="A3188" t="s">
        <v>8885</v>
      </c>
      <c r="B3188" t="s">
        <v>2022</v>
      </c>
      <c r="C3188" t="s">
        <v>2104</v>
      </c>
      <c r="D3188" t="s">
        <v>2024</v>
      </c>
      <c r="E3188" t="s">
        <v>8886</v>
      </c>
      <c r="F3188" t="s">
        <v>8887</v>
      </c>
      <c r="G3188">
        <v>2</v>
      </c>
      <c r="H3188">
        <v>1712.5</v>
      </c>
      <c r="I3188">
        <v>5</v>
      </c>
      <c r="J3188">
        <v>10.15</v>
      </c>
      <c r="K3188">
        <v>5</v>
      </c>
      <c r="L3188">
        <v>0.191</v>
      </c>
      <c r="M3188">
        <v>1</v>
      </c>
      <c r="N3188">
        <v>57</v>
      </c>
      <c r="P3188">
        <v>0</v>
      </c>
      <c r="Q3188">
        <v>4</v>
      </c>
      <c r="R3188">
        <v>1.32E-2</v>
      </c>
      <c r="T3188" s="8" t="s">
        <v>8886</v>
      </c>
    </row>
    <row r="3189" spans="1:20" x14ac:dyDescent="0.2">
      <c r="A3189" t="s">
        <v>8888</v>
      </c>
      <c r="B3189" t="s">
        <v>2022</v>
      </c>
      <c r="C3189" t="s">
        <v>2036</v>
      </c>
      <c r="D3189" t="s">
        <v>2024</v>
      </c>
      <c r="E3189" t="s">
        <v>357</v>
      </c>
      <c r="F3189" t="s">
        <v>447</v>
      </c>
      <c r="G3189">
        <v>1</v>
      </c>
      <c r="H3189">
        <v>1540</v>
      </c>
      <c r="I3189">
        <v>5</v>
      </c>
      <c r="J3189">
        <v>7</v>
      </c>
      <c r="K3189">
        <v>5</v>
      </c>
      <c r="L3189">
        <v>0.17499999999999999</v>
      </c>
      <c r="M3189">
        <v>2</v>
      </c>
      <c r="N3189">
        <v>82</v>
      </c>
      <c r="O3189">
        <v>4</v>
      </c>
      <c r="P3189">
        <v>0.42499999999999999</v>
      </c>
      <c r="Q3189">
        <v>5</v>
      </c>
      <c r="R3189">
        <v>1.2E-2</v>
      </c>
      <c r="T3189" s="8" t="s">
        <v>357</v>
      </c>
    </row>
    <row r="3190" spans="1:20" x14ac:dyDescent="0.2">
      <c r="A3190" t="s">
        <v>8889</v>
      </c>
      <c r="B3190" t="s">
        <v>2022</v>
      </c>
      <c r="C3190" t="s">
        <v>2053</v>
      </c>
      <c r="D3190" t="s">
        <v>2024</v>
      </c>
      <c r="E3190" t="s">
        <v>8890</v>
      </c>
      <c r="F3190" t="s">
        <v>8891</v>
      </c>
      <c r="G3190">
        <v>1</v>
      </c>
      <c r="H3190">
        <v>1500</v>
      </c>
      <c r="I3190">
        <v>2</v>
      </c>
      <c r="J3190">
        <v>4.05</v>
      </c>
      <c r="K3190">
        <v>3</v>
      </c>
      <c r="L3190">
        <v>0.19500000000000001</v>
      </c>
      <c r="M3190">
        <v>5</v>
      </c>
      <c r="N3190">
        <v>113</v>
      </c>
      <c r="O3190">
        <v>4</v>
      </c>
      <c r="P3190">
        <v>0.52500000000000002</v>
      </c>
      <c r="Q3190">
        <v>5</v>
      </c>
      <c r="R3190">
        <v>2.6200000000000001E-2</v>
      </c>
      <c r="T3190" s="8" t="s">
        <v>8890</v>
      </c>
    </row>
    <row r="3191" spans="1:20" x14ac:dyDescent="0.2">
      <c r="A3191" t="s">
        <v>8892</v>
      </c>
      <c r="B3191" t="s">
        <v>2022</v>
      </c>
      <c r="C3191" t="s">
        <v>2028</v>
      </c>
      <c r="D3191" t="s">
        <v>2024</v>
      </c>
      <c r="E3191" t="s">
        <v>8893</v>
      </c>
      <c r="F3191" t="s">
        <v>8894</v>
      </c>
      <c r="G3191">
        <v>5</v>
      </c>
      <c r="H3191">
        <v>1450</v>
      </c>
      <c r="I3191">
        <v>5</v>
      </c>
      <c r="J3191">
        <v>6.65</v>
      </c>
      <c r="K3191">
        <v>5</v>
      </c>
      <c r="L3191">
        <v>0.26700000000000002</v>
      </c>
      <c r="M3191">
        <v>1</v>
      </c>
      <c r="N3191">
        <v>100</v>
      </c>
      <c r="O3191">
        <v>3</v>
      </c>
      <c r="P3191">
        <v>0.75</v>
      </c>
      <c r="Q3191">
        <v>5</v>
      </c>
      <c r="R3191">
        <v>3.3500000000000002E-2</v>
      </c>
      <c r="T3191" s="8" t="s">
        <v>8893</v>
      </c>
    </row>
    <row r="3192" spans="1:20" x14ac:dyDescent="0.2">
      <c r="A3192" t="s">
        <v>8895</v>
      </c>
      <c r="B3192" t="s">
        <v>2022</v>
      </c>
      <c r="C3192" t="s">
        <v>2095</v>
      </c>
      <c r="D3192" t="s">
        <v>2024</v>
      </c>
      <c r="E3192" t="s">
        <v>8896</v>
      </c>
      <c r="F3192" t="s">
        <v>8897</v>
      </c>
      <c r="G3192">
        <v>1</v>
      </c>
      <c r="H3192">
        <v>1565</v>
      </c>
      <c r="I3192">
        <v>1</v>
      </c>
      <c r="J3192">
        <v>4.5</v>
      </c>
      <c r="K3192">
        <v>1</v>
      </c>
      <c r="L3192">
        <v>1.4999999999999999E-2</v>
      </c>
      <c r="M3192">
        <v>1</v>
      </c>
      <c r="N3192">
        <v>74</v>
      </c>
      <c r="O3192">
        <v>1</v>
      </c>
      <c r="P3192">
        <v>0.15</v>
      </c>
      <c r="Q3192">
        <v>1</v>
      </c>
      <c r="R3192">
        <v>6.9999999999999999E-4</v>
      </c>
      <c r="T3192" s="8" t="s">
        <v>8896</v>
      </c>
    </row>
    <row r="3193" spans="1:20" x14ac:dyDescent="0.2">
      <c r="A3193" t="s">
        <v>8898</v>
      </c>
      <c r="B3193" t="s">
        <v>2022</v>
      </c>
      <c r="C3193" t="s">
        <v>2036</v>
      </c>
      <c r="D3193" t="s">
        <v>2136</v>
      </c>
      <c r="E3193" t="s">
        <v>357</v>
      </c>
      <c r="F3193" t="s">
        <v>8899</v>
      </c>
      <c r="G3193">
        <v>4</v>
      </c>
      <c r="H3193">
        <v>1840</v>
      </c>
      <c r="I3193">
        <v>2</v>
      </c>
      <c r="J3193">
        <v>3.4</v>
      </c>
      <c r="K3193">
        <v>3</v>
      </c>
      <c r="L3193">
        <v>0.115</v>
      </c>
      <c r="M3193">
        <v>5</v>
      </c>
      <c r="N3193">
        <v>100</v>
      </c>
      <c r="O3193">
        <v>2</v>
      </c>
      <c r="P3193">
        <v>0.20499999999999999</v>
      </c>
      <c r="Q3193">
        <v>3</v>
      </c>
      <c r="R3193">
        <v>6.7499999999999999E-3</v>
      </c>
      <c r="T3193" s="8" t="s">
        <v>357</v>
      </c>
    </row>
    <row r="3194" spans="1:20" x14ac:dyDescent="0.2">
      <c r="A3194" t="s">
        <v>8900</v>
      </c>
      <c r="B3194" t="s">
        <v>2022</v>
      </c>
      <c r="C3194" t="s">
        <v>2173</v>
      </c>
      <c r="D3194" t="s">
        <v>2024</v>
      </c>
      <c r="E3194" t="s">
        <v>291</v>
      </c>
      <c r="F3194" t="s">
        <v>8901</v>
      </c>
      <c r="G3194">
        <v>3</v>
      </c>
      <c r="H3194">
        <v>2032.5</v>
      </c>
      <c r="I3194">
        <v>3</v>
      </c>
      <c r="J3194">
        <v>9.0500000000000007</v>
      </c>
      <c r="K3194">
        <v>4</v>
      </c>
      <c r="L3194">
        <v>0.33</v>
      </c>
      <c r="M3194">
        <v>2</v>
      </c>
      <c r="N3194">
        <v>107.5</v>
      </c>
      <c r="O3194">
        <v>3</v>
      </c>
      <c r="P3194">
        <v>0.51</v>
      </c>
      <c r="Q3194">
        <v>4</v>
      </c>
      <c r="R3194">
        <v>1.8800000000000001E-2</v>
      </c>
      <c r="T3194" s="8" t="s">
        <v>291</v>
      </c>
    </row>
    <row r="3195" spans="1:20" x14ac:dyDescent="0.2">
      <c r="A3195" t="s">
        <v>8902</v>
      </c>
      <c r="B3195" t="s">
        <v>2022</v>
      </c>
      <c r="C3195" t="s">
        <v>2101</v>
      </c>
      <c r="D3195" t="s">
        <v>2024</v>
      </c>
      <c r="E3195" t="s">
        <v>319</v>
      </c>
      <c r="F3195" t="s">
        <v>8903</v>
      </c>
      <c r="G3195">
        <v>2</v>
      </c>
      <c r="H3195">
        <v>1670</v>
      </c>
      <c r="I3195">
        <v>5</v>
      </c>
      <c r="J3195">
        <v>14</v>
      </c>
      <c r="K3195">
        <v>5</v>
      </c>
      <c r="L3195">
        <v>0.53749999999999998</v>
      </c>
      <c r="M3195">
        <v>5</v>
      </c>
      <c r="N3195">
        <v>98</v>
      </c>
      <c r="O3195">
        <v>5</v>
      </c>
      <c r="P3195">
        <v>0.67500000000000004</v>
      </c>
      <c r="Q3195">
        <v>5</v>
      </c>
      <c r="R3195">
        <v>2.5499999999999998E-2</v>
      </c>
      <c r="T3195" s="8" t="s">
        <v>319</v>
      </c>
    </row>
    <row r="3196" spans="1:20" x14ac:dyDescent="0.2">
      <c r="A3196" t="s">
        <v>8904</v>
      </c>
      <c r="B3196" t="s">
        <v>2022</v>
      </c>
      <c r="C3196" t="s">
        <v>2023</v>
      </c>
      <c r="D3196" t="s">
        <v>2024</v>
      </c>
      <c r="E3196" t="s">
        <v>8905</v>
      </c>
      <c r="F3196" t="s">
        <v>8906</v>
      </c>
      <c r="G3196">
        <v>1</v>
      </c>
      <c r="H3196">
        <v>1480</v>
      </c>
      <c r="I3196">
        <v>1</v>
      </c>
      <c r="J3196">
        <v>0.9</v>
      </c>
      <c r="K3196">
        <v>1</v>
      </c>
      <c r="L3196">
        <v>6.0000000000000001E-3</v>
      </c>
      <c r="M3196">
        <v>2</v>
      </c>
      <c r="N3196">
        <v>84</v>
      </c>
      <c r="O3196">
        <v>1</v>
      </c>
      <c r="P3196">
        <v>7.4999999999999997E-2</v>
      </c>
      <c r="Q3196">
        <v>1</v>
      </c>
      <c r="R3196">
        <v>5.0000000000000001E-4</v>
      </c>
      <c r="T3196" s="8" t="s">
        <v>8905</v>
      </c>
    </row>
    <row r="3197" spans="1:20" x14ac:dyDescent="0.2">
      <c r="A3197" t="s">
        <v>8907</v>
      </c>
      <c r="B3197" t="s">
        <v>2022</v>
      </c>
      <c r="C3197" t="s">
        <v>2095</v>
      </c>
      <c r="D3197" t="s">
        <v>2024</v>
      </c>
      <c r="E3197" t="s">
        <v>8908</v>
      </c>
      <c r="F3197" t="s">
        <v>8909</v>
      </c>
      <c r="G3197">
        <v>3</v>
      </c>
      <c r="H3197">
        <v>1745</v>
      </c>
      <c r="I3197">
        <v>4</v>
      </c>
      <c r="J3197">
        <v>13.5</v>
      </c>
      <c r="K3197">
        <v>4</v>
      </c>
      <c r="L3197">
        <v>0.53</v>
      </c>
      <c r="M3197">
        <v>2</v>
      </c>
      <c r="N3197">
        <v>80</v>
      </c>
      <c r="O3197">
        <v>3</v>
      </c>
      <c r="P3197">
        <v>0.55000000000000004</v>
      </c>
      <c r="Q3197">
        <v>4</v>
      </c>
      <c r="R3197">
        <v>2.3900000000000001E-2</v>
      </c>
      <c r="T3197" s="8" t="s">
        <v>8908</v>
      </c>
    </row>
    <row r="3198" spans="1:20" x14ac:dyDescent="0.2">
      <c r="A3198" t="s">
        <v>8910</v>
      </c>
      <c r="B3198" t="s">
        <v>2022</v>
      </c>
      <c r="C3198" t="s">
        <v>2053</v>
      </c>
      <c r="D3198" t="s">
        <v>2154</v>
      </c>
      <c r="E3198" t="s">
        <v>8911</v>
      </c>
      <c r="F3198" t="s">
        <v>8912</v>
      </c>
      <c r="G3198">
        <v>2</v>
      </c>
      <c r="H3198">
        <v>1600</v>
      </c>
      <c r="I3198">
        <v>4</v>
      </c>
      <c r="J3198">
        <v>9.0500000000000007</v>
      </c>
      <c r="K3198">
        <v>3</v>
      </c>
      <c r="L3198">
        <v>0.19500000000000001</v>
      </c>
      <c r="M3198">
        <v>2</v>
      </c>
      <c r="N3198">
        <v>83</v>
      </c>
      <c r="O3198">
        <v>4</v>
      </c>
      <c r="P3198">
        <v>0.52500000000000002</v>
      </c>
      <c r="Q3198">
        <v>3</v>
      </c>
      <c r="R3198">
        <v>1.2200000000000001E-2</v>
      </c>
      <c r="T3198" s="8" t="s">
        <v>8911</v>
      </c>
    </row>
    <row r="3199" spans="1:20" x14ac:dyDescent="0.2">
      <c r="A3199" t="s">
        <v>8913</v>
      </c>
      <c r="B3199" t="s">
        <v>2022</v>
      </c>
      <c r="C3199" t="s">
        <v>2023</v>
      </c>
      <c r="D3199" t="s">
        <v>2024</v>
      </c>
      <c r="E3199" t="s">
        <v>8914</v>
      </c>
      <c r="F3199" t="s">
        <v>8915</v>
      </c>
      <c r="G3199">
        <v>4</v>
      </c>
      <c r="H3199">
        <v>1720</v>
      </c>
      <c r="I3199">
        <v>4</v>
      </c>
      <c r="J3199">
        <v>8.4</v>
      </c>
      <c r="K3199">
        <v>5</v>
      </c>
      <c r="L3199">
        <v>8.5999999999999993E-2</v>
      </c>
      <c r="M3199">
        <v>1</v>
      </c>
      <c r="N3199">
        <v>74</v>
      </c>
      <c r="O3199">
        <v>3</v>
      </c>
      <c r="P3199">
        <v>0.375</v>
      </c>
      <c r="Q3199">
        <v>5</v>
      </c>
      <c r="R3199">
        <v>8.0000000000000002E-3</v>
      </c>
      <c r="T3199" s="8" t="s">
        <v>8914</v>
      </c>
    </row>
    <row r="3200" spans="1:20" x14ac:dyDescent="0.2">
      <c r="A3200" t="s">
        <v>8916</v>
      </c>
      <c r="B3200" t="s">
        <v>2022</v>
      </c>
      <c r="C3200" t="s">
        <v>2053</v>
      </c>
      <c r="D3200" t="s">
        <v>2024</v>
      </c>
      <c r="E3200" t="s">
        <v>8917</v>
      </c>
      <c r="F3200" t="s">
        <v>8918</v>
      </c>
      <c r="G3200">
        <v>4</v>
      </c>
      <c r="H3200">
        <v>1800</v>
      </c>
      <c r="I3200">
        <v>2</v>
      </c>
      <c r="J3200">
        <v>4.05</v>
      </c>
      <c r="K3200">
        <v>2</v>
      </c>
      <c r="L3200">
        <v>8.5000000000000006E-2</v>
      </c>
      <c r="M3200">
        <v>1</v>
      </c>
      <c r="N3200">
        <v>73</v>
      </c>
      <c r="O3200">
        <v>1</v>
      </c>
      <c r="P3200">
        <v>7.4999999999999997E-2</v>
      </c>
      <c r="Q3200">
        <v>2</v>
      </c>
      <c r="R3200">
        <v>5.1999999999999998E-3</v>
      </c>
      <c r="T3200" s="8" t="s">
        <v>8917</v>
      </c>
    </row>
    <row r="3201" spans="1:20" x14ac:dyDescent="0.2">
      <c r="A3201" t="s">
        <v>8919</v>
      </c>
      <c r="B3201" t="s">
        <v>2022</v>
      </c>
      <c r="C3201" t="s">
        <v>2053</v>
      </c>
      <c r="D3201" t="s">
        <v>2024</v>
      </c>
      <c r="E3201" t="s">
        <v>8920</v>
      </c>
      <c r="F3201" t="s">
        <v>8921</v>
      </c>
      <c r="G3201">
        <v>3</v>
      </c>
      <c r="H3201">
        <v>1700</v>
      </c>
      <c r="I3201">
        <v>2</v>
      </c>
      <c r="J3201">
        <v>4.05</v>
      </c>
      <c r="K3201">
        <v>2</v>
      </c>
      <c r="L3201">
        <v>8.5000000000000006E-2</v>
      </c>
      <c r="M3201">
        <v>2</v>
      </c>
      <c r="N3201">
        <v>83</v>
      </c>
      <c r="O3201">
        <v>2</v>
      </c>
      <c r="P3201">
        <v>0.22500000000000001</v>
      </c>
      <c r="Q3201">
        <v>2</v>
      </c>
      <c r="R3201">
        <v>5.1999999999999998E-3</v>
      </c>
      <c r="T3201" s="8" t="s">
        <v>8920</v>
      </c>
    </row>
    <row r="3202" spans="1:20" x14ac:dyDescent="0.2">
      <c r="A3202" t="s">
        <v>8922</v>
      </c>
      <c r="B3202" t="s">
        <v>2022</v>
      </c>
      <c r="C3202" t="s">
        <v>2101</v>
      </c>
      <c r="D3202" t="s">
        <v>2024</v>
      </c>
      <c r="E3202" t="s">
        <v>8923</v>
      </c>
      <c r="F3202" t="s">
        <v>8924</v>
      </c>
      <c r="G3202">
        <v>2</v>
      </c>
      <c r="H3202">
        <v>1670</v>
      </c>
      <c r="I3202">
        <v>1</v>
      </c>
      <c r="J3202">
        <v>2</v>
      </c>
      <c r="K3202">
        <v>1</v>
      </c>
      <c r="L3202">
        <v>1.15E-2</v>
      </c>
      <c r="M3202">
        <v>4</v>
      </c>
      <c r="N3202">
        <v>90</v>
      </c>
      <c r="O3202">
        <v>2</v>
      </c>
      <c r="P3202">
        <v>0.22500000000000001</v>
      </c>
      <c r="Q3202">
        <v>1</v>
      </c>
      <c r="R3202">
        <v>5.0000000000000001E-4</v>
      </c>
      <c r="T3202" s="8" t="s">
        <v>8923</v>
      </c>
    </row>
    <row r="3203" spans="1:20" x14ac:dyDescent="0.2">
      <c r="A3203" t="s">
        <v>8925</v>
      </c>
      <c r="B3203" t="s">
        <v>2022</v>
      </c>
      <c r="C3203" t="s">
        <v>2023</v>
      </c>
      <c r="D3203" t="s">
        <v>2024</v>
      </c>
      <c r="E3203" t="s">
        <v>8926</v>
      </c>
      <c r="F3203" t="s">
        <v>8927</v>
      </c>
      <c r="G3203">
        <v>1</v>
      </c>
      <c r="H3203">
        <v>1480</v>
      </c>
      <c r="I3203">
        <v>3</v>
      </c>
      <c r="J3203">
        <v>5.9</v>
      </c>
      <c r="K3203">
        <v>5</v>
      </c>
      <c r="L3203">
        <v>8.5999999999999993E-2</v>
      </c>
      <c r="M3203">
        <v>2</v>
      </c>
      <c r="N3203">
        <v>84</v>
      </c>
      <c r="O3203">
        <v>2</v>
      </c>
      <c r="P3203">
        <v>0.22500000000000001</v>
      </c>
      <c r="Q3203">
        <v>4</v>
      </c>
      <c r="R3203">
        <v>6.0000000000000001E-3</v>
      </c>
      <c r="T3203" s="8" t="s">
        <v>8926</v>
      </c>
    </row>
    <row r="3204" spans="1:20" x14ac:dyDescent="0.2">
      <c r="A3204" t="s">
        <v>8928</v>
      </c>
      <c r="B3204" t="s">
        <v>2022</v>
      </c>
      <c r="C3204" t="s">
        <v>2049</v>
      </c>
      <c r="D3204" t="s">
        <v>2024</v>
      </c>
      <c r="E3204" t="s">
        <v>8929</v>
      </c>
      <c r="F3204" t="s">
        <v>8930</v>
      </c>
      <c r="G3204">
        <v>5</v>
      </c>
      <c r="H3204">
        <v>1750</v>
      </c>
      <c r="I3204">
        <v>4</v>
      </c>
      <c r="J3204">
        <v>6.8</v>
      </c>
      <c r="K3204">
        <v>5</v>
      </c>
      <c r="L3204">
        <v>0.3</v>
      </c>
      <c r="M3204">
        <v>3</v>
      </c>
      <c r="N3204">
        <v>126</v>
      </c>
      <c r="O3204">
        <v>4</v>
      </c>
      <c r="P3204">
        <v>0.66</v>
      </c>
      <c r="Q3204">
        <v>4</v>
      </c>
      <c r="R3204">
        <v>2.4199999999999999E-2</v>
      </c>
      <c r="T3204" s="8" t="s">
        <v>8929</v>
      </c>
    </row>
    <row r="3205" spans="1:20" x14ac:dyDescent="0.2">
      <c r="A3205" t="s">
        <v>8931</v>
      </c>
      <c r="B3205" t="s">
        <v>2022</v>
      </c>
      <c r="C3205" t="s">
        <v>2023</v>
      </c>
      <c r="D3205" t="s">
        <v>2024</v>
      </c>
      <c r="E3205" t="s">
        <v>203</v>
      </c>
      <c r="F3205" t="s">
        <v>8930</v>
      </c>
      <c r="G3205">
        <v>2</v>
      </c>
      <c r="H3205">
        <v>1560</v>
      </c>
      <c r="I3205">
        <v>2</v>
      </c>
      <c r="J3205">
        <v>3.4</v>
      </c>
      <c r="K3205">
        <v>2</v>
      </c>
      <c r="L3205">
        <v>2.5999999999999999E-2</v>
      </c>
      <c r="M3205">
        <v>2</v>
      </c>
      <c r="N3205">
        <v>84</v>
      </c>
      <c r="O3205">
        <v>2</v>
      </c>
      <c r="P3205">
        <v>0.22500000000000001</v>
      </c>
      <c r="Q3205">
        <v>1</v>
      </c>
      <c r="R3205">
        <v>5.0000000000000001E-4</v>
      </c>
      <c r="T3205" s="8" t="s">
        <v>203</v>
      </c>
    </row>
    <row r="3206" spans="1:20" x14ac:dyDescent="0.2">
      <c r="A3206" t="s">
        <v>8932</v>
      </c>
      <c r="B3206" t="s">
        <v>2022</v>
      </c>
      <c r="C3206" t="s">
        <v>2023</v>
      </c>
      <c r="D3206" t="s">
        <v>2024</v>
      </c>
      <c r="E3206" t="s">
        <v>8933</v>
      </c>
      <c r="F3206" t="s">
        <v>8934</v>
      </c>
      <c r="G3206">
        <v>2</v>
      </c>
      <c r="H3206">
        <v>1560</v>
      </c>
      <c r="I3206">
        <v>5</v>
      </c>
      <c r="J3206">
        <v>10.9</v>
      </c>
      <c r="K3206">
        <v>5</v>
      </c>
      <c r="L3206">
        <v>8.5999999999999993E-2</v>
      </c>
      <c r="M3206">
        <v>2</v>
      </c>
      <c r="N3206">
        <v>84</v>
      </c>
      <c r="O3206">
        <v>4</v>
      </c>
      <c r="P3206">
        <v>0.52500000000000002</v>
      </c>
      <c r="Q3206">
        <v>5</v>
      </c>
      <c r="R3206">
        <v>8.0000000000000002E-3</v>
      </c>
      <c r="T3206" s="8" t="s">
        <v>8933</v>
      </c>
    </row>
    <row r="3207" spans="1:20" x14ac:dyDescent="0.2">
      <c r="A3207" t="s">
        <v>8935</v>
      </c>
      <c r="B3207" t="s">
        <v>2022</v>
      </c>
      <c r="C3207" t="s">
        <v>2036</v>
      </c>
      <c r="D3207" t="s">
        <v>2024</v>
      </c>
      <c r="E3207" t="s">
        <v>8936</v>
      </c>
      <c r="F3207" t="s">
        <v>8937</v>
      </c>
      <c r="G3207">
        <v>2</v>
      </c>
      <c r="H3207">
        <v>1640</v>
      </c>
      <c r="I3207">
        <v>2</v>
      </c>
      <c r="J3207">
        <v>3.4</v>
      </c>
      <c r="K3207">
        <v>3</v>
      </c>
      <c r="L3207">
        <v>0.115</v>
      </c>
      <c r="M3207">
        <v>2</v>
      </c>
      <c r="N3207">
        <v>82</v>
      </c>
      <c r="O3207">
        <v>2</v>
      </c>
      <c r="P3207">
        <v>0.20499999999999999</v>
      </c>
      <c r="Q3207">
        <v>2</v>
      </c>
      <c r="R3207">
        <v>4.2500000000000003E-3</v>
      </c>
      <c r="T3207" s="8" t="s">
        <v>8936</v>
      </c>
    </row>
    <row r="3208" spans="1:20" x14ac:dyDescent="0.2">
      <c r="A3208" t="s">
        <v>8938</v>
      </c>
      <c r="B3208" t="s">
        <v>2022</v>
      </c>
      <c r="C3208" t="s">
        <v>2053</v>
      </c>
      <c r="D3208" t="s">
        <v>2024</v>
      </c>
      <c r="E3208" t="s">
        <v>357</v>
      </c>
      <c r="F3208" t="s">
        <v>8939</v>
      </c>
      <c r="G3208">
        <v>3</v>
      </c>
      <c r="H3208">
        <v>1700</v>
      </c>
      <c r="I3208">
        <v>2</v>
      </c>
      <c r="J3208">
        <v>4.05</v>
      </c>
      <c r="K3208">
        <v>2</v>
      </c>
      <c r="L3208">
        <v>8.5000000000000006E-2</v>
      </c>
      <c r="M3208">
        <v>3</v>
      </c>
      <c r="N3208">
        <v>93</v>
      </c>
      <c r="O3208">
        <v>2</v>
      </c>
      <c r="P3208">
        <v>0.22500000000000001</v>
      </c>
      <c r="Q3208">
        <v>2</v>
      </c>
      <c r="R3208">
        <v>5.1999999999999998E-3</v>
      </c>
      <c r="T3208" s="8" t="s">
        <v>357</v>
      </c>
    </row>
    <row r="3209" spans="1:20" x14ac:dyDescent="0.2">
      <c r="A3209" t="s">
        <v>8940</v>
      </c>
      <c r="B3209" t="s">
        <v>2022</v>
      </c>
      <c r="C3209" t="s">
        <v>2173</v>
      </c>
      <c r="D3209" t="s">
        <v>2024</v>
      </c>
      <c r="E3209" t="s">
        <v>8941</v>
      </c>
      <c r="F3209" t="s">
        <v>8942</v>
      </c>
      <c r="G3209">
        <v>5</v>
      </c>
      <c r="H3209">
        <v>2182.5</v>
      </c>
      <c r="I3209">
        <v>2</v>
      </c>
      <c r="J3209">
        <v>6.35</v>
      </c>
      <c r="K3209">
        <v>2</v>
      </c>
      <c r="L3209">
        <v>0.09</v>
      </c>
      <c r="M3209">
        <v>2</v>
      </c>
      <c r="N3209">
        <v>107.5</v>
      </c>
      <c r="O3209">
        <v>2</v>
      </c>
      <c r="P3209">
        <v>0.33</v>
      </c>
      <c r="Q3209">
        <v>2</v>
      </c>
      <c r="R3209">
        <v>4.7999999999999996E-3</v>
      </c>
      <c r="T3209" s="8" t="s">
        <v>8941</v>
      </c>
    </row>
    <row r="3210" spans="1:20" x14ac:dyDescent="0.2">
      <c r="A3210" t="s">
        <v>8943</v>
      </c>
      <c r="B3210" t="s">
        <v>2022</v>
      </c>
      <c r="C3210" t="s">
        <v>2036</v>
      </c>
      <c r="D3210" t="s">
        <v>2136</v>
      </c>
      <c r="E3210" t="s">
        <v>8944</v>
      </c>
      <c r="F3210" t="s">
        <v>8945</v>
      </c>
      <c r="G3210">
        <v>3</v>
      </c>
      <c r="H3210">
        <v>1740</v>
      </c>
      <c r="I3210">
        <v>5</v>
      </c>
      <c r="J3210">
        <v>7</v>
      </c>
      <c r="K3210">
        <v>5</v>
      </c>
      <c r="L3210">
        <v>0.17499999999999999</v>
      </c>
      <c r="M3210">
        <v>4</v>
      </c>
      <c r="N3210">
        <v>94</v>
      </c>
      <c r="O3210">
        <v>5</v>
      </c>
      <c r="P3210">
        <v>0.53500000000000003</v>
      </c>
      <c r="Q3210">
        <v>5</v>
      </c>
      <c r="R3210">
        <v>1.2E-2</v>
      </c>
      <c r="T3210" s="8" t="s">
        <v>8944</v>
      </c>
    </row>
    <row r="3211" spans="1:20" x14ac:dyDescent="0.2">
      <c r="A3211" t="s">
        <v>8946</v>
      </c>
      <c r="B3211" t="s">
        <v>2022</v>
      </c>
      <c r="C3211" t="s">
        <v>2036</v>
      </c>
      <c r="D3211" t="s">
        <v>2024</v>
      </c>
      <c r="E3211" t="s">
        <v>8947</v>
      </c>
      <c r="F3211" t="s">
        <v>8948</v>
      </c>
      <c r="G3211">
        <v>2</v>
      </c>
      <c r="H3211">
        <v>1640</v>
      </c>
      <c r="I3211">
        <v>1</v>
      </c>
      <c r="J3211">
        <v>2.2000000000000002</v>
      </c>
      <c r="K3211">
        <v>1</v>
      </c>
      <c r="L3211">
        <v>5.5E-2</v>
      </c>
      <c r="M3211">
        <v>2</v>
      </c>
      <c r="N3211">
        <v>82</v>
      </c>
      <c r="O3211">
        <v>1</v>
      </c>
      <c r="P3211">
        <v>9.5000000000000001E-2</v>
      </c>
      <c r="Q3211">
        <v>1</v>
      </c>
      <c r="R3211">
        <v>1.5E-3</v>
      </c>
      <c r="T3211" s="8" t="s">
        <v>8947</v>
      </c>
    </row>
    <row r="3212" spans="1:20" x14ac:dyDescent="0.2">
      <c r="A3212" t="s">
        <v>8949</v>
      </c>
      <c r="B3212" t="s">
        <v>2022</v>
      </c>
      <c r="C3212" t="s">
        <v>2023</v>
      </c>
      <c r="D3212" t="s">
        <v>2024</v>
      </c>
      <c r="E3212" t="s">
        <v>8950</v>
      </c>
      <c r="F3212" t="s">
        <v>8951</v>
      </c>
      <c r="G3212">
        <v>2</v>
      </c>
      <c r="H3212">
        <v>1560</v>
      </c>
      <c r="I3212">
        <v>1</v>
      </c>
      <c r="J3212">
        <v>0.9</v>
      </c>
      <c r="K3212">
        <v>2</v>
      </c>
      <c r="L3212">
        <v>2.5999999999999999E-2</v>
      </c>
      <c r="M3212">
        <v>1</v>
      </c>
      <c r="N3212">
        <v>74</v>
      </c>
      <c r="O3212">
        <v>1</v>
      </c>
      <c r="P3212">
        <v>7.4999999999999997E-2</v>
      </c>
      <c r="Q3212">
        <v>1</v>
      </c>
      <c r="R3212">
        <v>5.0000000000000001E-4</v>
      </c>
      <c r="T3212" s="8" t="s">
        <v>8950</v>
      </c>
    </row>
    <row r="3213" spans="1:20" x14ac:dyDescent="0.2">
      <c r="A3213" t="s">
        <v>8952</v>
      </c>
      <c r="B3213" t="s">
        <v>2022</v>
      </c>
      <c r="C3213" t="s">
        <v>2036</v>
      </c>
      <c r="D3213" t="s">
        <v>2024</v>
      </c>
      <c r="E3213" t="s">
        <v>8953</v>
      </c>
      <c r="F3213" t="s">
        <v>8954</v>
      </c>
      <c r="G3213">
        <v>1</v>
      </c>
      <c r="H3213">
        <v>1540</v>
      </c>
      <c r="I3213">
        <v>1</v>
      </c>
      <c r="J3213">
        <v>2.2000000000000002</v>
      </c>
      <c r="K3213">
        <v>1</v>
      </c>
      <c r="L3213">
        <v>5.5E-2</v>
      </c>
      <c r="M3213">
        <v>1</v>
      </c>
      <c r="N3213">
        <v>76</v>
      </c>
      <c r="O3213">
        <v>1</v>
      </c>
      <c r="P3213">
        <v>9.5000000000000001E-2</v>
      </c>
      <c r="Q3213">
        <v>1</v>
      </c>
      <c r="R3213">
        <v>1.5E-3</v>
      </c>
      <c r="T3213" s="8" t="s">
        <v>8953</v>
      </c>
    </row>
    <row r="3214" spans="1:20" x14ac:dyDescent="0.2">
      <c r="A3214" t="s">
        <v>8955</v>
      </c>
      <c r="B3214" t="s">
        <v>2022</v>
      </c>
      <c r="C3214" t="s">
        <v>2023</v>
      </c>
      <c r="D3214" t="s">
        <v>2024</v>
      </c>
      <c r="E3214" t="s">
        <v>8956</v>
      </c>
      <c r="F3214" t="s">
        <v>8957</v>
      </c>
      <c r="G3214">
        <v>4</v>
      </c>
      <c r="H3214">
        <v>1720</v>
      </c>
      <c r="I3214">
        <v>3</v>
      </c>
      <c r="J3214">
        <v>5.9</v>
      </c>
      <c r="K3214">
        <v>4</v>
      </c>
      <c r="L3214">
        <v>6.6000000000000003E-2</v>
      </c>
      <c r="M3214">
        <v>3</v>
      </c>
      <c r="N3214">
        <v>94</v>
      </c>
      <c r="O3214">
        <v>3</v>
      </c>
      <c r="P3214">
        <v>0.375</v>
      </c>
      <c r="Q3214">
        <v>3</v>
      </c>
      <c r="R3214">
        <v>4.0000000000000001E-3</v>
      </c>
      <c r="T3214" s="8" t="s">
        <v>8956</v>
      </c>
    </row>
    <row r="3215" spans="1:20" x14ac:dyDescent="0.2">
      <c r="A3215" t="s">
        <v>8958</v>
      </c>
      <c r="B3215" t="s">
        <v>2022</v>
      </c>
      <c r="C3215" t="s">
        <v>2053</v>
      </c>
      <c r="D3215" t="s">
        <v>2024</v>
      </c>
      <c r="E3215" t="s">
        <v>8959</v>
      </c>
      <c r="F3215" t="s">
        <v>8960</v>
      </c>
      <c r="G3215">
        <v>1</v>
      </c>
      <c r="H3215">
        <v>1500</v>
      </c>
      <c r="I3215">
        <v>1</v>
      </c>
      <c r="J3215">
        <v>1.55</v>
      </c>
      <c r="K3215">
        <v>2</v>
      </c>
      <c r="L3215">
        <v>8.5000000000000006E-2</v>
      </c>
      <c r="M3215">
        <v>1</v>
      </c>
      <c r="N3215">
        <v>73</v>
      </c>
      <c r="O3215">
        <v>1</v>
      </c>
      <c r="P3215">
        <v>7.4999999999999997E-2</v>
      </c>
      <c r="Q3215">
        <v>2</v>
      </c>
      <c r="R3215">
        <v>5.1999999999999998E-3</v>
      </c>
      <c r="T3215" s="8" t="s">
        <v>8959</v>
      </c>
    </row>
    <row r="3216" spans="1:20" x14ac:dyDescent="0.2">
      <c r="A3216" t="s">
        <v>8961</v>
      </c>
      <c r="B3216" t="s">
        <v>2022</v>
      </c>
      <c r="C3216" t="s">
        <v>2028</v>
      </c>
      <c r="D3216" t="s">
        <v>2024</v>
      </c>
      <c r="E3216" t="s">
        <v>8962</v>
      </c>
      <c r="F3216" t="s">
        <v>8963</v>
      </c>
      <c r="G3216">
        <v>5</v>
      </c>
      <c r="H3216">
        <v>1450</v>
      </c>
      <c r="I3216">
        <v>3</v>
      </c>
      <c r="J3216">
        <v>3.25</v>
      </c>
      <c r="K3216">
        <v>2</v>
      </c>
      <c r="L3216">
        <v>4.4999999999999998E-2</v>
      </c>
      <c r="M3216">
        <v>3</v>
      </c>
      <c r="N3216">
        <v>300</v>
      </c>
      <c r="O3216">
        <v>2</v>
      </c>
      <c r="P3216">
        <v>0.45</v>
      </c>
      <c r="Q3216">
        <v>1</v>
      </c>
      <c r="R3216">
        <v>1.75E-3</v>
      </c>
      <c r="T3216" s="8" t="s">
        <v>8962</v>
      </c>
    </row>
    <row r="3217" spans="1:20" x14ac:dyDescent="0.2">
      <c r="A3217" t="s">
        <v>8964</v>
      </c>
      <c r="B3217" t="s">
        <v>2022</v>
      </c>
      <c r="C3217" t="s">
        <v>2049</v>
      </c>
      <c r="D3217" t="s">
        <v>2024</v>
      </c>
      <c r="E3217" t="s">
        <v>8965</v>
      </c>
      <c r="F3217" t="s">
        <v>8966</v>
      </c>
      <c r="G3217">
        <v>3</v>
      </c>
      <c r="H3217">
        <v>1550</v>
      </c>
      <c r="I3217">
        <v>5</v>
      </c>
      <c r="J3217">
        <v>8.6</v>
      </c>
      <c r="K3217">
        <v>5</v>
      </c>
      <c r="L3217">
        <v>0.3</v>
      </c>
      <c r="M3217">
        <v>3</v>
      </c>
      <c r="N3217">
        <v>126</v>
      </c>
      <c r="O3217">
        <v>4</v>
      </c>
      <c r="P3217">
        <v>0.66</v>
      </c>
      <c r="Q3217">
        <v>5</v>
      </c>
      <c r="R3217">
        <v>3.32E-2</v>
      </c>
      <c r="T3217" s="8" t="s">
        <v>8965</v>
      </c>
    </row>
    <row r="3218" spans="1:20" x14ac:dyDescent="0.2">
      <c r="A3218" t="s">
        <v>8967</v>
      </c>
      <c r="B3218" t="s">
        <v>2022</v>
      </c>
      <c r="C3218" t="s">
        <v>2222</v>
      </c>
      <c r="D3218" t="s">
        <v>2024</v>
      </c>
      <c r="E3218" t="s">
        <v>8968</v>
      </c>
      <c r="F3218" t="s">
        <v>8969</v>
      </c>
      <c r="G3218">
        <v>2</v>
      </c>
      <c r="H3218">
        <v>1550</v>
      </c>
      <c r="I3218">
        <v>4</v>
      </c>
      <c r="J3218">
        <v>7.1</v>
      </c>
      <c r="K3218">
        <v>4</v>
      </c>
      <c r="L3218">
        <v>0.19500000000000001</v>
      </c>
      <c r="M3218">
        <v>2</v>
      </c>
      <c r="N3218">
        <v>63</v>
      </c>
      <c r="O3218">
        <v>3</v>
      </c>
      <c r="P3218">
        <v>0.23</v>
      </c>
      <c r="Q3218">
        <v>4</v>
      </c>
      <c r="R3218">
        <v>8.3000000000000001E-3</v>
      </c>
      <c r="T3218" s="8" t="s">
        <v>8968</v>
      </c>
    </row>
    <row r="3219" spans="1:20" x14ac:dyDescent="0.2">
      <c r="A3219" t="s">
        <v>8970</v>
      </c>
      <c r="B3219" t="s">
        <v>2022</v>
      </c>
      <c r="C3219" t="s">
        <v>2023</v>
      </c>
      <c r="D3219" t="s">
        <v>2024</v>
      </c>
      <c r="E3219" t="s">
        <v>8971</v>
      </c>
      <c r="F3219" t="s">
        <v>8972</v>
      </c>
      <c r="G3219">
        <v>3</v>
      </c>
      <c r="H3219">
        <v>1640</v>
      </c>
      <c r="I3219">
        <v>3</v>
      </c>
      <c r="J3219">
        <v>5.9</v>
      </c>
      <c r="K3219">
        <v>5</v>
      </c>
      <c r="L3219">
        <v>8.5999999999999993E-2</v>
      </c>
      <c r="M3219">
        <v>1</v>
      </c>
      <c r="N3219">
        <v>74</v>
      </c>
      <c r="O3219">
        <v>3</v>
      </c>
      <c r="P3219">
        <v>0.375</v>
      </c>
      <c r="Q3219">
        <v>5</v>
      </c>
      <c r="R3219">
        <v>8.0000000000000002E-3</v>
      </c>
      <c r="T3219" s="8" t="s">
        <v>8971</v>
      </c>
    </row>
    <row r="3220" spans="1:20" x14ac:dyDescent="0.2">
      <c r="A3220" t="s">
        <v>8973</v>
      </c>
      <c r="B3220" t="s">
        <v>2022</v>
      </c>
      <c r="C3220" t="s">
        <v>2036</v>
      </c>
      <c r="D3220" t="s">
        <v>2024</v>
      </c>
      <c r="E3220" t="s">
        <v>8974</v>
      </c>
      <c r="F3220" t="s">
        <v>8975</v>
      </c>
      <c r="G3220">
        <v>3</v>
      </c>
      <c r="H3220">
        <v>1740</v>
      </c>
      <c r="I3220">
        <v>1</v>
      </c>
      <c r="J3220">
        <v>2.2000000000000002</v>
      </c>
      <c r="K3220">
        <v>1</v>
      </c>
      <c r="L3220">
        <v>5.5E-2</v>
      </c>
      <c r="M3220">
        <v>3</v>
      </c>
      <c r="N3220">
        <v>88</v>
      </c>
      <c r="O3220">
        <v>1</v>
      </c>
      <c r="P3220">
        <v>9.5000000000000001E-2</v>
      </c>
      <c r="Q3220">
        <v>1</v>
      </c>
      <c r="R3220">
        <v>1.5E-3</v>
      </c>
      <c r="T3220" s="8" t="s">
        <v>8974</v>
      </c>
    </row>
    <row r="3221" spans="1:20" x14ac:dyDescent="0.2">
      <c r="A3221" t="s">
        <v>8976</v>
      </c>
      <c r="B3221" t="s">
        <v>2022</v>
      </c>
      <c r="C3221" t="s">
        <v>2036</v>
      </c>
      <c r="D3221" t="s">
        <v>2024</v>
      </c>
      <c r="E3221" t="s">
        <v>8977</v>
      </c>
      <c r="F3221" t="s">
        <v>8978</v>
      </c>
      <c r="G3221">
        <v>1</v>
      </c>
      <c r="H3221">
        <v>1540</v>
      </c>
      <c r="I3221">
        <v>1</v>
      </c>
      <c r="J3221">
        <v>2.2000000000000002</v>
      </c>
      <c r="K3221">
        <v>1</v>
      </c>
      <c r="L3221">
        <v>5.5E-2</v>
      </c>
      <c r="M3221">
        <v>1</v>
      </c>
      <c r="N3221">
        <v>76</v>
      </c>
      <c r="O3221">
        <v>1</v>
      </c>
      <c r="P3221">
        <v>9.5000000000000001E-2</v>
      </c>
      <c r="Q3221">
        <v>1</v>
      </c>
      <c r="R3221">
        <v>1.5E-3</v>
      </c>
      <c r="T3221" s="8" t="s">
        <v>8977</v>
      </c>
    </row>
    <row r="3222" spans="1:20" x14ac:dyDescent="0.2">
      <c r="A3222" t="s">
        <v>8979</v>
      </c>
      <c r="B3222" t="s">
        <v>2022</v>
      </c>
      <c r="C3222" t="s">
        <v>2023</v>
      </c>
      <c r="D3222" t="s">
        <v>2024</v>
      </c>
      <c r="E3222" t="s">
        <v>8980</v>
      </c>
      <c r="F3222" t="s">
        <v>8981</v>
      </c>
      <c r="G3222">
        <v>3</v>
      </c>
      <c r="H3222">
        <v>1640</v>
      </c>
      <c r="I3222">
        <v>5</v>
      </c>
      <c r="J3222">
        <v>10.9</v>
      </c>
      <c r="K3222">
        <v>5</v>
      </c>
      <c r="L3222">
        <v>8.5999999999999993E-2</v>
      </c>
      <c r="M3222">
        <v>1</v>
      </c>
      <c r="N3222">
        <v>74</v>
      </c>
      <c r="O3222">
        <v>3</v>
      </c>
      <c r="P3222">
        <v>0.375</v>
      </c>
      <c r="Q3222">
        <v>5</v>
      </c>
      <c r="R3222">
        <v>8.0000000000000002E-3</v>
      </c>
      <c r="T3222" s="8" t="s">
        <v>8980</v>
      </c>
    </row>
    <row r="3223" spans="1:20" x14ac:dyDescent="0.2">
      <c r="A3223" t="s">
        <v>8982</v>
      </c>
      <c r="B3223" t="s">
        <v>2022</v>
      </c>
      <c r="C3223" t="s">
        <v>2036</v>
      </c>
      <c r="D3223" t="s">
        <v>2024</v>
      </c>
      <c r="E3223" t="s">
        <v>357</v>
      </c>
      <c r="F3223" t="s">
        <v>8983</v>
      </c>
      <c r="G3223">
        <v>1</v>
      </c>
      <c r="H3223">
        <v>1540</v>
      </c>
      <c r="I3223">
        <v>4</v>
      </c>
      <c r="J3223">
        <v>5.8</v>
      </c>
      <c r="K3223">
        <v>5</v>
      </c>
      <c r="L3223">
        <v>0.17499999999999999</v>
      </c>
      <c r="M3223">
        <v>4</v>
      </c>
      <c r="N3223">
        <v>94</v>
      </c>
      <c r="O3223">
        <v>3</v>
      </c>
      <c r="P3223">
        <v>0.315</v>
      </c>
      <c r="Q3223">
        <v>5</v>
      </c>
      <c r="R3223">
        <v>1.2E-2</v>
      </c>
      <c r="T3223" s="8" t="s">
        <v>357</v>
      </c>
    </row>
    <row r="3224" spans="1:20" x14ac:dyDescent="0.2">
      <c r="A3224" t="s">
        <v>8984</v>
      </c>
      <c r="B3224" t="s">
        <v>2022</v>
      </c>
      <c r="C3224" t="s">
        <v>2036</v>
      </c>
      <c r="D3224" t="s">
        <v>2024</v>
      </c>
      <c r="E3224" t="s">
        <v>8985</v>
      </c>
      <c r="F3224" t="s">
        <v>8986</v>
      </c>
      <c r="G3224">
        <v>2</v>
      </c>
      <c r="H3224">
        <v>1640</v>
      </c>
      <c r="I3224">
        <v>2</v>
      </c>
      <c r="J3224">
        <v>3.4</v>
      </c>
      <c r="K3224">
        <v>2</v>
      </c>
      <c r="L3224">
        <v>8.5000000000000006E-2</v>
      </c>
      <c r="M3224">
        <v>1</v>
      </c>
      <c r="N3224">
        <v>76</v>
      </c>
      <c r="O3224">
        <v>1</v>
      </c>
      <c r="P3224">
        <v>9.5000000000000001E-2</v>
      </c>
      <c r="Q3224">
        <v>2</v>
      </c>
      <c r="R3224">
        <v>4.2500000000000003E-3</v>
      </c>
      <c r="T3224" s="8" t="s">
        <v>8985</v>
      </c>
    </row>
    <row r="3225" spans="1:20" x14ac:dyDescent="0.2">
      <c r="A3225" t="s">
        <v>8987</v>
      </c>
      <c r="B3225" t="s">
        <v>2022</v>
      </c>
      <c r="C3225" t="s">
        <v>2257</v>
      </c>
      <c r="D3225" t="s">
        <v>2024</v>
      </c>
      <c r="E3225" t="s">
        <v>357</v>
      </c>
      <c r="F3225" t="s">
        <v>447</v>
      </c>
      <c r="G3225">
        <v>5</v>
      </c>
      <c r="H3225">
        <v>1300</v>
      </c>
      <c r="I3225">
        <v>4</v>
      </c>
      <c r="J3225">
        <v>4.3499999999999996</v>
      </c>
      <c r="K3225">
        <v>5</v>
      </c>
      <c r="L3225">
        <v>0.187</v>
      </c>
      <c r="M3225">
        <v>5</v>
      </c>
      <c r="N3225">
        <v>1100</v>
      </c>
      <c r="O3225">
        <v>5</v>
      </c>
      <c r="P3225">
        <v>2.7</v>
      </c>
      <c r="Q3225">
        <v>5</v>
      </c>
      <c r="R3225">
        <v>8.1000000000000003E-2</v>
      </c>
      <c r="T3225" s="8" t="s">
        <v>357</v>
      </c>
    </row>
    <row r="3226" spans="1:20" x14ac:dyDescent="0.2">
      <c r="A3226" t="s">
        <v>8988</v>
      </c>
      <c r="B3226" t="s">
        <v>2022</v>
      </c>
      <c r="C3226" t="s">
        <v>2095</v>
      </c>
      <c r="D3226" t="s">
        <v>2024</v>
      </c>
      <c r="E3226" t="s">
        <v>8989</v>
      </c>
      <c r="F3226" t="s">
        <v>447</v>
      </c>
      <c r="G3226">
        <v>4</v>
      </c>
      <c r="H3226">
        <v>1835</v>
      </c>
      <c r="I3226">
        <v>4</v>
      </c>
      <c r="J3226">
        <v>13.5</v>
      </c>
      <c r="K3226">
        <v>3</v>
      </c>
      <c r="L3226">
        <v>0.33</v>
      </c>
      <c r="M3226">
        <v>3</v>
      </c>
      <c r="N3226">
        <v>86</v>
      </c>
      <c r="O3226">
        <v>3</v>
      </c>
      <c r="P3226">
        <v>0.55000000000000004</v>
      </c>
      <c r="Q3226">
        <v>3</v>
      </c>
      <c r="R3226">
        <v>1.49E-2</v>
      </c>
      <c r="T3226" s="8" t="s">
        <v>8989</v>
      </c>
    </row>
    <row r="3227" spans="1:20" x14ac:dyDescent="0.2">
      <c r="A3227" t="s">
        <v>8990</v>
      </c>
      <c r="B3227" t="s">
        <v>2022</v>
      </c>
      <c r="C3227" t="s">
        <v>2028</v>
      </c>
      <c r="D3227" t="s">
        <v>2024</v>
      </c>
      <c r="E3227" t="s">
        <v>8991</v>
      </c>
      <c r="F3227" t="s">
        <v>8992</v>
      </c>
      <c r="G3227">
        <v>2</v>
      </c>
      <c r="H3227">
        <v>850</v>
      </c>
      <c r="I3227">
        <v>1</v>
      </c>
      <c r="J3227">
        <v>0.35</v>
      </c>
      <c r="K3227">
        <v>1</v>
      </c>
      <c r="L3227">
        <v>4.0000000000000001E-3</v>
      </c>
      <c r="M3227">
        <v>5</v>
      </c>
      <c r="N3227">
        <v>500</v>
      </c>
      <c r="O3227">
        <v>1</v>
      </c>
      <c r="P3227">
        <v>0.15</v>
      </c>
      <c r="Q3227">
        <v>2</v>
      </c>
      <c r="R3227">
        <v>7.7499999999999999E-3</v>
      </c>
      <c r="T3227" s="8" t="s">
        <v>8991</v>
      </c>
    </row>
    <row r="3228" spans="1:20" x14ac:dyDescent="0.2">
      <c r="A3228" t="s">
        <v>8993</v>
      </c>
      <c r="B3228" t="s">
        <v>2022</v>
      </c>
      <c r="C3228" t="s">
        <v>2023</v>
      </c>
      <c r="D3228" t="s">
        <v>2024</v>
      </c>
      <c r="E3228" t="s">
        <v>8994</v>
      </c>
      <c r="F3228" t="s">
        <v>8995</v>
      </c>
      <c r="G3228">
        <v>3</v>
      </c>
      <c r="H3228">
        <v>1640</v>
      </c>
      <c r="I3228">
        <v>3</v>
      </c>
      <c r="J3228">
        <v>5.9</v>
      </c>
      <c r="K3228">
        <v>5</v>
      </c>
      <c r="L3228">
        <v>8.5999999999999993E-2</v>
      </c>
      <c r="M3228">
        <v>2</v>
      </c>
      <c r="N3228">
        <v>84</v>
      </c>
      <c r="O3228">
        <v>2</v>
      </c>
      <c r="P3228">
        <v>0.22500000000000001</v>
      </c>
      <c r="Q3228">
        <v>5</v>
      </c>
      <c r="R3228">
        <v>8.0000000000000002E-3</v>
      </c>
      <c r="T3228" s="8" t="s">
        <v>8994</v>
      </c>
    </row>
    <row r="3229" spans="1:20" x14ac:dyDescent="0.2">
      <c r="A3229" t="s">
        <v>8996</v>
      </c>
      <c r="B3229" t="s">
        <v>2022</v>
      </c>
      <c r="C3229" t="s">
        <v>2222</v>
      </c>
      <c r="D3229" t="s">
        <v>2136</v>
      </c>
      <c r="E3229" t="s">
        <v>8997</v>
      </c>
      <c r="F3229" t="s">
        <v>8998</v>
      </c>
      <c r="G3229">
        <v>1</v>
      </c>
      <c r="H3229">
        <v>1450</v>
      </c>
      <c r="I3229">
        <v>1</v>
      </c>
      <c r="J3229">
        <v>2.2999999999999998</v>
      </c>
      <c r="K3229">
        <v>2</v>
      </c>
      <c r="L3229">
        <v>5.5E-2</v>
      </c>
      <c r="M3229">
        <v>1</v>
      </c>
      <c r="N3229">
        <v>59</v>
      </c>
      <c r="O3229">
        <v>1</v>
      </c>
      <c r="P3229">
        <v>7.0000000000000007E-2</v>
      </c>
      <c r="Q3229">
        <v>2</v>
      </c>
      <c r="R3229">
        <v>2.3E-3</v>
      </c>
      <c r="T3229" s="8" t="s">
        <v>8997</v>
      </c>
    </row>
    <row r="3230" spans="1:20" x14ac:dyDescent="0.2">
      <c r="A3230" t="s">
        <v>8999</v>
      </c>
      <c r="B3230" t="s">
        <v>2022</v>
      </c>
      <c r="C3230" t="s">
        <v>2023</v>
      </c>
      <c r="D3230" t="s">
        <v>2024</v>
      </c>
      <c r="E3230" t="s">
        <v>9000</v>
      </c>
      <c r="F3230" t="s">
        <v>447</v>
      </c>
      <c r="G3230">
        <v>1</v>
      </c>
      <c r="H3230">
        <v>1480</v>
      </c>
      <c r="I3230">
        <v>2</v>
      </c>
      <c r="J3230">
        <v>3.4</v>
      </c>
      <c r="K3230">
        <v>2</v>
      </c>
      <c r="L3230">
        <v>2.5999999999999999E-2</v>
      </c>
      <c r="M3230">
        <v>1</v>
      </c>
      <c r="N3230">
        <v>74</v>
      </c>
      <c r="O3230">
        <v>2</v>
      </c>
      <c r="P3230">
        <v>0.22500000000000001</v>
      </c>
      <c r="Q3230">
        <v>1</v>
      </c>
      <c r="R3230">
        <v>5.0000000000000001E-4</v>
      </c>
      <c r="T3230" s="8" t="s">
        <v>9000</v>
      </c>
    </row>
    <row r="3231" spans="1:20" x14ac:dyDescent="0.2">
      <c r="A3231" t="s">
        <v>9001</v>
      </c>
      <c r="B3231" t="s">
        <v>2022</v>
      </c>
      <c r="C3231" t="s">
        <v>2023</v>
      </c>
      <c r="D3231" t="s">
        <v>2024</v>
      </c>
      <c r="E3231" t="s">
        <v>9002</v>
      </c>
      <c r="F3231" t="s">
        <v>9003</v>
      </c>
      <c r="G3231">
        <v>2</v>
      </c>
      <c r="H3231">
        <v>1560</v>
      </c>
      <c r="I3231">
        <v>5</v>
      </c>
      <c r="J3231">
        <v>10.9</v>
      </c>
      <c r="K3231">
        <v>5</v>
      </c>
      <c r="L3231">
        <v>8.5999999999999993E-2</v>
      </c>
      <c r="M3231">
        <v>2</v>
      </c>
      <c r="N3231">
        <v>84</v>
      </c>
      <c r="O3231">
        <v>5</v>
      </c>
      <c r="P3231">
        <v>0.67500000000000004</v>
      </c>
      <c r="Q3231">
        <v>5</v>
      </c>
      <c r="R3231">
        <v>8.0000000000000002E-3</v>
      </c>
      <c r="T3231" s="8" t="s">
        <v>9002</v>
      </c>
    </row>
    <row r="3232" spans="1:20" x14ac:dyDescent="0.2">
      <c r="A3232" t="s">
        <v>9004</v>
      </c>
      <c r="B3232" t="s">
        <v>2022</v>
      </c>
      <c r="C3232" t="s">
        <v>2053</v>
      </c>
      <c r="D3232" t="s">
        <v>2154</v>
      </c>
      <c r="E3232" t="s">
        <v>9005</v>
      </c>
      <c r="F3232" t="s">
        <v>9006</v>
      </c>
      <c r="G3232">
        <v>2</v>
      </c>
      <c r="H3232">
        <v>1600</v>
      </c>
      <c r="I3232">
        <v>3</v>
      </c>
      <c r="J3232">
        <v>6.55</v>
      </c>
      <c r="K3232">
        <v>2</v>
      </c>
      <c r="L3232">
        <v>8.5000000000000006E-2</v>
      </c>
      <c r="M3232">
        <v>5</v>
      </c>
      <c r="N3232">
        <v>113</v>
      </c>
      <c r="O3232">
        <v>4</v>
      </c>
      <c r="P3232">
        <v>0.52500000000000002</v>
      </c>
      <c r="Q3232">
        <v>3</v>
      </c>
      <c r="R3232">
        <v>1.2200000000000001E-2</v>
      </c>
      <c r="T3232" s="8" t="s">
        <v>9005</v>
      </c>
    </row>
    <row r="3233" spans="1:20" x14ac:dyDescent="0.2">
      <c r="A3233" t="s">
        <v>9007</v>
      </c>
      <c r="B3233" t="s">
        <v>2022</v>
      </c>
      <c r="C3233" t="s">
        <v>2023</v>
      </c>
      <c r="D3233" t="s">
        <v>2024</v>
      </c>
      <c r="E3233" t="s">
        <v>9008</v>
      </c>
      <c r="F3233" t="s">
        <v>9009</v>
      </c>
      <c r="G3233">
        <v>1</v>
      </c>
      <c r="H3233">
        <v>1480</v>
      </c>
      <c r="I3233">
        <v>3</v>
      </c>
      <c r="J3233">
        <v>5.9</v>
      </c>
      <c r="K3233">
        <v>3</v>
      </c>
      <c r="L3233">
        <v>4.5999999999999999E-2</v>
      </c>
      <c r="M3233">
        <v>2</v>
      </c>
      <c r="N3233">
        <v>84</v>
      </c>
      <c r="O3233">
        <v>2</v>
      </c>
      <c r="P3233">
        <v>0.22500000000000001</v>
      </c>
      <c r="Q3233">
        <v>2</v>
      </c>
      <c r="R3233">
        <v>2E-3</v>
      </c>
      <c r="T3233" s="8" t="s">
        <v>9008</v>
      </c>
    </row>
    <row r="3234" spans="1:20" x14ac:dyDescent="0.2">
      <c r="A3234" t="s">
        <v>9010</v>
      </c>
      <c r="B3234" t="s">
        <v>2022</v>
      </c>
      <c r="C3234" t="s">
        <v>2023</v>
      </c>
      <c r="D3234" t="s">
        <v>2024</v>
      </c>
      <c r="E3234" t="s">
        <v>9011</v>
      </c>
      <c r="F3234" t="s">
        <v>9012</v>
      </c>
      <c r="G3234">
        <v>1</v>
      </c>
      <c r="H3234">
        <v>1480</v>
      </c>
      <c r="I3234">
        <v>1</v>
      </c>
      <c r="J3234">
        <v>0.9</v>
      </c>
      <c r="K3234">
        <v>1</v>
      </c>
      <c r="L3234">
        <v>6.0000000000000001E-3</v>
      </c>
      <c r="M3234">
        <v>3</v>
      </c>
      <c r="N3234">
        <v>94</v>
      </c>
      <c r="O3234">
        <v>1</v>
      </c>
      <c r="P3234">
        <v>7.4999999999999997E-2</v>
      </c>
      <c r="Q3234">
        <v>1</v>
      </c>
      <c r="R3234">
        <v>5.0000000000000001E-4</v>
      </c>
      <c r="T3234" s="8" t="s">
        <v>9011</v>
      </c>
    </row>
    <row r="3235" spans="1:20" x14ac:dyDescent="0.2">
      <c r="A3235" t="s">
        <v>9013</v>
      </c>
      <c r="B3235" t="s">
        <v>2022</v>
      </c>
      <c r="C3235" t="s">
        <v>2049</v>
      </c>
      <c r="D3235" t="s">
        <v>2136</v>
      </c>
      <c r="E3235" t="s">
        <v>357</v>
      </c>
      <c r="F3235" t="s">
        <v>447</v>
      </c>
      <c r="G3235">
        <v>3</v>
      </c>
      <c r="H3235">
        <v>1550</v>
      </c>
      <c r="I3235">
        <v>2</v>
      </c>
      <c r="J3235">
        <v>3.2</v>
      </c>
      <c r="K3235">
        <v>1</v>
      </c>
      <c r="L3235">
        <v>0.01</v>
      </c>
      <c r="M3235">
        <v>3</v>
      </c>
      <c r="N3235">
        <v>126</v>
      </c>
      <c r="O3235">
        <v>2</v>
      </c>
      <c r="P3235">
        <v>0.26</v>
      </c>
      <c r="Q3235">
        <v>1</v>
      </c>
      <c r="R3235">
        <v>8.4999999999999995E-4</v>
      </c>
      <c r="T3235" s="8" t="s">
        <v>357</v>
      </c>
    </row>
    <row r="3236" spans="1:20" x14ac:dyDescent="0.2">
      <c r="A3236" t="s">
        <v>9014</v>
      </c>
      <c r="B3236" t="s">
        <v>2022</v>
      </c>
      <c r="C3236" t="s">
        <v>2049</v>
      </c>
      <c r="D3236" t="s">
        <v>2136</v>
      </c>
      <c r="E3236" t="s">
        <v>9015</v>
      </c>
      <c r="F3236" t="s">
        <v>1901</v>
      </c>
      <c r="G3236">
        <v>3</v>
      </c>
      <c r="H3236">
        <v>1550</v>
      </c>
      <c r="I3236">
        <v>3</v>
      </c>
      <c r="J3236">
        <v>5</v>
      </c>
      <c r="K3236">
        <v>2</v>
      </c>
      <c r="L3236">
        <v>0.06</v>
      </c>
      <c r="M3236">
        <v>2</v>
      </c>
      <c r="N3236">
        <v>106</v>
      </c>
      <c r="O3236">
        <v>2</v>
      </c>
      <c r="P3236">
        <v>0.26</v>
      </c>
      <c r="Q3236">
        <v>2</v>
      </c>
      <c r="R3236">
        <v>6.1999999999999998E-3</v>
      </c>
      <c r="T3236" s="8" t="s">
        <v>9015</v>
      </c>
    </row>
    <row r="3237" spans="1:20" x14ac:dyDescent="0.2">
      <c r="A3237" t="s">
        <v>9016</v>
      </c>
      <c r="B3237" t="s">
        <v>2022</v>
      </c>
      <c r="C3237" t="s">
        <v>2036</v>
      </c>
      <c r="D3237" t="s">
        <v>2024</v>
      </c>
      <c r="E3237" t="s">
        <v>9017</v>
      </c>
      <c r="F3237" t="s">
        <v>9018</v>
      </c>
      <c r="G3237">
        <v>5</v>
      </c>
      <c r="H3237">
        <v>1940</v>
      </c>
      <c r="I3237">
        <v>3</v>
      </c>
      <c r="J3237">
        <v>4.5999999999999996</v>
      </c>
      <c r="K3237">
        <v>3</v>
      </c>
      <c r="L3237">
        <v>0.115</v>
      </c>
      <c r="M3237">
        <v>5</v>
      </c>
      <c r="N3237">
        <v>100</v>
      </c>
      <c r="O3237">
        <v>2</v>
      </c>
      <c r="P3237">
        <v>0.20499999999999999</v>
      </c>
      <c r="Q3237">
        <v>2</v>
      </c>
      <c r="R3237">
        <v>4.2500000000000003E-3</v>
      </c>
      <c r="T3237" s="8" t="s">
        <v>9017</v>
      </c>
    </row>
    <row r="3238" spans="1:20" x14ac:dyDescent="0.2">
      <c r="A3238" t="s">
        <v>9019</v>
      </c>
      <c r="B3238" t="s">
        <v>2022</v>
      </c>
      <c r="C3238" t="s">
        <v>2023</v>
      </c>
      <c r="D3238" t="s">
        <v>2154</v>
      </c>
      <c r="E3238" t="s">
        <v>9020</v>
      </c>
      <c r="F3238" t="s">
        <v>9021</v>
      </c>
      <c r="G3238">
        <v>1</v>
      </c>
      <c r="H3238">
        <v>1480</v>
      </c>
      <c r="I3238">
        <v>3</v>
      </c>
      <c r="J3238">
        <v>5.9</v>
      </c>
      <c r="K3238">
        <v>5</v>
      </c>
      <c r="L3238">
        <v>8.5999999999999993E-2</v>
      </c>
      <c r="M3238">
        <v>3</v>
      </c>
      <c r="N3238">
        <v>94</v>
      </c>
      <c r="O3238">
        <v>3</v>
      </c>
      <c r="P3238">
        <v>0.375</v>
      </c>
      <c r="Q3238">
        <v>5</v>
      </c>
      <c r="R3238">
        <v>8.0000000000000002E-3</v>
      </c>
      <c r="T3238" s="8" t="s">
        <v>9020</v>
      </c>
    </row>
    <row r="3239" spans="1:20" x14ac:dyDescent="0.2">
      <c r="A3239" t="s">
        <v>9022</v>
      </c>
      <c r="B3239" t="s">
        <v>2022</v>
      </c>
      <c r="C3239" t="s">
        <v>2023</v>
      </c>
      <c r="D3239" t="s">
        <v>2024</v>
      </c>
      <c r="E3239" t="s">
        <v>9023</v>
      </c>
      <c r="F3239" t="s">
        <v>9024</v>
      </c>
      <c r="G3239">
        <v>5</v>
      </c>
      <c r="H3239">
        <v>1800</v>
      </c>
      <c r="I3239">
        <v>4</v>
      </c>
      <c r="J3239">
        <v>8.4</v>
      </c>
      <c r="K3239">
        <v>5</v>
      </c>
      <c r="L3239">
        <v>8.5999999999999993E-2</v>
      </c>
      <c r="M3239">
        <v>3</v>
      </c>
      <c r="N3239">
        <v>94</v>
      </c>
      <c r="O3239">
        <v>3</v>
      </c>
      <c r="P3239">
        <v>0.375</v>
      </c>
      <c r="Q3239">
        <v>5</v>
      </c>
      <c r="R3239">
        <v>8.0000000000000002E-3</v>
      </c>
      <c r="T3239" s="8" t="s">
        <v>9023</v>
      </c>
    </row>
    <row r="3240" spans="1:20" x14ac:dyDescent="0.2">
      <c r="A3240" t="s">
        <v>9025</v>
      </c>
      <c r="B3240" t="s">
        <v>2022</v>
      </c>
      <c r="C3240" t="s">
        <v>2023</v>
      </c>
      <c r="D3240" t="s">
        <v>2024</v>
      </c>
      <c r="E3240" t="s">
        <v>9026</v>
      </c>
      <c r="F3240" t="s">
        <v>9027</v>
      </c>
      <c r="G3240">
        <v>3</v>
      </c>
      <c r="H3240">
        <v>1640</v>
      </c>
      <c r="I3240">
        <v>2</v>
      </c>
      <c r="J3240">
        <v>3.4</v>
      </c>
      <c r="K3240">
        <v>2</v>
      </c>
      <c r="L3240">
        <v>2.5999999999999999E-2</v>
      </c>
      <c r="M3240">
        <v>2</v>
      </c>
      <c r="N3240">
        <v>84</v>
      </c>
      <c r="O3240">
        <v>2</v>
      </c>
      <c r="P3240">
        <v>0.22500000000000001</v>
      </c>
      <c r="Q3240">
        <v>2</v>
      </c>
      <c r="R3240">
        <v>2E-3</v>
      </c>
      <c r="T3240" s="8" t="s">
        <v>9026</v>
      </c>
    </row>
    <row r="3241" spans="1:20" x14ac:dyDescent="0.2">
      <c r="A3241" t="s">
        <v>9028</v>
      </c>
      <c r="B3241" t="s">
        <v>2022</v>
      </c>
      <c r="C3241" t="s">
        <v>2095</v>
      </c>
      <c r="D3241" t="s">
        <v>2024</v>
      </c>
      <c r="E3241" t="s">
        <v>9029</v>
      </c>
      <c r="F3241" t="s">
        <v>9030</v>
      </c>
      <c r="G3241">
        <v>5</v>
      </c>
      <c r="H3241">
        <v>1925</v>
      </c>
      <c r="I3241">
        <v>1</v>
      </c>
      <c r="J3241">
        <v>4.5</v>
      </c>
      <c r="K3241">
        <v>1</v>
      </c>
      <c r="L3241">
        <v>1.4999999999999999E-2</v>
      </c>
      <c r="M3241">
        <v>5</v>
      </c>
      <c r="N3241">
        <v>98</v>
      </c>
      <c r="O3241">
        <v>1</v>
      </c>
      <c r="P3241">
        <v>0.15</v>
      </c>
      <c r="Q3241">
        <v>1</v>
      </c>
      <c r="R3241">
        <v>6.9999999999999999E-4</v>
      </c>
      <c r="T3241" s="8" t="s">
        <v>9029</v>
      </c>
    </row>
    <row r="3242" spans="1:20" x14ac:dyDescent="0.2">
      <c r="A3242" t="s">
        <v>9031</v>
      </c>
      <c r="B3242" t="s">
        <v>2022</v>
      </c>
      <c r="C3242" t="s">
        <v>2095</v>
      </c>
      <c r="D3242" t="s">
        <v>2154</v>
      </c>
      <c r="E3242" t="s">
        <v>9032</v>
      </c>
      <c r="F3242" t="s">
        <v>447</v>
      </c>
      <c r="G3242">
        <v>5</v>
      </c>
      <c r="H3242">
        <v>1925</v>
      </c>
      <c r="I3242">
        <v>5</v>
      </c>
      <c r="J3242">
        <v>16.5</v>
      </c>
      <c r="K3242">
        <v>4</v>
      </c>
      <c r="L3242">
        <v>0.53</v>
      </c>
      <c r="M3242">
        <v>4</v>
      </c>
      <c r="N3242">
        <v>92</v>
      </c>
      <c r="O3242">
        <v>5</v>
      </c>
      <c r="P3242">
        <v>0.95</v>
      </c>
      <c r="Q3242">
        <v>4</v>
      </c>
      <c r="R3242">
        <v>2.3900000000000001E-2</v>
      </c>
      <c r="T3242" s="8" t="s">
        <v>9032</v>
      </c>
    </row>
    <row r="3243" spans="1:20" x14ac:dyDescent="0.2">
      <c r="A3243" t="s">
        <v>9033</v>
      </c>
      <c r="B3243" t="s">
        <v>2022</v>
      </c>
      <c r="C3243" t="s">
        <v>2036</v>
      </c>
      <c r="D3243" t="s">
        <v>2154</v>
      </c>
      <c r="E3243" t="s">
        <v>9034</v>
      </c>
      <c r="F3243" t="s">
        <v>9035</v>
      </c>
      <c r="G3243">
        <v>3</v>
      </c>
      <c r="H3243">
        <v>1740</v>
      </c>
      <c r="I3243">
        <v>5</v>
      </c>
      <c r="J3243">
        <v>7</v>
      </c>
      <c r="K3243">
        <v>5</v>
      </c>
      <c r="L3243">
        <v>0.17499999999999999</v>
      </c>
      <c r="M3243">
        <v>3</v>
      </c>
      <c r="N3243">
        <v>88</v>
      </c>
      <c r="O3243">
        <v>5</v>
      </c>
      <c r="P3243">
        <v>0.53500000000000003</v>
      </c>
      <c r="Q3243">
        <v>4</v>
      </c>
      <c r="R3243">
        <v>9.2499999999999995E-3</v>
      </c>
      <c r="T3243" s="8" t="s">
        <v>9034</v>
      </c>
    </row>
    <row r="3244" spans="1:20" x14ac:dyDescent="0.2">
      <c r="A3244" t="s">
        <v>9036</v>
      </c>
      <c r="B3244" t="s">
        <v>2022</v>
      </c>
      <c r="C3244" t="s">
        <v>2053</v>
      </c>
      <c r="D3244" t="s">
        <v>2024</v>
      </c>
      <c r="E3244" t="s">
        <v>9037</v>
      </c>
      <c r="F3244" t="s">
        <v>9038</v>
      </c>
      <c r="G3244">
        <v>4</v>
      </c>
      <c r="H3244">
        <v>1800</v>
      </c>
      <c r="I3244">
        <v>3</v>
      </c>
      <c r="J3244">
        <v>6.55</v>
      </c>
      <c r="K3244">
        <v>4</v>
      </c>
      <c r="L3244">
        <v>0.30499999999999999</v>
      </c>
      <c r="M3244">
        <v>3</v>
      </c>
      <c r="N3244">
        <v>93</v>
      </c>
      <c r="O3244">
        <v>3</v>
      </c>
      <c r="P3244">
        <v>0.375</v>
      </c>
      <c r="Q3244">
        <v>3</v>
      </c>
      <c r="R3244">
        <v>1.2200000000000001E-2</v>
      </c>
      <c r="T3244" s="8" t="s">
        <v>9037</v>
      </c>
    </row>
    <row r="3245" spans="1:20" x14ac:dyDescent="0.2">
      <c r="A3245" t="s">
        <v>9039</v>
      </c>
      <c r="B3245" t="s">
        <v>2022</v>
      </c>
      <c r="C3245" t="s">
        <v>2053</v>
      </c>
      <c r="D3245" t="s">
        <v>2024</v>
      </c>
      <c r="E3245" t="s">
        <v>9040</v>
      </c>
      <c r="F3245" t="s">
        <v>9041</v>
      </c>
      <c r="G3245">
        <v>3</v>
      </c>
      <c r="H3245">
        <v>1700</v>
      </c>
      <c r="I3245">
        <v>3</v>
      </c>
      <c r="J3245">
        <v>6.55</v>
      </c>
      <c r="K3245">
        <v>3</v>
      </c>
      <c r="L3245">
        <v>0.19500000000000001</v>
      </c>
      <c r="M3245">
        <v>1</v>
      </c>
      <c r="N3245">
        <v>73</v>
      </c>
      <c r="O3245">
        <v>2</v>
      </c>
      <c r="P3245">
        <v>0.22500000000000001</v>
      </c>
      <c r="Q3245">
        <v>2</v>
      </c>
      <c r="R3245">
        <v>5.1999999999999998E-3</v>
      </c>
      <c r="T3245" s="8" t="s">
        <v>9040</v>
      </c>
    </row>
    <row r="3246" spans="1:20" x14ac:dyDescent="0.2">
      <c r="A3246" t="s">
        <v>9042</v>
      </c>
      <c r="B3246" t="s">
        <v>2022</v>
      </c>
      <c r="C3246" t="s">
        <v>2036</v>
      </c>
      <c r="D3246" t="s">
        <v>2024</v>
      </c>
      <c r="E3246" t="s">
        <v>9043</v>
      </c>
      <c r="F3246" t="s">
        <v>9044</v>
      </c>
      <c r="G3246">
        <v>5</v>
      </c>
      <c r="H3246">
        <v>1940</v>
      </c>
      <c r="I3246">
        <v>5</v>
      </c>
      <c r="J3246">
        <v>7</v>
      </c>
      <c r="K3246">
        <v>5</v>
      </c>
      <c r="L3246">
        <v>0.17499999999999999</v>
      </c>
      <c r="M3246">
        <v>5</v>
      </c>
      <c r="N3246">
        <v>100</v>
      </c>
      <c r="O3246">
        <v>5</v>
      </c>
      <c r="P3246">
        <v>0.53500000000000003</v>
      </c>
      <c r="Q3246">
        <v>5</v>
      </c>
      <c r="R3246">
        <v>1.2E-2</v>
      </c>
      <c r="T3246" s="8" t="s">
        <v>9043</v>
      </c>
    </row>
    <row r="3247" spans="1:20" x14ac:dyDescent="0.2">
      <c r="A3247" t="s">
        <v>9045</v>
      </c>
      <c r="B3247" t="s">
        <v>2022</v>
      </c>
      <c r="C3247" t="s">
        <v>2036</v>
      </c>
      <c r="D3247" t="s">
        <v>2024</v>
      </c>
      <c r="E3247" t="s">
        <v>9046</v>
      </c>
      <c r="F3247" t="s">
        <v>9047</v>
      </c>
      <c r="G3247">
        <v>5</v>
      </c>
      <c r="H3247">
        <v>1940</v>
      </c>
      <c r="I3247">
        <v>4</v>
      </c>
      <c r="J3247">
        <v>5.8</v>
      </c>
      <c r="K3247">
        <v>4</v>
      </c>
      <c r="L3247">
        <v>0.14499999999999999</v>
      </c>
      <c r="M3247">
        <v>4</v>
      </c>
      <c r="N3247">
        <v>94</v>
      </c>
      <c r="O3247">
        <v>3</v>
      </c>
      <c r="P3247">
        <v>0.315</v>
      </c>
      <c r="Q3247">
        <v>3</v>
      </c>
      <c r="R3247">
        <v>6.7499999999999999E-3</v>
      </c>
      <c r="T3247" s="8" t="s">
        <v>9046</v>
      </c>
    </row>
    <row r="3248" spans="1:20" x14ac:dyDescent="0.2">
      <c r="A3248" t="s">
        <v>9048</v>
      </c>
      <c r="B3248" t="s">
        <v>2022</v>
      </c>
      <c r="C3248" t="s">
        <v>2023</v>
      </c>
      <c r="D3248" t="s">
        <v>2024</v>
      </c>
      <c r="E3248" t="s">
        <v>9049</v>
      </c>
      <c r="F3248" t="s">
        <v>9050</v>
      </c>
      <c r="G3248">
        <v>4</v>
      </c>
      <c r="H3248">
        <v>1720</v>
      </c>
      <c r="I3248">
        <v>4</v>
      </c>
      <c r="J3248">
        <v>8.4</v>
      </c>
      <c r="K3248">
        <v>5</v>
      </c>
      <c r="L3248">
        <v>8.5999999999999993E-2</v>
      </c>
      <c r="M3248">
        <v>2</v>
      </c>
      <c r="N3248">
        <v>84</v>
      </c>
      <c r="O3248">
        <v>3</v>
      </c>
      <c r="P3248">
        <v>0.375</v>
      </c>
      <c r="Q3248">
        <v>5</v>
      </c>
      <c r="R3248">
        <v>8.0000000000000002E-3</v>
      </c>
      <c r="T3248" s="8" t="s">
        <v>9049</v>
      </c>
    </row>
    <row r="3249" spans="1:20" x14ac:dyDescent="0.2">
      <c r="A3249" t="s">
        <v>9051</v>
      </c>
      <c r="B3249" t="s">
        <v>2022</v>
      </c>
      <c r="C3249" t="s">
        <v>2173</v>
      </c>
      <c r="D3249" t="s">
        <v>2024</v>
      </c>
      <c r="E3249" t="s">
        <v>9052</v>
      </c>
      <c r="F3249" t="s">
        <v>9053</v>
      </c>
      <c r="G3249">
        <v>5</v>
      </c>
      <c r="H3249">
        <v>2182.5</v>
      </c>
      <c r="I3249">
        <v>1</v>
      </c>
      <c r="J3249">
        <v>3.65</v>
      </c>
      <c r="K3249">
        <v>1</v>
      </c>
      <c r="L3249">
        <v>1.4999999999999999E-2</v>
      </c>
      <c r="M3249">
        <v>5</v>
      </c>
      <c r="N3249">
        <v>140.5</v>
      </c>
      <c r="O3249">
        <v>2</v>
      </c>
      <c r="P3249">
        <v>0.33</v>
      </c>
      <c r="Q3249">
        <v>2</v>
      </c>
      <c r="R3249">
        <v>4.7999999999999996E-3</v>
      </c>
      <c r="T3249" s="8" t="s">
        <v>9052</v>
      </c>
    </row>
    <row r="3250" spans="1:20" x14ac:dyDescent="0.2">
      <c r="A3250" t="s">
        <v>9054</v>
      </c>
      <c r="B3250" t="s">
        <v>2022</v>
      </c>
      <c r="C3250" t="s">
        <v>2053</v>
      </c>
      <c r="D3250" t="s">
        <v>2024</v>
      </c>
      <c r="E3250" t="s">
        <v>9055</v>
      </c>
      <c r="F3250" t="s">
        <v>9056</v>
      </c>
      <c r="G3250">
        <v>2</v>
      </c>
      <c r="H3250">
        <v>1600</v>
      </c>
      <c r="I3250">
        <v>1</v>
      </c>
      <c r="J3250">
        <v>1.55</v>
      </c>
      <c r="K3250">
        <v>1</v>
      </c>
      <c r="L3250">
        <v>1.4999999999999999E-2</v>
      </c>
      <c r="M3250">
        <v>2</v>
      </c>
      <c r="N3250">
        <v>83</v>
      </c>
      <c r="O3250">
        <v>1</v>
      </c>
      <c r="P3250">
        <v>7.4999999999999997E-2</v>
      </c>
      <c r="Q3250">
        <v>1</v>
      </c>
      <c r="R3250">
        <v>8.4999999999999995E-4</v>
      </c>
      <c r="T3250" s="8" t="s">
        <v>9055</v>
      </c>
    </row>
    <row r="3251" spans="1:20" x14ac:dyDescent="0.2">
      <c r="A3251" t="s">
        <v>9057</v>
      </c>
      <c r="B3251" t="s">
        <v>2022</v>
      </c>
      <c r="C3251" t="s">
        <v>2053</v>
      </c>
      <c r="D3251" t="s">
        <v>2024</v>
      </c>
      <c r="E3251" t="s">
        <v>9058</v>
      </c>
      <c r="F3251" t="s">
        <v>9059</v>
      </c>
      <c r="G3251">
        <v>3</v>
      </c>
      <c r="H3251">
        <v>1700</v>
      </c>
      <c r="I3251">
        <v>1</v>
      </c>
      <c r="J3251">
        <v>1.55</v>
      </c>
      <c r="K3251">
        <v>2</v>
      </c>
      <c r="L3251">
        <v>8.5000000000000006E-2</v>
      </c>
      <c r="M3251">
        <v>1</v>
      </c>
      <c r="N3251">
        <v>73</v>
      </c>
      <c r="O3251">
        <v>1</v>
      </c>
      <c r="P3251">
        <v>7.4999999999999997E-2</v>
      </c>
      <c r="Q3251">
        <v>2</v>
      </c>
      <c r="R3251">
        <v>5.1999999999999998E-3</v>
      </c>
      <c r="T3251" s="8" t="s">
        <v>9058</v>
      </c>
    </row>
    <row r="3252" spans="1:20" x14ac:dyDescent="0.2">
      <c r="A3252" t="s">
        <v>9060</v>
      </c>
      <c r="B3252" t="s">
        <v>2022</v>
      </c>
      <c r="C3252" t="s">
        <v>2053</v>
      </c>
      <c r="D3252" t="s">
        <v>2024</v>
      </c>
      <c r="E3252" t="s">
        <v>9061</v>
      </c>
      <c r="F3252" t="s">
        <v>9062</v>
      </c>
      <c r="G3252">
        <v>5</v>
      </c>
      <c r="H3252">
        <v>1900</v>
      </c>
      <c r="I3252">
        <v>1</v>
      </c>
      <c r="J3252">
        <v>1.55</v>
      </c>
      <c r="K3252">
        <v>1</v>
      </c>
      <c r="L3252">
        <v>1.4999999999999999E-2</v>
      </c>
      <c r="M3252">
        <v>5</v>
      </c>
      <c r="N3252">
        <v>113</v>
      </c>
      <c r="O3252">
        <v>2</v>
      </c>
      <c r="P3252">
        <v>0.22500000000000001</v>
      </c>
      <c r="Q3252">
        <v>1</v>
      </c>
      <c r="R3252">
        <v>8.4999999999999995E-4</v>
      </c>
      <c r="T3252" s="8" t="s">
        <v>9061</v>
      </c>
    </row>
    <row r="3253" spans="1:20" x14ac:dyDescent="0.2">
      <c r="A3253" t="s">
        <v>9063</v>
      </c>
      <c r="B3253" t="s">
        <v>2022</v>
      </c>
      <c r="C3253" t="s">
        <v>2053</v>
      </c>
      <c r="D3253" t="s">
        <v>2024</v>
      </c>
      <c r="E3253" t="s">
        <v>9064</v>
      </c>
      <c r="F3253" t="s">
        <v>9065</v>
      </c>
      <c r="G3253">
        <v>3</v>
      </c>
      <c r="H3253">
        <v>1700</v>
      </c>
      <c r="I3253">
        <v>3</v>
      </c>
      <c r="J3253">
        <v>6.55</v>
      </c>
      <c r="K3253">
        <v>2</v>
      </c>
      <c r="L3253">
        <v>8.5000000000000006E-2</v>
      </c>
      <c r="M3253">
        <v>5</v>
      </c>
      <c r="N3253">
        <v>113</v>
      </c>
      <c r="O3253">
        <v>3</v>
      </c>
      <c r="P3253">
        <v>0.375</v>
      </c>
      <c r="Q3253">
        <v>2</v>
      </c>
      <c r="R3253">
        <v>5.1999999999999998E-3</v>
      </c>
      <c r="T3253" s="8" t="s">
        <v>9064</v>
      </c>
    </row>
    <row r="3254" spans="1:20" x14ac:dyDescent="0.2">
      <c r="A3254" t="s">
        <v>9066</v>
      </c>
      <c r="B3254" t="s">
        <v>2022</v>
      </c>
      <c r="C3254" t="s">
        <v>2023</v>
      </c>
      <c r="D3254" t="s">
        <v>2024</v>
      </c>
      <c r="E3254" t="s">
        <v>9067</v>
      </c>
      <c r="F3254" t="s">
        <v>9068</v>
      </c>
      <c r="G3254">
        <v>4</v>
      </c>
      <c r="H3254">
        <v>1720</v>
      </c>
      <c r="I3254">
        <v>2</v>
      </c>
      <c r="J3254">
        <v>3.4</v>
      </c>
      <c r="K3254">
        <v>4</v>
      </c>
      <c r="L3254">
        <v>6.6000000000000003E-2</v>
      </c>
      <c r="M3254">
        <v>3</v>
      </c>
      <c r="N3254">
        <v>94</v>
      </c>
      <c r="O3254">
        <v>2</v>
      </c>
      <c r="P3254">
        <v>0.22500000000000001</v>
      </c>
      <c r="Q3254">
        <v>3</v>
      </c>
      <c r="R3254">
        <v>4.0000000000000001E-3</v>
      </c>
      <c r="T3254" s="8" t="s">
        <v>9067</v>
      </c>
    </row>
    <row r="3255" spans="1:20" x14ac:dyDescent="0.2">
      <c r="A3255" t="s">
        <v>9069</v>
      </c>
      <c r="B3255" t="s">
        <v>2022</v>
      </c>
      <c r="C3255" t="s">
        <v>2049</v>
      </c>
      <c r="D3255" t="s">
        <v>2024</v>
      </c>
      <c r="E3255" t="s">
        <v>9070</v>
      </c>
      <c r="F3255" t="s">
        <v>9071</v>
      </c>
      <c r="G3255">
        <v>4</v>
      </c>
      <c r="H3255">
        <v>1650</v>
      </c>
      <c r="I3255">
        <v>1</v>
      </c>
      <c r="J3255">
        <v>1.4</v>
      </c>
      <c r="K3255">
        <v>1</v>
      </c>
      <c r="L3255">
        <v>0.01</v>
      </c>
      <c r="M3255">
        <v>2</v>
      </c>
      <c r="N3255">
        <v>106</v>
      </c>
      <c r="O3255">
        <v>1</v>
      </c>
      <c r="P3255">
        <v>0.06</v>
      </c>
      <c r="Q3255">
        <v>1</v>
      </c>
      <c r="R3255">
        <v>8.4999999999999995E-4</v>
      </c>
      <c r="T3255" s="8" t="s">
        <v>9070</v>
      </c>
    </row>
    <row r="3256" spans="1:20" x14ac:dyDescent="0.2">
      <c r="A3256" t="s">
        <v>9072</v>
      </c>
      <c r="B3256" t="s">
        <v>2022</v>
      </c>
      <c r="C3256" t="s">
        <v>2257</v>
      </c>
      <c r="D3256" t="s">
        <v>2154</v>
      </c>
      <c r="E3256" t="s">
        <v>357</v>
      </c>
      <c r="F3256" t="s">
        <v>9073</v>
      </c>
      <c r="G3256">
        <v>5</v>
      </c>
      <c r="H3256">
        <v>1300</v>
      </c>
      <c r="I3256">
        <v>1</v>
      </c>
      <c r="J3256">
        <v>0.45</v>
      </c>
      <c r="K3256">
        <v>1</v>
      </c>
      <c r="L3256">
        <v>6.0000000000000001E-3</v>
      </c>
      <c r="M3256">
        <v>3</v>
      </c>
      <c r="N3256">
        <v>700</v>
      </c>
      <c r="O3256">
        <v>1</v>
      </c>
      <c r="P3256">
        <v>0.3</v>
      </c>
      <c r="Q3256">
        <v>2</v>
      </c>
      <c r="R3256">
        <v>1.4999999999999999E-2</v>
      </c>
      <c r="T3256" s="8" t="s">
        <v>357</v>
      </c>
    </row>
    <row r="3257" spans="1:20" x14ac:dyDescent="0.2">
      <c r="A3257" t="s">
        <v>9074</v>
      </c>
      <c r="B3257" t="s">
        <v>2022</v>
      </c>
      <c r="C3257" t="s">
        <v>2053</v>
      </c>
      <c r="D3257" t="s">
        <v>2136</v>
      </c>
      <c r="E3257" t="s">
        <v>9075</v>
      </c>
      <c r="F3257" t="s">
        <v>9076</v>
      </c>
      <c r="G3257">
        <v>3</v>
      </c>
      <c r="H3257">
        <v>1700</v>
      </c>
      <c r="I3257">
        <v>5</v>
      </c>
      <c r="J3257">
        <v>11.55</v>
      </c>
      <c r="K3257">
        <v>5</v>
      </c>
      <c r="L3257">
        <v>0.41499999999999998</v>
      </c>
      <c r="M3257">
        <v>3</v>
      </c>
      <c r="N3257">
        <v>93</v>
      </c>
      <c r="O3257">
        <v>5</v>
      </c>
      <c r="P3257">
        <v>0.67500000000000004</v>
      </c>
      <c r="Q3257">
        <v>4</v>
      </c>
      <c r="R3257">
        <v>1.9199999999999998E-2</v>
      </c>
      <c r="T3257" s="8" t="s">
        <v>9075</v>
      </c>
    </row>
    <row r="3258" spans="1:20" x14ac:dyDescent="0.2">
      <c r="A3258" t="s">
        <v>9077</v>
      </c>
      <c r="B3258" t="s">
        <v>2022</v>
      </c>
      <c r="C3258" t="s">
        <v>2023</v>
      </c>
      <c r="D3258" t="s">
        <v>2136</v>
      </c>
      <c r="E3258" t="s">
        <v>9078</v>
      </c>
      <c r="F3258" t="s">
        <v>9079</v>
      </c>
      <c r="G3258">
        <v>3</v>
      </c>
      <c r="H3258">
        <v>1640</v>
      </c>
      <c r="I3258">
        <v>5</v>
      </c>
      <c r="J3258">
        <v>10.9</v>
      </c>
      <c r="K3258">
        <v>5</v>
      </c>
      <c r="L3258">
        <v>8.5999999999999993E-2</v>
      </c>
      <c r="M3258">
        <v>2</v>
      </c>
      <c r="N3258">
        <v>84</v>
      </c>
      <c r="O3258">
        <v>4</v>
      </c>
      <c r="P3258">
        <v>0.52500000000000002</v>
      </c>
      <c r="Q3258">
        <v>5</v>
      </c>
      <c r="R3258">
        <v>8.0000000000000002E-3</v>
      </c>
      <c r="T3258" s="8" t="s">
        <v>9078</v>
      </c>
    </row>
    <row r="3259" spans="1:20" x14ac:dyDescent="0.2">
      <c r="A3259" t="s">
        <v>9080</v>
      </c>
      <c r="B3259" t="s">
        <v>2022</v>
      </c>
      <c r="C3259" t="s">
        <v>2023</v>
      </c>
      <c r="D3259" t="s">
        <v>2024</v>
      </c>
      <c r="E3259" t="s">
        <v>9081</v>
      </c>
      <c r="F3259" t="s">
        <v>9082</v>
      </c>
      <c r="G3259">
        <v>3</v>
      </c>
      <c r="H3259">
        <v>1640</v>
      </c>
      <c r="I3259">
        <v>2</v>
      </c>
      <c r="J3259">
        <v>3.4</v>
      </c>
      <c r="K3259">
        <v>2</v>
      </c>
      <c r="L3259">
        <v>2.5999999999999999E-2</v>
      </c>
      <c r="M3259">
        <v>4</v>
      </c>
      <c r="N3259">
        <v>104</v>
      </c>
      <c r="O3259">
        <v>2</v>
      </c>
      <c r="P3259">
        <v>0.22500000000000001</v>
      </c>
      <c r="Q3259">
        <v>2</v>
      </c>
      <c r="R3259">
        <v>2E-3</v>
      </c>
      <c r="T3259" s="8" t="s">
        <v>9081</v>
      </c>
    </row>
    <row r="3260" spans="1:20" x14ac:dyDescent="0.2">
      <c r="A3260" t="s">
        <v>9083</v>
      </c>
      <c r="B3260" t="s">
        <v>2022</v>
      </c>
      <c r="C3260" t="s">
        <v>2053</v>
      </c>
      <c r="D3260" t="s">
        <v>2024</v>
      </c>
      <c r="E3260" t="s">
        <v>9084</v>
      </c>
      <c r="F3260" t="s">
        <v>9085</v>
      </c>
      <c r="G3260">
        <v>3</v>
      </c>
      <c r="H3260">
        <v>1700</v>
      </c>
      <c r="I3260">
        <v>2</v>
      </c>
      <c r="J3260">
        <v>4.05</v>
      </c>
      <c r="K3260">
        <v>2</v>
      </c>
      <c r="L3260">
        <v>8.5000000000000006E-2</v>
      </c>
      <c r="M3260">
        <v>2</v>
      </c>
      <c r="N3260">
        <v>83</v>
      </c>
      <c r="O3260">
        <v>1</v>
      </c>
      <c r="P3260">
        <v>7.4999999999999997E-2</v>
      </c>
      <c r="Q3260">
        <v>2</v>
      </c>
      <c r="R3260">
        <v>5.1999999999999998E-3</v>
      </c>
      <c r="T3260" s="8" t="s">
        <v>9084</v>
      </c>
    </row>
    <row r="3261" spans="1:20" x14ac:dyDescent="0.2">
      <c r="A3261" t="s">
        <v>9086</v>
      </c>
      <c r="B3261" t="s">
        <v>2022</v>
      </c>
      <c r="C3261" t="s">
        <v>2049</v>
      </c>
      <c r="D3261" t="s">
        <v>2024</v>
      </c>
      <c r="E3261" t="s">
        <v>9087</v>
      </c>
      <c r="F3261" t="s">
        <v>9088</v>
      </c>
      <c r="G3261">
        <v>2</v>
      </c>
      <c r="H3261">
        <v>1450</v>
      </c>
      <c r="I3261">
        <v>2</v>
      </c>
      <c r="J3261">
        <v>3.2</v>
      </c>
      <c r="K3261">
        <v>2</v>
      </c>
      <c r="L3261">
        <v>0.06</v>
      </c>
      <c r="M3261">
        <v>1</v>
      </c>
      <c r="N3261">
        <v>86</v>
      </c>
      <c r="O3261">
        <v>2</v>
      </c>
      <c r="P3261">
        <v>0.26</v>
      </c>
      <c r="Q3261">
        <v>1</v>
      </c>
      <c r="R3261">
        <v>8.4999999999999995E-4</v>
      </c>
      <c r="T3261" s="8" t="s">
        <v>9087</v>
      </c>
    </row>
    <row r="3262" spans="1:20" x14ac:dyDescent="0.2">
      <c r="A3262" t="s">
        <v>9089</v>
      </c>
      <c r="B3262" t="s">
        <v>2022</v>
      </c>
      <c r="C3262" t="s">
        <v>2049</v>
      </c>
      <c r="D3262" t="s">
        <v>2136</v>
      </c>
      <c r="E3262" t="s">
        <v>9090</v>
      </c>
      <c r="F3262" t="s">
        <v>9091</v>
      </c>
      <c r="G3262">
        <v>5</v>
      </c>
      <c r="H3262">
        <v>1750</v>
      </c>
      <c r="I3262">
        <v>5</v>
      </c>
      <c r="J3262">
        <v>8.6</v>
      </c>
      <c r="K3262">
        <v>4</v>
      </c>
      <c r="L3262">
        <v>0.22</v>
      </c>
      <c r="M3262">
        <v>3</v>
      </c>
      <c r="N3262">
        <v>126</v>
      </c>
      <c r="O3262">
        <v>4</v>
      </c>
      <c r="P3262">
        <v>0.66</v>
      </c>
      <c r="Q3262">
        <v>3</v>
      </c>
      <c r="R3262">
        <v>1.52E-2</v>
      </c>
      <c r="T3262" s="8" t="s">
        <v>9090</v>
      </c>
    </row>
    <row r="3263" spans="1:20" x14ac:dyDescent="0.2">
      <c r="A3263" t="s">
        <v>9092</v>
      </c>
      <c r="B3263" t="s">
        <v>2022</v>
      </c>
      <c r="C3263" t="s">
        <v>2101</v>
      </c>
      <c r="D3263" t="s">
        <v>2024</v>
      </c>
      <c r="E3263" t="s">
        <v>9093</v>
      </c>
      <c r="F3263" t="s">
        <v>9094</v>
      </c>
      <c r="G3263">
        <v>5</v>
      </c>
      <c r="H3263">
        <v>1970</v>
      </c>
      <c r="I3263">
        <v>3</v>
      </c>
      <c r="J3263">
        <v>8</v>
      </c>
      <c r="K3263">
        <v>2</v>
      </c>
      <c r="L3263">
        <v>9.6500000000000002E-2</v>
      </c>
      <c r="M3263">
        <v>3</v>
      </c>
      <c r="N3263">
        <v>82</v>
      </c>
      <c r="O3263">
        <v>2</v>
      </c>
      <c r="P3263">
        <v>0.22500000000000001</v>
      </c>
      <c r="Q3263">
        <v>2</v>
      </c>
      <c r="R3263">
        <v>4.4999999999999997E-3</v>
      </c>
      <c r="T3263" s="8" t="s">
        <v>9093</v>
      </c>
    </row>
    <row r="3264" spans="1:20" x14ac:dyDescent="0.2">
      <c r="A3264" t="s">
        <v>9095</v>
      </c>
      <c r="B3264" t="s">
        <v>2022</v>
      </c>
      <c r="C3264" t="s">
        <v>2053</v>
      </c>
      <c r="D3264" t="s">
        <v>2024</v>
      </c>
      <c r="E3264" t="s">
        <v>9096</v>
      </c>
      <c r="F3264" t="s">
        <v>9097</v>
      </c>
      <c r="G3264">
        <v>5</v>
      </c>
      <c r="H3264">
        <v>1900</v>
      </c>
      <c r="I3264">
        <v>2</v>
      </c>
      <c r="J3264">
        <v>4.05</v>
      </c>
      <c r="K3264">
        <v>2</v>
      </c>
      <c r="L3264">
        <v>8.5000000000000006E-2</v>
      </c>
      <c r="M3264">
        <v>3</v>
      </c>
      <c r="N3264">
        <v>93</v>
      </c>
      <c r="O3264">
        <v>2</v>
      </c>
      <c r="P3264">
        <v>0.22500000000000001</v>
      </c>
      <c r="Q3264">
        <v>1</v>
      </c>
      <c r="R3264">
        <v>8.4999999999999995E-4</v>
      </c>
      <c r="T3264" s="8" t="s">
        <v>9096</v>
      </c>
    </row>
    <row r="3265" spans="1:20" x14ac:dyDescent="0.2">
      <c r="A3265" t="s">
        <v>9098</v>
      </c>
      <c r="B3265" t="s">
        <v>2022</v>
      </c>
      <c r="C3265" t="s">
        <v>2104</v>
      </c>
      <c r="D3265" t="s">
        <v>2024</v>
      </c>
      <c r="E3265" t="s">
        <v>9096</v>
      </c>
      <c r="F3265" t="s">
        <v>9097</v>
      </c>
      <c r="G3265">
        <v>4</v>
      </c>
      <c r="H3265">
        <v>2062.5</v>
      </c>
      <c r="I3265">
        <v>3</v>
      </c>
      <c r="J3265">
        <v>5.55</v>
      </c>
      <c r="K3265">
        <v>3</v>
      </c>
      <c r="L3265">
        <v>9.0999999999999998E-2</v>
      </c>
      <c r="M3265">
        <v>4</v>
      </c>
      <c r="N3265">
        <v>81</v>
      </c>
      <c r="P3265">
        <v>0</v>
      </c>
      <c r="Q3265">
        <v>2</v>
      </c>
      <c r="R3265">
        <v>3.2000000000000002E-3</v>
      </c>
      <c r="T3265" s="8" t="s">
        <v>9096</v>
      </c>
    </row>
    <row r="3266" spans="1:20" x14ac:dyDescent="0.2">
      <c r="A3266" t="s">
        <v>9099</v>
      </c>
      <c r="B3266" t="s">
        <v>2022</v>
      </c>
      <c r="C3266" t="s">
        <v>2036</v>
      </c>
      <c r="D3266" t="s">
        <v>2024</v>
      </c>
      <c r="E3266" t="s">
        <v>9096</v>
      </c>
      <c r="F3266" t="s">
        <v>9097</v>
      </c>
      <c r="G3266">
        <v>5</v>
      </c>
      <c r="H3266">
        <v>1940</v>
      </c>
      <c r="I3266">
        <v>1</v>
      </c>
      <c r="J3266">
        <v>2.2000000000000002</v>
      </c>
      <c r="K3266">
        <v>1</v>
      </c>
      <c r="L3266">
        <v>5.5E-2</v>
      </c>
      <c r="M3266">
        <v>4</v>
      </c>
      <c r="N3266">
        <v>94</v>
      </c>
      <c r="O3266">
        <v>1</v>
      </c>
      <c r="P3266">
        <v>9.5000000000000001E-2</v>
      </c>
      <c r="Q3266">
        <v>1</v>
      </c>
      <c r="R3266">
        <v>1.5E-3</v>
      </c>
      <c r="T3266" s="8" t="s">
        <v>9096</v>
      </c>
    </row>
    <row r="3267" spans="1:20" x14ac:dyDescent="0.2">
      <c r="A3267" t="s">
        <v>9100</v>
      </c>
      <c r="B3267" t="s">
        <v>2022</v>
      </c>
      <c r="C3267" t="s">
        <v>2104</v>
      </c>
      <c r="D3267" t="s">
        <v>2024</v>
      </c>
      <c r="E3267" t="s">
        <v>9096</v>
      </c>
      <c r="F3267" t="s">
        <v>9097</v>
      </c>
      <c r="G3267">
        <v>3</v>
      </c>
      <c r="H3267">
        <v>1887.5</v>
      </c>
      <c r="I3267">
        <v>4</v>
      </c>
      <c r="J3267">
        <v>7.85</v>
      </c>
      <c r="K3267">
        <v>5</v>
      </c>
      <c r="L3267">
        <v>0.191</v>
      </c>
      <c r="M3267">
        <v>3</v>
      </c>
      <c r="N3267">
        <v>73</v>
      </c>
      <c r="P3267">
        <v>0</v>
      </c>
      <c r="Q3267">
        <v>4</v>
      </c>
      <c r="R3267">
        <v>1.32E-2</v>
      </c>
      <c r="T3267" s="8" t="s">
        <v>9096</v>
      </c>
    </row>
    <row r="3268" spans="1:20" x14ac:dyDescent="0.2">
      <c r="A3268" t="s">
        <v>9101</v>
      </c>
      <c r="B3268" t="s">
        <v>2022</v>
      </c>
      <c r="C3268" t="s">
        <v>2023</v>
      </c>
      <c r="D3268" t="s">
        <v>2136</v>
      </c>
      <c r="E3268" t="s">
        <v>9102</v>
      </c>
      <c r="F3268" t="s">
        <v>9103</v>
      </c>
      <c r="G3268">
        <v>5</v>
      </c>
      <c r="H3268">
        <v>1800</v>
      </c>
      <c r="I3268">
        <v>4</v>
      </c>
      <c r="J3268">
        <v>8.4</v>
      </c>
      <c r="K3268">
        <v>5</v>
      </c>
      <c r="L3268">
        <v>8.5999999999999993E-2</v>
      </c>
      <c r="M3268">
        <v>1</v>
      </c>
      <c r="N3268">
        <v>74</v>
      </c>
      <c r="O3268">
        <v>3</v>
      </c>
      <c r="P3268">
        <v>0.375</v>
      </c>
      <c r="Q3268">
        <v>5</v>
      </c>
      <c r="R3268">
        <v>8.0000000000000002E-3</v>
      </c>
      <c r="T3268" s="8" t="s">
        <v>9102</v>
      </c>
    </row>
    <row r="3269" spans="1:20" x14ac:dyDescent="0.2">
      <c r="A3269" t="s">
        <v>9104</v>
      </c>
      <c r="B3269" t="s">
        <v>2022</v>
      </c>
      <c r="C3269" t="s">
        <v>2036</v>
      </c>
      <c r="D3269" t="s">
        <v>2024</v>
      </c>
      <c r="E3269" t="s">
        <v>9105</v>
      </c>
      <c r="F3269" t="s">
        <v>9106</v>
      </c>
      <c r="G3269">
        <v>2</v>
      </c>
      <c r="H3269">
        <v>1640</v>
      </c>
      <c r="I3269">
        <v>3</v>
      </c>
      <c r="J3269">
        <v>4.5999999999999996</v>
      </c>
      <c r="K3269">
        <v>2</v>
      </c>
      <c r="L3269">
        <v>8.5000000000000006E-2</v>
      </c>
      <c r="M3269">
        <v>1</v>
      </c>
      <c r="N3269">
        <v>76</v>
      </c>
      <c r="O3269">
        <v>2</v>
      </c>
      <c r="P3269">
        <v>0.20499999999999999</v>
      </c>
      <c r="Q3269">
        <v>2</v>
      </c>
      <c r="R3269">
        <v>4.2500000000000003E-3</v>
      </c>
      <c r="T3269" s="8" t="s">
        <v>9105</v>
      </c>
    </row>
    <row r="3270" spans="1:20" x14ac:dyDescent="0.2">
      <c r="A3270" t="s">
        <v>9107</v>
      </c>
      <c r="B3270" t="s">
        <v>2022</v>
      </c>
      <c r="C3270" t="s">
        <v>2053</v>
      </c>
      <c r="D3270" t="s">
        <v>2136</v>
      </c>
      <c r="E3270" t="s">
        <v>9108</v>
      </c>
      <c r="F3270" t="s">
        <v>9109</v>
      </c>
      <c r="G3270">
        <v>2</v>
      </c>
      <c r="H3270">
        <v>1600</v>
      </c>
      <c r="I3270">
        <v>2</v>
      </c>
      <c r="J3270">
        <v>4.05</v>
      </c>
      <c r="K3270">
        <v>2</v>
      </c>
      <c r="L3270">
        <v>8.5000000000000006E-2</v>
      </c>
      <c r="M3270">
        <v>4</v>
      </c>
      <c r="N3270">
        <v>103</v>
      </c>
      <c r="O3270">
        <v>2</v>
      </c>
      <c r="P3270">
        <v>0.22500000000000001</v>
      </c>
      <c r="Q3270">
        <v>2</v>
      </c>
      <c r="R3270">
        <v>5.1999999999999998E-3</v>
      </c>
      <c r="T3270" s="8" t="s">
        <v>9108</v>
      </c>
    </row>
    <row r="3271" spans="1:20" x14ac:dyDescent="0.2">
      <c r="A3271" t="s">
        <v>9110</v>
      </c>
      <c r="B3271" t="s">
        <v>2022</v>
      </c>
      <c r="C3271" t="s">
        <v>2222</v>
      </c>
      <c r="D3271" t="s">
        <v>2024</v>
      </c>
      <c r="E3271" t="s">
        <v>9111</v>
      </c>
      <c r="F3271" t="s">
        <v>9112</v>
      </c>
      <c r="G3271">
        <v>5</v>
      </c>
      <c r="H3271">
        <v>1850</v>
      </c>
      <c r="I3271">
        <v>1</v>
      </c>
      <c r="J3271">
        <v>2.2999999999999998</v>
      </c>
      <c r="K3271">
        <v>2</v>
      </c>
      <c r="L3271">
        <v>5.5E-2</v>
      </c>
      <c r="M3271">
        <v>5</v>
      </c>
      <c r="N3271">
        <v>75</v>
      </c>
      <c r="O3271">
        <v>1</v>
      </c>
      <c r="P3271">
        <v>7.0000000000000007E-2</v>
      </c>
      <c r="Q3271">
        <v>1</v>
      </c>
      <c r="R3271">
        <v>4.0000000000000002E-4</v>
      </c>
      <c r="T3271" s="8" t="s">
        <v>9111</v>
      </c>
    </row>
    <row r="3272" spans="1:20" x14ac:dyDescent="0.2">
      <c r="A3272" t="s">
        <v>9113</v>
      </c>
      <c r="B3272" t="s">
        <v>2022</v>
      </c>
      <c r="C3272" t="s">
        <v>2222</v>
      </c>
      <c r="D3272" t="s">
        <v>2024</v>
      </c>
      <c r="E3272" t="s">
        <v>357</v>
      </c>
      <c r="F3272" t="s">
        <v>9114</v>
      </c>
      <c r="G3272">
        <v>5</v>
      </c>
      <c r="H3272">
        <v>1850</v>
      </c>
      <c r="I3272">
        <v>1</v>
      </c>
      <c r="J3272">
        <v>2.2999999999999998</v>
      </c>
      <c r="K3272">
        <v>1</v>
      </c>
      <c r="L3272">
        <v>0.01</v>
      </c>
      <c r="M3272">
        <v>4</v>
      </c>
      <c r="N3272">
        <v>71</v>
      </c>
      <c r="O3272">
        <v>1</v>
      </c>
      <c r="P3272">
        <v>7.0000000000000007E-2</v>
      </c>
      <c r="Q3272">
        <v>1</v>
      </c>
      <c r="R3272">
        <v>4.0000000000000002E-4</v>
      </c>
      <c r="T3272" s="8" t="s">
        <v>357</v>
      </c>
    </row>
    <row r="3273" spans="1:20" x14ac:dyDescent="0.2">
      <c r="A3273" t="s">
        <v>9115</v>
      </c>
      <c r="B3273" t="s">
        <v>2022</v>
      </c>
      <c r="C3273" t="s">
        <v>2049</v>
      </c>
      <c r="D3273" t="s">
        <v>2024</v>
      </c>
      <c r="E3273" t="s">
        <v>9116</v>
      </c>
      <c r="F3273" t="s">
        <v>9117</v>
      </c>
      <c r="G3273">
        <v>4</v>
      </c>
      <c r="H3273">
        <v>1650</v>
      </c>
      <c r="I3273">
        <v>4</v>
      </c>
      <c r="J3273">
        <v>6.8</v>
      </c>
      <c r="K3273">
        <v>4</v>
      </c>
      <c r="L3273">
        <v>0.22</v>
      </c>
      <c r="M3273">
        <v>2</v>
      </c>
      <c r="N3273">
        <v>106</v>
      </c>
      <c r="O3273">
        <v>3</v>
      </c>
      <c r="P3273">
        <v>0.46</v>
      </c>
      <c r="Q3273">
        <v>3</v>
      </c>
      <c r="R3273">
        <v>1.52E-2</v>
      </c>
      <c r="T3273" s="8" t="s">
        <v>9116</v>
      </c>
    </row>
    <row r="3274" spans="1:20" x14ac:dyDescent="0.2">
      <c r="A3274" t="s">
        <v>9118</v>
      </c>
      <c r="B3274" t="s">
        <v>2022</v>
      </c>
      <c r="C3274" t="s">
        <v>2023</v>
      </c>
      <c r="D3274" t="s">
        <v>2024</v>
      </c>
      <c r="E3274" t="s">
        <v>9119</v>
      </c>
      <c r="F3274" t="s">
        <v>9117</v>
      </c>
      <c r="G3274">
        <v>3</v>
      </c>
      <c r="H3274">
        <v>1640</v>
      </c>
      <c r="I3274">
        <v>2</v>
      </c>
      <c r="J3274">
        <v>3.4</v>
      </c>
      <c r="K3274">
        <v>2</v>
      </c>
      <c r="L3274">
        <v>2.5999999999999999E-2</v>
      </c>
      <c r="M3274">
        <v>2</v>
      </c>
      <c r="N3274">
        <v>84</v>
      </c>
      <c r="O3274">
        <v>2</v>
      </c>
      <c r="P3274">
        <v>0.22500000000000001</v>
      </c>
      <c r="Q3274">
        <v>2</v>
      </c>
      <c r="R3274">
        <v>2E-3</v>
      </c>
      <c r="T3274" s="8" t="s">
        <v>9119</v>
      </c>
    </row>
    <row r="3275" spans="1:20" x14ac:dyDescent="0.2">
      <c r="A3275" t="s">
        <v>9120</v>
      </c>
      <c r="B3275" t="s">
        <v>2022</v>
      </c>
      <c r="C3275" t="s">
        <v>2053</v>
      </c>
      <c r="D3275" t="s">
        <v>2024</v>
      </c>
      <c r="E3275" t="s">
        <v>9121</v>
      </c>
      <c r="F3275" t="s">
        <v>9122</v>
      </c>
      <c r="G3275">
        <v>4</v>
      </c>
      <c r="H3275">
        <v>1800</v>
      </c>
      <c r="I3275">
        <v>5</v>
      </c>
      <c r="J3275">
        <v>11.55</v>
      </c>
      <c r="K3275">
        <v>5</v>
      </c>
      <c r="L3275">
        <v>0.41499999999999998</v>
      </c>
      <c r="M3275">
        <v>2</v>
      </c>
      <c r="N3275">
        <v>83</v>
      </c>
      <c r="O3275">
        <v>5</v>
      </c>
      <c r="P3275">
        <v>0.67500000000000004</v>
      </c>
      <c r="Q3275">
        <v>5</v>
      </c>
      <c r="R3275">
        <v>2.6200000000000001E-2</v>
      </c>
      <c r="T3275" s="8" t="s">
        <v>9121</v>
      </c>
    </row>
    <row r="3276" spans="1:20" x14ac:dyDescent="0.2">
      <c r="A3276" t="s">
        <v>9123</v>
      </c>
      <c r="B3276" t="s">
        <v>2022</v>
      </c>
      <c r="C3276" t="s">
        <v>2036</v>
      </c>
      <c r="D3276" t="s">
        <v>2024</v>
      </c>
      <c r="E3276" t="s">
        <v>9124</v>
      </c>
      <c r="F3276" t="s">
        <v>9125</v>
      </c>
      <c r="G3276">
        <v>2</v>
      </c>
      <c r="H3276">
        <v>1640</v>
      </c>
      <c r="I3276">
        <v>2</v>
      </c>
      <c r="J3276">
        <v>3.4</v>
      </c>
      <c r="K3276">
        <v>2</v>
      </c>
      <c r="L3276">
        <v>8.5000000000000006E-2</v>
      </c>
      <c r="M3276">
        <v>1</v>
      </c>
      <c r="N3276">
        <v>76</v>
      </c>
      <c r="O3276">
        <v>1</v>
      </c>
      <c r="P3276">
        <v>9.5000000000000001E-2</v>
      </c>
      <c r="Q3276">
        <v>2</v>
      </c>
      <c r="R3276">
        <v>4.2500000000000003E-3</v>
      </c>
      <c r="T3276" s="8" t="s">
        <v>9124</v>
      </c>
    </row>
    <row r="3277" spans="1:20" x14ac:dyDescent="0.2">
      <c r="A3277" t="s">
        <v>9126</v>
      </c>
      <c r="B3277" t="s">
        <v>2022</v>
      </c>
      <c r="C3277" t="s">
        <v>2023</v>
      </c>
      <c r="D3277" t="s">
        <v>2024</v>
      </c>
      <c r="E3277" t="s">
        <v>9127</v>
      </c>
      <c r="F3277" t="s">
        <v>9128</v>
      </c>
      <c r="G3277">
        <v>4</v>
      </c>
      <c r="H3277">
        <v>1720</v>
      </c>
      <c r="I3277">
        <v>3</v>
      </c>
      <c r="J3277">
        <v>5.9</v>
      </c>
      <c r="K3277">
        <v>5</v>
      </c>
      <c r="L3277">
        <v>8.5999999999999993E-2</v>
      </c>
      <c r="M3277">
        <v>5</v>
      </c>
      <c r="N3277">
        <v>114</v>
      </c>
      <c r="O3277">
        <v>3</v>
      </c>
      <c r="P3277">
        <v>0.375</v>
      </c>
      <c r="Q3277">
        <v>5</v>
      </c>
      <c r="R3277">
        <v>8.0000000000000002E-3</v>
      </c>
      <c r="T3277" s="8" t="s">
        <v>9127</v>
      </c>
    </row>
    <row r="3278" spans="1:20" x14ac:dyDescent="0.2">
      <c r="A3278" t="s">
        <v>9129</v>
      </c>
      <c r="B3278" t="s">
        <v>2022</v>
      </c>
      <c r="C3278" t="s">
        <v>2023</v>
      </c>
      <c r="D3278" t="s">
        <v>2136</v>
      </c>
      <c r="E3278" t="s">
        <v>9130</v>
      </c>
      <c r="F3278" t="s">
        <v>9131</v>
      </c>
      <c r="G3278">
        <v>2</v>
      </c>
      <c r="H3278">
        <v>1560</v>
      </c>
      <c r="I3278">
        <v>1</v>
      </c>
      <c r="J3278">
        <v>0.9</v>
      </c>
      <c r="K3278">
        <v>2</v>
      </c>
      <c r="L3278">
        <v>2.5999999999999999E-2</v>
      </c>
      <c r="M3278">
        <v>2</v>
      </c>
      <c r="N3278">
        <v>84</v>
      </c>
      <c r="O3278">
        <v>1</v>
      </c>
      <c r="P3278">
        <v>7.4999999999999997E-2</v>
      </c>
      <c r="Q3278">
        <v>1</v>
      </c>
      <c r="R3278">
        <v>5.0000000000000001E-4</v>
      </c>
      <c r="T3278" s="8" t="s">
        <v>9130</v>
      </c>
    </row>
    <row r="3279" spans="1:20" x14ac:dyDescent="0.2">
      <c r="A3279" t="s">
        <v>9132</v>
      </c>
      <c r="B3279" t="s">
        <v>2022</v>
      </c>
      <c r="C3279" t="s">
        <v>2036</v>
      </c>
      <c r="D3279" t="s">
        <v>2024</v>
      </c>
      <c r="E3279" t="s">
        <v>9133</v>
      </c>
      <c r="F3279" t="s">
        <v>9134</v>
      </c>
      <c r="G3279">
        <v>3</v>
      </c>
      <c r="H3279">
        <v>1740</v>
      </c>
      <c r="I3279">
        <v>5</v>
      </c>
      <c r="J3279">
        <v>7</v>
      </c>
      <c r="K3279">
        <v>4</v>
      </c>
      <c r="L3279">
        <v>0.14499999999999999</v>
      </c>
      <c r="M3279">
        <v>1</v>
      </c>
      <c r="N3279">
        <v>76</v>
      </c>
      <c r="O3279">
        <v>5</v>
      </c>
      <c r="P3279">
        <v>0.53500000000000003</v>
      </c>
      <c r="Q3279">
        <v>3</v>
      </c>
      <c r="R3279">
        <v>6.7499999999999999E-3</v>
      </c>
      <c r="T3279" s="8" t="s">
        <v>9133</v>
      </c>
    </row>
    <row r="3280" spans="1:20" x14ac:dyDescent="0.2">
      <c r="A3280" t="s">
        <v>9135</v>
      </c>
      <c r="B3280" t="s">
        <v>2022</v>
      </c>
      <c r="C3280" t="s">
        <v>2023</v>
      </c>
      <c r="D3280" t="s">
        <v>2024</v>
      </c>
      <c r="E3280" t="s">
        <v>9136</v>
      </c>
      <c r="F3280" t="s">
        <v>9137</v>
      </c>
      <c r="G3280">
        <v>2</v>
      </c>
      <c r="H3280">
        <v>1560</v>
      </c>
      <c r="I3280">
        <v>1</v>
      </c>
      <c r="J3280">
        <v>0.9</v>
      </c>
      <c r="K3280">
        <v>2</v>
      </c>
      <c r="L3280">
        <v>2.5999999999999999E-2</v>
      </c>
      <c r="M3280">
        <v>2</v>
      </c>
      <c r="N3280">
        <v>84</v>
      </c>
      <c r="O3280">
        <v>1</v>
      </c>
      <c r="P3280">
        <v>7.4999999999999997E-2</v>
      </c>
      <c r="Q3280">
        <v>2</v>
      </c>
      <c r="R3280">
        <v>2E-3</v>
      </c>
      <c r="T3280" s="8" t="s">
        <v>9136</v>
      </c>
    </row>
    <row r="3281" spans="1:20" x14ac:dyDescent="0.2">
      <c r="A3281" t="s">
        <v>9138</v>
      </c>
      <c r="B3281" t="s">
        <v>2022</v>
      </c>
      <c r="C3281" t="s">
        <v>2023</v>
      </c>
      <c r="D3281" t="s">
        <v>2136</v>
      </c>
      <c r="E3281" t="s">
        <v>9139</v>
      </c>
      <c r="F3281" t="s">
        <v>9140</v>
      </c>
      <c r="G3281">
        <v>1</v>
      </c>
      <c r="H3281">
        <v>1480</v>
      </c>
      <c r="I3281">
        <v>1</v>
      </c>
      <c r="J3281">
        <v>0.9</v>
      </c>
      <c r="K3281">
        <v>2</v>
      </c>
      <c r="L3281">
        <v>2.5999999999999999E-2</v>
      </c>
      <c r="M3281">
        <v>2</v>
      </c>
      <c r="N3281">
        <v>84</v>
      </c>
      <c r="O3281">
        <v>1</v>
      </c>
      <c r="P3281">
        <v>7.4999999999999997E-2</v>
      </c>
      <c r="Q3281">
        <v>2</v>
      </c>
      <c r="R3281">
        <v>2E-3</v>
      </c>
      <c r="T3281" s="8" t="s">
        <v>9139</v>
      </c>
    </row>
    <row r="3282" spans="1:20" x14ac:dyDescent="0.2">
      <c r="A3282" t="s">
        <v>9141</v>
      </c>
      <c r="B3282" t="s">
        <v>2022</v>
      </c>
      <c r="C3282" t="s">
        <v>2106</v>
      </c>
      <c r="D3282" t="s">
        <v>2024</v>
      </c>
      <c r="E3282" t="s">
        <v>9142</v>
      </c>
      <c r="F3282" t="s">
        <v>9143</v>
      </c>
      <c r="G3282">
        <v>2</v>
      </c>
      <c r="H3282">
        <v>1825</v>
      </c>
      <c r="I3282">
        <v>1</v>
      </c>
      <c r="J3282">
        <v>3.25</v>
      </c>
      <c r="K3282">
        <v>2</v>
      </c>
      <c r="L3282">
        <v>0.06</v>
      </c>
      <c r="M3282">
        <v>2</v>
      </c>
      <c r="N3282">
        <v>68.5</v>
      </c>
      <c r="O3282">
        <v>2</v>
      </c>
      <c r="P3282">
        <v>0.15</v>
      </c>
      <c r="Q3282">
        <v>1</v>
      </c>
      <c r="R3282">
        <v>5.0000000000000001E-4</v>
      </c>
      <c r="T3282" s="8" t="s">
        <v>9142</v>
      </c>
    </row>
    <row r="3283" spans="1:20" x14ac:dyDescent="0.2">
      <c r="A3283" t="s">
        <v>9144</v>
      </c>
      <c r="B3283" t="s">
        <v>2022</v>
      </c>
      <c r="C3283" t="s">
        <v>2036</v>
      </c>
      <c r="D3283" t="s">
        <v>2024</v>
      </c>
      <c r="E3283" t="s">
        <v>9145</v>
      </c>
      <c r="F3283" t="s">
        <v>9146</v>
      </c>
      <c r="G3283">
        <v>4</v>
      </c>
      <c r="H3283">
        <v>1840</v>
      </c>
      <c r="I3283">
        <v>4</v>
      </c>
      <c r="J3283">
        <v>5.8</v>
      </c>
      <c r="K3283">
        <v>5</v>
      </c>
      <c r="L3283">
        <v>0.17499999999999999</v>
      </c>
      <c r="M3283">
        <v>3</v>
      </c>
      <c r="N3283">
        <v>88</v>
      </c>
      <c r="O3283">
        <v>3</v>
      </c>
      <c r="P3283">
        <v>0.315</v>
      </c>
      <c r="Q3283">
        <v>4</v>
      </c>
      <c r="R3283">
        <v>9.2499999999999995E-3</v>
      </c>
      <c r="T3283" s="8" t="s">
        <v>9145</v>
      </c>
    </row>
    <row r="3284" spans="1:20" x14ac:dyDescent="0.2">
      <c r="A3284" t="s">
        <v>9147</v>
      </c>
      <c r="B3284" t="s">
        <v>2022</v>
      </c>
      <c r="C3284" t="s">
        <v>2049</v>
      </c>
      <c r="D3284" t="s">
        <v>2136</v>
      </c>
      <c r="E3284" t="s">
        <v>9148</v>
      </c>
      <c r="F3284" t="s">
        <v>9149</v>
      </c>
      <c r="G3284">
        <v>3</v>
      </c>
      <c r="H3284">
        <v>1550</v>
      </c>
      <c r="I3284">
        <v>3</v>
      </c>
      <c r="J3284">
        <v>5</v>
      </c>
      <c r="K3284">
        <v>4</v>
      </c>
      <c r="L3284">
        <v>0.22</v>
      </c>
      <c r="M3284">
        <v>3</v>
      </c>
      <c r="N3284">
        <v>126</v>
      </c>
      <c r="O3284">
        <v>3</v>
      </c>
      <c r="P3284">
        <v>0.46</v>
      </c>
      <c r="Q3284">
        <v>3</v>
      </c>
      <c r="R3284">
        <v>1.52E-2</v>
      </c>
      <c r="T3284" s="8" t="s">
        <v>9148</v>
      </c>
    </row>
    <row r="3285" spans="1:20" x14ac:dyDescent="0.2">
      <c r="A3285" t="s">
        <v>9150</v>
      </c>
      <c r="B3285" t="s">
        <v>2022</v>
      </c>
      <c r="C3285" t="s">
        <v>2023</v>
      </c>
      <c r="D3285" t="s">
        <v>2136</v>
      </c>
      <c r="E3285" t="s">
        <v>9151</v>
      </c>
      <c r="F3285" t="s">
        <v>9152</v>
      </c>
      <c r="G3285">
        <v>2</v>
      </c>
      <c r="H3285">
        <v>1560</v>
      </c>
      <c r="I3285">
        <v>2</v>
      </c>
      <c r="J3285">
        <v>3.4</v>
      </c>
      <c r="K3285">
        <v>3</v>
      </c>
      <c r="L3285">
        <v>4.5999999999999999E-2</v>
      </c>
      <c r="M3285">
        <v>2</v>
      </c>
      <c r="N3285">
        <v>84</v>
      </c>
      <c r="O3285">
        <v>2</v>
      </c>
      <c r="P3285">
        <v>0.22500000000000001</v>
      </c>
      <c r="Q3285">
        <v>2</v>
      </c>
      <c r="R3285">
        <v>2E-3</v>
      </c>
      <c r="T3285" s="8" t="s">
        <v>9151</v>
      </c>
    </row>
    <row r="3286" spans="1:20" x14ac:dyDescent="0.2">
      <c r="A3286" t="s">
        <v>9153</v>
      </c>
      <c r="B3286" t="s">
        <v>2022</v>
      </c>
      <c r="C3286" t="s">
        <v>2023</v>
      </c>
      <c r="D3286" t="s">
        <v>2024</v>
      </c>
      <c r="E3286" t="s">
        <v>9154</v>
      </c>
      <c r="F3286" t="s">
        <v>447</v>
      </c>
      <c r="G3286">
        <v>4</v>
      </c>
      <c r="H3286">
        <v>1720</v>
      </c>
      <c r="I3286">
        <v>5</v>
      </c>
      <c r="J3286">
        <v>10.9</v>
      </c>
      <c r="K3286">
        <v>5</v>
      </c>
      <c r="L3286">
        <v>8.5999999999999993E-2</v>
      </c>
      <c r="M3286">
        <v>5</v>
      </c>
      <c r="N3286">
        <v>114</v>
      </c>
      <c r="O3286">
        <v>5</v>
      </c>
      <c r="P3286">
        <v>0.67500000000000004</v>
      </c>
      <c r="Q3286">
        <v>5</v>
      </c>
      <c r="R3286">
        <v>8.0000000000000002E-3</v>
      </c>
      <c r="T3286" s="8" t="s">
        <v>9154</v>
      </c>
    </row>
    <row r="3287" spans="1:20" x14ac:dyDescent="0.2">
      <c r="A3287" t="s">
        <v>9155</v>
      </c>
      <c r="B3287" t="s">
        <v>2022</v>
      </c>
      <c r="C3287" t="s">
        <v>2101</v>
      </c>
      <c r="D3287" t="s">
        <v>2024</v>
      </c>
      <c r="E3287" t="s">
        <v>9154</v>
      </c>
      <c r="F3287" t="s">
        <v>447</v>
      </c>
      <c r="G3287">
        <v>5</v>
      </c>
      <c r="H3287">
        <v>1970</v>
      </c>
      <c r="I3287">
        <v>5</v>
      </c>
      <c r="J3287">
        <v>14</v>
      </c>
      <c r="K3287">
        <v>5</v>
      </c>
      <c r="L3287">
        <v>0.53749999999999998</v>
      </c>
      <c r="M3287">
        <v>4</v>
      </c>
      <c r="N3287">
        <v>90</v>
      </c>
      <c r="O3287">
        <v>5</v>
      </c>
      <c r="P3287">
        <v>0.67500000000000004</v>
      </c>
      <c r="Q3287">
        <v>5</v>
      </c>
      <c r="R3287">
        <v>2.5499999999999998E-2</v>
      </c>
      <c r="T3287" s="8" t="s">
        <v>9154</v>
      </c>
    </row>
    <row r="3288" spans="1:20" x14ac:dyDescent="0.2">
      <c r="A3288" t="s">
        <v>9156</v>
      </c>
      <c r="B3288" t="s">
        <v>2022</v>
      </c>
      <c r="C3288" t="s">
        <v>2023</v>
      </c>
      <c r="D3288" t="s">
        <v>2024</v>
      </c>
      <c r="E3288" t="s">
        <v>9157</v>
      </c>
      <c r="F3288" t="s">
        <v>9158</v>
      </c>
      <c r="G3288">
        <v>2</v>
      </c>
      <c r="H3288">
        <v>1560</v>
      </c>
      <c r="I3288">
        <v>4</v>
      </c>
      <c r="J3288">
        <v>8.4</v>
      </c>
      <c r="K3288">
        <v>5</v>
      </c>
      <c r="L3288">
        <v>8.5999999999999993E-2</v>
      </c>
      <c r="M3288">
        <v>5</v>
      </c>
      <c r="N3288">
        <v>114</v>
      </c>
      <c r="O3288">
        <v>5</v>
      </c>
      <c r="P3288">
        <v>0.67500000000000004</v>
      </c>
      <c r="Q3288">
        <v>5</v>
      </c>
      <c r="R3288">
        <v>8.0000000000000002E-3</v>
      </c>
      <c r="T3288" s="8" t="s">
        <v>9157</v>
      </c>
    </row>
    <row r="3289" spans="1:20" x14ac:dyDescent="0.2">
      <c r="A3289" t="s">
        <v>9159</v>
      </c>
      <c r="B3289" t="s">
        <v>2022</v>
      </c>
      <c r="C3289" t="s">
        <v>2104</v>
      </c>
      <c r="D3289" t="s">
        <v>2136</v>
      </c>
      <c r="E3289" t="s">
        <v>357</v>
      </c>
      <c r="F3289" t="s">
        <v>447</v>
      </c>
      <c r="G3289">
        <v>5</v>
      </c>
      <c r="H3289">
        <v>2237.5</v>
      </c>
      <c r="I3289">
        <v>5</v>
      </c>
      <c r="J3289">
        <v>10.15</v>
      </c>
      <c r="K3289">
        <v>5</v>
      </c>
      <c r="L3289">
        <v>0.191</v>
      </c>
      <c r="M3289">
        <v>5</v>
      </c>
      <c r="N3289">
        <v>89</v>
      </c>
      <c r="P3289">
        <v>0</v>
      </c>
      <c r="Q3289">
        <v>5</v>
      </c>
      <c r="R3289">
        <v>1.8200000000000001E-2</v>
      </c>
      <c r="T3289" s="8" t="s">
        <v>357</v>
      </c>
    </row>
    <row r="3290" spans="1:20" x14ac:dyDescent="0.2">
      <c r="A3290" t="s">
        <v>9160</v>
      </c>
      <c r="B3290" t="s">
        <v>2022</v>
      </c>
      <c r="C3290" t="s">
        <v>2049</v>
      </c>
      <c r="D3290" t="s">
        <v>2024</v>
      </c>
      <c r="E3290" t="s">
        <v>9161</v>
      </c>
      <c r="F3290" t="s">
        <v>9162</v>
      </c>
      <c r="G3290">
        <v>3</v>
      </c>
      <c r="H3290">
        <v>1550</v>
      </c>
      <c r="I3290">
        <v>3</v>
      </c>
      <c r="J3290">
        <v>5</v>
      </c>
      <c r="K3290">
        <v>3</v>
      </c>
      <c r="L3290">
        <v>0.14000000000000001</v>
      </c>
      <c r="M3290">
        <v>2</v>
      </c>
      <c r="N3290">
        <v>106</v>
      </c>
      <c r="O3290">
        <v>2</v>
      </c>
      <c r="P3290">
        <v>0.26</v>
      </c>
      <c r="Q3290">
        <v>2</v>
      </c>
      <c r="R3290">
        <v>6.1999999999999998E-3</v>
      </c>
      <c r="T3290" s="8" t="s">
        <v>9161</v>
      </c>
    </row>
    <row r="3291" spans="1:20" x14ac:dyDescent="0.2">
      <c r="A3291" t="s">
        <v>9163</v>
      </c>
      <c r="B3291" t="s">
        <v>2022</v>
      </c>
      <c r="C3291" t="s">
        <v>2023</v>
      </c>
      <c r="D3291" t="s">
        <v>2024</v>
      </c>
      <c r="E3291" t="s">
        <v>9164</v>
      </c>
      <c r="F3291" t="s">
        <v>9162</v>
      </c>
      <c r="G3291">
        <v>2</v>
      </c>
      <c r="H3291">
        <v>1560</v>
      </c>
      <c r="I3291">
        <v>3</v>
      </c>
      <c r="J3291">
        <v>5.9</v>
      </c>
      <c r="K3291">
        <v>5</v>
      </c>
      <c r="L3291">
        <v>8.5999999999999993E-2</v>
      </c>
      <c r="M3291">
        <v>2</v>
      </c>
      <c r="N3291">
        <v>84</v>
      </c>
      <c r="O3291">
        <v>3</v>
      </c>
      <c r="P3291">
        <v>0.375</v>
      </c>
      <c r="Q3291">
        <v>4</v>
      </c>
      <c r="R3291">
        <v>6.0000000000000001E-3</v>
      </c>
      <c r="T3291" s="8" t="s">
        <v>9164</v>
      </c>
    </row>
    <row r="3292" spans="1:20" x14ac:dyDescent="0.2">
      <c r="A3292" t="s">
        <v>9165</v>
      </c>
      <c r="B3292" t="s">
        <v>2022</v>
      </c>
      <c r="C3292" t="s">
        <v>2023</v>
      </c>
      <c r="D3292" t="s">
        <v>2024</v>
      </c>
      <c r="E3292" t="s">
        <v>9166</v>
      </c>
      <c r="F3292" t="s">
        <v>9167</v>
      </c>
      <c r="G3292">
        <v>3</v>
      </c>
      <c r="H3292">
        <v>1640</v>
      </c>
      <c r="I3292">
        <v>3</v>
      </c>
      <c r="J3292">
        <v>5.9</v>
      </c>
      <c r="K3292">
        <v>3</v>
      </c>
      <c r="L3292">
        <v>4.5999999999999999E-2</v>
      </c>
      <c r="M3292">
        <v>2</v>
      </c>
      <c r="N3292">
        <v>84</v>
      </c>
      <c r="O3292">
        <v>2</v>
      </c>
      <c r="P3292">
        <v>0.22500000000000001</v>
      </c>
      <c r="Q3292">
        <v>2</v>
      </c>
      <c r="R3292">
        <v>2E-3</v>
      </c>
      <c r="T3292" s="8" t="s">
        <v>9166</v>
      </c>
    </row>
    <row r="3293" spans="1:20" x14ac:dyDescent="0.2">
      <c r="A3293" t="s">
        <v>9168</v>
      </c>
      <c r="B3293" t="s">
        <v>2022</v>
      </c>
      <c r="C3293" t="s">
        <v>2101</v>
      </c>
      <c r="D3293" t="s">
        <v>2024</v>
      </c>
      <c r="E3293" t="s">
        <v>9169</v>
      </c>
      <c r="F3293" t="s">
        <v>447</v>
      </c>
      <c r="G3293">
        <v>5</v>
      </c>
      <c r="H3293">
        <v>1970</v>
      </c>
      <c r="I3293">
        <v>2</v>
      </c>
      <c r="J3293">
        <v>5</v>
      </c>
      <c r="K3293">
        <v>1</v>
      </c>
      <c r="L3293">
        <v>1.15E-2</v>
      </c>
      <c r="M3293">
        <v>2</v>
      </c>
      <c r="N3293">
        <v>74</v>
      </c>
      <c r="O3293">
        <v>2</v>
      </c>
      <c r="P3293">
        <v>0.22500000000000001</v>
      </c>
      <c r="Q3293">
        <v>1</v>
      </c>
      <c r="R3293">
        <v>5.0000000000000001E-4</v>
      </c>
      <c r="T3293" s="8" t="s">
        <v>9169</v>
      </c>
    </row>
    <row r="3294" spans="1:20" x14ac:dyDescent="0.2">
      <c r="A3294" t="s">
        <v>9170</v>
      </c>
      <c r="B3294" t="s">
        <v>2022</v>
      </c>
      <c r="C3294" t="s">
        <v>2101</v>
      </c>
      <c r="D3294" t="s">
        <v>2024</v>
      </c>
      <c r="E3294" t="s">
        <v>9171</v>
      </c>
      <c r="F3294" t="s">
        <v>9172</v>
      </c>
      <c r="G3294">
        <v>3</v>
      </c>
      <c r="H3294">
        <v>1770</v>
      </c>
      <c r="I3294">
        <v>2</v>
      </c>
      <c r="J3294">
        <v>5</v>
      </c>
      <c r="K3294">
        <v>1</v>
      </c>
      <c r="L3294">
        <v>1.15E-2</v>
      </c>
      <c r="M3294">
        <v>3</v>
      </c>
      <c r="N3294">
        <v>82</v>
      </c>
      <c r="O3294">
        <v>2</v>
      </c>
      <c r="P3294">
        <v>0.22500000000000001</v>
      </c>
      <c r="Q3294">
        <v>1</v>
      </c>
      <c r="R3294">
        <v>5.0000000000000001E-4</v>
      </c>
      <c r="T3294" s="8" t="s">
        <v>9171</v>
      </c>
    </row>
    <row r="3295" spans="1:20" x14ac:dyDescent="0.2">
      <c r="A3295" t="s">
        <v>9173</v>
      </c>
      <c r="B3295" t="s">
        <v>2022</v>
      </c>
      <c r="C3295" t="s">
        <v>2023</v>
      </c>
      <c r="D3295" t="s">
        <v>2024</v>
      </c>
      <c r="E3295" t="s">
        <v>9174</v>
      </c>
      <c r="F3295" t="s">
        <v>9175</v>
      </c>
      <c r="G3295">
        <v>5</v>
      </c>
      <c r="H3295">
        <v>1800</v>
      </c>
      <c r="I3295">
        <v>5</v>
      </c>
      <c r="J3295">
        <v>10.9</v>
      </c>
      <c r="K3295">
        <v>5</v>
      </c>
      <c r="L3295">
        <v>8.5999999999999993E-2</v>
      </c>
      <c r="M3295">
        <v>4</v>
      </c>
      <c r="N3295">
        <v>104</v>
      </c>
      <c r="O3295">
        <v>5</v>
      </c>
      <c r="P3295">
        <v>0.67500000000000004</v>
      </c>
      <c r="Q3295">
        <v>5</v>
      </c>
      <c r="R3295">
        <v>8.0000000000000002E-3</v>
      </c>
      <c r="T3295" s="8" t="s">
        <v>9174</v>
      </c>
    </row>
    <row r="3296" spans="1:20" x14ac:dyDescent="0.2">
      <c r="A3296" t="s">
        <v>9176</v>
      </c>
      <c r="B3296" t="s">
        <v>2022</v>
      </c>
      <c r="C3296" t="s">
        <v>2036</v>
      </c>
      <c r="D3296" t="s">
        <v>2024</v>
      </c>
      <c r="E3296" t="s">
        <v>9177</v>
      </c>
      <c r="F3296" t="s">
        <v>9178</v>
      </c>
      <c r="G3296">
        <v>1</v>
      </c>
      <c r="H3296">
        <v>1540</v>
      </c>
      <c r="I3296">
        <v>3</v>
      </c>
      <c r="J3296">
        <v>4.5999999999999996</v>
      </c>
      <c r="K3296">
        <v>2</v>
      </c>
      <c r="L3296">
        <v>8.5000000000000006E-2</v>
      </c>
      <c r="M3296">
        <v>1</v>
      </c>
      <c r="N3296">
        <v>76</v>
      </c>
      <c r="O3296">
        <v>2</v>
      </c>
      <c r="P3296">
        <v>0.20499999999999999</v>
      </c>
      <c r="Q3296">
        <v>2</v>
      </c>
      <c r="R3296">
        <v>4.2500000000000003E-3</v>
      </c>
      <c r="T3296" s="8" t="s">
        <v>9177</v>
      </c>
    </row>
    <row r="3297" spans="1:20" x14ac:dyDescent="0.2">
      <c r="A3297" t="s">
        <v>9179</v>
      </c>
      <c r="B3297" t="s">
        <v>2022</v>
      </c>
      <c r="C3297" t="s">
        <v>2023</v>
      </c>
      <c r="D3297" t="s">
        <v>2024</v>
      </c>
      <c r="E3297" t="s">
        <v>9180</v>
      </c>
      <c r="F3297" t="s">
        <v>9181</v>
      </c>
      <c r="G3297">
        <v>5</v>
      </c>
      <c r="H3297">
        <v>1800</v>
      </c>
      <c r="I3297">
        <v>4</v>
      </c>
      <c r="J3297">
        <v>8.4</v>
      </c>
      <c r="K3297">
        <v>5</v>
      </c>
      <c r="L3297">
        <v>8.5999999999999993E-2</v>
      </c>
      <c r="M3297">
        <v>4</v>
      </c>
      <c r="N3297">
        <v>104</v>
      </c>
      <c r="O3297">
        <v>4</v>
      </c>
      <c r="P3297">
        <v>0.52500000000000002</v>
      </c>
      <c r="Q3297">
        <v>5</v>
      </c>
      <c r="R3297">
        <v>8.0000000000000002E-3</v>
      </c>
      <c r="T3297" s="8" t="s">
        <v>9180</v>
      </c>
    </row>
    <row r="3298" spans="1:20" x14ac:dyDescent="0.2">
      <c r="A3298" t="s">
        <v>9182</v>
      </c>
      <c r="B3298" t="s">
        <v>2022</v>
      </c>
      <c r="C3298" t="s">
        <v>2036</v>
      </c>
      <c r="D3298" t="s">
        <v>2136</v>
      </c>
      <c r="E3298" t="s">
        <v>9183</v>
      </c>
      <c r="F3298" t="s">
        <v>9184</v>
      </c>
      <c r="G3298">
        <v>4</v>
      </c>
      <c r="H3298">
        <v>1840</v>
      </c>
      <c r="I3298">
        <v>2</v>
      </c>
      <c r="J3298">
        <v>3.4</v>
      </c>
      <c r="K3298">
        <v>5</v>
      </c>
      <c r="L3298">
        <v>0.17499999999999999</v>
      </c>
      <c r="M3298">
        <v>5</v>
      </c>
      <c r="N3298">
        <v>100</v>
      </c>
      <c r="O3298">
        <v>3</v>
      </c>
      <c r="P3298">
        <v>0.315</v>
      </c>
      <c r="Q3298">
        <v>5</v>
      </c>
      <c r="R3298">
        <v>1.2E-2</v>
      </c>
      <c r="T3298" s="8" t="s">
        <v>9183</v>
      </c>
    </row>
    <row r="3299" spans="1:20" x14ac:dyDescent="0.2">
      <c r="A3299" t="s">
        <v>9185</v>
      </c>
      <c r="B3299" t="s">
        <v>2022</v>
      </c>
      <c r="C3299" t="s">
        <v>2053</v>
      </c>
      <c r="D3299" t="s">
        <v>2024</v>
      </c>
      <c r="E3299" t="s">
        <v>9186</v>
      </c>
      <c r="F3299" t="s">
        <v>9187</v>
      </c>
      <c r="G3299">
        <v>3</v>
      </c>
      <c r="H3299">
        <v>1700</v>
      </c>
      <c r="I3299">
        <v>3</v>
      </c>
      <c r="J3299">
        <v>6.55</v>
      </c>
      <c r="K3299">
        <v>3</v>
      </c>
      <c r="L3299">
        <v>0.19500000000000001</v>
      </c>
      <c r="M3299">
        <v>3</v>
      </c>
      <c r="N3299">
        <v>93</v>
      </c>
      <c r="O3299">
        <v>2</v>
      </c>
      <c r="P3299">
        <v>0.22500000000000001</v>
      </c>
      <c r="Q3299">
        <v>3</v>
      </c>
      <c r="R3299">
        <v>1.2200000000000001E-2</v>
      </c>
      <c r="T3299" s="8" t="s">
        <v>9186</v>
      </c>
    </row>
    <row r="3300" spans="1:20" x14ac:dyDescent="0.2">
      <c r="A3300" t="s">
        <v>9188</v>
      </c>
      <c r="B3300" t="s">
        <v>2022</v>
      </c>
      <c r="C3300" t="s">
        <v>2053</v>
      </c>
      <c r="D3300" t="s">
        <v>2136</v>
      </c>
      <c r="E3300" t="s">
        <v>357</v>
      </c>
      <c r="F3300" t="s">
        <v>9189</v>
      </c>
      <c r="G3300">
        <v>4</v>
      </c>
      <c r="H3300">
        <v>1800</v>
      </c>
      <c r="I3300">
        <v>4</v>
      </c>
      <c r="J3300">
        <v>9.0500000000000007</v>
      </c>
      <c r="K3300">
        <v>5</v>
      </c>
      <c r="L3300">
        <v>0.41499999999999998</v>
      </c>
      <c r="M3300">
        <v>5</v>
      </c>
      <c r="N3300">
        <v>113</v>
      </c>
      <c r="O3300">
        <v>4</v>
      </c>
      <c r="P3300">
        <v>0.52500000000000002</v>
      </c>
      <c r="Q3300">
        <v>5</v>
      </c>
      <c r="R3300">
        <v>2.6200000000000001E-2</v>
      </c>
      <c r="T3300" s="8" t="s">
        <v>357</v>
      </c>
    </row>
    <row r="3301" spans="1:20" x14ac:dyDescent="0.2">
      <c r="A3301" t="s">
        <v>9190</v>
      </c>
      <c r="B3301" t="s">
        <v>2022</v>
      </c>
      <c r="C3301" t="s">
        <v>2036</v>
      </c>
      <c r="D3301" t="s">
        <v>2024</v>
      </c>
      <c r="E3301" t="s">
        <v>9191</v>
      </c>
      <c r="F3301" t="s">
        <v>9192</v>
      </c>
      <c r="G3301">
        <v>1</v>
      </c>
      <c r="H3301">
        <v>1540</v>
      </c>
      <c r="I3301">
        <v>2</v>
      </c>
      <c r="J3301">
        <v>3.4</v>
      </c>
      <c r="K3301">
        <v>2</v>
      </c>
      <c r="L3301">
        <v>8.5000000000000006E-2</v>
      </c>
      <c r="M3301">
        <v>2</v>
      </c>
      <c r="N3301">
        <v>82</v>
      </c>
      <c r="O3301">
        <v>2</v>
      </c>
      <c r="P3301">
        <v>0.20499999999999999</v>
      </c>
      <c r="Q3301">
        <v>2</v>
      </c>
      <c r="R3301">
        <v>4.2500000000000003E-3</v>
      </c>
      <c r="T3301" s="8" t="s">
        <v>9191</v>
      </c>
    </row>
    <row r="3302" spans="1:20" x14ac:dyDescent="0.2">
      <c r="A3302" t="s">
        <v>9193</v>
      </c>
      <c r="B3302" t="s">
        <v>2022</v>
      </c>
      <c r="C3302" t="s">
        <v>2036</v>
      </c>
      <c r="D3302" t="s">
        <v>2136</v>
      </c>
      <c r="E3302" t="s">
        <v>9194</v>
      </c>
      <c r="F3302" t="s">
        <v>9195</v>
      </c>
      <c r="G3302">
        <v>5</v>
      </c>
      <c r="H3302">
        <v>1940</v>
      </c>
      <c r="I3302">
        <v>2</v>
      </c>
      <c r="J3302">
        <v>3.4</v>
      </c>
      <c r="K3302">
        <v>5</v>
      </c>
      <c r="L3302">
        <v>0.17499999999999999</v>
      </c>
      <c r="M3302">
        <v>5</v>
      </c>
      <c r="N3302">
        <v>100</v>
      </c>
      <c r="O3302">
        <v>2</v>
      </c>
      <c r="P3302">
        <v>0.20499999999999999</v>
      </c>
      <c r="Q3302">
        <v>4</v>
      </c>
      <c r="R3302">
        <v>9.2499999999999995E-3</v>
      </c>
      <c r="T3302" s="8" t="s">
        <v>9194</v>
      </c>
    </row>
    <row r="3303" spans="1:20" x14ac:dyDescent="0.2">
      <c r="A3303" t="s">
        <v>9196</v>
      </c>
      <c r="B3303" t="s">
        <v>2022</v>
      </c>
      <c r="C3303" t="s">
        <v>2053</v>
      </c>
      <c r="D3303" t="s">
        <v>2024</v>
      </c>
      <c r="E3303" t="s">
        <v>9197</v>
      </c>
      <c r="F3303" t="s">
        <v>9198</v>
      </c>
      <c r="G3303">
        <v>5</v>
      </c>
      <c r="H3303">
        <v>1900</v>
      </c>
      <c r="I3303">
        <v>1</v>
      </c>
      <c r="J3303">
        <v>1.55</v>
      </c>
      <c r="K3303">
        <v>1</v>
      </c>
      <c r="L3303">
        <v>1.4999999999999999E-2</v>
      </c>
      <c r="M3303">
        <v>2</v>
      </c>
      <c r="N3303">
        <v>83</v>
      </c>
      <c r="O3303">
        <v>1</v>
      </c>
      <c r="P3303">
        <v>7.4999999999999997E-2</v>
      </c>
      <c r="Q3303">
        <v>1</v>
      </c>
      <c r="R3303">
        <v>8.4999999999999995E-4</v>
      </c>
      <c r="T3303" s="8" t="s">
        <v>9197</v>
      </c>
    </row>
    <row r="3304" spans="1:20" x14ac:dyDescent="0.2">
      <c r="A3304" t="s">
        <v>9199</v>
      </c>
      <c r="B3304" t="s">
        <v>2022</v>
      </c>
      <c r="C3304" t="s">
        <v>2023</v>
      </c>
      <c r="D3304" t="s">
        <v>2024</v>
      </c>
      <c r="E3304" t="s">
        <v>9200</v>
      </c>
      <c r="F3304" t="s">
        <v>9201</v>
      </c>
      <c r="G3304">
        <v>4</v>
      </c>
      <c r="H3304">
        <v>1720</v>
      </c>
      <c r="I3304">
        <v>3</v>
      </c>
      <c r="J3304">
        <v>5.9</v>
      </c>
      <c r="K3304">
        <v>5</v>
      </c>
      <c r="L3304">
        <v>8.5999999999999993E-2</v>
      </c>
      <c r="M3304">
        <v>3</v>
      </c>
      <c r="N3304">
        <v>94</v>
      </c>
      <c r="O3304">
        <v>3</v>
      </c>
      <c r="P3304">
        <v>0.375</v>
      </c>
      <c r="Q3304">
        <v>5</v>
      </c>
      <c r="R3304">
        <v>8.0000000000000002E-3</v>
      </c>
      <c r="T3304" s="8" t="s">
        <v>9200</v>
      </c>
    </row>
    <row r="3305" spans="1:20" x14ac:dyDescent="0.2">
      <c r="A3305" t="s">
        <v>9202</v>
      </c>
      <c r="B3305" t="s">
        <v>2022</v>
      </c>
      <c r="C3305" t="s">
        <v>2023</v>
      </c>
      <c r="D3305" t="s">
        <v>2024</v>
      </c>
      <c r="E3305" t="s">
        <v>9203</v>
      </c>
      <c r="F3305" t="s">
        <v>9204</v>
      </c>
      <c r="G3305">
        <v>1</v>
      </c>
      <c r="H3305">
        <v>1480</v>
      </c>
      <c r="I3305">
        <v>1</v>
      </c>
      <c r="J3305">
        <v>0.9</v>
      </c>
      <c r="K3305">
        <v>2</v>
      </c>
      <c r="L3305">
        <v>2.5999999999999999E-2</v>
      </c>
      <c r="M3305">
        <v>1</v>
      </c>
      <c r="N3305">
        <v>74</v>
      </c>
      <c r="O3305">
        <v>1</v>
      </c>
      <c r="P3305">
        <v>7.4999999999999997E-2</v>
      </c>
      <c r="Q3305">
        <v>1</v>
      </c>
      <c r="R3305">
        <v>5.0000000000000001E-4</v>
      </c>
      <c r="T3305" s="8" t="s">
        <v>9203</v>
      </c>
    </row>
    <row r="3306" spans="1:20" x14ac:dyDescent="0.2">
      <c r="A3306" t="s">
        <v>9205</v>
      </c>
      <c r="B3306" t="s">
        <v>2022</v>
      </c>
      <c r="C3306" t="s">
        <v>2023</v>
      </c>
      <c r="D3306" t="s">
        <v>2024</v>
      </c>
      <c r="E3306" t="s">
        <v>9203</v>
      </c>
      <c r="F3306" t="s">
        <v>9204</v>
      </c>
      <c r="G3306">
        <v>1</v>
      </c>
      <c r="H3306">
        <v>1480</v>
      </c>
      <c r="I3306">
        <v>1</v>
      </c>
      <c r="J3306">
        <v>0.9</v>
      </c>
      <c r="K3306">
        <v>1</v>
      </c>
      <c r="L3306">
        <v>6.0000000000000001E-3</v>
      </c>
      <c r="M3306">
        <v>1</v>
      </c>
      <c r="N3306">
        <v>74</v>
      </c>
      <c r="O3306">
        <v>1</v>
      </c>
      <c r="P3306">
        <v>7.4999999999999997E-2</v>
      </c>
      <c r="Q3306">
        <v>1</v>
      </c>
      <c r="R3306">
        <v>5.0000000000000001E-4</v>
      </c>
      <c r="T3306" s="8" t="s">
        <v>9203</v>
      </c>
    </row>
    <row r="3307" spans="1:20" x14ac:dyDescent="0.2">
      <c r="A3307" t="s">
        <v>9206</v>
      </c>
      <c r="B3307" t="s">
        <v>2022</v>
      </c>
      <c r="C3307" t="s">
        <v>2101</v>
      </c>
      <c r="D3307" t="s">
        <v>2024</v>
      </c>
      <c r="E3307" t="s">
        <v>9203</v>
      </c>
      <c r="F3307" t="s">
        <v>9204</v>
      </c>
      <c r="G3307">
        <v>1</v>
      </c>
      <c r="H3307">
        <v>1570</v>
      </c>
      <c r="I3307">
        <v>1</v>
      </c>
      <c r="J3307">
        <v>2</v>
      </c>
      <c r="K3307">
        <v>1</v>
      </c>
      <c r="L3307">
        <v>1.15E-2</v>
      </c>
      <c r="M3307">
        <v>1</v>
      </c>
      <c r="N3307">
        <v>66</v>
      </c>
      <c r="O3307">
        <v>1</v>
      </c>
      <c r="P3307">
        <v>7.4999999999999997E-2</v>
      </c>
      <c r="Q3307">
        <v>1</v>
      </c>
      <c r="R3307">
        <v>5.0000000000000001E-4</v>
      </c>
      <c r="T3307" s="8" t="s">
        <v>9203</v>
      </c>
    </row>
    <row r="3308" spans="1:20" x14ac:dyDescent="0.2">
      <c r="A3308" t="s">
        <v>9207</v>
      </c>
      <c r="B3308" t="s">
        <v>2022</v>
      </c>
      <c r="C3308" t="s">
        <v>2095</v>
      </c>
      <c r="D3308" t="s">
        <v>2024</v>
      </c>
      <c r="E3308" t="s">
        <v>9203</v>
      </c>
      <c r="F3308" t="s">
        <v>9204</v>
      </c>
      <c r="G3308">
        <v>1</v>
      </c>
      <c r="H3308">
        <v>1565</v>
      </c>
      <c r="I3308">
        <v>1</v>
      </c>
      <c r="J3308">
        <v>4.5</v>
      </c>
      <c r="K3308">
        <v>1</v>
      </c>
      <c r="L3308">
        <v>1.4999999999999999E-2</v>
      </c>
      <c r="M3308">
        <v>1</v>
      </c>
      <c r="N3308">
        <v>74</v>
      </c>
      <c r="O3308">
        <v>1</v>
      </c>
      <c r="P3308">
        <v>0.15</v>
      </c>
      <c r="Q3308">
        <v>1</v>
      </c>
      <c r="R3308">
        <v>6.9999999999999999E-4</v>
      </c>
      <c r="T3308" s="8" t="s">
        <v>9203</v>
      </c>
    </row>
    <row r="3309" spans="1:20" x14ac:dyDescent="0.2">
      <c r="A3309" t="s">
        <v>9208</v>
      </c>
      <c r="B3309" t="s">
        <v>2022</v>
      </c>
      <c r="C3309" t="s">
        <v>2036</v>
      </c>
      <c r="D3309" t="s">
        <v>2024</v>
      </c>
      <c r="E3309" t="s">
        <v>9203</v>
      </c>
      <c r="F3309" t="s">
        <v>9204</v>
      </c>
      <c r="G3309">
        <v>1</v>
      </c>
      <c r="H3309">
        <v>1540</v>
      </c>
      <c r="I3309">
        <v>5</v>
      </c>
      <c r="J3309">
        <v>7</v>
      </c>
      <c r="K3309">
        <v>5</v>
      </c>
      <c r="L3309">
        <v>0.17499999999999999</v>
      </c>
      <c r="M3309">
        <v>1</v>
      </c>
      <c r="N3309">
        <v>76</v>
      </c>
      <c r="O3309">
        <v>4</v>
      </c>
      <c r="P3309">
        <v>0.42499999999999999</v>
      </c>
      <c r="Q3309">
        <v>5</v>
      </c>
      <c r="R3309">
        <v>1.2E-2</v>
      </c>
      <c r="T3309" s="8" t="s">
        <v>9203</v>
      </c>
    </row>
    <row r="3310" spans="1:20" x14ac:dyDescent="0.2">
      <c r="A3310" t="s">
        <v>9209</v>
      </c>
      <c r="B3310" t="s">
        <v>2022</v>
      </c>
      <c r="C3310" t="s">
        <v>2023</v>
      </c>
      <c r="D3310" t="s">
        <v>2024</v>
      </c>
      <c r="E3310" t="s">
        <v>9203</v>
      </c>
      <c r="F3310" t="s">
        <v>9204</v>
      </c>
      <c r="G3310">
        <v>1</v>
      </c>
      <c r="H3310">
        <v>1480</v>
      </c>
      <c r="I3310">
        <v>1</v>
      </c>
      <c r="J3310">
        <v>0.9</v>
      </c>
      <c r="K3310">
        <v>1</v>
      </c>
      <c r="L3310">
        <v>6.0000000000000001E-3</v>
      </c>
      <c r="M3310">
        <v>1</v>
      </c>
      <c r="N3310">
        <v>74</v>
      </c>
      <c r="O3310">
        <v>1</v>
      </c>
      <c r="P3310">
        <v>7.4999999999999997E-2</v>
      </c>
      <c r="Q3310">
        <v>1</v>
      </c>
      <c r="R3310">
        <v>5.0000000000000001E-4</v>
      </c>
      <c r="T3310" s="8" t="s">
        <v>9203</v>
      </c>
    </row>
    <row r="3311" spans="1:20" x14ac:dyDescent="0.2">
      <c r="A3311" t="s">
        <v>9210</v>
      </c>
      <c r="B3311" t="s">
        <v>2022</v>
      </c>
      <c r="C3311" t="s">
        <v>2095</v>
      </c>
      <c r="D3311" t="s">
        <v>2024</v>
      </c>
      <c r="E3311" t="s">
        <v>9211</v>
      </c>
      <c r="F3311" t="s">
        <v>9212</v>
      </c>
      <c r="G3311">
        <v>5</v>
      </c>
      <c r="H3311">
        <v>1925</v>
      </c>
      <c r="I3311">
        <v>4</v>
      </c>
      <c r="J3311">
        <v>13.5</v>
      </c>
      <c r="K3311">
        <v>4</v>
      </c>
      <c r="L3311">
        <v>0.53</v>
      </c>
      <c r="M3311">
        <v>5</v>
      </c>
      <c r="N3311">
        <v>98</v>
      </c>
      <c r="O3311">
        <v>4</v>
      </c>
      <c r="P3311">
        <v>0.75</v>
      </c>
      <c r="Q3311">
        <v>5</v>
      </c>
      <c r="R3311">
        <v>3.2899999999999999E-2</v>
      </c>
      <c r="T3311" s="8" t="s">
        <v>9211</v>
      </c>
    </row>
    <row r="3312" spans="1:20" x14ac:dyDescent="0.2">
      <c r="A3312" t="s">
        <v>9213</v>
      </c>
      <c r="B3312" t="s">
        <v>2022</v>
      </c>
      <c r="C3312" t="s">
        <v>2023</v>
      </c>
      <c r="D3312" t="s">
        <v>2136</v>
      </c>
      <c r="E3312" t="s">
        <v>9214</v>
      </c>
      <c r="F3312" t="s">
        <v>9215</v>
      </c>
      <c r="G3312">
        <v>2</v>
      </c>
      <c r="H3312">
        <v>1560</v>
      </c>
      <c r="I3312">
        <v>2</v>
      </c>
      <c r="J3312">
        <v>3.4</v>
      </c>
      <c r="K3312">
        <v>1</v>
      </c>
      <c r="L3312">
        <v>6.0000000000000001E-3</v>
      </c>
      <c r="M3312">
        <v>5</v>
      </c>
      <c r="N3312">
        <v>114</v>
      </c>
      <c r="O3312">
        <v>4</v>
      </c>
      <c r="P3312">
        <v>0.52500000000000002</v>
      </c>
      <c r="Q3312">
        <v>2</v>
      </c>
      <c r="R3312">
        <v>2E-3</v>
      </c>
      <c r="T3312" s="8" t="s">
        <v>9214</v>
      </c>
    </row>
    <row r="3313" spans="1:20" x14ac:dyDescent="0.2">
      <c r="A3313" t="s">
        <v>9216</v>
      </c>
      <c r="B3313" t="s">
        <v>2022</v>
      </c>
      <c r="C3313" t="s">
        <v>2023</v>
      </c>
      <c r="D3313" t="s">
        <v>2024</v>
      </c>
      <c r="E3313" t="s">
        <v>9217</v>
      </c>
      <c r="F3313" t="s">
        <v>9218</v>
      </c>
      <c r="G3313">
        <v>5</v>
      </c>
      <c r="H3313">
        <v>1800</v>
      </c>
      <c r="I3313">
        <v>3</v>
      </c>
      <c r="J3313">
        <v>5.9</v>
      </c>
      <c r="K3313">
        <v>5</v>
      </c>
      <c r="L3313">
        <v>8.5999999999999993E-2</v>
      </c>
      <c r="M3313">
        <v>3</v>
      </c>
      <c r="N3313">
        <v>94</v>
      </c>
      <c r="O3313">
        <v>3</v>
      </c>
      <c r="P3313">
        <v>0.375</v>
      </c>
      <c r="Q3313">
        <v>4</v>
      </c>
      <c r="R3313">
        <v>6.0000000000000001E-3</v>
      </c>
      <c r="T3313" s="8" t="s">
        <v>9217</v>
      </c>
    </row>
    <row r="3314" spans="1:20" x14ac:dyDescent="0.2">
      <c r="A3314" t="s">
        <v>9219</v>
      </c>
      <c r="B3314" t="s">
        <v>2022</v>
      </c>
      <c r="C3314" t="s">
        <v>2023</v>
      </c>
      <c r="D3314" t="s">
        <v>2024</v>
      </c>
      <c r="E3314" t="s">
        <v>9220</v>
      </c>
      <c r="F3314" t="s">
        <v>9221</v>
      </c>
      <c r="G3314">
        <v>2</v>
      </c>
      <c r="H3314">
        <v>1560</v>
      </c>
      <c r="I3314">
        <v>1</v>
      </c>
      <c r="J3314">
        <v>0.9</v>
      </c>
      <c r="K3314">
        <v>1</v>
      </c>
      <c r="L3314">
        <v>6.0000000000000001E-3</v>
      </c>
      <c r="M3314">
        <v>1</v>
      </c>
      <c r="N3314">
        <v>74</v>
      </c>
      <c r="O3314">
        <v>1</v>
      </c>
      <c r="P3314">
        <v>7.4999999999999997E-2</v>
      </c>
      <c r="Q3314">
        <v>1</v>
      </c>
      <c r="R3314">
        <v>5.0000000000000001E-4</v>
      </c>
      <c r="T3314" s="8" t="s">
        <v>9220</v>
      </c>
    </row>
    <row r="3315" spans="1:20" x14ac:dyDescent="0.2">
      <c r="A3315" t="s">
        <v>9222</v>
      </c>
      <c r="B3315" t="s">
        <v>2022</v>
      </c>
      <c r="C3315" t="s">
        <v>2036</v>
      </c>
      <c r="D3315" t="s">
        <v>2024</v>
      </c>
      <c r="E3315" t="s">
        <v>9223</v>
      </c>
      <c r="F3315" t="s">
        <v>9224</v>
      </c>
      <c r="G3315">
        <v>3</v>
      </c>
      <c r="H3315">
        <v>1740</v>
      </c>
      <c r="I3315">
        <v>5</v>
      </c>
      <c r="J3315">
        <v>7</v>
      </c>
      <c r="K3315">
        <v>5</v>
      </c>
      <c r="L3315">
        <v>0.17499999999999999</v>
      </c>
      <c r="M3315">
        <v>3</v>
      </c>
      <c r="N3315">
        <v>88</v>
      </c>
      <c r="O3315">
        <v>5</v>
      </c>
      <c r="P3315">
        <v>0.53500000000000003</v>
      </c>
      <c r="Q3315">
        <v>5</v>
      </c>
      <c r="R3315">
        <v>1.2E-2</v>
      </c>
      <c r="T3315" s="8" t="s">
        <v>9223</v>
      </c>
    </row>
    <row r="3316" spans="1:20" x14ac:dyDescent="0.2">
      <c r="A3316" t="s">
        <v>9225</v>
      </c>
      <c r="B3316" t="s">
        <v>2022</v>
      </c>
      <c r="C3316" t="s">
        <v>2023</v>
      </c>
      <c r="D3316" t="s">
        <v>2024</v>
      </c>
      <c r="E3316" t="s">
        <v>9226</v>
      </c>
      <c r="F3316" t="s">
        <v>9227</v>
      </c>
      <c r="G3316">
        <v>3</v>
      </c>
      <c r="H3316">
        <v>1640</v>
      </c>
      <c r="I3316">
        <v>2</v>
      </c>
      <c r="J3316">
        <v>3.4</v>
      </c>
      <c r="K3316">
        <v>2</v>
      </c>
      <c r="L3316">
        <v>2.5999999999999999E-2</v>
      </c>
      <c r="M3316">
        <v>2</v>
      </c>
      <c r="N3316">
        <v>84</v>
      </c>
      <c r="O3316">
        <v>1</v>
      </c>
      <c r="P3316">
        <v>7.4999999999999997E-2</v>
      </c>
      <c r="Q3316">
        <v>2</v>
      </c>
      <c r="R3316">
        <v>2E-3</v>
      </c>
      <c r="T3316" s="8" t="s">
        <v>9226</v>
      </c>
    </row>
    <row r="3317" spans="1:20" x14ac:dyDescent="0.2">
      <c r="A3317" t="s">
        <v>9228</v>
      </c>
      <c r="B3317" t="s">
        <v>2022</v>
      </c>
      <c r="C3317" t="s">
        <v>2049</v>
      </c>
      <c r="D3317" t="s">
        <v>2024</v>
      </c>
      <c r="E3317" t="s">
        <v>9229</v>
      </c>
      <c r="F3317" t="s">
        <v>447</v>
      </c>
      <c r="G3317">
        <v>5</v>
      </c>
      <c r="H3317">
        <v>1750</v>
      </c>
      <c r="I3317">
        <v>5</v>
      </c>
      <c r="J3317">
        <v>8.6</v>
      </c>
      <c r="K3317">
        <v>5</v>
      </c>
      <c r="L3317">
        <v>0.3</v>
      </c>
      <c r="M3317">
        <v>2</v>
      </c>
      <c r="N3317">
        <v>106</v>
      </c>
      <c r="O3317">
        <v>5</v>
      </c>
      <c r="P3317">
        <v>0.86</v>
      </c>
      <c r="Q3317">
        <v>5</v>
      </c>
      <c r="R3317">
        <v>3.32E-2</v>
      </c>
      <c r="T3317" s="8" t="s">
        <v>9229</v>
      </c>
    </row>
    <row r="3318" spans="1:20" x14ac:dyDescent="0.2">
      <c r="A3318" t="s">
        <v>9230</v>
      </c>
      <c r="B3318" t="s">
        <v>2022</v>
      </c>
      <c r="C3318" t="s">
        <v>2036</v>
      </c>
      <c r="D3318" t="s">
        <v>2024</v>
      </c>
      <c r="E3318" t="s">
        <v>252</v>
      </c>
      <c r="F3318" t="s">
        <v>9231</v>
      </c>
      <c r="G3318">
        <v>2</v>
      </c>
      <c r="H3318">
        <v>1640</v>
      </c>
      <c r="I3318">
        <v>1</v>
      </c>
      <c r="J3318">
        <v>2.2000000000000002</v>
      </c>
      <c r="K3318">
        <v>1</v>
      </c>
      <c r="L3318">
        <v>5.5E-2</v>
      </c>
      <c r="M3318">
        <v>1</v>
      </c>
      <c r="N3318">
        <v>76</v>
      </c>
      <c r="O3318">
        <v>1</v>
      </c>
      <c r="P3318">
        <v>9.5000000000000001E-2</v>
      </c>
      <c r="Q3318">
        <v>1</v>
      </c>
      <c r="R3318">
        <v>1.5E-3</v>
      </c>
      <c r="T3318" s="8" t="s">
        <v>252</v>
      </c>
    </row>
    <row r="3319" spans="1:20" x14ac:dyDescent="0.2">
      <c r="A3319" t="s">
        <v>9232</v>
      </c>
      <c r="B3319" t="s">
        <v>2022</v>
      </c>
      <c r="C3319" t="s">
        <v>2053</v>
      </c>
      <c r="D3319" t="s">
        <v>2024</v>
      </c>
      <c r="E3319" t="s">
        <v>9233</v>
      </c>
      <c r="F3319" t="s">
        <v>9234</v>
      </c>
      <c r="G3319">
        <v>3</v>
      </c>
      <c r="H3319">
        <v>1700</v>
      </c>
      <c r="I3319">
        <v>1</v>
      </c>
      <c r="J3319">
        <v>1.55</v>
      </c>
      <c r="K3319">
        <v>1</v>
      </c>
      <c r="L3319">
        <v>1.4999999999999999E-2</v>
      </c>
      <c r="M3319">
        <v>2</v>
      </c>
      <c r="N3319">
        <v>83</v>
      </c>
      <c r="O3319">
        <v>1</v>
      </c>
      <c r="P3319">
        <v>7.4999999999999997E-2</v>
      </c>
      <c r="Q3319">
        <v>1</v>
      </c>
      <c r="R3319">
        <v>8.4999999999999995E-4</v>
      </c>
      <c r="T3319" s="8" t="s">
        <v>9233</v>
      </c>
    </row>
    <row r="3320" spans="1:20" x14ac:dyDescent="0.2">
      <c r="A3320" t="s">
        <v>9235</v>
      </c>
      <c r="B3320" t="s">
        <v>2022</v>
      </c>
      <c r="C3320" t="s">
        <v>2023</v>
      </c>
      <c r="D3320" t="s">
        <v>2024</v>
      </c>
      <c r="E3320" t="s">
        <v>9236</v>
      </c>
      <c r="F3320" t="s">
        <v>9237</v>
      </c>
      <c r="G3320">
        <v>1</v>
      </c>
      <c r="H3320">
        <v>1480</v>
      </c>
      <c r="I3320">
        <v>1</v>
      </c>
      <c r="J3320">
        <v>0.9</v>
      </c>
      <c r="K3320">
        <v>2</v>
      </c>
      <c r="L3320">
        <v>2.5999999999999999E-2</v>
      </c>
      <c r="M3320">
        <v>1</v>
      </c>
      <c r="N3320">
        <v>74</v>
      </c>
      <c r="O3320">
        <v>1</v>
      </c>
      <c r="P3320">
        <v>7.4999999999999997E-2</v>
      </c>
      <c r="Q3320">
        <v>1</v>
      </c>
      <c r="R3320">
        <v>5.0000000000000001E-4</v>
      </c>
      <c r="T3320" s="8" t="s">
        <v>9236</v>
      </c>
    </row>
    <row r="3321" spans="1:20" x14ac:dyDescent="0.2">
      <c r="A3321" t="s">
        <v>9238</v>
      </c>
      <c r="B3321" t="s">
        <v>2022</v>
      </c>
      <c r="C3321" t="s">
        <v>2053</v>
      </c>
      <c r="D3321" t="s">
        <v>2136</v>
      </c>
      <c r="E3321" t="s">
        <v>9239</v>
      </c>
      <c r="F3321" t="s">
        <v>447</v>
      </c>
      <c r="G3321">
        <v>1</v>
      </c>
      <c r="H3321">
        <v>1500</v>
      </c>
      <c r="I3321">
        <v>4</v>
      </c>
      <c r="J3321">
        <v>9.0500000000000007</v>
      </c>
      <c r="K3321">
        <v>2</v>
      </c>
      <c r="L3321">
        <v>8.5000000000000006E-2</v>
      </c>
      <c r="M3321">
        <v>2</v>
      </c>
      <c r="N3321">
        <v>83</v>
      </c>
      <c r="O3321">
        <v>4</v>
      </c>
      <c r="P3321">
        <v>0.52500000000000002</v>
      </c>
      <c r="Q3321">
        <v>2</v>
      </c>
      <c r="R3321">
        <v>5.1999999999999998E-3</v>
      </c>
      <c r="T3321" s="8" t="s">
        <v>9239</v>
      </c>
    </row>
    <row r="3322" spans="1:20" x14ac:dyDescent="0.2">
      <c r="A3322" t="s">
        <v>9240</v>
      </c>
      <c r="B3322" t="s">
        <v>2022</v>
      </c>
      <c r="C3322" t="s">
        <v>2023</v>
      </c>
      <c r="D3322" t="s">
        <v>2024</v>
      </c>
      <c r="E3322" t="s">
        <v>9241</v>
      </c>
      <c r="F3322" t="s">
        <v>9242</v>
      </c>
      <c r="G3322">
        <v>5</v>
      </c>
      <c r="H3322">
        <v>1800</v>
      </c>
      <c r="I3322">
        <v>5</v>
      </c>
      <c r="J3322">
        <v>10.9</v>
      </c>
      <c r="K3322">
        <v>5</v>
      </c>
      <c r="L3322">
        <v>8.5999999999999993E-2</v>
      </c>
      <c r="M3322">
        <v>4</v>
      </c>
      <c r="N3322">
        <v>104</v>
      </c>
      <c r="O3322">
        <v>5</v>
      </c>
      <c r="P3322">
        <v>0.67500000000000004</v>
      </c>
      <c r="Q3322">
        <v>5</v>
      </c>
      <c r="R3322">
        <v>8.0000000000000002E-3</v>
      </c>
      <c r="T3322" s="8" t="s">
        <v>9241</v>
      </c>
    </row>
    <row r="3323" spans="1:20" x14ac:dyDescent="0.2">
      <c r="A3323" t="s">
        <v>9243</v>
      </c>
      <c r="B3323" t="s">
        <v>2022</v>
      </c>
      <c r="C3323" t="s">
        <v>2036</v>
      </c>
      <c r="D3323" t="s">
        <v>2024</v>
      </c>
      <c r="E3323" t="s">
        <v>9244</v>
      </c>
      <c r="F3323" t="s">
        <v>9245</v>
      </c>
      <c r="G3323">
        <v>5</v>
      </c>
      <c r="H3323">
        <v>1940</v>
      </c>
      <c r="I3323">
        <v>2</v>
      </c>
      <c r="J3323">
        <v>3.4</v>
      </c>
      <c r="K3323">
        <v>1</v>
      </c>
      <c r="L3323">
        <v>5.5E-2</v>
      </c>
      <c r="M3323">
        <v>3</v>
      </c>
      <c r="N3323">
        <v>88</v>
      </c>
      <c r="O3323">
        <v>1</v>
      </c>
      <c r="P3323">
        <v>9.5000000000000001E-2</v>
      </c>
      <c r="Q3323">
        <v>1</v>
      </c>
      <c r="R3323">
        <v>1.5E-3</v>
      </c>
      <c r="T3323" s="8" t="s">
        <v>9244</v>
      </c>
    </row>
    <row r="3324" spans="1:20" x14ac:dyDescent="0.2">
      <c r="A3324" t="s">
        <v>9246</v>
      </c>
      <c r="B3324" t="s">
        <v>2022</v>
      </c>
      <c r="C3324" t="s">
        <v>2036</v>
      </c>
      <c r="D3324" t="s">
        <v>2024</v>
      </c>
      <c r="E3324" t="s">
        <v>9247</v>
      </c>
      <c r="F3324" t="s">
        <v>9248</v>
      </c>
      <c r="G3324">
        <v>1</v>
      </c>
      <c r="H3324">
        <v>1540</v>
      </c>
      <c r="I3324">
        <v>3</v>
      </c>
      <c r="J3324">
        <v>4.5999999999999996</v>
      </c>
      <c r="K3324">
        <v>3</v>
      </c>
      <c r="L3324">
        <v>0.115</v>
      </c>
      <c r="M3324">
        <v>1</v>
      </c>
      <c r="N3324">
        <v>76</v>
      </c>
      <c r="O3324">
        <v>2</v>
      </c>
      <c r="P3324">
        <v>0.20499999999999999</v>
      </c>
      <c r="Q3324">
        <v>2</v>
      </c>
      <c r="R3324">
        <v>4.2500000000000003E-3</v>
      </c>
      <c r="T3324" s="8" t="s">
        <v>9247</v>
      </c>
    </row>
    <row r="3325" spans="1:20" x14ac:dyDescent="0.2">
      <c r="A3325" t="s">
        <v>9249</v>
      </c>
      <c r="B3325" t="s">
        <v>2022</v>
      </c>
      <c r="C3325" t="s">
        <v>2023</v>
      </c>
      <c r="D3325" t="s">
        <v>2024</v>
      </c>
      <c r="E3325" t="s">
        <v>9250</v>
      </c>
      <c r="F3325" t="s">
        <v>9251</v>
      </c>
      <c r="G3325">
        <v>2</v>
      </c>
      <c r="H3325">
        <v>1560</v>
      </c>
      <c r="I3325">
        <v>3</v>
      </c>
      <c r="J3325">
        <v>5.9</v>
      </c>
      <c r="K3325">
        <v>4</v>
      </c>
      <c r="L3325">
        <v>6.6000000000000003E-2</v>
      </c>
      <c r="M3325">
        <v>4</v>
      </c>
      <c r="N3325">
        <v>104</v>
      </c>
      <c r="O3325">
        <v>3</v>
      </c>
      <c r="P3325">
        <v>0.375</v>
      </c>
      <c r="Q3325">
        <v>3</v>
      </c>
      <c r="R3325">
        <v>4.0000000000000001E-3</v>
      </c>
      <c r="T3325" s="8" t="s">
        <v>9250</v>
      </c>
    </row>
    <row r="3326" spans="1:20" x14ac:dyDescent="0.2">
      <c r="A3326" t="s">
        <v>9252</v>
      </c>
      <c r="B3326" t="s">
        <v>2022</v>
      </c>
      <c r="C3326" t="s">
        <v>2508</v>
      </c>
      <c r="D3326" t="s">
        <v>2024</v>
      </c>
      <c r="E3326" t="s">
        <v>315</v>
      </c>
      <c r="F3326" t="s">
        <v>9253</v>
      </c>
      <c r="G3326">
        <v>4</v>
      </c>
      <c r="H3326">
        <v>1550</v>
      </c>
      <c r="I3326">
        <v>4</v>
      </c>
      <c r="J3326">
        <v>13</v>
      </c>
      <c r="K3326">
        <v>4</v>
      </c>
      <c r="L3326">
        <v>0.42</v>
      </c>
      <c r="M3326">
        <v>2</v>
      </c>
      <c r="N3326">
        <v>157.5</v>
      </c>
      <c r="O3326">
        <v>3</v>
      </c>
      <c r="P3326">
        <v>1.05</v>
      </c>
      <c r="Q3326">
        <v>3</v>
      </c>
      <c r="R3326">
        <v>3.5999999999999997E-2</v>
      </c>
      <c r="T3326" s="8" t="s">
        <v>315</v>
      </c>
    </row>
    <row r="3327" spans="1:20" x14ac:dyDescent="0.2">
      <c r="A3327" t="s">
        <v>9254</v>
      </c>
      <c r="B3327" t="s">
        <v>2022</v>
      </c>
      <c r="C3327" t="s">
        <v>2173</v>
      </c>
      <c r="D3327" t="s">
        <v>2024</v>
      </c>
      <c r="E3327" t="s">
        <v>9255</v>
      </c>
      <c r="F3327" t="s">
        <v>9256</v>
      </c>
      <c r="G3327">
        <v>1</v>
      </c>
      <c r="H3327">
        <v>1882.5</v>
      </c>
      <c r="I3327">
        <v>3</v>
      </c>
      <c r="J3327">
        <v>9.0500000000000007</v>
      </c>
      <c r="K3327">
        <v>3</v>
      </c>
      <c r="L3327">
        <v>0.21</v>
      </c>
      <c r="M3327">
        <v>2</v>
      </c>
      <c r="N3327">
        <v>107.5</v>
      </c>
      <c r="O3327">
        <v>3</v>
      </c>
      <c r="P3327">
        <v>0.51</v>
      </c>
      <c r="Q3327">
        <v>3</v>
      </c>
      <c r="R3327">
        <v>1.18E-2</v>
      </c>
      <c r="T3327" s="8" t="s">
        <v>9255</v>
      </c>
    </row>
    <row r="3328" spans="1:20" x14ac:dyDescent="0.2">
      <c r="A3328" t="s">
        <v>9257</v>
      </c>
      <c r="B3328" t="s">
        <v>2022</v>
      </c>
      <c r="C3328" t="s">
        <v>2053</v>
      </c>
      <c r="D3328" t="s">
        <v>2024</v>
      </c>
      <c r="E3328" t="s">
        <v>9258</v>
      </c>
      <c r="F3328" t="s">
        <v>9259</v>
      </c>
      <c r="G3328">
        <v>3</v>
      </c>
      <c r="H3328">
        <v>1700</v>
      </c>
      <c r="I3328">
        <v>3</v>
      </c>
      <c r="J3328">
        <v>6.55</v>
      </c>
      <c r="K3328">
        <v>2</v>
      </c>
      <c r="L3328">
        <v>8.5000000000000006E-2</v>
      </c>
      <c r="M3328">
        <v>5</v>
      </c>
      <c r="N3328">
        <v>113</v>
      </c>
      <c r="O3328">
        <v>3</v>
      </c>
      <c r="P3328">
        <v>0.375</v>
      </c>
      <c r="Q3328">
        <v>2</v>
      </c>
      <c r="R3328">
        <v>5.1999999999999998E-3</v>
      </c>
      <c r="T3328" s="8" t="s">
        <v>9258</v>
      </c>
    </row>
    <row r="3329" spans="1:20" x14ac:dyDescent="0.2">
      <c r="A3329" t="s">
        <v>9260</v>
      </c>
      <c r="B3329" t="s">
        <v>2022</v>
      </c>
      <c r="C3329" t="s">
        <v>2036</v>
      </c>
      <c r="D3329" t="s">
        <v>2024</v>
      </c>
      <c r="E3329" t="s">
        <v>9261</v>
      </c>
      <c r="F3329" t="s">
        <v>9262</v>
      </c>
      <c r="G3329">
        <v>1</v>
      </c>
      <c r="H3329">
        <v>1540</v>
      </c>
      <c r="I3329">
        <v>2</v>
      </c>
      <c r="J3329">
        <v>3.4</v>
      </c>
      <c r="K3329">
        <v>1</v>
      </c>
      <c r="L3329">
        <v>5.5E-2</v>
      </c>
      <c r="M3329">
        <v>3</v>
      </c>
      <c r="N3329">
        <v>88</v>
      </c>
      <c r="O3329">
        <v>2</v>
      </c>
      <c r="P3329">
        <v>0.20499999999999999</v>
      </c>
      <c r="Q3329">
        <v>1</v>
      </c>
      <c r="R3329">
        <v>1.5E-3</v>
      </c>
      <c r="T3329" s="8" t="s">
        <v>9261</v>
      </c>
    </row>
    <row r="3330" spans="1:20" x14ac:dyDescent="0.2">
      <c r="A3330" t="s">
        <v>9263</v>
      </c>
      <c r="B3330" t="s">
        <v>2022</v>
      </c>
      <c r="C3330" t="s">
        <v>2053</v>
      </c>
      <c r="D3330" t="s">
        <v>2024</v>
      </c>
      <c r="E3330" t="s">
        <v>9264</v>
      </c>
      <c r="F3330" t="s">
        <v>9265</v>
      </c>
      <c r="G3330">
        <v>4</v>
      </c>
      <c r="H3330">
        <v>1800</v>
      </c>
      <c r="I3330">
        <v>3</v>
      </c>
      <c r="J3330">
        <v>6.55</v>
      </c>
      <c r="K3330">
        <v>2</v>
      </c>
      <c r="L3330">
        <v>8.5000000000000006E-2</v>
      </c>
      <c r="M3330">
        <v>3</v>
      </c>
      <c r="N3330">
        <v>93</v>
      </c>
      <c r="O3330">
        <v>3</v>
      </c>
      <c r="P3330">
        <v>0.375</v>
      </c>
      <c r="Q3330">
        <v>2</v>
      </c>
      <c r="R3330">
        <v>5.1999999999999998E-3</v>
      </c>
      <c r="T3330" s="8" t="s">
        <v>9264</v>
      </c>
    </row>
    <row r="3331" spans="1:20" x14ac:dyDescent="0.2">
      <c r="A3331" t="s">
        <v>9266</v>
      </c>
      <c r="B3331" t="s">
        <v>2022</v>
      </c>
      <c r="C3331" t="s">
        <v>2023</v>
      </c>
      <c r="D3331" t="s">
        <v>2024</v>
      </c>
      <c r="E3331" t="s">
        <v>9267</v>
      </c>
      <c r="F3331" t="s">
        <v>9268</v>
      </c>
      <c r="G3331">
        <v>2</v>
      </c>
      <c r="H3331">
        <v>1560</v>
      </c>
      <c r="I3331">
        <v>2</v>
      </c>
      <c r="J3331">
        <v>3.4</v>
      </c>
      <c r="K3331">
        <v>5</v>
      </c>
      <c r="L3331">
        <v>8.5999999999999993E-2</v>
      </c>
      <c r="M3331">
        <v>2</v>
      </c>
      <c r="N3331">
        <v>84</v>
      </c>
      <c r="O3331">
        <v>2</v>
      </c>
      <c r="P3331">
        <v>0.22500000000000001</v>
      </c>
      <c r="Q3331">
        <v>4</v>
      </c>
      <c r="R3331">
        <v>6.0000000000000001E-3</v>
      </c>
      <c r="T3331" s="8" t="s">
        <v>9267</v>
      </c>
    </row>
    <row r="3332" spans="1:20" x14ac:dyDescent="0.2">
      <c r="A3332" t="s">
        <v>9269</v>
      </c>
      <c r="B3332" t="s">
        <v>2022</v>
      </c>
      <c r="C3332" t="s">
        <v>2053</v>
      </c>
      <c r="D3332" t="s">
        <v>2024</v>
      </c>
      <c r="E3332" t="s">
        <v>9270</v>
      </c>
      <c r="F3332" t="s">
        <v>9271</v>
      </c>
      <c r="G3332">
        <v>4</v>
      </c>
      <c r="H3332">
        <v>1800</v>
      </c>
      <c r="I3332">
        <v>4</v>
      </c>
      <c r="J3332">
        <v>9.0500000000000007</v>
      </c>
      <c r="K3332">
        <v>3</v>
      </c>
      <c r="L3332">
        <v>0.19500000000000001</v>
      </c>
      <c r="M3332">
        <v>3</v>
      </c>
      <c r="N3332">
        <v>93</v>
      </c>
      <c r="O3332">
        <v>3</v>
      </c>
      <c r="P3332">
        <v>0.375</v>
      </c>
      <c r="Q3332">
        <v>3</v>
      </c>
      <c r="R3332">
        <v>1.2200000000000001E-2</v>
      </c>
      <c r="T3332" s="8" t="s">
        <v>9270</v>
      </c>
    </row>
    <row r="3333" spans="1:20" x14ac:dyDescent="0.2">
      <c r="A3333" t="s">
        <v>9272</v>
      </c>
      <c r="B3333" t="s">
        <v>2022</v>
      </c>
      <c r="C3333" t="s">
        <v>2106</v>
      </c>
      <c r="D3333" t="s">
        <v>2024</v>
      </c>
      <c r="E3333" t="s">
        <v>357</v>
      </c>
      <c r="F3333" t="s">
        <v>447</v>
      </c>
      <c r="G3333">
        <v>3</v>
      </c>
      <c r="H3333">
        <v>1975</v>
      </c>
      <c r="I3333">
        <v>2</v>
      </c>
      <c r="J3333">
        <v>5.75</v>
      </c>
      <c r="K3333">
        <v>2</v>
      </c>
      <c r="L3333">
        <v>0.06</v>
      </c>
      <c r="M3333">
        <v>1</v>
      </c>
      <c r="N3333">
        <v>61.5</v>
      </c>
      <c r="O3333">
        <v>2</v>
      </c>
      <c r="P3333">
        <v>0.15</v>
      </c>
      <c r="Q3333">
        <v>2</v>
      </c>
      <c r="R3333">
        <v>2.5000000000000001E-3</v>
      </c>
      <c r="T3333" s="8" t="s">
        <v>357</v>
      </c>
    </row>
    <row r="3334" spans="1:20" x14ac:dyDescent="0.2">
      <c r="A3334" t="s">
        <v>9273</v>
      </c>
      <c r="B3334" t="s">
        <v>2022</v>
      </c>
      <c r="C3334" t="s">
        <v>2036</v>
      </c>
      <c r="D3334" t="s">
        <v>2024</v>
      </c>
      <c r="E3334" t="s">
        <v>9274</v>
      </c>
      <c r="F3334" t="s">
        <v>9275</v>
      </c>
      <c r="G3334">
        <v>1</v>
      </c>
      <c r="H3334">
        <v>1540</v>
      </c>
      <c r="I3334">
        <v>1</v>
      </c>
      <c r="J3334">
        <v>2.2000000000000002</v>
      </c>
      <c r="K3334">
        <v>3</v>
      </c>
      <c r="L3334">
        <v>0.115</v>
      </c>
      <c r="M3334">
        <v>1</v>
      </c>
      <c r="N3334">
        <v>76</v>
      </c>
      <c r="O3334">
        <v>1</v>
      </c>
      <c r="P3334">
        <v>9.5000000000000001E-2</v>
      </c>
      <c r="Q3334">
        <v>2</v>
      </c>
      <c r="R3334">
        <v>4.2500000000000003E-3</v>
      </c>
      <c r="T3334" s="8" t="s">
        <v>9274</v>
      </c>
    </row>
    <row r="3335" spans="1:20" x14ac:dyDescent="0.2">
      <c r="A3335" t="s">
        <v>9276</v>
      </c>
      <c r="B3335" t="s">
        <v>2022</v>
      </c>
      <c r="C3335" t="s">
        <v>2023</v>
      </c>
      <c r="D3335" t="s">
        <v>2024</v>
      </c>
      <c r="E3335" t="s">
        <v>9277</v>
      </c>
      <c r="F3335" t="s">
        <v>9278</v>
      </c>
      <c r="G3335">
        <v>5</v>
      </c>
      <c r="H3335">
        <v>1800</v>
      </c>
      <c r="I3335">
        <v>4</v>
      </c>
      <c r="J3335">
        <v>8.4</v>
      </c>
      <c r="K3335">
        <v>5</v>
      </c>
      <c r="L3335">
        <v>8.5999999999999993E-2</v>
      </c>
      <c r="M3335">
        <v>2</v>
      </c>
      <c r="N3335">
        <v>84</v>
      </c>
      <c r="O3335">
        <v>3</v>
      </c>
      <c r="P3335">
        <v>0.375</v>
      </c>
      <c r="Q3335">
        <v>5</v>
      </c>
      <c r="R3335">
        <v>8.0000000000000002E-3</v>
      </c>
      <c r="T3335" s="8" t="s">
        <v>9277</v>
      </c>
    </row>
    <row r="3336" spans="1:20" x14ac:dyDescent="0.2">
      <c r="A3336" t="s">
        <v>9279</v>
      </c>
      <c r="B3336" t="s">
        <v>2022</v>
      </c>
      <c r="C3336" t="s">
        <v>2023</v>
      </c>
      <c r="D3336" t="s">
        <v>2024</v>
      </c>
      <c r="E3336" t="s">
        <v>9280</v>
      </c>
      <c r="F3336" t="s">
        <v>9281</v>
      </c>
      <c r="G3336">
        <v>5</v>
      </c>
      <c r="H3336">
        <v>1800</v>
      </c>
      <c r="I3336">
        <v>5</v>
      </c>
      <c r="J3336">
        <v>10.9</v>
      </c>
      <c r="K3336">
        <v>5</v>
      </c>
      <c r="L3336">
        <v>8.5999999999999993E-2</v>
      </c>
      <c r="M3336">
        <v>4</v>
      </c>
      <c r="N3336">
        <v>104</v>
      </c>
      <c r="O3336">
        <v>5</v>
      </c>
      <c r="P3336">
        <v>0.67500000000000004</v>
      </c>
      <c r="Q3336">
        <v>5</v>
      </c>
      <c r="R3336">
        <v>8.0000000000000002E-3</v>
      </c>
      <c r="T3336" s="8" t="s">
        <v>9280</v>
      </c>
    </row>
    <row r="3337" spans="1:20" x14ac:dyDescent="0.2">
      <c r="A3337" t="s">
        <v>9282</v>
      </c>
      <c r="B3337" t="s">
        <v>2022</v>
      </c>
      <c r="C3337" t="s">
        <v>2036</v>
      </c>
      <c r="D3337" t="s">
        <v>2024</v>
      </c>
      <c r="E3337" t="s">
        <v>9283</v>
      </c>
      <c r="F3337" t="s">
        <v>9284</v>
      </c>
      <c r="G3337">
        <v>5</v>
      </c>
      <c r="H3337">
        <v>1940</v>
      </c>
      <c r="I3337">
        <v>5</v>
      </c>
      <c r="J3337">
        <v>7</v>
      </c>
      <c r="K3337">
        <v>5</v>
      </c>
      <c r="L3337">
        <v>0.17499999999999999</v>
      </c>
      <c r="M3337">
        <v>5</v>
      </c>
      <c r="N3337">
        <v>100</v>
      </c>
      <c r="O3337">
        <v>5</v>
      </c>
      <c r="P3337">
        <v>0.53500000000000003</v>
      </c>
      <c r="Q3337">
        <v>5</v>
      </c>
      <c r="R3337">
        <v>1.2E-2</v>
      </c>
      <c r="T3337" s="8" t="s">
        <v>9283</v>
      </c>
    </row>
    <row r="3338" spans="1:20" x14ac:dyDescent="0.2">
      <c r="A3338" t="s">
        <v>9285</v>
      </c>
      <c r="B3338" t="s">
        <v>2022</v>
      </c>
      <c r="C3338" t="s">
        <v>2023</v>
      </c>
      <c r="D3338" t="s">
        <v>2154</v>
      </c>
      <c r="E3338" t="s">
        <v>9286</v>
      </c>
      <c r="F3338" t="s">
        <v>9287</v>
      </c>
      <c r="G3338">
        <v>1</v>
      </c>
      <c r="H3338">
        <v>1480</v>
      </c>
      <c r="I3338">
        <v>1</v>
      </c>
      <c r="J3338">
        <v>0.9</v>
      </c>
      <c r="K3338">
        <v>1</v>
      </c>
      <c r="L3338">
        <v>6.0000000000000001E-3</v>
      </c>
      <c r="M3338">
        <v>2</v>
      </c>
      <c r="N3338">
        <v>84</v>
      </c>
      <c r="O3338">
        <v>1</v>
      </c>
      <c r="P3338">
        <v>7.4999999999999997E-2</v>
      </c>
      <c r="Q3338">
        <v>1</v>
      </c>
      <c r="R3338">
        <v>5.0000000000000001E-4</v>
      </c>
      <c r="T3338" s="8" t="s">
        <v>9286</v>
      </c>
    </row>
    <row r="3339" spans="1:20" x14ac:dyDescent="0.2">
      <c r="A3339" t="s">
        <v>9288</v>
      </c>
      <c r="B3339" t="s">
        <v>2022</v>
      </c>
      <c r="C3339" t="s">
        <v>2023</v>
      </c>
      <c r="D3339" t="s">
        <v>2154</v>
      </c>
      <c r="E3339" t="s">
        <v>9289</v>
      </c>
      <c r="F3339" t="s">
        <v>9290</v>
      </c>
      <c r="G3339">
        <v>1</v>
      </c>
      <c r="H3339">
        <v>1480</v>
      </c>
      <c r="I3339">
        <v>2</v>
      </c>
      <c r="J3339">
        <v>3.4</v>
      </c>
      <c r="K3339">
        <v>2</v>
      </c>
      <c r="L3339">
        <v>2.5999999999999999E-2</v>
      </c>
      <c r="M3339">
        <v>2</v>
      </c>
      <c r="N3339">
        <v>84</v>
      </c>
      <c r="O3339">
        <v>2</v>
      </c>
      <c r="P3339">
        <v>0.22500000000000001</v>
      </c>
      <c r="Q3339">
        <v>1</v>
      </c>
      <c r="R3339">
        <v>5.0000000000000001E-4</v>
      </c>
      <c r="T3339" s="8" t="s">
        <v>9289</v>
      </c>
    </row>
    <row r="3340" spans="1:20" x14ac:dyDescent="0.2">
      <c r="A3340" t="s">
        <v>9291</v>
      </c>
      <c r="B3340" t="s">
        <v>2022</v>
      </c>
      <c r="C3340" t="s">
        <v>2053</v>
      </c>
      <c r="D3340" t="s">
        <v>2024</v>
      </c>
      <c r="E3340" t="s">
        <v>9292</v>
      </c>
      <c r="F3340" t="s">
        <v>9293</v>
      </c>
      <c r="G3340">
        <v>1</v>
      </c>
      <c r="H3340">
        <v>1500</v>
      </c>
      <c r="I3340">
        <v>4</v>
      </c>
      <c r="J3340">
        <v>9.0500000000000007</v>
      </c>
      <c r="K3340">
        <v>4</v>
      </c>
      <c r="L3340">
        <v>0.30499999999999999</v>
      </c>
      <c r="M3340">
        <v>5</v>
      </c>
      <c r="N3340">
        <v>113</v>
      </c>
      <c r="O3340">
        <v>5</v>
      </c>
      <c r="P3340">
        <v>0.67500000000000004</v>
      </c>
      <c r="Q3340">
        <v>5</v>
      </c>
      <c r="R3340">
        <v>2.6200000000000001E-2</v>
      </c>
      <c r="T3340" s="8" t="s">
        <v>9292</v>
      </c>
    </row>
    <row r="3341" spans="1:20" x14ac:dyDescent="0.2">
      <c r="A3341" t="s">
        <v>9294</v>
      </c>
      <c r="B3341" t="s">
        <v>2022</v>
      </c>
      <c r="C3341" t="s">
        <v>2053</v>
      </c>
      <c r="D3341" t="s">
        <v>2024</v>
      </c>
      <c r="E3341" t="s">
        <v>9295</v>
      </c>
      <c r="F3341" t="s">
        <v>9296</v>
      </c>
      <c r="G3341">
        <v>2</v>
      </c>
      <c r="H3341">
        <v>1600</v>
      </c>
      <c r="I3341">
        <v>1</v>
      </c>
      <c r="J3341">
        <v>1.55</v>
      </c>
      <c r="K3341">
        <v>1</v>
      </c>
      <c r="L3341">
        <v>1.4999999999999999E-2</v>
      </c>
      <c r="M3341">
        <v>3</v>
      </c>
      <c r="N3341">
        <v>93</v>
      </c>
      <c r="O3341">
        <v>1</v>
      </c>
      <c r="P3341">
        <v>7.4999999999999997E-2</v>
      </c>
      <c r="Q3341">
        <v>1</v>
      </c>
      <c r="R3341">
        <v>8.4999999999999995E-4</v>
      </c>
      <c r="T3341" s="8" t="s">
        <v>9295</v>
      </c>
    </row>
    <row r="3342" spans="1:20" x14ac:dyDescent="0.2">
      <c r="A3342" t="s">
        <v>9297</v>
      </c>
      <c r="B3342" t="s">
        <v>2022</v>
      </c>
      <c r="C3342" t="s">
        <v>2036</v>
      </c>
      <c r="D3342" t="s">
        <v>2024</v>
      </c>
      <c r="E3342" t="s">
        <v>9298</v>
      </c>
      <c r="F3342" t="s">
        <v>9299</v>
      </c>
      <c r="G3342">
        <v>3</v>
      </c>
      <c r="H3342">
        <v>1740</v>
      </c>
      <c r="I3342">
        <v>5</v>
      </c>
      <c r="J3342">
        <v>7</v>
      </c>
      <c r="K3342">
        <v>5</v>
      </c>
      <c r="L3342">
        <v>0.17499999999999999</v>
      </c>
      <c r="M3342">
        <v>3</v>
      </c>
      <c r="N3342">
        <v>88</v>
      </c>
      <c r="O3342">
        <v>5</v>
      </c>
      <c r="P3342">
        <v>0.53500000000000003</v>
      </c>
      <c r="Q3342">
        <v>5</v>
      </c>
      <c r="R3342">
        <v>1.2E-2</v>
      </c>
      <c r="T3342" s="8" t="s">
        <v>9298</v>
      </c>
    </row>
    <row r="3343" spans="1:20" x14ac:dyDescent="0.2">
      <c r="A3343" t="s">
        <v>9300</v>
      </c>
      <c r="B3343" t="s">
        <v>2022</v>
      </c>
      <c r="C3343" t="s">
        <v>2049</v>
      </c>
      <c r="D3343" t="s">
        <v>2024</v>
      </c>
      <c r="E3343" t="s">
        <v>9301</v>
      </c>
      <c r="F3343" t="s">
        <v>9302</v>
      </c>
      <c r="G3343">
        <v>4</v>
      </c>
      <c r="H3343">
        <v>1650</v>
      </c>
      <c r="I3343">
        <v>5</v>
      </c>
      <c r="J3343">
        <v>8.6</v>
      </c>
      <c r="K3343">
        <v>5</v>
      </c>
      <c r="L3343">
        <v>0.3</v>
      </c>
      <c r="M3343">
        <v>3</v>
      </c>
      <c r="N3343">
        <v>126</v>
      </c>
      <c r="O3343">
        <v>5</v>
      </c>
      <c r="P3343">
        <v>0.86</v>
      </c>
      <c r="Q3343">
        <v>5</v>
      </c>
      <c r="R3343">
        <v>3.32E-2</v>
      </c>
      <c r="T3343" s="8" t="s">
        <v>9301</v>
      </c>
    </row>
    <row r="3344" spans="1:20" x14ac:dyDescent="0.2">
      <c r="A3344" t="s">
        <v>9303</v>
      </c>
      <c r="B3344" t="s">
        <v>2022</v>
      </c>
      <c r="C3344" t="s">
        <v>2053</v>
      </c>
      <c r="D3344" t="s">
        <v>2136</v>
      </c>
      <c r="E3344" t="s">
        <v>9304</v>
      </c>
      <c r="F3344" t="s">
        <v>9305</v>
      </c>
      <c r="G3344">
        <v>3</v>
      </c>
      <c r="H3344">
        <v>1700</v>
      </c>
      <c r="I3344">
        <v>2</v>
      </c>
      <c r="J3344">
        <v>4.05</v>
      </c>
      <c r="K3344">
        <v>2</v>
      </c>
      <c r="L3344">
        <v>8.5000000000000006E-2</v>
      </c>
      <c r="M3344">
        <v>2</v>
      </c>
      <c r="N3344">
        <v>83</v>
      </c>
      <c r="O3344">
        <v>2</v>
      </c>
      <c r="P3344">
        <v>0.22500000000000001</v>
      </c>
      <c r="Q3344">
        <v>2</v>
      </c>
      <c r="R3344">
        <v>5.1999999999999998E-3</v>
      </c>
      <c r="T3344" s="8" t="s">
        <v>9304</v>
      </c>
    </row>
    <row r="3345" spans="1:20" x14ac:dyDescent="0.2">
      <c r="A3345" t="s">
        <v>9306</v>
      </c>
      <c r="B3345" t="s">
        <v>2022</v>
      </c>
      <c r="C3345" t="s">
        <v>2023</v>
      </c>
      <c r="D3345" t="s">
        <v>2024</v>
      </c>
      <c r="E3345" t="s">
        <v>9307</v>
      </c>
      <c r="F3345" t="s">
        <v>9308</v>
      </c>
      <c r="G3345">
        <v>3</v>
      </c>
      <c r="H3345">
        <v>1640</v>
      </c>
      <c r="I3345">
        <v>2</v>
      </c>
      <c r="J3345">
        <v>3.4</v>
      </c>
      <c r="K3345">
        <v>2</v>
      </c>
      <c r="L3345">
        <v>2.5999999999999999E-2</v>
      </c>
      <c r="M3345">
        <v>1</v>
      </c>
      <c r="N3345">
        <v>74</v>
      </c>
      <c r="O3345">
        <v>2</v>
      </c>
      <c r="P3345">
        <v>0.22500000000000001</v>
      </c>
      <c r="Q3345">
        <v>1</v>
      </c>
      <c r="R3345">
        <v>5.0000000000000001E-4</v>
      </c>
      <c r="T3345" s="8" t="s">
        <v>9307</v>
      </c>
    </row>
    <row r="3346" spans="1:20" x14ac:dyDescent="0.2">
      <c r="A3346" t="s">
        <v>9309</v>
      </c>
      <c r="B3346" t="s">
        <v>2022</v>
      </c>
      <c r="C3346" t="s">
        <v>2036</v>
      </c>
      <c r="D3346" t="s">
        <v>2024</v>
      </c>
      <c r="E3346" t="s">
        <v>357</v>
      </c>
      <c r="F3346" t="s">
        <v>447</v>
      </c>
      <c r="G3346">
        <v>4</v>
      </c>
      <c r="H3346">
        <v>1840</v>
      </c>
      <c r="I3346">
        <v>3</v>
      </c>
      <c r="J3346">
        <v>4.5999999999999996</v>
      </c>
      <c r="K3346">
        <v>1</v>
      </c>
      <c r="L3346">
        <v>5.5E-2</v>
      </c>
      <c r="M3346">
        <v>5</v>
      </c>
      <c r="N3346">
        <v>100</v>
      </c>
      <c r="O3346">
        <v>3</v>
      </c>
      <c r="P3346">
        <v>0.315</v>
      </c>
      <c r="Q3346">
        <v>2</v>
      </c>
      <c r="R3346">
        <v>4.2500000000000003E-3</v>
      </c>
      <c r="T3346" s="8" t="s">
        <v>357</v>
      </c>
    </row>
    <row r="3347" spans="1:20" x14ac:dyDescent="0.2">
      <c r="A3347" t="s">
        <v>9310</v>
      </c>
      <c r="B3347" t="s">
        <v>2022</v>
      </c>
      <c r="C3347" t="s">
        <v>2101</v>
      </c>
      <c r="D3347" t="s">
        <v>2024</v>
      </c>
      <c r="E3347" t="s">
        <v>357</v>
      </c>
      <c r="F3347" t="s">
        <v>447</v>
      </c>
      <c r="G3347">
        <v>5</v>
      </c>
      <c r="H3347">
        <v>1970</v>
      </c>
      <c r="I3347">
        <v>5</v>
      </c>
      <c r="J3347">
        <v>14</v>
      </c>
      <c r="K3347">
        <v>4</v>
      </c>
      <c r="L3347">
        <v>0.39050000000000001</v>
      </c>
      <c r="M3347">
        <v>3</v>
      </c>
      <c r="N3347">
        <v>82</v>
      </c>
      <c r="O3347">
        <v>4</v>
      </c>
      <c r="P3347">
        <v>0.52500000000000002</v>
      </c>
      <c r="Q3347">
        <v>3</v>
      </c>
      <c r="R3347">
        <v>1.15E-2</v>
      </c>
      <c r="T3347" s="8" t="s">
        <v>357</v>
      </c>
    </row>
    <row r="3348" spans="1:20" x14ac:dyDescent="0.2">
      <c r="A3348" t="s">
        <v>9311</v>
      </c>
      <c r="B3348" t="s">
        <v>2022</v>
      </c>
      <c r="C3348" t="s">
        <v>2036</v>
      </c>
      <c r="D3348" t="s">
        <v>2024</v>
      </c>
      <c r="E3348" t="s">
        <v>9312</v>
      </c>
      <c r="F3348" t="s">
        <v>9313</v>
      </c>
      <c r="G3348">
        <v>2</v>
      </c>
      <c r="H3348">
        <v>1640</v>
      </c>
      <c r="I3348">
        <v>2</v>
      </c>
      <c r="J3348">
        <v>3.4</v>
      </c>
      <c r="K3348">
        <v>3</v>
      </c>
      <c r="L3348">
        <v>0.115</v>
      </c>
      <c r="M3348">
        <v>3</v>
      </c>
      <c r="N3348">
        <v>88</v>
      </c>
      <c r="O3348">
        <v>2</v>
      </c>
      <c r="P3348">
        <v>0.20499999999999999</v>
      </c>
      <c r="Q3348">
        <v>3</v>
      </c>
      <c r="R3348">
        <v>6.7499999999999999E-3</v>
      </c>
      <c r="T3348" s="8" t="s">
        <v>9312</v>
      </c>
    </row>
    <row r="3349" spans="1:20" x14ac:dyDescent="0.2">
      <c r="A3349" t="s">
        <v>9314</v>
      </c>
      <c r="B3349" t="s">
        <v>2022</v>
      </c>
      <c r="C3349" t="s">
        <v>2053</v>
      </c>
      <c r="D3349" t="s">
        <v>2024</v>
      </c>
      <c r="E3349" t="s">
        <v>9315</v>
      </c>
      <c r="F3349" t="s">
        <v>9316</v>
      </c>
      <c r="G3349">
        <v>3</v>
      </c>
      <c r="H3349">
        <v>1700</v>
      </c>
      <c r="I3349">
        <v>2</v>
      </c>
      <c r="J3349">
        <v>4.05</v>
      </c>
      <c r="K3349">
        <v>2</v>
      </c>
      <c r="L3349">
        <v>8.5000000000000006E-2</v>
      </c>
      <c r="M3349">
        <v>1</v>
      </c>
      <c r="N3349">
        <v>73</v>
      </c>
      <c r="O3349">
        <v>2</v>
      </c>
      <c r="P3349">
        <v>0.22500000000000001</v>
      </c>
      <c r="Q3349">
        <v>2</v>
      </c>
      <c r="R3349">
        <v>5.1999999999999998E-3</v>
      </c>
      <c r="T3349" s="8" t="s">
        <v>9315</v>
      </c>
    </row>
    <row r="3350" spans="1:20" x14ac:dyDescent="0.2">
      <c r="A3350" t="s">
        <v>9317</v>
      </c>
      <c r="B3350" t="s">
        <v>2022</v>
      </c>
      <c r="C3350" t="s">
        <v>2036</v>
      </c>
      <c r="D3350" t="s">
        <v>2024</v>
      </c>
      <c r="E3350" t="s">
        <v>9318</v>
      </c>
      <c r="F3350" t="s">
        <v>9319</v>
      </c>
      <c r="G3350">
        <v>2</v>
      </c>
      <c r="H3350">
        <v>1640</v>
      </c>
      <c r="I3350">
        <v>1</v>
      </c>
      <c r="J3350">
        <v>2.2000000000000002</v>
      </c>
      <c r="K3350">
        <v>1</v>
      </c>
      <c r="L3350">
        <v>5.5E-2</v>
      </c>
      <c r="M3350">
        <v>2</v>
      </c>
      <c r="N3350">
        <v>82</v>
      </c>
      <c r="O3350">
        <v>1</v>
      </c>
      <c r="P3350">
        <v>9.5000000000000001E-2</v>
      </c>
      <c r="Q3350">
        <v>2</v>
      </c>
      <c r="R3350">
        <v>4.2500000000000003E-3</v>
      </c>
      <c r="T3350" s="8" t="s">
        <v>9318</v>
      </c>
    </row>
    <row r="3351" spans="1:20" x14ac:dyDescent="0.2">
      <c r="A3351" t="s">
        <v>9320</v>
      </c>
      <c r="B3351" t="s">
        <v>2022</v>
      </c>
      <c r="C3351" t="s">
        <v>2023</v>
      </c>
      <c r="D3351" t="s">
        <v>2024</v>
      </c>
      <c r="E3351" t="s">
        <v>9321</v>
      </c>
      <c r="F3351" t="s">
        <v>9322</v>
      </c>
      <c r="G3351">
        <v>3</v>
      </c>
      <c r="H3351">
        <v>1640</v>
      </c>
      <c r="I3351">
        <v>5</v>
      </c>
      <c r="J3351">
        <v>10.9</v>
      </c>
      <c r="K3351">
        <v>5</v>
      </c>
      <c r="L3351">
        <v>8.5999999999999993E-2</v>
      </c>
      <c r="M3351">
        <v>5</v>
      </c>
      <c r="N3351">
        <v>114</v>
      </c>
      <c r="O3351">
        <v>5</v>
      </c>
      <c r="P3351">
        <v>0.67500000000000004</v>
      </c>
      <c r="Q3351">
        <v>5</v>
      </c>
      <c r="R3351">
        <v>8.0000000000000002E-3</v>
      </c>
      <c r="T3351" s="8" t="s">
        <v>9321</v>
      </c>
    </row>
    <row r="3352" spans="1:20" x14ac:dyDescent="0.2">
      <c r="A3352" t="s">
        <v>9323</v>
      </c>
      <c r="B3352" t="s">
        <v>2022</v>
      </c>
      <c r="C3352" t="s">
        <v>2053</v>
      </c>
      <c r="D3352" t="s">
        <v>2024</v>
      </c>
      <c r="E3352" t="s">
        <v>9324</v>
      </c>
      <c r="F3352" t="s">
        <v>9325</v>
      </c>
      <c r="G3352">
        <v>3</v>
      </c>
      <c r="H3352">
        <v>1700</v>
      </c>
      <c r="I3352">
        <v>2</v>
      </c>
      <c r="J3352">
        <v>4.05</v>
      </c>
      <c r="K3352">
        <v>2</v>
      </c>
      <c r="L3352">
        <v>8.5000000000000006E-2</v>
      </c>
      <c r="M3352">
        <v>2</v>
      </c>
      <c r="N3352">
        <v>83</v>
      </c>
      <c r="O3352">
        <v>2</v>
      </c>
      <c r="P3352">
        <v>0.22500000000000001</v>
      </c>
      <c r="Q3352">
        <v>2</v>
      </c>
      <c r="R3352">
        <v>5.1999999999999998E-3</v>
      </c>
      <c r="T3352" s="8" t="s">
        <v>9324</v>
      </c>
    </row>
    <row r="3353" spans="1:20" x14ac:dyDescent="0.2">
      <c r="A3353" t="s">
        <v>9326</v>
      </c>
      <c r="B3353" t="s">
        <v>2022</v>
      </c>
      <c r="C3353" t="s">
        <v>2053</v>
      </c>
      <c r="D3353" t="s">
        <v>2024</v>
      </c>
      <c r="E3353" t="s">
        <v>9327</v>
      </c>
      <c r="F3353" t="s">
        <v>9328</v>
      </c>
      <c r="G3353">
        <v>1</v>
      </c>
      <c r="H3353">
        <v>1500</v>
      </c>
      <c r="I3353">
        <v>2</v>
      </c>
      <c r="J3353">
        <v>4.05</v>
      </c>
      <c r="K3353">
        <v>2</v>
      </c>
      <c r="L3353">
        <v>8.5000000000000006E-2</v>
      </c>
      <c r="M3353">
        <v>1</v>
      </c>
      <c r="N3353">
        <v>73</v>
      </c>
      <c r="O3353">
        <v>1</v>
      </c>
      <c r="P3353">
        <v>7.4999999999999997E-2</v>
      </c>
      <c r="Q3353">
        <v>1</v>
      </c>
      <c r="R3353">
        <v>8.4999999999999995E-4</v>
      </c>
      <c r="T3353" s="8" t="s">
        <v>9327</v>
      </c>
    </row>
    <row r="3354" spans="1:20" x14ac:dyDescent="0.2">
      <c r="A3354" t="s">
        <v>9329</v>
      </c>
      <c r="B3354" t="s">
        <v>2022</v>
      </c>
      <c r="C3354" t="s">
        <v>2053</v>
      </c>
      <c r="D3354" t="s">
        <v>2024</v>
      </c>
      <c r="E3354" t="s">
        <v>9330</v>
      </c>
      <c r="F3354" t="s">
        <v>9331</v>
      </c>
      <c r="G3354">
        <v>5</v>
      </c>
      <c r="H3354">
        <v>1900</v>
      </c>
      <c r="I3354">
        <v>5</v>
      </c>
      <c r="J3354">
        <v>11.55</v>
      </c>
      <c r="K3354">
        <v>5</v>
      </c>
      <c r="L3354">
        <v>0.41499999999999998</v>
      </c>
      <c r="M3354">
        <v>3</v>
      </c>
      <c r="N3354">
        <v>93</v>
      </c>
      <c r="O3354">
        <v>5</v>
      </c>
      <c r="P3354">
        <v>0.67500000000000004</v>
      </c>
      <c r="Q3354">
        <v>5</v>
      </c>
      <c r="R3354">
        <v>2.6200000000000001E-2</v>
      </c>
      <c r="T3354" s="8" t="s">
        <v>9330</v>
      </c>
    </row>
    <row r="3355" spans="1:20" x14ac:dyDescent="0.2">
      <c r="A3355" t="s">
        <v>9332</v>
      </c>
      <c r="B3355" t="s">
        <v>2022</v>
      </c>
      <c r="C3355" t="s">
        <v>2023</v>
      </c>
      <c r="D3355" t="s">
        <v>2024</v>
      </c>
      <c r="E3355" t="s">
        <v>9333</v>
      </c>
      <c r="F3355" t="s">
        <v>447</v>
      </c>
      <c r="G3355">
        <v>3</v>
      </c>
      <c r="H3355">
        <v>1640</v>
      </c>
      <c r="I3355">
        <v>5</v>
      </c>
      <c r="J3355">
        <v>10.9</v>
      </c>
      <c r="K3355">
        <v>5</v>
      </c>
      <c r="L3355">
        <v>8.5999999999999993E-2</v>
      </c>
      <c r="M3355">
        <v>1</v>
      </c>
      <c r="N3355">
        <v>74</v>
      </c>
      <c r="O3355">
        <v>5</v>
      </c>
      <c r="P3355">
        <v>0.67500000000000004</v>
      </c>
      <c r="Q3355">
        <v>5</v>
      </c>
      <c r="R3355">
        <v>8.0000000000000002E-3</v>
      </c>
      <c r="T3355" s="8" t="s">
        <v>9333</v>
      </c>
    </row>
    <row r="3356" spans="1:20" x14ac:dyDescent="0.2">
      <c r="A3356" t="s">
        <v>9334</v>
      </c>
      <c r="B3356" t="s">
        <v>2022</v>
      </c>
      <c r="C3356" t="s">
        <v>2023</v>
      </c>
      <c r="D3356" t="s">
        <v>2024</v>
      </c>
      <c r="E3356" t="s">
        <v>9335</v>
      </c>
      <c r="F3356" t="s">
        <v>9336</v>
      </c>
      <c r="G3356">
        <v>3</v>
      </c>
      <c r="H3356">
        <v>1640</v>
      </c>
      <c r="I3356">
        <v>3</v>
      </c>
      <c r="J3356">
        <v>5.9</v>
      </c>
      <c r="K3356">
        <v>5</v>
      </c>
      <c r="L3356">
        <v>8.5999999999999993E-2</v>
      </c>
      <c r="M3356">
        <v>1</v>
      </c>
      <c r="N3356">
        <v>74</v>
      </c>
      <c r="O3356">
        <v>2</v>
      </c>
      <c r="P3356">
        <v>0.22500000000000001</v>
      </c>
      <c r="Q3356">
        <v>5</v>
      </c>
      <c r="R3356">
        <v>8.0000000000000002E-3</v>
      </c>
      <c r="T3356" s="8" t="s">
        <v>9335</v>
      </c>
    </row>
    <row r="3357" spans="1:20" x14ac:dyDescent="0.2">
      <c r="A3357" t="s">
        <v>9337</v>
      </c>
      <c r="B3357" t="s">
        <v>2022</v>
      </c>
      <c r="C3357" t="s">
        <v>2023</v>
      </c>
      <c r="D3357" t="s">
        <v>2024</v>
      </c>
      <c r="E3357" t="s">
        <v>9338</v>
      </c>
      <c r="F3357" t="s">
        <v>9339</v>
      </c>
      <c r="G3357">
        <v>5</v>
      </c>
      <c r="H3357">
        <v>1800</v>
      </c>
      <c r="I3357">
        <v>5</v>
      </c>
      <c r="J3357">
        <v>10.9</v>
      </c>
      <c r="K3357">
        <v>5</v>
      </c>
      <c r="L3357">
        <v>8.5999999999999993E-2</v>
      </c>
      <c r="M3357">
        <v>3</v>
      </c>
      <c r="N3357">
        <v>94</v>
      </c>
      <c r="O3357">
        <v>5</v>
      </c>
      <c r="P3357">
        <v>0.67500000000000004</v>
      </c>
      <c r="Q3357">
        <v>5</v>
      </c>
      <c r="R3357">
        <v>8.0000000000000002E-3</v>
      </c>
      <c r="T3357" s="8" t="s">
        <v>9338</v>
      </c>
    </row>
    <row r="3358" spans="1:20" x14ac:dyDescent="0.2">
      <c r="A3358" t="s">
        <v>9340</v>
      </c>
      <c r="B3358" t="s">
        <v>2022</v>
      </c>
      <c r="C3358" t="s">
        <v>2023</v>
      </c>
      <c r="D3358" t="s">
        <v>2024</v>
      </c>
      <c r="E3358" t="s">
        <v>9341</v>
      </c>
      <c r="F3358" t="s">
        <v>9342</v>
      </c>
      <c r="G3358">
        <v>3</v>
      </c>
      <c r="H3358">
        <v>1640</v>
      </c>
      <c r="I3358">
        <v>1</v>
      </c>
      <c r="J3358">
        <v>0.9</v>
      </c>
      <c r="K3358">
        <v>1</v>
      </c>
      <c r="L3358">
        <v>6.0000000000000001E-3</v>
      </c>
      <c r="M3358">
        <v>2</v>
      </c>
      <c r="N3358">
        <v>84</v>
      </c>
      <c r="O3358">
        <v>1</v>
      </c>
      <c r="P3358">
        <v>7.4999999999999997E-2</v>
      </c>
      <c r="Q3358">
        <v>1</v>
      </c>
      <c r="R3358">
        <v>5.0000000000000001E-4</v>
      </c>
      <c r="T3358" s="8" t="s">
        <v>9341</v>
      </c>
    </row>
    <row r="3359" spans="1:20" x14ac:dyDescent="0.2">
      <c r="A3359" t="s">
        <v>9343</v>
      </c>
      <c r="B3359" t="s">
        <v>2022</v>
      </c>
      <c r="C3359" t="s">
        <v>2023</v>
      </c>
      <c r="D3359" t="s">
        <v>2024</v>
      </c>
      <c r="E3359" t="s">
        <v>9344</v>
      </c>
      <c r="F3359" t="s">
        <v>9345</v>
      </c>
      <c r="G3359">
        <v>3</v>
      </c>
      <c r="H3359">
        <v>1640</v>
      </c>
      <c r="I3359">
        <v>2</v>
      </c>
      <c r="J3359">
        <v>3.4</v>
      </c>
      <c r="K3359">
        <v>5</v>
      </c>
      <c r="L3359">
        <v>8.5999999999999993E-2</v>
      </c>
      <c r="M3359">
        <v>3</v>
      </c>
      <c r="N3359">
        <v>94</v>
      </c>
      <c r="O3359">
        <v>2</v>
      </c>
      <c r="P3359">
        <v>0.22500000000000001</v>
      </c>
      <c r="Q3359">
        <v>3</v>
      </c>
      <c r="R3359">
        <v>4.0000000000000001E-3</v>
      </c>
      <c r="T3359" s="8" t="s">
        <v>9344</v>
      </c>
    </row>
    <row r="3360" spans="1:20" x14ac:dyDescent="0.2">
      <c r="A3360" t="s">
        <v>9346</v>
      </c>
      <c r="B3360" t="s">
        <v>2022</v>
      </c>
      <c r="C3360" t="s">
        <v>2101</v>
      </c>
      <c r="D3360" t="s">
        <v>2024</v>
      </c>
      <c r="E3360" t="s">
        <v>9347</v>
      </c>
      <c r="F3360" t="s">
        <v>9348</v>
      </c>
      <c r="G3360">
        <v>3</v>
      </c>
      <c r="H3360">
        <v>1770</v>
      </c>
      <c r="I3360">
        <v>2</v>
      </c>
      <c r="J3360">
        <v>5</v>
      </c>
      <c r="K3360">
        <v>2</v>
      </c>
      <c r="L3360">
        <v>9.6500000000000002E-2</v>
      </c>
      <c r="M3360">
        <v>4</v>
      </c>
      <c r="N3360">
        <v>90</v>
      </c>
      <c r="O3360">
        <v>2</v>
      </c>
      <c r="P3360">
        <v>0.22500000000000001</v>
      </c>
      <c r="Q3360">
        <v>2</v>
      </c>
      <c r="R3360">
        <v>4.4999999999999997E-3</v>
      </c>
      <c r="T3360" s="8" t="s">
        <v>9347</v>
      </c>
    </row>
    <row r="3361" spans="1:20" x14ac:dyDescent="0.2">
      <c r="A3361" t="s">
        <v>9349</v>
      </c>
      <c r="B3361" t="s">
        <v>2022</v>
      </c>
      <c r="C3361" t="s">
        <v>2023</v>
      </c>
      <c r="D3361" t="s">
        <v>2024</v>
      </c>
      <c r="E3361" t="s">
        <v>9350</v>
      </c>
      <c r="F3361" t="s">
        <v>9351</v>
      </c>
      <c r="G3361">
        <v>5</v>
      </c>
      <c r="H3361">
        <v>1800</v>
      </c>
      <c r="I3361">
        <v>2</v>
      </c>
      <c r="J3361">
        <v>3.4</v>
      </c>
      <c r="K3361">
        <v>2</v>
      </c>
      <c r="L3361">
        <v>2.5999999999999999E-2</v>
      </c>
      <c r="M3361">
        <v>4</v>
      </c>
      <c r="N3361">
        <v>104</v>
      </c>
      <c r="O3361">
        <v>1</v>
      </c>
      <c r="P3361">
        <v>7.4999999999999997E-2</v>
      </c>
      <c r="Q3361">
        <v>1</v>
      </c>
      <c r="R3361">
        <v>5.0000000000000001E-4</v>
      </c>
      <c r="T3361" s="8" t="s">
        <v>9350</v>
      </c>
    </row>
    <row r="3362" spans="1:20" x14ac:dyDescent="0.2">
      <c r="A3362" t="s">
        <v>9352</v>
      </c>
      <c r="B3362" t="s">
        <v>2022</v>
      </c>
      <c r="C3362" t="s">
        <v>2053</v>
      </c>
      <c r="D3362" t="s">
        <v>2024</v>
      </c>
      <c r="E3362" t="s">
        <v>9353</v>
      </c>
      <c r="F3362" t="s">
        <v>9354</v>
      </c>
      <c r="G3362">
        <v>5</v>
      </c>
      <c r="H3362">
        <v>1900</v>
      </c>
      <c r="I3362">
        <v>5</v>
      </c>
      <c r="J3362">
        <v>11.55</v>
      </c>
      <c r="K3362">
        <v>5</v>
      </c>
      <c r="L3362">
        <v>0.41499999999999998</v>
      </c>
      <c r="M3362">
        <v>5</v>
      </c>
      <c r="N3362">
        <v>113</v>
      </c>
      <c r="O3362">
        <v>5</v>
      </c>
      <c r="P3362">
        <v>0.67500000000000004</v>
      </c>
      <c r="Q3362">
        <v>5</v>
      </c>
      <c r="R3362">
        <v>2.6200000000000001E-2</v>
      </c>
      <c r="T3362" s="8" t="s">
        <v>9353</v>
      </c>
    </row>
    <row r="3363" spans="1:20" x14ac:dyDescent="0.2">
      <c r="A3363" t="s">
        <v>9355</v>
      </c>
      <c r="B3363" t="s">
        <v>2022</v>
      </c>
      <c r="C3363" t="s">
        <v>2095</v>
      </c>
      <c r="D3363" t="s">
        <v>2024</v>
      </c>
      <c r="E3363" t="s">
        <v>9356</v>
      </c>
      <c r="F3363" t="s">
        <v>9357</v>
      </c>
      <c r="G3363">
        <v>1</v>
      </c>
      <c r="H3363">
        <v>1565</v>
      </c>
      <c r="I3363">
        <v>4</v>
      </c>
      <c r="J3363">
        <v>13.5</v>
      </c>
      <c r="K3363">
        <v>3</v>
      </c>
      <c r="L3363">
        <v>0.33</v>
      </c>
      <c r="M3363">
        <v>1</v>
      </c>
      <c r="N3363">
        <v>74</v>
      </c>
      <c r="O3363">
        <v>3</v>
      </c>
      <c r="P3363">
        <v>0.55000000000000004</v>
      </c>
      <c r="Q3363">
        <v>3</v>
      </c>
      <c r="R3363">
        <v>1.49E-2</v>
      </c>
      <c r="T3363" s="8" t="s">
        <v>9356</v>
      </c>
    </row>
    <row r="3364" spans="1:20" x14ac:dyDescent="0.2">
      <c r="A3364" t="s">
        <v>9358</v>
      </c>
      <c r="B3364" t="s">
        <v>2022</v>
      </c>
      <c r="C3364" t="s">
        <v>2023</v>
      </c>
      <c r="D3364" t="s">
        <v>2024</v>
      </c>
      <c r="E3364" t="s">
        <v>9359</v>
      </c>
      <c r="F3364" t="s">
        <v>9360</v>
      </c>
      <c r="G3364">
        <v>3</v>
      </c>
      <c r="H3364">
        <v>1640</v>
      </c>
      <c r="I3364">
        <v>5</v>
      </c>
      <c r="J3364">
        <v>10.9</v>
      </c>
      <c r="K3364">
        <v>5</v>
      </c>
      <c r="L3364">
        <v>8.5999999999999993E-2</v>
      </c>
      <c r="M3364">
        <v>1</v>
      </c>
      <c r="N3364">
        <v>74</v>
      </c>
      <c r="O3364">
        <v>5</v>
      </c>
      <c r="P3364">
        <v>0.67500000000000004</v>
      </c>
      <c r="Q3364">
        <v>5</v>
      </c>
      <c r="R3364">
        <v>8.0000000000000002E-3</v>
      </c>
      <c r="T3364" s="8" t="s">
        <v>9359</v>
      </c>
    </row>
    <row r="3365" spans="1:20" x14ac:dyDescent="0.2">
      <c r="A3365" t="s">
        <v>9361</v>
      </c>
      <c r="B3365" t="s">
        <v>2022</v>
      </c>
      <c r="C3365" t="s">
        <v>2028</v>
      </c>
      <c r="D3365" t="s">
        <v>2024</v>
      </c>
      <c r="E3365" t="s">
        <v>9362</v>
      </c>
      <c r="F3365" t="s">
        <v>9363</v>
      </c>
      <c r="G3365">
        <v>4</v>
      </c>
      <c r="H3365">
        <v>1250</v>
      </c>
      <c r="I3365">
        <v>2</v>
      </c>
      <c r="J3365">
        <v>1.55</v>
      </c>
      <c r="K3365">
        <v>2</v>
      </c>
      <c r="L3365">
        <v>4.4999999999999998E-2</v>
      </c>
      <c r="M3365">
        <v>2</v>
      </c>
      <c r="N3365">
        <v>200</v>
      </c>
      <c r="O3365">
        <v>2</v>
      </c>
      <c r="P3365">
        <v>0.45</v>
      </c>
      <c r="Q3365">
        <v>3</v>
      </c>
      <c r="R3365">
        <v>1.6250000000000001E-2</v>
      </c>
      <c r="T3365" s="8" t="s">
        <v>9362</v>
      </c>
    </row>
    <row r="3366" spans="1:20" x14ac:dyDescent="0.2">
      <c r="A3366" t="s">
        <v>9364</v>
      </c>
      <c r="B3366" t="s">
        <v>2022</v>
      </c>
      <c r="C3366" t="s">
        <v>2049</v>
      </c>
      <c r="D3366" t="s">
        <v>2024</v>
      </c>
      <c r="E3366" t="s">
        <v>9365</v>
      </c>
      <c r="F3366" t="s">
        <v>9366</v>
      </c>
      <c r="G3366">
        <v>1</v>
      </c>
      <c r="H3366">
        <v>1350</v>
      </c>
      <c r="I3366">
        <v>3</v>
      </c>
      <c r="J3366">
        <v>5</v>
      </c>
      <c r="K3366">
        <v>3</v>
      </c>
      <c r="L3366">
        <v>0.14000000000000001</v>
      </c>
      <c r="M3366">
        <v>5</v>
      </c>
      <c r="N3366">
        <v>166</v>
      </c>
      <c r="O3366">
        <v>5</v>
      </c>
      <c r="P3366">
        <v>0.86</v>
      </c>
      <c r="Q3366">
        <v>5</v>
      </c>
      <c r="R3366">
        <v>3.32E-2</v>
      </c>
      <c r="T3366" s="8" t="s">
        <v>9365</v>
      </c>
    </row>
    <row r="3367" spans="1:20" x14ac:dyDescent="0.2">
      <c r="A3367" t="s">
        <v>9367</v>
      </c>
      <c r="B3367" t="s">
        <v>2022</v>
      </c>
      <c r="C3367" t="s">
        <v>2049</v>
      </c>
      <c r="D3367" t="s">
        <v>2024</v>
      </c>
      <c r="E3367" t="s">
        <v>208</v>
      </c>
      <c r="F3367" t="s">
        <v>9368</v>
      </c>
      <c r="G3367">
        <v>3</v>
      </c>
      <c r="H3367">
        <v>1550</v>
      </c>
      <c r="I3367">
        <v>3</v>
      </c>
      <c r="J3367">
        <v>5</v>
      </c>
      <c r="K3367">
        <v>3</v>
      </c>
      <c r="L3367">
        <v>0.14000000000000001</v>
      </c>
      <c r="M3367">
        <v>1</v>
      </c>
      <c r="N3367">
        <v>86</v>
      </c>
      <c r="O3367">
        <v>2</v>
      </c>
      <c r="P3367">
        <v>0.26</v>
      </c>
      <c r="Q3367">
        <v>2</v>
      </c>
      <c r="R3367">
        <v>6.1999999999999998E-3</v>
      </c>
      <c r="T3367" s="8" t="s">
        <v>208</v>
      </c>
    </row>
    <row r="3368" spans="1:20" x14ac:dyDescent="0.2">
      <c r="A3368" t="s">
        <v>9369</v>
      </c>
      <c r="B3368" t="s">
        <v>2022</v>
      </c>
      <c r="C3368" t="s">
        <v>2036</v>
      </c>
      <c r="D3368" t="s">
        <v>2024</v>
      </c>
      <c r="E3368" t="s">
        <v>9370</v>
      </c>
      <c r="F3368" t="s">
        <v>9371</v>
      </c>
      <c r="G3368">
        <v>2</v>
      </c>
      <c r="H3368">
        <v>1640</v>
      </c>
      <c r="I3368">
        <v>1</v>
      </c>
      <c r="J3368">
        <v>2.2000000000000002</v>
      </c>
      <c r="K3368">
        <v>1</v>
      </c>
      <c r="L3368">
        <v>5.5E-2</v>
      </c>
      <c r="M3368">
        <v>1</v>
      </c>
      <c r="N3368">
        <v>76</v>
      </c>
      <c r="O3368">
        <v>1</v>
      </c>
      <c r="P3368">
        <v>9.5000000000000001E-2</v>
      </c>
      <c r="Q3368">
        <v>1</v>
      </c>
      <c r="R3368">
        <v>1.5E-3</v>
      </c>
      <c r="T3368" s="8" t="s">
        <v>9370</v>
      </c>
    </row>
    <row r="3369" spans="1:20" x14ac:dyDescent="0.2">
      <c r="A3369" t="s">
        <v>9372</v>
      </c>
      <c r="B3369" t="s">
        <v>2022</v>
      </c>
      <c r="C3369" t="s">
        <v>2049</v>
      </c>
      <c r="D3369" t="s">
        <v>2024</v>
      </c>
      <c r="E3369" t="s">
        <v>357</v>
      </c>
      <c r="F3369" t="s">
        <v>447</v>
      </c>
      <c r="G3369">
        <v>3</v>
      </c>
      <c r="H3369">
        <v>1550</v>
      </c>
      <c r="I3369">
        <v>5</v>
      </c>
      <c r="J3369">
        <v>8.6</v>
      </c>
      <c r="K3369">
        <v>5</v>
      </c>
      <c r="L3369">
        <v>0.3</v>
      </c>
      <c r="M3369">
        <v>2</v>
      </c>
      <c r="N3369">
        <v>106</v>
      </c>
      <c r="O3369">
        <v>3</v>
      </c>
      <c r="P3369">
        <v>0.46</v>
      </c>
      <c r="Q3369">
        <v>5</v>
      </c>
      <c r="R3369">
        <v>3.32E-2</v>
      </c>
      <c r="T3369" s="8" t="s">
        <v>357</v>
      </c>
    </row>
    <row r="3370" spans="1:20" x14ac:dyDescent="0.2">
      <c r="A3370" t="s">
        <v>9373</v>
      </c>
      <c r="B3370" t="s">
        <v>2022</v>
      </c>
      <c r="C3370" t="s">
        <v>2023</v>
      </c>
      <c r="D3370" t="s">
        <v>2024</v>
      </c>
      <c r="E3370" t="s">
        <v>9374</v>
      </c>
      <c r="F3370" t="s">
        <v>9375</v>
      </c>
      <c r="G3370">
        <v>1</v>
      </c>
      <c r="H3370">
        <v>1480</v>
      </c>
      <c r="I3370">
        <v>2</v>
      </c>
      <c r="J3370">
        <v>3.4</v>
      </c>
      <c r="K3370">
        <v>2</v>
      </c>
      <c r="L3370">
        <v>2.5999999999999999E-2</v>
      </c>
      <c r="M3370">
        <v>1</v>
      </c>
      <c r="N3370">
        <v>74</v>
      </c>
      <c r="O3370">
        <v>2</v>
      </c>
      <c r="P3370">
        <v>0.22500000000000001</v>
      </c>
      <c r="Q3370">
        <v>2</v>
      </c>
      <c r="R3370">
        <v>2E-3</v>
      </c>
      <c r="T3370" s="8" t="s">
        <v>9374</v>
      </c>
    </row>
    <row r="3371" spans="1:20" x14ac:dyDescent="0.2">
      <c r="A3371" t="s">
        <v>9376</v>
      </c>
      <c r="B3371" t="s">
        <v>2022</v>
      </c>
      <c r="C3371" t="s">
        <v>2053</v>
      </c>
      <c r="D3371" t="s">
        <v>2024</v>
      </c>
      <c r="E3371" t="s">
        <v>9377</v>
      </c>
      <c r="F3371" t="s">
        <v>9378</v>
      </c>
      <c r="G3371">
        <v>3</v>
      </c>
      <c r="H3371">
        <v>1700</v>
      </c>
      <c r="I3371">
        <v>1</v>
      </c>
      <c r="J3371">
        <v>1.55</v>
      </c>
      <c r="K3371">
        <v>2</v>
      </c>
      <c r="L3371">
        <v>8.5000000000000006E-2</v>
      </c>
      <c r="M3371">
        <v>3</v>
      </c>
      <c r="N3371">
        <v>93</v>
      </c>
      <c r="O3371">
        <v>1</v>
      </c>
      <c r="P3371">
        <v>7.4999999999999997E-2</v>
      </c>
      <c r="Q3371">
        <v>2</v>
      </c>
      <c r="R3371">
        <v>5.1999999999999998E-3</v>
      </c>
      <c r="T3371" s="8" t="s">
        <v>9377</v>
      </c>
    </row>
    <row r="3372" spans="1:20" x14ac:dyDescent="0.2">
      <c r="A3372" t="s">
        <v>9379</v>
      </c>
      <c r="B3372" t="s">
        <v>2022</v>
      </c>
      <c r="C3372" t="s">
        <v>2023</v>
      </c>
      <c r="D3372" t="s">
        <v>2024</v>
      </c>
      <c r="E3372" t="s">
        <v>9380</v>
      </c>
      <c r="F3372" t="s">
        <v>9381</v>
      </c>
      <c r="G3372">
        <v>4</v>
      </c>
      <c r="H3372">
        <v>1720</v>
      </c>
      <c r="I3372">
        <v>1</v>
      </c>
      <c r="J3372">
        <v>0.9</v>
      </c>
      <c r="K3372">
        <v>1</v>
      </c>
      <c r="L3372">
        <v>6.0000000000000001E-3</v>
      </c>
      <c r="M3372">
        <v>2</v>
      </c>
      <c r="N3372">
        <v>84</v>
      </c>
      <c r="O3372">
        <v>1</v>
      </c>
      <c r="P3372">
        <v>7.4999999999999997E-2</v>
      </c>
      <c r="Q3372">
        <v>1</v>
      </c>
      <c r="R3372">
        <v>5.0000000000000001E-4</v>
      </c>
      <c r="T3372" s="8" t="s">
        <v>9380</v>
      </c>
    </row>
    <row r="3373" spans="1:20" x14ac:dyDescent="0.2">
      <c r="A3373" t="s">
        <v>9382</v>
      </c>
      <c r="B3373" t="s">
        <v>2022</v>
      </c>
      <c r="C3373" t="s">
        <v>2023</v>
      </c>
      <c r="D3373" t="s">
        <v>2024</v>
      </c>
      <c r="E3373" t="s">
        <v>9383</v>
      </c>
      <c r="F3373" t="s">
        <v>9384</v>
      </c>
      <c r="G3373">
        <v>2</v>
      </c>
      <c r="H3373">
        <v>1560</v>
      </c>
      <c r="I3373">
        <v>1</v>
      </c>
      <c r="J3373">
        <v>0.9</v>
      </c>
      <c r="K3373">
        <v>2</v>
      </c>
      <c r="L3373">
        <v>2.5999999999999999E-2</v>
      </c>
      <c r="M3373">
        <v>1</v>
      </c>
      <c r="N3373">
        <v>74</v>
      </c>
      <c r="O3373">
        <v>1</v>
      </c>
      <c r="P3373">
        <v>7.4999999999999997E-2</v>
      </c>
      <c r="Q3373">
        <v>1</v>
      </c>
      <c r="R3373">
        <v>5.0000000000000001E-4</v>
      </c>
      <c r="T3373" s="8" t="s">
        <v>9383</v>
      </c>
    </row>
    <row r="3374" spans="1:20" x14ac:dyDescent="0.2">
      <c r="A3374" t="s">
        <v>9385</v>
      </c>
      <c r="B3374" t="s">
        <v>2022</v>
      </c>
      <c r="C3374" t="s">
        <v>2104</v>
      </c>
      <c r="D3374" t="s">
        <v>2024</v>
      </c>
      <c r="E3374" t="s">
        <v>9386</v>
      </c>
      <c r="F3374" t="s">
        <v>9387</v>
      </c>
      <c r="G3374">
        <v>3</v>
      </c>
      <c r="H3374">
        <v>1887.5</v>
      </c>
      <c r="I3374">
        <v>4</v>
      </c>
      <c r="J3374">
        <v>7.85</v>
      </c>
      <c r="K3374">
        <v>4</v>
      </c>
      <c r="L3374">
        <v>0.14099999999999999</v>
      </c>
      <c r="M3374">
        <v>5</v>
      </c>
      <c r="N3374">
        <v>89</v>
      </c>
      <c r="P3374">
        <v>0</v>
      </c>
      <c r="Q3374">
        <v>3</v>
      </c>
      <c r="R3374">
        <v>8.2000000000000007E-3</v>
      </c>
      <c r="T3374" s="8" t="s">
        <v>9386</v>
      </c>
    </row>
    <row r="3375" spans="1:20" x14ac:dyDescent="0.2">
      <c r="A3375" t="s">
        <v>9388</v>
      </c>
      <c r="B3375" t="s">
        <v>2022</v>
      </c>
      <c r="C3375" t="s">
        <v>2049</v>
      </c>
      <c r="E3375" t="s">
        <v>9389</v>
      </c>
      <c r="F3375" t="s">
        <v>9390</v>
      </c>
      <c r="G3375">
        <v>5</v>
      </c>
      <c r="H3375">
        <v>1750</v>
      </c>
      <c r="I3375">
        <v>5</v>
      </c>
      <c r="J3375">
        <v>8.6</v>
      </c>
      <c r="K3375">
        <v>5</v>
      </c>
      <c r="L3375">
        <v>0.3</v>
      </c>
      <c r="M3375">
        <v>2</v>
      </c>
      <c r="N3375">
        <v>106</v>
      </c>
      <c r="O3375">
        <v>4</v>
      </c>
      <c r="P3375">
        <v>0.66</v>
      </c>
      <c r="Q3375">
        <v>4</v>
      </c>
      <c r="R3375">
        <v>2.4199999999999999E-2</v>
      </c>
      <c r="T3375" s="8" t="s">
        <v>9389</v>
      </c>
    </row>
    <row r="3376" spans="1:20" x14ac:dyDescent="0.2">
      <c r="A3376" t="s">
        <v>9391</v>
      </c>
      <c r="B3376" t="s">
        <v>2022</v>
      </c>
      <c r="C3376" t="s">
        <v>2049</v>
      </c>
      <c r="E3376" t="s">
        <v>9392</v>
      </c>
      <c r="F3376" t="s">
        <v>9393</v>
      </c>
      <c r="G3376">
        <v>3</v>
      </c>
      <c r="H3376">
        <v>1550</v>
      </c>
      <c r="I3376">
        <v>5</v>
      </c>
      <c r="J3376">
        <v>8.6</v>
      </c>
      <c r="K3376">
        <v>5</v>
      </c>
      <c r="L3376">
        <v>0.3</v>
      </c>
      <c r="M3376">
        <v>5</v>
      </c>
      <c r="N3376">
        <v>166</v>
      </c>
      <c r="O3376">
        <v>5</v>
      </c>
      <c r="P3376">
        <v>0.86</v>
      </c>
      <c r="Q3376">
        <v>5</v>
      </c>
      <c r="R3376">
        <v>3.32E-2</v>
      </c>
      <c r="T3376" s="8" t="s">
        <v>9392</v>
      </c>
    </row>
    <row r="3377" spans="1:20" x14ac:dyDescent="0.2">
      <c r="A3377" t="s">
        <v>9394</v>
      </c>
      <c r="B3377" t="s">
        <v>2022</v>
      </c>
      <c r="C3377" t="s">
        <v>2049</v>
      </c>
      <c r="E3377" t="s">
        <v>9395</v>
      </c>
      <c r="F3377" t="s">
        <v>9396</v>
      </c>
      <c r="G3377">
        <v>4</v>
      </c>
      <c r="H3377">
        <v>1650</v>
      </c>
      <c r="I3377">
        <v>5</v>
      </c>
      <c r="J3377">
        <v>8.6</v>
      </c>
      <c r="K3377">
        <v>5</v>
      </c>
      <c r="L3377">
        <v>0.3</v>
      </c>
      <c r="M3377">
        <v>1</v>
      </c>
      <c r="N3377">
        <v>86</v>
      </c>
      <c r="O3377">
        <v>3</v>
      </c>
      <c r="P3377">
        <v>0.46</v>
      </c>
      <c r="Q3377">
        <v>3</v>
      </c>
      <c r="R3377">
        <v>1.52E-2</v>
      </c>
      <c r="T3377" s="8" t="s">
        <v>9395</v>
      </c>
    </row>
    <row r="3378" spans="1:20" x14ac:dyDescent="0.2">
      <c r="A3378" t="s">
        <v>9397</v>
      </c>
      <c r="B3378" t="s">
        <v>2022</v>
      </c>
      <c r="C3378" t="s">
        <v>2023</v>
      </c>
      <c r="D3378" t="s">
        <v>2024</v>
      </c>
      <c r="E3378" t="s">
        <v>9398</v>
      </c>
      <c r="F3378" t="s">
        <v>9399</v>
      </c>
      <c r="G3378">
        <v>2</v>
      </c>
      <c r="H3378">
        <v>1560</v>
      </c>
      <c r="I3378">
        <v>3</v>
      </c>
      <c r="J3378">
        <v>5.9</v>
      </c>
      <c r="K3378">
        <v>5</v>
      </c>
      <c r="L3378">
        <v>8.5999999999999993E-2</v>
      </c>
      <c r="M3378">
        <v>1</v>
      </c>
      <c r="N3378">
        <v>74</v>
      </c>
      <c r="O3378">
        <v>3</v>
      </c>
      <c r="P3378">
        <v>0.375</v>
      </c>
      <c r="Q3378">
        <v>5</v>
      </c>
      <c r="R3378">
        <v>8.0000000000000002E-3</v>
      </c>
      <c r="T3378" s="8" t="s">
        <v>9398</v>
      </c>
    </row>
    <row r="3379" spans="1:20" x14ac:dyDescent="0.2">
      <c r="A3379" t="s">
        <v>9400</v>
      </c>
      <c r="B3379" t="s">
        <v>2022</v>
      </c>
      <c r="C3379" t="s">
        <v>2257</v>
      </c>
      <c r="D3379" t="s">
        <v>2024</v>
      </c>
      <c r="E3379" t="s">
        <v>357</v>
      </c>
      <c r="F3379" t="s">
        <v>9401</v>
      </c>
      <c r="G3379">
        <v>5</v>
      </c>
      <c r="H3379">
        <v>1300</v>
      </c>
      <c r="I3379">
        <v>3</v>
      </c>
      <c r="J3379">
        <v>3.05</v>
      </c>
      <c r="K3379">
        <v>2</v>
      </c>
      <c r="L3379">
        <v>3.6999999999999998E-2</v>
      </c>
      <c r="M3379">
        <v>5</v>
      </c>
      <c r="N3379">
        <v>1100</v>
      </c>
      <c r="O3379">
        <v>5</v>
      </c>
      <c r="P3379">
        <v>2.7</v>
      </c>
      <c r="Q3379">
        <v>2</v>
      </c>
      <c r="R3379">
        <v>1.4999999999999999E-2</v>
      </c>
      <c r="T3379" s="8" t="s">
        <v>357</v>
      </c>
    </row>
    <row r="3380" spans="1:20" x14ac:dyDescent="0.2">
      <c r="A3380" t="s">
        <v>9402</v>
      </c>
      <c r="B3380" t="s">
        <v>2022</v>
      </c>
      <c r="C3380" t="s">
        <v>2036</v>
      </c>
      <c r="D3380" t="s">
        <v>2024</v>
      </c>
      <c r="E3380" t="s">
        <v>9403</v>
      </c>
      <c r="F3380" t="s">
        <v>9404</v>
      </c>
      <c r="G3380">
        <v>2</v>
      </c>
      <c r="H3380">
        <v>1640</v>
      </c>
      <c r="I3380">
        <v>4</v>
      </c>
      <c r="J3380">
        <v>5.8</v>
      </c>
      <c r="K3380">
        <v>5</v>
      </c>
      <c r="L3380">
        <v>0.17499999999999999</v>
      </c>
      <c r="M3380">
        <v>2</v>
      </c>
      <c r="N3380">
        <v>82</v>
      </c>
      <c r="O3380">
        <v>3</v>
      </c>
      <c r="P3380">
        <v>0.315</v>
      </c>
      <c r="Q3380">
        <v>5</v>
      </c>
      <c r="R3380">
        <v>1.2E-2</v>
      </c>
      <c r="T3380" s="8" t="s">
        <v>9403</v>
      </c>
    </row>
    <row r="3381" spans="1:20" x14ac:dyDescent="0.2">
      <c r="A3381" t="s">
        <v>9405</v>
      </c>
      <c r="B3381" t="s">
        <v>2022</v>
      </c>
      <c r="C3381" t="s">
        <v>2036</v>
      </c>
      <c r="D3381" t="s">
        <v>2136</v>
      </c>
      <c r="E3381" t="s">
        <v>9406</v>
      </c>
      <c r="F3381" t="s">
        <v>9407</v>
      </c>
      <c r="G3381">
        <v>3</v>
      </c>
      <c r="H3381">
        <v>1740</v>
      </c>
      <c r="I3381">
        <v>2</v>
      </c>
      <c r="J3381">
        <v>3.4</v>
      </c>
      <c r="K3381">
        <v>1</v>
      </c>
      <c r="L3381">
        <v>5.5E-2</v>
      </c>
      <c r="M3381">
        <v>3</v>
      </c>
      <c r="N3381">
        <v>88</v>
      </c>
      <c r="O3381">
        <v>2</v>
      </c>
      <c r="P3381">
        <v>0.20499999999999999</v>
      </c>
      <c r="Q3381">
        <v>2</v>
      </c>
      <c r="R3381">
        <v>4.2500000000000003E-3</v>
      </c>
      <c r="T3381" s="8" t="s">
        <v>9406</v>
      </c>
    </row>
    <row r="3382" spans="1:20" x14ac:dyDescent="0.2">
      <c r="A3382" t="s">
        <v>9408</v>
      </c>
      <c r="B3382" t="s">
        <v>2022</v>
      </c>
      <c r="C3382" t="s">
        <v>2053</v>
      </c>
      <c r="D3382" t="s">
        <v>2024</v>
      </c>
      <c r="E3382" t="s">
        <v>9409</v>
      </c>
      <c r="F3382" t="s">
        <v>9410</v>
      </c>
      <c r="G3382">
        <v>4</v>
      </c>
      <c r="H3382">
        <v>1800</v>
      </c>
      <c r="I3382">
        <v>5</v>
      </c>
      <c r="J3382">
        <v>11.55</v>
      </c>
      <c r="K3382">
        <v>5</v>
      </c>
      <c r="L3382">
        <v>0.41499999999999998</v>
      </c>
      <c r="M3382">
        <v>3</v>
      </c>
      <c r="N3382">
        <v>93</v>
      </c>
      <c r="O3382">
        <v>5</v>
      </c>
      <c r="P3382">
        <v>0.67500000000000004</v>
      </c>
      <c r="Q3382">
        <v>5</v>
      </c>
      <c r="R3382">
        <v>2.6200000000000001E-2</v>
      </c>
      <c r="T3382" s="8" t="s">
        <v>9409</v>
      </c>
    </row>
    <row r="3383" spans="1:20" x14ac:dyDescent="0.2">
      <c r="A3383" t="s">
        <v>9411</v>
      </c>
      <c r="B3383" t="s">
        <v>2022</v>
      </c>
      <c r="C3383" t="s">
        <v>2036</v>
      </c>
      <c r="D3383" t="s">
        <v>2024</v>
      </c>
      <c r="E3383" t="s">
        <v>9412</v>
      </c>
      <c r="F3383" t="s">
        <v>9413</v>
      </c>
      <c r="G3383">
        <v>4</v>
      </c>
      <c r="H3383">
        <v>1840</v>
      </c>
      <c r="I3383">
        <v>4</v>
      </c>
      <c r="J3383">
        <v>5.8</v>
      </c>
      <c r="K3383">
        <v>5</v>
      </c>
      <c r="L3383">
        <v>0.17499999999999999</v>
      </c>
      <c r="M3383">
        <v>3</v>
      </c>
      <c r="N3383">
        <v>88</v>
      </c>
      <c r="O3383">
        <v>3</v>
      </c>
      <c r="P3383">
        <v>0.315</v>
      </c>
      <c r="Q3383">
        <v>4</v>
      </c>
      <c r="R3383">
        <v>9.2499999999999995E-3</v>
      </c>
      <c r="T3383" s="8" t="s">
        <v>9412</v>
      </c>
    </row>
    <row r="3384" spans="1:20" x14ac:dyDescent="0.2">
      <c r="A3384" t="s">
        <v>9414</v>
      </c>
      <c r="B3384" t="s">
        <v>2022</v>
      </c>
      <c r="C3384" t="s">
        <v>2053</v>
      </c>
      <c r="D3384" t="s">
        <v>2024</v>
      </c>
      <c r="E3384" t="s">
        <v>9415</v>
      </c>
      <c r="F3384" t="s">
        <v>9416</v>
      </c>
      <c r="G3384">
        <v>1</v>
      </c>
      <c r="H3384">
        <v>1500</v>
      </c>
      <c r="I3384">
        <v>4</v>
      </c>
      <c r="J3384">
        <v>9.0500000000000007</v>
      </c>
      <c r="K3384">
        <v>5</v>
      </c>
      <c r="L3384">
        <v>0.41499999999999998</v>
      </c>
      <c r="M3384">
        <v>3</v>
      </c>
      <c r="N3384">
        <v>93</v>
      </c>
      <c r="O3384">
        <v>5</v>
      </c>
      <c r="P3384">
        <v>0.67500000000000004</v>
      </c>
      <c r="Q3384">
        <v>5</v>
      </c>
      <c r="R3384">
        <v>2.6200000000000001E-2</v>
      </c>
      <c r="T3384" s="8" t="s">
        <v>9415</v>
      </c>
    </row>
    <row r="3385" spans="1:20" x14ac:dyDescent="0.2">
      <c r="A3385" t="s">
        <v>9417</v>
      </c>
      <c r="B3385" t="s">
        <v>2022</v>
      </c>
      <c r="C3385" t="s">
        <v>2036</v>
      </c>
      <c r="D3385" t="s">
        <v>2024</v>
      </c>
      <c r="E3385" t="s">
        <v>9418</v>
      </c>
      <c r="F3385" t="s">
        <v>9419</v>
      </c>
      <c r="G3385">
        <v>5</v>
      </c>
      <c r="H3385">
        <v>1940</v>
      </c>
      <c r="I3385">
        <v>2</v>
      </c>
      <c r="J3385">
        <v>3.4</v>
      </c>
      <c r="K3385">
        <v>2</v>
      </c>
      <c r="L3385">
        <v>8.5000000000000006E-2</v>
      </c>
      <c r="M3385">
        <v>5</v>
      </c>
      <c r="N3385">
        <v>100</v>
      </c>
      <c r="O3385">
        <v>2</v>
      </c>
      <c r="P3385">
        <v>0.20499999999999999</v>
      </c>
      <c r="Q3385">
        <v>2</v>
      </c>
      <c r="R3385">
        <v>4.2500000000000003E-3</v>
      </c>
      <c r="T3385" s="8" t="s">
        <v>9418</v>
      </c>
    </row>
    <row r="3386" spans="1:20" x14ac:dyDescent="0.2">
      <c r="A3386" t="s">
        <v>9420</v>
      </c>
      <c r="B3386" t="s">
        <v>2022</v>
      </c>
      <c r="C3386" t="s">
        <v>2053</v>
      </c>
      <c r="D3386" t="s">
        <v>2024</v>
      </c>
      <c r="E3386" t="s">
        <v>9421</v>
      </c>
      <c r="F3386" t="s">
        <v>9422</v>
      </c>
      <c r="G3386">
        <v>2</v>
      </c>
      <c r="H3386">
        <v>1600</v>
      </c>
      <c r="I3386">
        <v>2</v>
      </c>
      <c r="J3386">
        <v>4.05</v>
      </c>
      <c r="K3386">
        <v>2</v>
      </c>
      <c r="L3386">
        <v>8.5000000000000006E-2</v>
      </c>
      <c r="M3386">
        <v>5</v>
      </c>
      <c r="N3386">
        <v>113</v>
      </c>
      <c r="O3386">
        <v>3</v>
      </c>
      <c r="P3386">
        <v>0.375</v>
      </c>
      <c r="Q3386">
        <v>2</v>
      </c>
      <c r="R3386">
        <v>5.1999999999999998E-3</v>
      </c>
      <c r="T3386" s="8" t="s">
        <v>9421</v>
      </c>
    </row>
    <row r="3387" spans="1:20" x14ac:dyDescent="0.2">
      <c r="A3387" t="s">
        <v>9423</v>
      </c>
      <c r="B3387" t="s">
        <v>2022</v>
      </c>
      <c r="C3387" t="s">
        <v>2023</v>
      </c>
      <c r="D3387" t="s">
        <v>2024</v>
      </c>
      <c r="E3387" t="s">
        <v>9424</v>
      </c>
      <c r="F3387" t="s">
        <v>9425</v>
      </c>
      <c r="G3387">
        <v>3</v>
      </c>
      <c r="H3387">
        <v>1640</v>
      </c>
      <c r="I3387">
        <v>1</v>
      </c>
      <c r="J3387">
        <v>0.9</v>
      </c>
      <c r="K3387">
        <v>1</v>
      </c>
      <c r="L3387">
        <v>6.0000000000000001E-3</v>
      </c>
      <c r="M3387">
        <v>2</v>
      </c>
      <c r="N3387">
        <v>84</v>
      </c>
      <c r="O3387">
        <v>1</v>
      </c>
      <c r="P3387">
        <v>7.4999999999999997E-2</v>
      </c>
      <c r="Q3387">
        <v>1</v>
      </c>
      <c r="R3387">
        <v>5.0000000000000001E-4</v>
      </c>
      <c r="T3387" s="8" t="s">
        <v>9424</v>
      </c>
    </row>
    <row r="3388" spans="1:20" x14ac:dyDescent="0.2">
      <c r="A3388" t="s">
        <v>9426</v>
      </c>
      <c r="B3388" t="s">
        <v>2022</v>
      </c>
      <c r="C3388" t="s">
        <v>2023</v>
      </c>
      <c r="D3388" t="s">
        <v>2024</v>
      </c>
      <c r="E3388" t="s">
        <v>9427</v>
      </c>
      <c r="F3388" t="s">
        <v>9428</v>
      </c>
      <c r="G3388">
        <v>2</v>
      </c>
      <c r="H3388">
        <v>1560</v>
      </c>
      <c r="I3388">
        <v>1</v>
      </c>
      <c r="J3388">
        <v>0.9</v>
      </c>
      <c r="K3388">
        <v>1</v>
      </c>
      <c r="L3388">
        <v>6.0000000000000001E-3</v>
      </c>
      <c r="M3388">
        <v>2</v>
      </c>
      <c r="N3388">
        <v>84</v>
      </c>
      <c r="O3388">
        <v>1</v>
      </c>
      <c r="P3388">
        <v>7.4999999999999997E-2</v>
      </c>
      <c r="Q3388">
        <v>1</v>
      </c>
      <c r="R3388">
        <v>5.0000000000000001E-4</v>
      </c>
      <c r="T3388" s="8" t="s">
        <v>9427</v>
      </c>
    </row>
    <row r="3389" spans="1:20" x14ac:dyDescent="0.2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</row>
    <row r="3390" spans="1:20" x14ac:dyDescent="0.2">
      <c r="A3390" s="33"/>
      <c r="B3390" s="33"/>
      <c r="C3390" s="33"/>
      <c r="D3390" s="33"/>
      <c r="E3390" s="33"/>
      <c r="F3390" s="33"/>
      <c r="G3390" s="33"/>
      <c r="H3390" s="33"/>
      <c r="I3390" s="33"/>
      <c r="J3390" s="33"/>
      <c r="K3390" s="33"/>
      <c r="L3390" s="33"/>
      <c r="M3390" s="33"/>
      <c r="N3390" s="33"/>
      <c r="O3390" s="33"/>
      <c r="P3390" s="33"/>
      <c r="Q3390" s="33"/>
      <c r="R3390" s="33"/>
    </row>
    <row r="3391" spans="1:20" x14ac:dyDescent="0.2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</row>
    <row r="3392" spans="1:20" x14ac:dyDescent="0.2">
      <c r="A3392" s="33"/>
      <c r="B3392" s="33"/>
      <c r="C3392" s="33"/>
      <c r="D3392" s="33"/>
      <c r="E3392" s="33"/>
      <c r="F3392" s="33"/>
      <c r="G3392" s="33"/>
      <c r="H3392" s="33"/>
      <c r="I3392" s="33"/>
      <c r="J3392" s="33"/>
      <c r="K3392" s="33"/>
      <c r="L3392" s="33"/>
      <c r="M3392" s="33"/>
      <c r="N3392" s="33"/>
      <c r="O3392" s="33"/>
      <c r="P3392" s="33"/>
      <c r="Q3392" s="33"/>
      <c r="R3392" s="33"/>
    </row>
    <row r="3393" spans="1:20" x14ac:dyDescent="0.2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T3393"/>
    </row>
    <row r="3394" spans="1:20" x14ac:dyDescent="0.2">
      <c r="A3394" s="33"/>
      <c r="B3394" s="33"/>
      <c r="C3394" s="33"/>
      <c r="D3394" s="33"/>
      <c r="E3394" s="33"/>
      <c r="F3394" s="33"/>
      <c r="G3394" s="33"/>
      <c r="H3394" s="33"/>
      <c r="I3394" s="33"/>
      <c r="J3394" s="33"/>
      <c r="K3394" s="33"/>
      <c r="L3394" s="33"/>
      <c r="M3394" s="33"/>
      <c r="N3394" s="33"/>
      <c r="O3394" s="33"/>
      <c r="P3394" s="33"/>
      <c r="Q3394" s="33"/>
      <c r="R3394" s="33"/>
      <c r="T3394"/>
    </row>
    <row r="3395" spans="1:20" x14ac:dyDescent="0.2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T3395"/>
    </row>
    <row r="3396" spans="1:20" x14ac:dyDescent="0.2">
      <c r="A3396" s="33"/>
      <c r="B3396" s="33"/>
      <c r="C3396" s="33"/>
      <c r="D3396" s="33"/>
      <c r="E3396" s="33"/>
      <c r="F3396" s="33"/>
      <c r="G3396" s="33"/>
      <c r="H3396" s="33"/>
      <c r="I3396" s="33"/>
      <c r="J3396" s="33"/>
      <c r="K3396" s="33"/>
      <c r="L3396" s="33"/>
      <c r="M3396" s="33"/>
      <c r="N3396" s="33"/>
      <c r="O3396" s="33"/>
      <c r="P3396" s="33"/>
      <c r="Q3396" s="33"/>
      <c r="R3396" s="33"/>
      <c r="T3396"/>
    </row>
    <row r="3397" spans="1:20" x14ac:dyDescent="0.2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T3397"/>
    </row>
    <row r="3398" spans="1:20" x14ac:dyDescent="0.2">
      <c r="A3398" s="33"/>
      <c r="B3398" s="33"/>
      <c r="C3398" s="33"/>
      <c r="D3398" s="33"/>
      <c r="E3398" s="33"/>
      <c r="F3398" s="33"/>
      <c r="G3398" s="33"/>
      <c r="H3398" s="33"/>
      <c r="I3398" s="33"/>
      <c r="J3398" s="33"/>
      <c r="K3398" s="33"/>
      <c r="L3398" s="33"/>
      <c r="M3398" s="33"/>
      <c r="N3398" s="33"/>
      <c r="O3398" s="33"/>
      <c r="P3398" s="33"/>
      <c r="Q3398" s="33"/>
      <c r="R3398" s="33"/>
      <c r="T3398"/>
    </row>
    <row r="3399" spans="1:20" x14ac:dyDescent="0.2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T3399"/>
    </row>
    <row r="3400" spans="1:20" x14ac:dyDescent="0.2">
      <c r="A3400" s="33"/>
      <c r="B3400" s="33"/>
      <c r="C3400" s="33"/>
      <c r="D3400" s="33"/>
      <c r="E3400" s="33"/>
      <c r="F3400" s="33"/>
      <c r="G3400" s="33"/>
      <c r="H3400" s="33"/>
      <c r="I3400" s="33"/>
      <c r="J3400" s="33"/>
      <c r="K3400" s="33"/>
      <c r="L3400" s="33"/>
      <c r="M3400" s="33"/>
      <c r="N3400" s="33"/>
      <c r="O3400" s="33"/>
      <c r="P3400" s="33"/>
      <c r="Q3400" s="33"/>
      <c r="R3400" s="33"/>
      <c r="T3400"/>
    </row>
    <row r="3401" spans="1:20" x14ac:dyDescent="0.2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T3401"/>
    </row>
    <row r="3402" spans="1:20" x14ac:dyDescent="0.2">
      <c r="A3402" s="33"/>
      <c r="B3402" s="33"/>
      <c r="C3402" s="33"/>
      <c r="D3402" s="33"/>
      <c r="E3402" s="33"/>
      <c r="F3402" s="33"/>
      <c r="G3402" s="33"/>
      <c r="H3402" s="33"/>
      <c r="I3402" s="33"/>
      <c r="J3402" s="33"/>
      <c r="K3402" s="33"/>
      <c r="L3402" s="33"/>
      <c r="M3402" s="33"/>
      <c r="N3402" s="33"/>
      <c r="O3402" s="33"/>
      <c r="P3402" s="33"/>
      <c r="Q3402" s="33"/>
      <c r="R3402" s="33"/>
      <c r="T3402"/>
    </row>
    <row r="3403" spans="1:20" x14ac:dyDescent="0.2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T3403"/>
    </row>
    <row r="3404" spans="1:20" x14ac:dyDescent="0.2">
      <c r="A3404" s="33"/>
      <c r="B3404" s="33"/>
      <c r="C3404" s="33"/>
      <c r="D3404" s="33"/>
      <c r="E3404" s="33"/>
      <c r="F3404" s="33"/>
      <c r="G3404" s="33"/>
      <c r="H3404" s="33"/>
      <c r="I3404" s="33"/>
      <c r="J3404" s="33"/>
      <c r="K3404" s="33"/>
      <c r="L3404" s="33"/>
      <c r="M3404" s="33"/>
      <c r="N3404" s="33"/>
      <c r="O3404" s="33"/>
      <c r="P3404" s="33"/>
      <c r="Q3404" s="33"/>
      <c r="R3404" s="33"/>
      <c r="T3404"/>
    </row>
    <row r="3405" spans="1:20" x14ac:dyDescent="0.2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T3405"/>
    </row>
    <row r="3406" spans="1:20" x14ac:dyDescent="0.2">
      <c r="A3406" s="33"/>
      <c r="B3406" s="33"/>
      <c r="C3406" s="33"/>
      <c r="D3406" s="33"/>
      <c r="E3406" s="33"/>
      <c r="F3406" s="33"/>
      <c r="G3406" s="33"/>
      <c r="H3406" s="33"/>
      <c r="I3406" s="33"/>
      <c r="J3406" s="33"/>
      <c r="K3406" s="33"/>
      <c r="L3406" s="33"/>
      <c r="M3406" s="33"/>
      <c r="N3406" s="33"/>
      <c r="O3406" s="33"/>
      <c r="P3406" s="33"/>
      <c r="Q3406" s="33"/>
      <c r="R3406" s="33"/>
      <c r="T3406"/>
    </row>
    <row r="3407" spans="1:20" x14ac:dyDescent="0.2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T3407"/>
    </row>
    <row r="3408" spans="1:20" x14ac:dyDescent="0.2">
      <c r="A3408" s="33"/>
      <c r="B3408" s="33"/>
      <c r="C3408" s="33"/>
      <c r="D3408" s="33"/>
      <c r="E3408" s="33"/>
      <c r="F3408" s="33"/>
      <c r="G3408" s="33"/>
      <c r="H3408" s="33"/>
      <c r="I3408" s="33"/>
      <c r="J3408" s="33"/>
      <c r="K3408" s="33"/>
      <c r="L3408" s="33"/>
      <c r="M3408" s="33"/>
      <c r="N3408" s="33"/>
      <c r="O3408" s="33"/>
      <c r="P3408" s="33"/>
      <c r="Q3408" s="33"/>
      <c r="R3408" s="33"/>
      <c r="T3408"/>
    </row>
    <row r="3409" spans="1:20" x14ac:dyDescent="0.2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T3409"/>
    </row>
    <row r="3410" spans="1:20" x14ac:dyDescent="0.2">
      <c r="A3410" s="33"/>
      <c r="B3410" s="33"/>
      <c r="C3410" s="33"/>
      <c r="D3410" s="33"/>
      <c r="E3410" s="33"/>
      <c r="F3410" s="33"/>
      <c r="G3410" s="33"/>
      <c r="H3410" s="33"/>
      <c r="I3410" s="33"/>
      <c r="J3410" s="33"/>
      <c r="K3410" s="33"/>
      <c r="L3410" s="33"/>
      <c r="M3410" s="33"/>
      <c r="N3410" s="33"/>
      <c r="O3410" s="33"/>
      <c r="P3410" s="33"/>
      <c r="Q3410" s="33"/>
      <c r="R3410" s="33"/>
      <c r="T3410"/>
    </row>
    <row r="3411" spans="1:20" x14ac:dyDescent="0.2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T3411"/>
    </row>
    <row r="3412" spans="1:20" x14ac:dyDescent="0.2">
      <c r="A3412" s="33"/>
      <c r="B3412" s="33"/>
      <c r="C3412" s="33"/>
      <c r="D3412" s="33"/>
      <c r="E3412" s="33"/>
      <c r="F3412" s="33"/>
      <c r="G3412" s="33"/>
      <c r="H3412" s="33"/>
      <c r="I3412" s="33"/>
      <c r="J3412" s="33"/>
      <c r="K3412" s="33"/>
      <c r="L3412" s="33"/>
      <c r="M3412" s="33"/>
      <c r="N3412" s="33"/>
      <c r="O3412" s="33"/>
      <c r="P3412" s="33"/>
      <c r="Q3412" s="33"/>
      <c r="R3412" s="33"/>
      <c r="T3412"/>
    </row>
    <row r="3413" spans="1:20" x14ac:dyDescent="0.2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T3413"/>
    </row>
    <row r="3414" spans="1:20" x14ac:dyDescent="0.2">
      <c r="A3414" s="33"/>
      <c r="B3414" s="33"/>
      <c r="C3414" s="33"/>
      <c r="D3414" s="33"/>
      <c r="E3414" s="33"/>
      <c r="F3414" s="33"/>
      <c r="G3414" s="33"/>
      <c r="H3414" s="33"/>
      <c r="I3414" s="33"/>
      <c r="J3414" s="33"/>
      <c r="K3414" s="33"/>
      <c r="L3414" s="33"/>
      <c r="M3414" s="33"/>
      <c r="N3414" s="33"/>
      <c r="O3414" s="33"/>
      <c r="P3414" s="33"/>
      <c r="Q3414" s="33"/>
      <c r="R3414" s="33"/>
      <c r="T3414"/>
    </row>
    <row r="3415" spans="1:20" x14ac:dyDescent="0.2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T3415"/>
    </row>
    <row r="3416" spans="1:20" x14ac:dyDescent="0.2">
      <c r="A3416" s="33"/>
      <c r="B3416" s="33"/>
      <c r="C3416" s="33"/>
      <c r="D3416" s="33"/>
      <c r="E3416" s="33"/>
      <c r="F3416" s="33"/>
      <c r="G3416" s="33"/>
      <c r="H3416" s="33"/>
      <c r="I3416" s="33"/>
      <c r="J3416" s="33"/>
      <c r="K3416" s="33"/>
      <c r="L3416" s="33"/>
      <c r="M3416" s="33"/>
      <c r="N3416" s="33"/>
      <c r="O3416" s="33"/>
      <c r="P3416" s="33"/>
      <c r="Q3416" s="33"/>
      <c r="R3416" s="33"/>
      <c r="T3416"/>
    </row>
    <row r="3417" spans="1:20" x14ac:dyDescent="0.2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T3417"/>
    </row>
    <row r="3418" spans="1:20" x14ac:dyDescent="0.2">
      <c r="A3418" s="33"/>
      <c r="B3418" s="33"/>
      <c r="C3418" s="33"/>
      <c r="D3418" s="33"/>
      <c r="E3418" s="33"/>
      <c r="F3418" s="33"/>
      <c r="G3418" s="33"/>
      <c r="H3418" s="33"/>
      <c r="I3418" s="33"/>
      <c r="J3418" s="33"/>
      <c r="K3418" s="33"/>
      <c r="L3418" s="33"/>
      <c r="M3418" s="33"/>
      <c r="N3418" s="33"/>
      <c r="O3418" s="33"/>
      <c r="P3418" s="33"/>
      <c r="Q3418" s="33"/>
      <c r="R3418" s="33"/>
      <c r="T3418"/>
    </row>
    <row r="3419" spans="1:20" x14ac:dyDescent="0.2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T3419"/>
    </row>
    <row r="3420" spans="1:20" x14ac:dyDescent="0.2">
      <c r="A3420" s="33"/>
      <c r="B3420" s="33"/>
      <c r="C3420" s="33"/>
      <c r="D3420" s="33"/>
      <c r="E3420" s="33"/>
      <c r="F3420" s="33"/>
      <c r="G3420" s="33"/>
      <c r="H3420" s="33"/>
      <c r="I3420" s="33"/>
      <c r="J3420" s="33"/>
      <c r="K3420" s="33"/>
      <c r="L3420" s="33"/>
      <c r="M3420" s="33"/>
      <c r="N3420" s="33"/>
      <c r="O3420" s="33"/>
      <c r="P3420" s="33"/>
      <c r="Q3420" s="33"/>
      <c r="R3420" s="33"/>
      <c r="T3420"/>
    </row>
    <row r="3421" spans="1:20" x14ac:dyDescent="0.2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T3421"/>
    </row>
    <row r="3422" spans="1:20" x14ac:dyDescent="0.2">
      <c r="A3422" s="33"/>
      <c r="B3422" s="33"/>
      <c r="C3422" s="33"/>
      <c r="D3422" s="33"/>
      <c r="E3422" s="33"/>
      <c r="F3422" s="33"/>
      <c r="G3422" s="33"/>
      <c r="H3422" s="33"/>
      <c r="I3422" s="33"/>
      <c r="J3422" s="33"/>
      <c r="K3422" s="33"/>
      <c r="L3422" s="33"/>
      <c r="M3422" s="33"/>
      <c r="N3422" s="33"/>
      <c r="O3422" s="33"/>
      <c r="P3422" s="33"/>
      <c r="Q3422" s="33"/>
      <c r="R3422" s="33"/>
      <c r="T3422"/>
    </row>
    <row r="3423" spans="1:20" x14ac:dyDescent="0.2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T3423"/>
    </row>
    <row r="3424" spans="1:20" x14ac:dyDescent="0.2">
      <c r="A3424" s="33"/>
      <c r="B3424" s="33"/>
      <c r="C3424" s="33"/>
      <c r="D3424" s="33"/>
      <c r="E3424" s="33"/>
      <c r="F3424" s="33"/>
      <c r="G3424" s="33"/>
      <c r="H3424" s="33"/>
      <c r="I3424" s="33"/>
      <c r="J3424" s="33"/>
      <c r="K3424" s="33"/>
      <c r="L3424" s="33"/>
      <c r="M3424" s="33"/>
      <c r="N3424" s="33"/>
      <c r="O3424" s="33"/>
      <c r="P3424" s="33"/>
      <c r="Q3424" s="33"/>
      <c r="R3424" s="33"/>
      <c r="T3424"/>
    </row>
    <row r="3425" spans="1:20" x14ac:dyDescent="0.2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T3425"/>
    </row>
    <row r="3426" spans="1:20" x14ac:dyDescent="0.2">
      <c r="A3426" s="33"/>
      <c r="B3426" s="33"/>
      <c r="C3426" s="33"/>
      <c r="D3426" s="33"/>
      <c r="E3426" s="33"/>
      <c r="F3426" s="33"/>
      <c r="G3426" s="33"/>
      <c r="H3426" s="33"/>
      <c r="I3426" s="33"/>
      <c r="J3426" s="33"/>
      <c r="K3426" s="33"/>
      <c r="L3426" s="33"/>
      <c r="M3426" s="33"/>
      <c r="N3426" s="33"/>
      <c r="O3426" s="33"/>
      <c r="P3426" s="33"/>
      <c r="Q3426" s="33"/>
      <c r="R3426" s="33"/>
      <c r="T3426"/>
    </row>
    <row r="3427" spans="1:20" x14ac:dyDescent="0.2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T3427"/>
    </row>
    <row r="3428" spans="1:20" x14ac:dyDescent="0.2">
      <c r="A3428" s="33"/>
      <c r="B3428" s="33"/>
      <c r="C3428" s="33"/>
      <c r="D3428" s="33"/>
      <c r="E3428" s="33"/>
      <c r="F3428" s="33"/>
      <c r="G3428" s="33"/>
      <c r="H3428" s="33"/>
      <c r="I3428" s="33"/>
      <c r="J3428" s="33"/>
      <c r="K3428" s="33"/>
      <c r="L3428" s="33"/>
      <c r="M3428" s="33"/>
      <c r="N3428" s="33"/>
      <c r="O3428" s="33"/>
      <c r="P3428" s="33"/>
      <c r="Q3428" s="33"/>
      <c r="R3428" s="33"/>
      <c r="T3428"/>
    </row>
    <row r="3429" spans="1:20" x14ac:dyDescent="0.2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T3429"/>
    </row>
    <row r="3430" spans="1:20" x14ac:dyDescent="0.2">
      <c r="A3430" s="33"/>
      <c r="B3430" s="33"/>
      <c r="C3430" s="33"/>
      <c r="D3430" s="33"/>
      <c r="E3430" s="33"/>
      <c r="F3430" s="33"/>
      <c r="G3430" s="33"/>
      <c r="H3430" s="33"/>
      <c r="I3430" s="33"/>
      <c r="J3430" s="33"/>
      <c r="K3430" s="33"/>
      <c r="L3430" s="33"/>
      <c r="M3430" s="33"/>
      <c r="N3430" s="33"/>
      <c r="O3430" s="33"/>
      <c r="P3430" s="33"/>
      <c r="Q3430" s="33"/>
      <c r="R3430" s="33"/>
      <c r="T3430"/>
    </row>
    <row r="3431" spans="1:20" x14ac:dyDescent="0.2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T3431"/>
    </row>
    <row r="3432" spans="1:20" x14ac:dyDescent="0.2">
      <c r="A3432" s="33"/>
      <c r="B3432" s="33"/>
      <c r="C3432" s="33"/>
      <c r="D3432" s="33"/>
      <c r="E3432" s="33"/>
      <c r="F3432" s="33"/>
      <c r="G3432" s="33"/>
      <c r="H3432" s="33"/>
      <c r="I3432" s="33"/>
      <c r="J3432" s="33"/>
      <c r="K3432" s="33"/>
      <c r="L3432" s="33"/>
      <c r="M3432" s="33"/>
      <c r="N3432" s="33"/>
      <c r="O3432" s="33"/>
      <c r="P3432" s="33"/>
      <c r="Q3432" s="33"/>
      <c r="R3432" s="33"/>
      <c r="T3432"/>
    </row>
    <row r="3433" spans="1:20" x14ac:dyDescent="0.2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T3433"/>
    </row>
    <row r="3434" spans="1:20" x14ac:dyDescent="0.2">
      <c r="A3434" s="33"/>
      <c r="B3434" s="33"/>
      <c r="C3434" s="33"/>
      <c r="D3434" s="33"/>
      <c r="E3434" s="33"/>
      <c r="F3434" s="33"/>
      <c r="G3434" s="33"/>
      <c r="H3434" s="33"/>
      <c r="I3434" s="33"/>
      <c r="J3434" s="33"/>
      <c r="K3434" s="33"/>
      <c r="L3434" s="33"/>
      <c r="M3434" s="33"/>
      <c r="N3434" s="33"/>
      <c r="O3434" s="33"/>
      <c r="P3434" s="33"/>
      <c r="Q3434" s="33"/>
      <c r="R3434" s="33"/>
      <c r="T3434"/>
    </row>
    <row r="3435" spans="1:20" x14ac:dyDescent="0.2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T3435"/>
    </row>
    <row r="3436" spans="1:20" x14ac:dyDescent="0.2">
      <c r="A3436" s="33"/>
      <c r="B3436" s="33"/>
      <c r="C3436" s="33"/>
      <c r="D3436" s="33"/>
      <c r="E3436" s="33"/>
      <c r="F3436" s="33"/>
      <c r="G3436" s="33"/>
      <c r="H3436" s="33"/>
      <c r="I3436" s="33"/>
      <c r="J3436" s="33"/>
      <c r="K3436" s="33"/>
      <c r="L3436" s="33"/>
      <c r="M3436" s="33"/>
      <c r="N3436" s="33"/>
      <c r="O3436" s="33"/>
      <c r="P3436" s="33"/>
      <c r="Q3436" s="33"/>
      <c r="R3436" s="33"/>
      <c r="T3436"/>
    </row>
    <row r="3437" spans="1:20" x14ac:dyDescent="0.2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T3437"/>
    </row>
    <row r="3438" spans="1:20" x14ac:dyDescent="0.2">
      <c r="A3438" s="33"/>
      <c r="B3438" s="33"/>
      <c r="C3438" s="33"/>
      <c r="D3438" s="33"/>
      <c r="E3438" s="33"/>
      <c r="F3438" s="33"/>
      <c r="G3438" s="33"/>
      <c r="H3438" s="33"/>
      <c r="I3438" s="33"/>
      <c r="J3438" s="33"/>
      <c r="K3438" s="33"/>
      <c r="L3438" s="33"/>
      <c r="M3438" s="33"/>
      <c r="N3438" s="33"/>
      <c r="O3438" s="33"/>
      <c r="P3438" s="33"/>
      <c r="Q3438" s="33"/>
      <c r="R3438" s="33"/>
      <c r="T3438"/>
    </row>
    <row r="3439" spans="1:20" x14ac:dyDescent="0.2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T3439"/>
    </row>
    <row r="3440" spans="1:20" x14ac:dyDescent="0.2">
      <c r="A3440" s="33"/>
      <c r="B3440" s="33"/>
      <c r="C3440" s="33"/>
      <c r="D3440" s="33"/>
      <c r="E3440" s="33"/>
      <c r="F3440" s="33"/>
      <c r="G3440" s="33"/>
      <c r="H3440" s="33"/>
      <c r="I3440" s="33"/>
      <c r="J3440" s="33"/>
      <c r="K3440" s="33"/>
      <c r="L3440" s="33"/>
      <c r="M3440" s="33"/>
      <c r="N3440" s="33"/>
      <c r="O3440" s="33"/>
      <c r="P3440" s="33"/>
      <c r="Q3440" s="33"/>
      <c r="R3440" s="33"/>
      <c r="T3440"/>
    </row>
    <row r="3441" spans="1:20" x14ac:dyDescent="0.2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T3441"/>
    </row>
    <row r="3442" spans="1:20" x14ac:dyDescent="0.2">
      <c r="A3442" s="33"/>
      <c r="B3442" s="33"/>
      <c r="C3442" s="33"/>
      <c r="D3442" s="33"/>
      <c r="E3442" s="33"/>
      <c r="F3442" s="33"/>
      <c r="G3442" s="33"/>
      <c r="H3442" s="33"/>
      <c r="I3442" s="33"/>
      <c r="J3442" s="33"/>
      <c r="K3442" s="33"/>
      <c r="L3442" s="33"/>
      <c r="M3442" s="33"/>
      <c r="N3442" s="33"/>
      <c r="O3442" s="33"/>
      <c r="P3442" s="33"/>
      <c r="Q3442" s="33"/>
      <c r="R3442" s="33"/>
      <c r="T3442"/>
    </row>
    <row r="3443" spans="1:20" x14ac:dyDescent="0.2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T3443"/>
    </row>
    <row r="3444" spans="1:20" x14ac:dyDescent="0.2">
      <c r="A3444" s="33"/>
      <c r="B3444" s="33"/>
      <c r="C3444" s="33"/>
      <c r="D3444" s="33"/>
      <c r="E3444" s="33"/>
      <c r="F3444" s="33"/>
      <c r="G3444" s="33"/>
      <c r="H3444" s="33"/>
      <c r="I3444" s="33"/>
      <c r="J3444" s="33"/>
      <c r="K3444" s="33"/>
      <c r="L3444" s="33"/>
      <c r="M3444" s="33"/>
      <c r="N3444" s="33"/>
      <c r="O3444" s="33"/>
      <c r="P3444" s="33"/>
      <c r="Q3444" s="33"/>
      <c r="R3444" s="33"/>
      <c r="T3444"/>
    </row>
    <row r="3445" spans="1:20" x14ac:dyDescent="0.2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T3445"/>
    </row>
    <row r="3446" spans="1:20" x14ac:dyDescent="0.2">
      <c r="A3446" s="33"/>
      <c r="B3446" s="33"/>
      <c r="C3446" s="33"/>
      <c r="D3446" s="33"/>
      <c r="E3446" s="33"/>
      <c r="F3446" s="33"/>
      <c r="G3446" s="33"/>
      <c r="H3446" s="33"/>
      <c r="I3446" s="33"/>
      <c r="J3446" s="33"/>
      <c r="K3446" s="33"/>
      <c r="L3446" s="33"/>
      <c r="M3446" s="33"/>
      <c r="N3446" s="33"/>
      <c r="O3446" s="33"/>
      <c r="P3446" s="33"/>
      <c r="Q3446" s="33"/>
      <c r="R3446" s="33"/>
      <c r="T3446"/>
    </row>
    <row r="3447" spans="1:20" x14ac:dyDescent="0.2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T3447"/>
    </row>
    <row r="3448" spans="1:20" x14ac:dyDescent="0.2">
      <c r="A3448" s="33"/>
      <c r="B3448" s="33"/>
      <c r="C3448" s="33"/>
      <c r="D3448" s="33"/>
      <c r="E3448" s="33"/>
      <c r="F3448" s="33"/>
      <c r="G3448" s="33"/>
      <c r="H3448" s="33"/>
      <c r="I3448" s="33"/>
      <c r="J3448" s="33"/>
      <c r="K3448" s="33"/>
      <c r="L3448" s="33"/>
      <c r="M3448" s="33"/>
      <c r="N3448" s="33"/>
      <c r="O3448" s="33"/>
      <c r="P3448" s="33"/>
      <c r="Q3448" s="33"/>
      <c r="R3448" s="33"/>
      <c r="T3448"/>
    </row>
    <row r="3449" spans="1:20" x14ac:dyDescent="0.2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T3449"/>
    </row>
    <row r="3450" spans="1:20" x14ac:dyDescent="0.2">
      <c r="A3450" s="33"/>
      <c r="B3450" s="33"/>
      <c r="C3450" s="33"/>
      <c r="D3450" s="33"/>
      <c r="E3450" s="33"/>
      <c r="F3450" s="33"/>
      <c r="G3450" s="33"/>
      <c r="H3450" s="33"/>
      <c r="I3450" s="33"/>
      <c r="J3450" s="33"/>
      <c r="K3450" s="33"/>
      <c r="L3450" s="33"/>
      <c r="M3450" s="33"/>
      <c r="N3450" s="33"/>
      <c r="O3450" s="33"/>
      <c r="P3450" s="33"/>
      <c r="Q3450" s="33"/>
      <c r="R3450" s="33"/>
      <c r="T3450"/>
    </row>
    <row r="3451" spans="1:20" x14ac:dyDescent="0.2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T3451"/>
    </row>
    <row r="3452" spans="1:20" x14ac:dyDescent="0.2">
      <c r="A3452" s="33"/>
      <c r="B3452" s="33"/>
      <c r="C3452" s="33"/>
      <c r="D3452" s="33"/>
      <c r="E3452" s="33"/>
      <c r="F3452" s="33"/>
      <c r="G3452" s="33"/>
      <c r="H3452" s="33"/>
      <c r="I3452" s="33"/>
      <c r="J3452" s="33"/>
      <c r="K3452" s="33"/>
      <c r="L3452" s="33"/>
      <c r="M3452" s="33"/>
      <c r="N3452" s="33"/>
      <c r="O3452" s="33"/>
      <c r="P3452" s="33"/>
      <c r="Q3452" s="33"/>
      <c r="R3452" s="33"/>
      <c r="T3452"/>
    </row>
    <row r="3453" spans="1:20" x14ac:dyDescent="0.2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T3453"/>
    </row>
    <row r="3454" spans="1:20" x14ac:dyDescent="0.2">
      <c r="A3454" s="33"/>
      <c r="B3454" s="33"/>
      <c r="C3454" s="33"/>
      <c r="D3454" s="33"/>
      <c r="E3454" s="33"/>
      <c r="F3454" s="33"/>
      <c r="G3454" s="33"/>
      <c r="H3454" s="33"/>
      <c r="I3454" s="33"/>
      <c r="J3454" s="33"/>
      <c r="K3454" s="33"/>
      <c r="L3454" s="33"/>
      <c r="M3454" s="33"/>
      <c r="N3454" s="33"/>
      <c r="O3454" s="33"/>
      <c r="P3454" s="33"/>
      <c r="Q3454" s="33"/>
      <c r="R3454" s="33"/>
      <c r="T3454"/>
    </row>
    <row r="3455" spans="1:20" x14ac:dyDescent="0.2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T3455"/>
    </row>
    <row r="3456" spans="1:20" x14ac:dyDescent="0.2">
      <c r="A3456" s="33"/>
      <c r="B3456" s="33"/>
      <c r="C3456" s="33"/>
      <c r="D3456" s="33"/>
      <c r="E3456" s="33"/>
      <c r="F3456" s="33"/>
      <c r="G3456" s="33"/>
      <c r="H3456" s="33"/>
      <c r="I3456" s="33"/>
      <c r="J3456" s="33"/>
      <c r="K3456" s="33"/>
      <c r="L3456" s="33"/>
      <c r="M3456" s="33"/>
      <c r="N3456" s="33"/>
      <c r="O3456" s="33"/>
      <c r="P3456" s="33"/>
      <c r="Q3456" s="33"/>
      <c r="R3456" s="33"/>
      <c r="T3456"/>
    </row>
    <row r="3457" spans="1:20" x14ac:dyDescent="0.2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T3457"/>
    </row>
    <row r="3458" spans="1:20" x14ac:dyDescent="0.2">
      <c r="A3458" s="33"/>
      <c r="B3458" s="33"/>
      <c r="C3458" s="33"/>
      <c r="D3458" s="33"/>
      <c r="E3458" s="33"/>
      <c r="F3458" s="33"/>
      <c r="G3458" s="33"/>
      <c r="H3458" s="33"/>
      <c r="I3458" s="33"/>
      <c r="J3458" s="33"/>
      <c r="K3458" s="33"/>
      <c r="L3458" s="33"/>
      <c r="M3458" s="33"/>
      <c r="N3458" s="33"/>
      <c r="O3458" s="33"/>
      <c r="P3458" s="33"/>
      <c r="Q3458" s="33"/>
      <c r="R3458" s="33"/>
      <c r="T3458"/>
    </row>
    <row r="3459" spans="1:20" x14ac:dyDescent="0.2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T3459"/>
    </row>
    <row r="3460" spans="1:20" x14ac:dyDescent="0.2">
      <c r="A3460" s="33"/>
      <c r="B3460" s="33"/>
      <c r="C3460" s="33"/>
      <c r="D3460" s="33"/>
      <c r="E3460" s="33"/>
      <c r="F3460" s="33"/>
      <c r="G3460" s="33"/>
      <c r="H3460" s="33"/>
      <c r="I3460" s="33"/>
      <c r="J3460" s="33"/>
      <c r="K3460" s="33"/>
      <c r="L3460" s="33"/>
      <c r="M3460" s="33"/>
      <c r="N3460" s="33"/>
      <c r="O3460" s="33"/>
      <c r="P3460" s="33"/>
      <c r="Q3460" s="33"/>
      <c r="R3460" s="33"/>
      <c r="T3460"/>
    </row>
    <row r="3461" spans="1:20" x14ac:dyDescent="0.2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T3461"/>
    </row>
    <row r="3462" spans="1:20" x14ac:dyDescent="0.2">
      <c r="A3462" s="33"/>
      <c r="B3462" s="33"/>
      <c r="C3462" s="33"/>
      <c r="D3462" s="33"/>
      <c r="E3462" s="33"/>
      <c r="F3462" s="33"/>
      <c r="G3462" s="33"/>
      <c r="H3462" s="33"/>
      <c r="I3462" s="33"/>
      <c r="J3462" s="33"/>
      <c r="K3462" s="33"/>
      <c r="L3462" s="33"/>
      <c r="M3462" s="33"/>
      <c r="N3462" s="33"/>
      <c r="O3462" s="33"/>
      <c r="P3462" s="33"/>
      <c r="Q3462" s="33"/>
      <c r="R3462" s="33"/>
      <c r="T3462"/>
    </row>
    <row r="3463" spans="1:20" x14ac:dyDescent="0.2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T3463"/>
    </row>
    <row r="3464" spans="1:20" x14ac:dyDescent="0.2">
      <c r="A3464" s="33"/>
      <c r="B3464" s="33"/>
      <c r="C3464" s="33"/>
      <c r="D3464" s="33"/>
      <c r="E3464" s="33"/>
      <c r="F3464" s="33"/>
      <c r="G3464" s="33"/>
      <c r="H3464" s="33"/>
      <c r="I3464" s="33"/>
      <c r="J3464" s="33"/>
      <c r="K3464" s="33"/>
      <c r="L3464" s="33"/>
      <c r="M3464" s="33"/>
      <c r="N3464" s="33"/>
      <c r="O3464" s="33"/>
      <c r="P3464" s="33"/>
      <c r="Q3464" s="33"/>
      <c r="R3464" s="33"/>
      <c r="T3464"/>
    </row>
    <row r="3465" spans="1:20" x14ac:dyDescent="0.2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T3465"/>
    </row>
    <row r="3466" spans="1:20" x14ac:dyDescent="0.2">
      <c r="A3466" s="33"/>
      <c r="B3466" s="33"/>
      <c r="C3466" s="33"/>
      <c r="D3466" s="33"/>
      <c r="E3466" s="33"/>
      <c r="F3466" s="33"/>
      <c r="G3466" s="33"/>
      <c r="H3466" s="33"/>
      <c r="I3466" s="33"/>
      <c r="J3466" s="33"/>
      <c r="K3466" s="33"/>
      <c r="L3466" s="33"/>
      <c r="M3466" s="33"/>
      <c r="N3466" s="33"/>
      <c r="O3466" s="33"/>
      <c r="P3466" s="33"/>
      <c r="Q3466" s="33"/>
      <c r="R3466" s="33"/>
      <c r="T3466"/>
    </row>
    <row r="3467" spans="1:20" x14ac:dyDescent="0.2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T3467"/>
    </row>
    <row r="3468" spans="1:20" x14ac:dyDescent="0.2">
      <c r="A3468" s="33"/>
      <c r="B3468" s="33"/>
      <c r="C3468" s="33"/>
      <c r="D3468" s="33"/>
      <c r="E3468" s="33"/>
      <c r="F3468" s="33"/>
      <c r="G3468" s="33"/>
      <c r="H3468" s="33"/>
      <c r="I3468" s="33"/>
      <c r="J3468" s="33"/>
      <c r="K3468" s="33"/>
      <c r="L3468" s="33"/>
      <c r="M3468" s="33"/>
      <c r="N3468" s="33"/>
      <c r="O3468" s="33"/>
      <c r="P3468" s="33"/>
      <c r="Q3468" s="33"/>
      <c r="R3468" s="33"/>
      <c r="T3468"/>
    </row>
    <row r="3469" spans="1:20" x14ac:dyDescent="0.2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T3469"/>
    </row>
    <row r="3470" spans="1:20" x14ac:dyDescent="0.2">
      <c r="A3470" s="33"/>
      <c r="B3470" s="33"/>
      <c r="C3470" s="33"/>
      <c r="D3470" s="33"/>
      <c r="E3470" s="33"/>
      <c r="F3470" s="33"/>
      <c r="G3470" s="33"/>
      <c r="H3470" s="33"/>
      <c r="I3470" s="33"/>
      <c r="J3470" s="33"/>
      <c r="K3470" s="33"/>
      <c r="L3470" s="33"/>
      <c r="M3470" s="33"/>
      <c r="N3470" s="33"/>
      <c r="O3470" s="33"/>
      <c r="P3470" s="33"/>
      <c r="Q3470" s="33"/>
      <c r="R3470" s="33"/>
      <c r="T3470"/>
    </row>
    <row r="3471" spans="1:20" x14ac:dyDescent="0.2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T3471"/>
    </row>
    <row r="3472" spans="1:20" x14ac:dyDescent="0.2">
      <c r="A3472" s="33"/>
      <c r="B3472" s="33"/>
      <c r="C3472" s="33"/>
      <c r="D3472" s="33"/>
      <c r="E3472" s="33"/>
      <c r="F3472" s="33"/>
      <c r="G3472" s="33"/>
      <c r="H3472" s="33"/>
      <c r="I3472" s="33"/>
      <c r="J3472" s="33"/>
      <c r="K3472" s="33"/>
      <c r="L3472" s="33"/>
      <c r="M3472" s="33"/>
      <c r="N3472" s="33"/>
      <c r="O3472" s="33"/>
      <c r="P3472" s="33"/>
      <c r="Q3472" s="33"/>
      <c r="R3472" s="33"/>
      <c r="T3472"/>
    </row>
    <row r="3473" spans="1:20" x14ac:dyDescent="0.2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T3473"/>
    </row>
    <row r="3474" spans="1:20" x14ac:dyDescent="0.2">
      <c r="A3474" s="33"/>
      <c r="B3474" s="33"/>
      <c r="C3474" s="33"/>
      <c r="D3474" s="33"/>
      <c r="E3474" s="33"/>
      <c r="F3474" s="33"/>
      <c r="G3474" s="33"/>
      <c r="H3474" s="33"/>
      <c r="I3474" s="33"/>
      <c r="J3474" s="33"/>
      <c r="K3474" s="33"/>
      <c r="L3474" s="33"/>
      <c r="M3474" s="33"/>
      <c r="N3474" s="33"/>
      <c r="O3474" s="33"/>
      <c r="P3474" s="33"/>
      <c r="Q3474" s="33"/>
      <c r="R3474" s="33"/>
      <c r="T3474"/>
    </row>
    <row r="3475" spans="1:20" x14ac:dyDescent="0.2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T3475"/>
    </row>
    <row r="3476" spans="1:20" x14ac:dyDescent="0.2">
      <c r="A3476" s="33"/>
      <c r="B3476" s="33"/>
      <c r="C3476" s="33"/>
      <c r="D3476" s="33"/>
      <c r="E3476" s="33"/>
      <c r="F3476" s="33"/>
      <c r="G3476" s="33"/>
      <c r="H3476" s="33"/>
      <c r="I3476" s="33"/>
      <c r="J3476" s="33"/>
      <c r="K3476" s="33"/>
      <c r="L3476" s="33"/>
      <c r="M3476" s="33"/>
      <c r="N3476" s="33"/>
      <c r="O3476" s="33"/>
      <c r="P3476" s="33"/>
      <c r="Q3476" s="33"/>
      <c r="R3476" s="33"/>
      <c r="T3476"/>
    </row>
    <row r="3477" spans="1:20" x14ac:dyDescent="0.2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T3477"/>
    </row>
    <row r="3478" spans="1:20" x14ac:dyDescent="0.2">
      <c r="A3478" s="33"/>
      <c r="B3478" s="33"/>
      <c r="C3478" s="33"/>
      <c r="D3478" s="33"/>
      <c r="E3478" s="33"/>
      <c r="F3478" s="33"/>
      <c r="G3478" s="33"/>
      <c r="H3478" s="33"/>
      <c r="I3478" s="33"/>
      <c r="J3478" s="33"/>
      <c r="K3478" s="33"/>
      <c r="L3478" s="33"/>
      <c r="M3478" s="33"/>
      <c r="N3478" s="33"/>
      <c r="O3478" s="33"/>
      <c r="P3478" s="33"/>
      <c r="Q3478" s="33"/>
      <c r="R3478" s="33"/>
      <c r="T3478"/>
    </row>
    <row r="3479" spans="1:20" x14ac:dyDescent="0.2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T3479"/>
    </row>
    <row r="3480" spans="1:20" x14ac:dyDescent="0.2">
      <c r="A3480" s="33"/>
      <c r="B3480" s="33"/>
      <c r="C3480" s="33"/>
      <c r="D3480" s="33"/>
      <c r="E3480" s="33"/>
      <c r="F3480" s="33"/>
      <c r="G3480" s="33"/>
      <c r="H3480" s="33"/>
      <c r="I3480" s="33"/>
      <c r="J3480" s="33"/>
      <c r="K3480" s="33"/>
      <c r="L3480" s="33"/>
      <c r="M3480" s="33"/>
      <c r="N3480" s="33"/>
      <c r="O3480" s="33"/>
      <c r="P3480" s="33"/>
      <c r="Q3480" s="33"/>
      <c r="R3480" s="33"/>
      <c r="T3480"/>
    </row>
    <row r="3481" spans="1:20" x14ac:dyDescent="0.2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T3481"/>
    </row>
    <row r="3482" spans="1:20" x14ac:dyDescent="0.2">
      <c r="A3482" s="33"/>
      <c r="B3482" s="33"/>
      <c r="C3482" s="33"/>
      <c r="D3482" s="33"/>
      <c r="E3482" s="33"/>
      <c r="F3482" s="33"/>
      <c r="G3482" s="33"/>
      <c r="H3482" s="33"/>
      <c r="I3482" s="33"/>
      <c r="J3482" s="33"/>
      <c r="K3482" s="33"/>
      <c r="L3482" s="33"/>
      <c r="M3482" s="33"/>
      <c r="N3482" s="33"/>
      <c r="O3482" s="33"/>
      <c r="P3482" s="33"/>
      <c r="Q3482" s="33"/>
      <c r="R3482" s="33"/>
      <c r="T3482"/>
    </row>
    <row r="3483" spans="1:20" x14ac:dyDescent="0.2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T3483"/>
    </row>
    <row r="3484" spans="1:20" x14ac:dyDescent="0.2">
      <c r="A3484" s="33"/>
      <c r="B3484" s="33"/>
      <c r="C3484" s="33"/>
      <c r="D3484" s="33"/>
      <c r="E3484" s="33"/>
      <c r="F3484" s="33"/>
      <c r="G3484" s="33"/>
      <c r="H3484" s="33"/>
      <c r="I3484" s="33"/>
      <c r="J3484" s="33"/>
      <c r="K3484" s="33"/>
      <c r="L3484" s="33"/>
      <c r="M3484" s="33"/>
      <c r="N3484" s="33"/>
      <c r="O3484" s="33"/>
      <c r="P3484" s="33"/>
      <c r="Q3484" s="33"/>
      <c r="R3484" s="33"/>
      <c r="T3484"/>
    </row>
    <row r="3485" spans="1:20" x14ac:dyDescent="0.2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T3485"/>
    </row>
    <row r="3486" spans="1:20" x14ac:dyDescent="0.2">
      <c r="A3486" s="33"/>
      <c r="B3486" s="33"/>
      <c r="C3486" s="33"/>
      <c r="D3486" s="33"/>
      <c r="E3486" s="33"/>
      <c r="F3486" s="33"/>
      <c r="G3486" s="33"/>
      <c r="H3486" s="33"/>
      <c r="I3486" s="33"/>
      <c r="J3486" s="33"/>
      <c r="K3486" s="33"/>
      <c r="L3486" s="33"/>
      <c r="M3486" s="33"/>
      <c r="N3486" s="33"/>
      <c r="O3486" s="33"/>
      <c r="P3486" s="33"/>
      <c r="Q3486" s="33"/>
      <c r="R3486" s="33"/>
      <c r="T3486"/>
    </row>
    <row r="3487" spans="1:20" x14ac:dyDescent="0.2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T3487"/>
    </row>
    <row r="3488" spans="1:20" x14ac:dyDescent="0.2">
      <c r="A3488" s="33"/>
      <c r="B3488" s="33"/>
      <c r="C3488" s="33"/>
      <c r="D3488" s="33"/>
      <c r="E3488" s="33"/>
      <c r="F3488" s="33"/>
      <c r="G3488" s="33"/>
      <c r="H3488" s="33"/>
      <c r="I3488" s="33"/>
      <c r="J3488" s="33"/>
      <c r="K3488" s="33"/>
      <c r="L3488" s="33"/>
      <c r="M3488" s="33"/>
      <c r="N3488" s="33"/>
      <c r="O3488" s="33"/>
      <c r="P3488" s="33"/>
      <c r="Q3488" s="33"/>
      <c r="R3488" s="33"/>
      <c r="T3488"/>
    </row>
    <row r="3489" spans="1:20" x14ac:dyDescent="0.2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T3489"/>
    </row>
    <row r="3490" spans="1:20" x14ac:dyDescent="0.2">
      <c r="A3490" s="33"/>
      <c r="B3490" s="33"/>
      <c r="C3490" s="33"/>
      <c r="D3490" s="33"/>
      <c r="E3490" s="33"/>
      <c r="F3490" s="33"/>
      <c r="G3490" s="33"/>
      <c r="H3490" s="33"/>
      <c r="I3490" s="33"/>
      <c r="J3490" s="33"/>
      <c r="K3490" s="33"/>
      <c r="L3490" s="33"/>
      <c r="M3490" s="33"/>
      <c r="N3490" s="33"/>
      <c r="O3490" s="33"/>
      <c r="P3490" s="33"/>
      <c r="Q3490" s="33"/>
      <c r="R3490" s="33"/>
      <c r="T3490"/>
    </row>
    <row r="3491" spans="1:20" x14ac:dyDescent="0.2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T3491"/>
    </row>
    <row r="3492" spans="1:20" x14ac:dyDescent="0.2">
      <c r="A3492" s="33"/>
      <c r="B3492" s="33"/>
      <c r="C3492" s="33"/>
      <c r="D3492" s="33"/>
      <c r="E3492" s="33"/>
      <c r="F3492" s="33"/>
      <c r="G3492" s="33"/>
      <c r="H3492" s="33"/>
      <c r="I3492" s="33"/>
      <c r="J3492" s="33"/>
      <c r="K3492" s="33"/>
      <c r="L3492" s="33"/>
      <c r="M3492" s="33"/>
      <c r="N3492" s="33"/>
      <c r="O3492" s="33"/>
      <c r="P3492" s="33"/>
      <c r="Q3492" s="33"/>
      <c r="R3492" s="33"/>
      <c r="T3492"/>
    </row>
    <row r="3493" spans="1:20" x14ac:dyDescent="0.2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T3493"/>
    </row>
    <row r="3494" spans="1:20" x14ac:dyDescent="0.2">
      <c r="A3494" s="33"/>
      <c r="B3494" s="33"/>
      <c r="C3494" s="33"/>
      <c r="D3494" s="33"/>
      <c r="E3494" s="33"/>
      <c r="F3494" s="33"/>
      <c r="G3494" s="33"/>
      <c r="H3494" s="33"/>
      <c r="I3494" s="33"/>
      <c r="J3494" s="33"/>
      <c r="K3494" s="33"/>
      <c r="L3494" s="33"/>
      <c r="M3494" s="33"/>
      <c r="N3494" s="33"/>
      <c r="O3494" s="33"/>
      <c r="P3494" s="33"/>
      <c r="Q3494" s="33"/>
      <c r="R3494" s="33"/>
      <c r="T3494"/>
    </row>
    <row r="3495" spans="1:20" x14ac:dyDescent="0.2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T3495"/>
    </row>
    <row r="3496" spans="1:20" x14ac:dyDescent="0.2">
      <c r="A3496" s="33"/>
      <c r="B3496" s="33"/>
      <c r="C3496" s="33"/>
      <c r="D3496" s="33"/>
      <c r="E3496" s="33"/>
      <c r="F3496" s="33"/>
      <c r="G3496" s="33"/>
      <c r="H3496" s="33"/>
      <c r="I3496" s="33"/>
      <c r="J3496" s="33"/>
      <c r="K3496" s="33"/>
      <c r="L3496" s="33"/>
      <c r="M3496" s="33"/>
      <c r="N3496" s="33"/>
      <c r="O3496" s="33"/>
      <c r="P3496" s="33"/>
      <c r="Q3496" s="33"/>
      <c r="R3496" s="33"/>
      <c r="T3496"/>
    </row>
    <row r="3497" spans="1:20" x14ac:dyDescent="0.2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T3497"/>
    </row>
    <row r="3498" spans="1:20" x14ac:dyDescent="0.2">
      <c r="A3498" s="33"/>
      <c r="B3498" s="33"/>
      <c r="C3498" s="33"/>
      <c r="D3498" s="33"/>
      <c r="E3498" s="33"/>
      <c r="F3498" s="33"/>
      <c r="G3498" s="33"/>
      <c r="H3498" s="33"/>
      <c r="I3498" s="33"/>
      <c r="J3498" s="33"/>
      <c r="K3498" s="33"/>
      <c r="L3498" s="33"/>
      <c r="M3498" s="33"/>
      <c r="N3498" s="33"/>
      <c r="O3498" s="33"/>
      <c r="P3498" s="33"/>
      <c r="Q3498" s="33"/>
      <c r="R3498" s="33"/>
      <c r="T3498"/>
    </row>
    <row r="3499" spans="1:20" x14ac:dyDescent="0.2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T3499"/>
    </row>
    <row r="3500" spans="1:20" x14ac:dyDescent="0.2">
      <c r="A3500" s="33"/>
      <c r="B3500" s="33"/>
      <c r="C3500" s="33"/>
      <c r="D3500" s="33"/>
      <c r="E3500" s="33"/>
      <c r="F3500" s="33"/>
      <c r="G3500" s="33"/>
      <c r="H3500" s="33"/>
      <c r="I3500" s="33"/>
      <c r="J3500" s="33"/>
      <c r="K3500" s="33"/>
      <c r="L3500" s="33"/>
      <c r="M3500" s="33"/>
      <c r="N3500" s="33"/>
      <c r="O3500" s="33"/>
      <c r="P3500" s="33"/>
      <c r="Q3500" s="33"/>
      <c r="R3500" s="33"/>
      <c r="T3500"/>
    </row>
    <row r="3501" spans="1:20" x14ac:dyDescent="0.2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T3501"/>
    </row>
    <row r="3502" spans="1:20" x14ac:dyDescent="0.2">
      <c r="A3502" s="33"/>
      <c r="B3502" s="33"/>
      <c r="C3502" s="33"/>
      <c r="D3502" s="33"/>
      <c r="E3502" s="33"/>
      <c r="F3502" s="33"/>
      <c r="G3502" s="33"/>
      <c r="H3502" s="33"/>
      <c r="I3502" s="33"/>
      <c r="J3502" s="33"/>
      <c r="K3502" s="33"/>
      <c r="L3502" s="33"/>
      <c r="M3502" s="33"/>
      <c r="N3502" s="33"/>
      <c r="O3502" s="33"/>
      <c r="P3502" s="33"/>
      <c r="Q3502" s="33"/>
      <c r="R3502" s="33"/>
      <c r="T3502"/>
    </row>
    <row r="3503" spans="1:20" x14ac:dyDescent="0.2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T3503"/>
    </row>
    <row r="3504" spans="1:20" x14ac:dyDescent="0.2">
      <c r="A3504" s="33"/>
      <c r="B3504" s="33"/>
      <c r="C3504" s="33"/>
      <c r="D3504" s="33"/>
      <c r="E3504" s="33"/>
      <c r="F3504" s="33"/>
      <c r="G3504" s="33"/>
      <c r="H3504" s="33"/>
      <c r="I3504" s="33"/>
      <c r="J3504" s="33"/>
      <c r="K3504" s="33"/>
      <c r="L3504" s="33"/>
      <c r="M3504" s="33"/>
      <c r="N3504" s="33"/>
      <c r="O3504" s="33"/>
      <c r="P3504" s="33"/>
      <c r="Q3504" s="33"/>
      <c r="R3504" s="33"/>
      <c r="T3504"/>
    </row>
    <row r="3505" spans="1:20" x14ac:dyDescent="0.2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T3505"/>
    </row>
    <row r="3506" spans="1:20" x14ac:dyDescent="0.2">
      <c r="A3506" s="33"/>
      <c r="B3506" s="33"/>
      <c r="C3506" s="33"/>
      <c r="D3506" s="33"/>
      <c r="E3506" s="33"/>
      <c r="F3506" s="33"/>
      <c r="G3506" s="33"/>
      <c r="H3506" s="33"/>
      <c r="I3506" s="33"/>
      <c r="J3506" s="33"/>
      <c r="K3506" s="33"/>
      <c r="L3506" s="33"/>
      <c r="M3506" s="33"/>
      <c r="N3506" s="33"/>
      <c r="O3506" s="33"/>
      <c r="P3506" s="33"/>
      <c r="Q3506" s="33"/>
      <c r="R3506" s="33"/>
      <c r="T3506"/>
    </row>
    <row r="3507" spans="1:20" x14ac:dyDescent="0.2">
      <c r="A3507" s="9"/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T3507"/>
    </row>
    <row r="3508" spans="1:20" x14ac:dyDescent="0.2">
      <c r="A3508" s="33"/>
      <c r="B3508" s="33"/>
      <c r="C3508" s="33"/>
      <c r="D3508" s="33"/>
      <c r="E3508" s="33"/>
      <c r="F3508" s="33"/>
      <c r="G3508" s="33"/>
      <c r="H3508" s="33"/>
      <c r="I3508" s="33"/>
      <c r="J3508" s="33"/>
      <c r="K3508" s="33"/>
      <c r="L3508" s="33"/>
      <c r="M3508" s="33"/>
      <c r="N3508" s="33"/>
      <c r="O3508" s="33"/>
      <c r="P3508" s="33"/>
      <c r="Q3508" s="33"/>
      <c r="R3508" s="33"/>
      <c r="T3508"/>
    </row>
    <row r="3509" spans="1:20" x14ac:dyDescent="0.2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T3509"/>
    </row>
    <row r="3510" spans="1:20" x14ac:dyDescent="0.2">
      <c r="A3510" s="33"/>
      <c r="B3510" s="33"/>
      <c r="C3510" s="33"/>
      <c r="D3510" s="33"/>
      <c r="E3510" s="33"/>
      <c r="F3510" s="33"/>
      <c r="G3510" s="33"/>
      <c r="H3510" s="33"/>
      <c r="I3510" s="33"/>
      <c r="J3510" s="33"/>
      <c r="K3510" s="33"/>
      <c r="L3510" s="33"/>
      <c r="M3510" s="33"/>
      <c r="N3510" s="33"/>
      <c r="O3510" s="33"/>
      <c r="P3510" s="33"/>
      <c r="Q3510" s="33"/>
      <c r="R3510" s="33"/>
      <c r="T3510"/>
    </row>
    <row r="3511" spans="1:20" x14ac:dyDescent="0.2">
      <c r="A3511" s="9"/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T3511"/>
    </row>
    <row r="3512" spans="1:20" x14ac:dyDescent="0.2">
      <c r="A3512" s="33"/>
      <c r="B3512" s="33"/>
      <c r="C3512" s="33"/>
      <c r="D3512" s="33"/>
      <c r="E3512" s="33"/>
      <c r="F3512" s="33"/>
      <c r="G3512" s="33"/>
      <c r="H3512" s="33"/>
      <c r="I3512" s="33"/>
      <c r="J3512" s="33"/>
      <c r="K3512" s="33"/>
      <c r="L3512" s="33"/>
      <c r="M3512" s="33"/>
      <c r="N3512" s="33"/>
      <c r="O3512" s="33"/>
      <c r="P3512" s="33"/>
      <c r="Q3512" s="33"/>
      <c r="R3512" s="33"/>
      <c r="T3512"/>
    </row>
    <row r="3513" spans="1:20" x14ac:dyDescent="0.2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T3513"/>
    </row>
    <row r="3514" spans="1:20" x14ac:dyDescent="0.2">
      <c r="A3514" s="33"/>
      <c r="B3514" s="33"/>
      <c r="C3514" s="33"/>
      <c r="D3514" s="33"/>
      <c r="E3514" s="33"/>
      <c r="F3514" s="33"/>
      <c r="G3514" s="33"/>
      <c r="H3514" s="33"/>
      <c r="I3514" s="33"/>
      <c r="J3514" s="33"/>
      <c r="K3514" s="33"/>
      <c r="L3514" s="33"/>
      <c r="M3514" s="33"/>
      <c r="N3514" s="33"/>
      <c r="O3514" s="33"/>
      <c r="P3514" s="33"/>
      <c r="Q3514" s="33"/>
      <c r="R3514" s="33"/>
      <c r="T3514"/>
    </row>
    <row r="3515" spans="1:20" x14ac:dyDescent="0.2">
      <c r="A3515" s="9"/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T3515"/>
    </row>
    <row r="3516" spans="1:20" x14ac:dyDescent="0.2">
      <c r="A3516" s="33"/>
      <c r="B3516" s="33"/>
      <c r="C3516" s="33"/>
      <c r="D3516" s="33"/>
      <c r="E3516" s="33"/>
      <c r="F3516" s="33"/>
      <c r="G3516" s="33"/>
      <c r="H3516" s="33"/>
      <c r="I3516" s="33"/>
      <c r="J3516" s="33"/>
      <c r="K3516" s="33"/>
      <c r="L3516" s="33"/>
      <c r="M3516" s="33"/>
      <c r="N3516" s="33"/>
      <c r="O3516" s="33"/>
      <c r="P3516" s="33"/>
      <c r="Q3516" s="33"/>
      <c r="R3516" s="33"/>
      <c r="T3516"/>
    </row>
    <row r="3517" spans="1:20" x14ac:dyDescent="0.2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T3517"/>
    </row>
    <row r="3518" spans="1:20" x14ac:dyDescent="0.2">
      <c r="A3518" s="33"/>
      <c r="B3518" s="33"/>
      <c r="C3518" s="33"/>
      <c r="D3518" s="33"/>
      <c r="E3518" s="33"/>
      <c r="F3518" s="33"/>
      <c r="G3518" s="33"/>
      <c r="H3518" s="33"/>
      <c r="I3518" s="33"/>
      <c r="J3518" s="33"/>
      <c r="K3518" s="33"/>
      <c r="L3518" s="33"/>
      <c r="M3518" s="33"/>
      <c r="N3518" s="33"/>
      <c r="O3518" s="33"/>
      <c r="P3518" s="33"/>
      <c r="Q3518" s="33"/>
      <c r="R3518" s="33"/>
      <c r="T3518"/>
    </row>
    <row r="3519" spans="1:20" x14ac:dyDescent="0.2">
      <c r="A3519" s="9"/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T3519"/>
    </row>
    <row r="3520" spans="1:20" x14ac:dyDescent="0.2">
      <c r="A3520" s="33"/>
      <c r="B3520" s="33"/>
      <c r="C3520" s="33"/>
      <c r="D3520" s="33"/>
      <c r="E3520" s="33"/>
      <c r="F3520" s="33"/>
      <c r="G3520" s="33"/>
      <c r="H3520" s="33"/>
      <c r="I3520" s="33"/>
      <c r="J3520" s="33"/>
      <c r="K3520" s="33"/>
      <c r="L3520" s="33"/>
      <c r="M3520" s="33"/>
      <c r="N3520" s="33"/>
      <c r="O3520" s="33"/>
      <c r="P3520" s="33"/>
      <c r="Q3520" s="33"/>
      <c r="R3520" s="33"/>
      <c r="T3520"/>
    </row>
    <row r="3521" spans="1:20" x14ac:dyDescent="0.2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T3521"/>
    </row>
    <row r="3522" spans="1:20" x14ac:dyDescent="0.2">
      <c r="A3522" s="33"/>
      <c r="B3522" s="33"/>
      <c r="C3522" s="33"/>
      <c r="D3522" s="33"/>
      <c r="E3522" s="33"/>
      <c r="F3522" s="33"/>
      <c r="G3522" s="33"/>
      <c r="H3522" s="33"/>
      <c r="I3522" s="33"/>
      <c r="J3522" s="33"/>
      <c r="K3522" s="33"/>
      <c r="L3522" s="33"/>
      <c r="M3522" s="33"/>
      <c r="N3522" s="33"/>
      <c r="O3522" s="33"/>
      <c r="P3522" s="33"/>
      <c r="Q3522" s="33"/>
      <c r="R3522" s="33"/>
      <c r="T3522"/>
    </row>
    <row r="3523" spans="1:20" x14ac:dyDescent="0.2">
      <c r="A3523" s="9"/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T3523"/>
    </row>
    <row r="3524" spans="1:20" x14ac:dyDescent="0.2">
      <c r="A3524" s="33"/>
      <c r="B3524" s="33"/>
      <c r="C3524" s="33"/>
      <c r="D3524" s="33"/>
      <c r="E3524" s="33"/>
      <c r="F3524" s="33"/>
      <c r="G3524" s="33"/>
      <c r="H3524" s="33"/>
      <c r="I3524" s="33"/>
      <c r="J3524" s="33"/>
      <c r="K3524" s="33"/>
      <c r="L3524" s="33"/>
      <c r="M3524" s="33"/>
      <c r="N3524" s="33"/>
      <c r="O3524" s="33"/>
      <c r="P3524" s="33"/>
      <c r="Q3524" s="33"/>
      <c r="R3524" s="33"/>
      <c r="T3524"/>
    </row>
    <row r="3525" spans="1:20" x14ac:dyDescent="0.2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T3525"/>
    </row>
    <row r="3526" spans="1:20" x14ac:dyDescent="0.2">
      <c r="A3526" s="33"/>
      <c r="B3526" s="33"/>
      <c r="C3526" s="33"/>
      <c r="D3526" s="33"/>
      <c r="E3526" s="33"/>
      <c r="F3526" s="33"/>
      <c r="G3526" s="33"/>
      <c r="H3526" s="33"/>
      <c r="I3526" s="33"/>
      <c r="J3526" s="33"/>
      <c r="K3526" s="33"/>
      <c r="L3526" s="33"/>
      <c r="M3526" s="33"/>
      <c r="N3526" s="33"/>
      <c r="O3526" s="33"/>
      <c r="P3526" s="33"/>
      <c r="Q3526" s="33"/>
      <c r="R3526" s="33"/>
      <c r="T3526"/>
    </row>
    <row r="3527" spans="1:20" x14ac:dyDescent="0.2">
      <c r="A3527" s="9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T3527"/>
    </row>
    <row r="3528" spans="1:20" x14ac:dyDescent="0.2">
      <c r="A3528" s="33"/>
      <c r="B3528" s="33"/>
      <c r="C3528" s="33"/>
      <c r="D3528" s="33"/>
      <c r="E3528" s="33"/>
      <c r="F3528" s="33"/>
      <c r="G3528" s="33"/>
      <c r="H3528" s="33"/>
      <c r="I3528" s="33"/>
      <c r="J3528" s="33"/>
      <c r="K3528" s="33"/>
      <c r="L3528" s="33"/>
      <c r="M3528" s="33"/>
      <c r="N3528" s="33"/>
      <c r="O3528" s="33"/>
      <c r="P3528" s="33"/>
      <c r="Q3528" s="33"/>
      <c r="R3528" s="33"/>
      <c r="T3528"/>
    </row>
    <row r="3529" spans="1:20" x14ac:dyDescent="0.2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T3529"/>
    </row>
    <row r="3530" spans="1:20" x14ac:dyDescent="0.2">
      <c r="A3530" s="33"/>
      <c r="B3530" s="33"/>
      <c r="C3530" s="33"/>
      <c r="D3530" s="33"/>
      <c r="E3530" s="33"/>
      <c r="F3530" s="33"/>
      <c r="G3530" s="33"/>
      <c r="H3530" s="33"/>
      <c r="I3530" s="33"/>
      <c r="J3530" s="33"/>
      <c r="K3530" s="33"/>
      <c r="L3530" s="33"/>
      <c r="M3530" s="33"/>
      <c r="N3530" s="33"/>
      <c r="O3530" s="33"/>
      <c r="P3530" s="33"/>
      <c r="Q3530" s="33"/>
      <c r="R3530" s="33"/>
      <c r="T3530"/>
    </row>
    <row r="3531" spans="1:20" x14ac:dyDescent="0.2">
      <c r="A3531" s="9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T3531"/>
    </row>
    <row r="3532" spans="1:20" x14ac:dyDescent="0.2">
      <c r="A3532" s="33"/>
      <c r="B3532" s="33"/>
      <c r="C3532" s="33"/>
      <c r="D3532" s="33"/>
      <c r="E3532" s="33"/>
      <c r="F3532" s="33"/>
      <c r="G3532" s="33"/>
      <c r="H3532" s="33"/>
      <c r="I3532" s="33"/>
      <c r="J3532" s="33"/>
      <c r="K3532" s="33"/>
      <c r="L3532" s="33"/>
      <c r="M3532" s="33"/>
      <c r="N3532" s="33"/>
      <c r="O3532" s="33"/>
      <c r="P3532" s="33"/>
      <c r="Q3532" s="33"/>
      <c r="R3532" s="33"/>
      <c r="T3532"/>
    </row>
    <row r="3533" spans="1:20" x14ac:dyDescent="0.2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T3533"/>
    </row>
    <row r="3534" spans="1:20" x14ac:dyDescent="0.2">
      <c r="A3534" s="33"/>
      <c r="B3534" s="33"/>
      <c r="C3534" s="33"/>
      <c r="D3534" s="33"/>
      <c r="E3534" s="33"/>
      <c r="F3534" s="33"/>
      <c r="G3534" s="33"/>
      <c r="H3534" s="33"/>
      <c r="I3534" s="33"/>
      <c r="J3534" s="33"/>
      <c r="K3534" s="33"/>
      <c r="L3534" s="33"/>
      <c r="M3534" s="33"/>
      <c r="N3534" s="33"/>
      <c r="O3534" s="33"/>
      <c r="P3534" s="33"/>
      <c r="Q3534" s="33"/>
      <c r="R3534" s="33"/>
      <c r="T3534"/>
    </row>
    <row r="3535" spans="1:20" x14ac:dyDescent="0.2">
      <c r="A3535" s="9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T3535"/>
    </row>
    <row r="3536" spans="1:20" x14ac:dyDescent="0.2">
      <c r="A3536" s="33"/>
      <c r="B3536" s="33"/>
      <c r="C3536" s="33"/>
      <c r="D3536" s="33"/>
      <c r="E3536" s="33"/>
      <c r="F3536" s="33"/>
      <c r="G3536" s="33"/>
      <c r="H3536" s="33"/>
      <c r="I3536" s="33"/>
      <c r="J3536" s="33"/>
      <c r="K3536" s="33"/>
      <c r="L3536" s="33"/>
      <c r="M3536" s="33"/>
      <c r="N3536" s="33"/>
      <c r="O3536" s="33"/>
      <c r="P3536" s="33"/>
      <c r="Q3536" s="33"/>
      <c r="R3536" s="33"/>
      <c r="T3536"/>
    </row>
    <row r="3537" spans="1:20" x14ac:dyDescent="0.2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T3537"/>
    </row>
    <row r="3538" spans="1:20" x14ac:dyDescent="0.2">
      <c r="A3538" s="33"/>
      <c r="B3538" s="33"/>
      <c r="C3538" s="33"/>
      <c r="D3538" s="33"/>
      <c r="E3538" s="33"/>
      <c r="F3538" s="33"/>
      <c r="G3538" s="33"/>
      <c r="H3538" s="33"/>
      <c r="I3538" s="33"/>
      <c r="J3538" s="33"/>
      <c r="K3538" s="33"/>
      <c r="L3538" s="33"/>
      <c r="M3538" s="33"/>
      <c r="N3538" s="33"/>
      <c r="O3538" s="33"/>
      <c r="P3538" s="33"/>
      <c r="Q3538" s="33"/>
      <c r="R3538" s="33"/>
      <c r="T3538"/>
    </row>
    <row r="3539" spans="1:20" x14ac:dyDescent="0.2">
      <c r="A3539" s="9"/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T3539"/>
    </row>
    <row r="3540" spans="1:20" x14ac:dyDescent="0.2">
      <c r="A3540" s="33"/>
      <c r="B3540" s="33"/>
      <c r="C3540" s="33"/>
      <c r="D3540" s="33"/>
      <c r="E3540" s="33"/>
      <c r="F3540" s="33"/>
      <c r="G3540" s="33"/>
      <c r="H3540" s="33"/>
      <c r="I3540" s="33"/>
      <c r="J3540" s="33"/>
      <c r="K3540" s="33"/>
      <c r="L3540" s="33"/>
      <c r="M3540" s="33"/>
      <c r="N3540" s="33"/>
      <c r="O3540" s="33"/>
      <c r="P3540" s="33"/>
      <c r="Q3540" s="33"/>
      <c r="R3540" s="33"/>
      <c r="T3540"/>
    </row>
    <row r="3541" spans="1:20" x14ac:dyDescent="0.2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T3541"/>
    </row>
    <row r="3542" spans="1:20" x14ac:dyDescent="0.2">
      <c r="A3542" s="33"/>
      <c r="B3542" s="33"/>
      <c r="C3542" s="33"/>
      <c r="D3542" s="33"/>
      <c r="E3542" s="33"/>
      <c r="F3542" s="33"/>
      <c r="G3542" s="33"/>
      <c r="H3542" s="33"/>
      <c r="I3542" s="33"/>
      <c r="J3542" s="33"/>
      <c r="K3542" s="33"/>
      <c r="L3542" s="33"/>
      <c r="M3542" s="33"/>
      <c r="N3542" s="33"/>
      <c r="O3542" s="33"/>
      <c r="P3542" s="33"/>
      <c r="Q3542" s="33"/>
      <c r="R3542" s="33"/>
      <c r="T3542"/>
    </row>
    <row r="3543" spans="1:20" x14ac:dyDescent="0.2">
      <c r="A3543" s="9"/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T3543"/>
    </row>
    <row r="3544" spans="1:20" x14ac:dyDescent="0.2">
      <c r="A3544" s="33"/>
      <c r="B3544" s="33"/>
      <c r="C3544" s="33"/>
      <c r="D3544" s="33"/>
      <c r="E3544" s="33"/>
      <c r="F3544" s="33"/>
      <c r="G3544" s="33"/>
      <c r="H3544" s="33"/>
      <c r="I3544" s="33"/>
      <c r="J3544" s="33"/>
      <c r="K3544" s="33"/>
      <c r="L3544" s="33"/>
      <c r="M3544" s="33"/>
      <c r="N3544" s="33"/>
      <c r="O3544" s="33"/>
      <c r="P3544" s="33"/>
      <c r="Q3544" s="33"/>
      <c r="R3544" s="33"/>
      <c r="T3544"/>
    </row>
    <row r="3545" spans="1:20" x14ac:dyDescent="0.2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T3545"/>
    </row>
    <row r="3546" spans="1:20" x14ac:dyDescent="0.2">
      <c r="A3546" s="33"/>
      <c r="B3546" s="33"/>
      <c r="C3546" s="33"/>
      <c r="D3546" s="33"/>
      <c r="E3546" s="33"/>
      <c r="F3546" s="33"/>
      <c r="G3546" s="33"/>
      <c r="H3546" s="33"/>
      <c r="I3546" s="33"/>
      <c r="J3546" s="33"/>
      <c r="K3546" s="33"/>
      <c r="L3546" s="33"/>
      <c r="M3546" s="33"/>
      <c r="N3546" s="33"/>
      <c r="O3546" s="33"/>
      <c r="P3546" s="33"/>
      <c r="Q3546" s="33"/>
      <c r="R3546" s="33"/>
      <c r="T3546"/>
    </row>
    <row r="3547" spans="1:20" x14ac:dyDescent="0.2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T3547"/>
    </row>
    <row r="3548" spans="1:20" x14ac:dyDescent="0.2">
      <c r="A3548" s="33"/>
      <c r="B3548" s="33"/>
      <c r="C3548" s="33"/>
      <c r="D3548" s="33"/>
      <c r="E3548" s="33"/>
      <c r="F3548" s="33"/>
      <c r="G3548" s="33"/>
      <c r="H3548" s="33"/>
      <c r="I3548" s="33"/>
      <c r="J3548" s="33"/>
      <c r="K3548" s="33"/>
      <c r="L3548" s="33"/>
      <c r="M3548" s="33"/>
      <c r="N3548" s="33"/>
      <c r="O3548" s="33"/>
      <c r="P3548" s="33"/>
      <c r="Q3548" s="33"/>
      <c r="R3548" s="33"/>
      <c r="T3548"/>
    </row>
    <row r="3549" spans="1:20" x14ac:dyDescent="0.2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T3549"/>
    </row>
    <row r="3550" spans="1:20" x14ac:dyDescent="0.2">
      <c r="A3550" s="33"/>
      <c r="B3550" s="33"/>
      <c r="C3550" s="33"/>
      <c r="D3550" s="33"/>
      <c r="E3550" s="33"/>
      <c r="F3550" s="33"/>
      <c r="G3550" s="33"/>
      <c r="H3550" s="33"/>
      <c r="I3550" s="33"/>
      <c r="J3550" s="33"/>
      <c r="K3550" s="33"/>
      <c r="L3550" s="33"/>
      <c r="M3550" s="33"/>
      <c r="N3550" s="33"/>
      <c r="O3550" s="33"/>
      <c r="P3550" s="33"/>
      <c r="Q3550" s="33"/>
      <c r="R3550" s="33"/>
      <c r="T3550"/>
    </row>
    <row r="3551" spans="1:20" x14ac:dyDescent="0.2">
      <c r="A3551" s="9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T3551"/>
    </row>
    <row r="3552" spans="1:20" x14ac:dyDescent="0.2">
      <c r="A3552" s="33"/>
      <c r="B3552" s="33"/>
      <c r="C3552" s="33"/>
      <c r="D3552" s="33"/>
      <c r="E3552" s="33"/>
      <c r="F3552" s="33"/>
      <c r="G3552" s="33"/>
      <c r="H3552" s="33"/>
      <c r="I3552" s="33"/>
      <c r="J3552" s="33"/>
      <c r="K3552" s="33"/>
      <c r="L3552" s="33"/>
      <c r="M3552" s="33"/>
      <c r="N3552" s="33"/>
      <c r="O3552" s="33"/>
      <c r="P3552" s="33"/>
      <c r="Q3552" s="33"/>
      <c r="R3552" s="33"/>
      <c r="T3552"/>
    </row>
    <row r="3553" spans="1:20" x14ac:dyDescent="0.2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T3553"/>
    </row>
    <row r="3554" spans="1:20" x14ac:dyDescent="0.2">
      <c r="A3554" s="33"/>
      <c r="B3554" s="33"/>
      <c r="C3554" s="33"/>
      <c r="D3554" s="33"/>
      <c r="E3554" s="33"/>
      <c r="F3554" s="33"/>
      <c r="G3554" s="33"/>
      <c r="H3554" s="33"/>
      <c r="I3554" s="33"/>
      <c r="J3554" s="33"/>
      <c r="K3554" s="33"/>
      <c r="L3554" s="33"/>
      <c r="M3554" s="33"/>
      <c r="N3554" s="33"/>
      <c r="O3554" s="33"/>
      <c r="P3554" s="33"/>
      <c r="Q3554" s="33"/>
      <c r="R3554" s="33"/>
      <c r="T3554"/>
    </row>
    <row r="3555" spans="1:20" x14ac:dyDescent="0.2">
      <c r="A3555" s="9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T3555"/>
    </row>
    <row r="3556" spans="1:20" x14ac:dyDescent="0.2">
      <c r="A3556" s="33"/>
      <c r="B3556" s="33"/>
      <c r="C3556" s="33"/>
      <c r="D3556" s="33"/>
      <c r="E3556" s="33"/>
      <c r="F3556" s="33"/>
      <c r="G3556" s="33"/>
      <c r="H3556" s="33"/>
      <c r="I3556" s="33"/>
      <c r="J3556" s="33"/>
      <c r="K3556" s="33"/>
      <c r="L3556" s="33"/>
      <c r="M3556" s="33"/>
      <c r="N3556" s="33"/>
      <c r="O3556" s="33"/>
      <c r="P3556" s="33"/>
      <c r="Q3556" s="33"/>
      <c r="R3556" s="33"/>
      <c r="T3556"/>
    </row>
    <row r="3557" spans="1:20" x14ac:dyDescent="0.2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T3557"/>
    </row>
    <row r="3558" spans="1:20" x14ac:dyDescent="0.2">
      <c r="A3558" s="33"/>
      <c r="B3558" s="33"/>
      <c r="C3558" s="33"/>
      <c r="D3558" s="33"/>
      <c r="E3558" s="33"/>
      <c r="F3558" s="33"/>
      <c r="G3558" s="33"/>
      <c r="H3558" s="33"/>
      <c r="I3558" s="33"/>
      <c r="J3558" s="33"/>
      <c r="K3558" s="33"/>
      <c r="L3558" s="33"/>
      <c r="M3558" s="33"/>
      <c r="N3558" s="33"/>
      <c r="O3558" s="33"/>
      <c r="P3558" s="33"/>
      <c r="Q3558" s="33"/>
      <c r="R3558" s="33"/>
      <c r="T3558"/>
    </row>
    <row r="3559" spans="1:20" x14ac:dyDescent="0.2">
      <c r="A3559" s="9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T3559"/>
    </row>
    <row r="3560" spans="1:20" x14ac:dyDescent="0.2">
      <c r="A3560" s="33"/>
      <c r="B3560" s="33"/>
      <c r="C3560" s="33"/>
      <c r="D3560" s="33"/>
      <c r="E3560" s="33"/>
      <c r="F3560" s="33"/>
      <c r="G3560" s="33"/>
      <c r="H3560" s="33"/>
      <c r="I3560" s="33"/>
      <c r="J3560" s="33"/>
      <c r="K3560" s="33"/>
      <c r="L3560" s="33"/>
      <c r="M3560" s="33"/>
      <c r="N3560" s="33"/>
      <c r="O3560" s="33"/>
      <c r="P3560" s="33"/>
      <c r="Q3560" s="33"/>
      <c r="R3560" s="33"/>
      <c r="T3560"/>
    </row>
    <row r="3561" spans="1:20" x14ac:dyDescent="0.2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T3561"/>
    </row>
    <row r="3562" spans="1:20" x14ac:dyDescent="0.2">
      <c r="A3562" s="33"/>
      <c r="B3562" s="33"/>
      <c r="C3562" s="33"/>
      <c r="D3562" s="33"/>
      <c r="E3562" s="33"/>
      <c r="F3562" s="33"/>
      <c r="G3562" s="33"/>
      <c r="H3562" s="33"/>
      <c r="I3562" s="33"/>
      <c r="J3562" s="33"/>
      <c r="K3562" s="33"/>
      <c r="L3562" s="33"/>
      <c r="M3562" s="33"/>
      <c r="N3562" s="33"/>
      <c r="O3562" s="33"/>
      <c r="P3562" s="33"/>
      <c r="Q3562" s="33"/>
      <c r="R3562" s="33"/>
      <c r="T3562"/>
    </row>
    <row r="3563" spans="1:20" x14ac:dyDescent="0.2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T3563"/>
    </row>
    <row r="3564" spans="1:20" x14ac:dyDescent="0.2">
      <c r="A3564" s="33"/>
      <c r="B3564" s="33"/>
      <c r="C3564" s="33"/>
      <c r="D3564" s="33"/>
      <c r="E3564" s="33"/>
      <c r="F3564" s="33"/>
      <c r="G3564" s="33"/>
      <c r="H3564" s="33"/>
      <c r="I3564" s="33"/>
      <c r="J3564" s="33"/>
      <c r="K3564" s="33"/>
      <c r="L3564" s="33"/>
      <c r="M3564" s="33"/>
      <c r="N3564" s="33"/>
      <c r="O3564" s="33"/>
      <c r="P3564" s="33"/>
      <c r="Q3564" s="33"/>
      <c r="R3564" s="33"/>
      <c r="T3564"/>
    </row>
    <row r="3565" spans="1:20" x14ac:dyDescent="0.2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T3565"/>
    </row>
    <row r="3566" spans="1:20" x14ac:dyDescent="0.2">
      <c r="A3566" s="33"/>
      <c r="B3566" s="33"/>
      <c r="C3566" s="33"/>
      <c r="D3566" s="33"/>
      <c r="E3566" s="33"/>
      <c r="F3566" s="33"/>
      <c r="G3566" s="33"/>
      <c r="H3566" s="33"/>
      <c r="I3566" s="33"/>
      <c r="J3566" s="33"/>
      <c r="K3566" s="33"/>
      <c r="L3566" s="33"/>
      <c r="M3566" s="33"/>
      <c r="N3566" s="33"/>
      <c r="O3566" s="33"/>
      <c r="P3566" s="33"/>
      <c r="Q3566" s="33"/>
      <c r="R3566" s="33"/>
      <c r="T3566"/>
    </row>
    <row r="3567" spans="1:20" x14ac:dyDescent="0.2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T3567"/>
    </row>
    <row r="3568" spans="1:20" x14ac:dyDescent="0.2">
      <c r="A3568" s="33"/>
      <c r="B3568" s="33"/>
      <c r="C3568" s="33"/>
      <c r="D3568" s="33"/>
      <c r="E3568" s="33"/>
      <c r="F3568" s="33"/>
      <c r="G3568" s="33"/>
      <c r="H3568" s="33"/>
      <c r="I3568" s="33"/>
      <c r="J3568" s="33"/>
      <c r="K3568" s="33"/>
      <c r="L3568" s="33"/>
      <c r="M3568" s="33"/>
      <c r="N3568" s="33"/>
      <c r="O3568" s="33"/>
      <c r="P3568" s="33"/>
      <c r="Q3568" s="33"/>
      <c r="R3568" s="33"/>
      <c r="T3568"/>
    </row>
    <row r="3569" spans="1:20" x14ac:dyDescent="0.2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T3569"/>
    </row>
    <row r="3570" spans="1:20" x14ac:dyDescent="0.2">
      <c r="A3570" s="33"/>
      <c r="B3570" s="33"/>
      <c r="C3570" s="33"/>
      <c r="D3570" s="33"/>
      <c r="E3570" s="33"/>
      <c r="F3570" s="33"/>
      <c r="G3570" s="33"/>
      <c r="H3570" s="33"/>
      <c r="I3570" s="33"/>
      <c r="J3570" s="33"/>
      <c r="K3570" s="33"/>
      <c r="L3570" s="33"/>
      <c r="M3570" s="33"/>
      <c r="N3570" s="33"/>
      <c r="O3570" s="33"/>
      <c r="P3570" s="33"/>
      <c r="Q3570" s="33"/>
      <c r="R3570" s="33"/>
      <c r="T3570"/>
    </row>
    <row r="3571" spans="1:20" x14ac:dyDescent="0.2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T3571"/>
    </row>
    <row r="3572" spans="1:20" x14ac:dyDescent="0.2">
      <c r="A3572" s="33"/>
      <c r="B3572" s="33"/>
      <c r="C3572" s="33"/>
      <c r="D3572" s="33"/>
      <c r="E3572" s="33"/>
      <c r="F3572" s="33"/>
      <c r="G3572" s="33"/>
      <c r="H3572" s="33"/>
      <c r="I3572" s="33"/>
      <c r="J3572" s="33"/>
      <c r="K3572" s="33"/>
      <c r="L3572" s="33"/>
      <c r="M3572" s="33"/>
      <c r="N3572" s="33"/>
      <c r="O3572" s="33"/>
      <c r="P3572" s="33"/>
      <c r="Q3572" s="33"/>
      <c r="R3572" s="33"/>
      <c r="T3572"/>
    </row>
    <row r="3573" spans="1:20" x14ac:dyDescent="0.2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T3573"/>
    </row>
    <row r="3574" spans="1:20" x14ac:dyDescent="0.2">
      <c r="A3574" s="33"/>
      <c r="B3574" s="33"/>
      <c r="C3574" s="33"/>
      <c r="D3574" s="33"/>
      <c r="E3574" s="33"/>
      <c r="F3574" s="33"/>
      <c r="G3574" s="33"/>
      <c r="H3574" s="33"/>
      <c r="I3574" s="33"/>
      <c r="J3574" s="33"/>
      <c r="K3574" s="33"/>
      <c r="L3574" s="33"/>
      <c r="M3574" s="33"/>
      <c r="N3574" s="33"/>
      <c r="O3574" s="33"/>
      <c r="P3574" s="33"/>
      <c r="Q3574" s="33"/>
      <c r="R3574" s="33"/>
      <c r="T3574"/>
    </row>
    <row r="3575" spans="1:20" x14ac:dyDescent="0.2">
      <c r="A3575" s="9"/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T3575"/>
    </row>
    <row r="3576" spans="1:20" x14ac:dyDescent="0.2">
      <c r="A3576" s="33"/>
      <c r="B3576" s="33"/>
      <c r="C3576" s="33"/>
      <c r="D3576" s="33"/>
      <c r="E3576" s="33"/>
      <c r="F3576" s="33"/>
      <c r="G3576" s="33"/>
      <c r="H3576" s="33"/>
      <c r="I3576" s="33"/>
      <c r="J3576" s="33"/>
      <c r="K3576" s="33"/>
      <c r="L3576" s="33"/>
      <c r="M3576" s="33"/>
      <c r="N3576" s="33"/>
      <c r="O3576" s="33"/>
      <c r="P3576" s="33"/>
      <c r="Q3576" s="33"/>
      <c r="R3576" s="33"/>
      <c r="T3576"/>
    </row>
    <row r="3577" spans="1:20" x14ac:dyDescent="0.2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T3577"/>
    </row>
    <row r="3578" spans="1:20" x14ac:dyDescent="0.2">
      <c r="A3578" s="33"/>
      <c r="B3578" s="33"/>
      <c r="C3578" s="33"/>
      <c r="D3578" s="33"/>
      <c r="E3578" s="33"/>
      <c r="F3578" s="33"/>
      <c r="G3578" s="33"/>
      <c r="H3578" s="33"/>
      <c r="I3578" s="33"/>
      <c r="J3578" s="33"/>
      <c r="K3578" s="33"/>
      <c r="L3578" s="33"/>
      <c r="M3578" s="33"/>
      <c r="N3578" s="33"/>
      <c r="O3578" s="33"/>
      <c r="P3578" s="33"/>
      <c r="Q3578" s="33"/>
      <c r="R3578" s="33"/>
      <c r="T3578"/>
    </row>
    <row r="3579" spans="1:20" x14ac:dyDescent="0.2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T3579"/>
    </row>
    <row r="3580" spans="1:20" x14ac:dyDescent="0.2">
      <c r="A3580" s="33"/>
      <c r="B3580" s="33"/>
      <c r="C3580" s="33"/>
      <c r="D3580" s="33"/>
      <c r="E3580" s="33"/>
      <c r="F3580" s="33"/>
      <c r="G3580" s="33"/>
      <c r="H3580" s="33"/>
      <c r="I3580" s="33"/>
      <c r="J3580" s="33"/>
      <c r="K3580" s="33"/>
      <c r="L3580" s="33"/>
      <c r="M3580" s="33"/>
      <c r="N3580" s="33"/>
      <c r="O3580" s="33"/>
      <c r="P3580" s="33"/>
      <c r="Q3580" s="33"/>
      <c r="R3580" s="33"/>
      <c r="T3580"/>
    </row>
    <row r="3581" spans="1:20" x14ac:dyDescent="0.2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T3581"/>
    </row>
    <row r="3582" spans="1:20" x14ac:dyDescent="0.2">
      <c r="A3582" s="33"/>
      <c r="B3582" s="33"/>
      <c r="C3582" s="33"/>
      <c r="D3582" s="33"/>
      <c r="E3582" s="33"/>
      <c r="F3582" s="33"/>
      <c r="G3582" s="33"/>
      <c r="H3582" s="33"/>
      <c r="I3582" s="33"/>
      <c r="J3582" s="33"/>
      <c r="K3582" s="33"/>
      <c r="L3582" s="33"/>
      <c r="M3582" s="33"/>
      <c r="N3582" s="33"/>
      <c r="O3582" s="33"/>
      <c r="P3582" s="33"/>
      <c r="Q3582" s="33"/>
      <c r="R3582" s="33"/>
      <c r="T3582"/>
    </row>
    <row r="3583" spans="1:20" x14ac:dyDescent="0.2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T3583"/>
    </row>
    <row r="3584" spans="1:20" x14ac:dyDescent="0.2">
      <c r="A3584" s="33"/>
      <c r="B3584" s="33"/>
      <c r="C3584" s="33"/>
      <c r="D3584" s="33"/>
      <c r="E3584" s="33"/>
      <c r="F3584" s="33"/>
      <c r="G3584" s="33"/>
      <c r="H3584" s="33"/>
      <c r="I3584" s="33"/>
      <c r="J3584" s="33"/>
      <c r="K3584" s="33"/>
      <c r="L3584" s="33"/>
      <c r="M3584" s="33"/>
      <c r="N3584" s="33"/>
      <c r="O3584" s="33"/>
      <c r="P3584" s="33"/>
      <c r="Q3584" s="33"/>
      <c r="R3584" s="33"/>
      <c r="T3584"/>
    </row>
    <row r="3585" spans="1:20" x14ac:dyDescent="0.2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T3585"/>
    </row>
    <row r="3586" spans="1:20" x14ac:dyDescent="0.2">
      <c r="A3586" s="33"/>
      <c r="B3586" s="33"/>
      <c r="C3586" s="33"/>
      <c r="D3586" s="33"/>
      <c r="E3586" s="33"/>
      <c r="F3586" s="33"/>
      <c r="G3586" s="33"/>
      <c r="H3586" s="33"/>
      <c r="I3586" s="33"/>
      <c r="J3586" s="33"/>
      <c r="K3586" s="33"/>
      <c r="L3586" s="33"/>
      <c r="M3586" s="33"/>
      <c r="N3586" s="33"/>
      <c r="O3586" s="33"/>
      <c r="P3586" s="33"/>
      <c r="Q3586" s="33"/>
      <c r="R3586" s="33"/>
      <c r="T3586"/>
    </row>
    <row r="3587" spans="1:20" x14ac:dyDescent="0.2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T3587"/>
    </row>
    <row r="3588" spans="1:20" x14ac:dyDescent="0.2">
      <c r="A3588" s="33"/>
      <c r="B3588" s="33"/>
      <c r="C3588" s="33"/>
      <c r="D3588" s="33"/>
      <c r="E3588" s="33"/>
      <c r="F3588" s="33"/>
      <c r="G3588" s="33"/>
      <c r="H3588" s="33"/>
      <c r="I3588" s="33"/>
      <c r="J3588" s="33"/>
      <c r="K3588" s="33"/>
      <c r="L3588" s="33"/>
      <c r="M3588" s="33"/>
      <c r="N3588" s="33"/>
      <c r="O3588" s="33"/>
      <c r="P3588" s="33"/>
      <c r="Q3588" s="33"/>
      <c r="R3588" s="33"/>
      <c r="T3588"/>
    </row>
    <row r="3589" spans="1:20" x14ac:dyDescent="0.2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T3589"/>
    </row>
    <row r="3590" spans="1:20" x14ac:dyDescent="0.2">
      <c r="A3590" s="33"/>
      <c r="B3590" s="33"/>
      <c r="C3590" s="33"/>
      <c r="D3590" s="33"/>
      <c r="E3590" s="33"/>
      <c r="F3590" s="33"/>
      <c r="G3590" s="33"/>
      <c r="H3590" s="33"/>
      <c r="I3590" s="33"/>
      <c r="J3590" s="33"/>
      <c r="K3590" s="33"/>
      <c r="L3590" s="33"/>
      <c r="M3590" s="33"/>
      <c r="N3590" s="33"/>
      <c r="O3590" s="33"/>
      <c r="P3590" s="33"/>
      <c r="Q3590" s="33"/>
      <c r="R3590" s="33"/>
      <c r="T3590"/>
    </row>
    <row r="3591" spans="1:20" x14ac:dyDescent="0.2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T3591"/>
    </row>
    <row r="3592" spans="1:20" x14ac:dyDescent="0.2">
      <c r="A3592" s="33"/>
      <c r="B3592" s="33"/>
      <c r="C3592" s="33"/>
      <c r="D3592" s="33"/>
      <c r="E3592" s="33"/>
      <c r="F3592" s="33"/>
      <c r="G3592" s="33"/>
      <c r="H3592" s="33"/>
      <c r="I3592" s="33"/>
      <c r="J3592" s="33"/>
      <c r="K3592" s="33"/>
      <c r="L3592" s="33"/>
      <c r="M3592" s="33"/>
      <c r="N3592" s="33"/>
      <c r="O3592" s="33"/>
      <c r="P3592" s="33"/>
      <c r="Q3592" s="33"/>
      <c r="R3592" s="33"/>
      <c r="T3592"/>
    </row>
    <row r="3593" spans="1:20" x14ac:dyDescent="0.2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T3593"/>
    </row>
    <row r="3594" spans="1:20" x14ac:dyDescent="0.2">
      <c r="A3594" s="33"/>
      <c r="B3594" s="33"/>
      <c r="C3594" s="33"/>
      <c r="D3594" s="33"/>
      <c r="E3594" s="33"/>
      <c r="F3594" s="33"/>
      <c r="G3594" s="33"/>
      <c r="H3594" s="33"/>
      <c r="I3594" s="33"/>
      <c r="J3594" s="33"/>
      <c r="K3594" s="33"/>
      <c r="L3594" s="33"/>
      <c r="M3594" s="33"/>
      <c r="N3594" s="33"/>
      <c r="O3594" s="33"/>
      <c r="P3594" s="33"/>
      <c r="Q3594" s="33"/>
      <c r="R3594" s="33"/>
      <c r="T3594"/>
    </row>
    <row r="3595" spans="1:20" x14ac:dyDescent="0.2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T3595"/>
    </row>
    <row r="3596" spans="1:20" x14ac:dyDescent="0.2">
      <c r="A3596" s="33"/>
      <c r="B3596" s="33"/>
      <c r="C3596" s="33"/>
      <c r="D3596" s="33"/>
      <c r="E3596" s="33"/>
      <c r="F3596" s="33"/>
      <c r="G3596" s="33"/>
      <c r="H3596" s="33"/>
      <c r="I3596" s="33"/>
      <c r="J3596" s="33"/>
      <c r="K3596" s="33"/>
      <c r="L3596" s="33"/>
      <c r="M3596" s="33"/>
      <c r="N3596" s="33"/>
      <c r="O3596" s="33"/>
      <c r="P3596" s="33"/>
      <c r="Q3596" s="33"/>
      <c r="R3596" s="33"/>
      <c r="T3596"/>
    </row>
    <row r="3597" spans="1:20" x14ac:dyDescent="0.2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T3597"/>
    </row>
    <row r="3598" spans="1:20" x14ac:dyDescent="0.2">
      <c r="A3598" s="33"/>
      <c r="B3598" s="33"/>
      <c r="C3598" s="33"/>
      <c r="D3598" s="33"/>
      <c r="E3598" s="33"/>
      <c r="F3598" s="33"/>
      <c r="G3598" s="33"/>
      <c r="H3598" s="33"/>
      <c r="I3598" s="33"/>
      <c r="J3598" s="33"/>
      <c r="K3598" s="33"/>
      <c r="L3598" s="33"/>
      <c r="M3598" s="33"/>
      <c r="N3598" s="33"/>
      <c r="O3598" s="33"/>
      <c r="P3598" s="33"/>
      <c r="Q3598" s="33"/>
      <c r="R3598" s="33"/>
      <c r="T3598"/>
    </row>
    <row r="3599" spans="1:20" x14ac:dyDescent="0.2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T3599"/>
    </row>
    <row r="3600" spans="1:20" x14ac:dyDescent="0.2">
      <c r="A3600" s="33"/>
      <c r="B3600" s="33"/>
      <c r="C3600" s="33"/>
      <c r="D3600" s="33"/>
      <c r="E3600" s="33"/>
      <c r="F3600" s="33"/>
      <c r="G3600" s="33"/>
      <c r="H3600" s="33"/>
      <c r="I3600" s="33"/>
      <c r="J3600" s="33"/>
      <c r="K3600" s="33"/>
      <c r="L3600" s="33"/>
      <c r="M3600" s="33"/>
      <c r="N3600" s="33"/>
      <c r="O3600" s="33"/>
      <c r="P3600" s="33"/>
      <c r="Q3600" s="33"/>
      <c r="R3600" s="33"/>
      <c r="T3600"/>
    </row>
    <row r="3601" spans="1:20" x14ac:dyDescent="0.2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T3601"/>
    </row>
    <row r="3602" spans="1:20" x14ac:dyDescent="0.2">
      <c r="A3602" s="33"/>
      <c r="B3602" s="33"/>
      <c r="C3602" s="33"/>
      <c r="D3602" s="33"/>
      <c r="E3602" s="33"/>
      <c r="F3602" s="33"/>
      <c r="G3602" s="33"/>
      <c r="H3602" s="33"/>
      <c r="I3602" s="33"/>
      <c r="J3602" s="33"/>
      <c r="K3602" s="33"/>
      <c r="L3602" s="33"/>
      <c r="M3602" s="33"/>
      <c r="N3602" s="33"/>
      <c r="O3602" s="33"/>
      <c r="P3602" s="33"/>
      <c r="Q3602" s="33"/>
      <c r="R3602" s="33"/>
      <c r="T3602"/>
    </row>
    <row r="3603" spans="1:20" x14ac:dyDescent="0.2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T3603"/>
    </row>
    <row r="3604" spans="1:20" x14ac:dyDescent="0.2">
      <c r="A3604" s="33"/>
      <c r="B3604" s="33"/>
      <c r="C3604" s="33"/>
      <c r="D3604" s="33"/>
      <c r="E3604" s="33"/>
      <c r="F3604" s="33"/>
      <c r="G3604" s="33"/>
      <c r="H3604" s="33"/>
      <c r="I3604" s="33"/>
      <c r="J3604" s="33"/>
      <c r="K3604" s="33"/>
      <c r="L3604" s="33"/>
      <c r="M3604" s="33"/>
      <c r="N3604" s="33"/>
      <c r="O3604" s="33"/>
      <c r="P3604" s="33"/>
      <c r="Q3604" s="33"/>
      <c r="R3604" s="33"/>
      <c r="T3604"/>
    </row>
    <row r="3605" spans="1:20" x14ac:dyDescent="0.2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T3605"/>
    </row>
    <row r="3606" spans="1:20" x14ac:dyDescent="0.2">
      <c r="A3606" s="33"/>
      <c r="B3606" s="33"/>
      <c r="C3606" s="33"/>
      <c r="D3606" s="33"/>
      <c r="E3606" s="33"/>
      <c r="F3606" s="33"/>
      <c r="G3606" s="33"/>
      <c r="H3606" s="33"/>
      <c r="I3606" s="33"/>
      <c r="J3606" s="33"/>
      <c r="K3606" s="33"/>
      <c r="L3606" s="33"/>
      <c r="M3606" s="33"/>
      <c r="N3606" s="33"/>
      <c r="O3606" s="33"/>
      <c r="P3606" s="33"/>
      <c r="Q3606" s="33"/>
      <c r="R3606" s="33"/>
      <c r="T3606"/>
    </row>
    <row r="3607" spans="1:20" x14ac:dyDescent="0.2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T3607"/>
    </row>
    <row r="3608" spans="1:20" x14ac:dyDescent="0.2">
      <c r="A3608" s="33"/>
      <c r="B3608" s="33"/>
      <c r="C3608" s="33"/>
      <c r="D3608" s="33"/>
      <c r="E3608" s="33"/>
      <c r="F3608" s="33"/>
      <c r="G3608" s="33"/>
      <c r="H3608" s="33"/>
      <c r="I3608" s="33"/>
      <c r="J3608" s="33"/>
      <c r="K3608" s="33"/>
      <c r="L3608" s="33"/>
      <c r="M3608" s="33"/>
      <c r="N3608" s="33"/>
      <c r="O3608" s="33"/>
      <c r="P3608" s="33"/>
      <c r="Q3608" s="33"/>
      <c r="R3608" s="33"/>
      <c r="T3608"/>
    </row>
    <row r="3609" spans="1:20" x14ac:dyDescent="0.2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T3609"/>
    </row>
    <row r="3610" spans="1:20" x14ac:dyDescent="0.2">
      <c r="A3610" s="33"/>
      <c r="B3610" s="33"/>
      <c r="C3610" s="33"/>
      <c r="D3610" s="33"/>
      <c r="E3610" s="33"/>
      <c r="F3610" s="33"/>
      <c r="G3610" s="33"/>
      <c r="H3610" s="33"/>
      <c r="I3610" s="33"/>
      <c r="J3610" s="33"/>
      <c r="K3610" s="33"/>
      <c r="L3610" s="33"/>
      <c r="M3610" s="33"/>
      <c r="N3610" s="33"/>
      <c r="O3610" s="33"/>
      <c r="P3610" s="33"/>
      <c r="Q3610" s="33"/>
      <c r="R3610" s="33"/>
      <c r="T3610"/>
    </row>
    <row r="3611" spans="1:20" x14ac:dyDescent="0.2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T3611"/>
    </row>
    <row r="3612" spans="1:20" x14ac:dyDescent="0.2">
      <c r="A3612" s="33"/>
      <c r="B3612" s="33"/>
      <c r="C3612" s="33"/>
      <c r="D3612" s="33"/>
      <c r="E3612" s="33"/>
      <c r="F3612" s="33"/>
      <c r="G3612" s="33"/>
      <c r="H3612" s="33"/>
      <c r="I3612" s="33"/>
      <c r="J3612" s="33"/>
      <c r="K3612" s="33"/>
      <c r="L3612" s="33"/>
      <c r="M3612" s="33"/>
      <c r="N3612" s="33"/>
      <c r="O3612" s="33"/>
      <c r="P3612" s="33"/>
      <c r="Q3612" s="33"/>
      <c r="R3612" s="33"/>
      <c r="T3612"/>
    </row>
    <row r="3613" spans="1:20" x14ac:dyDescent="0.2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T3613"/>
    </row>
    <row r="3614" spans="1:20" x14ac:dyDescent="0.2">
      <c r="A3614" s="33"/>
      <c r="B3614" s="33"/>
      <c r="C3614" s="33"/>
      <c r="D3614" s="33"/>
      <c r="E3614" s="33"/>
      <c r="F3614" s="33"/>
      <c r="G3614" s="33"/>
      <c r="H3614" s="33"/>
      <c r="I3614" s="33"/>
      <c r="J3614" s="33"/>
      <c r="K3614" s="33"/>
      <c r="L3614" s="33"/>
      <c r="M3614" s="33"/>
      <c r="N3614" s="33"/>
      <c r="O3614" s="33"/>
      <c r="P3614" s="33"/>
      <c r="Q3614" s="33"/>
      <c r="R3614" s="33"/>
      <c r="T3614"/>
    </row>
    <row r="3615" spans="1:20" x14ac:dyDescent="0.2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T3615"/>
    </row>
    <row r="3616" spans="1:20" x14ac:dyDescent="0.2">
      <c r="A3616" s="33"/>
      <c r="B3616" s="33"/>
      <c r="C3616" s="33"/>
      <c r="D3616" s="33"/>
      <c r="E3616" s="33"/>
      <c r="F3616" s="33"/>
      <c r="G3616" s="33"/>
      <c r="H3616" s="33"/>
      <c r="I3616" s="33"/>
      <c r="J3616" s="33"/>
      <c r="K3616" s="33"/>
      <c r="L3616" s="33"/>
      <c r="M3616" s="33"/>
      <c r="N3616" s="33"/>
      <c r="O3616" s="33"/>
      <c r="P3616" s="33"/>
      <c r="Q3616" s="33"/>
      <c r="R3616" s="33"/>
      <c r="T3616"/>
    </row>
    <row r="3617" spans="1:20" x14ac:dyDescent="0.2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T3617"/>
    </row>
    <row r="3618" spans="1:20" x14ac:dyDescent="0.2">
      <c r="A3618" s="33"/>
      <c r="B3618" s="33"/>
      <c r="C3618" s="33"/>
      <c r="D3618" s="33"/>
      <c r="E3618" s="33"/>
      <c r="F3618" s="33"/>
      <c r="G3618" s="33"/>
      <c r="H3618" s="33"/>
      <c r="I3618" s="33"/>
      <c r="J3618" s="33"/>
      <c r="K3618" s="33"/>
      <c r="L3618" s="33"/>
      <c r="M3618" s="33"/>
      <c r="N3618" s="33"/>
      <c r="O3618" s="33"/>
      <c r="P3618" s="33"/>
      <c r="Q3618" s="33"/>
      <c r="R3618" s="33"/>
      <c r="T3618"/>
    </row>
    <row r="3619" spans="1:20" x14ac:dyDescent="0.2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T3619"/>
    </row>
    <row r="3620" spans="1:20" x14ac:dyDescent="0.2">
      <c r="A3620" s="33"/>
      <c r="B3620" s="33"/>
      <c r="C3620" s="33"/>
      <c r="D3620" s="33"/>
      <c r="E3620" s="33"/>
      <c r="F3620" s="33"/>
      <c r="G3620" s="33"/>
      <c r="H3620" s="33"/>
      <c r="I3620" s="33"/>
      <c r="J3620" s="33"/>
      <c r="K3620" s="33"/>
      <c r="L3620" s="33"/>
      <c r="M3620" s="33"/>
      <c r="N3620" s="33"/>
      <c r="O3620" s="33"/>
      <c r="P3620" s="33"/>
      <c r="Q3620" s="33"/>
      <c r="R3620" s="33"/>
      <c r="T3620"/>
    </row>
    <row r="3621" spans="1:20" x14ac:dyDescent="0.2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T3621"/>
    </row>
    <row r="3622" spans="1:20" x14ac:dyDescent="0.2">
      <c r="A3622" s="33"/>
      <c r="B3622" s="33"/>
      <c r="C3622" s="33"/>
      <c r="D3622" s="33"/>
      <c r="E3622" s="33"/>
      <c r="F3622" s="33"/>
      <c r="G3622" s="33"/>
      <c r="H3622" s="33"/>
      <c r="I3622" s="33"/>
      <c r="J3622" s="33"/>
      <c r="K3622" s="33"/>
      <c r="L3622" s="33"/>
      <c r="M3622" s="33"/>
      <c r="N3622" s="33"/>
      <c r="O3622" s="33"/>
      <c r="P3622" s="33"/>
      <c r="Q3622" s="33"/>
      <c r="R3622" s="33"/>
      <c r="T3622"/>
    </row>
    <row r="3623" spans="1:20" x14ac:dyDescent="0.2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T3623"/>
    </row>
    <row r="3624" spans="1:20" x14ac:dyDescent="0.2">
      <c r="A3624" s="33"/>
      <c r="B3624" s="33"/>
      <c r="C3624" s="33"/>
      <c r="D3624" s="33"/>
      <c r="E3624" s="33"/>
      <c r="F3624" s="33"/>
      <c r="G3624" s="33"/>
      <c r="H3624" s="33"/>
      <c r="I3624" s="33"/>
      <c r="J3624" s="33"/>
      <c r="K3624" s="33"/>
      <c r="L3624" s="33"/>
      <c r="M3624" s="33"/>
      <c r="N3624" s="33"/>
      <c r="O3624" s="33"/>
      <c r="P3624" s="33"/>
      <c r="Q3624" s="33"/>
      <c r="R3624" s="33"/>
      <c r="T3624"/>
    </row>
    <row r="3625" spans="1:20" x14ac:dyDescent="0.2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T3625"/>
    </row>
    <row r="3626" spans="1:20" x14ac:dyDescent="0.2">
      <c r="A3626" s="33"/>
      <c r="B3626" s="33"/>
      <c r="C3626" s="33"/>
      <c r="D3626" s="33"/>
      <c r="E3626" s="33"/>
      <c r="F3626" s="33"/>
      <c r="G3626" s="33"/>
      <c r="H3626" s="33"/>
      <c r="I3626" s="33"/>
      <c r="J3626" s="33"/>
      <c r="K3626" s="33"/>
      <c r="L3626" s="33"/>
      <c r="M3626" s="33"/>
      <c r="N3626" s="33"/>
      <c r="O3626" s="33"/>
      <c r="P3626" s="33"/>
      <c r="Q3626" s="33"/>
      <c r="R3626" s="33"/>
      <c r="T3626"/>
    </row>
    <row r="3627" spans="1:20" x14ac:dyDescent="0.2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T3627"/>
    </row>
    <row r="3628" spans="1:20" x14ac:dyDescent="0.2">
      <c r="A3628" s="33"/>
      <c r="B3628" s="33"/>
      <c r="C3628" s="33"/>
      <c r="D3628" s="33"/>
      <c r="E3628" s="33"/>
      <c r="F3628" s="33"/>
      <c r="G3628" s="33"/>
      <c r="H3628" s="33"/>
      <c r="I3628" s="33"/>
      <c r="J3628" s="33"/>
      <c r="K3628" s="33"/>
      <c r="L3628" s="33"/>
      <c r="M3628" s="33"/>
      <c r="N3628" s="33"/>
      <c r="O3628" s="33"/>
      <c r="P3628" s="33"/>
      <c r="Q3628" s="33"/>
      <c r="R3628" s="33"/>
      <c r="T3628"/>
    </row>
    <row r="3629" spans="1:20" x14ac:dyDescent="0.2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T3629"/>
    </row>
    <row r="3630" spans="1:20" x14ac:dyDescent="0.2">
      <c r="A3630" s="33"/>
      <c r="B3630" s="33"/>
      <c r="C3630" s="33"/>
      <c r="D3630" s="33"/>
      <c r="E3630" s="33"/>
      <c r="F3630" s="33"/>
      <c r="G3630" s="33"/>
      <c r="H3630" s="33"/>
      <c r="I3630" s="33"/>
      <c r="J3630" s="33"/>
      <c r="K3630" s="33"/>
      <c r="L3630" s="33"/>
      <c r="M3630" s="33"/>
      <c r="N3630" s="33"/>
      <c r="O3630" s="33"/>
      <c r="P3630" s="33"/>
      <c r="Q3630" s="33"/>
      <c r="R3630" s="33"/>
      <c r="T3630"/>
    </row>
    <row r="3631" spans="1:20" x14ac:dyDescent="0.2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T3631"/>
    </row>
    <row r="3632" spans="1:20" x14ac:dyDescent="0.2">
      <c r="A3632" s="33"/>
      <c r="B3632" s="33"/>
      <c r="C3632" s="33"/>
      <c r="D3632" s="33"/>
      <c r="E3632" s="33"/>
      <c r="F3632" s="33"/>
      <c r="G3632" s="33"/>
      <c r="H3632" s="33"/>
      <c r="I3632" s="33"/>
      <c r="J3632" s="33"/>
      <c r="K3632" s="33"/>
      <c r="L3632" s="33"/>
      <c r="M3632" s="33"/>
      <c r="N3632" s="33"/>
      <c r="O3632" s="33"/>
      <c r="P3632" s="33"/>
      <c r="Q3632" s="33"/>
      <c r="R3632" s="33"/>
      <c r="T3632"/>
    </row>
    <row r="3633" spans="1:20" x14ac:dyDescent="0.2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T3633"/>
    </row>
    <row r="3634" spans="1:20" x14ac:dyDescent="0.2">
      <c r="A3634" s="33"/>
      <c r="B3634" s="33"/>
      <c r="C3634" s="33"/>
      <c r="D3634" s="33"/>
      <c r="E3634" s="33"/>
      <c r="F3634" s="33"/>
      <c r="G3634" s="33"/>
      <c r="H3634" s="33"/>
      <c r="I3634" s="33"/>
      <c r="J3634" s="33"/>
      <c r="K3634" s="33"/>
      <c r="L3634" s="33"/>
      <c r="M3634" s="33"/>
      <c r="N3634" s="33"/>
      <c r="O3634" s="33"/>
      <c r="P3634" s="33"/>
      <c r="Q3634" s="33"/>
      <c r="R3634" s="33"/>
      <c r="T3634"/>
    </row>
    <row r="3635" spans="1:20" x14ac:dyDescent="0.2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T3635"/>
    </row>
    <row r="3636" spans="1:20" x14ac:dyDescent="0.2">
      <c r="A3636" s="33"/>
      <c r="B3636" s="33"/>
      <c r="C3636" s="33"/>
      <c r="D3636" s="33"/>
      <c r="E3636" s="33"/>
      <c r="F3636" s="33"/>
      <c r="G3636" s="33"/>
      <c r="H3636" s="33"/>
      <c r="I3636" s="33"/>
      <c r="J3636" s="33"/>
      <c r="K3636" s="33"/>
      <c r="L3636" s="33"/>
      <c r="M3636" s="33"/>
      <c r="N3636" s="33"/>
      <c r="O3636" s="33"/>
      <c r="P3636" s="33"/>
      <c r="Q3636" s="33"/>
      <c r="R3636" s="33"/>
      <c r="T3636"/>
    </row>
    <row r="3637" spans="1:20" x14ac:dyDescent="0.2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T3637"/>
    </row>
    <row r="3638" spans="1:20" x14ac:dyDescent="0.2">
      <c r="A3638" s="33"/>
      <c r="B3638" s="33"/>
      <c r="C3638" s="33"/>
      <c r="D3638" s="33"/>
      <c r="E3638" s="33"/>
      <c r="F3638" s="33"/>
      <c r="G3638" s="33"/>
      <c r="H3638" s="33"/>
      <c r="I3638" s="33"/>
      <c r="J3638" s="33"/>
      <c r="K3638" s="33"/>
      <c r="L3638" s="33"/>
      <c r="M3638" s="33"/>
      <c r="N3638" s="33"/>
      <c r="O3638" s="33"/>
      <c r="P3638" s="33"/>
      <c r="Q3638" s="33"/>
      <c r="R3638" s="33"/>
      <c r="T3638"/>
    </row>
    <row r="3639" spans="1:20" x14ac:dyDescent="0.2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T3639"/>
    </row>
    <row r="3640" spans="1:20" x14ac:dyDescent="0.2">
      <c r="A3640" s="33"/>
      <c r="B3640" s="33"/>
      <c r="C3640" s="33"/>
      <c r="D3640" s="33"/>
      <c r="E3640" s="33"/>
      <c r="F3640" s="33"/>
      <c r="G3640" s="33"/>
      <c r="H3640" s="33"/>
      <c r="I3640" s="33"/>
      <c r="J3640" s="33"/>
      <c r="K3640" s="33"/>
      <c r="L3640" s="33"/>
      <c r="M3640" s="33"/>
      <c r="N3640" s="33"/>
      <c r="O3640" s="33"/>
      <c r="P3640" s="33"/>
      <c r="Q3640" s="33"/>
      <c r="R3640" s="33"/>
      <c r="T3640"/>
    </row>
    <row r="3641" spans="1:20" x14ac:dyDescent="0.2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T3641"/>
    </row>
    <row r="3642" spans="1:20" x14ac:dyDescent="0.2">
      <c r="A3642" s="33"/>
      <c r="B3642" s="33"/>
      <c r="C3642" s="33"/>
      <c r="D3642" s="33"/>
      <c r="E3642" s="33"/>
      <c r="F3642" s="33"/>
      <c r="G3642" s="33"/>
      <c r="H3642" s="33"/>
      <c r="I3642" s="33"/>
      <c r="J3642" s="33"/>
      <c r="K3642" s="33"/>
      <c r="L3642" s="33"/>
      <c r="M3642" s="33"/>
      <c r="N3642" s="33"/>
      <c r="O3642" s="33"/>
      <c r="P3642" s="33"/>
      <c r="Q3642" s="33"/>
      <c r="R3642" s="33"/>
      <c r="T3642"/>
    </row>
    <row r="3643" spans="1:20" x14ac:dyDescent="0.2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T3643"/>
    </row>
    <row r="3644" spans="1:20" x14ac:dyDescent="0.2">
      <c r="A3644" s="33"/>
      <c r="B3644" s="33"/>
      <c r="C3644" s="33"/>
      <c r="D3644" s="33"/>
      <c r="E3644" s="33"/>
      <c r="F3644" s="33"/>
      <c r="G3644" s="33"/>
      <c r="H3644" s="33"/>
      <c r="I3644" s="33"/>
      <c r="J3644" s="33"/>
      <c r="K3644" s="33"/>
      <c r="L3644" s="33"/>
      <c r="M3644" s="33"/>
      <c r="N3644" s="33"/>
      <c r="O3644" s="33"/>
      <c r="P3644" s="33"/>
      <c r="Q3644" s="33"/>
      <c r="R3644" s="33"/>
      <c r="T3644"/>
    </row>
    <row r="3645" spans="1:20" x14ac:dyDescent="0.2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T3645"/>
    </row>
    <row r="3646" spans="1:20" x14ac:dyDescent="0.2">
      <c r="A3646" s="33"/>
      <c r="B3646" s="33"/>
      <c r="C3646" s="33"/>
      <c r="D3646" s="33"/>
      <c r="E3646" s="33"/>
      <c r="F3646" s="33"/>
      <c r="G3646" s="33"/>
      <c r="H3646" s="33"/>
      <c r="I3646" s="33"/>
      <c r="J3646" s="33"/>
      <c r="K3646" s="33"/>
      <c r="L3646" s="33"/>
      <c r="M3646" s="33"/>
      <c r="N3646" s="33"/>
      <c r="O3646" s="33"/>
      <c r="P3646" s="33"/>
      <c r="Q3646" s="33"/>
      <c r="R3646" s="33"/>
      <c r="T3646"/>
    </row>
    <row r="3647" spans="1:20" x14ac:dyDescent="0.2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T3647"/>
    </row>
    <row r="3648" spans="1:20" x14ac:dyDescent="0.2">
      <c r="A3648" s="33"/>
      <c r="B3648" s="33"/>
      <c r="C3648" s="33"/>
      <c r="D3648" s="33"/>
      <c r="E3648" s="33"/>
      <c r="F3648" s="33"/>
      <c r="G3648" s="33"/>
      <c r="H3648" s="33"/>
      <c r="I3648" s="33"/>
      <c r="J3648" s="33"/>
      <c r="K3648" s="33"/>
      <c r="L3648" s="33"/>
      <c r="M3648" s="33"/>
      <c r="N3648" s="33"/>
      <c r="O3648" s="33"/>
      <c r="P3648" s="33"/>
      <c r="Q3648" s="33"/>
      <c r="R3648" s="33"/>
      <c r="T3648"/>
    </row>
    <row r="3649" spans="1:20" x14ac:dyDescent="0.2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T3649"/>
    </row>
    <row r="3650" spans="1:20" x14ac:dyDescent="0.2">
      <c r="A3650" s="33"/>
      <c r="B3650" s="33"/>
      <c r="C3650" s="33"/>
      <c r="D3650" s="33"/>
      <c r="E3650" s="33"/>
      <c r="F3650" s="33"/>
      <c r="G3650" s="33"/>
      <c r="H3650" s="33"/>
      <c r="I3650" s="33"/>
      <c r="J3650" s="33"/>
      <c r="K3650" s="33"/>
      <c r="L3650" s="33"/>
      <c r="M3650" s="33"/>
      <c r="N3650" s="33"/>
      <c r="O3650" s="33"/>
      <c r="P3650" s="33"/>
      <c r="Q3650" s="33"/>
      <c r="R3650" s="33"/>
      <c r="T3650"/>
    </row>
    <row r="3651" spans="1:20" x14ac:dyDescent="0.2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T3651"/>
    </row>
    <row r="3652" spans="1:20" x14ac:dyDescent="0.2">
      <c r="A3652" s="33"/>
      <c r="B3652" s="33"/>
      <c r="C3652" s="33"/>
      <c r="D3652" s="33"/>
      <c r="E3652" s="33"/>
      <c r="F3652" s="33"/>
      <c r="G3652" s="33"/>
      <c r="H3652" s="33"/>
      <c r="I3652" s="33"/>
      <c r="J3652" s="33"/>
      <c r="K3652" s="33"/>
      <c r="L3652" s="33"/>
      <c r="M3652" s="33"/>
      <c r="N3652" s="33"/>
      <c r="O3652" s="33"/>
      <c r="P3652" s="33"/>
      <c r="Q3652" s="33"/>
      <c r="R3652" s="33"/>
      <c r="T3652"/>
    </row>
    <row r="3653" spans="1:20" x14ac:dyDescent="0.2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T3653"/>
    </row>
    <row r="3654" spans="1:20" x14ac:dyDescent="0.2">
      <c r="A3654" s="33"/>
      <c r="B3654" s="33"/>
      <c r="C3654" s="33"/>
      <c r="D3654" s="33"/>
      <c r="E3654" s="33"/>
      <c r="F3654" s="33"/>
      <c r="G3654" s="33"/>
      <c r="H3654" s="33"/>
      <c r="I3654" s="33"/>
      <c r="J3654" s="33"/>
      <c r="K3654" s="33"/>
      <c r="L3654" s="33"/>
      <c r="M3654" s="33"/>
      <c r="N3654" s="33"/>
      <c r="O3654" s="33"/>
      <c r="P3654" s="33"/>
      <c r="Q3654" s="33"/>
      <c r="R3654" s="33"/>
      <c r="T3654"/>
    </row>
    <row r="3655" spans="1:20" x14ac:dyDescent="0.2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T3655"/>
    </row>
    <row r="3656" spans="1:20" x14ac:dyDescent="0.2">
      <c r="A3656" s="33"/>
      <c r="B3656" s="33"/>
      <c r="C3656" s="33"/>
      <c r="D3656" s="33"/>
      <c r="E3656" s="33"/>
      <c r="F3656" s="33"/>
      <c r="G3656" s="33"/>
      <c r="H3656" s="33"/>
      <c r="I3656" s="33"/>
      <c r="J3656" s="33"/>
      <c r="K3656" s="33"/>
      <c r="L3656" s="33"/>
      <c r="M3656" s="33"/>
      <c r="N3656" s="33"/>
      <c r="O3656" s="33"/>
      <c r="P3656" s="33"/>
      <c r="Q3656" s="33"/>
      <c r="R3656" s="33"/>
      <c r="T3656"/>
    </row>
    <row r="3657" spans="1:20" x14ac:dyDescent="0.2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T3657"/>
    </row>
    <row r="3658" spans="1:20" x14ac:dyDescent="0.2">
      <c r="A3658" s="33"/>
      <c r="B3658" s="33"/>
      <c r="C3658" s="33"/>
      <c r="D3658" s="33"/>
      <c r="E3658" s="33"/>
      <c r="F3658" s="33"/>
      <c r="G3658" s="33"/>
      <c r="H3658" s="33"/>
      <c r="I3658" s="33"/>
      <c r="J3658" s="33"/>
      <c r="K3658" s="33"/>
      <c r="L3658" s="33"/>
      <c r="M3658" s="33"/>
      <c r="N3658" s="33"/>
      <c r="O3658" s="33"/>
      <c r="P3658" s="33"/>
      <c r="Q3658" s="33"/>
      <c r="R3658" s="33"/>
      <c r="T3658"/>
    </row>
    <row r="3659" spans="1:20" x14ac:dyDescent="0.2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T3659"/>
    </row>
    <row r="3660" spans="1:20" x14ac:dyDescent="0.2">
      <c r="A3660" s="33"/>
      <c r="B3660" s="33"/>
      <c r="C3660" s="33"/>
      <c r="D3660" s="33"/>
      <c r="E3660" s="33"/>
      <c r="F3660" s="33"/>
      <c r="G3660" s="33"/>
      <c r="H3660" s="33"/>
      <c r="I3660" s="33"/>
      <c r="J3660" s="33"/>
      <c r="K3660" s="33"/>
      <c r="L3660" s="33"/>
      <c r="M3660" s="33"/>
      <c r="N3660" s="33"/>
      <c r="O3660" s="33"/>
      <c r="P3660" s="33"/>
      <c r="Q3660" s="33"/>
      <c r="R3660" s="33"/>
      <c r="T3660"/>
    </row>
    <row r="3661" spans="1:20" x14ac:dyDescent="0.2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T3661"/>
    </row>
    <row r="3662" spans="1:20" x14ac:dyDescent="0.2">
      <c r="A3662" s="33"/>
      <c r="B3662" s="33"/>
      <c r="C3662" s="33"/>
      <c r="D3662" s="33"/>
      <c r="E3662" s="33"/>
      <c r="F3662" s="33"/>
      <c r="G3662" s="33"/>
      <c r="H3662" s="33"/>
      <c r="I3662" s="33"/>
      <c r="J3662" s="33"/>
      <c r="K3662" s="33"/>
      <c r="L3662" s="33"/>
      <c r="M3662" s="33"/>
      <c r="N3662" s="33"/>
      <c r="O3662" s="33"/>
      <c r="P3662" s="33"/>
      <c r="Q3662" s="33"/>
      <c r="R3662" s="33"/>
      <c r="T3662"/>
    </row>
    <row r="3663" spans="1:20" x14ac:dyDescent="0.2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T3663"/>
    </row>
    <row r="3664" spans="1:20" x14ac:dyDescent="0.2">
      <c r="A3664" s="33"/>
      <c r="B3664" s="33"/>
      <c r="C3664" s="33"/>
      <c r="D3664" s="33"/>
      <c r="E3664" s="33"/>
      <c r="F3664" s="33"/>
      <c r="G3664" s="33"/>
      <c r="H3664" s="33"/>
      <c r="I3664" s="33"/>
      <c r="J3664" s="33"/>
      <c r="K3664" s="33"/>
      <c r="L3664" s="33"/>
      <c r="M3664" s="33"/>
      <c r="N3664" s="33"/>
      <c r="O3664" s="33"/>
      <c r="P3664" s="33"/>
      <c r="Q3664" s="33"/>
      <c r="R3664" s="33"/>
      <c r="T3664"/>
    </row>
    <row r="3665" spans="1:20" x14ac:dyDescent="0.2">
      <c r="A3665" s="9"/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T3665"/>
    </row>
    <row r="3666" spans="1:20" x14ac:dyDescent="0.2">
      <c r="A3666" s="33"/>
      <c r="B3666" s="33"/>
      <c r="C3666" s="33"/>
      <c r="D3666" s="33"/>
      <c r="E3666" s="33"/>
      <c r="F3666" s="33"/>
      <c r="G3666" s="33"/>
      <c r="H3666" s="33"/>
      <c r="I3666" s="33"/>
      <c r="J3666" s="33"/>
      <c r="K3666" s="33"/>
      <c r="L3666" s="33"/>
      <c r="M3666" s="33"/>
      <c r="N3666" s="33"/>
      <c r="O3666" s="33"/>
      <c r="P3666" s="33"/>
      <c r="Q3666" s="33"/>
      <c r="R3666" s="33"/>
      <c r="T3666"/>
    </row>
    <row r="3667" spans="1:20" x14ac:dyDescent="0.2">
      <c r="A3667" s="9"/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T3667"/>
    </row>
    <row r="3668" spans="1:20" x14ac:dyDescent="0.2">
      <c r="A3668" s="33"/>
      <c r="B3668" s="33"/>
      <c r="C3668" s="33"/>
      <c r="D3668" s="33"/>
      <c r="E3668" s="33"/>
      <c r="F3668" s="33"/>
      <c r="G3668" s="33"/>
      <c r="H3668" s="33"/>
      <c r="I3668" s="33"/>
      <c r="J3668" s="33"/>
      <c r="K3668" s="33"/>
      <c r="L3668" s="33"/>
      <c r="M3668" s="33"/>
      <c r="N3668" s="33"/>
      <c r="O3668" s="33"/>
      <c r="P3668" s="33"/>
      <c r="Q3668" s="33"/>
      <c r="R3668" s="33"/>
      <c r="T3668"/>
    </row>
    <row r="3669" spans="1:20" x14ac:dyDescent="0.2">
      <c r="A3669" s="9"/>
      <c r="B3669" s="9"/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T3669"/>
    </row>
    <row r="3670" spans="1:20" x14ac:dyDescent="0.2">
      <c r="A3670" s="33"/>
      <c r="B3670" s="33"/>
      <c r="C3670" s="33"/>
      <c r="D3670" s="33"/>
      <c r="E3670" s="33"/>
      <c r="F3670" s="33"/>
      <c r="G3670" s="33"/>
      <c r="H3670" s="33"/>
      <c r="I3670" s="33"/>
      <c r="J3670" s="33"/>
      <c r="K3670" s="33"/>
      <c r="L3670" s="33"/>
      <c r="M3670" s="33"/>
      <c r="N3670" s="33"/>
      <c r="O3670" s="33"/>
      <c r="P3670" s="33"/>
      <c r="Q3670" s="33"/>
      <c r="R3670" s="33"/>
      <c r="T3670"/>
    </row>
    <row r="3671" spans="1:20" x14ac:dyDescent="0.2">
      <c r="A3671" s="9"/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T3671"/>
    </row>
    <row r="3672" spans="1:20" x14ac:dyDescent="0.2">
      <c r="A3672" s="33"/>
      <c r="B3672" s="33"/>
      <c r="C3672" s="33"/>
      <c r="D3672" s="33"/>
      <c r="E3672" s="33"/>
      <c r="F3672" s="33"/>
      <c r="G3672" s="33"/>
      <c r="H3672" s="33"/>
      <c r="I3672" s="33"/>
      <c r="J3672" s="33"/>
      <c r="K3672" s="33"/>
      <c r="L3672" s="33"/>
      <c r="M3672" s="33"/>
      <c r="N3672" s="33"/>
      <c r="O3672" s="33"/>
      <c r="P3672" s="33"/>
      <c r="Q3672" s="33"/>
      <c r="R3672" s="33"/>
      <c r="T3672"/>
    </row>
    <row r="3673" spans="1:20" x14ac:dyDescent="0.2">
      <c r="A3673" s="9"/>
      <c r="B3673" s="9"/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T3673"/>
    </row>
    <row r="3674" spans="1:20" x14ac:dyDescent="0.2">
      <c r="A3674" s="33"/>
      <c r="B3674" s="33"/>
      <c r="C3674" s="33"/>
      <c r="D3674" s="33"/>
      <c r="E3674" s="33"/>
      <c r="F3674" s="33"/>
      <c r="G3674" s="33"/>
      <c r="H3674" s="33"/>
      <c r="I3674" s="33"/>
      <c r="J3674" s="33"/>
      <c r="K3674" s="33"/>
      <c r="L3674" s="33"/>
      <c r="M3674" s="33"/>
      <c r="N3674" s="33"/>
      <c r="O3674" s="33"/>
      <c r="P3674" s="33"/>
      <c r="Q3674" s="33"/>
      <c r="R3674" s="33"/>
      <c r="T3674"/>
    </row>
    <row r="3675" spans="1:20" x14ac:dyDescent="0.2">
      <c r="A3675" s="9"/>
      <c r="B3675" s="9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T3675"/>
    </row>
    <row r="3676" spans="1:20" x14ac:dyDescent="0.2">
      <c r="A3676" s="33"/>
      <c r="B3676" s="33"/>
      <c r="C3676" s="33"/>
      <c r="D3676" s="33"/>
      <c r="E3676" s="33"/>
      <c r="F3676" s="33"/>
      <c r="G3676" s="33"/>
      <c r="H3676" s="33"/>
      <c r="I3676" s="33"/>
      <c r="J3676" s="33"/>
      <c r="K3676" s="33"/>
      <c r="L3676" s="33"/>
      <c r="M3676" s="33"/>
      <c r="N3676" s="33"/>
      <c r="O3676" s="33"/>
      <c r="P3676" s="33"/>
      <c r="Q3676" s="33"/>
      <c r="R3676" s="33"/>
      <c r="T3676"/>
    </row>
    <row r="3677" spans="1:20" x14ac:dyDescent="0.2">
      <c r="A3677" s="9"/>
      <c r="B3677" s="9"/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T3677"/>
    </row>
    <row r="3678" spans="1:20" x14ac:dyDescent="0.2">
      <c r="A3678" s="33"/>
      <c r="B3678" s="33"/>
      <c r="C3678" s="33"/>
      <c r="D3678" s="33"/>
      <c r="E3678" s="33"/>
      <c r="F3678" s="33"/>
      <c r="G3678" s="33"/>
      <c r="H3678" s="33"/>
      <c r="I3678" s="33"/>
      <c r="J3678" s="33"/>
      <c r="K3678" s="33"/>
      <c r="L3678" s="33"/>
      <c r="M3678" s="33"/>
      <c r="N3678" s="33"/>
      <c r="O3678" s="33"/>
      <c r="P3678" s="33"/>
      <c r="Q3678" s="33"/>
      <c r="R3678" s="33"/>
      <c r="T3678"/>
    </row>
    <row r="3679" spans="1:20" x14ac:dyDescent="0.2">
      <c r="A3679" s="9"/>
      <c r="B3679" s="9"/>
      <c r="C3679" s="9"/>
      <c r="D3679" s="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T3679"/>
    </row>
    <row r="3680" spans="1:20" x14ac:dyDescent="0.2">
      <c r="A3680" s="33"/>
      <c r="B3680" s="33"/>
      <c r="C3680" s="33"/>
      <c r="D3680" s="33"/>
      <c r="E3680" s="33"/>
      <c r="F3680" s="33"/>
      <c r="G3680" s="33"/>
      <c r="H3680" s="33"/>
      <c r="I3680" s="33"/>
      <c r="J3680" s="33"/>
      <c r="K3680" s="33"/>
      <c r="L3680" s="33"/>
      <c r="M3680" s="33"/>
      <c r="N3680" s="33"/>
      <c r="O3680" s="33"/>
      <c r="P3680" s="33"/>
      <c r="Q3680" s="33"/>
      <c r="R3680" s="33"/>
      <c r="T3680"/>
    </row>
    <row r="3681" spans="1:20" x14ac:dyDescent="0.2">
      <c r="A3681" s="9"/>
      <c r="B3681" s="9"/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T3681"/>
    </row>
    <row r="3682" spans="1:20" x14ac:dyDescent="0.2">
      <c r="A3682" s="33"/>
      <c r="B3682" s="33"/>
      <c r="C3682" s="33"/>
      <c r="D3682" s="33"/>
      <c r="E3682" s="33"/>
      <c r="F3682" s="33"/>
      <c r="G3682" s="33"/>
      <c r="H3682" s="33"/>
      <c r="I3682" s="33"/>
      <c r="J3682" s="33"/>
      <c r="K3682" s="33"/>
      <c r="L3682" s="33"/>
      <c r="M3682" s="33"/>
      <c r="N3682" s="33"/>
      <c r="O3682" s="33"/>
      <c r="P3682" s="33"/>
      <c r="Q3682" s="33"/>
      <c r="R3682" s="33"/>
      <c r="T3682"/>
    </row>
    <row r="3683" spans="1:20" x14ac:dyDescent="0.2">
      <c r="A3683" s="9"/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T3683"/>
    </row>
    <row r="3684" spans="1:20" x14ac:dyDescent="0.2">
      <c r="A3684" s="33"/>
      <c r="B3684" s="33"/>
      <c r="C3684" s="33"/>
      <c r="D3684" s="33"/>
      <c r="E3684" s="33"/>
      <c r="F3684" s="33"/>
      <c r="G3684" s="33"/>
      <c r="H3684" s="33"/>
      <c r="I3684" s="33"/>
      <c r="J3684" s="33"/>
      <c r="K3684" s="33"/>
      <c r="L3684" s="33"/>
      <c r="M3684" s="33"/>
      <c r="N3684" s="33"/>
      <c r="O3684" s="33"/>
      <c r="P3684" s="33"/>
      <c r="Q3684" s="33"/>
      <c r="R3684" s="33"/>
      <c r="T3684"/>
    </row>
    <row r="3685" spans="1:20" x14ac:dyDescent="0.2">
      <c r="A3685" s="9"/>
      <c r="B3685" s="9"/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T3685"/>
    </row>
    <row r="3686" spans="1:20" x14ac:dyDescent="0.2">
      <c r="A3686" s="33"/>
      <c r="B3686" s="33"/>
      <c r="C3686" s="33"/>
      <c r="D3686" s="33"/>
      <c r="E3686" s="33"/>
      <c r="F3686" s="33"/>
      <c r="G3686" s="33"/>
      <c r="H3686" s="33"/>
      <c r="I3686" s="33"/>
      <c r="J3686" s="33"/>
      <c r="K3686" s="33"/>
      <c r="L3686" s="33"/>
      <c r="M3686" s="33"/>
      <c r="N3686" s="33"/>
      <c r="O3686" s="33"/>
      <c r="P3686" s="33"/>
      <c r="Q3686" s="33"/>
      <c r="R3686" s="33"/>
      <c r="T3686"/>
    </row>
    <row r="3687" spans="1:20" x14ac:dyDescent="0.2">
      <c r="A3687" s="9"/>
      <c r="B3687" s="9"/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T3687"/>
    </row>
    <row r="3688" spans="1:20" x14ac:dyDescent="0.2">
      <c r="A3688" s="33"/>
      <c r="B3688" s="33"/>
      <c r="C3688" s="33"/>
      <c r="D3688" s="33"/>
      <c r="E3688" s="33"/>
      <c r="F3688" s="33"/>
      <c r="G3688" s="33"/>
      <c r="H3688" s="33"/>
      <c r="I3688" s="33"/>
      <c r="J3688" s="33"/>
      <c r="K3688" s="33"/>
      <c r="L3688" s="33"/>
      <c r="M3688" s="33"/>
      <c r="N3688" s="33"/>
      <c r="O3688" s="33"/>
      <c r="P3688" s="33"/>
      <c r="Q3688" s="33"/>
      <c r="R3688" s="33"/>
      <c r="T3688"/>
    </row>
    <row r="3689" spans="1:20" x14ac:dyDescent="0.2">
      <c r="A3689" s="9"/>
      <c r="B3689" s="9"/>
      <c r="C3689" s="9"/>
      <c r="D3689" s="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T3689"/>
    </row>
    <row r="3690" spans="1:20" x14ac:dyDescent="0.2">
      <c r="A3690" s="33"/>
      <c r="B3690" s="33"/>
      <c r="C3690" s="33"/>
      <c r="D3690" s="33"/>
      <c r="E3690" s="33"/>
      <c r="F3690" s="33"/>
      <c r="G3690" s="33"/>
      <c r="H3690" s="33"/>
      <c r="I3690" s="33"/>
      <c r="J3690" s="33"/>
      <c r="K3690" s="33"/>
      <c r="L3690" s="33"/>
      <c r="M3690" s="33"/>
      <c r="N3690" s="33"/>
      <c r="O3690" s="33"/>
      <c r="P3690" s="33"/>
      <c r="Q3690" s="33"/>
      <c r="R3690" s="33"/>
      <c r="T3690"/>
    </row>
    <row r="3691" spans="1:20" x14ac:dyDescent="0.2">
      <c r="A3691" s="9"/>
      <c r="B3691" s="9"/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T3691"/>
    </row>
    <row r="3692" spans="1:20" x14ac:dyDescent="0.2">
      <c r="A3692" s="33"/>
      <c r="B3692" s="33"/>
      <c r="C3692" s="33"/>
      <c r="D3692" s="33"/>
      <c r="E3692" s="33"/>
      <c r="F3692" s="33"/>
      <c r="G3692" s="33"/>
      <c r="H3692" s="33"/>
      <c r="I3692" s="33"/>
      <c r="J3692" s="33"/>
      <c r="K3692" s="33"/>
      <c r="L3692" s="33"/>
      <c r="M3692" s="33"/>
      <c r="N3692" s="33"/>
      <c r="O3692" s="33"/>
      <c r="P3692" s="33"/>
      <c r="Q3692" s="33"/>
      <c r="R3692" s="33"/>
      <c r="T3692"/>
    </row>
    <row r="3693" spans="1:20" x14ac:dyDescent="0.2">
      <c r="A3693" s="9"/>
      <c r="B3693" s="9"/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T3693"/>
    </row>
    <row r="3694" spans="1:20" x14ac:dyDescent="0.2">
      <c r="A3694" s="33"/>
      <c r="B3694" s="33"/>
      <c r="C3694" s="33"/>
      <c r="D3694" s="33"/>
      <c r="E3694" s="33"/>
      <c r="F3694" s="33"/>
      <c r="G3694" s="33"/>
      <c r="H3694" s="33"/>
      <c r="I3694" s="33"/>
      <c r="J3694" s="33"/>
      <c r="K3694" s="33"/>
      <c r="L3694" s="33"/>
      <c r="M3694" s="33"/>
      <c r="N3694" s="33"/>
      <c r="O3694" s="33"/>
      <c r="P3694" s="33"/>
      <c r="Q3694" s="33"/>
      <c r="R3694" s="33"/>
      <c r="T3694"/>
    </row>
    <row r="3695" spans="1:20" x14ac:dyDescent="0.2">
      <c r="A3695" s="9"/>
      <c r="B3695" s="9"/>
      <c r="C3695" s="9"/>
      <c r="D3695" s="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T3695"/>
    </row>
    <row r="3696" spans="1:20" x14ac:dyDescent="0.2">
      <c r="A3696" s="33"/>
      <c r="B3696" s="33"/>
      <c r="C3696" s="33"/>
      <c r="D3696" s="33"/>
      <c r="E3696" s="33"/>
      <c r="F3696" s="33"/>
      <c r="G3696" s="33"/>
      <c r="H3696" s="33"/>
      <c r="I3696" s="33"/>
      <c r="J3696" s="33"/>
      <c r="K3696" s="33"/>
      <c r="L3696" s="33"/>
      <c r="M3696" s="33"/>
      <c r="N3696" s="33"/>
      <c r="O3696" s="33"/>
      <c r="P3696" s="33"/>
      <c r="Q3696" s="33"/>
      <c r="R3696" s="33"/>
      <c r="T3696"/>
    </row>
    <row r="3697" spans="1:20" x14ac:dyDescent="0.2">
      <c r="A3697" s="9"/>
      <c r="B3697" s="9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T3697"/>
    </row>
    <row r="3698" spans="1:20" x14ac:dyDescent="0.2">
      <c r="A3698" s="33"/>
      <c r="B3698" s="33"/>
      <c r="C3698" s="33"/>
      <c r="D3698" s="33"/>
      <c r="E3698" s="33"/>
      <c r="F3698" s="33"/>
      <c r="G3698" s="33"/>
      <c r="H3698" s="33"/>
      <c r="I3698" s="33"/>
      <c r="J3698" s="33"/>
      <c r="K3698" s="33"/>
      <c r="L3698" s="33"/>
      <c r="M3698" s="33"/>
      <c r="N3698" s="33"/>
      <c r="O3698" s="33"/>
      <c r="P3698" s="33"/>
      <c r="Q3698" s="33"/>
      <c r="R3698" s="33"/>
      <c r="T3698"/>
    </row>
    <row r="3699" spans="1:20" x14ac:dyDescent="0.2">
      <c r="A3699" s="9"/>
      <c r="B3699" s="9"/>
      <c r="C3699" s="9"/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T3699"/>
    </row>
    <row r="3700" spans="1:20" x14ac:dyDescent="0.2">
      <c r="A3700" s="33"/>
      <c r="B3700" s="33"/>
      <c r="C3700" s="33"/>
      <c r="D3700" s="33"/>
      <c r="E3700" s="33"/>
      <c r="F3700" s="33"/>
      <c r="G3700" s="33"/>
      <c r="H3700" s="33"/>
      <c r="I3700" s="33"/>
      <c r="J3700" s="33"/>
      <c r="K3700" s="33"/>
      <c r="L3700" s="33"/>
      <c r="M3700" s="33"/>
      <c r="N3700" s="33"/>
      <c r="O3700" s="33"/>
      <c r="P3700" s="33"/>
      <c r="Q3700" s="33"/>
      <c r="R3700" s="33"/>
      <c r="T3700"/>
    </row>
    <row r="3701" spans="1:20" x14ac:dyDescent="0.2">
      <c r="A3701" s="9"/>
      <c r="B3701" s="9"/>
      <c r="C3701" s="9"/>
      <c r="D3701" s="9"/>
      <c r="E3701" s="9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T3701"/>
    </row>
    <row r="3702" spans="1:20" x14ac:dyDescent="0.2">
      <c r="A3702" s="33"/>
      <c r="B3702" s="33"/>
      <c r="C3702" s="33"/>
      <c r="D3702" s="33"/>
      <c r="E3702" s="33"/>
      <c r="F3702" s="33"/>
      <c r="G3702" s="33"/>
      <c r="H3702" s="33"/>
      <c r="I3702" s="33"/>
      <c r="J3702" s="33"/>
      <c r="K3702" s="33"/>
      <c r="L3702" s="33"/>
      <c r="M3702" s="33"/>
      <c r="N3702" s="33"/>
      <c r="O3702" s="33"/>
      <c r="P3702" s="33"/>
      <c r="Q3702" s="33"/>
      <c r="R3702" s="33"/>
      <c r="T3702"/>
    </row>
    <row r="3703" spans="1:20" x14ac:dyDescent="0.2">
      <c r="A3703" s="9"/>
      <c r="B3703" s="9"/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T3703"/>
    </row>
    <row r="3704" spans="1:20" x14ac:dyDescent="0.2">
      <c r="A3704" s="33"/>
      <c r="B3704" s="33"/>
      <c r="C3704" s="33"/>
      <c r="D3704" s="33"/>
      <c r="E3704" s="33"/>
      <c r="F3704" s="33"/>
      <c r="G3704" s="33"/>
      <c r="H3704" s="33"/>
      <c r="I3704" s="33"/>
      <c r="J3704" s="33"/>
      <c r="K3704" s="33"/>
      <c r="L3704" s="33"/>
      <c r="M3704" s="33"/>
      <c r="N3704" s="33"/>
      <c r="O3704" s="33"/>
      <c r="P3704" s="33"/>
      <c r="Q3704" s="33"/>
      <c r="R3704" s="33"/>
      <c r="T3704"/>
    </row>
    <row r="3705" spans="1:20" x14ac:dyDescent="0.2">
      <c r="A3705" s="9"/>
      <c r="B3705" s="9"/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T3705"/>
    </row>
    <row r="3706" spans="1:20" x14ac:dyDescent="0.2">
      <c r="A3706" s="33"/>
      <c r="B3706" s="33"/>
      <c r="C3706" s="33"/>
      <c r="D3706" s="33"/>
      <c r="E3706" s="33"/>
      <c r="F3706" s="33"/>
      <c r="G3706" s="33"/>
      <c r="H3706" s="33"/>
      <c r="I3706" s="33"/>
      <c r="J3706" s="33"/>
      <c r="K3706" s="33"/>
      <c r="L3706" s="33"/>
      <c r="M3706" s="33"/>
      <c r="N3706" s="33"/>
      <c r="O3706" s="33"/>
      <c r="P3706" s="33"/>
      <c r="Q3706" s="33"/>
      <c r="R3706" s="33"/>
      <c r="T3706"/>
    </row>
    <row r="3707" spans="1:20" x14ac:dyDescent="0.2">
      <c r="A3707" s="9"/>
      <c r="B3707" s="9"/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T3707"/>
    </row>
    <row r="3708" spans="1:20" x14ac:dyDescent="0.2">
      <c r="A3708" s="33"/>
      <c r="B3708" s="33"/>
      <c r="C3708" s="33"/>
      <c r="D3708" s="33"/>
      <c r="E3708" s="33"/>
      <c r="F3708" s="33"/>
      <c r="G3708" s="33"/>
      <c r="H3708" s="33"/>
      <c r="I3708" s="33"/>
      <c r="J3708" s="33"/>
      <c r="K3708" s="33"/>
      <c r="L3708" s="33"/>
      <c r="M3708" s="33"/>
      <c r="N3708" s="33"/>
      <c r="O3708" s="33"/>
      <c r="P3708" s="33"/>
      <c r="Q3708" s="33"/>
      <c r="R3708" s="33"/>
      <c r="T3708"/>
    </row>
    <row r="3709" spans="1:20" x14ac:dyDescent="0.2">
      <c r="A3709" s="9"/>
      <c r="B3709" s="9"/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T3709"/>
    </row>
    <row r="3710" spans="1:20" x14ac:dyDescent="0.2">
      <c r="A3710" s="33"/>
      <c r="B3710" s="33"/>
      <c r="C3710" s="33"/>
      <c r="D3710" s="33"/>
      <c r="E3710" s="33"/>
      <c r="F3710" s="33"/>
      <c r="G3710" s="33"/>
      <c r="H3710" s="33"/>
      <c r="I3710" s="33"/>
      <c r="J3710" s="33"/>
      <c r="K3710" s="33"/>
      <c r="L3710" s="33"/>
      <c r="M3710" s="33"/>
      <c r="N3710" s="33"/>
      <c r="O3710" s="33"/>
      <c r="P3710" s="33"/>
      <c r="Q3710" s="33"/>
      <c r="R3710" s="33"/>
      <c r="T3710"/>
    </row>
    <row r="3711" spans="1:20" x14ac:dyDescent="0.2">
      <c r="A3711" s="9"/>
      <c r="B3711" s="9"/>
      <c r="C3711" s="9"/>
      <c r="D3711" s="9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T3711"/>
    </row>
    <row r="3712" spans="1:20" x14ac:dyDescent="0.2">
      <c r="A3712" s="33"/>
      <c r="B3712" s="33"/>
      <c r="C3712" s="33"/>
      <c r="D3712" s="33"/>
      <c r="E3712" s="33"/>
      <c r="F3712" s="33"/>
      <c r="G3712" s="33"/>
      <c r="H3712" s="33"/>
      <c r="I3712" s="33"/>
      <c r="J3712" s="33"/>
      <c r="K3712" s="33"/>
      <c r="L3712" s="33"/>
      <c r="M3712" s="33"/>
      <c r="N3712" s="33"/>
      <c r="O3712" s="33"/>
      <c r="P3712" s="33"/>
      <c r="Q3712" s="33"/>
      <c r="R3712" s="33"/>
      <c r="T3712"/>
    </row>
    <row r="3713" spans="1:20" x14ac:dyDescent="0.2">
      <c r="A3713" s="9"/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T3713"/>
    </row>
    <row r="3714" spans="1:20" x14ac:dyDescent="0.2">
      <c r="A3714" s="33"/>
      <c r="B3714" s="33"/>
      <c r="C3714" s="33"/>
      <c r="D3714" s="33"/>
      <c r="E3714" s="33"/>
      <c r="F3714" s="33"/>
      <c r="G3714" s="33"/>
      <c r="H3714" s="33"/>
      <c r="I3714" s="33"/>
      <c r="J3714" s="33"/>
      <c r="K3714" s="33"/>
      <c r="L3714" s="33"/>
      <c r="M3714" s="33"/>
      <c r="N3714" s="33"/>
      <c r="O3714" s="33"/>
      <c r="P3714" s="33"/>
      <c r="Q3714" s="33"/>
      <c r="R3714" s="33"/>
      <c r="T3714"/>
    </row>
    <row r="3715" spans="1:20" x14ac:dyDescent="0.2">
      <c r="A3715" s="9"/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T3715"/>
    </row>
    <row r="3716" spans="1:20" x14ac:dyDescent="0.2">
      <c r="A3716" s="33"/>
      <c r="B3716" s="33"/>
      <c r="C3716" s="33"/>
      <c r="D3716" s="33"/>
      <c r="E3716" s="33"/>
      <c r="F3716" s="33"/>
      <c r="G3716" s="33"/>
      <c r="H3716" s="33"/>
      <c r="I3716" s="33"/>
      <c r="J3716" s="33"/>
      <c r="K3716" s="33"/>
      <c r="L3716" s="33"/>
      <c r="M3716" s="33"/>
      <c r="N3716" s="33"/>
      <c r="O3716" s="33"/>
      <c r="P3716" s="33"/>
      <c r="Q3716" s="33"/>
      <c r="R3716" s="33"/>
      <c r="T3716"/>
    </row>
    <row r="3717" spans="1:20" x14ac:dyDescent="0.2">
      <c r="A3717" s="9"/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T3717"/>
    </row>
    <row r="3718" spans="1:20" x14ac:dyDescent="0.2">
      <c r="A3718" s="33"/>
      <c r="B3718" s="33"/>
      <c r="C3718" s="33"/>
      <c r="D3718" s="33"/>
      <c r="E3718" s="33"/>
      <c r="F3718" s="33"/>
      <c r="G3718" s="33"/>
      <c r="H3718" s="33"/>
      <c r="I3718" s="33"/>
      <c r="J3718" s="33"/>
      <c r="K3718" s="33"/>
      <c r="L3718" s="33"/>
      <c r="M3718" s="33"/>
      <c r="N3718" s="33"/>
      <c r="O3718" s="33"/>
      <c r="P3718" s="33"/>
      <c r="Q3718" s="33"/>
      <c r="R3718" s="33"/>
      <c r="T3718"/>
    </row>
    <row r="3719" spans="1:20" x14ac:dyDescent="0.2">
      <c r="A3719" s="9"/>
      <c r="B3719" s="9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T3719"/>
    </row>
    <row r="3720" spans="1:20" x14ac:dyDescent="0.2">
      <c r="A3720" s="33"/>
      <c r="B3720" s="33"/>
      <c r="C3720" s="33"/>
      <c r="D3720" s="33"/>
      <c r="E3720" s="33"/>
      <c r="F3720" s="33"/>
      <c r="G3720" s="33"/>
      <c r="H3720" s="33"/>
      <c r="I3720" s="33"/>
      <c r="J3720" s="33"/>
      <c r="K3720" s="33"/>
      <c r="L3720" s="33"/>
      <c r="M3720" s="33"/>
      <c r="N3720" s="33"/>
      <c r="O3720" s="33"/>
      <c r="P3720" s="33"/>
      <c r="Q3720" s="33"/>
      <c r="R3720" s="33"/>
      <c r="T3720"/>
    </row>
    <row r="3721" spans="1:20" x14ac:dyDescent="0.2">
      <c r="A3721" s="9"/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T3721"/>
    </row>
    <row r="3722" spans="1:20" x14ac:dyDescent="0.2">
      <c r="A3722" s="33"/>
      <c r="B3722" s="33"/>
      <c r="C3722" s="33"/>
      <c r="D3722" s="33"/>
      <c r="E3722" s="33"/>
      <c r="F3722" s="33"/>
      <c r="G3722" s="33"/>
      <c r="H3722" s="33"/>
      <c r="I3722" s="33"/>
      <c r="J3722" s="33"/>
      <c r="K3722" s="33"/>
      <c r="L3722" s="33"/>
      <c r="M3722" s="33"/>
      <c r="N3722" s="33"/>
      <c r="O3722" s="33"/>
      <c r="P3722" s="33"/>
      <c r="Q3722" s="33"/>
      <c r="R3722" s="33"/>
      <c r="T3722"/>
    </row>
    <row r="3723" spans="1:20" x14ac:dyDescent="0.2">
      <c r="A3723" s="9"/>
      <c r="B3723" s="9"/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T3723"/>
    </row>
    <row r="3724" spans="1:20" x14ac:dyDescent="0.2">
      <c r="A3724" s="33"/>
      <c r="B3724" s="33"/>
      <c r="C3724" s="33"/>
      <c r="D3724" s="33"/>
      <c r="E3724" s="33"/>
      <c r="F3724" s="33"/>
      <c r="G3724" s="33"/>
      <c r="H3724" s="33"/>
      <c r="I3724" s="33"/>
      <c r="J3724" s="33"/>
      <c r="K3724" s="33"/>
      <c r="L3724" s="33"/>
      <c r="M3724" s="33"/>
      <c r="N3724" s="33"/>
      <c r="O3724" s="33"/>
      <c r="P3724" s="33"/>
      <c r="Q3724" s="33"/>
      <c r="R3724" s="33"/>
      <c r="T3724"/>
    </row>
    <row r="3725" spans="1:20" x14ac:dyDescent="0.2">
      <c r="A3725" s="9"/>
      <c r="B3725" s="9"/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T3725"/>
    </row>
    <row r="3726" spans="1:20" x14ac:dyDescent="0.2">
      <c r="A3726" s="33"/>
      <c r="B3726" s="33"/>
      <c r="C3726" s="33"/>
      <c r="D3726" s="33"/>
      <c r="E3726" s="33"/>
      <c r="F3726" s="33"/>
      <c r="G3726" s="33"/>
      <c r="H3726" s="33"/>
      <c r="I3726" s="33"/>
      <c r="J3726" s="33"/>
      <c r="K3726" s="33"/>
      <c r="L3726" s="33"/>
      <c r="M3726" s="33"/>
      <c r="N3726" s="33"/>
      <c r="O3726" s="33"/>
      <c r="P3726" s="33"/>
      <c r="Q3726" s="33"/>
      <c r="R3726" s="33"/>
      <c r="T3726"/>
    </row>
    <row r="3727" spans="1:20" x14ac:dyDescent="0.2">
      <c r="A3727" s="9"/>
      <c r="B3727" s="9"/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T3727"/>
    </row>
    <row r="3728" spans="1:20" x14ac:dyDescent="0.2">
      <c r="A3728" s="33"/>
      <c r="B3728" s="33"/>
      <c r="C3728" s="33"/>
      <c r="D3728" s="33"/>
      <c r="E3728" s="33"/>
      <c r="F3728" s="33"/>
      <c r="G3728" s="33"/>
      <c r="H3728" s="33"/>
      <c r="I3728" s="33"/>
      <c r="J3728" s="33"/>
      <c r="K3728" s="33"/>
      <c r="L3728" s="33"/>
      <c r="M3728" s="33"/>
      <c r="N3728" s="33"/>
      <c r="O3728" s="33"/>
      <c r="P3728" s="33"/>
      <c r="Q3728" s="33"/>
      <c r="R3728" s="33"/>
      <c r="T3728"/>
    </row>
    <row r="3729" spans="1:20" x14ac:dyDescent="0.2">
      <c r="A3729" s="9"/>
      <c r="B3729" s="9"/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T3729"/>
    </row>
    <row r="3730" spans="1:20" x14ac:dyDescent="0.2">
      <c r="A3730" s="33"/>
      <c r="B3730" s="33"/>
      <c r="C3730" s="33"/>
      <c r="D3730" s="33"/>
      <c r="E3730" s="33"/>
      <c r="F3730" s="33"/>
      <c r="G3730" s="33"/>
      <c r="H3730" s="33"/>
      <c r="I3730" s="33"/>
      <c r="J3730" s="33"/>
      <c r="K3730" s="33"/>
      <c r="L3730" s="33"/>
      <c r="M3730" s="33"/>
      <c r="N3730" s="33"/>
      <c r="O3730" s="33"/>
      <c r="P3730" s="33"/>
      <c r="Q3730" s="33"/>
      <c r="R3730" s="33"/>
      <c r="T3730"/>
    </row>
    <row r="3731" spans="1:20" x14ac:dyDescent="0.2">
      <c r="A3731" s="9"/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T3731"/>
    </row>
    <row r="3732" spans="1:20" x14ac:dyDescent="0.2">
      <c r="A3732" s="33"/>
      <c r="B3732" s="33"/>
      <c r="C3732" s="33"/>
      <c r="D3732" s="33"/>
      <c r="E3732" s="33"/>
      <c r="F3732" s="33"/>
      <c r="G3732" s="33"/>
      <c r="H3732" s="33"/>
      <c r="I3732" s="33"/>
      <c r="J3732" s="33"/>
      <c r="K3732" s="33"/>
      <c r="L3732" s="33"/>
      <c r="M3732" s="33"/>
      <c r="N3732" s="33"/>
      <c r="O3732" s="33"/>
      <c r="P3732" s="33"/>
      <c r="Q3732" s="33"/>
      <c r="R3732" s="33"/>
      <c r="T3732"/>
    </row>
    <row r="3733" spans="1:20" x14ac:dyDescent="0.2">
      <c r="A3733" s="9"/>
      <c r="B3733" s="9"/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T3733"/>
    </row>
    <row r="3734" spans="1:20" x14ac:dyDescent="0.2">
      <c r="A3734" s="33"/>
      <c r="B3734" s="33"/>
      <c r="C3734" s="33"/>
      <c r="D3734" s="33"/>
      <c r="E3734" s="33"/>
      <c r="F3734" s="33"/>
      <c r="G3734" s="33"/>
      <c r="H3734" s="33"/>
      <c r="I3734" s="33"/>
      <c r="J3734" s="33"/>
      <c r="K3734" s="33"/>
      <c r="L3734" s="33"/>
      <c r="M3734" s="33"/>
      <c r="N3734" s="33"/>
      <c r="O3734" s="33"/>
      <c r="P3734" s="33"/>
      <c r="Q3734" s="33"/>
      <c r="R3734" s="33"/>
      <c r="T3734"/>
    </row>
    <row r="3735" spans="1:20" x14ac:dyDescent="0.2">
      <c r="A3735" s="9"/>
      <c r="B3735" s="9"/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T3735"/>
    </row>
    <row r="3736" spans="1:20" x14ac:dyDescent="0.2">
      <c r="A3736" s="33"/>
      <c r="B3736" s="33"/>
      <c r="C3736" s="33"/>
      <c r="D3736" s="33"/>
      <c r="E3736" s="33"/>
      <c r="F3736" s="33"/>
      <c r="G3736" s="33"/>
      <c r="H3736" s="33"/>
      <c r="I3736" s="33"/>
      <c r="J3736" s="33"/>
      <c r="K3736" s="33"/>
      <c r="L3736" s="33"/>
      <c r="M3736" s="33"/>
      <c r="N3736" s="33"/>
      <c r="O3736" s="33"/>
      <c r="P3736" s="33"/>
      <c r="Q3736" s="33"/>
      <c r="R3736" s="33"/>
      <c r="T3736"/>
    </row>
    <row r="3737" spans="1:20" x14ac:dyDescent="0.2">
      <c r="A3737" s="9"/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T3737"/>
    </row>
    <row r="3738" spans="1:20" x14ac:dyDescent="0.2">
      <c r="A3738" s="33"/>
      <c r="B3738" s="33"/>
      <c r="C3738" s="33"/>
      <c r="D3738" s="33"/>
      <c r="E3738" s="33"/>
      <c r="F3738" s="33"/>
      <c r="G3738" s="33"/>
      <c r="H3738" s="33"/>
      <c r="I3738" s="33"/>
      <c r="J3738" s="33"/>
      <c r="K3738" s="33"/>
      <c r="L3738" s="33"/>
      <c r="M3738" s="33"/>
      <c r="N3738" s="33"/>
      <c r="O3738" s="33"/>
      <c r="P3738" s="33"/>
      <c r="Q3738" s="33"/>
      <c r="R3738" s="33"/>
      <c r="T3738"/>
    </row>
    <row r="3739" spans="1:20" x14ac:dyDescent="0.2">
      <c r="A3739" s="9"/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T3739"/>
    </row>
    <row r="3740" spans="1:20" x14ac:dyDescent="0.2">
      <c r="A3740" s="33"/>
      <c r="B3740" s="33"/>
      <c r="C3740" s="33"/>
      <c r="D3740" s="33"/>
      <c r="E3740" s="33"/>
      <c r="F3740" s="33"/>
      <c r="G3740" s="33"/>
      <c r="H3740" s="33"/>
      <c r="I3740" s="33"/>
      <c r="J3740" s="33"/>
      <c r="K3740" s="33"/>
      <c r="L3740" s="33"/>
      <c r="M3740" s="33"/>
      <c r="N3740" s="33"/>
      <c r="O3740" s="33"/>
      <c r="P3740" s="33"/>
      <c r="Q3740" s="33"/>
      <c r="R3740" s="33"/>
      <c r="T3740"/>
    </row>
    <row r="3741" spans="1:20" x14ac:dyDescent="0.2">
      <c r="A3741" s="9"/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T3741"/>
    </row>
    <row r="3742" spans="1:20" x14ac:dyDescent="0.2">
      <c r="A3742" s="33"/>
      <c r="B3742" s="33"/>
      <c r="C3742" s="33"/>
      <c r="D3742" s="33"/>
      <c r="E3742" s="33"/>
      <c r="F3742" s="33"/>
      <c r="G3742" s="33"/>
      <c r="H3742" s="33"/>
      <c r="I3742" s="33"/>
      <c r="J3742" s="33"/>
      <c r="K3742" s="33"/>
      <c r="L3742" s="33"/>
      <c r="M3742" s="33"/>
      <c r="N3742" s="33"/>
      <c r="O3742" s="33"/>
      <c r="P3742" s="33"/>
      <c r="Q3742" s="33"/>
      <c r="R3742" s="33"/>
      <c r="T3742"/>
    </row>
    <row r="3743" spans="1:20" x14ac:dyDescent="0.2">
      <c r="A3743" s="9"/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T3743"/>
    </row>
    <row r="3744" spans="1:20" x14ac:dyDescent="0.2">
      <c r="A3744" s="33"/>
      <c r="B3744" s="33"/>
      <c r="C3744" s="33"/>
      <c r="D3744" s="33"/>
      <c r="E3744" s="33"/>
      <c r="F3744" s="33"/>
      <c r="G3744" s="33"/>
      <c r="H3744" s="33"/>
      <c r="I3744" s="33"/>
      <c r="J3744" s="33"/>
      <c r="K3744" s="33"/>
      <c r="L3744" s="33"/>
      <c r="M3744" s="33"/>
      <c r="N3744" s="33"/>
      <c r="O3744" s="33"/>
      <c r="P3744" s="33"/>
      <c r="Q3744" s="33"/>
      <c r="R3744" s="33"/>
      <c r="T3744"/>
    </row>
    <row r="3745" spans="1:20" x14ac:dyDescent="0.2">
      <c r="A3745" s="9"/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T3745"/>
    </row>
    <row r="3746" spans="1:20" x14ac:dyDescent="0.2">
      <c r="A3746" s="33"/>
      <c r="B3746" s="33"/>
      <c r="C3746" s="33"/>
      <c r="D3746" s="33"/>
      <c r="E3746" s="33"/>
      <c r="F3746" s="33"/>
      <c r="G3746" s="33"/>
      <c r="H3746" s="33"/>
      <c r="I3746" s="33"/>
      <c r="J3746" s="33"/>
      <c r="K3746" s="33"/>
      <c r="L3746" s="33"/>
      <c r="M3746" s="33"/>
      <c r="N3746" s="33"/>
      <c r="O3746" s="33"/>
      <c r="P3746" s="33"/>
      <c r="Q3746" s="33"/>
      <c r="R3746" s="33"/>
      <c r="T3746"/>
    </row>
    <row r="3747" spans="1:20" x14ac:dyDescent="0.2">
      <c r="A3747" s="9"/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T3747"/>
    </row>
    <row r="3748" spans="1:20" x14ac:dyDescent="0.2">
      <c r="A3748" s="33"/>
      <c r="B3748" s="33"/>
      <c r="C3748" s="33"/>
      <c r="D3748" s="33"/>
      <c r="E3748" s="33"/>
      <c r="F3748" s="33"/>
      <c r="G3748" s="33"/>
      <c r="H3748" s="33"/>
      <c r="I3748" s="33"/>
      <c r="J3748" s="33"/>
      <c r="K3748" s="33"/>
      <c r="L3748" s="33"/>
      <c r="M3748" s="33"/>
      <c r="N3748" s="33"/>
      <c r="O3748" s="33"/>
      <c r="P3748" s="33"/>
      <c r="Q3748" s="33"/>
      <c r="R3748" s="33"/>
      <c r="T3748"/>
    </row>
    <row r="3749" spans="1:20" x14ac:dyDescent="0.2">
      <c r="A3749" s="9"/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T3749"/>
    </row>
    <row r="3750" spans="1:20" x14ac:dyDescent="0.2">
      <c r="A3750" s="33"/>
      <c r="B3750" s="33"/>
      <c r="C3750" s="33"/>
      <c r="D3750" s="33"/>
      <c r="E3750" s="33"/>
      <c r="F3750" s="33"/>
      <c r="G3750" s="33"/>
      <c r="H3750" s="33"/>
      <c r="I3750" s="33"/>
      <c r="J3750" s="33"/>
      <c r="K3750" s="33"/>
      <c r="L3750" s="33"/>
      <c r="M3750" s="33"/>
      <c r="N3750" s="33"/>
      <c r="O3750" s="33"/>
      <c r="P3750" s="33"/>
      <c r="Q3750" s="33"/>
      <c r="R3750" s="33"/>
      <c r="T3750"/>
    </row>
    <row r="3751" spans="1:20" x14ac:dyDescent="0.2">
      <c r="A3751" s="9"/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T3751"/>
    </row>
    <row r="3752" spans="1:20" x14ac:dyDescent="0.2">
      <c r="A3752" s="33"/>
      <c r="B3752" s="33"/>
      <c r="C3752" s="33"/>
      <c r="D3752" s="33"/>
      <c r="E3752" s="33"/>
      <c r="F3752" s="33"/>
      <c r="G3752" s="33"/>
      <c r="H3752" s="33"/>
      <c r="I3752" s="33"/>
      <c r="J3752" s="33"/>
      <c r="K3752" s="33"/>
      <c r="L3752" s="33"/>
      <c r="M3752" s="33"/>
      <c r="N3752" s="33"/>
      <c r="O3752" s="33"/>
      <c r="P3752" s="33"/>
      <c r="Q3752" s="33"/>
      <c r="R3752" s="33"/>
      <c r="T3752"/>
    </row>
    <row r="3753" spans="1:20" x14ac:dyDescent="0.2">
      <c r="A3753" s="9"/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T3753"/>
    </row>
    <row r="3754" spans="1:20" x14ac:dyDescent="0.2">
      <c r="A3754" s="33"/>
      <c r="B3754" s="33"/>
      <c r="C3754" s="33"/>
      <c r="D3754" s="33"/>
      <c r="E3754" s="33"/>
      <c r="F3754" s="33"/>
      <c r="G3754" s="33"/>
      <c r="H3754" s="33"/>
      <c r="I3754" s="33"/>
      <c r="J3754" s="33"/>
      <c r="K3754" s="33"/>
      <c r="L3754" s="33"/>
      <c r="M3754" s="33"/>
      <c r="N3754" s="33"/>
      <c r="O3754" s="33"/>
      <c r="P3754" s="33"/>
      <c r="Q3754" s="33"/>
      <c r="R3754" s="33"/>
      <c r="T3754"/>
    </row>
    <row r="3755" spans="1:20" x14ac:dyDescent="0.2">
      <c r="A3755" s="9"/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T3755"/>
    </row>
    <row r="3756" spans="1:20" x14ac:dyDescent="0.2">
      <c r="A3756" s="33"/>
      <c r="B3756" s="33"/>
      <c r="C3756" s="33"/>
      <c r="D3756" s="33"/>
      <c r="E3756" s="33"/>
      <c r="F3756" s="33"/>
      <c r="G3756" s="33"/>
      <c r="H3756" s="33"/>
      <c r="I3756" s="33"/>
      <c r="J3756" s="33"/>
      <c r="K3756" s="33"/>
      <c r="L3756" s="33"/>
      <c r="M3756" s="33"/>
      <c r="N3756" s="33"/>
      <c r="O3756" s="33"/>
      <c r="P3756" s="33"/>
      <c r="Q3756" s="33"/>
      <c r="R3756" s="33"/>
      <c r="T3756"/>
    </row>
    <row r="3757" spans="1:20" x14ac:dyDescent="0.2">
      <c r="A3757" s="9"/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T3757"/>
    </row>
    <row r="3758" spans="1:20" x14ac:dyDescent="0.2">
      <c r="A3758" s="33"/>
      <c r="B3758" s="33"/>
      <c r="C3758" s="33"/>
      <c r="D3758" s="33"/>
      <c r="E3758" s="33"/>
      <c r="F3758" s="33"/>
      <c r="G3758" s="33"/>
      <c r="H3758" s="33"/>
      <c r="I3758" s="33"/>
      <c r="J3758" s="33"/>
      <c r="K3758" s="33"/>
      <c r="L3758" s="33"/>
      <c r="M3758" s="33"/>
      <c r="N3758" s="33"/>
      <c r="O3758" s="33"/>
      <c r="P3758" s="33"/>
      <c r="Q3758" s="33"/>
      <c r="R3758" s="33"/>
      <c r="T3758"/>
    </row>
    <row r="3759" spans="1:20" x14ac:dyDescent="0.2">
      <c r="A3759" s="9"/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T3759"/>
    </row>
    <row r="3760" spans="1:20" x14ac:dyDescent="0.2">
      <c r="A3760" s="33"/>
      <c r="B3760" s="33"/>
      <c r="C3760" s="33"/>
      <c r="D3760" s="33"/>
      <c r="E3760" s="33"/>
      <c r="F3760" s="33"/>
      <c r="G3760" s="33"/>
      <c r="H3760" s="33"/>
      <c r="I3760" s="33"/>
      <c r="J3760" s="33"/>
      <c r="K3760" s="33"/>
      <c r="L3760" s="33"/>
      <c r="M3760" s="33"/>
      <c r="N3760" s="33"/>
      <c r="O3760" s="33"/>
      <c r="P3760" s="33"/>
      <c r="Q3760" s="33"/>
      <c r="R3760" s="33"/>
      <c r="T3760"/>
    </row>
    <row r="3761" spans="1:20" x14ac:dyDescent="0.2">
      <c r="A3761" s="9"/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T3761"/>
    </row>
    <row r="3762" spans="1:20" x14ac:dyDescent="0.2">
      <c r="A3762" s="33"/>
      <c r="B3762" s="33"/>
      <c r="C3762" s="33"/>
      <c r="D3762" s="33"/>
      <c r="E3762" s="33"/>
      <c r="F3762" s="33"/>
      <c r="G3762" s="33"/>
      <c r="H3762" s="33"/>
      <c r="I3762" s="33"/>
      <c r="J3762" s="33"/>
      <c r="K3762" s="33"/>
      <c r="L3762" s="33"/>
      <c r="M3762" s="33"/>
      <c r="N3762" s="33"/>
      <c r="O3762" s="33"/>
      <c r="P3762" s="33"/>
      <c r="Q3762" s="33"/>
      <c r="R3762" s="33"/>
      <c r="T3762"/>
    </row>
    <row r="3763" spans="1:20" x14ac:dyDescent="0.2">
      <c r="A3763" s="9"/>
      <c r="B3763" s="9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T3763"/>
    </row>
    <row r="3764" spans="1:20" x14ac:dyDescent="0.2">
      <c r="A3764" s="33"/>
      <c r="B3764" s="33"/>
      <c r="C3764" s="33"/>
      <c r="D3764" s="33"/>
      <c r="E3764" s="33"/>
      <c r="F3764" s="33"/>
      <c r="G3764" s="33"/>
      <c r="H3764" s="33"/>
      <c r="I3764" s="33"/>
      <c r="J3764" s="33"/>
      <c r="K3764" s="33"/>
      <c r="L3764" s="33"/>
      <c r="M3764" s="33"/>
      <c r="N3764" s="33"/>
      <c r="O3764" s="33"/>
      <c r="P3764" s="33"/>
      <c r="Q3764" s="33"/>
      <c r="R3764" s="33"/>
      <c r="T3764"/>
    </row>
    <row r="3765" spans="1:20" x14ac:dyDescent="0.2">
      <c r="A3765" s="9"/>
      <c r="B3765" s="9"/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T3765"/>
    </row>
    <row r="3766" spans="1:20" x14ac:dyDescent="0.2">
      <c r="A3766" s="33"/>
      <c r="B3766" s="33"/>
      <c r="C3766" s="33"/>
      <c r="D3766" s="33"/>
      <c r="E3766" s="33"/>
      <c r="F3766" s="33"/>
      <c r="G3766" s="33"/>
      <c r="H3766" s="33"/>
      <c r="I3766" s="33"/>
      <c r="J3766" s="33"/>
      <c r="K3766" s="33"/>
      <c r="L3766" s="33"/>
      <c r="M3766" s="33"/>
      <c r="N3766" s="33"/>
      <c r="O3766" s="33"/>
      <c r="P3766" s="33"/>
      <c r="Q3766" s="33"/>
      <c r="R3766" s="33"/>
      <c r="T3766"/>
    </row>
    <row r="3767" spans="1:20" x14ac:dyDescent="0.2">
      <c r="A3767" s="9"/>
      <c r="B3767" s="9"/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T3767"/>
    </row>
    <row r="3768" spans="1:20" x14ac:dyDescent="0.2">
      <c r="A3768" s="33"/>
      <c r="B3768" s="33"/>
      <c r="C3768" s="33"/>
      <c r="D3768" s="33"/>
      <c r="E3768" s="33"/>
      <c r="F3768" s="33"/>
      <c r="G3768" s="33"/>
      <c r="H3768" s="33"/>
      <c r="I3768" s="33"/>
      <c r="J3768" s="33"/>
      <c r="K3768" s="33"/>
      <c r="L3768" s="33"/>
      <c r="M3768" s="33"/>
      <c r="N3768" s="33"/>
      <c r="O3768" s="33"/>
      <c r="P3768" s="33"/>
      <c r="Q3768" s="33"/>
      <c r="R3768" s="33"/>
      <c r="T3768"/>
    </row>
    <row r="3769" spans="1:20" x14ac:dyDescent="0.2">
      <c r="A3769" s="9"/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T3769"/>
    </row>
    <row r="3770" spans="1:20" x14ac:dyDescent="0.2">
      <c r="A3770" s="33"/>
      <c r="B3770" s="33"/>
      <c r="C3770" s="33"/>
      <c r="D3770" s="33"/>
      <c r="E3770" s="33"/>
      <c r="F3770" s="33"/>
      <c r="G3770" s="33"/>
      <c r="H3770" s="33"/>
      <c r="I3770" s="33"/>
      <c r="J3770" s="33"/>
      <c r="K3770" s="33"/>
      <c r="L3770" s="33"/>
      <c r="M3770" s="33"/>
      <c r="N3770" s="33"/>
      <c r="O3770" s="33"/>
      <c r="P3770" s="33"/>
      <c r="Q3770" s="33"/>
      <c r="R3770" s="33"/>
      <c r="T3770"/>
    </row>
    <row r="3771" spans="1:20" x14ac:dyDescent="0.2">
      <c r="A3771" s="9"/>
      <c r="B3771" s="9"/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T3771"/>
    </row>
    <row r="3772" spans="1:20" x14ac:dyDescent="0.2">
      <c r="A3772" s="33"/>
      <c r="B3772" s="33"/>
      <c r="C3772" s="33"/>
      <c r="D3772" s="33"/>
      <c r="E3772" s="33"/>
      <c r="F3772" s="33"/>
      <c r="G3772" s="33"/>
      <c r="H3772" s="33"/>
      <c r="I3772" s="33"/>
      <c r="J3772" s="33"/>
      <c r="K3772" s="33"/>
      <c r="L3772" s="33"/>
      <c r="M3772" s="33"/>
      <c r="N3772" s="33"/>
      <c r="O3772" s="33"/>
      <c r="P3772" s="33"/>
      <c r="Q3772" s="33"/>
      <c r="R3772" s="33"/>
      <c r="T3772"/>
    </row>
    <row r="3773" spans="1:20" x14ac:dyDescent="0.2">
      <c r="A3773" s="9"/>
      <c r="B3773" s="9"/>
      <c r="C3773" s="9"/>
      <c r="D3773" s="9"/>
      <c r="E3773" s="9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T3773"/>
    </row>
    <row r="3774" spans="1:20" x14ac:dyDescent="0.2">
      <c r="A3774" s="33"/>
      <c r="B3774" s="33"/>
      <c r="C3774" s="33"/>
      <c r="D3774" s="33"/>
      <c r="E3774" s="33"/>
      <c r="F3774" s="33"/>
      <c r="G3774" s="33"/>
      <c r="H3774" s="33"/>
      <c r="I3774" s="33"/>
      <c r="J3774" s="33"/>
      <c r="K3774" s="33"/>
      <c r="L3774" s="33"/>
      <c r="M3774" s="33"/>
      <c r="N3774" s="33"/>
      <c r="O3774" s="33"/>
      <c r="P3774" s="33"/>
      <c r="Q3774" s="33"/>
      <c r="R3774" s="33"/>
      <c r="T3774"/>
    </row>
    <row r="3775" spans="1:20" x14ac:dyDescent="0.2">
      <c r="A3775" s="9"/>
      <c r="B3775" s="9"/>
      <c r="C3775" s="9"/>
      <c r="D3775" s="9"/>
      <c r="E3775" s="9"/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T3775"/>
    </row>
    <row r="3776" spans="1:20" x14ac:dyDescent="0.2">
      <c r="A3776" s="33"/>
      <c r="B3776" s="33"/>
      <c r="C3776" s="33"/>
      <c r="D3776" s="33"/>
      <c r="E3776" s="33"/>
      <c r="F3776" s="33"/>
      <c r="G3776" s="33"/>
      <c r="H3776" s="33"/>
      <c r="I3776" s="33"/>
      <c r="J3776" s="33"/>
      <c r="K3776" s="33"/>
      <c r="L3776" s="33"/>
      <c r="M3776" s="33"/>
      <c r="N3776" s="33"/>
      <c r="O3776" s="33"/>
      <c r="P3776" s="33"/>
      <c r="Q3776" s="33"/>
      <c r="R3776" s="33"/>
      <c r="T3776"/>
    </row>
    <row r="3777" spans="1:20" x14ac:dyDescent="0.2">
      <c r="A3777" s="9"/>
      <c r="B3777" s="9"/>
      <c r="C3777" s="9"/>
      <c r="D3777" s="9"/>
      <c r="E3777" s="9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T3777"/>
    </row>
    <row r="3778" spans="1:20" x14ac:dyDescent="0.2">
      <c r="A3778" s="33"/>
      <c r="B3778" s="33"/>
      <c r="C3778" s="33"/>
      <c r="D3778" s="33"/>
      <c r="E3778" s="33"/>
      <c r="F3778" s="33"/>
      <c r="G3778" s="33"/>
      <c r="H3778" s="33"/>
      <c r="I3778" s="33"/>
      <c r="J3778" s="33"/>
      <c r="K3778" s="33"/>
      <c r="L3778" s="33"/>
      <c r="M3778" s="33"/>
      <c r="N3778" s="33"/>
      <c r="O3778" s="33"/>
      <c r="P3778" s="33"/>
      <c r="Q3778" s="33"/>
      <c r="R3778" s="33"/>
      <c r="T3778"/>
    </row>
    <row r="3779" spans="1:20" x14ac:dyDescent="0.2">
      <c r="A3779" s="9"/>
      <c r="B3779" s="9"/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T3779"/>
    </row>
    <row r="3780" spans="1:20" x14ac:dyDescent="0.2">
      <c r="A3780" s="33"/>
      <c r="B3780" s="33"/>
      <c r="C3780" s="33"/>
      <c r="D3780" s="33"/>
      <c r="E3780" s="33"/>
      <c r="F3780" s="33"/>
      <c r="G3780" s="33"/>
      <c r="H3780" s="33"/>
      <c r="I3780" s="33"/>
      <c r="J3780" s="33"/>
      <c r="K3780" s="33"/>
      <c r="L3780" s="33"/>
      <c r="M3780" s="33"/>
      <c r="N3780" s="33"/>
      <c r="O3780" s="33"/>
      <c r="P3780" s="33"/>
      <c r="Q3780" s="33"/>
      <c r="R3780" s="33"/>
      <c r="T3780"/>
    </row>
    <row r="3781" spans="1:20" x14ac:dyDescent="0.2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T3781"/>
    </row>
    <row r="3782" spans="1:20" x14ac:dyDescent="0.2">
      <c r="A3782" s="33"/>
      <c r="B3782" s="33"/>
      <c r="C3782" s="33"/>
      <c r="D3782" s="33"/>
      <c r="E3782" s="33"/>
      <c r="F3782" s="33"/>
      <c r="G3782" s="33"/>
      <c r="H3782" s="33"/>
      <c r="I3782" s="33"/>
      <c r="J3782" s="33"/>
      <c r="K3782" s="33"/>
      <c r="L3782" s="33"/>
      <c r="M3782" s="33"/>
      <c r="N3782" s="33"/>
      <c r="O3782" s="33"/>
      <c r="P3782" s="33"/>
      <c r="Q3782" s="33"/>
      <c r="R3782" s="33"/>
      <c r="T3782"/>
    </row>
    <row r="3783" spans="1:20" x14ac:dyDescent="0.2">
      <c r="A3783" s="9"/>
      <c r="B3783" s="9"/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T3783"/>
    </row>
    <row r="3784" spans="1:20" x14ac:dyDescent="0.2">
      <c r="A3784" s="33"/>
      <c r="B3784" s="33"/>
      <c r="C3784" s="33"/>
      <c r="D3784" s="33"/>
      <c r="E3784" s="33"/>
      <c r="F3784" s="33"/>
      <c r="G3784" s="33"/>
      <c r="H3784" s="33"/>
      <c r="I3784" s="33"/>
      <c r="J3784" s="33"/>
      <c r="K3784" s="33"/>
      <c r="L3784" s="33"/>
      <c r="M3784" s="33"/>
      <c r="N3784" s="33"/>
      <c r="O3784" s="33"/>
      <c r="P3784" s="33"/>
      <c r="Q3784" s="33"/>
      <c r="R3784" s="33"/>
      <c r="T3784"/>
    </row>
    <row r="3785" spans="1:20" x14ac:dyDescent="0.2">
      <c r="A3785" s="9"/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T3785"/>
    </row>
    <row r="3786" spans="1:20" x14ac:dyDescent="0.2">
      <c r="A3786" s="33"/>
      <c r="B3786" s="33"/>
      <c r="C3786" s="33"/>
      <c r="D3786" s="33"/>
      <c r="E3786" s="33"/>
      <c r="F3786" s="33"/>
      <c r="G3786" s="33"/>
      <c r="H3786" s="33"/>
      <c r="I3786" s="33"/>
      <c r="J3786" s="33"/>
      <c r="K3786" s="33"/>
      <c r="L3786" s="33"/>
      <c r="M3786" s="33"/>
      <c r="N3786" s="33"/>
      <c r="O3786" s="33"/>
      <c r="P3786" s="33"/>
      <c r="Q3786" s="33"/>
      <c r="R3786" s="33"/>
      <c r="T3786"/>
    </row>
    <row r="3787" spans="1:20" x14ac:dyDescent="0.2">
      <c r="A3787" s="9"/>
      <c r="B3787" s="9"/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T3787"/>
    </row>
    <row r="3788" spans="1:20" x14ac:dyDescent="0.2">
      <c r="A3788" s="33"/>
      <c r="B3788" s="33"/>
      <c r="C3788" s="33"/>
      <c r="D3788" s="33"/>
      <c r="E3788" s="33"/>
      <c r="F3788" s="33"/>
      <c r="G3788" s="33"/>
      <c r="H3788" s="33"/>
      <c r="I3788" s="33"/>
      <c r="J3788" s="33"/>
      <c r="K3788" s="33"/>
      <c r="L3788" s="33"/>
      <c r="M3788" s="33"/>
      <c r="N3788" s="33"/>
      <c r="O3788" s="33"/>
      <c r="P3788" s="33"/>
      <c r="Q3788" s="33"/>
      <c r="R3788" s="33"/>
      <c r="T3788"/>
    </row>
    <row r="3789" spans="1:20" x14ac:dyDescent="0.2">
      <c r="A3789" s="9"/>
      <c r="B3789" s="9"/>
      <c r="C3789" s="9"/>
      <c r="D3789" s="9"/>
      <c r="E3789" s="9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T3789"/>
    </row>
    <row r="3790" spans="1:20" x14ac:dyDescent="0.2">
      <c r="A3790" s="33"/>
      <c r="B3790" s="33"/>
      <c r="C3790" s="33"/>
      <c r="D3790" s="33"/>
      <c r="E3790" s="33"/>
      <c r="F3790" s="33"/>
      <c r="G3790" s="33"/>
      <c r="H3790" s="33"/>
      <c r="I3790" s="33"/>
      <c r="J3790" s="33"/>
      <c r="K3790" s="33"/>
      <c r="L3790" s="33"/>
      <c r="M3790" s="33"/>
      <c r="N3790" s="33"/>
      <c r="O3790" s="33"/>
      <c r="P3790" s="33"/>
      <c r="Q3790" s="33"/>
      <c r="R3790" s="33"/>
      <c r="T3790"/>
    </row>
    <row r="3791" spans="1:20" x14ac:dyDescent="0.2">
      <c r="A3791" s="9"/>
      <c r="B3791" s="9"/>
      <c r="C3791" s="9"/>
      <c r="D3791" s="9"/>
      <c r="E3791" s="9"/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T3791"/>
    </row>
    <row r="3792" spans="1:20" x14ac:dyDescent="0.2">
      <c r="A3792" s="33"/>
      <c r="B3792" s="33"/>
      <c r="C3792" s="33"/>
      <c r="D3792" s="33"/>
      <c r="E3792" s="33"/>
      <c r="F3792" s="33"/>
      <c r="G3792" s="33"/>
      <c r="H3792" s="33"/>
      <c r="I3792" s="33"/>
      <c r="J3792" s="33"/>
      <c r="K3792" s="33"/>
      <c r="L3792" s="33"/>
      <c r="M3792" s="33"/>
      <c r="N3792" s="33"/>
      <c r="O3792" s="33"/>
      <c r="P3792" s="33"/>
      <c r="Q3792" s="33"/>
      <c r="R3792" s="33"/>
      <c r="T3792"/>
    </row>
    <row r="3793" spans="1:20" x14ac:dyDescent="0.2">
      <c r="A3793" s="9"/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T3793"/>
    </row>
    <row r="3794" spans="1:20" x14ac:dyDescent="0.2">
      <c r="A3794" s="33"/>
      <c r="B3794" s="33"/>
      <c r="C3794" s="33"/>
      <c r="D3794" s="33"/>
      <c r="E3794" s="33"/>
      <c r="F3794" s="33"/>
      <c r="G3794" s="33"/>
      <c r="H3794" s="33"/>
      <c r="I3794" s="33"/>
      <c r="J3794" s="33"/>
      <c r="K3794" s="33"/>
      <c r="L3794" s="33"/>
      <c r="M3794" s="33"/>
      <c r="N3794" s="33"/>
      <c r="O3794" s="33"/>
      <c r="P3794" s="33"/>
      <c r="Q3794" s="33"/>
      <c r="R3794" s="33"/>
      <c r="T3794"/>
    </row>
    <row r="3795" spans="1:20" x14ac:dyDescent="0.2">
      <c r="A3795" s="9"/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T3795"/>
    </row>
    <row r="3796" spans="1:20" x14ac:dyDescent="0.2">
      <c r="A3796" s="33"/>
      <c r="B3796" s="33"/>
      <c r="C3796" s="33"/>
      <c r="D3796" s="33"/>
      <c r="E3796" s="33"/>
      <c r="F3796" s="33"/>
      <c r="G3796" s="33"/>
      <c r="H3796" s="33"/>
      <c r="I3796" s="33"/>
      <c r="J3796" s="33"/>
      <c r="K3796" s="33"/>
      <c r="L3796" s="33"/>
      <c r="M3796" s="33"/>
      <c r="N3796" s="33"/>
      <c r="O3796" s="33"/>
      <c r="P3796" s="33"/>
      <c r="Q3796" s="33"/>
      <c r="R3796" s="33"/>
      <c r="T3796"/>
    </row>
    <row r="3797" spans="1:20" x14ac:dyDescent="0.2">
      <c r="A3797" s="9"/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T3797"/>
    </row>
    <row r="3798" spans="1:20" x14ac:dyDescent="0.2">
      <c r="A3798" s="33"/>
      <c r="B3798" s="33"/>
      <c r="C3798" s="33"/>
      <c r="D3798" s="33"/>
      <c r="E3798" s="33"/>
      <c r="F3798" s="33"/>
      <c r="G3798" s="33"/>
      <c r="H3798" s="33"/>
      <c r="I3798" s="33"/>
      <c r="J3798" s="33"/>
      <c r="K3798" s="33"/>
      <c r="L3798" s="33"/>
      <c r="M3798" s="33"/>
      <c r="N3798" s="33"/>
      <c r="O3798" s="33"/>
      <c r="P3798" s="33"/>
      <c r="Q3798" s="33"/>
      <c r="R3798" s="33"/>
      <c r="T3798"/>
    </row>
    <row r="3799" spans="1:20" x14ac:dyDescent="0.2">
      <c r="A3799" s="9"/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T3799"/>
    </row>
    <row r="3800" spans="1:20" x14ac:dyDescent="0.2">
      <c r="A3800" s="33"/>
      <c r="B3800" s="33"/>
      <c r="C3800" s="33"/>
      <c r="D3800" s="33"/>
      <c r="E3800" s="33"/>
      <c r="F3800" s="33"/>
      <c r="G3800" s="33"/>
      <c r="H3800" s="33"/>
      <c r="I3800" s="33"/>
      <c r="J3800" s="33"/>
      <c r="K3800" s="33"/>
      <c r="L3800" s="33"/>
      <c r="M3800" s="33"/>
      <c r="N3800" s="33"/>
      <c r="O3800" s="33"/>
      <c r="P3800" s="33"/>
      <c r="Q3800" s="33"/>
      <c r="R3800" s="33"/>
      <c r="T3800"/>
    </row>
    <row r="3801" spans="1:20" x14ac:dyDescent="0.2">
      <c r="A3801" s="9"/>
      <c r="B3801" s="9"/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T3801"/>
    </row>
    <row r="3802" spans="1:20" x14ac:dyDescent="0.2">
      <c r="A3802" s="33"/>
      <c r="B3802" s="33"/>
      <c r="C3802" s="33"/>
      <c r="D3802" s="33"/>
      <c r="E3802" s="33"/>
      <c r="F3802" s="33"/>
      <c r="G3802" s="33"/>
      <c r="H3802" s="33"/>
      <c r="I3802" s="33"/>
      <c r="J3802" s="33"/>
      <c r="K3802" s="33"/>
      <c r="L3802" s="33"/>
      <c r="M3802" s="33"/>
      <c r="N3802" s="33"/>
      <c r="O3802" s="33"/>
      <c r="P3802" s="33"/>
      <c r="Q3802" s="33"/>
      <c r="R3802" s="33"/>
      <c r="T3802"/>
    </row>
    <row r="3803" spans="1:20" x14ac:dyDescent="0.2">
      <c r="A3803" s="9"/>
      <c r="B3803" s="9"/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T3803"/>
    </row>
    <row r="3804" spans="1:20" x14ac:dyDescent="0.2">
      <c r="A3804" s="33"/>
      <c r="B3804" s="33"/>
      <c r="C3804" s="33"/>
      <c r="D3804" s="33"/>
      <c r="E3804" s="33"/>
      <c r="F3804" s="33"/>
      <c r="G3804" s="33"/>
      <c r="H3804" s="33"/>
      <c r="I3804" s="33"/>
      <c r="J3804" s="33"/>
      <c r="K3804" s="33"/>
      <c r="L3804" s="33"/>
      <c r="M3804" s="33"/>
      <c r="N3804" s="33"/>
      <c r="O3804" s="33"/>
      <c r="P3804" s="33"/>
      <c r="Q3804" s="33"/>
      <c r="R3804" s="33"/>
      <c r="T3804"/>
    </row>
    <row r="3805" spans="1:20" x14ac:dyDescent="0.2">
      <c r="A3805" s="9"/>
      <c r="B3805" s="9"/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T3805"/>
    </row>
    <row r="3806" spans="1:20" x14ac:dyDescent="0.2">
      <c r="A3806" s="33"/>
      <c r="B3806" s="33"/>
      <c r="C3806" s="33"/>
      <c r="D3806" s="33"/>
      <c r="E3806" s="33"/>
      <c r="F3806" s="33"/>
      <c r="G3806" s="33"/>
      <c r="H3806" s="33"/>
      <c r="I3806" s="33"/>
      <c r="J3806" s="33"/>
      <c r="K3806" s="33"/>
      <c r="L3806" s="33"/>
      <c r="M3806" s="33"/>
      <c r="N3806" s="33"/>
      <c r="O3806" s="33"/>
      <c r="P3806" s="33"/>
      <c r="Q3806" s="33"/>
      <c r="R3806" s="33"/>
      <c r="T3806"/>
    </row>
    <row r="3807" spans="1:20" x14ac:dyDescent="0.2">
      <c r="A3807" s="9"/>
      <c r="B3807" s="9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T3807"/>
    </row>
    <row r="3808" spans="1:20" x14ac:dyDescent="0.2">
      <c r="A3808" s="33"/>
      <c r="B3808" s="33"/>
      <c r="C3808" s="33"/>
      <c r="D3808" s="33"/>
      <c r="E3808" s="33"/>
      <c r="F3808" s="33"/>
      <c r="G3808" s="33"/>
      <c r="H3808" s="33"/>
      <c r="I3808" s="33"/>
      <c r="J3808" s="33"/>
      <c r="K3808" s="33"/>
      <c r="L3808" s="33"/>
      <c r="M3808" s="33"/>
      <c r="N3808" s="33"/>
      <c r="O3808" s="33"/>
      <c r="P3808" s="33"/>
      <c r="Q3808" s="33"/>
      <c r="R3808" s="33"/>
      <c r="T3808"/>
    </row>
    <row r="3809" spans="1:20" x14ac:dyDescent="0.2">
      <c r="A3809" s="9"/>
      <c r="B3809" s="9"/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T3809"/>
    </row>
    <row r="3810" spans="1:20" x14ac:dyDescent="0.2">
      <c r="A3810" s="33"/>
      <c r="B3810" s="33"/>
      <c r="C3810" s="33"/>
      <c r="D3810" s="33"/>
      <c r="E3810" s="33"/>
      <c r="F3810" s="33"/>
      <c r="G3810" s="33"/>
      <c r="H3810" s="33"/>
      <c r="I3810" s="33"/>
      <c r="J3810" s="33"/>
      <c r="K3810" s="33"/>
      <c r="L3810" s="33"/>
      <c r="M3810" s="33"/>
      <c r="N3810" s="33"/>
      <c r="O3810" s="33"/>
      <c r="P3810" s="33"/>
      <c r="Q3810" s="33"/>
      <c r="R3810" s="33"/>
      <c r="T3810"/>
    </row>
    <row r="3811" spans="1:20" x14ac:dyDescent="0.2">
      <c r="A3811" s="9"/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T3811"/>
    </row>
    <row r="3812" spans="1:20" x14ac:dyDescent="0.2">
      <c r="A3812" s="33"/>
      <c r="B3812" s="33"/>
      <c r="C3812" s="33"/>
      <c r="D3812" s="33"/>
      <c r="E3812" s="33"/>
      <c r="F3812" s="33"/>
      <c r="G3812" s="33"/>
      <c r="H3812" s="33"/>
      <c r="I3812" s="33"/>
      <c r="J3812" s="33"/>
      <c r="K3812" s="33"/>
      <c r="L3812" s="33"/>
      <c r="M3812" s="33"/>
      <c r="N3812" s="33"/>
      <c r="O3812" s="33"/>
      <c r="P3812" s="33"/>
      <c r="Q3812" s="33"/>
      <c r="R3812" s="33"/>
      <c r="T3812"/>
    </row>
    <row r="3813" spans="1:20" x14ac:dyDescent="0.2">
      <c r="A3813" s="9"/>
      <c r="B3813" s="9"/>
      <c r="C3813" s="9"/>
      <c r="D3813" s="9"/>
      <c r="E3813" s="9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T3813"/>
    </row>
    <row r="3814" spans="1:20" x14ac:dyDescent="0.2">
      <c r="A3814" s="33"/>
      <c r="B3814" s="33"/>
      <c r="C3814" s="33"/>
      <c r="D3814" s="33"/>
      <c r="E3814" s="33"/>
      <c r="F3814" s="33"/>
      <c r="G3814" s="33"/>
      <c r="H3814" s="33"/>
      <c r="I3814" s="33"/>
      <c r="J3814" s="33"/>
      <c r="K3814" s="33"/>
      <c r="L3814" s="33"/>
      <c r="M3814" s="33"/>
      <c r="N3814" s="33"/>
      <c r="O3814" s="33"/>
      <c r="P3814" s="33"/>
      <c r="Q3814" s="33"/>
      <c r="R3814" s="33"/>
      <c r="T3814"/>
    </row>
    <row r="3815" spans="1:20" x14ac:dyDescent="0.2">
      <c r="A3815" s="9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T3815"/>
    </row>
    <row r="3816" spans="1:20" x14ac:dyDescent="0.2">
      <c r="A3816" s="33"/>
      <c r="B3816" s="33"/>
      <c r="C3816" s="33"/>
      <c r="D3816" s="33"/>
      <c r="E3816" s="33"/>
      <c r="F3816" s="33"/>
      <c r="G3816" s="33"/>
      <c r="H3816" s="33"/>
      <c r="I3816" s="33"/>
      <c r="J3816" s="33"/>
      <c r="K3816" s="33"/>
      <c r="L3816" s="33"/>
      <c r="M3816" s="33"/>
      <c r="N3816" s="33"/>
      <c r="O3816" s="33"/>
      <c r="P3816" s="33"/>
      <c r="Q3816" s="33"/>
      <c r="R3816" s="33"/>
      <c r="T3816"/>
    </row>
    <row r="3817" spans="1:20" x14ac:dyDescent="0.2">
      <c r="A3817" s="9"/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T3817"/>
    </row>
    <row r="3818" spans="1:20" x14ac:dyDescent="0.2">
      <c r="A3818" s="33"/>
      <c r="B3818" s="33"/>
      <c r="C3818" s="33"/>
      <c r="D3818" s="33"/>
      <c r="E3818" s="33"/>
      <c r="F3818" s="33"/>
      <c r="G3818" s="33"/>
      <c r="H3818" s="33"/>
      <c r="I3818" s="33"/>
      <c r="J3818" s="33"/>
      <c r="K3818" s="33"/>
      <c r="L3818" s="33"/>
      <c r="M3818" s="33"/>
      <c r="N3818" s="33"/>
      <c r="O3818" s="33"/>
      <c r="P3818" s="33"/>
      <c r="Q3818" s="33"/>
      <c r="R3818" s="33"/>
      <c r="T3818"/>
    </row>
    <row r="3819" spans="1:20" x14ac:dyDescent="0.2">
      <c r="A3819" s="9"/>
      <c r="B3819" s="9"/>
      <c r="C3819" s="9"/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T3819"/>
    </row>
    <row r="3820" spans="1:20" x14ac:dyDescent="0.2">
      <c r="A3820" s="33"/>
      <c r="B3820" s="33"/>
      <c r="C3820" s="33"/>
      <c r="D3820" s="33"/>
      <c r="E3820" s="33"/>
      <c r="F3820" s="33"/>
      <c r="G3820" s="33"/>
      <c r="H3820" s="33"/>
      <c r="I3820" s="33"/>
      <c r="J3820" s="33"/>
      <c r="K3820" s="33"/>
      <c r="L3820" s="33"/>
      <c r="M3820" s="33"/>
      <c r="N3820" s="33"/>
      <c r="O3820" s="33"/>
      <c r="P3820" s="33"/>
      <c r="Q3820" s="33"/>
      <c r="R3820" s="33"/>
      <c r="T3820"/>
    </row>
    <row r="3821" spans="1:20" x14ac:dyDescent="0.2">
      <c r="A3821" s="9"/>
      <c r="B3821" s="9"/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T3821"/>
    </row>
    <row r="3822" spans="1:20" x14ac:dyDescent="0.2">
      <c r="A3822" s="33"/>
      <c r="B3822" s="33"/>
      <c r="C3822" s="33"/>
      <c r="D3822" s="33"/>
      <c r="E3822" s="33"/>
      <c r="F3822" s="33"/>
      <c r="G3822" s="33"/>
      <c r="H3822" s="33"/>
      <c r="I3822" s="33"/>
      <c r="J3822" s="33"/>
      <c r="K3822" s="33"/>
      <c r="L3822" s="33"/>
      <c r="M3822" s="33"/>
      <c r="N3822" s="33"/>
      <c r="O3822" s="33"/>
      <c r="P3822" s="33"/>
      <c r="Q3822" s="33"/>
      <c r="R3822" s="33"/>
      <c r="T3822"/>
    </row>
    <row r="3823" spans="1:20" x14ac:dyDescent="0.2">
      <c r="A3823" s="9"/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T3823"/>
    </row>
    <row r="3824" spans="1:20" x14ac:dyDescent="0.2">
      <c r="A3824" s="33"/>
      <c r="B3824" s="33"/>
      <c r="C3824" s="33"/>
      <c r="D3824" s="33"/>
      <c r="E3824" s="33"/>
      <c r="F3824" s="33"/>
      <c r="G3824" s="33"/>
      <c r="H3824" s="33"/>
      <c r="I3824" s="33"/>
      <c r="J3824" s="33"/>
      <c r="K3824" s="33"/>
      <c r="L3824" s="33"/>
      <c r="M3824" s="33"/>
      <c r="N3824" s="33"/>
      <c r="O3824" s="33"/>
      <c r="P3824" s="33"/>
      <c r="Q3824" s="33"/>
      <c r="R3824" s="33"/>
      <c r="T3824"/>
    </row>
    <row r="3825" spans="1:20" x14ac:dyDescent="0.2">
      <c r="A3825" s="9"/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T3825"/>
    </row>
    <row r="3826" spans="1:20" x14ac:dyDescent="0.2">
      <c r="A3826" s="33"/>
      <c r="B3826" s="33"/>
      <c r="C3826" s="33"/>
      <c r="D3826" s="33"/>
      <c r="E3826" s="33"/>
      <c r="F3826" s="33"/>
      <c r="G3826" s="33"/>
      <c r="H3826" s="33"/>
      <c r="I3826" s="33"/>
      <c r="J3826" s="33"/>
      <c r="K3826" s="33"/>
      <c r="L3826" s="33"/>
      <c r="M3826" s="33"/>
      <c r="N3826" s="33"/>
      <c r="O3826" s="33"/>
      <c r="P3826" s="33"/>
      <c r="Q3826" s="33"/>
      <c r="R3826" s="33"/>
      <c r="T3826"/>
    </row>
    <row r="3827" spans="1:20" x14ac:dyDescent="0.2">
      <c r="A3827" s="9"/>
      <c r="B3827" s="9"/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T3827"/>
    </row>
    <row r="3828" spans="1:20" x14ac:dyDescent="0.2">
      <c r="A3828" s="33"/>
      <c r="B3828" s="33"/>
      <c r="C3828" s="33"/>
      <c r="D3828" s="33"/>
      <c r="E3828" s="33"/>
      <c r="F3828" s="33"/>
      <c r="G3828" s="33"/>
      <c r="H3828" s="33"/>
      <c r="I3828" s="33"/>
      <c r="J3828" s="33"/>
      <c r="K3828" s="33"/>
      <c r="L3828" s="33"/>
      <c r="M3828" s="33"/>
      <c r="N3828" s="33"/>
      <c r="O3828" s="33"/>
      <c r="P3828" s="33"/>
      <c r="Q3828" s="33"/>
      <c r="R3828" s="33"/>
      <c r="T3828"/>
    </row>
    <row r="3829" spans="1:20" x14ac:dyDescent="0.2">
      <c r="A3829" s="9"/>
      <c r="B3829" s="9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T3829"/>
    </row>
    <row r="3830" spans="1:20" x14ac:dyDescent="0.2">
      <c r="A3830" s="33"/>
      <c r="B3830" s="33"/>
      <c r="C3830" s="33"/>
      <c r="D3830" s="33"/>
      <c r="E3830" s="33"/>
      <c r="F3830" s="33"/>
      <c r="G3830" s="33"/>
      <c r="H3830" s="33"/>
      <c r="I3830" s="33"/>
      <c r="J3830" s="33"/>
      <c r="K3830" s="33"/>
      <c r="L3830" s="33"/>
      <c r="M3830" s="33"/>
      <c r="N3830" s="33"/>
      <c r="O3830" s="33"/>
      <c r="P3830" s="33"/>
      <c r="Q3830" s="33"/>
      <c r="R3830" s="33"/>
      <c r="T3830"/>
    </row>
    <row r="3831" spans="1:20" x14ac:dyDescent="0.2">
      <c r="A3831" s="9"/>
      <c r="B3831" s="9"/>
      <c r="C3831" s="9"/>
      <c r="D3831" s="9"/>
      <c r="E3831" s="9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T3831"/>
    </row>
    <row r="3832" spans="1:20" x14ac:dyDescent="0.2">
      <c r="A3832" s="33"/>
      <c r="B3832" s="33"/>
      <c r="C3832" s="33"/>
      <c r="D3832" s="33"/>
      <c r="E3832" s="33"/>
      <c r="F3832" s="33"/>
      <c r="G3832" s="33"/>
      <c r="H3832" s="33"/>
      <c r="I3832" s="33"/>
      <c r="J3832" s="33"/>
      <c r="K3832" s="33"/>
      <c r="L3832" s="33"/>
      <c r="M3832" s="33"/>
      <c r="N3832" s="33"/>
      <c r="O3832" s="33"/>
      <c r="P3832" s="33"/>
      <c r="Q3832" s="33"/>
      <c r="R3832" s="33"/>
      <c r="T3832"/>
    </row>
    <row r="3833" spans="1:20" x14ac:dyDescent="0.2">
      <c r="A3833" s="9"/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T3833"/>
    </row>
    <row r="3834" spans="1:20" x14ac:dyDescent="0.2">
      <c r="A3834" s="33"/>
      <c r="B3834" s="33"/>
      <c r="C3834" s="33"/>
      <c r="D3834" s="33"/>
      <c r="E3834" s="33"/>
      <c r="F3834" s="33"/>
      <c r="G3834" s="33"/>
      <c r="H3834" s="33"/>
      <c r="I3834" s="33"/>
      <c r="J3834" s="33"/>
      <c r="K3834" s="33"/>
      <c r="L3834" s="33"/>
      <c r="M3834" s="33"/>
      <c r="N3834" s="33"/>
      <c r="O3834" s="33"/>
      <c r="P3834" s="33"/>
      <c r="Q3834" s="33"/>
      <c r="R3834" s="33"/>
      <c r="T3834"/>
    </row>
    <row r="3835" spans="1:20" x14ac:dyDescent="0.2">
      <c r="A3835" s="9"/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T3835"/>
    </row>
    <row r="3836" spans="1:20" x14ac:dyDescent="0.2">
      <c r="A3836" s="33"/>
      <c r="B3836" s="33"/>
      <c r="C3836" s="33"/>
      <c r="D3836" s="33"/>
      <c r="E3836" s="33"/>
      <c r="F3836" s="33"/>
      <c r="G3836" s="33"/>
      <c r="H3836" s="33"/>
      <c r="I3836" s="33"/>
      <c r="J3836" s="33"/>
      <c r="K3836" s="33"/>
      <c r="L3836" s="33"/>
      <c r="M3836" s="33"/>
      <c r="N3836" s="33"/>
      <c r="O3836" s="33"/>
      <c r="P3836" s="33"/>
      <c r="Q3836" s="33"/>
      <c r="R3836" s="33"/>
      <c r="T3836"/>
    </row>
    <row r="3837" spans="1:20" x14ac:dyDescent="0.2">
      <c r="A3837" s="9"/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T3837"/>
    </row>
    <row r="3838" spans="1:20" x14ac:dyDescent="0.2">
      <c r="A3838" s="33"/>
      <c r="B3838" s="33"/>
      <c r="C3838" s="33"/>
      <c r="D3838" s="33"/>
      <c r="E3838" s="33"/>
      <c r="F3838" s="33"/>
      <c r="G3838" s="33"/>
      <c r="H3838" s="33"/>
      <c r="I3838" s="33"/>
      <c r="J3838" s="33"/>
      <c r="K3838" s="33"/>
      <c r="L3838" s="33"/>
      <c r="M3838" s="33"/>
      <c r="N3838" s="33"/>
      <c r="O3838" s="33"/>
      <c r="P3838" s="33"/>
      <c r="Q3838" s="33"/>
      <c r="R3838" s="33"/>
      <c r="T3838"/>
    </row>
    <row r="3839" spans="1:20" x14ac:dyDescent="0.2">
      <c r="A3839" s="9"/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T3839"/>
    </row>
    <row r="3840" spans="1:20" x14ac:dyDescent="0.2">
      <c r="A3840" s="33"/>
      <c r="B3840" s="33"/>
      <c r="C3840" s="33"/>
      <c r="D3840" s="33"/>
      <c r="E3840" s="33"/>
      <c r="F3840" s="33"/>
      <c r="G3840" s="33"/>
      <c r="H3840" s="33"/>
      <c r="I3840" s="33"/>
      <c r="J3840" s="33"/>
      <c r="K3840" s="33"/>
      <c r="L3840" s="33"/>
      <c r="M3840" s="33"/>
      <c r="N3840" s="33"/>
      <c r="O3840" s="33"/>
      <c r="P3840" s="33"/>
      <c r="Q3840" s="33"/>
      <c r="R3840" s="33"/>
      <c r="T3840"/>
    </row>
    <row r="3841" spans="1:20" x14ac:dyDescent="0.2">
      <c r="A3841" s="9"/>
      <c r="B3841" s="9"/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T3841"/>
    </row>
    <row r="3842" spans="1:20" x14ac:dyDescent="0.2">
      <c r="A3842" s="33"/>
      <c r="B3842" s="33"/>
      <c r="C3842" s="33"/>
      <c r="D3842" s="33"/>
      <c r="E3842" s="33"/>
      <c r="F3842" s="33"/>
      <c r="G3842" s="33"/>
      <c r="H3842" s="33"/>
      <c r="I3842" s="33"/>
      <c r="J3842" s="33"/>
      <c r="K3842" s="33"/>
      <c r="L3842" s="33"/>
      <c r="M3842" s="33"/>
      <c r="N3842" s="33"/>
      <c r="O3842" s="33"/>
      <c r="P3842" s="33"/>
      <c r="Q3842" s="33"/>
      <c r="R3842" s="33"/>
      <c r="T3842"/>
    </row>
    <row r="3843" spans="1:20" x14ac:dyDescent="0.2">
      <c r="A3843" s="9"/>
      <c r="B3843" s="9"/>
      <c r="C3843" s="9"/>
      <c r="D3843" s="9"/>
      <c r="E3843" s="9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T3843"/>
    </row>
    <row r="3844" spans="1:20" x14ac:dyDescent="0.2">
      <c r="A3844" s="33"/>
      <c r="B3844" s="33"/>
      <c r="C3844" s="33"/>
      <c r="D3844" s="33"/>
      <c r="E3844" s="33"/>
      <c r="F3844" s="33"/>
      <c r="G3844" s="33"/>
      <c r="H3844" s="33"/>
      <c r="I3844" s="33"/>
      <c r="J3844" s="33"/>
      <c r="K3844" s="33"/>
      <c r="L3844" s="33"/>
      <c r="M3844" s="33"/>
      <c r="N3844" s="33"/>
      <c r="O3844" s="33"/>
      <c r="P3844" s="33"/>
      <c r="Q3844" s="33"/>
      <c r="R3844" s="33"/>
      <c r="T3844"/>
    </row>
    <row r="3845" spans="1:20" x14ac:dyDescent="0.2">
      <c r="A3845" s="9"/>
      <c r="B3845" s="9"/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T3845"/>
    </row>
    <row r="3846" spans="1:20" x14ac:dyDescent="0.2">
      <c r="A3846" s="33"/>
      <c r="B3846" s="33"/>
      <c r="C3846" s="33"/>
      <c r="D3846" s="33"/>
      <c r="E3846" s="33"/>
      <c r="F3846" s="33"/>
      <c r="G3846" s="33"/>
      <c r="H3846" s="33"/>
      <c r="I3846" s="33"/>
      <c r="J3846" s="33"/>
      <c r="K3846" s="33"/>
      <c r="L3846" s="33"/>
      <c r="M3846" s="33"/>
      <c r="N3846" s="33"/>
      <c r="O3846" s="33"/>
      <c r="P3846" s="33"/>
      <c r="Q3846" s="33"/>
      <c r="R3846" s="33"/>
      <c r="T3846"/>
    </row>
    <row r="3847" spans="1:20" x14ac:dyDescent="0.2">
      <c r="A3847" s="9"/>
      <c r="B3847" s="9"/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T3847"/>
    </row>
    <row r="3848" spans="1:20" x14ac:dyDescent="0.2">
      <c r="A3848" s="33"/>
      <c r="B3848" s="33"/>
      <c r="C3848" s="33"/>
      <c r="D3848" s="33"/>
      <c r="E3848" s="33"/>
      <c r="F3848" s="33"/>
      <c r="G3848" s="33"/>
      <c r="H3848" s="33"/>
      <c r="I3848" s="33"/>
      <c r="J3848" s="33"/>
      <c r="K3848" s="33"/>
      <c r="L3848" s="33"/>
      <c r="M3848" s="33"/>
      <c r="N3848" s="33"/>
      <c r="O3848" s="33"/>
      <c r="P3848" s="33"/>
      <c r="Q3848" s="33"/>
      <c r="R3848" s="33"/>
      <c r="T3848"/>
    </row>
    <row r="3849" spans="1:20" x14ac:dyDescent="0.2">
      <c r="A3849" s="9"/>
      <c r="B3849" s="9"/>
      <c r="C3849" s="9"/>
      <c r="D3849" s="9"/>
      <c r="E3849" s="9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T3849"/>
    </row>
    <row r="3850" spans="1:20" x14ac:dyDescent="0.2">
      <c r="A3850" s="33"/>
      <c r="B3850" s="33"/>
      <c r="C3850" s="33"/>
      <c r="D3850" s="33"/>
      <c r="E3850" s="33"/>
      <c r="F3850" s="33"/>
      <c r="G3850" s="33"/>
      <c r="H3850" s="33"/>
      <c r="I3850" s="33"/>
      <c r="J3850" s="33"/>
      <c r="K3850" s="33"/>
      <c r="L3850" s="33"/>
      <c r="M3850" s="33"/>
      <c r="N3850" s="33"/>
      <c r="O3850" s="33"/>
      <c r="P3850" s="33"/>
      <c r="Q3850" s="33"/>
      <c r="R3850" s="33"/>
      <c r="T3850"/>
    </row>
    <row r="3851" spans="1:20" x14ac:dyDescent="0.2">
      <c r="A3851" s="9"/>
      <c r="B3851" s="9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T3851"/>
    </row>
    <row r="3852" spans="1:20" x14ac:dyDescent="0.2">
      <c r="A3852" s="33"/>
      <c r="B3852" s="33"/>
      <c r="C3852" s="33"/>
      <c r="D3852" s="33"/>
      <c r="E3852" s="33"/>
      <c r="F3852" s="33"/>
      <c r="G3852" s="33"/>
      <c r="H3852" s="33"/>
      <c r="I3852" s="33"/>
      <c r="J3852" s="33"/>
      <c r="K3852" s="33"/>
      <c r="L3852" s="33"/>
      <c r="M3852" s="33"/>
      <c r="N3852" s="33"/>
      <c r="O3852" s="33"/>
      <c r="P3852" s="33"/>
      <c r="Q3852" s="33"/>
      <c r="R3852" s="33"/>
      <c r="T3852"/>
    </row>
    <row r="3853" spans="1:20" x14ac:dyDescent="0.2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T3853"/>
    </row>
    <row r="3854" spans="1:20" x14ac:dyDescent="0.2">
      <c r="A3854" s="33"/>
      <c r="B3854" s="33"/>
      <c r="C3854" s="33"/>
      <c r="D3854" s="33"/>
      <c r="E3854" s="33"/>
      <c r="F3854" s="33"/>
      <c r="G3854" s="33"/>
      <c r="H3854" s="33"/>
      <c r="I3854" s="33"/>
      <c r="J3854" s="33"/>
      <c r="K3854" s="33"/>
      <c r="L3854" s="33"/>
      <c r="M3854" s="33"/>
      <c r="N3854" s="33"/>
      <c r="O3854" s="33"/>
      <c r="P3854" s="33"/>
      <c r="Q3854" s="33"/>
      <c r="R3854" s="33"/>
      <c r="T3854"/>
    </row>
    <row r="3855" spans="1:20" x14ac:dyDescent="0.2">
      <c r="A3855" s="9"/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T3855"/>
    </row>
    <row r="3856" spans="1:20" x14ac:dyDescent="0.2">
      <c r="A3856" s="33"/>
      <c r="B3856" s="33"/>
      <c r="C3856" s="33"/>
      <c r="D3856" s="33"/>
      <c r="E3856" s="33"/>
      <c r="F3856" s="33"/>
      <c r="G3856" s="33"/>
      <c r="H3856" s="33"/>
      <c r="I3856" s="33"/>
      <c r="J3856" s="33"/>
      <c r="K3856" s="33"/>
      <c r="L3856" s="33"/>
      <c r="M3856" s="33"/>
      <c r="N3856" s="33"/>
      <c r="O3856" s="33"/>
      <c r="P3856" s="33"/>
      <c r="Q3856" s="33"/>
      <c r="R3856" s="33"/>
      <c r="T3856"/>
    </row>
    <row r="3857" spans="1:20" x14ac:dyDescent="0.2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T3857"/>
    </row>
    <row r="3858" spans="1:20" x14ac:dyDescent="0.2">
      <c r="A3858" s="33"/>
      <c r="B3858" s="33"/>
      <c r="C3858" s="33"/>
      <c r="D3858" s="33"/>
      <c r="E3858" s="33"/>
      <c r="F3858" s="33"/>
      <c r="G3858" s="33"/>
      <c r="H3858" s="33"/>
      <c r="I3858" s="33"/>
      <c r="J3858" s="33"/>
      <c r="K3858" s="33"/>
      <c r="L3858" s="33"/>
      <c r="M3858" s="33"/>
      <c r="N3858" s="33"/>
      <c r="O3858" s="33"/>
      <c r="P3858" s="33"/>
      <c r="Q3858" s="33"/>
      <c r="R3858" s="33"/>
      <c r="T3858"/>
    </row>
    <row r="3859" spans="1:20" x14ac:dyDescent="0.2">
      <c r="A3859" s="9"/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T3859"/>
    </row>
    <row r="3860" spans="1:20" x14ac:dyDescent="0.2">
      <c r="A3860" s="33"/>
      <c r="B3860" s="33"/>
      <c r="C3860" s="33"/>
      <c r="D3860" s="33"/>
      <c r="E3860" s="33"/>
      <c r="F3860" s="33"/>
      <c r="G3860" s="33"/>
      <c r="H3860" s="33"/>
      <c r="I3860" s="33"/>
      <c r="J3860" s="33"/>
      <c r="K3860" s="33"/>
      <c r="L3860" s="33"/>
      <c r="M3860" s="33"/>
      <c r="N3860" s="33"/>
      <c r="O3860" s="33"/>
      <c r="P3860" s="33"/>
      <c r="Q3860" s="33"/>
      <c r="R3860" s="33"/>
      <c r="T3860"/>
    </row>
    <row r="3861" spans="1:20" x14ac:dyDescent="0.2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T3861"/>
    </row>
    <row r="3862" spans="1:20" x14ac:dyDescent="0.2">
      <c r="A3862" s="33"/>
      <c r="B3862" s="33"/>
      <c r="C3862" s="33"/>
      <c r="D3862" s="33"/>
      <c r="E3862" s="33"/>
      <c r="F3862" s="33"/>
      <c r="G3862" s="33"/>
      <c r="H3862" s="33"/>
      <c r="I3862" s="33"/>
      <c r="J3862" s="33"/>
      <c r="K3862" s="33"/>
      <c r="L3862" s="33"/>
      <c r="M3862" s="33"/>
      <c r="N3862" s="33"/>
      <c r="O3862" s="33"/>
      <c r="P3862" s="33"/>
      <c r="Q3862" s="33"/>
      <c r="R3862" s="33"/>
      <c r="T3862"/>
    </row>
    <row r="3863" spans="1:20" x14ac:dyDescent="0.2">
      <c r="A3863" s="9"/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T3863"/>
    </row>
    <row r="3864" spans="1:20" x14ac:dyDescent="0.2">
      <c r="A3864" s="33"/>
      <c r="B3864" s="33"/>
      <c r="C3864" s="33"/>
      <c r="D3864" s="33"/>
      <c r="E3864" s="33"/>
      <c r="F3864" s="33"/>
      <c r="G3864" s="33"/>
      <c r="H3864" s="33"/>
      <c r="I3864" s="33"/>
      <c r="J3864" s="33"/>
      <c r="K3864" s="33"/>
      <c r="L3864" s="33"/>
      <c r="M3864" s="33"/>
      <c r="N3864" s="33"/>
      <c r="O3864" s="33"/>
      <c r="P3864" s="33"/>
      <c r="Q3864" s="33"/>
      <c r="R3864" s="33"/>
      <c r="T3864"/>
    </row>
    <row r="3865" spans="1:20" x14ac:dyDescent="0.2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T3865"/>
    </row>
    <row r="3866" spans="1:20" x14ac:dyDescent="0.2">
      <c r="A3866" s="33"/>
      <c r="B3866" s="33"/>
      <c r="C3866" s="33"/>
      <c r="D3866" s="33"/>
      <c r="E3866" s="33"/>
      <c r="F3866" s="33"/>
      <c r="G3866" s="33"/>
      <c r="H3866" s="33"/>
      <c r="I3866" s="33"/>
      <c r="J3866" s="33"/>
      <c r="K3866" s="33"/>
      <c r="L3866" s="33"/>
      <c r="M3866" s="33"/>
      <c r="N3866" s="33"/>
      <c r="O3866" s="33"/>
      <c r="P3866" s="33"/>
      <c r="Q3866" s="33"/>
      <c r="R3866" s="33"/>
      <c r="T3866"/>
    </row>
    <row r="3867" spans="1:20" x14ac:dyDescent="0.2">
      <c r="A3867" s="9"/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T3867"/>
    </row>
    <row r="3868" spans="1:20" x14ac:dyDescent="0.2">
      <c r="A3868" s="33"/>
      <c r="B3868" s="33"/>
      <c r="C3868" s="33"/>
      <c r="D3868" s="33"/>
      <c r="E3868" s="33"/>
      <c r="F3868" s="33"/>
      <c r="G3868" s="33"/>
      <c r="H3868" s="33"/>
      <c r="I3868" s="33"/>
      <c r="J3868" s="33"/>
      <c r="K3868" s="33"/>
      <c r="L3868" s="33"/>
      <c r="M3868" s="33"/>
      <c r="N3868" s="33"/>
      <c r="O3868" s="33"/>
      <c r="P3868" s="33"/>
      <c r="Q3868" s="33"/>
      <c r="R3868" s="33"/>
      <c r="T3868"/>
    </row>
    <row r="3869" spans="1:20" x14ac:dyDescent="0.2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T3869"/>
    </row>
    <row r="3870" spans="1:20" x14ac:dyDescent="0.2">
      <c r="A3870" s="33"/>
      <c r="B3870" s="33"/>
      <c r="C3870" s="33"/>
      <c r="D3870" s="33"/>
      <c r="E3870" s="33"/>
      <c r="F3870" s="33"/>
      <c r="G3870" s="33"/>
      <c r="H3870" s="33"/>
      <c r="I3870" s="33"/>
      <c r="J3870" s="33"/>
      <c r="K3870" s="33"/>
      <c r="L3870" s="33"/>
      <c r="M3870" s="33"/>
      <c r="N3870" s="33"/>
      <c r="O3870" s="33"/>
      <c r="P3870" s="33"/>
      <c r="Q3870" s="33"/>
      <c r="R3870" s="33"/>
      <c r="T3870"/>
    </row>
    <row r="3871" spans="1:20" x14ac:dyDescent="0.2">
      <c r="A3871" s="9"/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T3871"/>
    </row>
    <row r="3872" spans="1:20" x14ac:dyDescent="0.2">
      <c r="A3872" s="33"/>
      <c r="B3872" s="33"/>
      <c r="C3872" s="33"/>
      <c r="D3872" s="33"/>
      <c r="E3872" s="33"/>
      <c r="F3872" s="33"/>
      <c r="G3872" s="33"/>
      <c r="H3872" s="33"/>
      <c r="I3872" s="33"/>
      <c r="J3872" s="33"/>
      <c r="K3872" s="33"/>
      <c r="L3872" s="33"/>
      <c r="M3872" s="33"/>
      <c r="N3872" s="33"/>
      <c r="O3872" s="33"/>
      <c r="P3872" s="33"/>
      <c r="Q3872" s="33"/>
      <c r="R3872" s="33"/>
      <c r="T3872"/>
    </row>
    <row r="3873" spans="1:20" x14ac:dyDescent="0.2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T3873"/>
    </row>
    <row r="3874" spans="1:20" x14ac:dyDescent="0.2">
      <c r="A3874" s="33"/>
      <c r="B3874" s="33"/>
      <c r="C3874" s="33"/>
      <c r="D3874" s="33"/>
      <c r="E3874" s="33"/>
      <c r="F3874" s="33"/>
      <c r="G3874" s="33"/>
      <c r="H3874" s="33"/>
      <c r="I3874" s="33"/>
      <c r="J3874" s="33"/>
      <c r="K3874" s="33"/>
      <c r="L3874" s="33"/>
      <c r="M3874" s="33"/>
      <c r="N3874" s="33"/>
      <c r="O3874" s="33"/>
      <c r="P3874" s="33"/>
      <c r="Q3874" s="33"/>
      <c r="R3874" s="33"/>
      <c r="T3874"/>
    </row>
    <row r="3875" spans="1:20" x14ac:dyDescent="0.2">
      <c r="A3875" s="9"/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T3875"/>
    </row>
    <row r="3876" spans="1:20" x14ac:dyDescent="0.2">
      <c r="A3876" s="33"/>
      <c r="B3876" s="33"/>
      <c r="C3876" s="33"/>
      <c r="D3876" s="33"/>
      <c r="E3876" s="33"/>
      <c r="F3876" s="33"/>
      <c r="G3876" s="33"/>
      <c r="H3876" s="33"/>
      <c r="I3876" s="33"/>
      <c r="J3876" s="33"/>
      <c r="K3876" s="33"/>
      <c r="L3876" s="33"/>
      <c r="M3876" s="33"/>
      <c r="N3876" s="33"/>
      <c r="O3876" s="33"/>
      <c r="P3876" s="33"/>
      <c r="Q3876" s="33"/>
      <c r="R3876" s="33"/>
      <c r="T3876"/>
    </row>
    <row r="3877" spans="1:20" x14ac:dyDescent="0.2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T3877"/>
    </row>
    <row r="3878" spans="1:20" x14ac:dyDescent="0.2">
      <c r="A3878" s="33"/>
      <c r="B3878" s="33"/>
      <c r="C3878" s="33"/>
      <c r="D3878" s="33"/>
      <c r="E3878" s="33"/>
      <c r="F3878" s="33"/>
      <c r="G3878" s="33"/>
      <c r="H3878" s="33"/>
      <c r="I3878" s="33"/>
      <c r="J3878" s="33"/>
      <c r="K3878" s="33"/>
      <c r="L3878" s="33"/>
      <c r="M3878" s="33"/>
      <c r="N3878" s="33"/>
      <c r="O3878" s="33"/>
      <c r="P3878" s="33"/>
      <c r="Q3878" s="33"/>
      <c r="R3878" s="33"/>
      <c r="T3878"/>
    </row>
    <row r="3879" spans="1:20" x14ac:dyDescent="0.2">
      <c r="A3879" s="9"/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T3879"/>
    </row>
    <row r="3880" spans="1:20" x14ac:dyDescent="0.2">
      <c r="A3880" s="33"/>
      <c r="B3880" s="33"/>
      <c r="C3880" s="33"/>
      <c r="D3880" s="33"/>
      <c r="E3880" s="33"/>
      <c r="F3880" s="33"/>
      <c r="G3880" s="33"/>
      <c r="H3880" s="33"/>
      <c r="I3880" s="33"/>
      <c r="J3880" s="33"/>
      <c r="K3880" s="33"/>
      <c r="L3880" s="33"/>
      <c r="M3880" s="33"/>
      <c r="N3880" s="33"/>
      <c r="O3880" s="33"/>
      <c r="P3880" s="33"/>
      <c r="Q3880" s="33"/>
      <c r="R3880" s="33"/>
      <c r="T3880"/>
    </row>
    <row r="3881" spans="1:20" x14ac:dyDescent="0.2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T3881"/>
    </row>
    <row r="3882" spans="1:20" x14ac:dyDescent="0.2">
      <c r="A3882" s="33"/>
      <c r="B3882" s="33"/>
      <c r="C3882" s="33"/>
      <c r="D3882" s="33"/>
      <c r="E3882" s="33"/>
      <c r="F3882" s="33"/>
      <c r="G3882" s="33"/>
      <c r="H3882" s="33"/>
      <c r="I3882" s="33"/>
      <c r="J3882" s="33"/>
      <c r="K3882" s="33"/>
      <c r="L3882" s="33"/>
      <c r="M3882" s="33"/>
      <c r="N3882" s="33"/>
      <c r="O3882" s="33"/>
      <c r="P3882" s="33"/>
      <c r="Q3882" s="33"/>
      <c r="R3882" s="33"/>
      <c r="T3882"/>
    </row>
    <row r="3883" spans="1:20" x14ac:dyDescent="0.2">
      <c r="A3883" s="9"/>
      <c r="B3883" s="9"/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T3883"/>
    </row>
    <row r="3884" spans="1:20" x14ac:dyDescent="0.2">
      <c r="A3884" s="33"/>
      <c r="B3884" s="33"/>
      <c r="C3884" s="33"/>
      <c r="D3884" s="33"/>
      <c r="E3884" s="33"/>
      <c r="F3884" s="33"/>
      <c r="G3884" s="33"/>
      <c r="H3884" s="33"/>
      <c r="I3884" s="33"/>
      <c r="J3884" s="33"/>
      <c r="K3884" s="33"/>
      <c r="L3884" s="33"/>
      <c r="M3884" s="33"/>
      <c r="N3884" s="33"/>
      <c r="O3884" s="33"/>
      <c r="P3884" s="33"/>
      <c r="Q3884" s="33"/>
      <c r="R3884" s="33"/>
      <c r="T3884"/>
    </row>
    <row r="3885" spans="1:20" x14ac:dyDescent="0.2">
      <c r="A3885" s="9"/>
      <c r="B3885" s="9"/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T3885"/>
    </row>
    <row r="3886" spans="1:20" x14ac:dyDescent="0.2">
      <c r="A3886" s="33"/>
      <c r="B3886" s="33"/>
      <c r="C3886" s="33"/>
      <c r="D3886" s="33"/>
      <c r="E3886" s="33"/>
      <c r="F3886" s="33"/>
      <c r="G3886" s="33"/>
      <c r="H3886" s="33"/>
      <c r="I3886" s="33"/>
      <c r="J3886" s="33"/>
      <c r="K3886" s="33"/>
      <c r="L3886" s="33"/>
      <c r="M3886" s="33"/>
      <c r="N3886" s="33"/>
      <c r="O3886" s="33"/>
      <c r="P3886" s="33"/>
      <c r="Q3886" s="33"/>
      <c r="R3886" s="33"/>
      <c r="T3886"/>
    </row>
    <row r="3887" spans="1:20" x14ac:dyDescent="0.2">
      <c r="A3887" s="9"/>
      <c r="B3887" s="9"/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T3887"/>
    </row>
    <row r="3888" spans="1:20" x14ac:dyDescent="0.2">
      <c r="A3888" s="33"/>
      <c r="B3888" s="33"/>
      <c r="C3888" s="33"/>
      <c r="D3888" s="33"/>
      <c r="E3888" s="33"/>
      <c r="F3888" s="33"/>
      <c r="G3888" s="33"/>
      <c r="H3888" s="33"/>
      <c r="I3888" s="33"/>
      <c r="J3888" s="33"/>
      <c r="K3888" s="33"/>
      <c r="L3888" s="33"/>
      <c r="M3888" s="33"/>
      <c r="N3888" s="33"/>
      <c r="O3888" s="33"/>
      <c r="P3888" s="33"/>
      <c r="Q3888" s="33"/>
      <c r="R3888" s="33"/>
      <c r="T3888"/>
    </row>
    <row r="3889" spans="1:20" x14ac:dyDescent="0.2">
      <c r="A3889" s="9"/>
      <c r="B3889" s="9"/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T3889"/>
    </row>
    <row r="3890" spans="1:20" x14ac:dyDescent="0.2">
      <c r="A3890" s="33"/>
      <c r="B3890" s="33"/>
      <c r="C3890" s="33"/>
      <c r="D3890" s="33"/>
      <c r="E3890" s="33"/>
      <c r="F3890" s="33"/>
      <c r="G3890" s="33"/>
      <c r="H3890" s="33"/>
      <c r="I3890" s="33"/>
      <c r="J3890" s="33"/>
      <c r="K3890" s="33"/>
      <c r="L3890" s="33"/>
      <c r="M3890" s="33"/>
      <c r="N3890" s="33"/>
      <c r="O3890" s="33"/>
      <c r="P3890" s="33"/>
      <c r="Q3890" s="33"/>
      <c r="R3890" s="33"/>
      <c r="T3890"/>
    </row>
    <row r="3891" spans="1:20" x14ac:dyDescent="0.2">
      <c r="A3891" s="9"/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T3891"/>
    </row>
    <row r="3892" spans="1:20" x14ac:dyDescent="0.2">
      <c r="A3892" s="33"/>
      <c r="B3892" s="33"/>
      <c r="C3892" s="33"/>
      <c r="D3892" s="33"/>
      <c r="E3892" s="33"/>
      <c r="F3892" s="33"/>
      <c r="G3892" s="33"/>
      <c r="H3892" s="33"/>
      <c r="I3892" s="33"/>
      <c r="J3892" s="33"/>
      <c r="K3892" s="33"/>
      <c r="L3892" s="33"/>
      <c r="M3892" s="33"/>
      <c r="N3892" s="33"/>
      <c r="O3892" s="33"/>
      <c r="P3892" s="33"/>
      <c r="Q3892" s="33"/>
      <c r="R3892" s="33"/>
      <c r="T3892"/>
    </row>
    <row r="3893" spans="1:20" x14ac:dyDescent="0.2">
      <c r="A3893" s="9"/>
      <c r="B3893" s="9"/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T3893"/>
    </row>
    <row r="3894" spans="1:20" x14ac:dyDescent="0.2">
      <c r="A3894" s="33"/>
      <c r="B3894" s="33"/>
      <c r="C3894" s="33"/>
      <c r="D3894" s="33"/>
      <c r="E3894" s="33"/>
      <c r="F3894" s="33"/>
      <c r="G3894" s="33"/>
      <c r="H3894" s="33"/>
      <c r="I3894" s="33"/>
      <c r="J3894" s="33"/>
      <c r="K3894" s="33"/>
      <c r="L3894" s="33"/>
      <c r="M3894" s="33"/>
      <c r="N3894" s="33"/>
      <c r="O3894" s="33"/>
      <c r="P3894" s="33"/>
      <c r="Q3894" s="33"/>
      <c r="R3894" s="33"/>
      <c r="T3894"/>
    </row>
    <row r="3895" spans="1:20" x14ac:dyDescent="0.2">
      <c r="A3895" s="9"/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T3895"/>
    </row>
    <row r="3896" spans="1:20" x14ac:dyDescent="0.2">
      <c r="A3896" s="33"/>
      <c r="B3896" s="33"/>
      <c r="C3896" s="33"/>
      <c r="D3896" s="33"/>
      <c r="E3896" s="33"/>
      <c r="F3896" s="33"/>
      <c r="G3896" s="33"/>
      <c r="H3896" s="33"/>
      <c r="I3896" s="33"/>
      <c r="J3896" s="33"/>
      <c r="K3896" s="33"/>
      <c r="L3896" s="33"/>
      <c r="M3896" s="33"/>
      <c r="N3896" s="33"/>
      <c r="O3896" s="33"/>
      <c r="P3896" s="33"/>
      <c r="Q3896" s="33"/>
      <c r="R3896" s="33"/>
      <c r="T3896"/>
    </row>
    <row r="3897" spans="1:20" x14ac:dyDescent="0.2">
      <c r="A3897" s="9"/>
      <c r="B3897" s="9"/>
      <c r="C3897" s="9"/>
      <c r="D3897" s="9"/>
      <c r="E3897" s="9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T3897"/>
    </row>
    <row r="3898" spans="1:20" x14ac:dyDescent="0.2">
      <c r="A3898" s="33"/>
      <c r="B3898" s="33"/>
      <c r="C3898" s="33"/>
      <c r="D3898" s="33"/>
      <c r="E3898" s="33"/>
      <c r="F3898" s="33"/>
      <c r="G3898" s="33"/>
      <c r="H3898" s="33"/>
      <c r="I3898" s="33"/>
      <c r="J3898" s="33"/>
      <c r="K3898" s="33"/>
      <c r="L3898" s="33"/>
      <c r="M3898" s="33"/>
      <c r="N3898" s="33"/>
      <c r="O3898" s="33"/>
      <c r="P3898" s="33"/>
      <c r="Q3898" s="33"/>
      <c r="R3898" s="33"/>
      <c r="T3898"/>
    </row>
    <row r="3899" spans="1:20" x14ac:dyDescent="0.2">
      <c r="A3899" s="9"/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T3899"/>
    </row>
    <row r="3900" spans="1:20" x14ac:dyDescent="0.2">
      <c r="A3900" s="33"/>
      <c r="B3900" s="33"/>
      <c r="C3900" s="33"/>
      <c r="D3900" s="33"/>
      <c r="E3900" s="33"/>
      <c r="F3900" s="33"/>
      <c r="G3900" s="33"/>
      <c r="H3900" s="33"/>
      <c r="I3900" s="33"/>
      <c r="J3900" s="33"/>
      <c r="K3900" s="33"/>
      <c r="L3900" s="33"/>
      <c r="M3900" s="33"/>
      <c r="N3900" s="33"/>
      <c r="O3900" s="33"/>
      <c r="P3900" s="33"/>
      <c r="Q3900" s="33"/>
      <c r="R3900" s="33"/>
      <c r="T3900"/>
    </row>
    <row r="3901" spans="1:20" x14ac:dyDescent="0.2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T3901"/>
    </row>
    <row r="3902" spans="1:20" x14ac:dyDescent="0.2">
      <c r="A3902" s="33"/>
      <c r="B3902" s="33"/>
      <c r="C3902" s="33"/>
      <c r="D3902" s="33"/>
      <c r="E3902" s="33"/>
      <c r="F3902" s="33"/>
      <c r="G3902" s="33"/>
      <c r="H3902" s="33"/>
      <c r="I3902" s="33"/>
      <c r="J3902" s="33"/>
      <c r="K3902" s="33"/>
      <c r="L3902" s="33"/>
      <c r="M3902" s="33"/>
      <c r="N3902" s="33"/>
      <c r="O3902" s="33"/>
      <c r="P3902" s="33"/>
      <c r="Q3902" s="33"/>
      <c r="R3902" s="33"/>
      <c r="T3902"/>
    </row>
    <row r="3903" spans="1:20" x14ac:dyDescent="0.2">
      <c r="A3903" s="9"/>
      <c r="B3903" s="9"/>
      <c r="C3903" s="9"/>
      <c r="D3903" s="9"/>
      <c r="E3903" s="9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T3903"/>
    </row>
    <row r="3904" spans="1:20" x14ac:dyDescent="0.2">
      <c r="A3904" s="33"/>
      <c r="B3904" s="33"/>
      <c r="C3904" s="33"/>
      <c r="D3904" s="33"/>
      <c r="E3904" s="33"/>
      <c r="F3904" s="33"/>
      <c r="G3904" s="33"/>
      <c r="H3904" s="33"/>
      <c r="I3904" s="33"/>
      <c r="J3904" s="33"/>
      <c r="K3904" s="33"/>
      <c r="L3904" s="33"/>
      <c r="M3904" s="33"/>
      <c r="N3904" s="33"/>
      <c r="O3904" s="33"/>
      <c r="P3904" s="33"/>
      <c r="Q3904" s="33"/>
      <c r="R3904" s="33"/>
      <c r="T3904"/>
    </row>
    <row r="3905" spans="1:20" x14ac:dyDescent="0.2">
      <c r="A3905" s="9"/>
      <c r="B3905" s="9"/>
      <c r="C3905" s="9"/>
      <c r="D3905" s="9"/>
      <c r="E3905" s="9"/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T3905"/>
    </row>
    <row r="3906" spans="1:20" x14ac:dyDescent="0.2">
      <c r="A3906" s="33"/>
      <c r="B3906" s="33"/>
      <c r="C3906" s="33"/>
      <c r="D3906" s="33"/>
      <c r="E3906" s="33"/>
      <c r="F3906" s="33"/>
      <c r="G3906" s="33"/>
      <c r="H3906" s="33"/>
      <c r="I3906" s="33"/>
      <c r="J3906" s="33"/>
      <c r="K3906" s="33"/>
      <c r="L3906" s="33"/>
      <c r="M3906" s="33"/>
      <c r="N3906" s="33"/>
      <c r="O3906" s="33"/>
      <c r="P3906" s="33"/>
      <c r="Q3906" s="33"/>
      <c r="R3906" s="33"/>
      <c r="T3906"/>
    </row>
    <row r="3907" spans="1:20" x14ac:dyDescent="0.2">
      <c r="A3907" s="9"/>
      <c r="B3907" s="9"/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T3907"/>
    </row>
    <row r="3908" spans="1:20" x14ac:dyDescent="0.2">
      <c r="A3908" s="33"/>
      <c r="B3908" s="33"/>
      <c r="C3908" s="33"/>
      <c r="D3908" s="33"/>
      <c r="E3908" s="33"/>
      <c r="F3908" s="33"/>
      <c r="G3908" s="33"/>
      <c r="H3908" s="33"/>
      <c r="I3908" s="33"/>
      <c r="J3908" s="33"/>
      <c r="K3908" s="33"/>
      <c r="L3908" s="33"/>
      <c r="M3908" s="33"/>
      <c r="N3908" s="33"/>
      <c r="O3908" s="33"/>
      <c r="P3908" s="33"/>
      <c r="Q3908" s="33"/>
      <c r="R3908" s="33"/>
      <c r="T3908"/>
    </row>
    <row r="3909" spans="1:20" x14ac:dyDescent="0.2">
      <c r="A3909" s="9"/>
      <c r="B3909" s="9"/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T3909"/>
    </row>
    <row r="3910" spans="1:20" x14ac:dyDescent="0.2">
      <c r="A3910" s="33"/>
      <c r="B3910" s="33"/>
      <c r="C3910" s="33"/>
      <c r="D3910" s="33"/>
      <c r="E3910" s="33"/>
      <c r="F3910" s="33"/>
      <c r="G3910" s="33"/>
      <c r="H3910" s="33"/>
      <c r="I3910" s="33"/>
      <c r="J3910" s="33"/>
      <c r="K3910" s="33"/>
      <c r="L3910" s="33"/>
      <c r="M3910" s="33"/>
      <c r="N3910" s="33"/>
      <c r="O3910" s="33"/>
      <c r="P3910" s="33"/>
      <c r="Q3910" s="33"/>
      <c r="R3910" s="33"/>
      <c r="T3910"/>
    </row>
    <row r="3911" spans="1:20" x14ac:dyDescent="0.2">
      <c r="A3911" s="9"/>
      <c r="B3911" s="9"/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T3911"/>
    </row>
    <row r="3912" spans="1:20" x14ac:dyDescent="0.2">
      <c r="A3912" s="33"/>
      <c r="B3912" s="33"/>
      <c r="C3912" s="33"/>
      <c r="D3912" s="33"/>
      <c r="E3912" s="33"/>
      <c r="F3912" s="33"/>
      <c r="G3912" s="33"/>
      <c r="H3912" s="33"/>
      <c r="I3912" s="33"/>
      <c r="J3912" s="33"/>
      <c r="K3912" s="33"/>
      <c r="L3912" s="33"/>
      <c r="M3912" s="33"/>
      <c r="N3912" s="33"/>
      <c r="O3912" s="33"/>
      <c r="P3912" s="33"/>
      <c r="Q3912" s="33"/>
      <c r="R3912" s="33"/>
      <c r="T3912"/>
    </row>
    <row r="3913" spans="1:20" x14ac:dyDescent="0.2">
      <c r="A3913" s="9"/>
      <c r="B3913" s="9"/>
      <c r="C3913" s="9"/>
      <c r="D3913" s="9"/>
      <c r="E3913" s="9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T3913"/>
    </row>
    <row r="3914" spans="1:20" x14ac:dyDescent="0.2">
      <c r="A3914" s="33"/>
      <c r="B3914" s="33"/>
      <c r="C3914" s="33"/>
      <c r="D3914" s="33"/>
      <c r="E3914" s="33"/>
      <c r="F3914" s="33"/>
      <c r="G3914" s="33"/>
      <c r="H3914" s="33"/>
      <c r="I3914" s="33"/>
      <c r="J3914" s="33"/>
      <c r="K3914" s="33"/>
      <c r="L3914" s="33"/>
      <c r="M3914" s="33"/>
      <c r="N3914" s="33"/>
      <c r="O3914" s="33"/>
      <c r="P3914" s="33"/>
      <c r="Q3914" s="33"/>
      <c r="R3914" s="33"/>
      <c r="T3914"/>
    </row>
    <row r="3915" spans="1:20" x14ac:dyDescent="0.2">
      <c r="A3915" s="9"/>
      <c r="B3915" s="9"/>
      <c r="C3915" s="9"/>
      <c r="D3915" s="9"/>
      <c r="E3915" s="9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T3915"/>
    </row>
    <row r="3916" spans="1:20" x14ac:dyDescent="0.2">
      <c r="A3916" s="33"/>
      <c r="B3916" s="33"/>
      <c r="C3916" s="33"/>
      <c r="D3916" s="33"/>
      <c r="E3916" s="33"/>
      <c r="F3916" s="33"/>
      <c r="G3916" s="33"/>
      <c r="H3916" s="33"/>
      <c r="I3916" s="33"/>
      <c r="J3916" s="33"/>
      <c r="K3916" s="33"/>
      <c r="L3916" s="33"/>
      <c r="M3916" s="33"/>
      <c r="N3916" s="33"/>
      <c r="O3916" s="33"/>
      <c r="P3916" s="33"/>
      <c r="Q3916" s="33"/>
      <c r="R3916" s="33"/>
      <c r="T3916"/>
    </row>
    <row r="3917" spans="1:20" x14ac:dyDescent="0.2">
      <c r="A3917" s="9"/>
      <c r="B3917" s="9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T3917"/>
    </row>
    <row r="3918" spans="1:20" x14ac:dyDescent="0.2">
      <c r="A3918" s="33"/>
      <c r="B3918" s="33"/>
      <c r="C3918" s="33"/>
      <c r="D3918" s="33"/>
      <c r="E3918" s="33"/>
      <c r="F3918" s="33"/>
      <c r="G3918" s="33"/>
      <c r="H3918" s="33"/>
      <c r="I3918" s="33"/>
      <c r="J3918" s="33"/>
      <c r="K3918" s="33"/>
      <c r="L3918" s="33"/>
      <c r="M3918" s="33"/>
      <c r="N3918" s="33"/>
      <c r="O3918" s="33"/>
      <c r="P3918" s="33"/>
      <c r="Q3918" s="33"/>
      <c r="R3918" s="33"/>
      <c r="T3918"/>
    </row>
    <row r="3919" spans="1:20" x14ac:dyDescent="0.2">
      <c r="A3919" s="9"/>
      <c r="B3919" s="9"/>
      <c r="C3919" s="9"/>
      <c r="D3919" s="9"/>
      <c r="E3919" s="9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T3919"/>
    </row>
    <row r="3920" spans="1:20" x14ac:dyDescent="0.2">
      <c r="A3920" s="33"/>
      <c r="B3920" s="33"/>
      <c r="C3920" s="33"/>
      <c r="D3920" s="33"/>
      <c r="E3920" s="33"/>
      <c r="F3920" s="33"/>
      <c r="G3920" s="33"/>
      <c r="H3920" s="33"/>
      <c r="I3920" s="33"/>
      <c r="J3920" s="33"/>
      <c r="K3920" s="33"/>
      <c r="L3920" s="33"/>
      <c r="M3920" s="33"/>
      <c r="N3920" s="33"/>
      <c r="O3920" s="33"/>
      <c r="P3920" s="33"/>
      <c r="Q3920" s="33"/>
      <c r="R3920" s="33"/>
      <c r="T3920"/>
    </row>
    <row r="3921" spans="1:20" x14ac:dyDescent="0.2">
      <c r="A3921" s="9"/>
      <c r="B3921" s="9"/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T3921"/>
    </row>
    <row r="3922" spans="1:20" x14ac:dyDescent="0.2">
      <c r="A3922" s="33"/>
      <c r="B3922" s="33"/>
      <c r="C3922" s="33"/>
      <c r="D3922" s="33"/>
      <c r="E3922" s="33"/>
      <c r="F3922" s="33"/>
      <c r="G3922" s="33"/>
      <c r="H3922" s="33"/>
      <c r="I3922" s="33"/>
      <c r="J3922" s="33"/>
      <c r="K3922" s="33"/>
      <c r="L3922" s="33"/>
      <c r="M3922" s="33"/>
      <c r="N3922" s="33"/>
      <c r="O3922" s="33"/>
      <c r="P3922" s="33"/>
      <c r="Q3922" s="33"/>
      <c r="R3922" s="33"/>
      <c r="T3922"/>
    </row>
    <row r="3923" spans="1:20" x14ac:dyDescent="0.2">
      <c r="A3923" s="9"/>
      <c r="B3923" s="9"/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T3923"/>
    </row>
    <row r="3924" spans="1:20" x14ac:dyDescent="0.2">
      <c r="A3924" s="33"/>
      <c r="B3924" s="33"/>
      <c r="C3924" s="33"/>
      <c r="D3924" s="33"/>
      <c r="E3924" s="33"/>
      <c r="F3924" s="33"/>
      <c r="G3924" s="33"/>
      <c r="H3924" s="33"/>
      <c r="I3924" s="33"/>
      <c r="J3924" s="33"/>
      <c r="K3924" s="33"/>
      <c r="L3924" s="33"/>
      <c r="M3924" s="33"/>
      <c r="N3924" s="33"/>
      <c r="O3924" s="33"/>
      <c r="P3924" s="33"/>
      <c r="Q3924" s="33"/>
      <c r="R3924" s="33"/>
      <c r="T3924"/>
    </row>
    <row r="3925" spans="1:20" x14ac:dyDescent="0.2">
      <c r="A3925" s="9"/>
      <c r="B3925" s="9"/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T3925"/>
    </row>
    <row r="3926" spans="1:20" x14ac:dyDescent="0.2">
      <c r="A3926" s="33"/>
      <c r="B3926" s="33"/>
      <c r="C3926" s="33"/>
      <c r="D3926" s="33"/>
      <c r="E3926" s="33"/>
      <c r="F3926" s="33"/>
      <c r="G3926" s="33"/>
      <c r="H3926" s="33"/>
      <c r="I3926" s="33"/>
      <c r="J3926" s="33"/>
      <c r="K3926" s="33"/>
      <c r="L3926" s="33"/>
      <c r="M3926" s="33"/>
      <c r="N3926" s="33"/>
      <c r="O3926" s="33"/>
      <c r="P3926" s="33"/>
      <c r="Q3926" s="33"/>
      <c r="R3926" s="33"/>
      <c r="T3926"/>
    </row>
    <row r="3927" spans="1:20" x14ac:dyDescent="0.2">
      <c r="A3927" s="9"/>
      <c r="B3927" s="9"/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T3927"/>
    </row>
    <row r="3928" spans="1:20" x14ac:dyDescent="0.2">
      <c r="A3928" s="33"/>
      <c r="B3928" s="33"/>
      <c r="C3928" s="33"/>
      <c r="D3928" s="33"/>
      <c r="E3928" s="33"/>
      <c r="F3928" s="33"/>
      <c r="G3928" s="33"/>
      <c r="H3928" s="33"/>
      <c r="I3928" s="33"/>
      <c r="J3928" s="33"/>
      <c r="K3928" s="33"/>
      <c r="L3928" s="33"/>
      <c r="M3928" s="33"/>
      <c r="N3928" s="33"/>
      <c r="O3928" s="33"/>
      <c r="P3928" s="33"/>
      <c r="Q3928" s="33"/>
      <c r="R3928" s="33"/>
      <c r="T3928"/>
    </row>
    <row r="3929" spans="1:20" x14ac:dyDescent="0.2">
      <c r="A3929" s="9"/>
      <c r="B3929" s="9"/>
      <c r="C3929" s="9"/>
      <c r="D3929" s="9"/>
      <c r="E3929" s="9"/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T3929"/>
    </row>
    <row r="3930" spans="1:20" x14ac:dyDescent="0.2">
      <c r="A3930" s="33"/>
      <c r="B3930" s="33"/>
      <c r="C3930" s="33"/>
      <c r="D3930" s="33"/>
      <c r="E3930" s="33"/>
      <c r="F3930" s="33"/>
      <c r="G3930" s="33"/>
      <c r="H3930" s="33"/>
      <c r="I3930" s="33"/>
      <c r="J3930" s="33"/>
      <c r="K3930" s="33"/>
      <c r="L3930" s="33"/>
      <c r="M3930" s="33"/>
      <c r="N3930" s="33"/>
      <c r="O3930" s="33"/>
      <c r="P3930" s="33"/>
      <c r="Q3930" s="33"/>
      <c r="R3930" s="33"/>
      <c r="T3930"/>
    </row>
    <row r="3931" spans="1:20" x14ac:dyDescent="0.2">
      <c r="A3931" s="9"/>
      <c r="B3931" s="9"/>
      <c r="C3931" s="9"/>
      <c r="D3931" s="9"/>
      <c r="E3931" s="9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T3931"/>
    </row>
    <row r="3932" spans="1:20" x14ac:dyDescent="0.2">
      <c r="A3932" s="33"/>
      <c r="B3932" s="33"/>
      <c r="C3932" s="33"/>
      <c r="D3932" s="33"/>
      <c r="E3932" s="33"/>
      <c r="F3932" s="33"/>
      <c r="G3932" s="33"/>
      <c r="H3932" s="33"/>
      <c r="I3932" s="33"/>
      <c r="J3932" s="33"/>
      <c r="K3932" s="33"/>
      <c r="L3932" s="33"/>
      <c r="M3932" s="33"/>
      <c r="N3932" s="33"/>
      <c r="O3932" s="33"/>
      <c r="P3932" s="33"/>
      <c r="Q3932" s="33"/>
      <c r="R3932" s="33"/>
      <c r="T3932"/>
    </row>
    <row r="3933" spans="1:20" x14ac:dyDescent="0.2">
      <c r="A3933" s="9"/>
      <c r="B3933" s="9"/>
      <c r="C3933" s="9"/>
      <c r="D3933" s="9"/>
      <c r="E3933" s="9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T3933"/>
    </row>
    <row r="3934" spans="1:20" x14ac:dyDescent="0.2">
      <c r="A3934" s="33"/>
      <c r="B3934" s="33"/>
      <c r="C3934" s="33"/>
      <c r="D3934" s="33"/>
      <c r="E3934" s="33"/>
      <c r="F3934" s="33"/>
      <c r="G3934" s="33"/>
      <c r="H3934" s="33"/>
      <c r="I3934" s="33"/>
      <c r="J3934" s="33"/>
      <c r="K3934" s="33"/>
      <c r="L3934" s="33"/>
      <c r="M3934" s="33"/>
      <c r="N3934" s="33"/>
      <c r="O3934" s="33"/>
      <c r="P3934" s="33"/>
      <c r="Q3934" s="33"/>
      <c r="R3934" s="33"/>
      <c r="T3934"/>
    </row>
    <row r="3935" spans="1:20" x14ac:dyDescent="0.2">
      <c r="A3935" s="9"/>
      <c r="B3935" s="9"/>
      <c r="C3935" s="9"/>
      <c r="D3935" s="9"/>
      <c r="E3935" s="9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T3935"/>
    </row>
    <row r="3936" spans="1:20" x14ac:dyDescent="0.2">
      <c r="A3936" s="33"/>
      <c r="B3936" s="33"/>
      <c r="C3936" s="33"/>
      <c r="D3936" s="33"/>
      <c r="E3936" s="33"/>
      <c r="F3936" s="33"/>
      <c r="G3936" s="33"/>
      <c r="H3936" s="33"/>
      <c r="I3936" s="33"/>
      <c r="J3936" s="33"/>
      <c r="K3936" s="33"/>
      <c r="L3936" s="33"/>
      <c r="M3936" s="33"/>
      <c r="N3936" s="33"/>
      <c r="O3936" s="33"/>
      <c r="P3936" s="33"/>
      <c r="Q3936" s="33"/>
      <c r="R3936" s="33"/>
      <c r="T3936"/>
    </row>
    <row r="3937" spans="1:20" x14ac:dyDescent="0.2">
      <c r="A3937" s="9"/>
      <c r="B3937" s="9"/>
      <c r="C3937" s="9"/>
      <c r="D3937" s="9"/>
      <c r="E3937" s="9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T3937"/>
    </row>
    <row r="3938" spans="1:20" x14ac:dyDescent="0.2">
      <c r="A3938" s="33"/>
      <c r="B3938" s="33"/>
      <c r="C3938" s="33"/>
      <c r="D3938" s="33"/>
      <c r="E3938" s="33"/>
      <c r="F3938" s="33"/>
      <c r="G3938" s="33"/>
      <c r="H3938" s="33"/>
      <c r="I3938" s="33"/>
      <c r="J3938" s="33"/>
      <c r="K3938" s="33"/>
      <c r="L3938" s="33"/>
      <c r="M3938" s="33"/>
      <c r="N3938" s="33"/>
      <c r="O3938" s="33"/>
      <c r="P3938" s="33"/>
      <c r="Q3938" s="33"/>
      <c r="R3938" s="33"/>
      <c r="T3938"/>
    </row>
    <row r="3939" spans="1:20" x14ac:dyDescent="0.2">
      <c r="A3939" s="9"/>
      <c r="B3939" s="9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T3939"/>
    </row>
    <row r="3940" spans="1:20" x14ac:dyDescent="0.2">
      <c r="A3940" s="33"/>
      <c r="B3940" s="33"/>
      <c r="C3940" s="33"/>
      <c r="D3940" s="33"/>
      <c r="E3940" s="33"/>
      <c r="F3940" s="33"/>
      <c r="G3940" s="33"/>
      <c r="H3940" s="33"/>
      <c r="I3940" s="33"/>
      <c r="J3940" s="33"/>
      <c r="K3940" s="33"/>
      <c r="L3940" s="33"/>
      <c r="M3940" s="33"/>
      <c r="N3940" s="33"/>
      <c r="O3940" s="33"/>
      <c r="P3940" s="33"/>
      <c r="Q3940" s="33"/>
      <c r="R3940" s="33"/>
      <c r="T3940"/>
    </row>
    <row r="3941" spans="1:20" x14ac:dyDescent="0.2">
      <c r="A3941" s="9"/>
      <c r="B3941" s="9"/>
      <c r="C3941" s="9"/>
      <c r="D3941" s="9"/>
      <c r="E3941" s="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T3941"/>
    </row>
    <row r="3942" spans="1:20" x14ac:dyDescent="0.2">
      <c r="A3942" s="33"/>
      <c r="B3942" s="33"/>
      <c r="C3942" s="33"/>
      <c r="D3942" s="33"/>
      <c r="E3942" s="33"/>
      <c r="F3942" s="33"/>
      <c r="G3942" s="33"/>
      <c r="H3942" s="33"/>
      <c r="I3942" s="33"/>
      <c r="J3942" s="33"/>
      <c r="K3942" s="33"/>
      <c r="L3942" s="33"/>
      <c r="M3942" s="33"/>
      <c r="N3942" s="33"/>
      <c r="O3942" s="33"/>
      <c r="P3942" s="33"/>
      <c r="Q3942" s="33"/>
      <c r="R3942" s="33"/>
      <c r="T3942"/>
    </row>
    <row r="3943" spans="1:20" x14ac:dyDescent="0.2">
      <c r="A3943" s="9"/>
      <c r="B3943" s="9"/>
      <c r="C3943" s="9"/>
      <c r="D3943" s="9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T3943"/>
    </row>
    <row r="3944" spans="1:20" x14ac:dyDescent="0.2">
      <c r="A3944" s="33"/>
      <c r="B3944" s="33"/>
      <c r="C3944" s="33"/>
      <c r="D3944" s="33"/>
      <c r="E3944" s="33"/>
      <c r="F3944" s="33"/>
      <c r="G3944" s="33"/>
      <c r="H3944" s="33"/>
      <c r="I3944" s="33"/>
      <c r="J3944" s="33"/>
      <c r="K3944" s="33"/>
      <c r="L3944" s="33"/>
      <c r="M3944" s="33"/>
      <c r="N3944" s="33"/>
      <c r="O3944" s="33"/>
      <c r="P3944" s="33"/>
      <c r="Q3944" s="33"/>
      <c r="R3944" s="33"/>
      <c r="T3944"/>
    </row>
    <row r="3945" spans="1:20" x14ac:dyDescent="0.2">
      <c r="A3945" s="9"/>
      <c r="B3945" s="9"/>
      <c r="C3945" s="9"/>
      <c r="D3945" s="9"/>
      <c r="E3945" s="9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T3945"/>
    </row>
    <row r="3946" spans="1:20" x14ac:dyDescent="0.2">
      <c r="A3946" s="33"/>
      <c r="B3946" s="33"/>
      <c r="C3946" s="33"/>
      <c r="D3946" s="33"/>
      <c r="E3946" s="33"/>
      <c r="F3946" s="33"/>
      <c r="G3946" s="33"/>
      <c r="H3946" s="33"/>
      <c r="I3946" s="33"/>
      <c r="J3946" s="33"/>
      <c r="K3946" s="33"/>
      <c r="L3946" s="33"/>
      <c r="M3946" s="33"/>
      <c r="N3946" s="33"/>
      <c r="O3946" s="33"/>
      <c r="P3946" s="33"/>
      <c r="Q3946" s="33"/>
      <c r="R3946" s="33"/>
      <c r="T3946"/>
    </row>
    <row r="3947" spans="1:20" x14ac:dyDescent="0.2">
      <c r="A3947" s="9"/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T3947"/>
    </row>
    <row r="3948" spans="1:20" x14ac:dyDescent="0.2">
      <c r="A3948" s="33"/>
      <c r="B3948" s="33"/>
      <c r="C3948" s="33"/>
      <c r="D3948" s="33"/>
      <c r="E3948" s="33"/>
      <c r="F3948" s="33"/>
      <c r="G3948" s="33"/>
      <c r="H3948" s="33"/>
      <c r="I3948" s="33"/>
      <c r="J3948" s="33"/>
      <c r="K3948" s="33"/>
      <c r="L3948" s="33"/>
      <c r="M3948" s="33"/>
      <c r="N3948" s="33"/>
      <c r="O3948" s="33"/>
      <c r="P3948" s="33"/>
      <c r="Q3948" s="33"/>
      <c r="R3948" s="33"/>
      <c r="T3948"/>
    </row>
    <row r="3949" spans="1:20" x14ac:dyDescent="0.2">
      <c r="A3949" s="9"/>
      <c r="B3949" s="9"/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T3949"/>
    </row>
    <row r="3950" spans="1:20" x14ac:dyDescent="0.2">
      <c r="A3950" s="33"/>
      <c r="B3950" s="33"/>
      <c r="C3950" s="33"/>
      <c r="D3950" s="33"/>
      <c r="E3950" s="33"/>
      <c r="F3950" s="33"/>
      <c r="G3950" s="33"/>
      <c r="H3950" s="33"/>
      <c r="I3950" s="33"/>
      <c r="J3950" s="33"/>
      <c r="K3950" s="33"/>
      <c r="L3950" s="33"/>
      <c r="M3950" s="33"/>
      <c r="N3950" s="33"/>
      <c r="O3950" s="33"/>
      <c r="P3950" s="33"/>
      <c r="Q3950" s="33"/>
      <c r="R3950" s="33"/>
      <c r="T3950"/>
    </row>
    <row r="3951" spans="1:20" x14ac:dyDescent="0.2">
      <c r="A3951" s="9"/>
      <c r="B3951" s="9"/>
      <c r="C3951" s="9"/>
      <c r="D3951" s="9"/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T3951"/>
    </row>
    <row r="3952" spans="1:20" x14ac:dyDescent="0.2">
      <c r="A3952" s="33"/>
      <c r="B3952" s="33"/>
      <c r="C3952" s="33"/>
      <c r="D3952" s="33"/>
      <c r="E3952" s="33"/>
      <c r="F3952" s="33"/>
      <c r="G3952" s="33"/>
      <c r="H3952" s="33"/>
      <c r="I3952" s="33"/>
      <c r="J3952" s="33"/>
      <c r="K3952" s="33"/>
      <c r="L3952" s="33"/>
      <c r="M3952" s="33"/>
      <c r="N3952" s="33"/>
      <c r="O3952" s="33"/>
      <c r="P3952" s="33"/>
      <c r="Q3952" s="33"/>
      <c r="R3952" s="33"/>
      <c r="T3952"/>
    </row>
    <row r="3953" spans="1:20" x14ac:dyDescent="0.2">
      <c r="A3953" s="9"/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T3953"/>
    </row>
    <row r="3954" spans="1:20" x14ac:dyDescent="0.2">
      <c r="A3954" s="33"/>
      <c r="B3954" s="33"/>
      <c r="C3954" s="33"/>
      <c r="D3954" s="33"/>
      <c r="E3954" s="33"/>
      <c r="F3954" s="33"/>
      <c r="G3954" s="33"/>
      <c r="H3954" s="33"/>
      <c r="I3954" s="33"/>
      <c r="J3954" s="33"/>
      <c r="K3954" s="33"/>
      <c r="L3954" s="33"/>
      <c r="M3954" s="33"/>
      <c r="N3954" s="33"/>
      <c r="O3954" s="33"/>
      <c r="P3954" s="33"/>
      <c r="Q3954" s="33"/>
      <c r="R3954" s="33"/>
      <c r="T3954"/>
    </row>
    <row r="3955" spans="1:20" x14ac:dyDescent="0.2">
      <c r="A3955" s="9"/>
      <c r="B3955" s="9"/>
      <c r="C3955" s="9"/>
      <c r="D3955" s="9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T3955"/>
    </row>
    <row r="3956" spans="1:20" x14ac:dyDescent="0.2">
      <c r="A3956" s="33"/>
      <c r="B3956" s="33"/>
      <c r="C3956" s="33"/>
      <c r="D3956" s="33"/>
      <c r="E3956" s="33"/>
      <c r="F3956" s="33"/>
      <c r="G3956" s="33"/>
      <c r="H3956" s="33"/>
      <c r="I3956" s="33"/>
      <c r="J3956" s="33"/>
      <c r="K3956" s="33"/>
      <c r="L3956" s="33"/>
      <c r="M3956" s="33"/>
      <c r="N3956" s="33"/>
      <c r="O3956" s="33"/>
      <c r="P3956" s="33"/>
      <c r="Q3956" s="33"/>
      <c r="R3956" s="33"/>
      <c r="T3956"/>
    </row>
    <row r="3957" spans="1:20" x14ac:dyDescent="0.2">
      <c r="A3957" s="9"/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T3957"/>
    </row>
    <row r="3958" spans="1:20" x14ac:dyDescent="0.2">
      <c r="A3958" s="33"/>
      <c r="B3958" s="33"/>
      <c r="C3958" s="33"/>
      <c r="D3958" s="33"/>
      <c r="E3958" s="33"/>
      <c r="F3958" s="33"/>
      <c r="G3958" s="33"/>
      <c r="H3958" s="33"/>
      <c r="I3958" s="33"/>
      <c r="J3958" s="33"/>
      <c r="K3958" s="33"/>
      <c r="L3958" s="33"/>
      <c r="M3958" s="33"/>
      <c r="N3958" s="33"/>
      <c r="O3958" s="33"/>
      <c r="P3958" s="33"/>
      <c r="Q3958" s="33"/>
      <c r="R3958" s="33"/>
      <c r="T3958"/>
    </row>
    <row r="3959" spans="1:20" x14ac:dyDescent="0.2">
      <c r="A3959" s="9"/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T3959"/>
    </row>
    <row r="3960" spans="1:20" x14ac:dyDescent="0.2">
      <c r="A3960" s="33"/>
      <c r="B3960" s="33"/>
      <c r="C3960" s="33"/>
      <c r="D3960" s="33"/>
      <c r="E3960" s="33"/>
      <c r="F3960" s="33"/>
      <c r="G3960" s="33"/>
      <c r="H3960" s="33"/>
      <c r="I3960" s="33"/>
      <c r="J3960" s="33"/>
      <c r="K3960" s="33"/>
      <c r="L3960" s="33"/>
      <c r="M3960" s="33"/>
      <c r="N3960" s="33"/>
      <c r="O3960" s="33"/>
      <c r="P3960" s="33"/>
      <c r="Q3960" s="33"/>
      <c r="R3960" s="33"/>
      <c r="T3960"/>
    </row>
    <row r="3961" spans="1:20" x14ac:dyDescent="0.2">
      <c r="A3961" s="9"/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T3961"/>
    </row>
    <row r="3962" spans="1:20" x14ac:dyDescent="0.2">
      <c r="A3962" s="33"/>
      <c r="B3962" s="33"/>
      <c r="C3962" s="33"/>
      <c r="D3962" s="33"/>
      <c r="E3962" s="33"/>
      <c r="F3962" s="33"/>
      <c r="G3962" s="33"/>
      <c r="H3962" s="33"/>
      <c r="I3962" s="33"/>
      <c r="J3962" s="33"/>
      <c r="K3962" s="33"/>
      <c r="L3962" s="33"/>
      <c r="M3962" s="33"/>
      <c r="N3962" s="33"/>
      <c r="O3962" s="33"/>
      <c r="P3962" s="33"/>
      <c r="Q3962" s="33"/>
      <c r="R3962" s="33"/>
      <c r="T3962"/>
    </row>
    <row r="3963" spans="1:20" x14ac:dyDescent="0.2">
      <c r="A3963" s="9"/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T3963"/>
    </row>
    <row r="3964" spans="1:20" x14ac:dyDescent="0.2">
      <c r="A3964" s="33"/>
      <c r="B3964" s="33"/>
      <c r="C3964" s="33"/>
      <c r="D3964" s="33"/>
      <c r="E3964" s="33"/>
      <c r="F3964" s="33"/>
      <c r="G3964" s="33"/>
      <c r="H3964" s="33"/>
      <c r="I3964" s="33"/>
      <c r="J3964" s="33"/>
      <c r="K3964" s="33"/>
      <c r="L3964" s="33"/>
      <c r="M3964" s="33"/>
      <c r="N3964" s="33"/>
      <c r="O3964" s="33"/>
      <c r="P3964" s="33"/>
      <c r="Q3964" s="33"/>
      <c r="R3964" s="33"/>
      <c r="T3964"/>
    </row>
    <row r="3965" spans="1:20" x14ac:dyDescent="0.2">
      <c r="A3965" s="9"/>
      <c r="B3965" s="9"/>
      <c r="C3965" s="9"/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T3965"/>
    </row>
    <row r="3966" spans="1:20" x14ac:dyDescent="0.2">
      <c r="A3966" s="33"/>
      <c r="B3966" s="33"/>
      <c r="C3966" s="33"/>
      <c r="D3966" s="33"/>
      <c r="E3966" s="33"/>
      <c r="F3966" s="33"/>
      <c r="G3966" s="33"/>
      <c r="H3966" s="33"/>
      <c r="I3966" s="33"/>
      <c r="J3966" s="33"/>
      <c r="K3966" s="33"/>
      <c r="L3966" s="33"/>
      <c r="M3966" s="33"/>
      <c r="N3966" s="33"/>
      <c r="O3966" s="33"/>
      <c r="P3966" s="33"/>
      <c r="Q3966" s="33"/>
      <c r="R3966" s="33"/>
      <c r="T3966"/>
    </row>
    <row r="3967" spans="1:20" x14ac:dyDescent="0.2">
      <c r="A3967" s="9"/>
      <c r="B3967" s="9"/>
      <c r="C3967" s="9"/>
      <c r="D3967" s="9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T3967"/>
    </row>
    <row r="3968" spans="1:20" x14ac:dyDescent="0.2">
      <c r="A3968" s="33"/>
      <c r="B3968" s="33"/>
      <c r="C3968" s="33"/>
      <c r="D3968" s="33"/>
      <c r="E3968" s="33"/>
      <c r="F3968" s="33"/>
      <c r="G3968" s="33"/>
      <c r="H3968" s="33"/>
      <c r="I3968" s="33"/>
      <c r="J3968" s="33"/>
      <c r="K3968" s="33"/>
      <c r="L3968" s="33"/>
      <c r="M3968" s="33"/>
      <c r="N3968" s="33"/>
      <c r="O3968" s="33"/>
      <c r="P3968" s="33"/>
      <c r="Q3968" s="33"/>
      <c r="R3968" s="33"/>
      <c r="T3968"/>
    </row>
    <row r="3969" spans="1:20" x14ac:dyDescent="0.2">
      <c r="A3969" s="9"/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T3969"/>
    </row>
    <row r="3970" spans="1:20" x14ac:dyDescent="0.2">
      <c r="A3970" s="33"/>
      <c r="B3970" s="33"/>
      <c r="C3970" s="33"/>
      <c r="D3970" s="33"/>
      <c r="E3970" s="33"/>
      <c r="F3970" s="33"/>
      <c r="G3970" s="33"/>
      <c r="H3970" s="33"/>
      <c r="I3970" s="33"/>
      <c r="J3970" s="33"/>
      <c r="K3970" s="33"/>
      <c r="L3970" s="33"/>
      <c r="M3970" s="33"/>
      <c r="N3970" s="33"/>
      <c r="O3970" s="33"/>
      <c r="P3970" s="33"/>
      <c r="Q3970" s="33"/>
      <c r="R3970" s="33"/>
      <c r="T3970"/>
    </row>
    <row r="3971" spans="1:20" x14ac:dyDescent="0.2">
      <c r="A3971" s="9"/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T3971"/>
    </row>
    <row r="3972" spans="1:20" x14ac:dyDescent="0.2">
      <c r="A3972" s="33"/>
      <c r="B3972" s="33"/>
      <c r="C3972" s="33"/>
      <c r="D3972" s="33"/>
      <c r="E3972" s="33"/>
      <c r="F3972" s="33"/>
      <c r="G3972" s="33"/>
      <c r="H3972" s="33"/>
      <c r="I3972" s="33"/>
      <c r="J3972" s="33"/>
      <c r="K3972" s="33"/>
      <c r="L3972" s="33"/>
      <c r="M3972" s="33"/>
      <c r="N3972" s="33"/>
      <c r="O3972" s="33"/>
      <c r="P3972" s="33"/>
      <c r="Q3972" s="33"/>
      <c r="R3972" s="33"/>
      <c r="T3972"/>
    </row>
    <row r="3973" spans="1:20" x14ac:dyDescent="0.2">
      <c r="A3973" s="9"/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T3973"/>
    </row>
    <row r="3974" spans="1:20" x14ac:dyDescent="0.2">
      <c r="A3974" s="33"/>
      <c r="B3974" s="33"/>
      <c r="C3974" s="33"/>
      <c r="D3974" s="33"/>
      <c r="E3974" s="33"/>
      <c r="F3974" s="33"/>
      <c r="G3974" s="33"/>
      <c r="H3974" s="33"/>
      <c r="I3974" s="33"/>
      <c r="J3974" s="33"/>
      <c r="K3974" s="33"/>
      <c r="L3974" s="33"/>
      <c r="M3974" s="33"/>
      <c r="N3974" s="33"/>
      <c r="O3974" s="33"/>
      <c r="P3974" s="33"/>
      <c r="Q3974" s="33"/>
      <c r="R3974" s="33"/>
      <c r="T3974"/>
    </row>
    <row r="3975" spans="1:20" x14ac:dyDescent="0.2">
      <c r="A3975" s="9"/>
      <c r="B3975" s="9"/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T3975"/>
    </row>
    <row r="3976" spans="1:20" x14ac:dyDescent="0.2">
      <c r="A3976" s="33"/>
      <c r="B3976" s="33"/>
      <c r="C3976" s="33"/>
      <c r="D3976" s="33"/>
      <c r="E3976" s="33"/>
      <c r="F3976" s="33"/>
      <c r="G3976" s="33"/>
      <c r="H3976" s="33"/>
      <c r="I3976" s="33"/>
      <c r="J3976" s="33"/>
      <c r="K3976" s="33"/>
      <c r="L3976" s="33"/>
      <c r="M3976" s="33"/>
      <c r="N3976" s="33"/>
      <c r="O3976" s="33"/>
      <c r="P3976" s="33"/>
      <c r="Q3976" s="33"/>
      <c r="R3976" s="33"/>
      <c r="T3976"/>
    </row>
    <row r="3977" spans="1:20" x14ac:dyDescent="0.2">
      <c r="A3977" s="9"/>
      <c r="B3977" s="9"/>
      <c r="C3977" s="9"/>
      <c r="D3977" s="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T3977"/>
    </row>
    <row r="3978" spans="1:20" x14ac:dyDescent="0.2">
      <c r="A3978" s="33"/>
      <c r="B3978" s="33"/>
      <c r="C3978" s="33"/>
      <c r="D3978" s="33"/>
      <c r="E3978" s="33"/>
      <c r="F3978" s="33"/>
      <c r="G3978" s="33"/>
      <c r="H3978" s="33"/>
      <c r="I3978" s="33"/>
      <c r="J3978" s="33"/>
      <c r="K3978" s="33"/>
      <c r="L3978" s="33"/>
      <c r="M3978" s="33"/>
      <c r="N3978" s="33"/>
      <c r="O3978" s="33"/>
      <c r="P3978" s="33"/>
      <c r="Q3978" s="33"/>
      <c r="R3978" s="33"/>
      <c r="T3978"/>
    </row>
    <row r="3979" spans="1:20" x14ac:dyDescent="0.2">
      <c r="A3979" s="9"/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T3979"/>
    </row>
    <row r="3980" spans="1:20" x14ac:dyDescent="0.2">
      <c r="A3980" s="33"/>
      <c r="B3980" s="33"/>
      <c r="C3980" s="33"/>
      <c r="D3980" s="33"/>
      <c r="E3980" s="33"/>
      <c r="F3980" s="33"/>
      <c r="G3980" s="33"/>
      <c r="H3980" s="33"/>
      <c r="I3980" s="33"/>
      <c r="J3980" s="33"/>
      <c r="K3980" s="33"/>
      <c r="L3980" s="33"/>
      <c r="M3980" s="33"/>
      <c r="N3980" s="33"/>
      <c r="O3980" s="33"/>
      <c r="P3980" s="33"/>
      <c r="Q3980" s="33"/>
      <c r="R3980" s="33"/>
      <c r="T3980"/>
    </row>
    <row r="3981" spans="1:20" x14ac:dyDescent="0.2">
      <c r="A3981" s="9"/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T3981"/>
    </row>
    <row r="3982" spans="1:20" x14ac:dyDescent="0.2">
      <c r="A3982" s="33"/>
      <c r="B3982" s="33"/>
      <c r="C3982" s="33"/>
      <c r="D3982" s="33"/>
      <c r="E3982" s="33"/>
      <c r="F3982" s="33"/>
      <c r="G3982" s="33"/>
      <c r="H3982" s="33"/>
      <c r="I3982" s="33"/>
      <c r="J3982" s="33"/>
      <c r="K3982" s="33"/>
      <c r="L3982" s="33"/>
      <c r="M3982" s="33"/>
      <c r="N3982" s="33"/>
      <c r="O3982" s="33"/>
      <c r="P3982" s="33"/>
      <c r="Q3982" s="33"/>
      <c r="R3982" s="33"/>
      <c r="T3982"/>
    </row>
    <row r="3983" spans="1:20" x14ac:dyDescent="0.2">
      <c r="A3983" s="9"/>
      <c r="B3983" s="9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T3983"/>
    </row>
    <row r="3984" spans="1:20" x14ac:dyDescent="0.2">
      <c r="A3984" s="33"/>
      <c r="B3984" s="33"/>
      <c r="C3984" s="33"/>
      <c r="D3984" s="33"/>
      <c r="E3984" s="33"/>
      <c r="F3984" s="33"/>
      <c r="G3984" s="33"/>
      <c r="H3984" s="33"/>
      <c r="I3984" s="33"/>
      <c r="J3984" s="33"/>
      <c r="K3984" s="33"/>
      <c r="L3984" s="33"/>
      <c r="M3984" s="33"/>
      <c r="N3984" s="33"/>
      <c r="O3984" s="33"/>
      <c r="P3984" s="33"/>
      <c r="Q3984" s="33"/>
      <c r="R3984" s="33"/>
      <c r="T3984"/>
    </row>
    <row r="3985" spans="1:20" x14ac:dyDescent="0.2">
      <c r="A3985" s="9"/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T3985"/>
    </row>
    <row r="3986" spans="1:20" x14ac:dyDescent="0.2">
      <c r="A3986" s="33"/>
      <c r="B3986" s="33"/>
      <c r="C3986" s="33"/>
      <c r="D3986" s="33"/>
      <c r="E3986" s="33"/>
      <c r="F3986" s="33"/>
      <c r="G3986" s="33"/>
      <c r="H3986" s="33"/>
      <c r="I3986" s="33"/>
      <c r="J3986" s="33"/>
      <c r="K3986" s="33"/>
      <c r="L3986" s="33"/>
      <c r="M3986" s="33"/>
      <c r="N3986" s="33"/>
      <c r="O3986" s="33"/>
      <c r="P3986" s="33"/>
      <c r="Q3986" s="33"/>
      <c r="R3986" s="33"/>
      <c r="T3986"/>
    </row>
    <row r="3987" spans="1:20" x14ac:dyDescent="0.2">
      <c r="A3987" s="9"/>
      <c r="B3987" s="9"/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T3987"/>
    </row>
    <row r="3988" spans="1:20" x14ac:dyDescent="0.2">
      <c r="A3988" s="33"/>
      <c r="B3988" s="33"/>
      <c r="C3988" s="33"/>
      <c r="D3988" s="33"/>
      <c r="E3988" s="33"/>
      <c r="F3988" s="33"/>
      <c r="G3988" s="33"/>
      <c r="H3988" s="33"/>
      <c r="I3988" s="33"/>
      <c r="J3988" s="33"/>
      <c r="K3988" s="33"/>
      <c r="L3988" s="33"/>
      <c r="M3988" s="33"/>
      <c r="N3988" s="33"/>
      <c r="O3988" s="33"/>
      <c r="P3988" s="33"/>
      <c r="Q3988" s="33"/>
      <c r="R3988" s="33"/>
      <c r="T3988"/>
    </row>
    <row r="3989" spans="1:20" x14ac:dyDescent="0.2">
      <c r="A3989" s="9"/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T3989"/>
    </row>
    <row r="3990" spans="1:20" x14ac:dyDescent="0.2">
      <c r="A3990" s="33"/>
      <c r="B3990" s="33"/>
      <c r="C3990" s="33"/>
      <c r="D3990" s="33"/>
      <c r="E3990" s="33"/>
      <c r="F3990" s="33"/>
      <c r="G3990" s="33"/>
      <c r="H3990" s="33"/>
      <c r="I3990" s="33"/>
      <c r="J3990" s="33"/>
      <c r="K3990" s="33"/>
      <c r="L3990" s="33"/>
      <c r="M3990" s="33"/>
      <c r="N3990" s="33"/>
      <c r="O3990" s="33"/>
      <c r="P3990" s="33"/>
      <c r="Q3990" s="33"/>
      <c r="R3990" s="33"/>
      <c r="T3990"/>
    </row>
    <row r="3991" spans="1:20" x14ac:dyDescent="0.2">
      <c r="A3991" s="9"/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T3991"/>
    </row>
    <row r="3992" spans="1:20" x14ac:dyDescent="0.2">
      <c r="A3992" s="33"/>
      <c r="B3992" s="33"/>
      <c r="C3992" s="33"/>
      <c r="D3992" s="33"/>
      <c r="E3992" s="33"/>
      <c r="F3992" s="33"/>
      <c r="G3992" s="33"/>
      <c r="H3992" s="33"/>
      <c r="I3992" s="33"/>
      <c r="J3992" s="33"/>
      <c r="K3992" s="33"/>
      <c r="L3992" s="33"/>
      <c r="M3992" s="33"/>
      <c r="N3992" s="33"/>
      <c r="O3992" s="33"/>
      <c r="P3992" s="33"/>
      <c r="Q3992" s="33"/>
      <c r="R3992" s="33"/>
      <c r="T3992"/>
    </row>
    <row r="3993" spans="1:20" x14ac:dyDescent="0.2">
      <c r="A3993" s="9"/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T3993"/>
    </row>
    <row r="3994" spans="1:20" x14ac:dyDescent="0.2">
      <c r="A3994" s="33"/>
      <c r="B3994" s="33"/>
      <c r="C3994" s="33"/>
      <c r="D3994" s="33"/>
      <c r="E3994" s="33"/>
      <c r="F3994" s="33"/>
      <c r="G3994" s="33"/>
      <c r="H3994" s="33"/>
      <c r="I3994" s="33"/>
      <c r="J3994" s="33"/>
      <c r="K3994" s="33"/>
      <c r="L3994" s="33"/>
      <c r="M3994" s="33"/>
      <c r="N3994" s="33"/>
      <c r="O3994" s="33"/>
      <c r="P3994" s="33"/>
      <c r="Q3994" s="33"/>
      <c r="R3994" s="33"/>
      <c r="T3994"/>
    </row>
    <row r="3995" spans="1:20" x14ac:dyDescent="0.2">
      <c r="A3995" s="9"/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T3995"/>
    </row>
    <row r="3996" spans="1:20" x14ac:dyDescent="0.2">
      <c r="A3996" s="33"/>
      <c r="B3996" s="33"/>
      <c r="C3996" s="33"/>
      <c r="D3996" s="33"/>
      <c r="E3996" s="33"/>
      <c r="F3996" s="33"/>
      <c r="G3996" s="33"/>
      <c r="H3996" s="33"/>
      <c r="I3996" s="33"/>
      <c r="J3996" s="33"/>
      <c r="K3996" s="33"/>
      <c r="L3996" s="33"/>
      <c r="M3996" s="33"/>
      <c r="N3996" s="33"/>
      <c r="O3996" s="33"/>
      <c r="P3996" s="33"/>
      <c r="Q3996" s="33"/>
      <c r="R3996" s="33"/>
      <c r="T3996"/>
    </row>
    <row r="3997" spans="1:20" x14ac:dyDescent="0.2">
      <c r="A3997" s="9"/>
      <c r="B3997" s="9"/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T3997"/>
    </row>
    <row r="3998" spans="1:20" x14ac:dyDescent="0.2">
      <c r="A3998" s="33"/>
      <c r="B3998" s="33"/>
      <c r="C3998" s="33"/>
      <c r="D3998" s="33"/>
      <c r="E3998" s="33"/>
      <c r="F3998" s="33"/>
      <c r="G3998" s="33"/>
      <c r="H3998" s="33"/>
      <c r="I3998" s="33"/>
      <c r="J3998" s="33"/>
      <c r="K3998" s="33"/>
      <c r="L3998" s="33"/>
      <c r="M3998" s="33"/>
      <c r="N3998" s="33"/>
      <c r="O3998" s="33"/>
      <c r="P3998" s="33"/>
      <c r="Q3998" s="33"/>
      <c r="R3998" s="33"/>
      <c r="T3998"/>
    </row>
    <row r="3999" spans="1:20" x14ac:dyDescent="0.2">
      <c r="A3999" s="9"/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T3999"/>
    </row>
    <row r="4000" spans="1:20" x14ac:dyDescent="0.2">
      <c r="A4000" s="33"/>
      <c r="B4000" s="33"/>
      <c r="C4000" s="33"/>
      <c r="D4000" s="33"/>
      <c r="E4000" s="33"/>
      <c r="F4000" s="33"/>
      <c r="G4000" s="33"/>
      <c r="H4000" s="33"/>
      <c r="I4000" s="33"/>
      <c r="J4000" s="33"/>
      <c r="K4000" s="33"/>
      <c r="L4000" s="33"/>
      <c r="M4000" s="33"/>
      <c r="N4000" s="33"/>
      <c r="O4000" s="33"/>
      <c r="P4000" s="33"/>
      <c r="Q4000" s="33"/>
      <c r="R4000" s="33"/>
      <c r="T4000"/>
    </row>
    <row r="4001" spans="1:20" x14ac:dyDescent="0.2">
      <c r="A4001" s="9"/>
      <c r="B4001" s="9"/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T4001"/>
    </row>
    <row r="4002" spans="1:20" x14ac:dyDescent="0.2">
      <c r="A4002" s="33"/>
      <c r="B4002" s="33"/>
      <c r="C4002" s="33"/>
      <c r="D4002" s="33"/>
      <c r="E4002" s="33"/>
      <c r="F4002" s="33"/>
      <c r="G4002" s="33"/>
      <c r="H4002" s="33"/>
      <c r="I4002" s="33"/>
      <c r="J4002" s="33"/>
      <c r="K4002" s="33"/>
      <c r="L4002" s="33"/>
      <c r="M4002" s="33"/>
      <c r="N4002" s="33"/>
      <c r="O4002" s="33"/>
      <c r="P4002" s="33"/>
      <c r="Q4002" s="33"/>
      <c r="R4002" s="33"/>
      <c r="T4002"/>
    </row>
    <row r="4003" spans="1:20" x14ac:dyDescent="0.2">
      <c r="A4003" s="9"/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T4003"/>
    </row>
    <row r="4004" spans="1:20" x14ac:dyDescent="0.2">
      <c r="A4004" s="33"/>
      <c r="B4004" s="33"/>
      <c r="C4004" s="33"/>
      <c r="D4004" s="33"/>
      <c r="E4004" s="33"/>
      <c r="F4004" s="33"/>
      <c r="G4004" s="33"/>
      <c r="H4004" s="33"/>
      <c r="I4004" s="33"/>
      <c r="J4004" s="33"/>
      <c r="K4004" s="33"/>
      <c r="L4004" s="33"/>
      <c r="M4004" s="33"/>
      <c r="N4004" s="33"/>
      <c r="O4004" s="33"/>
      <c r="P4004" s="33"/>
      <c r="Q4004" s="33"/>
      <c r="R4004" s="33"/>
      <c r="T4004"/>
    </row>
    <row r="4005" spans="1:20" x14ac:dyDescent="0.2">
      <c r="A4005" s="9"/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T4005"/>
    </row>
    <row r="4006" spans="1:20" x14ac:dyDescent="0.2">
      <c r="A4006" s="33"/>
      <c r="B4006" s="33"/>
      <c r="C4006" s="33"/>
      <c r="D4006" s="33"/>
      <c r="E4006" s="33"/>
      <c r="F4006" s="33"/>
      <c r="G4006" s="33"/>
      <c r="H4006" s="33"/>
      <c r="I4006" s="33"/>
      <c r="J4006" s="33"/>
      <c r="K4006" s="33"/>
      <c r="L4006" s="33"/>
      <c r="M4006" s="33"/>
      <c r="N4006" s="33"/>
      <c r="O4006" s="33"/>
      <c r="P4006" s="33"/>
      <c r="Q4006" s="33"/>
      <c r="R4006" s="33"/>
      <c r="T4006"/>
    </row>
    <row r="4007" spans="1:20" x14ac:dyDescent="0.2">
      <c r="A4007" s="9"/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T4007"/>
    </row>
    <row r="4008" spans="1:20" x14ac:dyDescent="0.2">
      <c r="A4008" s="33"/>
      <c r="B4008" s="33"/>
      <c r="C4008" s="33"/>
      <c r="D4008" s="33"/>
      <c r="E4008" s="33"/>
      <c r="F4008" s="33"/>
      <c r="G4008" s="33"/>
      <c r="H4008" s="33"/>
      <c r="I4008" s="33"/>
      <c r="J4008" s="33"/>
      <c r="K4008" s="33"/>
      <c r="L4008" s="33"/>
      <c r="M4008" s="33"/>
      <c r="N4008" s="33"/>
      <c r="O4008" s="33"/>
      <c r="P4008" s="33"/>
      <c r="Q4008" s="33"/>
      <c r="R4008" s="33"/>
      <c r="T4008"/>
    </row>
    <row r="4009" spans="1:20" x14ac:dyDescent="0.2">
      <c r="A4009" s="9"/>
      <c r="B4009" s="9"/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T4009"/>
    </row>
    <row r="4010" spans="1:20" x14ac:dyDescent="0.2">
      <c r="A4010" s="33"/>
      <c r="B4010" s="33"/>
      <c r="C4010" s="33"/>
      <c r="D4010" s="33"/>
      <c r="E4010" s="33"/>
      <c r="F4010" s="33"/>
      <c r="G4010" s="33"/>
      <c r="H4010" s="33"/>
      <c r="I4010" s="33"/>
      <c r="J4010" s="33"/>
      <c r="K4010" s="33"/>
      <c r="L4010" s="33"/>
      <c r="M4010" s="33"/>
      <c r="N4010" s="33"/>
      <c r="O4010" s="33"/>
      <c r="P4010" s="33"/>
      <c r="Q4010" s="33"/>
      <c r="R4010" s="33"/>
      <c r="T4010"/>
    </row>
    <row r="4011" spans="1:20" x14ac:dyDescent="0.2">
      <c r="A4011" s="9"/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T4011"/>
    </row>
    <row r="4012" spans="1:20" x14ac:dyDescent="0.2">
      <c r="A4012" s="33"/>
      <c r="B4012" s="33"/>
      <c r="C4012" s="33"/>
      <c r="D4012" s="33"/>
      <c r="E4012" s="33"/>
      <c r="F4012" s="33"/>
      <c r="G4012" s="33"/>
      <c r="H4012" s="33"/>
      <c r="I4012" s="33"/>
      <c r="J4012" s="33"/>
      <c r="K4012" s="33"/>
      <c r="L4012" s="33"/>
      <c r="M4012" s="33"/>
      <c r="N4012" s="33"/>
      <c r="O4012" s="33"/>
      <c r="P4012" s="33"/>
      <c r="Q4012" s="33"/>
      <c r="R4012" s="33"/>
      <c r="T4012"/>
    </row>
    <row r="4013" spans="1:20" x14ac:dyDescent="0.2">
      <c r="A4013" s="9"/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T4013"/>
    </row>
    <row r="4014" spans="1:20" x14ac:dyDescent="0.2">
      <c r="A4014" s="33"/>
      <c r="B4014" s="33"/>
      <c r="C4014" s="33"/>
      <c r="D4014" s="33"/>
      <c r="E4014" s="33"/>
      <c r="F4014" s="33"/>
      <c r="G4014" s="33"/>
      <c r="H4014" s="33"/>
      <c r="I4014" s="33"/>
      <c r="J4014" s="33"/>
      <c r="K4014" s="33"/>
      <c r="L4014" s="33"/>
      <c r="M4014" s="33"/>
      <c r="N4014" s="33"/>
      <c r="O4014" s="33"/>
      <c r="P4014" s="33"/>
      <c r="Q4014" s="33"/>
      <c r="R4014" s="33"/>
      <c r="T4014"/>
    </row>
    <row r="4015" spans="1:20" x14ac:dyDescent="0.2">
      <c r="A4015" s="9"/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T4015"/>
    </row>
    <row r="4016" spans="1:20" x14ac:dyDescent="0.2">
      <c r="A4016" s="33"/>
      <c r="B4016" s="33"/>
      <c r="C4016" s="33"/>
      <c r="D4016" s="33"/>
      <c r="E4016" s="33"/>
      <c r="F4016" s="33"/>
      <c r="G4016" s="33"/>
      <c r="H4016" s="33"/>
      <c r="I4016" s="33"/>
      <c r="J4016" s="33"/>
      <c r="K4016" s="33"/>
      <c r="L4016" s="33"/>
      <c r="M4016" s="33"/>
      <c r="N4016" s="33"/>
      <c r="O4016" s="33"/>
      <c r="P4016" s="33"/>
      <c r="Q4016" s="33"/>
      <c r="R4016" s="33"/>
      <c r="T4016"/>
    </row>
    <row r="4017" spans="1:20" x14ac:dyDescent="0.2">
      <c r="A4017" s="9"/>
      <c r="B4017" s="9"/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T4017"/>
    </row>
    <row r="4018" spans="1:20" x14ac:dyDescent="0.2">
      <c r="A4018" s="33"/>
      <c r="B4018" s="33"/>
      <c r="C4018" s="33"/>
      <c r="D4018" s="33"/>
      <c r="E4018" s="33"/>
      <c r="F4018" s="33"/>
      <c r="G4018" s="33"/>
      <c r="H4018" s="33"/>
      <c r="I4018" s="33"/>
      <c r="J4018" s="33"/>
      <c r="K4018" s="33"/>
      <c r="L4018" s="33"/>
      <c r="M4018" s="33"/>
      <c r="N4018" s="33"/>
      <c r="O4018" s="33"/>
      <c r="P4018" s="33"/>
      <c r="Q4018" s="33"/>
      <c r="R4018" s="33"/>
      <c r="T4018"/>
    </row>
    <row r="4019" spans="1:20" x14ac:dyDescent="0.2">
      <c r="A4019" s="9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T4019"/>
    </row>
    <row r="4020" spans="1:20" x14ac:dyDescent="0.2">
      <c r="A4020" s="33"/>
      <c r="B4020" s="33"/>
      <c r="C4020" s="33"/>
      <c r="D4020" s="33"/>
      <c r="E4020" s="33"/>
      <c r="F4020" s="33"/>
      <c r="G4020" s="33"/>
      <c r="H4020" s="33"/>
      <c r="I4020" s="33"/>
      <c r="J4020" s="33"/>
      <c r="K4020" s="33"/>
      <c r="L4020" s="33"/>
      <c r="M4020" s="33"/>
      <c r="N4020" s="33"/>
      <c r="O4020" s="33"/>
      <c r="P4020" s="33"/>
      <c r="Q4020" s="33"/>
      <c r="R4020" s="33"/>
      <c r="T4020"/>
    </row>
    <row r="4021" spans="1:20" x14ac:dyDescent="0.2">
      <c r="A4021" s="9"/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T4021"/>
    </row>
    <row r="4022" spans="1:20" x14ac:dyDescent="0.2">
      <c r="A4022" s="33"/>
      <c r="B4022" s="33"/>
      <c r="C4022" s="33"/>
      <c r="D4022" s="33"/>
      <c r="E4022" s="33"/>
      <c r="F4022" s="33"/>
      <c r="G4022" s="33"/>
      <c r="H4022" s="33"/>
      <c r="I4022" s="33"/>
      <c r="J4022" s="33"/>
      <c r="K4022" s="33"/>
      <c r="L4022" s="33"/>
      <c r="M4022" s="33"/>
      <c r="N4022" s="33"/>
      <c r="O4022" s="33"/>
      <c r="P4022" s="33"/>
      <c r="Q4022" s="33"/>
      <c r="R4022" s="33"/>
      <c r="T4022"/>
    </row>
    <row r="4023" spans="1:20" x14ac:dyDescent="0.2">
      <c r="A4023" s="9"/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T4023"/>
    </row>
    <row r="4024" spans="1:20" x14ac:dyDescent="0.2">
      <c r="A4024" s="33"/>
      <c r="B4024" s="33"/>
      <c r="C4024" s="33"/>
      <c r="D4024" s="33"/>
      <c r="E4024" s="33"/>
      <c r="F4024" s="33"/>
      <c r="G4024" s="33"/>
      <c r="H4024" s="33"/>
      <c r="I4024" s="33"/>
      <c r="J4024" s="33"/>
      <c r="K4024" s="33"/>
      <c r="L4024" s="33"/>
      <c r="M4024" s="33"/>
      <c r="N4024" s="33"/>
      <c r="O4024" s="33"/>
      <c r="P4024" s="33"/>
      <c r="Q4024" s="33"/>
      <c r="R4024" s="33"/>
      <c r="T4024"/>
    </row>
    <row r="4025" spans="1:20" x14ac:dyDescent="0.2">
      <c r="A4025" s="9"/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T4025"/>
    </row>
    <row r="4026" spans="1:20" x14ac:dyDescent="0.2">
      <c r="A4026" s="33"/>
      <c r="B4026" s="33"/>
      <c r="C4026" s="33"/>
      <c r="D4026" s="33"/>
      <c r="E4026" s="33"/>
      <c r="F4026" s="33"/>
      <c r="G4026" s="33"/>
      <c r="H4026" s="33"/>
      <c r="I4026" s="33"/>
      <c r="J4026" s="33"/>
      <c r="K4026" s="33"/>
      <c r="L4026" s="33"/>
      <c r="M4026" s="33"/>
      <c r="N4026" s="33"/>
      <c r="O4026" s="33"/>
      <c r="P4026" s="33"/>
      <c r="Q4026" s="33"/>
      <c r="R4026" s="33"/>
      <c r="T4026"/>
    </row>
    <row r="4027" spans="1:20" x14ac:dyDescent="0.2">
      <c r="A4027" s="9"/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T4027"/>
    </row>
    <row r="4028" spans="1:20" x14ac:dyDescent="0.2">
      <c r="A4028" s="33"/>
      <c r="B4028" s="33"/>
      <c r="C4028" s="33"/>
      <c r="D4028" s="33"/>
      <c r="E4028" s="33"/>
      <c r="F4028" s="33"/>
      <c r="G4028" s="33"/>
      <c r="H4028" s="33"/>
      <c r="I4028" s="33"/>
      <c r="J4028" s="33"/>
      <c r="K4028" s="33"/>
      <c r="L4028" s="33"/>
      <c r="M4028" s="33"/>
      <c r="N4028" s="33"/>
      <c r="O4028" s="33"/>
      <c r="P4028" s="33"/>
      <c r="Q4028" s="33"/>
      <c r="R4028" s="33"/>
      <c r="T4028"/>
    </row>
    <row r="4029" spans="1:20" x14ac:dyDescent="0.2">
      <c r="A4029" s="9"/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T4029"/>
    </row>
    <row r="4030" spans="1:20" x14ac:dyDescent="0.2">
      <c r="A4030" s="33"/>
      <c r="B4030" s="33"/>
      <c r="C4030" s="33"/>
      <c r="D4030" s="33"/>
      <c r="E4030" s="33"/>
      <c r="F4030" s="33"/>
      <c r="G4030" s="33"/>
      <c r="H4030" s="33"/>
      <c r="I4030" s="33"/>
      <c r="J4030" s="33"/>
      <c r="K4030" s="33"/>
      <c r="L4030" s="33"/>
      <c r="M4030" s="33"/>
      <c r="N4030" s="33"/>
      <c r="O4030" s="33"/>
      <c r="P4030" s="33"/>
      <c r="Q4030" s="33"/>
      <c r="R4030" s="33"/>
      <c r="T4030"/>
    </row>
    <row r="4031" spans="1:20" x14ac:dyDescent="0.2">
      <c r="A4031" s="9"/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T4031"/>
    </row>
    <row r="4032" spans="1:20" x14ac:dyDescent="0.2">
      <c r="A4032" s="33"/>
      <c r="B4032" s="33"/>
      <c r="C4032" s="33"/>
      <c r="D4032" s="33"/>
      <c r="E4032" s="33"/>
      <c r="F4032" s="33"/>
      <c r="G4032" s="33"/>
      <c r="H4032" s="33"/>
      <c r="I4032" s="33"/>
      <c r="J4032" s="33"/>
      <c r="K4032" s="33"/>
      <c r="L4032" s="33"/>
      <c r="M4032" s="33"/>
      <c r="N4032" s="33"/>
      <c r="O4032" s="33"/>
      <c r="P4032" s="33"/>
      <c r="Q4032" s="33"/>
      <c r="R4032" s="33"/>
      <c r="T4032"/>
    </row>
    <row r="4033" spans="1:20" x14ac:dyDescent="0.2">
      <c r="A4033" s="9"/>
      <c r="B4033" s="9"/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T4033"/>
    </row>
    <row r="4034" spans="1:20" x14ac:dyDescent="0.2">
      <c r="A4034" s="33"/>
      <c r="B4034" s="33"/>
      <c r="C4034" s="33"/>
      <c r="D4034" s="33"/>
      <c r="E4034" s="33"/>
      <c r="F4034" s="33"/>
      <c r="G4034" s="33"/>
      <c r="H4034" s="33"/>
      <c r="I4034" s="33"/>
      <c r="J4034" s="33"/>
      <c r="K4034" s="33"/>
      <c r="L4034" s="33"/>
      <c r="M4034" s="33"/>
      <c r="N4034" s="33"/>
      <c r="O4034" s="33"/>
      <c r="P4034" s="33"/>
      <c r="Q4034" s="33"/>
      <c r="R4034" s="33"/>
      <c r="T4034"/>
    </row>
    <row r="4035" spans="1:20" x14ac:dyDescent="0.2">
      <c r="A4035" s="9"/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T4035"/>
    </row>
    <row r="4036" spans="1:20" x14ac:dyDescent="0.2">
      <c r="A4036" s="33"/>
      <c r="B4036" s="33"/>
      <c r="C4036" s="33"/>
      <c r="D4036" s="33"/>
      <c r="E4036" s="33"/>
      <c r="F4036" s="33"/>
      <c r="G4036" s="33"/>
      <c r="H4036" s="33"/>
      <c r="I4036" s="33"/>
      <c r="J4036" s="33"/>
      <c r="K4036" s="33"/>
      <c r="L4036" s="33"/>
      <c r="M4036" s="33"/>
      <c r="N4036" s="33"/>
      <c r="O4036" s="33"/>
      <c r="P4036" s="33"/>
      <c r="Q4036" s="33"/>
      <c r="R4036" s="33"/>
      <c r="T4036"/>
    </row>
    <row r="4037" spans="1:20" x14ac:dyDescent="0.2">
      <c r="A4037" s="9"/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T4037"/>
    </row>
    <row r="4038" spans="1:20" x14ac:dyDescent="0.2">
      <c r="A4038" s="33"/>
      <c r="B4038" s="33"/>
      <c r="C4038" s="33"/>
      <c r="D4038" s="33"/>
      <c r="E4038" s="33"/>
      <c r="F4038" s="33"/>
      <c r="G4038" s="33"/>
      <c r="H4038" s="33"/>
      <c r="I4038" s="33"/>
      <c r="J4038" s="33"/>
      <c r="K4038" s="33"/>
      <c r="L4038" s="33"/>
      <c r="M4038" s="33"/>
      <c r="N4038" s="33"/>
      <c r="O4038" s="33"/>
      <c r="P4038" s="33"/>
      <c r="Q4038" s="33"/>
      <c r="R4038" s="33"/>
      <c r="T4038"/>
    </row>
    <row r="4039" spans="1:20" x14ac:dyDescent="0.2">
      <c r="A4039" s="9"/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T4039"/>
    </row>
    <row r="4040" spans="1:20" x14ac:dyDescent="0.2">
      <c r="A4040" s="33"/>
      <c r="B4040" s="33"/>
      <c r="C4040" s="33"/>
      <c r="D4040" s="33"/>
      <c r="E4040" s="33"/>
      <c r="F4040" s="33"/>
      <c r="G4040" s="33"/>
      <c r="H4040" s="33"/>
      <c r="I4040" s="33"/>
      <c r="J4040" s="33"/>
      <c r="K4040" s="33"/>
      <c r="L4040" s="33"/>
      <c r="M4040" s="33"/>
      <c r="N4040" s="33"/>
      <c r="O4040" s="33"/>
      <c r="P4040" s="33"/>
      <c r="Q4040" s="33"/>
      <c r="R4040" s="33"/>
      <c r="T4040"/>
    </row>
    <row r="4041" spans="1:20" x14ac:dyDescent="0.2">
      <c r="A4041" s="9"/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T4041"/>
    </row>
    <row r="4042" spans="1:20" x14ac:dyDescent="0.2">
      <c r="A4042" s="33"/>
      <c r="B4042" s="33"/>
      <c r="C4042" s="33"/>
      <c r="D4042" s="33"/>
      <c r="E4042" s="33"/>
      <c r="F4042" s="33"/>
      <c r="G4042" s="33"/>
      <c r="H4042" s="33"/>
      <c r="I4042" s="33"/>
      <c r="J4042" s="33"/>
      <c r="K4042" s="33"/>
      <c r="L4042" s="33"/>
      <c r="M4042" s="33"/>
      <c r="N4042" s="33"/>
      <c r="O4042" s="33"/>
      <c r="P4042" s="33"/>
      <c r="Q4042" s="33"/>
      <c r="R4042" s="33"/>
      <c r="T4042"/>
    </row>
    <row r="4043" spans="1:20" x14ac:dyDescent="0.2">
      <c r="A4043" s="9"/>
      <c r="B4043" s="9"/>
      <c r="C4043" s="9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T4043"/>
    </row>
    <row r="4044" spans="1:20" x14ac:dyDescent="0.2">
      <c r="A4044" s="33"/>
      <c r="B4044" s="33"/>
      <c r="C4044" s="33"/>
      <c r="D4044" s="33"/>
      <c r="E4044" s="33"/>
      <c r="F4044" s="33"/>
      <c r="G4044" s="33"/>
      <c r="H4044" s="33"/>
      <c r="I4044" s="33"/>
      <c r="J4044" s="33"/>
      <c r="K4044" s="33"/>
      <c r="L4044" s="33"/>
      <c r="M4044" s="33"/>
      <c r="N4044" s="33"/>
      <c r="O4044" s="33"/>
      <c r="P4044" s="33"/>
      <c r="Q4044" s="33"/>
      <c r="R4044" s="33"/>
      <c r="T4044"/>
    </row>
    <row r="4045" spans="1:20" x14ac:dyDescent="0.2">
      <c r="A4045" s="9"/>
      <c r="B4045" s="9"/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T4045"/>
    </row>
    <row r="4046" spans="1:20" x14ac:dyDescent="0.2">
      <c r="A4046" s="33"/>
      <c r="B4046" s="33"/>
      <c r="C4046" s="33"/>
      <c r="D4046" s="33"/>
      <c r="E4046" s="33"/>
      <c r="F4046" s="33"/>
      <c r="G4046" s="33"/>
      <c r="H4046" s="33"/>
      <c r="I4046" s="33"/>
      <c r="J4046" s="33"/>
      <c r="K4046" s="33"/>
      <c r="L4046" s="33"/>
      <c r="M4046" s="33"/>
      <c r="N4046" s="33"/>
      <c r="O4046" s="33"/>
      <c r="P4046" s="33"/>
      <c r="Q4046" s="33"/>
      <c r="R4046" s="33"/>
      <c r="T4046"/>
    </row>
    <row r="4047" spans="1:20" x14ac:dyDescent="0.2">
      <c r="A4047" s="9"/>
      <c r="B4047" s="9"/>
      <c r="C4047" s="9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T4047"/>
    </row>
    <row r="4048" spans="1:20" x14ac:dyDescent="0.2">
      <c r="A4048" s="33"/>
      <c r="B4048" s="33"/>
      <c r="C4048" s="33"/>
      <c r="D4048" s="33"/>
      <c r="E4048" s="33"/>
      <c r="F4048" s="33"/>
      <c r="G4048" s="33"/>
      <c r="H4048" s="33"/>
      <c r="I4048" s="33"/>
      <c r="J4048" s="33"/>
      <c r="K4048" s="33"/>
      <c r="L4048" s="33"/>
      <c r="M4048" s="33"/>
      <c r="N4048" s="33"/>
      <c r="O4048" s="33"/>
      <c r="P4048" s="33"/>
      <c r="Q4048" s="33"/>
      <c r="R4048" s="33"/>
      <c r="T4048"/>
    </row>
    <row r="4049" spans="1:20" x14ac:dyDescent="0.2">
      <c r="A4049" s="9"/>
      <c r="B4049" s="9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T4049"/>
    </row>
    <row r="4050" spans="1:20" x14ac:dyDescent="0.2">
      <c r="A4050" s="33"/>
      <c r="B4050" s="33"/>
      <c r="C4050" s="33"/>
      <c r="D4050" s="33"/>
      <c r="E4050" s="33"/>
      <c r="F4050" s="33"/>
      <c r="G4050" s="33"/>
      <c r="H4050" s="33"/>
      <c r="I4050" s="33"/>
      <c r="J4050" s="33"/>
      <c r="K4050" s="33"/>
      <c r="L4050" s="33"/>
      <c r="M4050" s="33"/>
      <c r="N4050" s="33"/>
      <c r="O4050" s="33"/>
      <c r="P4050" s="33"/>
      <c r="Q4050" s="33"/>
      <c r="R4050" s="33"/>
      <c r="T4050"/>
    </row>
    <row r="4051" spans="1:20" x14ac:dyDescent="0.2">
      <c r="A4051" s="9"/>
      <c r="B4051" s="9"/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T4051"/>
    </row>
    <row r="4052" spans="1:20" x14ac:dyDescent="0.2">
      <c r="A4052" s="33"/>
      <c r="B4052" s="33"/>
      <c r="C4052" s="33"/>
      <c r="D4052" s="33"/>
      <c r="E4052" s="33"/>
      <c r="F4052" s="33"/>
      <c r="G4052" s="33"/>
      <c r="H4052" s="33"/>
      <c r="I4052" s="33"/>
      <c r="J4052" s="33"/>
      <c r="K4052" s="33"/>
      <c r="L4052" s="33"/>
      <c r="M4052" s="33"/>
      <c r="N4052" s="33"/>
      <c r="O4052" s="33"/>
      <c r="P4052" s="33"/>
      <c r="Q4052" s="33"/>
      <c r="R4052" s="33"/>
      <c r="T4052"/>
    </row>
    <row r="4053" spans="1:20" x14ac:dyDescent="0.2">
      <c r="A4053" s="9"/>
      <c r="B4053" s="9"/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T4053"/>
    </row>
    <row r="4054" spans="1:20" x14ac:dyDescent="0.2">
      <c r="A4054" s="33"/>
      <c r="B4054" s="33"/>
      <c r="C4054" s="33"/>
      <c r="D4054" s="33"/>
      <c r="E4054" s="33"/>
      <c r="F4054" s="33"/>
      <c r="G4054" s="33"/>
      <c r="H4054" s="33"/>
      <c r="I4054" s="33"/>
      <c r="J4054" s="33"/>
      <c r="K4054" s="33"/>
      <c r="L4054" s="33"/>
      <c r="M4054" s="33"/>
      <c r="N4054" s="33"/>
      <c r="O4054" s="33"/>
      <c r="P4054" s="33"/>
      <c r="Q4054" s="33"/>
      <c r="R4054" s="33"/>
      <c r="T4054"/>
    </row>
    <row r="4055" spans="1:20" x14ac:dyDescent="0.2">
      <c r="A4055" s="9"/>
      <c r="B4055" s="9"/>
      <c r="C4055" s="9"/>
      <c r="D4055" s="9"/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T4055"/>
    </row>
    <row r="4056" spans="1:20" x14ac:dyDescent="0.2">
      <c r="A4056" s="33"/>
      <c r="B4056" s="33"/>
      <c r="C4056" s="33"/>
      <c r="D4056" s="33"/>
      <c r="E4056" s="33"/>
      <c r="F4056" s="33"/>
      <c r="G4056" s="33"/>
      <c r="H4056" s="33"/>
      <c r="I4056" s="33"/>
      <c r="J4056" s="33"/>
      <c r="K4056" s="33"/>
      <c r="L4056" s="33"/>
      <c r="M4056" s="33"/>
      <c r="N4056" s="33"/>
      <c r="O4056" s="33"/>
      <c r="P4056" s="33"/>
      <c r="Q4056" s="33"/>
      <c r="R4056" s="33"/>
      <c r="T4056"/>
    </row>
    <row r="4057" spans="1:20" x14ac:dyDescent="0.2">
      <c r="A4057" s="9"/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T4057"/>
    </row>
    <row r="4058" spans="1:20" x14ac:dyDescent="0.2">
      <c r="A4058" s="33"/>
      <c r="B4058" s="33"/>
      <c r="C4058" s="33"/>
      <c r="D4058" s="33"/>
      <c r="E4058" s="33"/>
      <c r="F4058" s="33"/>
      <c r="G4058" s="33"/>
      <c r="H4058" s="33"/>
      <c r="I4058" s="33"/>
      <c r="J4058" s="33"/>
      <c r="K4058" s="33"/>
      <c r="L4058" s="33"/>
      <c r="M4058" s="33"/>
      <c r="N4058" s="33"/>
      <c r="O4058" s="33"/>
      <c r="P4058" s="33"/>
      <c r="Q4058" s="33"/>
      <c r="R4058" s="33"/>
      <c r="T4058"/>
    </row>
    <row r="4059" spans="1:20" x14ac:dyDescent="0.2">
      <c r="A4059" s="9"/>
      <c r="B4059" s="9"/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T4059"/>
    </row>
    <row r="4060" spans="1:20" x14ac:dyDescent="0.2">
      <c r="A4060" s="33"/>
      <c r="B4060" s="33"/>
      <c r="C4060" s="33"/>
      <c r="D4060" s="33"/>
      <c r="E4060" s="33"/>
      <c r="F4060" s="33"/>
      <c r="G4060" s="33"/>
      <c r="H4060" s="33"/>
      <c r="I4060" s="33"/>
      <c r="J4060" s="33"/>
      <c r="K4060" s="33"/>
      <c r="L4060" s="33"/>
      <c r="M4060" s="33"/>
      <c r="N4060" s="33"/>
      <c r="O4060" s="33"/>
      <c r="P4060" s="33"/>
      <c r="Q4060" s="33"/>
      <c r="R4060" s="33"/>
      <c r="T4060"/>
    </row>
    <row r="4061" spans="1:20" x14ac:dyDescent="0.2">
      <c r="A4061" s="9"/>
      <c r="B4061" s="9"/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T4061"/>
    </row>
    <row r="4062" spans="1:20" x14ac:dyDescent="0.2">
      <c r="A4062" s="33"/>
      <c r="B4062" s="33"/>
      <c r="C4062" s="33"/>
      <c r="D4062" s="33"/>
      <c r="E4062" s="33"/>
      <c r="F4062" s="33"/>
      <c r="G4062" s="33"/>
      <c r="H4062" s="33"/>
      <c r="I4062" s="33"/>
      <c r="J4062" s="33"/>
      <c r="K4062" s="33"/>
      <c r="L4062" s="33"/>
      <c r="M4062" s="33"/>
      <c r="N4062" s="33"/>
      <c r="O4062" s="33"/>
      <c r="P4062" s="33"/>
      <c r="Q4062" s="33"/>
      <c r="R4062" s="33"/>
      <c r="T4062"/>
    </row>
    <row r="4063" spans="1:20" x14ac:dyDescent="0.2">
      <c r="A4063" s="9"/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T4063"/>
    </row>
    <row r="4064" spans="1:20" x14ac:dyDescent="0.2">
      <c r="A4064" s="33"/>
      <c r="B4064" s="33"/>
      <c r="C4064" s="33"/>
      <c r="D4064" s="33"/>
      <c r="E4064" s="33"/>
      <c r="F4064" s="33"/>
      <c r="G4064" s="33"/>
      <c r="H4064" s="33"/>
      <c r="I4064" s="33"/>
      <c r="J4064" s="33"/>
      <c r="K4064" s="33"/>
      <c r="L4064" s="33"/>
      <c r="M4064" s="33"/>
      <c r="N4064" s="33"/>
      <c r="O4064" s="33"/>
      <c r="P4064" s="33"/>
      <c r="Q4064" s="33"/>
      <c r="R4064" s="33"/>
      <c r="T4064"/>
    </row>
    <row r="4065" spans="1:20" x14ac:dyDescent="0.2">
      <c r="A4065" s="9"/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T4065"/>
    </row>
    <row r="4066" spans="1:20" x14ac:dyDescent="0.2">
      <c r="A4066" s="33"/>
      <c r="B4066" s="33"/>
      <c r="C4066" s="33"/>
      <c r="D4066" s="33"/>
      <c r="E4066" s="33"/>
      <c r="F4066" s="33"/>
      <c r="G4066" s="33"/>
      <c r="H4066" s="33"/>
      <c r="I4066" s="33"/>
      <c r="J4066" s="33"/>
      <c r="K4066" s="33"/>
      <c r="L4066" s="33"/>
      <c r="M4066" s="33"/>
      <c r="N4066" s="33"/>
      <c r="O4066" s="33"/>
      <c r="P4066" s="33"/>
      <c r="Q4066" s="33"/>
      <c r="R4066" s="33"/>
      <c r="T4066"/>
    </row>
    <row r="4067" spans="1:20" x14ac:dyDescent="0.2">
      <c r="A4067" s="9"/>
      <c r="B4067" s="9"/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T4067"/>
    </row>
    <row r="4068" spans="1:20" x14ac:dyDescent="0.2">
      <c r="A4068" s="33"/>
      <c r="B4068" s="33"/>
      <c r="C4068" s="33"/>
      <c r="D4068" s="33"/>
      <c r="E4068" s="33"/>
      <c r="F4068" s="33"/>
      <c r="G4068" s="33"/>
      <c r="H4068" s="33"/>
      <c r="I4068" s="33"/>
      <c r="J4068" s="33"/>
      <c r="K4068" s="33"/>
      <c r="L4068" s="33"/>
      <c r="M4068" s="33"/>
      <c r="N4068" s="33"/>
      <c r="O4068" s="33"/>
      <c r="P4068" s="33"/>
      <c r="Q4068" s="33"/>
      <c r="R4068" s="33"/>
      <c r="T4068"/>
    </row>
    <row r="4069" spans="1:20" x14ac:dyDescent="0.2">
      <c r="A4069" s="9"/>
      <c r="B4069" s="9"/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T4069"/>
    </row>
    <row r="4070" spans="1:20" x14ac:dyDescent="0.2">
      <c r="A4070" s="33"/>
      <c r="B4070" s="33"/>
      <c r="C4070" s="33"/>
      <c r="D4070" s="33"/>
      <c r="E4070" s="33"/>
      <c r="F4070" s="33"/>
      <c r="G4070" s="33"/>
      <c r="H4070" s="33"/>
      <c r="I4070" s="33"/>
      <c r="J4070" s="33"/>
      <c r="K4070" s="33"/>
      <c r="L4070" s="33"/>
      <c r="M4070" s="33"/>
      <c r="N4070" s="33"/>
      <c r="O4070" s="33"/>
      <c r="P4070" s="33"/>
      <c r="Q4070" s="33"/>
      <c r="R4070" s="33"/>
      <c r="T4070"/>
    </row>
    <row r="4071" spans="1:20" x14ac:dyDescent="0.2">
      <c r="A4071" s="9"/>
      <c r="B4071" s="9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T4071"/>
    </row>
    <row r="4072" spans="1:20" x14ac:dyDescent="0.2">
      <c r="A4072" s="33"/>
      <c r="B4072" s="33"/>
      <c r="C4072" s="33"/>
      <c r="D4072" s="33"/>
      <c r="E4072" s="33"/>
      <c r="F4072" s="33"/>
      <c r="G4072" s="33"/>
      <c r="H4072" s="33"/>
      <c r="I4072" s="33"/>
      <c r="J4072" s="33"/>
      <c r="K4072" s="33"/>
      <c r="L4072" s="33"/>
      <c r="M4072" s="33"/>
      <c r="N4072" s="33"/>
      <c r="O4072" s="33"/>
      <c r="P4072" s="33"/>
      <c r="Q4072" s="33"/>
      <c r="R4072" s="33"/>
      <c r="T4072"/>
    </row>
    <row r="4073" spans="1:20" x14ac:dyDescent="0.2">
      <c r="A4073" s="9"/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T4073"/>
    </row>
    <row r="4074" spans="1:20" x14ac:dyDescent="0.2">
      <c r="A4074" s="33"/>
      <c r="B4074" s="33"/>
      <c r="C4074" s="33"/>
      <c r="D4074" s="33"/>
      <c r="E4074" s="33"/>
      <c r="F4074" s="33"/>
      <c r="G4074" s="33"/>
      <c r="H4074" s="33"/>
      <c r="I4074" s="33"/>
      <c r="J4074" s="33"/>
      <c r="K4074" s="33"/>
      <c r="L4074" s="33"/>
      <c r="M4074" s="33"/>
      <c r="N4074" s="33"/>
      <c r="O4074" s="33"/>
      <c r="P4074" s="33"/>
      <c r="Q4074" s="33"/>
      <c r="R4074" s="33"/>
      <c r="T4074"/>
    </row>
    <row r="4075" spans="1:20" x14ac:dyDescent="0.2">
      <c r="A4075" s="9"/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T4075"/>
    </row>
    <row r="4076" spans="1:20" x14ac:dyDescent="0.2">
      <c r="A4076" s="33"/>
      <c r="B4076" s="33"/>
      <c r="C4076" s="33"/>
      <c r="D4076" s="33"/>
      <c r="E4076" s="33"/>
      <c r="F4076" s="33"/>
      <c r="G4076" s="33"/>
      <c r="H4076" s="33"/>
      <c r="I4076" s="33"/>
      <c r="J4076" s="33"/>
      <c r="K4076" s="33"/>
      <c r="L4076" s="33"/>
      <c r="M4076" s="33"/>
      <c r="N4076" s="33"/>
      <c r="O4076" s="33"/>
      <c r="P4076" s="33"/>
      <c r="Q4076" s="33"/>
      <c r="R4076" s="33"/>
      <c r="T4076"/>
    </row>
    <row r="4077" spans="1:20" x14ac:dyDescent="0.2">
      <c r="A4077" s="9"/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T4077"/>
    </row>
    <row r="4078" spans="1:20" x14ac:dyDescent="0.2">
      <c r="A4078" s="33"/>
      <c r="B4078" s="33"/>
      <c r="C4078" s="33"/>
      <c r="D4078" s="33"/>
      <c r="E4078" s="33"/>
      <c r="F4078" s="33"/>
      <c r="G4078" s="33"/>
      <c r="H4078" s="33"/>
      <c r="I4078" s="33"/>
      <c r="J4078" s="33"/>
      <c r="K4078" s="33"/>
      <c r="L4078" s="33"/>
      <c r="M4078" s="33"/>
      <c r="N4078" s="33"/>
      <c r="O4078" s="33"/>
      <c r="P4078" s="33"/>
      <c r="Q4078" s="33"/>
      <c r="R4078" s="33"/>
      <c r="T4078"/>
    </row>
    <row r="4079" spans="1:20" x14ac:dyDescent="0.2">
      <c r="A4079" s="9"/>
      <c r="B4079" s="9"/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T4079"/>
    </row>
    <row r="4080" spans="1:20" x14ac:dyDescent="0.2">
      <c r="A4080" s="33"/>
      <c r="B4080" s="33"/>
      <c r="C4080" s="33"/>
      <c r="D4080" s="33"/>
      <c r="E4080" s="33"/>
      <c r="F4080" s="33"/>
      <c r="G4080" s="33"/>
      <c r="H4080" s="33"/>
      <c r="I4080" s="33"/>
      <c r="J4080" s="33"/>
      <c r="K4080" s="33"/>
      <c r="L4080" s="33"/>
      <c r="M4080" s="33"/>
      <c r="N4080" s="33"/>
      <c r="O4080" s="33"/>
      <c r="P4080" s="33"/>
      <c r="Q4080" s="33"/>
      <c r="R4080" s="33"/>
      <c r="T4080"/>
    </row>
    <row r="4081" spans="1:20" x14ac:dyDescent="0.2">
      <c r="A4081" s="9"/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T4081"/>
    </row>
    <row r="4082" spans="1:20" x14ac:dyDescent="0.2">
      <c r="A4082" s="33"/>
      <c r="B4082" s="33"/>
      <c r="C4082" s="33"/>
      <c r="D4082" s="33"/>
      <c r="E4082" s="33"/>
      <c r="F4082" s="33"/>
      <c r="G4082" s="33"/>
      <c r="H4082" s="33"/>
      <c r="I4082" s="33"/>
      <c r="J4082" s="33"/>
      <c r="K4082" s="33"/>
      <c r="L4082" s="33"/>
      <c r="M4082" s="33"/>
      <c r="N4082" s="33"/>
      <c r="O4082" s="33"/>
      <c r="P4082" s="33"/>
      <c r="Q4082" s="33"/>
      <c r="R4082" s="33"/>
      <c r="T4082"/>
    </row>
    <row r="4083" spans="1:20" x14ac:dyDescent="0.2">
      <c r="A4083" s="9"/>
      <c r="B4083" s="9"/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T4083"/>
    </row>
    <row r="4084" spans="1:20" x14ac:dyDescent="0.2">
      <c r="A4084" s="33"/>
      <c r="B4084" s="33"/>
      <c r="C4084" s="33"/>
      <c r="D4084" s="33"/>
      <c r="E4084" s="33"/>
      <c r="F4084" s="33"/>
      <c r="G4084" s="33"/>
      <c r="H4084" s="33"/>
      <c r="I4084" s="33"/>
      <c r="J4084" s="33"/>
      <c r="K4084" s="33"/>
      <c r="L4084" s="33"/>
      <c r="M4084" s="33"/>
      <c r="N4084" s="33"/>
      <c r="O4084" s="33"/>
      <c r="P4084" s="33"/>
      <c r="Q4084" s="33"/>
      <c r="R4084" s="33"/>
      <c r="T4084"/>
    </row>
    <row r="4085" spans="1:20" x14ac:dyDescent="0.2">
      <c r="A4085" s="9"/>
      <c r="B4085" s="9"/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T4085"/>
    </row>
    <row r="4086" spans="1:20" x14ac:dyDescent="0.2">
      <c r="A4086" s="33"/>
      <c r="B4086" s="33"/>
      <c r="C4086" s="33"/>
      <c r="D4086" s="33"/>
      <c r="E4086" s="33"/>
      <c r="F4086" s="33"/>
      <c r="G4086" s="33"/>
      <c r="H4086" s="33"/>
      <c r="I4086" s="33"/>
      <c r="J4086" s="33"/>
      <c r="K4086" s="33"/>
      <c r="L4086" s="33"/>
      <c r="M4086" s="33"/>
      <c r="N4086" s="33"/>
      <c r="O4086" s="33"/>
      <c r="P4086" s="33"/>
      <c r="Q4086" s="33"/>
      <c r="R4086" s="33"/>
      <c r="T4086"/>
    </row>
    <row r="4087" spans="1:20" x14ac:dyDescent="0.2">
      <c r="A4087" s="9"/>
      <c r="B4087" s="9"/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T4087"/>
    </row>
    <row r="4088" spans="1:20" x14ac:dyDescent="0.2">
      <c r="A4088" s="33"/>
      <c r="B4088" s="33"/>
      <c r="C4088" s="33"/>
      <c r="D4088" s="33"/>
      <c r="E4088" s="33"/>
      <c r="F4088" s="33"/>
      <c r="G4088" s="33"/>
      <c r="H4088" s="33"/>
      <c r="I4088" s="33"/>
      <c r="J4088" s="33"/>
      <c r="K4088" s="33"/>
      <c r="L4088" s="33"/>
      <c r="M4088" s="33"/>
      <c r="N4088" s="33"/>
      <c r="O4088" s="33"/>
      <c r="P4088" s="33"/>
      <c r="Q4088" s="33"/>
      <c r="R4088" s="33"/>
      <c r="T4088"/>
    </row>
    <row r="4089" spans="1:20" x14ac:dyDescent="0.2">
      <c r="A4089" s="9"/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T4089"/>
    </row>
    <row r="4090" spans="1:20" x14ac:dyDescent="0.2">
      <c r="A4090" s="33"/>
      <c r="B4090" s="33"/>
      <c r="C4090" s="33"/>
      <c r="D4090" s="33"/>
      <c r="E4090" s="33"/>
      <c r="F4090" s="33"/>
      <c r="G4090" s="33"/>
      <c r="H4090" s="33"/>
      <c r="I4090" s="33"/>
      <c r="J4090" s="33"/>
      <c r="K4090" s="33"/>
      <c r="L4090" s="33"/>
      <c r="M4090" s="33"/>
      <c r="N4090" s="33"/>
      <c r="O4090" s="33"/>
      <c r="P4090" s="33"/>
      <c r="Q4090" s="33"/>
      <c r="R4090" s="33"/>
      <c r="T4090"/>
    </row>
    <row r="4091" spans="1:20" x14ac:dyDescent="0.2">
      <c r="A4091" s="9"/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T4091"/>
    </row>
    <row r="4092" spans="1:20" x14ac:dyDescent="0.2">
      <c r="A4092" s="33"/>
      <c r="B4092" s="33"/>
      <c r="C4092" s="33"/>
      <c r="D4092" s="33"/>
      <c r="E4092" s="33"/>
      <c r="F4092" s="33"/>
      <c r="G4092" s="33"/>
      <c r="H4092" s="33"/>
      <c r="I4092" s="33"/>
      <c r="J4092" s="33"/>
      <c r="K4092" s="33"/>
      <c r="L4092" s="33"/>
      <c r="M4092" s="33"/>
      <c r="N4092" s="33"/>
      <c r="O4092" s="33"/>
      <c r="P4092" s="33"/>
      <c r="Q4092" s="33"/>
      <c r="R4092" s="33"/>
      <c r="T4092"/>
    </row>
    <row r="4093" spans="1:20" x14ac:dyDescent="0.2">
      <c r="A4093" s="9"/>
      <c r="B4093" s="9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T4093"/>
    </row>
    <row r="4094" spans="1:20" x14ac:dyDescent="0.2">
      <c r="A4094" s="33"/>
      <c r="B4094" s="33"/>
      <c r="C4094" s="33"/>
      <c r="D4094" s="33"/>
      <c r="E4094" s="33"/>
      <c r="F4094" s="33"/>
      <c r="G4094" s="33"/>
      <c r="H4094" s="33"/>
      <c r="I4094" s="33"/>
      <c r="J4094" s="33"/>
      <c r="K4094" s="33"/>
      <c r="L4094" s="33"/>
      <c r="M4094" s="33"/>
      <c r="N4094" s="33"/>
      <c r="O4094" s="33"/>
      <c r="P4094" s="33"/>
      <c r="Q4094" s="33"/>
      <c r="R4094" s="33"/>
      <c r="T4094"/>
    </row>
    <row r="4095" spans="1:20" x14ac:dyDescent="0.2">
      <c r="A4095" s="9"/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T4095"/>
    </row>
    <row r="4096" spans="1:20" x14ac:dyDescent="0.2">
      <c r="A4096" s="33"/>
      <c r="B4096" s="33"/>
      <c r="C4096" s="33"/>
      <c r="D4096" s="33"/>
      <c r="E4096" s="33"/>
      <c r="F4096" s="33"/>
      <c r="G4096" s="33"/>
      <c r="H4096" s="33"/>
      <c r="I4096" s="33"/>
      <c r="J4096" s="33"/>
      <c r="K4096" s="33"/>
      <c r="L4096" s="33"/>
      <c r="M4096" s="33"/>
      <c r="N4096" s="33"/>
      <c r="O4096" s="33"/>
      <c r="P4096" s="33"/>
      <c r="Q4096" s="33"/>
      <c r="R4096" s="33"/>
      <c r="T4096"/>
    </row>
    <row r="4097" spans="1:20" x14ac:dyDescent="0.2">
      <c r="A4097" s="9"/>
      <c r="B4097" s="9"/>
      <c r="C4097" s="9"/>
      <c r="D4097" s="9"/>
      <c r="E4097" s="9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T4097"/>
    </row>
    <row r="4098" spans="1:20" x14ac:dyDescent="0.2">
      <c r="A4098" s="33"/>
      <c r="B4098" s="33"/>
      <c r="C4098" s="33"/>
      <c r="D4098" s="33"/>
      <c r="E4098" s="33"/>
      <c r="F4098" s="33"/>
      <c r="G4098" s="33"/>
      <c r="H4098" s="33"/>
      <c r="I4098" s="33"/>
      <c r="J4098" s="33"/>
      <c r="K4098" s="33"/>
      <c r="L4098" s="33"/>
      <c r="M4098" s="33"/>
      <c r="N4098" s="33"/>
      <c r="O4098" s="33"/>
      <c r="P4098" s="33"/>
      <c r="Q4098" s="33"/>
      <c r="R4098" s="33"/>
      <c r="T4098"/>
    </row>
    <row r="4099" spans="1:20" x14ac:dyDescent="0.2">
      <c r="A4099" s="9"/>
      <c r="B4099" s="9"/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T4099"/>
    </row>
    <row r="4100" spans="1:20" x14ac:dyDescent="0.2">
      <c r="A4100" s="33"/>
      <c r="B4100" s="33"/>
      <c r="C4100" s="33"/>
      <c r="D4100" s="33"/>
      <c r="E4100" s="33"/>
      <c r="F4100" s="33"/>
      <c r="G4100" s="33"/>
      <c r="H4100" s="33"/>
      <c r="I4100" s="33"/>
      <c r="J4100" s="33"/>
      <c r="K4100" s="33"/>
      <c r="L4100" s="33"/>
      <c r="M4100" s="33"/>
      <c r="N4100" s="33"/>
      <c r="O4100" s="33"/>
      <c r="P4100" s="33"/>
      <c r="Q4100" s="33"/>
      <c r="R4100" s="33"/>
      <c r="T4100"/>
    </row>
    <row r="4101" spans="1:20" x14ac:dyDescent="0.2">
      <c r="A4101" s="9"/>
      <c r="B4101" s="9"/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T4101"/>
    </row>
    <row r="4102" spans="1:20" x14ac:dyDescent="0.2">
      <c r="A4102" s="33"/>
      <c r="B4102" s="33"/>
      <c r="C4102" s="33"/>
      <c r="D4102" s="33"/>
      <c r="E4102" s="33"/>
      <c r="F4102" s="33"/>
      <c r="G4102" s="33"/>
      <c r="H4102" s="33"/>
      <c r="I4102" s="33"/>
      <c r="J4102" s="33"/>
      <c r="K4102" s="33"/>
      <c r="L4102" s="33"/>
      <c r="M4102" s="33"/>
      <c r="N4102" s="33"/>
      <c r="O4102" s="33"/>
      <c r="P4102" s="33"/>
      <c r="Q4102" s="33"/>
      <c r="R4102" s="33"/>
      <c r="T4102"/>
    </row>
    <row r="4103" spans="1:20" x14ac:dyDescent="0.2">
      <c r="A4103" s="9"/>
      <c r="B4103" s="9"/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T4103"/>
    </row>
    <row r="4104" spans="1:20" x14ac:dyDescent="0.2">
      <c r="A4104" s="33"/>
      <c r="B4104" s="33"/>
      <c r="C4104" s="33"/>
      <c r="D4104" s="33"/>
      <c r="E4104" s="33"/>
      <c r="F4104" s="33"/>
      <c r="G4104" s="33"/>
      <c r="H4104" s="33"/>
      <c r="I4104" s="33"/>
      <c r="J4104" s="33"/>
      <c r="K4104" s="33"/>
      <c r="L4104" s="33"/>
      <c r="M4104" s="33"/>
      <c r="N4104" s="33"/>
      <c r="O4104" s="33"/>
      <c r="P4104" s="33"/>
      <c r="Q4104" s="33"/>
      <c r="R4104" s="33"/>
      <c r="T4104"/>
    </row>
    <row r="4105" spans="1:20" x14ac:dyDescent="0.2">
      <c r="A4105" s="9"/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T4105"/>
    </row>
    <row r="4106" spans="1:20" x14ac:dyDescent="0.2">
      <c r="A4106" s="33"/>
      <c r="B4106" s="33"/>
      <c r="C4106" s="33"/>
      <c r="D4106" s="33"/>
      <c r="E4106" s="33"/>
      <c r="F4106" s="33"/>
      <c r="G4106" s="33"/>
      <c r="H4106" s="33"/>
      <c r="I4106" s="33"/>
      <c r="J4106" s="33"/>
      <c r="K4106" s="33"/>
      <c r="L4106" s="33"/>
      <c r="M4106" s="33"/>
      <c r="N4106" s="33"/>
      <c r="O4106" s="33"/>
      <c r="P4106" s="33"/>
      <c r="Q4106" s="33"/>
      <c r="R4106" s="33"/>
      <c r="T4106"/>
    </row>
    <row r="4107" spans="1:20" x14ac:dyDescent="0.2">
      <c r="A4107" s="9"/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T4107"/>
    </row>
    <row r="4108" spans="1:20" x14ac:dyDescent="0.2">
      <c r="A4108" s="33"/>
      <c r="B4108" s="33"/>
      <c r="C4108" s="33"/>
      <c r="D4108" s="33"/>
      <c r="E4108" s="33"/>
      <c r="F4108" s="33"/>
      <c r="G4108" s="33"/>
      <c r="H4108" s="33"/>
      <c r="I4108" s="33"/>
      <c r="J4108" s="33"/>
      <c r="K4108" s="33"/>
      <c r="L4108" s="33"/>
      <c r="M4108" s="33"/>
      <c r="N4108" s="33"/>
      <c r="O4108" s="33"/>
      <c r="P4108" s="33"/>
      <c r="Q4108" s="33"/>
      <c r="R4108" s="33"/>
      <c r="T4108"/>
    </row>
    <row r="4109" spans="1:20" x14ac:dyDescent="0.2">
      <c r="A4109" s="9"/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T4109"/>
    </row>
    <row r="4110" spans="1:20" x14ac:dyDescent="0.2">
      <c r="A4110" s="33"/>
      <c r="B4110" s="33"/>
      <c r="C4110" s="33"/>
      <c r="D4110" s="33"/>
      <c r="E4110" s="33"/>
      <c r="F4110" s="33"/>
      <c r="G4110" s="33"/>
      <c r="H4110" s="33"/>
      <c r="I4110" s="33"/>
      <c r="J4110" s="33"/>
      <c r="K4110" s="33"/>
      <c r="L4110" s="33"/>
      <c r="M4110" s="33"/>
      <c r="N4110" s="33"/>
      <c r="O4110" s="33"/>
      <c r="P4110" s="33"/>
      <c r="Q4110" s="33"/>
      <c r="R4110" s="33"/>
      <c r="T4110"/>
    </row>
    <row r="4111" spans="1:20" x14ac:dyDescent="0.2">
      <c r="A4111" s="9"/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T4111"/>
    </row>
    <row r="4112" spans="1:20" x14ac:dyDescent="0.2">
      <c r="A4112" s="33"/>
      <c r="B4112" s="33"/>
      <c r="C4112" s="33"/>
      <c r="D4112" s="33"/>
      <c r="E4112" s="33"/>
      <c r="F4112" s="33"/>
      <c r="G4112" s="33"/>
      <c r="H4112" s="33"/>
      <c r="I4112" s="33"/>
      <c r="J4112" s="33"/>
      <c r="K4112" s="33"/>
      <c r="L4112" s="33"/>
      <c r="M4112" s="33"/>
      <c r="N4112" s="33"/>
      <c r="O4112" s="33"/>
      <c r="P4112" s="33"/>
      <c r="Q4112" s="33"/>
      <c r="R4112" s="33"/>
      <c r="T4112"/>
    </row>
    <row r="4113" spans="1:20" x14ac:dyDescent="0.2">
      <c r="A4113" s="9"/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T4113"/>
    </row>
    <row r="4114" spans="1:20" x14ac:dyDescent="0.2">
      <c r="A4114" s="33"/>
      <c r="B4114" s="33"/>
      <c r="C4114" s="33"/>
      <c r="D4114" s="33"/>
      <c r="E4114" s="33"/>
      <c r="F4114" s="33"/>
      <c r="G4114" s="33"/>
      <c r="H4114" s="33"/>
      <c r="I4114" s="33"/>
      <c r="J4114" s="33"/>
      <c r="K4114" s="33"/>
      <c r="L4114" s="33"/>
      <c r="M4114" s="33"/>
      <c r="N4114" s="33"/>
      <c r="O4114" s="33"/>
      <c r="P4114" s="33"/>
      <c r="Q4114" s="33"/>
      <c r="R4114" s="33"/>
      <c r="T4114"/>
    </row>
    <row r="4115" spans="1:20" x14ac:dyDescent="0.2">
      <c r="A4115" s="9"/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T4115"/>
    </row>
    <row r="4116" spans="1:20" x14ac:dyDescent="0.2">
      <c r="A4116" s="33"/>
      <c r="B4116" s="33"/>
      <c r="C4116" s="33"/>
      <c r="D4116" s="33"/>
      <c r="E4116" s="33"/>
      <c r="F4116" s="33"/>
      <c r="G4116" s="33"/>
      <c r="H4116" s="33"/>
      <c r="I4116" s="33"/>
      <c r="J4116" s="33"/>
      <c r="K4116" s="33"/>
      <c r="L4116" s="33"/>
      <c r="M4116" s="33"/>
      <c r="N4116" s="33"/>
      <c r="O4116" s="33"/>
      <c r="P4116" s="33"/>
      <c r="Q4116" s="33"/>
      <c r="R4116" s="33"/>
      <c r="T4116"/>
    </row>
    <row r="4117" spans="1:20" x14ac:dyDescent="0.2">
      <c r="A4117" s="9"/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T4117"/>
    </row>
    <row r="4118" spans="1:20" x14ac:dyDescent="0.2">
      <c r="A4118" s="33"/>
      <c r="B4118" s="33"/>
      <c r="C4118" s="33"/>
      <c r="D4118" s="33"/>
      <c r="E4118" s="33"/>
      <c r="F4118" s="33"/>
      <c r="G4118" s="33"/>
      <c r="H4118" s="33"/>
      <c r="I4118" s="33"/>
      <c r="J4118" s="33"/>
      <c r="K4118" s="33"/>
      <c r="L4118" s="33"/>
      <c r="M4118" s="33"/>
      <c r="N4118" s="33"/>
      <c r="O4118" s="33"/>
      <c r="P4118" s="33"/>
      <c r="Q4118" s="33"/>
      <c r="R4118" s="33"/>
      <c r="T4118"/>
    </row>
    <row r="4119" spans="1:20" x14ac:dyDescent="0.2">
      <c r="A4119" s="9"/>
      <c r="B4119" s="9"/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T4119"/>
    </row>
    <row r="4120" spans="1:20" x14ac:dyDescent="0.2">
      <c r="A4120" s="33"/>
      <c r="B4120" s="33"/>
      <c r="C4120" s="33"/>
      <c r="D4120" s="33"/>
      <c r="E4120" s="33"/>
      <c r="F4120" s="33"/>
      <c r="G4120" s="33"/>
      <c r="H4120" s="33"/>
      <c r="I4120" s="33"/>
      <c r="J4120" s="33"/>
      <c r="K4120" s="33"/>
      <c r="L4120" s="33"/>
      <c r="M4120" s="33"/>
      <c r="N4120" s="33"/>
      <c r="O4120" s="33"/>
      <c r="P4120" s="33"/>
      <c r="Q4120" s="33"/>
      <c r="R4120" s="33"/>
      <c r="T4120"/>
    </row>
    <row r="4121" spans="1:20" x14ac:dyDescent="0.2">
      <c r="A4121" s="9"/>
      <c r="B4121" s="9"/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T4121"/>
    </row>
    <row r="4122" spans="1:20" x14ac:dyDescent="0.2">
      <c r="A4122" s="33"/>
      <c r="B4122" s="33"/>
      <c r="C4122" s="33"/>
      <c r="D4122" s="33"/>
      <c r="E4122" s="33"/>
      <c r="F4122" s="33"/>
      <c r="G4122" s="33"/>
      <c r="H4122" s="33"/>
      <c r="I4122" s="33"/>
      <c r="J4122" s="33"/>
      <c r="K4122" s="33"/>
      <c r="L4122" s="33"/>
      <c r="M4122" s="33"/>
      <c r="N4122" s="33"/>
      <c r="O4122" s="33"/>
      <c r="P4122" s="33"/>
      <c r="Q4122" s="33"/>
      <c r="R4122" s="33"/>
      <c r="T4122"/>
    </row>
    <row r="4123" spans="1:20" x14ac:dyDescent="0.2">
      <c r="A4123" s="9"/>
      <c r="B4123" s="9"/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T4123"/>
    </row>
    <row r="4124" spans="1:20" x14ac:dyDescent="0.2">
      <c r="A4124" s="33"/>
      <c r="B4124" s="33"/>
      <c r="C4124" s="33"/>
      <c r="D4124" s="33"/>
      <c r="E4124" s="33"/>
      <c r="F4124" s="33"/>
      <c r="G4124" s="33"/>
      <c r="H4124" s="33"/>
      <c r="I4124" s="33"/>
      <c r="J4124" s="33"/>
      <c r="K4124" s="33"/>
      <c r="L4124" s="33"/>
      <c r="M4124" s="33"/>
      <c r="N4124" s="33"/>
      <c r="O4124" s="33"/>
      <c r="P4124" s="33"/>
      <c r="Q4124" s="33"/>
      <c r="R4124" s="33"/>
      <c r="T4124"/>
    </row>
    <row r="4125" spans="1:20" x14ac:dyDescent="0.2">
      <c r="A4125" s="9"/>
      <c r="B4125" s="9"/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T4125"/>
    </row>
    <row r="4126" spans="1:20" x14ac:dyDescent="0.2">
      <c r="A4126" s="33"/>
      <c r="B4126" s="33"/>
      <c r="C4126" s="33"/>
      <c r="D4126" s="33"/>
      <c r="E4126" s="33"/>
      <c r="F4126" s="33"/>
      <c r="G4126" s="33"/>
      <c r="H4126" s="33"/>
      <c r="I4126" s="33"/>
      <c r="J4126" s="33"/>
      <c r="K4126" s="33"/>
      <c r="L4126" s="33"/>
      <c r="M4126" s="33"/>
      <c r="N4126" s="33"/>
      <c r="O4126" s="33"/>
      <c r="P4126" s="33"/>
      <c r="Q4126" s="33"/>
      <c r="R4126" s="33"/>
      <c r="T4126"/>
    </row>
    <row r="4127" spans="1:20" x14ac:dyDescent="0.2">
      <c r="A4127" s="9"/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T4127"/>
    </row>
    <row r="4128" spans="1:20" x14ac:dyDescent="0.2">
      <c r="A4128" s="33"/>
      <c r="B4128" s="33"/>
      <c r="C4128" s="33"/>
      <c r="D4128" s="33"/>
      <c r="E4128" s="33"/>
      <c r="F4128" s="33"/>
      <c r="G4128" s="33"/>
      <c r="H4128" s="33"/>
      <c r="I4128" s="33"/>
      <c r="J4128" s="33"/>
      <c r="K4128" s="33"/>
      <c r="L4128" s="33"/>
      <c r="M4128" s="33"/>
      <c r="N4128" s="33"/>
      <c r="O4128" s="33"/>
      <c r="P4128" s="33"/>
      <c r="Q4128" s="33"/>
      <c r="R4128" s="33"/>
      <c r="T4128"/>
    </row>
    <row r="4129" spans="1:20" x14ac:dyDescent="0.2">
      <c r="A4129" s="9"/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T4129"/>
    </row>
    <row r="4130" spans="1:20" x14ac:dyDescent="0.2">
      <c r="A4130" s="33"/>
      <c r="B4130" s="33"/>
      <c r="C4130" s="33"/>
      <c r="D4130" s="33"/>
      <c r="E4130" s="33"/>
      <c r="F4130" s="33"/>
      <c r="G4130" s="33"/>
      <c r="H4130" s="33"/>
      <c r="I4130" s="33"/>
      <c r="J4130" s="33"/>
      <c r="K4130" s="33"/>
      <c r="L4130" s="33"/>
      <c r="M4130" s="33"/>
      <c r="N4130" s="33"/>
      <c r="O4130" s="33"/>
      <c r="P4130" s="33"/>
      <c r="Q4130" s="33"/>
      <c r="R4130" s="33"/>
      <c r="T4130"/>
    </row>
    <row r="4131" spans="1:20" x14ac:dyDescent="0.2">
      <c r="A4131" s="9"/>
      <c r="B4131" s="9"/>
      <c r="C4131" s="9"/>
      <c r="D4131" s="9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T4131"/>
    </row>
    <row r="4132" spans="1:20" x14ac:dyDescent="0.2">
      <c r="A4132" s="33"/>
      <c r="B4132" s="33"/>
      <c r="C4132" s="33"/>
      <c r="D4132" s="33"/>
      <c r="E4132" s="33"/>
      <c r="F4132" s="33"/>
      <c r="G4132" s="33"/>
      <c r="H4132" s="33"/>
      <c r="I4132" s="33"/>
      <c r="J4132" s="33"/>
      <c r="K4132" s="33"/>
      <c r="L4132" s="33"/>
      <c r="M4132" s="33"/>
      <c r="N4132" s="33"/>
      <c r="O4132" s="33"/>
      <c r="P4132" s="33"/>
      <c r="Q4132" s="33"/>
      <c r="R4132" s="33"/>
      <c r="T4132"/>
    </row>
    <row r="4133" spans="1:20" x14ac:dyDescent="0.2">
      <c r="A4133" s="9"/>
      <c r="B4133" s="9"/>
      <c r="C4133" s="9"/>
      <c r="D4133" s="9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T4133"/>
    </row>
    <row r="4134" spans="1:20" x14ac:dyDescent="0.2">
      <c r="A4134" s="33"/>
      <c r="B4134" s="33"/>
      <c r="C4134" s="33"/>
      <c r="D4134" s="33"/>
      <c r="E4134" s="33"/>
      <c r="F4134" s="33"/>
      <c r="G4134" s="33"/>
      <c r="H4134" s="33"/>
      <c r="I4134" s="33"/>
      <c r="J4134" s="33"/>
      <c r="K4134" s="33"/>
      <c r="L4134" s="33"/>
      <c r="M4134" s="33"/>
      <c r="N4134" s="33"/>
      <c r="O4134" s="33"/>
      <c r="P4134" s="33"/>
      <c r="Q4134" s="33"/>
      <c r="R4134" s="33"/>
      <c r="T4134"/>
    </row>
    <row r="4135" spans="1:20" x14ac:dyDescent="0.2">
      <c r="A4135" s="9"/>
      <c r="B4135" s="9"/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T4135"/>
    </row>
    <row r="4136" spans="1:20" x14ac:dyDescent="0.2">
      <c r="A4136" s="33"/>
      <c r="B4136" s="33"/>
      <c r="C4136" s="33"/>
      <c r="D4136" s="33"/>
      <c r="E4136" s="33"/>
      <c r="F4136" s="33"/>
      <c r="G4136" s="33"/>
      <c r="H4136" s="33"/>
      <c r="I4136" s="33"/>
      <c r="J4136" s="33"/>
      <c r="K4136" s="33"/>
      <c r="L4136" s="33"/>
      <c r="M4136" s="33"/>
      <c r="N4136" s="33"/>
      <c r="O4136" s="33"/>
      <c r="P4136" s="33"/>
      <c r="Q4136" s="33"/>
      <c r="R4136" s="33"/>
      <c r="T4136"/>
    </row>
    <row r="4137" spans="1:20" x14ac:dyDescent="0.2">
      <c r="A4137" s="9"/>
      <c r="B4137" s="9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T4137"/>
    </row>
    <row r="4138" spans="1:20" x14ac:dyDescent="0.2">
      <c r="A4138" s="33"/>
      <c r="B4138" s="33"/>
      <c r="C4138" s="33"/>
      <c r="D4138" s="33"/>
      <c r="E4138" s="33"/>
      <c r="F4138" s="33"/>
      <c r="G4138" s="33"/>
      <c r="H4138" s="33"/>
      <c r="I4138" s="33"/>
      <c r="J4138" s="33"/>
      <c r="K4138" s="33"/>
      <c r="L4138" s="33"/>
      <c r="M4138" s="33"/>
      <c r="N4138" s="33"/>
      <c r="O4138" s="33"/>
      <c r="P4138" s="33"/>
      <c r="Q4138" s="33"/>
      <c r="R4138" s="33"/>
      <c r="T4138"/>
    </row>
    <row r="4139" spans="1:20" x14ac:dyDescent="0.2">
      <c r="A4139" s="9"/>
      <c r="B4139" s="9"/>
      <c r="C4139" s="9"/>
      <c r="D4139" s="9"/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T4139"/>
    </row>
    <row r="4140" spans="1:20" x14ac:dyDescent="0.2">
      <c r="A4140" s="33"/>
      <c r="B4140" s="33"/>
      <c r="C4140" s="33"/>
      <c r="D4140" s="33"/>
      <c r="E4140" s="33"/>
      <c r="F4140" s="33"/>
      <c r="G4140" s="33"/>
      <c r="H4140" s="33"/>
      <c r="I4140" s="33"/>
      <c r="J4140" s="33"/>
      <c r="K4140" s="33"/>
      <c r="L4140" s="33"/>
      <c r="M4140" s="33"/>
      <c r="N4140" s="33"/>
      <c r="O4140" s="33"/>
      <c r="P4140" s="33"/>
      <c r="Q4140" s="33"/>
      <c r="R4140" s="33"/>
      <c r="T4140"/>
    </row>
    <row r="4141" spans="1:20" x14ac:dyDescent="0.2">
      <c r="A4141" s="9"/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T4141"/>
    </row>
    <row r="4142" spans="1:20" x14ac:dyDescent="0.2">
      <c r="A4142" s="33"/>
      <c r="B4142" s="33"/>
      <c r="C4142" s="33"/>
      <c r="D4142" s="33"/>
      <c r="E4142" s="33"/>
      <c r="F4142" s="33"/>
      <c r="G4142" s="33"/>
      <c r="H4142" s="33"/>
      <c r="I4142" s="33"/>
      <c r="J4142" s="33"/>
      <c r="K4142" s="33"/>
      <c r="L4142" s="33"/>
      <c r="M4142" s="33"/>
      <c r="N4142" s="33"/>
      <c r="O4142" s="33"/>
      <c r="P4142" s="33"/>
      <c r="Q4142" s="33"/>
      <c r="R4142" s="33"/>
      <c r="T4142"/>
    </row>
    <row r="4143" spans="1:20" x14ac:dyDescent="0.2">
      <c r="A4143" s="9"/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T4143"/>
    </row>
    <row r="4144" spans="1:20" x14ac:dyDescent="0.2">
      <c r="A4144" s="33"/>
      <c r="B4144" s="33"/>
      <c r="C4144" s="33"/>
      <c r="D4144" s="33"/>
      <c r="E4144" s="33"/>
      <c r="F4144" s="33"/>
      <c r="G4144" s="33"/>
      <c r="H4144" s="33"/>
      <c r="I4144" s="33"/>
      <c r="J4144" s="33"/>
      <c r="K4144" s="33"/>
      <c r="L4144" s="33"/>
      <c r="M4144" s="33"/>
      <c r="N4144" s="33"/>
      <c r="O4144" s="33"/>
      <c r="P4144" s="33"/>
      <c r="Q4144" s="33"/>
      <c r="R4144" s="33"/>
      <c r="T4144"/>
    </row>
    <row r="4145" spans="1:20" x14ac:dyDescent="0.2">
      <c r="A4145" s="9"/>
      <c r="B4145" s="9"/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T4145"/>
    </row>
    <row r="4146" spans="1:20" x14ac:dyDescent="0.2">
      <c r="A4146" s="33"/>
      <c r="B4146" s="33"/>
      <c r="C4146" s="33"/>
      <c r="D4146" s="33"/>
      <c r="E4146" s="33"/>
      <c r="F4146" s="33"/>
      <c r="G4146" s="33"/>
      <c r="H4146" s="33"/>
      <c r="I4146" s="33"/>
      <c r="J4146" s="33"/>
      <c r="K4146" s="33"/>
      <c r="L4146" s="33"/>
      <c r="M4146" s="33"/>
      <c r="N4146" s="33"/>
      <c r="O4146" s="33"/>
      <c r="P4146" s="33"/>
      <c r="Q4146" s="33"/>
      <c r="R4146" s="33"/>
      <c r="T4146"/>
    </row>
    <row r="4147" spans="1:20" x14ac:dyDescent="0.2">
      <c r="A4147" s="9"/>
      <c r="B4147" s="9"/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T4147"/>
    </row>
    <row r="4148" spans="1:20" x14ac:dyDescent="0.2">
      <c r="A4148" s="33"/>
      <c r="B4148" s="33"/>
      <c r="C4148" s="33"/>
      <c r="D4148" s="33"/>
      <c r="E4148" s="33"/>
      <c r="F4148" s="33"/>
      <c r="G4148" s="33"/>
      <c r="H4148" s="33"/>
      <c r="I4148" s="33"/>
      <c r="J4148" s="33"/>
      <c r="K4148" s="33"/>
      <c r="L4148" s="33"/>
      <c r="M4148" s="33"/>
      <c r="N4148" s="33"/>
      <c r="O4148" s="33"/>
      <c r="P4148" s="33"/>
      <c r="Q4148" s="33"/>
      <c r="R4148" s="33"/>
      <c r="T4148"/>
    </row>
    <row r="4149" spans="1:20" x14ac:dyDescent="0.2">
      <c r="A4149" s="9"/>
      <c r="B4149" s="9"/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T4149"/>
    </row>
    <row r="4150" spans="1:20" x14ac:dyDescent="0.2">
      <c r="A4150" s="33"/>
      <c r="B4150" s="33"/>
      <c r="C4150" s="33"/>
      <c r="D4150" s="33"/>
      <c r="E4150" s="33"/>
      <c r="F4150" s="33"/>
      <c r="G4150" s="33"/>
      <c r="H4150" s="33"/>
      <c r="I4150" s="33"/>
      <c r="J4150" s="33"/>
      <c r="K4150" s="33"/>
      <c r="L4150" s="33"/>
      <c r="M4150" s="33"/>
      <c r="N4150" s="33"/>
      <c r="O4150" s="33"/>
      <c r="P4150" s="33"/>
      <c r="Q4150" s="33"/>
      <c r="R4150" s="33"/>
      <c r="T4150"/>
    </row>
    <row r="4151" spans="1:20" x14ac:dyDescent="0.2">
      <c r="A4151" s="9"/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T4151"/>
    </row>
    <row r="4152" spans="1:20" x14ac:dyDescent="0.2">
      <c r="A4152" s="33"/>
      <c r="B4152" s="33"/>
      <c r="C4152" s="33"/>
      <c r="D4152" s="33"/>
      <c r="E4152" s="33"/>
      <c r="F4152" s="33"/>
      <c r="G4152" s="33"/>
      <c r="H4152" s="33"/>
      <c r="I4152" s="33"/>
      <c r="J4152" s="33"/>
      <c r="K4152" s="33"/>
      <c r="L4152" s="33"/>
      <c r="M4152" s="33"/>
      <c r="N4152" s="33"/>
      <c r="O4152" s="33"/>
      <c r="P4152" s="33"/>
      <c r="Q4152" s="33"/>
      <c r="R4152" s="33"/>
      <c r="T4152"/>
    </row>
    <row r="4153" spans="1:20" x14ac:dyDescent="0.2">
      <c r="A4153" s="9"/>
      <c r="B4153" s="9"/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T4153"/>
    </row>
    <row r="4154" spans="1:20" x14ac:dyDescent="0.2">
      <c r="A4154" s="33"/>
      <c r="B4154" s="33"/>
      <c r="C4154" s="33"/>
      <c r="D4154" s="33"/>
      <c r="E4154" s="33"/>
      <c r="F4154" s="33"/>
      <c r="G4154" s="33"/>
      <c r="H4154" s="33"/>
      <c r="I4154" s="33"/>
      <c r="J4154" s="33"/>
      <c r="K4154" s="33"/>
      <c r="L4154" s="33"/>
      <c r="M4154" s="33"/>
      <c r="N4154" s="33"/>
      <c r="O4154" s="33"/>
      <c r="P4154" s="33"/>
      <c r="Q4154" s="33"/>
      <c r="R4154" s="33"/>
      <c r="T4154"/>
    </row>
    <row r="4155" spans="1:20" x14ac:dyDescent="0.2">
      <c r="A4155" s="9"/>
      <c r="B4155" s="9"/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T4155"/>
    </row>
    <row r="4156" spans="1:20" x14ac:dyDescent="0.2">
      <c r="A4156" s="33"/>
      <c r="B4156" s="33"/>
      <c r="C4156" s="33"/>
      <c r="D4156" s="33"/>
      <c r="E4156" s="33"/>
      <c r="F4156" s="33"/>
      <c r="G4156" s="33"/>
      <c r="H4156" s="33"/>
      <c r="I4156" s="33"/>
      <c r="J4156" s="33"/>
      <c r="K4156" s="33"/>
      <c r="L4156" s="33"/>
      <c r="M4156" s="33"/>
      <c r="N4156" s="33"/>
      <c r="O4156" s="33"/>
      <c r="P4156" s="33"/>
      <c r="Q4156" s="33"/>
      <c r="R4156" s="33"/>
      <c r="T4156"/>
    </row>
    <row r="4157" spans="1:20" x14ac:dyDescent="0.2">
      <c r="A4157" s="9"/>
      <c r="B4157" s="9"/>
      <c r="C4157" s="9"/>
      <c r="D4157" s="9"/>
      <c r="E4157" s="9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T4157"/>
    </row>
    <row r="4158" spans="1:20" x14ac:dyDescent="0.2">
      <c r="A4158" s="33"/>
      <c r="B4158" s="33"/>
      <c r="C4158" s="33"/>
      <c r="D4158" s="33"/>
      <c r="E4158" s="33"/>
      <c r="F4158" s="33"/>
      <c r="G4158" s="33"/>
      <c r="H4158" s="33"/>
      <c r="I4158" s="33"/>
      <c r="J4158" s="33"/>
      <c r="K4158" s="33"/>
      <c r="L4158" s="33"/>
      <c r="M4158" s="33"/>
      <c r="N4158" s="33"/>
      <c r="O4158" s="33"/>
      <c r="P4158" s="33"/>
      <c r="Q4158" s="33"/>
      <c r="R4158" s="33"/>
      <c r="T4158"/>
    </row>
    <row r="4159" spans="1:20" x14ac:dyDescent="0.2">
      <c r="A4159" s="9"/>
      <c r="B4159" s="9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T4159"/>
    </row>
    <row r="4160" spans="1:20" x14ac:dyDescent="0.2">
      <c r="A4160" s="33"/>
      <c r="B4160" s="33"/>
      <c r="C4160" s="33"/>
      <c r="D4160" s="33"/>
      <c r="E4160" s="33"/>
      <c r="F4160" s="33"/>
      <c r="G4160" s="33"/>
      <c r="H4160" s="33"/>
      <c r="I4160" s="33"/>
      <c r="J4160" s="33"/>
      <c r="K4160" s="33"/>
      <c r="L4160" s="33"/>
      <c r="M4160" s="33"/>
      <c r="N4160" s="33"/>
      <c r="O4160" s="33"/>
      <c r="P4160" s="33"/>
      <c r="Q4160" s="33"/>
      <c r="R4160" s="33"/>
      <c r="T4160"/>
    </row>
    <row r="4161" spans="1:20" x14ac:dyDescent="0.2">
      <c r="A4161" s="9"/>
      <c r="B4161" s="9"/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T4161"/>
    </row>
    <row r="4162" spans="1:20" x14ac:dyDescent="0.2">
      <c r="A4162" s="33"/>
      <c r="B4162" s="33"/>
      <c r="C4162" s="33"/>
      <c r="D4162" s="33"/>
      <c r="E4162" s="33"/>
      <c r="F4162" s="33"/>
      <c r="G4162" s="33"/>
      <c r="H4162" s="33"/>
      <c r="I4162" s="33"/>
      <c r="J4162" s="33"/>
      <c r="K4162" s="33"/>
      <c r="L4162" s="33"/>
      <c r="M4162" s="33"/>
      <c r="N4162" s="33"/>
      <c r="O4162" s="33"/>
      <c r="P4162" s="33"/>
      <c r="Q4162" s="33"/>
      <c r="R4162" s="33"/>
      <c r="T4162"/>
    </row>
    <row r="4163" spans="1:20" x14ac:dyDescent="0.2">
      <c r="A4163" s="9"/>
      <c r="B4163" s="9"/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T4163"/>
    </row>
    <row r="4164" spans="1:20" x14ac:dyDescent="0.2">
      <c r="A4164" s="33"/>
      <c r="B4164" s="33"/>
      <c r="C4164" s="33"/>
      <c r="D4164" s="33"/>
      <c r="E4164" s="33"/>
      <c r="F4164" s="33"/>
      <c r="G4164" s="33"/>
      <c r="H4164" s="33"/>
      <c r="I4164" s="33"/>
      <c r="J4164" s="33"/>
      <c r="K4164" s="33"/>
      <c r="L4164" s="33"/>
      <c r="M4164" s="33"/>
      <c r="N4164" s="33"/>
      <c r="O4164" s="33"/>
      <c r="P4164" s="33"/>
      <c r="Q4164" s="33"/>
      <c r="R4164" s="33"/>
      <c r="T4164"/>
    </row>
    <row r="4165" spans="1:20" x14ac:dyDescent="0.2">
      <c r="A4165" s="9"/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T4165"/>
    </row>
    <row r="4166" spans="1:20" x14ac:dyDescent="0.2">
      <c r="A4166" s="33"/>
      <c r="B4166" s="33"/>
      <c r="C4166" s="33"/>
      <c r="D4166" s="33"/>
      <c r="E4166" s="33"/>
      <c r="F4166" s="33"/>
      <c r="G4166" s="33"/>
      <c r="H4166" s="33"/>
      <c r="I4166" s="33"/>
      <c r="J4166" s="33"/>
      <c r="K4166" s="33"/>
      <c r="L4166" s="33"/>
      <c r="M4166" s="33"/>
      <c r="N4166" s="33"/>
      <c r="O4166" s="33"/>
      <c r="P4166" s="33"/>
      <c r="Q4166" s="33"/>
      <c r="R4166" s="33"/>
      <c r="T4166"/>
    </row>
    <row r="4167" spans="1:20" x14ac:dyDescent="0.2">
      <c r="A4167" s="9"/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T4167"/>
    </row>
    <row r="4168" spans="1:20" x14ac:dyDescent="0.2">
      <c r="A4168" s="33"/>
      <c r="B4168" s="33"/>
      <c r="C4168" s="33"/>
      <c r="D4168" s="33"/>
      <c r="E4168" s="33"/>
      <c r="F4168" s="33"/>
      <c r="G4168" s="33"/>
      <c r="H4168" s="33"/>
      <c r="I4168" s="33"/>
      <c r="J4168" s="33"/>
      <c r="K4168" s="33"/>
      <c r="L4168" s="33"/>
      <c r="M4168" s="33"/>
      <c r="N4168" s="33"/>
      <c r="O4168" s="33"/>
      <c r="P4168" s="33"/>
      <c r="Q4168" s="33"/>
      <c r="R4168" s="33"/>
      <c r="T4168"/>
    </row>
    <row r="4169" spans="1:20" x14ac:dyDescent="0.2">
      <c r="A4169" s="9"/>
      <c r="B4169" s="9"/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T4169"/>
    </row>
    <row r="4170" spans="1:20" x14ac:dyDescent="0.2">
      <c r="A4170" s="33"/>
      <c r="B4170" s="33"/>
      <c r="C4170" s="33"/>
      <c r="D4170" s="33"/>
      <c r="E4170" s="33"/>
      <c r="F4170" s="33"/>
      <c r="G4170" s="33"/>
      <c r="H4170" s="33"/>
      <c r="I4170" s="33"/>
      <c r="J4170" s="33"/>
      <c r="K4170" s="33"/>
      <c r="L4170" s="33"/>
      <c r="M4170" s="33"/>
      <c r="N4170" s="33"/>
      <c r="O4170" s="33"/>
      <c r="P4170" s="33"/>
      <c r="Q4170" s="33"/>
      <c r="R4170" s="33"/>
      <c r="T4170"/>
    </row>
    <row r="4171" spans="1:20" x14ac:dyDescent="0.2">
      <c r="A4171" s="9"/>
      <c r="B4171" s="9"/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T4171"/>
    </row>
    <row r="4172" spans="1:20" x14ac:dyDescent="0.2">
      <c r="A4172" s="33"/>
      <c r="B4172" s="33"/>
      <c r="C4172" s="33"/>
      <c r="D4172" s="33"/>
      <c r="E4172" s="33"/>
      <c r="F4172" s="33"/>
      <c r="G4172" s="33"/>
      <c r="H4172" s="33"/>
      <c r="I4172" s="33"/>
      <c r="J4172" s="33"/>
      <c r="K4172" s="33"/>
      <c r="L4172" s="33"/>
      <c r="M4172" s="33"/>
      <c r="N4172" s="33"/>
      <c r="O4172" s="33"/>
      <c r="P4172" s="33"/>
      <c r="Q4172" s="33"/>
      <c r="R4172" s="33"/>
      <c r="T4172"/>
    </row>
    <row r="4173" spans="1:20" x14ac:dyDescent="0.2">
      <c r="A4173" s="9"/>
      <c r="B4173" s="9"/>
      <c r="C4173" s="9"/>
      <c r="D4173" s="9"/>
      <c r="E4173" s="9"/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T4173"/>
    </row>
    <row r="4174" spans="1:20" x14ac:dyDescent="0.2">
      <c r="A4174" s="33"/>
      <c r="B4174" s="33"/>
      <c r="C4174" s="33"/>
      <c r="D4174" s="33"/>
      <c r="E4174" s="33"/>
      <c r="F4174" s="33"/>
      <c r="G4174" s="33"/>
      <c r="H4174" s="33"/>
      <c r="I4174" s="33"/>
      <c r="J4174" s="33"/>
      <c r="K4174" s="33"/>
      <c r="L4174" s="33"/>
      <c r="M4174" s="33"/>
      <c r="N4174" s="33"/>
      <c r="O4174" s="33"/>
      <c r="P4174" s="33"/>
      <c r="Q4174" s="33"/>
      <c r="R4174" s="33"/>
      <c r="T4174"/>
    </row>
    <row r="4175" spans="1:20" x14ac:dyDescent="0.2">
      <c r="A4175" s="9"/>
      <c r="B4175" s="9"/>
      <c r="C4175" s="9"/>
      <c r="D4175" s="9"/>
      <c r="E4175" s="9"/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T4175"/>
    </row>
    <row r="4176" spans="1:20" x14ac:dyDescent="0.2">
      <c r="A4176" s="33"/>
      <c r="B4176" s="33"/>
      <c r="C4176" s="33"/>
      <c r="D4176" s="33"/>
      <c r="E4176" s="33"/>
      <c r="F4176" s="33"/>
      <c r="G4176" s="33"/>
      <c r="H4176" s="33"/>
      <c r="I4176" s="33"/>
      <c r="J4176" s="33"/>
      <c r="K4176" s="33"/>
      <c r="L4176" s="33"/>
      <c r="M4176" s="33"/>
      <c r="N4176" s="33"/>
      <c r="O4176" s="33"/>
      <c r="P4176" s="33"/>
      <c r="Q4176" s="33"/>
      <c r="R4176" s="33"/>
      <c r="T4176"/>
    </row>
    <row r="4177" spans="1:20" x14ac:dyDescent="0.2">
      <c r="A4177" s="9"/>
      <c r="B4177" s="9"/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T4177"/>
    </row>
    <row r="4178" spans="1:20" x14ac:dyDescent="0.2">
      <c r="A4178" s="33"/>
      <c r="B4178" s="33"/>
      <c r="C4178" s="33"/>
      <c r="D4178" s="33"/>
      <c r="E4178" s="33"/>
      <c r="F4178" s="33"/>
      <c r="G4178" s="33"/>
      <c r="H4178" s="33"/>
      <c r="I4178" s="33"/>
      <c r="J4178" s="33"/>
      <c r="K4178" s="33"/>
      <c r="L4178" s="33"/>
      <c r="M4178" s="33"/>
      <c r="N4178" s="33"/>
      <c r="O4178" s="33"/>
      <c r="P4178" s="33"/>
      <c r="Q4178" s="33"/>
      <c r="R4178" s="33"/>
      <c r="T4178"/>
    </row>
    <row r="4179" spans="1:20" x14ac:dyDescent="0.2">
      <c r="A4179" s="9"/>
      <c r="B4179" s="9"/>
      <c r="C4179" s="9"/>
      <c r="D4179" s="9"/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T4179"/>
    </row>
    <row r="4180" spans="1:20" x14ac:dyDescent="0.2">
      <c r="A4180" s="33"/>
      <c r="B4180" s="33"/>
      <c r="C4180" s="33"/>
      <c r="D4180" s="33"/>
      <c r="E4180" s="33"/>
      <c r="F4180" s="33"/>
      <c r="G4180" s="33"/>
      <c r="H4180" s="33"/>
      <c r="I4180" s="33"/>
      <c r="J4180" s="33"/>
      <c r="K4180" s="33"/>
      <c r="L4180" s="33"/>
      <c r="M4180" s="33"/>
      <c r="N4180" s="33"/>
      <c r="O4180" s="33"/>
      <c r="P4180" s="33"/>
      <c r="Q4180" s="33"/>
      <c r="R4180" s="33"/>
      <c r="T4180"/>
    </row>
    <row r="4181" spans="1:20" x14ac:dyDescent="0.2">
      <c r="A4181" s="9"/>
      <c r="B4181" s="9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T4181"/>
    </row>
    <row r="4182" spans="1:20" x14ac:dyDescent="0.2">
      <c r="A4182" s="33"/>
      <c r="B4182" s="33"/>
      <c r="C4182" s="33"/>
      <c r="D4182" s="33"/>
      <c r="E4182" s="33"/>
      <c r="F4182" s="33"/>
      <c r="G4182" s="33"/>
      <c r="H4182" s="33"/>
      <c r="I4182" s="33"/>
      <c r="J4182" s="33"/>
      <c r="K4182" s="33"/>
      <c r="L4182" s="33"/>
      <c r="M4182" s="33"/>
      <c r="N4182" s="33"/>
      <c r="O4182" s="33"/>
      <c r="P4182" s="33"/>
      <c r="Q4182" s="33"/>
      <c r="R4182" s="33"/>
      <c r="T4182"/>
    </row>
    <row r="4183" spans="1:20" x14ac:dyDescent="0.2">
      <c r="A4183" s="9"/>
      <c r="B4183" s="9"/>
      <c r="C4183" s="9"/>
      <c r="D4183" s="9"/>
      <c r="E4183" s="9"/>
      <c r="F4183" s="9"/>
      <c r="G4183" s="9"/>
      <c r="H4183" s="9"/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T4183"/>
    </row>
    <row r="4184" spans="1:20" x14ac:dyDescent="0.2">
      <c r="A4184" s="33"/>
      <c r="B4184" s="33"/>
      <c r="C4184" s="33"/>
      <c r="D4184" s="33"/>
      <c r="E4184" s="33"/>
      <c r="F4184" s="33"/>
      <c r="G4184" s="33"/>
      <c r="H4184" s="33"/>
      <c r="I4184" s="33"/>
      <c r="J4184" s="33"/>
      <c r="K4184" s="33"/>
      <c r="L4184" s="33"/>
      <c r="M4184" s="33"/>
      <c r="N4184" s="33"/>
      <c r="O4184" s="33"/>
      <c r="P4184" s="33"/>
      <c r="Q4184" s="33"/>
      <c r="R4184" s="33"/>
      <c r="T4184"/>
    </row>
    <row r="4185" spans="1:20" x14ac:dyDescent="0.2">
      <c r="A4185" s="9"/>
      <c r="B4185" s="9"/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T4185"/>
    </row>
    <row r="4186" spans="1:20" x14ac:dyDescent="0.2">
      <c r="A4186" s="33"/>
      <c r="B4186" s="33"/>
      <c r="C4186" s="33"/>
      <c r="D4186" s="33"/>
      <c r="E4186" s="33"/>
      <c r="F4186" s="33"/>
      <c r="G4186" s="33"/>
      <c r="H4186" s="33"/>
      <c r="I4186" s="33"/>
      <c r="J4186" s="33"/>
      <c r="K4186" s="33"/>
      <c r="L4186" s="33"/>
      <c r="M4186" s="33"/>
      <c r="N4186" s="33"/>
      <c r="O4186" s="33"/>
      <c r="P4186" s="33"/>
      <c r="Q4186" s="33"/>
      <c r="R4186" s="33"/>
      <c r="T4186"/>
    </row>
    <row r="4187" spans="1:20" x14ac:dyDescent="0.2">
      <c r="A4187" s="9"/>
      <c r="B4187" s="9"/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T4187"/>
    </row>
    <row r="4188" spans="1:20" x14ac:dyDescent="0.2">
      <c r="A4188" s="33"/>
      <c r="B4188" s="33"/>
      <c r="C4188" s="33"/>
      <c r="D4188" s="33"/>
      <c r="E4188" s="33"/>
      <c r="F4188" s="33"/>
      <c r="G4188" s="33"/>
      <c r="H4188" s="33"/>
      <c r="I4188" s="33"/>
      <c r="J4188" s="33"/>
      <c r="K4188" s="33"/>
      <c r="L4188" s="33"/>
      <c r="M4188" s="33"/>
      <c r="N4188" s="33"/>
      <c r="O4188" s="33"/>
      <c r="P4188" s="33"/>
      <c r="Q4188" s="33"/>
      <c r="R4188" s="33"/>
      <c r="T4188"/>
    </row>
    <row r="4189" spans="1:20" x14ac:dyDescent="0.2">
      <c r="A4189" s="9"/>
      <c r="B4189" s="9"/>
      <c r="C4189" s="9"/>
      <c r="D4189" s="9"/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T4189"/>
    </row>
    <row r="4190" spans="1:20" x14ac:dyDescent="0.2">
      <c r="A4190" s="33"/>
      <c r="B4190" s="33"/>
      <c r="C4190" s="33"/>
      <c r="D4190" s="33"/>
      <c r="E4190" s="33"/>
      <c r="F4190" s="33"/>
      <c r="G4190" s="33"/>
      <c r="H4190" s="33"/>
      <c r="I4190" s="33"/>
      <c r="J4190" s="33"/>
      <c r="K4190" s="33"/>
      <c r="L4190" s="33"/>
      <c r="M4190" s="33"/>
      <c r="N4190" s="33"/>
      <c r="O4190" s="33"/>
      <c r="P4190" s="33"/>
      <c r="Q4190" s="33"/>
      <c r="R4190" s="33"/>
      <c r="T4190"/>
    </row>
    <row r="4191" spans="1:20" x14ac:dyDescent="0.2">
      <c r="A4191" s="9"/>
      <c r="B4191" s="9"/>
      <c r="C4191" s="9"/>
      <c r="D4191" s="9"/>
      <c r="E4191" s="9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T4191"/>
    </row>
    <row r="4192" spans="1:20" x14ac:dyDescent="0.2">
      <c r="A4192" s="33"/>
      <c r="B4192" s="33"/>
      <c r="C4192" s="33"/>
      <c r="D4192" s="33"/>
      <c r="E4192" s="33"/>
      <c r="F4192" s="33"/>
      <c r="G4192" s="33"/>
      <c r="H4192" s="33"/>
      <c r="I4192" s="33"/>
      <c r="J4192" s="33"/>
      <c r="K4192" s="33"/>
      <c r="L4192" s="33"/>
      <c r="M4192" s="33"/>
      <c r="N4192" s="33"/>
      <c r="O4192" s="33"/>
      <c r="P4192" s="33"/>
      <c r="Q4192" s="33"/>
      <c r="R4192" s="33"/>
      <c r="T4192"/>
    </row>
    <row r="4193" spans="1:20" x14ac:dyDescent="0.2">
      <c r="A4193" s="9"/>
      <c r="B4193" s="9"/>
      <c r="C4193" s="9"/>
      <c r="D4193" s="9"/>
      <c r="E4193" s="9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T4193"/>
    </row>
    <row r="4194" spans="1:20" x14ac:dyDescent="0.2">
      <c r="A4194" s="33"/>
      <c r="B4194" s="33"/>
      <c r="C4194" s="33"/>
      <c r="D4194" s="33"/>
      <c r="E4194" s="33"/>
      <c r="F4194" s="33"/>
      <c r="G4194" s="33"/>
      <c r="H4194" s="33"/>
      <c r="I4194" s="33"/>
      <c r="J4194" s="33"/>
      <c r="K4194" s="33"/>
      <c r="L4194" s="33"/>
      <c r="M4194" s="33"/>
      <c r="N4194" s="33"/>
      <c r="O4194" s="33"/>
      <c r="P4194" s="33"/>
      <c r="Q4194" s="33"/>
      <c r="R4194" s="33"/>
      <c r="T4194"/>
    </row>
    <row r="4195" spans="1:20" x14ac:dyDescent="0.2">
      <c r="A4195" s="9"/>
      <c r="B4195" s="9"/>
      <c r="C4195" s="9"/>
      <c r="D4195" s="9"/>
      <c r="E4195" s="9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T4195"/>
    </row>
    <row r="4196" spans="1:20" x14ac:dyDescent="0.2">
      <c r="A4196" s="33"/>
      <c r="B4196" s="33"/>
      <c r="C4196" s="33"/>
      <c r="D4196" s="33"/>
      <c r="E4196" s="33"/>
      <c r="F4196" s="33"/>
      <c r="G4196" s="33"/>
      <c r="H4196" s="33"/>
      <c r="I4196" s="33"/>
      <c r="J4196" s="33"/>
      <c r="K4196" s="33"/>
      <c r="L4196" s="33"/>
      <c r="M4196" s="33"/>
      <c r="N4196" s="33"/>
      <c r="O4196" s="33"/>
      <c r="P4196" s="33"/>
      <c r="Q4196" s="33"/>
      <c r="R4196" s="33"/>
      <c r="T4196"/>
    </row>
    <row r="4197" spans="1:20" x14ac:dyDescent="0.2">
      <c r="A4197" s="9"/>
      <c r="B4197" s="9"/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T4197"/>
    </row>
    <row r="4198" spans="1:20" x14ac:dyDescent="0.2">
      <c r="A4198" s="33"/>
      <c r="B4198" s="33"/>
      <c r="C4198" s="33"/>
      <c r="D4198" s="33"/>
      <c r="E4198" s="33"/>
      <c r="F4198" s="33"/>
      <c r="G4198" s="33"/>
      <c r="H4198" s="33"/>
      <c r="I4198" s="33"/>
      <c r="J4198" s="33"/>
      <c r="K4198" s="33"/>
      <c r="L4198" s="33"/>
      <c r="M4198" s="33"/>
      <c r="N4198" s="33"/>
      <c r="O4198" s="33"/>
      <c r="P4198" s="33"/>
      <c r="Q4198" s="33"/>
      <c r="R4198" s="33"/>
      <c r="T4198"/>
    </row>
    <row r="4199" spans="1:20" x14ac:dyDescent="0.2">
      <c r="A4199" s="9"/>
      <c r="B4199" s="9"/>
      <c r="C4199" s="9"/>
      <c r="D4199" s="9"/>
      <c r="E4199" s="9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T4199"/>
    </row>
    <row r="4200" spans="1:20" x14ac:dyDescent="0.2">
      <c r="A4200" s="33"/>
      <c r="B4200" s="33"/>
      <c r="C4200" s="33"/>
      <c r="D4200" s="33"/>
      <c r="E4200" s="33"/>
      <c r="F4200" s="33"/>
      <c r="G4200" s="33"/>
      <c r="H4200" s="33"/>
      <c r="I4200" s="33"/>
      <c r="J4200" s="33"/>
      <c r="K4200" s="33"/>
      <c r="L4200" s="33"/>
      <c r="M4200" s="33"/>
      <c r="N4200" s="33"/>
      <c r="O4200" s="33"/>
      <c r="P4200" s="33"/>
      <c r="Q4200" s="33"/>
      <c r="R4200" s="33"/>
      <c r="T4200"/>
    </row>
    <row r="4201" spans="1:20" x14ac:dyDescent="0.2">
      <c r="A4201" s="9"/>
      <c r="B4201" s="9"/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T4201"/>
    </row>
    <row r="4202" spans="1:20" x14ac:dyDescent="0.2">
      <c r="A4202" s="33"/>
      <c r="B4202" s="33"/>
      <c r="C4202" s="33"/>
      <c r="D4202" s="33"/>
      <c r="E4202" s="33"/>
      <c r="F4202" s="33"/>
      <c r="G4202" s="33"/>
      <c r="H4202" s="33"/>
      <c r="I4202" s="33"/>
      <c r="J4202" s="33"/>
      <c r="K4202" s="33"/>
      <c r="L4202" s="33"/>
      <c r="M4202" s="33"/>
      <c r="N4202" s="33"/>
      <c r="O4202" s="33"/>
      <c r="P4202" s="33"/>
      <c r="Q4202" s="33"/>
      <c r="R4202" s="33"/>
      <c r="T4202"/>
    </row>
    <row r="4203" spans="1:20" x14ac:dyDescent="0.2">
      <c r="A4203" s="9"/>
      <c r="B4203" s="9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T4203"/>
    </row>
    <row r="4204" spans="1:20" x14ac:dyDescent="0.2">
      <c r="A4204" s="33"/>
      <c r="B4204" s="33"/>
      <c r="C4204" s="33"/>
      <c r="D4204" s="33"/>
      <c r="E4204" s="33"/>
      <c r="F4204" s="33"/>
      <c r="G4204" s="33"/>
      <c r="H4204" s="33"/>
      <c r="I4204" s="33"/>
      <c r="J4204" s="33"/>
      <c r="K4204" s="33"/>
      <c r="L4204" s="33"/>
      <c r="M4204" s="33"/>
      <c r="N4204" s="33"/>
      <c r="O4204" s="33"/>
      <c r="P4204" s="33"/>
      <c r="Q4204" s="33"/>
      <c r="R4204" s="33"/>
      <c r="T4204"/>
    </row>
    <row r="4205" spans="1:20" x14ac:dyDescent="0.2">
      <c r="A4205" s="9"/>
      <c r="B4205" s="9"/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T4205"/>
    </row>
    <row r="4206" spans="1:20" x14ac:dyDescent="0.2">
      <c r="A4206" s="33"/>
      <c r="B4206" s="33"/>
      <c r="C4206" s="33"/>
      <c r="D4206" s="33"/>
      <c r="E4206" s="33"/>
      <c r="F4206" s="33"/>
      <c r="G4206" s="33"/>
      <c r="H4206" s="33"/>
      <c r="I4206" s="33"/>
      <c r="J4206" s="33"/>
      <c r="K4206" s="33"/>
      <c r="L4206" s="33"/>
      <c r="M4206" s="33"/>
      <c r="N4206" s="33"/>
      <c r="O4206" s="33"/>
      <c r="P4206" s="33"/>
      <c r="Q4206" s="33"/>
      <c r="R4206" s="33"/>
      <c r="T4206"/>
    </row>
    <row r="4207" spans="1:20" x14ac:dyDescent="0.2">
      <c r="A4207" s="9"/>
      <c r="B4207" s="9"/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T4207"/>
    </row>
    <row r="4208" spans="1:20" x14ac:dyDescent="0.2">
      <c r="A4208" s="33"/>
      <c r="B4208" s="33"/>
      <c r="C4208" s="33"/>
      <c r="D4208" s="33"/>
      <c r="E4208" s="33"/>
      <c r="F4208" s="33"/>
      <c r="G4208" s="33"/>
      <c r="H4208" s="33"/>
      <c r="I4208" s="33"/>
      <c r="J4208" s="33"/>
      <c r="K4208" s="33"/>
      <c r="L4208" s="33"/>
      <c r="M4208" s="33"/>
      <c r="N4208" s="33"/>
      <c r="O4208" s="33"/>
      <c r="P4208" s="33"/>
      <c r="Q4208" s="33"/>
      <c r="R4208" s="33"/>
      <c r="T4208"/>
    </row>
    <row r="4209" spans="1:20" x14ac:dyDescent="0.2">
      <c r="A4209" s="9"/>
      <c r="B4209" s="9"/>
      <c r="C4209" s="9"/>
      <c r="D4209" s="9"/>
      <c r="E4209" s="9"/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T4209"/>
    </row>
    <row r="4210" spans="1:20" x14ac:dyDescent="0.2">
      <c r="A4210" s="33"/>
      <c r="B4210" s="33"/>
      <c r="C4210" s="33"/>
      <c r="D4210" s="33"/>
      <c r="E4210" s="33"/>
      <c r="F4210" s="33"/>
      <c r="G4210" s="33"/>
      <c r="H4210" s="33"/>
      <c r="I4210" s="33"/>
      <c r="J4210" s="33"/>
      <c r="K4210" s="33"/>
      <c r="L4210" s="33"/>
      <c r="M4210" s="33"/>
      <c r="N4210" s="33"/>
      <c r="O4210" s="33"/>
      <c r="P4210" s="33"/>
      <c r="Q4210" s="33"/>
      <c r="R4210" s="33"/>
      <c r="T4210"/>
    </row>
    <row r="4211" spans="1:20" x14ac:dyDescent="0.2">
      <c r="A4211" s="9"/>
      <c r="B4211" s="9"/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T4211"/>
    </row>
    <row r="4212" spans="1:20" x14ac:dyDescent="0.2">
      <c r="A4212" s="33"/>
      <c r="B4212" s="33"/>
      <c r="C4212" s="33"/>
      <c r="D4212" s="33"/>
      <c r="E4212" s="33"/>
      <c r="F4212" s="33"/>
      <c r="G4212" s="33"/>
      <c r="H4212" s="33"/>
      <c r="I4212" s="33"/>
      <c r="J4212" s="33"/>
      <c r="K4212" s="33"/>
      <c r="L4212" s="33"/>
      <c r="M4212" s="33"/>
      <c r="N4212" s="33"/>
      <c r="O4212" s="33"/>
      <c r="P4212" s="33"/>
      <c r="Q4212" s="33"/>
      <c r="R4212" s="33"/>
      <c r="T4212"/>
    </row>
    <row r="4213" spans="1:20" x14ac:dyDescent="0.2">
      <c r="A4213" s="9"/>
      <c r="B4213" s="9"/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T4213"/>
    </row>
    <row r="4214" spans="1:20" x14ac:dyDescent="0.2">
      <c r="A4214" s="33"/>
      <c r="B4214" s="33"/>
      <c r="C4214" s="33"/>
      <c r="D4214" s="33"/>
      <c r="E4214" s="33"/>
      <c r="F4214" s="33"/>
      <c r="G4214" s="33"/>
      <c r="H4214" s="33"/>
      <c r="I4214" s="33"/>
      <c r="J4214" s="33"/>
      <c r="K4214" s="33"/>
      <c r="L4214" s="33"/>
      <c r="M4214" s="33"/>
      <c r="N4214" s="33"/>
      <c r="O4214" s="33"/>
      <c r="P4214" s="33"/>
      <c r="Q4214" s="33"/>
      <c r="R4214" s="33"/>
      <c r="T4214"/>
    </row>
    <row r="4215" spans="1:20" x14ac:dyDescent="0.2">
      <c r="A4215" s="9"/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T4215"/>
    </row>
    <row r="4216" spans="1:20" x14ac:dyDescent="0.2">
      <c r="A4216" s="33"/>
      <c r="B4216" s="33"/>
      <c r="C4216" s="33"/>
      <c r="D4216" s="33"/>
      <c r="E4216" s="33"/>
      <c r="F4216" s="33"/>
      <c r="G4216" s="33"/>
      <c r="H4216" s="33"/>
      <c r="I4216" s="33"/>
      <c r="J4216" s="33"/>
      <c r="K4216" s="33"/>
      <c r="L4216" s="33"/>
      <c r="M4216" s="33"/>
      <c r="N4216" s="33"/>
      <c r="O4216" s="33"/>
      <c r="P4216" s="33"/>
      <c r="Q4216" s="33"/>
      <c r="R4216" s="33"/>
      <c r="T4216"/>
    </row>
    <row r="4217" spans="1:20" x14ac:dyDescent="0.2">
      <c r="A4217" s="9"/>
      <c r="B4217" s="9"/>
      <c r="C4217" s="9"/>
      <c r="D4217" s="9"/>
      <c r="E4217" s="9"/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T4217"/>
    </row>
    <row r="4218" spans="1:20" x14ac:dyDescent="0.2">
      <c r="A4218" s="33"/>
      <c r="B4218" s="33"/>
      <c r="C4218" s="33"/>
      <c r="D4218" s="33"/>
      <c r="E4218" s="33"/>
      <c r="F4218" s="33"/>
      <c r="G4218" s="33"/>
      <c r="H4218" s="33"/>
      <c r="I4218" s="33"/>
      <c r="J4218" s="33"/>
      <c r="K4218" s="33"/>
      <c r="L4218" s="33"/>
      <c r="M4218" s="33"/>
      <c r="N4218" s="33"/>
      <c r="O4218" s="33"/>
      <c r="P4218" s="33"/>
      <c r="Q4218" s="33"/>
      <c r="R4218" s="33"/>
      <c r="T4218"/>
    </row>
    <row r="4219" spans="1:20" x14ac:dyDescent="0.2">
      <c r="A4219" s="9"/>
      <c r="B4219" s="9"/>
      <c r="C4219" s="9"/>
      <c r="D4219" s="9"/>
      <c r="E4219" s="9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T4219"/>
    </row>
    <row r="4220" spans="1:20" x14ac:dyDescent="0.2">
      <c r="A4220" s="33"/>
      <c r="B4220" s="33"/>
      <c r="C4220" s="33"/>
      <c r="D4220" s="33"/>
      <c r="E4220" s="33"/>
      <c r="F4220" s="33"/>
      <c r="G4220" s="33"/>
      <c r="H4220" s="33"/>
      <c r="I4220" s="33"/>
      <c r="J4220" s="33"/>
      <c r="K4220" s="33"/>
      <c r="L4220" s="33"/>
      <c r="M4220" s="33"/>
      <c r="N4220" s="33"/>
      <c r="O4220" s="33"/>
      <c r="P4220" s="33"/>
      <c r="Q4220" s="33"/>
      <c r="R4220" s="33"/>
      <c r="T4220"/>
    </row>
    <row r="4221" spans="1:20" x14ac:dyDescent="0.2">
      <c r="A4221" s="9"/>
      <c r="B4221" s="9"/>
      <c r="C4221" s="9"/>
      <c r="D4221" s="9"/>
      <c r="E4221" s="9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T4221"/>
    </row>
    <row r="4222" spans="1:20" x14ac:dyDescent="0.2">
      <c r="A4222" s="33"/>
      <c r="B4222" s="33"/>
      <c r="C4222" s="33"/>
      <c r="D4222" s="33"/>
      <c r="E4222" s="33"/>
      <c r="F4222" s="33"/>
      <c r="G4222" s="33"/>
      <c r="H4222" s="33"/>
      <c r="I4222" s="33"/>
      <c r="J4222" s="33"/>
      <c r="K4222" s="33"/>
      <c r="L4222" s="33"/>
      <c r="M4222" s="33"/>
      <c r="N4222" s="33"/>
      <c r="O4222" s="33"/>
      <c r="P4222" s="33"/>
      <c r="Q4222" s="33"/>
      <c r="R4222" s="33"/>
      <c r="T4222"/>
    </row>
    <row r="4223" spans="1:20" x14ac:dyDescent="0.2">
      <c r="A4223" s="9"/>
      <c r="B4223" s="9"/>
      <c r="C4223" s="9"/>
      <c r="D4223" s="9"/>
      <c r="E4223" s="9"/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T4223"/>
    </row>
    <row r="4224" spans="1:20" x14ac:dyDescent="0.2">
      <c r="A4224" s="33"/>
      <c r="B4224" s="33"/>
      <c r="C4224" s="33"/>
      <c r="D4224" s="33"/>
      <c r="E4224" s="33"/>
      <c r="F4224" s="33"/>
      <c r="G4224" s="33"/>
      <c r="H4224" s="33"/>
      <c r="I4224" s="33"/>
      <c r="J4224" s="33"/>
      <c r="K4224" s="33"/>
      <c r="L4224" s="33"/>
      <c r="M4224" s="33"/>
      <c r="N4224" s="33"/>
      <c r="O4224" s="33"/>
      <c r="P4224" s="33"/>
      <c r="Q4224" s="33"/>
      <c r="R4224" s="33"/>
      <c r="T4224"/>
    </row>
    <row r="4225" spans="1:20" x14ac:dyDescent="0.2">
      <c r="A4225" s="9"/>
      <c r="B4225" s="9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T4225"/>
    </row>
    <row r="4226" spans="1:20" x14ac:dyDescent="0.2">
      <c r="A4226" s="33"/>
      <c r="B4226" s="33"/>
      <c r="C4226" s="33"/>
      <c r="D4226" s="33"/>
      <c r="E4226" s="33"/>
      <c r="F4226" s="33"/>
      <c r="G4226" s="33"/>
      <c r="H4226" s="33"/>
      <c r="I4226" s="33"/>
      <c r="J4226" s="33"/>
      <c r="K4226" s="33"/>
      <c r="L4226" s="33"/>
      <c r="M4226" s="33"/>
      <c r="N4226" s="33"/>
      <c r="O4226" s="33"/>
      <c r="P4226" s="33"/>
      <c r="Q4226" s="33"/>
      <c r="R4226" s="33"/>
      <c r="T4226"/>
    </row>
    <row r="4227" spans="1:20" x14ac:dyDescent="0.2">
      <c r="A4227" s="9"/>
      <c r="B4227" s="9"/>
      <c r="C4227" s="9"/>
      <c r="D4227" s="9"/>
      <c r="E4227" s="9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T4227"/>
    </row>
    <row r="4228" spans="1:20" x14ac:dyDescent="0.2">
      <c r="A4228" s="33"/>
      <c r="B4228" s="33"/>
      <c r="C4228" s="33"/>
      <c r="D4228" s="33"/>
      <c r="E4228" s="33"/>
      <c r="F4228" s="33"/>
      <c r="G4228" s="33"/>
      <c r="H4228" s="33"/>
      <c r="I4228" s="33"/>
      <c r="J4228" s="33"/>
      <c r="K4228" s="33"/>
      <c r="L4228" s="33"/>
      <c r="M4228" s="33"/>
      <c r="N4228" s="33"/>
      <c r="O4228" s="33"/>
      <c r="P4228" s="33"/>
      <c r="Q4228" s="33"/>
      <c r="R4228" s="33"/>
      <c r="T4228"/>
    </row>
    <row r="4229" spans="1:20" x14ac:dyDescent="0.2">
      <c r="A4229" s="9"/>
      <c r="B4229" s="9"/>
      <c r="C4229" s="9"/>
      <c r="D4229" s="9"/>
      <c r="E4229" s="9"/>
      <c r="F4229" s="9"/>
      <c r="G4229" s="9"/>
      <c r="H4229" s="9"/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T4229"/>
    </row>
    <row r="4230" spans="1:20" x14ac:dyDescent="0.2">
      <c r="A4230" s="33"/>
      <c r="B4230" s="33"/>
      <c r="C4230" s="33"/>
      <c r="D4230" s="33"/>
      <c r="E4230" s="33"/>
      <c r="F4230" s="33"/>
      <c r="G4230" s="33"/>
      <c r="H4230" s="33"/>
      <c r="I4230" s="33"/>
      <c r="J4230" s="33"/>
      <c r="K4230" s="33"/>
      <c r="L4230" s="33"/>
      <c r="M4230" s="33"/>
      <c r="N4230" s="33"/>
      <c r="O4230" s="33"/>
      <c r="P4230" s="33"/>
      <c r="Q4230" s="33"/>
      <c r="R4230" s="33"/>
      <c r="T4230"/>
    </row>
    <row r="4231" spans="1:20" x14ac:dyDescent="0.2">
      <c r="A4231" s="9"/>
      <c r="B4231" s="9"/>
      <c r="C4231" s="9"/>
      <c r="D4231" s="9"/>
      <c r="E4231" s="9"/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T4231"/>
    </row>
    <row r="4232" spans="1:20" x14ac:dyDescent="0.2">
      <c r="A4232" s="33"/>
      <c r="B4232" s="33"/>
      <c r="C4232" s="33"/>
      <c r="D4232" s="33"/>
      <c r="E4232" s="33"/>
      <c r="F4232" s="33"/>
      <c r="G4232" s="33"/>
      <c r="H4232" s="33"/>
      <c r="I4232" s="33"/>
      <c r="J4232" s="33"/>
      <c r="K4232" s="33"/>
      <c r="L4232" s="33"/>
      <c r="M4232" s="33"/>
      <c r="N4232" s="33"/>
      <c r="O4232" s="33"/>
      <c r="P4232" s="33"/>
      <c r="Q4232" s="33"/>
      <c r="R4232" s="33"/>
      <c r="T4232"/>
    </row>
    <row r="4233" spans="1:20" x14ac:dyDescent="0.2">
      <c r="A4233" s="9"/>
      <c r="B4233" s="9"/>
      <c r="C4233" s="9"/>
      <c r="D4233" s="9"/>
      <c r="E4233" s="9"/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T4233"/>
    </row>
    <row r="4234" spans="1:20" x14ac:dyDescent="0.2">
      <c r="A4234" s="33"/>
      <c r="B4234" s="33"/>
      <c r="C4234" s="33"/>
      <c r="D4234" s="33"/>
      <c r="E4234" s="33"/>
      <c r="F4234" s="33"/>
      <c r="G4234" s="33"/>
      <c r="H4234" s="33"/>
      <c r="I4234" s="33"/>
      <c r="J4234" s="33"/>
      <c r="K4234" s="33"/>
      <c r="L4234" s="33"/>
      <c r="M4234" s="33"/>
      <c r="N4234" s="33"/>
      <c r="O4234" s="33"/>
      <c r="P4234" s="33"/>
      <c r="Q4234" s="33"/>
      <c r="R4234" s="33"/>
      <c r="T4234"/>
    </row>
    <row r="4235" spans="1:20" x14ac:dyDescent="0.2">
      <c r="A4235" s="9"/>
      <c r="B4235" s="9"/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T4235"/>
    </row>
    <row r="4236" spans="1:20" x14ac:dyDescent="0.2">
      <c r="A4236" s="33"/>
      <c r="B4236" s="33"/>
      <c r="C4236" s="33"/>
      <c r="D4236" s="33"/>
      <c r="E4236" s="33"/>
      <c r="F4236" s="33"/>
      <c r="G4236" s="33"/>
      <c r="H4236" s="33"/>
      <c r="I4236" s="33"/>
      <c r="J4236" s="33"/>
      <c r="K4236" s="33"/>
      <c r="L4236" s="33"/>
      <c r="M4236" s="33"/>
      <c r="N4236" s="33"/>
      <c r="O4236" s="33"/>
      <c r="P4236" s="33"/>
      <c r="Q4236" s="33"/>
      <c r="R4236" s="33"/>
      <c r="T4236"/>
    </row>
    <row r="4237" spans="1:20" x14ac:dyDescent="0.2">
      <c r="A4237" s="9"/>
      <c r="B4237" s="9"/>
      <c r="C4237" s="9"/>
      <c r="D4237" s="9"/>
      <c r="E4237" s="9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T4237"/>
    </row>
    <row r="4238" spans="1:20" x14ac:dyDescent="0.2">
      <c r="A4238" s="33"/>
      <c r="B4238" s="33"/>
      <c r="C4238" s="33"/>
      <c r="D4238" s="33"/>
      <c r="E4238" s="33"/>
      <c r="F4238" s="33"/>
      <c r="G4238" s="33"/>
      <c r="H4238" s="33"/>
      <c r="I4238" s="33"/>
      <c r="J4238" s="33"/>
      <c r="K4238" s="33"/>
      <c r="L4238" s="33"/>
      <c r="M4238" s="33"/>
      <c r="N4238" s="33"/>
      <c r="O4238" s="33"/>
      <c r="P4238" s="33"/>
      <c r="Q4238" s="33"/>
      <c r="R4238" s="33"/>
      <c r="T4238"/>
    </row>
    <row r="4239" spans="1:20" x14ac:dyDescent="0.2">
      <c r="A4239" s="9"/>
      <c r="B4239" s="9"/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T4239"/>
    </row>
    <row r="4240" spans="1:20" x14ac:dyDescent="0.2">
      <c r="A4240" s="33"/>
      <c r="B4240" s="33"/>
      <c r="C4240" s="33"/>
      <c r="D4240" s="33"/>
      <c r="E4240" s="33"/>
      <c r="F4240" s="33"/>
      <c r="G4240" s="33"/>
      <c r="H4240" s="33"/>
      <c r="I4240" s="33"/>
      <c r="J4240" s="33"/>
      <c r="K4240" s="33"/>
      <c r="L4240" s="33"/>
      <c r="M4240" s="33"/>
      <c r="N4240" s="33"/>
      <c r="O4240" s="33"/>
      <c r="P4240" s="33"/>
      <c r="Q4240" s="33"/>
      <c r="R4240" s="33"/>
      <c r="T4240"/>
    </row>
    <row r="4241" spans="1:20" x14ac:dyDescent="0.2">
      <c r="A4241" s="9"/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T4241"/>
    </row>
    <row r="4242" spans="1:20" x14ac:dyDescent="0.2">
      <c r="A4242" s="33"/>
      <c r="B4242" s="33"/>
      <c r="C4242" s="33"/>
      <c r="D4242" s="33"/>
      <c r="E4242" s="33"/>
      <c r="F4242" s="33"/>
      <c r="G4242" s="33"/>
      <c r="H4242" s="33"/>
      <c r="I4242" s="33"/>
      <c r="J4242" s="33"/>
      <c r="K4242" s="33"/>
      <c r="L4242" s="33"/>
      <c r="M4242" s="33"/>
      <c r="N4242" s="33"/>
      <c r="O4242" s="33"/>
      <c r="P4242" s="33"/>
      <c r="Q4242" s="33"/>
      <c r="R4242" s="33"/>
      <c r="T4242"/>
    </row>
    <row r="4243" spans="1:20" x14ac:dyDescent="0.2">
      <c r="A4243" s="9"/>
      <c r="B4243" s="9"/>
      <c r="C4243" s="9"/>
      <c r="D4243" s="9"/>
      <c r="E4243" s="9"/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T4243"/>
    </row>
    <row r="4244" spans="1:20" x14ac:dyDescent="0.2">
      <c r="A4244" s="33"/>
      <c r="B4244" s="33"/>
      <c r="C4244" s="33"/>
      <c r="D4244" s="33"/>
      <c r="E4244" s="33"/>
      <c r="F4244" s="33"/>
      <c r="G4244" s="33"/>
      <c r="H4244" s="33"/>
      <c r="I4244" s="33"/>
      <c r="J4244" s="33"/>
      <c r="K4244" s="33"/>
      <c r="L4244" s="33"/>
      <c r="M4244" s="33"/>
      <c r="N4244" s="33"/>
      <c r="O4244" s="33"/>
      <c r="P4244" s="33"/>
      <c r="Q4244" s="33"/>
      <c r="R4244" s="33"/>
      <c r="T4244"/>
    </row>
    <row r="4245" spans="1:20" x14ac:dyDescent="0.2">
      <c r="A4245" s="9"/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T4245"/>
    </row>
    <row r="4246" spans="1:20" x14ac:dyDescent="0.2">
      <c r="A4246" s="33"/>
      <c r="B4246" s="33"/>
      <c r="C4246" s="33"/>
      <c r="D4246" s="33"/>
      <c r="E4246" s="33"/>
      <c r="F4246" s="33"/>
      <c r="G4246" s="33"/>
      <c r="H4246" s="33"/>
      <c r="I4246" s="33"/>
      <c r="J4246" s="33"/>
      <c r="K4246" s="33"/>
      <c r="L4246" s="33"/>
      <c r="M4246" s="33"/>
      <c r="N4246" s="33"/>
      <c r="O4246" s="33"/>
      <c r="P4246" s="33"/>
      <c r="Q4246" s="33"/>
      <c r="R4246" s="33"/>
      <c r="T4246"/>
    </row>
    <row r="4247" spans="1:20" x14ac:dyDescent="0.2">
      <c r="A4247" s="9"/>
      <c r="B4247" s="9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T4247"/>
    </row>
    <row r="4248" spans="1:20" x14ac:dyDescent="0.2">
      <c r="A4248" s="33"/>
      <c r="B4248" s="33"/>
      <c r="C4248" s="33"/>
      <c r="D4248" s="33"/>
      <c r="E4248" s="33"/>
      <c r="F4248" s="33"/>
      <c r="G4248" s="33"/>
      <c r="H4248" s="33"/>
      <c r="I4248" s="33"/>
      <c r="J4248" s="33"/>
      <c r="K4248" s="33"/>
      <c r="L4248" s="33"/>
      <c r="M4248" s="33"/>
      <c r="N4248" s="33"/>
      <c r="O4248" s="33"/>
      <c r="P4248" s="33"/>
      <c r="Q4248" s="33"/>
      <c r="R4248" s="33"/>
      <c r="T4248"/>
    </row>
    <row r="4249" spans="1:20" x14ac:dyDescent="0.2">
      <c r="A4249" s="9"/>
      <c r="B4249" s="9"/>
      <c r="C4249" s="9"/>
      <c r="D4249" s="9"/>
      <c r="E4249" s="9"/>
      <c r="F4249" s="9"/>
      <c r="G4249" s="9"/>
      <c r="H4249" s="9"/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T4249"/>
    </row>
    <row r="4250" spans="1:20" x14ac:dyDescent="0.2">
      <c r="A4250" s="33"/>
      <c r="B4250" s="33"/>
      <c r="C4250" s="33"/>
      <c r="D4250" s="33"/>
      <c r="E4250" s="33"/>
      <c r="F4250" s="33"/>
      <c r="G4250" s="33"/>
      <c r="H4250" s="33"/>
      <c r="I4250" s="33"/>
      <c r="J4250" s="33"/>
      <c r="K4250" s="33"/>
      <c r="L4250" s="33"/>
      <c r="M4250" s="33"/>
      <c r="N4250" s="33"/>
      <c r="O4250" s="33"/>
      <c r="P4250" s="33"/>
      <c r="Q4250" s="33"/>
      <c r="R4250" s="33"/>
      <c r="T4250"/>
    </row>
    <row r="4251" spans="1:20" x14ac:dyDescent="0.2">
      <c r="A4251" s="9"/>
      <c r="B4251" s="9"/>
      <c r="C4251" s="9"/>
      <c r="D4251" s="9"/>
      <c r="E4251" s="9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T4251"/>
    </row>
    <row r="4252" spans="1:20" x14ac:dyDescent="0.2">
      <c r="A4252" s="33"/>
      <c r="B4252" s="33"/>
      <c r="C4252" s="33"/>
      <c r="D4252" s="33"/>
      <c r="E4252" s="33"/>
      <c r="F4252" s="33"/>
      <c r="G4252" s="33"/>
      <c r="H4252" s="33"/>
      <c r="I4252" s="33"/>
      <c r="J4252" s="33"/>
      <c r="K4252" s="33"/>
      <c r="L4252" s="33"/>
      <c r="M4252" s="33"/>
      <c r="N4252" s="33"/>
      <c r="O4252" s="33"/>
      <c r="P4252" s="33"/>
      <c r="Q4252" s="33"/>
      <c r="R4252" s="33"/>
      <c r="T4252"/>
    </row>
    <row r="4253" spans="1:20" x14ac:dyDescent="0.2">
      <c r="A4253" s="9"/>
      <c r="B4253" s="9"/>
      <c r="C4253" s="9"/>
      <c r="D4253" s="9"/>
      <c r="E4253" s="9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T4253"/>
    </row>
    <row r="4254" spans="1:20" x14ac:dyDescent="0.2">
      <c r="A4254" s="33"/>
      <c r="B4254" s="33"/>
      <c r="C4254" s="33"/>
      <c r="D4254" s="33"/>
      <c r="E4254" s="33"/>
      <c r="F4254" s="33"/>
      <c r="G4254" s="33"/>
      <c r="H4254" s="33"/>
      <c r="I4254" s="33"/>
      <c r="J4254" s="33"/>
      <c r="K4254" s="33"/>
      <c r="L4254" s="33"/>
      <c r="M4254" s="33"/>
      <c r="N4254" s="33"/>
      <c r="O4254" s="33"/>
      <c r="P4254" s="33"/>
      <c r="Q4254" s="33"/>
      <c r="R4254" s="33"/>
      <c r="T4254"/>
    </row>
    <row r="4255" spans="1:20" x14ac:dyDescent="0.2">
      <c r="A4255" s="9"/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T4255"/>
    </row>
    <row r="4256" spans="1:20" x14ac:dyDescent="0.2">
      <c r="A4256" s="33"/>
      <c r="B4256" s="33"/>
      <c r="C4256" s="33"/>
      <c r="D4256" s="33"/>
      <c r="E4256" s="33"/>
      <c r="F4256" s="33"/>
      <c r="G4256" s="33"/>
      <c r="H4256" s="33"/>
      <c r="I4256" s="33"/>
      <c r="J4256" s="33"/>
      <c r="K4256" s="33"/>
      <c r="L4256" s="33"/>
      <c r="M4256" s="33"/>
      <c r="N4256" s="33"/>
      <c r="O4256" s="33"/>
      <c r="P4256" s="33"/>
      <c r="Q4256" s="33"/>
      <c r="R4256" s="33"/>
      <c r="T4256"/>
    </row>
    <row r="4257" spans="1:20" x14ac:dyDescent="0.2">
      <c r="A4257" s="9"/>
      <c r="B4257" s="9"/>
      <c r="C4257" s="9"/>
      <c r="D4257" s="9"/>
      <c r="E4257" s="9"/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T4257"/>
    </row>
    <row r="4258" spans="1:20" x14ac:dyDescent="0.2">
      <c r="A4258" s="33"/>
      <c r="B4258" s="33"/>
      <c r="C4258" s="33"/>
      <c r="D4258" s="33"/>
      <c r="E4258" s="33"/>
      <c r="F4258" s="33"/>
      <c r="G4258" s="33"/>
      <c r="H4258" s="33"/>
      <c r="I4258" s="33"/>
      <c r="J4258" s="33"/>
      <c r="K4258" s="33"/>
      <c r="L4258" s="33"/>
      <c r="M4258" s="33"/>
      <c r="N4258" s="33"/>
      <c r="O4258" s="33"/>
      <c r="P4258" s="33"/>
      <c r="Q4258" s="33"/>
      <c r="R4258" s="33"/>
      <c r="T4258"/>
    </row>
    <row r="4259" spans="1:20" x14ac:dyDescent="0.2">
      <c r="A4259" s="9"/>
      <c r="B4259" s="9"/>
      <c r="C4259" s="9"/>
      <c r="D4259" s="9"/>
      <c r="E4259" s="9"/>
      <c r="F4259" s="9"/>
      <c r="G4259" s="9"/>
      <c r="H4259" s="9"/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T4259"/>
    </row>
    <row r="4260" spans="1:20" x14ac:dyDescent="0.2">
      <c r="A4260" s="33"/>
      <c r="B4260" s="33"/>
      <c r="C4260" s="33"/>
      <c r="D4260" s="33"/>
      <c r="E4260" s="33"/>
      <c r="F4260" s="33"/>
      <c r="G4260" s="33"/>
      <c r="H4260" s="33"/>
      <c r="I4260" s="33"/>
      <c r="J4260" s="33"/>
      <c r="K4260" s="33"/>
      <c r="L4260" s="33"/>
      <c r="M4260" s="33"/>
      <c r="N4260" s="33"/>
      <c r="O4260" s="33"/>
      <c r="P4260" s="33"/>
      <c r="Q4260" s="33"/>
      <c r="R4260" s="33"/>
      <c r="T4260"/>
    </row>
    <row r="4261" spans="1:20" x14ac:dyDescent="0.2">
      <c r="A4261" s="9"/>
      <c r="B4261" s="9"/>
      <c r="C4261" s="9"/>
      <c r="D4261" s="9"/>
      <c r="E4261" s="9"/>
      <c r="F4261" s="9"/>
      <c r="G4261" s="9"/>
      <c r="H4261" s="9"/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T4261"/>
    </row>
    <row r="4262" spans="1:20" x14ac:dyDescent="0.2">
      <c r="A4262" s="33"/>
      <c r="B4262" s="33"/>
      <c r="C4262" s="33"/>
      <c r="D4262" s="33"/>
      <c r="E4262" s="33"/>
      <c r="F4262" s="33"/>
      <c r="G4262" s="33"/>
      <c r="H4262" s="33"/>
      <c r="I4262" s="33"/>
      <c r="J4262" s="33"/>
      <c r="K4262" s="33"/>
      <c r="L4262" s="33"/>
      <c r="M4262" s="33"/>
      <c r="N4262" s="33"/>
      <c r="O4262" s="33"/>
      <c r="P4262" s="33"/>
      <c r="Q4262" s="33"/>
      <c r="R4262" s="33"/>
      <c r="T4262"/>
    </row>
    <row r="4263" spans="1:20" x14ac:dyDescent="0.2">
      <c r="A4263" s="9"/>
      <c r="B4263" s="9"/>
      <c r="C4263" s="9"/>
      <c r="D4263" s="9"/>
      <c r="E4263" s="9"/>
      <c r="F4263" s="9"/>
      <c r="G4263" s="9"/>
      <c r="H4263" s="9"/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T4263"/>
    </row>
    <row r="4264" spans="1:20" x14ac:dyDescent="0.2">
      <c r="A4264" s="33"/>
      <c r="B4264" s="33"/>
      <c r="C4264" s="33"/>
      <c r="D4264" s="33"/>
      <c r="E4264" s="33"/>
      <c r="F4264" s="33"/>
      <c r="G4264" s="33"/>
      <c r="H4264" s="33"/>
      <c r="I4264" s="33"/>
      <c r="J4264" s="33"/>
      <c r="K4264" s="33"/>
      <c r="L4264" s="33"/>
      <c r="M4264" s="33"/>
      <c r="N4264" s="33"/>
      <c r="O4264" s="33"/>
      <c r="P4264" s="33"/>
      <c r="Q4264" s="33"/>
      <c r="R4264" s="33"/>
      <c r="T4264"/>
    </row>
    <row r="4265" spans="1:20" x14ac:dyDescent="0.2">
      <c r="A4265" s="9"/>
      <c r="B4265" s="9"/>
      <c r="C4265" s="9"/>
      <c r="D4265" s="9"/>
      <c r="E4265" s="9"/>
      <c r="F4265" s="9"/>
      <c r="G4265" s="9"/>
      <c r="H4265" s="9"/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T4265"/>
    </row>
    <row r="4266" spans="1:20" x14ac:dyDescent="0.2">
      <c r="A4266" s="33"/>
      <c r="B4266" s="33"/>
      <c r="C4266" s="33"/>
      <c r="D4266" s="33"/>
      <c r="E4266" s="33"/>
      <c r="F4266" s="33"/>
      <c r="G4266" s="33"/>
      <c r="H4266" s="33"/>
      <c r="I4266" s="33"/>
      <c r="J4266" s="33"/>
      <c r="K4266" s="33"/>
      <c r="L4266" s="33"/>
      <c r="M4266" s="33"/>
      <c r="N4266" s="33"/>
      <c r="O4266" s="33"/>
      <c r="P4266" s="33"/>
      <c r="Q4266" s="33"/>
      <c r="R4266" s="33"/>
      <c r="T4266"/>
    </row>
    <row r="4267" spans="1:20" x14ac:dyDescent="0.2">
      <c r="A4267" s="9"/>
      <c r="B4267" s="9"/>
      <c r="C4267" s="9"/>
      <c r="D4267" s="9"/>
      <c r="E4267" s="9"/>
      <c r="F4267" s="9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T4267"/>
    </row>
    <row r="4268" spans="1:20" x14ac:dyDescent="0.2">
      <c r="A4268" s="33"/>
      <c r="B4268" s="33"/>
      <c r="C4268" s="33"/>
      <c r="D4268" s="33"/>
      <c r="E4268" s="33"/>
      <c r="F4268" s="33"/>
      <c r="G4268" s="33"/>
      <c r="H4268" s="33"/>
      <c r="I4268" s="33"/>
      <c r="J4268" s="33"/>
      <c r="K4268" s="33"/>
      <c r="L4268" s="33"/>
      <c r="M4268" s="33"/>
      <c r="N4268" s="33"/>
      <c r="O4268" s="33"/>
      <c r="P4268" s="33"/>
      <c r="Q4268" s="33"/>
      <c r="R4268" s="33"/>
      <c r="T4268"/>
    </row>
    <row r="4269" spans="1:20" x14ac:dyDescent="0.2">
      <c r="A4269" s="9"/>
      <c r="B4269" s="9"/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T4269"/>
    </row>
    <row r="4270" spans="1:20" x14ac:dyDescent="0.2">
      <c r="A4270" s="33"/>
      <c r="B4270" s="33"/>
      <c r="C4270" s="33"/>
      <c r="D4270" s="33"/>
      <c r="E4270" s="33"/>
      <c r="F4270" s="33"/>
      <c r="G4270" s="33"/>
      <c r="H4270" s="33"/>
      <c r="I4270" s="33"/>
      <c r="J4270" s="33"/>
      <c r="K4270" s="33"/>
      <c r="L4270" s="33"/>
      <c r="M4270" s="33"/>
      <c r="N4270" s="33"/>
      <c r="O4270" s="33"/>
      <c r="P4270" s="33"/>
      <c r="Q4270" s="33"/>
      <c r="R4270" s="33"/>
      <c r="T4270"/>
    </row>
    <row r="4271" spans="1:20" x14ac:dyDescent="0.2">
      <c r="A4271" s="9"/>
      <c r="B4271" s="9"/>
      <c r="C4271" s="9"/>
      <c r="D4271" s="9"/>
      <c r="E4271" s="9"/>
      <c r="F4271" s="9"/>
      <c r="G4271" s="9"/>
      <c r="H4271" s="9"/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T4271"/>
    </row>
    <row r="4272" spans="1:20" x14ac:dyDescent="0.2">
      <c r="A4272" s="33"/>
      <c r="B4272" s="33"/>
      <c r="C4272" s="33"/>
      <c r="D4272" s="33"/>
      <c r="E4272" s="33"/>
      <c r="F4272" s="33"/>
      <c r="G4272" s="33"/>
      <c r="H4272" s="33"/>
      <c r="I4272" s="33"/>
      <c r="J4272" s="33"/>
      <c r="K4272" s="33"/>
      <c r="L4272" s="33"/>
      <c r="M4272" s="33"/>
      <c r="N4272" s="33"/>
      <c r="O4272" s="33"/>
      <c r="P4272" s="33"/>
      <c r="Q4272" s="33"/>
      <c r="R4272" s="33"/>
      <c r="T4272"/>
    </row>
    <row r="4273" spans="1:20" x14ac:dyDescent="0.2">
      <c r="A4273" s="9"/>
      <c r="B4273" s="9"/>
      <c r="C4273" s="9"/>
      <c r="D4273" s="9"/>
      <c r="E4273" s="9"/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T4273"/>
    </row>
    <row r="4274" spans="1:20" x14ac:dyDescent="0.2">
      <c r="A4274" s="33"/>
      <c r="B4274" s="33"/>
      <c r="C4274" s="33"/>
      <c r="D4274" s="33"/>
      <c r="E4274" s="33"/>
      <c r="F4274" s="33"/>
      <c r="G4274" s="33"/>
      <c r="H4274" s="33"/>
      <c r="I4274" s="33"/>
      <c r="J4274" s="33"/>
      <c r="K4274" s="33"/>
      <c r="L4274" s="33"/>
      <c r="M4274" s="33"/>
      <c r="N4274" s="33"/>
      <c r="O4274" s="33"/>
      <c r="P4274" s="33"/>
      <c r="Q4274" s="33"/>
      <c r="R4274" s="33"/>
      <c r="T4274"/>
    </row>
    <row r="4275" spans="1:20" x14ac:dyDescent="0.2">
      <c r="A4275" s="9"/>
      <c r="B4275" s="9"/>
      <c r="C4275" s="9"/>
      <c r="D4275" s="9"/>
      <c r="E4275" s="9"/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T4275"/>
    </row>
    <row r="4276" spans="1:20" x14ac:dyDescent="0.2">
      <c r="A4276" s="33"/>
      <c r="B4276" s="33"/>
      <c r="C4276" s="33"/>
      <c r="D4276" s="33"/>
      <c r="E4276" s="33"/>
      <c r="F4276" s="33"/>
      <c r="G4276" s="33"/>
      <c r="H4276" s="33"/>
      <c r="I4276" s="33"/>
      <c r="J4276" s="33"/>
      <c r="K4276" s="33"/>
      <c r="L4276" s="33"/>
      <c r="M4276" s="33"/>
      <c r="N4276" s="33"/>
      <c r="O4276" s="33"/>
      <c r="P4276" s="33"/>
      <c r="Q4276" s="33"/>
      <c r="R4276" s="33"/>
      <c r="T4276"/>
    </row>
    <row r="4277" spans="1:20" x14ac:dyDescent="0.2">
      <c r="A4277" s="9"/>
      <c r="B4277" s="9"/>
      <c r="C4277" s="9"/>
      <c r="D4277" s="9"/>
      <c r="E4277" s="9"/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T4277"/>
    </row>
    <row r="4278" spans="1:20" x14ac:dyDescent="0.2">
      <c r="A4278" s="33"/>
      <c r="B4278" s="33"/>
      <c r="C4278" s="33"/>
      <c r="D4278" s="33"/>
      <c r="E4278" s="33"/>
      <c r="F4278" s="33"/>
      <c r="G4278" s="33"/>
      <c r="H4278" s="33"/>
      <c r="I4278" s="33"/>
      <c r="J4278" s="33"/>
      <c r="K4278" s="33"/>
      <c r="L4278" s="33"/>
      <c r="M4278" s="33"/>
      <c r="N4278" s="33"/>
      <c r="O4278" s="33"/>
      <c r="P4278" s="33"/>
      <c r="Q4278" s="33"/>
      <c r="R4278" s="33"/>
      <c r="T4278"/>
    </row>
    <row r="4279" spans="1:20" x14ac:dyDescent="0.2">
      <c r="A4279" s="9"/>
      <c r="B4279" s="9"/>
      <c r="C4279" s="9"/>
      <c r="D4279" s="9"/>
      <c r="E4279" s="9"/>
      <c r="F4279" s="9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T4279"/>
    </row>
    <row r="4280" spans="1:20" x14ac:dyDescent="0.2">
      <c r="A4280" s="33"/>
      <c r="B4280" s="33"/>
      <c r="C4280" s="33"/>
      <c r="D4280" s="33"/>
      <c r="E4280" s="33"/>
      <c r="F4280" s="33"/>
      <c r="G4280" s="33"/>
      <c r="H4280" s="33"/>
      <c r="I4280" s="33"/>
      <c r="J4280" s="33"/>
      <c r="K4280" s="33"/>
      <c r="L4280" s="33"/>
      <c r="M4280" s="33"/>
      <c r="N4280" s="33"/>
      <c r="O4280" s="33"/>
      <c r="P4280" s="33"/>
      <c r="Q4280" s="33"/>
      <c r="R4280" s="33"/>
      <c r="T4280"/>
    </row>
    <row r="4281" spans="1:20" x14ac:dyDescent="0.2">
      <c r="A4281" s="9"/>
      <c r="B4281" s="9"/>
      <c r="C4281" s="9"/>
      <c r="D4281" s="9"/>
      <c r="E4281" s="9"/>
      <c r="F4281" s="9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T4281"/>
    </row>
    <row r="4282" spans="1:20" x14ac:dyDescent="0.2">
      <c r="A4282" s="33"/>
      <c r="B4282" s="33"/>
      <c r="C4282" s="33"/>
      <c r="D4282" s="33"/>
      <c r="E4282" s="33"/>
      <c r="F4282" s="33"/>
      <c r="G4282" s="33"/>
      <c r="H4282" s="33"/>
      <c r="I4282" s="33"/>
      <c r="J4282" s="33"/>
      <c r="K4282" s="33"/>
      <c r="L4282" s="33"/>
      <c r="M4282" s="33"/>
      <c r="N4282" s="33"/>
      <c r="O4282" s="33"/>
      <c r="P4282" s="33"/>
      <c r="Q4282" s="33"/>
      <c r="R4282" s="33"/>
      <c r="T4282"/>
    </row>
    <row r="4283" spans="1:20" x14ac:dyDescent="0.2">
      <c r="A4283" s="9"/>
      <c r="B4283" s="9"/>
      <c r="C4283" s="9"/>
      <c r="D4283" s="9"/>
      <c r="E4283" s="9"/>
      <c r="F4283" s="9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T4283"/>
    </row>
    <row r="4284" spans="1:20" x14ac:dyDescent="0.2">
      <c r="A4284" s="33"/>
      <c r="B4284" s="33"/>
      <c r="C4284" s="33"/>
      <c r="D4284" s="33"/>
      <c r="E4284" s="33"/>
      <c r="F4284" s="33"/>
      <c r="G4284" s="33"/>
      <c r="H4284" s="33"/>
      <c r="I4284" s="33"/>
      <c r="J4284" s="33"/>
      <c r="K4284" s="33"/>
      <c r="L4284" s="33"/>
      <c r="M4284" s="33"/>
      <c r="N4284" s="33"/>
      <c r="O4284" s="33"/>
      <c r="P4284" s="33"/>
      <c r="Q4284" s="33"/>
      <c r="R4284" s="33"/>
      <c r="T4284"/>
    </row>
    <row r="4285" spans="1:20" x14ac:dyDescent="0.2">
      <c r="A4285" s="9"/>
      <c r="B4285" s="9"/>
      <c r="C4285" s="9"/>
      <c r="D4285" s="9"/>
      <c r="E4285" s="9"/>
      <c r="F4285" s="9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T4285"/>
    </row>
    <row r="4286" spans="1:20" x14ac:dyDescent="0.2">
      <c r="A4286" s="33"/>
      <c r="B4286" s="33"/>
      <c r="C4286" s="33"/>
      <c r="D4286" s="33"/>
      <c r="E4286" s="33"/>
      <c r="F4286" s="33"/>
      <c r="G4286" s="33"/>
      <c r="H4286" s="33"/>
      <c r="I4286" s="33"/>
      <c r="J4286" s="33"/>
      <c r="K4286" s="33"/>
      <c r="L4286" s="33"/>
      <c r="M4286" s="33"/>
      <c r="N4286" s="33"/>
      <c r="O4286" s="33"/>
      <c r="P4286" s="33"/>
      <c r="Q4286" s="33"/>
      <c r="R4286" s="33"/>
      <c r="T4286"/>
    </row>
    <row r="4287" spans="1:20" x14ac:dyDescent="0.2">
      <c r="A4287" s="9"/>
      <c r="B4287" s="9"/>
      <c r="C4287" s="9"/>
      <c r="D4287" s="9"/>
      <c r="E4287" s="9"/>
      <c r="F4287" s="9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T4287"/>
    </row>
    <row r="4288" spans="1:20" x14ac:dyDescent="0.2">
      <c r="A4288" s="33"/>
      <c r="B4288" s="33"/>
      <c r="C4288" s="33"/>
      <c r="D4288" s="33"/>
      <c r="E4288" s="33"/>
      <c r="F4288" s="33"/>
      <c r="G4288" s="33"/>
      <c r="H4288" s="33"/>
      <c r="I4288" s="33"/>
      <c r="J4288" s="33"/>
      <c r="K4288" s="33"/>
      <c r="L4288" s="33"/>
      <c r="M4288" s="33"/>
      <c r="N4288" s="33"/>
      <c r="O4288" s="33"/>
      <c r="P4288" s="33"/>
      <c r="Q4288" s="33"/>
      <c r="R4288" s="33"/>
      <c r="T4288"/>
    </row>
    <row r="4289" spans="1:20" x14ac:dyDescent="0.2">
      <c r="A4289" s="9"/>
      <c r="B4289" s="9"/>
      <c r="C4289" s="9"/>
      <c r="D4289" s="9"/>
      <c r="E4289" s="9"/>
      <c r="F4289" s="9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T4289"/>
    </row>
    <row r="4290" spans="1:20" x14ac:dyDescent="0.2">
      <c r="A4290" s="33"/>
      <c r="B4290" s="33"/>
      <c r="C4290" s="33"/>
      <c r="D4290" s="33"/>
      <c r="E4290" s="33"/>
      <c r="F4290" s="33"/>
      <c r="G4290" s="33"/>
      <c r="H4290" s="33"/>
      <c r="I4290" s="33"/>
      <c r="J4290" s="33"/>
      <c r="K4290" s="33"/>
      <c r="L4290" s="33"/>
      <c r="M4290" s="33"/>
      <c r="N4290" s="33"/>
      <c r="O4290" s="33"/>
      <c r="P4290" s="33"/>
      <c r="Q4290" s="33"/>
      <c r="R4290" s="33"/>
      <c r="T4290"/>
    </row>
    <row r="4291" spans="1:20" x14ac:dyDescent="0.2">
      <c r="A4291" s="9"/>
      <c r="B4291" s="9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T4291"/>
    </row>
    <row r="4292" spans="1:20" x14ac:dyDescent="0.2">
      <c r="A4292" s="33"/>
      <c r="B4292" s="33"/>
      <c r="C4292" s="33"/>
      <c r="D4292" s="33"/>
      <c r="E4292" s="33"/>
      <c r="F4292" s="33"/>
      <c r="G4292" s="33"/>
      <c r="H4292" s="33"/>
      <c r="I4292" s="33"/>
      <c r="J4292" s="33"/>
      <c r="K4292" s="33"/>
      <c r="L4292" s="33"/>
      <c r="M4292" s="33"/>
      <c r="N4292" s="33"/>
      <c r="O4292" s="33"/>
      <c r="P4292" s="33"/>
      <c r="Q4292" s="33"/>
      <c r="R4292" s="33"/>
      <c r="T4292"/>
    </row>
    <row r="4293" spans="1:20" x14ac:dyDescent="0.2">
      <c r="A4293" s="9"/>
      <c r="B4293" s="9"/>
      <c r="C4293" s="9"/>
      <c r="D4293" s="9"/>
      <c r="E4293" s="9"/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T4293"/>
    </row>
    <row r="4294" spans="1:20" x14ac:dyDescent="0.2">
      <c r="A4294" s="33"/>
      <c r="B4294" s="33"/>
      <c r="C4294" s="33"/>
      <c r="D4294" s="33"/>
      <c r="E4294" s="33"/>
      <c r="F4294" s="33"/>
      <c r="G4294" s="33"/>
      <c r="H4294" s="33"/>
      <c r="I4294" s="33"/>
      <c r="J4294" s="33"/>
      <c r="K4294" s="33"/>
      <c r="L4294" s="33"/>
      <c r="M4294" s="33"/>
      <c r="N4294" s="33"/>
      <c r="O4294" s="33"/>
      <c r="P4294" s="33"/>
      <c r="Q4294" s="33"/>
      <c r="R4294" s="33"/>
      <c r="T4294"/>
    </row>
    <row r="4295" spans="1:20" x14ac:dyDescent="0.2">
      <c r="A4295" s="9"/>
      <c r="B4295" s="9"/>
      <c r="C4295" s="9"/>
      <c r="D4295" s="9"/>
      <c r="E4295" s="9"/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T4295"/>
    </row>
    <row r="4296" spans="1:20" x14ac:dyDescent="0.2">
      <c r="A4296" s="33"/>
      <c r="B4296" s="33"/>
      <c r="C4296" s="33"/>
      <c r="D4296" s="33"/>
      <c r="E4296" s="33"/>
      <c r="F4296" s="33"/>
      <c r="G4296" s="33"/>
      <c r="H4296" s="33"/>
      <c r="I4296" s="33"/>
      <c r="J4296" s="33"/>
      <c r="K4296" s="33"/>
      <c r="L4296" s="33"/>
      <c r="M4296" s="33"/>
      <c r="N4296" s="33"/>
      <c r="O4296" s="33"/>
      <c r="P4296" s="33"/>
      <c r="Q4296" s="33"/>
      <c r="R4296" s="33"/>
      <c r="T4296"/>
    </row>
    <row r="4297" spans="1:20" x14ac:dyDescent="0.2">
      <c r="A4297" s="9"/>
      <c r="B4297" s="9"/>
      <c r="C4297" s="9"/>
      <c r="D4297" s="9"/>
      <c r="E4297" s="9"/>
      <c r="F4297" s="9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T4297"/>
    </row>
    <row r="4298" spans="1:20" x14ac:dyDescent="0.2">
      <c r="A4298" s="33"/>
      <c r="B4298" s="33"/>
      <c r="C4298" s="33"/>
      <c r="D4298" s="33"/>
      <c r="E4298" s="33"/>
      <c r="F4298" s="33"/>
      <c r="G4298" s="33"/>
      <c r="H4298" s="33"/>
      <c r="I4298" s="33"/>
      <c r="J4298" s="33"/>
      <c r="K4298" s="33"/>
      <c r="L4298" s="33"/>
      <c r="M4298" s="33"/>
      <c r="N4298" s="33"/>
      <c r="O4298" s="33"/>
      <c r="P4298" s="33"/>
      <c r="Q4298" s="33"/>
      <c r="R4298" s="33"/>
      <c r="T4298"/>
    </row>
    <row r="4299" spans="1:20" x14ac:dyDescent="0.2">
      <c r="A4299" s="9"/>
      <c r="B4299" s="9"/>
      <c r="C4299" s="9"/>
      <c r="D4299" s="9"/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T4299"/>
    </row>
    <row r="4300" spans="1:20" x14ac:dyDescent="0.2">
      <c r="A4300" s="33"/>
      <c r="B4300" s="33"/>
      <c r="C4300" s="33"/>
      <c r="D4300" s="33"/>
      <c r="E4300" s="33"/>
      <c r="F4300" s="33"/>
      <c r="G4300" s="33"/>
      <c r="H4300" s="33"/>
      <c r="I4300" s="33"/>
      <c r="J4300" s="33"/>
      <c r="K4300" s="33"/>
      <c r="L4300" s="33"/>
      <c r="M4300" s="33"/>
      <c r="N4300" s="33"/>
      <c r="O4300" s="33"/>
      <c r="P4300" s="33"/>
      <c r="Q4300" s="33"/>
      <c r="R4300" s="33"/>
      <c r="T4300"/>
    </row>
    <row r="4301" spans="1:20" x14ac:dyDescent="0.2">
      <c r="A4301" s="9"/>
      <c r="B4301" s="9"/>
      <c r="C4301" s="9"/>
      <c r="D4301" s="9"/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T4301"/>
    </row>
    <row r="4302" spans="1:20" x14ac:dyDescent="0.2">
      <c r="A4302" s="33"/>
      <c r="B4302" s="33"/>
      <c r="C4302" s="33"/>
      <c r="D4302" s="33"/>
      <c r="E4302" s="33"/>
      <c r="F4302" s="33"/>
      <c r="G4302" s="33"/>
      <c r="H4302" s="33"/>
      <c r="I4302" s="33"/>
      <c r="J4302" s="33"/>
      <c r="K4302" s="33"/>
      <c r="L4302" s="33"/>
      <c r="M4302" s="33"/>
      <c r="N4302" s="33"/>
      <c r="O4302" s="33"/>
      <c r="P4302" s="33"/>
      <c r="Q4302" s="33"/>
      <c r="R4302" s="33"/>
      <c r="T4302"/>
    </row>
    <row r="4303" spans="1:20" x14ac:dyDescent="0.2">
      <c r="A4303" s="9"/>
      <c r="B4303" s="9"/>
      <c r="C4303" s="9"/>
      <c r="D4303" s="9"/>
      <c r="E4303" s="9"/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T4303"/>
    </row>
    <row r="4304" spans="1:20" x14ac:dyDescent="0.2">
      <c r="A4304" s="33"/>
      <c r="B4304" s="33"/>
      <c r="C4304" s="33"/>
      <c r="D4304" s="33"/>
      <c r="E4304" s="33"/>
      <c r="F4304" s="33"/>
      <c r="G4304" s="33"/>
      <c r="H4304" s="33"/>
      <c r="I4304" s="33"/>
      <c r="J4304" s="33"/>
      <c r="K4304" s="33"/>
      <c r="L4304" s="33"/>
      <c r="M4304" s="33"/>
      <c r="N4304" s="33"/>
      <c r="O4304" s="33"/>
      <c r="P4304" s="33"/>
      <c r="Q4304" s="33"/>
      <c r="R4304" s="33"/>
      <c r="T4304"/>
    </row>
    <row r="4305" spans="1:20" x14ac:dyDescent="0.2">
      <c r="A4305" s="9"/>
      <c r="B4305" s="9"/>
      <c r="C4305" s="9"/>
      <c r="D4305" s="9"/>
      <c r="E4305" s="9"/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T4305"/>
    </row>
    <row r="4306" spans="1:20" x14ac:dyDescent="0.2">
      <c r="A4306" s="33"/>
      <c r="B4306" s="33"/>
      <c r="C4306" s="33"/>
      <c r="D4306" s="33"/>
      <c r="E4306" s="33"/>
      <c r="F4306" s="33"/>
      <c r="G4306" s="33"/>
      <c r="H4306" s="33"/>
      <c r="I4306" s="33"/>
      <c r="J4306" s="33"/>
      <c r="K4306" s="33"/>
      <c r="L4306" s="33"/>
      <c r="M4306" s="33"/>
      <c r="N4306" s="33"/>
      <c r="O4306" s="33"/>
      <c r="P4306" s="33"/>
      <c r="Q4306" s="33"/>
      <c r="R4306" s="33"/>
      <c r="T4306"/>
    </row>
    <row r="4307" spans="1:20" x14ac:dyDescent="0.2">
      <c r="A4307" s="9"/>
      <c r="B4307" s="9"/>
      <c r="C4307" s="9"/>
      <c r="D4307" s="9"/>
      <c r="E4307" s="9"/>
      <c r="F4307" s="9"/>
      <c r="G4307" s="9"/>
      <c r="H4307" s="9"/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T4307"/>
    </row>
    <row r="4308" spans="1:20" x14ac:dyDescent="0.2">
      <c r="A4308" s="33"/>
      <c r="B4308" s="33"/>
      <c r="C4308" s="33"/>
      <c r="D4308" s="33"/>
      <c r="E4308" s="33"/>
      <c r="F4308" s="33"/>
      <c r="G4308" s="33"/>
      <c r="H4308" s="33"/>
      <c r="I4308" s="33"/>
      <c r="J4308" s="33"/>
      <c r="K4308" s="33"/>
      <c r="L4308" s="33"/>
      <c r="M4308" s="33"/>
      <c r="N4308" s="33"/>
      <c r="O4308" s="33"/>
      <c r="P4308" s="33"/>
      <c r="Q4308" s="33"/>
      <c r="R4308" s="33"/>
      <c r="T4308"/>
    </row>
    <row r="4309" spans="1:20" x14ac:dyDescent="0.2">
      <c r="A4309" s="9"/>
      <c r="B4309" s="9"/>
      <c r="C4309" s="9"/>
      <c r="D4309" s="9"/>
      <c r="E4309" s="9"/>
      <c r="F4309" s="9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T4309"/>
    </row>
    <row r="4310" spans="1:20" x14ac:dyDescent="0.2">
      <c r="A4310" s="33"/>
      <c r="B4310" s="33"/>
      <c r="C4310" s="33"/>
      <c r="D4310" s="33"/>
      <c r="E4310" s="33"/>
      <c r="F4310" s="33"/>
      <c r="G4310" s="33"/>
      <c r="H4310" s="33"/>
      <c r="I4310" s="33"/>
      <c r="J4310" s="33"/>
      <c r="K4310" s="33"/>
      <c r="L4310" s="33"/>
      <c r="M4310" s="33"/>
      <c r="N4310" s="33"/>
      <c r="O4310" s="33"/>
      <c r="P4310" s="33"/>
      <c r="Q4310" s="33"/>
      <c r="R4310" s="33"/>
      <c r="T4310"/>
    </row>
    <row r="4311" spans="1:20" x14ac:dyDescent="0.2">
      <c r="A4311" s="9"/>
      <c r="B4311" s="9"/>
      <c r="C4311" s="9"/>
      <c r="D4311" s="9"/>
      <c r="E4311" s="9"/>
      <c r="F4311" s="9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T4311"/>
    </row>
    <row r="4312" spans="1:20" x14ac:dyDescent="0.2">
      <c r="A4312" s="33"/>
      <c r="B4312" s="33"/>
      <c r="C4312" s="33"/>
      <c r="D4312" s="33"/>
      <c r="E4312" s="33"/>
      <c r="F4312" s="33"/>
      <c r="G4312" s="33"/>
      <c r="H4312" s="33"/>
      <c r="I4312" s="33"/>
      <c r="J4312" s="33"/>
      <c r="K4312" s="33"/>
      <c r="L4312" s="33"/>
      <c r="M4312" s="33"/>
      <c r="N4312" s="33"/>
      <c r="O4312" s="33"/>
      <c r="P4312" s="33"/>
      <c r="Q4312" s="33"/>
      <c r="R4312" s="33"/>
      <c r="T4312"/>
    </row>
    <row r="4313" spans="1:20" x14ac:dyDescent="0.2">
      <c r="A4313" s="9"/>
      <c r="B4313" s="9"/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T4313"/>
    </row>
    <row r="4314" spans="1:20" x14ac:dyDescent="0.2">
      <c r="A4314" s="33"/>
      <c r="B4314" s="33"/>
      <c r="C4314" s="33"/>
      <c r="D4314" s="33"/>
      <c r="E4314" s="33"/>
      <c r="F4314" s="33"/>
      <c r="G4314" s="33"/>
      <c r="H4314" s="33"/>
      <c r="I4314" s="33"/>
      <c r="J4314" s="33"/>
      <c r="K4314" s="33"/>
      <c r="L4314" s="33"/>
      <c r="M4314" s="33"/>
      <c r="N4314" s="33"/>
      <c r="O4314" s="33"/>
      <c r="P4314" s="33"/>
      <c r="Q4314" s="33"/>
      <c r="R4314" s="33"/>
      <c r="T4314"/>
    </row>
    <row r="4315" spans="1:20" x14ac:dyDescent="0.2">
      <c r="A4315" s="9"/>
      <c r="B4315" s="9"/>
      <c r="C4315" s="9"/>
      <c r="D4315" s="9"/>
      <c r="E4315" s="9"/>
      <c r="F4315" s="9"/>
      <c r="G4315" s="9"/>
      <c r="H4315" s="9"/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T4315"/>
    </row>
    <row r="4316" spans="1:20" x14ac:dyDescent="0.2">
      <c r="A4316" s="33"/>
      <c r="B4316" s="33"/>
      <c r="C4316" s="33"/>
      <c r="D4316" s="33"/>
      <c r="E4316" s="33"/>
      <c r="F4316" s="33"/>
      <c r="G4316" s="33"/>
      <c r="H4316" s="33"/>
      <c r="I4316" s="33"/>
      <c r="J4316" s="33"/>
      <c r="K4316" s="33"/>
      <c r="L4316" s="33"/>
      <c r="M4316" s="33"/>
      <c r="N4316" s="33"/>
      <c r="O4316" s="33"/>
      <c r="P4316" s="33"/>
      <c r="Q4316" s="33"/>
      <c r="R4316" s="33"/>
      <c r="T4316"/>
    </row>
    <row r="4317" spans="1:20" x14ac:dyDescent="0.2">
      <c r="A4317" s="9"/>
      <c r="B4317" s="9"/>
      <c r="C4317" s="9"/>
      <c r="D4317" s="9"/>
      <c r="E4317" s="9"/>
      <c r="F4317" s="9"/>
      <c r="G4317" s="9"/>
      <c r="H4317" s="9"/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T4317"/>
    </row>
    <row r="4318" spans="1:20" x14ac:dyDescent="0.2">
      <c r="A4318" s="33"/>
      <c r="B4318" s="33"/>
      <c r="C4318" s="33"/>
      <c r="D4318" s="33"/>
      <c r="E4318" s="33"/>
      <c r="F4318" s="33"/>
      <c r="G4318" s="33"/>
      <c r="H4318" s="33"/>
      <c r="I4318" s="33"/>
      <c r="J4318" s="33"/>
      <c r="K4318" s="33"/>
      <c r="L4318" s="33"/>
      <c r="M4318" s="33"/>
      <c r="N4318" s="33"/>
      <c r="O4318" s="33"/>
      <c r="P4318" s="33"/>
      <c r="Q4318" s="33"/>
      <c r="R4318" s="33"/>
      <c r="T4318"/>
    </row>
    <row r="4319" spans="1:20" x14ac:dyDescent="0.2">
      <c r="A4319" s="9"/>
      <c r="B4319" s="9"/>
      <c r="C4319" s="9"/>
      <c r="D4319" s="9"/>
      <c r="E4319" s="9"/>
      <c r="F4319" s="9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T4319"/>
    </row>
    <row r="4320" spans="1:20" x14ac:dyDescent="0.2">
      <c r="A4320" s="33"/>
      <c r="B4320" s="33"/>
      <c r="C4320" s="33"/>
      <c r="D4320" s="33"/>
      <c r="E4320" s="33"/>
      <c r="F4320" s="33"/>
      <c r="G4320" s="33"/>
      <c r="H4320" s="33"/>
      <c r="I4320" s="33"/>
      <c r="J4320" s="33"/>
      <c r="K4320" s="33"/>
      <c r="L4320" s="33"/>
      <c r="M4320" s="33"/>
      <c r="N4320" s="33"/>
      <c r="O4320" s="33"/>
      <c r="P4320" s="33"/>
      <c r="Q4320" s="33"/>
      <c r="R4320" s="33"/>
      <c r="T4320"/>
    </row>
    <row r="4321" spans="1:20" x14ac:dyDescent="0.2">
      <c r="A4321" s="9"/>
      <c r="B4321" s="9"/>
      <c r="C4321" s="9"/>
      <c r="D4321" s="9"/>
      <c r="E4321" s="9"/>
      <c r="F4321" s="9"/>
      <c r="G4321" s="9"/>
      <c r="H4321" s="9"/>
      <c r="I4321" s="9"/>
      <c r="J4321" s="9"/>
      <c r="K4321" s="9"/>
      <c r="L4321" s="9"/>
      <c r="M4321" s="9"/>
      <c r="N4321" s="9"/>
      <c r="O4321" s="9"/>
      <c r="P4321" s="9"/>
      <c r="Q4321" s="9"/>
      <c r="R4321" s="9"/>
      <c r="T4321"/>
    </row>
    <row r="4322" spans="1:20" x14ac:dyDescent="0.2">
      <c r="A4322" s="33"/>
      <c r="B4322" s="33"/>
      <c r="C4322" s="33"/>
      <c r="D4322" s="33"/>
      <c r="E4322" s="33"/>
      <c r="F4322" s="33"/>
      <c r="G4322" s="33"/>
      <c r="H4322" s="33"/>
      <c r="I4322" s="33"/>
      <c r="J4322" s="33"/>
      <c r="K4322" s="33"/>
      <c r="L4322" s="33"/>
      <c r="M4322" s="33"/>
      <c r="N4322" s="33"/>
      <c r="O4322" s="33"/>
      <c r="P4322" s="33"/>
      <c r="Q4322" s="33"/>
      <c r="R4322" s="33"/>
      <c r="T4322"/>
    </row>
    <row r="4323" spans="1:20" x14ac:dyDescent="0.2">
      <c r="A4323" s="9"/>
      <c r="B4323" s="9"/>
      <c r="C4323" s="9"/>
      <c r="D4323" s="9"/>
      <c r="E4323" s="9"/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T4323"/>
    </row>
    <row r="4324" spans="1:20" x14ac:dyDescent="0.2">
      <c r="A4324" s="33"/>
      <c r="B4324" s="33"/>
      <c r="C4324" s="33"/>
      <c r="D4324" s="33"/>
      <c r="E4324" s="33"/>
      <c r="F4324" s="33"/>
      <c r="G4324" s="33"/>
      <c r="H4324" s="33"/>
      <c r="I4324" s="33"/>
      <c r="J4324" s="33"/>
      <c r="K4324" s="33"/>
      <c r="L4324" s="33"/>
      <c r="M4324" s="33"/>
      <c r="N4324" s="33"/>
      <c r="O4324" s="33"/>
      <c r="P4324" s="33"/>
      <c r="Q4324" s="33"/>
      <c r="R4324" s="33"/>
      <c r="T4324"/>
    </row>
    <row r="4325" spans="1:20" x14ac:dyDescent="0.2">
      <c r="A4325" s="9"/>
      <c r="B4325" s="9"/>
      <c r="C4325" s="9"/>
      <c r="D4325" s="9"/>
      <c r="E4325" s="9"/>
      <c r="F4325" s="9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T4325"/>
    </row>
    <row r="4326" spans="1:20" x14ac:dyDescent="0.2">
      <c r="A4326" s="33"/>
      <c r="B4326" s="33"/>
      <c r="C4326" s="33"/>
      <c r="D4326" s="33"/>
      <c r="E4326" s="33"/>
      <c r="F4326" s="33"/>
      <c r="G4326" s="33"/>
      <c r="H4326" s="33"/>
      <c r="I4326" s="33"/>
      <c r="J4326" s="33"/>
      <c r="K4326" s="33"/>
      <c r="L4326" s="33"/>
      <c r="M4326" s="33"/>
      <c r="N4326" s="33"/>
      <c r="O4326" s="33"/>
      <c r="P4326" s="33"/>
      <c r="Q4326" s="33"/>
      <c r="R4326" s="33"/>
      <c r="T4326"/>
    </row>
    <row r="4327" spans="1:20" x14ac:dyDescent="0.2">
      <c r="A4327" s="9"/>
      <c r="B4327" s="9"/>
      <c r="C4327" s="9"/>
      <c r="D4327" s="9"/>
      <c r="E4327" s="9"/>
      <c r="F4327" s="9"/>
      <c r="G4327" s="9"/>
      <c r="H4327" s="9"/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T4327"/>
    </row>
    <row r="4328" spans="1:20" x14ac:dyDescent="0.2">
      <c r="A4328" s="33"/>
      <c r="B4328" s="33"/>
      <c r="C4328" s="33"/>
      <c r="D4328" s="33"/>
      <c r="E4328" s="33"/>
      <c r="F4328" s="33"/>
      <c r="G4328" s="33"/>
      <c r="H4328" s="33"/>
      <c r="I4328" s="33"/>
      <c r="J4328" s="33"/>
      <c r="K4328" s="33"/>
      <c r="L4328" s="33"/>
      <c r="M4328" s="33"/>
      <c r="N4328" s="33"/>
      <c r="O4328" s="33"/>
      <c r="P4328" s="33"/>
      <c r="Q4328" s="33"/>
      <c r="R4328" s="33"/>
      <c r="T4328"/>
    </row>
    <row r="4329" spans="1:20" x14ac:dyDescent="0.2">
      <c r="A4329" s="9"/>
      <c r="B4329" s="9"/>
      <c r="C4329" s="9"/>
      <c r="D4329" s="9"/>
      <c r="E4329" s="9"/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T4329"/>
    </row>
    <row r="4330" spans="1:20" x14ac:dyDescent="0.2">
      <c r="A4330" s="33"/>
      <c r="B4330" s="33"/>
      <c r="C4330" s="33"/>
      <c r="D4330" s="33"/>
      <c r="E4330" s="33"/>
      <c r="F4330" s="33"/>
      <c r="G4330" s="33"/>
      <c r="H4330" s="33"/>
      <c r="I4330" s="33"/>
      <c r="J4330" s="33"/>
      <c r="K4330" s="33"/>
      <c r="L4330" s="33"/>
      <c r="M4330" s="33"/>
      <c r="N4330" s="33"/>
      <c r="O4330" s="33"/>
      <c r="P4330" s="33"/>
      <c r="Q4330" s="33"/>
      <c r="R4330" s="33"/>
      <c r="T4330"/>
    </row>
    <row r="4331" spans="1:20" x14ac:dyDescent="0.2">
      <c r="A4331" s="9"/>
      <c r="B4331" s="9"/>
      <c r="C4331" s="9"/>
      <c r="D4331" s="9"/>
      <c r="E4331" s="9"/>
      <c r="F4331" s="9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T4331"/>
    </row>
    <row r="4332" spans="1:20" x14ac:dyDescent="0.2">
      <c r="A4332" s="33"/>
      <c r="B4332" s="33"/>
      <c r="C4332" s="33"/>
      <c r="D4332" s="33"/>
      <c r="E4332" s="33"/>
      <c r="F4332" s="33"/>
      <c r="G4332" s="33"/>
      <c r="H4332" s="33"/>
      <c r="I4332" s="33"/>
      <c r="J4332" s="33"/>
      <c r="K4332" s="33"/>
      <c r="L4332" s="33"/>
      <c r="M4332" s="33"/>
      <c r="N4332" s="33"/>
      <c r="O4332" s="33"/>
      <c r="P4332" s="33"/>
      <c r="Q4332" s="33"/>
      <c r="R4332" s="33"/>
      <c r="T4332"/>
    </row>
    <row r="4333" spans="1:20" x14ac:dyDescent="0.2">
      <c r="A4333" s="9"/>
      <c r="B4333" s="9"/>
      <c r="C4333" s="9"/>
      <c r="D4333" s="9"/>
      <c r="E4333" s="9"/>
      <c r="F4333" s="9"/>
      <c r="G4333" s="9"/>
      <c r="H4333" s="9"/>
      <c r="I4333" s="9"/>
      <c r="J4333" s="9"/>
      <c r="K4333" s="9"/>
      <c r="L4333" s="9"/>
      <c r="M4333" s="9"/>
      <c r="N4333" s="9"/>
      <c r="O4333" s="9"/>
      <c r="P4333" s="9"/>
      <c r="Q4333" s="9"/>
      <c r="R4333" s="9"/>
      <c r="T4333"/>
    </row>
    <row r="4334" spans="1:20" x14ac:dyDescent="0.2">
      <c r="A4334" s="33"/>
      <c r="B4334" s="33"/>
      <c r="C4334" s="33"/>
      <c r="D4334" s="33"/>
      <c r="E4334" s="33"/>
      <c r="F4334" s="33"/>
      <c r="G4334" s="33"/>
      <c r="H4334" s="33"/>
      <c r="I4334" s="33"/>
      <c r="J4334" s="33"/>
      <c r="K4334" s="33"/>
      <c r="L4334" s="33"/>
      <c r="M4334" s="33"/>
      <c r="N4334" s="33"/>
      <c r="O4334" s="33"/>
      <c r="P4334" s="33"/>
      <c r="Q4334" s="33"/>
      <c r="R4334" s="33"/>
      <c r="T4334"/>
    </row>
    <row r="4335" spans="1:20" x14ac:dyDescent="0.2">
      <c r="A4335" s="9"/>
      <c r="B4335" s="9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T4335"/>
    </row>
    <row r="4336" spans="1:20" x14ac:dyDescent="0.2">
      <c r="A4336" s="33"/>
      <c r="B4336" s="33"/>
      <c r="C4336" s="33"/>
      <c r="D4336" s="33"/>
      <c r="E4336" s="33"/>
      <c r="F4336" s="33"/>
      <c r="G4336" s="33"/>
      <c r="H4336" s="33"/>
      <c r="I4336" s="33"/>
      <c r="J4336" s="33"/>
      <c r="K4336" s="33"/>
      <c r="L4336" s="33"/>
      <c r="M4336" s="33"/>
      <c r="N4336" s="33"/>
      <c r="O4336" s="33"/>
      <c r="P4336" s="33"/>
      <c r="Q4336" s="33"/>
      <c r="R4336" s="33"/>
      <c r="T4336"/>
    </row>
    <row r="4337" spans="1:20" x14ac:dyDescent="0.2">
      <c r="A4337" s="9"/>
      <c r="B4337" s="9"/>
      <c r="C4337" s="9"/>
      <c r="D4337" s="9"/>
      <c r="E4337" s="9"/>
      <c r="F4337" s="9"/>
      <c r="G4337" s="9"/>
      <c r="H4337" s="9"/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T4337"/>
    </row>
    <row r="4338" spans="1:20" x14ac:dyDescent="0.2">
      <c r="A4338" s="33"/>
      <c r="B4338" s="33"/>
      <c r="C4338" s="33"/>
      <c r="D4338" s="33"/>
      <c r="E4338" s="33"/>
      <c r="F4338" s="33"/>
      <c r="G4338" s="33"/>
      <c r="H4338" s="33"/>
      <c r="I4338" s="33"/>
      <c r="J4338" s="33"/>
      <c r="K4338" s="33"/>
      <c r="L4338" s="33"/>
      <c r="M4338" s="33"/>
      <c r="N4338" s="33"/>
      <c r="O4338" s="33"/>
      <c r="P4338" s="33"/>
      <c r="Q4338" s="33"/>
      <c r="R4338" s="33"/>
      <c r="T4338"/>
    </row>
    <row r="4339" spans="1:20" x14ac:dyDescent="0.2">
      <c r="A4339" s="9"/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T4339"/>
    </row>
    <row r="4340" spans="1:20" x14ac:dyDescent="0.2">
      <c r="A4340" s="33"/>
      <c r="B4340" s="33"/>
      <c r="C4340" s="33"/>
      <c r="D4340" s="33"/>
      <c r="E4340" s="33"/>
      <c r="F4340" s="33"/>
      <c r="G4340" s="33"/>
      <c r="H4340" s="33"/>
      <c r="I4340" s="33"/>
      <c r="J4340" s="33"/>
      <c r="K4340" s="33"/>
      <c r="L4340" s="33"/>
      <c r="M4340" s="33"/>
      <c r="N4340" s="33"/>
      <c r="O4340" s="33"/>
      <c r="P4340" s="33"/>
      <c r="Q4340" s="33"/>
      <c r="R4340" s="33"/>
      <c r="T4340"/>
    </row>
    <row r="4341" spans="1:20" x14ac:dyDescent="0.2">
      <c r="A4341" s="9"/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T4341"/>
    </row>
    <row r="4342" spans="1:20" x14ac:dyDescent="0.2">
      <c r="A4342" s="33"/>
      <c r="B4342" s="33"/>
      <c r="C4342" s="33"/>
      <c r="D4342" s="33"/>
      <c r="E4342" s="33"/>
      <c r="F4342" s="33"/>
      <c r="G4342" s="33"/>
      <c r="H4342" s="33"/>
      <c r="I4342" s="33"/>
      <c r="J4342" s="33"/>
      <c r="K4342" s="33"/>
      <c r="L4342" s="33"/>
      <c r="M4342" s="33"/>
      <c r="N4342" s="33"/>
      <c r="O4342" s="33"/>
      <c r="P4342" s="33"/>
      <c r="Q4342" s="33"/>
      <c r="R4342" s="33"/>
      <c r="T4342"/>
    </row>
    <row r="4343" spans="1:20" x14ac:dyDescent="0.2">
      <c r="A4343" s="9"/>
      <c r="B4343" s="9"/>
      <c r="C4343" s="9"/>
      <c r="D4343" s="9"/>
      <c r="E4343" s="9"/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T4343"/>
    </row>
    <row r="4344" spans="1:20" x14ac:dyDescent="0.2">
      <c r="A4344" s="33"/>
      <c r="B4344" s="33"/>
      <c r="C4344" s="33"/>
      <c r="D4344" s="33"/>
      <c r="E4344" s="33"/>
      <c r="F4344" s="33"/>
      <c r="G4344" s="33"/>
      <c r="H4344" s="33"/>
      <c r="I4344" s="33"/>
      <c r="J4344" s="33"/>
      <c r="K4344" s="33"/>
      <c r="L4344" s="33"/>
      <c r="M4344" s="33"/>
      <c r="N4344" s="33"/>
      <c r="O4344" s="33"/>
      <c r="P4344" s="33"/>
      <c r="Q4344" s="33"/>
      <c r="R4344" s="33"/>
      <c r="T4344"/>
    </row>
    <row r="4345" spans="1:20" x14ac:dyDescent="0.2">
      <c r="A4345" s="9"/>
      <c r="B4345" s="9"/>
      <c r="C4345" s="9"/>
      <c r="D4345" s="9"/>
      <c r="E4345" s="9"/>
      <c r="F4345" s="9"/>
      <c r="G4345" s="9"/>
      <c r="H4345" s="9"/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T4345"/>
    </row>
    <row r="4346" spans="1:20" x14ac:dyDescent="0.2">
      <c r="A4346" s="33"/>
      <c r="B4346" s="33"/>
      <c r="C4346" s="33"/>
      <c r="D4346" s="33"/>
      <c r="E4346" s="33"/>
      <c r="F4346" s="33"/>
      <c r="G4346" s="33"/>
      <c r="H4346" s="33"/>
      <c r="I4346" s="33"/>
      <c r="J4346" s="33"/>
      <c r="K4346" s="33"/>
      <c r="L4346" s="33"/>
      <c r="M4346" s="33"/>
      <c r="N4346" s="33"/>
      <c r="O4346" s="33"/>
      <c r="P4346" s="33"/>
      <c r="Q4346" s="33"/>
      <c r="R4346" s="33"/>
      <c r="T4346"/>
    </row>
    <row r="4347" spans="1:20" x14ac:dyDescent="0.2">
      <c r="A4347" s="9"/>
      <c r="B4347" s="9"/>
      <c r="C4347" s="9"/>
      <c r="D4347" s="9"/>
      <c r="E4347" s="9"/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T4347"/>
    </row>
    <row r="4348" spans="1:20" x14ac:dyDescent="0.2">
      <c r="A4348" s="33"/>
      <c r="B4348" s="33"/>
      <c r="C4348" s="33"/>
      <c r="D4348" s="33"/>
      <c r="E4348" s="33"/>
      <c r="F4348" s="33"/>
      <c r="G4348" s="33"/>
      <c r="H4348" s="33"/>
      <c r="I4348" s="33"/>
      <c r="J4348" s="33"/>
      <c r="K4348" s="33"/>
      <c r="L4348" s="33"/>
      <c r="M4348" s="33"/>
      <c r="N4348" s="33"/>
      <c r="O4348" s="33"/>
      <c r="P4348" s="33"/>
      <c r="Q4348" s="33"/>
      <c r="R4348" s="33"/>
      <c r="T4348"/>
    </row>
    <row r="4349" spans="1:20" x14ac:dyDescent="0.2">
      <c r="A4349" s="9"/>
      <c r="B4349" s="9"/>
      <c r="C4349" s="9"/>
      <c r="D4349" s="9"/>
      <c r="E4349" s="9"/>
      <c r="F4349" s="9"/>
      <c r="G4349" s="9"/>
      <c r="H4349" s="9"/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T4349"/>
    </row>
    <row r="4350" spans="1:20" x14ac:dyDescent="0.2">
      <c r="A4350" s="33"/>
      <c r="B4350" s="33"/>
      <c r="C4350" s="33"/>
      <c r="D4350" s="33"/>
      <c r="E4350" s="33"/>
      <c r="F4350" s="33"/>
      <c r="G4350" s="33"/>
      <c r="H4350" s="33"/>
      <c r="I4350" s="33"/>
      <c r="J4350" s="33"/>
      <c r="K4350" s="33"/>
      <c r="L4350" s="33"/>
      <c r="M4350" s="33"/>
      <c r="N4350" s="33"/>
      <c r="O4350" s="33"/>
      <c r="P4350" s="33"/>
      <c r="Q4350" s="33"/>
      <c r="R4350" s="33"/>
      <c r="T4350"/>
    </row>
    <row r="4351" spans="1:20" x14ac:dyDescent="0.2">
      <c r="A4351" s="9"/>
      <c r="B4351" s="9"/>
      <c r="C4351" s="9"/>
      <c r="D4351" s="9"/>
      <c r="E4351" s="9"/>
      <c r="F4351" s="9"/>
      <c r="G4351" s="9"/>
      <c r="H4351" s="9"/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T4351"/>
    </row>
    <row r="4352" spans="1:20" x14ac:dyDescent="0.2">
      <c r="A4352" s="33"/>
      <c r="B4352" s="33"/>
      <c r="C4352" s="33"/>
      <c r="D4352" s="33"/>
      <c r="E4352" s="33"/>
      <c r="F4352" s="33"/>
      <c r="G4352" s="33"/>
      <c r="H4352" s="33"/>
      <c r="I4352" s="33"/>
      <c r="J4352" s="33"/>
      <c r="K4352" s="33"/>
      <c r="L4352" s="33"/>
      <c r="M4352" s="33"/>
      <c r="N4352" s="33"/>
      <c r="O4352" s="33"/>
      <c r="P4352" s="33"/>
      <c r="Q4352" s="33"/>
      <c r="R4352" s="33"/>
      <c r="T4352"/>
    </row>
    <row r="4353" spans="1:20" x14ac:dyDescent="0.2">
      <c r="A4353" s="9"/>
      <c r="B4353" s="9"/>
      <c r="C4353" s="9"/>
      <c r="D4353" s="9"/>
      <c r="E4353" s="9"/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T4353"/>
    </row>
    <row r="4354" spans="1:20" x14ac:dyDescent="0.2">
      <c r="A4354" s="33"/>
      <c r="B4354" s="33"/>
      <c r="C4354" s="33"/>
      <c r="D4354" s="33"/>
      <c r="E4354" s="33"/>
      <c r="F4354" s="33"/>
      <c r="G4354" s="33"/>
      <c r="H4354" s="33"/>
      <c r="I4354" s="33"/>
      <c r="J4354" s="33"/>
      <c r="K4354" s="33"/>
      <c r="L4354" s="33"/>
      <c r="M4354" s="33"/>
      <c r="N4354" s="33"/>
      <c r="O4354" s="33"/>
      <c r="P4354" s="33"/>
      <c r="Q4354" s="33"/>
      <c r="R4354" s="33"/>
      <c r="T4354"/>
    </row>
    <row r="4355" spans="1:20" x14ac:dyDescent="0.2">
      <c r="A4355" s="9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T4355"/>
    </row>
    <row r="4356" spans="1:20" x14ac:dyDescent="0.2">
      <c r="A4356" s="33"/>
      <c r="B4356" s="33"/>
      <c r="C4356" s="33"/>
      <c r="D4356" s="33"/>
      <c r="E4356" s="33"/>
      <c r="F4356" s="33"/>
      <c r="G4356" s="33"/>
      <c r="H4356" s="33"/>
      <c r="I4356" s="33"/>
      <c r="J4356" s="33"/>
      <c r="K4356" s="33"/>
      <c r="L4356" s="33"/>
      <c r="M4356" s="33"/>
      <c r="N4356" s="33"/>
      <c r="O4356" s="33"/>
      <c r="P4356" s="33"/>
      <c r="Q4356" s="33"/>
      <c r="R4356" s="33"/>
      <c r="T4356"/>
    </row>
    <row r="4357" spans="1:20" x14ac:dyDescent="0.2">
      <c r="A4357" s="9"/>
      <c r="B4357" s="9"/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T4357"/>
    </row>
    <row r="4358" spans="1:20" x14ac:dyDescent="0.2">
      <c r="A4358" s="33"/>
      <c r="B4358" s="33"/>
      <c r="C4358" s="33"/>
      <c r="D4358" s="33"/>
      <c r="E4358" s="33"/>
      <c r="F4358" s="33"/>
      <c r="G4358" s="33"/>
      <c r="H4358" s="33"/>
      <c r="I4358" s="33"/>
      <c r="J4358" s="33"/>
      <c r="K4358" s="33"/>
      <c r="L4358" s="33"/>
      <c r="M4358" s="33"/>
      <c r="N4358" s="33"/>
      <c r="O4358" s="33"/>
      <c r="P4358" s="33"/>
      <c r="Q4358" s="33"/>
      <c r="R4358" s="33"/>
      <c r="T4358"/>
    </row>
    <row r="4359" spans="1:20" x14ac:dyDescent="0.2">
      <c r="A4359" s="9"/>
      <c r="B4359" s="9"/>
      <c r="C4359" s="9"/>
      <c r="D4359" s="9"/>
      <c r="E4359" s="9"/>
      <c r="F4359" s="9"/>
      <c r="G4359" s="9"/>
      <c r="H4359" s="9"/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T4359"/>
    </row>
    <row r="4360" spans="1:20" x14ac:dyDescent="0.2">
      <c r="A4360" s="33"/>
      <c r="B4360" s="33"/>
      <c r="C4360" s="33"/>
      <c r="D4360" s="33"/>
      <c r="E4360" s="33"/>
      <c r="F4360" s="33"/>
      <c r="G4360" s="33"/>
      <c r="H4360" s="33"/>
      <c r="I4360" s="33"/>
      <c r="J4360" s="33"/>
      <c r="K4360" s="33"/>
      <c r="L4360" s="33"/>
      <c r="M4360" s="33"/>
      <c r="N4360" s="33"/>
      <c r="O4360" s="33"/>
      <c r="P4360" s="33"/>
      <c r="Q4360" s="33"/>
      <c r="R4360" s="33"/>
      <c r="T4360"/>
    </row>
    <row r="4361" spans="1:20" x14ac:dyDescent="0.2">
      <c r="A4361" s="9"/>
      <c r="B4361" s="9"/>
      <c r="C4361" s="9"/>
      <c r="D4361" s="9"/>
      <c r="E4361" s="9"/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T4361"/>
    </row>
    <row r="4362" spans="1:20" x14ac:dyDescent="0.2">
      <c r="A4362" s="33"/>
      <c r="B4362" s="33"/>
      <c r="C4362" s="33"/>
      <c r="D4362" s="33"/>
      <c r="E4362" s="33"/>
      <c r="F4362" s="33"/>
      <c r="G4362" s="33"/>
      <c r="H4362" s="33"/>
      <c r="I4362" s="33"/>
      <c r="J4362" s="33"/>
      <c r="K4362" s="33"/>
      <c r="L4362" s="33"/>
      <c r="M4362" s="33"/>
      <c r="N4362" s="33"/>
      <c r="O4362" s="33"/>
      <c r="P4362" s="33"/>
      <c r="Q4362" s="33"/>
      <c r="R4362" s="33"/>
      <c r="T4362"/>
    </row>
    <row r="4363" spans="1:20" x14ac:dyDescent="0.2">
      <c r="A4363" s="9"/>
      <c r="B4363" s="9"/>
      <c r="C4363" s="9"/>
      <c r="D4363" s="9"/>
      <c r="E4363" s="9"/>
      <c r="F4363" s="9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T4363"/>
    </row>
    <row r="4364" spans="1:20" x14ac:dyDescent="0.2">
      <c r="A4364" s="33"/>
      <c r="B4364" s="33"/>
      <c r="C4364" s="33"/>
      <c r="D4364" s="33"/>
      <c r="E4364" s="33"/>
      <c r="F4364" s="33"/>
      <c r="G4364" s="33"/>
      <c r="H4364" s="33"/>
      <c r="I4364" s="33"/>
      <c r="J4364" s="33"/>
      <c r="K4364" s="33"/>
      <c r="L4364" s="33"/>
      <c r="M4364" s="33"/>
      <c r="N4364" s="33"/>
      <c r="O4364" s="33"/>
      <c r="P4364" s="33"/>
      <c r="Q4364" s="33"/>
      <c r="R4364" s="33"/>
      <c r="T4364"/>
    </row>
    <row r="4365" spans="1:20" x14ac:dyDescent="0.2">
      <c r="A4365" s="9"/>
      <c r="B4365" s="9"/>
      <c r="C4365" s="9"/>
      <c r="D4365" s="9"/>
      <c r="E4365" s="9"/>
      <c r="F4365" s="9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T4365"/>
    </row>
    <row r="4366" spans="1:20" x14ac:dyDescent="0.2">
      <c r="A4366" s="33"/>
      <c r="B4366" s="33"/>
      <c r="C4366" s="33"/>
      <c r="D4366" s="33"/>
      <c r="E4366" s="33"/>
      <c r="F4366" s="33"/>
      <c r="G4366" s="33"/>
      <c r="H4366" s="33"/>
      <c r="I4366" s="33"/>
      <c r="J4366" s="33"/>
      <c r="K4366" s="33"/>
      <c r="L4366" s="33"/>
      <c r="M4366" s="33"/>
      <c r="N4366" s="33"/>
      <c r="O4366" s="33"/>
      <c r="P4366" s="33"/>
      <c r="Q4366" s="33"/>
      <c r="R4366" s="33"/>
      <c r="T4366"/>
    </row>
    <row r="4367" spans="1:20" x14ac:dyDescent="0.2">
      <c r="A4367" s="9"/>
      <c r="B4367" s="9"/>
      <c r="C4367" s="9"/>
      <c r="D4367" s="9"/>
      <c r="E4367" s="9"/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T4367"/>
    </row>
    <row r="4368" spans="1:20" x14ac:dyDescent="0.2">
      <c r="A4368" s="33"/>
      <c r="B4368" s="33"/>
      <c r="C4368" s="33"/>
      <c r="D4368" s="33"/>
      <c r="E4368" s="33"/>
      <c r="F4368" s="33"/>
      <c r="G4368" s="33"/>
      <c r="H4368" s="33"/>
      <c r="I4368" s="33"/>
      <c r="J4368" s="33"/>
      <c r="K4368" s="33"/>
      <c r="L4368" s="33"/>
      <c r="M4368" s="33"/>
      <c r="N4368" s="33"/>
      <c r="O4368" s="33"/>
      <c r="P4368" s="33"/>
      <c r="Q4368" s="33"/>
      <c r="R4368" s="33"/>
      <c r="T4368"/>
    </row>
    <row r="4369" spans="1:20" x14ac:dyDescent="0.2">
      <c r="A4369" s="9"/>
      <c r="B4369" s="9"/>
      <c r="C4369" s="9"/>
      <c r="D4369" s="9"/>
      <c r="E4369" s="9"/>
      <c r="F4369" s="9"/>
      <c r="G4369" s="9"/>
      <c r="H4369" s="9"/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T4369"/>
    </row>
    <row r="4370" spans="1:20" x14ac:dyDescent="0.2">
      <c r="A4370" s="33"/>
      <c r="B4370" s="33"/>
      <c r="C4370" s="33"/>
      <c r="D4370" s="33"/>
      <c r="E4370" s="33"/>
      <c r="F4370" s="33"/>
      <c r="G4370" s="33"/>
      <c r="H4370" s="33"/>
      <c r="I4370" s="33"/>
      <c r="J4370" s="33"/>
      <c r="K4370" s="33"/>
      <c r="L4370" s="33"/>
      <c r="M4370" s="33"/>
      <c r="N4370" s="33"/>
      <c r="O4370" s="33"/>
      <c r="P4370" s="33"/>
      <c r="Q4370" s="33"/>
      <c r="R4370" s="33"/>
      <c r="T4370"/>
    </row>
    <row r="4371" spans="1:20" x14ac:dyDescent="0.2">
      <c r="A4371" s="9"/>
      <c r="B4371" s="9"/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T4371"/>
    </row>
    <row r="4372" spans="1:20" x14ac:dyDescent="0.2">
      <c r="A4372" s="33"/>
      <c r="B4372" s="33"/>
      <c r="C4372" s="33"/>
      <c r="D4372" s="33"/>
      <c r="E4372" s="33"/>
      <c r="F4372" s="33"/>
      <c r="G4372" s="33"/>
      <c r="H4372" s="33"/>
      <c r="I4372" s="33"/>
      <c r="J4372" s="33"/>
      <c r="K4372" s="33"/>
      <c r="L4372" s="33"/>
      <c r="M4372" s="33"/>
      <c r="N4372" s="33"/>
      <c r="O4372" s="33"/>
      <c r="P4372" s="33"/>
      <c r="Q4372" s="33"/>
      <c r="R4372" s="33"/>
      <c r="T4372"/>
    </row>
    <row r="4373" spans="1:20" x14ac:dyDescent="0.2">
      <c r="A4373" s="9"/>
      <c r="B4373" s="9"/>
      <c r="C4373" s="9"/>
      <c r="D4373" s="9"/>
      <c r="E4373" s="9"/>
      <c r="F4373" s="9"/>
      <c r="G4373" s="9"/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T4373"/>
    </row>
    <row r="4374" spans="1:20" x14ac:dyDescent="0.2">
      <c r="A4374" s="33"/>
      <c r="B4374" s="33"/>
      <c r="C4374" s="33"/>
      <c r="D4374" s="33"/>
      <c r="E4374" s="33"/>
      <c r="F4374" s="33"/>
      <c r="G4374" s="33"/>
      <c r="H4374" s="33"/>
      <c r="I4374" s="33"/>
      <c r="J4374" s="33"/>
      <c r="K4374" s="33"/>
      <c r="L4374" s="33"/>
      <c r="M4374" s="33"/>
      <c r="N4374" s="33"/>
      <c r="O4374" s="33"/>
      <c r="P4374" s="33"/>
      <c r="Q4374" s="33"/>
      <c r="R4374" s="33"/>
      <c r="T4374"/>
    </row>
    <row r="4375" spans="1:20" x14ac:dyDescent="0.2">
      <c r="A4375" s="9"/>
      <c r="B4375" s="9"/>
      <c r="C4375" s="9"/>
      <c r="D4375" s="9"/>
      <c r="E4375" s="9"/>
      <c r="F4375" s="9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T4375"/>
    </row>
    <row r="4376" spans="1:20" x14ac:dyDescent="0.2">
      <c r="A4376" s="33"/>
      <c r="B4376" s="33"/>
      <c r="C4376" s="33"/>
      <c r="D4376" s="33"/>
      <c r="E4376" s="33"/>
      <c r="F4376" s="33"/>
      <c r="G4376" s="33"/>
      <c r="H4376" s="33"/>
      <c r="I4376" s="33"/>
      <c r="J4376" s="33"/>
      <c r="K4376" s="33"/>
      <c r="L4376" s="33"/>
      <c r="M4376" s="33"/>
      <c r="N4376" s="33"/>
      <c r="O4376" s="33"/>
      <c r="P4376" s="33"/>
      <c r="Q4376" s="33"/>
      <c r="R4376" s="33"/>
      <c r="T4376"/>
    </row>
    <row r="4377" spans="1:20" x14ac:dyDescent="0.2">
      <c r="A4377" s="9"/>
      <c r="B4377" s="9"/>
      <c r="C4377" s="9"/>
      <c r="D4377" s="9"/>
      <c r="E4377" s="9"/>
      <c r="F4377" s="9"/>
      <c r="G4377" s="9"/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T4377"/>
    </row>
    <row r="4378" spans="1:20" x14ac:dyDescent="0.2">
      <c r="A4378" s="33"/>
      <c r="B4378" s="33"/>
      <c r="C4378" s="33"/>
      <c r="D4378" s="33"/>
      <c r="E4378" s="33"/>
      <c r="F4378" s="33"/>
      <c r="G4378" s="33"/>
      <c r="H4378" s="33"/>
      <c r="I4378" s="33"/>
      <c r="J4378" s="33"/>
      <c r="K4378" s="33"/>
      <c r="L4378" s="33"/>
      <c r="M4378" s="33"/>
      <c r="N4378" s="33"/>
      <c r="O4378" s="33"/>
      <c r="P4378" s="33"/>
      <c r="Q4378" s="33"/>
      <c r="R4378" s="33"/>
      <c r="T4378"/>
    </row>
    <row r="4379" spans="1:20" x14ac:dyDescent="0.2">
      <c r="A4379" s="9"/>
      <c r="B4379" s="9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T4379"/>
    </row>
    <row r="4380" spans="1:20" x14ac:dyDescent="0.2">
      <c r="A4380" s="33"/>
      <c r="B4380" s="33"/>
      <c r="C4380" s="33"/>
      <c r="D4380" s="33"/>
      <c r="E4380" s="33"/>
      <c r="F4380" s="33"/>
      <c r="G4380" s="33"/>
      <c r="H4380" s="33"/>
      <c r="I4380" s="33"/>
      <c r="J4380" s="33"/>
      <c r="K4380" s="33"/>
      <c r="L4380" s="33"/>
      <c r="M4380" s="33"/>
      <c r="N4380" s="33"/>
      <c r="O4380" s="33"/>
      <c r="P4380" s="33"/>
      <c r="Q4380" s="33"/>
      <c r="R4380" s="33"/>
      <c r="T4380"/>
    </row>
    <row r="4381" spans="1:20" x14ac:dyDescent="0.2">
      <c r="A4381" s="9"/>
      <c r="B4381" s="9"/>
      <c r="C4381" s="9"/>
      <c r="D4381" s="9"/>
      <c r="E4381" s="9"/>
      <c r="F4381" s="9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T4381"/>
    </row>
    <row r="4382" spans="1:20" x14ac:dyDescent="0.2">
      <c r="A4382" s="33"/>
      <c r="B4382" s="33"/>
      <c r="C4382" s="33"/>
      <c r="D4382" s="33"/>
      <c r="E4382" s="33"/>
      <c r="F4382" s="33"/>
      <c r="G4382" s="33"/>
      <c r="H4382" s="33"/>
      <c r="I4382" s="33"/>
      <c r="J4382" s="33"/>
      <c r="K4382" s="33"/>
      <c r="L4382" s="33"/>
      <c r="M4382" s="33"/>
      <c r="N4382" s="33"/>
      <c r="O4382" s="33"/>
      <c r="P4382" s="33"/>
      <c r="Q4382" s="33"/>
      <c r="R4382" s="33"/>
      <c r="T4382"/>
    </row>
    <row r="4383" spans="1:20" x14ac:dyDescent="0.2">
      <c r="A4383" s="9"/>
      <c r="B4383" s="9"/>
      <c r="C4383" s="9"/>
      <c r="D4383" s="9"/>
      <c r="E4383" s="9"/>
      <c r="F4383" s="9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T4383"/>
    </row>
    <row r="4384" spans="1:20" x14ac:dyDescent="0.2">
      <c r="A4384" s="33"/>
      <c r="B4384" s="33"/>
      <c r="C4384" s="33"/>
      <c r="D4384" s="33"/>
      <c r="E4384" s="33"/>
      <c r="F4384" s="33"/>
      <c r="G4384" s="33"/>
      <c r="H4384" s="33"/>
      <c r="I4384" s="33"/>
      <c r="J4384" s="33"/>
      <c r="K4384" s="33"/>
      <c r="L4384" s="33"/>
      <c r="M4384" s="33"/>
      <c r="N4384" s="33"/>
      <c r="O4384" s="33"/>
      <c r="P4384" s="33"/>
      <c r="Q4384" s="33"/>
      <c r="R4384" s="33"/>
      <c r="T4384"/>
    </row>
    <row r="4385" spans="1:20" x14ac:dyDescent="0.2">
      <c r="A4385" s="9"/>
      <c r="B4385" s="9"/>
      <c r="C4385" s="9"/>
      <c r="D4385" s="9"/>
      <c r="E4385" s="9"/>
      <c r="F4385" s="9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T4385"/>
    </row>
    <row r="4386" spans="1:20" x14ac:dyDescent="0.2">
      <c r="A4386" s="33"/>
      <c r="B4386" s="33"/>
      <c r="C4386" s="33"/>
      <c r="D4386" s="33"/>
      <c r="E4386" s="33"/>
      <c r="F4386" s="33"/>
      <c r="G4386" s="33"/>
      <c r="H4386" s="33"/>
      <c r="I4386" s="33"/>
      <c r="J4386" s="33"/>
      <c r="K4386" s="33"/>
      <c r="L4386" s="33"/>
      <c r="M4386" s="33"/>
      <c r="N4386" s="33"/>
      <c r="O4386" s="33"/>
      <c r="P4386" s="33"/>
      <c r="Q4386" s="33"/>
      <c r="R4386" s="33"/>
      <c r="T4386"/>
    </row>
    <row r="4387" spans="1:20" x14ac:dyDescent="0.2">
      <c r="A4387" s="9"/>
      <c r="B4387" s="9"/>
      <c r="C4387" s="9"/>
      <c r="D4387" s="9"/>
      <c r="E4387" s="9"/>
      <c r="F4387" s="9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T4387"/>
    </row>
    <row r="4388" spans="1:20" x14ac:dyDescent="0.2">
      <c r="A4388" s="33"/>
      <c r="B4388" s="33"/>
      <c r="C4388" s="33"/>
      <c r="D4388" s="33"/>
      <c r="E4388" s="33"/>
      <c r="F4388" s="33"/>
      <c r="G4388" s="33"/>
      <c r="H4388" s="33"/>
      <c r="I4388" s="33"/>
      <c r="J4388" s="33"/>
      <c r="K4388" s="33"/>
      <c r="L4388" s="33"/>
      <c r="M4388" s="33"/>
      <c r="N4388" s="33"/>
      <c r="O4388" s="33"/>
      <c r="P4388" s="33"/>
      <c r="Q4388" s="33"/>
      <c r="R4388" s="33"/>
      <c r="T4388"/>
    </row>
    <row r="4389" spans="1:20" x14ac:dyDescent="0.2">
      <c r="A4389" s="9"/>
      <c r="B4389" s="9"/>
      <c r="C4389" s="9"/>
      <c r="D4389" s="9"/>
      <c r="E4389" s="9"/>
      <c r="F4389" s="9"/>
      <c r="G4389" s="9"/>
      <c r="H4389" s="9"/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T4389"/>
    </row>
    <row r="4390" spans="1:20" x14ac:dyDescent="0.2">
      <c r="A4390" s="33"/>
      <c r="B4390" s="33"/>
      <c r="C4390" s="33"/>
      <c r="D4390" s="33"/>
      <c r="E4390" s="33"/>
      <c r="F4390" s="33"/>
      <c r="G4390" s="33"/>
      <c r="H4390" s="33"/>
      <c r="I4390" s="33"/>
      <c r="J4390" s="33"/>
      <c r="K4390" s="33"/>
      <c r="L4390" s="33"/>
      <c r="M4390" s="33"/>
      <c r="N4390" s="33"/>
      <c r="O4390" s="33"/>
      <c r="P4390" s="33"/>
      <c r="Q4390" s="33"/>
      <c r="R4390" s="33"/>
      <c r="T4390"/>
    </row>
    <row r="4391" spans="1:20" x14ac:dyDescent="0.2">
      <c r="A4391" s="9"/>
      <c r="B4391" s="9"/>
      <c r="C4391" s="9"/>
      <c r="D4391" s="9"/>
      <c r="E4391" s="9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T4391"/>
    </row>
    <row r="4392" spans="1:20" x14ac:dyDescent="0.2">
      <c r="A4392" s="33"/>
      <c r="B4392" s="33"/>
      <c r="C4392" s="33"/>
      <c r="D4392" s="33"/>
      <c r="E4392" s="33"/>
      <c r="F4392" s="33"/>
      <c r="G4392" s="33"/>
      <c r="H4392" s="33"/>
      <c r="I4392" s="33"/>
      <c r="J4392" s="33"/>
      <c r="K4392" s="33"/>
      <c r="L4392" s="33"/>
      <c r="M4392" s="33"/>
      <c r="N4392" s="33"/>
      <c r="O4392" s="33"/>
      <c r="P4392" s="33"/>
      <c r="Q4392" s="33"/>
      <c r="R4392" s="33"/>
      <c r="T4392"/>
    </row>
    <row r="4393" spans="1:20" x14ac:dyDescent="0.2">
      <c r="A4393" s="9"/>
      <c r="B4393" s="9"/>
      <c r="C4393" s="9"/>
      <c r="D4393" s="9"/>
      <c r="E4393" s="9"/>
      <c r="F4393" s="9"/>
      <c r="G4393" s="9"/>
      <c r="H4393" s="9"/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T4393"/>
    </row>
    <row r="4394" spans="1:20" x14ac:dyDescent="0.2">
      <c r="A4394" s="33"/>
      <c r="B4394" s="33"/>
      <c r="C4394" s="33"/>
      <c r="D4394" s="33"/>
      <c r="E4394" s="33"/>
      <c r="F4394" s="33"/>
      <c r="G4394" s="33"/>
      <c r="H4394" s="33"/>
      <c r="I4394" s="33"/>
      <c r="J4394" s="33"/>
      <c r="K4394" s="33"/>
      <c r="L4394" s="33"/>
      <c r="M4394" s="33"/>
      <c r="N4394" s="33"/>
      <c r="O4394" s="33"/>
      <c r="P4394" s="33"/>
      <c r="Q4394" s="33"/>
      <c r="R4394" s="33"/>
      <c r="T4394"/>
    </row>
    <row r="4395" spans="1:20" x14ac:dyDescent="0.2">
      <c r="A4395" s="9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T4395"/>
    </row>
    <row r="4396" spans="1:20" x14ac:dyDescent="0.2">
      <c r="A4396" s="33"/>
      <c r="B4396" s="33"/>
      <c r="C4396" s="33"/>
      <c r="D4396" s="33"/>
      <c r="E4396" s="33"/>
      <c r="F4396" s="33"/>
      <c r="G4396" s="33"/>
      <c r="H4396" s="33"/>
      <c r="I4396" s="33"/>
      <c r="J4396" s="33"/>
      <c r="K4396" s="33"/>
      <c r="L4396" s="33"/>
      <c r="M4396" s="33"/>
      <c r="N4396" s="33"/>
      <c r="O4396" s="33"/>
      <c r="P4396" s="33"/>
      <c r="Q4396" s="33"/>
      <c r="R4396" s="33"/>
      <c r="T4396"/>
    </row>
    <row r="4397" spans="1:20" x14ac:dyDescent="0.2">
      <c r="A4397" s="9"/>
      <c r="B4397" s="9"/>
      <c r="C4397" s="9"/>
      <c r="D4397" s="9"/>
      <c r="E4397" s="9"/>
      <c r="F4397" s="9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T4397"/>
    </row>
    <row r="4398" spans="1:20" x14ac:dyDescent="0.2">
      <c r="A4398" s="33"/>
      <c r="B4398" s="33"/>
      <c r="C4398" s="33"/>
      <c r="D4398" s="33"/>
      <c r="E4398" s="33"/>
      <c r="F4398" s="33"/>
      <c r="G4398" s="33"/>
      <c r="H4398" s="33"/>
      <c r="I4398" s="33"/>
      <c r="J4398" s="33"/>
      <c r="K4398" s="33"/>
      <c r="L4398" s="33"/>
      <c r="M4398" s="33"/>
      <c r="N4398" s="33"/>
      <c r="O4398" s="33"/>
      <c r="P4398" s="33"/>
      <c r="Q4398" s="33"/>
      <c r="R4398" s="33"/>
      <c r="T4398"/>
    </row>
    <row r="4399" spans="1:20" x14ac:dyDescent="0.2">
      <c r="A4399" s="9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T4399"/>
    </row>
    <row r="4400" spans="1:20" x14ac:dyDescent="0.2">
      <c r="A4400" s="33"/>
      <c r="B4400" s="33"/>
      <c r="C4400" s="33"/>
      <c r="D4400" s="33"/>
      <c r="E4400" s="33"/>
      <c r="F4400" s="33"/>
      <c r="G4400" s="33"/>
      <c r="H4400" s="33"/>
      <c r="I4400" s="33"/>
      <c r="J4400" s="33"/>
      <c r="K4400" s="33"/>
      <c r="L4400" s="33"/>
      <c r="M4400" s="33"/>
      <c r="N4400" s="33"/>
      <c r="O4400" s="33"/>
      <c r="P4400" s="33"/>
      <c r="Q4400" s="33"/>
      <c r="R4400" s="33"/>
      <c r="T4400"/>
    </row>
    <row r="4401" spans="1:20" x14ac:dyDescent="0.2">
      <c r="A4401" s="9"/>
      <c r="B4401" s="9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T4401"/>
    </row>
    <row r="4402" spans="1:20" x14ac:dyDescent="0.2">
      <c r="A4402" s="33"/>
      <c r="B4402" s="33"/>
      <c r="C4402" s="33"/>
      <c r="D4402" s="33"/>
      <c r="E4402" s="33"/>
      <c r="F4402" s="33"/>
      <c r="G4402" s="33"/>
      <c r="H4402" s="33"/>
      <c r="I4402" s="33"/>
      <c r="J4402" s="33"/>
      <c r="K4402" s="33"/>
      <c r="L4402" s="33"/>
      <c r="M4402" s="33"/>
      <c r="N4402" s="33"/>
      <c r="O4402" s="33"/>
      <c r="P4402" s="33"/>
      <c r="Q4402" s="33"/>
      <c r="R4402" s="33"/>
      <c r="T4402"/>
    </row>
    <row r="4403" spans="1:20" x14ac:dyDescent="0.2">
      <c r="A4403" s="9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T4403"/>
    </row>
    <row r="4404" spans="1:20" x14ac:dyDescent="0.2">
      <c r="A4404" s="33"/>
      <c r="B4404" s="33"/>
      <c r="C4404" s="33"/>
      <c r="D4404" s="33"/>
      <c r="E4404" s="33"/>
      <c r="F4404" s="33"/>
      <c r="G4404" s="33"/>
      <c r="H4404" s="33"/>
      <c r="I4404" s="33"/>
      <c r="J4404" s="33"/>
      <c r="K4404" s="33"/>
      <c r="L4404" s="33"/>
      <c r="M4404" s="33"/>
      <c r="N4404" s="33"/>
      <c r="O4404" s="33"/>
      <c r="P4404" s="33"/>
      <c r="Q4404" s="33"/>
      <c r="R4404" s="33"/>
      <c r="T4404"/>
    </row>
    <row r="4405" spans="1:20" x14ac:dyDescent="0.2">
      <c r="A4405" s="9"/>
      <c r="B4405" s="9"/>
      <c r="C4405" s="9"/>
      <c r="D4405" s="9"/>
      <c r="E4405" s="9"/>
      <c r="F4405" s="9"/>
      <c r="G4405" s="9"/>
      <c r="H4405" s="9"/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T4405"/>
    </row>
    <row r="4406" spans="1:20" x14ac:dyDescent="0.2">
      <c r="A4406" s="33"/>
      <c r="B4406" s="33"/>
      <c r="C4406" s="33"/>
      <c r="D4406" s="33"/>
      <c r="E4406" s="33"/>
      <c r="F4406" s="33"/>
      <c r="G4406" s="33"/>
      <c r="H4406" s="33"/>
      <c r="I4406" s="33"/>
      <c r="J4406" s="33"/>
      <c r="K4406" s="33"/>
      <c r="L4406" s="33"/>
      <c r="M4406" s="33"/>
      <c r="N4406" s="33"/>
      <c r="O4406" s="33"/>
      <c r="P4406" s="33"/>
      <c r="Q4406" s="33"/>
      <c r="R4406" s="33"/>
      <c r="T4406"/>
    </row>
    <row r="4407" spans="1:20" x14ac:dyDescent="0.2">
      <c r="A4407" s="9"/>
      <c r="B4407" s="9"/>
      <c r="C4407" s="9"/>
      <c r="D4407" s="9"/>
      <c r="E4407" s="9"/>
      <c r="F4407" s="9"/>
      <c r="G4407" s="9"/>
      <c r="H4407" s="9"/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T4407"/>
    </row>
    <row r="4408" spans="1:20" x14ac:dyDescent="0.2">
      <c r="A4408" s="33"/>
      <c r="B4408" s="33"/>
      <c r="C4408" s="33"/>
      <c r="D4408" s="33"/>
      <c r="E4408" s="33"/>
      <c r="F4408" s="33"/>
      <c r="G4408" s="33"/>
      <c r="H4408" s="33"/>
      <c r="I4408" s="33"/>
      <c r="J4408" s="33"/>
      <c r="K4408" s="33"/>
      <c r="L4408" s="33"/>
      <c r="M4408" s="33"/>
      <c r="N4408" s="33"/>
      <c r="O4408" s="33"/>
      <c r="P4408" s="33"/>
      <c r="Q4408" s="33"/>
      <c r="R4408" s="33"/>
      <c r="T4408"/>
    </row>
    <row r="4409" spans="1:20" x14ac:dyDescent="0.2">
      <c r="A4409" s="9"/>
      <c r="B4409" s="9"/>
      <c r="C4409" s="9"/>
      <c r="D4409" s="9"/>
      <c r="E4409" s="9"/>
      <c r="F4409" s="9"/>
      <c r="G4409" s="9"/>
      <c r="H4409" s="9"/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T4409"/>
    </row>
    <row r="4410" spans="1:20" x14ac:dyDescent="0.2">
      <c r="A4410" s="33"/>
      <c r="B4410" s="33"/>
      <c r="C4410" s="33"/>
      <c r="D4410" s="33"/>
      <c r="E4410" s="33"/>
      <c r="F4410" s="33"/>
      <c r="G4410" s="33"/>
      <c r="H4410" s="33"/>
      <c r="I4410" s="33"/>
      <c r="J4410" s="33"/>
      <c r="K4410" s="33"/>
      <c r="L4410" s="33"/>
      <c r="M4410" s="33"/>
      <c r="N4410" s="33"/>
      <c r="O4410" s="33"/>
      <c r="P4410" s="33"/>
      <c r="Q4410" s="33"/>
      <c r="R4410" s="33"/>
      <c r="T4410"/>
    </row>
    <row r="4411" spans="1:20" x14ac:dyDescent="0.2">
      <c r="A4411" s="9"/>
      <c r="B4411" s="9"/>
      <c r="C4411" s="9"/>
      <c r="D4411" s="9"/>
      <c r="E4411" s="9"/>
      <c r="F4411" s="9"/>
      <c r="G4411" s="9"/>
      <c r="H4411" s="9"/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T4411"/>
    </row>
    <row r="4412" spans="1:20" x14ac:dyDescent="0.2">
      <c r="A4412" s="33"/>
      <c r="B4412" s="33"/>
      <c r="C4412" s="33"/>
      <c r="D4412" s="33"/>
      <c r="E4412" s="33"/>
      <c r="F4412" s="33"/>
      <c r="G4412" s="33"/>
      <c r="H4412" s="33"/>
      <c r="I4412" s="33"/>
      <c r="J4412" s="33"/>
      <c r="K4412" s="33"/>
      <c r="L4412" s="33"/>
      <c r="M4412" s="33"/>
      <c r="N4412" s="33"/>
      <c r="O4412" s="33"/>
      <c r="P4412" s="33"/>
      <c r="Q4412" s="33"/>
      <c r="R4412" s="33"/>
      <c r="T4412"/>
    </row>
    <row r="4413" spans="1:20" x14ac:dyDescent="0.2">
      <c r="A4413" s="9"/>
      <c r="B4413" s="9"/>
      <c r="C4413" s="9"/>
      <c r="D4413" s="9"/>
      <c r="E4413" s="9"/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T4413"/>
    </row>
    <row r="4414" spans="1:20" x14ac:dyDescent="0.2">
      <c r="A4414" s="33"/>
      <c r="B4414" s="33"/>
      <c r="C4414" s="33"/>
      <c r="D4414" s="33"/>
      <c r="E4414" s="33"/>
      <c r="F4414" s="33"/>
      <c r="G4414" s="33"/>
      <c r="H4414" s="33"/>
      <c r="I4414" s="33"/>
      <c r="J4414" s="33"/>
      <c r="K4414" s="33"/>
      <c r="L4414" s="33"/>
      <c r="M4414" s="33"/>
      <c r="N4414" s="33"/>
      <c r="O4414" s="33"/>
      <c r="P4414" s="33"/>
      <c r="Q4414" s="33"/>
      <c r="R4414" s="33"/>
      <c r="T4414"/>
    </row>
    <row r="4415" spans="1:20" x14ac:dyDescent="0.2">
      <c r="A4415" s="9"/>
      <c r="B4415" s="9"/>
      <c r="C4415" s="9"/>
      <c r="D4415" s="9"/>
      <c r="E4415" s="9"/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T4415"/>
    </row>
    <row r="4416" spans="1:20" x14ac:dyDescent="0.2">
      <c r="A4416" s="33"/>
      <c r="B4416" s="33"/>
      <c r="C4416" s="33"/>
      <c r="D4416" s="33"/>
      <c r="E4416" s="33"/>
      <c r="F4416" s="33"/>
      <c r="G4416" s="33"/>
      <c r="H4416" s="33"/>
      <c r="I4416" s="33"/>
      <c r="J4416" s="33"/>
      <c r="K4416" s="33"/>
      <c r="L4416" s="33"/>
      <c r="M4416" s="33"/>
      <c r="N4416" s="33"/>
      <c r="O4416" s="33"/>
      <c r="P4416" s="33"/>
      <c r="Q4416" s="33"/>
      <c r="R4416" s="33"/>
      <c r="T4416"/>
    </row>
    <row r="4417" spans="1:20" x14ac:dyDescent="0.2">
      <c r="A4417" s="9"/>
      <c r="B4417" s="9"/>
      <c r="C4417" s="9"/>
      <c r="D4417" s="9"/>
      <c r="E4417" s="9"/>
      <c r="F4417" s="9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T4417"/>
    </row>
    <row r="4418" spans="1:20" x14ac:dyDescent="0.2">
      <c r="A4418" s="33"/>
      <c r="B4418" s="33"/>
      <c r="C4418" s="33"/>
      <c r="D4418" s="33"/>
      <c r="E4418" s="33"/>
      <c r="F4418" s="33"/>
      <c r="G4418" s="33"/>
      <c r="H4418" s="33"/>
      <c r="I4418" s="33"/>
      <c r="J4418" s="33"/>
      <c r="K4418" s="33"/>
      <c r="L4418" s="33"/>
      <c r="M4418" s="33"/>
      <c r="N4418" s="33"/>
      <c r="O4418" s="33"/>
      <c r="P4418" s="33"/>
      <c r="Q4418" s="33"/>
      <c r="R4418" s="33"/>
      <c r="T4418"/>
    </row>
    <row r="4419" spans="1:20" x14ac:dyDescent="0.2">
      <c r="A4419" s="9"/>
      <c r="B4419" s="9"/>
      <c r="C4419" s="9"/>
      <c r="D4419" s="9"/>
      <c r="E4419" s="9"/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T4419"/>
    </row>
    <row r="4420" spans="1:20" x14ac:dyDescent="0.2">
      <c r="A4420" s="33"/>
      <c r="B4420" s="33"/>
      <c r="C4420" s="33"/>
      <c r="D4420" s="33"/>
      <c r="E4420" s="33"/>
      <c r="F4420" s="33"/>
      <c r="G4420" s="33"/>
      <c r="H4420" s="33"/>
      <c r="I4420" s="33"/>
      <c r="J4420" s="33"/>
      <c r="K4420" s="33"/>
      <c r="L4420" s="33"/>
      <c r="M4420" s="33"/>
      <c r="N4420" s="33"/>
      <c r="O4420" s="33"/>
      <c r="P4420" s="33"/>
      <c r="Q4420" s="33"/>
      <c r="R4420" s="33"/>
      <c r="T4420"/>
    </row>
    <row r="4421" spans="1:20" x14ac:dyDescent="0.2">
      <c r="A4421" s="9"/>
      <c r="B4421" s="9"/>
      <c r="C4421" s="9"/>
      <c r="D4421" s="9"/>
      <c r="E4421" s="9"/>
      <c r="F4421" s="9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T4421"/>
    </row>
    <row r="4422" spans="1:20" x14ac:dyDescent="0.2">
      <c r="A4422" s="33"/>
      <c r="B4422" s="33"/>
      <c r="C4422" s="33"/>
      <c r="D4422" s="33"/>
      <c r="E4422" s="33"/>
      <c r="F4422" s="33"/>
      <c r="G4422" s="33"/>
      <c r="H4422" s="33"/>
      <c r="I4422" s="33"/>
      <c r="J4422" s="33"/>
      <c r="K4422" s="33"/>
      <c r="L4422" s="33"/>
      <c r="M4422" s="33"/>
      <c r="N4422" s="33"/>
      <c r="O4422" s="33"/>
      <c r="P4422" s="33"/>
      <c r="Q4422" s="33"/>
      <c r="R4422" s="33"/>
      <c r="T4422"/>
    </row>
    <row r="4423" spans="1:20" x14ac:dyDescent="0.2">
      <c r="A4423" s="9"/>
      <c r="B4423" s="9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T4423"/>
    </row>
    <row r="4424" spans="1:20" x14ac:dyDescent="0.2">
      <c r="A4424" s="33"/>
      <c r="B4424" s="33"/>
      <c r="C4424" s="33"/>
      <c r="D4424" s="33"/>
      <c r="E4424" s="33"/>
      <c r="F4424" s="33"/>
      <c r="G4424" s="33"/>
      <c r="H4424" s="33"/>
      <c r="I4424" s="33"/>
      <c r="J4424" s="33"/>
      <c r="K4424" s="33"/>
      <c r="L4424" s="33"/>
      <c r="M4424" s="33"/>
      <c r="N4424" s="33"/>
      <c r="O4424" s="33"/>
      <c r="P4424" s="33"/>
      <c r="Q4424" s="33"/>
      <c r="R4424" s="33"/>
      <c r="T4424"/>
    </row>
    <row r="4425" spans="1:20" x14ac:dyDescent="0.2">
      <c r="A4425" s="9"/>
      <c r="B4425" s="9"/>
      <c r="C4425" s="9"/>
      <c r="D4425" s="9"/>
      <c r="E4425" s="9"/>
      <c r="F4425" s="9"/>
      <c r="G4425" s="9"/>
      <c r="H4425" s="9"/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T4425"/>
    </row>
    <row r="4426" spans="1:20" x14ac:dyDescent="0.2">
      <c r="A4426" s="33"/>
      <c r="B4426" s="33"/>
      <c r="C4426" s="33"/>
      <c r="D4426" s="33"/>
      <c r="E4426" s="33"/>
      <c r="F4426" s="33"/>
      <c r="G4426" s="33"/>
      <c r="H4426" s="33"/>
      <c r="I4426" s="33"/>
      <c r="J4426" s="33"/>
      <c r="K4426" s="33"/>
      <c r="L4426" s="33"/>
      <c r="M4426" s="33"/>
      <c r="N4426" s="33"/>
      <c r="O4426" s="33"/>
      <c r="P4426" s="33"/>
      <c r="Q4426" s="33"/>
      <c r="R4426" s="33"/>
      <c r="T4426"/>
    </row>
    <row r="4427" spans="1:20" x14ac:dyDescent="0.2">
      <c r="A4427" s="9"/>
      <c r="B4427" s="9"/>
      <c r="C4427" s="9"/>
      <c r="D4427" s="9"/>
      <c r="E4427" s="9"/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T4427"/>
    </row>
    <row r="4428" spans="1:20" x14ac:dyDescent="0.2">
      <c r="A4428" s="33"/>
      <c r="B4428" s="33"/>
      <c r="C4428" s="33"/>
      <c r="D4428" s="33"/>
      <c r="E4428" s="33"/>
      <c r="F4428" s="33"/>
      <c r="G4428" s="33"/>
      <c r="H4428" s="33"/>
      <c r="I4428" s="33"/>
      <c r="J4428" s="33"/>
      <c r="K4428" s="33"/>
      <c r="L4428" s="33"/>
      <c r="M4428" s="33"/>
      <c r="N4428" s="33"/>
      <c r="O4428" s="33"/>
      <c r="P4428" s="33"/>
      <c r="Q4428" s="33"/>
      <c r="R4428" s="33"/>
      <c r="T4428"/>
    </row>
    <row r="4429" spans="1:20" x14ac:dyDescent="0.2">
      <c r="A4429" s="9"/>
      <c r="B4429" s="9"/>
      <c r="C4429" s="9"/>
      <c r="D4429" s="9"/>
      <c r="E4429" s="9"/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T4429"/>
    </row>
    <row r="4430" spans="1:20" x14ac:dyDescent="0.2">
      <c r="A4430" s="33"/>
      <c r="B4430" s="33"/>
      <c r="C4430" s="33"/>
      <c r="D4430" s="33"/>
      <c r="E4430" s="33"/>
      <c r="F4430" s="33"/>
      <c r="G4430" s="33"/>
      <c r="H4430" s="33"/>
      <c r="I4430" s="33"/>
      <c r="J4430" s="33"/>
      <c r="K4430" s="33"/>
      <c r="L4430" s="33"/>
      <c r="M4430" s="33"/>
      <c r="N4430" s="33"/>
      <c r="O4430" s="33"/>
      <c r="P4430" s="33"/>
      <c r="Q4430" s="33"/>
      <c r="R4430" s="33"/>
      <c r="T4430"/>
    </row>
    <row r="4431" spans="1:20" x14ac:dyDescent="0.2">
      <c r="A4431" s="9"/>
      <c r="B4431" s="9"/>
      <c r="C4431" s="9"/>
      <c r="D4431" s="9"/>
      <c r="E4431" s="9"/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T4431"/>
    </row>
    <row r="4432" spans="1:20" x14ac:dyDescent="0.2">
      <c r="A4432" s="33"/>
      <c r="B4432" s="33"/>
      <c r="C4432" s="33"/>
      <c r="D4432" s="33"/>
      <c r="E4432" s="33"/>
      <c r="F4432" s="33"/>
      <c r="G4432" s="33"/>
      <c r="H4432" s="33"/>
      <c r="I4432" s="33"/>
      <c r="J4432" s="33"/>
      <c r="K4432" s="33"/>
      <c r="L4432" s="33"/>
      <c r="M4432" s="33"/>
      <c r="N4432" s="33"/>
      <c r="O4432" s="33"/>
      <c r="P4432" s="33"/>
      <c r="Q4432" s="33"/>
      <c r="R4432" s="33"/>
      <c r="T4432"/>
    </row>
    <row r="4433" spans="1:20" x14ac:dyDescent="0.2">
      <c r="A4433" s="9"/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T4433"/>
    </row>
    <row r="4434" spans="1:20" x14ac:dyDescent="0.2">
      <c r="A4434" s="33"/>
      <c r="B4434" s="33"/>
      <c r="C4434" s="33"/>
      <c r="D4434" s="33"/>
      <c r="E4434" s="33"/>
      <c r="F4434" s="33"/>
      <c r="G4434" s="33"/>
      <c r="H4434" s="33"/>
      <c r="I4434" s="33"/>
      <c r="J4434" s="33"/>
      <c r="K4434" s="33"/>
      <c r="L4434" s="33"/>
      <c r="M4434" s="33"/>
      <c r="N4434" s="33"/>
      <c r="O4434" s="33"/>
      <c r="P4434" s="33"/>
      <c r="Q4434" s="33"/>
      <c r="R4434" s="33"/>
      <c r="T4434"/>
    </row>
    <row r="4435" spans="1:20" x14ac:dyDescent="0.2">
      <c r="A4435" s="9"/>
      <c r="B4435" s="9"/>
      <c r="C4435" s="9"/>
      <c r="D4435" s="9"/>
      <c r="E4435" s="9"/>
      <c r="F4435" s="9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T4435"/>
    </row>
    <row r="4436" spans="1:20" x14ac:dyDescent="0.2">
      <c r="A4436" s="33"/>
      <c r="B4436" s="33"/>
      <c r="C4436" s="33"/>
      <c r="D4436" s="33"/>
      <c r="E4436" s="33"/>
      <c r="F4436" s="33"/>
      <c r="G4436" s="33"/>
      <c r="H4436" s="33"/>
      <c r="I4436" s="33"/>
      <c r="J4436" s="33"/>
      <c r="K4436" s="33"/>
      <c r="L4436" s="33"/>
      <c r="M4436" s="33"/>
      <c r="N4436" s="33"/>
      <c r="O4436" s="33"/>
      <c r="P4436" s="33"/>
      <c r="Q4436" s="33"/>
      <c r="R4436" s="33"/>
      <c r="T4436"/>
    </row>
    <row r="4437" spans="1:20" x14ac:dyDescent="0.2">
      <c r="A4437" s="9"/>
      <c r="B4437" s="9"/>
      <c r="C4437" s="9"/>
      <c r="D4437" s="9"/>
      <c r="E4437" s="9"/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T4437"/>
    </row>
    <row r="4438" spans="1:20" x14ac:dyDescent="0.2">
      <c r="A4438" s="33"/>
      <c r="B4438" s="33"/>
      <c r="C4438" s="33"/>
      <c r="D4438" s="33"/>
      <c r="E4438" s="33"/>
      <c r="F4438" s="33"/>
      <c r="G4438" s="33"/>
      <c r="H4438" s="33"/>
      <c r="I4438" s="33"/>
      <c r="J4438" s="33"/>
      <c r="K4438" s="33"/>
      <c r="L4438" s="33"/>
      <c r="M4438" s="33"/>
      <c r="N4438" s="33"/>
      <c r="O4438" s="33"/>
      <c r="P4438" s="33"/>
      <c r="Q4438" s="33"/>
      <c r="R4438" s="33"/>
      <c r="T4438"/>
    </row>
    <row r="4439" spans="1:20" x14ac:dyDescent="0.2">
      <c r="A4439" s="9"/>
      <c r="B4439" s="9"/>
      <c r="C4439" s="9"/>
      <c r="D4439" s="9"/>
      <c r="E4439" s="9"/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T4439"/>
    </row>
    <row r="4440" spans="1:20" x14ac:dyDescent="0.2">
      <c r="A4440" s="33"/>
      <c r="B4440" s="33"/>
      <c r="C4440" s="33"/>
      <c r="D4440" s="33"/>
      <c r="E4440" s="33"/>
      <c r="F4440" s="33"/>
      <c r="G4440" s="33"/>
      <c r="H4440" s="33"/>
      <c r="I4440" s="33"/>
      <c r="J4440" s="33"/>
      <c r="K4440" s="33"/>
      <c r="L4440" s="33"/>
      <c r="M4440" s="33"/>
      <c r="N4440" s="33"/>
      <c r="O4440" s="33"/>
      <c r="P4440" s="33"/>
      <c r="Q4440" s="33"/>
      <c r="R4440" s="33"/>
      <c r="T4440"/>
    </row>
    <row r="4441" spans="1:20" x14ac:dyDescent="0.2">
      <c r="A4441" s="9"/>
      <c r="B4441" s="9"/>
      <c r="C4441" s="9"/>
      <c r="D4441" s="9"/>
      <c r="E4441" s="9"/>
      <c r="F4441" s="9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T4441"/>
    </row>
    <row r="4442" spans="1:20" x14ac:dyDescent="0.2">
      <c r="A4442" s="33"/>
      <c r="B4442" s="33"/>
      <c r="C4442" s="33"/>
      <c r="D4442" s="33"/>
      <c r="E4442" s="33"/>
      <c r="F4442" s="33"/>
      <c r="G4442" s="33"/>
      <c r="H4442" s="33"/>
      <c r="I4442" s="33"/>
      <c r="J4442" s="33"/>
      <c r="K4442" s="33"/>
      <c r="L4442" s="33"/>
      <c r="M4442" s="33"/>
      <c r="N4442" s="33"/>
      <c r="O4442" s="33"/>
      <c r="P4442" s="33"/>
      <c r="Q4442" s="33"/>
      <c r="R4442" s="33"/>
      <c r="T4442"/>
    </row>
    <row r="4443" spans="1:20" x14ac:dyDescent="0.2">
      <c r="A4443" s="9"/>
      <c r="B4443" s="9"/>
      <c r="C4443" s="9"/>
      <c r="D4443" s="9"/>
      <c r="E4443" s="9"/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T4443"/>
    </row>
    <row r="4444" spans="1:20" x14ac:dyDescent="0.2">
      <c r="A4444" s="33"/>
      <c r="B4444" s="33"/>
      <c r="C4444" s="33"/>
      <c r="D4444" s="33"/>
      <c r="E4444" s="33"/>
      <c r="F4444" s="33"/>
      <c r="G4444" s="33"/>
      <c r="H4444" s="33"/>
      <c r="I4444" s="33"/>
      <c r="J4444" s="33"/>
      <c r="K4444" s="33"/>
      <c r="L4444" s="33"/>
      <c r="M4444" s="33"/>
      <c r="N4444" s="33"/>
      <c r="O4444" s="33"/>
      <c r="P4444" s="33"/>
      <c r="Q4444" s="33"/>
      <c r="R4444" s="33"/>
      <c r="T4444"/>
    </row>
    <row r="4445" spans="1:20" x14ac:dyDescent="0.2">
      <c r="A4445" s="9"/>
      <c r="B4445" s="9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T4445"/>
    </row>
    <row r="4446" spans="1:20" x14ac:dyDescent="0.2">
      <c r="A4446" s="33"/>
      <c r="B4446" s="33"/>
      <c r="C4446" s="33"/>
      <c r="D4446" s="33"/>
      <c r="E4446" s="33"/>
      <c r="F4446" s="33"/>
      <c r="G4446" s="33"/>
      <c r="H4446" s="33"/>
      <c r="I4446" s="33"/>
      <c r="J4446" s="33"/>
      <c r="K4446" s="33"/>
      <c r="L4446" s="33"/>
      <c r="M4446" s="33"/>
      <c r="N4446" s="33"/>
      <c r="O4446" s="33"/>
      <c r="P4446" s="33"/>
      <c r="Q4446" s="33"/>
      <c r="R4446" s="33"/>
      <c r="T4446"/>
    </row>
    <row r="4447" spans="1:20" x14ac:dyDescent="0.2">
      <c r="A4447" s="9"/>
      <c r="B4447" s="9"/>
      <c r="C4447" s="9"/>
      <c r="D4447" s="9"/>
      <c r="E4447" s="9"/>
      <c r="F4447" s="9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T4447"/>
    </row>
    <row r="4448" spans="1:20" x14ac:dyDescent="0.2">
      <c r="A4448" s="33"/>
      <c r="B4448" s="33"/>
      <c r="C4448" s="33"/>
      <c r="D4448" s="33"/>
      <c r="E4448" s="33"/>
      <c r="F4448" s="33"/>
      <c r="G4448" s="33"/>
      <c r="H4448" s="33"/>
      <c r="I4448" s="33"/>
      <c r="J4448" s="33"/>
      <c r="K4448" s="33"/>
      <c r="L4448" s="33"/>
      <c r="M4448" s="33"/>
      <c r="N4448" s="33"/>
      <c r="O4448" s="33"/>
      <c r="P4448" s="33"/>
      <c r="Q4448" s="33"/>
      <c r="R4448" s="33"/>
      <c r="T4448"/>
    </row>
    <row r="4449" spans="1:20" x14ac:dyDescent="0.2">
      <c r="A4449" s="9"/>
      <c r="B4449" s="9"/>
      <c r="C4449" s="9"/>
      <c r="D4449" s="9"/>
      <c r="E4449" s="9"/>
      <c r="F4449" s="9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T4449"/>
    </row>
    <row r="4450" spans="1:20" x14ac:dyDescent="0.2">
      <c r="A4450" s="33"/>
      <c r="B4450" s="33"/>
      <c r="C4450" s="33"/>
      <c r="D4450" s="33"/>
      <c r="E4450" s="33"/>
      <c r="F4450" s="33"/>
      <c r="G4450" s="33"/>
      <c r="H4450" s="33"/>
      <c r="I4450" s="33"/>
      <c r="J4450" s="33"/>
      <c r="K4450" s="33"/>
      <c r="L4450" s="33"/>
      <c r="M4450" s="33"/>
      <c r="N4450" s="33"/>
      <c r="O4450" s="33"/>
      <c r="P4450" s="33"/>
      <c r="Q4450" s="33"/>
      <c r="R4450" s="33"/>
      <c r="T4450"/>
    </row>
    <row r="4451" spans="1:20" x14ac:dyDescent="0.2">
      <c r="A4451" s="9"/>
      <c r="B4451" s="9"/>
      <c r="C4451" s="9"/>
      <c r="D4451" s="9"/>
      <c r="E4451" s="9"/>
      <c r="F4451" s="9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T4451"/>
    </row>
    <row r="4452" spans="1:20" x14ac:dyDescent="0.2">
      <c r="A4452" s="33"/>
      <c r="B4452" s="33"/>
      <c r="C4452" s="33"/>
      <c r="D4452" s="33"/>
      <c r="E4452" s="33"/>
      <c r="F4452" s="33"/>
      <c r="G4452" s="33"/>
      <c r="H4452" s="33"/>
      <c r="I4452" s="33"/>
      <c r="J4452" s="33"/>
      <c r="K4452" s="33"/>
      <c r="L4452" s="33"/>
      <c r="M4452" s="33"/>
      <c r="N4452" s="33"/>
      <c r="O4452" s="33"/>
      <c r="P4452" s="33"/>
      <c r="Q4452" s="33"/>
      <c r="R4452" s="33"/>
      <c r="T4452"/>
    </row>
    <row r="4453" spans="1:20" x14ac:dyDescent="0.2">
      <c r="A4453" s="9"/>
      <c r="B4453" s="9"/>
      <c r="C4453" s="9"/>
      <c r="D4453" s="9"/>
      <c r="E4453" s="9"/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T4453"/>
    </row>
    <row r="4454" spans="1:20" x14ac:dyDescent="0.2">
      <c r="A4454" s="33"/>
      <c r="B4454" s="33"/>
      <c r="C4454" s="33"/>
      <c r="D4454" s="33"/>
      <c r="E4454" s="33"/>
      <c r="F4454" s="33"/>
      <c r="G4454" s="33"/>
      <c r="H4454" s="33"/>
      <c r="I4454" s="33"/>
      <c r="J4454" s="33"/>
      <c r="K4454" s="33"/>
      <c r="L4454" s="33"/>
      <c r="M4454" s="33"/>
      <c r="N4454" s="33"/>
      <c r="O4454" s="33"/>
      <c r="P4454" s="33"/>
      <c r="Q4454" s="33"/>
      <c r="R4454" s="33"/>
      <c r="T4454"/>
    </row>
    <row r="4455" spans="1:20" x14ac:dyDescent="0.2">
      <c r="A4455" s="9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T4455"/>
    </row>
    <row r="4456" spans="1:20" x14ac:dyDescent="0.2">
      <c r="A4456" s="33"/>
      <c r="B4456" s="33"/>
      <c r="C4456" s="33"/>
      <c r="D4456" s="33"/>
      <c r="E4456" s="33"/>
      <c r="F4456" s="33"/>
      <c r="G4456" s="33"/>
      <c r="H4456" s="33"/>
      <c r="I4456" s="33"/>
      <c r="J4456" s="33"/>
      <c r="K4456" s="33"/>
      <c r="L4456" s="33"/>
      <c r="M4456" s="33"/>
      <c r="N4456" s="33"/>
      <c r="O4456" s="33"/>
      <c r="P4456" s="33"/>
      <c r="Q4456" s="33"/>
      <c r="R4456" s="33"/>
      <c r="T4456"/>
    </row>
    <row r="4457" spans="1:20" x14ac:dyDescent="0.2">
      <c r="A4457" s="9"/>
      <c r="B4457" s="9"/>
      <c r="C4457" s="9"/>
      <c r="D4457" s="9"/>
      <c r="E4457" s="9"/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T4457"/>
    </row>
    <row r="4458" spans="1:20" x14ac:dyDescent="0.2">
      <c r="A4458" s="33"/>
      <c r="B4458" s="33"/>
      <c r="C4458" s="33"/>
      <c r="D4458" s="33"/>
      <c r="E4458" s="33"/>
      <c r="F4458" s="33"/>
      <c r="G4458" s="33"/>
      <c r="H4458" s="33"/>
      <c r="I4458" s="33"/>
      <c r="J4458" s="33"/>
      <c r="K4458" s="33"/>
      <c r="L4458" s="33"/>
      <c r="M4458" s="33"/>
      <c r="N4458" s="33"/>
      <c r="O4458" s="33"/>
      <c r="P4458" s="33"/>
      <c r="Q4458" s="33"/>
      <c r="R4458" s="33"/>
      <c r="T4458"/>
    </row>
    <row r="4459" spans="1:20" x14ac:dyDescent="0.2">
      <c r="A4459" s="9"/>
      <c r="B4459" s="9"/>
      <c r="C4459" s="9"/>
      <c r="D4459" s="9"/>
      <c r="E4459" s="9"/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T4459"/>
    </row>
    <row r="4460" spans="1:20" x14ac:dyDescent="0.2">
      <c r="A4460" s="33"/>
      <c r="B4460" s="33"/>
      <c r="C4460" s="33"/>
      <c r="D4460" s="33"/>
      <c r="E4460" s="33"/>
      <c r="F4460" s="33"/>
      <c r="G4460" s="33"/>
      <c r="H4460" s="33"/>
      <c r="I4460" s="33"/>
      <c r="J4460" s="33"/>
      <c r="K4460" s="33"/>
      <c r="L4460" s="33"/>
      <c r="M4460" s="33"/>
      <c r="N4460" s="33"/>
      <c r="O4460" s="33"/>
      <c r="P4460" s="33"/>
      <c r="Q4460" s="33"/>
      <c r="R4460" s="33"/>
      <c r="T4460"/>
    </row>
    <row r="4461" spans="1:20" x14ac:dyDescent="0.2">
      <c r="A4461" s="9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T4461"/>
    </row>
    <row r="4462" spans="1:20" x14ac:dyDescent="0.2">
      <c r="A4462" s="33"/>
      <c r="B4462" s="33"/>
      <c r="C4462" s="33"/>
      <c r="D4462" s="33"/>
      <c r="E4462" s="33"/>
      <c r="F4462" s="33"/>
      <c r="G4462" s="33"/>
      <c r="H4462" s="33"/>
      <c r="I4462" s="33"/>
      <c r="J4462" s="33"/>
      <c r="K4462" s="33"/>
      <c r="L4462" s="33"/>
      <c r="M4462" s="33"/>
      <c r="N4462" s="33"/>
      <c r="O4462" s="33"/>
      <c r="P4462" s="33"/>
      <c r="Q4462" s="33"/>
      <c r="R4462" s="33"/>
      <c r="T4462"/>
    </row>
    <row r="4463" spans="1:20" x14ac:dyDescent="0.2">
      <c r="A4463" s="9"/>
      <c r="B4463" s="9"/>
      <c r="C4463" s="9"/>
      <c r="D4463" s="9"/>
      <c r="E4463" s="9"/>
      <c r="F4463" s="9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T4463"/>
    </row>
    <row r="4464" spans="1:20" x14ac:dyDescent="0.2">
      <c r="A4464" s="33"/>
      <c r="B4464" s="33"/>
      <c r="C4464" s="33"/>
      <c r="D4464" s="33"/>
      <c r="E4464" s="33"/>
      <c r="F4464" s="33"/>
      <c r="G4464" s="33"/>
      <c r="H4464" s="33"/>
      <c r="I4464" s="33"/>
      <c r="J4464" s="33"/>
      <c r="K4464" s="33"/>
      <c r="L4464" s="33"/>
      <c r="M4464" s="33"/>
      <c r="N4464" s="33"/>
      <c r="O4464" s="33"/>
      <c r="P4464" s="33"/>
      <c r="Q4464" s="33"/>
      <c r="R4464" s="33"/>
      <c r="T4464"/>
    </row>
    <row r="4465" spans="1:20" x14ac:dyDescent="0.2">
      <c r="A4465" s="9"/>
      <c r="B4465" s="9"/>
      <c r="C4465" s="9"/>
      <c r="D4465" s="9"/>
      <c r="E4465" s="9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T4465"/>
    </row>
    <row r="4466" spans="1:20" x14ac:dyDescent="0.2">
      <c r="A4466" s="33"/>
      <c r="B4466" s="33"/>
      <c r="C4466" s="33"/>
      <c r="D4466" s="33"/>
      <c r="E4466" s="33"/>
      <c r="F4466" s="33"/>
      <c r="G4466" s="33"/>
      <c r="H4466" s="33"/>
      <c r="I4466" s="33"/>
      <c r="J4466" s="33"/>
      <c r="K4466" s="33"/>
      <c r="L4466" s="33"/>
      <c r="M4466" s="33"/>
      <c r="N4466" s="33"/>
      <c r="O4466" s="33"/>
      <c r="P4466" s="33"/>
      <c r="Q4466" s="33"/>
      <c r="R4466" s="33"/>
      <c r="T4466"/>
    </row>
    <row r="4467" spans="1:20" x14ac:dyDescent="0.2">
      <c r="A4467" s="9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T4467"/>
    </row>
    <row r="4468" spans="1:20" x14ac:dyDescent="0.2">
      <c r="A4468" s="33"/>
      <c r="B4468" s="33"/>
      <c r="C4468" s="33"/>
      <c r="D4468" s="33"/>
      <c r="E4468" s="33"/>
      <c r="F4468" s="33"/>
      <c r="G4468" s="33"/>
      <c r="H4468" s="33"/>
      <c r="I4468" s="33"/>
      <c r="J4468" s="33"/>
      <c r="K4468" s="33"/>
      <c r="L4468" s="33"/>
      <c r="M4468" s="33"/>
      <c r="N4468" s="33"/>
      <c r="O4468" s="33"/>
      <c r="P4468" s="33"/>
      <c r="Q4468" s="33"/>
      <c r="R4468" s="33"/>
      <c r="T4468"/>
    </row>
    <row r="4469" spans="1:20" x14ac:dyDescent="0.2">
      <c r="A4469" s="9"/>
      <c r="B4469" s="9"/>
      <c r="C4469" s="9"/>
      <c r="D4469" s="9"/>
      <c r="E4469" s="9"/>
      <c r="F4469" s="9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T4469"/>
    </row>
    <row r="4470" spans="1:20" x14ac:dyDescent="0.2">
      <c r="A4470" s="33"/>
      <c r="B4470" s="33"/>
      <c r="C4470" s="33"/>
      <c r="D4470" s="33"/>
      <c r="E4470" s="33"/>
      <c r="F4470" s="33"/>
      <c r="G4470" s="33"/>
      <c r="H4470" s="33"/>
      <c r="I4470" s="33"/>
      <c r="J4470" s="33"/>
      <c r="K4470" s="33"/>
      <c r="L4470" s="33"/>
      <c r="M4470" s="33"/>
      <c r="N4470" s="33"/>
      <c r="O4470" s="33"/>
      <c r="P4470" s="33"/>
      <c r="Q4470" s="33"/>
      <c r="R4470" s="33"/>
      <c r="T4470"/>
    </row>
    <row r="4471" spans="1:20" x14ac:dyDescent="0.2">
      <c r="A4471" s="9"/>
      <c r="B4471" s="9"/>
      <c r="C4471" s="9"/>
      <c r="D4471" s="9"/>
      <c r="E4471" s="9"/>
      <c r="F4471" s="9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T4471"/>
    </row>
    <row r="4472" spans="1:20" x14ac:dyDescent="0.2">
      <c r="A4472" s="33"/>
      <c r="B4472" s="33"/>
      <c r="C4472" s="33"/>
      <c r="D4472" s="33"/>
      <c r="E4472" s="33"/>
      <c r="F4472" s="33"/>
      <c r="G4472" s="33"/>
      <c r="H4472" s="33"/>
      <c r="I4472" s="33"/>
      <c r="J4472" s="33"/>
      <c r="K4472" s="33"/>
      <c r="L4472" s="33"/>
      <c r="M4472" s="33"/>
      <c r="N4472" s="33"/>
      <c r="O4472" s="33"/>
      <c r="P4472" s="33"/>
      <c r="Q4472" s="33"/>
      <c r="R4472" s="33"/>
      <c r="T4472"/>
    </row>
    <row r="4473" spans="1:20" x14ac:dyDescent="0.2">
      <c r="A4473" s="9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T4473"/>
    </row>
    <row r="4474" spans="1:20" x14ac:dyDescent="0.2">
      <c r="A4474" s="33"/>
      <c r="B4474" s="33"/>
      <c r="C4474" s="33"/>
      <c r="D4474" s="33"/>
      <c r="E4474" s="33"/>
      <c r="F4474" s="33"/>
      <c r="G4474" s="33"/>
      <c r="H4474" s="33"/>
      <c r="I4474" s="33"/>
      <c r="J4474" s="33"/>
      <c r="K4474" s="33"/>
      <c r="L4474" s="33"/>
      <c r="M4474" s="33"/>
      <c r="N4474" s="33"/>
      <c r="O4474" s="33"/>
      <c r="P4474" s="33"/>
      <c r="Q4474" s="33"/>
      <c r="R4474" s="33"/>
      <c r="T4474"/>
    </row>
    <row r="4475" spans="1:20" x14ac:dyDescent="0.2">
      <c r="A4475" s="9"/>
      <c r="B4475" s="9"/>
      <c r="C4475" s="9"/>
      <c r="D4475" s="9"/>
      <c r="E4475" s="9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T4475"/>
    </row>
    <row r="4476" spans="1:20" x14ac:dyDescent="0.2">
      <c r="A4476" s="33"/>
      <c r="B4476" s="33"/>
      <c r="C4476" s="33"/>
      <c r="D4476" s="33"/>
      <c r="E4476" s="33"/>
      <c r="F4476" s="33"/>
      <c r="G4476" s="33"/>
      <c r="H4476" s="33"/>
      <c r="I4476" s="33"/>
      <c r="J4476" s="33"/>
      <c r="K4476" s="33"/>
      <c r="L4476" s="33"/>
      <c r="M4476" s="33"/>
      <c r="N4476" s="33"/>
      <c r="O4476" s="33"/>
      <c r="P4476" s="33"/>
      <c r="Q4476" s="33"/>
      <c r="R4476" s="33"/>
      <c r="T4476"/>
    </row>
    <row r="4477" spans="1:20" x14ac:dyDescent="0.2">
      <c r="A4477" s="9"/>
      <c r="B4477" s="9"/>
      <c r="C4477" s="9"/>
      <c r="D4477" s="9"/>
      <c r="E4477" s="9"/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T4477"/>
    </row>
    <row r="4478" spans="1:20" x14ac:dyDescent="0.2">
      <c r="A4478" s="33"/>
      <c r="B4478" s="33"/>
      <c r="C4478" s="33"/>
      <c r="D4478" s="33"/>
      <c r="E4478" s="33"/>
      <c r="F4478" s="33"/>
      <c r="G4478" s="33"/>
      <c r="H4478" s="33"/>
      <c r="I4478" s="33"/>
      <c r="J4478" s="33"/>
      <c r="K4478" s="33"/>
      <c r="L4478" s="33"/>
      <c r="M4478" s="33"/>
      <c r="N4478" s="33"/>
      <c r="O4478" s="33"/>
      <c r="P4478" s="33"/>
      <c r="Q4478" s="33"/>
      <c r="R4478" s="33"/>
      <c r="T4478"/>
    </row>
    <row r="4479" spans="1:20" x14ac:dyDescent="0.2">
      <c r="A4479" s="9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T4479"/>
    </row>
    <row r="4480" spans="1:20" x14ac:dyDescent="0.2">
      <c r="A4480" s="33"/>
      <c r="B4480" s="33"/>
      <c r="C4480" s="33"/>
      <c r="D4480" s="33"/>
      <c r="E4480" s="33"/>
      <c r="F4480" s="33"/>
      <c r="G4480" s="33"/>
      <c r="H4480" s="33"/>
      <c r="I4480" s="33"/>
      <c r="J4480" s="33"/>
      <c r="K4480" s="33"/>
      <c r="L4480" s="33"/>
      <c r="M4480" s="33"/>
      <c r="N4480" s="33"/>
      <c r="O4480" s="33"/>
      <c r="P4480" s="33"/>
      <c r="Q4480" s="33"/>
      <c r="R4480" s="33"/>
      <c r="T4480"/>
    </row>
    <row r="4481" spans="1:20" x14ac:dyDescent="0.2">
      <c r="A4481" s="9"/>
      <c r="B4481" s="9"/>
      <c r="C4481" s="9"/>
      <c r="D4481" s="9"/>
      <c r="E4481" s="9"/>
      <c r="F4481" s="9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T4481"/>
    </row>
    <row r="4482" spans="1:20" x14ac:dyDescent="0.2">
      <c r="A4482" s="33"/>
      <c r="B4482" s="33"/>
      <c r="C4482" s="33"/>
      <c r="D4482" s="33"/>
      <c r="E4482" s="33"/>
      <c r="F4482" s="33"/>
      <c r="G4482" s="33"/>
      <c r="H4482" s="33"/>
      <c r="I4482" s="33"/>
      <c r="J4482" s="33"/>
      <c r="K4482" s="33"/>
      <c r="L4482" s="33"/>
      <c r="M4482" s="33"/>
      <c r="N4482" s="33"/>
      <c r="O4482" s="33"/>
      <c r="P4482" s="33"/>
      <c r="Q4482" s="33"/>
      <c r="R4482" s="33"/>
      <c r="T4482"/>
    </row>
    <row r="4483" spans="1:20" x14ac:dyDescent="0.2">
      <c r="A4483" s="9"/>
      <c r="B4483" s="9"/>
      <c r="C4483" s="9"/>
      <c r="D4483" s="9"/>
      <c r="E4483" s="9"/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T4483"/>
    </row>
    <row r="4484" spans="1:20" x14ac:dyDescent="0.2">
      <c r="A4484" s="33"/>
      <c r="B4484" s="33"/>
      <c r="C4484" s="33"/>
      <c r="D4484" s="33"/>
      <c r="E4484" s="33"/>
      <c r="F4484" s="33"/>
      <c r="G4484" s="33"/>
      <c r="H4484" s="33"/>
      <c r="I4484" s="33"/>
      <c r="J4484" s="33"/>
      <c r="K4484" s="33"/>
      <c r="L4484" s="33"/>
      <c r="M4484" s="33"/>
      <c r="N4484" s="33"/>
      <c r="O4484" s="33"/>
      <c r="P4484" s="33"/>
      <c r="Q4484" s="33"/>
      <c r="R4484" s="33"/>
      <c r="T4484"/>
    </row>
    <row r="4485" spans="1:20" x14ac:dyDescent="0.2">
      <c r="A4485" s="9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T4485"/>
    </row>
    <row r="4486" spans="1:20" x14ac:dyDescent="0.2">
      <c r="A4486" s="33"/>
      <c r="B4486" s="33"/>
      <c r="C4486" s="33"/>
      <c r="D4486" s="33"/>
      <c r="E4486" s="33"/>
      <c r="F4486" s="33"/>
      <c r="G4486" s="33"/>
      <c r="H4486" s="33"/>
      <c r="I4486" s="33"/>
      <c r="J4486" s="33"/>
      <c r="K4486" s="33"/>
      <c r="L4486" s="33"/>
      <c r="M4486" s="33"/>
      <c r="N4486" s="33"/>
      <c r="O4486" s="33"/>
      <c r="P4486" s="33"/>
      <c r="Q4486" s="33"/>
      <c r="R4486" s="33"/>
      <c r="T4486"/>
    </row>
    <row r="4487" spans="1:20" x14ac:dyDescent="0.2">
      <c r="A4487" s="9"/>
      <c r="B4487" s="9"/>
      <c r="C4487" s="9"/>
      <c r="D4487" s="9"/>
      <c r="E4487" s="9"/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T4487"/>
    </row>
    <row r="4488" spans="1:20" x14ac:dyDescent="0.2">
      <c r="A4488" s="33"/>
      <c r="B4488" s="33"/>
      <c r="C4488" s="33"/>
      <c r="D4488" s="33"/>
      <c r="E4488" s="33"/>
      <c r="F4488" s="33"/>
      <c r="G4488" s="33"/>
      <c r="H4488" s="33"/>
      <c r="I4488" s="33"/>
      <c r="J4488" s="33"/>
      <c r="K4488" s="33"/>
      <c r="L4488" s="33"/>
      <c r="M4488" s="33"/>
      <c r="N4488" s="33"/>
      <c r="O4488" s="33"/>
      <c r="P4488" s="33"/>
      <c r="Q4488" s="33"/>
      <c r="R4488" s="33"/>
      <c r="T4488"/>
    </row>
    <row r="4489" spans="1:20" x14ac:dyDescent="0.2">
      <c r="A4489" s="9"/>
      <c r="B4489" s="9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T4489"/>
    </row>
    <row r="4490" spans="1:20" x14ac:dyDescent="0.2">
      <c r="A4490" s="33"/>
      <c r="B4490" s="33"/>
      <c r="C4490" s="33"/>
      <c r="D4490" s="33"/>
      <c r="E4490" s="33"/>
      <c r="F4490" s="33"/>
      <c r="G4490" s="33"/>
      <c r="H4490" s="33"/>
      <c r="I4490" s="33"/>
      <c r="J4490" s="33"/>
      <c r="K4490" s="33"/>
      <c r="L4490" s="33"/>
      <c r="M4490" s="33"/>
      <c r="N4490" s="33"/>
      <c r="O4490" s="33"/>
      <c r="P4490" s="33"/>
      <c r="Q4490" s="33"/>
      <c r="R4490" s="33"/>
      <c r="T4490"/>
    </row>
    <row r="4491" spans="1:20" x14ac:dyDescent="0.2">
      <c r="A4491" s="9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T4491"/>
    </row>
    <row r="4492" spans="1:20" x14ac:dyDescent="0.2">
      <c r="A4492" s="33"/>
      <c r="B4492" s="33"/>
      <c r="C4492" s="33"/>
      <c r="D4492" s="33"/>
      <c r="E4492" s="33"/>
      <c r="F4492" s="33"/>
      <c r="G4492" s="33"/>
      <c r="H4492" s="33"/>
      <c r="I4492" s="33"/>
      <c r="J4492" s="33"/>
      <c r="K4492" s="33"/>
      <c r="L4492" s="33"/>
      <c r="M4492" s="33"/>
      <c r="N4492" s="33"/>
      <c r="O4492" s="33"/>
      <c r="P4492" s="33"/>
      <c r="Q4492" s="33"/>
      <c r="R4492" s="33"/>
      <c r="T4492"/>
    </row>
    <row r="4493" spans="1:20" x14ac:dyDescent="0.2">
      <c r="A4493" s="9"/>
      <c r="B4493" s="9"/>
      <c r="C4493" s="9"/>
      <c r="D4493" s="9"/>
      <c r="E4493" s="9"/>
      <c r="F4493" s="9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T4493"/>
    </row>
    <row r="4494" spans="1:20" x14ac:dyDescent="0.2">
      <c r="A4494" s="33"/>
      <c r="B4494" s="33"/>
      <c r="C4494" s="33"/>
      <c r="D4494" s="33"/>
      <c r="E4494" s="33"/>
      <c r="F4494" s="33"/>
      <c r="G4494" s="33"/>
      <c r="H4494" s="33"/>
      <c r="I4494" s="33"/>
      <c r="J4494" s="33"/>
      <c r="K4494" s="33"/>
      <c r="L4494" s="33"/>
      <c r="M4494" s="33"/>
      <c r="N4494" s="33"/>
      <c r="O4494" s="33"/>
      <c r="P4494" s="33"/>
      <c r="Q4494" s="33"/>
      <c r="R4494" s="33"/>
      <c r="T4494"/>
    </row>
    <row r="4495" spans="1:20" x14ac:dyDescent="0.2">
      <c r="A4495" s="9"/>
      <c r="B4495" s="9"/>
      <c r="C4495" s="9"/>
      <c r="D4495" s="9"/>
      <c r="E4495" s="9"/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T4495"/>
    </row>
    <row r="4496" spans="1:20" x14ac:dyDescent="0.2">
      <c r="A4496" s="33"/>
      <c r="B4496" s="33"/>
      <c r="C4496" s="33"/>
      <c r="D4496" s="33"/>
      <c r="E4496" s="33"/>
      <c r="F4496" s="33"/>
      <c r="G4496" s="33"/>
      <c r="H4496" s="33"/>
      <c r="I4496" s="33"/>
      <c r="J4496" s="33"/>
      <c r="K4496" s="33"/>
      <c r="L4496" s="33"/>
      <c r="M4496" s="33"/>
      <c r="N4496" s="33"/>
      <c r="O4496" s="33"/>
      <c r="P4496" s="33"/>
      <c r="Q4496" s="33"/>
      <c r="R4496" s="33"/>
      <c r="T4496"/>
    </row>
    <row r="4497" spans="1:20" x14ac:dyDescent="0.2">
      <c r="A4497" s="9"/>
      <c r="B4497" s="9"/>
      <c r="C4497" s="9"/>
      <c r="D4497" s="9"/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T4497"/>
    </row>
    <row r="4498" spans="1:20" x14ac:dyDescent="0.2">
      <c r="A4498" s="33"/>
      <c r="B4498" s="33"/>
      <c r="C4498" s="33"/>
      <c r="D4498" s="33"/>
      <c r="E4498" s="33"/>
      <c r="F4498" s="33"/>
      <c r="G4498" s="33"/>
      <c r="H4498" s="33"/>
      <c r="I4498" s="33"/>
      <c r="J4498" s="33"/>
      <c r="K4498" s="33"/>
      <c r="L4498" s="33"/>
      <c r="M4498" s="33"/>
      <c r="N4498" s="33"/>
      <c r="O4498" s="33"/>
      <c r="P4498" s="33"/>
      <c r="Q4498" s="33"/>
      <c r="R4498" s="33"/>
      <c r="T4498"/>
    </row>
    <row r="4499" spans="1:20" x14ac:dyDescent="0.2">
      <c r="A4499" s="9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T4499"/>
    </row>
    <row r="4500" spans="1:20" x14ac:dyDescent="0.2">
      <c r="A4500" s="33"/>
      <c r="B4500" s="33"/>
      <c r="C4500" s="33"/>
      <c r="D4500" s="33"/>
      <c r="E4500" s="33"/>
      <c r="F4500" s="33"/>
      <c r="G4500" s="33"/>
      <c r="H4500" s="33"/>
      <c r="I4500" s="33"/>
      <c r="J4500" s="33"/>
      <c r="K4500" s="33"/>
      <c r="L4500" s="33"/>
      <c r="M4500" s="33"/>
      <c r="N4500" s="33"/>
      <c r="O4500" s="33"/>
      <c r="P4500" s="33"/>
      <c r="Q4500" s="33"/>
      <c r="R4500" s="33"/>
      <c r="T4500"/>
    </row>
    <row r="4501" spans="1:20" x14ac:dyDescent="0.2">
      <c r="A4501" s="9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T4501"/>
    </row>
    <row r="4502" spans="1:20" x14ac:dyDescent="0.2">
      <c r="A4502" s="33"/>
      <c r="B4502" s="33"/>
      <c r="C4502" s="33"/>
      <c r="D4502" s="33"/>
      <c r="E4502" s="33"/>
      <c r="F4502" s="33"/>
      <c r="G4502" s="33"/>
      <c r="H4502" s="33"/>
      <c r="I4502" s="33"/>
      <c r="J4502" s="33"/>
      <c r="K4502" s="33"/>
      <c r="L4502" s="33"/>
      <c r="M4502" s="33"/>
      <c r="N4502" s="33"/>
      <c r="O4502" s="33"/>
      <c r="P4502" s="33"/>
      <c r="Q4502" s="33"/>
      <c r="R4502" s="33"/>
      <c r="T4502"/>
    </row>
    <row r="4503" spans="1:20" x14ac:dyDescent="0.2">
      <c r="A4503" s="9"/>
      <c r="B4503" s="9"/>
      <c r="C4503" s="9"/>
      <c r="D4503" s="9"/>
      <c r="E4503" s="9"/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T4503"/>
    </row>
    <row r="4504" spans="1:20" x14ac:dyDescent="0.2">
      <c r="A4504" s="33"/>
      <c r="B4504" s="33"/>
      <c r="C4504" s="33"/>
      <c r="D4504" s="33"/>
      <c r="E4504" s="33"/>
      <c r="F4504" s="33"/>
      <c r="G4504" s="33"/>
      <c r="H4504" s="33"/>
      <c r="I4504" s="33"/>
      <c r="J4504" s="33"/>
      <c r="K4504" s="33"/>
      <c r="L4504" s="33"/>
      <c r="M4504" s="33"/>
      <c r="N4504" s="33"/>
      <c r="O4504" s="33"/>
      <c r="P4504" s="33"/>
      <c r="Q4504" s="33"/>
      <c r="R4504" s="33"/>
      <c r="T4504"/>
    </row>
    <row r="4505" spans="1:20" x14ac:dyDescent="0.2">
      <c r="A4505" s="9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T4505"/>
    </row>
    <row r="4506" spans="1:20" x14ac:dyDescent="0.2">
      <c r="A4506" s="33"/>
      <c r="B4506" s="33"/>
      <c r="C4506" s="33"/>
      <c r="D4506" s="33"/>
      <c r="E4506" s="33"/>
      <c r="F4506" s="33"/>
      <c r="G4506" s="33"/>
      <c r="H4506" s="33"/>
      <c r="I4506" s="33"/>
      <c r="J4506" s="33"/>
      <c r="K4506" s="33"/>
      <c r="L4506" s="33"/>
      <c r="M4506" s="33"/>
      <c r="N4506" s="33"/>
      <c r="O4506" s="33"/>
      <c r="P4506" s="33"/>
      <c r="Q4506" s="33"/>
      <c r="R4506" s="33"/>
      <c r="T4506"/>
    </row>
    <row r="4507" spans="1:20" x14ac:dyDescent="0.2">
      <c r="A4507" s="9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T4507"/>
    </row>
    <row r="4508" spans="1:20" x14ac:dyDescent="0.2">
      <c r="A4508" s="33"/>
      <c r="B4508" s="33"/>
      <c r="C4508" s="33"/>
      <c r="D4508" s="33"/>
      <c r="E4508" s="33"/>
      <c r="F4508" s="33"/>
      <c r="G4508" s="33"/>
      <c r="H4508" s="33"/>
      <c r="I4508" s="33"/>
      <c r="J4508" s="33"/>
      <c r="K4508" s="33"/>
      <c r="L4508" s="33"/>
      <c r="M4508" s="33"/>
      <c r="N4508" s="33"/>
      <c r="O4508" s="33"/>
      <c r="P4508" s="33"/>
      <c r="Q4508" s="33"/>
      <c r="R4508" s="33"/>
      <c r="T4508"/>
    </row>
    <row r="4509" spans="1:20" x14ac:dyDescent="0.2">
      <c r="A4509" s="9"/>
      <c r="B4509" s="9"/>
      <c r="C4509" s="9"/>
      <c r="D4509" s="9"/>
      <c r="E4509" s="9"/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T4509"/>
    </row>
    <row r="4510" spans="1:20" x14ac:dyDescent="0.2">
      <c r="A4510" s="33"/>
      <c r="B4510" s="33"/>
      <c r="C4510" s="33"/>
      <c r="D4510" s="33"/>
      <c r="E4510" s="33"/>
      <c r="F4510" s="33"/>
      <c r="G4510" s="33"/>
      <c r="H4510" s="33"/>
      <c r="I4510" s="33"/>
      <c r="J4510" s="33"/>
      <c r="K4510" s="33"/>
      <c r="L4510" s="33"/>
      <c r="M4510" s="33"/>
      <c r="N4510" s="33"/>
      <c r="O4510" s="33"/>
      <c r="P4510" s="33"/>
      <c r="Q4510" s="33"/>
      <c r="R4510" s="33"/>
      <c r="T4510"/>
    </row>
    <row r="4511" spans="1:20" x14ac:dyDescent="0.2">
      <c r="A4511" s="9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T4511"/>
    </row>
    <row r="4512" spans="1:20" x14ac:dyDescent="0.2">
      <c r="A4512" s="33"/>
      <c r="B4512" s="33"/>
      <c r="C4512" s="33"/>
      <c r="D4512" s="33"/>
      <c r="E4512" s="33"/>
      <c r="F4512" s="33"/>
      <c r="G4512" s="33"/>
      <c r="H4512" s="33"/>
      <c r="I4512" s="33"/>
      <c r="J4512" s="33"/>
      <c r="K4512" s="33"/>
      <c r="L4512" s="33"/>
      <c r="M4512" s="33"/>
      <c r="N4512" s="33"/>
      <c r="O4512" s="33"/>
      <c r="P4512" s="33"/>
      <c r="Q4512" s="33"/>
      <c r="R4512" s="33"/>
      <c r="T4512"/>
    </row>
    <row r="4513" spans="1:20" x14ac:dyDescent="0.2">
      <c r="A4513" s="9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T4513"/>
    </row>
    <row r="4514" spans="1:20" x14ac:dyDescent="0.2">
      <c r="A4514" s="33"/>
      <c r="B4514" s="33"/>
      <c r="C4514" s="33"/>
      <c r="D4514" s="33"/>
      <c r="E4514" s="33"/>
      <c r="F4514" s="33"/>
      <c r="G4514" s="33"/>
      <c r="H4514" s="33"/>
      <c r="I4514" s="33"/>
      <c r="J4514" s="33"/>
      <c r="K4514" s="33"/>
      <c r="L4514" s="33"/>
      <c r="M4514" s="33"/>
      <c r="N4514" s="33"/>
      <c r="O4514" s="33"/>
      <c r="P4514" s="33"/>
      <c r="Q4514" s="33"/>
      <c r="R4514" s="33"/>
      <c r="T4514"/>
    </row>
    <row r="4515" spans="1:20" x14ac:dyDescent="0.2">
      <c r="A4515" s="9"/>
      <c r="B4515" s="9"/>
      <c r="C4515" s="9"/>
      <c r="D4515" s="9"/>
      <c r="E4515" s="9"/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T4515"/>
    </row>
    <row r="4516" spans="1:20" x14ac:dyDescent="0.2">
      <c r="A4516" s="33"/>
      <c r="B4516" s="33"/>
      <c r="C4516" s="33"/>
      <c r="D4516" s="33"/>
      <c r="E4516" s="33"/>
      <c r="F4516" s="33"/>
      <c r="G4516" s="33"/>
      <c r="H4516" s="33"/>
      <c r="I4516" s="33"/>
      <c r="J4516" s="33"/>
      <c r="K4516" s="33"/>
      <c r="L4516" s="33"/>
      <c r="M4516" s="33"/>
      <c r="N4516" s="33"/>
      <c r="O4516" s="33"/>
      <c r="P4516" s="33"/>
      <c r="Q4516" s="33"/>
      <c r="R4516" s="33"/>
      <c r="T4516"/>
    </row>
    <row r="4517" spans="1:20" x14ac:dyDescent="0.2">
      <c r="A4517" s="9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T4517"/>
    </row>
    <row r="4518" spans="1:20" x14ac:dyDescent="0.2">
      <c r="A4518" s="33"/>
      <c r="B4518" s="33"/>
      <c r="C4518" s="33"/>
      <c r="D4518" s="33"/>
      <c r="E4518" s="33"/>
      <c r="F4518" s="33"/>
      <c r="G4518" s="33"/>
      <c r="H4518" s="33"/>
      <c r="I4518" s="33"/>
      <c r="J4518" s="33"/>
      <c r="K4518" s="33"/>
      <c r="L4518" s="33"/>
      <c r="M4518" s="33"/>
      <c r="N4518" s="33"/>
      <c r="O4518" s="33"/>
      <c r="P4518" s="33"/>
      <c r="Q4518" s="33"/>
      <c r="R4518" s="33"/>
      <c r="T4518"/>
    </row>
    <row r="4519" spans="1:20" x14ac:dyDescent="0.2">
      <c r="A4519" s="9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T4519"/>
    </row>
    <row r="4520" spans="1:20" x14ac:dyDescent="0.2">
      <c r="A4520" s="33"/>
      <c r="B4520" s="33"/>
      <c r="C4520" s="33"/>
      <c r="D4520" s="33"/>
      <c r="E4520" s="33"/>
      <c r="F4520" s="33"/>
      <c r="G4520" s="33"/>
      <c r="H4520" s="33"/>
      <c r="I4520" s="33"/>
      <c r="J4520" s="33"/>
      <c r="K4520" s="33"/>
      <c r="L4520" s="33"/>
      <c r="M4520" s="33"/>
      <c r="N4520" s="33"/>
      <c r="O4520" s="33"/>
      <c r="P4520" s="33"/>
      <c r="Q4520" s="33"/>
      <c r="R4520" s="33"/>
      <c r="T4520"/>
    </row>
    <row r="4521" spans="1:20" x14ac:dyDescent="0.2">
      <c r="A4521" s="9"/>
      <c r="B4521" s="9"/>
      <c r="C4521" s="9"/>
      <c r="D4521" s="9"/>
      <c r="E4521" s="9"/>
      <c r="F4521" s="9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T4521"/>
    </row>
    <row r="4522" spans="1:20" x14ac:dyDescent="0.2">
      <c r="A4522" s="33"/>
      <c r="B4522" s="33"/>
      <c r="C4522" s="33"/>
      <c r="D4522" s="33"/>
      <c r="E4522" s="33"/>
      <c r="F4522" s="33"/>
      <c r="G4522" s="33"/>
      <c r="H4522" s="33"/>
      <c r="I4522" s="33"/>
      <c r="J4522" s="33"/>
      <c r="K4522" s="33"/>
      <c r="L4522" s="33"/>
      <c r="M4522" s="33"/>
      <c r="N4522" s="33"/>
      <c r="O4522" s="33"/>
      <c r="P4522" s="33"/>
      <c r="Q4522" s="33"/>
      <c r="R4522" s="33"/>
      <c r="T4522"/>
    </row>
    <row r="4523" spans="1:20" x14ac:dyDescent="0.2">
      <c r="A4523" s="9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T4523"/>
    </row>
    <row r="4524" spans="1:20" x14ac:dyDescent="0.2">
      <c r="A4524" s="33"/>
      <c r="B4524" s="33"/>
      <c r="C4524" s="33"/>
      <c r="D4524" s="33"/>
      <c r="E4524" s="33"/>
      <c r="F4524" s="33"/>
      <c r="G4524" s="33"/>
      <c r="H4524" s="33"/>
      <c r="I4524" s="33"/>
      <c r="J4524" s="33"/>
      <c r="K4524" s="33"/>
      <c r="L4524" s="33"/>
      <c r="M4524" s="33"/>
      <c r="N4524" s="33"/>
      <c r="O4524" s="33"/>
      <c r="P4524" s="33"/>
      <c r="Q4524" s="33"/>
      <c r="R4524" s="33"/>
      <c r="T4524"/>
    </row>
    <row r="4525" spans="1:20" x14ac:dyDescent="0.2">
      <c r="A4525" s="9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T4525"/>
    </row>
    <row r="4526" spans="1:20" x14ac:dyDescent="0.2">
      <c r="A4526" s="33"/>
      <c r="B4526" s="33"/>
      <c r="C4526" s="33"/>
      <c r="D4526" s="33"/>
      <c r="E4526" s="33"/>
      <c r="F4526" s="33"/>
      <c r="G4526" s="33"/>
      <c r="H4526" s="33"/>
      <c r="I4526" s="33"/>
      <c r="J4526" s="33"/>
      <c r="K4526" s="33"/>
      <c r="L4526" s="33"/>
      <c r="M4526" s="33"/>
      <c r="N4526" s="33"/>
      <c r="O4526" s="33"/>
      <c r="P4526" s="33"/>
      <c r="Q4526" s="33"/>
      <c r="R4526" s="33"/>
      <c r="T4526"/>
    </row>
    <row r="4527" spans="1:20" x14ac:dyDescent="0.2">
      <c r="A4527" s="9"/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T4527"/>
    </row>
    <row r="4528" spans="1:20" x14ac:dyDescent="0.2">
      <c r="A4528" s="33"/>
      <c r="B4528" s="33"/>
      <c r="C4528" s="33"/>
      <c r="D4528" s="33"/>
      <c r="E4528" s="33"/>
      <c r="F4528" s="33"/>
      <c r="G4528" s="33"/>
      <c r="H4528" s="33"/>
      <c r="I4528" s="33"/>
      <c r="J4528" s="33"/>
      <c r="K4528" s="33"/>
      <c r="L4528" s="33"/>
      <c r="M4528" s="33"/>
      <c r="N4528" s="33"/>
      <c r="O4528" s="33"/>
      <c r="P4528" s="33"/>
      <c r="Q4528" s="33"/>
      <c r="R4528" s="33"/>
      <c r="T4528"/>
    </row>
    <row r="4529" spans="1:20" x14ac:dyDescent="0.2">
      <c r="A4529" s="9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T4529"/>
    </row>
    <row r="4530" spans="1:20" x14ac:dyDescent="0.2">
      <c r="A4530" s="33"/>
      <c r="B4530" s="33"/>
      <c r="C4530" s="33"/>
      <c r="D4530" s="33"/>
      <c r="E4530" s="33"/>
      <c r="F4530" s="33"/>
      <c r="G4530" s="33"/>
      <c r="H4530" s="33"/>
      <c r="I4530" s="33"/>
      <c r="J4530" s="33"/>
      <c r="K4530" s="33"/>
      <c r="L4530" s="33"/>
      <c r="M4530" s="33"/>
      <c r="N4530" s="33"/>
      <c r="O4530" s="33"/>
      <c r="P4530" s="33"/>
      <c r="Q4530" s="33"/>
      <c r="R4530" s="33"/>
      <c r="T4530"/>
    </row>
    <row r="4531" spans="1:20" x14ac:dyDescent="0.2">
      <c r="A4531" s="9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T4531"/>
    </row>
    <row r="4532" spans="1:20" x14ac:dyDescent="0.2">
      <c r="A4532" s="33"/>
      <c r="B4532" s="33"/>
      <c r="C4532" s="33"/>
      <c r="D4532" s="33"/>
      <c r="E4532" s="33"/>
      <c r="F4532" s="33"/>
      <c r="G4532" s="33"/>
      <c r="H4532" s="33"/>
      <c r="I4532" s="33"/>
      <c r="J4532" s="33"/>
      <c r="K4532" s="33"/>
      <c r="L4532" s="33"/>
      <c r="M4532" s="33"/>
      <c r="N4532" s="33"/>
      <c r="O4532" s="33"/>
      <c r="P4532" s="33"/>
      <c r="Q4532" s="33"/>
      <c r="R4532" s="33"/>
      <c r="T4532"/>
    </row>
    <row r="4533" spans="1:20" x14ac:dyDescent="0.2">
      <c r="A4533" s="9"/>
      <c r="B4533" s="9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T4533"/>
    </row>
    <row r="4534" spans="1:20" x14ac:dyDescent="0.2">
      <c r="A4534" s="33"/>
      <c r="B4534" s="33"/>
      <c r="C4534" s="33"/>
      <c r="D4534" s="33"/>
      <c r="E4534" s="33"/>
      <c r="F4534" s="33"/>
      <c r="G4534" s="33"/>
      <c r="H4534" s="33"/>
      <c r="I4534" s="33"/>
      <c r="J4534" s="33"/>
      <c r="K4534" s="33"/>
      <c r="L4534" s="33"/>
      <c r="M4534" s="33"/>
      <c r="N4534" s="33"/>
      <c r="O4534" s="33"/>
      <c r="P4534" s="33"/>
      <c r="Q4534" s="33"/>
      <c r="R4534" s="33"/>
      <c r="T4534"/>
    </row>
    <row r="4535" spans="1:20" x14ac:dyDescent="0.2">
      <c r="A4535" s="9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T4535"/>
    </row>
    <row r="4536" spans="1:20" x14ac:dyDescent="0.2">
      <c r="A4536" s="33"/>
      <c r="B4536" s="33"/>
      <c r="C4536" s="33"/>
      <c r="D4536" s="33"/>
      <c r="E4536" s="33"/>
      <c r="F4536" s="33"/>
      <c r="G4536" s="33"/>
      <c r="H4536" s="33"/>
      <c r="I4536" s="33"/>
      <c r="J4536" s="33"/>
      <c r="K4536" s="33"/>
      <c r="L4536" s="33"/>
      <c r="M4536" s="33"/>
      <c r="N4536" s="33"/>
      <c r="O4536" s="33"/>
      <c r="P4536" s="33"/>
      <c r="Q4536" s="33"/>
      <c r="R4536" s="33"/>
      <c r="T4536"/>
    </row>
    <row r="4537" spans="1:20" x14ac:dyDescent="0.2">
      <c r="A4537" s="9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T4537"/>
    </row>
    <row r="4538" spans="1:20" x14ac:dyDescent="0.2">
      <c r="A4538" s="33"/>
      <c r="B4538" s="33"/>
      <c r="C4538" s="33"/>
      <c r="D4538" s="33"/>
      <c r="E4538" s="33"/>
      <c r="F4538" s="33"/>
      <c r="G4538" s="33"/>
      <c r="H4538" s="33"/>
      <c r="I4538" s="33"/>
      <c r="J4538" s="33"/>
      <c r="K4538" s="33"/>
      <c r="L4538" s="33"/>
      <c r="M4538" s="33"/>
      <c r="N4538" s="33"/>
      <c r="O4538" s="33"/>
      <c r="P4538" s="33"/>
      <c r="Q4538" s="33"/>
      <c r="R4538" s="33"/>
      <c r="T4538"/>
    </row>
    <row r="4539" spans="1:20" x14ac:dyDescent="0.2">
      <c r="A4539" s="9"/>
      <c r="B4539" s="9"/>
      <c r="C4539" s="9"/>
      <c r="D4539" s="9"/>
      <c r="E4539" s="9"/>
      <c r="F4539" s="9"/>
      <c r="G4539" s="9"/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T4539"/>
    </row>
    <row r="4540" spans="1:20" x14ac:dyDescent="0.2">
      <c r="A4540" s="33"/>
      <c r="B4540" s="33"/>
      <c r="C4540" s="33"/>
      <c r="D4540" s="33"/>
      <c r="E4540" s="33"/>
      <c r="F4540" s="33"/>
      <c r="G4540" s="33"/>
      <c r="H4540" s="33"/>
      <c r="I4540" s="33"/>
      <c r="J4540" s="33"/>
      <c r="K4540" s="33"/>
      <c r="L4540" s="33"/>
      <c r="M4540" s="33"/>
      <c r="N4540" s="33"/>
      <c r="O4540" s="33"/>
      <c r="P4540" s="33"/>
      <c r="Q4540" s="33"/>
      <c r="R4540" s="33"/>
      <c r="T4540"/>
    </row>
    <row r="4541" spans="1:20" x14ac:dyDescent="0.2">
      <c r="A4541" s="9"/>
      <c r="B4541" s="9"/>
      <c r="C4541" s="9"/>
      <c r="D4541" s="9"/>
      <c r="E4541" s="9"/>
      <c r="F4541" s="9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T4541"/>
    </row>
    <row r="4542" spans="1:20" x14ac:dyDescent="0.2">
      <c r="A4542" s="33"/>
      <c r="B4542" s="33"/>
      <c r="C4542" s="33"/>
      <c r="D4542" s="33"/>
      <c r="E4542" s="33"/>
      <c r="F4542" s="33"/>
      <c r="G4542" s="33"/>
      <c r="H4542" s="33"/>
      <c r="I4542" s="33"/>
      <c r="J4542" s="33"/>
      <c r="K4542" s="33"/>
      <c r="L4542" s="33"/>
      <c r="M4542" s="33"/>
      <c r="N4542" s="33"/>
      <c r="O4542" s="33"/>
      <c r="P4542" s="33"/>
      <c r="Q4542" s="33"/>
      <c r="R4542" s="33"/>
      <c r="T4542"/>
    </row>
    <row r="4543" spans="1:20" x14ac:dyDescent="0.2">
      <c r="A4543" s="9"/>
      <c r="B4543" s="9"/>
      <c r="C4543" s="9"/>
      <c r="D4543" s="9"/>
      <c r="E4543" s="9"/>
      <c r="F4543" s="9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T4543"/>
    </row>
    <row r="4544" spans="1:20" x14ac:dyDescent="0.2">
      <c r="A4544" s="33"/>
      <c r="B4544" s="33"/>
      <c r="C4544" s="33"/>
      <c r="D4544" s="33"/>
      <c r="E4544" s="33"/>
      <c r="F4544" s="33"/>
      <c r="G4544" s="33"/>
      <c r="H4544" s="33"/>
      <c r="I4544" s="33"/>
      <c r="J4544" s="33"/>
      <c r="K4544" s="33"/>
      <c r="L4544" s="33"/>
      <c r="M4544" s="33"/>
      <c r="N4544" s="33"/>
      <c r="O4544" s="33"/>
      <c r="P4544" s="33"/>
      <c r="Q4544" s="33"/>
      <c r="R4544" s="33"/>
      <c r="T4544"/>
    </row>
    <row r="4545" spans="1:20" x14ac:dyDescent="0.2">
      <c r="A4545" s="9"/>
      <c r="B4545" s="9"/>
      <c r="C4545" s="9"/>
      <c r="D4545" s="9"/>
      <c r="E4545" s="9"/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T4545"/>
    </row>
    <row r="4546" spans="1:20" x14ac:dyDescent="0.2">
      <c r="A4546" s="33"/>
      <c r="B4546" s="33"/>
      <c r="C4546" s="33"/>
      <c r="D4546" s="33"/>
      <c r="E4546" s="33"/>
      <c r="F4546" s="33"/>
      <c r="G4546" s="33"/>
      <c r="H4546" s="33"/>
      <c r="I4546" s="33"/>
      <c r="J4546" s="33"/>
      <c r="K4546" s="33"/>
      <c r="L4546" s="33"/>
      <c r="M4546" s="33"/>
      <c r="N4546" s="33"/>
      <c r="O4546" s="33"/>
      <c r="P4546" s="33"/>
      <c r="Q4546" s="33"/>
      <c r="R4546" s="33"/>
      <c r="T4546"/>
    </row>
    <row r="4547" spans="1:20" x14ac:dyDescent="0.2">
      <c r="A4547" s="9"/>
      <c r="B4547" s="9"/>
      <c r="C4547" s="9"/>
      <c r="D4547" s="9"/>
      <c r="E4547" s="9"/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T4547"/>
    </row>
    <row r="4548" spans="1:20" x14ac:dyDescent="0.2">
      <c r="A4548" s="33"/>
      <c r="B4548" s="33"/>
      <c r="C4548" s="33"/>
      <c r="D4548" s="33"/>
      <c r="E4548" s="33"/>
      <c r="F4548" s="33"/>
      <c r="G4548" s="33"/>
      <c r="H4548" s="33"/>
      <c r="I4548" s="33"/>
      <c r="J4548" s="33"/>
      <c r="K4548" s="33"/>
      <c r="L4548" s="33"/>
      <c r="M4548" s="33"/>
      <c r="N4548" s="33"/>
      <c r="O4548" s="33"/>
      <c r="P4548" s="33"/>
      <c r="Q4548" s="33"/>
      <c r="R4548" s="33"/>
      <c r="T4548"/>
    </row>
    <row r="4549" spans="1:20" x14ac:dyDescent="0.2">
      <c r="A4549" s="9"/>
      <c r="B4549" s="9"/>
      <c r="C4549" s="9"/>
      <c r="D4549" s="9"/>
      <c r="E4549" s="9"/>
      <c r="F4549" s="9"/>
      <c r="G4549" s="9"/>
      <c r="H4549" s="9"/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T4549"/>
    </row>
    <row r="4550" spans="1:20" x14ac:dyDescent="0.2">
      <c r="A4550" s="33"/>
      <c r="B4550" s="33"/>
      <c r="C4550" s="33"/>
      <c r="D4550" s="33"/>
      <c r="E4550" s="33"/>
      <c r="F4550" s="33"/>
      <c r="G4550" s="33"/>
      <c r="H4550" s="33"/>
      <c r="I4550" s="33"/>
      <c r="J4550" s="33"/>
      <c r="K4550" s="33"/>
      <c r="L4550" s="33"/>
      <c r="M4550" s="33"/>
      <c r="N4550" s="33"/>
      <c r="O4550" s="33"/>
      <c r="P4550" s="33"/>
      <c r="Q4550" s="33"/>
      <c r="R4550" s="33"/>
      <c r="T4550"/>
    </row>
    <row r="4551" spans="1:20" x14ac:dyDescent="0.2">
      <c r="A4551" s="9"/>
      <c r="B4551" s="9"/>
      <c r="C4551" s="9"/>
      <c r="D4551" s="9"/>
      <c r="E4551" s="9"/>
      <c r="F4551" s="9"/>
      <c r="G4551" s="9"/>
      <c r="H4551" s="9"/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T4551"/>
    </row>
    <row r="4552" spans="1:20" x14ac:dyDescent="0.2">
      <c r="A4552" s="33"/>
      <c r="B4552" s="33"/>
      <c r="C4552" s="33"/>
      <c r="D4552" s="33"/>
      <c r="E4552" s="33"/>
      <c r="F4552" s="33"/>
      <c r="G4552" s="33"/>
      <c r="H4552" s="33"/>
      <c r="I4552" s="33"/>
      <c r="J4552" s="33"/>
      <c r="K4552" s="33"/>
      <c r="L4552" s="33"/>
      <c r="M4552" s="33"/>
      <c r="N4552" s="33"/>
      <c r="O4552" s="33"/>
      <c r="P4552" s="33"/>
      <c r="Q4552" s="33"/>
      <c r="R4552" s="33"/>
      <c r="T4552"/>
    </row>
    <row r="4553" spans="1:20" x14ac:dyDescent="0.2">
      <c r="A4553" s="9"/>
      <c r="B4553" s="9"/>
      <c r="C4553" s="9"/>
      <c r="D4553" s="9"/>
      <c r="E4553" s="9"/>
      <c r="F4553" s="9"/>
      <c r="G4553" s="9"/>
      <c r="H4553" s="9"/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T4553"/>
    </row>
    <row r="4554" spans="1:20" x14ac:dyDescent="0.2">
      <c r="A4554" s="33"/>
      <c r="B4554" s="33"/>
      <c r="C4554" s="33"/>
      <c r="D4554" s="33"/>
      <c r="E4554" s="33"/>
      <c r="F4554" s="33"/>
      <c r="G4554" s="33"/>
      <c r="H4554" s="33"/>
      <c r="I4554" s="33"/>
      <c r="J4554" s="33"/>
      <c r="K4554" s="33"/>
      <c r="L4554" s="33"/>
      <c r="M4554" s="33"/>
      <c r="N4554" s="33"/>
      <c r="O4554" s="33"/>
      <c r="P4554" s="33"/>
      <c r="Q4554" s="33"/>
      <c r="R4554" s="33"/>
      <c r="T4554"/>
    </row>
    <row r="4555" spans="1:20" x14ac:dyDescent="0.2">
      <c r="A4555" s="9"/>
      <c r="B4555" s="9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T4555"/>
    </row>
    <row r="4556" spans="1:20" x14ac:dyDescent="0.2">
      <c r="A4556" s="33"/>
      <c r="B4556" s="33"/>
      <c r="C4556" s="33"/>
      <c r="D4556" s="33"/>
      <c r="E4556" s="33"/>
      <c r="F4556" s="33"/>
      <c r="G4556" s="33"/>
      <c r="H4556" s="33"/>
      <c r="I4556" s="33"/>
      <c r="J4556" s="33"/>
      <c r="K4556" s="33"/>
      <c r="L4556" s="33"/>
      <c r="M4556" s="33"/>
      <c r="N4556" s="33"/>
      <c r="O4556" s="33"/>
      <c r="P4556" s="33"/>
      <c r="Q4556" s="33"/>
      <c r="R4556" s="33"/>
      <c r="T4556"/>
    </row>
    <row r="4557" spans="1:20" x14ac:dyDescent="0.2">
      <c r="A4557" s="9"/>
      <c r="B4557" s="9"/>
      <c r="C4557" s="9"/>
      <c r="D4557" s="9"/>
      <c r="E4557" s="9"/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T4557"/>
    </row>
    <row r="4558" spans="1:20" x14ac:dyDescent="0.2">
      <c r="A4558" s="33"/>
      <c r="B4558" s="33"/>
      <c r="C4558" s="33"/>
      <c r="D4558" s="33"/>
      <c r="E4558" s="33"/>
      <c r="F4558" s="33"/>
      <c r="G4558" s="33"/>
      <c r="H4558" s="33"/>
      <c r="I4558" s="33"/>
      <c r="J4558" s="33"/>
      <c r="K4558" s="33"/>
      <c r="L4558" s="33"/>
      <c r="M4558" s="33"/>
      <c r="N4558" s="33"/>
      <c r="O4558" s="33"/>
      <c r="P4558" s="33"/>
      <c r="Q4558" s="33"/>
      <c r="R4558" s="33"/>
      <c r="T4558"/>
    </row>
    <row r="4559" spans="1:20" x14ac:dyDescent="0.2">
      <c r="A4559" s="9"/>
      <c r="B4559" s="9"/>
      <c r="C4559" s="9"/>
      <c r="D4559" s="9"/>
      <c r="E4559" s="9"/>
      <c r="F4559" s="9"/>
      <c r="G4559" s="9"/>
      <c r="H4559" s="9"/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T4559"/>
    </row>
    <row r="4560" spans="1:20" x14ac:dyDescent="0.2">
      <c r="A4560" s="33"/>
      <c r="B4560" s="33"/>
      <c r="C4560" s="33"/>
      <c r="D4560" s="33"/>
      <c r="E4560" s="33"/>
      <c r="F4560" s="33"/>
      <c r="G4560" s="33"/>
      <c r="H4560" s="33"/>
      <c r="I4560" s="33"/>
      <c r="J4560" s="33"/>
      <c r="K4560" s="33"/>
      <c r="L4560" s="33"/>
      <c r="M4560" s="33"/>
      <c r="N4560" s="33"/>
      <c r="O4560" s="33"/>
      <c r="P4560" s="33"/>
      <c r="Q4560" s="33"/>
      <c r="R4560" s="33"/>
      <c r="T4560"/>
    </row>
    <row r="4561" spans="1:20" x14ac:dyDescent="0.2">
      <c r="A4561" s="9"/>
      <c r="B4561" s="9"/>
      <c r="C4561" s="9"/>
      <c r="D4561" s="9"/>
      <c r="E4561" s="9"/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T4561"/>
    </row>
    <row r="4562" spans="1:20" x14ac:dyDescent="0.2">
      <c r="A4562" s="33"/>
      <c r="B4562" s="33"/>
      <c r="C4562" s="33"/>
      <c r="D4562" s="33"/>
      <c r="E4562" s="33"/>
      <c r="F4562" s="33"/>
      <c r="G4562" s="33"/>
      <c r="H4562" s="33"/>
      <c r="I4562" s="33"/>
      <c r="J4562" s="33"/>
      <c r="K4562" s="33"/>
      <c r="L4562" s="33"/>
      <c r="M4562" s="33"/>
      <c r="N4562" s="33"/>
      <c r="O4562" s="33"/>
      <c r="P4562" s="33"/>
      <c r="Q4562" s="33"/>
      <c r="R4562" s="33"/>
      <c r="T4562"/>
    </row>
    <row r="4563" spans="1:20" x14ac:dyDescent="0.2">
      <c r="A4563" s="9"/>
      <c r="B4563" s="9"/>
      <c r="C4563" s="9"/>
      <c r="D4563" s="9"/>
      <c r="E4563" s="9"/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T4563"/>
    </row>
    <row r="4564" spans="1:20" x14ac:dyDescent="0.2">
      <c r="A4564" s="33"/>
      <c r="B4564" s="33"/>
      <c r="C4564" s="33"/>
      <c r="D4564" s="33"/>
      <c r="E4564" s="33"/>
      <c r="F4564" s="33"/>
      <c r="G4564" s="33"/>
      <c r="H4564" s="33"/>
      <c r="I4564" s="33"/>
      <c r="J4564" s="33"/>
      <c r="K4564" s="33"/>
      <c r="L4564" s="33"/>
      <c r="M4564" s="33"/>
      <c r="N4564" s="33"/>
      <c r="O4564" s="33"/>
      <c r="P4564" s="33"/>
      <c r="Q4564" s="33"/>
      <c r="R4564" s="33"/>
      <c r="T4564"/>
    </row>
    <row r="4565" spans="1:20" x14ac:dyDescent="0.2">
      <c r="A4565" s="9"/>
      <c r="B4565" s="9"/>
      <c r="C4565" s="9"/>
      <c r="D4565" s="9"/>
      <c r="E4565" s="9"/>
      <c r="F4565" s="9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T4565"/>
    </row>
    <row r="4566" spans="1:20" x14ac:dyDescent="0.2">
      <c r="A4566" s="33"/>
      <c r="B4566" s="33"/>
      <c r="C4566" s="33"/>
      <c r="D4566" s="33"/>
      <c r="E4566" s="33"/>
      <c r="F4566" s="33"/>
      <c r="G4566" s="33"/>
      <c r="H4566" s="33"/>
      <c r="I4566" s="33"/>
      <c r="J4566" s="33"/>
      <c r="K4566" s="33"/>
      <c r="L4566" s="33"/>
      <c r="M4566" s="33"/>
      <c r="N4566" s="33"/>
      <c r="O4566" s="33"/>
      <c r="P4566" s="33"/>
      <c r="Q4566" s="33"/>
      <c r="R4566" s="33"/>
      <c r="T4566"/>
    </row>
    <row r="4567" spans="1:20" x14ac:dyDescent="0.2">
      <c r="A4567" s="9"/>
      <c r="B4567" s="9"/>
      <c r="C4567" s="9"/>
      <c r="D4567" s="9"/>
      <c r="E4567" s="9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T4567"/>
    </row>
    <row r="4568" spans="1:20" x14ac:dyDescent="0.2">
      <c r="A4568" s="33"/>
      <c r="B4568" s="33"/>
      <c r="C4568" s="33"/>
      <c r="D4568" s="33"/>
      <c r="E4568" s="33"/>
      <c r="F4568" s="33"/>
      <c r="G4568" s="33"/>
      <c r="H4568" s="33"/>
      <c r="I4568" s="33"/>
      <c r="J4568" s="33"/>
      <c r="K4568" s="33"/>
      <c r="L4568" s="33"/>
      <c r="M4568" s="33"/>
      <c r="N4568" s="33"/>
      <c r="O4568" s="33"/>
      <c r="P4568" s="33"/>
      <c r="Q4568" s="33"/>
      <c r="R4568" s="33"/>
      <c r="T4568"/>
    </row>
    <row r="4569" spans="1:20" x14ac:dyDescent="0.2">
      <c r="A4569" s="9"/>
      <c r="B4569" s="9"/>
      <c r="C4569" s="9"/>
      <c r="D4569" s="9"/>
      <c r="E4569" s="9"/>
      <c r="F4569" s="9"/>
      <c r="G4569" s="9"/>
      <c r="H4569" s="9"/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T4569"/>
    </row>
    <row r="4570" spans="1:20" x14ac:dyDescent="0.2">
      <c r="A4570" s="33"/>
      <c r="B4570" s="33"/>
      <c r="C4570" s="33"/>
      <c r="D4570" s="33"/>
      <c r="E4570" s="33"/>
      <c r="F4570" s="33"/>
      <c r="G4570" s="33"/>
      <c r="H4570" s="33"/>
      <c r="I4570" s="33"/>
      <c r="J4570" s="33"/>
      <c r="K4570" s="33"/>
      <c r="L4570" s="33"/>
      <c r="M4570" s="33"/>
      <c r="N4570" s="33"/>
      <c r="O4570" s="33"/>
      <c r="P4570" s="33"/>
      <c r="Q4570" s="33"/>
      <c r="R4570" s="33"/>
      <c r="T4570"/>
    </row>
    <row r="4571" spans="1:20" x14ac:dyDescent="0.2">
      <c r="A4571" s="9"/>
      <c r="B4571" s="9"/>
      <c r="C4571" s="9"/>
      <c r="D4571" s="9"/>
      <c r="E4571" s="9"/>
      <c r="F4571" s="9"/>
      <c r="G4571" s="9"/>
      <c r="H4571" s="9"/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T4571"/>
    </row>
    <row r="4572" spans="1:20" x14ac:dyDescent="0.2">
      <c r="A4572" s="33"/>
      <c r="B4572" s="33"/>
      <c r="C4572" s="33"/>
      <c r="D4572" s="33"/>
      <c r="E4572" s="33"/>
      <c r="F4572" s="33"/>
      <c r="G4572" s="33"/>
      <c r="H4572" s="33"/>
      <c r="I4572" s="33"/>
      <c r="J4572" s="33"/>
      <c r="K4572" s="33"/>
      <c r="L4572" s="33"/>
      <c r="M4572" s="33"/>
      <c r="N4572" s="33"/>
      <c r="O4572" s="33"/>
      <c r="P4572" s="33"/>
      <c r="Q4572" s="33"/>
      <c r="R4572" s="33"/>
      <c r="T4572"/>
    </row>
    <row r="4573" spans="1:20" x14ac:dyDescent="0.2">
      <c r="A4573" s="9"/>
      <c r="B4573" s="9"/>
      <c r="C4573" s="9"/>
      <c r="D4573" s="9"/>
      <c r="E4573" s="9"/>
      <c r="F4573" s="9"/>
      <c r="G4573" s="9"/>
      <c r="H4573" s="9"/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T4573"/>
    </row>
    <row r="4574" spans="1:20" x14ac:dyDescent="0.2">
      <c r="A4574" s="33"/>
      <c r="B4574" s="33"/>
      <c r="C4574" s="33"/>
      <c r="D4574" s="33"/>
      <c r="E4574" s="33"/>
      <c r="F4574" s="33"/>
      <c r="G4574" s="33"/>
      <c r="H4574" s="33"/>
      <c r="I4574" s="33"/>
      <c r="J4574" s="33"/>
      <c r="K4574" s="33"/>
      <c r="L4574" s="33"/>
      <c r="M4574" s="33"/>
      <c r="N4574" s="33"/>
      <c r="O4574" s="33"/>
      <c r="P4574" s="33"/>
      <c r="Q4574" s="33"/>
      <c r="R4574" s="33"/>
      <c r="T4574"/>
    </row>
    <row r="4575" spans="1:20" x14ac:dyDescent="0.2">
      <c r="A4575" s="9"/>
      <c r="B4575" s="9"/>
      <c r="C4575" s="9"/>
      <c r="D4575" s="9"/>
      <c r="E4575" s="9"/>
      <c r="F4575" s="9"/>
      <c r="G4575" s="9"/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T4575"/>
    </row>
    <row r="4576" spans="1:20" x14ac:dyDescent="0.2">
      <c r="A4576" s="33"/>
      <c r="B4576" s="33"/>
      <c r="C4576" s="33"/>
      <c r="D4576" s="33"/>
      <c r="E4576" s="33"/>
      <c r="F4576" s="33"/>
      <c r="G4576" s="33"/>
      <c r="H4576" s="33"/>
      <c r="I4576" s="33"/>
      <c r="J4576" s="33"/>
      <c r="K4576" s="33"/>
      <c r="L4576" s="33"/>
      <c r="M4576" s="33"/>
      <c r="N4576" s="33"/>
      <c r="O4576" s="33"/>
      <c r="P4576" s="33"/>
      <c r="Q4576" s="33"/>
      <c r="R4576" s="33"/>
      <c r="T4576"/>
    </row>
    <row r="4577" spans="1:20" x14ac:dyDescent="0.2">
      <c r="A4577" s="9"/>
      <c r="B4577" s="9"/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T4577"/>
    </row>
    <row r="4578" spans="1:20" x14ac:dyDescent="0.2">
      <c r="A4578" s="33"/>
      <c r="B4578" s="33"/>
      <c r="C4578" s="33"/>
      <c r="D4578" s="33"/>
      <c r="E4578" s="33"/>
      <c r="F4578" s="33"/>
      <c r="G4578" s="33"/>
      <c r="H4578" s="33"/>
      <c r="I4578" s="33"/>
      <c r="J4578" s="33"/>
      <c r="K4578" s="33"/>
      <c r="L4578" s="33"/>
      <c r="M4578" s="33"/>
      <c r="N4578" s="33"/>
      <c r="O4578" s="33"/>
      <c r="P4578" s="33"/>
      <c r="Q4578" s="33"/>
      <c r="R4578" s="33"/>
      <c r="T4578"/>
    </row>
    <row r="4579" spans="1:20" x14ac:dyDescent="0.2">
      <c r="A4579" s="9"/>
      <c r="B4579" s="9"/>
      <c r="C4579" s="9"/>
      <c r="D4579" s="9"/>
      <c r="E4579" s="9"/>
      <c r="F4579" s="9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T4579"/>
    </row>
    <row r="4580" spans="1:20" x14ac:dyDescent="0.2">
      <c r="A4580" s="33"/>
      <c r="B4580" s="33"/>
      <c r="C4580" s="33"/>
      <c r="D4580" s="33"/>
      <c r="E4580" s="33"/>
      <c r="F4580" s="33"/>
      <c r="G4580" s="33"/>
      <c r="H4580" s="33"/>
      <c r="I4580" s="33"/>
      <c r="J4580" s="33"/>
      <c r="K4580" s="33"/>
      <c r="L4580" s="33"/>
      <c r="M4580" s="33"/>
      <c r="N4580" s="33"/>
      <c r="O4580" s="33"/>
      <c r="P4580" s="33"/>
      <c r="Q4580" s="33"/>
      <c r="R4580" s="33"/>
      <c r="T4580"/>
    </row>
    <row r="4581" spans="1:20" x14ac:dyDescent="0.2">
      <c r="A4581" s="9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T4581"/>
    </row>
    <row r="4582" spans="1:20" x14ac:dyDescent="0.2">
      <c r="A4582" s="33"/>
      <c r="B4582" s="33"/>
      <c r="C4582" s="33"/>
      <c r="D4582" s="33"/>
      <c r="E4582" s="33"/>
      <c r="F4582" s="33"/>
      <c r="G4582" s="33"/>
      <c r="H4582" s="33"/>
      <c r="I4582" s="33"/>
      <c r="J4582" s="33"/>
      <c r="K4582" s="33"/>
      <c r="L4582" s="33"/>
      <c r="M4582" s="33"/>
      <c r="N4582" s="33"/>
      <c r="O4582" s="33"/>
      <c r="P4582" s="33"/>
      <c r="Q4582" s="33"/>
      <c r="R4582" s="33"/>
      <c r="T4582"/>
    </row>
    <row r="4583" spans="1:20" x14ac:dyDescent="0.2">
      <c r="A4583" s="9"/>
      <c r="B4583" s="9"/>
      <c r="C4583" s="9"/>
      <c r="D4583" s="9"/>
      <c r="E4583" s="9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T4583"/>
    </row>
    <row r="4584" spans="1:20" x14ac:dyDescent="0.2">
      <c r="A4584" s="33"/>
      <c r="B4584" s="33"/>
      <c r="C4584" s="33"/>
      <c r="D4584" s="33"/>
      <c r="E4584" s="33"/>
      <c r="F4584" s="33"/>
      <c r="G4584" s="33"/>
      <c r="H4584" s="33"/>
      <c r="I4584" s="33"/>
      <c r="J4584" s="33"/>
      <c r="K4584" s="33"/>
      <c r="L4584" s="33"/>
      <c r="M4584" s="33"/>
      <c r="N4584" s="33"/>
      <c r="O4584" s="33"/>
      <c r="P4584" s="33"/>
      <c r="Q4584" s="33"/>
      <c r="R4584" s="33"/>
      <c r="T4584"/>
    </row>
    <row r="4585" spans="1:20" x14ac:dyDescent="0.2">
      <c r="A4585" s="9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T4585"/>
    </row>
    <row r="4586" spans="1:20" x14ac:dyDescent="0.2">
      <c r="A4586" s="33"/>
      <c r="B4586" s="33"/>
      <c r="C4586" s="33"/>
      <c r="D4586" s="33"/>
      <c r="E4586" s="33"/>
      <c r="F4586" s="33"/>
      <c r="G4586" s="33"/>
      <c r="H4586" s="33"/>
      <c r="I4586" s="33"/>
      <c r="J4586" s="33"/>
      <c r="K4586" s="33"/>
      <c r="L4586" s="33"/>
      <c r="M4586" s="33"/>
      <c r="N4586" s="33"/>
      <c r="O4586" s="33"/>
      <c r="P4586" s="33"/>
      <c r="Q4586" s="33"/>
      <c r="R4586" s="33"/>
      <c r="T4586"/>
    </row>
    <row r="4587" spans="1:20" x14ac:dyDescent="0.2">
      <c r="A4587" s="9"/>
      <c r="B4587" s="9"/>
      <c r="C4587" s="9"/>
      <c r="D4587" s="9"/>
      <c r="E4587" s="9"/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T4587"/>
    </row>
    <row r="4588" spans="1:20" x14ac:dyDescent="0.2">
      <c r="A4588" s="33"/>
      <c r="B4588" s="33"/>
      <c r="C4588" s="33"/>
      <c r="D4588" s="33"/>
      <c r="E4588" s="33"/>
      <c r="F4588" s="33"/>
      <c r="G4588" s="33"/>
      <c r="H4588" s="33"/>
      <c r="I4588" s="33"/>
      <c r="J4588" s="33"/>
      <c r="K4588" s="33"/>
      <c r="L4588" s="33"/>
      <c r="M4588" s="33"/>
      <c r="N4588" s="33"/>
      <c r="O4588" s="33"/>
      <c r="P4588" s="33"/>
      <c r="Q4588" s="33"/>
      <c r="R4588" s="33"/>
      <c r="T4588"/>
    </row>
    <row r="4589" spans="1:20" x14ac:dyDescent="0.2">
      <c r="A4589" s="9"/>
      <c r="B4589" s="9"/>
      <c r="C4589" s="9"/>
      <c r="D4589" s="9"/>
      <c r="E4589" s="9"/>
      <c r="F4589" s="9"/>
      <c r="G4589" s="9"/>
      <c r="H4589" s="9"/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T4589"/>
    </row>
    <row r="4590" spans="1:20" x14ac:dyDescent="0.2">
      <c r="A4590" s="33"/>
      <c r="B4590" s="33"/>
      <c r="C4590" s="33"/>
      <c r="D4590" s="33"/>
      <c r="E4590" s="33"/>
      <c r="F4590" s="33"/>
      <c r="G4590" s="33"/>
      <c r="H4590" s="33"/>
      <c r="I4590" s="33"/>
      <c r="J4590" s="33"/>
      <c r="K4590" s="33"/>
      <c r="L4590" s="33"/>
      <c r="M4590" s="33"/>
      <c r="N4590" s="33"/>
      <c r="O4590" s="33"/>
      <c r="P4590" s="33"/>
      <c r="Q4590" s="33"/>
      <c r="R4590" s="33"/>
      <c r="T4590"/>
    </row>
    <row r="4591" spans="1:20" x14ac:dyDescent="0.2">
      <c r="A4591" s="9"/>
      <c r="B4591" s="9"/>
      <c r="C4591" s="9"/>
      <c r="D4591" s="9"/>
      <c r="E4591" s="9"/>
      <c r="F4591" s="9"/>
      <c r="G4591" s="9"/>
      <c r="H4591" s="9"/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T4591"/>
    </row>
    <row r="4592" spans="1:20" x14ac:dyDescent="0.2">
      <c r="A4592" s="33"/>
      <c r="B4592" s="33"/>
      <c r="C4592" s="33"/>
      <c r="D4592" s="33"/>
      <c r="E4592" s="33"/>
      <c r="F4592" s="33"/>
      <c r="G4592" s="33"/>
      <c r="H4592" s="33"/>
      <c r="I4592" s="33"/>
      <c r="J4592" s="33"/>
      <c r="K4592" s="33"/>
      <c r="L4592" s="33"/>
      <c r="M4592" s="33"/>
      <c r="N4592" s="33"/>
      <c r="O4592" s="33"/>
      <c r="P4592" s="33"/>
      <c r="Q4592" s="33"/>
      <c r="R4592" s="33"/>
      <c r="T4592"/>
    </row>
    <row r="4593" spans="1:20" x14ac:dyDescent="0.2">
      <c r="A4593" s="9"/>
      <c r="B4593" s="9"/>
      <c r="C4593" s="9"/>
      <c r="D4593" s="9"/>
      <c r="E4593" s="9"/>
      <c r="F4593" s="9"/>
      <c r="G4593" s="9"/>
      <c r="H4593" s="9"/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T4593"/>
    </row>
    <row r="4594" spans="1:20" x14ac:dyDescent="0.2">
      <c r="A4594" s="33"/>
      <c r="B4594" s="33"/>
      <c r="C4594" s="33"/>
      <c r="D4594" s="33"/>
      <c r="E4594" s="33"/>
      <c r="F4594" s="33"/>
      <c r="G4594" s="33"/>
      <c r="H4594" s="33"/>
      <c r="I4594" s="33"/>
      <c r="J4594" s="33"/>
      <c r="K4594" s="33"/>
      <c r="L4594" s="33"/>
      <c r="M4594" s="33"/>
      <c r="N4594" s="33"/>
      <c r="O4594" s="33"/>
      <c r="P4594" s="33"/>
      <c r="Q4594" s="33"/>
      <c r="R4594" s="33"/>
      <c r="T4594"/>
    </row>
    <row r="4595" spans="1:20" x14ac:dyDescent="0.2">
      <c r="A4595" s="9"/>
      <c r="B4595" s="9"/>
      <c r="C4595" s="9"/>
      <c r="D4595" s="9"/>
      <c r="E4595" s="9"/>
      <c r="F4595" s="9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T4595"/>
    </row>
    <row r="4596" spans="1:20" x14ac:dyDescent="0.2">
      <c r="A4596" s="33"/>
      <c r="B4596" s="33"/>
      <c r="C4596" s="33"/>
      <c r="D4596" s="33"/>
      <c r="E4596" s="33"/>
      <c r="F4596" s="33"/>
      <c r="G4596" s="33"/>
      <c r="H4596" s="33"/>
      <c r="I4596" s="33"/>
      <c r="J4596" s="33"/>
      <c r="K4596" s="33"/>
      <c r="L4596" s="33"/>
      <c r="M4596" s="33"/>
      <c r="N4596" s="33"/>
      <c r="O4596" s="33"/>
      <c r="P4596" s="33"/>
      <c r="Q4596" s="33"/>
      <c r="R4596" s="33"/>
      <c r="T4596"/>
    </row>
    <row r="4597" spans="1:20" x14ac:dyDescent="0.2">
      <c r="A4597" s="9"/>
      <c r="B4597" s="9"/>
      <c r="C4597" s="9"/>
      <c r="D4597" s="9"/>
      <c r="E4597" s="9"/>
      <c r="F4597" s="9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T4597"/>
    </row>
    <row r="4598" spans="1:20" x14ac:dyDescent="0.2">
      <c r="A4598" s="33"/>
      <c r="B4598" s="33"/>
      <c r="C4598" s="33"/>
      <c r="D4598" s="33"/>
      <c r="E4598" s="33"/>
      <c r="F4598" s="33"/>
      <c r="G4598" s="33"/>
      <c r="H4598" s="33"/>
      <c r="I4598" s="33"/>
      <c r="J4598" s="33"/>
      <c r="K4598" s="33"/>
      <c r="L4598" s="33"/>
      <c r="M4598" s="33"/>
      <c r="N4598" s="33"/>
      <c r="O4598" s="33"/>
      <c r="P4598" s="33"/>
      <c r="Q4598" s="33"/>
      <c r="R4598" s="33"/>
      <c r="T4598"/>
    </row>
    <row r="4599" spans="1:20" x14ac:dyDescent="0.2">
      <c r="A4599" s="9"/>
      <c r="B4599" s="9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T4599"/>
    </row>
    <row r="4600" spans="1:20" x14ac:dyDescent="0.2">
      <c r="A4600" s="33"/>
      <c r="B4600" s="33"/>
      <c r="C4600" s="33"/>
      <c r="D4600" s="33"/>
      <c r="E4600" s="33"/>
      <c r="F4600" s="33"/>
      <c r="G4600" s="33"/>
      <c r="H4600" s="33"/>
      <c r="I4600" s="33"/>
      <c r="J4600" s="33"/>
      <c r="K4600" s="33"/>
      <c r="L4600" s="33"/>
      <c r="M4600" s="33"/>
      <c r="N4600" s="33"/>
      <c r="O4600" s="33"/>
      <c r="P4600" s="33"/>
      <c r="Q4600" s="33"/>
      <c r="R4600" s="33"/>
      <c r="T4600"/>
    </row>
    <row r="4601" spans="1:20" x14ac:dyDescent="0.2">
      <c r="A4601" s="9"/>
      <c r="B4601" s="9"/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T4601"/>
    </row>
    <row r="4602" spans="1:20" x14ac:dyDescent="0.2">
      <c r="A4602" s="33"/>
      <c r="B4602" s="33"/>
      <c r="C4602" s="33"/>
      <c r="D4602" s="33"/>
      <c r="E4602" s="33"/>
      <c r="F4602" s="33"/>
      <c r="G4602" s="33"/>
      <c r="H4602" s="33"/>
      <c r="I4602" s="33"/>
      <c r="J4602" s="33"/>
      <c r="K4602" s="33"/>
      <c r="L4602" s="33"/>
      <c r="M4602" s="33"/>
      <c r="N4602" s="33"/>
      <c r="O4602" s="33"/>
      <c r="P4602" s="33"/>
      <c r="Q4602" s="33"/>
      <c r="R4602" s="33"/>
      <c r="T4602"/>
    </row>
    <row r="4603" spans="1:20" x14ac:dyDescent="0.2">
      <c r="A4603" s="9"/>
      <c r="B4603" s="9"/>
      <c r="C4603" s="9"/>
      <c r="D4603" s="9"/>
      <c r="E4603" s="9"/>
      <c r="F4603" s="9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T4603"/>
    </row>
    <row r="4604" spans="1:20" x14ac:dyDescent="0.2">
      <c r="A4604" s="33"/>
      <c r="B4604" s="33"/>
      <c r="C4604" s="33"/>
      <c r="D4604" s="33"/>
      <c r="E4604" s="33"/>
      <c r="F4604" s="33"/>
      <c r="G4604" s="33"/>
      <c r="H4604" s="33"/>
      <c r="I4604" s="33"/>
      <c r="J4604" s="33"/>
      <c r="K4604" s="33"/>
      <c r="L4604" s="33"/>
      <c r="M4604" s="33"/>
      <c r="N4604" s="33"/>
      <c r="O4604" s="33"/>
      <c r="P4604" s="33"/>
      <c r="Q4604" s="33"/>
      <c r="R4604" s="33"/>
      <c r="T4604"/>
    </row>
    <row r="4605" spans="1:20" x14ac:dyDescent="0.2">
      <c r="A4605" s="9"/>
      <c r="B4605" s="9"/>
      <c r="C4605" s="9"/>
      <c r="D4605" s="9"/>
      <c r="E4605" s="9"/>
      <c r="F4605" s="9"/>
      <c r="G4605" s="9"/>
      <c r="H4605" s="9"/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T4605"/>
    </row>
    <row r="4606" spans="1:20" x14ac:dyDescent="0.2">
      <c r="A4606" s="33"/>
      <c r="B4606" s="33"/>
      <c r="C4606" s="33"/>
      <c r="D4606" s="33"/>
      <c r="E4606" s="33"/>
      <c r="F4606" s="33"/>
      <c r="G4606" s="33"/>
      <c r="H4606" s="33"/>
      <c r="I4606" s="33"/>
      <c r="J4606" s="33"/>
      <c r="K4606" s="33"/>
      <c r="L4606" s="33"/>
      <c r="M4606" s="33"/>
      <c r="N4606" s="33"/>
      <c r="O4606" s="33"/>
      <c r="P4606" s="33"/>
      <c r="Q4606" s="33"/>
      <c r="R4606" s="33"/>
      <c r="T4606"/>
    </row>
    <row r="4607" spans="1:20" x14ac:dyDescent="0.2">
      <c r="A4607" s="9"/>
      <c r="B4607" s="9"/>
      <c r="C4607" s="9"/>
      <c r="D4607" s="9"/>
      <c r="E4607" s="9"/>
      <c r="F4607" s="9"/>
      <c r="G4607" s="9"/>
      <c r="H4607" s="9"/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T4607"/>
    </row>
    <row r="4608" spans="1:20" x14ac:dyDescent="0.2">
      <c r="A4608" s="33"/>
      <c r="B4608" s="33"/>
      <c r="C4608" s="33"/>
      <c r="D4608" s="33"/>
      <c r="E4608" s="33"/>
      <c r="F4608" s="33"/>
      <c r="G4608" s="33"/>
      <c r="H4608" s="33"/>
      <c r="I4608" s="33"/>
      <c r="J4608" s="33"/>
      <c r="K4608" s="33"/>
      <c r="L4608" s="33"/>
      <c r="M4608" s="33"/>
      <c r="N4608" s="33"/>
      <c r="O4608" s="33"/>
      <c r="P4608" s="33"/>
      <c r="Q4608" s="33"/>
      <c r="R4608" s="33"/>
      <c r="T4608"/>
    </row>
    <row r="4609" spans="1:20" x14ac:dyDescent="0.2">
      <c r="A4609" s="9"/>
      <c r="B4609" s="9"/>
      <c r="C4609" s="9"/>
      <c r="D4609" s="9"/>
      <c r="E4609" s="9"/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T4609"/>
    </row>
    <row r="4610" spans="1:20" x14ac:dyDescent="0.2">
      <c r="A4610" s="33"/>
      <c r="B4610" s="33"/>
      <c r="C4610" s="33"/>
      <c r="D4610" s="33"/>
      <c r="E4610" s="33"/>
      <c r="F4610" s="33"/>
      <c r="G4610" s="33"/>
      <c r="H4610" s="33"/>
      <c r="I4610" s="33"/>
      <c r="J4610" s="33"/>
      <c r="K4610" s="33"/>
      <c r="L4610" s="33"/>
      <c r="M4610" s="33"/>
      <c r="N4610" s="33"/>
      <c r="O4610" s="33"/>
      <c r="P4610" s="33"/>
      <c r="Q4610" s="33"/>
      <c r="R4610" s="33"/>
      <c r="T4610"/>
    </row>
    <row r="4611" spans="1:20" x14ac:dyDescent="0.2">
      <c r="A4611" s="9"/>
      <c r="B4611" s="9"/>
      <c r="C4611" s="9"/>
      <c r="D4611" s="9"/>
      <c r="E4611" s="9"/>
      <c r="F4611" s="9"/>
      <c r="G4611" s="9"/>
      <c r="H4611" s="9"/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T4611"/>
    </row>
    <row r="4612" spans="1:20" x14ac:dyDescent="0.2">
      <c r="A4612" s="33"/>
      <c r="B4612" s="33"/>
      <c r="C4612" s="33"/>
      <c r="D4612" s="33"/>
      <c r="E4612" s="33"/>
      <c r="F4612" s="33"/>
      <c r="G4612" s="33"/>
      <c r="H4612" s="33"/>
      <c r="I4612" s="33"/>
      <c r="J4612" s="33"/>
      <c r="K4612" s="33"/>
      <c r="L4612" s="33"/>
      <c r="M4612" s="33"/>
      <c r="N4612" s="33"/>
      <c r="O4612" s="33"/>
      <c r="P4612" s="33"/>
      <c r="Q4612" s="33"/>
      <c r="R4612" s="33"/>
      <c r="T4612"/>
    </row>
    <row r="4613" spans="1:20" x14ac:dyDescent="0.2">
      <c r="A4613" s="9"/>
      <c r="B4613" s="9"/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T4613"/>
    </row>
    <row r="4614" spans="1:20" x14ac:dyDescent="0.2">
      <c r="A4614" s="33"/>
      <c r="B4614" s="33"/>
      <c r="C4614" s="33"/>
      <c r="D4614" s="33"/>
      <c r="E4614" s="33"/>
      <c r="F4614" s="33"/>
      <c r="G4614" s="33"/>
      <c r="H4614" s="33"/>
      <c r="I4614" s="33"/>
      <c r="J4614" s="33"/>
      <c r="K4614" s="33"/>
      <c r="L4614" s="33"/>
      <c r="M4614" s="33"/>
      <c r="N4614" s="33"/>
      <c r="O4614" s="33"/>
      <c r="P4614" s="33"/>
      <c r="Q4614" s="33"/>
      <c r="R4614" s="33"/>
      <c r="T4614"/>
    </row>
    <row r="4615" spans="1:20" x14ac:dyDescent="0.2">
      <c r="A4615" s="9"/>
      <c r="B4615" s="9"/>
      <c r="C4615" s="9"/>
      <c r="D4615" s="9"/>
      <c r="E4615" s="9"/>
      <c r="F4615" s="9"/>
      <c r="G4615" s="9"/>
      <c r="H4615" s="9"/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T4615"/>
    </row>
    <row r="4616" spans="1:20" x14ac:dyDescent="0.2">
      <c r="A4616" s="33"/>
      <c r="B4616" s="33"/>
      <c r="C4616" s="33"/>
      <c r="D4616" s="33"/>
      <c r="E4616" s="33"/>
      <c r="F4616" s="33"/>
      <c r="G4616" s="33"/>
      <c r="H4616" s="33"/>
      <c r="I4616" s="33"/>
      <c r="J4616" s="33"/>
      <c r="K4616" s="33"/>
      <c r="L4616" s="33"/>
      <c r="M4616" s="33"/>
      <c r="N4616" s="33"/>
      <c r="O4616" s="33"/>
      <c r="P4616" s="33"/>
      <c r="Q4616" s="33"/>
      <c r="R4616" s="33"/>
      <c r="T4616"/>
    </row>
    <row r="4617" spans="1:20" x14ac:dyDescent="0.2">
      <c r="A4617" s="9"/>
      <c r="B4617" s="9"/>
      <c r="C4617" s="9"/>
      <c r="D4617" s="9"/>
      <c r="E4617" s="9"/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T4617"/>
    </row>
    <row r="4618" spans="1:20" x14ac:dyDescent="0.2">
      <c r="A4618" s="33"/>
      <c r="B4618" s="33"/>
      <c r="C4618" s="33"/>
      <c r="D4618" s="33"/>
      <c r="E4618" s="33"/>
      <c r="F4618" s="33"/>
      <c r="G4618" s="33"/>
      <c r="H4618" s="33"/>
      <c r="I4618" s="33"/>
      <c r="J4618" s="33"/>
      <c r="K4618" s="33"/>
      <c r="L4618" s="33"/>
      <c r="M4618" s="33"/>
      <c r="N4618" s="33"/>
      <c r="O4618" s="33"/>
      <c r="P4618" s="33"/>
      <c r="Q4618" s="33"/>
      <c r="R4618" s="33"/>
      <c r="T4618"/>
    </row>
    <row r="4619" spans="1:20" x14ac:dyDescent="0.2">
      <c r="A4619" s="9"/>
      <c r="B4619" s="9"/>
      <c r="C4619" s="9"/>
      <c r="D4619" s="9"/>
      <c r="E4619" s="9"/>
      <c r="F4619" s="9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T4619"/>
    </row>
    <row r="4620" spans="1:20" x14ac:dyDescent="0.2">
      <c r="A4620" s="33"/>
      <c r="B4620" s="33"/>
      <c r="C4620" s="33"/>
      <c r="D4620" s="33"/>
      <c r="E4620" s="33"/>
      <c r="F4620" s="33"/>
      <c r="G4620" s="33"/>
      <c r="H4620" s="33"/>
      <c r="I4620" s="33"/>
      <c r="J4620" s="33"/>
      <c r="K4620" s="33"/>
      <c r="L4620" s="33"/>
      <c r="M4620" s="33"/>
      <c r="N4620" s="33"/>
      <c r="O4620" s="33"/>
      <c r="P4620" s="33"/>
      <c r="Q4620" s="33"/>
      <c r="R4620" s="33"/>
      <c r="T4620"/>
    </row>
    <row r="4621" spans="1:20" x14ac:dyDescent="0.2">
      <c r="A4621" s="9"/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T4621"/>
    </row>
    <row r="4622" spans="1:20" x14ac:dyDescent="0.2">
      <c r="A4622" s="33"/>
      <c r="B4622" s="33"/>
      <c r="C4622" s="33"/>
      <c r="D4622" s="33"/>
      <c r="E4622" s="33"/>
      <c r="F4622" s="33"/>
      <c r="G4622" s="33"/>
      <c r="H4622" s="33"/>
      <c r="I4622" s="33"/>
      <c r="J4622" s="33"/>
      <c r="K4622" s="33"/>
      <c r="L4622" s="33"/>
      <c r="M4622" s="33"/>
      <c r="N4622" s="33"/>
      <c r="O4622" s="33"/>
      <c r="P4622" s="33"/>
      <c r="Q4622" s="33"/>
      <c r="R4622" s="33"/>
      <c r="T4622"/>
    </row>
    <row r="4623" spans="1:20" x14ac:dyDescent="0.2">
      <c r="A4623" s="9"/>
      <c r="B4623" s="9"/>
      <c r="C4623" s="9"/>
      <c r="D4623" s="9"/>
      <c r="E4623" s="9"/>
      <c r="F4623" s="9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T4623"/>
    </row>
    <row r="4624" spans="1:20" x14ac:dyDescent="0.2">
      <c r="A4624" s="33"/>
      <c r="B4624" s="33"/>
      <c r="C4624" s="33"/>
      <c r="D4624" s="33"/>
      <c r="E4624" s="33"/>
      <c r="F4624" s="33"/>
      <c r="G4624" s="33"/>
      <c r="H4624" s="33"/>
      <c r="I4624" s="33"/>
      <c r="J4624" s="33"/>
      <c r="K4624" s="33"/>
      <c r="L4624" s="33"/>
      <c r="M4624" s="33"/>
      <c r="N4624" s="33"/>
      <c r="O4624" s="33"/>
      <c r="P4624" s="33"/>
      <c r="Q4624" s="33"/>
      <c r="R4624" s="33"/>
      <c r="T4624"/>
    </row>
    <row r="4625" spans="1:20" x14ac:dyDescent="0.2">
      <c r="A4625" s="9"/>
      <c r="B4625" s="9"/>
      <c r="C4625" s="9"/>
      <c r="D4625" s="9"/>
      <c r="E4625" s="9"/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T4625"/>
    </row>
    <row r="4626" spans="1:20" x14ac:dyDescent="0.2">
      <c r="A4626" s="33"/>
      <c r="B4626" s="33"/>
      <c r="C4626" s="33"/>
      <c r="D4626" s="33"/>
      <c r="E4626" s="33"/>
      <c r="F4626" s="33"/>
      <c r="G4626" s="33"/>
      <c r="H4626" s="33"/>
      <c r="I4626" s="33"/>
      <c r="J4626" s="33"/>
      <c r="K4626" s="33"/>
      <c r="L4626" s="33"/>
      <c r="M4626" s="33"/>
      <c r="N4626" s="33"/>
      <c r="O4626" s="33"/>
      <c r="P4626" s="33"/>
      <c r="Q4626" s="33"/>
      <c r="R4626" s="33"/>
      <c r="T4626"/>
    </row>
    <row r="4627" spans="1:20" x14ac:dyDescent="0.2">
      <c r="A4627" s="9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T4627"/>
    </row>
    <row r="4628" spans="1:20" x14ac:dyDescent="0.2">
      <c r="A4628" s="33"/>
      <c r="B4628" s="33"/>
      <c r="C4628" s="33"/>
      <c r="D4628" s="33"/>
      <c r="E4628" s="33"/>
      <c r="F4628" s="33"/>
      <c r="G4628" s="33"/>
      <c r="H4628" s="33"/>
      <c r="I4628" s="33"/>
      <c r="J4628" s="33"/>
      <c r="K4628" s="33"/>
      <c r="L4628" s="33"/>
      <c r="M4628" s="33"/>
      <c r="N4628" s="33"/>
      <c r="O4628" s="33"/>
      <c r="P4628" s="33"/>
      <c r="Q4628" s="33"/>
      <c r="R4628" s="33"/>
      <c r="T4628"/>
    </row>
    <row r="4629" spans="1:20" x14ac:dyDescent="0.2">
      <c r="A4629" s="9"/>
      <c r="B4629" s="9"/>
      <c r="C4629" s="9"/>
      <c r="D4629" s="9"/>
      <c r="E4629" s="9"/>
      <c r="F4629" s="9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T4629"/>
    </row>
    <row r="4630" spans="1:20" x14ac:dyDescent="0.2">
      <c r="A4630" s="33"/>
      <c r="B4630" s="33"/>
      <c r="C4630" s="33"/>
      <c r="D4630" s="33"/>
      <c r="E4630" s="33"/>
      <c r="F4630" s="33"/>
      <c r="G4630" s="33"/>
      <c r="H4630" s="33"/>
      <c r="I4630" s="33"/>
      <c r="J4630" s="33"/>
      <c r="K4630" s="33"/>
      <c r="L4630" s="33"/>
      <c r="M4630" s="33"/>
      <c r="N4630" s="33"/>
      <c r="O4630" s="33"/>
      <c r="P4630" s="33"/>
      <c r="Q4630" s="33"/>
      <c r="R4630" s="33"/>
      <c r="T4630"/>
    </row>
    <row r="4631" spans="1:20" x14ac:dyDescent="0.2">
      <c r="A4631" s="9"/>
      <c r="B4631" s="9"/>
      <c r="C4631" s="9"/>
      <c r="D4631" s="9"/>
      <c r="E4631" s="9"/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T4631"/>
    </row>
    <row r="4632" spans="1:20" x14ac:dyDescent="0.2">
      <c r="A4632" s="33"/>
      <c r="B4632" s="33"/>
      <c r="C4632" s="33"/>
      <c r="D4632" s="33"/>
      <c r="E4632" s="33"/>
      <c r="F4632" s="33"/>
      <c r="G4632" s="33"/>
      <c r="H4632" s="33"/>
      <c r="I4632" s="33"/>
      <c r="J4632" s="33"/>
      <c r="K4632" s="33"/>
      <c r="L4632" s="33"/>
      <c r="M4632" s="33"/>
      <c r="N4632" s="33"/>
      <c r="O4632" s="33"/>
      <c r="P4632" s="33"/>
      <c r="Q4632" s="33"/>
      <c r="R4632" s="33"/>
      <c r="T4632"/>
    </row>
    <row r="4633" spans="1:20" x14ac:dyDescent="0.2">
      <c r="A4633" s="9"/>
      <c r="B4633" s="9"/>
      <c r="C4633" s="9"/>
      <c r="D4633" s="9"/>
      <c r="E4633" s="9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T4633"/>
    </row>
    <row r="4634" spans="1:20" x14ac:dyDescent="0.2">
      <c r="A4634" s="33"/>
      <c r="B4634" s="33"/>
      <c r="C4634" s="33"/>
      <c r="D4634" s="33"/>
      <c r="E4634" s="33"/>
      <c r="F4634" s="33"/>
      <c r="G4634" s="33"/>
      <c r="H4634" s="33"/>
      <c r="I4634" s="33"/>
      <c r="J4634" s="33"/>
      <c r="K4634" s="33"/>
      <c r="L4634" s="33"/>
      <c r="M4634" s="33"/>
      <c r="N4634" s="33"/>
      <c r="O4634" s="33"/>
      <c r="P4634" s="33"/>
      <c r="Q4634" s="33"/>
      <c r="R4634" s="33"/>
      <c r="T4634"/>
    </row>
    <row r="4635" spans="1:20" x14ac:dyDescent="0.2">
      <c r="A4635" s="9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T4635"/>
    </row>
    <row r="4636" spans="1:20" x14ac:dyDescent="0.2">
      <c r="A4636" s="33"/>
      <c r="B4636" s="33"/>
      <c r="C4636" s="33"/>
      <c r="D4636" s="33"/>
      <c r="E4636" s="33"/>
      <c r="F4636" s="33"/>
      <c r="G4636" s="33"/>
      <c r="H4636" s="33"/>
      <c r="I4636" s="33"/>
      <c r="J4636" s="33"/>
      <c r="K4636" s="33"/>
      <c r="L4636" s="33"/>
      <c r="M4636" s="33"/>
      <c r="N4636" s="33"/>
      <c r="O4636" s="33"/>
      <c r="P4636" s="33"/>
      <c r="Q4636" s="33"/>
      <c r="R4636" s="33"/>
      <c r="T4636"/>
    </row>
    <row r="4637" spans="1:20" x14ac:dyDescent="0.2">
      <c r="A4637" s="9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T4637"/>
    </row>
    <row r="4638" spans="1:20" x14ac:dyDescent="0.2">
      <c r="A4638" s="33"/>
      <c r="B4638" s="33"/>
      <c r="C4638" s="33"/>
      <c r="D4638" s="33"/>
      <c r="E4638" s="33"/>
      <c r="F4638" s="33"/>
      <c r="G4638" s="33"/>
      <c r="H4638" s="33"/>
      <c r="I4638" s="33"/>
      <c r="J4638" s="33"/>
      <c r="K4638" s="33"/>
      <c r="L4638" s="33"/>
      <c r="M4638" s="33"/>
      <c r="N4638" s="33"/>
      <c r="O4638" s="33"/>
      <c r="P4638" s="33"/>
      <c r="Q4638" s="33"/>
      <c r="R4638" s="33"/>
      <c r="T4638"/>
    </row>
    <row r="4639" spans="1:20" x14ac:dyDescent="0.2">
      <c r="A4639" s="9"/>
      <c r="B4639" s="9"/>
      <c r="C4639" s="9"/>
      <c r="D4639" s="9"/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T4639"/>
    </row>
    <row r="4640" spans="1:20" x14ac:dyDescent="0.2">
      <c r="A4640" s="33"/>
      <c r="B4640" s="33"/>
      <c r="C4640" s="33"/>
      <c r="D4640" s="33"/>
      <c r="E4640" s="33"/>
      <c r="F4640" s="33"/>
      <c r="G4640" s="33"/>
      <c r="H4640" s="33"/>
      <c r="I4640" s="33"/>
      <c r="J4640" s="33"/>
      <c r="K4640" s="33"/>
      <c r="L4640" s="33"/>
      <c r="M4640" s="33"/>
      <c r="N4640" s="33"/>
      <c r="O4640" s="33"/>
      <c r="P4640" s="33"/>
      <c r="Q4640" s="33"/>
      <c r="R4640" s="33"/>
      <c r="T4640"/>
    </row>
    <row r="4641" spans="1:20" x14ac:dyDescent="0.2">
      <c r="A4641" s="9"/>
      <c r="B4641" s="9"/>
      <c r="C4641" s="9"/>
      <c r="D4641" s="9"/>
      <c r="E4641" s="9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T4641"/>
    </row>
    <row r="4642" spans="1:20" x14ac:dyDescent="0.2">
      <c r="A4642" s="33"/>
      <c r="B4642" s="33"/>
      <c r="C4642" s="33"/>
      <c r="D4642" s="33"/>
      <c r="E4642" s="33"/>
      <c r="F4642" s="33"/>
      <c r="G4642" s="33"/>
      <c r="H4642" s="33"/>
      <c r="I4642" s="33"/>
      <c r="J4642" s="33"/>
      <c r="K4642" s="33"/>
      <c r="L4642" s="33"/>
      <c r="M4642" s="33"/>
      <c r="N4642" s="33"/>
      <c r="O4642" s="33"/>
      <c r="P4642" s="33"/>
      <c r="Q4642" s="33"/>
      <c r="R4642" s="33"/>
      <c r="T4642"/>
    </row>
    <row r="4643" spans="1:20" x14ac:dyDescent="0.2">
      <c r="A4643" s="9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T4643"/>
    </row>
    <row r="4644" spans="1:20" x14ac:dyDescent="0.2">
      <c r="A4644" s="33"/>
      <c r="B4644" s="33"/>
      <c r="C4644" s="33"/>
      <c r="D4644" s="33"/>
      <c r="E4644" s="33"/>
      <c r="F4644" s="33"/>
      <c r="G4644" s="33"/>
      <c r="H4644" s="33"/>
      <c r="I4644" s="33"/>
      <c r="J4644" s="33"/>
      <c r="K4644" s="33"/>
      <c r="L4644" s="33"/>
      <c r="M4644" s="33"/>
      <c r="N4644" s="33"/>
      <c r="O4644" s="33"/>
      <c r="P4644" s="33"/>
      <c r="Q4644" s="33"/>
      <c r="R4644" s="33"/>
      <c r="T4644"/>
    </row>
    <row r="4645" spans="1:20" x14ac:dyDescent="0.2">
      <c r="A4645" s="9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T4645"/>
    </row>
    <row r="4646" spans="1:20" x14ac:dyDescent="0.2">
      <c r="A4646" s="33"/>
      <c r="B4646" s="33"/>
      <c r="C4646" s="33"/>
      <c r="D4646" s="33"/>
      <c r="E4646" s="33"/>
      <c r="F4646" s="33"/>
      <c r="G4646" s="33"/>
      <c r="H4646" s="33"/>
      <c r="I4646" s="33"/>
      <c r="J4646" s="33"/>
      <c r="K4646" s="33"/>
      <c r="L4646" s="33"/>
      <c r="M4646" s="33"/>
      <c r="N4646" s="33"/>
      <c r="O4646" s="33"/>
      <c r="P4646" s="33"/>
      <c r="Q4646" s="33"/>
      <c r="R4646" s="33"/>
      <c r="T4646"/>
    </row>
    <row r="4647" spans="1:20" x14ac:dyDescent="0.2">
      <c r="A4647" s="9"/>
      <c r="B4647" s="9"/>
      <c r="C4647" s="9"/>
      <c r="D4647" s="9"/>
      <c r="E4647" s="9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T4647"/>
    </row>
    <row r="4648" spans="1:20" x14ac:dyDescent="0.2">
      <c r="A4648" s="33"/>
      <c r="B4648" s="33"/>
      <c r="C4648" s="33"/>
      <c r="D4648" s="33"/>
      <c r="E4648" s="33"/>
      <c r="F4648" s="33"/>
      <c r="G4648" s="33"/>
      <c r="H4648" s="33"/>
      <c r="I4648" s="33"/>
      <c r="J4648" s="33"/>
      <c r="K4648" s="33"/>
      <c r="L4648" s="33"/>
      <c r="M4648" s="33"/>
      <c r="N4648" s="33"/>
      <c r="O4648" s="33"/>
      <c r="P4648" s="33"/>
      <c r="Q4648" s="33"/>
      <c r="R4648" s="33"/>
      <c r="T4648"/>
    </row>
    <row r="4649" spans="1:20" x14ac:dyDescent="0.2">
      <c r="A4649" s="9"/>
      <c r="B4649" s="9"/>
      <c r="C4649" s="9"/>
      <c r="D4649" s="9"/>
      <c r="E4649" s="9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T4649"/>
    </row>
    <row r="4650" spans="1:20" x14ac:dyDescent="0.2">
      <c r="A4650" s="33"/>
      <c r="B4650" s="33"/>
      <c r="C4650" s="33"/>
      <c r="D4650" s="33"/>
      <c r="E4650" s="33"/>
      <c r="F4650" s="33"/>
      <c r="G4650" s="33"/>
      <c r="H4650" s="33"/>
      <c r="I4650" s="33"/>
      <c r="J4650" s="33"/>
      <c r="K4650" s="33"/>
      <c r="L4650" s="33"/>
      <c r="M4650" s="33"/>
      <c r="N4650" s="33"/>
      <c r="O4650" s="33"/>
      <c r="P4650" s="33"/>
      <c r="Q4650" s="33"/>
      <c r="R4650" s="33"/>
      <c r="T4650"/>
    </row>
    <row r="4651" spans="1:20" x14ac:dyDescent="0.2">
      <c r="A4651" s="9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T4651"/>
    </row>
    <row r="4652" spans="1:20" x14ac:dyDescent="0.2">
      <c r="A4652" s="33"/>
      <c r="B4652" s="33"/>
      <c r="C4652" s="33"/>
      <c r="D4652" s="33"/>
      <c r="E4652" s="33"/>
      <c r="F4652" s="33"/>
      <c r="G4652" s="33"/>
      <c r="H4652" s="33"/>
      <c r="I4652" s="33"/>
      <c r="J4652" s="33"/>
      <c r="K4652" s="33"/>
      <c r="L4652" s="33"/>
      <c r="M4652" s="33"/>
      <c r="N4652" s="33"/>
      <c r="O4652" s="33"/>
      <c r="P4652" s="33"/>
      <c r="Q4652" s="33"/>
      <c r="R4652" s="33"/>
      <c r="T4652"/>
    </row>
    <row r="4653" spans="1:20" x14ac:dyDescent="0.2">
      <c r="A4653" s="9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T4653"/>
    </row>
    <row r="4654" spans="1:20" x14ac:dyDescent="0.2">
      <c r="A4654" s="33"/>
      <c r="B4654" s="33"/>
      <c r="C4654" s="33"/>
      <c r="D4654" s="33"/>
      <c r="E4654" s="33"/>
      <c r="F4654" s="33"/>
      <c r="G4654" s="33"/>
      <c r="H4654" s="33"/>
      <c r="I4654" s="33"/>
      <c r="J4654" s="33"/>
      <c r="K4654" s="33"/>
      <c r="L4654" s="33"/>
      <c r="M4654" s="33"/>
      <c r="N4654" s="33"/>
      <c r="O4654" s="33"/>
      <c r="P4654" s="33"/>
      <c r="Q4654" s="33"/>
      <c r="R4654" s="33"/>
      <c r="T4654"/>
    </row>
    <row r="4655" spans="1:20" x14ac:dyDescent="0.2">
      <c r="A4655" s="9"/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T4655"/>
    </row>
    <row r="4656" spans="1:20" x14ac:dyDescent="0.2">
      <c r="A4656" s="33"/>
      <c r="B4656" s="33"/>
      <c r="C4656" s="33"/>
      <c r="D4656" s="33"/>
      <c r="E4656" s="33"/>
      <c r="F4656" s="33"/>
      <c r="G4656" s="33"/>
      <c r="H4656" s="33"/>
      <c r="I4656" s="33"/>
      <c r="J4656" s="33"/>
      <c r="K4656" s="33"/>
      <c r="L4656" s="33"/>
      <c r="M4656" s="33"/>
      <c r="N4656" s="33"/>
      <c r="O4656" s="33"/>
      <c r="P4656" s="33"/>
      <c r="Q4656" s="33"/>
      <c r="R4656" s="33"/>
      <c r="T4656"/>
    </row>
    <row r="4657" spans="1:20" x14ac:dyDescent="0.2">
      <c r="A4657" s="9"/>
      <c r="B4657" s="9"/>
      <c r="C4657" s="9"/>
      <c r="D4657" s="9"/>
      <c r="E4657" s="9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T4657"/>
    </row>
    <row r="4658" spans="1:20" x14ac:dyDescent="0.2">
      <c r="A4658" s="33"/>
      <c r="B4658" s="33"/>
      <c r="C4658" s="33"/>
      <c r="D4658" s="33"/>
      <c r="E4658" s="33"/>
      <c r="F4658" s="33"/>
      <c r="G4658" s="33"/>
      <c r="H4658" s="33"/>
      <c r="I4658" s="33"/>
      <c r="J4658" s="33"/>
      <c r="K4658" s="33"/>
      <c r="L4658" s="33"/>
      <c r="M4658" s="33"/>
      <c r="N4658" s="33"/>
      <c r="O4658" s="33"/>
      <c r="P4658" s="33"/>
      <c r="Q4658" s="33"/>
      <c r="R4658" s="33"/>
      <c r="T4658"/>
    </row>
    <row r="4659" spans="1:20" x14ac:dyDescent="0.2">
      <c r="A4659" s="9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T4659"/>
    </row>
    <row r="4660" spans="1:20" x14ac:dyDescent="0.2">
      <c r="A4660" s="33"/>
      <c r="B4660" s="33"/>
      <c r="C4660" s="33"/>
      <c r="D4660" s="33"/>
      <c r="E4660" s="33"/>
      <c r="F4660" s="33"/>
      <c r="G4660" s="33"/>
      <c r="H4660" s="33"/>
      <c r="I4660" s="33"/>
      <c r="J4660" s="33"/>
      <c r="K4660" s="33"/>
      <c r="L4660" s="33"/>
      <c r="M4660" s="33"/>
      <c r="N4660" s="33"/>
      <c r="O4660" s="33"/>
      <c r="P4660" s="33"/>
      <c r="Q4660" s="33"/>
      <c r="R4660" s="33"/>
      <c r="T4660"/>
    </row>
    <row r="4661" spans="1:20" x14ac:dyDescent="0.2">
      <c r="A4661" s="9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T4661"/>
    </row>
    <row r="4662" spans="1:20" x14ac:dyDescent="0.2">
      <c r="A4662" s="33"/>
      <c r="B4662" s="33"/>
      <c r="C4662" s="33"/>
      <c r="D4662" s="33"/>
      <c r="E4662" s="33"/>
      <c r="F4662" s="33"/>
      <c r="G4662" s="33"/>
      <c r="H4662" s="33"/>
      <c r="I4662" s="33"/>
      <c r="J4662" s="33"/>
      <c r="K4662" s="33"/>
      <c r="L4662" s="33"/>
      <c r="M4662" s="33"/>
      <c r="N4662" s="33"/>
      <c r="O4662" s="33"/>
      <c r="P4662" s="33"/>
      <c r="Q4662" s="33"/>
      <c r="R4662" s="33"/>
      <c r="T4662"/>
    </row>
    <row r="4663" spans="1:20" x14ac:dyDescent="0.2">
      <c r="A4663" s="9"/>
      <c r="B4663" s="9"/>
      <c r="C4663" s="9"/>
      <c r="D4663" s="9"/>
      <c r="E4663" s="9"/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T4663"/>
    </row>
    <row r="4664" spans="1:20" x14ac:dyDescent="0.2">
      <c r="A4664" s="33"/>
      <c r="B4664" s="33"/>
      <c r="C4664" s="33"/>
      <c r="D4664" s="33"/>
      <c r="E4664" s="33"/>
      <c r="F4664" s="33"/>
      <c r="G4664" s="33"/>
      <c r="H4664" s="33"/>
      <c r="I4664" s="33"/>
      <c r="J4664" s="33"/>
      <c r="K4664" s="33"/>
      <c r="L4664" s="33"/>
      <c r="M4664" s="33"/>
      <c r="N4664" s="33"/>
      <c r="O4664" s="33"/>
      <c r="P4664" s="33"/>
      <c r="Q4664" s="33"/>
      <c r="R4664" s="33"/>
      <c r="T4664"/>
    </row>
    <row r="4665" spans="1:20" x14ac:dyDescent="0.2">
      <c r="A4665" s="9"/>
      <c r="B4665" s="9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T4665"/>
    </row>
    <row r="4666" spans="1:20" x14ac:dyDescent="0.2">
      <c r="A4666" s="33"/>
      <c r="B4666" s="33"/>
      <c r="C4666" s="33"/>
      <c r="D4666" s="33"/>
      <c r="E4666" s="33"/>
      <c r="F4666" s="33"/>
      <c r="G4666" s="33"/>
      <c r="H4666" s="33"/>
      <c r="I4666" s="33"/>
      <c r="J4666" s="33"/>
      <c r="K4666" s="33"/>
      <c r="L4666" s="33"/>
      <c r="M4666" s="33"/>
      <c r="N4666" s="33"/>
      <c r="O4666" s="33"/>
      <c r="P4666" s="33"/>
      <c r="Q4666" s="33"/>
      <c r="R4666" s="33"/>
      <c r="T4666"/>
    </row>
    <row r="4667" spans="1:20" x14ac:dyDescent="0.2">
      <c r="A4667" s="9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T4667"/>
    </row>
    <row r="4668" spans="1:20" x14ac:dyDescent="0.2">
      <c r="A4668" s="33"/>
      <c r="B4668" s="33"/>
      <c r="C4668" s="33"/>
      <c r="D4668" s="33"/>
      <c r="E4668" s="33"/>
      <c r="F4668" s="33"/>
      <c r="G4668" s="33"/>
      <c r="H4668" s="33"/>
      <c r="I4668" s="33"/>
      <c r="J4668" s="33"/>
      <c r="K4668" s="33"/>
      <c r="L4668" s="33"/>
      <c r="M4668" s="33"/>
      <c r="N4668" s="33"/>
      <c r="O4668" s="33"/>
      <c r="P4668" s="33"/>
      <c r="Q4668" s="33"/>
      <c r="R4668" s="33"/>
      <c r="T4668"/>
    </row>
    <row r="4669" spans="1:20" x14ac:dyDescent="0.2">
      <c r="A4669" s="9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T4669"/>
    </row>
    <row r="4670" spans="1:20" x14ac:dyDescent="0.2">
      <c r="A4670" s="33"/>
      <c r="B4670" s="33"/>
      <c r="C4670" s="33"/>
      <c r="D4670" s="33"/>
      <c r="E4670" s="33"/>
      <c r="F4670" s="33"/>
      <c r="G4670" s="33"/>
      <c r="H4670" s="33"/>
      <c r="I4670" s="33"/>
      <c r="J4670" s="33"/>
      <c r="K4670" s="33"/>
      <c r="L4670" s="33"/>
      <c r="M4670" s="33"/>
      <c r="N4670" s="33"/>
      <c r="O4670" s="33"/>
      <c r="P4670" s="33"/>
      <c r="Q4670" s="33"/>
      <c r="R4670" s="33"/>
      <c r="T4670"/>
    </row>
    <row r="4671" spans="1:20" x14ac:dyDescent="0.2">
      <c r="A4671" s="9"/>
      <c r="B4671" s="9"/>
      <c r="C4671" s="9"/>
      <c r="D4671" s="9"/>
      <c r="E4671" s="9"/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T4671"/>
    </row>
    <row r="4672" spans="1:20" x14ac:dyDescent="0.2">
      <c r="A4672" s="33"/>
      <c r="B4672" s="33"/>
      <c r="C4672" s="33"/>
      <c r="D4672" s="33"/>
      <c r="E4672" s="33"/>
      <c r="F4672" s="33"/>
      <c r="G4672" s="33"/>
      <c r="H4672" s="33"/>
      <c r="I4672" s="33"/>
      <c r="J4672" s="33"/>
      <c r="K4672" s="33"/>
      <c r="L4672" s="33"/>
      <c r="M4672" s="33"/>
      <c r="N4672" s="33"/>
      <c r="O4672" s="33"/>
      <c r="P4672" s="33"/>
      <c r="Q4672" s="33"/>
      <c r="R4672" s="33"/>
      <c r="T4672"/>
    </row>
    <row r="4673" spans="1:20" x14ac:dyDescent="0.2">
      <c r="A4673" s="9"/>
      <c r="B4673" s="9"/>
      <c r="C4673" s="9"/>
      <c r="D4673" s="9"/>
      <c r="E4673" s="9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T4673"/>
    </row>
    <row r="4674" spans="1:20" x14ac:dyDescent="0.2">
      <c r="A4674" s="33"/>
      <c r="B4674" s="33"/>
      <c r="C4674" s="33"/>
      <c r="D4674" s="33"/>
      <c r="E4674" s="33"/>
      <c r="F4674" s="33"/>
      <c r="G4674" s="33"/>
      <c r="H4674" s="33"/>
      <c r="I4674" s="33"/>
      <c r="J4674" s="33"/>
      <c r="K4674" s="33"/>
      <c r="L4674" s="33"/>
      <c r="M4674" s="33"/>
      <c r="N4674" s="33"/>
      <c r="O4674" s="33"/>
      <c r="P4674" s="33"/>
      <c r="Q4674" s="33"/>
      <c r="R4674" s="33"/>
      <c r="T4674"/>
    </row>
    <row r="4675" spans="1:20" x14ac:dyDescent="0.2">
      <c r="A4675" s="9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T4675"/>
    </row>
    <row r="4676" spans="1:20" x14ac:dyDescent="0.2">
      <c r="A4676" s="33"/>
      <c r="B4676" s="33"/>
      <c r="C4676" s="33"/>
      <c r="D4676" s="33"/>
      <c r="E4676" s="33"/>
      <c r="F4676" s="33"/>
      <c r="G4676" s="33"/>
      <c r="H4676" s="33"/>
      <c r="I4676" s="33"/>
      <c r="J4676" s="33"/>
      <c r="K4676" s="33"/>
      <c r="L4676" s="33"/>
      <c r="M4676" s="33"/>
      <c r="N4676" s="33"/>
      <c r="O4676" s="33"/>
      <c r="P4676" s="33"/>
      <c r="Q4676" s="33"/>
      <c r="R4676" s="33"/>
      <c r="T4676"/>
    </row>
    <row r="4677" spans="1:20" x14ac:dyDescent="0.2">
      <c r="A4677" s="9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T4677"/>
    </row>
    <row r="4678" spans="1:20" x14ac:dyDescent="0.2">
      <c r="A4678" s="33"/>
      <c r="B4678" s="33"/>
      <c r="C4678" s="33"/>
      <c r="D4678" s="33"/>
      <c r="E4678" s="33"/>
      <c r="F4678" s="33"/>
      <c r="G4678" s="33"/>
      <c r="H4678" s="33"/>
      <c r="I4678" s="33"/>
      <c r="J4678" s="33"/>
      <c r="K4678" s="33"/>
      <c r="L4678" s="33"/>
      <c r="M4678" s="33"/>
      <c r="N4678" s="33"/>
      <c r="O4678" s="33"/>
      <c r="P4678" s="33"/>
      <c r="Q4678" s="33"/>
      <c r="R4678" s="33"/>
      <c r="T4678"/>
    </row>
    <row r="4679" spans="1:20" x14ac:dyDescent="0.2">
      <c r="A4679" s="9"/>
      <c r="B4679" s="9"/>
      <c r="C4679" s="9"/>
      <c r="D4679" s="9"/>
      <c r="E4679" s="9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T4679"/>
    </row>
    <row r="4680" spans="1:20" x14ac:dyDescent="0.2">
      <c r="A4680" s="33"/>
      <c r="B4680" s="33"/>
      <c r="C4680" s="33"/>
      <c r="D4680" s="33"/>
      <c r="E4680" s="33"/>
      <c r="F4680" s="33"/>
      <c r="G4680" s="33"/>
      <c r="H4680" s="33"/>
      <c r="I4680" s="33"/>
      <c r="J4680" s="33"/>
      <c r="K4680" s="33"/>
      <c r="L4680" s="33"/>
      <c r="M4680" s="33"/>
      <c r="N4680" s="33"/>
      <c r="O4680" s="33"/>
      <c r="P4680" s="33"/>
      <c r="Q4680" s="33"/>
      <c r="R4680" s="33"/>
      <c r="T4680"/>
    </row>
    <row r="4681" spans="1:20" x14ac:dyDescent="0.2">
      <c r="A4681" s="9"/>
      <c r="B4681" s="9"/>
      <c r="C4681" s="9"/>
      <c r="D4681" s="9"/>
      <c r="E4681" s="9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T4681"/>
    </row>
    <row r="4682" spans="1:20" x14ac:dyDescent="0.2">
      <c r="A4682" s="33"/>
      <c r="B4682" s="33"/>
      <c r="C4682" s="33"/>
      <c r="D4682" s="33"/>
      <c r="E4682" s="33"/>
      <c r="F4682" s="33"/>
      <c r="G4682" s="33"/>
      <c r="H4682" s="33"/>
      <c r="I4682" s="33"/>
      <c r="J4682" s="33"/>
      <c r="K4682" s="33"/>
      <c r="L4682" s="33"/>
      <c r="M4682" s="33"/>
      <c r="N4682" s="33"/>
      <c r="O4682" s="33"/>
      <c r="P4682" s="33"/>
      <c r="Q4682" s="33"/>
      <c r="R4682" s="33"/>
      <c r="T4682"/>
    </row>
    <row r="4683" spans="1:20" x14ac:dyDescent="0.2">
      <c r="A4683" s="9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T4683"/>
    </row>
    <row r="4684" spans="1:20" x14ac:dyDescent="0.2">
      <c r="A4684" s="33"/>
      <c r="B4684" s="33"/>
      <c r="C4684" s="33"/>
      <c r="D4684" s="33"/>
      <c r="E4684" s="33"/>
      <c r="F4684" s="33"/>
      <c r="G4684" s="33"/>
      <c r="H4684" s="33"/>
      <c r="I4684" s="33"/>
      <c r="J4684" s="33"/>
      <c r="K4684" s="33"/>
      <c r="L4684" s="33"/>
      <c r="M4684" s="33"/>
      <c r="N4684" s="33"/>
      <c r="O4684" s="33"/>
      <c r="P4684" s="33"/>
      <c r="Q4684" s="33"/>
      <c r="R4684" s="33"/>
      <c r="T4684"/>
    </row>
    <row r="4685" spans="1:20" x14ac:dyDescent="0.2">
      <c r="A4685" s="9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T4685"/>
    </row>
    <row r="4686" spans="1:20" x14ac:dyDescent="0.2">
      <c r="A4686" s="33"/>
      <c r="B4686" s="33"/>
      <c r="C4686" s="33"/>
      <c r="D4686" s="33"/>
      <c r="E4686" s="33"/>
      <c r="F4686" s="33"/>
      <c r="G4686" s="33"/>
      <c r="H4686" s="33"/>
      <c r="I4686" s="33"/>
      <c r="J4686" s="33"/>
      <c r="K4686" s="33"/>
      <c r="L4686" s="33"/>
      <c r="M4686" s="33"/>
      <c r="N4686" s="33"/>
      <c r="O4686" s="33"/>
      <c r="P4686" s="33"/>
      <c r="Q4686" s="33"/>
      <c r="R4686" s="33"/>
      <c r="T4686"/>
    </row>
    <row r="4687" spans="1:20" x14ac:dyDescent="0.2">
      <c r="A4687" s="9"/>
      <c r="B4687" s="9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T4687"/>
    </row>
    <row r="4688" spans="1:20" x14ac:dyDescent="0.2">
      <c r="A4688" s="33"/>
      <c r="B4688" s="33"/>
      <c r="C4688" s="33"/>
      <c r="D4688" s="33"/>
      <c r="E4688" s="33"/>
      <c r="F4688" s="33"/>
      <c r="G4688" s="33"/>
      <c r="H4688" s="33"/>
      <c r="I4688" s="33"/>
      <c r="J4688" s="33"/>
      <c r="K4688" s="33"/>
      <c r="L4688" s="33"/>
      <c r="M4688" s="33"/>
      <c r="N4688" s="33"/>
      <c r="O4688" s="33"/>
      <c r="P4688" s="33"/>
      <c r="Q4688" s="33"/>
      <c r="R4688" s="33"/>
      <c r="T4688"/>
    </row>
    <row r="4689" spans="1:20" x14ac:dyDescent="0.2">
      <c r="A4689" s="9"/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T4689"/>
    </row>
    <row r="4690" spans="1:20" x14ac:dyDescent="0.2">
      <c r="A4690" s="33"/>
      <c r="B4690" s="33"/>
      <c r="C4690" s="33"/>
      <c r="D4690" s="33"/>
      <c r="E4690" s="33"/>
      <c r="F4690" s="33"/>
      <c r="G4690" s="33"/>
      <c r="H4690" s="33"/>
      <c r="I4690" s="33"/>
      <c r="J4690" s="33"/>
      <c r="K4690" s="33"/>
      <c r="L4690" s="33"/>
      <c r="M4690" s="33"/>
      <c r="N4690" s="33"/>
      <c r="O4690" s="33"/>
      <c r="P4690" s="33"/>
      <c r="Q4690" s="33"/>
      <c r="R4690" s="33"/>
      <c r="T4690"/>
    </row>
    <row r="4691" spans="1:20" x14ac:dyDescent="0.2">
      <c r="A4691" s="9"/>
      <c r="B4691" s="9"/>
      <c r="C4691" s="9"/>
      <c r="D4691" s="9"/>
      <c r="E4691" s="9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T4691"/>
    </row>
    <row r="4692" spans="1:20" x14ac:dyDescent="0.2">
      <c r="A4692" s="33"/>
      <c r="B4692" s="33"/>
      <c r="C4692" s="33"/>
      <c r="D4692" s="33"/>
      <c r="E4692" s="33"/>
      <c r="F4692" s="33"/>
      <c r="G4692" s="33"/>
      <c r="H4692" s="33"/>
      <c r="I4692" s="33"/>
      <c r="J4692" s="33"/>
      <c r="K4692" s="33"/>
      <c r="L4692" s="33"/>
      <c r="M4692" s="33"/>
      <c r="N4692" s="33"/>
      <c r="O4692" s="33"/>
      <c r="P4692" s="33"/>
      <c r="Q4692" s="33"/>
      <c r="R4692" s="33"/>
      <c r="T4692"/>
    </row>
    <row r="4693" spans="1:20" x14ac:dyDescent="0.2">
      <c r="A4693" s="9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T4693"/>
    </row>
    <row r="4694" spans="1:20" x14ac:dyDescent="0.2">
      <c r="A4694" s="33"/>
      <c r="B4694" s="33"/>
      <c r="C4694" s="33"/>
      <c r="D4694" s="33"/>
      <c r="E4694" s="33"/>
      <c r="F4694" s="33"/>
      <c r="G4694" s="33"/>
      <c r="H4694" s="33"/>
      <c r="I4694" s="33"/>
      <c r="J4694" s="33"/>
      <c r="K4694" s="33"/>
      <c r="L4694" s="33"/>
      <c r="M4694" s="33"/>
      <c r="N4694" s="33"/>
      <c r="O4694" s="33"/>
      <c r="P4694" s="33"/>
      <c r="Q4694" s="33"/>
      <c r="R4694" s="33"/>
      <c r="T4694"/>
    </row>
    <row r="4695" spans="1:20" x14ac:dyDescent="0.2">
      <c r="A4695" s="9"/>
      <c r="B4695" s="9"/>
      <c r="C4695" s="9"/>
      <c r="D4695" s="9"/>
      <c r="E4695" s="9"/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9"/>
      <c r="Q4695" s="9"/>
      <c r="R4695" s="9"/>
      <c r="T4695"/>
    </row>
    <row r="4696" spans="1:20" x14ac:dyDescent="0.2">
      <c r="A4696" s="33"/>
      <c r="B4696" s="33"/>
      <c r="C4696" s="33"/>
      <c r="D4696" s="33"/>
      <c r="E4696" s="33"/>
      <c r="F4696" s="33"/>
      <c r="G4696" s="33"/>
      <c r="H4696" s="33"/>
      <c r="I4696" s="33"/>
      <c r="J4696" s="33"/>
      <c r="K4696" s="33"/>
      <c r="L4696" s="33"/>
      <c r="M4696" s="33"/>
      <c r="N4696" s="33"/>
      <c r="O4696" s="33"/>
      <c r="P4696" s="33"/>
      <c r="Q4696" s="33"/>
      <c r="R4696" s="33"/>
      <c r="T4696"/>
    </row>
    <row r="4697" spans="1:20" x14ac:dyDescent="0.2">
      <c r="A4697" s="9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9"/>
      <c r="Q4697" s="9"/>
      <c r="R4697" s="9"/>
      <c r="T4697"/>
    </row>
    <row r="4698" spans="1:20" x14ac:dyDescent="0.2">
      <c r="A4698" s="33"/>
      <c r="B4698" s="33"/>
      <c r="C4698" s="33"/>
      <c r="D4698" s="33"/>
      <c r="E4698" s="33"/>
      <c r="F4698" s="33"/>
      <c r="G4698" s="33"/>
      <c r="H4698" s="33"/>
      <c r="I4698" s="33"/>
      <c r="J4698" s="33"/>
      <c r="K4698" s="33"/>
      <c r="L4698" s="33"/>
      <c r="M4698" s="33"/>
      <c r="N4698" s="33"/>
      <c r="O4698" s="33"/>
      <c r="P4698" s="33"/>
      <c r="Q4698" s="33"/>
      <c r="R4698" s="33"/>
      <c r="T4698"/>
    </row>
    <row r="4699" spans="1:20" x14ac:dyDescent="0.2">
      <c r="A4699" s="9"/>
      <c r="B4699" s="9"/>
      <c r="C4699" s="9"/>
      <c r="D4699" s="9"/>
      <c r="E4699" s="9"/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9"/>
      <c r="Q4699" s="9"/>
      <c r="R4699" s="9"/>
      <c r="T4699"/>
    </row>
    <row r="4700" spans="1:20" x14ac:dyDescent="0.2">
      <c r="A4700" s="33"/>
      <c r="B4700" s="33"/>
      <c r="C4700" s="33"/>
      <c r="D4700" s="33"/>
      <c r="E4700" s="33"/>
      <c r="F4700" s="33"/>
      <c r="G4700" s="33"/>
      <c r="H4700" s="33"/>
      <c r="I4700" s="33"/>
      <c r="J4700" s="33"/>
      <c r="K4700" s="33"/>
      <c r="L4700" s="33"/>
      <c r="M4700" s="33"/>
      <c r="N4700" s="33"/>
      <c r="O4700" s="33"/>
      <c r="P4700" s="33"/>
      <c r="Q4700" s="33"/>
      <c r="R4700" s="33"/>
      <c r="T4700"/>
    </row>
    <row r="4701" spans="1:20" x14ac:dyDescent="0.2">
      <c r="A4701" s="9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9"/>
      <c r="R4701" s="9"/>
      <c r="T4701"/>
    </row>
    <row r="4702" spans="1:20" x14ac:dyDescent="0.2">
      <c r="A4702" s="33"/>
      <c r="B4702" s="33"/>
      <c r="C4702" s="33"/>
      <c r="D4702" s="33"/>
      <c r="E4702" s="33"/>
      <c r="F4702" s="33"/>
      <c r="G4702" s="33"/>
      <c r="H4702" s="33"/>
      <c r="I4702" s="33"/>
      <c r="J4702" s="33"/>
      <c r="K4702" s="33"/>
      <c r="L4702" s="33"/>
      <c r="M4702" s="33"/>
      <c r="N4702" s="33"/>
      <c r="O4702" s="33"/>
      <c r="P4702" s="33"/>
      <c r="Q4702" s="33"/>
      <c r="R4702" s="33"/>
      <c r="T4702"/>
    </row>
    <row r="4703" spans="1:20" x14ac:dyDescent="0.2">
      <c r="A4703" s="9"/>
      <c r="B4703" s="9"/>
      <c r="C4703" s="9"/>
      <c r="D4703" s="9"/>
      <c r="E4703" s="9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9"/>
      <c r="R4703" s="9"/>
      <c r="T4703"/>
    </row>
    <row r="4704" spans="1:20" x14ac:dyDescent="0.2">
      <c r="A4704" s="33"/>
      <c r="B4704" s="33"/>
      <c r="C4704" s="33"/>
      <c r="D4704" s="33"/>
      <c r="E4704" s="33"/>
      <c r="F4704" s="33"/>
      <c r="G4704" s="33"/>
      <c r="H4704" s="33"/>
      <c r="I4704" s="33"/>
      <c r="J4704" s="33"/>
      <c r="K4704" s="33"/>
      <c r="L4704" s="33"/>
      <c r="M4704" s="33"/>
      <c r="N4704" s="33"/>
      <c r="O4704" s="33"/>
      <c r="P4704" s="33"/>
      <c r="Q4704" s="33"/>
      <c r="R4704" s="33"/>
      <c r="T4704"/>
    </row>
    <row r="4705" spans="1:20" x14ac:dyDescent="0.2">
      <c r="A4705" s="9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R4705" s="9"/>
      <c r="T4705"/>
    </row>
    <row r="4706" spans="1:20" x14ac:dyDescent="0.2">
      <c r="A4706" s="33"/>
      <c r="B4706" s="33"/>
      <c r="C4706" s="33"/>
      <c r="D4706" s="33"/>
      <c r="E4706" s="33"/>
      <c r="F4706" s="33"/>
      <c r="G4706" s="33"/>
      <c r="H4706" s="33"/>
      <c r="I4706" s="33"/>
      <c r="J4706" s="33"/>
      <c r="K4706" s="33"/>
      <c r="L4706" s="33"/>
      <c r="M4706" s="33"/>
      <c r="N4706" s="33"/>
      <c r="O4706" s="33"/>
      <c r="P4706" s="33"/>
      <c r="Q4706" s="33"/>
      <c r="R4706" s="33"/>
      <c r="T4706"/>
    </row>
    <row r="4707" spans="1:20" x14ac:dyDescent="0.2">
      <c r="A4707" s="9"/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T4707"/>
    </row>
    <row r="4708" spans="1:20" x14ac:dyDescent="0.2">
      <c r="A4708" s="33"/>
      <c r="B4708" s="33"/>
      <c r="C4708" s="33"/>
      <c r="D4708" s="33"/>
      <c r="E4708" s="33"/>
      <c r="F4708" s="33"/>
      <c r="G4708" s="33"/>
      <c r="H4708" s="33"/>
      <c r="I4708" s="33"/>
      <c r="J4708" s="33"/>
      <c r="K4708" s="33"/>
      <c r="L4708" s="33"/>
      <c r="M4708" s="33"/>
      <c r="N4708" s="33"/>
      <c r="O4708" s="33"/>
      <c r="P4708" s="33"/>
      <c r="Q4708" s="33"/>
      <c r="R4708" s="33"/>
      <c r="T4708"/>
    </row>
    <row r="4709" spans="1:20" x14ac:dyDescent="0.2">
      <c r="A4709" s="9"/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R4709" s="9"/>
      <c r="T4709"/>
    </row>
    <row r="4710" spans="1:20" x14ac:dyDescent="0.2">
      <c r="A4710" s="33"/>
      <c r="B4710" s="33"/>
      <c r="C4710" s="33"/>
      <c r="D4710" s="33"/>
      <c r="E4710" s="33"/>
      <c r="F4710" s="33"/>
      <c r="G4710" s="33"/>
      <c r="H4710" s="33"/>
      <c r="I4710" s="33"/>
      <c r="J4710" s="33"/>
      <c r="K4710" s="33"/>
      <c r="L4710" s="33"/>
      <c r="M4710" s="33"/>
      <c r="N4710" s="33"/>
      <c r="O4710" s="33"/>
      <c r="P4710" s="33"/>
      <c r="Q4710" s="33"/>
      <c r="R4710" s="33"/>
      <c r="T4710"/>
    </row>
    <row r="4711" spans="1:20" x14ac:dyDescent="0.2">
      <c r="A4711" s="9"/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9"/>
      <c r="R4711" s="9"/>
      <c r="T4711"/>
    </row>
    <row r="4712" spans="1:20" x14ac:dyDescent="0.2">
      <c r="A4712" s="33"/>
      <c r="B4712" s="33"/>
      <c r="C4712" s="33"/>
      <c r="D4712" s="33"/>
      <c r="E4712" s="33"/>
      <c r="F4712" s="33"/>
      <c r="G4712" s="33"/>
      <c r="H4712" s="33"/>
      <c r="I4712" s="33"/>
      <c r="J4712" s="33"/>
      <c r="K4712" s="33"/>
      <c r="L4712" s="33"/>
      <c r="M4712" s="33"/>
      <c r="N4712" s="33"/>
      <c r="O4712" s="33"/>
      <c r="P4712" s="33"/>
      <c r="Q4712" s="33"/>
      <c r="R4712" s="33"/>
      <c r="T4712"/>
    </row>
    <row r="4713" spans="1:20" x14ac:dyDescent="0.2">
      <c r="A4713" s="9"/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T4713"/>
    </row>
    <row r="4714" spans="1:20" x14ac:dyDescent="0.2">
      <c r="A4714" s="33"/>
      <c r="B4714" s="33"/>
      <c r="C4714" s="33"/>
      <c r="D4714" s="33"/>
      <c r="E4714" s="33"/>
      <c r="F4714" s="33"/>
      <c r="G4714" s="33"/>
      <c r="H4714" s="33"/>
      <c r="I4714" s="33"/>
      <c r="J4714" s="33"/>
      <c r="K4714" s="33"/>
      <c r="L4714" s="33"/>
      <c r="M4714" s="33"/>
      <c r="N4714" s="33"/>
      <c r="O4714" s="33"/>
      <c r="P4714" s="33"/>
      <c r="Q4714" s="33"/>
      <c r="R4714" s="33"/>
      <c r="T4714"/>
    </row>
    <row r="4715" spans="1:20" x14ac:dyDescent="0.2">
      <c r="A4715" s="9"/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T4715"/>
    </row>
    <row r="4716" spans="1:20" x14ac:dyDescent="0.2">
      <c r="A4716" s="33"/>
      <c r="B4716" s="33"/>
      <c r="C4716" s="33"/>
      <c r="D4716" s="33"/>
      <c r="E4716" s="33"/>
      <c r="F4716" s="33"/>
      <c r="G4716" s="33"/>
      <c r="H4716" s="33"/>
      <c r="I4716" s="33"/>
      <c r="J4716" s="33"/>
      <c r="K4716" s="33"/>
      <c r="L4716" s="33"/>
      <c r="M4716" s="33"/>
      <c r="N4716" s="33"/>
      <c r="O4716" s="33"/>
      <c r="P4716" s="33"/>
      <c r="Q4716" s="33"/>
      <c r="R4716" s="33"/>
      <c r="T4716"/>
    </row>
    <row r="4717" spans="1:20" x14ac:dyDescent="0.2">
      <c r="A4717" s="9"/>
      <c r="B4717" s="9"/>
      <c r="C4717" s="9"/>
      <c r="D4717" s="9"/>
      <c r="E4717" s="9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T4717"/>
    </row>
    <row r="4718" spans="1:20" x14ac:dyDescent="0.2">
      <c r="A4718" s="33"/>
      <c r="B4718" s="33"/>
      <c r="C4718" s="33"/>
      <c r="D4718" s="33"/>
      <c r="E4718" s="33"/>
      <c r="F4718" s="33"/>
      <c r="G4718" s="33"/>
      <c r="H4718" s="33"/>
      <c r="I4718" s="33"/>
      <c r="J4718" s="33"/>
      <c r="K4718" s="33"/>
      <c r="L4718" s="33"/>
      <c r="M4718" s="33"/>
      <c r="N4718" s="33"/>
      <c r="O4718" s="33"/>
      <c r="P4718" s="33"/>
      <c r="Q4718" s="33"/>
      <c r="R4718" s="33"/>
      <c r="T4718"/>
    </row>
    <row r="4719" spans="1:20" x14ac:dyDescent="0.2">
      <c r="A4719" s="9"/>
      <c r="B4719" s="9"/>
      <c r="C4719" s="9"/>
      <c r="D4719" s="9"/>
      <c r="E4719" s="9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T4719"/>
    </row>
    <row r="4720" spans="1:20" x14ac:dyDescent="0.2">
      <c r="A4720" s="33"/>
      <c r="B4720" s="33"/>
      <c r="C4720" s="33"/>
      <c r="D4720" s="33"/>
      <c r="E4720" s="33"/>
      <c r="F4720" s="33"/>
      <c r="G4720" s="33"/>
      <c r="H4720" s="33"/>
      <c r="I4720" s="33"/>
      <c r="J4720" s="33"/>
      <c r="K4720" s="33"/>
      <c r="L4720" s="33"/>
      <c r="M4720" s="33"/>
      <c r="N4720" s="33"/>
      <c r="O4720" s="33"/>
      <c r="P4720" s="33"/>
      <c r="Q4720" s="33"/>
      <c r="R4720" s="33"/>
      <c r="T4720"/>
    </row>
    <row r="4721" spans="1:20" x14ac:dyDescent="0.2">
      <c r="A4721" s="9"/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T4721"/>
    </row>
    <row r="4722" spans="1:20" x14ac:dyDescent="0.2">
      <c r="A4722" s="33"/>
      <c r="B4722" s="33"/>
      <c r="C4722" s="33"/>
      <c r="D4722" s="33"/>
      <c r="E4722" s="33"/>
      <c r="F4722" s="33"/>
      <c r="G4722" s="33"/>
      <c r="H4722" s="33"/>
      <c r="I4722" s="33"/>
      <c r="J4722" s="33"/>
      <c r="K4722" s="33"/>
      <c r="L4722" s="33"/>
      <c r="M4722" s="33"/>
      <c r="N4722" s="33"/>
      <c r="O4722" s="33"/>
      <c r="P4722" s="33"/>
      <c r="Q4722" s="33"/>
      <c r="R4722" s="33"/>
      <c r="T4722"/>
    </row>
    <row r="4723" spans="1:20" x14ac:dyDescent="0.2">
      <c r="A4723" s="9"/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T4723"/>
    </row>
    <row r="4724" spans="1:20" x14ac:dyDescent="0.2">
      <c r="A4724" s="33"/>
      <c r="B4724" s="33"/>
      <c r="C4724" s="33"/>
      <c r="D4724" s="33"/>
      <c r="E4724" s="33"/>
      <c r="F4724" s="33"/>
      <c r="G4724" s="33"/>
      <c r="H4724" s="33"/>
      <c r="I4724" s="33"/>
      <c r="J4724" s="33"/>
      <c r="K4724" s="33"/>
      <c r="L4724" s="33"/>
      <c r="M4724" s="33"/>
      <c r="N4724" s="33"/>
      <c r="O4724" s="33"/>
      <c r="P4724" s="33"/>
      <c r="Q4724" s="33"/>
      <c r="R4724" s="33"/>
      <c r="T4724"/>
    </row>
    <row r="4725" spans="1:20" x14ac:dyDescent="0.2">
      <c r="A4725" s="9"/>
      <c r="B4725" s="9"/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T4725"/>
    </row>
    <row r="4726" spans="1:20" x14ac:dyDescent="0.2">
      <c r="A4726" s="33"/>
      <c r="B4726" s="33"/>
      <c r="C4726" s="33"/>
      <c r="D4726" s="33"/>
      <c r="E4726" s="33"/>
      <c r="F4726" s="33"/>
      <c r="G4726" s="33"/>
      <c r="H4726" s="33"/>
      <c r="I4726" s="33"/>
      <c r="J4726" s="33"/>
      <c r="K4726" s="33"/>
      <c r="L4726" s="33"/>
      <c r="M4726" s="33"/>
      <c r="N4726" s="33"/>
      <c r="O4726" s="33"/>
      <c r="P4726" s="33"/>
      <c r="Q4726" s="33"/>
      <c r="R4726" s="33"/>
      <c r="T4726"/>
    </row>
    <row r="4727" spans="1:20" x14ac:dyDescent="0.2">
      <c r="A4727" s="9"/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T4727"/>
    </row>
    <row r="4728" spans="1:20" x14ac:dyDescent="0.2">
      <c r="A4728" s="33"/>
      <c r="B4728" s="33"/>
      <c r="C4728" s="33"/>
      <c r="D4728" s="33"/>
      <c r="E4728" s="33"/>
      <c r="F4728" s="33"/>
      <c r="G4728" s="33"/>
      <c r="H4728" s="33"/>
      <c r="I4728" s="33"/>
      <c r="J4728" s="33"/>
      <c r="K4728" s="33"/>
      <c r="L4728" s="33"/>
      <c r="M4728" s="33"/>
      <c r="N4728" s="33"/>
      <c r="O4728" s="33"/>
      <c r="P4728" s="33"/>
      <c r="Q4728" s="33"/>
      <c r="R4728" s="33"/>
      <c r="T4728"/>
    </row>
    <row r="4729" spans="1:20" x14ac:dyDescent="0.2">
      <c r="A4729" s="9"/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T4729"/>
    </row>
    <row r="4730" spans="1:20" x14ac:dyDescent="0.2">
      <c r="A4730" s="33"/>
      <c r="B4730" s="33"/>
      <c r="C4730" s="33"/>
      <c r="D4730" s="33"/>
      <c r="E4730" s="33"/>
      <c r="F4730" s="33"/>
      <c r="G4730" s="33"/>
      <c r="H4730" s="33"/>
      <c r="I4730" s="33"/>
      <c r="J4730" s="33"/>
      <c r="K4730" s="33"/>
      <c r="L4730" s="33"/>
      <c r="M4730" s="33"/>
      <c r="N4730" s="33"/>
      <c r="O4730" s="33"/>
      <c r="P4730" s="33"/>
      <c r="Q4730" s="33"/>
      <c r="R4730" s="33"/>
      <c r="T4730"/>
    </row>
    <row r="4731" spans="1:20" x14ac:dyDescent="0.2">
      <c r="A4731" s="9"/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T4731"/>
    </row>
    <row r="4732" spans="1:20" x14ac:dyDescent="0.2">
      <c r="A4732" s="33"/>
      <c r="B4732" s="33"/>
      <c r="C4732" s="33"/>
      <c r="D4732" s="33"/>
      <c r="E4732" s="33"/>
      <c r="F4732" s="33"/>
      <c r="G4732" s="33"/>
      <c r="H4732" s="33"/>
      <c r="I4732" s="33"/>
      <c r="J4732" s="33"/>
      <c r="K4732" s="33"/>
      <c r="L4732" s="33"/>
      <c r="M4732" s="33"/>
      <c r="N4732" s="33"/>
      <c r="O4732" s="33"/>
      <c r="P4732" s="33"/>
      <c r="Q4732" s="33"/>
      <c r="R4732" s="33"/>
      <c r="T4732"/>
    </row>
    <row r="4733" spans="1:20" x14ac:dyDescent="0.2">
      <c r="A4733" s="9"/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T4733"/>
    </row>
    <row r="4734" spans="1:20" x14ac:dyDescent="0.2">
      <c r="A4734" s="33"/>
      <c r="B4734" s="33"/>
      <c r="C4734" s="33"/>
      <c r="D4734" s="33"/>
      <c r="E4734" s="33"/>
      <c r="F4734" s="33"/>
      <c r="G4734" s="33"/>
      <c r="H4734" s="33"/>
      <c r="I4734" s="33"/>
      <c r="J4734" s="33"/>
      <c r="K4734" s="33"/>
      <c r="L4734" s="33"/>
      <c r="M4734" s="33"/>
      <c r="N4734" s="33"/>
      <c r="O4734" s="33"/>
      <c r="P4734" s="33"/>
      <c r="Q4734" s="33"/>
      <c r="R4734" s="33"/>
      <c r="T4734"/>
    </row>
    <row r="4735" spans="1:20" x14ac:dyDescent="0.2">
      <c r="A4735" s="9"/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T4735"/>
    </row>
    <row r="4736" spans="1:20" x14ac:dyDescent="0.2">
      <c r="A4736" s="33"/>
      <c r="B4736" s="33"/>
      <c r="C4736" s="33"/>
      <c r="D4736" s="33"/>
      <c r="E4736" s="33"/>
      <c r="F4736" s="33"/>
      <c r="G4736" s="33"/>
      <c r="H4736" s="33"/>
      <c r="I4736" s="33"/>
      <c r="J4736" s="33"/>
      <c r="K4736" s="33"/>
      <c r="L4736" s="33"/>
      <c r="M4736" s="33"/>
      <c r="N4736" s="33"/>
      <c r="O4736" s="33"/>
      <c r="P4736" s="33"/>
      <c r="Q4736" s="33"/>
      <c r="R4736" s="33"/>
      <c r="T4736"/>
    </row>
    <row r="4737" spans="1:20" x14ac:dyDescent="0.2">
      <c r="A4737" s="9"/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T4737"/>
    </row>
    <row r="4738" spans="1:20" x14ac:dyDescent="0.2">
      <c r="A4738" s="33"/>
      <c r="B4738" s="33"/>
      <c r="C4738" s="33"/>
      <c r="D4738" s="33"/>
      <c r="E4738" s="33"/>
      <c r="F4738" s="33"/>
      <c r="G4738" s="33"/>
      <c r="H4738" s="33"/>
      <c r="I4738" s="33"/>
      <c r="J4738" s="33"/>
      <c r="K4738" s="33"/>
      <c r="L4738" s="33"/>
      <c r="M4738" s="33"/>
      <c r="N4738" s="33"/>
      <c r="O4738" s="33"/>
      <c r="P4738" s="33"/>
      <c r="Q4738" s="33"/>
      <c r="R4738" s="33"/>
      <c r="T4738"/>
    </row>
    <row r="4739" spans="1:20" x14ac:dyDescent="0.2">
      <c r="A4739" s="9"/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T4739"/>
    </row>
    <row r="4740" spans="1:20" x14ac:dyDescent="0.2">
      <c r="A4740" s="33"/>
      <c r="B4740" s="33"/>
      <c r="C4740" s="33"/>
      <c r="D4740" s="33"/>
      <c r="E4740" s="33"/>
      <c r="F4740" s="33"/>
      <c r="G4740" s="33"/>
      <c r="H4740" s="33"/>
      <c r="I4740" s="33"/>
      <c r="J4740" s="33"/>
      <c r="K4740" s="33"/>
      <c r="L4740" s="33"/>
      <c r="M4740" s="33"/>
      <c r="N4740" s="33"/>
      <c r="O4740" s="33"/>
      <c r="P4740" s="33"/>
      <c r="Q4740" s="33"/>
      <c r="R4740" s="33"/>
      <c r="T4740"/>
    </row>
    <row r="4741" spans="1:20" x14ac:dyDescent="0.2">
      <c r="A4741" s="9"/>
      <c r="B4741" s="9"/>
      <c r="C4741" s="9"/>
      <c r="D4741" s="9"/>
      <c r="E4741" s="9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T4741"/>
    </row>
    <row r="4742" spans="1:20" x14ac:dyDescent="0.2">
      <c r="A4742" s="33"/>
      <c r="B4742" s="33"/>
      <c r="C4742" s="33"/>
      <c r="D4742" s="33"/>
      <c r="E4742" s="33"/>
      <c r="F4742" s="33"/>
      <c r="G4742" s="33"/>
      <c r="H4742" s="33"/>
      <c r="I4742" s="33"/>
      <c r="J4742" s="33"/>
      <c r="K4742" s="33"/>
      <c r="L4742" s="33"/>
      <c r="M4742" s="33"/>
      <c r="N4742" s="33"/>
      <c r="O4742" s="33"/>
      <c r="P4742" s="33"/>
      <c r="Q4742" s="33"/>
      <c r="R4742" s="33"/>
      <c r="T4742"/>
    </row>
    <row r="4743" spans="1:20" x14ac:dyDescent="0.2">
      <c r="A4743" s="9"/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T4743"/>
    </row>
    <row r="4744" spans="1:20" x14ac:dyDescent="0.2">
      <c r="A4744" s="33"/>
      <c r="B4744" s="33"/>
      <c r="C4744" s="33"/>
      <c r="D4744" s="33"/>
      <c r="E4744" s="33"/>
      <c r="F4744" s="33"/>
      <c r="G4744" s="33"/>
      <c r="H4744" s="33"/>
      <c r="I4744" s="33"/>
      <c r="J4744" s="33"/>
      <c r="K4744" s="33"/>
      <c r="L4744" s="33"/>
      <c r="M4744" s="33"/>
      <c r="N4744" s="33"/>
      <c r="O4744" s="33"/>
      <c r="P4744" s="33"/>
      <c r="Q4744" s="33"/>
      <c r="R4744" s="33"/>
      <c r="T4744"/>
    </row>
    <row r="4745" spans="1:20" x14ac:dyDescent="0.2">
      <c r="A4745" s="9"/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T4745"/>
    </row>
    <row r="4746" spans="1:20" x14ac:dyDescent="0.2">
      <c r="A4746" s="33"/>
      <c r="B4746" s="33"/>
      <c r="C4746" s="33"/>
      <c r="D4746" s="33"/>
      <c r="E4746" s="33"/>
      <c r="F4746" s="33"/>
      <c r="G4746" s="33"/>
      <c r="H4746" s="33"/>
      <c r="I4746" s="33"/>
      <c r="J4746" s="33"/>
      <c r="K4746" s="33"/>
      <c r="L4746" s="33"/>
      <c r="M4746" s="33"/>
      <c r="N4746" s="33"/>
      <c r="O4746" s="33"/>
      <c r="P4746" s="33"/>
      <c r="Q4746" s="33"/>
      <c r="R4746" s="33"/>
      <c r="T4746"/>
    </row>
    <row r="4747" spans="1:20" x14ac:dyDescent="0.2">
      <c r="A4747" s="9"/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T4747"/>
    </row>
    <row r="4748" spans="1:20" x14ac:dyDescent="0.2">
      <c r="A4748" s="33"/>
      <c r="B4748" s="33"/>
      <c r="C4748" s="33"/>
      <c r="D4748" s="33"/>
      <c r="E4748" s="33"/>
      <c r="F4748" s="33"/>
      <c r="G4748" s="33"/>
      <c r="H4748" s="33"/>
      <c r="I4748" s="33"/>
      <c r="J4748" s="33"/>
      <c r="K4748" s="33"/>
      <c r="L4748" s="33"/>
      <c r="M4748" s="33"/>
      <c r="N4748" s="33"/>
      <c r="O4748" s="33"/>
      <c r="P4748" s="33"/>
      <c r="Q4748" s="33"/>
      <c r="R4748" s="33"/>
      <c r="T4748"/>
    </row>
    <row r="4749" spans="1:20" x14ac:dyDescent="0.2">
      <c r="A4749" s="9"/>
      <c r="B4749" s="9"/>
      <c r="C4749" s="9"/>
      <c r="D4749" s="9"/>
      <c r="E4749" s="9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9"/>
      <c r="R4749" s="9"/>
      <c r="T4749"/>
    </row>
    <row r="4750" spans="1:20" x14ac:dyDescent="0.2">
      <c r="A4750" s="33"/>
      <c r="B4750" s="33"/>
      <c r="C4750" s="33"/>
      <c r="D4750" s="33"/>
      <c r="E4750" s="33"/>
      <c r="F4750" s="33"/>
      <c r="G4750" s="33"/>
      <c r="H4750" s="33"/>
      <c r="I4750" s="33"/>
      <c r="J4750" s="33"/>
      <c r="K4750" s="33"/>
      <c r="L4750" s="33"/>
      <c r="M4750" s="33"/>
      <c r="N4750" s="33"/>
      <c r="O4750" s="33"/>
      <c r="P4750" s="33"/>
      <c r="Q4750" s="33"/>
      <c r="R4750" s="33"/>
      <c r="T4750"/>
    </row>
    <row r="4751" spans="1:20" x14ac:dyDescent="0.2">
      <c r="A4751" s="9"/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T4751"/>
    </row>
    <row r="4752" spans="1:20" x14ac:dyDescent="0.2">
      <c r="A4752" s="33"/>
      <c r="B4752" s="33"/>
      <c r="C4752" s="33"/>
      <c r="D4752" s="33"/>
      <c r="E4752" s="33"/>
      <c r="F4752" s="33"/>
      <c r="G4752" s="33"/>
      <c r="H4752" s="33"/>
      <c r="I4752" s="33"/>
      <c r="J4752" s="33"/>
      <c r="K4752" s="33"/>
      <c r="L4752" s="33"/>
      <c r="M4752" s="33"/>
      <c r="N4752" s="33"/>
      <c r="O4752" s="33"/>
      <c r="P4752" s="33"/>
      <c r="Q4752" s="33"/>
      <c r="R4752" s="33"/>
      <c r="T4752"/>
    </row>
    <row r="4753" spans="1:20" x14ac:dyDescent="0.2">
      <c r="A4753" s="9"/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T4753"/>
    </row>
    <row r="4754" spans="1:20" x14ac:dyDescent="0.2">
      <c r="A4754" s="33"/>
      <c r="B4754" s="33"/>
      <c r="C4754" s="33"/>
      <c r="D4754" s="33"/>
      <c r="E4754" s="33"/>
      <c r="F4754" s="33"/>
      <c r="G4754" s="33"/>
      <c r="H4754" s="33"/>
      <c r="I4754" s="33"/>
      <c r="J4754" s="33"/>
      <c r="K4754" s="33"/>
      <c r="L4754" s="33"/>
      <c r="M4754" s="33"/>
      <c r="N4754" s="33"/>
      <c r="O4754" s="33"/>
      <c r="P4754" s="33"/>
      <c r="Q4754" s="33"/>
      <c r="R4754" s="33"/>
      <c r="T4754"/>
    </row>
    <row r="4755" spans="1:20" x14ac:dyDescent="0.2">
      <c r="A4755" s="9"/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T4755"/>
    </row>
    <row r="4756" spans="1:20" x14ac:dyDescent="0.2">
      <c r="A4756" s="33"/>
      <c r="B4756" s="33"/>
      <c r="C4756" s="33"/>
      <c r="D4756" s="33"/>
      <c r="E4756" s="33"/>
      <c r="F4756" s="33"/>
      <c r="G4756" s="33"/>
      <c r="H4756" s="33"/>
      <c r="I4756" s="33"/>
      <c r="J4756" s="33"/>
      <c r="K4756" s="33"/>
      <c r="L4756" s="33"/>
      <c r="M4756" s="33"/>
      <c r="N4756" s="33"/>
      <c r="O4756" s="33"/>
      <c r="P4756" s="33"/>
      <c r="Q4756" s="33"/>
      <c r="R4756" s="33"/>
      <c r="T4756"/>
    </row>
    <row r="4757" spans="1:20" x14ac:dyDescent="0.2">
      <c r="A4757" s="9"/>
      <c r="B4757" s="9"/>
      <c r="C4757" s="9"/>
      <c r="D4757" s="9"/>
      <c r="E4757" s="9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T4757"/>
    </row>
    <row r="4758" spans="1:20" x14ac:dyDescent="0.2">
      <c r="A4758" s="33"/>
      <c r="B4758" s="33"/>
      <c r="C4758" s="33"/>
      <c r="D4758" s="33"/>
      <c r="E4758" s="33"/>
      <c r="F4758" s="33"/>
      <c r="G4758" s="33"/>
      <c r="H4758" s="33"/>
      <c r="I4758" s="33"/>
      <c r="J4758" s="33"/>
      <c r="K4758" s="33"/>
      <c r="L4758" s="33"/>
      <c r="M4758" s="33"/>
      <c r="N4758" s="33"/>
      <c r="O4758" s="33"/>
      <c r="P4758" s="33"/>
      <c r="Q4758" s="33"/>
      <c r="R4758" s="33"/>
      <c r="T4758"/>
    </row>
    <row r="4759" spans="1:20" x14ac:dyDescent="0.2">
      <c r="A4759" s="9"/>
      <c r="B4759" s="9"/>
      <c r="C4759" s="9"/>
      <c r="D4759" s="9"/>
      <c r="E4759" s="9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T4759"/>
    </row>
    <row r="4760" spans="1:20" x14ac:dyDescent="0.2">
      <c r="A4760" s="33"/>
      <c r="B4760" s="33"/>
      <c r="C4760" s="33"/>
      <c r="D4760" s="33"/>
      <c r="E4760" s="33"/>
      <c r="F4760" s="33"/>
      <c r="G4760" s="33"/>
      <c r="H4760" s="33"/>
      <c r="I4760" s="33"/>
      <c r="J4760" s="33"/>
      <c r="K4760" s="33"/>
      <c r="L4760" s="33"/>
      <c r="M4760" s="33"/>
      <c r="N4760" s="33"/>
      <c r="O4760" s="33"/>
      <c r="P4760" s="33"/>
      <c r="Q4760" s="33"/>
      <c r="R4760" s="33"/>
      <c r="T4760"/>
    </row>
    <row r="4761" spans="1:20" x14ac:dyDescent="0.2">
      <c r="A4761" s="9"/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T4761"/>
    </row>
    <row r="4762" spans="1:20" x14ac:dyDescent="0.2">
      <c r="A4762" s="33"/>
      <c r="B4762" s="33"/>
      <c r="C4762" s="33"/>
      <c r="D4762" s="33"/>
      <c r="E4762" s="33"/>
      <c r="F4762" s="33"/>
      <c r="G4762" s="33"/>
      <c r="H4762" s="33"/>
      <c r="I4762" s="33"/>
      <c r="J4762" s="33"/>
      <c r="K4762" s="33"/>
      <c r="L4762" s="33"/>
      <c r="M4762" s="33"/>
      <c r="N4762" s="33"/>
      <c r="O4762" s="33"/>
      <c r="P4762" s="33"/>
      <c r="Q4762" s="33"/>
      <c r="R4762" s="33"/>
      <c r="T4762"/>
    </row>
    <row r="4763" spans="1:20" x14ac:dyDescent="0.2">
      <c r="A4763" s="9"/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T4763"/>
    </row>
    <row r="4764" spans="1:20" x14ac:dyDescent="0.2">
      <c r="A4764" s="33"/>
      <c r="B4764" s="33"/>
      <c r="C4764" s="33"/>
      <c r="D4764" s="33"/>
      <c r="E4764" s="33"/>
      <c r="F4764" s="33"/>
      <c r="G4764" s="33"/>
      <c r="H4764" s="33"/>
      <c r="I4764" s="33"/>
      <c r="J4764" s="33"/>
      <c r="K4764" s="33"/>
      <c r="L4764" s="33"/>
      <c r="M4764" s="33"/>
      <c r="N4764" s="33"/>
      <c r="O4764" s="33"/>
      <c r="P4764" s="33"/>
      <c r="Q4764" s="33"/>
      <c r="R4764" s="33"/>
      <c r="T4764"/>
    </row>
    <row r="4765" spans="1:20" x14ac:dyDescent="0.2">
      <c r="A4765" s="9"/>
      <c r="B4765" s="9"/>
      <c r="C4765" s="9"/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T4765"/>
    </row>
    <row r="4766" spans="1:20" x14ac:dyDescent="0.2">
      <c r="A4766" s="33"/>
      <c r="B4766" s="33"/>
      <c r="C4766" s="33"/>
      <c r="D4766" s="33"/>
      <c r="E4766" s="33"/>
      <c r="F4766" s="33"/>
      <c r="G4766" s="33"/>
      <c r="H4766" s="33"/>
      <c r="I4766" s="33"/>
      <c r="J4766" s="33"/>
      <c r="K4766" s="33"/>
      <c r="L4766" s="33"/>
      <c r="M4766" s="33"/>
      <c r="N4766" s="33"/>
      <c r="O4766" s="33"/>
      <c r="P4766" s="33"/>
      <c r="Q4766" s="33"/>
      <c r="R4766" s="33"/>
      <c r="T4766"/>
    </row>
    <row r="4767" spans="1:20" x14ac:dyDescent="0.2">
      <c r="A4767" s="9"/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T4767"/>
    </row>
    <row r="4768" spans="1:20" x14ac:dyDescent="0.2">
      <c r="A4768" s="33"/>
      <c r="B4768" s="33"/>
      <c r="C4768" s="33"/>
      <c r="D4768" s="33"/>
      <c r="E4768" s="33"/>
      <c r="F4768" s="33"/>
      <c r="G4768" s="33"/>
      <c r="H4768" s="33"/>
      <c r="I4768" s="33"/>
      <c r="J4768" s="33"/>
      <c r="K4768" s="33"/>
      <c r="L4768" s="33"/>
      <c r="M4768" s="33"/>
      <c r="N4768" s="33"/>
      <c r="O4768" s="33"/>
      <c r="P4768" s="33"/>
      <c r="Q4768" s="33"/>
      <c r="R4768" s="33"/>
      <c r="T4768"/>
    </row>
    <row r="4769" spans="1:20" x14ac:dyDescent="0.2">
      <c r="A4769" s="9"/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T4769"/>
    </row>
    <row r="4770" spans="1:20" x14ac:dyDescent="0.2">
      <c r="A4770" s="33"/>
      <c r="B4770" s="33"/>
      <c r="C4770" s="33"/>
      <c r="D4770" s="33"/>
      <c r="E4770" s="33"/>
      <c r="F4770" s="33"/>
      <c r="G4770" s="33"/>
      <c r="H4770" s="33"/>
      <c r="I4770" s="33"/>
      <c r="J4770" s="33"/>
      <c r="K4770" s="33"/>
      <c r="L4770" s="33"/>
      <c r="M4770" s="33"/>
      <c r="N4770" s="33"/>
      <c r="O4770" s="33"/>
      <c r="P4770" s="33"/>
      <c r="Q4770" s="33"/>
      <c r="R4770" s="33"/>
      <c r="T4770"/>
    </row>
    <row r="4771" spans="1:20" x14ac:dyDescent="0.2">
      <c r="A4771" s="9"/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T4771"/>
    </row>
    <row r="4772" spans="1:20" x14ac:dyDescent="0.2">
      <c r="A4772" s="33"/>
      <c r="B4772" s="33"/>
      <c r="C4772" s="33"/>
      <c r="D4772" s="33"/>
      <c r="E4772" s="33"/>
      <c r="F4772" s="33"/>
      <c r="G4772" s="33"/>
      <c r="H4772" s="33"/>
      <c r="I4772" s="33"/>
      <c r="J4772" s="33"/>
      <c r="K4772" s="33"/>
      <c r="L4772" s="33"/>
      <c r="M4772" s="33"/>
      <c r="N4772" s="33"/>
      <c r="O4772" s="33"/>
      <c r="P4772" s="33"/>
      <c r="Q4772" s="33"/>
      <c r="R4772" s="33"/>
      <c r="T4772"/>
    </row>
    <row r="4773" spans="1:20" x14ac:dyDescent="0.2">
      <c r="A4773" s="9"/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T4773"/>
    </row>
    <row r="4774" spans="1:20" x14ac:dyDescent="0.2">
      <c r="A4774" s="33"/>
      <c r="B4774" s="33"/>
      <c r="C4774" s="33"/>
      <c r="D4774" s="33"/>
      <c r="E4774" s="33"/>
      <c r="F4774" s="33"/>
      <c r="G4774" s="33"/>
      <c r="H4774" s="33"/>
      <c r="I4774" s="33"/>
      <c r="J4774" s="33"/>
      <c r="K4774" s="33"/>
      <c r="L4774" s="33"/>
      <c r="M4774" s="33"/>
      <c r="N4774" s="33"/>
      <c r="O4774" s="33"/>
      <c r="P4774" s="33"/>
      <c r="Q4774" s="33"/>
      <c r="R4774" s="33"/>
      <c r="T4774"/>
    </row>
    <row r="4775" spans="1:20" x14ac:dyDescent="0.2">
      <c r="A4775" s="9"/>
      <c r="B4775" s="9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T4775"/>
    </row>
    <row r="4776" spans="1:20" x14ac:dyDescent="0.2">
      <c r="A4776" s="33"/>
      <c r="B4776" s="33"/>
      <c r="C4776" s="33"/>
      <c r="D4776" s="33"/>
      <c r="E4776" s="33"/>
      <c r="F4776" s="33"/>
      <c r="G4776" s="33"/>
      <c r="H4776" s="33"/>
      <c r="I4776" s="33"/>
      <c r="J4776" s="33"/>
      <c r="K4776" s="33"/>
      <c r="L4776" s="33"/>
      <c r="M4776" s="33"/>
      <c r="N4776" s="33"/>
      <c r="O4776" s="33"/>
      <c r="P4776" s="33"/>
      <c r="Q4776" s="33"/>
      <c r="R4776" s="33"/>
      <c r="T4776"/>
    </row>
    <row r="4777" spans="1:20" x14ac:dyDescent="0.2">
      <c r="A4777" s="9"/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T4777"/>
    </row>
    <row r="4778" spans="1:20" x14ac:dyDescent="0.2">
      <c r="A4778" s="33"/>
      <c r="B4778" s="33"/>
      <c r="C4778" s="33"/>
      <c r="D4778" s="33"/>
      <c r="E4778" s="33"/>
      <c r="F4778" s="33"/>
      <c r="G4778" s="33"/>
      <c r="H4778" s="33"/>
      <c r="I4778" s="33"/>
      <c r="J4778" s="33"/>
      <c r="K4778" s="33"/>
      <c r="L4778" s="33"/>
      <c r="M4778" s="33"/>
      <c r="N4778" s="33"/>
      <c r="O4778" s="33"/>
      <c r="P4778" s="33"/>
      <c r="Q4778" s="33"/>
      <c r="R4778" s="33"/>
      <c r="T4778"/>
    </row>
    <row r="4779" spans="1:20" x14ac:dyDescent="0.2">
      <c r="A4779" s="9"/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T4779"/>
    </row>
    <row r="4780" spans="1:20" x14ac:dyDescent="0.2">
      <c r="A4780" s="33"/>
      <c r="B4780" s="33"/>
      <c r="C4780" s="33"/>
      <c r="D4780" s="33"/>
      <c r="E4780" s="33"/>
      <c r="F4780" s="33"/>
      <c r="G4780" s="33"/>
      <c r="H4780" s="33"/>
      <c r="I4780" s="33"/>
      <c r="J4780" s="33"/>
      <c r="K4780" s="33"/>
      <c r="L4780" s="33"/>
      <c r="M4780" s="33"/>
      <c r="N4780" s="33"/>
      <c r="O4780" s="33"/>
      <c r="P4780" s="33"/>
      <c r="Q4780" s="33"/>
      <c r="R4780" s="33"/>
      <c r="T4780"/>
    </row>
    <row r="4781" spans="1:20" x14ac:dyDescent="0.2">
      <c r="A4781" s="9"/>
      <c r="B4781" s="9"/>
      <c r="C4781" s="9"/>
      <c r="D4781" s="9"/>
      <c r="E4781" s="9"/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9"/>
      <c r="Q4781" s="9"/>
      <c r="R4781" s="9"/>
      <c r="T4781"/>
    </row>
    <row r="4782" spans="1:20" x14ac:dyDescent="0.2">
      <c r="A4782" s="33"/>
      <c r="B4782" s="33"/>
      <c r="C4782" s="33"/>
      <c r="D4782" s="33"/>
      <c r="E4782" s="33"/>
      <c r="F4782" s="33"/>
      <c r="G4782" s="33"/>
      <c r="H4782" s="33"/>
      <c r="I4782" s="33"/>
      <c r="J4782" s="33"/>
      <c r="K4782" s="33"/>
      <c r="L4782" s="33"/>
      <c r="M4782" s="33"/>
      <c r="N4782" s="33"/>
      <c r="O4782" s="33"/>
      <c r="P4782" s="33"/>
      <c r="Q4782" s="33"/>
      <c r="R4782" s="33"/>
      <c r="T4782"/>
    </row>
    <row r="4783" spans="1:20" x14ac:dyDescent="0.2">
      <c r="A4783" s="9"/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T4783"/>
    </row>
    <row r="4784" spans="1:20" x14ac:dyDescent="0.2">
      <c r="A4784" s="33"/>
      <c r="B4784" s="33"/>
      <c r="C4784" s="33"/>
      <c r="D4784" s="33"/>
      <c r="E4784" s="33"/>
      <c r="F4784" s="33"/>
      <c r="G4784" s="33"/>
      <c r="H4784" s="33"/>
      <c r="I4784" s="33"/>
      <c r="J4784" s="33"/>
      <c r="K4784" s="33"/>
      <c r="L4784" s="33"/>
      <c r="M4784" s="33"/>
      <c r="N4784" s="33"/>
      <c r="O4784" s="33"/>
      <c r="P4784" s="33"/>
      <c r="Q4784" s="33"/>
      <c r="R4784" s="33"/>
      <c r="T4784"/>
    </row>
    <row r="4785" spans="1:20" x14ac:dyDescent="0.2">
      <c r="A4785" s="9"/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T4785"/>
    </row>
    <row r="4786" spans="1:20" x14ac:dyDescent="0.2">
      <c r="A4786" s="33"/>
      <c r="B4786" s="33"/>
      <c r="C4786" s="33"/>
      <c r="D4786" s="33"/>
      <c r="E4786" s="33"/>
      <c r="F4786" s="33"/>
      <c r="G4786" s="33"/>
      <c r="H4786" s="33"/>
      <c r="I4786" s="33"/>
      <c r="J4786" s="33"/>
      <c r="K4786" s="33"/>
      <c r="L4786" s="33"/>
      <c r="M4786" s="33"/>
      <c r="N4786" s="33"/>
      <c r="O4786" s="33"/>
      <c r="P4786" s="33"/>
      <c r="Q4786" s="33"/>
      <c r="R4786" s="33"/>
      <c r="T4786"/>
    </row>
    <row r="4787" spans="1:20" x14ac:dyDescent="0.2">
      <c r="A4787" s="9"/>
      <c r="B4787" s="9"/>
      <c r="C4787" s="9"/>
      <c r="D4787" s="9"/>
      <c r="E4787" s="9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T4787"/>
    </row>
    <row r="4788" spans="1:20" x14ac:dyDescent="0.2">
      <c r="A4788" s="33"/>
      <c r="B4788" s="33"/>
      <c r="C4788" s="33"/>
      <c r="D4788" s="33"/>
      <c r="E4788" s="33"/>
      <c r="F4788" s="33"/>
      <c r="G4788" s="33"/>
      <c r="H4788" s="33"/>
      <c r="I4788" s="33"/>
      <c r="J4788" s="33"/>
      <c r="K4788" s="33"/>
      <c r="L4788" s="33"/>
      <c r="M4788" s="33"/>
      <c r="N4788" s="33"/>
      <c r="O4788" s="33"/>
      <c r="P4788" s="33"/>
      <c r="Q4788" s="33"/>
      <c r="R4788" s="33"/>
      <c r="T4788"/>
    </row>
    <row r="4789" spans="1:20" x14ac:dyDescent="0.2">
      <c r="A4789" s="9"/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T4789"/>
    </row>
    <row r="4790" spans="1:20" x14ac:dyDescent="0.2">
      <c r="A4790" s="33"/>
      <c r="B4790" s="33"/>
      <c r="C4790" s="33"/>
      <c r="D4790" s="33"/>
      <c r="E4790" s="33"/>
      <c r="F4790" s="33"/>
      <c r="G4790" s="33"/>
      <c r="H4790" s="33"/>
      <c r="I4790" s="33"/>
      <c r="J4790" s="33"/>
      <c r="K4790" s="33"/>
      <c r="L4790" s="33"/>
      <c r="M4790" s="33"/>
      <c r="N4790" s="33"/>
      <c r="O4790" s="33"/>
      <c r="P4790" s="33"/>
      <c r="Q4790" s="33"/>
      <c r="R4790" s="33"/>
      <c r="T4790"/>
    </row>
    <row r="4791" spans="1:20" x14ac:dyDescent="0.2">
      <c r="A4791" s="9"/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T4791"/>
    </row>
    <row r="4792" spans="1:20" x14ac:dyDescent="0.2">
      <c r="A4792" s="33"/>
      <c r="B4792" s="33"/>
      <c r="C4792" s="33"/>
      <c r="D4792" s="33"/>
      <c r="E4792" s="33"/>
      <c r="F4792" s="33"/>
      <c r="G4792" s="33"/>
      <c r="H4792" s="33"/>
      <c r="I4792" s="33"/>
      <c r="J4792" s="33"/>
      <c r="K4792" s="33"/>
      <c r="L4792" s="33"/>
      <c r="M4792" s="33"/>
      <c r="N4792" s="33"/>
      <c r="O4792" s="33"/>
      <c r="P4792" s="33"/>
      <c r="Q4792" s="33"/>
      <c r="R4792" s="33"/>
      <c r="T4792"/>
    </row>
    <row r="4793" spans="1:20" x14ac:dyDescent="0.2">
      <c r="A4793" s="9"/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T4793"/>
    </row>
    <row r="4794" spans="1:20" x14ac:dyDescent="0.2">
      <c r="A4794" s="33"/>
      <c r="B4794" s="33"/>
      <c r="C4794" s="33"/>
      <c r="D4794" s="33"/>
      <c r="E4794" s="33"/>
      <c r="F4794" s="33"/>
      <c r="G4794" s="33"/>
      <c r="H4794" s="33"/>
      <c r="I4794" s="33"/>
      <c r="J4794" s="33"/>
      <c r="K4794" s="33"/>
      <c r="L4794" s="33"/>
      <c r="M4794" s="33"/>
      <c r="N4794" s="33"/>
      <c r="O4794" s="33"/>
      <c r="P4794" s="33"/>
      <c r="Q4794" s="33"/>
      <c r="R4794" s="33"/>
      <c r="T4794"/>
    </row>
    <row r="4795" spans="1:20" x14ac:dyDescent="0.2">
      <c r="A4795" s="9"/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T4795"/>
    </row>
    <row r="4796" spans="1:20" x14ac:dyDescent="0.2">
      <c r="A4796" s="33"/>
      <c r="B4796" s="33"/>
      <c r="C4796" s="33"/>
      <c r="D4796" s="33"/>
      <c r="E4796" s="33"/>
      <c r="F4796" s="33"/>
      <c r="G4796" s="33"/>
      <c r="H4796" s="33"/>
      <c r="I4796" s="33"/>
      <c r="J4796" s="33"/>
      <c r="K4796" s="33"/>
      <c r="L4796" s="33"/>
      <c r="M4796" s="33"/>
      <c r="N4796" s="33"/>
      <c r="O4796" s="33"/>
      <c r="P4796" s="33"/>
      <c r="Q4796" s="33"/>
      <c r="R4796" s="33"/>
      <c r="T4796"/>
    </row>
    <row r="4797" spans="1:20" x14ac:dyDescent="0.2">
      <c r="A4797" s="9"/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T4797"/>
    </row>
    <row r="4798" spans="1:20" x14ac:dyDescent="0.2">
      <c r="A4798" s="33"/>
      <c r="B4798" s="33"/>
      <c r="C4798" s="33"/>
      <c r="D4798" s="33"/>
      <c r="E4798" s="33"/>
      <c r="F4798" s="33"/>
      <c r="G4798" s="33"/>
      <c r="H4798" s="33"/>
      <c r="I4798" s="33"/>
      <c r="J4798" s="33"/>
      <c r="K4798" s="33"/>
      <c r="L4798" s="33"/>
      <c r="M4798" s="33"/>
      <c r="N4798" s="33"/>
      <c r="O4798" s="33"/>
      <c r="P4798" s="33"/>
      <c r="Q4798" s="33"/>
      <c r="R4798" s="33"/>
      <c r="T4798"/>
    </row>
    <row r="4799" spans="1:20" x14ac:dyDescent="0.2">
      <c r="A4799" s="9"/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T4799"/>
    </row>
    <row r="4800" spans="1:20" x14ac:dyDescent="0.2">
      <c r="A4800" s="33"/>
      <c r="B4800" s="33"/>
      <c r="C4800" s="33"/>
      <c r="D4800" s="33"/>
      <c r="E4800" s="33"/>
      <c r="F4800" s="33"/>
      <c r="G4800" s="33"/>
      <c r="H4800" s="33"/>
      <c r="I4800" s="33"/>
      <c r="J4800" s="33"/>
      <c r="K4800" s="33"/>
      <c r="L4800" s="33"/>
      <c r="M4800" s="33"/>
      <c r="N4800" s="33"/>
      <c r="O4800" s="33"/>
      <c r="P4800" s="33"/>
      <c r="Q4800" s="33"/>
      <c r="R4800" s="33"/>
      <c r="T4800"/>
    </row>
    <row r="4801" spans="1:20" x14ac:dyDescent="0.2">
      <c r="A4801" s="9"/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T4801"/>
    </row>
    <row r="4802" spans="1:20" x14ac:dyDescent="0.2">
      <c r="A4802" s="33"/>
      <c r="B4802" s="33"/>
      <c r="C4802" s="33"/>
      <c r="D4802" s="33"/>
      <c r="E4802" s="33"/>
      <c r="F4802" s="33"/>
      <c r="G4802" s="33"/>
      <c r="H4802" s="33"/>
      <c r="I4802" s="33"/>
      <c r="J4802" s="33"/>
      <c r="K4802" s="33"/>
      <c r="L4802" s="33"/>
      <c r="M4802" s="33"/>
      <c r="N4802" s="33"/>
      <c r="O4802" s="33"/>
      <c r="P4802" s="33"/>
      <c r="Q4802" s="33"/>
      <c r="R4802" s="33"/>
      <c r="T4802"/>
    </row>
    <row r="4803" spans="1:20" x14ac:dyDescent="0.2">
      <c r="A4803" s="9"/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T4803"/>
    </row>
    <row r="4804" spans="1:20" x14ac:dyDescent="0.2">
      <c r="A4804" s="33"/>
      <c r="B4804" s="33"/>
      <c r="C4804" s="33"/>
      <c r="D4804" s="33"/>
      <c r="E4804" s="33"/>
      <c r="F4804" s="33"/>
      <c r="G4804" s="33"/>
      <c r="H4804" s="33"/>
      <c r="I4804" s="33"/>
      <c r="J4804" s="33"/>
      <c r="K4804" s="33"/>
      <c r="L4804" s="33"/>
      <c r="M4804" s="33"/>
      <c r="N4804" s="33"/>
      <c r="O4804" s="33"/>
      <c r="P4804" s="33"/>
      <c r="Q4804" s="33"/>
      <c r="R4804" s="33"/>
      <c r="T4804"/>
    </row>
    <row r="4805" spans="1:20" x14ac:dyDescent="0.2">
      <c r="A4805" s="9"/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T4805"/>
    </row>
    <row r="4806" spans="1:20" x14ac:dyDescent="0.2">
      <c r="A4806" s="33"/>
      <c r="B4806" s="33"/>
      <c r="C4806" s="33"/>
      <c r="D4806" s="33"/>
      <c r="E4806" s="33"/>
      <c r="F4806" s="33"/>
      <c r="G4806" s="33"/>
      <c r="H4806" s="33"/>
      <c r="I4806" s="33"/>
      <c r="J4806" s="33"/>
      <c r="K4806" s="33"/>
      <c r="L4806" s="33"/>
      <c r="M4806" s="33"/>
      <c r="N4806" s="33"/>
      <c r="O4806" s="33"/>
      <c r="P4806" s="33"/>
      <c r="Q4806" s="33"/>
      <c r="R4806" s="33"/>
      <c r="T4806"/>
    </row>
    <row r="4807" spans="1:20" x14ac:dyDescent="0.2">
      <c r="A4807" s="9"/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T4807"/>
    </row>
    <row r="4808" spans="1:20" x14ac:dyDescent="0.2">
      <c r="A4808" s="33"/>
      <c r="B4808" s="33"/>
      <c r="C4808" s="33"/>
      <c r="D4808" s="33"/>
      <c r="E4808" s="33"/>
      <c r="F4808" s="33"/>
      <c r="G4808" s="33"/>
      <c r="H4808" s="33"/>
      <c r="I4808" s="33"/>
      <c r="J4808" s="33"/>
      <c r="K4808" s="33"/>
      <c r="L4808" s="33"/>
      <c r="M4808" s="33"/>
      <c r="N4808" s="33"/>
      <c r="O4808" s="33"/>
      <c r="P4808" s="33"/>
      <c r="Q4808" s="33"/>
      <c r="R4808" s="33"/>
      <c r="T4808"/>
    </row>
    <row r="4809" spans="1:20" x14ac:dyDescent="0.2">
      <c r="A4809" s="9"/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T4809"/>
    </row>
    <row r="4810" spans="1:20" x14ac:dyDescent="0.2">
      <c r="A4810" s="33"/>
      <c r="B4810" s="33"/>
      <c r="C4810" s="33"/>
      <c r="D4810" s="33"/>
      <c r="E4810" s="33"/>
      <c r="F4810" s="33"/>
      <c r="G4810" s="33"/>
      <c r="H4810" s="33"/>
      <c r="I4810" s="33"/>
      <c r="J4810" s="33"/>
      <c r="K4810" s="33"/>
      <c r="L4810" s="33"/>
      <c r="M4810" s="33"/>
      <c r="N4810" s="33"/>
      <c r="O4810" s="33"/>
      <c r="P4810" s="33"/>
      <c r="Q4810" s="33"/>
      <c r="R4810" s="33"/>
      <c r="T4810"/>
    </row>
    <row r="4811" spans="1:20" x14ac:dyDescent="0.2">
      <c r="A4811" s="9"/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T4811"/>
    </row>
    <row r="4812" spans="1:20" x14ac:dyDescent="0.2">
      <c r="A4812" s="33"/>
      <c r="B4812" s="33"/>
      <c r="C4812" s="33"/>
      <c r="D4812" s="33"/>
      <c r="E4812" s="33"/>
      <c r="F4812" s="33"/>
      <c r="G4812" s="33"/>
      <c r="H4812" s="33"/>
      <c r="I4812" s="33"/>
      <c r="J4812" s="33"/>
      <c r="K4812" s="33"/>
      <c r="L4812" s="33"/>
      <c r="M4812" s="33"/>
      <c r="N4812" s="33"/>
      <c r="O4812" s="33"/>
      <c r="P4812" s="33"/>
      <c r="Q4812" s="33"/>
      <c r="R4812" s="33"/>
      <c r="T4812"/>
    </row>
    <row r="4813" spans="1:20" x14ac:dyDescent="0.2">
      <c r="A4813" s="9"/>
      <c r="B4813" s="9"/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9"/>
      <c r="R4813" s="9"/>
      <c r="T4813"/>
    </row>
    <row r="4814" spans="1:20" x14ac:dyDescent="0.2">
      <c r="A4814" s="33"/>
      <c r="B4814" s="33"/>
      <c r="C4814" s="33"/>
      <c r="D4814" s="33"/>
      <c r="E4814" s="33"/>
      <c r="F4814" s="33"/>
      <c r="G4814" s="33"/>
      <c r="H4814" s="33"/>
      <c r="I4814" s="33"/>
      <c r="J4814" s="33"/>
      <c r="K4814" s="33"/>
      <c r="L4814" s="33"/>
      <c r="M4814" s="33"/>
      <c r="N4814" s="33"/>
      <c r="O4814" s="33"/>
      <c r="P4814" s="33"/>
      <c r="Q4814" s="33"/>
      <c r="R4814" s="33"/>
      <c r="T4814"/>
    </row>
    <row r="4815" spans="1:20" x14ac:dyDescent="0.2">
      <c r="A4815" s="9"/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T4815"/>
    </row>
    <row r="4816" spans="1:20" x14ac:dyDescent="0.2">
      <c r="A4816" s="33"/>
      <c r="B4816" s="33"/>
      <c r="C4816" s="33"/>
      <c r="D4816" s="33"/>
      <c r="E4816" s="33"/>
      <c r="F4816" s="33"/>
      <c r="G4816" s="33"/>
      <c r="H4816" s="33"/>
      <c r="I4816" s="33"/>
      <c r="J4816" s="33"/>
      <c r="K4816" s="33"/>
      <c r="L4816" s="33"/>
      <c r="M4816" s="33"/>
      <c r="N4816" s="33"/>
      <c r="O4816" s="33"/>
      <c r="P4816" s="33"/>
      <c r="Q4816" s="33"/>
      <c r="R4816" s="33"/>
      <c r="T4816"/>
    </row>
    <row r="4817" spans="1:20" x14ac:dyDescent="0.2">
      <c r="A4817" s="9"/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T4817"/>
    </row>
    <row r="4818" spans="1:20" x14ac:dyDescent="0.2">
      <c r="A4818" s="33"/>
      <c r="B4818" s="33"/>
      <c r="C4818" s="33"/>
      <c r="D4818" s="33"/>
      <c r="E4818" s="33"/>
      <c r="F4818" s="33"/>
      <c r="G4818" s="33"/>
      <c r="H4818" s="33"/>
      <c r="I4818" s="33"/>
      <c r="J4818" s="33"/>
      <c r="K4818" s="33"/>
      <c r="L4818" s="33"/>
      <c r="M4818" s="33"/>
      <c r="N4818" s="33"/>
      <c r="O4818" s="33"/>
      <c r="P4818" s="33"/>
      <c r="Q4818" s="33"/>
      <c r="R4818" s="33"/>
      <c r="T4818"/>
    </row>
    <row r="4819" spans="1:20" x14ac:dyDescent="0.2">
      <c r="A4819" s="9"/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T4819"/>
    </row>
    <row r="4820" spans="1:20" x14ac:dyDescent="0.2">
      <c r="A4820" s="33"/>
      <c r="B4820" s="33"/>
      <c r="C4820" s="33"/>
      <c r="D4820" s="33"/>
      <c r="E4820" s="33"/>
      <c r="F4820" s="33"/>
      <c r="G4820" s="33"/>
      <c r="H4820" s="33"/>
      <c r="I4820" s="33"/>
      <c r="J4820" s="33"/>
      <c r="K4820" s="33"/>
      <c r="L4820" s="33"/>
      <c r="M4820" s="33"/>
      <c r="N4820" s="33"/>
      <c r="O4820" s="33"/>
      <c r="P4820" s="33"/>
      <c r="Q4820" s="33"/>
      <c r="R4820" s="33"/>
      <c r="T4820"/>
    </row>
    <row r="4821" spans="1:20" x14ac:dyDescent="0.2">
      <c r="A4821" s="9"/>
      <c r="B4821" s="9"/>
      <c r="C4821" s="9"/>
      <c r="D4821" s="9"/>
      <c r="E4821" s="9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T4821"/>
    </row>
    <row r="4822" spans="1:20" x14ac:dyDescent="0.2">
      <c r="A4822" s="33"/>
      <c r="B4822" s="33"/>
      <c r="C4822" s="33"/>
      <c r="D4822" s="33"/>
      <c r="E4822" s="33"/>
      <c r="F4822" s="33"/>
      <c r="G4822" s="33"/>
      <c r="H4822" s="33"/>
      <c r="I4822" s="33"/>
      <c r="J4822" s="33"/>
      <c r="K4822" s="33"/>
      <c r="L4822" s="33"/>
      <c r="M4822" s="33"/>
      <c r="N4822" s="33"/>
      <c r="O4822" s="33"/>
      <c r="P4822" s="33"/>
      <c r="Q4822" s="33"/>
      <c r="R4822" s="33"/>
      <c r="T4822"/>
    </row>
    <row r="4823" spans="1:20" x14ac:dyDescent="0.2">
      <c r="A4823" s="9"/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T4823"/>
    </row>
    <row r="4824" spans="1:20" x14ac:dyDescent="0.2">
      <c r="A4824" s="33"/>
      <c r="B4824" s="33"/>
      <c r="C4824" s="33"/>
      <c r="D4824" s="33"/>
      <c r="E4824" s="33"/>
      <c r="F4824" s="33"/>
      <c r="G4824" s="33"/>
      <c r="H4824" s="33"/>
      <c r="I4824" s="33"/>
      <c r="J4824" s="33"/>
      <c r="K4824" s="33"/>
      <c r="L4824" s="33"/>
      <c r="M4824" s="33"/>
      <c r="N4824" s="33"/>
      <c r="O4824" s="33"/>
      <c r="P4824" s="33"/>
      <c r="Q4824" s="33"/>
      <c r="R4824" s="33"/>
      <c r="T4824"/>
    </row>
    <row r="4825" spans="1:20" x14ac:dyDescent="0.2">
      <c r="A4825" s="9"/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T4825"/>
    </row>
    <row r="4826" spans="1:20" x14ac:dyDescent="0.2">
      <c r="A4826" s="33"/>
      <c r="B4826" s="33"/>
      <c r="C4826" s="33"/>
      <c r="D4826" s="33"/>
      <c r="E4826" s="33"/>
      <c r="F4826" s="33"/>
      <c r="G4826" s="33"/>
      <c r="H4826" s="33"/>
      <c r="I4826" s="33"/>
      <c r="J4826" s="33"/>
      <c r="K4826" s="33"/>
      <c r="L4826" s="33"/>
      <c r="M4826" s="33"/>
      <c r="N4826" s="33"/>
      <c r="O4826" s="33"/>
      <c r="P4826" s="33"/>
      <c r="Q4826" s="33"/>
      <c r="R4826" s="33"/>
      <c r="T4826"/>
    </row>
    <row r="4827" spans="1:20" x14ac:dyDescent="0.2">
      <c r="A4827" s="9"/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T4827"/>
    </row>
    <row r="4828" spans="1:20" x14ac:dyDescent="0.2">
      <c r="A4828" s="33"/>
      <c r="B4828" s="33"/>
      <c r="C4828" s="33"/>
      <c r="D4828" s="33"/>
      <c r="E4828" s="33"/>
      <c r="F4828" s="33"/>
      <c r="G4828" s="33"/>
      <c r="H4828" s="33"/>
      <c r="I4828" s="33"/>
      <c r="J4828" s="33"/>
      <c r="K4828" s="33"/>
      <c r="L4828" s="33"/>
      <c r="M4828" s="33"/>
      <c r="N4828" s="33"/>
      <c r="O4828" s="33"/>
      <c r="P4828" s="33"/>
      <c r="Q4828" s="33"/>
      <c r="R4828" s="33"/>
      <c r="T4828"/>
    </row>
    <row r="4829" spans="1:20" x14ac:dyDescent="0.2">
      <c r="A4829" s="9"/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T4829"/>
    </row>
    <row r="4830" spans="1:20" x14ac:dyDescent="0.2">
      <c r="A4830" s="33"/>
      <c r="B4830" s="33"/>
      <c r="C4830" s="33"/>
      <c r="D4830" s="33"/>
      <c r="E4830" s="33"/>
      <c r="F4830" s="33"/>
      <c r="G4830" s="33"/>
      <c r="H4830" s="33"/>
      <c r="I4830" s="33"/>
      <c r="J4830" s="33"/>
      <c r="K4830" s="33"/>
      <c r="L4830" s="33"/>
      <c r="M4830" s="33"/>
      <c r="N4830" s="33"/>
      <c r="O4830" s="33"/>
      <c r="P4830" s="33"/>
      <c r="Q4830" s="33"/>
      <c r="R4830" s="33"/>
      <c r="T4830"/>
    </row>
    <row r="4831" spans="1:20" x14ac:dyDescent="0.2">
      <c r="A4831" s="9"/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T4831"/>
    </row>
    <row r="4832" spans="1:20" x14ac:dyDescent="0.2">
      <c r="A4832" s="33"/>
      <c r="B4832" s="33"/>
      <c r="C4832" s="33"/>
      <c r="D4832" s="33"/>
      <c r="E4832" s="33"/>
      <c r="F4832" s="33"/>
      <c r="G4832" s="33"/>
      <c r="H4832" s="33"/>
      <c r="I4832" s="33"/>
      <c r="J4832" s="33"/>
      <c r="K4832" s="33"/>
      <c r="L4832" s="33"/>
      <c r="M4832" s="33"/>
      <c r="N4832" s="33"/>
      <c r="O4832" s="33"/>
      <c r="P4832" s="33"/>
      <c r="Q4832" s="33"/>
      <c r="R4832" s="33"/>
      <c r="T4832"/>
    </row>
    <row r="4833" spans="1:20" x14ac:dyDescent="0.2">
      <c r="A4833" s="9"/>
      <c r="B4833" s="9"/>
      <c r="C4833" s="9"/>
      <c r="D4833" s="9"/>
      <c r="E4833" s="9"/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9"/>
      <c r="Q4833" s="9"/>
      <c r="R4833" s="9"/>
      <c r="T4833"/>
    </row>
    <row r="4834" spans="1:20" x14ac:dyDescent="0.2">
      <c r="A4834" s="33"/>
      <c r="B4834" s="33"/>
      <c r="C4834" s="33"/>
      <c r="D4834" s="33"/>
      <c r="E4834" s="33"/>
      <c r="F4834" s="33"/>
      <c r="G4834" s="33"/>
      <c r="H4834" s="33"/>
      <c r="I4834" s="33"/>
      <c r="J4834" s="33"/>
      <c r="K4834" s="33"/>
      <c r="L4834" s="33"/>
      <c r="M4834" s="33"/>
      <c r="N4834" s="33"/>
      <c r="O4834" s="33"/>
      <c r="P4834" s="33"/>
      <c r="Q4834" s="33"/>
      <c r="R4834" s="33"/>
      <c r="T4834"/>
    </row>
    <row r="4835" spans="1:20" x14ac:dyDescent="0.2">
      <c r="A4835" s="9"/>
      <c r="B4835" s="9"/>
      <c r="C4835" s="9"/>
      <c r="D4835" s="9"/>
      <c r="E4835" s="9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T4835"/>
    </row>
    <row r="4836" spans="1:20" x14ac:dyDescent="0.2">
      <c r="A4836" s="33"/>
      <c r="B4836" s="33"/>
      <c r="C4836" s="33"/>
      <c r="D4836" s="33"/>
      <c r="E4836" s="33"/>
      <c r="F4836" s="33"/>
      <c r="G4836" s="33"/>
      <c r="H4836" s="33"/>
      <c r="I4836" s="33"/>
      <c r="J4836" s="33"/>
      <c r="K4836" s="33"/>
      <c r="L4836" s="33"/>
      <c r="M4836" s="33"/>
      <c r="N4836" s="33"/>
      <c r="O4836" s="33"/>
      <c r="P4836" s="33"/>
      <c r="Q4836" s="33"/>
      <c r="R4836" s="33"/>
      <c r="T4836"/>
    </row>
    <row r="4837" spans="1:20" x14ac:dyDescent="0.2">
      <c r="A4837" s="9"/>
      <c r="B4837" s="9"/>
      <c r="C4837" s="9"/>
      <c r="D4837" s="9"/>
      <c r="E4837" s="9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T4837"/>
    </row>
    <row r="4838" spans="1:20" x14ac:dyDescent="0.2">
      <c r="A4838" s="33"/>
      <c r="B4838" s="33"/>
      <c r="C4838" s="33"/>
      <c r="D4838" s="33"/>
      <c r="E4838" s="33"/>
      <c r="F4838" s="33"/>
      <c r="G4838" s="33"/>
      <c r="H4838" s="33"/>
      <c r="I4838" s="33"/>
      <c r="J4838" s="33"/>
      <c r="K4838" s="33"/>
      <c r="L4838" s="33"/>
      <c r="M4838" s="33"/>
      <c r="N4838" s="33"/>
      <c r="O4838" s="33"/>
      <c r="P4838" s="33"/>
      <c r="Q4838" s="33"/>
      <c r="R4838" s="33"/>
      <c r="T4838"/>
    </row>
    <row r="4839" spans="1:20" x14ac:dyDescent="0.2">
      <c r="A4839" s="9"/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T4839"/>
    </row>
    <row r="4840" spans="1:20" x14ac:dyDescent="0.2">
      <c r="A4840" s="33"/>
      <c r="B4840" s="33"/>
      <c r="C4840" s="33"/>
      <c r="D4840" s="33"/>
      <c r="E4840" s="33"/>
      <c r="F4840" s="33"/>
      <c r="G4840" s="33"/>
      <c r="H4840" s="33"/>
      <c r="I4840" s="33"/>
      <c r="J4840" s="33"/>
      <c r="K4840" s="33"/>
      <c r="L4840" s="33"/>
      <c r="M4840" s="33"/>
      <c r="N4840" s="33"/>
      <c r="O4840" s="33"/>
      <c r="P4840" s="33"/>
      <c r="Q4840" s="33"/>
      <c r="R4840" s="33"/>
      <c r="T4840"/>
    </row>
    <row r="4841" spans="1:20" x14ac:dyDescent="0.2">
      <c r="A4841" s="9"/>
      <c r="B4841" s="9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T4841"/>
    </row>
    <row r="4842" spans="1:20" x14ac:dyDescent="0.2">
      <c r="A4842" s="33"/>
      <c r="B4842" s="33"/>
      <c r="C4842" s="33"/>
      <c r="D4842" s="33"/>
      <c r="E4842" s="33"/>
      <c r="F4842" s="33"/>
      <c r="G4842" s="33"/>
      <c r="H4842" s="33"/>
      <c r="I4842" s="33"/>
      <c r="J4842" s="33"/>
      <c r="K4842" s="33"/>
      <c r="L4842" s="33"/>
      <c r="M4842" s="33"/>
      <c r="N4842" s="33"/>
      <c r="O4842" s="33"/>
      <c r="P4842" s="33"/>
      <c r="Q4842" s="33"/>
      <c r="R4842" s="33"/>
      <c r="T4842"/>
    </row>
    <row r="4843" spans="1:20" x14ac:dyDescent="0.2">
      <c r="A4843" s="9"/>
      <c r="B4843" s="9"/>
      <c r="C4843" s="9"/>
      <c r="D4843" s="9"/>
      <c r="E4843" s="9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T4843"/>
    </row>
    <row r="4844" spans="1:20" x14ac:dyDescent="0.2">
      <c r="A4844" s="33"/>
      <c r="B4844" s="33"/>
      <c r="C4844" s="33"/>
      <c r="D4844" s="33"/>
      <c r="E4844" s="33"/>
      <c r="F4844" s="33"/>
      <c r="G4844" s="33"/>
      <c r="H4844" s="33"/>
      <c r="I4844" s="33"/>
      <c r="J4844" s="33"/>
      <c r="K4844" s="33"/>
      <c r="L4844" s="33"/>
      <c r="M4844" s="33"/>
      <c r="N4844" s="33"/>
      <c r="O4844" s="33"/>
      <c r="P4844" s="33"/>
      <c r="Q4844" s="33"/>
      <c r="R4844" s="33"/>
      <c r="T4844"/>
    </row>
    <row r="4845" spans="1:20" x14ac:dyDescent="0.2">
      <c r="A4845" s="9"/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T4845"/>
    </row>
    <row r="4846" spans="1:20" x14ac:dyDescent="0.2">
      <c r="A4846" s="33"/>
      <c r="B4846" s="33"/>
      <c r="C4846" s="33"/>
      <c r="D4846" s="33"/>
      <c r="E4846" s="33"/>
      <c r="F4846" s="33"/>
      <c r="G4846" s="33"/>
      <c r="H4846" s="33"/>
      <c r="I4846" s="33"/>
      <c r="J4846" s="33"/>
      <c r="K4846" s="33"/>
      <c r="L4846" s="33"/>
      <c r="M4846" s="33"/>
      <c r="N4846" s="33"/>
      <c r="O4846" s="33"/>
      <c r="P4846" s="33"/>
      <c r="Q4846" s="33"/>
      <c r="R4846" s="33"/>
      <c r="T4846"/>
    </row>
    <row r="4847" spans="1:20" x14ac:dyDescent="0.2">
      <c r="A4847" s="9"/>
      <c r="B4847" s="9"/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T4847"/>
    </row>
    <row r="4848" spans="1:20" x14ac:dyDescent="0.2">
      <c r="A4848" s="33"/>
      <c r="B4848" s="33"/>
      <c r="C4848" s="33"/>
      <c r="D4848" s="33"/>
      <c r="E4848" s="33"/>
      <c r="F4848" s="33"/>
      <c r="G4848" s="33"/>
      <c r="H4848" s="33"/>
      <c r="I4848" s="33"/>
      <c r="J4848" s="33"/>
      <c r="K4848" s="33"/>
      <c r="L4848" s="33"/>
      <c r="M4848" s="33"/>
      <c r="N4848" s="33"/>
      <c r="O4848" s="33"/>
      <c r="P4848" s="33"/>
      <c r="Q4848" s="33"/>
      <c r="R4848" s="33"/>
      <c r="T4848"/>
    </row>
    <row r="4849" spans="1:20" x14ac:dyDescent="0.2">
      <c r="A4849" s="9"/>
      <c r="B4849" s="9"/>
      <c r="C4849" s="9"/>
      <c r="D4849" s="9"/>
      <c r="E4849" s="9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T4849"/>
    </row>
    <row r="4850" spans="1:20" x14ac:dyDescent="0.2">
      <c r="A4850" s="33"/>
      <c r="B4850" s="33"/>
      <c r="C4850" s="33"/>
      <c r="D4850" s="33"/>
      <c r="E4850" s="33"/>
      <c r="F4850" s="33"/>
      <c r="G4850" s="33"/>
      <c r="H4850" s="33"/>
      <c r="I4850" s="33"/>
      <c r="J4850" s="33"/>
      <c r="K4850" s="33"/>
      <c r="L4850" s="33"/>
      <c r="M4850" s="33"/>
      <c r="N4850" s="33"/>
      <c r="O4850" s="33"/>
      <c r="P4850" s="33"/>
      <c r="Q4850" s="33"/>
      <c r="R4850" s="33"/>
      <c r="T4850"/>
    </row>
    <row r="4851" spans="1:20" x14ac:dyDescent="0.2">
      <c r="A4851" s="9"/>
      <c r="B4851" s="9"/>
      <c r="C4851" s="9"/>
      <c r="D4851" s="9"/>
      <c r="E4851" s="9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T4851"/>
    </row>
    <row r="4852" spans="1:20" x14ac:dyDescent="0.2">
      <c r="A4852" s="33"/>
      <c r="B4852" s="33"/>
      <c r="C4852" s="33"/>
      <c r="D4852" s="33"/>
      <c r="E4852" s="33"/>
      <c r="F4852" s="33"/>
      <c r="G4852" s="33"/>
      <c r="H4852" s="33"/>
      <c r="I4852" s="33"/>
      <c r="J4852" s="33"/>
      <c r="K4852" s="33"/>
      <c r="L4852" s="33"/>
      <c r="M4852" s="33"/>
      <c r="N4852" s="33"/>
      <c r="O4852" s="33"/>
      <c r="P4852" s="33"/>
      <c r="Q4852" s="33"/>
      <c r="R4852" s="33"/>
      <c r="T4852"/>
    </row>
    <row r="4853" spans="1:20" x14ac:dyDescent="0.2">
      <c r="A4853" s="9"/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T4853"/>
    </row>
    <row r="4854" spans="1:20" x14ac:dyDescent="0.2">
      <c r="A4854" s="33"/>
      <c r="B4854" s="33"/>
      <c r="C4854" s="33"/>
      <c r="D4854" s="33"/>
      <c r="E4854" s="33"/>
      <c r="F4854" s="33"/>
      <c r="G4854" s="33"/>
      <c r="H4854" s="33"/>
      <c r="I4854" s="33"/>
      <c r="J4854" s="33"/>
      <c r="K4854" s="33"/>
      <c r="L4854" s="33"/>
      <c r="M4854" s="33"/>
      <c r="N4854" s="33"/>
      <c r="O4854" s="33"/>
      <c r="P4854" s="33"/>
      <c r="Q4854" s="33"/>
      <c r="R4854" s="33"/>
      <c r="T4854"/>
    </row>
    <row r="4855" spans="1:20" x14ac:dyDescent="0.2">
      <c r="A4855" s="9"/>
      <c r="B4855" s="9"/>
      <c r="C4855" s="9"/>
      <c r="D4855" s="9"/>
      <c r="E4855" s="9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T4855"/>
    </row>
    <row r="4856" spans="1:20" x14ac:dyDescent="0.2">
      <c r="A4856" s="33"/>
      <c r="B4856" s="33"/>
      <c r="C4856" s="33"/>
      <c r="D4856" s="33"/>
      <c r="E4856" s="33"/>
      <c r="F4856" s="33"/>
      <c r="G4856" s="33"/>
      <c r="H4856" s="33"/>
      <c r="I4856" s="33"/>
      <c r="J4856" s="33"/>
      <c r="K4856" s="33"/>
      <c r="L4856" s="33"/>
      <c r="M4856" s="33"/>
      <c r="N4856" s="33"/>
      <c r="O4856" s="33"/>
      <c r="P4856" s="33"/>
      <c r="Q4856" s="33"/>
      <c r="R4856" s="33"/>
      <c r="T4856"/>
    </row>
    <row r="4857" spans="1:20" x14ac:dyDescent="0.2">
      <c r="A4857" s="9"/>
      <c r="B4857" s="9"/>
      <c r="C4857" s="9"/>
      <c r="D4857" s="9"/>
      <c r="E4857" s="9"/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9"/>
      <c r="Q4857" s="9"/>
      <c r="R4857" s="9"/>
      <c r="T4857"/>
    </row>
    <row r="4858" spans="1:20" x14ac:dyDescent="0.2">
      <c r="A4858" s="33"/>
      <c r="B4858" s="33"/>
      <c r="C4858" s="33"/>
      <c r="D4858" s="33"/>
      <c r="E4858" s="33"/>
      <c r="F4858" s="33"/>
      <c r="G4858" s="33"/>
      <c r="H4858" s="33"/>
      <c r="I4858" s="33"/>
      <c r="J4858" s="33"/>
      <c r="K4858" s="33"/>
      <c r="L4858" s="33"/>
      <c r="M4858" s="33"/>
      <c r="N4858" s="33"/>
      <c r="O4858" s="33"/>
      <c r="P4858" s="33"/>
      <c r="Q4858" s="33"/>
      <c r="R4858" s="33"/>
      <c r="T4858"/>
    </row>
    <row r="4859" spans="1:20" x14ac:dyDescent="0.2">
      <c r="A4859" s="9"/>
      <c r="B4859" s="9"/>
      <c r="C4859" s="9"/>
      <c r="D4859" s="9"/>
      <c r="E4859" s="9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T4859"/>
    </row>
    <row r="4860" spans="1:20" x14ac:dyDescent="0.2">
      <c r="A4860" s="33"/>
      <c r="B4860" s="33"/>
      <c r="C4860" s="33"/>
      <c r="D4860" s="33"/>
      <c r="E4860" s="33"/>
      <c r="F4860" s="33"/>
      <c r="G4860" s="33"/>
      <c r="H4860" s="33"/>
      <c r="I4860" s="33"/>
      <c r="J4860" s="33"/>
      <c r="K4860" s="33"/>
      <c r="L4860" s="33"/>
      <c r="M4860" s="33"/>
      <c r="N4860" s="33"/>
      <c r="O4860" s="33"/>
      <c r="P4860" s="33"/>
      <c r="Q4860" s="33"/>
      <c r="R4860" s="33"/>
      <c r="T4860"/>
    </row>
    <row r="4861" spans="1:20" x14ac:dyDescent="0.2">
      <c r="A4861" s="9"/>
      <c r="B4861" s="9"/>
      <c r="C4861" s="9"/>
      <c r="D4861" s="9"/>
      <c r="E4861" s="9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T4861"/>
    </row>
    <row r="4862" spans="1:20" x14ac:dyDescent="0.2">
      <c r="A4862" s="33"/>
      <c r="B4862" s="33"/>
      <c r="C4862" s="33"/>
      <c r="D4862" s="33"/>
      <c r="E4862" s="33"/>
      <c r="F4862" s="33"/>
      <c r="G4862" s="33"/>
      <c r="H4862" s="33"/>
      <c r="I4862" s="33"/>
      <c r="J4862" s="33"/>
      <c r="K4862" s="33"/>
      <c r="L4862" s="33"/>
      <c r="M4862" s="33"/>
      <c r="N4862" s="33"/>
      <c r="O4862" s="33"/>
      <c r="P4862" s="33"/>
      <c r="Q4862" s="33"/>
      <c r="R4862" s="33"/>
      <c r="T4862"/>
    </row>
    <row r="4863" spans="1:20" x14ac:dyDescent="0.2">
      <c r="A4863" s="9"/>
      <c r="B4863" s="9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T4863"/>
    </row>
    <row r="4864" spans="1:20" x14ac:dyDescent="0.2">
      <c r="A4864" s="33"/>
      <c r="B4864" s="33"/>
      <c r="C4864" s="33"/>
      <c r="D4864" s="33"/>
      <c r="E4864" s="33"/>
      <c r="F4864" s="33"/>
      <c r="G4864" s="33"/>
      <c r="H4864" s="33"/>
      <c r="I4864" s="33"/>
      <c r="J4864" s="33"/>
      <c r="K4864" s="33"/>
      <c r="L4864" s="33"/>
      <c r="M4864" s="33"/>
      <c r="N4864" s="33"/>
      <c r="O4864" s="33"/>
      <c r="P4864" s="33"/>
      <c r="Q4864" s="33"/>
      <c r="R4864" s="33"/>
      <c r="T4864"/>
    </row>
    <row r="4865" spans="1:20" x14ac:dyDescent="0.2">
      <c r="A4865" s="9"/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T4865"/>
    </row>
    <row r="4866" spans="1:20" x14ac:dyDescent="0.2">
      <c r="A4866" s="33"/>
      <c r="B4866" s="33"/>
      <c r="C4866" s="33"/>
      <c r="D4866" s="33"/>
      <c r="E4866" s="33"/>
      <c r="F4866" s="33"/>
      <c r="G4866" s="33"/>
      <c r="H4866" s="33"/>
      <c r="I4866" s="33"/>
      <c r="J4866" s="33"/>
      <c r="K4866" s="33"/>
      <c r="L4866" s="33"/>
      <c r="M4866" s="33"/>
      <c r="N4866" s="33"/>
      <c r="O4866" s="33"/>
      <c r="P4866" s="33"/>
      <c r="Q4866" s="33"/>
      <c r="R4866" s="33"/>
      <c r="T4866"/>
    </row>
    <row r="4867" spans="1:20" x14ac:dyDescent="0.2">
      <c r="A4867" s="9"/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T4867"/>
    </row>
    <row r="4868" spans="1:20" x14ac:dyDescent="0.2">
      <c r="A4868" s="33"/>
      <c r="B4868" s="33"/>
      <c r="C4868" s="33"/>
      <c r="D4868" s="33"/>
      <c r="E4868" s="33"/>
      <c r="F4868" s="33"/>
      <c r="G4868" s="33"/>
      <c r="H4868" s="33"/>
      <c r="I4868" s="33"/>
      <c r="J4868" s="33"/>
      <c r="K4868" s="33"/>
      <c r="L4868" s="33"/>
      <c r="M4868" s="33"/>
      <c r="N4868" s="33"/>
      <c r="O4868" s="33"/>
      <c r="P4868" s="33"/>
      <c r="Q4868" s="33"/>
      <c r="R4868" s="33"/>
      <c r="T4868"/>
    </row>
    <row r="4869" spans="1:20" x14ac:dyDescent="0.2">
      <c r="A4869" s="9"/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T4869"/>
    </row>
    <row r="4870" spans="1:20" x14ac:dyDescent="0.2">
      <c r="A4870" s="33"/>
      <c r="B4870" s="33"/>
      <c r="C4870" s="33"/>
      <c r="D4870" s="33"/>
      <c r="E4870" s="33"/>
      <c r="F4870" s="33"/>
      <c r="G4870" s="33"/>
      <c r="H4870" s="33"/>
      <c r="I4870" s="33"/>
      <c r="J4870" s="33"/>
      <c r="K4870" s="33"/>
      <c r="L4870" s="33"/>
      <c r="M4870" s="33"/>
      <c r="N4870" s="33"/>
      <c r="O4870" s="33"/>
      <c r="P4870" s="33"/>
      <c r="Q4870" s="33"/>
      <c r="R4870" s="33"/>
      <c r="T4870"/>
    </row>
    <row r="4871" spans="1:20" x14ac:dyDescent="0.2">
      <c r="A4871" s="9"/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T4871"/>
    </row>
    <row r="4872" spans="1:20" x14ac:dyDescent="0.2">
      <c r="A4872" s="33"/>
      <c r="B4872" s="33"/>
      <c r="C4872" s="33"/>
      <c r="D4872" s="33"/>
      <c r="E4872" s="33"/>
      <c r="F4872" s="33"/>
      <c r="G4872" s="33"/>
      <c r="H4872" s="33"/>
      <c r="I4872" s="33"/>
      <c r="J4872" s="33"/>
      <c r="K4872" s="33"/>
      <c r="L4872" s="33"/>
      <c r="M4872" s="33"/>
      <c r="N4872" s="33"/>
      <c r="O4872" s="33"/>
      <c r="P4872" s="33"/>
      <c r="Q4872" s="33"/>
      <c r="R4872" s="33"/>
      <c r="T4872"/>
    </row>
    <row r="4873" spans="1:20" x14ac:dyDescent="0.2">
      <c r="A4873" s="9"/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T4873"/>
    </row>
    <row r="4874" spans="1:20" x14ac:dyDescent="0.2">
      <c r="A4874" s="33"/>
      <c r="B4874" s="33"/>
      <c r="C4874" s="33"/>
      <c r="D4874" s="33"/>
      <c r="E4874" s="33"/>
      <c r="F4874" s="33"/>
      <c r="G4874" s="33"/>
      <c r="H4874" s="33"/>
      <c r="I4874" s="33"/>
      <c r="J4874" s="33"/>
      <c r="K4874" s="33"/>
      <c r="L4874" s="33"/>
      <c r="M4874" s="33"/>
      <c r="N4874" s="33"/>
      <c r="O4874" s="33"/>
      <c r="P4874" s="33"/>
      <c r="Q4874" s="33"/>
      <c r="R4874" s="33"/>
      <c r="T4874"/>
    </row>
    <row r="4875" spans="1:20" x14ac:dyDescent="0.2">
      <c r="A4875" s="9"/>
      <c r="B4875" s="9"/>
      <c r="C4875" s="9"/>
      <c r="D4875" s="9"/>
      <c r="E4875" s="9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T4875"/>
    </row>
    <row r="4876" spans="1:20" x14ac:dyDescent="0.2">
      <c r="A4876" s="33"/>
      <c r="B4876" s="33"/>
      <c r="C4876" s="33"/>
      <c r="D4876" s="33"/>
      <c r="E4876" s="33"/>
      <c r="F4876" s="33"/>
      <c r="G4876" s="33"/>
      <c r="H4876" s="33"/>
      <c r="I4876" s="33"/>
      <c r="J4876" s="33"/>
      <c r="K4876" s="33"/>
      <c r="L4876" s="33"/>
      <c r="M4876" s="33"/>
      <c r="N4876" s="33"/>
      <c r="O4876" s="33"/>
      <c r="P4876" s="33"/>
      <c r="Q4876" s="33"/>
      <c r="R4876" s="33"/>
      <c r="T4876"/>
    </row>
    <row r="4877" spans="1:20" x14ac:dyDescent="0.2">
      <c r="A4877" s="9"/>
      <c r="B4877" s="9"/>
      <c r="C4877" s="9"/>
      <c r="D4877" s="9"/>
      <c r="E4877" s="9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T4877"/>
    </row>
    <row r="4878" spans="1:20" x14ac:dyDescent="0.2">
      <c r="A4878" s="33"/>
      <c r="B4878" s="33"/>
      <c r="C4878" s="33"/>
      <c r="D4878" s="33"/>
      <c r="E4878" s="33"/>
      <c r="F4878" s="33"/>
      <c r="G4878" s="33"/>
      <c r="H4878" s="33"/>
      <c r="I4878" s="33"/>
      <c r="J4878" s="33"/>
      <c r="K4878" s="33"/>
      <c r="L4878" s="33"/>
      <c r="M4878" s="33"/>
      <c r="N4878" s="33"/>
      <c r="O4878" s="33"/>
      <c r="P4878" s="33"/>
      <c r="Q4878" s="33"/>
      <c r="R4878" s="33"/>
      <c r="T4878"/>
    </row>
    <row r="4879" spans="1:20" x14ac:dyDescent="0.2">
      <c r="A4879" s="9"/>
      <c r="B4879" s="9"/>
      <c r="C4879" s="9"/>
      <c r="D4879" s="9"/>
      <c r="E4879" s="9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T4879"/>
    </row>
    <row r="4880" spans="1:20" x14ac:dyDescent="0.2">
      <c r="A4880" s="33"/>
      <c r="B4880" s="33"/>
      <c r="C4880" s="33"/>
      <c r="D4880" s="33"/>
      <c r="E4880" s="33"/>
      <c r="F4880" s="33"/>
      <c r="G4880" s="33"/>
      <c r="H4880" s="33"/>
      <c r="I4880" s="33"/>
      <c r="J4880" s="33"/>
      <c r="K4880" s="33"/>
      <c r="L4880" s="33"/>
      <c r="M4880" s="33"/>
      <c r="N4880" s="33"/>
      <c r="O4880" s="33"/>
      <c r="P4880" s="33"/>
      <c r="Q4880" s="33"/>
      <c r="R4880" s="33"/>
      <c r="T4880"/>
    </row>
    <row r="4881" spans="1:20" x14ac:dyDescent="0.2">
      <c r="A4881" s="9"/>
      <c r="B4881" s="9"/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T4881"/>
    </row>
    <row r="4882" spans="1:20" x14ac:dyDescent="0.2">
      <c r="A4882" s="33"/>
      <c r="B4882" s="33"/>
      <c r="C4882" s="33"/>
      <c r="D4882" s="33"/>
      <c r="E4882" s="33"/>
      <c r="F4882" s="33"/>
      <c r="G4882" s="33"/>
      <c r="H4882" s="33"/>
      <c r="I4882" s="33"/>
      <c r="J4882" s="33"/>
      <c r="K4882" s="33"/>
      <c r="L4882" s="33"/>
      <c r="M4882" s="33"/>
      <c r="N4882" s="33"/>
      <c r="O4882" s="33"/>
      <c r="P4882" s="33"/>
      <c r="Q4882" s="33"/>
      <c r="R4882" s="33"/>
      <c r="T4882"/>
    </row>
    <row r="4883" spans="1:20" x14ac:dyDescent="0.2">
      <c r="A4883" s="9"/>
      <c r="B4883" s="9"/>
      <c r="C4883" s="9"/>
      <c r="D4883" s="9"/>
      <c r="E4883" s="9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T4883"/>
    </row>
    <row r="4884" spans="1:20" x14ac:dyDescent="0.2">
      <c r="A4884" s="33"/>
      <c r="B4884" s="33"/>
      <c r="C4884" s="33"/>
      <c r="D4884" s="33"/>
      <c r="E4884" s="33"/>
      <c r="F4884" s="33"/>
      <c r="G4884" s="33"/>
      <c r="H4884" s="33"/>
      <c r="I4884" s="33"/>
      <c r="J4884" s="33"/>
      <c r="K4884" s="33"/>
      <c r="L4884" s="33"/>
      <c r="M4884" s="33"/>
      <c r="N4884" s="33"/>
      <c r="O4884" s="33"/>
      <c r="P4884" s="33"/>
      <c r="Q4884" s="33"/>
      <c r="R4884" s="33"/>
      <c r="T4884"/>
    </row>
    <row r="4885" spans="1:20" x14ac:dyDescent="0.2">
      <c r="A4885" s="9"/>
      <c r="B4885" s="9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9"/>
      <c r="R4885" s="9"/>
      <c r="T4885"/>
    </row>
    <row r="4886" spans="1:20" x14ac:dyDescent="0.2">
      <c r="A4886" s="33"/>
      <c r="B4886" s="33"/>
      <c r="C4886" s="33"/>
      <c r="D4886" s="33"/>
      <c r="E4886" s="33"/>
      <c r="F4886" s="33"/>
      <c r="G4886" s="33"/>
      <c r="H4886" s="33"/>
      <c r="I4886" s="33"/>
      <c r="J4886" s="33"/>
      <c r="K4886" s="33"/>
      <c r="L4886" s="33"/>
      <c r="M4886" s="33"/>
      <c r="N4886" s="33"/>
      <c r="O4886" s="33"/>
      <c r="P4886" s="33"/>
      <c r="Q4886" s="33"/>
      <c r="R4886" s="33"/>
      <c r="T4886"/>
    </row>
    <row r="4887" spans="1:20" x14ac:dyDescent="0.2">
      <c r="A4887" s="9"/>
      <c r="B4887" s="9"/>
      <c r="C4887" s="9"/>
      <c r="D4887" s="9"/>
      <c r="E4887" s="9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T4887"/>
    </row>
    <row r="4888" spans="1:20" x14ac:dyDescent="0.2">
      <c r="A4888" s="33"/>
      <c r="B4888" s="33"/>
      <c r="C4888" s="33"/>
      <c r="D4888" s="33"/>
      <c r="E4888" s="33"/>
      <c r="F4888" s="33"/>
      <c r="G4888" s="33"/>
      <c r="H4888" s="33"/>
      <c r="I4888" s="33"/>
      <c r="J4888" s="33"/>
      <c r="K4888" s="33"/>
      <c r="L4888" s="33"/>
      <c r="M4888" s="33"/>
      <c r="N4888" s="33"/>
      <c r="O4888" s="33"/>
      <c r="P4888" s="33"/>
      <c r="Q4888" s="33"/>
      <c r="R4888" s="33"/>
      <c r="T4888"/>
    </row>
    <row r="4889" spans="1:20" x14ac:dyDescent="0.2">
      <c r="A4889" s="9"/>
      <c r="B4889" s="9"/>
      <c r="C4889" s="9"/>
      <c r="D4889" s="9"/>
      <c r="E4889" s="9"/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9"/>
      <c r="Q4889" s="9"/>
      <c r="R4889" s="9"/>
      <c r="T4889"/>
    </row>
    <row r="4890" spans="1:20" x14ac:dyDescent="0.2">
      <c r="A4890" s="33"/>
      <c r="B4890" s="33"/>
      <c r="C4890" s="33"/>
      <c r="D4890" s="33"/>
      <c r="E4890" s="33"/>
      <c r="F4890" s="33"/>
      <c r="G4890" s="33"/>
      <c r="H4890" s="33"/>
      <c r="I4890" s="33"/>
      <c r="J4890" s="33"/>
      <c r="K4890" s="33"/>
      <c r="L4890" s="33"/>
      <c r="M4890" s="33"/>
      <c r="N4890" s="33"/>
      <c r="O4890" s="33"/>
      <c r="P4890" s="33"/>
      <c r="Q4890" s="33"/>
      <c r="R4890" s="33"/>
      <c r="T4890"/>
    </row>
    <row r="4891" spans="1:20" x14ac:dyDescent="0.2">
      <c r="A4891" s="9"/>
      <c r="B4891" s="9"/>
      <c r="C4891" s="9"/>
      <c r="D4891" s="9"/>
      <c r="E4891" s="9"/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9"/>
      <c r="Q4891" s="9"/>
      <c r="R4891" s="9"/>
      <c r="T4891"/>
    </row>
    <row r="4892" spans="1:20" x14ac:dyDescent="0.2">
      <c r="A4892" s="33"/>
      <c r="B4892" s="33"/>
      <c r="C4892" s="33"/>
      <c r="D4892" s="33"/>
      <c r="E4892" s="33"/>
      <c r="F4892" s="33"/>
      <c r="G4892" s="33"/>
      <c r="H4892" s="33"/>
      <c r="I4892" s="33"/>
      <c r="J4892" s="33"/>
      <c r="K4892" s="33"/>
      <c r="L4892" s="33"/>
      <c r="M4892" s="33"/>
      <c r="N4892" s="33"/>
      <c r="O4892" s="33"/>
      <c r="P4892" s="33"/>
      <c r="Q4892" s="33"/>
      <c r="R4892" s="33"/>
      <c r="T4892"/>
    </row>
    <row r="4893" spans="1:20" x14ac:dyDescent="0.2">
      <c r="A4893" s="9"/>
      <c r="B4893" s="9"/>
      <c r="C4893" s="9"/>
      <c r="D4893" s="9"/>
      <c r="E4893" s="9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T4893"/>
    </row>
    <row r="4894" spans="1:20" x14ac:dyDescent="0.2">
      <c r="A4894" s="33"/>
      <c r="B4894" s="33"/>
      <c r="C4894" s="33"/>
      <c r="D4894" s="33"/>
      <c r="E4894" s="33"/>
      <c r="F4894" s="33"/>
      <c r="G4894" s="33"/>
      <c r="H4894" s="33"/>
      <c r="I4894" s="33"/>
      <c r="J4894" s="33"/>
      <c r="K4894" s="33"/>
      <c r="L4894" s="33"/>
      <c r="M4894" s="33"/>
      <c r="N4894" s="33"/>
      <c r="O4894" s="33"/>
      <c r="P4894" s="33"/>
      <c r="Q4894" s="33"/>
      <c r="R4894" s="33"/>
      <c r="T4894"/>
    </row>
    <row r="4895" spans="1:20" x14ac:dyDescent="0.2">
      <c r="A4895" s="9"/>
      <c r="B4895" s="9"/>
      <c r="C4895" s="9"/>
      <c r="D4895" s="9"/>
      <c r="E4895" s="9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T4895"/>
    </row>
    <row r="4896" spans="1:20" x14ac:dyDescent="0.2">
      <c r="A4896" s="33"/>
      <c r="B4896" s="33"/>
      <c r="C4896" s="33"/>
      <c r="D4896" s="33"/>
      <c r="E4896" s="33"/>
      <c r="F4896" s="33"/>
      <c r="G4896" s="33"/>
      <c r="H4896" s="33"/>
      <c r="I4896" s="33"/>
      <c r="J4896" s="33"/>
      <c r="K4896" s="33"/>
      <c r="L4896" s="33"/>
      <c r="M4896" s="33"/>
      <c r="N4896" s="33"/>
      <c r="O4896" s="33"/>
      <c r="P4896" s="33"/>
      <c r="Q4896" s="33"/>
      <c r="R4896" s="33"/>
      <c r="T4896"/>
    </row>
    <row r="4897" spans="1:20" x14ac:dyDescent="0.2">
      <c r="A4897" s="9"/>
      <c r="B4897" s="9"/>
      <c r="C4897" s="9"/>
      <c r="D4897" s="9"/>
      <c r="E4897" s="9"/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9"/>
      <c r="Q4897" s="9"/>
      <c r="R4897" s="9"/>
      <c r="T4897"/>
    </row>
    <row r="4898" spans="1:20" x14ac:dyDescent="0.2">
      <c r="A4898" s="33"/>
      <c r="B4898" s="33"/>
      <c r="C4898" s="33"/>
      <c r="D4898" s="33"/>
      <c r="E4898" s="33"/>
      <c r="F4898" s="33"/>
      <c r="G4898" s="33"/>
      <c r="H4898" s="33"/>
      <c r="I4898" s="33"/>
      <c r="J4898" s="33"/>
      <c r="K4898" s="33"/>
      <c r="L4898" s="33"/>
      <c r="M4898" s="33"/>
      <c r="N4898" s="33"/>
      <c r="O4898" s="33"/>
      <c r="P4898" s="33"/>
      <c r="Q4898" s="33"/>
      <c r="R4898" s="33"/>
      <c r="T4898"/>
    </row>
    <row r="4899" spans="1:20" x14ac:dyDescent="0.2">
      <c r="A4899" s="9"/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T4899"/>
    </row>
    <row r="4900" spans="1:20" x14ac:dyDescent="0.2">
      <c r="A4900" s="33"/>
      <c r="B4900" s="33"/>
      <c r="C4900" s="33"/>
      <c r="D4900" s="33"/>
      <c r="E4900" s="33"/>
      <c r="F4900" s="33"/>
      <c r="G4900" s="33"/>
      <c r="H4900" s="33"/>
      <c r="I4900" s="33"/>
      <c r="J4900" s="33"/>
      <c r="K4900" s="33"/>
      <c r="L4900" s="33"/>
      <c r="M4900" s="33"/>
      <c r="N4900" s="33"/>
      <c r="O4900" s="33"/>
      <c r="P4900" s="33"/>
      <c r="Q4900" s="33"/>
      <c r="R4900" s="33"/>
      <c r="T4900"/>
    </row>
    <row r="4901" spans="1:20" x14ac:dyDescent="0.2">
      <c r="A4901" s="9"/>
      <c r="B4901" s="9"/>
      <c r="C4901" s="9"/>
      <c r="D4901" s="9"/>
      <c r="E4901" s="9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T4901"/>
    </row>
    <row r="4902" spans="1:20" x14ac:dyDescent="0.2">
      <c r="A4902" s="33"/>
      <c r="B4902" s="33"/>
      <c r="C4902" s="33"/>
      <c r="D4902" s="33"/>
      <c r="E4902" s="33"/>
      <c r="F4902" s="33"/>
      <c r="G4902" s="33"/>
      <c r="H4902" s="33"/>
      <c r="I4902" s="33"/>
      <c r="J4902" s="33"/>
      <c r="K4902" s="33"/>
      <c r="L4902" s="33"/>
      <c r="M4902" s="33"/>
      <c r="N4902" s="33"/>
      <c r="O4902" s="33"/>
      <c r="P4902" s="33"/>
      <c r="Q4902" s="33"/>
      <c r="R4902" s="33"/>
      <c r="T4902"/>
    </row>
    <row r="4903" spans="1:20" x14ac:dyDescent="0.2">
      <c r="A4903" s="9"/>
      <c r="B4903" s="9"/>
      <c r="C4903" s="9"/>
      <c r="D4903" s="9"/>
      <c r="E4903" s="9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T4903"/>
    </row>
    <row r="4904" spans="1:20" x14ac:dyDescent="0.2">
      <c r="A4904" s="33"/>
      <c r="B4904" s="33"/>
      <c r="C4904" s="33"/>
      <c r="D4904" s="33"/>
      <c r="E4904" s="33"/>
      <c r="F4904" s="33"/>
      <c r="G4904" s="33"/>
      <c r="H4904" s="33"/>
      <c r="I4904" s="33"/>
      <c r="J4904" s="33"/>
      <c r="K4904" s="33"/>
      <c r="L4904" s="33"/>
      <c r="M4904" s="33"/>
      <c r="N4904" s="33"/>
      <c r="O4904" s="33"/>
      <c r="P4904" s="33"/>
      <c r="Q4904" s="33"/>
      <c r="R4904" s="33"/>
      <c r="T4904"/>
    </row>
    <row r="4905" spans="1:20" x14ac:dyDescent="0.2">
      <c r="A4905" s="9"/>
      <c r="B4905" s="9"/>
      <c r="C4905" s="9"/>
      <c r="D4905" s="9"/>
      <c r="E4905" s="9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T4905"/>
    </row>
    <row r="4906" spans="1:20" x14ac:dyDescent="0.2">
      <c r="A4906" s="33"/>
      <c r="B4906" s="33"/>
      <c r="C4906" s="33"/>
      <c r="D4906" s="33"/>
      <c r="E4906" s="33"/>
      <c r="F4906" s="33"/>
      <c r="G4906" s="33"/>
      <c r="H4906" s="33"/>
      <c r="I4906" s="33"/>
      <c r="J4906" s="33"/>
      <c r="K4906" s="33"/>
      <c r="L4906" s="33"/>
      <c r="M4906" s="33"/>
      <c r="N4906" s="33"/>
      <c r="O4906" s="33"/>
      <c r="P4906" s="33"/>
      <c r="Q4906" s="33"/>
      <c r="R4906" s="33"/>
      <c r="T4906"/>
    </row>
    <row r="4907" spans="1:20" x14ac:dyDescent="0.2">
      <c r="A4907" s="9"/>
      <c r="B4907" s="9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T4907"/>
    </row>
    <row r="4908" spans="1:20" x14ac:dyDescent="0.2">
      <c r="A4908" s="33"/>
      <c r="B4908" s="33"/>
      <c r="C4908" s="33"/>
      <c r="D4908" s="33"/>
      <c r="E4908" s="33"/>
      <c r="F4908" s="33"/>
      <c r="G4908" s="33"/>
      <c r="H4908" s="33"/>
      <c r="I4908" s="33"/>
      <c r="J4908" s="33"/>
      <c r="K4908" s="33"/>
      <c r="L4908" s="33"/>
      <c r="M4908" s="33"/>
      <c r="N4908" s="33"/>
      <c r="O4908" s="33"/>
      <c r="P4908" s="33"/>
      <c r="Q4908" s="33"/>
      <c r="R4908" s="33"/>
      <c r="T4908"/>
    </row>
    <row r="4909" spans="1:20" x14ac:dyDescent="0.2">
      <c r="A4909" s="9"/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T4909"/>
    </row>
    <row r="4910" spans="1:20" x14ac:dyDescent="0.2">
      <c r="A4910" s="33"/>
      <c r="B4910" s="33"/>
      <c r="C4910" s="33"/>
      <c r="D4910" s="33"/>
      <c r="E4910" s="33"/>
      <c r="F4910" s="33"/>
      <c r="G4910" s="33"/>
      <c r="H4910" s="33"/>
      <c r="I4910" s="33"/>
      <c r="J4910" s="33"/>
      <c r="K4910" s="33"/>
      <c r="L4910" s="33"/>
      <c r="M4910" s="33"/>
      <c r="N4910" s="33"/>
      <c r="O4910" s="33"/>
      <c r="P4910" s="33"/>
      <c r="Q4910" s="33"/>
      <c r="R4910" s="33"/>
      <c r="T4910"/>
    </row>
    <row r="4911" spans="1:20" x14ac:dyDescent="0.2">
      <c r="A4911" s="9"/>
      <c r="B4911" s="9"/>
      <c r="C4911" s="9"/>
      <c r="D4911" s="9"/>
      <c r="E4911" s="9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T4911"/>
    </row>
    <row r="4912" spans="1:20" x14ac:dyDescent="0.2">
      <c r="A4912" s="33"/>
      <c r="B4912" s="33"/>
      <c r="C4912" s="33"/>
      <c r="D4912" s="33"/>
      <c r="E4912" s="33"/>
      <c r="F4912" s="33"/>
      <c r="G4912" s="33"/>
      <c r="H4912" s="33"/>
      <c r="I4912" s="33"/>
      <c r="J4912" s="33"/>
      <c r="K4912" s="33"/>
      <c r="L4912" s="33"/>
      <c r="M4912" s="33"/>
      <c r="N4912" s="33"/>
      <c r="O4912" s="33"/>
      <c r="P4912" s="33"/>
      <c r="Q4912" s="33"/>
      <c r="R4912" s="33"/>
      <c r="T4912"/>
    </row>
    <row r="4913" spans="1:20" x14ac:dyDescent="0.2">
      <c r="A4913" s="9"/>
      <c r="B4913" s="9"/>
      <c r="C4913" s="9"/>
      <c r="D4913" s="9"/>
      <c r="E4913" s="9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T4913"/>
    </row>
    <row r="4914" spans="1:20" x14ac:dyDescent="0.2">
      <c r="A4914" s="33"/>
      <c r="B4914" s="33"/>
      <c r="C4914" s="33"/>
      <c r="D4914" s="33"/>
      <c r="E4914" s="33"/>
      <c r="F4914" s="33"/>
      <c r="G4914" s="33"/>
      <c r="H4914" s="33"/>
      <c r="I4914" s="33"/>
      <c r="J4914" s="33"/>
      <c r="K4914" s="33"/>
      <c r="L4914" s="33"/>
      <c r="M4914" s="33"/>
      <c r="N4914" s="33"/>
      <c r="O4914" s="33"/>
      <c r="P4914" s="33"/>
      <c r="Q4914" s="33"/>
      <c r="R4914" s="33"/>
      <c r="T4914"/>
    </row>
    <row r="4915" spans="1:20" x14ac:dyDescent="0.2">
      <c r="A4915" s="9"/>
      <c r="B4915" s="9"/>
      <c r="C4915" s="9"/>
      <c r="D4915" s="9"/>
      <c r="E4915" s="9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T4915"/>
    </row>
    <row r="4916" spans="1:20" x14ac:dyDescent="0.2">
      <c r="A4916" s="33"/>
      <c r="B4916" s="33"/>
      <c r="C4916" s="33"/>
      <c r="D4916" s="33"/>
      <c r="E4916" s="33"/>
      <c r="F4916" s="33"/>
      <c r="G4916" s="33"/>
      <c r="H4916" s="33"/>
      <c r="I4916" s="33"/>
      <c r="J4916" s="33"/>
      <c r="K4916" s="33"/>
      <c r="L4916" s="33"/>
      <c r="M4916" s="33"/>
      <c r="N4916" s="33"/>
      <c r="O4916" s="33"/>
      <c r="P4916" s="33"/>
      <c r="Q4916" s="33"/>
      <c r="R4916" s="33"/>
      <c r="T4916"/>
    </row>
    <row r="4917" spans="1:20" x14ac:dyDescent="0.2">
      <c r="A4917" s="9"/>
      <c r="B4917" s="9"/>
      <c r="C4917" s="9"/>
      <c r="D4917" s="9"/>
      <c r="E4917" s="9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T4917"/>
    </row>
    <row r="4918" spans="1:20" x14ac:dyDescent="0.2">
      <c r="A4918" s="33"/>
      <c r="B4918" s="33"/>
      <c r="C4918" s="33"/>
      <c r="D4918" s="33"/>
      <c r="E4918" s="33"/>
      <c r="F4918" s="33"/>
      <c r="G4918" s="33"/>
      <c r="H4918" s="33"/>
      <c r="I4918" s="33"/>
      <c r="J4918" s="33"/>
      <c r="K4918" s="33"/>
      <c r="L4918" s="33"/>
      <c r="M4918" s="33"/>
      <c r="N4918" s="33"/>
      <c r="O4918" s="33"/>
      <c r="P4918" s="33"/>
      <c r="Q4918" s="33"/>
      <c r="R4918" s="33"/>
      <c r="T4918"/>
    </row>
    <row r="4919" spans="1:20" x14ac:dyDescent="0.2">
      <c r="A4919" s="9"/>
      <c r="B4919" s="9"/>
      <c r="C4919" s="9"/>
      <c r="D4919" s="9"/>
      <c r="E4919" s="9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T4919"/>
    </row>
    <row r="4920" spans="1:20" x14ac:dyDescent="0.2">
      <c r="A4920" s="33"/>
      <c r="B4920" s="33"/>
      <c r="C4920" s="33"/>
      <c r="D4920" s="33"/>
      <c r="E4920" s="33"/>
      <c r="F4920" s="33"/>
      <c r="G4920" s="33"/>
      <c r="H4920" s="33"/>
      <c r="I4920" s="33"/>
      <c r="J4920" s="33"/>
      <c r="K4920" s="33"/>
      <c r="L4920" s="33"/>
      <c r="M4920" s="33"/>
      <c r="N4920" s="33"/>
      <c r="O4920" s="33"/>
      <c r="P4920" s="33"/>
      <c r="Q4920" s="33"/>
      <c r="R4920" s="33"/>
      <c r="T4920"/>
    </row>
    <row r="4921" spans="1:20" x14ac:dyDescent="0.2">
      <c r="A4921" s="9"/>
      <c r="B4921" s="9"/>
      <c r="C4921" s="9"/>
      <c r="D4921" s="9"/>
      <c r="E4921" s="9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T4921"/>
    </row>
    <row r="4922" spans="1:20" x14ac:dyDescent="0.2">
      <c r="A4922" s="33"/>
      <c r="B4922" s="33"/>
      <c r="C4922" s="33"/>
      <c r="D4922" s="33"/>
      <c r="E4922" s="33"/>
      <c r="F4922" s="33"/>
      <c r="G4922" s="33"/>
      <c r="H4922" s="33"/>
      <c r="I4922" s="33"/>
      <c r="J4922" s="33"/>
      <c r="K4922" s="33"/>
      <c r="L4922" s="33"/>
      <c r="M4922" s="33"/>
      <c r="N4922" s="33"/>
      <c r="O4922" s="33"/>
      <c r="P4922" s="33"/>
      <c r="Q4922" s="33"/>
      <c r="R4922" s="33"/>
      <c r="T4922"/>
    </row>
    <row r="4923" spans="1:20" x14ac:dyDescent="0.2">
      <c r="A4923" s="9"/>
      <c r="B4923" s="9"/>
      <c r="C4923" s="9"/>
      <c r="D4923" s="9"/>
      <c r="E4923" s="9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T4923"/>
    </row>
    <row r="4924" spans="1:20" x14ac:dyDescent="0.2">
      <c r="A4924" s="33"/>
      <c r="B4924" s="33"/>
      <c r="C4924" s="33"/>
      <c r="D4924" s="33"/>
      <c r="E4924" s="33"/>
      <c r="F4924" s="33"/>
      <c r="G4924" s="33"/>
      <c r="H4924" s="33"/>
      <c r="I4924" s="33"/>
      <c r="J4924" s="33"/>
      <c r="K4924" s="33"/>
      <c r="L4924" s="33"/>
      <c r="M4924" s="33"/>
      <c r="N4924" s="33"/>
      <c r="O4924" s="33"/>
      <c r="P4924" s="33"/>
      <c r="Q4924" s="33"/>
      <c r="R4924" s="33"/>
      <c r="T4924"/>
    </row>
    <row r="4925" spans="1:20" x14ac:dyDescent="0.2">
      <c r="A4925" s="9"/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T4925"/>
    </row>
    <row r="4926" spans="1:20" x14ac:dyDescent="0.2">
      <c r="A4926" s="33"/>
      <c r="B4926" s="33"/>
      <c r="C4926" s="33"/>
      <c r="D4926" s="33"/>
      <c r="E4926" s="33"/>
      <c r="F4926" s="33"/>
      <c r="G4926" s="33"/>
      <c r="H4926" s="33"/>
      <c r="I4926" s="33"/>
      <c r="J4926" s="33"/>
      <c r="K4926" s="33"/>
      <c r="L4926" s="33"/>
      <c r="M4926" s="33"/>
      <c r="N4926" s="33"/>
      <c r="O4926" s="33"/>
      <c r="P4926" s="33"/>
      <c r="Q4926" s="33"/>
      <c r="R4926" s="33"/>
      <c r="T4926"/>
    </row>
    <row r="4927" spans="1:20" x14ac:dyDescent="0.2">
      <c r="A4927" s="9"/>
      <c r="B4927" s="9"/>
      <c r="C4927" s="9"/>
      <c r="D4927" s="9"/>
      <c r="E4927" s="9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T4927"/>
    </row>
    <row r="4928" spans="1:20" x14ac:dyDescent="0.2">
      <c r="A4928" s="33"/>
      <c r="B4928" s="33"/>
      <c r="C4928" s="33"/>
      <c r="D4928" s="33"/>
      <c r="E4928" s="33"/>
      <c r="F4928" s="33"/>
      <c r="G4928" s="33"/>
      <c r="H4928" s="33"/>
      <c r="I4928" s="33"/>
      <c r="J4928" s="33"/>
      <c r="K4928" s="33"/>
      <c r="L4928" s="33"/>
      <c r="M4928" s="33"/>
      <c r="N4928" s="33"/>
      <c r="O4928" s="33"/>
      <c r="P4928" s="33"/>
      <c r="Q4928" s="33"/>
      <c r="R4928" s="33"/>
      <c r="T4928"/>
    </row>
    <row r="4929" spans="1:20" x14ac:dyDescent="0.2">
      <c r="A4929" s="9"/>
      <c r="B4929" s="9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T4929"/>
    </row>
    <row r="4930" spans="1:20" x14ac:dyDescent="0.2">
      <c r="A4930" s="33"/>
      <c r="B4930" s="33"/>
      <c r="C4930" s="33"/>
      <c r="D4930" s="33"/>
      <c r="E4930" s="33"/>
      <c r="F4930" s="33"/>
      <c r="G4930" s="33"/>
      <c r="H4930" s="33"/>
      <c r="I4930" s="33"/>
      <c r="J4930" s="33"/>
      <c r="K4930" s="33"/>
      <c r="L4930" s="33"/>
      <c r="M4930" s="33"/>
      <c r="N4930" s="33"/>
      <c r="O4930" s="33"/>
      <c r="P4930" s="33"/>
      <c r="Q4930" s="33"/>
      <c r="R4930" s="33"/>
      <c r="T4930"/>
    </row>
    <row r="4931" spans="1:20" x14ac:dyDescent="0.2">
      <c r="A4931" s="9"/>
      <c r="B4931" s="9"/>
      <c r="C4931" s="9"/>
      <c r="D4931" s="9"/>
      <c r="E4931" s="9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T4931"/>
    </row>
    <row r="4932" spans="1:20" x14ac:dyDescent="0.2">
      <c r="A4932" s="33"/>
      <c r="B4932" s="33"/>
      <c r="C4932" s="33"/>
      <c r="D4932" s="33"/>
      <c r="E4932" s="33"/>
      <c r="F4932" s="33"/>
      <c r="G4932" s="33"/>
      <c r="H4932" s="33"/>
      <c r="I4932" s="33"/>
      <c r="J4932" s="33"/>
      <c r="K4932" s="33"/>
      <c r="L4932" s="33"/>
      <c r="M4932" s="33"/>
      <c r="N4932" s="33"/>
      <c r="O4932" s="33"/>
      <c r="P4932" s="33"/>
      <c r="Q4932" s="33"/>
      <c r="R4932" s="33"/>
      <c r="T4932"/>
    </row>
    <row r="4933" spans="1:20" x14ac:dyDescent="0.2">
      <c r="A4933" s="9"/>
      <c r="B4933" s="9"/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T4933"/>
    </row>
    <row r="4934" spans="1:20" x14ac:dyDescent="0.2">
      <c r="A4934" s="33"/>
      <c r="B4934" s="33"/>
      <c r="C4934" s="33"/>
      <c r="D4934" s="33"/>
      <c r="E4934" s="33"/>
      <c r="F4934" s="33"/>
      <c r="G4934" s="33"/>
      <c r="H4934" s="33"/>
      <c r="I4934" s="33"/>
      <c r="J4934" s="33"/>
      <c r="K4934" s="33"/>
      <c r="L4934" s="33"/>
      <c r="M4934" s="33"/>
      <c r="N4934" s="33"/>
      <c r="O4934" s="33"/>
      <c r="P4934" s="33"/>
      <c r="Q4934" s="33"/>
      <c r="R4934" s="33"/>
      <c r="T4934"/>
    </row>
    <row r="4935" spans="1:20" x14ac:dyDescent="0.2">
      <c r="A4935" s="9"/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T4935"/>
    </row>
    <row r="4936" spans="1:20" x14ac:dyDescent="0.2">
      <c r="A4936" s="33"/>
      <c r="B4936" s="33"/>
      <c r="C4936" s="33"/>
      <c r="D4936" s="33"/>
      <c r="E4936" s="33"/>
      <c r="F4936" s="33"/>
      <c r="G4936" s="33"/>
      <c r="H4936" s="33"/>
      <c r="I4936" s="33"/>
      <c r="J4936" s="33"/>
      <c r="K4936" s="33"/>
      <c r="L4936" s="33"/>
      <c r="M4936" s="33"/>
      <c r="N4936" s="33"/>
      <c r="O4936" s="33"/>
      <c r="P4936" s="33"/>
      <c r="Q4936" s="33"/>
      <c r="R4936" s="33"/>
      <c r="T4936"/>
    </row>
    <row r="4937" spans="1:20" x14ac:dyDescent="0.2">
      <c r="A4937" s="9"/>
      <c r="B4937" s="9"/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T4937"/>
    </row>
    <row r="4938" spans="1:20" x14ac:dyDescent="0.2">
      <c r="A4938" s="33"/>
      <c r="B4938" s="33"/>
      <c r="C4938" s="33"/>
      <c r="D4938" s="33"/>
      <c r="E4938" s="33"/>
      <c r="F4938" s="33"/>
      <c r="G4938" s="33"/>
      <c r="H4938" s="33"/>
      <c r="I4938" s="33"/>
      <c r="J4938" s="33"/>
      <c r="K4938" s="33"/>
      <c r="L4938" s="33"/>
      <c r="M4938" s="33"/>
      <c r="N4938" s="33"/>
      <c r="O4938" s="33"/>
      <c r="P4938" s="33"/>
      <c r="Q4938" s="33"/>
      <c r="R4938" s="33"/>
      <c r="T4938"/>
    </row>
    <row r="4939" spans="1:20" x14ac:dyDescent="0.2">
      <c r="A4939" s="9"/>
      <c r="B4939" s="9"/>
      <c r="C4939" s="9"/>
      <c r="D4939" s="9"/>
      <c r="E4939" s="9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T4939"/>
    </row>
    <row r="4940" spans="1:20" x14ac:dyDescent="0.2">
      <c r="A4940" s="33"/>
      <c r="B4940" s="33"/>
      <c r="C4940" s="33"/>
      <c r="D4940" s="33"/>
      <c r="E4940" s="33"/>
      <c r="F4940" s="33"/>
      <c r="G4940" s="33"/>
      <c r="H4940" s="33"/>
      <c r="I4940" s="33"/>
      <c r="J4940" s="33"/>
      <c r="K4940" s="33"/>
      <c r="L4940" s="33"/>
      <c r="M4940" s="33"/>
      <c r="N4940" s="33"/>
      <c r="O4940" s="33"/>
      <c r="P4940" s="33"/>
      <c r="Q4940" s="33"/>
      <c r="R4940" s="33"/>
      <c r="T4940"/>
    </row>
    <row r="4941" spans="1:20" x14ac:dyDescent="0.2">
      <c r="A4941" s="9"/>
      <c r="B4941" s="9"/>
      <c r="C4941" s="9"/>
      <c r="D4941" s="9"/>
      <c r="E4941" s="9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T4941"/>
    </row>
    <row r="4942" spans="1:20" x14ac:dyDescent="0.2">
      <c r="A4942" s="33"/>
      <c r="B4942" s="33"/>
      <c r="C4942" s="33"/>
      <c r="D4942" s="33"/>
      <c r="E4942" s="33"/>
      <c r="F4942" s="33"/>
      <c r="G4942" s="33"/>
      <c r="H4942" s="33"/>
      <c r="I4942" s="33"/>
      <c r="J4942" s="33"/>
      <c r="K4942" s="33"/>
      <c r="L4942" s="33"/>
      <c r="M4942" s="33"/>
      <c r="N4942" s="33"/>
      <c r="O4942" s="33"/>
      <c r="P4942" s="33"/>
      <c r="Q4942" s="33"/>
      <c r="R4942" s="33"/>
      <c r="T4942"/>
    </row>
    <row r="4943" spans="1:20" x14ac:dyDescent="0.2">
      <c r="A4943" s="9"/>
      <c r="B4943" s="9"/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T4943"/>
    </row>
    <row r="4944" spans="1:20" x14ac:dyDescent="0.2">
      <c r="A4944" s="33"/>
      <c r="B4944" s="33"/>
      <c r="C4944" s="33"/>
      <c r="D4944" s="33"/>
      <c r="E4944" s="33"/>
      <c r="F4944" s="33"/>
      <c r="G4944" s="33"/>
      <c r="H4944" s="33"/>
      <c r="I4944" s="33"/>
      <c r="J4944" s="33"/>
      <c r="K4944" s="33"/>
      <c r="L4944" s="33"/>
      <c r="M4944" s="33"/>
      <c r="N4944" s="33"/>
      <c r="O4944" s="33"/>
      <c r="P4944" s="33"/>
      <c r="Q4944" s="33"/>
      <c r="R4944" s="33"/>
      <c r="T4944"/>
    </row>
    <row r="4945" spans="1:20" x14ac:dyDescent="0.2">
      <c r="A4945" s="9"/>
      <c r="B4945" s="9"/>
      <c r="C4945" s="9"/>
      <c r="D4945" s="9"/>
      <c r="E4945" s="9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T4945"/>
    </row>
    <row r="4946" spans="1:20" x14ac:dyDescent="0.2">
      <c r="A4946" s="33"/>
      <c r="B4946" s="33"/>
      <c r="C4946" s="33"/>
      <c r="D4946" s="33"/>
      <c r="E4946" s="33"/>
      <c r="F4946" s="33"/>
      <c r="G4946" s="33"/>
      <c r="H4946" s="33"/>
      <c r="I4946" s="33"/>
      <c r="J4946" s="33"/>
      <c r="K4946" s="33"/>
      <c r="L4946" s="33"/>
      <c r="M4946" s="33"/>
      <c r="N4946" s="33"/>
      <c r="O4946" s="33"/>
      <c r="P4946" s="33"/>
      <c r="Q4946" s="33"/>
      <c r="R4946" s="33"/>
      <c r="T4946"/>
    </row>
    <row r="4947" spans="1:20" x14ac:dyDescent="0.2">
      <c r="A4947" s="9"/>
      <c r="B4947" s="9"/>
      <c r="C4947" s="9"/>
      <c r="D4947" s="9"/>
      <c r="E4947" s="9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T4947"/>
    </row>
    <row r="4948" spans="1:20" x14ac:dyDescent="0.2">
      <c r="A4948" s="33"/>
      <c r="B4948" s="33"/>
      <c r="C4948" s="33"/>
      <c r="D4948" s="33"/>
      <c r="E4948" s="33"/>
      <c r="F4948" s="33"/>
      <c r="G4948" s="33"/>
      <c r="H4948" s="33"/>
      <c r="I4948" s="33"/>
      <c r="J4948" s="33"/>
      <c r="K4948" s="33"/>
      <c r="L4948" s="33"/>
      <c r="M4948" s="33"/>
      <c r="N4948" s="33"/>
      <c r="O4948" s="33"/>
      <c r="P4948" s="33"/>
      <c r="Q4948" s="33"/>
      <c r="R4948" s="33"/>
      <c r="T4948"/>
    </row>
    <row r="4949" spans="1:20" x14ac:dyDescent="0.2">
      <c r="A4949" s="9"/>
      <c r="B4949" s="9"/>
      <c r="C4949" s="9"/>
      <c r="D4949" s="9"/>
      <c r="E4949" s="9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T4949"/>
    </row>
    <row r="4950" spans="1:20" x14ac:dyDescent="0.2">
      <c r="A4950" s="33"/>
      <c r="B4950" s="33"/>
      <c r="C4950" s="33"/>
      <c r="D4950" s="33"/>
      <c r="E4950" s="33"/>
      <c r="F4950" s="33"/>
      <c r="G4950" s="33"/>
      <c r="H4950" s="33"/>
      <c r="I4950" s="33"/>
      <c r="J4950" s="33"/>
      <c r="K4950" s="33"/>
      <c r="L4950" s="33"/>
      <c r="M4950" s="33"/>
      <c r="N4950" s="33"/>
      <c r="O4950" s="33"/>
      <c r="P4950" s="33"/>
      <c r="Q4950" s="33"/>
      <c r="R4950" s="33"/>
      <c r="T4950"/>
    </row>
    <row r="4951" spans="1:20" x14ac:dyDescent="0.2">
      <c r="A4951" s="9"/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T4951"/>
    </row>
    <row r="4952" spans="1:20" x14ac:dyDescent="0.2">
      <c r="A4952" s="33"/>
      <c r="B4952" s="33"/>
      <c r="C4952" s="33"/>
      <c r="D4952" s="33"/>
      <c r="E4952" s="33"/>
      <c r="F4952" s="33"/>
      <c r="G4952" s="33"/>
      <c r="H4952" s="33"/>
      <c r="I4952" s="33"/>
      <c r="J4952" s="33"/>
      <c r="K4952" s="33"/>
      <c r="L4952" s="33"/>
      <c r="M4952" s="33"/>
      <c r="N4952" s="33"/>
      <c r="O4952" s="33"/>
      <c r="P4952" s="33"/>
      <c r="Q4952" s="33"/>
      <c r="R4952" s="33"/>
      <c r="T4952"/>
    </row>
    <row r="4953" spans="1:20" x14ac:dyDescent="0.2">
      <c r="A4953" s="9"/>
      <c r="B4953" s="9"/>
      <c r="C4953" s="9"/>
      <c r="D4953" s="9"/>
      <c r="E4953" s="9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T4953"/>
    </row>
    <row r="4954" spans="1:20" x14ac:dyDescent="0.2">
      <c r="A4954" s="33"/>
      <c r="B4954" s="33"/>
      <c r="C4954" s="33"/>
      <c r="D4954" s="33"/>
      <c r="E4954" s="33"/>
      <c r="F4954" s="33"/>
      <c r="G4954" s="33"/>
      <c r="H4954" s="33"/>
      <c r="I4954" s="33"/>
      <c r="J4954" s="33"/>
      <c r="K4954" s="33"/>
      <c r="L4954" s="33"/>
      <c r="M4954" s="33"/>
      <c r="N4954" s="33"/>
      <c r="O4954" s="33"/>
      <c r="P4954" s="33"/>
      <c r="Q4954" s="33"/>
      <c r="R4954" s="33"/>
      <c r="T4954"/>
    </row>
    <row r="4955" spans="1:20" x14ac:dyDescent="0.2">
      <c r="A4955" s="9"/>
      <c r="B4955" s="9"/>
      <c r="C4955" s="9"/>
      <c r="D4955" s="9"/>
      <c r="E4955" s="9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T4955"/>
    </row>
    <row r="4956" spans="1:20" x14ac:dyDescent="0.2">
      <c r="A4956" s="33"/>
      <c r="B4956" s="33"/>
      <c r="C4956" s="33"/>
      <c r="D4956" s="33"/>
      <c r="E4956" s="33"/>
      <c r="F4956" s="33"/>
      <c r="G4956" s="33"/>
      <c r="H4956" s="33"/>
      <c r="I4956" s="33"/>
      <c r="J4956" s="33"/>
      <c r="K4956" s="33"/>
      <c r="L4956" s="33"/>
      <c r="M4956" s="33"/>
      <c r="N4956" s="33"/>
      <c r="O4956" s="33"/>
      <c r="P4956" s="33"/>
      <c r="Q4956" s="33"/>
      <c r="R4956" s="33"/>
      <c r="T4956"/>
    </row>
    <row r="4957" spans="1:20" x14ac:dyDescent="0.2">
      <c r="A4957" s="9"/>
      <c r="B4957" s="9"/>
      <c r="C4957" s="9"/>
      <c r="D4957" s="9"/>
      <c r="E4957" s="9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T4957"/>
    </row>
    <row r="4958" spans="1:20" x14ac:dyDescent="0.2">
      <c r="A4958" s="33"/>
      <c r="B4958" s="33"/>
      <c r="C4958" s="33"/>
      <c r="D4958" s="33"/>
      <c r="E4958" s="33"/>
      <c r="F4958" s="33"/>
      <c r="G4958" s="33"/>
      <c r="H4958" s="33"/>
      <c r="I4958" s="33"/>
      <c r="J4958" s="33"/>
      <c r="K4958" s="33"/>
      <c r="L4958" s="33"/>
      <c r="M4958" s="33"/>
      <c r="N4958" s="33"/>
      <c r="O4958" s="33"/>
      <c r="P4958" s="33"/>
      <c r="Q4958" s="33"/>
      <c r="R4958" s="33"/>
      <c r="T4958"/>
    </row>
    <row r="4959" spans="1:20" x14ac:dyDescent="0.2">
      <c r="A4959" s="9"/>
      <c r="B4959" s="9"/>
      <c r="C4959" s="9"/>
      <c r="D4959" s="9"/>
      <c r="E4959" s="9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R4959" s="9"/>
      <c r="T4959"/>
    </row>
    <row r="4960" spans="1:20" x14ac:dyDescent="0.2">
      <c r="A4960" s="33"/>
      <c r="B4960" s="33"/>
      <c r="C4960" s="33"/>
      <c r="D4960" s="33"/>
      <c r="E4960" s="33"/>
      <c r="F4960" s="33"/>
      <c r="G4960" s="33"/>
      <c r="H4960" s="33"/>
      <c r="I4960" s="33"/>
      <c r="J4960" s="33"/>
      <c r="K4960" s="33"/>
      <c r="L4960" s="33"/>
      <c r="M4960" s="33"/>
      <c r="N4960" s="33"/>
      <c r="O4960" s="33"/>
      <c r="P4960" s="33"/>
      <c r="Q4960" s="33"/>
      <c r="R4960" s="33"/>
      <c r="T4960"/>
    </row>
    <row r="4961" spans="1:20" x14ac:dyDescent="0.2">
      <c r="A4961" s="9"/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T4961"/>
    </row>
    <row r="4962" spans="1:20" x14ac:dyDescent="0.2">
      <c r="A4962" s="33"/>
      <c r="B4962" s="33"/>
      <c r="C4962" s="33"/>
      <c r="D4962" s="33"/>
      <c r="E4962" s="33"/>
      <c r="F4962" s="33"/>
      <c r="G4962" s="33"/>
      <c r="H4962" s="33"/>
      <c r="I4962" s="33"/>
      <c r="J4962" s="33"/>
      <c r="K4962" s="33"/>
      <c r="L4962" s="33"/>
      <c r="M4962" s="33"/>
      <c r="N4962" s="33"/>
      <c r="O4962" s="33"/>
      <c r="P4962" s="33"/>
      <c r="Q4962" s="33"/>
      <c r="R4962" s="33"/>
      <c r="T4962"/>
    </row>
    <row r="4963" spans="1:20" x14ac:dyDescent="0.2">
      <c r="A4963" s="9"/>
      <c r="B4963" s="9"/>
      <c r="C4963" s="9"/>
      <c r="D4963" s="9"/>
      <c r="E4963" s="9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T4963"/>
    </row>
    <row r="4964" spans="1:20" x14ac:dyDescent="0.2">
      <c r="A4964" s="33"/>
      <c r="B4964" s="33"/>
      <c r="C4964" s="33"/>
      <c r="D4964" s="33"/>
      <c r="E4964" s="33"/>
      <c r="F4964" s="33"/>
      <c r="G4964" s="33"/>
      <c r="H4964" s="33"/>
      <c r="I4964" s="33"/>
      <c r="J4964" s="33"/>
      <c r="K4964" s="33"/>
      <c r="L4964" s="33"/>
      <c r="M4964" s="33"/>
      <c r="N4964" s="33"/>
      <c r="O4964" s="33"/>
      <c r="P4964" s="33"/>
      <c r="Q4964" s="33"/>
      <c r="R4964" s="33"/>
      <c r="T4964"/>
    </row>
    <row r="4965" spans="1:20" x14ac:dyDescent="0.2">
      <c r="A4965" s="9"/>
      <c r="B4965" s="9"/>
      <c r="C4965" s="9"/>
      <c r="D4965" s="9"/>
      <c r="E4965" s="9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T4965"/>
    </row>
    <row r="4966" spans="1:20" x14ac:dyDescent="0.2">
      <c r="A4966" s="33"/>
      <c r="B4966" s="33"/>
      <c r="C4966" s="33"/>
      <c r="D4966" s="33"/>
      <c r="E4966" s="33"/>
      <c r="F4966" s="33"/>
      <c r="G4966" s="33"/>
      <c r="H4966" s="33"/>
      <c r="I4966" s="33"/>
      <c r="J4966" s="33"/>
      <c r="K4966" s="33"/>
      <c r="L4966" s="33"/>
      <c r="M4966" s="33"/>
      <c r="N4966" s="33"/>
      <c r="O4966" s="33"/>
      <c r="P4966" s="33"/>
      <c r="Q4966" s="33"/>
      <c r="R4966" s="33"/>
      <c r="T4966"/>
    </row>
    <row r="4967" spans="1:20" x14ac:dyDescent="0.2">
      <c r="A4967" s="9"/>
      <c r="B4967" s="9"/>
      <c r="C4967" s="9"/>
      <c r="D4967" s="9"/>
      <c r="E4967" s="9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9"/>
      <c r="R4967" s="9"/>
      <c r="T4967"/>
    </row>
    <row r="4968" spans="1:20" x14ac:dyDescent="0.2">
      <c r="A4968" s="33"/>
      <c r="B4968" s="33"/>
      <c r="C4968" s="33"/>
      <c r="D4968" s="33"/>
      <c r="E4968" s="33"/>
      <c r="F4968" s="33"/>
      <c r="G4968" s="33"/>
      <c r="H4968" s="33"/>
      <c r="I4968" s="33"/>
      <c r="J4968" s="33"/>
      <c r="K4968" s="33"/>
      <c r="L4968" s="33"/>
      <c r="M4968" s="33"/>
      <c r="N4968" s="33"/>
      <c r="O4968" s="33"/>
      <c r="P4968" s="33"/>
      <c r="Q4968" s="33"/>
      <c r="R4968" s="33"/>
      <c r="T4968"/>
    </row>
    <row r="4969" spans="1:20" x14ac:dyDescent="0.2">
      <c r="A4969" s="9"/>
      <c r="B4969" s="9"/>
      <c r="C4969" s="9"/>
      <c r="D4969" s="9"/>
      <c r="E4969" s="9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9"/>
      <c r="R4969" s="9"/>
      <c r="T4969"/>
    </row>
    <row r="4970" spans="1:20" x14ac:dyDescent="0.2">
      <c r="A4970" s="33"/>
      <c r="B4970" s="33"/>
      <c r="C4970" s="33"/>
      <c r="D4970" s="33"/>
      <c r="E4970" s="33"/>
      <c r="F4970" s="33"/>
      <c r="G4970" s="33"/>
      <c r="H4970" s="33"/>
      <c r="I4970" s="33"/>
      <c r="J4970" s="33"/>
      <c r="K4970" s="33"/>
      <c r="L4970" s="33"/>
      <c r="M4970" s="33"/>
      <c r="N4970" s="33"/>
      <c r="O4970" s="33"/>
      <c r="P4970" s="33"/>
      <c r="Q4970" s="33"/>
      <c r="R4970" s="33"/>
      <c r="T4970"/>
    </row>
    <row r="4971" spans="1:20" x14ac:dyDescent="0.2">
      <c r="A4971" s="9"/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9"/>
      <c r="R4971" s="9"/>
      <c r="T4971"/>
    </row>
    <row r="4972" spans="1:20" x14ac:dyDescent="0.2">
      <c r="A4972" s="33"/>
      <c r="B4972" s="33"/>
      <c r="C4972" s="33"/>
      <c r="D4972" s="33"/>
      <c r="E4972" s="33"/>
      <c r="F4972" s="33"/>
      <c r="G4972" s="33"/>
      <c r="H4972" s="33"/>
      <c r="I4972" s="33"/>
      <c r="J4972" s="33"/>
      <c r="K4972" s="33"/>
      <c r="L4972" s="33"/>
      <c r="M4972" s="33"/>
      <c r="N4972" s="33"/>
      <c r="O4972" s="33"/>
      <c r="P4972" s="33"/>
      <c r="Q4972" s="33"/>
      <c r="R4972" s="33"/>
      <c r="T4972"/>
    </row>
    <row r="4973" spans="1:20" x14ac:dyDescent="0.2">
      <c r="A4973" s="9"/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T4973"/>
    </row>
    <row r="4974" spans="1:20" x14ac:dyDescent="0.2">
      <c r="A4974" s="33"/>
      <c r="B4974" s="33"/>
      <c r="C4974" s="33"/>
      <c r="D4974" s="33"/>
      <c r="E4974" s="33"/>
      <c r="F4974" s="33"/>
      <c r="G4974" s="33"/>
      <c r="H4974" s="33"/>
      <c r="I4974" s="33"/>
      <c r="J4974" s="33"/>
      <c r="K4974" s="33"/>
      <c r="L4974" s="33"/>
      <c r="M4974" s="33"/>
      <c r="N4974" s="33"/>
      <c r="O4974" s="33"/>
      <c r="P4974" s="33"/>
      <c r="Q4974" s="33"/>
      <c r="R4974" s="33"/>
      <c r="T4974"/>
    </row>
    <row r="4975" spans="1:20" x14ac:dyDescent="0.2">
      <c r="A4975" s="9"/>
      <c r="B4975" s="9"/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T4975"/>
    </row>
    <row r="4976" spans="1:20" x14ac:dyDescent="0.2">
      <c r="A4976" s="33"/>
      <c r="B4976" s="33"/>
      <c r="C4976" s="33"/>
      <c r="D4976" s="33"/>
      <c r="E4976" s="33"/>
      <c r="F4976" s="33"/>
      <c r="G4976" s="33"/>
      <c r="H4976" s="33"/>
      <c r="I4976" s="33"/>
      <c r="J4976" s="33"/>
      <c r="K4976" s="33"/>
      <c r="L4976" s="33"/>
      <c r="M4976" s="33"/>
      <c r="N4976" s="33"/>
      <c r="O4976" s="33"/>
      <c r="P4976" s="33"/>
      <c r="Q4976" s="33"/>
      <c r="R4976" s="33"/>
      <c r="T4976"/>
    </row>
    <row r="4977" spans="1:20" x14ac:dyDescent="0.2">
      <c r="A4977" s="9"/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T4977"/>
    </row>
    <row r="4978" spans="1:20" x14ac:dyDescent="0.2">
      <c r="A4978" s="33"/>
      <c r="B4978" s="33"/>
      <c r="C4978" s="33"/>
      <c r="D4978" s="33"/>
      <c r="E4978" s="33"/>
      <c r="F4978" s="33"/>
      <c r="G4978" s="33"/>
      <c r="H4978" s="33"/>
      <c r="I4978" s="33"/>
      <c r="J4978" s="33"/>
      <c r="K4978" s="33"/>
      <c r="L4978" s="33"/>
      <c r="M4978" s="33"/>
      <c r="N4978" s="33"/>
      <c r="O4978" s="33"/>
      <c r="P4978" s="33"/>
      <c r="Q4978" s="33"/>
      <c r="R4978" s="33"/>
      <c r="T4978"/>
    </row>
    <row r="4979" spans="1:20" x14ac:dyDescent="0.2">
      <c r="A4979" s="9"/>
      <c r="B4979" s="9"/>
      <c r="C4979" s="9"/>
      <c r="D4979" s="9"/>
      <c r="E4979" s="9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9"/>
      <c r="Q4979" s="9"/>
      <c r="R4979" s="9"/>
      <c r="T4979"/>
    </row>
    <row r="4980" spans="1:20" x14ac:dyDescent="0.2">
      <c r="A4980" s="33"/>
      <c r="B4980" s="33"/>
      <c r="C4980" s="33"/>
      <c r="D4980" s="33"/>
      <c r="E4980" s="33"/>
      <c r="F4980" s="33"/>
      <c r="G4980" s="33"/>
      <c r="H4980" s="33"/>
      <c r="I4980" s="33"/>
      <c r="J4980" s="33"/>
      <c r="K4980" s="33"/>
      <c r="L4980" s="33"/>
      <c r="M4980" s="33"/>
      <c r="N4980" s="33"/>
      <c r="O4980" s="33"/>
      <c r="P4980" s="33"/>
      <c r="Q4980" s="33"/>
      <c r="R4980" s="33"/>
      <c r="T4980"/>
    </row>
    <row r="4981" spans="1:20" x14ac:dyDescent="0.2">
      <c r="A4981" s="9"/>
      <c r="B4981" s="9"/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9"/>
      <c r="Q4981" s="9"/>
      <c r="R4981" s="9"/>
      <c r="T4981"/>
    </row>
    <row r="4982" spans="1:20" x14ac:dyDescent="0.2">
      <c r="A4982" s="33"/>
      <c r="B4982" s="33"/>
      <c r="C4982" s="33"/>
      <c r="D4982" s="33"/>
      <c r="E4982" s="33"/>
      <c r="F4982" s="33"/>
      <c r="G4982" s="33"/>
      <c r="H4982" s="33"/>
      <c r="I4982" s="33"/>
      <c r="J4982" s="33"/>
      <c r="K4982" s="33"/>
      <c r="L4982" s="33"/>
      <c r="M4982" s="33"/>
      <c r="N4982" s="33"/>
      <c r="O4982" s="33"/>
      <c r="P4982" s="33"/>
      <c r="Q4982" s="33"/>
      <c r="R4982" s="33"/>
      <c r="T4982"/>
    </row>
    <row r="4983" spans="1:20" x14ac:dyDescent="0.2">
      <c r="A4983" s="9"/>
      <c r="B4983" s="9"/>
      <c r="C4983" s="9"/>
      <c r="D4983" s="9"/>
      <c r="E4983" s="9"/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9"/>
      <c r="Q4983" s="9"/>
      <c r="R4983" s="9"/>
      <c r="T4983"/>
    </row>
    <row r="4984" spans="1:20" x14ac:dyDescent="0.2">
      <c r="A4984" s="33"/>
      <c r="B4984" s="33"/>
      <c r="C4984" s="33"/>
      <c r="D4984" s="33"/>
      <c r="E4984" s="33"/>
      <c r="F4984" s="33"/>
      <c r="G4984" s="33"/>
      <c r="H4984" s="33"/>
      <c r="I4984" s="33"/>
      <c r="J4984" s="33"/>
      <c r="K4984" s="33"/>
      <c r="L4984" s="33"/>
      <c r="M4984" s="33"/>
      <c r="N4984" s="33"/>
      <c r="O4984" s="33"/>
      <c r="P4984" s="33"/>
      <c r="Q4984" s="33"/>
      <c r="R4984" s="33"/>
      <c r="T4984"/>
    </row>
    <row r="4985" spans="1:20" x14ac:dyDescent="0.2">
      <c r="A4985" s="9"/>
      <c r="B4985" s="9"/>
      <c r="C4985" s="9"/>
      <c r="D4985" s="9"/>
      <c r="E4985" s="9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T4985"/>
    </row>
    <row r="4986" spans="1:20" x14ac:dyDescent="0.2">
      <c r="A4986" s="33"/>
      <c r="B4986" s="33"/>
      <c r="C4986" s="33"/>
      <c r="D4986" s="33"/>
      <c r="E4986" s="33"/>
      <c r="F4986" s="33"/>
      <c r="G4986" s="33"/>
      <c r="H4986" s="33"/>
      <c r="I4986" s="33"/>
      <c r="J4986" s="33"/>
      <c r="K4986" s="33"/>
      <c r="L4986" s="33"/>
      <c r="M4986" s="33"/>
      <c r="N4986" s="33"/>
      <c r="O4986" s="33"/>
      <c r="P4986" s="33"/>
      <c r="Q4986" s="33"/>
      <c r="R4986" s="33"/>
      <c r="T4986"/>
    </row>
    <row r="4987" spans="1:20" x14ac:dyDescent="0.2">
      <c r="A4987" s="9"/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T4987"/>
    </row>
    <row r="4988" spans="1:20" x14ac:dyDescent="0.2">
      <c r="A4988" s="33"/>
      <c r="B4988" s="33"/>
      <c r="C4988" s="33"/>
      <c r="D4988" s="33"/>
      <c r="E4988" s="33"/>
      <c r="F4988" s="33"/>
      <c r="G4988" s="33"/>
      <c r="H4988" s="33"/>
      <c r="I4988" s="33"/>
      <c r="J4988" s="33"/>
      <c r="K4988" s="33"/>
      <c r="L4988" s="33"/>
      <c r="M4988" s="33"/>
      <c r="N4988" s="33"/>
      <c r="O4988" s="33"/>
      <c r="P4988" s="33"/>
      <c r="Q4988" s="33"/>
      <c r="R4988" s="33"/>
      <c r="T4988"/>
    </row>
    <row r="4989" spans="1:20" x14ac:dyDescent="0.2">
      <c r="A4989" s="9"/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T4989"/>
    </row>
    <row r="4990" spans="1:20" x14ac:dyDescent="0.2">
      <c r="A4990" s="33"/>
      <c r="B4990" s="33"/>
      <c r="C4990" s="33"/>
      <c r="D4990" s="33"/>
      <c r="E4990" s="33"/>
      <c r="F4990" s="33"/>
      <c r="G4990" s="33"/>
      <c r="H4990" s="33"/>
      <c r="I4990" s="33"/>
      <c r="J4990" s="33"/>
      <c r="K4990" s="33"/>
      <c r="L4990" s="33"/>
      <c r="M4990" s="33"/>
      <c r="N4990" s="33"/>
      <c r="O4990" s="33"/>
      <c r="P4990" s="33"/>
      <c r="Q4990" s="33"/>
      <c r="R4990" s="33"/>
      <c r="T4990"/>
    </row>
    <row r="4991" spans="1:20" x14ac:dyDescent="0.2">
      <c r="A4991" s="9"/>
      <c r="B4991" s="9"/>
      <c r="C4991" s="9"/>
      <c r="D4991" s="9"/>
      <c r="E4991" s="9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T4991"/>
    </row>
    <row r="4992" spans="1:20" x14ac:dyDescent="0.2">
      <c r="A4992" s="33"/>
      <c r="B4992" s="33"/>
      <c r="C4992" s="33"/>
      <c r="D4992" s="33"/>
      <c r="E4992" s="33"/>
      <c r="F4992" s="33"/>
      <c r="G4992" s="33"/>
      <c r="H4992" s="33"/>
      <c r="I4992" s="33"/>
      <c r="J4992" s="33"/>
      <c r="K4992" s="33"/>
      <c r="L4992" s="33"/>
      <c r="M4992" s="33"/>
      <c r="N4992" s="33"/>
      <c r="O4992" s="33"/>
      <c r="P4992" s="33"/>
      <c r="Q4992" s="33"/>
      <c r="R4992" s="33"/>
      <c r="T4992"/>
    </row>
    <row r="4993" spans="1:20" x14ac:dyDescent="0.2">
      <c r="A4993" s="9"/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T4993"/>
    </row>
    <row r="4994" spans="1:20" x14ac:dyDescent="0.2">
      <c r="A4994" s="33"/>
      <c r="B4994" s="33"/>
      <c r="C4994" s="33"/>
      <c r="D4994" s="33"/>
      <c r="E4994" s="33"/>
      <c r="F4994" s="33"/>
      <c r="G4994" s="33"/>
      <c r="H4994" s="33"/>
      <c r="I4994" s="33"/>
      <c r="J4994" s="33"/>
      <c r="K4994" s="33"/>
      <c r="L4994" s="33"/>
      <c r="M4994" s="33"/>
      <c r="N4994" s="33"/>
      <c r="O4994" s="33"/>
      <c r="P4994" s="33"/>
      <c r="Q4994" s="33"/>
      <c r="R4994" s="33"/>
      <c r="T4994"/>
    </row>
    <row r="4995" spans="1:20" x14ac:dyDescent="0.2">
      <c r="A4995" s="9"/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T4995"/>
    </row>
    <row r="4996" spans="1:20" x14ac:dyDescent="0.2">
      <c r="A4996" s="33"/>
      <c r="B4996" s="33"/>
      <c r="C4996" s="33"/>
      <c r="D4996" s="33"/>
      <c r="E4996" s="33"/>
      <c r="F4996" s="33"/>
      <c r="G4996" s="33"/>
      <c r="H4996" s="33"/>
      <c r="I4996" s="33"/>
      <c r="J4996" s="33"/>
      <c r="K4996" s="33"/>
      <c r="L4996" s="33"/>
      <c r="M4996" s="33"/>
      <c r="N4996" s="33"/>
      <c r="O4996" s="33"/>
      <c r="P4996" s="33"/>
      <c r="Q4996" s="33"/>
      <c r="R4996" s="33"/>
      <c r="T4996"/>
    </row>
    <row r="4997" spans="1:20" x14ac:dyDescent="0.2">
      <c r="A4997" s="9"/>
      <c r="B4997" s="9"/>
      <c r="C4997" s="9"/>
      <c r="D4997" s="9"/>
      <c r="E4997" s="9"/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9"/>
      <c r="Q4997" s="9"/>
      <c r="R4997" s="9"/>
      <c r="T4997"/>
    </row>
    <row r="4998" spans="1:20" x14ac:dyDescent="0.2">
      <c r="A4998" s="33"/>
      <c r="B4998" s="33"/>
      <c r="C4998" s="33"/>
      <c r="D4998" s="33"/>
      <c r="E4998" s="33"/>
      <c r="F4998" s="33"/>
      <c r="G4998" s="33"/>
      <c r="H4998" s="33"/>
      <c r="I4998" s="33"/>
      <c r="J4998" s="33"/>
      <c r="K4998" s="33"/>
      <c r="L4998" s="33"/>
      <c r="M4998" s="33"/>
      <c r="N4998" s="33"/>
      <c r="O4998" s="33"/>
      <c r="P4998" s="33"/>
      <c r="Q4998" s="33"/>
      <c r="R4998" s="33"/>
      <c r="T4998"/>
    </row>
    <row r="4999" spans="1:20" x14ac:dyDescent="0.2">
      <c r="A4999" s="9"/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T4999"/>
    </row>
    <row r="5000" spans="1:20" x14ac:dyDescent="0.2">
      <c r="A5000" s="33"/>
      <c r="B5000" s="33"/>
      <c r="C5000" s="33"/>
      <c r="D5000" s="33"/>
      <c r="E5000" s="33"/>
      <c r="F5000" s="33"/>
      <c r="G5000" s="33"/>
      <c r="H5000" s="33"/>
      <c r="I5000" s="33"/>
      <c r="J5000" s="33"/>
      <c r="K5000" s="33"/>
      <c r="L5000" s="33"/>
      <c r="M5000" s="33"/>
      <c r="N5000" s="33"/>
      <c r="O5000" s="33"/>
      <c r="P5000" s="33"/>
      <c r="Q5000" s="33"/>
      <c r="R5000" s="33"/>
      <c r="T5000"/>
    </row>
    <row r="5001" spans="1:20" x14ac:dyDescent="0.2">
      <c r="A5001" s="9"/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T5001"/>
    </row>
    <row r="5002" spans="1:20" x14ac:dyDescent="0.2">
      <c r="A5002" s="33"/>
      <c r="B5002" s="33"/>
      <c r="C5002" s="33"/>
      <c r="D5002" s="33"/>
      <c r="E5002" s="33"/>
      <c r="F5002" s="33"/>
      <c r="G5002" s="33"/>
      <c r="H5002" s="33"/>
      <c r="I5002" s="33"/>
      <c r="J5002" s="33"/>
      <c r="K5002" s="33"/>
      <c r="L5002" s="33"/>
      <c r="M5002" s="33"/>
      <c r="N5002" s="33"/>
      <c r="O5002" s="33"/>
      <c r="P5002" s="33"/>
      <c r="Q5002" s="33"/>
      <c r="R5002" s="33"/>
      <c r="T5002"/>
    </row>
    <row r="5003" spans="1:20" x14ac:dyDescent="0.2">
      <c r="A5003" s="9"/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T5003"/>
    </row>
    <row r="5004" spans="1:20" x14ac:dyDescent="0.2">
      <c r="A5004" s="33"/>
      <c r="B5004" s="33"/>
      <c r="C5004" s="33"/>
      <c r="D5004" s="33"/>
      <c r="E5004" s="33"/>
      <c r="F5004" s="33"/>
      <c r="G5004" s="33"/>
      <c r="H5004" s="33"/>
      <c r="I5004" s="33"/>
      <c r="J5004" s="33"/>
      <c r="K5004" s="33"/>
      <c r="L5004" s="33"/>
      <c r="M5004" s="33"/>
      <c r="N5004" s="33"/>
      <c r="O5004" s="33"/>
      <c r="P5004" s="33"/>
      <c r="Q5004" s="33"/>
      <c r="R5004" s="33"/>
      <c r="T5004"/>
    </row>
    <row r="5005" spans="1:20" x14ac:dyDescent="0.2">
      <c r="A5005" s="9"/>
      <c r="B5005" s="9"/>
      <c r="C5005" s="9"/>
      <c r="D5005" s="9"/>
      <c r="E5005" s="9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9"/>
      <c r="Q5005" s="9"/>
      <c r="R5005" s="9"/>
      <c r="T5005"/>
    </row>
    <row r="5006" spans="1:20" x14ac:dyDescent="0.2">
      <c r="A5006" s="33"/>
      <c r="B5006" s="33"/>
      <c r="C5006" s="33"/>
      <c r="D5006" s="33"/>
      <c r="E5006" s="33"/>
      <c r="F5006" s="33"/>
      <c r="G5006" s="33"/>
      <c r="H5006" s="33"/>
      <c r="I5006" s="33"/>
      <c r="J5006" s="33"/>
      <c r="K5006" s="33"/>
      <c r="L5006" s="33"/>
      <c r="M5006" s="33"/>
      <c r="N5006" s="33"/>
      <c r="O5006" s="33"/>
      <c r="P5006" s="33"/>
      <c r="Q5006" s="33"/>
      <c r="R5006" s="33"/>
      <c r="T5006"/>
    </row>
    <row r="5007" spans="1:20" x14ac:dyDescent="0.2">
      <c r="A5007" s="9"/>
      <c r="B5007" s="9"/>
      <c r="C5007" s="9"/>
      <c r="D5007" s="9"/>
      <c r="E5007" s="9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T5007"/>
    </row>
    <row r="5008" spans="1:20" x14ac:dyDescent="0.2">
      <c r="A5008" s="33"/>
      <c r="B5008" s="33"/>
      <c r="C5008" s="33"/>
      <c r="D5008" s="33"/>
      <c r="E5008" s="33"/>
      <c r="F5008" s="33"/>
      <c r="G5008" s="33"/>
      <c r="H5008" s="33"/>
      <c r="I5008" s="33"/>
      <c r="J5008" s="33"/>
      <c r="K5008" s="33"/>
      <c r="L5008" s="33"/>
      <c r="M5008" s="33"/>
      <c r="N5008" s="33"/>
      <c r="O5008" s="33"/>
      <c r="P5008" s="33"/>
      <c r="Q5008" s="33"/>
      <c r="R5008" s="33"/>
      <c r="T5008"/>
    </row>
    <row r="5009" spans="1:20" x14ac:dyDescent="0.2">
      <c r="A5009" s="9"/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T5009"/>
    </row>
    <row r="5010" spans="1:20" x14ac:dyDescent="0.2">
      <c r="A5010" s="33"/>
      <c r="B5010" s="33"/>
      <c r="C5010" s="33"/>
      <c r="D5010" s="33"/>
      <c r="E5010" s="33"/>
      <c r="F5010" s="33"/>
      <c r="G5010" s="33"/>
      <c r="H5010" s="33"/>
      <c r="I5010" s="33"/>
      <c r="J5010" s="33"/>
      <c r="K5010" s="33"/>
      <c r="L5010" s="33"/>
      <c r="M5010" s="33"/>
      <c r="N5010" s="33"/>
      <c r="O5010" s="33"/>
      <c r="P5010" s="33"/>
      <c r="Q5010" s="33"/>
      <c r="R5010" s="33"/>
      <c r="T5010"/>
    </row>
    <row r="5011" spans="1:20" x14ac:dyDescent="0.2">
      <c r="A5011" s="9"/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T5011"/>
    </row>
    <row r="5012" spans="1:20" x14ac:dyDescent="0.2">
      <c r="A5012" s="33"/>
      <c r="B5012" s="33"/>
      <c r="C5012" s="33"/>
      <c r="D5012" s="33"/>
      <c r="E5012" s="33"/>
      <c r="F5012" s="33"/>
      <c r="G5012" s="33"/>
      <c r="H5012" s="33"/>
      <c r="I5012" s="33"/>
      <c r="J5012" s="33"/>
      <c r="K5012" s="33"/>
      <c r="L5012" s="33"/>
      <c r="M5012" s="33"/>
      <c r="N5012" s="33"/>
      <c r="O5012" s="33"/>
      <c r="P5012" s="33"/>
      <c r="Q5012" s="33"/>
      <c r="R5012" s="33"/>
      <c r="T5012"/>
    </row>
    <row r="5013" spans="1:20" x14ac:dyDescent="0.2">
      <c r="A5013" s="9"/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T5013"/>
    </row>
    <row r="5014" spans="1:20" x14ac:dyDescent="0.2">
      <c r="A5014" s="33"/>
      <c r="B5014" s="33"/>
      <c r="C5014" s="33"/>
      <c r="D5014" s="33"/>
      <c r="E5014" s="33"/>
      <c r="F5014" s="33"/>
      <c r="G5014" s="33"/>
      <c r="H5014" s="33"/>
      <c r="I5014" s="33"/>
      <c r="J5014" s="33"/>
      <c r="K5014" s="33"/>
      <c r="L5014" s="33"/>
      <c r="M5014" s="33"/>
      <c r="N5014" s="33"/>
      <c r="O5014" s="33"/>
      <c r="P5014" s="33"/>
      <c r="Q5014" s="33"/>
      <c r="R5014" s="33"/>
      <c r="T5014"/>
    </row>
    <row r="5015" spans="1:20" x14ac:dyDescent="0.2">
      <c r="A5015" s="9"/>
      <c r="B5015" s="9"/>
      <c r="C5015" s="9"/>
      <c r="D5015" s="9"/>
      <c r="E5015" s="9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T5015"/>
    </row>
    <row r="5016" spans="1:20" x14ac:dyDescent="0.2">
      <c r="A5016" s="33"/>
      <c r="B5016" s="33"/>
      <c r="C5016" s="33"/>
      <c r="D5016" s="33"/>
      <c r="E5016" s="33"/>
      <c r="F5016" s="33"/>
      <c r="G5016" s="33"/>
      <c r="H5016" s="33"/>
      <c r="I5016" s="33"/>
      <c r="J5016" s="33"/>
      <c r="K5016" s="33"/>
      <c r="L5016" s="33"/>
      <c r="M5016" s="33"/>
      <c r="N5016" s="33"/>
      <c r="O5016" s="33"/>
      <c r="P5016" s="33"/>
      <c r="Q5016" s="33"/>
      <c r="R5016" s="33"/>
      <c r="T5016"/>
    </row>
    <row r="5017" spans="1:20" x14ac:dyDescent="0.2">
      <c r="A5017" s="9"/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T5017"/>
    </row>
    <row r="5018" spans="1:20" x14ac:dyDescent="0.2">
      <c r="A5018" s="33"/>
      <c r="B5018" s="33"/>
      <c r="C5018" s="33"/>
      <c r="D5018" s="33"/>
      <c r="E5018" s="33"/>
      <c r="F5018" s="33"/>
      <c r="G5018" s="33"/>
      <c r="H5018" s="33"/>
      <c r="I5018" s="33"/>
      <c r="J5018" s="33"/>
      <c r="K5018" s="33"/>
      <c r="L5018" s="33"/>
      <c r="M5018" s="33"/>
      <c r="N5018" s="33"/>
      <c r="O5018" s="33"/>
      <c r="P5018" s="33"/>
      <c r="Q5018" s="33"/>
      <c r="R5018" s="33"/>
      <c r="T5018"/>
    </row>
    <row r="5019" spans="1:20" x14ac:dyDescent="0.2">
      <c r="A5019" s="9"/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T5019"/>
    </row>
    <row r="5020" spans="1:20" x14ac:dyDescent="0.2">
      <c r="A5020" s="33"/>
      <c r="B5020" s="33"/>
      <c r="C5020" s="33"/>
      <c r="D5020" s="33"/>
      <c r="E5020" s="33"/>
      <c r="F5020" s="33"/>
      <c r="G5020" s="33"/>
      <c r="H5020" s="33"/>
      <c r="I5020" s="33"/>
      <c r="J5020" s="33"/>
      <c r="K5020" s="33"/>
      <c r="L5020" s="33"/>
      <c r="M5020" s="33"/>
      <c r="N5020" s="33"/>
      <c r="O5020" s="33"/>
      <c r="P5020" s="33"/>
      <c r="Q5020" s="33"/>
      <c r="R5020" s="33"/>
      <c r="T5020"/>
    </row>
    <row r="5021" spans="1:20" x14ac:dyDescent="0.2">
      <c r="A5021" s="9"/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9"/>
      <c r="R5021" s="9"/>
      <c r="T5021"/>
    </row>
    <row r="5022" spans="1:20" x14ac:dyDescent="0.2">
      <c r="A5022" s="33"/>
      <c r="B5022" s="33"/>
      <c r="C5022" s="33"/>
      <c r="D5022" s="33"/>
      <c r="E5022" s="33"/>
      <c r="F5022" s="33"/>
      <c r="G5022" s="33"/>
      <c r="H5022" s="33"/>
      <c r="I5022" s="33"/>
      <c r="J5022" s="33"/>
      <c r="K5022" s="33"/>
      <c r="L5022" s="33"/>
      <c r="M5022" s="33"/>
      <c r="N5022" s="33"/>
      <c r="O5022" s="33"/>
      <c r="P5022" s="33"/>
      <c r="Q5022" s="33"/>
      <c r="R5022" s="33"/>
      <c r="T5022"/>
    </row>
    <row r="5023" spans="1:20" x14ac:dyDescent="0.2">
      <c r="A5023" s="9"/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9"/>
      <c r="R5023" s="9"/>
      <c r="T5023"/>
    </row>
    <row r="5024" spans="1:20" x14ac:dyDescent="0.2">
      <c r="A5024" s="33"/>
      <c r="B5024" s="33"/>
      <c r="C5024" s="33"/>
      <c r="D5024" s="33"/>
      <c r="E5024" s="33"/>
      <c r="F5024" s="33"/>
      <c r="G5024" s="33"/>
      <c r="H5024" s="33"/>
      <c r="I5024" s="33"/>
      <c r="J5024" s="33"/>
      <c r="K5024" s="33"/>
      <c r="L5024" s="33"/>
      <c r="M5024" s="33"/>
      <c r="N5024" s="33"/>
      <c r="O5024" s="33"/>
      <c r="P5024" s="33"/>
      <c r="Q5024" s="33"/>
      <c r="R5024" s="33"/>
      <c r="T5024"/>
    </row>
    <row r="5025" spans="1:20" x14ac:dyDescent="0.2">
      <c r="A5025" s="9"/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9"/>
      <c r="R5025" s="9"/>
      <c r="T5025"/>
    </row>
    <row r="5026" spans="1:20" x14ac:dyDescent="0.2">
      <c r="A5026" s="33"/>
      <c r="B5026" s="33"/>
      <c r="C5026" s="33"/>
      <c r="D5026" s="33"/>
      <c r="E5026" s="33"/>
      <c r="F5026" s="33"/>
      <c r="G5026" s="33"/>
      <c r="H5026" s="33"/>
      <c r="I5026" s="33"/>
      <c r="J5026" s="33"/>
      <c r="K5026" s="33"/>
      <c r="L5026" s="33"/>
      <c r="M5026" s="33"/>
      <c r="N5026" s="33"/>
      <c r="O5026" s="33"/>
      <c r="P5026" s="33"/>
      <c r="Q5026" s="33"/>
      <c r="R5026" s="33"/>
      <c r="T5026"/>
    </row>
    <row r="5027" spans="1:20" x14ac:dyDescent="0.2">
      <c r="A5027" s="9"/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9"/>
      <c r="R5027" s="9"/>
      <c r="T5027"/>
    </row>
    <row r="5028" spans="1:20" x14ac:dyDescent="0.2">
      <c r="A5028" s="33"/>
      <c r="B5028" s="33"/>
      <c r="C5028" s="33"/>
      <c r="D5028" s="33"/>
      <c r="E5028" s="33"/>
      <c r="F5028" s="33"/>
      <c r="G5028" s="33"/>
      <c r="H5028" s="33"/>
      <c r="I5028" s="33"/>
      <c r="J5028" s="33"/>
      <c r="K5028" s="33"/>
      <c r="L5028" s="33"/>
      <c r="M5028" s="33"/>
      <c r="N5028" s="33"/>
      <c r="O5028" s="33"/>
      <c r="P5028" s="33"/>
      <c r="Q5028" s="33"/>
      <c r="R5028" s="33"/>
      <c r="T5028"/>
    </row>
    <row r="5029" spans="1:20" x14ac:dyDescent="0.2">
      <c r="A5029" s="9"/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T5029"/>
    </row>
    <row r="5030" spans="1:20" x14ac:dyDescent="0.2">
      <c r="A5030" s="33"/>
      <c r="B5030" s="33"/>
      <c r="C5030" s="33"/>
      <c r="D5030" s="33"/>
      <c r="E5030" s="33"/>
      <c r="F5030" s="33"/>
      <c r="G5030" s="33"/>
      <c r="H5030" s="33"/>
      <c r="I5030" s="33"/>
      <c r="J5030" s="33"/>
      <c r="K5030" s="33"/>
      <c r="L5030" s="33"/>
      <c r="M5030" s="33"/>
      <c r="N5030" s="33"/>
      <c r="O5030" s="33"/>
      <c r="P5030" s="33"/>
      <c r="Q5030" s="33"/>
      <c r="R5030" s="33"/>
      <c r="T5030"/>
    </row>
    <row r="5031" spans="1:20" x14ac:dyDescent="0.2">
      <c r="A5031" s="9"/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T5031"/>
    </row>
    <row r="5032" spans="1:20" x14ac:dyDescent="0.2">
      <c r="A5032" s="33"/>
      <c r="B5032" s="33"/>
      <c r="C5032" s="33"/>
      <c r="D5032" s="33"/>
      <c r="E5032" s="33"/>
      <c r="F5032" s="33"/>
      <c r="G5032" s="33"/>
      <c r="H5032" s="33"/>
      <c r="I5032" s="33"/>
      <c r="J5032" s="33"/>
      <c r="K5032" s="33"/>
      <c r="L5032" s="33"/>
      <c r="M5032" s="33"/>
      <c r="N5032" s="33"/>
      <c r="O5032" s="33"/>
      <c r="P5032" s="33"/>
      <c r="Q5032" s="33"/>
      <c r="R5032" s="33"/>
      <c r="T5032"/>
    </row>
    <row r="5033" spans="1:20" x14ac:dyDescent="0.2">
      <c r="A5033" s="9"/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9"/>
      <c r="R5033" s="9"/>
      <c r="T5033"/>
    </row>
    <row r="5034" spans="1:20" x14ac:dyDescent="0.2">
      <c r="A5034" s="33"/>
      <c r="B5034" s="33"/>
      <c r="C5034" s="33"/>
      <c r="D5034" s="33"/>
      <c r="E5034" s="33"/>
      <c r="F5034" s="33"/>
      <c r="G5034" s="33"/>
      <c r="H5034" s="33"/>
      <c r="I5034" s="33"/>
      <c r="J5034" s="33"/>
      <c r="K5034" s="33"/>
      <c r="L5034" s="33"/>
      <c r="M5034" s="33"/>
      <c r="N5034" s="33"/>
      <c r="O5034" s="33"/>
      <c r="P5034" s="33"/>
      <c r="Q5034" s="33"/>
      <c r="R5034" s="33"/>
      <c r="T5034"/>
    </row>
    <row r="5035" spans="1:20" x14ac:dyDescent="0.2">
      <c r="A5035" s="9"/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9"/>
      <c r="R5035" s="9"/>
      <c r="T5035"/>
    </row>
    <row r="5036" spans="1:20" x14ac:dyDescent="0.2">
      <c r="A5036" s="33"/>
      <c r="B5036" s="33"/>
      <c r="C5036" s="33"/>
      <c r="D5036" s="33"/>
      <c r="E5036" s="33"/>
      <c r="F5036" s="33"/>
      <c r="G5036" s="33"/>
      <c r="H5036" s="33"/>
      <c r="I5036" s="33"/>
      <c r="J5036" s="33"/>
      <c r="K5036" s="33"/>
      <c r="L5036" s="33"/>
      <c r="M5036" s="33"/>
      <c r="N5036" s="33"/>
      <c r="O5036" s="33"/>
      <c r="P5036" s="33"/>
      <c r="Q5036" s="33"/>
      <c r="R5036" s="33"/>
      <c r="T5036"/>
    </row>
    <row r="5037" spans="1:20" x14ac:dyDescent="0.2">
      <c r="A5037" s="9"/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R5037" s="9"/>
      <c r="T5037"/>
    </row>
    <row r="5038" spans="1:20" x14ac:dyDescent="0.2">
      <c r="A5038" s="33"/>
      <c r="B5038" s="33"/>
      <c r="C5038" s="33"/>
      <c r="D5038" s="33"/>
      <c r="E5038" s="33"/>
      <c r="F5038" s="33"/>
      <c r="G5038" s="33"/>
      <c r="H5038" s="33"/>
      <c r="I5038" s="33"/>
      <c r="J5038" s="33"/>
      <c r="K5038" s="33"/>
      <c r="L5038" s="33"/>
      <c r="M5038" s="33"/>
      <c r="N5038" s="33"/>
      <c r="O5038" s="33"/>
      <c r="P5038" s="33"/>
      <c r="Q5038" s="33"/>
      <c r="R5038" s="33"/>
      <c r="T5038"/>
    </row>
    <row r="5039" spans="1:20" x14ac:dyDescent="0.2">
      <c r="A5039" s="9"/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R5039" s="9"/>
      <c r="T5039"/>
    </row>
    <row r="5040" spans="1:20" x14ac:dyDescent="0.2">
      <c r="A5040" s="33"/>
      <c r="B5040" s="33"/>
      <c r="C5040" s="33"/>
      <c r="D5040" s="33"/>
      <c r="E5040" s="33"/>
      <c r="F5040" s="33"/>
      <c r="G5040" s="33"/>
      <c r="H5040" s="33"/>
      <c r="I5040" s="33"/>
      <c r="J5040" s="33"/>
      <c r="K5040" s="33"/>
      <c r="L5040" s="33"/>
      <c r="M5040" s="33"/>
      <c r="N5040" s="33"/>
      <c r="O5040" s="33"/>
      <c r="P5040" s="33"/>
      <c r="Q5040" s="33"/>
      <c r="R5040" s="33"/>
      <c r="T5040"/>
    </row>
    <row r="5041" spans="1:20" x14ac:dyDescent="0.2">
      <c r="A5041" s="9"/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T5041"/>
    </row>
    <row r="5042" spans="1:20" x14ac:dyDescent="0.2">
      <c r="A5042" s="33"/>
      <c r="B5042" s="33"/>
      <c r="C5042" s="33"/>
      <c r="D5042" s="33"/>
      <c r="E5042" s="33"/>
      <c r="F5042" s="33"/>
      <c r="G5042" s="33"/>
      <c r="H5042" s="33"/>
      <c r="I5042" s="33"/>
      <c r="J5042" s="33"/>
      <c r="K5042" s="33"/>
      <c r="L5042" s="33"/>
      <c r="M5042" s="33"/>
      <c r="N5042" s="33"/>
      <c r="O5042" s="33"/>
      <c r="P5042" s="33"/>
      <c r="Q5042" s="33"/>
      <c r="R5042" s="33"/>
      <c r="T5042"/>
    </row>
    <row r="5043" spans="1:20" x14ac:dyDescent="0.2">
      <c r="A5043" s="9"/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R5043" s="9"/>
      <c r="T5043"/>
    </row>
    <row r="5044" spans="1:20" x14ac:dyDescent="0.2">
      <c r="A5044" s="33"/>
      <c r="B5044" s="33"/>
      <c r="C5044" s="33"/>
      <c r="D5044" s="33"/>
      <c r="E5044" s="33"/>
      <c r="F5044" s="33"/>
      <c r="G5044" s="33"/>
      <c r="H5044" s="33"/>
      <c r="I5044" s="33"/>
      <c r="J5044" s="33"/>
      <c r="K5044" s="33"/>
      <c r="L5044" s="33"/>
      <c r="M5044" s="33"/>
      <c r="N5044" s="33"/>
      <c r="O5044" s="33"/>
      <c r="P5044" s="33"/>
      <c r="Q5044" s="33"/>
      <c r="R5044" s="33"/>
      <c r="T5044"/>
    </row>
    <row r="5045" spans="1:20" x14ac:dyDescent="0.2">
      <c r="A5045" s="9"/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9"/>
      <c r="R5045" s="9"/>
      <c r="T5045"/>
    </row>
    <row r="5046" spans="1:20" x14ac:dyDescent="0.2">
      <c r="A5046" s="33"/>
      <c r="B5046" s="33"/>
      <c r="C5046" s="33"/>
      <c r="D5046" s="33"/>
      <c r="E5046" s="33"/>
      <c r="F5046" s="33"/>
      <c r="G5046" s="33"/>
      <c r="H5046" s="33"/>
      <c r="I5046" s="33"/>
      <c r="J5046" s="33"/>
      <c r="K5046" s="33"/>
      <c r="L5046" s="33"/>
      <c r="M5046" s="33"/>
      <c r="N5046" s="33"/>
      <c r="O5046" s="33"/>
      <c r="P5046" s="33"/>
      <c r="Q5046" s="33"/>
      <c r="R5046" s="33"/>
      <c r="T5046"/>
    </row>
    <row r="5047" spans="1:20" x14ac:dyDescent="0.2">
      <c r="A5047" s="9"/>
      <c r="B5047" s="9"/>
      <c r="C5047" s="9"/>
      <c r="D5047" s="9"/>
      <c r="E5047" s="9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T5047"/>
    </row>
    <row r="5048" spans="1:20" x14ac:dyDescent="0.2">
      <c r="A5048" s="33"/>
      <c r="B5048" s="33"/>
      <c r="C5048" s="33"/>
      <c r="D5048" s="33"/>
      <c r="E5048" s="33"/>
      <c r="F5048" s="33"/>
      <c r="G5048" s="33"/>
      <c r="H5048" s="33"/>
      <c r="I5048" s="33"/>
      <c r="J5048" s="33"/>
      <c r="K5048" s="33"/>
      <c r="L5048" s="33"/>
      <c r="M5048" s="33"/>
      <c r="N5048" s="33"/>
      <c r="O5048" s="33"/>
      <c r="P5048" s="33"/>
      <c r="Q5048" s="33"/>
      <c r="R5048" s="33"/>
      <c r="T5048"/>
    </row>
    <row r="5049" spans="1:20" x14ac:dyDescent="0.2">
      <c r="A5049" s="9"/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T5049"/>
    </row>
    <row r="5050" spans="1:20" x14ac:dyDescent="0.2">
      <c r="A5050" s="33"/>
      <c r="B5050" s="33"/>
      <c r="C5050" s="33"/>
      <c r="D5050" s="33"/>
      <c r="E5050" s="33"/>
      <c r="F5050" s="33"/>
      <c r="G5050" s="33"/>
      <c r="H5050" s="33"/>
      <c r="I5050" s="33"/>
      <c r="J5050" s="33"/>
      <c r="K5050" s="33"/>
      <c r="L5050" s="33"/>
      <c r="M5050" s="33"/>
      <c r="N5050" s="33"/>
      <c r="O5050" s="33"/>
      <c r="P5050" s="33"/>
      <c r="Q5050" s="33"/>
      <c r="R5050" s="33"/>
      <c r="T5050"/>
    </row>
    <row r="5051" spans="1:20" x14ac:dyDescent="0.2">
      <c r="A5051" s="9"/>
      <c r="B5051" s="9"/>
      <c r="C5051" s="9"/>
      <c r="D5051" s="9"/>
      <c r="E5051" s="9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T5051"/>
    </row>
    <row r="5052" spans="1:20" x14ac:dyDescent="0.2">
      <c r="A5052" s="33"/>
      <c r="B5052" s="33"/>
      <c r="C5052" s="33"/>
      <c r="D5052" s="33"/>
      <c r="E5052" s="33"/>
      <c r="F5052" s="33"/>
      <c r="G5052" s="33"/>
      <c r="H5052" s="33"/>
      <c r="I5052" s="33"/>
      <c r="J5052" s="33"/>
      <c r="K5052" s="33"/>
      <c r="L5052" s="33"/>
      <c r="M5052" s="33"/>
      <c r="N5052" s="33"/>
      <c r="O5052" s="33"/>
      <c r="P5052" s="33"/>
      <c r="Q5052" s="33"/>
      <c r="R5052" s="33"/>
      <c r="T5052"/>
    </row>
    <row r="5053" spans="1:20" x14ac:dyDescent="0.2">
      <c r="A5053" s="9"/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9"/>
      <c r="R5053" s="9"/>
      <c r="T5053"/>
    </row>
    <row r="5054" spans="1:20" x14ac:dyDescent="0.2">
      <c r="A5054" s="33"/>
      <c r="B5054" s="33"/>
      <c r="C5054" s="33"/>
      <c r="D5054" s="33"/>
      <c r="E5054" s="33"/>
      <c r="F5054" s="33"/>
      <c r="G5054" s="33"/>
      <c r="H5054" s="33"/>
      <c r="I5054" s="33"/>
      <c r="J5054" s="33"/>
      <c r="K5054" s="33"/>
      <c r="L5054" s="33"/>
      <c r="M5054" s="33"/>
      <c r="N5054" s="33"/>
      <c r="O5054" s="33"/>
      <c r="P5054" s="33"/>
      <c r="Q5054" s="33"/>
      <c r="R5054" s="33"/>
      <c r="T5054"/>
    </row>
    <row r="5055" spans="1:20" x14ac:dyDescent="0.2">
      <c r="A5055" s="9"/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T5055"/>
    </row>
    <row r="5056" spans="1:20" x14ac:dyDescent="0.2">
      <c r="A5056" s="33"/>
      <c r="B5056" s="33"/>
      <c r="C5056" s="33"/>
      <c r="D5056" s="33"/>
      <c r="E5056" s="33"/>
      <c r="F5056" s="33"/>
      <c r="G5056" s="33"/>
      <c r="H5056" s="33"/>
      <c r="I5056" s="33"/>
      <c r="J5056" s="33"/>
      <c r="K5056" s="33"/>
      <c r="L5056" s="33"/>
      <c r="M5056" s="33"/>
      <c r="N5056" s="33"/>
      <c r="O5056" s="33"/>
      <c r="P5056" s="33"/>
      <c r="Q5056" s="33"/>
      <c r="R5056" s="33"/>
      <c r="T5056"/>
    </row>
    <row r="5057" spans="1:20" x14ac:dyDescent="0.2">
      <c r="A5057" s="9"/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9"/>
      <c r="R5057" s="9"/>
      <c r="T5057"/>
    </row>
    <row r="5058" spans="1:20" x14ac:dyDescent="0.2">
      <c r="A5058" s="33"/>
      <c r="B5058" s="33"/>
      <c r="C5058" s="33"/>
      <c r="D5058" s="33"/>
      <c r="E5058" s="33"/>
      <c r="F5058" s="33"/>
      <c r="G5058" s="33"/>
      <c r="H5058" s="33"/>
      <c r="I5058" s="33"/>
      <c r="J5058" s="33"/>
      <c r="K5058" s="33"/>
      <c r="L5058" s="33"/>
      <c r="M5058" s="33"/>
      <c r="N5058" s="33"/>
      <c r="O5058" s="33"/>
      <c r="P5058" s="33"/>
      <c r="Q5058" s="33"/>
      <c r="R5058" s="33"/>
      <c r="T5058"/>
    </row>
    <row r="5059" spans="1:20" x14ac:dyDescent="0.2">
      <c r="A5059" s="9"/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9"/>
      <c r="R5059" s="9"/>
      <c r="T5059"/>
    </row>
    <row r="5060" spans="1:20" x14ac:dyDescent="0.2">
      <c r="A5060" s="33"/>
      <c r="B5060" s="33"/>
      <c r="C5060" s="33"/>
      <c r="D5060" s="33"/>
      <c r="E5060" s="33"/>
      <c r="F5060" s="33"/>
      <c r="G5060" s="33"/>
      <c r="H5060" s="33"/>
      <c r="I5060" s="33"/>
      <c r="J5060" s="33"/>
      <c r="K5060" s="33"/>
      <c r="L5060" s="33"/>
      <c r="M5060" s="33"/>
      <c r="N5060" s="33"/>
      <c r="O5060" s="33"/>
      <c r="P5060" s="33"/>
      <c r="Q5060" s="33"/>
      <c r="R5060" s="33"/>
      <c r="T5060"/>
    </row>
    <row r="5061" spans="1:20" x14ac:dyDescent="0.2">
      <c r="A5061" s="9"/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9"/>
      <c r="R5061" s="9"/>
      <c r="T5061"/>
    </row>
    <row r="5062" spans="1:20" x14ac:dyDescent="0.2">
      <c r="A5062" s="33"/>
      <c r="B5062" s="33"/>
      <c r="C5062" s="33"/>
      <c r="D5062" s="33"/>
      <c r="E5062" s="33"/>
      <c r="F5062" s="33"/>
      <c r="G5062" s="33"/>
      <c r="H5062" s="33"/>
      <c r="I5062" s="33"/>
      <c r="J5062" s="33"/>
      <c r="K5062" s="33"/>
      <c r="L5062" s="33"/>
      <c r="M5062" s="33"/>
      <c r="N5062" s="33"/>
      <c r="O5062" s="33"/>
      <c r="P5062" s="33"/>
      <c r="Q5062" s="33"/>
      <c r="R5062" s="33"/>
      <c r="T5062"/>
    </row>
    <row r="5063" spans="1:20" x14ac:dyDescent="0.2">
      <c r="A5063" s="9"/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9"/>
      <c r="R5063" s="9"/>
      <c r="T5063"/>
    </row>
    <row r="5064" spans="1:20" x14ac:dyDescent="0.2">
      <c r="A5064" s="33"/>
      <c r="B5064" s="33"/>
      <c r="C5064" s="33"/>
      <c r="D5064" s="33"/>
      <c r="E5064" s="33"/>
      <c r="F5064" s="33"/>
      <c r="G5064" s="33"/>
      <c r="H5064" s="33"/>
      <c r="I5064" s="33"/>
      <c r="J5064" s="33"/>
      <c r="K5064" s="33"/>
      <c r="L5064" s="33"/>
      <c r="M5064" s="33"/>
      <c r="N5064" s="33"/>
      <c r="O5064" s="33"/>
      <c r="P5064" s="33"/>
      <c r="Q5064" s="33"/>
      <c r="R5064" s="33"/>
      <c r="T5064"/>
    </row>
    <row r="5065" spans="1:20" x14ac:dyDescent="0.2">
      <c r="A5065" s="9"/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T5065"/>
    </row>
    <row r="5066" spans="1:20" x14ac:dyDescent="0.2">
      <c r="A5066" s="33"/>
      <c r="B5066" s="33"/>
      <c r="C5066" s="33"/>
      <c r="D5066" s="33"/>
      <c r="E5066" s="33"/>
      <c r="F5066" s="33"/>
      <c r="G5066" s="33"/>
      <c r="H5066" s="33"/>
      <c r="I5066" s="33"/>
      <c r="J5066" s="33"/>
      <c r="K5066" s="33"/>
      <c r="L5066" s="33"/>
      <c r="M5066" s="33"/>
      <c r="N5066" s="33"/>
      <c r="O5066" s="33"/>
      <c r="P5066" s="33"/>
      <c r="Q5066" s="33"/>
      <c r="R5066" s="33"/>
      <c r="T5066"/>
    </row>
    <row r="5067" spans="1:20" x14ac:dyDescent="0.2">
      <c r="A5067" s="9"/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T5067"/>
    </row>
    <row r="5068" spans="1:20" x14ac:dyDescent="0.2">
      <c r="A5068" s="33"/>
      <c r="B5068" s="33"/>
      <c r="C5068" s="33"/>
      <c r="D5068" s="33"/>
      <c r="E5068" s="33"/>
      <c r="F5068" s="33"/>
      <c r="G5068" s="33"/>
      <c r="H5068" s="33"/>
      <c r="I5068" s="33"/>
      <c r="J5068" s="33"/>
      <c r="K5068" s="33"/>
      <c r="L5068" s="33"/>
      <c r="M5068" s="33"/>
      <c r="N5068" s="33"/>
      <c r="O5068" s="33"/>
      <c r="P5068" s="33"/>
      <c r="Q5068" s="33"/>
      <c r="R5068" s="33"/>
      <c r="T5068"/>
    </row>
    <row r="5069" spans="1:20" x14ac:dyDescent="0.2">
      <c r="A5069" s="9"/>
      <c r="B5069" s="9"/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9"/>
      <c r="R5069" s="9"/>
      <c r="T5069"/>
    </row>
    <row r="5070" spans="1:20" x14ac:dyDescent="0.2">
      <c r="A5070" s="33"/>
      <c r="B5070" s="33"/>
      <c r="C5070" s="33"/>
      <c r="D5070" s="33"/>
      <c r="E5070" s="33"/>
      <c r="F5070" s="33"/>
      <c r="G5070" s="33"/>
      <c r="H5070" s="33"/>
      <c r="I5070" s="33"/>
      <c r="J5070" s="33"/>
      <c r="K5070" s="33"/>
      <c r="L5070" s="33"/>
      <c r="M5070" s="33"/>
      <c r="N5070" s="33"/>
      <c r="O5070" s="33"/>
      <c r="P5070" s="33"/>
      <c r="Q5070" s="33"/>
      <c r="R5070" s="33"/>
      <c r="T5070"/>
    </row>
    <row r="5071" spans="1:20" x14ac:dyDescent="0.2">
      <c r="A5071" s="9"/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9"/>
      <c r="R5071" s="9"/>
      <c r="T5071"/>
    </row>
    <row r="5072" spans="1:20" x14ac:dyDescent="0.2">
      <c r="A5072" s="33"/>
      <c r="B5072" s="33"/>
      <c r="C5072" s="33"/>
      <c r="D5072" s="33"/>
      <c r="E5072" s="33"/>
      <c r="F5072" s="33"/>
      <c r="G5072" s="33"/>
      <c r="H5072" s="33"/>
      <c r="I5072" s="33"/>
      <c r="J5072" s="33"/>
      <c r="K5072" s="33"/>
      <c r="L5072" s="33"/>
      <c r="M5072" s="33"/>
      <c r="N5072" s="33"/>
      <c r="O5072" s="33"/>
      <c r="P5072" s="33"/>
      <c r="Q5072" s="33"/>
      <c r="R5072" s="33"/>
      <c r="T5072"/>
    </row>
    <row r="5073" spans="1:20" x14ac:dyDescent="0.2">
      <c r="A5073" s="9"/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9"/>
      <c r="R5073" s="9"/>
      <c r="T5073"/>
    </row>
    <row r="5074" spans="1:20" x14ac:dyDescent="0.2">
      <c r="A5074" s="33"/>
      <c r="B5074" s="33"/>
      <c r="C5074" s="33"/>
      <c r="D5074" s="33"/>
      <c r="E5074" s="33"/>
      <c r="F5074" s="33"/>
      <c r="G5074" s="33"/>
      <c r="H5074" s="33"/>
      <c r="I5074" s="33"/>
      <c r="J5074" s="33"/>
      <c r="K5074" s="33"/>
      <c r="L5074" s="33"/>
      <c r="M5074" s="33"/>
      <c r="N5074" s="33"/>
      <c r="O5074" s="33"/>
      <c r="P5074" s="33"/>
      <c r="Q5074" s="33"/>
      <c r="R5074" s="33"/>
      <c r="T5074"/>
    </row>
    <row r="5075" spans="1:20" x14ac:dyDescent="0.2">
      <c r="A5075" s="9"/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9"/>
      <c r="R5075" s="9"/>
      <c r="T5075"/>
    </row>
    <row r="5076" spans="1:20" x14ac:dyDescent="0.2">
      <c r="A5076" s="33"/>
      <c r="B5076" s="33"/>
      <c r="C5076" s="33"/>
      <c r="D5076" s="33"/>
      <c r="E5076" s="33"/>
      <c r="F5076" s="33"/>
      <c r="G5076" s="33"/>
      <c r="H5076" s="33"/>
      <c r="I5076" s="33"/>
      <c r="J5076" s="33"/>
      <c r="K5076" s="33"/>
      <c r="L5076" s="33"/>
      <c r="M5076" s="33"/>
      <c r="N5076" s="33"/>
      <c r="O5076" s="33"/>
      <c r="P5076" s="33"/>
      <c r="Q5076" s="33"/>
      <c r="R5076" s="33"/>
      <c r="T5076"/>
    </row>
    <row r="5077" spans="1:20" x14ac:dyDescent="0.2">
      <c r="A5077" s="9"/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T5077"/>
    </row>
    <row r="5078" spans="1:20" x14ac:dyDescent="0.2">
      <c r="A5078" s="33"/>
      <c r="B5078" s="33"/>
      <c r="C5078" s="33"/>
      <c r="D5078" s="33"/>
      <c r="E5078" s="33"/>
      <c r="F5078" s="33"/>
      <c r="G5078" s="33"/>
      <c r="H5078" s="33"/>
      <c r="I5078" s="33"/>
      <c r="J5078" s="33"/>
      <c r="K5078" s="33"/>
      <c r="L5078" s="33"/>
      <c r="M5078" s="33"/>
      <c r="N5078" s="33"/>
      <c r="O5078" s="33"/>
      <c r="P5078" s="33"/>
      <c r="Q5078" s="33"/>
      <c r="R5078" s="33"/>
      <c r="T5078"/>
    </row>
    <row r="5079" spans="1:20" x14ac:dyDescent="0.2">
      <c r="A5079" s="9"/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9"/>
      <c r="R5079" s="9"/>
      <c r="T5079"/>
    </row>
    <row r="5080" spans="1:20" x14ac:dyDescent="0.2">
      <c r="A5080" s="33"/>
      <c r="B5080" s="33"/>
      <c r="C5080" s="33"/>
      <c r="D5080" s="33"/>
      <c r="E5080" s="33"/>
      <c r="F5080" s="33"/>
      <c r="G5080" s="33"/>
      <c r="H5080" s="33"/>
      <c r="I5080" s="33"/>
      <c r="J5080" s="33"/>
      <c r="K5080" s="33"/>
      <c r="L5080" s="33"/>
      <c r="M5080" s="33"/>
      <c r="N5080" s="33"/>
      <c r="O5080" s="33"/>
      <c r="P5080" s="33"/>
      <c r="Q5080" s="33"/>
      <c r="R5080" s="33"/>
      <c r="T5080"/>
    </row>
    <row r="5081" spans="1:20" x14ac:dyDescent="0.2">
      <c r="A5081" s="9"/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T5081"/>
    </row>
    <row r="5082" spans="1:20" x14ac:dyDescent="0.2">
      <c r="A5082" s="33"/>
      <c r="B5082" s="33"/>
      <c r="C5082" s="33"/>
      <c r="D5082" s="33"/>
      <c r="E5082" s="33"/>
      <c r="F5082" s="33"/>
      <c r="G5082" s="33"/>
      <c r="H5082" s="33"/>
      <c r="I5082" s="33"/>
      <c r="J5082" s="33"/>
      <c r="K5082" s="33"/>
      <c r="L5082" s="33"/>
      <c r="M5082" s="33"/>
      <c r="N5082" s="33"/>
      <c r="O5082" s="33"/>
      <c r="P5082" s="33"/>
      <c r="Q5082" s="33"/>
      <c r="R5082" s="33"/>
      <c r="T5082"/>
    </row>
    <row r="5083" spans="1:20" x14ac:dyDescent="0.2">
      <c r="A5083" s="9"/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T5083"/>
    </row>
    <row r="5084" spans="1:20" x14ac:dyDescent="0.2">
      <c r="A5084" s="33"/>
      <c r="B5084" s="33"/>
      <c r="C5084" s="33"/>
      <c r="D5084" s="33"/>
      <c r="E5084" s="33"/>
      <c r="F5084" s="33"/>
      <c r="G5084" s="33"/>
      <c r="H5084" s="33"/>
      <c r="I5084" s="33"/>
      <c r="J5084" s="33"/>
      <c r="K5084" s="33"/>
      <c r="L5084" s="33"/>
      <c r="M5084" s="33"/>
      <c r="N5084" s="33"/>
      <c r="O5084" s="33"/>
      <c r="P5084" s="33"/>
      <c r="Q5084" s="33"/>
      <c r="R5084" s="33"/>
      <c r="T5084"/>
    </row>
    <row r="5085" spans="1:20" x14ac:dyDescent="0.2">
      <c r="A5085" s="9"/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T5085"/>
    </row>
    <row r="5086" spans="1:20" x14ac:dyDescent="0.2">
      <c r="A5086" s="33"/>
      <c r="B5086" s="33"/>
      <c r="C5086" s="33"/>
      <c r="D5086" s="33"/>
      <c r="E5086" s="33"/>
      <c r="F5086" s="33"/>
      <c r="G5086" s="33"/>
      <c r="H5086" s="33"/>
      <c r="I5086" s="33"/>
      <c r="J5086" s="33"/>
      <c r="K5086" s="33"/>
      <c r="L5086" s="33"/>
      <c r="M5086" s="33"/>
      <c r="N5086" s="33"/>
      <c r="O5086" s="33"/>
      <c r="P5086" s="33"/>
      <c r="Q5086" s="33"/>
      <c r="R5086" s="33"/>
      <c r="T5086"/>
    </row>
    <row r="5087" spans="1:20" x14ac:dyDescent="0.2">
      <c r="A5087" s="9"/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T5087"/>
    </row>
    <row r="5088" spans="1:20" x14ac:dyDescent="0.2">
      <c r="A5088" s="33"/>
      <c r="B5088" s="33"/>
      <c r="C5088" s="33"/>
      <c r="D5088" s="33"/>
      <c r="E5088" s="33"/>
      <c r="F5088" s="33"/>
      <c r="G5088" s="33"/>
      <c r="H5088" s="33"/>
      <c r="I5088" s="33"/>
      <c r="J5088" s="33"/>
      <c r="K5088" s="33"/>
      <c r="L5088" s="33"/>
      <c r="M5088" s="33"/>
      <c r="N5088" s="33"/>
      <c r="O5088" s="33"/>
      <c r="P5088" s="33"/>
      <c r="Q5088" s="33"/>
      <c r="R5088" s="33"/>
      <c r="T5088"/>
    </row>
    <row r="5089" spans="1:20" x14ac:dyDescent="0.2">
      <c r="A5089" s="9"/>
      <c r="B5089" s="9"/>
      <c r="C5089" s="9"/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9"/>
      <c r="R5089" s="9"/>
      <c r="T5089"/>
    </row>
    <row r="5090" spans="1:20" x14ac:dyDescent="0.2">
      <c r="A5090" s="33"/>
      <c r="B5090" s="33"/>
      <c r="C5090" s="33"/>
      <c r="D5090" s="33"/>
      <c r="E5090" s="33"/>
      <c r="F5090" s="33"/>
      <c r="G5090" s="33"/>
      <c r="H5090" s="33"/>
      <c r="I5090" s="33"/>
      <c r="J5090" s="33"/>
      <c r="K5090" s="33"/>
      <c r="L5090" s="33"/>
      <c r="M5090" s="33"/>
      <c r="N5090" s="33"/>
      <c r="O5090" s="33"/>
      <c r="P5090" s="33"/>
      <c r="Q5090" s="33"/>
      <c r="R5090" s="33"/>
      <c r="T5090"/>
    </row>
    <row r="5091" spans="1:20" x14ac:dyDescent="0.2">
      <c r="A5091" s="9"/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9"/>
      <c r="R5091" s="9"/>
      <c r="T5091"/>
    </row>
    <row r="5092" spans="1:20" x14ac:dyDescent="0.2">
      <c r="A5092" s="33"/>
      <c r="B5092" s="33"/>
      <c r="C5092" s="33"/>
      <c r="D5092" s="33"/>
      <c r="E5092" s="33"/>
      <c r="F5092" s="33"/>
      <c r="G5092" s="33"/>
      <c r="H5092" s="33"/>
      <c r="I5092" s="33"/>
      <c r="J5092" s="33"/>
      <c r="K5092" s="33"/>
      <c r="L5092" s="33"/>
      <c r="M5092" s="33"/>
      <c r="N5092" s="33"/>
      <c r="O5092" s="33"/>
      <c r="P5092" s="33"/>
      <c r="Q5092" s="33"/>
      <c r="R5092" s="33"/>
      <c r="T5092"/>
    </row>
    <row r="5093" spans="1:20" x14ac:dyDescent="0.2">
      <c r="A5093" s="9"/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9"/>
      <c r="R5093" s="9"/>
      <c r="T5093"/>
    </row>
    <row r="5094" spans="1:20" x14ac:dyDescent="0.2">
      <c r="A5094" s="33"/>
      <c r="B5094" s="33"/>
      <c r="C5094" s="33"/>
      <c r="D5094" s="33"/>
      <c r="E5094" s="33"/>
      <c r="F5094" s="33"/>
      <c r="G5094" s="33"/>
      <c r="H5094" s="33"/>
      <c r="I5094" s="33"/>
      <c r="J5094" s="33"/>
      <c r="K5094" s="33"/>
      <c r="L5094" s="33"/>
      <c r="M5094" s="33"/>
      <c r="N5094" s="33"/>
      <c r="O5094" s="33"/>
      <c r="P5094" s="33"/>
      <c r="Q5094" s="33"/>
      <c r="R5094" s="33"/>
      <c r="T5094"/>
    </row>
    <row r="5095" spans="1:20" x14ac:dyDescent="0.2">
      <c r="A5095" s="9"/>
      <c r="B5095" s="9"/>
      <c r="C5095" s="9"/>
      <c r="D5095" s="9"/>
      <c r="E5095" s="9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9"/>
      <c r="R5095" s="9"/>
      <c r="T5095"/>
    </row>
    <row r="5096" spans="1:20" x14ac:dyDescent="0.2">
      <c r="A5096" s="33"/>
      <c r="B5096" s="33"/>
      <c r="C5096" s="33"/>
      <c r="D5096" s="33"/>
      <c r="E5096" s="33"/>
      <c r="F5096" s="33"/>
      <c r="G5096" s="33"/>
      <c r="H5096" s="33"/>
      <c r="I5096" s="33"/>
      <c r="J5096" s="33"/>
      <c r="K5096" s="33"/>
      <c r="L5096" s="33"/>
      <c r="M5096" s="33"/>
      <c r="N5096" s="33"/>
      <c r="O5096" s="33"/>
      <c r="P5096" s="33"/>
      <c r="Q5096" s="33"/>
      <c r="R5096" s="33"/>
      <c r="T5096"/>
    </row>
    <row r="5097" spans="1:20" x14ac:dyDescent="0.2">
      <c r="A5097" s="9"/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9"/>
      <c r="R5097" s="9"/>
      <c r="T5097"/>
    </row>
    <row r="5098" spans="1:20" x14ac:dyDescent="0.2">
      <c r="A5098" s="33"/>
      <c r="B5098" s="33"/>
      <c r="C5098" s="33"/>
      <c r="D5098" s="33"/>
      <c r="E5098" s="33"/>
      <c r="F5098" s="33"/>
      <c r="G5098" s="33"/>
      <c r="H5098" s="33"/>
      <c r="I5098" s="33"/>
      <c r="J5098" s="33"/>
      <c r="K5098" s="33"/>
      <c r="L5098" s="33"/>
      <c r="M5098" s="33"/>
      <c r="N5098" s="33"/>
      <c r="O5098" s="33"/>
      <c r="P5098" s="33"/>
      <c r="Q5098" s="33"/>
      <c r="R5098" s="33"/>
      <c r="T5098"/>
    </row>
    <row r="5099" spans="1:20" x14ac:dyDescent="0.2">
      <c r="A5099" s="9"/>
      <c r="B5099" s="9"/>
      <c r="C5099" s="9"/>
      <c r="D5099" s="9"/>
      <c r="E5099" s="9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9"/>
      <c r="R5099" s="9"/>
      <c r="T5099"/>
    </row>
    <row r="5100" spans="1:20" x14ac:dyDescent="0.2">
      <c r="A5100" s="33"/>
      <c r="B5100" s="33"/>
      <c r="C5100" s="33"/>
      <c r="D5100" s="33"/>
      <c r="E5100" s="33"/>
      <c r="F5100" s="33"/>
      <c r="G5100" s="33"/>
      <c r="H5100" s="33"/>
      <c r="I5100" s="33"/>
      <c r="J5100" s="33"/>
      <c r="K5100" s="33"/>
      <c r="L5100" s="33"/>
      <c r="M5100" s="33"/>
      <c r="N5100" s="33"/>
      <c r="O5100" s="33"/>
      <c r="P5100" s="33"/>
      <c r="Q5100" s="33"/>
      <c r="R5100" s="33"/>
      <c r="T5100"/>
    </row>
    <row r="5101" spans="1:20" x14ac:dyDescent="0.2">
      <c r="A5101" s="9"/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T5101"/>
    </row>
    <row r="5102" spans="1:20" x14ac:dyDescent="0.2">
      <c r="A5102" s="33"/>
      <c r="B5102" s="33"/>
      <c r="C5102" s="33"/>
      <c r="D5102" s="33"/>
      <c r="E5102" s="33"/>
      <c r="F5102" s="33"/>
      <c r="G5102" s="33"/>
      <c r="H5102" s="33"/>
      <c r="I5102" s="33"/>
      <c r="J5102" s="33"/>
      <c r="K5102" s="33"/>
      <c r="L5102" s="33"/>
      <c r="M5102" s="33"/>
      <c r="N5102" s="33"/>
      <c r="O5102" s="33"/>
      <c r="P5102" s="33"/>
      <c r="Q5102" s="33"/>
      <c r="R5102" s="33"/>
      <c r="T5102"/>
    </row>
    <row r="5103" spans="1:20" x14ac:dyDescent="0.2">
      <c r="A5103" s="9"/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9"/>
      <c r="R5103" s="9"/>
      <c r="T5103"/>
    </row>
    <row r="5104" spans="1:20" x14ac:dyDescent="0.2">
      <c r="A5104" s="33"/>
      <c r="B5104" s="33"/>
      <c r="C5104" s="33"/>
      <c r="D5104" s="33"/>
      <c r="E5104" s="33"/>
      <c r="F5104" s="33"/>
      <c r="G5104" s="33"/>
      <c r="H5104" s="33"/>
      <c r="I5104" s="33"/>
      <c r="J5104" s="33"/>
      <c r="K5104" s="33"/>
      <c r="L5104" s="33"/>
      <c r="M5104" s="33"/>
      <c r="N5104" s="33"/>
      <c r="O5104" s="33"/>
      <c r="P5104" s="33"/>
      <c r="Q5104" s="33"/>
      <c r="R5104" s="33"/>
      <c r="T5104"/>
    </row>
    <row r="5105" spans="1:20" x14ac:dyDescent="0.2">
      <c r="A5105" s="9"/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9"/>
      <c r="R5105" s="9"/>
      <c r="T5105"/>
    </row>
    <row r="5106" spans="1:20" x14ac:dyDescent="0.2">
      <c r="A5106" s="33"/>
      <c r="B5106" s="33"/>
      <c r="C5106" s="33"/>
      <c r="D5106" s="33"/>
      <c r="E5106" s="33"/>
      <c r="F5106" s="33"/>
      <c r="G5106" s="33"/>
      <c r="H5106" s="33"/>
      <c r="I5106" s="33"/>
      <c r="J5106" s="33"/>
      <c r="K5106" s="33"/>
      <c r="L5106" s="33"/>
      <c r="M5106" s="33"/>
      <c r="N5106" s="33"/>
      <c r="O5106" s="33"/>
      <c r="P5106" s="33"/>
      <c r="Q5106" s="33"/>
      <c r="R5106" s="33"/>
      <c r="T5106"/>
    </row>
    <row r="5107" spans="1:20" x14ac:dyDescent="0.2">
      <c r="A5107" s="9"/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T5107"/>
    </row>
    <row r="5108" spans="1:20" x14ac:dyDescent="0.2">
      <c r="A5108" s="33"/>
      <c r="B5108" s="33"/>
      <c r="C5108" s="33"/>
      <c r="D5108" s="33"/>
      <c r="E5108" s="33"/>
      <c r="F5108" s="33"/>
      <c r="G5108" s="33"/>
      <c r="H5108" s="33"/>
      <c r="I5108" s="33"/>
      <c r="J5108" s="33"/>
      <c r="K5108" s="33"/>
      <c r="L5108" s="33"/>
      <c r="M5108" s="33"/>
      <c r="N5108" s="33"/>
      <c r="O5108" s="33"/>
      <c r="P5108" s="33"/>
      <c r="Q5108" s="33"/>
      <c r="R5108" s="33"/>
      <c r="T5108"/>
    </row>
    <row r="5109" spans="1:20" x14ac:dyDescent="0.2">
      <c r="A5109" s="9"/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9"/>
      <c r="R5109" s="9"/>
      <c r="T5109"/>
    </row>
    <row r="5110" spans="1:20" x14ac:dyDescent="0.2">
      <c r="A5110" s="33"/>
      <c r="B5110" s="33"/>
      <c r="C5110" s="33"/>
      <c r="D5110" s="33"/>
      <c r="E5110" s="33"/>
      <c r="F5110" s="33"/>
      <c r="G5110" s="33"/>
      <c r="H5110" s="33"/>
      <c r="I5110" s="33"/>
      <c r="J5110" s="33"/>
      <c r="K5110" s="33"/>
      <c r="L5110" s="33"/>
      <c r="M5110" s="33"/>
      <c r="N5110" s="33"/>
      <c r="O5110" s="33"/>
      <c r="P5110" s="33"/>
      <c r="Q5110" s="33"/>
      <c r="R5110" s="33"/>
      <c r="T5110"/>
    </row>
    <row r="5111" spans="1:20" x14ac:dyDescent="0.2">
      <c r="A5111" s="9"/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9"/>
      <c r="R5111" s="9"/>
      <c r="T5111"/>
    </row>
    <row r="5112" spans="1:20" x14ac:dyDescent="0.2">
      <c r="A5112" s="33"/>
      <c r="B5112" s="33"/>
      <c r="C5112" s="33"/>
      <c r="D5112" s="33"/>
      <c r="E5112" s="33"/>
      <c r="F5112" s="33"/>
      <c r="G5112" s="33"/>
      <c r="H5112" s="33"/>
      <c r="I5112" s="33"/>
      <c r="J5112" s="33"/>
      <c r="K5112" s="33"/>
      <c r="L5112" s="33"/>
      <c r="M5112" s="33"/>
      <c r="N5112" s="33"/>
      <c r="O5112" s="33"/>
      <c r="P5112" s="33"/>
      <c r="Q5112" s="33"/>
      <c r="R5112" s="33"/>
      <c r="T5112"/>
    </row>
    <row r="5113" spans="1:20" x14ac:dyDescent="0.2">
      <c r="A5113" s="9"/>
      <c r="B5113" s="9"/>
      <c r="C5113" s="9"/>
      <c r="D5113" s="9"/>
      <c r="E5113" s="9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R5113" s="9"/>
      <c r="T5113"/>
    </row>
    <row r="5114" spans="1:20" x14ac:dyDescent="0.2">
      <c r="A5114" s="33"/>
      <c r="B5114" s="33"/>
      <c r="C5114" s="33"/>
      <c r="D5114" s="33"/>
      <c r="E5114" s="33"/>
      <c r="F5114" s="33"/>
      <c r="G5114" s="33"/>
      <c r="H5114" s="33"/>
      <c r="I5114" s="33"/>
      <c r="J5114" s="33"/>
      <c r="K5114" s="33"/>
      <c r="L5114" s="33"/>
      <c r="M5114" s="33"/>
      <c r="N5114" s="33"/>
      <c r="O5114" s="33"/>
      <c r="P5114" s="33"/>
      <c r="Q5114" s="33"/>
      <c r="R5114" s="33"/>
      <c r="T5114"/>
    </row>
    <row r="5115" spans="1:20" x14ac:dyDescent="0.2">
      <c r="A5115" s="9"/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9"/>
      <c r="R5115" s="9"/>
      <c r="T5115"/>
    </row>
    <row r="5116" spans="1:20" x14ac:dyDescent="0.2">
      <c r="A5116" s="33"/>
      <c r="B5116" s="33"/>
      <c r="C5116" s="33"/>
      <c r="D5116" s="33"/>
      <c r="E5116" s="33"/>
      <c r="F5116" s="33"/>
      <c r="G5116" s="33"/>
      <c r="H5116" s="33"/>
      <c r="I5116" s="33"/>
      <c r="J5116" s="33"/>
      <c r="K5116" s="33"/>
      <c r="L5116" s="33"/>
      <c r="M5116" s="33"/>
      <c r="N5116" s="33"/>
      <c r="O5116" s="33"/>
      <c r="P5116" s="33"/>
      <c r="Q5116" s="33"/>
      <c r="R5116" s="33"/>
      <c r="T5116"/>
    </row>
    <row r="5117" spans="1:20" x14ac:dyDescent="0.2">
      <c r="A5117" s="9"/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9"/>
      <c r="R5117" s="9"/>
      <c r="T5117"/>
    </row>
    <row r="5118" spans="1:20" x14ac:dyDescent="0.2">
      <c r="A5118" s="33"/>
      <c r="B5118" s="33"/>
      <c r="C5118" s="33"/>
      <c r="D5118" s="33"/>
      <c r="E5118" s="33"/>
      <c r="F5118" s="33"/>
      <c r="G5118" s="33"/>
      <c r="H5118" s="33"/>
      <c r="I5118" s="33"/>
      <c r="J5118" s="33"/>
      <c r="K5118" s="33"/>
      <c r="L5118" s="33"/>
      <c r="M5118" s="33"/>
      <c r="N5118" s="33"/>
      <c r="O5118" s="33"/>
      <c r="P5118" s="33"/>
      <c r="Q5118" s="33"/>
      <c r="R5118" s="33"/>
      <c r="T5118"/>
    </row>
    <row r="5119" spans="1:20" x14ac:dyDescent="0.2">
      <c r="A5119" s="9"/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T5119"/>
    </row>
    <row r="5120" spans="1:20" x14ac:dyDescent="0.2">
      <c r="A5120" s="33"/>
      <c r="B5120" s="33"/>
      <c r="C5120" s="33"/>
      <c r="D5120" s="33"/>
      <c r="E5120" s="33"/>
      <c r="F5120" s="33"/>
      <c r="G5120" s="33"/>
      <c r="H5120" s="33"/>
      <c r="I5120" s="33"/>
      <c r="J5120" s="33"/>
      <c r="K5120" s="33"/>
      <c r="L5120" s="33"/>
      <c r="M5120" s="33"/>
      <c r="N5120" s="33"/>
      <c r="O5120" s="33"/>
      <c r="P5120" s="33"/>
      <c r="Q5120" s="33"/>
      <c r="R5120" s="33"/>
      <c r="T5120"/>
    </row>
    <row r="5121" spans="1:20" x14ac:dyDescent="0.2">
      <c r="A5121" s="9"/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R5121" s="9"/>
      <c r="T5121"/>
    </row>
    <row r="5122" spans="1:20" x14ac:dyDescent="0.2">
      <c r="A5122" s="33"/>
      <c r="B5122" s="33"/>
      <c r="C5122" s="33"/>
      <c r="D5122" s="33"/>
      <c r="E5122" s="33"/>
      <c r="F5122" s="33"/>
      <c r="G5122" s="33"/>
      <c r="H5122" s="33"/>
      <c r="I5122" s="33"/>
      <c r="J5122" s="33"/>
      <c r="K5122" s="33"/>
      <c r="L5122" s="33"/>
      <c r="M5122" s="33"/>
      <c r="N5122" s="33"/>
      <c r="O5122" s="33"/>
      <c r="P5122" s="33"/>
      <c r="Q5122" s="33"/>
      <c r="R5122" s="33"/>
      <c r="T5122"/>
    </row>
    <row r="5123" spans="1:20" x14ac:dyDescent="0.2">
      <c r="A5123" s="9"/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R5123" s="9"/>
      <c r="T5123"/>
    </row>
    <row r="5124" spans="1:20" x14ac:dyDescent="0.2">
      <c r="A5124" s="33"/>
      <c r="B5124" s="33"/>
      <c r="C5124" s="33"/>
      <c r="D5124" s="33"/>
      <c r="E5124" s="33"/>
      <c r="F5124" s="33"/>
      <c r="G5124" s="33"/>
      <c r="H5124" s="33"/>
      <c r="I5124" s="33"/>
      <c r="J5124" s="33"/>
      <c r="K5124" s="33"/>
      <c r="L5124" s="33"/>
      <c r="M5124" s="33"/>
      <c r="N5124" s="33"/>
      <c r="O5124" s="33"/>
      <c r="P5124" s="33"/>
      <c r="Q5124" s="33"/>
      <c r="R5124" s="33"/>
      <c r="T5124"/>
    </row>
    <row r="5125" spans="1:20" x14ac:dyDescent="0.2">
      <c r="A5125" s="9"/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R5125" s="9"/>
      <c r="T5125"/>
    </row>
    <row r="5126" spans="1:20" x14ac:dyDescent="0.2">
      <c r="A5126" s="33"/>
      <c r="B5126" s="33"/>
      <c r="C5126" s="33"/>
      <c r="D5126" s="33"/>
      <c r="E5126" s="33"/>
      <c r="F5126" s="33"/>
      <c r="G5126" s="33"/>
      <c r="H5126" s="33"/>
      <c r="I5126" s="33"/>
      <c r="J5126" s="33"/>
      <c r="K5126" s="33"/>
      <c r="L5126" s="33"/>
      <c r="M5126" s="33"/>
      <c r="N5126" s="33"/>
      <c r="O5126" s="33"/>
      <c r="P5126" s="33"/>
      <c r="Q5126" s="33"/>
      <c r="R5126" s="33"/>
      <c r="T5126"/>
    </row>
    <row r="5127" spans="1:20" x14ac:dyDescent="0.2">
      <c r="A5127" s="9"/>
      <c r="B5127" s="9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R5127" s="9"/>
      <c r="T5127"/>
    </row>
    <row r="5128" spans="1:20" x14ac:dyDescent="0.2">
      <c r="A5128" s="33"/>
      <c r="B5128" s="33"/>
      <c r="C5128" s="33"/>
      <c r="D5128" s="33"/>
      <c r="E5128" s="33"/>
      <c r="F5128" s="33"/>
      <c r="G5128" s="33"/>
      <c r="H5128" s="33"/>
      <c r="I5128" s="33"/>
      <c r="J5128" s="33"/>
      <c r="K5128" s="33"/>
      <c r="L5128" s="33"/>
      <c r="M5128" s="33"/>
      <c r="N5128" s="33"/>
      <c r="O5128" s="33"/>
      <c r="P5128" s="33"/>
      <c r="Q5128" s="33"/>
      <c r="R5128" s="33"/>
      <c r="T5128"/>
    </row>
    <row r="5129" spans="1:20" x14ac:dyDescent="0.2">
      <c r="A5129" s="9"/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T5129"/>
    </row>
    <row r="5130" spans="1:20" x14ac:dyDescent="0.2">
      <c r="A5130" s="33"/>
      <c r="B5130" s="33"/>
      <c r="C5130" s="33"/>
      <c r="D5130" s="33"/>
      <c r="E5130" s="33"/>
      <c r="F5130" s="33"/>
      <c r="G5130" s="33"/>
      <c r="H5130" s="33"/>
      <c r="I5130" s="33"/>
      <c r="J5130" s="33"/>
      <c r="K5130" s="33"/>
      <c r="L5130" s="33"/>
      <c r="M5130" s="33"/>
      <c r="N5130" s="33"/>
      <c r="O5130" s="33"/>
      <c r="P5130" s="33"/>
      <c r="Q5130" s="33"/>
      <c r="R5130" s="33"/>
      <c r="T5130"/>
    </row>
    <row r="5131" spans="1:20" x14ac:dyDescent="0.2">
      <c r="A5131" s="9"/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9"/>
      <c r="R5131" s="9"/>
      <c r="T5131"/>
    </row>
    <row r="5132" spans="1:20" x14ac:dyDescent="0.2">
      <c r="A5132" s="33"/>
      <c r="B5132" s="33"/>
      <c r="C5132" s="33"/>
      <c r="D5132" s="33"/>
      <c r="E5132" s="33"/>
      <c r="F5132" s="33"/>
      <c r="G5132" s="33"/>
      <c r="H5132" s="33"/>
      <c r="I5132" s="33"/>
      <c r="J5132" s="33"/>
      <c r="K5132" s="33"/>
      <c r="L5132" s="33"/>
      <c r="M5132" s="33"/>
      <c r="N5132" s="33"/>
      <c r="O5132" s="33"/>
      <c r="P5132" s="33"/>
      <c r="Q5132" s="33"/>
      <c r="R5132" s="33"/>
      <c r="T5132"/>
    </row>
    <row r="5133" spans="1:20" x14ac:dyDescent="0.2">
      <c r="A5133" s="9"/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T5133"/>
    </row>
    <row r="5134" spans="1:20" x14ac:dyDescent="0.2">
      <c r="A5134" s="33"/>
      <c r="B5134" s="33"/>
      <c r="C5134" s="33"/>
      <c r="D5134" s="33"/>
      <c r="E5134" s="33"/>
      <c r="F5134" s="33"/>
      <c r="G5134" s="33"/>
      <c r="H5134" s="33"/>
      <c r="I5134" s="33"/>
      <c r="J5134" s="33"/>
      <c r="K5134" s="33"/>
      <c r="L5134" s="33"/>
      <c r="M5134" s="33"/>
      <c r="N5134" s="33"/>
      <c r="O5134" s="33"/>
      <c r="P5134" s="33"/>
      <c r="Q5134" s="33"/>
      <c r="R5134" s="33"/>
      <c r="T5134"/>
    </row>
    <row r="5135" spans="1:20" x14ac:dyDescent="0.2">
      <c r="A5135" s="9"/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9"/>
      <c r="R5135" s="9"/>
      <c r="T5135"/>
    </row>
    <row r="5136" spans="1:20" x14ac:dyDescent="0.2">
      <c r="A5136" s="33"/>
      <c r="B5136" s="33"/>
      <c r="C5136" s="33"/>
      <c r="D5136" s="33"/>
      <c r="E5136" s="33"/>
      <c r="F5136" s="33"/>
      <c r="G5136" s="33"/>
      <c r="H5136" s="33"/>
      <c r="I5136" s="33"/>
      <c r="J5136" s="33"/>
      <c r="K5136" s="33"/>
      <c r="L5136" s="33"/>
      <c r="M5136" s="33"/>
      <c r="N5136" s="33"/>
      <c r="O5136" s="33"/>
      <c r="P5136" s="33"/>
      <c r="Q5136" s="33"/>
      <c r="R5136" s="33"/>
      <c r="T5136"/>
    </row>
    <row r="5137" spans="1:20" x14ac:dyDescent="0.2">
      <c r="A5137" s="9"/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9"/>
      <c r="R5137" s="9"/>
      <c r="T5137"/>
    </row>
    <row r="5138" spans="1:20" x14ac:dyDescent="0.2">
      <c r="A5138" s="33"/>
      <c r="B5138" s="33"/>
      <c r="C5138" s="33"/>
      <c r="D5138" s="33"/>
      <c r="E5138" s="33"/>
      <c r="F5138" s="33"/>
      <c r="G5138" s="33"/>
      <c r="H5138" s="33"/>
      <c r="I5138" s="33"/>
      <c r="J5138" s="33"/>
      <c r="K5138" s="33"/>
      <c r="L5138" s="33"/>
      <c r="M5138" s="33"/>
      <c r="N5138" s="33"/>
      <c r="O5138" s="33"/>
      <c r="P5138" s="33"/>
      <c r="Q5138" s="33"/>
      <c r="R5138" s="33"/>
      <c r="T5138"/>
    </row>
    <row r="5139" spans="1:20" x14ac:dyDescent="0.2">
      <c r="A5139" s="9"/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9"/>
      <c r="R5139" s="9"/>
      <c r="T5139"/>
    </row>
    <row r="5140" spans="1:20" x14ac:dyDescent="0.2">
      <c r="A5140" s="33"/>
      <c r="B5140" s="33"/>
      <c r="C5140" s="33"/>
      <c r="D5140" s="33"/>
      <c r="E5140" s="33"/>
      <c r="F5140" s="33"/>
      <c r="G5140" s="33"/>
      <c r="H5140" s="33"/>
      <c r="I5140" s="33"/>
      <c r="J5140" s="33"/>
      <c r="K5140" s="33"/>
      <c r="L5140" s="33"/>
      <c r="M5140" s="33"/>
      <c r="N5140" s="33"/>
      <c r="O5140" s="33"/>
      <c r="P5140" s="33"/>
      <c r="Q5140" s="33"/>
      <c r="R5140" s="33"/>
      <c r="T5140"/>
    </row>
    <row r="5141" spans="1:20" x14ac:dyDescent="0.2">
      <c r="A5141" s="9"/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T5141"/>
    </row>
    <row r="5142" spans="1:20" x14ac:dyDescent="0.2">
      <c r="A5142" s="33"/>
      <c r="B5142" s="33"/>
      <c r="C5142" s="33"/>
      <c r="D5142" s="33"/>
      <c r="E5142" s="33"/>
      <c r="F5142" s="33"/>
      <c r="G5142" s="33"/>
      <c r="H5142" s="33"/>
      <c r="I5142" s="33"/>
      <c r="J5142" s="33"/>
      <c r="K5142" s="33"/>
      <c r="L5142" s="33"/>
      <c r="M5142" s="33"/>
      <c r="N5142" s="33"/>
      <c r="O5142" s="33"/>
      <c r="P5142" s="33"/>
      <c r="Q5142" s="33"/>
      <c r="R5142" s="33"/>
      <c r="T5142"/>
    </row>
    <row r="5143" spans="1:20" x14ac:dyDescent="0.2">
      <c r="A5143" s="9"/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T5143"/>
    </row>
    <row r="5144" spans="1:20" x14ac:dyDescent="0.2">
      <c r="A5144" s="33"/>
      <c r="B5144" s="33"/>
      <c r="C5144" s="33"/>
      <c r="D5144" s="33"/>
      <c r="E5144" s="33"/>
      <c r="F5144" s="33"/>
      <c r="G5144" s="33"/>
      <c r="H5144" s="33"/>
      <c r="I5144" s="33"/>
      <c r="J5144" s="33"/>
      <c r="K5144" s="33"/>
      <c r="L5144" s="33"/>
      <c r="M5144" s="33"/>
      <c r="N5144" s="33"/>
      <c r="O5144" s="33"/>
      <c r="P5144" s="33"/>
      <c r="Q5144" s="33"/>
      <c r="R5144" s="33"/>
      <c r="T5144"/>
    </row>
    <row r="5145" spans="1:20" x14ac:dyDescent="0.2">
      <c r="A5145" s="9"/>
      <c r="B5145" s="9"/>
      <c r="C5145" s="9"/>
      <c r="D5145" s="9"/>
      <c r="E5145" s="9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9"/>
      <c r="R5145" s="9"/>
      <c r="T5145"/>
    </row>
    <row r="5146" spans="1:20" x14ac:dyDescent="0.2">
      <c r="A5146" s="33"/>
      <c r="B5146" s="33"/>
      <c r="C5146" s="33"/>
      <c r="D5146" s="33"/>
      <c r="E5146" s="33"/>
      <c r="F5146" s="33"/>
      <c r="G5146" s="33"/>
      <c r="H5146" s="33"/>
      <c r="I5146" s="33"/>
      <c r="J5146" s="33"/>
      <c r="K5146" s="33"/>
      <c r="L5146" s="33"/>
      <c r="M5146" s="33"/>
      <c r="N5146" s="33"/>
      <c r="O5146" s="33"/>
      <c r="P5146" s="33"/>
      <c r="Q5146" s="33"/>
      <c r="R5146" s="33"/>
      <c r="T5146"/>
    </row>
    <row r="5147" spans="1:20" x14ac:dyDescent="0.2">
      <c r="A5147" s="9"/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9"/>
      <c r="R5147" s="9"/>
      <c r="T5147"/>
    </row>
    <row r="5148" spans="1:20" x14ac:dyDescent="0.2">
      <c r="A5148" s="33"/>
      <c r="B5148" s="33"/>
      <c r="C5148" s="33"/>
      <c r="D5148" s="33"/>
      <c r="E5148" s="33"/>
      <c r="F5148" s="33"/>
      <c r="G5148" s="33"/>
      <c r="H5148" s="33"/>
      <c r="I5148" s="33"/>
      <c r="J5148" s="33"/>
      <c r="K5148" s="33"/>
      <c r="L5148" s="33"/>
      <c r="M5148" s="33"/>
      <c r="N5148" s="33"/>
      <c r="O5148" s="33"/>
      <c r="P5148" s="33"/>
      <c r="Q5148" s="33"/>
      <c r="R5148" s="33"/>
      <c r="T5148"/>
    </row>
    <row r="5149" spans="1:20" x14ac:dyDescent="0.2">
      <c r="A5149" s="9"/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T5149"/>
    </row>
    <row r="5150" spans="1:20" x14ac:dyDescent="0.2">
      <c r="A5150" s="33"/>
      <c r="B5150" s="33"/>
      <c r="C5150" s="33"/>
      <c r="D5150" s="33"/>
      <c r="E5150" s="33"/>
      <c r="F5150" s="33"/>
      <c r="G5150" s="33"/>
      <c r="H5150" s="33"/>
      <c r="I5150" s="33"/>
      <c r="J5150" s="33"/>
      <c r="K5150" s="33"/>
      <c r="L5150" s="33"/>
      <c r="M5150" s="33"/>
      <c r="N5150" s="33"/>
      <c r="O5150" s="33"/>
      <c r="P5150" s="33"/>
      <c r="Q5150" s="33"/>
      <c r="R5150" s="33"/>
      <c r="T5150"/>
    </row>
    <row r="5151" spans="1:20" x14ac:dyDescent="0.2">
      <c r="A5151" s="9"/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T5151"/>
    </row>
    <row r="5152" spans="1:20" x14ac:dyDescent="0.2">
      <c r="A5152" s="33"/>
      <c r="B5152" s="33"/>
      <c r="C5152" s="33"/>
      <c r="D5152" s="33"/>
      <c r="E5152" s="33"/>
      <c r="F5152" s="33"/>
      <c r="G5152" s="33"/>
      <c r="H5152" s="33"/>
      <c r="I5152" s="33"/>
      <c r="J5152" s="33"/>
      <c r="K5152" s="33"/>
      <c r="L5152" s="33"/>
      <c r="M5152" s="33"/>
      <c r="N5152" s="33"/>
      <c r="O5152" s="33"/>
      <c r="P5152" s="33"/>
      <c r="Q5152" s="33"/>
      <c r="R5152" s="33"/>
      <c r="T5152"/>
    </row>
    <row r="5153" spans="1:20" x14ac:dyDescent="0.2">
      <c r="A5153" s="9"/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T5153"/>
    </row>
    <row r="5154" spans="1:20" x14ac:dyDescent="0.2">
      <c r="A5154" s="33"/>
      <c r="B5154" s="33"/>
      <c r="C5154" s="33"/>
      <c r="D5154" s="33"/>
      <c r="E5154" s="33"/>
      <c r="F5154" s="33"/>
      <c r="G5154" s="33"/>
      <c r="H5154" s="33"/>
      <c r="I5154" s="33"/>
      <c r="J5154" s="33"/>
      <c r="K5154" s="33"/>
      <c r="L5154" s="33"/>
      <c r="M5154" s="33"/>
      <c r="N5154" s="33"/>
      <c r="O5154" s="33"/>
      <c r="P5154" s="33"/>
      <c r="Q5154" s="33"/>
      <c r="R5154" s="33"/>
      <c r="T5154"/>
    </row>
    <row r="5155" spans="1:20" x14ac:dyDescent="0.2">
      <c r="A5155" s="9"/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9"/>
      <c r="R5155" s="9"/>
      <c r="T5155"/>
    </row>
    <row r="5156" spans="1:20" x14ac:dyDescent="0.2">
      <c r="A5156" s="33"/>
      <c r="B5156" s="33"/>
      <c r="C5156" s="33"/>
      <c r="D5156" s="33"/>
      <c r="E5156" s="33"/>
      <c r="F5156" s="33"/>
      <c r="G5156" s="33"/>
      <c r="H5156" s="33"/>
      <c r="I5156" s="33"/>
      <c r="J5156" s="33"/>
      <c r="K5156" s="33"/>
      <c r="L5156" s="33"/>
      <c r="M5156" s="33"/>
      <c r="N5156" s="33"/>
      <c r="O5156" s="33"/>
      <c r="P5156" s="33"/>
      <c r="Q5156" s="33"/>
      <c r="R5156" s="33"/>
      <c r="T5156"/>
    </row>
    <row r="5157" spans="1:20" x14ac:dyDescent="0.2">
      <c r="A5157" s="9"/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9"/>
      <c r="R5157" s="9"/>
      <c r="T5157"/>
    </row>
    <row r="5158" spans="1:20" x14ac:dyDescent="0.2">
      <c r="A5158" s="33"/>
      <c r="B5158" s="33"/>
      <c r="C5158" s="33"/>
      <c r="D5158" s="33"/>
      <c r="E5158" s="33"/>
      <c r="F5158" s="33"/>
      <c r="G5158" s="33"/>
      <c r="H5158" s="33"/>
      <c r="I5158" s="33"/>
      <c r="J5158" s="33"/>
      <c r="K5158" s="33"/>
      <c r="L5158" s="33"/>
      <c r="M5158" s="33"/>
      <c r="N5158" s="33"/>
      <c r="O5158" s="33"/>
      <c r="P5158" s="33"/>
      <c r="Q5158" s="33"/>
      <c r="R5158" s="33"/>
      <c r="T5158"/>
    </row>
    <row r="5159" spans="1:20" x14ac:dyDescent="0.2">
      <c r="A5159" s="9"/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T5159"/>
    </row>
    <row r="5160" spans="1:20" x14ac:dyDescent="0.2">
      <c r="A5160" s="33"/>
      <c r="B5160" s="33"/>
      <c r="C5160" s="33"/>
      <c r="D5160" s="33"/>
      <c r="E5160" s="33"/>
      <c r="F5160" s="33"/>
      <c r="G5160" s="33"/>
      <c r="H5160" s="33"/>
      <c r="I5160" s="33"/>
      <c r="J5160" s="33"/>
      <c r="K5160" s="33"/>
      <c r="L5160" s="33"/>
      <c r="M5160" s="33"/>
      <c r="N5160" s="33"/>
      <c r="O5160" s="33"/>
      <c r="P5160" s="33"/>
      <c r="Q5160" s="33"/>
      <c r="R5160" s="33"/>
      <c r="T5160"/>
    </row>
    <row r="5161" spans="1:20" x14ac:dyDescent="0.2">
      <c r="A5161" s="9"/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9"/>
      <c r="R5161" s="9"/>
      <c r="T5161"/>
    </row>
    <row r="5162" spans="1:20" x14ac:dyDescent="0.2">
      <c r="A5162" s="33"/>
      <c r="B5162" s="33"/>
      <c r="C5162" s="33"/>
      <c r="D5162" s="33"/>
      <c r="E5162" s="33"/>
      <c r="F5162" s="33"/>
      <c r="G5162" s="33"/>
      <c r="H5162" s="33"/>
      <c r="I5162" s="33"/>
      <c r="J5162" s="33"/>
      <c r="K5162" s="33"/>
      <c r="L5162" s="33"/>
      <c r="M5162" s="33"/>
      <c r="N5162" s="33"/>
      <c r="O5162" s="33"/>
      <c r="P5162" s="33"/>
      <c r="Q5162" s="33"/>
      <c r="R5162" s="33"/>
      <c r="T5162"/>
    </row>
    <row r="5163" spans="1:20" x14ac:dyDescent="0.2">
      <c r="A5163" s="9"/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9"/>
      <c r="R5163" s="9"/>
      <c r="T5163"/>
    </row>
    <row r="5164" spans="1:20" x14ac:dyDescent="0.2">
      <c r="A5164" s="33"/>
      <c r="B5164" s="33"/>
      <c r="C5164" s="33"/>
      <c r="D5164" s="33"/>
      <c r="E5164" s="33"/>
      <c r="F5164" s="33"/>
      <c r="G5164" s="33"/>
      <c r="H5164" s="33"/>
      <c r="I5164" s="33"/>
      <c r="J5164" s="33"/>
      <c r="K5164" s="33"/>
      <c r="L5164" s="33"/>
      <c r="M5164" s="33"/>
      <c r="N5164" s="33"/>
      <c r="O5164" s="33"/>
      <c r="P5164" s="33"/>
      <c r="Q5164" s="33"/>
      <c r="R5164" s="33"/>
      <c r="T5164"/>
    </row>
    <row r="5165" spans="1:20" x14ac:dyDescent="0.2">
      <c r="A5165" s="9"/>
      <c r="B5165" s="9"/>
      <c r="C5165" s="9"/>
      <c r="D5165" s="9"/>
      <c r="E5165" s="9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9"/>
      <c r="R5165" s="9"/>
      <c r="T5165"/>
    </row>
    <row r="5166" spans="1:20" x14ac:dyDescent="0.2">
      <c r="A5166" s="33"/>
      <c r="B5166" s="33"/>
      <c r="C5166" s="33"/>
      <c r="D5166" s="33"/>
      <c r="E5166" s="33"/>
      <c r="F5166" s="33"/>
      <c r="G5166" s="33"/>
      <c r="H5166" s="33"/>
      <c r="I5166" s="33"/>
      <c r="J5166" s="33"/>
      <c r="K5166" s="33"/>
      <c r="L5166" s="33"/>
      <c r="M5166" s="33"/>
      <c r="N5166" s="33"/>
      <c r="O5166" s="33"/>
      <c r="P5166" s="33"/>
      <c r="Q5166" s="33"/>
      <c r="R5166" s="33"/>
      <c r="T5166"/>
    </row>
    <row r="5167" spans="1:20" x14ac:dyDescent="0.2">
      <c r="A5167" s="9"/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9"/>
      <c r="R5167" s="9"/>
      <c r="T5167"/>
    </row>
    <row r="5168" spans="1:20" x14ac:dyDescent="0.2">
      <c r="A5168" s="33"/>
      <c r="B5168" s="33"/>
      <c r="C5168" s="33"/>
      <c r="D5168" s="33"/>
      <c r="E5168" s="33"/>
      <c r="F5168" s="33"/>
      <c r="G5168" s="33"/>
      <c r="H5168" s="33"/>
      <c r="I5168" s="33"/>
      <c r="J5168" s="33"/>
      <c r="K5168" s="33"/>
      <c r="L5168" s="33"/>
      <c r="M5168" s="33"/>
      <c r="N5168" s="33"/>
      <c r="O5168" s="33"/>
      <c r="P5168" s="33"/>
      <c r="Q5168" s="33"/>
      <c r="R5168" s="33"/>
      <c r="T5168"/>
    </row>
    <row r="5169" spans="1:20" x14ac:dyDescent="0.2">
      <c r="A5169" s="9"/>
      <c r="B5169" s="9"/>
      <c r="C5169" s="9"/>
      <c r="D5169" s="9"/>
      <c r="E5169" s="9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9"/>
      <c r="R5169" s="9"/>
      <c r="T5169"/>
    </row>
    <row r="5170" spans="1:20" x14ac:dyDescent="0.2">
      <c r="A5170" s="33"/>
      <c r="B5170" s="33"/>
      <c r="C5170" s="33"/>
      <c r="D5170" s="33"/>
      <c r="E5170" s="33"/>
      <c r="F5170" s="33"/>
      <c r="G5170" s="33"/>
      <c r="H5170" s="33"/>
      <c r="I5170" s="33"/>
      <c r="J5170" s="33"/>
      <c r="K5170" s="33"/>
      <c r="L5170" s="33"/>
      <c r="M5170" s="33"/>
      <c r="N5170" s="33"/>
      <c r="O5170" s="33"/>
      <c r="P5170" s="33"/>
      <c r="Q5170" s="33"/>
      <c r="R5170" s="33"/>
      <c r="T5170"/>
    </row>
    <row r="5171" spans="1:20" x14ac:dyDescent="0.2">
      <c r="A5171" s="9"/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9"/>
      <c r="R5171" s="9"/>
      <c r="T5171"/>
    </row>
    <row r="5172" spans="1:20" x14ac:dyDescent="0.2">
      <c r="A5172" s="33"/>
      <c r="B5172" s="33"/>
      <c r="C5172" s="33"/>
      <c r="D5172" s="33"/>
      <c r="E5172" s="33"/>
      <c r="F5172" s="33"/>
      <c r="G5172" s="33"/>
      <c r="H5172" s="33"/>
      <c r="I5172" s="33"/>
      <c r="J5172" s="33"/>
      <c r="K5172" s="33"/>
      <c r="L5172" s="33"/>
      <c r="M5172" s="33"/>
      <c r="N5172" s="33"/>
      <c r="O5172" s="33"/>
      <c r="P5172" s="33"/>
      <c r="Q5172" s="33"/>
      <c r="R5172" s="33"/>
      <c r="T5172"/>
    </row>
    <row r="5173" spans="1:20" x14ac:dyDescent="0.2">
      <c r="A5173" s="9"/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9"/>
      <c r="R5173" s="9"/>
      <c r="T5173"/>
    </row>
    <row r="5174" spans="1:20" x14ac:dyDescent="0.2">
      <c r="A5174" s="33"/>
      <c r="B5174" s="33"/>
      <c r="C5174" s="33"/>
      <c r="D5174" s="33"/>
      <c r="E5174" s="33"/>
      <c r="F5174" s="33"/>
      <c r="G5174" s="33"/>
      <c r="H5174" s="33"/>
      <c r="I5174" s="33"/>
      <c r="J5174" s="33"/>
      <c r="K5174" s="33"/>
      <c r="L5174" s="33"/>
      <c r="M5174" s="33"/>
      <c r="N5174" s="33"/>
      <c r="O5174" s="33"/>
      <c r="P5174" s="33"/>
      <c r="Q5174" s="33"/>
      <c r="R5174" s="33"/>
      <c r="T5174"/>
    </row>
    <row r="5175" spans="1:20" x14ac:dyDescent="0.2">
      <c r="A5175" s="9"/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9"/>
      <c r="R5175" s="9"/>
      <c r="T5175"/>
    </row>
    <row r="5176" spans="1:20" x14ac:dyDescent="0.2">
      <c r="A5176" s="33"/>
      <c r="B5176" s="33"/>
      <c r="C5176" s="33"/>
      <c r="D5176" s="33"/>
      <c r="E5176" s="33"/>
      <c r="F5176" s="33"/>
      <c r="G5176" s="33"/>
      <c r="H5176" s="33"/>
      <c r="I5176" s="33"/>
      <c r="J5176" s="33"/>
      <c r="K5176" s="33"/>
      <c r="L5176" s="33"/>
      <c r="M5176" s="33"/>
      <c r="N5176" s="33"/>
      <c r="O5176" s="33"/>
      <c r="P5176" s="33"/>
      <c r="Q5176" s="33"/>
      <c r="R5176" s="33"/>
      <c r="T5176"/>
    </row>
    <row r="5177" spans="1:20" x14ac:dyDescent="0.2">
      <c r="A5177" s="9"/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9"/>
      <c r="R5177" s="9"/>
      <c r="T5177"/>
    </row>
    <row r="5178" spans="1:20" x14ac:dyDescent="0.2">
      <c r="A5178" s="33"/>
      <c r="B5178" s="33"/>
      <c r="C5178" s="33"/>
      <c r="D5178" s="33"/>
      <c r="E5178" s="33"/>
      <c r="F5178" s="33"/>
      <c r="G5178" s="33"/>
      <c r="H5178" s="33"/>
      <c r="I5178" s="33"/>
      <c r="J5178" s="33"/>
      <c r="K5178" s="33"/>
      <c r="L5178" s="33"/>
      <c r="M5178" s="33"/>
      <c r="N5178" s="33"/>
      <c r="O5178" s="33"/>
      <c r="P5178" s="33"/>
      <c r="Q5178" s="33"/>
      <c r="R5178" s="33"/>
      <c r="T5178"/>
    </row>
    <row r="5179" spans="1:20" x14ac:dyDescent="0.2">
      <c r="A5179" s="9"/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T5179"/>
    </row>
    <row r="5180" spans="1:20" x14ac:dyDescent="0.2">
      <c r="A5180" s="33"/>
      <c r="B5180" s="33"/>
      <c r="C5180" s="33"/>
      <c r="D5180" s="33"/>
      <c r="E5180" s="33"/>
      <c r="F5180" s="33"/>
      <c r="G5180" s="33"/>
      <c r="H5180" s="33"/>
      <c r="I5180" s="33"/>
      <c r="J5180" s="33"/>
      <c r="K5180" s="33"/>
      <c r="L5180" s="33"/>
      <c r="M5180" s="33"/>
      <c r="N5180" s="33"/>
      <c r="O5180" s="33"/>
      <c r="P5180" s="33"/>
      <c r="Q5180" s="33"/>
      <c r="R5180" s="33"/>
      <c r="T5180"/>
    </row>
    <row r="5181" spans="1:20" x14ac:dyDescent="0.2">
      <c r="A5181" s="9"/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T5181"/>
    </row>
    <row r="5182" spans="1:20" x14ac:dyDescent="0.2">
      <c r="A5182" s="33"/>
      <c r="B5182" s="33"/>
      <c r="C5182" s="33"/>
      <c r="D5182" s="33"/>
      <c r="E5182" s="33"/>
      <c r="F5182" s="33"/>
      <c r="G5182" s="33"/>
      <c r="H5182" s="33"/>
      <c r="I5182" s="33"/>
      <c r="J5182" s="33"/>
      <c r="K5182" s="33"/>
      <c r="L5182" s="33"/>
      <c r="M5182" s="33"/>
      <c r="N5182" s="33"/>
      <c r="O5182" s="33"/>
      <c r="P5182" s="33"/>
      <c r="Q5182" s="33"/>
      <c r="R5182" s="33"/>
      <c r="T5182"/>
    </row>
    <row r="5183" spans="1:20" x14ac:dyDescent="0.2">
      <c r="A5183" s="9"/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9"/>
      <c r="R5183" s="9"/>
      <c r="T5183"/>
    </row>
    <row r="5184" spans="1:20" x14ac:dyDescent="0.2">
      <c r="A5184" s="33"/>
      <c r="B5184" s="33"/>
      <c r="C5184" s="33"/>
      <c r="D5184" s="33"/>
      <c r="E5184" s="33"/>
      <c r="F5184" s="33"/>
      <c r="G5184" s="33"/>
      <c r="H5184" s="33"/>
      <c r="I5184" s="33"/>
      <c r="J5184" s="33"/>
      <c r="K5184" s="33"/>
      <c r="L5184" s="33"/>
      <c r="M5184" s="33"/>
      <c r="N5184" s="33"/>
      <c r="O5184" s="33"/>
      <c r="P5184" s="33"/>
      <c r="Q5184" s="33"/>
      <c r="R5184" s="33"/>
      <c r="T5184"/>
    </row>
    <row r="5185" spans="1:20" x14ac:dyDescent="0.2">
      <c r="A5185" s="9"/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9"/>
      <c r="R5185" s="9"/>
      <c r="T5185"/>
    </row>
    <row r="5186" spans="1:20" x14ac:dyDescent="0.2">
      <c r="A5186" s="33"/>
      <c r="B5186" s="33"/>
      <c r="C5186" s="33"/>
      <c r="D5186" s="33"/>
      <c r="E5186" s="33"/>
      <c r="F5186" s="33"/>
      <c r="G5186" s="33"/>
      <c r="H5186" s="33"/>
      <c r="I5186" s="33"/>
      <c r="J5186" s="33"/>
      <c r="K5186" s="33"/>
      <c r="L5186" s="33"/>
      <c r="M5186" s="33"/>
      <c r="N5186" s="33"/>
      <c r="O5186" s="33"/>
      <c r="P5186" s="33"/>
      <c r="Q5186" s="33"/>
      <c r="R5186" s="33"/>
      <c r="T5186"/>
    </row>
    <row r="5187" spans="1:20" x14ac:dyDescent="0.2">
      <c r="A5187" s="9"/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9"/>
      <c r="R5187" s="9"/>
      <c r="T5187"/>
    </row>
    <row r="5188" spans="1:20" x14ac:dyDescent="0.2">
      <c r="A5188" s="33"/>
      <c r="B5188" s="33"/>
      <c r="C5188" s="33"/>
      <c r="D5188" s="33"/>
      <c r="E5188" s="33"/>
      <c r="F5188" s="33"/>
      <c r="G5188" s="33"/>
      <c r="H5188" s="33"/>
      <c r="I5188" s="33"/>
      <c r="J5188" s="33"/>
      <c r="K5188" s="33"/>
      <c r="L5188" s="33"/>
      <c r="M5188" s="33"/>
      <c r="N5188" s="33"/>
      <c r="O5188" s="33"/>
      <c r="P5188" s="33"/>
      <c r="Q5188" s="33"/>
      <c r="R5188" s="33"/>
      <c r="T5188"/>
    </row>
    <row r="5189" spans="1:20" x14ac:dyDescent="0.2">
      <c r="A5189" s="9"/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T5189"/>
    </row>
    <row r="5190" spans="1:20" x14ac:dyDescent="0.2">
      <c r="A5190" s="33"/>
      <c r="B5190" s="33"/>
      <c r="C5190" s="33"/>
      <c r="D5190" s="33"/>
      <c r="E5190" s="33"/>
      <c r="F5190" s="33"/>
      <c r="G5190" s="33"/>
      <c r="H5190" s="33"/>
      <c r="I5190" s="33"/>
      <c r="J5190" s="33"/>
      <c r="K5190" s="33"/>
      <c r="L5190" s="33"/>
      <c r="M5190" s="33"/>
      <c r="N5190" s="33"/>
      <c r="O5190" s="33"/>
      <c r="P5190" s="33"/>
      <c r="Q5190" s="33"/>
      <c r="R5190" s="33"/>
      <c r="T5190"/>
    </row>
    <row r="5191" spans="1:20" x14ac:dyDescent="0.2">
      <c r="A5191" s="9"/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9"/>
      <c r="R5191" s="9"/>
      <c r="T5191"/>
    </row>
    <row r="5192" spans="1:20" x14ac:dyDescent="0.2">
      <c r="A5192" s="33"/>
      <c r="B5192" s="33"/>
      <c r="C5192" s="33"/>
      <c r="D5192" s="33"/>
      <c r="E5192" s="33"/>
      <c r="F5192" s="33"/>
      <c r="G5192" s="33"/>
      <c r="H5192" s="33"/>
      <c r="I5192" s="33"/>
      <c r="J5192" s="33"/>
      <c r="K5192" s="33"/>
      <c r="L5192" s="33"/>
      <c r="M5192" s="33"/>
      <c r="N5192" s="33"/>
      <c r="O5192" s="33"/>
      <c r="P5192" s="33"/>
      <c r="Q5192" s="33"/>
      <c r="R5192" s="33"/>
      <c r="T5192"/>
    </row>
    <row r="5193" spans="1:20" x14ac:dyDescent="0.2">
      <c r="A5193" s="9"/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9"/>
      <c r="R5193" s="9"/>
      <c r="T5193"/>
    </row>
    <row r="5194" spans="1:20" x14ac:dyDescent="0.2">
      <c r="A5194" s="33"/>
      <c r="B5194" s="33"/>
      <c r="C5194" s="33"/>
      <c r="D5194" s="33"/>
      <c r="E5194" s="33"/>
      <c r="F5194" s="33"/>
      <c r="G5194" s="33"/>
      <c r="H5194" s="33"/>
      <c r="I5194" s="33"/>
      <c r="J5194" s="33"/>
      <c r="K5194" s="33"/>
      <c r="L5194" s="33"/>
      <c r="M5194" s="33"/>
      <c r="N5194" s="33"/>
      <c r="O5194" s="33"/>
      <c r="P5194" s="33"/>
      <c r="Q5194" s="33"/>
      <c r="R5194" s="33"/>
      <c r="T5194"/>
    </row>
    <row r="5195" spans="1:20" x14ac:dyDescent="0.2">
      <c r="A5195" s="9"/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T5195"/>
    </row>
    <row r="5196" spans="1:20" x14ac:dyDescent="0.2">
      <c r="A5196" s="33"/>
      <c r="B5196" s="33"/>
      <c r="C5196" s="33"/>
      <c r="D5196" s="33"/>
      <c r="E5196" s="33"/>
      <c r="F5196" s="33"/>
      <c r="G5196" s="33"/>
      <c r="H5196" s="33"/>
      <c r="I5196" s="33"/>
      <c r="J5196" s="33"/>
      <c r="K5196" s="33"/>
      <c r="L5196" s="33"/>
      <c r="M5196" s="33"/>
      <c r="N5196" s="33"/>
      <c r="O5196" s="33"/>
      <c r="P5196" s="33"/>
      <c r="Q5196" s="33"/>
      <c r="R5196" s="33"/>
      <c r="T5196"/>
    </row>
    <row r="5197" spans="1:20" x14ac:dyDescent="0.2">
      <c r="A5197" s="9"/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T5197"/>
    </row>
    <row r="5198" spans="1:20" x14ac:dyDescent="0.2">
      <c r="A5198" s="33"/>
      <c r="B5198" s="33"/>
      <c r="C5198" s="33"/>
      <c r="D5198" s="33"/>
      <c r="E5198" s="33"/>
      <c r="F5198" s="33"/>
      <c r="G5198" s="33"/>
      <c r="H5198" s="33"/>
      <c r="I5198" s="33"/>
      <c r="J5198" s="33"/>
      <c r="K5198" s="33"/>
      <c r="L5198" s="33"/>
      <c r="M5198" s="33"/>
      <c r="N5198" s="33"/>
      <c r="O5198" s="33"/>
      <c r="P5198" s="33"/>
      <c r="Q5198" s="33"/>
      <c r="R5198" s="33"/>
      <c r="T5198"/>
    </row>
    <row r="5199" spans="1:20" x14ac:dyDescent="0.2">
      <c r="A5199" s="9"/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T5199"/>
    </row>
    <row r="5200" spans="1:20" x14ac:dyDescent="0.2">
      <c r="A5200" s="33"/>
      <c r="B5200" s="33"/>
      <c r="C5200" s="33"/>
      <c r="D5200" s="33"/>
      <c r="E5200" s="33"/>
      <c r="F5200" s="33"/>
      <c r="G5200" s="33"/>
      <c r="H5200" s="33"/>
      <c r="I5200" s="33"/>
      <c r="J5200" s="33"/>
      <c r="K5200" s="33"/>
      <c r="L5200" s="33"/>
      <c r="M5200" s="33"/>
      <c r="N5200" s="33"/>
      <c r="O5200" s="33"/>
      <c r="P5200" s="33"/>
      <c r="Q5200" s="33"/>
      <c r="R5200" s="33"/>
      <c r="T5200"/>
    </row>
    <row r="5201" spans="1:20" x14ac:dyDescent="0.2">
      <c r="A5201" s="9"/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9"/>
      <c r="R5201" s="9"/>
      <c r="T5201"/>
    </row>
    <row r="5202" spans="1:20" x14ac:dyDescent="0.2">
      <c r="A5202" s="33"/>
      <c r="B5202" s="33"/>
      <c r="C5202" s="33"/>
      <c r="D5202" s="33"/>
      <c r="E5202" s="33"/>
      <c r="F5202" s="33"/>
      <c r="G5202" s="33"/>
      <c r="H5202" s="33"/>
      <c r="I5202" s="33"/>
      <c r="J5202" s="33"/>
      <c r="K5202" s="33"/>
      <c r="L5202" s="33"/>
      <c r="M5202" s="33"/>
      <c r="N5202" s="33"/>
      <c r="O5202" s="33"/>
      <c r="P5202" s="33"/>
      <c r="Q5202" s="33"/>
      <c r="R5202" s="33"/>
      <c r="T5202"/>
    </row>
    <row r="5203" spans="1:20" x14ac:dyDescent="0.2">
      <c r="A5203" s="9"/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R5203" s="9"/>
      <c r="T5203"/>
    </row>
    <row r="5204" spans="1:20" x14ac:dyDescent="0.2">
      <c r="A5204" s="33"/>
      <c r="B5204" s="33"/>
      <c r="C5204" s="33"/>
      <c r="D5204" s="33"/>
      <c r="E5204" s="33"/>
      <c r="F5204" s="33"/>
      <c r="G5204" s="33"/>
      <c r="H5204" s="33"/>
      <c r="I5204" s="33"/>
      <c r="J5204" s="33"/>
      <c r="K5204" s="33"/>
      <c r="L5204" s="33"/>
      <c r="M5204" s="33"/>
      <c r="N5204" s="33"/>
      <c r="O5204" s="33"/>
      <c r="P5204" s="33"/>
      <c r="Q5204" s="33"/>
      <c r="R5204" s="33"/>
      <c r="T5204"/>
    </row>
    <row r="5205" spans="1:20" x14ac:dyDescent="0.2">
      <c r="A5205" s="9"/>
      <c r="B5205" s="9"/>
      <c r="C5205" s="9"/>
      <c r="D5205" s="9"/>
      <c r="E5205" s="9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R5205" s="9"/>
      <c r="T5205"/>
    </row>
    <row r="5206" spans="1:20" x14ac:dyDescent="0.2">
      <c r="A5206" s="33"/>
      <c r="B5206" s="33"/>
      <c r="C5206" s="33"/>
      <c r="D5206" s="33"/>
      <c r="E5206" s="33"/>
      <c r="F5206" s="33"/>
      <c r="G5206" s="33"/>
      <c r="H5206" s="33"/>
      <c r="I5206" s="33"/>
      <c r="J5206" s="33"/>
      <c r="K5206" s="33"/>
      <c r="L5206" s="33"/>
      <c r="M5206" s="33"/>
      <c r="N5206" s="33"/>
      <c r="O5206" s="33"/>
      <c r="P5206" s="33"/>
      <c r="Q5206" s="33"/>
      <c r="R5206" s="33"/>
      <c r="T5206"/>
    </row>
    <row r="5207" spans="1:20" x14ac:dyDescent="0.2">
      <c r="A5207" s="9"/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R5207" s="9"/>
      <c r="T5207"/>
    </row>
    <row r="5208" spans="1:20" x14ac:dyDescent="0.2">
      <c r="A5208" s="33"/>
      <c r="B5208" s="33"/>
      <c r="C5208" s="33"/>
      <c r="D5208" s="33"/>
      <c r="E5208" s="33"/>
      <c r="F5208" s="33"/>
      <c r="G5208" s="33"/>
      <c r="H5208" s="33"/>
      <c r="I5208" s="33"/>
      <c r="J5208" s="33"/>
      <c r="K5208" s="33"/>
      <c r="L5208" s="33"/>
      <c r="M5208" s="33"/>
      <c r="N5208" s="33"/>
      <c r="O5208" s="33"/>
      <c r="P5208" s="33"/>
      <c r="Q5208" s="33"/>
      <c r="R5208" s="33"/>
      <c r="T5208"/>
    </row>
    <row r="5209" spans="1:20" x14ac:dyDescent="0.2">
      <c r="A5209" s="9"/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R5209" s="9"/>
      <c r="T5209"/>
    </row>
    <row r="5210" spans="1:20" x14ac:dyDescent="0.2">
      <c r="A5210" s="33"/>
      <c r="B5210" s="33"/>
      <c r="C5210" s="33"/>
      <c r="D5210" s="33"/>
      <c r="E5210" s="33"/>
      <c r="F5210" s="33"/>
      <c r="G5210" s="33"/>
      <c r="H5210" s="33"/>
      <c r="I5210" s="33"/>
      <c r="J5210" s="33"/>
      <c r="K5210" s="33"/>
      <c r="L5210" s="33"/>
      <c r="M5210" s="33"/>
      <c r="N5210" s="33"/>
      <c r="O5210" s="33"/>
      <c r="P5210" s="33"/>
      <c r="Q5210" s="33"/>
      <c r="R5210" s="33"/>
      <c r="T5210"/>
    </row>
    <row r="5211" spans="1:20" x14ac:dyDescent="0.2">
      <c r="A5211" s="9"/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9"/>
      <c r="R5211" s="9"/>
      <c r="T5211"/>
    </row>
    <row r="5212" spans="1:20" x14ac:dyDescent="0.2">
      <c r="A5212" s="33"/>
      <c r="B5212" s="33"/>
      <c r="C5212" s="33"/>
      <c r="D5212" s="33"/>
      <c r="E5212" s="33"/>
      <c r="F5212" s="33"/>
      <c r="G5212" s="33"/>
      <c r="H5212" s="33"/>
      <c r="I5212" s="33"/>
      <c r="J5212" s="33"/>
      <c r="K5212" s="33"/>
      <c r="L5212" s="33"/>
      <c r="M5212" s="33"/>
      <c r="N5212" s="33"/>
      <c r="O5212" s="33"/>
      <c r="P5212" s="33"/>
      <c r="Q5212" s="33"/>
      <c r="R5212" s="33"/>
      <c r="T5212"/>
    </row>
    <row r="5213" spans="1:20" x14ac:dyDescent="0.2">
      <c r="A5213" s="9"/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T5213"/>
    </row>
    <row r="5214" spans="1:20" x14ac:dyDescent="0.2">
      <c r="A5214" s="33"/>
      <c r="B5214" s="33"/>
      <c r="C5214" s="33"/>
      <c r="D5214" s="33"/>
      <c r="E5214" s="33"/>
      <c r="F5214" s="33"/>
      <c r="G5214" s="33"/>
      <c r="H5214" s="33"/>
      <c r="I5214" s="33"/>
      <c r="J5214" s="33"/>
      <c r="K5214" s="33"/>
      <c r="L5214" s="33"/>
      <c r="M5214" s="33"/>
      <c r="N5214" s="33"/>
      <c r="O5214" s="33"/>
      <c r="P5214" s="33"/>
      <c r="Q5214" s="33"/>
      <c r="R5214" s="33"/>
      <c r="T5214"/>
    </row>
    <row r="5215" spans="1:20" x14ac:dyDescent="0.2">
      <c r="A5215" s="9"/>
      <c r="B5215" s="9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9"/>
      <c r="R5215" s="9"/>
      <c r="T5215"/>
    </row>
    <row r="5216" spans="1:20" x14ac:dyDescent="0.2">
      <c r="A5216" s="33"/>
      <c r="B5216" s="33"/>
      <c r="C5216" s="33"/>
      <c r="D5216" s="33"/>
      <c r="E5216" s="33"/>
      <c r="F5216" s="33"/>
      <c r="G5216" s="33"/>
      <c r="H5216" s="33"/>
      <c r="I5216" s="33"/>
      <c r="J5216" s="33"/>
      <c r="K5216" s="33"/>
      <c r="L5216" s="33"/>
      <c r="M5216" s="33"/>
      <c r="N5216" s="33"/>
      <c r="O5216" s="33"/>
      <c r="P5216" s="33"/>
      <c r="Q5216" s="33"/>
      <c r="R5216" s="33"/>
      <c r="T5216"/>
    </row>
    <row r="5217" spans="1:20" x14ac:dyDescent="0.2">
      <c r="A5217" s="9"/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9"/>
      <c r="R5217" s="9"/>
      <c r="T5217"/>
    </row>
    <row r="5218" spans="1:20" x14ac:dyDescent="0.2">
      <c r="A5218" s="33"/>
      <c r="B5218" s="33"/>
      <c r="C5218" s="33"/>
      <c r="D5218" s="33"/>
      <c r="E5218" s="33"/>
      <c r="F5218" s="33"/>
      <c r="G5218" s="33"/>
      <c r="H5218" s="33"/>
      <c r="I5218" s="33"/>
      <c r="J5218" s="33"/>
      <c r="K5218" s="33"/>
      <c r="L5218" s="33"/>
      <c r="M5218" s="33"/>
      <c r="N5218" s="33"/>
      <c r="O5218" s="33"/>
      <c r="P5218" s="33"/>
      <c r="Q5218" s="33"/>
      <c r="R5218" s="33"/>
      <c r="T5218"/>
    </row>
    <row r="5219" spans="1:20" x14ac:dyDescent="0.2">
      <c r="A5219" s="9"/>
      <c r="B5219" s="9"/>
      <c r="C5219" s="9"/>
      <c r="D5219" s="9"/>
      <c r="E5219" s="9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T5219"/>
    </row>
    <row r="5220" spans="1:20" x14ac:dyDescent="0.2">
      <c r="A5220" s="33"/>
      <c r="B5220" s="33"/>
      <c r="C5220" s="33"/>
      <c r="D5220" s="33"/>
      <c r="E5220" s="33"/>
      <c r="F5220" s="33"/>
      <c r="G5220" s="33"/>
      <c r="H5220" s="33"/>
      <c r="I5220" s="33"/>
      <c r="J5220" s="33"/>
      <c r="K5220" s="33"/>
      <c r="L5220" s="33"/>
      <c r="M5220" s="33"/>
      <c r="N5220" s="33"/>
      <c r="O5220" s="33"/>
      <c r="P5220" s="33"/>
      <c r="Q5220" s="33"/>
      <c r="R5220" s="33"/>
      <c r="T5220"/>
    </row>
    <row r="5221" spans="1:20" x14ac:dyDescent="0.2">
      <c r="A5221" s="9"/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T5221"/>
    </row>
    <row r="5222" spans="1:20" x14ac:dyDescent="0.2">
      <c r="A5222" s="33"/>
      <c r="B5222" s="33"/>
      <c r="C5222" s="33"/>
      <c r="D5222" s="33"/>
      <c r="E5222" s="33"/>
      <c r="F5222" s="33"/>
      <c r="G5222" s="33"/>
      <c r="H5222" s="33"/>
      <c r="I5222" s="33"/>
      <c r="J5222" s="33"/>
      <c r="K5222" s="33"/>
      <c r="L5222" s="33"/>
      <c r="M5222" s="33"/>
      <c r="N5222" s="33"/>
      <c r="O5222" s="33"/>
      <c r="P5222" s="33"/>
      <c r="Q5222" s="33"/>
      <c r="R5222" s="33"/>
      <c r="T5222"/>
    </row>
    <row r="5223" spans="1:20" x14ac:dyDescent="0.2">
      <c r="A5223" s="9"/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9"/>
      <c r="R5223" s="9"/>
      <c r="T5223"/>
    </row>
    <row r="5224" spans="1:20" x14ac:dyDescent="0.2">
      <c r="A5224" s="33"/>
      <c r="B5224" s="33"/>
      <c r="C5224" s="33"/>
      <c r="D5224" s="33"/>
      <c r="E5224" s="33"/>
      <c r="F5224" s="33"/>
      <c r="G5224" s="33"/>
      <c r="H5224" s="33"/>
      <c r="I5224" s="33"/>
      <c r="J5224" s="33"/>
      <c r="K5224" s="33"/>
      <c r="L5224" s="33"/>
      <c r="M5224" s="33"/>
      <c r="N5224" s="33"/>
      <c r="O5224" s="33"/>
      <c r="P5224" s="33"/>
      <c r="Q5224" s="33"/>
      <c r="R5224" s="33"/>
      <c r="T5224"/>
    </row>
    <row r="5225" spans="1:20" x14ac:dyDescent="0.2">
      <c r="A5225" s="9"/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T5225"/>
    </row>
    <row r="5226" spans="1:20" x14ac:dyDescent="0.2">
      <c r="A5226" s="33"/>
      <c r="B5226" s="33"/>
      <c r="C5226" s="33"/>
      <c r="D5226" s="33"/>
      <c r="E5226" s="33"/>
      <c r="F5226" s="33"/>
      <c r="G5226" s="33"/>
      <c r="H5226" s="33"/>
      <c r="I5226" s="33"/>
      <c r="J5226" s="33"/>
      <c r="K5226" s="33"/>
      <c r="L5226" s="33"/>
      <c r="M5226" s="33"/>
      <c r="N5226" s="33"/>
      <c r="O5226" s="33"/>
      <c r="P5226" s="33"/>
      <c r="Q5226" s="33"/>
      <c r="R5226" s="33"/>
      <c r="T5226"/>
    </row>
    <row r="5227" spans="1:20" x14ac:dyDescent="0.2">
      <c r="A5227" s="9"/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T5227"/>
    </row>
    <row r="5228" spans="1:20" x14ac:dyDescent="0.2">
      <c r="A5228" s="33"/>
      <c r="B5228" s="33"/>
      <c r="C5228" s="33"/>
      <c r="D5228" s="33"/>
      <c r="E5228" s="33"/>
      <c r="F5228" s="33"/>
      <c r="G5228" s="33"/>
      <c r="H5228" s="33"/>
      <c r="I5228" s="33"/>
      <c r="J5228" s="33"/>
      <c r="K5228" s="33"/>
      <c r="L5228" s="33"/>
      <c r="M5228" s="33"/>
      <c r="N5228" s="33"/>
      <c r="O5228" s="33"/>
      <c r="P5228" s="33"/>
      <c r="Q5228" s="33"/>
      <c r="R5228" s="33"/>
      <c r="T5228"/>
    </row>
    <row r="5229" spans="1:20" x14ac:dyDescent="0.2">
      <c r="A5229" s="9"/>
      <c r="B5229" s="9"/>
      <c r="C5229" s="9"/>
      <c r="D5229" s="9"/>
      <c r="E5229" s="9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9"/>
      <c r="R5229" s="9"/>
      <c r="T5229"/>
    </row>
    <row r="5230" spans="1:20" x14ac:dyDescent="0.2">
      <c r="A5230" s="33"/>
      <c r="B5230" s="33"/>
      <c r="C5230" s="33"/>
      <c r="D5230" s="33"/>
      <c r="E5230" s="33"/>
      <c r="F5230" s="33"/>
      <c r="G5230" s="33"/>
      <c r="H5230" s="33"/>
      <c r="I5230" s="33"/>
      <c r="J5230" s="33"/>
      <c r="K5230" s="33"/>
      <c r="L5230" s="33"/>
      <c r="M5230" s="33"/>
      <c r="N5230" s="33"/>
      <c r="O5230" s="33"/>
      <c r="P5230" s="33"/>
      <c r="Q5230" s="33"/>
      <c r="R5230" s="33"/>
      <c r="T5230"/>
    </row>
    <row r="5231" spans="1:20" x14ac:dyDescent="0.2">
      <c r="A5231" s="9"/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T5231"/>
    </row>
    <row r="5232" spans="1:20" x14ac:dyDescent="0.2">
      <c r="A5232" s="33"/>
      <c r="B5232" s="33"/>
      <c r="C5232" s="33"/>
      <c r="D5232" s="33"/>
      <c r="E5232" s="33"/>
      <c r="F5232" s="33"/>
      <c r="G5232" s="33"/>
      <c r="H5232" s="33"/>
      <c r="I5232" s="33"/>
      <c r="J5232" s="33"/>
      <c r="K5232" s="33"/>
      <c r="L5232" s="33"/>
      <c r="M5232" s="33"/>
      <c r="N5232" s="33"/>
      <c r="O5232" s="33"/>
      <c r="P5232" s="33"/>
      <c r="Q5232" s="33"/>
      <c r="R5232" s="33"/>
      <c r="T5232"/>
    </row>
    <row r="5233" spans="1:20" x14ac:dyDescent="0.2">
      <c r="A5233" s="9"/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9"/>
      <c r="R5233" s="9"/>
      <c r="T5233"/>
    </row>
    <row r="5234" spans="1:20" x14ac:dyDescent="0.2">
      <c r="A5234" s="33"/>
      <c r="B5234" s="33"/>
      <c r="C5234" s="33"/>
      <c r="D5234" s="33"/>
      <c r="E5234" s="33"/>
      <c r="F5234" s="33"/>
      <c r="G5234" s="33"/>
      <c r="H5234" s="33"/>
      <c r="I5234" s="33"/>
      <c r="J5234" s="33"/>
      <c r="K5234" s="33"/>
      <c r="L5234" s="33"/>
      <c r="M5234" s="33"/>
      <c r="N5234" s="33"/>
      <c r="O5234" s="33"/>
      <c r="P5234" s="33"/>
      <c r="Q5234" s="33"/>
      <c r="R5234" s="33"/>
      <c r="T5234"/>
    </row>
    <row r="5235" spans="1:20" x14ac:dyDescent="0.2">
      <c r="A5235" s="9"/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9"/>
      <c r="R5235" s="9"/>
      <c r="T5235"/>
    </row>
    <row r="5236" spans="1:20" x14ac:dyDescent="0.2">
      <c r="A5236" s="33"/>
      <c r="B5236" s="33"/>
      <c r="C5236" s="33"/>
      <c r="D5236" s="33"/>
      <c r="E5236" s="33"/>
      <c r="F5236" s="33"/>
      <c r="G5236" s="33"/>
      <c r="H5236" s="33"/>
      <c r="I5236" s="33"/>
      <c r="J5236" s="33"/>
      <c r="K5236" s="33"/>
      <c r="L5236" s="33"/>
      <c r="M5236" s="33"/>
      <c r="N5236" s="33"/>
      <c r="O5236" s="33"/>
      <c r="P5236" s="33"/>
      <c r="Q5236" s="33"/>
      <c r="R5236" s="33"/>
      <c r="T5236"/>
    </row>
    <row r="5237" spans="1:20" x14ac:dyDescent="0.2">
      <c r="A5237" s="9"/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T5237"/>
    </row>
    <row r="5238" spans="1:20" x14ac:dyDescent="0.2">
      <c r="A5238" s="33"/>
      <c r="B5238" s="33"/>
      <c r="C5238" s="33"/>
      <c r="D5238" s="33"/>
      <c r="E5238" s="33"/>
      <c r="F5238" s="33"/>
      <c r="G5238" s="33"/>
      <c r="H5238" s="33"/>
      <c r="I5238" s="33"/>
      <c r="J5238" s="33"/>
      <c r="K5238" s="33"/>
      <c r="L5238" s="33"/>
      <c r="M5238" s="33"/>
      <c r="N5238" s="33"/>
      <c r="O5238" s="33"/>
      <c r="P5238" s="33"/>
      <c r="Q5238" s="33"/>
      <c r="R5238" s="33"/>
      <c r="T5238"/>
    </row>
    <row r="5239" spans="1:20" x14ac:dyDescent="0.2">
      <c r="A5239" s="9"/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9"/>
      <c r="R5239" s="9"/>
      <c r="T5239"/>
    </row>
    <row r="5240" spans="1:20" x14ac:dyDescent="0.2">
      <c r="A5240" s="33"/>
      <c r="B5240" s="33"/>
      <c r="C5240" s="33"/>
      <c r="D5240" s="33"/>
      <c r="E5240" s="33"/>
      <c r="F5240" s="33"/>
      <c r="G5240" s="33"/>
      <c r="H5240" s="33"/>
      <c r="I5240" s="33"/>
      <c r="J5240" s="33"/>
      <c r="K5240" s="33"/>
      <c r="L5240" s="33"/>
      <c r="M5240" s="33"/>
      <c r="N5240" s="33"/>
      <c r="O5240" s="33"/>
      <c r="P5240" s="33"/>
      <c r="Q5240" s="33"/>
      <c r="R5240" s="33"/>
      <c r="T5240"/>
    </row>
    <row r="5241" spans="1:20" x14ac:dyDescent="0.2">
      <c r="A5241" s="9"/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9"/>
      <c r="R5241" s="9"/>
      <c r="T5241"/>
    </row>
    <row r="5242" spans="1:20" x14ac:dyDescent="0.2">
      <c r="A5242" s="33"/>
      <c r="B5242" s="33"/>
      <c r="C5242" s="33"/>
      <c r="D5242" s="33"/>
      <c r="E5242" s="33"/>
      <c r="F5242" s="33"/>
      <c r="G5242" s="33"/>
      <c r="H5242" s="33"/>
      <c r="I5242" s="33"/>
      <c r="J5242" s="33"/>
      <c r="K5242" s="33"/>
      <c r="L5242" s="33"/>
      <c r="M5242" s="33"/>
      <c r="N5242" s="33"/>
      <c r="O5242" s="33"/>
      <c r="P5242" s="33"/>
      <c r="Q5242" s="33"/>
      <c r="R5242" s="33"/>
      <c r="T5242"/>
    </row>
    <row r="5243" spans="1:20" x14ac:dyDescent="0.2">
      <c r="A5243" s="9"/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9"/>
      <c r="R5243" s="9"/>
      <c r="T5243"/>
    </row>
    <row r="5244" spans="1:20" x14ac:dyDescent="0.2">
      <c r="A5244" s="33"/>
      <c r="B5244" s="33"/>
      <c r="C5244" s="33"/>
      <c r="D5244" s="33"/>
      <c r="E5244" s="33"/>
      <c r="F5244" s="33"/>
      <c r="G5244" s="33"/>
      <c r="H5244" s="33"/>
      <c r="I5244" s="33"/>
      <c r="J5244" s="33"/>
      <c r="K5244" s="33"/>
      <c r="L5244" s="33"/>
      <c r="M5244" s="33"/>
      <c r="N5244" s="33"/>
      <c r="O5244" s="33"/>
      <c r="P5244" s="33"/>
      <c r="Q5244" s="33"/>
      <c r="R5244" s="33"/>
      <c r="T5244"/>
    </row>
    <row r="5245" spans="1:20" x14ac:dyDescent="0.2">
      <c r="A5245" s="9"/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9"/>
      <c r="R5245" s="9"/>
      <c r="T5245"/>
    </row>
    <row r="5246" spans="1:20" x14ac:dyDescent="0.2">
      <c r="A5246" s="33"/>
      <c r="B5246" s="33"/>
      <c r="C5246" s="33"/>
      <c r="D5246" s="33"/>
      <c r="E5246" s="33"/>
      <c r="F5246" s="33"/>
      <c r="G5246" s="33"/>
      <c r="H5246" s="33"/>
      <c r="I5246" s="33"/>
      <c r="J5246" s="33"/>
      <c r="K5246" s="33"/>
      <c r="L5246" s="33"/>
      <c r="M5246" s="33"/>
      <c r="N5246" s="33"/>
      <c r="O5246" s="33"/>
      <c r="P5246" s="33"/>
      <c r="Q5246" s="33"/>
      <c r="R5246" s="33"/>
      <c r="T5246"/>
    </row>
    <row r="5247" spans="1:20" x14ac:dyDescent="0.2">
      <c r="A5247" s="9"/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T5247"/>
    </row>
    <row r="5248" spans="1:20" x14ac:dyDescent="0.2">
      <c r="A5248" s="33"/>
      <c r="B5248" s="33"/>
      <c r="C5248" s="33"/>
      <c r="D5248" s="33"/>
      <c r="E5248" s="33"/>
      <c r="F5248" s="33"/>
      <c r="G5248" s="33"/>
      <c r="H5248" s="33"/>
      <c r="I5248" s="33"/>
      <c r="J5248" s="33"/>
      <c r="K5248" s="33"/>
      <c r="L5248" s="33"/>
      <c r="M5248" s="33"/>
      <c r="N5248" s="33"/>
      <c r="O5248" s="33"/>
      <c r="P5248" s="33"/>
      <c r="Q5248" s="33"/>
      <c r="R5248" s="33"/>
      <c r="T5248"/>
    </row>
    <row r="5249" spans="1:20" x14ac:dyDescent="0.2">
      <c r="A5249" s="9"/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9"/>
      <c r="R5249" s="9"/>
      <c r="T5249"/>
    </row>
    <row r="5250" spans="1:20" x14ac:dyDescent="0.2">
      <c r="A5250" s="33"/>
      <c r="B5250" s="33"/>
      <c r="C5250" s="33"/>
      <c r="D5250" s="33"/>
      <c r="E5250" s="33"/>
      <c r="F5250" s="33"/>
      <c r="G5250" s="33"/>
      <c r="H5250" s="33"/>
      <c r="I5250" s="33"/>
      <c r="J5250" s="33"/>
      <c r="K5250" s="33"/>
      <c r="L5250" s="33"/>
      <c r="M5250" s="33"/>
      <c r="N5250" s="33"/>
      <c r="O5250" s="33"/>
      <c r="P5250" s="33"/>
      <c r="Q5250" s="33"/>
      <c r="R5250" s="33"/>
      <c r="T5250"/>
    </row>
    <row r="5251" spans="1:20" x14ac:dyDescent="0.2">
      <c r="A5251" s="9"/>
      <c r="B5251" s="9"/>
      <c r="C5251" s="9"/>
      <c r="D5251" s="9"/>
      <c r="E5251" s="9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9"/>
      <c r="R5251" s="9"/>
      <c r="T5251"/>
    </row>
    <row r="5252" spans="1:20" x14ac:dyDescent="0.2">
      <c r="A5252" s="33"/>
      <c r="B5252" s="33"/>
      <c r="C5252" s="33"/>
      <c r="D5252" s="33"/>
      <c r="E5252" s="33"/>
      <c r="F5252" s="33"/>
      <c r="G5252" s="33"/>
      <c r="H5252" s="33"/>
      <c r="I5252" s="33"/>
      <c r="J5252" s="33"/>
      <c r="K5252" s="33"/>
      <c r="L5252" s="33"/>
      <c r="M5252" s="33"/>
      <c r="N5252" s="33"/>
      <c r="O5252" s="33"/>
      <c r="P5252" s="33"/>
      <c r="Q5252" s="33"/>
      <c r="R5252" s="33"/>
      <c r="T5252"/>
    </row>
    <row r="5253" spans="1:20" x14ac:dyDescent="0.2">
      <c r="A5253" s="9"/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9"/>
      <c r="R5253" s="9"/>
      <c r="T5253"/>
    </row>
    <row r="5254" spans="1:20" x14ac:dyDescent="0.2">
      <c r="A5254" s="33"/>
      <c r="B5254" s="33"/>
      <c r="C5254" s="33"/>
      <c r="D5254" s="33"/>
      <c r="E5254" s="33"/>
      <c r="F5254" s="33"/>
      <c r="G5254" s="33"/>
      <c r="H5254" s="33"/>
      <c r="I5254" s="33"/>
      <c r="J5254" s="33"/>
      <c r="K5254" s="33"/>
      <c r="L5254" s="33"/>
      <c r="M5254" s="33"/>
      <c r="N5254" s="33"/>
      <c r="O5254" s="33"/>
      <c r="P5254" s="33"/>
      <c r="Q5254" s="33"/>
      <c r="R5254" s="33"/>
      <c r="T5254"/>
    </row>
    <row r="5255" spans="1:20" x14ac:dyDescent="0.2">
      <c r="A5255" s="9"/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T5255"/>
    </row>
    <row r="5256" spans="1:20" x14ac:dyDescent="0.2">
      <c r="A5256" s="33"/>
      <c r="B5256" s="33"/>
      <c r="C5256" s="33"/>
      <c r="D5256" s="33"/>
      <c r="E5256" s="33"/>
      <c r="F5256" s="33"/>
      <c r="G5256" s="33"/>
      <c r="H5256" s="33"/>
      <c r="I5256" s="33"/>
      <c r="J5256" s="33"/>
      <c r="K5256" s="33"/>
      <c r="L5256" s="33"/>
      <c r="M5256" s="33"/>
      <c r="N5256" s="33"/>
      <c r="O5256" s="33"/>
      <c r="P5256" s="33"/>
      <c r="Q5256" s="33"/>
      <c r="R5256" s="33"/>
      <c r="T5256"/>
    </row>
    <row r="5257" spans="1:20" x14ac:dyDescent="0.2">
      <c r="A5257" s="9"/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9"/>
      <c r="R5257" s="9"/>
      <c r="T5257"/>
    </row>
    <row r="5258" spans="1:20" x14ac:dyDescent="0.2">
      <c r="A5258" s="33"/>
      <c r="B5258" s="33"/>
      <c r="C5258" s="33"/>
      <c r="D5258" s="33"/>
      <c r="E5258" s="33"/>
      <c r="F5258" s="33"/>
      <c r="G5258" s="33"/>
      <c r="H5258" s="33"/>
      <c r="I5258" s="33"/>
      <c r="J5258" s="33"/>
      <c r="K5258" s="33"/>
      <c r="L5258" s="33"/>
      <c r="M5258" s="33"/>
      <c r="N5258" s="33"/>
      <c r="O5258" s="33"/>
      <c r="P5258" s="33"/>
      <c r="Q5258" s="33"/>
      <c r="R5258" s="33"/>
      <c r="T5258"/>
    </row>
    <row r="5259" spans="1:20" x14ac:dyDescent="0.2">
      <c r="A5259" s="9"/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9"/>
      <c r="R5259" s="9"/>
      <c r="T5259"/>
    </row>
    <row r="5260" spans="1:20" x14ac:dyDescent="0.2">
      <c r="A5260" s="33"/>
      <c r="B5260" s="33"/>
      <c r="C5260" s="33"/>
      <c r="D5260" s="33"/>
      <c r="E5260" s="33"/>
      <c r="F5260" s="33"/>
      <c r="G5260" s="33"/>
      <c r="H5260" s="33"/>
      <c r="I5260" s="33"/>
      <c r="J5260" s="33"/>
      <c r="K5260" s="33"/>
      <c r="L5260" s="33"/>
      <c r="M5260" s="33"/>
      <c r="N5260" s="33"/>
      <c r="O5260" s="33"/>
      <c r="P5260" s="33"/>
      <c r="Q5260" s="33"/>
      <c r="R5260" s="33"/>
      <c r="T5260"/>
    </row>
    <row r="5261" spans="1:20" x14ac:dyDescent="0.2">
      <c r="A5261" s="9"/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9"/>
      <c r="R5261" s="9"/>
      <c r="T5261"/>
    </row>
    <row r="5262" spans="1:20" x14ac:dyDescent="0.2">
      <c r="A5262" s="33"/>
      <c r="B5262" s="33"/>
      <c r="C5262" s="33"/>
      <c r="D5262" s="33"/>
      <c r="E5262" s="33"/>
      <c r="F5262" s="33"/>
      <c r="G5262" s="33"/>
      <c r="H5262" s="33"/>
      <c r="I5262" s="33"/>
      <c r="J5262" s="33"/>
      <c r="K5262" s="33"/>
      <c r="L5262" s="33"/>
      <c r="M5262" s="33"/>
      <c r="N5262" s="33"/>
      <c r="O5262" s="33"/>
      <c r="P5262" s="33"/>
      <c r="Q5262" s="33"/>
      <c r="R5262" s="33"/>
      <c r="T5262"/>
    </row>
    <row r="5263" spans="1:20" x14ac:dyDescent="0.2">
      <c r="A5263" s="9"/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T5263"/>
    </row>
    <row r="5264" spans="1:20" x14ac:dyDescent="0.2">
      <c r="A5264" s="33"/>
      <c r="B5264" s="33"/>
      <c r="C5264" s="33"/>
      <c r="D5264" s="33"/>
      <c r="E5264" s="33"/>
      <c r="F5264" s="33"/>
      <c r="G5264" s="33"/>
      <c r="H5264" s="33"/>
      <c r="I5264" s="33"/>
      <c r="J5264" s="33"/>
      <c r="K5264" s="33"/>
      <c r="L5264" s="33"/>
      <c r="M5264" s="33"/>
      <c r="N5264" s="33"/>
      <c r="O5264" s="33"/>
      <c r="P5264" s="33"/>
      <c r="Q5264" s="33"/>
      <c r="R5264" s="33"/>
      <c r="T5264"/>
    </row>
    <row r="5265" spans="1:20" x14ac:dyDescent="0.2">
      <c r="A5265" s="9"/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T5265"/>
    </row>
    <row r="5266" spans="1:20" x14ac:dyDescent="0.2">
      <c r="A5266" s="33"/>
      <c r="B5266" s="33"/>
      <c r="C5266" s="33"/>
      <c r="D5266" s="33"/>
      <c r="E5266" s="33"/>
      <c r="F5266" s="33"/>
      <c r="G5266" s="33"/>
      <c r="H5266" s="33"/>
      <c r="I5266" s="33"/>
      <c r="J5266" s="33"/>
      <c r="K5266" s="33"/>
      <c r="L5266" s="33"/>
      <c r="M5266" s="33"/>
      <c r="N5266" s="33"/>
      <c r="O5266" s="33"/>
      <c r="P5266" s="33"/>
      <c r="Q5266" s="33"/>
      <c r="R5266" s="33"/>
      <c r="T5266"/>
    </row>
    <row r="5267" spans="1:20" x14ac:dyDescent="0.2">
      <c r="A5267" s="9"/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T5267"/>
    </row>
    <row r="5268" spans="1:20" x14ac:dyDescent="0.2">
      <c r="A5268" s="33"/>
      <c r="B5268" s="33"/>
      <c r="C5268" s="33"/>
      <c r="D5268" s="33"/>
      <c r="E5268" s="33"/>
      <c r="F5268" s="33"/>
      <c r="G5268" s="33"/>
      <c r="H5268" s="33"/>
      <c r="I5268" s="33"/>
      <c r="J5268" s="33"/>
      <c r="K5268" s="33"/>
      <c r="L5268" s="33"/>
      <c r="M5268" s="33"/>
      <c r="N5268" s="33"/>
      <c r="O5268" s="33"/>
      <c r="P5268" s="33"/>
      <c r="Q5268" s="33"/>
      <c r="R5268" s="33"/>
      <c r="T5268"/>
    </row>
    <row r="5269" spans="1:20" x14ac:dyDescent="0.2">
      <c r="A5269" s="9"/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T5269"/>
    </row>
    <row r="5270" spans="1:20" x14ac:dyDescent="0.2">
      <c r="A5270" s="33"/>
      <c r="B5270" s="33"/>
      <c r="C5270" s="33"/>
      <c r="D5270" s="33"/>
      <c r="E5270" s="33"/>
      <c r="F5270" s="33"/>
      <c r="G5270" s="33"/>
      <c r="H5270" s="33"/>
      <c r="I5270" s="33"/>
      <c r="J5270" s="33"/>
      <c r="K5270" s="33"/>
      <c r="L5270" s="33"/>
      <c r="M5270" s="33"/>
      <c r="N5270" s="33"/>
      <c r="O5270" s="33"/>
      <c r="P5270" s="33"/>
      <c r="Q5270" s="33"/>
      <c r="R5270" s="33"/>
      <c r="T5270"/>
    </row>
    <row r="5271" spans="1:20" x14ac:dyDescent="0.2">
      <c r="A5271" s="9"/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T5271"/>
    </row>
    <row r="5272" spans="1:20" x14ac:dyDescent="0.2">
      <c r="A5272" s="33"/>
      <c r="B5272" s="33"/>
      <c r="C5272" s="33"/>
      <c r="D5272" s="33"/>
      <c r="E5272" s="33"/>
      <c r="F5272" s="33"/>
      <c r="G5272" s="33"/>
      <c r="H5272" s="33"/>
      <c r="I5272" s="33"/>
      <c r="J5272" s="33"/>
      <c r="K5272" s="33"/>
      <c r="L5272" s="33"/>
      <c r="M5272" s="33"/>
      <c r="N5272" s="33"/>
      <c r="O5272" s="33"/>
      <c r="P5272" s="33"/>
      <c r="Q5272" s="33"/>
      <c r="R5272" s="33"/>
      <c r="T5272"/>
    </row>
    <row r="5273" spans="1:20" x14ac:dyDescent="0.2">
      <c r="A5273" s="9"/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T5273"/>
    </row>
    <row r="5274" spans="1:20" x14ac:dyDescent="0.2">
      <c r="A5274" s="33"/>
      <c r="B5274" s="33"/>
      <c r="C5274" s="33"/>
      <c r="D5274" s="33"/>
      <c r="E5274" s="33"/>
      <c r="F5274" s="33"/>
      <c r="G5274" s="33"/>
      <c r="H5274" s="33"/>
      <c r="I5274" s="33"/>
      <c r="J5274" s="33"/>
      <c r="K5274" s="33"/>
      <c r="L5274" s="33"/>
      <c r="M5274" s="33"/>
      <c r="N5274" s="33"/>
      <c r="O5274" s="33"/>
      <c r="P5274" s="33"/>
      <c r="Q5274" s="33"/>
      <c r="R5274" s="33"/>
      <c r="T5274"/>
    </row>
    <row r="5275" spans="1:20" x14ac:dyDescent="0.2">
      <c r="A5275" s="9"/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T5275"/>
    </row>
    <row r="5276" spans="1:20" x14ac:dyDescent="0.2">
      <c r="A5276" s="33"/>
      <c r="B5276" s="33"/>
      <c r="C5276" s="33"/>
      <c r="D5276" s="33"/>
      <c r="E5276" s="33"/>
      <c r="F5276" s="33"/>
      <c r="G5276" s="33"/>
      <c r="H5276" s="33"/>
      <c r="I5276" s="33"/>
      <c r="J5276" s="33"/>
      <c r="K5276" s="33"/>
      <c r="L5276" s="33"/>
      <c r="M5276" s="33"/>
      <c r="N5276" s="33"/>
      <c r="O5276" s="33"/>
      <c r="P5276" s="33"/>
      <c r="Q5276" s="33"/>
      <c r="R5276" s="33"/>
      <c r="T5276"/>
    </row>
    <row r="5277" spans="1:20" x14ac:dyDescent="0.2">
      <c r="A5277" s="9"/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T5277"/>
    </row>
    <row r="5278" spans="1:20" x14ac:dyDescent="0.2">
      <c r="A5278" s="33"/>
      <c r="B5278" s="33"/>
      <c r="C5278" s="33"/>
      <c r="D5278" s="33"/>
      <c r="E5278" s="33"/>
      <c r="F5278" s="33"/>
      <c r="G5278" s="33"/>
      <c r="H5278" s="33"/>
      <c r="I5278" s="33"/>
      <c r="J5278" s="33"/>
      <c r="K5278" s="33"/>
      <c r="L5278" s="33"/>
      <c r="M5278" s="33"/>
      <c r="N5278" s="33"/>
      <c r="O5278" s="33"/>
      <c r="P5278" s="33"/>
      <c r="Q5278" s="33"/>
      <c r="R5278" s="33"/>
      <c r="T5278"/>
    </row>
    <row r="5279" spans="1:20" x14ac:dyDescent="0.2">
      <c r="A5279" s="9"/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T5279"/>
    </row>
    <row r="5280" spans="1:20" x14ac:dyDescent="0.2">
      <c r="A5280" s="33"/>
      <c r="B5280" s="33"/>
      <c r="C5280" s="33"/>
      <c r="D5280" s="33"/>
      <c r="E5280" s="33"/>
      <c r="F5280" s="33"/>
      <c r="G5280" s="33"/>
      <c r="H5280" s="33"/>
      <c r="I5280" s="33"/>
      <c r="J5280" s="33"/>
      <c r="K5280" s="33"/>
      <c r="L5280" s="33"/>
      <c r="M5280" s="33"/>
      <c r="N5280" s="33"/>
      <c r="O5280" s="33"/>
      <c r="P5280" s="33"/>
      <c r="Q5280" s="33"/>
      <c r="R5280" s="33"/>
      <c r="T5280"/>
    </row>
    <row r="5281" spans="1:20" x14ac:dyDescent="0.2">
      <c r="A5281" s="9"/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T5281"/>
    </row>
    <row r="5282" spans="1:20" x14ac:dyDescent="0.2">
      <c r="A5282" s="33"/>
      <c r="B5282" s="33"/>
      <c r="C5282" s="33"/>
      <c r="D5282" s="33"/>
      <c r="E5282" s="33"/>
      <c r="F5282" s="33"/>
      <c r="G5282" s="33"/>
      <c r="H5282" s="33"/>
      <c r="I5282" s="33"/>
      <c r="J5282" s="33"/>
      <c r="K5282" s="33"/>
      <c r="L5282" s="33"/>
      <c r="M5282" s="33"/>
      <c r="N5282" s="33"/>
      <c r="O5282" s="33"/>
      <c r="P5282" s="33"/>
      <c r="Q5282" s="33"/>
      <c r="R5282" s="33"/>
      <c r="T5282"/>
    </row>
    <row r="5283" spans="1:20" x14ac:dyDescent="0.2">
      <c r="A5283" s="9"/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T5283"/>
    </row>
    <row r="5284" spans="1:20" x14ac:dyDescent="0.2">
      <c r="A5284" s="33"/>
      <c r="B5284" s="33"/>
      <c r="C5284" s="33"/>
      <c r="D5284" s="33"/>
      <c r="E5284" s="33"/>
      <c r="F5284" s="33"/>
      <c r="G5284" s="33"/>
      <c r="H5284" s="33"/>
      <c r="I5284" s="33"/>
      <c r="J5284" s="33"/>
      <c r="K5284" s="33"/>
      <c r="L5284" s="33"/>
      <c r="M5284" s="33"/>
      <c r="N5284" s="33"/>
      <c r="O5284" s="33"/>
      <c r="P5284" s="33"/>
      <c r="Q5284" s="33"/>
      <c r="R5284" s="33"/>
      <c r="T5284"/>
    </row>
    <row r="5285" spans="1:20" x14ac:dyDescent="0.2">
      <c r="A5285" s="9"/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T5285"/>
    </row>
    <row r="5286" spans="1:20" x14ac:dyDescent="0.2">
      <c r="A5286" s="33"/>
      <c r="B5286" s="33"/>
      <c r="C5286" s="33"/>
      <c r="D5286" s="33"/>
      <c r="E5286" s="33"/>
      <c r="F5286" s="33"/>
      <c r="G5286" s="33"/>
      <c r="H5286" s="33"/>
      <c r="I5286" s="33"/>
      <c r="J5286" s="33"/>
      <c r="K5286" s="33"/>
      <c r="L5286" s="33"/>
      <c r="M5286" s="33"/>
      <c r="N5286" s="33"/>
      <c r="O5286" s="33"/>
      <c r="P5286" s="33"/>
      <c r="Q5286" s="33"/>
      <c r="R5286" s="33"/>
      <c r="T5286"/>
    </row>
    <row r="5287" spans="1:20" x14ac:dyDescent="0.2">
      <c r="A5287" s="9"/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T5287"/>
    </row>
    <row r="5288" spans="1:20" x14ac:dyDescent="0.2">
      <c r="A5288" s="33"/>
      <c r="B5288" s="33"/>
      <c r="C5288" s="33"/>
      <c r="D5288" s="33"/>
      <c r="E5288" s="33"/>
      <c r="F5288" s="33"/>
      <c r="G5288" s="33"/>
      <c r="H5288" s="33"/>
      <c r="I5288" s="33"/>
      <c r="J5288" s="33"/>
      <c r="K5288" s="33"/>
      <c r="L5288" s="33"/>
      <c r="M5288" s="33"/>
      <c r="N5288" s="33"/>
      <c r="O5288" s="33"/>
      <c r="P5288" s="33"/>
      <c r="Q5288" s="33"/>
      <c r="R5288" s="33"/>
      <c r="T5288"/>
    </row>
    <row r="5289" spans="1:20" x14ac:dyDescent="0.2">
      <c r="A5289" s="9"/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T5289"/>
    </row>
    <row r="5290" spans="1:20" x14ac:dyDescent="0.2">
      <c r="A5290" s="33"/>
      <c r="B5290" s="33"/>
      <c r="C5290" s="33"/>
      <c r="D5290" s="33"/>
      <c r="E5290" s="33"/>
      <c r="F5290" s="33"/>
      <c r="G5290" s="33"/>
      <c r="H5290" s="33"/>
      <c r="I5290" s="33"/>
      <c r="J5290" s="33"/>
      <c r="K5290" s="33"/>
      <c r="L5290" s="33"/>
      <c r="M5290" s="33"/>
      <c r="N5290" s="33"/>
      <c r="O5290" s="33"/>
      <c r="P5290" s="33"/>
      <c r="Q5290" s="33"/>
      <c r="R5290" s="33"/>
      <c r="T5290"/>
    </row>
    <row r="5291" spans="1:20" x14ac:dyDescent="0.2">
      <c r="A5291" s="9"/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T5291"/>
    </row>
    <row r="5292" spans="1:20" x14ac:dyDescent="0.2">
      <c r="A5292" s="33"/>
      <c r="B5292" s="33"/>
      <c r="C5292" s="33"/>
      <c r="D5292" s="33"/>
      <c r="E5292" s="33"/>
      <c r="F5292" s="33"/>
      <c r="G5292" s="33"/>
      <c r="H5292" s="33"/>
      <c r="I5292" s="33"/>
      <c r="J5292" s="33"/>
      <c r="K5292" s="33"/>
      <c r="L5292" s="33"/>
      <c r="M5292" s="33"/>
      <c r="N5292" s="33"/>
      <c r="O5292" s="33"/>
      <c r="P5292" s="33"/>
      <c r="Q5292" s="33"/>
      <c r="R5292" s="33"/>
      <c r="T5292"/>
    </row>
    <row r="5293" spans="1:20" x14ac:dyDescent="0.2">
      <c r="A5293" s="9"/>
      <c r="B5293" s="9"/>
      <c r="C5293" s="9"/>
      <c r="D5293" s="9"/>
      <c r="E5293" s="9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T5293"/>
    </row>
    <row r="5294" spans="1:20" x14ac:dyDescent="0.2">
      <c r="A5294" s="33"/>
      <c r="B5294" s="33"/>
      <c r="C5294" s="33"/>
      <c r="D5294" s="33"/>
      <c r="E5294" s="33"/>
      <c r="F5294" s="33"/>
      <c r="G5294" s="33"/>
      <c r="H5294" s="33"/>
      <c r="I5294" s="33"/>
      <c r="J5294" s="33"/>
      <c r="K5294" s="33"/>
      <c r="L5294" s="33"/>
      <c r="M5294" s="33"/>
      <c r="N5294" s="33"/>
      <c r="O5294" s="33"/>
      <c r="P5294" s="33"/>
      <c r="Q5294" s="33"/>
      <c r="R5294" s="33"/>
      <c r="T5294"/>
    </row>
    <row r="5295" spans="1:20" x14ac:dyDescent="0.2">
      <c r="A5295" s="9"/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T5295"/>
    </row>
    <row r="5296" spans="1:20" x14ac:dyDescent="0.2">
      <c r="A5296" s="33"/>
      <c r="B5296" s="33"/>
      <c r="C5296" s="33"/>
      <c r="D5296" s="33"/>
      <c r="E5296" s="33"/>
      <c r="F5296" s="33"/>
      <c r="G5296" s="33"/>
      <c r="H5296" s="33"/>
      <c r="I5296" s="33"/>
      <c r="J5296" s="33"/>
      <c r="K5296" s="33"/>
      <c r="L5296" s="33"/>
      <c r="M5296" s="33"/>
      <c r="N5296" s="33"/>
      <c r="O5296" s="33"/>
      <c r="P5296" s="33"/>
      <c r="Q5296" s="33"/>
      <c r="R5296" s="33"/>
      <c r="T5296"/>
    </row>
    <row r="5297" spans="1:20" x14ac:dyDescent="0.2">
      <c r="A5297" s="9"/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T5297"/>
    </row>
    <row r="5298" spans="1:20" x14ac:dyDescent="0.2">
      <c r="A5298" s="33"/>
      <c r="B5298" s="33"/>
      <c r="C5298" s="33"/>
      <c r="D5298" s="33"/>
      <c r="E5298" s="33"/>
      <c r="F5298" s="33"/>
      <c r="G5298" s="33"/>
      <c r="H5298" s="33"/>
      <c r="I5298" s="33"/>
      <c r="J5298" s="33"/>
      <c r="K5298" s="33"/>
      <c r="L5298" s="33"/>
      <c r="M5298" s="33"/>
      <c r="N5298" s="33"/>
      <c r="O5298" s="33"/>
      <c r="P5298" s="33"/>
      <c r="Q5298" s="33"/>
      <c r="R5298" s="33"/>
      <c r="T5298"/>
    </row>
    <row r="5299" spans="1:20" x14ac:dyDescent="0.2">
      <c r="A5299" s="9"/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9"/>
      <c r="R5299" s="9"/>
      <c r="T5299"/>
    </row>
    <row r="5300" spans="1:20" x14ac:dyDescent="0.2">
      <c r="A5300" s="33"/>
      <c r="B5300" s="33"/>
      <c r="C5300" s="33"/>
      <c r="D5300" s="33"/>
      <c r="E5300" s="33"/>
      <c r="F5300" s="33"/>
      <c r="G5300" s="33"/>
      <c r="H5300" s="33"/>
      <c r="I5300" s="33"/>
      <c r="J5300" s="33"/>
      <c r="K5300" s="33"/>
      <c r="L5300" s="33"/>
      <c r="M5300" s="33"/>
      <c r="N5300" s="33"/>
      <c r="O5300" s="33"/>
      <c r="P5300" s="33"/>
      <c r="Q5300" s="33"/>
      <c r="R5300" s="33"/>
      <c r="T5300"/>
    </row>
    <row r="5301" spans="1:20" x14ac:dyDescent="0.2">
      <c r="A5301" s="9"/>
      <c r="B5301" s="9"/>
      <c r="C5301" s="9"/>
      <c r="D5301" s="9"/>
      <c r="E5301" s="9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T5301"/>
    </row>
    <row r="5302" spans="1:20" x14ac:dyDescent="0.2">
      <c r="A5302" s="33"/>
      <c r="B5302" s="33"/>
      <c r="C5302" s="33"/>
      <c r="D5302" s="33"/>
      <c r="E5302" s="33"/>
      <c r="F5302" s="33"/>
      <c r="G5302" s="33"/>
      <c r="H5302" s="33"/>
      <c r="I5302" s="33"/>
      <c r="J5302" s="33"/>
      <c r="K5302" s="33"/>
      <c r="L5302" s="33"/>
      <c r="M5302" s="33"/>
      <c r="N5302" s="33"/>
      <c r="O5302" s="33"/>
      <c r="P5302" s="33"/>
      <c r="Q5302" s="33"/>
      <c r="R5302" s="33"/>
      <c r="T5302"/>
    </row>
    <row r="5303" spans="1:20" x14ac:dyDescent="0.2">
      <c r="A5303" s="9"/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T5303"/>
    </row>
    <row r="5304" spans="1:20" x14ac:dyDescent="0.2">
      <c r="A5304" s="33"/>
      <c r="B5304" s="33"/>
      <c r="C5304" s="33"/>
      <c r="D5304" s="33"/>
      <c r="E5304" s="33"/>
      <c r="F5304" s="33"/>
      <c r="G5304" s="33"/>
      <c r="H5304" s="33"/>
      <c r="I5304" s="33"/>
      <c r="J5304" s="33"/>
      <c r="K5304" s="33"/>
      <c r="L5304" s="33"/>
      <c r="M5304" s="33"/>
      <c r="N5304" s="33"/>
      <c r="O5304" s="33"/>
      <c r="P5304" s="33"/>
      <c r="Q5304" s="33"/>
      <c r="R5304" s="33"/>
      <c r="T5304"/>
    </row>
    <row r="5305" spans="1:20" x14ac:dyDescent="0.2">
      <c r="A5305" s="9"/>
      <c r="B5305" s="9"/>
      <c r="C5305" s="9"/>
      <c r="D5305" s="9"/>
      <c r="E5305" s="9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9"/>
      <c r="R5305" s="9"/>
      <c r="T5305"/>
    </row>
    <row r="5306" spans="1:20" x14ac:dyDescent="0.2">
      <c r="A5306" s="33"/>
      <c r="B5306" s="33"/>
      <c r="C5306" s="33"/>
      <c r="D5306" s="33"/>
      <c r="E5306" s="33"/>
      <c r="F5306" s="33"/>
      <c r="G5306" s="33"/>
      <c r="H5306" s="33"/>
      <c r="I5306" s="33"/>
      <c r="J5306" s="33"/>
      <c r="K5306" s="33"/>
      <c r="L5306" s="33"/>
      <c r="M5306" s="33"/>
      <c r="N5306" s="33"/>
      <c r="O5306" s="33"/>
      <c r="P5306" s="33"/>
      <c r="Q5306" s="33"/>
      <c r="R5306" s="33"/>
      <c r="T5306"/>
    </row>
    <row r="5307" spans="1:20" x14ac:dyDescent="0.2">
      <c r="A5307" s="9"/>
      <c r="B5307" s="9"/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9"/>
      <c r="R5307" s="9"/>
      <c r="T5307"/>
    </row>
    <row r="5308" spans="1:20" x14ac:dyDescent="0.2">
      <c r="A5308" s="33"/>
      <c r="B5308" s="33"/>
      <c r="C5308" s="33"/>
      <c r="D5308" s="33"/>
      <c r="E5308" s="33"/>
      <c r="F5308" s="33"/>
      <c r="G5308" s="33"/>
      <c r="H5308" s="33"/>
      <c r="I5308" s="33"/>
      <c r="J5308" s="33"/>
      <c r="K5308" s="33"/>
      <c r="L5308" s="33"/>
      <c r="M5308" s="33"/>
      <c r="N5308" s="33"/>
      <c r="O5308" s="33"/>
      <c r="P5308" s="33"/>
      <c r="Q5308" s="33"/>
      <c r="R5308" s="33"/>
      <c r="T5308"/>
    </row>
    <row r="5309" spans="1:20" x14ac:dyDescent="0.2">
      <c r="A5309" s="9"/>
      <c r="B5309" s="9"/>
      <c r="C5309" s="9"/>
      <c r="D5309" s="9"/>
      <c r="E5309" s="9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9"/>
      <c r="R5309" s="9"/>
      <c r="T5309"/>
    </row>
    <row r="5310" spans="1:20" x14ac:dyDescent="0.2">
      <c r="A5310" s="33"/>
      <c r="B5310" s="33"/>
      <c r="C5310" s="33"/>
      <c r="D5310" s="33"/>
      <c r="E5310" s="33"/>
      <c r="F5310" s="33"/>
      <c r="G5310" s="33"/>
      <c r="H5310" s="33"/>
      <c r="I5310" s="33"/>
      <c r="J5310" s="33"/>
      <c r="K5310" s="33"/>
      <c r="L5310" s="33"/>
      <c r="M5310" s="33"/>
      <c r="N5310" s="33"/>
      <c r="O5310" s="33"/>
      <c r="P5310" s="33"/>
      <c r="Q5310" s="33"/>
      <c r="R5310" s="33"/>
      <c r="T5310"/>
    </row>
    <row r="5311" spans="1:20" x14ac:dyDescent="0.2">
      <c r="A5311" s="9"/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T5311"/>
    </row>
    <row r="5312" spans="1:20" x14ac:dyDescent="0.2">
      <c r="A5312" s="33"/>
      <c r="B5312" s="33"/>
      <c r="C5312" s="33"/>
      <c r="D5312" s="33"/>
      <c r="E5312" s="33"/>
      <c r="F5312" s="33"/>
      <c r="G5312" s="33"/>
      <c r="H5312" s="33"/>
      <c r="I5312" s="33"/>
      <c r="J5312" s="33"/>
      <c r="K5312" s="33"/>
      <c r="L5312" s="33"/>
      <c r="M5312" s="33"/>
      <c r="N5312" s="33"/>
      <c r="O5312" s="33"/>
      <c r="P5312" s="33"/>
      <c r="Q5312" s="33"/>
      <c r="R5312" s="33"/>
      <c r="T5312"/>
    </row>
    <row r="5313" spans="1:20" x14ac:dyDescent="0.2">
      <c r="A5313" s="9"/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9"/>
      <c r="R5313" s="9"/>
      <c r="T5313"/>
    </row>
    <row r="5314" spans="1:20" x14ac:dyDescent="0.2">
      <c r="A5314" s="33"/>
      <c r="B5314" s="33"/>
      <c r="C5314" s="33"/>
      <c r="D5314" s="33"/>
      <c r="E5314" s="33"/>
      <c r="F5314" s="33"/>
      <c r="G5314" s="33"/>
      <c r="H5314" s="33"/>
      <c r="I5314" s="33"/>
      <c r="J5314" s="33"/>
      <c r="K5314" s="33"/>
      <c r="L5314" s="33"/>
      <c r="M5314" s="33"/>
      <c r="N5314" s="33"/>
      <c r="O5314" s="33"/>
      <c r="P5314" s="33"/>
      <c r="Q5314" s="33"/>
      <c r="R5314" s="33"/>
      <c r="T5314"/>
    </row>
    <row r="5315" spans="1:20" x14ac:dyDescent="0.2">
      <c r="A5315" s="9"/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T5315"/>
    </row>
    <row r="5316" spans="1:20" x14ac:dyDescent="0.2">
      <c r="A5316" s="33"/>
      <c r="B5316" s="33"/>
      <c r="C5316" s="33"/>
      <c r="D5316" s="33"/>
      <c r="E5316" s="33"/>
      <c r="F5316" s="33"/>
      <c r="G5316" s="33"/>
      <c r="H5316" s="33"/>
      <c r="I5316" s="33"/>
      <c r="J5316" s="33"/>
      <c r="K5316" s="33"/>
      <c r="L5316" s="33"/>
      <c r="M5316" s="33"/>
      <c r="N5316" s="33"/>
      <c r="O5316" s="33"/>
      <c r="P5316" s="33"/>
      <c r="Q5316" s="33"/>
      <c r="R5316" s="33"/>
      <c r="T5316"/>
    </row>
    <row r="5317" spans="1:20" x14ac:dyDescent="0.2">
      <c r="A5317" s="9"/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T5317"/>
    </row>
    <row r="5318" spans="1:20" x14ac:dyDescent="0.2">
      <c r="A5318" s="33"/>
      <c r="B5318" s="33"/>
      <c r="C5318" s="33"/>
      <c r="D5318" s="33"/>
      <c r="E5318" s="33"/>
      <c r="F5318" s="33"/>
      <c r="G5318" s="33"/>
      <c r="H5318" s="33"/>
      <c r="I5318" s="33"/>
      <c r="J5318" s="33"/>
      <c r="K5318" s="33"/>
      <c r="L5318" s="33"/>
      <c r="M5318" s="33"/>
      <c r="N5318" s="33"/>
      <c r="O5318" s="33"/>
      <c r="P5318" s="33"/>
      <c r="Q5318" s="33"/>
      <c r="R5318" s="33"/>
      <c r="T5318"/>
    </row>
    <row r="5319" spans="1:20" x14ac:dyDescent="0.2">
      <c r="A5319" s="9"/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T5319"/>
    </row>
    <row r="5320" spans="1:20" x14ac:dyDescent="0.2">
      <c r="A5320" s="33"/>
      <c r="B5320" s="33"/>
      <c r="C5320" s="33"/>
      <c r="D5320" s="33"/>
      <c r="E5320" s="33"/>
      <c r="F5320" s="33"/>
      <c r="G5320" s="33"/>
      <c r="H5320" s="33"/>
      <c r="I5320" s="33"/>
      <c r="J5320" s="33"/>
      <c r="K5320" s="33"/>
      <c r="L5320" s="33"/>
      <c r="M5320" s="33"/>
      <c r="N5320" s="33"/>
      <c r="O5320" s="33"/>
      <c r="P5320" s="33"/>
      <c r="Q5320" s="33"/>
      <c r="R5320" s="33"/>
      <c r="T5320"/>
    </row>
    <row r="5321" spans="1:20" x14ac:dyDescent="0.2">
      <c r="A5321" s="9"/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T5321"/>
    </row>
    <row r="5322" spans="1:20" x14ac:dyDescent="0.2">
      <c r="A5322" s="33"/>
      <c r="B5322" s="33"/>
      <c r="C5322" s="33"/>
      <c r="D5322" s="33"/>
      <c r="E5322" s="33"/>
      <c r="F5322" s="33"/>
      <c r="G5322" s="33"/>
      <c r="H5322" s="33"/>
      <c r="I5322" s="33"/>
      <c r="J5322" s="33"/>
      <c r="K5322" s="33"/>
      <c r="L5322" s="33"/>
      <c r="M5322" s="33"/>
      <c r="N5322" s="33"/>
      <c r="O5322" s="33"/>
      <c r="P5322" s="33"/>
      <c r="Q5322" s="33"/>
      <c r="R5322" s="33"/>
      <c r="T5322"/>
    </row>
    <row r="5323" spans="1:20" x14ac:dyDescent="0.2">
      <c r="A5323" s="9"/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9"/>
      <c r="R5323" s="9"/>
      <c r="T5323"/>
    </row>
    <row r="5324" spans="1:20" x14ac:dyDescent="0.2">
      <c r="A5324" s="33"/>
      <c r="B5324" s="33"/>
      <c r="C5324" s="33"/>
      <c r="D5324" s="33"/>
      <c r="E5324" s="33"/>
      <c r="F5324" s="33"/>
      <c r="G5324" s="33"/>
      <c r="H5324" s="33"/>
      <c r="I5324" s="33"/>
      <c r="J5324" s="33"/>
      <c r="K5324" s="33"/>
      <c r="L5324" s="33"/>
      <c r="M5324" s="33"/>
      <c r="N5324" s="33"/>
      <c r="O5324" s="33"/>
      <c r="P5324" s="33"/>
      <c r="Q5324" s="33"/>
      <c r="R5324" s="33"/>
      <c r="T5324"/>
    </row>
    <row r="5325" spans="1:20" x14ac:dyDescent="0.2">
      <c r="A5325" s="9"/>
      <c r="B5325" s="9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9"/>
      <c r="R5325" s="9"/>
      <c r="T5325"/>
    </row>
    <row r="5326" spans="1:20" x14ac:dyDescent="0.2">
      <c r="A5326" s="33"/>
      <c r="B5326" s="33"/>
      <c r="C5326" s="33"/>
      <c r="D5326" s="33"/>
      <c r="E5326" s="33"/>
      <c r="F5326" s="33"/>
      <c r="G5326" s="33"/>
      <c r="H5326" s="33"/>
      <c r="I5326" s="33"/>
      <c r="J5326" s="33"/>
      <c r="K5326" s="33"/>
      <c r="L5326" s="33"/>
      <c r="M5326" s="33"/>
      <c r="N5326" s="33"/>
      <c r="O5326" s="33"/>
      <c r="P5326" s="33"/>
      <c r="Q5326" s="33"/>
      <c r="R5326" s="33"/>
      <c r="T5326"/>
    </row>
    <row r="5327" spans="1:20" x14ac:dyDescent="0.2">
      <c r="A5327" s="9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9"/>
      <c r="R5327" s="9"/>
      <c r="T5327"/>
    </row>
    <row r="5328" spans="1:20" x14ac:dyDescent="0.2">
      <c r="A5328" s="33"/>
      <c r="B5328" s="33"/>
      <c r="C5328" s="33"/>
      <c r="D5328" s="33"/>
      <c r="E5328" s="33"/>
      <c r="F5328" s="33"/>
      <c r="G5328" s="33"/>
      <c r="H5328" s="33"/>
      <c r="I5328" s="33"/>
      <c r="J5328" s="33"/>
      <c r="K5328" s="33"/>
      <c r="L5328" s="33"/>
      <c r="M5328" s="33"/>
      <c r="N5328" s="33"/>
      <c r="O5328" s="33"/>
      <c r="P5328" s="33"/>
      <c r="Q5328" s="33"/>
      <c r="R5328" s="33"/>
      <c r="T5328"/>
    </row>
    <row r="5329" spans="1:20" x14ac:dyDescent="0.2">
      <c r="A5329" s="9"/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9"/>
      <c r="R5329" s="9"/>
      <c r="T5329"/>
    </row>
    <row r="5330" spans="1:20" x14ac:dyDescent="0.2">
      <c r="A5330" s="33"/>
      <c r="B5330" s="33"/>
      <c r="C5330" s="33"/>
      <c r="D5330" s="33"/>
      <c r="E5330" s="33"/>
      <c r="F5330" s="33"/>
      <c r="G5330" s="33"/>
      <c r="H5330" s="33"/>
      <c r="I5330" s="33"/>
      <c r="J5330" s="33"/>
      <c r="K5330" s="33"/>
      <c r="L5330" s="33"/>
      <c r="M5330" s="33"/>
      <c r="N5330" s="33"/>
      <c r="O5330" s="33"/>
      <c r="P5330" s="33"/>
      <c r="Q5330" s="33"/>
      <c r="R5330" s="33"/>
      <c r="T5330"/>
    </row>
    <row r="5331" spans="1:20" x14ac:dyDescent="0.2">
      <c r="A5331" s="9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9"/>
      <c r="R5331" s="9"/>
      <c r="T5331"/>
    </row>
    <row r="5332" spans="1:20" x14ac:dyDescent="0.2">
      <c r="A5332" s="33"/>
      <c r="B5332" s="33"/>
      <c r="C5332" s="33"/>
      <c r="D5332" s="33"/>
      <c r="E5332" s="33"/>
      <c r="F5332" s="33"/>
      <c r="G5332" s="33"/>
      <c r="H5332" s="33"/>
      <c r="I5332" s="33"/>
      <c r="J5332" s="33"/>
      <c r="K5332" s="33"/>
      <c r="L5332" s="33"/>
      <c r="M5332" s="33"/>
      <c r="N5332" s="33"/>
      <c r="O5332" s="33"/>
      <c r="P5332" s="33"/>
      <c r="Q5332" s="33"/>
      <c r="R5332" s="33"/>
      <c r="T5332"/>
    </row>
    <row r="5333" spans="1:20" x14ac:dyDescent="0.2">
      <c r="A5333" s="9"/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9"/>
      <c r="R5333" s="9"/>
      <c r="T5333"/>
    </row>
    <row r="5334" spans="1:20" x14ac:dyDescent="0.2">
      <c r="A5334" s="33"/>
      <c r="B5334" s="33"/>
      <c r="C5334" s="33"/>
      <c r="D5334" s="33"/>
      <c r="E5334" s="33"/>
      <c r="F5334" s="33"/>
      <c r="G5334" s="33"/>
      <c r="H5334" s="33"/>
      <c r="I5334" s="33"/>
      <c r="J5334" s="33"/>
      <c r="K5334" s="33"/>
      <c r="L5334" s="33"/>
      <c r="M5334" s="33"/>
      <c r="N5334" s="33"/>
      <c r="O5334" s="33"/>
      <c r="P5334" s="33"/>
      <c r="Q5334" s="33"/>
      <c r="R5334" s="33"/>
      <c r="T5334"/>
    </row>
    <row r="5335" spans="1:20" x14ac:dyDescent="0.2">
      <c r="A5335" s="9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T5335"/>
    </row>
    <row r="5336" spans="1:20" x14ac:dyDescent="0.2">
      <c r="A5336" s="33"/>
      <c r="B5336" s="33"/>
      <c r="C5336" s="33"/>
      <c r="D5336" s="33"/>
      <c r="E5336" s="33"/>
      <c r="F5336" s="33"/>
      <c r="G5336" s="33"/>
      <c r="H5336" s="33"/>
      <c r="I5336" s="33"/>
      <c r="J5336" s="33"/>
      <c r="K5336" s="33"/>
      <c r="L5336" s="33"/>
      <c r="M5336" s="33"/>
      <c r="N5336" s="33"/>
      <c r="O5336" s="33"/>
      <c r="P5336" s="33"/>
      <c r="Q5336" s="33"/>
      <c r="R5336" s="33"/>
      <c r="T5336"/>
    </row>
    <row r="5337" spans="1:20" x14ac:dyDescent="0.2">
      <c r="A5337" s="9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T5337"/>
    </row>
    <row r="5338" spans="1:20" x14ac:dyDescent="0.2">
      <c r="A5338" s="33"/>
      <c r="B5338" s="33"/>
      <c r="C5338" s="33"/>
      <c r="D5338" s="33"/>
      <c r="E5338" s="33"/>
      <c r="F5338" s="33"/>
      <c r="G5338" s="33"/>
      <c r="H5338" s="33"/>
      <c r="I5338" s="33"/>
      <c r="J5338" s="33"/>
      <c r="K5338" s="33"/>
      <c r="L5338" s="33"/>
      <c r="M5338" s="33"/>
      <c r="N5338" s="33"/>
      <c r="O5338" s="33"/>
      <c r="P5338" s="33"/>
      <c r="Q5338" s="33"/>
      <c r="R5338" s="33"/>
      <c r="T5338"/>
    </row>
    <row r="5339" spans="1:20" x14ac:dyDescent="0.2">
      <c r="A5339" s="9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T5339"/>
    </row>
    <row r="5340" spans="1:20" x14ac:dyDescent="0.2">
      <c r="A5340" s="33"/>
      <c r="B5340" s="33"/>
      <c r="C5340" s="33"/>
      <c r="D5340" s="33"/>
      <c r="E5340" s="33"/>
      <c r="F5340" s="33"/>
      <c r="G5340" s="33"/>
      <c r="H5340" s="33"/>
      <c r="I5340" s="33"/>
      <c r="J5340" s="33"/>
      <c r="K5340" s="33"/>
      <c r="L5340" s="33"/>
      <c r="M5340" s="33"/>
      <c r="N5340" s="33"/>
      <c r="O5340" s="33"/>
      <c r="P5340" s="33"/>
      <c r="Q5340" s="33"/>
      <c r="R5340" s="33"/>
      <c r="T5340"/>
    </row>
    <row r="5341" spans="1:20" x14ac:dyDescent="0.2">
      <c r="A5341" s="9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T5341"/>
    </row>
    <row r="5342" spans="1:20" x14ac:dyDescent="0.2">
      <c r="A5342" s="33"/>
      <c r="B5342" s="33"/>
      <c r="C5342" s="33"/>
      <c r="D5342" s="33"/>
      <c r="E5342" s="33"/>
      <c r="F5342" s="33"/>
      <c r="G5342" s="33"/>
      <c r="H5342" s="33"/>
      <c r="I5342" s="33"/>
      <c r="J5342" s="33"/>
      <c r="K5342" s="33"/>
      <c r="L5342" s="33"/>
      <c r="M5342" s="33"/>
      <c r="N5342" s="33"/>
      <c r="O5342" s="33"/>
      <c r="P5342" s="33"/>
      <c r="Q5342" s="33"/>
      <c r="R5342" s="33"/>
      <c r="T5342"/>
    </row>
    <row r="5343" spans="1:20" x14ac:dyDescent="0.2">
      <c r="A5343" s="9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T5343"/>
    </row>
    <row r="5344" spans="1:20" x14ac:dyDescent="0.2">
      <c r="A5344" s="33"/>
      <c r="B5344" s="33"/>
      <c r="C5344" s="33"/>
      <c r="D5344" s="33"/>
      <c r="E5344" s="33"/>
      <c r="F5344" s="33"/>
      <c r="G5344" s="33"/>
      <c r="H5344" s="33"/>
      <c r="I5344" s="33"/>
      <c r="J5344" s="33"/>
      <c r="K5344" s="33"/>
      <c r="L5344" s="33"/>
      <c r="M5344" s="33"/>
      <c r="N5344" s="33"/>
      <c r="O5344" s="33"/>
      <c r="P5344" s="33"/>
      <c r="Q5344" s="33"/>
      <c r="R5344" s="33"/>
      <c r="T5344"/>
    </row>
    <row r="5345" spans="1:20" x14ac:dyDescent="0.2">
      <c r="A5345" s="9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T5345"/>
    </row>
    <row r="5346" spans="1:20" x14ac:dyDescent="0.2">
      <c r="A5346" s="33"/>
      <c r="B5346" s="33"/>
      <c r="C5346" s="33"/>
      <c r="D5346" s="33"/>
      <c r="E5346" s="33"/>
      <c r="F5346" s="33"/>
      <c r="G5346" s="33"/>
      <c r="H5346" s="33"/>
      <c r="I5346" s="33"/>
      <c r="J5346" s="33"/>
      <c r="K5346" s="33"/>
      <c r="L5346" s="33"/>
      <c r="M5346" s="33"/>
      <c r="N5346" s="33"/>
      <c r="O5346" s="33"/>
      <c r="P5346" s="33"/>
      <c r="Q5346" s="33"/>
      <c r="R5346" s="33"/>
      <c r="T5346"/>
    </row>
    <row r="5347" spans="1:20" x14ac:dyDescent="0.2">
      <c r="A5347" s="9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9"/>
      <c r="R5347" s="9"/>
      <c r="T5347"/>
    </row>
    <row r="5348" spans="1:20" x14ac:dyDescent="0.2">
      <c r="A5348" s="33"/>
      <c r="B5348" s="33"/>
      <c r="C5348" s="33"/>
      <c r="D5348" s="33"/>
      <c r="E5348" s="33"/>
      <c r="F5348" s="33"/>
      <c r="G5348" s="33"/>
      <c r="H5348" s="33"/>
      <c r="I5348" s="33"/>
      <c r="J5348" s="33"/>
      <c r="K5348" s="33"/>
      <c r="L5348" s="33"/>
      <c r="M5348" s="33"/>
      <c r="N5348" s="33"/>
      <c r="O5348" s="33"/>
      <c r="P5348" s="33"/>
      <c r="Q5348" s="33"/>
      <c r="R5348" s="33"/>
      <c r="T5348"/>
    </row>
    <row r="5349" spans="1:20" x14ac:dyDescent="0.2">
      <c r="A5349" s="9"/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9"/>
      <c r="R5349" s="9"/>
      <c r="T5349"/>
    </row>
    <row r="5350" spans="1:20" x14ac:dyDescent="0.2">
      <c r="A5350" s="33"/>
      <c r="B5350" s="33"/>
      <c r="C5350" s="33"/>
      <c r="D5350" s="33"/>
      <c r="E5350" s="33"/>
      <c r="F5350" s="33"/>
      <c r="G5350" s="33"/>
      <c r="H5350" s="33"/>
      <c r="I5350" s="33"/>
      <c r="J5350" s="33"/>
      <c r="K5350" s="33"/>
      <c r="L5350" s="33"/>
      <c r="M5350" s="33"/>
      <c r="N5350" s="33"/>
      <c r="O5350" s="33"/>
      <c r="P5350" s="33"/>
      <c r="Q5350" s="33"/>
      <c r="R5350" s="33"/>
      <c r="T5350"/>
    </row>
    <row r="5351" spans="1:20" x14ac:dyDescent="0.2">
      <c r="A5351" s="9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9"/>
      <c r="R5351" s="9"/>
      <c r="T5351"/>
    </row>
    <row r="5352" spans="1:20" x14ac:dyDescent="0.2">
      <c r="A5352" s="33"/>
      <c r="B5352" s="33"/>
      <c r="C5352" s="33"/>
      <c r="D5352" s="33"/>
      <c r="E5352" s="33"/>
      <c r="F5352" s="33"/>
      <c r="G5352" s="33"/>
      <c r="H5352" s="33"/>
      <c r="I5352" s="33"/>
      <c r="J5352" s="33"/>
      <c r="K5352" s="33"/>
      <c r="L5352" s="33"/>
      <c r="M5352" s="33"/>
      <c r="N5352" s="33"/>
      <c r="O5352" s="33"/>
      <c r="P5352" s="33"/>
      <c r="Q5352" s="33"/>
      <c r="R5352" s="33"/>
      <c r="T5352"/>
    </row>
    <row r="5353" spans="1:20" x14ac:dyDescent="0.2">
      <c r="A5353" s="9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9"/>
      <c r="R5353" s="9"/>
      <c r="T5353"/>
    </row>
    <row r="5354" spans="1:20" x14ac:dyDescent="0.2">
      <c r="A5354" s="33"/>
      <c r="B5354" s="33"/>
      <c r="C5354" s="33"/>
      <c r="D5354" s="33"/>
      <c r="E5354" s="33"/>
      <c r="F5354" s="33"/>
      <c r="G5354" s="33"/>
      <c r="H5354" s="33"/>
      <c r="I5354" s="33"/>
      <c r="J5354" s="33"/>
      <c r="K5354" s="33"/>
      <c r="L5354" s="33"/>
      <c r="M5354" s="33"/>
      <c r="N5354" s="33"/>
      <c r="O5354" s="33"/>
      <c r="P5354" s="33"/>
      <c r="Q5354" s="33"/>
      <c r="R5354" s="33"/>
      <c r="T5354"/>
    </row>
    <row r="5355" spans="1:20" x14ac:dyDescent="0.2">
      <c r="A5355" s="9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9"/>
      <c r="R5355" s="9"/>
      <c r="T5355"/>
    </row>
    <row r="5356" spans="1:20" x14ac:dyDescent="0.2">
      <c r="A5356" s="33"/>
      <c r="B5356" s="33"/>
      <c r="C5356" s="33"/>
      <c r="D5356" s="33"/>
      <c r="E5356" s="33"/>
      <c r="F5356" s="33"/>
      <c r="G5356" s="33"/>
      <c r="H5356" s="33"/>
      <c r="I5356" s="33"/>
      <c r="J5356" s="33"/>
      <c r="K5356" s="33"/>
      <c r="L5356" s="33"/>
      <c r="M5356" s="33"/>
      <c r="N5356" s="33"/>
      <c r="O5356" s="33"/>
      <c r="P5356" s="33"/>
      <c r="Q5356" s="33"/>
      <c r="R5356" s="33"/>
      <c r="T5356"/>
    </row>
    <row r="5357" spans="1:20" x14ac:dyDescent="0.2">
      <c r="A5357" s="9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9"/>
      <c r="R5357" s="9"/>
      <c r="T5357"/>
    </row>
    <row r="5358" spans="1:20" x14ac:dyDescent="0.2">
      <c r="A5358" s="33"/>
      <c r="B5358" s="33"/>
      <c r="C5358" s="33"/>
      <c r="D5358" s="33"/>
      <c r="E5358" s="33"/>
      <c r="F5358" s="33"/>
      <c r="G5358" s="33"/>
      <c r="H5358" s="33"/>
      <c r="I5358" s="33"/>
      <c r="J5358" s="33"/>
      <c r="K5358" s="33"/>
      <c r="L5358" s="33"/>
      <c r="M5358" s="33"/>
      <c r="N5358" s="33"/>
      <c r="O5358" s="33"/>
      <c r="P5358" s="33"/>
      <c r="Q5358" s="33"/>
      <c r="R5358" s="33"/>
      <c r="T5358"/>
    </row>
    <row r="5359" spans="1:20" x14ac:dyDescent="0.2">
      <c r="A5359" s="9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9"/>
      <c r="R5359" s="9"/>
      <c r="T5359"/>
    </row>
    <row r="5360" spans="1:20" x14ac:dyDescent="0.2">
      <c r="A5360" s="33"/>
      <c r="B5360" s="33"/>
      <c r="C5360" s="33"/>
      <c r="D5360" s="33"/>
      <c r="E5360" s="33"/>
      <c r="F5360" s="33"/>
      <c r="G5360" s="33"/>
      <c r="H5360" s="33"/>
      <c r="I5360" s="33"/>
      <c r="J5360" s="33"/>
      <c r="K5360" s="33"/>
      <c r="L5360" s="33"/>
      <c r="M5360" s="33"/>
      <c r="N5360" s="33"/>
      <c r="O5360" s="33"/>
      <c r="P5360" s="33"/>
      <c r="Q5360" s="33"/>
      <c r="R5360" s="33"/>
      <c r="T5360"/>
    </row>
    <row r="5361" spans="1:20" x14ac:dyDescent="0.2">
      <c r="A5361" s="9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9"/>
      <c r="R5361" s="9"/>
      <c r="T5361"/>
    </row>
    <row r="5362" spans="1:20" x14ac:dyDescent="0.2">
      <c r="A5362" s="33"/>
      <c r="B5362" s="33"/>
      <c r="C5362" s="33"/>
      <c r="D5362" s="33"/>
      <c r="E5362" s="33"/>
      <c r="F5362" s="33"/>
      <c r="G5362" s="33"/>
      <c r="H5362" s="33"/>
      <c r="I5362" s="33"/>
      <c r="J5362" s="33"/>
      <c r="K5362" s="33"/>
      <c r="L5362" s="33"/>
      <c r="M5362" s="33"/>
      <c r="N5362" s="33"/>
      <c r="O5362" s="33"/>
      <c r="P5362" s="33"/>
      <c r="Q5362" s="33"/>
      <c r="R5362" s="33"/>
      <c r="T5362"/>
    </row>
    <row r="5363" spans="1:20" x14ac:dyDescent="0.2">
      <c r="A5363" s="9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T5363"/>
    </row>
    <row r="5364" spans="1:20" x14ac:dyDescent="0.2">
      <c r="A5364" s="33"/>
      <c r="B5364" s="33"/>
      <c r="C5364" s="33"/>
      <c r="D5364" s="33"/>
      <c r="E5364" s="33"/>
      <c r="F5364" s="33"/>
      <c r="G5364" s="33"/>
      <c r="H5364" s="33"/>
      <c r="I5364" s="33"/>
      <c r="J5364" s="33"/>
      <c r="K5364" s="33"/>
      <c r="L5364" s="33"/>
      <c r="M5364" s="33"/>
      <c r="N5364" s="33"/>
      <c r="O5364" s="33"/>
      <c r="P5364" s="33"/>
      <c r="Q5364" s="33"/>
      <c r="R5364" s="33"/>
      <c r="T5364"/>
    </row>
    <row r="5365" spans="1:20" x14ac:dyDescent="0.2">
      <c r="A5365" s="9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9"/>
      <c r="R5365" s="9"/>
      <c r="T5365"/>
    </row>
    <row r="5366" spans="1:20" x14ac:dyDescent="0.2">
      <c r="A5366" s="33"/>
      <c r="B5366" s="33"/>
      <c r="C5366" s="33"/>
      <c r="D5366" s="33"/>
      <c r="E5366" s="33"/>
      <c r="F5366" s="33"/>
      <c r="G5366" s="33"/>
      <c r="H5366" s="33"/>
      <c r="I5366" s="33"/>
      <c r="J5366" s="33"/>
      <c r="K5366" s="33"/>
      <c r="L5366" s="33"/>
      <c r="M5366" s="33"/>
      <c r="N5366" s="33"/>
      <c r="O5366" s="33"/>
      <c r="P5366" s="33"/>
      <c r="Q5366" s="33"/>
      <c r="R5366" s="33"/>
      <c r="T5366"/>
    </row>
    <row r="5367" spans="1:20" x14ac:dyDescent="0.2">
      <c r="A5367" s="9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9"/>
      <c r="R5367" s="9"/>
      <c r="T5367"/>
    </row>
    <row r="5368" spans="1:20" x14ac:dyDescent="0.2">
      <c r="A5368" s="33"/>
      <c r="B5368" s="33"/>
      <c r="C5368" s="33"/>
      <c r="D5368" s="33"/>
      <c r="E5368" s="33"/>
      <c r="F5368" s="33"/>
      <c r="G5368" s="33"/>
      <c r="H5368" s="33"/>
      <c r="I5368" s="33"/>
      <c r="J5368" s="33"/>
      <c r="K5368" s="33"/>
      <c r="L5368" s="33"/>
      <c r="M5368" s="33"/>
      <c r="N5368" s="33"/>
      <c r="O5368" s="33"/>
      <c r="P5368" s="33"/>
      <c r="Q5368" s="33"/>
      <c r="R5368" s="33"/>
      <c r="T5368"/>
    </row>
    <row r="5369" spans="1:20" x14ac:dyDescent="0.2">
      <c r="A5369" s="9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R5369" s="9"/>
      <c r="T5369"/>
    </row>
    <row r="5370" spans="1:20" x14ac:dyDescent="0.2">
      <c r="A5370" s="33"/>
      <c r="B5370" s="33"/>
      <c r="C5370" s="33"/>
      <c r="D5370" s="33"/>
      <c r="E5370" s="33"/>
      <c r="F5370" s="33"/>
      <c r="G5370" s="33"/>
      <c r="H5370" s="33"/>
      <c r="I5370" s="33"/>
      <c r="J5370" s="33"/>
      <c r="K5370" s="33"/>
      <c r="L5370" s="33"/>
      <c r="M5370" s="33"/>
      <c r="N5370" s="33"/>
      <c r="O5370" s="33"/>
      <c r="P5370" s="33"/>
      <c r="Q5370" s="33"/>
      <c r="R5370" s="33"/>
      <c r="T5370"/>
    </row>
    <row r="5371" spans="1:20" x14ac:dyDescent="0.2">
      <c r="A5371" s="9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R5371" s="9"/>
      <c r="T5371"/>
    </row>
    <row r="5372" spans="1:20" x14ac:dyDescent="0.2">
      <c r="A5372" s="33"/>
      <c r="B5372" s="33"/>
      <c r="C5372" s="33"/>
      <c r="D5372" s="33"/>
      <c r="E5372" s="33"/>
      <c r="F5372" s="33"/>
      <c r="G5372" s="33"/>
      <c r="H5372" s="33"/>
      <c r="I5372" s="33"/>
      <c r="J5372" s="33"/>
      <c r="K5372" s="33"/>
      <c r="L5372" s="33"/>
      <c r="M5372" s="33"/>
      <c r="N5372" s="33"/>
      <c r="O5372" s="33"/>
      <c r="P5372" s="33"/>
      <c r="Q5372" s="33"/>
      <c r="R5372" s="33"/>
      <c r="T5372"/>
    </row>
    <row r="5373" spans="1:20" x14ac:dyDescent="0.2">
      <c r="A5373" s="9"/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R5373" s="9"/>
      <c r="T5373"/>
    </row>
    <row r="5374" spans="1:20" x14ac:dyDescent="0.2">
      <c r="A5374" s="33"/>
      <c r="B5374" s="33"/>
      <c r="C5374" s="33"/>
      <c r="D5374" s="33"/>
      <c r="E5374" s="33"/>
      <c r="F5374" s="33"/>
      <c r="G5374" s="33"/>
      <c r="H5374" s="33"/>
      <c r="I5374" s="33"/>
      <c r="J5374" s="33"/>
      <c r="K5374" s="33"/>
      <c r="L5374" s="33"/>
      <c r="M5374" s="33"/>
      <c r="N5374" s="33"/>
      <c r="O5374" s="33"/>
      <c r="P5374" s="33"/>
      <c r="Q5374" s="33"/>
      <c r="R5374" s="33"/>
      <c r="T5374"/>
    </row>
    <row r="5375" spans="1:20" x14ac:dyDescent="0.2">
      <c r="A5375" s="9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R5375" s="9"/>
      <c r="T5375"/>
    </row>
    <row r="5376" spans="1:20" x14ac:dyDescent="0.2">
      <c r="A5376" s="33"/>
      <c r="B5376" s="33"/>
      <c r="C5376" s="33"/>
      <c r="D5376" s="33"/>
      <c r="E5376" s="33"/>
      <c r="F5376" s="33"/>
      <c r="G5376" s="33"/>
      <c r="H5376" s="33"/>
      <c r="I5376" s="33"/>
      <c r="J5376" s="33"/>
      <c r="K5376" s="33"/>
      <c r="L5376" s="33"/>
      <c r="M5376" s="33"/>
      <c r="N5376" s="33"/>
      <c r="O5376" s="33"/>
      <c r="P5376" s="33"/>
      <c r="Q5376" s="33"/>
      <c r="R5376" s="33"/>
      <c r="T5376"/>
    </row>
    <row r="5377" spans="1:20" x14ac:dyDescent="0.2">
      <c r="A5377" s="9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T5377"/>
    </row>
    <row r="5378" spans="1:20" x14ac:dyDescent="0.2">
      <c r="A5378" s="33"/>
      <c r="B5378" s="33"/>
      <c r="C5378" s="33"/>
      <c r="D5378" s="33"/>
      <c r="E5378" s="33"/>
      <c r="F5378" s="33"/>
      <c r="G5378" s="33"/>
      <c r="H5378" s="33"/>
      <c r="I5378" s="33"/>
      <c r="J5378" s="33"/>
      <c r="K5378" s="33"/>
      <c r="L5378" s="33"/>
      <c r="M5378" s="33"/>
      <c r="N5378" s="33"/>
      <c r="O5378" s="33"/>
      <c r="P5378" s="33"/>
      <c r="Q5378" s="33"/>
      <c r="R5378" s="33"/>
      <c r="T5378"/>
    </row>
    <row r="5379" spans="1:20" x14ac:dyDescent="0.2">
      <c r="A5379" s="9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T5379"/>
    </row>
    <row r="5380" spans="1:20" x14ac:dyDescent="0.2">
      <c r="A5380" s="33"/>
      <c r="B5380" s="33"/>
      <c r="C5380" s="33"/>
      <c r="D5380" s="33"/>
      <c r="E5380" s="33"/>
      <c r="F5380" s="33"/>
      <c r="G5380" s="33"/>
      <c r="H5380" s="33"/>
      <c r="I5380" s="33"/>
      <c r="J5380" s="33"/>
      <c r="K5380" s="33"/>
      <c r="L5380" s="33"/>
      <c r="M5380" s="33"/>
      <c r="N5380" s="33"/>
      <c r="O5380" s="33"/>
      <c r="P5380" s="33"/>
      <c r="Q5380" s="33"/>
      <c r="R5380" s="33"/>
      <c r="T5380"/>
    </row>
    <row r="5381" spans="1:20" x14ac:dyDescent="0.2">
      <c r="A5381" s="9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T5381"/>
    </row>
    <row r="5382" spans="1:20" x14ac:dyDescent="0.2">
      <c r="A5382" s="33"/>
      <c r="B5382" s="33"/>
      <c r="C5382" s="33"/>
      <c r="D5382" s="33"/>
      <c r="E5382" s="33"/>
      <c r="F5382" s="33"/>
      <c r="G5382" s="33"/>
      <c r="H5382" s="33"/>
      <c r="I5382" s="33"/>
      <c r="J5382" s="33"/>
      <c r="K5382" s="33"/>
      <c r="L5382" s="33"/>
      <c r="M5382" s="33"/>
      <c r="N5382" s="33"/>
      <c r="O5382" s="33"/>
      <c r="P5382" s="33"/>
      <c r="Q5382" s="33"/>
      <c r="R5382" s="33"/>
      <c r="T5382"/>
    </row>
    <row r="5383" spans="1:20" x14ac:dyDescent="0.2">
      <c r="A5383" s="9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9"/>
      <c r="R5383" s="9"/>
      <c r="T5383"/>
    </row>
    <row r="5384" spans="1:20" x14ac:dyDescent="0.2">
      <c r="A5384" s="33"/>
      <c r="B5384" s="33"/>
      <c r="C5384" s="33"/>
      <c r="D5384" s="33"/>
      <c r="E5384" s="33"/>
      <c r="F5384" s="33"/>
      <c r="G5384" s="33"/>
      <c r="H5384" s="33"/>
      <c r="I5384" s="33"/>
      <c r="J5384" s="33"/>
      <c r="K5384" s="33"/>
      <c r="L5384" s="33"/>
      <c r="M5384" s="33"/>
      <c r="N5384" s="33"/>
      <c r="O5384" s="33"/>
      <c r="P5384" s="33"/>
      <c r="Q5384" s="33"/>
      <c r="R5384" s="33"/>
      <c r="T5384"/>
    </row>
    <row r="5385" spans="1:20" x14ac:dyDescent="0.2">
      <c r="A5385" s="9"/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T5385"/>
    </row>
    <row r="5386" spans="1:20" x14ac:dyDescent="0.2">
      <c r="A5386" s="33"/>
      <c r="B5386" s="33"/>
      <c r="C5386" s="33"/>
      <c r="D5386" s="33"/>
      <c r="E5386" s="33"/>
      <c r="F5386" s="33"/>
      <c r="G5386" s="33"/>
      <c r="H5386" s="33"/>
      <c r="I5386" s="33"/>
      <c r="J5386" s="33"/>
      <c r="K5386" s="33"/>
      <c r="L5386" s="33"/>
      <c r="M5386" s="33"/>
      <c r="N5386" s="33"/>
      <c r="O5386" s="33"/>
      <c r="P5386" s="33"/>
      <c r="Q5386" s="33"/>
      <c r="R5386" s="33"/>
      <c r="T5386"/>
    </row>
    <row r="5387" spans="1:20" x14ac:dyDescent="0.2">
      <c r="A5387" s="9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9"/>
      <c r="R5387" s="9"/>
      <c r="T5387"/>
    </row>
    <row r="5388" spans="1:20" x14ac:dyDescent="0.2">
      <c r="A5388" s="33"/>
      <c r="B5388" s="33"/>
      <c r="C5388" s="33"/>
      <c r="D5388" s="33"/>
      <c r="E5388" s="33"/>
      <c r="F5388" s="33"/>
      <c r="G5388" s="33"/>
      <c r="H5388" s="33"/>
      <c r="I5388" s="33"/>
      <c r="J5388" s="33"/>
      <c r="K5388" s="33"/>
      <c r="L5388" s="33"/>
      <c r="M5388" s="33"/>
      <c r="N5388" s="33"/>
      <c r="O5388" s="33"/>
      <c r="P5388" s="33"/>
      <c r="Q5388" s="33"/>
      <c r="R5388" s="33"/>
      <c r="T5388"/>
    </row>
    <row r="5389" spans="1:20" x14ac:dyDescent="0.2">
      <c r="A5389" s="9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9"/>
      <c r="R5389" s="9"/>
      <c r="T5389"/>
    </row>
    <row r="5390" spans="1:20" x14ac:dyDescent="0.2">
      <c r="A5390" s="33"/>
      <c r="B5390" s="33"/>
      <c r="C5390" s="33"/>
      <c r="D5390" s="33"/>
      <c r="E5390" s="33"/>
      <c r="F5390" s="33"/>
      <c r="G5390" s="33"/>
      <c r="H5390" s="33"/>
      <c r="I5390" s="33"/>
      <c r="J5390" s="33"/>
      <c r="K5390" s="33"/>
      <c r="L5390" s="33"/>
      <c r="M5390" s="33"/>
      <c r="N5390" s="33"/>
      <c r="O5390" s="33"/>
      <c r="P5390" s="33"/>
      <c r="Q5390" s="33"/>
      <c r="R5390" s="33"/>
      <c r="T5390"/>
    </row>
    <row r="5391" spans="1:20" x14ac:dyDescent="0.2">
      <c r="A5391" s="9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T5391"/>
    </row>
    <row r="5392" spans="1:20" x14ac:dyDescent="0.2">
      <c r="A5392" s="33"/>
      <c r="B5392" s="33"/>
      <c r="C5392" s="33"/>
      <c r="D5392" s="33"/>
      <c r="E5392" s="33"/>
      <c r="F5392" s="33"/>
      <c r="G5392" s="33"/>
      <c r="H5392" s="33"/>
      <c r="I5392" s="33"/>
      <c r="J5392" s="33"/>
      <c r="K5392" s="33"/>
      <c r="L5392" s="33"/>
      <c r="M5392" s="33"/>
      <c r="N5392" s="33"/>
      <c r="O5392" s="33"/>
      <c r="P5392" s="33"/>
      <c r="Q5392" s="33"/>
      <c r="R5392" s="33"/>
      <c r="T5392"/>
    </row>
    <row r="5393" spans="1:20" x14ac:dyDescent="0.2">
      <c r="A5393" s="9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T5393"/>
    </row>
    <row r="5394" spans="1:20" x14ac:dyDescent="0.2">
      <c r="A5394" s="33"/>
      <c r="B5394" s="33"/>
      <c r="C5394" s="33"/>
      <c r="D5394" s="33"/>
      <c r="E5394" s="33"/>
      <c r="F5394" s="33"/>
      <c r="G5394" s="33"/>
      <c r="H5394" s="33"/>
      <c r="I5394" s="33"/>
      <c r="J5394" s="33"/>
      <c r="K5394" s="33"/>
      <c r="L5394" s="33"/>
      <c r="M5394" s="33"/>
      <c r="N5394" s="33"/>
      <c r="O5394" s="33"/>
      <c r="P5394" s="33"/>
      <c r="Q5394" s="33"/>
      <c r="R5394" s="33"/>
      <c r="T5394"/>
    </row>
    <row r="5395" spans="1:20" x14ac:dyDescent="0.2">
      <c r="A5395" s="9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T5395"/>
    </row>
    <row r="5396" spans="1:20" x14ac:dyDescent="0.2">
      <c r="A5396" s="33"/>
      <c r="B5396" s="33"/>
      <c r="C5396" s="33"/>
      <c r="D5396" s="33"/>
      <c r="E5396" s="33"/>
      <c r="F5396" s="33"/>
      <c r="G5396" s="33"/>
      <c r="H5396" s="33"/>
      <c r="I5396" s="33"/>
      <c r="J5396" s="33"/>
      <c r="K5396" s="33"/>
      <c r="L5396" s="33"/>
      <c r="M5396" s="33"/>
      <c r="N5396" s="33"/>
      <c r="O5396" s="33"/>
      <c r="P5396" s="33"/>
      <c r="Q5396" s="33"/>
      <c r="R5396" s="33"/>
      <c r="T5396"/>
    </row>
    <row r="5397" spans="1:20" x14ac:dyDescent="0.2">
      <c r="A5397" s="9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T5397"/>
    </row>
    <row r="5398" spans="1:20" x14ac:dyDescent="0.2">
      <c r="A5398" s="33"/>
      <c r="B5398" s="33"/>
      <c r="C5398" s="33"/>
      <c r="D5398" s="33"/>
      <c r="E5398" s="33"/>
      <c r="F5398" s="33"/>
      <c r="G5398" s="33"/>
      <c r="H5398" s="33"/>
      <c r="I5398" s="33"/>
      <c r="J5398" s="33"/>
      <c r="K5398" s="33"/>
      <c r="L5398" s="33"/>
      <c r="M5398" s="33"/>
      <c r="N5398" s="33"/>
      <c r="O5398" s="33"/>
      <c r="P5398" s="33"/>
      <c r="Q5398" s="33"/>
      <c r="R5398" s="33"/>
      <c r="T5398"/>
    </row>
    <row r="5399" spans="1:20" x14ac:dyDescent="0.2">
      <c r="A5399" s="9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9"/>
      <c r="R5399" s="9"/>
      <c r="T5399"/>
    </row>
    <row r="5400" spans="1:20" x14ac:dyDescent="0.2">
      <c r="A5400" s="33"/>
      <c r="B5400" s="33"/>
      <c r="C5400" s="33"/>
      <c r="D5400" s="33"/>
      <c r="E5400" s="33"/>
      <c r="F5400" s="33"/>
      <c r="G5400" s="33"/>
      <c r="H5400" s="33"/>
      <c r="I5400" s="33"/>
      <c r="J5400" s="33"/>
      <c r="K5400" s="33"/>
      <c r="L5400" s="33"/>
      <c r="M5400" s="33"/>
      <c r="N5400" s="33"/>
      <c r="O5400" s="33"/>
      <c r="P5400" s="33"/>
      <c r="Q5400" s="33"/>
      <c r="R5400" s="33"/>
      <c r="T5400"/>
    </row>
    <row r="5401" spans="1:20" x14ac:dyDescent="0.2">
      <c r="A5401" s="9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9"/>
      <c r="R5401" s="9"/>
      <c r="T5401"/>
    </row>
    <row r="5402" spans="1:20" x14ac:dyDescent="0.2">
      <c r="A5402" s="33"/>
      <c r="B5402" s="33"/>
      <c r="C5402" s="33"/>
      <c r="D5402" s="33"/>
      <c r="E5402" s="33"/>
      <c r="F5402" s="33"/>
      <c r="G5402" s="33"/>
      <c r="H5402" s="33"/>
      <c r="I5402" s="33"/>
      <c r="J5402" s="33"/>
      <c r="K5402" s="33"/>
      <c r="L5402" s="33"/>
      <c r="M5402" s="33"/>
      <c r="N5402" s="33"/>
      <c r="O5402" s="33"/>
      <c r="P5402" s="33"/>
      <c r="Q5402" s="33"/>
      <c r="R5402" s="33"/>
      <c r="T5402"/>
    </row>
    <row r="5403" spans="1:20" x14ac:dyDescent="0.2">
      <c r="A5403" s="9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T5403"/>
    </row>
    <row r="5404" spans="1:20" x14ac:dyDescent="0.2">
      <c r="A5404" s="33"/>
      <c r="B5404" s="33"/>
      <c r="C5404" s="33"/>
      <c r="D5404" s="33"/>
      <c r="E5404" s="33"/>
      <c r="F5404" s="33"/>
      <c r="G5404" s="33"/>
      <c r="H5404" s="33"/>
      <c r="I5404" s="33"/>
      <c r="J5404" s="33"/>
      <c r="K5404" s="33"/>
      <c r="L5404" s="33"/>
      <c r="M5404" s="33"/>
      <c r="N5404" s="33"/>
      <c r="O5404" s="33"/>
      <c r="P5404" s="33"/>
      <c r="Q5404" s="33"/>
      <c r="R5404" s="33"/>
      <c r="T5404"/>
    </row>
    <row r="5405" spans="1:20" x14ac:dyDescent="0.2">
      <c r="A5405" s="9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T5405"/>
    </row>
    <row r="5406" spans="1:20" x14ac:dyDescent="0.2">
      <c r="A5406" s="33"/>
      <c r="B5406" s="33"/>
      <c r="C5406" s="33"/>
      <c r="D5406" s="33"/>
      <c r="E5406" s="33"/>
      <c r="F5406" s="33"/>
      <c r="G5406" s="33"/>
      <c r="H5406" s="33"/>
      <c r="I5406" s="33"/>
      <c r="J5406" s="33"/>
      <c r="K5406" s="33"/>
      <c r="L5406" s="33"/>
      <c r="M5406" s="33"/>
      <c r="N5406" s="33"/>
      <c r="O5406" s="33"/>
      <c r="P5406" s="33"/>
      <c r="Q5406" s="33"/>
      <c r="R5406" s="33"/>
      <c r="T5406"/>
    </row>
    <row r="5407" spans="1:20" x14ac:dyDescent="0.2">
      <c r="A5407" s="9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T5407"/>
    </row>
    <row r="5408" spans="1:20" x14ac:dyDescent="0.2">
      <c r="A5408" s="33"/>
      <c r="B5408" s="33"/>
      <c r="C5408" s="33"/>
      <c r="D5408" s="33"/>
      <c r="E5408" s="33"/>
      <c r="F5408" s="33"/>
      <c r="G5408" s="33"/>
      <c r="H5408" s="33"/>
      <c r="I5408" s="33"/>
      <c r="J5408" s="33"/>
      <c r="K5408" s="33"/>
      <c r="L5408" s="33"/>
      <c r="M5408" s="33"/>
      <c r="N5408" s="33"/>
      <c r="O5408" s="33"/>
      <c r="P5408" s="33"/>
      <c r="Q5408" s="33"/>
      <c r="R5408" s="33"/>
      <c r="T5408"/>
    </row>
  </sheetData>
  <mergeCells count="3">
    <mergeCell ref="G6:R6"/>
    <mergeCell ref="G7:L7"/>
    <mergeCell ref="M7:R7"/>
  </mergeCells>
  <pageMargins left="0.25" right="0.25" top="0.75" bottom="0.75" header="0.3" footer="0.3"/>
  <pageSetup scale="62" fitToHeight="100" orientation="landscape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01"/>
  <sheetViews>
    <sheetView topLeftCell="A3037" workbookViewId="0">
      <selection activeCell="B32" sqref="B32:B36"/>
    </sheetView>
  </sheetViews>
  <sheetFormatPr baseColWidth="10" defaultRowHeight="15" x14ac:dyDescent="0.2"/>
  <cols>
    <col min="1" max="1" width="25.83203125" customWidth="1"/>
    <col min="2" max="2" width="10.83203125" style="8"/>
  </cols>
  <sheetData>
    <row r="1" spans="1:2" ht="17" thickBot="1" x14ac:dyDescent="0.25">
      <c r="A1" s="40" t="s">
        <v>9560</v>
      </c>
      <c r="B1" s="8" t="s">
        <v>202</v>
      </c>
    </row>
    <row r="2" spans="1:2" x14ac:dyDescent="0.2">
      <c r="A2" t="s">
        <v>387</v>
      </c>
      <c r="B2" s="8" t="s">
        <v>389</v>
      </c>
    </row>
    <row r="3" spans="1:2" x14ac:dyDescent="0.2">
      <c r="A3" t="s">
        <v>391</v>
      </c>
      <c r="B3" s="8" t="s">
        <v>392</v>
      </c>
    </row>
    <row r="4" spans="1:2" x14ac:dyDescent="0.2">
      <c r="A4" t="s">
        <v>394</v>
      </c>
      <c r="B4" s="8" t="s">
        <v>395</v>
      </c>
    </row>
    <row r="5" spans="1:2" x14ac:dyDescent="0.2">
      <c r="A5" t="s">
        <v>397</v>
      </c>
      <c r="B5" s="8" t="s">
        <v>398</v>
      </c>
    </row>
    <row r="6" spans="1:2" x14ac:dyDescent="0.2">
      <c r="A6" t="s">
        <v>400</v>
      </c>
      <c r="B6" s="8" t="s">
        <v>401</v>
      </c>
    </row>
    <row r="7" spans="1:2" x14ac:dyDescent="0.2">
      <c r="A7" t="s">
        <v>403</v>
      </c>
      <c r="B7" s="8" t="s">
        <v>404</v>
      </c>
    </row>
    <row r="8" spans="1:2" x14ac:dyDescent="0.2">
      <c r="A8" t="s">
        <v>406</v>
      </c>
      <c r="B8" s="8" t="s">
        <v>407</v>
      </c>
    </row>
    <row r="9" spans="1:2" x14ac:dyDescent="0.2">
      <c r="A9" t="s">
        <v>409</v>
      </c>
      <c r="B9" s="8" t="s">
        <v>410</v>
      </c>
    </row>
    <row r="10" spans="1:2" x14ac:dyDescent="0.2">
      <c r="A10" t="s">
        <v>412</v>
      </c>
      <c r="B10" s="8" t="s">
        <v>413</v>
      </c>
    </row>
    <row r="11" spans="1:2" x14ac:dyDescent="0.2">
      <c r="A11" t="s">
        <v>415</v>
      </c>
      <c r="B11" s="8" t="s">
        <v>416</v>
      </c>
    </row>
    <row r="12" spans="1:2" x14ac:dyDescent="0.2">
      <c r="A12" t="s">
        <v>418</v>
      </c>
      <c r="B12" s="8" t="s">
        <v>419</v>
      </c>
    </row>
    <row r="13" spans="1:2" x14ac:dyDescent="0.2">
      <c r="A13" t="s">
        <v>421</v>
      </c>
      <c r="B13" s="8" t="s">
        <v>422</v>
      </c>
    </row>
    <row r="14" spans="1:2" x14ac:dyDescent="0.2">
      <c r="A14" t="s">
        <v>424</v>
      </c>
      <c r="B14" s="8" t="s">
        <v>425</v>
      </c>
    </row>
    <row r="15" spans="1:2" x14ac:dyDescent="0.2">
      <c r="A15" t="s">
        <v>427</v>
      </c>
      <c r="B15" s="8" t="s">
        <v>428</v>
      </c>
    </row>
    <row r="16" spans="1:2" x14ac:dyDescent="0.2">
      <c r="A16" t="s">
        <v>430</v>
      </c>
      <c r="B16" s="8" t="s">
        <v>431</v>
      </c>
    </row>
    <row r="17" spans="1:2" x14ac:dyDescent="0.2">
      <c r="A17" t="s">
        <v>433</v>
      </c>
      <c r="B17" s="8" t="s">
        <v>434</v>
      </c>
    </row>
    <row r="18" spans="1:2" x14ac:dyDescent="0.2">
      <c r="A18" t="s">
        <v>436</v>
      </c>
      <c r="B18" s="8" t="s">
        <v>437</v>
      </c>
    </row>
    <row r="19" spans="1:2" x14ac:dyDescent="0.2">
      <c r="A19" t="s">
        <v>439</v>
      </c>
      <c r="B19" s="8" t="s">
        <v>440</v>
      </c>
    </row>
    <row r="20" spans="1:2" x14ac:dyDescent="0.2">
      <c r="A20" t="s">
        <v>442</v>
      </c>
      <c r="B20" s="8" t="s">
        <v>443</v>
      </c>
    </row>
    <row r="21" spans="1:2" x14ac:dyDescent="0.2">
      <c r="A21" t="s">
        <v>445</v>
      </c>
      <c r="B21" s="8" t="s">
        <v>446</v>
      </c>
    </row>
    <row r="22" spans="1:2" x14ac:dyDescent="0.2">
      <c r="A22" t="s">
        <v>448</v>
      </c>
      <c r="B22" s="8" t="s">
        <v>449</v>
      </c>
    </row>
    <row r="23" spans="1:2" x14ac:dyDescent="0.2">
      <c r="A23" t="s">
        <v>450</v>
      </c>
      <c r="B23" s="8" t="s">
        <v>451</v>
      </c>
    </row>
    <row r="24" spans="1:2" x14ac:dyDescent="0.2">
      <c r="A24" t="s">
        <v>453</v>
      </c>
      <c r="B24" s="8" t="s">
        <v>454</v>
      </c>
    </row>
    <row r="25" spans="1:2" x14ac:dyDescent="0.2">
      <c r="A25" t="s">
        <v>456</v>
      </c>
      <c r="B25" s="8" t="s">
        <v>457</v>
      </c>
    </row>
    <row r="26" spans="1:2" x14ac:dyDescent="0.2">
      <c r="A26" t="s">
        <v>459</v>
      </c>
      <c r="B26" s="8" t="s">
        <v>460</v>
      </c>
    </row>
    <row r="27" spans="1:2" x14ac:dyDescent="0.2">
      <c r="A27" t="s">
        <v>462</v>
      </c>
      <c r="B27" s="8" t="s">
        <v>357</v>
      </c>
    </row>
    <row r="28" spans="1:2" x14ac:dyDescent="0.2">
      <c r="A28" t="s">
        <v>464</v>
      </c>
      <c r="B28" s="8" t="s">
        <v>465</v>
      </c>
    </row>
    <row r="29" spans="1:2" x14ac:dyDescent="0.2">
      <c r="A29" t="s">
        <v>467</v>
      </c>
      <c r="B29" s="8" t="s">
        <v>468</v>
      </c>
    </row>
    <row r="30" spans="1:2" x14ac:dyDescent="0.2">
      <c r="A30" t="s">
        <v>469</v>
      </c>
      <c r="B30" s="8" t="s">
        <v>470</v>
      </c>
    </row>
    <row r="31" spans="1:2" x14ac:dyDescent="0.2">
      <c r="A31" t="s">
        <v>472</v>
      </c>
      <c r="B31" s="8" t="s">
        <v>473</v>
      </c>
    </row>
    <row r="32" spans="1:2" x14ac:dyDescent="0.2">
      <c r="A32" t="s">
        <v>475</v>
      </c>
      <c r="B32" s="8" t="s">
        <v>476</v>
      </c>
    </row>
    <row r="33" spans="1:2" x14ac:dyDescent="0.2">
      <c r="A33" t="s">
        <v>478</v>
      </c>
      <c r="B33" s="8" t="s">
        <v>479</v>
      </c>
    </row>
    <row r="34" spans="1:2" x14ac:dyDescent="0.2">
      <c r="A34" t="s">
        <v>480</v>
      </c>
      <c r="B34" s="8" t="s">
        <v>357</v>
      </c>
    </row>
    <row r="35" spans="1:2" x14ac:dyDescent="0.2">
      <c r="A35" t="s">
        <v>481</v>
      </c>
      <c r="B35" s="8" t="s">
        <v>476</v>
      </c>
    </row>
    <row r="36" spans="1:2" x14ac:dyDescent="0.2">
      <c r="A36" t="s">
        <v>482</v>
      </c>
      <c r="B36" s="8" t="s">
        <v>483</v>
      </c>
    </row>
    <row r="37" spans="1:2" x14ac:dyDescent="0.2">
      <c r="A37" t="s">
        <v>484</v>
      </c>
      <c r="B37" s="8" t="s">
        <v>485</v>
      </c>
    </row>
    <row r="38" spans="1:2" x14ac:dyDescent="0.2">
      <c r="A38" t="s">
        <v>487</v>
      </c>
      <c r="B38" s="8" t="s">
        <v>357</v>
      </c>
    </row>
    <row r="39" spans="1:2" x14ac:dyDescent="0.2">
      <c r="A39" t="s">
        <v>489</v>
      </c>
      <c r="B39" s="8" t="s">
        <v>490</v>
      </c>
    </row>
    <row r="40" spans="1:2" x14ac:dyDescent="0.2">
      <c r="A40" t="s">
        <v>492</v>
      </c>
      <c r="B40" s="8" t="s">
        <v>493</v>
      </c>
    </row>
    <row r="41" spans="1:2" x14ac:dyDescent="0.2">
      <c r="A41" t="s">
        <v>495</v>
      </c>
      <c r="B41" s="8" t="s">
        <v>496</v>
      </c>
    </row>
    <row r="42" spans="1:2" x14ac:dyDescent="0.2">
      <c r="A42" t="s">
        <v>498</v>
      </c>
      <c r="B42" s="8" t="s">
        <v>499</v>
      </c>
    </row>
    <row r="43" spans="1:2" x14ac:dyDescent="0.2">
      <c r="A43" t="s">
        <v>501</v>
      </c>
      <c r="B43" s="8" t="s">
        <v>357</v>
      </c>
    </row>
    <row r="44" spans="1:2" x14ac:dyDescent="0.2">
      <c r="A44" t="s">
        <v>503</v>
      </c>
      <c r="B44" s="8" t="s">
        <v>504</v>
      </c>
    </row>
    <row r="45" spans="1:2" x14ac:dyDescent="0.2">
      <c r="A45" t="s">
        <v>506</v>
      </c>
      <c r="B45" s="8" t="s">
        <v>507</v>
      </c>
    </row>
    <row r="46" spans="1:2" x14ac:dyDescent="0.2">
      <c r="A46" t="s">
        <v>509</v>
      </c>
      <c r="B46" s="8" t="s">
        <v>510</v>
      </c>
    </row>
    <row r="47" spans="1:2" x14ac:dyDescent="0.2">
      <c r="A47" t="s">
        <v>511</v>
      </c>
      <c r="B47" s="8" t="s">
        <v>512</v>
      </c>
    </row>
    <row r="48" spans="1:2" x14ac:dyDescent="0.2">
      <c r="A48" t="s">
        <v>514</v>
      </c>
      <c r="B48" s="8" t="s">
        <v>515</v>
      </c>
    </row>
    <row r="49" spans="1:2" x14ac:dyDescent="0.2">
      <c r="A49" t="s">
        <v>517</v>
      </c>
      <c r="B49" s="8" t="s">
        <v>518</v>
      </c>
    </row>
    <row r="50" spans="1:2" x14ac:dyDescent="0.2">
      <c r="A50" t="s">
        <v>519</v>
      </c>
      <c r="B50" s="8" t="s">
        <v>520</v>
      </c>
    </row>
    <row r="51" spans="1:2" x14ac:dyDescent="0.2">
      <c r="A51" t="s">
        <v>522</v>
      </c>
      <c r="B51" s="8" t="s">
        <v>523</v>
      </c>
    </row>
    <row r="52" spans="1:2" x14ac:dyDescent="0.2">
      <c r="A52" t="s">
        <v>525</v>
      </c>
      <c r="B52" s="8" t="s">
        <v>526</v>
      </c>
    </row>
    <row r="53" spans="1:2" x14ac:dyDescent="0.2">
      <c r="A53" t="s">
        <v>528</v>
      </c>
      <c r="B53" s="8" t="s">
        <v>529</v>
      </c>
    </row>
    <row r="54" spans="1:2" x14ac:dyDescent="0.2">
      <c r="A54" t="s">
        <v>531</v>
      </c>
      <c r="B54" s="8" t="s">
        <v>532</v>
      </c>
    </row>
    <row r="55" spans="1:2" x14ac:dyDescent="0.2">
      <c r="A55" t="s">
        <v>534</v>
      </c>
      <c r="B55" s="8" t="s">
        <v>535</v>
      </c>
    </row>
    <row r="56" spans="1:2" x14ac:dyDescent="0.2">
      <c r="A56" t="s">
        <v>537</v>
      </c>
      <c r="B56" s="8" t="s">
        <v>538</v>
      </c>
    </row>
    <row r="57" spans="1:2" x14ac:dyDescent="0.2">
      <c r="A57" t="s">
        <v>540</v>
      </c>
      <c r="B57" s="8" t="s">
        <v>357</v>
      </c>
    </row>
    <row r="58" spans="1:2" x14ac:dyDescent="0.2">
      <c r="A58" t="s">
        <v>542</v>
      </c>
      <c r="B58" s="8" t="s">
        <v>543</v>
      </c>
    </row>
    <row r="59" spans="1:2" x14ac:dyDescent="0.2">
      <c r="A59" t="s">
        <v>545</v>
      </c>
      <c r="B59" s="8" t="s">
        <v>546</v>
      </c>
    </row>
    <row r="60" spans="1:2" x14ac:dyDescent="0.2">
      <c r="A60" t="s">
        <v>548</v>
      </c>
      <c r="B60" s="8" t="s">
        <v>549</v>
      </c>
    </row>
    <row r="61" spans="1:2" x14ac:dyDescent="0.2">
      <c r="A61" t="s">
        <v>551</v>
      </c>
      <c r="B61" s="8" t="s">
        <v>552</v>
      </c>
    </row>
    <row r="62" spans="1:2" x14ac:dyDescent="0.2">
      <c r="A62" t="s">
        <v>554</v>
      </c>
      <c r="B62" s="8" t="s">
        <v>555</v>
      </c>
    </row>
    <row r="63" spans="1:2" x14ac:dyDescent="0.2">
      <c r="A63" t="s">
        <v>557</v>
      </c>
      <c r="B63" s="8" t="s">
        <v>558</v>
      </c>
    </row>
    <row r="64" spans="1:2" x14ac:dyDescent="0.2">
      <c r="A64" t="s">
        <v>559</v>
      </c>
      <c r="B64" s="8" t="s">
        <v>560</v>
      </c>
    </row>
    <row r="65" spans="1:2" x14ac:dyDescent="0.2">
      <c r="A65" t="s">
        <v>562</v>
      </c>
      <c r="B65" s="8" t="s">
        <v>563</v>
      </c>
    </row>
    <row r="66" spans="1:2" x14ac:dyDescent="0.2">
      <c r="A66" t="s">
        <v>565</v>
      </c>
      <c r="B66" s="8" t="s">
        <v>566</v>
      </c>
    </row>
    <row r="67" spans="1:2" x14ac:dyDescent="0.2">
      <c r="A67" t="s">
        <v>568</v>
      </c>
      <c r="B67" s="8" t="s">
        <v>569</v>
      </c>
    </row>
    <row r="68" spans="1:2" x14ac:dyDescent="0.2">
      <c r="A68" t="s">
        <v>571</v>
      </c>
      <c r="B68" s="8" t="s">
        <v>572</v>
      </c>
    </row>
    <row r="69" spans="1:2" x14ac:dyDescent="0.2">
      <c r="A69" t="s">
        <v>574</v>
      </c>
      <c r="B69" s="8" t="s">
        <v>575</v>
      </c>
    </row>
    <row r="70" spans="1:2" x14ac:dyDescent="0.2">
      <c r="A70" t="s">
        <v>577</v>
      </c>
      <c r="B70" s="8" t="s">
        <v>578</v>
      </c>
    </row>
    <row r="71" spans="1:2" x14ac:dyDescent="0.2">
      <c r="A71" t="s">
        <v>580</v>
      </c>
      <c r="B71" s="8" t="s">
        <v>581</v>
      </c>
    </row>
    <row r="72" spans="1:2" x14ac:dyDescent="0.2">
      <c r="A72" t="s">
        <v>583</v>
      </c>
      <c r="B72" s="8" t="s">
        <v>584</v>
      </c>
    </row>
    <row r="73" spans="1:2" x14ac:dyDescent="0.2">
      <c r="A73" t="s">
        <v>585</v>
      </c>
      <c r="B73" s="8" t="s">
        <v>586</v>
      </c>
    </row>
    <row r="74" spans="1:2" x14ac:dyDescent="0.2">
      <c r="A74" t="s">
        <v>588</v>
      </c>
      <c r="B74" s="8" t="s">
        <v>589</v>
      </c>
    </row>
    <row r="75" spans="1:2" x14ac:dyDescent="0.2">
      <c r="A75" t="s">
        <v>591</v>
      </c>
      <c r="B75" s="8" t="s">
        <v>592</v>
      </c>
    </row>
    <row r="76" spans="1:2" x14ac:dyDescent="0.2">
      <c r="A76" t="s">
        <v>594</v>
      </c>
      <c r="B76" s="8" t="s">
        <v>595</v>
      </c>
    </row>
    <row r="77" spans="1:2" x14ac:dyDescent="0.2">
      <c r="A77" t="s">
        <v>597</v>
      </c>
      <c r="B77" s="8" t="s">
        <v>598</v>
      </c>
    </row>
    <row r="78" spans="1:2" x14ac:dyDescent="0.2">
      <c r="A78" t="s">
        <v>600</v>
      </c>
      <c r="B78" s="8" t="s">
        <v>601</v>
      </c>
    </row>
    <row r="79" spans="1:2" x14ac:dyDescent="0.2">
      <c r="A79" t="s">
        <v>603</v>
      </c>
      <c r="B79" s="8" t="s">
        <v>604</v>
      </c>
    </row>
    <row r="80" spans="1:2" x14ac:dyDescent="0.2">
      <c r="A80" t="s">
        <v>606</v>
      </c>
      <c r="B80" s="8" t="s">
        <v>607</v>
      </c>
    </row>
    <row r="81" spans="1:2" x14ac:dyDescent="0.2">
      <c r="A81" t="s">
        <v>609</v>
      </c>
      <c r="B81" s="8" t="s">
        <v>610</v>
      </c>
    </row>
    <row r="82" spans="1:2" x14ac:dyDescent="0.2">
      <c r="A82" t="s">
        <v>611</v>
      </c>
      <c r="B82" s="8" t="s">
        <v>612</v>
      </c>
    </row>
    <row r="83" spans="1:2" x14ac:dyDescent="0.2">
      <c r="A83" t="s">
        <v>614</v>
      </c>
      <c r="B83" s="8" t="s">
        <v>615</v>
      </c>
    </row>
    <row r="84" spans="1:2" x14ac:dyDescent="0.2">
      <c r="A84" t="s">
        <v>617</v>
      </c>
      <c r="B84" s="8" t="s">
        <v>618</v>
      </c>
    </row>
    <row r="85" spans="1:2" x14ac:dyDescent="0.2">
      <c r="A85" t="s">
        <v>620</v>
      </c>
      <c r="B85" s="8" t="s">
        <v>621</v>
      </c>
    </row>
    <row r="86" spans="1:2" x14ac:dyDescent="0.2">
      <c r="A86" t="s">
        <v>623</v>
      </c>
      <c r="B86" s="8" t="s">
        <v>624</v>
      </c>
    </row>
    <row r="87" spans="1:2" x14ac:dyDescent="0.2">
      <c r="A87" t="s">
        <v>626</v>
      </c>
      <c r="B87" s="8" t="s">
        <v>627</v>
      </c>
    </row>
    <row r="88" spans="1:2" x14ac:dyDescent="0.2">
      <c r="A88" t="s">
        <v>629</v>
      </c>
      <c r="B88" s="8" t="s">
        <v>630</v>
      </c>
    </row>
    <row r="89" spans="1:2" x14ac:dyDescent="0.2">
      <c r="A89" t="s">
        <v>632</v>
      </c>
      <c r="B89" s="8" t="s">
        <v>633</v>
      </c>
    </row>
    <row r="90" spans="1:2" x14ac:dyDescent="0.2">
      <c r="A90" t="s">
        <v>635</v>
      </c>
      <c r="B90" s="8" t="s">
        <v>636</v>
      </c>
    </row>
    <row r="91" spans="1:2" x14ac:dyDescent="0.2">
      <c r="A91" t="s">
        <v>638</v>
      </c>
      <c r="B91" s="8" t="s">
        <v>639</v>
      </c>
    </row>
    <row r="92" spans="1:2" x14ac:dyDescent="0.2">
      <c r="A92" t="s">
        <v>641</v>
      </c>
      <c r="B92" s="8" t="s">
        <v>642</v>
      </c>
    </row>
    <row r="93" spans="1:2" x14ac:dyDescent="0.2">
      <c r="A93" t="s">
        <v>644</v>
      </c>
      <c r="B93" s="8" t="s">
        <v>645</v>
      </c>
    </row>
    <row r="94" spans="1:2" x14ac:dyDescent="0.2">
      <c r="A94" t="s">
        <v>647</v>
      </c>
      <c r="B94" s="8" t="s">
        <v>648</v>
      </c>
    </row>
    <row r="95" spans="1:2" x14ac:dyDescent="0.2">
      <c r="A95" t="s">
        <v>650</v>
      </c>
      <c r="B95" s="8" t="s">
        <v>651</v>
      </c>
    </row>
    <row r="96" spans="1:2" x14ac:dyDescent="0.2">
      <c r="A96" t="s">
        <v>653</v>
      </c>
      <c r="B96" s="8" t="s">
        <v>654</v>
      </c>
    </row>
    <row r="97" spans="1:2" x14ac:dyDescent="0.2">
      <c r="A97" t="s">
        <v>656</v>
      </c>
      <c r="B97" s="8" t="s">
        <v>657</v>
      </c>
    </row>
    <row r="98" spans="1:2" x14ac:dyDescent="0.2">
      <c r="A98" t="s">
        <v>659</v>
      </c>
      <c r="B98" s="8" t="s">
        <v>660</v>
      </c>
    </row>
    <row r="99" spans="1:2" x14ac:dyDescent="0.2">
      <c r="A99" t="s">
        <v>661</v>
      </c>
      <c r="B99" s="8" t="s">
        <v>662</v>
      </c>
    </row>
    <row r="100" spans="1:2" x14ac:dyDescent="0.2">
      <c r="A100" t="s">
        <v>663</v>
      </c>
      <c r="B100" s="8" t="s">
        <v>664</v>
      </c>
    </row>
    <row r="101" spans="1:2" x14ac:dyDescent="0.2">
      <c r="A101" t="s">
        <v>666</v>
      </c>
      <c r="B101" s="8" t="s">
        <v>667</v>
      </c>
    </row>
    <row r="102" spans="1:2" x14ac:dyDescent="0.2">
      <c r="A102" t="s">
        <v>669</v>
      </c>
      <c r="B102" s="8" t="s">
        <v>670</v>
      </c>
    </row>
    <row r="103" spans="1:2" x14ac:dyDescent="0.2">
      <c r="A103" t="s">
        <v>672</v>
      </c>
      <c r="B103" s="8" t="s">
        <v>673</v>
      </c>
    </row>
    <row r="104" spans="1:2" x14ac:dyDescent="0.2">
      <c r="A104" t="s">
        <v>675</v>
      </c>
      <c r="B104" s="8" t="s">
        <v>676</v>
      </c>
    </row>
    <row r="105" spans="1:2" x14ac:dyDescent="0.2">
      <c r="A105" t="s">
        <v>678</v>
      </c>
      <c r="B105" s="8" t="s">
        <v>679</v>
      </c>
    </row>
    <row r="106" spans="1:2" x14ac:dyDescent="0.2">
      <c r="A106" t="s">
        <v>681</v>
      </c>
      <c r="B106" s="8" t="s">
        <v>682</v>
      </c>
    </row>
    <row r="107" spans="1:2" x14ac:dyDescent="0.2">
      <c r="A107" t="s">
        <v>684</v>
      </c>
      <c r="B107" s="8" t="s">
        <v>685</v>
      </c>
    </row>
    <row r="108" spans="1:2" x14ac:dyDescent="0.2">
      <c r="A108" t="s">
        <v>687</v>
      </c>
      <c r="B108" s="8" t="s">
        <v>688</v>
      </c>
    </row>
    <row r="109" spans="1:2" x14ac:dyDescent="0.2">
      <c r="A109" t="s">
        <v>690</v>
      </c>
      <c r="B109" s="8" t="s">
        <v>691</v>
      </c>
    </row>
    <row r="110" spans="1:2" x14ac:dyDescent="0.2">
      <c r="A110" t="s">
        <v>693</v>
      </c>
      <c r="B110" s="8" t="s">
        <v>694</v>
      </c>
    </row>
    <row r="111" spans="1:2" x14ac:dyDescent="0.2">
      <c r="A111" t="s">
        <v>696</v>
      </c>
      <c r="B111" s="8" t="s">
        <v>697</v>
      </c>
    </row>
    <row r="112" spans="1:2" x14ac:dyDescent="0.2">
      <c r="A112" t="s">
        <v>699</v>
      </c>
      <c r="B112" s="8" t="s">
        <v>357</v>
      </c>
    </row>
    <row r="113" spans="1:2" x14ac:dyDescent="0.2">
      <c r="A113" t="s">
        <v>700</v>
      </c>
      <c r="B113" s="8" t="s">
        <v>701</v>
      </c>
    </row>
    <row r="114" spans="1:2" x14ac:dyDescent="0.2">
      <c r="A114" t="s">
        <v>703</v>
      </c>
      <c r="B114" s="8" t="s">
        <v>704</v>
      </c>
    </row>
    <row r="115" spans="1:2" x14ac:dyDescent="0.2">
      <c r="A115" t="s">
        <v>706</v>
      </c>
      <c r="B115" s="8" t="s">
        <v>707</v>
      </c>
    </row>
    <row r="116" spans="1:2" x14ac:dyDescent="0.2">
      <c r="A116" t="s">
        <v>709</v>
      </c>
      <c r="B116" s="8" t="s">
        <v>285</v>
      </c>
    </row>
    <row r="117" spans="1:2" x14ac:dyDescent="0.2">
      <c r="A117" t="s">
        <v>711</v>
      </c>
      <c r="B117" s="8" t="s">
        <v>712</v>
      </c>
    </row>
    <row r="118" spans="1:2" x14ac:dyDescent="0.2">
      <c r="A118" t="s">
        <v>714</v>
      </c>
      <c r="B118" s="8" t="s">
        <v>715</v>
      </c>
    </row>
    <row r="119" spans="1:2" x14ac:dyDescent="0.2">
      <c r="A119" t="s">
        <v>717</v>
      </c>
      <c r="B119" s="8" t="s">
        <v>718</v>
      </c>
    </row>
    <row r="120" spans="1:2" x14ac:dyDescent="0.2">
      <c r="A120" t="s">
        <v>720</v>
      </c>
      <c r="B120" s="8" t="s">
        <v>721</v>
      </c>
    </row>
    <row r="121" spans="1:2" x14ac:dyDescent="0.2">
      <c r="A121" t="s">
        <v>723</v>
      </c>
      <c r="B121" s="8" t="s">
        <v>724</v>
      </c>
    </row>
    <row r="122" spans="1:2" x14ac:dyDescent="0.2">
      <c r="A122" t="s">
        <v>726</v>
      </c>
      <c r="B122" s="8" t="s">
        <v>727</v>
      </c>
    </row>
    <row r="123" spans="1:2" x14ac:dyDescent="0.2">
      <c r="A123" t="s">
        <v>729</v>
      </c>
      <c r="B123" s="8" t="s">
        <v>357</v>
      </c>
    </row>
    <row r="124" spans="1:2" x14ac:dyDescent="0.2">
      <c r="A124" t="s">
        <v>730</v>
      </c>
      <c r="B124" s="8" t="s">
        <v>731</v>
      </c>
    </row>
    <row r="125" spans="1:2" x14ac:dyDescent="0.2">
      <c r="A125" t="s">
        <v>733</v>
      </c>
      <c r="B125" s="8" t="s">
        <v>734</v>
      </c>
    </row>
    <row r="126" spans="1:2" x14ac:dyDescent="0.2">
      <c r="A126" t="s">
        <v>736</v>
      </c>
      <c r="B126" s="8" t="s">
        <v>737</v>
      </c>
    </row>
    <row r="127" spans="1:2" x14ac:dyDescent="0.2">
      <c r="A127" t="s">
        <v>739</v>
      </c>
      <c r="B127" s="8" t="s">
        <v>740</v>
      </c>
    </row>
    <row r="128" spans="1:2" x14ac:dyDescent="0.2">
      <c r="A128" t="s">
        <v>742</v>
      </c>
      <c r="B128" s="8" t="s">
        <v>357</v>
      </c>
    </row>
    <row r="129" spans="1:2" x14ac:dyDescent="0.2">
      <c r="A129" t="s">
        <v>744</v>
      </c>
      <c r="B129" s="8" t="s">
        <v>745</v>
      </c>
    </row>
    <row r="130" spans="1:2" x14ac:dyDescent="0.2">
      <c r="A130" t="s">
        <v>747</v>
      </c>
      <c r="B130" s="8" t="s">
        <v>748</v>
      </c>
    </row>
    <row r="131" spans="1:2" x14ac:dyDescent="0.2">
      <c r="A131" t="s">
        <v>750</v>
      </c>
      <c r="B131" s="8" t="s">
        <v>751</v>
      </c>
    </row>
    <row r="132" spans="1:2" x14ac:dyDescent="0.2">
      <c r="A132" t="s">
        <v>753</v>
      </c>
      <c r="B132" s="8" t="s">
        <v>754</v>
      </c>
    </row>
    <row r="133" spans="1:2" x14ac:dyDescent="0.2">
      <c r="A133" t="s">
        <v>756</v>
      </c>
      <c r="B133" s="8" t="s">
        <v>757</v>
      </c>
    </row>
    <row r="134" spans="1:2" x14ac:dyDescent="0.2">
      <c r="A134" t="s">
        <v>759</v>
      </c>
      <c r="B134" s="8" t="s">
        <v>760</v>
      </c>
    </row>
    <row r="135" spans="1:2" x14ac:dyDescent="0.2">
      <c r="A135" t="s">
        <v>762</v>
      </c>
      <c r="B135" s="8" t="s">
        <v>763</v>
      </c>
    </row>
    <row r="136" spans="1:2" x14ac:dyDescent="0.2">
      <c r="A136" t="s">
        <v>765</v>
      </c>
      <c r="B136" s="8" t="s">
        <v>240</v>
      </c>
    </row>
    <row r="137" spans="1:2" x14ac:dyDescent="0.2">
      <c r="A137" t="s">
        <v>767</v>
      </c>
      <c r="B137" s="8" t="s">
        <v>768</v>
      </c>
    </row>
    <row r="138" spans="1:2" x14ac:dyDescent="0.2">
      <c r="A138" t="s">
        <v>770</v>
      </c>
      <c r="B138" s="8" t="s">
        <v>771</v>
      </c>
    </row>
    <row r="139" spans="1:2" x14ac:dyDescent="0.2">
      <c r="A139" t="s">
        <v>773</v>
      </c>
      <c r="B139" s="8" t="s">
        <v>774</v>
      </c>
    </row>
    <row r="140" spans="1:2" x14ac:dyDescent="0.2">
      <c r="A140" t="s">
        <v>776</v>
      </c>
      <c r="B140" s="8" t="s">
        <v>777</v>
      </c>
    </row>
    <row r="141" spans="1:2" x14ac:dyDescent="0.2">
      <c r="A141" t="s">
        <v>779</v>
      </c>
      <c r="B141" s="8" t="s">
        <v>780</v>
      </c>
    </row>
    <row r="142" spans="1:2" x14ac:dyDescent="0.2">
      <c r="A142" t="s">
        <v>782</v>
      </c>
      <c r="B142" s="8" t="s">
        <v>783</v>
      </c>
    </row>
    <row r="143" spans="1:2" x14ac:dyDescent="0.2">
      <c r="A143" t="s">
        <v>785</v>
      </c>
      <c r="B143" s="8" t="s">
        <v>786</v>
      </c>
    </row>
    <row r="144" spans="1:2" x14ac:dyDescent="0.2">
      <c r="A144" t="s">
        <v>788</v>
      </c>
      <c r="B144" s="8" t="s">
        <v>789</v>
      </c>
    </row>
    <row r="145" spans="1:2" x14ac:dyDescent="0.2">
      <c r="A145" t="s">
        <v>791</v>
      </c>
      <c r="B145" s="8" t="s">
        <v>792</v>
      </c>
    </row>
    <row r="146" spans="1:2" x14ac:dyDescent="0.2">
      <c r="A146" t="s">
        <v>794</v>
      </c>
      <c r="B146" s="8" t="s">
        <v>248</v>
      </c>
    </row>
    <row r="147" spans="1:2" x14ac:dyDescent="0.2">
      <c r="A147" t="s">
        <v>796</v>
      </c>
      <c r="B147" s="8" t="s">
        <v>797</v>
      </c>
    </row>
    <row r="148" spans="1:2" x14ac:dyDescent="0.2">
      <c r="A148" t="s">
        <v>799</v>
      </c>
      <c r="B148" s="8" t="s">
        <v>800</v>
      </c>
    </row>
    <row r="149" spans="1:2" x14ac:dyDescent="0.2">
      <c r="A149" t="s">
        <v>802</v>
      </c>
      <c r="B149" s="8" t="s">
        <v>803</v>
      </c>
    </row>
    <row r="150" spans="1:2" x14ac:dyDescent="0.2">
      <c r="A150" t="s">
        <v>804</v>
      </c>
      <c r="B150" s="8" t="s">
        <v>805</v>
      </c>
    </row>
    <row r="151" spans="1:2" x14ac:dyDescent="0.2">
      <c r="A151" t="s">
        <v>807</v>
      </c>
      <c r="B151" s="8" t="s">
        <v>808</v>
      </c>
    </row>
    <row r="152" spans="1:2" x14ac:dyDescent="0.2">
      <c r="A152" t="s">
        <v>810</v>
      </c>
      <c r="B152" s="8" t="s">
        <v>811</v>
      </c>
    </row>
    <row r="153" spans="1:2" x14ac:dyDescent="0.2">
      <c r="A153" t="s">
        <v>813</v>
      </c>
      <c r="B153" s="8" t="s">
        <v>814</v>
      </c>
    </row>
    <row r="154" spans="1:2" x14ac:dyDescent="0.2">
      <c r="A154" t="s">
        <v>816</v>
      </c>
      <c r="B154" s="8" t="s">
        <v>817</v>
      </c>
    </row>
    <row r="155" spans="1:2" x14ac:dyDescent="0.2">
      <c r="A155" t="s">
        <v>819</v>
      </c>
      <c r="B155" s="8" t="s">
        <v>205</v>
      </c>
    </row>
    <row r="156" spans="1:2" x14ac:dyDescent="0.2">
      <c r="A156" t="s">
        <v>821</v>
      </c>
      <c r="B156" s="8" t="s">
        <v>822</v>
      </c>
    </row>
    <row r="157" spans="1:2" x14ac:dyDescent="0.2">
      <c r="A157" t="s">
        <v>823</v>
      </c>
      <c r="B157" s="8" t="s">
        <v>824</v>
      </c>
    </row>
    <row r="158" spans="1:2" x14ac:dyDescent="0.2">
      <c r="A158" t="s">
        <v>826</v>
      </c>
      <c r="B158" s="8" t="s">
        <v>827</v>
      </c>
    </row>
    <row r="159" spans="1:2" x14ac:dyDescent="0.2">
      <c r="A159" t="s">
        <v>829</v>
      </c>
      <c r="B159" s="8" t="s">
        <v>830</v>
      </c>
    </row>
    <row r="160" spans="1:2" x14ac:dyDescent="0.2">
      <c r="A160" t="s">
        <v>832</v>
      </c>
      <c r="B160" s="8" t="s">
        <v>833</v>
      </c>
    </row>
    <row r="161" spans="1:2" x14ac:dyDescent="0.2">
      <c r="A161" t="s">
        <v>835</v>
      </c>
      <c r="B161" s="8" t="s">
        <v>836</v>
      </c>
    </row>
    <row r="162" spans="1:2" x14ac:dyDescent="0.2">
      <c r="A162" t="s">
        <v>838</v>
      </c>
      <c r="B162" s="8" t="s">
        <v>839</v>
      </c>
    </row>
    <row r="163" spans="1:2" x14ac:dyDescent="0.2">
      <c r="A163" t="s">
        <v>841</v>
      </c>
      <c r="B163" s="8" t="s">
        <v>842</v>
      </c>
    </row>
    <row r="164" spans="1:2" x14ac:dyDescent="0.2">
      <c r="A164" t="s">
        <v>844</v>
      </c>
      <c r="B164" s="8" t="s">
        <v>357</v>
      </c>
    </row>
    <row r="165" spans="1:2" x14ac:dyDescent="0.2">
      <c r="A165" t="s">
        <v>846</v>
      </c>
      <c r="B165" s="8" t="s">
        <v>847</v>
      </c>
    </row>
    <row r="166" spans="1:2" x14ac:dyDescent="0.2">
      <c r="A166" t="s">
        <v>849</v>
      </c>
      <c r="B166" s="8" t="s">
        <v>850</v>
      </c>
    </row>
    <row r="167" spans="1:2" x14ac:dyDescent="0.2">
      <c r="A167" t="s">
        <v>852</v>
      </c>
      <c r="B167" s="8" t="s">
        <v>264</v>
      </c>
    </row>
    <row r="168" spans="1:2" x14ac:dyDescent="0.2">
      <c r="A168" t="s">
        <v>854</v>
      </c>
      <c r="B168" s="8" t="s">
        <v>855</v>
      </c>
    </row>
    <row r="169" spans="1:2" x14ac:dyDescent="0.2">
      <c r="A169" t="s">
        <v>857</v>
      </c>
      <c r="B169" s="8" t="s">
        <v>858</v>
      </c>
    </row>
    <row r="170" spans="1:2" x14ac:dyDescent="0.2">
      <c r="A170" t="s">
        <v>860</v>
      </c>
      <c r="B170" s="8" t="s">
        <v>861</v>
      </c>
    </row>
    <row r="171" spans="1:2" x14ac:dyDescent="0.2">
      <c r="A171" t="s">
        <v>863</v>
      </c>
      <c r="B171" s="8" t="s">
        <v>864</v>
      </c>
    </row>
    <row r="172" spans="1:2" x14ac:dyDescent="0.2">
      <c r="A172" t="s">
        <v>866</v>
      </c>
      <c r="B172" s="8" t="s">
        <v>357</v>
      </c>
    </row>
    <row r="173" spans="1:2" x14ac:dyDescent="0.2">
      <c r="A173" t="s">
        <v>867</v>
      </c>
      <c r="B173" s="8" t="s">
        <v>868</v>
      </c>
    </row>
    <row r="174" spans="1:2" x14ac:dyDescent="0.2">
      <c r="A174" t="s">
        <v>870</v>
      </c>
      <c r="B174" s="8" t="s">
        <v>871</v>
      </c>
    </row>
    <row r="175" spans="1:2" x14ac:dyDescent="0.2">
      <c r="A175" t="s">
        <v>873</v>
      </c>
      <c r="B175" s="8" t="s">
        <v>874</v>
      </c>
    </row>
    <row r="176" spans="1:2" x14ac:dyDescent="0.2">
      <c r="A176" t="s">
        <v>876</v>
      </c>
      <c r="B176" s="8" t="s">
        <v>877</v>
      </c>
    </row>
    <row r="177" spans="1:2" x14ac:dyDescent="0.2">
      <c r="A177" t="s">
        <v>879</v>
      </c>
      <c r="B177" s="8" t="s">
        <v>298</v>
      </c>
    </row>
    <row r="178" spans="1:2" x14ac:dyDescent="0.2">
      <c r="A178" t="s">
        <v>881</v>
      </c>
      <c r="B178" s="8" t="s">
        <v>882</v>
      </c>
    </row>
    <row r="179" spans="1:2" x14ac:dyDescent="0.2">
      <c r="A179" t="s">
        <v>884</v>
      </c>
      <c r="B179" s="8" t="s">
        <v>885</v>
      </c>
    </row>
    <row r="180" spans="1:2" x14ac:dyDescent="0.2">
      <c r="A180" t="s">
        <v>887</v>
      </c>
      <c r="B180" s="8" t="s">
        <v>888</v>
      </c>
    </row>
    <row r="181" spans="1:2" x14ac:dyDescent="0.2">
      <c r="A181" t="s">
        <v>890</v>
      </c>
      <c r="B181" s="8" t="s">
        <v>891</v>
      </c>
    </row>
    <row r="182" spans="1:2" x14ac:dyDescent="0.2">
      <c r="A182" t="s">
        <v>893</v>
      </c>
      <c r="B182" s="8" t="s">
        <v>894</v>
      </c>
    </row>
    <row r="183" spans="1:2" x14ac:dyDescent="0.2">
      <c r="A183" t="s">
        <v>896</v>
      </c>
      <c r="B183" s="8" t="s">
        <v>288</v>
      </c>
    </row>
    <row r="184" spans="1:2" x14ac:dyDescent="0.2">
      <c r="A184" t="s">
        <v>898</v>
      </c>
      <c r="B184" s="8" t="s">
        <v>899</v>
      </c>
    </row>
    <row r="185" spans="1:2" x14ac:dyDescent="0.2">
      <c r="A185" t="s">
        <v>901</v>
      </c>
      <c r="B185" s="8" t="s">
        <v>902</v>
      </c>
    </row>
    <row r="186" spans="1:2" x14ac:dyDescent="0.2">
      <c r="A186" t="s">
        <v>904</v>
      </c>
      <c r="B186" s="8" t="s">
        <v>905</v>
      </c>
    </row>
    <row r="187" spans="1:2" x14ac:dyDescent="0.2">
      <c r="A187" t="s">
        <v>907</v>
      </c>
      <c r="B187" s="8" t="s">
        <v>908</v>
      </c>
    </row>
    <row r="188" spans="1:2" x14ac:dyDescent="0.2">
      <c r="A188" t="s">
        <v>910</v>
      </c>
      <c r="B188" s="8" t="s">
        <v>911</v>
      </c>
    </row>
    <row r="189" spans="1:2" x14ac:dyDescent="0.2">
      <c r="A189" t="s">
        <v>913</v>
      </c>
      <c r="B189" s="8" t="s">
        <v>914</v>
      </c>
    </row>
    <row r="190" spans="1:2" x14ac:dyDescent="0.2">
      <c r="A190" t="s">
        <v>916</v>
      </c>
      <c r="B190" s="8" t="s">
        <v>917</v>
      </c>
    </row>
    <row r="191" spans="1:2" x14ac:dyDescent="0.2">
      <c r="A191" t="s">
        <v>919</v>
      </c>
      <c r="B191" s="8" t="s">
        <v>204</v>
      </c>
    </row>
    <row r="192" spans="1:2" x14ac:dyDescent="0.2">
      <c r="A192" t="s">
        <v>921</v>
      </c>
      <c r="B192" s="8" t="s">
        <v>922</v>
      </c>
    </row>
    <row r="193" spans="1:2" x14ac:dyDescent="0.2">
      <c r="A193" t="s">
        <v>924</v>
      </c>
      <c r="B193" s="8" t="s">
        <v>922</v>
      </c>
    </row>
    <row r="194" spans="1:2" x14ac:dyDescent="0.2">
      <c r="A194" t="s">
        <v>925</v>
      </c>
      <c r="B194" s="8" t="s">
        <v>922</v>
      </c>
    </row>
    <row r="195" spans="1:2" x14ac:dyDescent="0.2">
      <c r="A195" t="s">
        <v>926</v>
      </c>
      <c r="B195" s="8" t="s">
        <v>922</v>
      </c>
    </row>
    <row r="196" spans="1:2" x14ac:dyDescent="0.2">
      <c r="A196" t="s">
        <v>927</v>
      </c>
      <c r="B196" s="8" t="s">
        <v>928</v>
      </c>
    </row>
    <row r="197" spans="1:2" x14ac:dyDescent="0.2">
      <c r="A197" t="s">
        <v>930</v>
      </c>
      <c r="B197" s="8" t="s">
        <v>931</v>
      </c>
    </row>
    <row r="198" spans="1:2" x14ac:dyDescent="0.2">
      <c r="A198" t="s">
        <v>933</v>
      </c>
      <c r="B198" s="8" t="s">
        <v>357</v>
      </c>
    </row>
    <row r="199" spans="1:2" x14ac:dyDescent="0.2">
      <c r="A199" t="s">
        <v>935</v>
      </c>
      <c r="B199" s="8" t="s">
        <v>936</v>
      </c>
    </row>
    <row r="200" spans="1:2" x14ac:dyDescent="0.2">
      <c r="A200" t="s">
        <v>938</v>
      </c>
      <c r="B200" s="8" t="s">
        <v>939</v>
      </c>
    </row>
    <row r="201" spans="1:2" x14ac:dyDescent="0.2">
      <c r="A201" t="s">
        <v>941</v>
      </c>
      <c r="B201" s="8" t="s">
        <v>942</v>
      </c>
    </row>
    <row r="202" spans="1:2" x14ac:dyDescent="0.2">
      <c r="A202" t="s">
        <v>943</v>
      </c>
      <c r="B202" s="8" t="s">
        <v>357</v>
      </c>
    </row>
    <row r="203" spans="1:2" x14ac:dyDescent="0.2">
      <c r="A203" t="s">
        <v>944</v>
      </c>
      <c r="B203" s="8" t="s">
        <v>945</v>
      </c>
    </row>
    <row r="204" spans="1:2" x14ac:dyDescent="0.2">
      <c r="A204" t="s">
        <v>946</v>
      </c>
      <c r="B204" s="8" t="s">
        <v>947</v>
      </c>
    </row>
    <row r="205" spans="1:2" x14ac:dyDescent="0.2">
      <c r="A205" t="s">
        <v>948</v>
      </c>
      <c r="B205" s="8" t="s">
        <v>949</v>
      </c>
    </row>
    <row r="206" spans="1:2" x14ac:dyDescent="0.2">
      <c r="A206" t="s">
        <v>951</v>
      </c>
      <c r="B206" s="8" t="s">
        <v>952</v>
      </c>
    </row>
    <row r="207" spans="1:2" x14ac:dyDescent="0.2">
      <c r="A207" t="s">
        <v>953</v>
      </c>
      <c r="B207" s="8" t="s">
        <v>954</v>
      </c>
    </row>
    <row r="208" spans="1:2" x14ac:dyDescent="0.2">
      <c r="A208" t="s">
        <v>956</v>
      </c>
      <c r="B208" s="8" t="s">
        <v>957</v>
      </c>
    </row>
    <row r="209" spans="1:2" x14ac:dyDescent="0.2">
      <c r="A209" t="s">
        <v>959</v>
      </c>
      <c r="B209" s="8" t="s">
        <v>960</v>
      </c>
    </row>
    <row r="210" spans="1:2" x14ac:dyDescent="0.2">
      <c r="A210" t="s">
        <v>962</v>
      </c>
      <c r="B210" s="8" t="s">
        <v>963</v>
      </c>
    </row>
    <row r="211" spans="1:2" x14ac:dyDescent="0.2">
      <c r="A211" t="s">
        <v>965</v>
      </c>
      <c r="B211" s="8" t="s">
        <v>966</v>
      </c>
    </row>
    <row r="212" spans="1:2" x14ac:dyDescent="0.2">
      <c r="A212" t="s">
        <v>968</v>
      </c>
      <c r="B212" s="8" t="s">
        <v>969</v>
      </c>
    </row>
    <row r="213" spans="1:2" x14ac:dyDescent="0.2">
      <c r="A213" t="s">
        <v>970</v>
      </c>
      <c r="B213" s="8" t="s">
        <v>357</v>
      </c>
    </row>
    <row r="214" spans="1:2" x14ac:dyDescent="0.2">
      <c r="A214" t="s">
        <v>972</v>
      </c>
      <c r="B214" s="8" t="s">
        <v>973</v>
      </c>
    </row>
    <row r="215" spans="1:2" x14ac:dyDescent="0.2">
      <c r="A215" t="s">
        <v>975</v>
      </c>
      <c r="B215" s="8" t="s">
        <v>976</v>
      </c>
    </row>
    <row r="216" spans="1:2" x14ac:dyDescent="0.2">
      <c r="A216" t="s">
        <v>978</v>
      </c>
      <c r="B216" s="8" t="s">
        <v>979</v>
      </c>
    </row>
    <row r="217" spans="1:2" x14ac:dyDescent="0.2">
      <c r="A217" t="s">
        <v>981</v>
      </c>
      <c r="B217" s="8" t="s">
        <v>357</v>
      </c>
    </row>
    <row r="218" spans="1:2" x14ac:dyDescent="0.2">
      <c r="A218" t="s">
        <v>982</v>
      </c>
      <c r="B218" s="8" t="s">
        <v>983</v>
      </c>
    </row>
    <row r="219" spans="1:2" x14ac:dyDescent="0.2">
      <c r="A219" t="s">
        <v>985</v>
      </c>
      <c r="B219" s="8" t="s">
        <v>357</v>
      </c>
    </row>
    <row r="220" spans="1:2" x14ac:dyDescent="0.2">
      <c r="A220" t="s">
        <v>987</v>
      </c>
      <c r="B220" s="8" t="s">
        <v>988</v>
      </c>
    </row>
    <row r="221" spans="1:2" x14ac:dyDescent="0.2">
      <c r="A221" t="s">
        <v>990</v>
      </c>
      <c r="B221" s="8" t="s">
        <v>991</v>
      </c>
    </row>
    <row r="222" spans="1:2" x14ac:dyDescent="0.2">
      <c r="A222" t="s">
        <v>993</v>
      </c>
      <c r="B222" s="8" t="s">
        <v>994</v>
      </c>
    </row>
    <row r="223" spans="1:2" x14ac:dyDescent="0.2">
      <c r="A223" t="s">
        <v>996</v>
      </c>
      <c r="B223" s="8" t="s">
        <v>997</v>
      </c>
    </row>
    <row r="224" spans="1:2" x14ac:dyDescent="0.2">
      <c r="A224" t="s">
        <v>999</v>
      </c>
      <c r="B224" s="8" t="s">
        <v>1000</v>
      </c>
    </row>
    <row r="225" spans="1:2" x14ac:dyDescent="0.2">
      <c r="A225" t="s">
        <v>1002</v>
      </c>
      <c r="B225" s="8" t="s">
        <v>357</v>
      </c>
    </row>
    <row r="226" spans="1:2" x14ac:dyDescent="0.2">
      <c r="A226" t="s">
        <v>1004</v>
      </c>
      <c r="B226" s="8" t="s">
        <v>1005</v>
      </c>
    </row>
    <row r="227" spans="1:2" x14ac:dyDescent="0.2">
      <c r="A227" t="s">
        <v>1006</v>
      </c>
      <c r="B227" s="8" t="s">
        <v>1007</v>
      </c>
    </row>
    <row r="228" spans="1:2" x14ac:dyDescent="0.2">
      <c r="A228" t="s">
        <v>1009</v>
      </c>
      <c r="B228" s="8" t="s">
        <v>1010</v>
      </c>
    </row>
    <row r="229" spans="1:2" x14ac:dyDescent="0.2">
      <c r="A229" t="s">
        <v>1011</v>
      </c>
      <c r="B229" s="8" t="s">
        <v>1012</v>
      </c>
    </row>
    <row r="230" spans="1:2" x14ac:dyDescent="0.2">
      <c r="A230" t="s">
        <v>1013</v>
      </c>
      <c r="B230" s="8" t="s">
        <v>1014</v>
      </c>
    </row>
    <row r="231" spans="1:2" x14ac:dyDescent="0.2">
      <c r="A231" t="s">
        <v>1016</v>
      </c>
      <c r="B231" s="8" t="s">
        <v>357</v>
      </c>
    </row>
    <row r="232" spans="1:2" x14ac:dyDescent="0.2">
      <c r="A232" t="s">
        <v>1017</v>
      </c>
      <c r="B232" s="8" t="s">
        <v>1018</v>
      </c>
    </row>
    <row r="233" spans="1:2" x14ac:dyDescent="0.2">
      <c r="A233" t="s">
        <v>1020</v>
      </c>
      <c r="B233" s="8" t="s">
        <v>1021</v>
      </c>
    </row>
    <row r="234" spans="1:2" x14ac:dyDescent="0.2">
      <c r="A234" t="s">
        <v>1023</v>
      </c>
      <c r="B234" s="8" t="s">
        <v>1024</v>
      </c>
    </row>
    <row r="235" spans="1:2" x14ac:dyDescent="0.2">
      <c r="A235" t="s">
        <v>1026</v>
      </c>
      <c r="B235" s="8" t="s">
        <v>1027</v>
      </c>
    </row>
    <row r="236" spans="1:2" x14ac:dyDescent="0.2">
      <c r="A236" t="s">
        <v>1029</v>
      </c>
      <c r="B236" s="8" t="s">
        <v>1030</v>
      </c>
    </row>
    <row r="237" spans="1:2" x14ac:dyDescent="0.2">
      <c r="A237" t="s">
        <v>1032</v>
      </c>
      <c r="B237" s="8" t="s">
        <v>1033</v>
      </c>
    </row>
    <row r="238" spans="1:2" x14ac:dyDescent="0.2">
      <c r="A238" t="s">
        <v>1034</v>
      </c>
      <c r="B238" s="8" t="s">
        <v>1035</v>
      </c>
    </row>
    <row r="239" spans="1:2" x14ac:dyDescent="0.2">
      <c r="A239" t="s">
        <v>1037</v>
      </c>
      <c r="B239" s="8" t="s">
        <v>1038</v>
      </c>
    </row>
    <row r="240" spans="1:2" x14ac:dyDescent="0.2">
      <c r="A240" t="s">
        <v>1040</v>
      </c>
      <c r="B240" s="8" t="s">
        <v>1041</v>
      </c>
    </row>
    <row r="241" spans="1:2" x14ac:dyDescent="0.2">
      <c r="A241" t="s">
        <v>1043</v>
      </c>
      <c r="B241" s="8" t="s">
        <v>1044</v>
      </c>
    </row>
    <row r="242" spans="1:2" x14ac:dyDescent="0.2">
      <c r="A242" t="s">
        <v>1046</v>
      </c>
      <c r="B242" s="8" t="s">
        <v>1047</v>
      </c>
    </row>
    <row r="243" spans="1:2" x14ac:dyDescent="0.2">
      <c r="A243" t="s">
        <v>1049</v>
      </c>
      <c r="B243" s="8" t="s">
        <v>1050</v>
      </c>
    </row>
    <row r="244" spans="1:2" x14ac:dyDescent="0.2">
      <c r="A244" t="s">
        <v>1052</v>
      </c>
      <c r="B244" s="8" t="s">
        <v>1053</v>
      </c>
    </row>
    <row r="245" spans="1:2" x14ac:dyDescent="0.2">
      <c r="A245" t="s">
        <v>1055</v>
      </c>
      <c r="B245" s="8" t="s">
        <v>1056</v>
      </c>
    </row>
    <row r="246" spans="1:2" x14ac:dyDescent="0.2">
      <c r="A246" t="s">
        <v>1058</v>
      </c>
      <c r="B246" s="8" t="s">
        <v>1059</v>
      </c>
    </row>
    <row r="247" spans="1:2" x14ac:dyDescent="0.2">
      <c r="A247" t="s">
        <v>1061</v>
      </c>
      <c r="B247" s="8" t="s">
        <v>1062</v>
      </c>
    </row>
    <row r="248" spans="1:2" x14ac:dyDescent="0.2">
      <c r="A248" t="s">
        <v>1064</v>
      </c>
      <c r="B248" s="8" t="s">
        <v>1065</v>
      </c>
    </row>
    <row r="249" spans="1:2" x14ac:dyDescent="0.2">
      <c r="A249" t="s">
        <v>1067</v>
      </c>
      <c r="B249" s="8" t="s">
        <v>1068</v>
      </c>
    </row>
    <row r="250" spans="1:2" x14ac:dyDescent="0.2">
      <c r="A250" t="s">
        <v>1070</v>
      </c>
      <c r="B250" s="8" t="s">
        <v>1071</v>
      </c>
    </row>
    <row r="251" spans="1:2" x14ac:dyDescent="0.2">
      <c r="A251" t="s">
        <v>1073</v>
      </c>
      <c r="B251" s="8" t="s">
        <v>1074</v>
      </c>
    </row>
    <row r="252" spans="1:2" x14ac:dyDescent="0.2">
      <c r="A252" t="s">
        <v>1076</v>
      </c>
      <c r="B252" s="8" t="s">
        <v>1077</v>
      </c>
    </row>
    <row r="253" spans="1:2" x14ac:dyDescent="0.2">
      <c r="A253" t="s">
        <v>1079</v>
      </c>
      <c r="B253" s="8" t="s">
        <v>1080</v>
      </c>
    </row>
    <row r="254" spans="1:2" x14ac:dyDescent="0.2">
      <c r="A254" t="s">
        <v>1082</v>
      </c>
      <c r="B254" s="8" t="s">
        <v>1083</v>
      </c>
    </row>
    <row r="255" spans="1:2" x14ac:dyDescent="0.2">
      <c r="A255" t="s">
        <v>1085</v>
      </c>
      <c r="B255" s="8" t="s">
        <v>357</v>
      </c>
    </row>
    <row r="256" spans="1:2" x14ac:dyDescent="0.2">
      <c r="A256" t="s">
        <v>1087</v>
      </c>
      <c r="B256" s="8" t="s">
        <v>1088</v>
      </c>
    </row>
    <row r="257" spans="1:2" x14ac:dyDescent="0.2">
      <c r="A257" t="s">
        <v>1090</v>
      </c>
      <c r="B257" s="8" t="s">
        <v>1091</v>
      </c>
    </row>
    <row r="258" spans="1:2" x14ac:dyDescent="0.2">
      <c r="A258" t="s">
        <v>1093</v>
      </c>
      <c r="B258" s="8" t="s">
        <v>1094</v>
      </c>
    </row>
    <row r="259" spans="1:2" x14ac:dyDescent="0.2">
      <c r="A259" t="s">
        <v>1096</v>
      </c>
      <c r="B259" s="8" t="s">
        <v>1097</v>
      </c>
    </row>
    <row r="260" spans="1:2" x14ac:dyDescent="0.2">
      <c r="A260" t="s">
        <v>1099</v>
      </c>
      <c r="B260" s="8" t="s">
        <v>1100</v>
      </c>
    </row>
    <row r="261" spans="1:2" x14ac:dyDescent="0.2">
      <c r="A261" t="s">
        <v>1102</v>
      </c>
      <c r="B261" s="8" t="s">
        <v>1103</v>
      </c>
    </row>
    <row r="262" spans="1:2" x14ac:dyDescent="0.2">
      <c r="A262" t="s">
        <v>1105</v>
      </c>
      <c r="B262" s="8" t="s">
        <v>1106</v>
      </c>
    </row>
    <row r="263" spans="1:2" x14ac:dyDescent="0.2">
      <c r="A263" t="s">
        <v>1108</v>
      </c>
      <c r="B263" s="8" t="s">
        <v>1109</v>
      </c>
    </row>
    <row r="264" spans="1:2" x14ac:dyDescent="0.2">
      <c r="A264" t="s">
        <v>1110</v>
      </c>
      <c r="B264" s="8" t="s">
        <v>1111</v>
      </c>
    </row>
    <row r="265" spans="1:2" x14ac:dyDescent="0.2">
      <c r="A265" t="s">
        <v>1113</v>
      </c>
      <c r="B265" s="8" t="s">
        <v>1114</v>
      </c>
    </row>
    <row r="266" spans="1:2" x14ac:dyDescent="0.2">
      <c r="A266" t="s">
        <v>1116</v>
      </c>
      <c r="B266" s="8" t="s">
        <v>1117</v>
      </c>
    </row>
    <row r="267" spans="1:2" x14ac:dyDescent="0.2">
      <c r="A267" t="s">
        <v>1119</v>
      </c>
      <c r="B267" s="8" t="s">
        <v>1120</v>
      </c>
    </row>
    <row r="268" spans="1:2" x14ac:dyDescent="0.2">
      <c r="A268" t="s">
        <v>1122</v>
      </c>
      <c r="B268" s="8" t="s">
        <v>357</v>
      </c>
    </row>
    <row r="269" spans="1:2" x14ac:dyDescent="0.2">
      <c r="A269" t="s">
        <v>1123</v>
      </c>
      <c r="B269" s="8" t="s">
        <v>247</v>
      </c>
    </row>
    <row r="270" spans="1:2" x14ac:dyDescent="0.2">
      <c r="A270" t="s">
        <v>1125</v>
      </c>
      <c r="B270" s="8" t="s">
        <v>1126</v>
      </c>
    </row>
    <row r="271" spans="1:2" x14ac:dyDescent="0.2">
      <c r="A271" t="s">
        <v>1128</v>
      </c>
      <c r="B271" s="8" t="s">
        <v>1129</v>
      </c>
    </row>
    <row r="272" spans="1:2" x14ac:dyDescent="0.2">
      <c r="A272" t="s">
        <v>1131</v>
      </c>
      <c r="B272" s="8" t="s">
        <v>1132</v>
      </c>
    </row>
    <row r="273" spans="1:2" x14ac:dyDescent="0.2">
      <c r="A273" t="s">
        <v>1133</v>
      </c>
      <c r="B273" s="8" t="s">
        <v>1134</v>
      </c>
    </row>
    <row r="274" spans="1:2" x14ac:dyDescent="0.2">
      <c r="A274" t="s">
        <v>1136</v>
      </c>
      <c r="B274" s="8" t="s">
        <v>1134</v>
      </c>
    </row>
    <row r="275" spans="1:2" x14ac:dyDescent="0.2">
      <c r="A275" t="s">
        <v>1137</v>
      </c>
      <c r="B275" s="8" t="s">
        <v>1138</v>
      </c>
    </row>
    <row r="276" spans="1:2" x14ac:dyDescent="0.2">
      <c r="A276" t="s">
        <v>1140</v>
      </c>
      <c r="B276" s="8" t="s">
        <v>1141</v>
      </c>
    </row>
    <row r="277" spans="1:2" x14ac:dyDescent="0.2">
      <c r="A277" t="s">
        <v>1143</v>
      </c>
      <c r="B277" s="8" t="s">
        <v>1144</v>
      </c>
    </row>
    <row r="278" spans="1:2" x14ac:dyDescent="0.2">
      <c r="A278" t="s">
        <v>1146</v>
      </c>
      <c r="B278" s="8" t="s">
        <v>1147</v>
      </c>
    </row>
    <row r="279" spans="1:2" x14ac:dyDescent="0.2">
      <c r="A279" t="s">
        <v>1149</v>
      </c>
      <c r="B279" s="8" t="s">
        <v>1150</v>
      </c>
    </row>
    <row r="280" spans="1:2" x14ac:dyDescent="0.2">
      <c r="A280" t="s">
        <v>1152</v>
      </c>
      <c r="B280" s="8" t="s">
        <v>1153</v>
      </c>
    </row>
    <row r="281" spans="1:2" x14ac:dyDescent="0.2">
      <c r="A281" t="s">
        <v>1155</v>
      </c>
      <c r="B281" s="8" t="s">
        <v>1156</v>
      </c>
    </row>
    <row r="282" spans="1:2" x14ac:dyDescent="0.2">
      <c r="A282" t="s">
        <v>1158</v>
      </c>
      <c r="B282" s="8" t="s">
        <v>1159</v>
      </c>
    </row>
    <row r="283" spans="1:2" x14ac:dyDescent="0.2">
      <c r="A283" t="s">
        <v>1161</v>
      </c>
      <c r="B283" s="8" t="s">
        <v>1162</v>
      </c>
    </row>
    <row r="284" spans="1:2" x14ac:dyDescent="0.2">
      <c r="A284" t="s">
        <v>1164</v>
      </c>
      <c r="B284" s="8" t="s">
        <v>1165</v>
      </c>
    </row>
    <row r="285" spans="1:2" x14ac:dyDescent="0.2">
      <c r="A285" t="s">
        <v>1167</v>
      </c>
      <c r="B285" s="8" t="s">
        <v>1168</v>
      </c>
    </row>
    <row r="286" spans="1:2" x14ac:dyDescent="0.2">
      <c r="A286" t="s">
        <v>1170</v>
      </c>
      <c r="B286" s="8" t="s">
        <v>1171</v>
      </c>
    </row>
    <row r="287" spans="1:2" x14ac:dyDescent="0.2">
      <c r="A287" t="s">
        <v>1173</v>
      </c>
      <c r="B287" s="8" t="s">
        <v>1174</v>
      </c>
    </row>
    <row r="288" spans="1:2" x14ac:dyDescent="0.2">
      <c r="A288" t="s">
        <v>1176</v>
      </c>
      <c r="B288" s="8" t="s">
        <v>1177</v>
      </c>
    </row>
    <row r="289" spans="1:2" x14ac:dyDescent="0.2">
      <c r="A289" t="s">
        <v>1178</v>
      </c>
      <c r="B289" s="8" t="s">
        <v>1179</v>
      </c>
    </row>
    <row r="290" spans="1:2" x14ac:dyDescent="0.2">
      <c r="A290" t="s">
        <v>1181</v>
      </c>
      <c r="B290" s="8" t="s">
        <v>357</v>
      </c>
    </row>
    <row r="291" spans="1:2" x14ac:dyDescent="0.2">
      <c r="A291" t="s">
        <v>1183</v>
      </c>
      <c r="B291" s="8" t="s">
        <v>1184</v>
      </c>
    </row>
    <row r="292" spans="1:2" x14ac:dyDescent="0.2">
      <c r="A292" t="s">
        <v>1186</v>
      </c>
      <c r="B292" s="8" t="s">
        <v>1187</v>
      </c>
    </row>
    <row r="293" spans="1:2" x14ac:dyDescent="0.2">
      <c r="A293" t="s">
        <v>1189</v>
      </c>
      <c r="B293" s="8" t="s">
        <v>357</v>
      </c>
    </row>
    <row r="294" spans="1:2" x14ac:dyDescent="0.2">
      <c r="A294" t="s">
        <v>1190</v>
      </c>
      <c r="B294" s="8" t="s">
        <v>1191</v>
      </c>
    </row>
    <row r="295" spans="1:2" x14ac:dyDescent="0.2">
      <c r="A295" t="s">
        <v>1193</v>
      </c>
      <c r="B295" s="8" t="s">
        <v>1194</v>
      </c>
    </row>
    <row r="296" spans="1:2" x14ac:dyDescent="0.2">
      <c r="A296" t="s">
        <v>1195</v>
      </c>
      <c r="B296" s="8" t="s">
        <v>1196</v>
      </c>
    </row>
    <row r="297" spans="1:2" x14ac:dyDescent="0.2">
      <c r="A297" t="s">
        <v>1198</v>
      </c>
      <c r="B297" s="8" t="s">
        <v>357</v>
      </c>
    </row>
    <row r="298" spans="1:2" x14ac:dyDescent="0.2">
      <c r="A298" t="s">
        <v>1200</v>
      </c>
      <c r="B298" s="8" t="s">
        <v>1201</v>
      </c>
    </row>
    <row r="299" spans="1:2" x14ac:dyDescent="0.2">
      <c r="A299" t="s">
        <v>1203</v>
      </c>
      <c r="B299" s="8" t="s">
        <v>1204</v>
      </c>
    </row>
    <row r="300" spans="1:2" x14ac:dyDescent="0.2">
      <c r="A300" t="s">
        <v>1205</v>
      </c>
      <c r="B300" s="8" t="s">
        <v>213</v>
      </c>
    </row>
    <row r="301" spans="1:2" x14ac:dyDescent="0.2">
      <c r="A301" t="s">
        <v>1207</v>
      </c>
      <c r="B301" s="8" t="s">
        <v>213</v>
      </c>
    </row>
    <row r="302" spans="1:2" x14ac:dyDescent="0.2">
      <c r="A302" t="s">
        <v>1209</v>
      </c>
      <c r="B302" s="8" t="s">
        <v>213</v>
      </c>
    </row>
    <row r="303" spans="1:2" x14ac:dyDescent="0.2">
      <c r="A303" t="s">
        <v>1210</v>
      </c>
      <c r="B303" s="8" t="s">
        <v>213</v>
      </c>
    </row>
    <row r="304" spans="1:2" x14ac:dyDescent="0.2">
      <c r="A304" t="s">
        <v>1211</v>
      </c>
      <c r="B304" s="8" t="s">
        <v>213</v>
      </c>
    </row>
    <row r="305" spans="1:2" x14ac:dyDescent="0.2">
      <c r="A305" t="s">
        <v>1212</v>
      </c>
      <c r="B305" s="8" t="s">
        <v>1213</v>
      </c>
    </row>
    <row r="306" spans="1:2" x14ac:dyDescent="0.2">
      <c r="A306" t="s">
        <v>1215</v>
      </c>
      <c r="B306" s="8" t="s">
        <v>1216</v>
      </c>
    </row>
    <row r="307" spans="1:2" x14ac:dyDescent="0.2">
      <c r="A307" t="s">
        <v>1218</v>
      </c>
      <c r="B307" s="8" t="s">
        <v>1219</v>
      </c>
    </row>
    <row r="308" spans="1:2" x14ac:dyDescent="0.2">
      <c r="A308" t="s">
        <v>1221</v>
      </c>
      <c r="B308" s="8" t="s">
        <v>1222</v>
      </c>
    </row>
    <row r="309" spans="1:2" x14ac:dyDescent="0.2">
      <c r="A309" t="s">
        <v>1224</v>
      </c>
      <c r="B309" s="8" t="s">
        <v>1225</v>
      </c>
    </row>
    <row r="310" spans="1:2" x14ac:dyDescent="0.2">
      <c r="A310" t="s">
        <v>1227</v>
      </c>
      <c r="B310" s="8" t="s">
        <v>1228</v>
      </c>
    </row>
    <row r="311" spans="1:2" x14ac:dyDescent="0.2">
      <c r="A311" t="s">
        <v>1229</v>
      </c>
      <c r="B311" s="8" t="s">
        <v>1230</v>
      </c>
    </row>
    <row r="312" spans="1:2" x14ac:dyDescent="0.2">
      <c r="A312" t="s">
        <v>1232</v>
      </c>
      <c r="B312" s="8" t="s">
        <v>1233</v>
      </c>
    </row>
    <row r="313" spans="1:2" x14ac:dyDescent="0.2">
      <c r="A313" t="s">
        <v>1235</v>
      </c>
      <c r="B313" s="8" t="s">
        <v>1236</v>
      </c>
    </row>
    <row r="314" spans="1:2" x14ac:dyDescent="0.2">
      <c r="A314" t="s">
        <v>1238</v>
      </c>
      <c r="B314" s="8" t="s">
        <v>1239</v>
      </c>
    </row>
    <row r="315" spans="1:2" x14ac:dyDescent="0.2">
      <c r="A315" t="s">
        <v>1241</v>
      </c>
      <c r="B315" s="8" t="s">
        <v>1242</v>
      </c>
    </row>
    <row r="316" spans="1:2" x14ac:dyDescent="0.2">
      <c r="A316" t="s">
        <v>1244</v>
      </c>
      <c r="B316" s="8" t="s">
        <v>1245</v>
      </c>
    </row>
    <row r="317" spans="1:2" x14ac:dyDescent="0.2">
      <c r="A317" t="s">
        <v>1247</v>
      </c>
      <c r="B317" s="8" t="s">
        <v>357</v>
      </c>
    </row>
    <row r="318" spans="1:2" x14ac:dyDescent="0.2">
      <c r="A318" t="s">
        <v>1248</v>
      </c>
      <c r="B318" s="8" t="s">
        <v>1249</v>
      </c>
    </row>
    <row r="319" spans="1:2" x14ac:dyDescent="0.2">
      <c r="A319" t="s">
        <v>1251</v>
      </c>
      <c r="B319" s="8" t="s">
        <v>1252</v>
      </c>
    </row>
    <row r="320" spans="1:2" x14ac:dyDescent="0.2">
      <c r="A320" t="s">
        <v>1254</v>
      </c>
      <c r="B320" s="8" t="s">
        <v>1255</v>
      </c>
    </row>
    <row r="321" spans="1:2" x14ac:dyDescent="0.2">
      <c r="A321" t="s">
        <v>1257</v>
      </c>
      <c r="B321" s="8" t="s">
        <v>1258</v>
      </c>
    </row>
    <row r="322" spans="1:2" x14ac:dyDescent="0.2">
      <c r="A322" t="s">
        <v>1260</v>
      </c>
      <c r="B322" s="8" t="s">
        <v>1261</v>
      </c>
    </row>
    <row r="323" spans="1:2" x14ac:dyDescent="0.2">
      <c r="A323" t="s">
        <v>1262</v>
      </c>
      <c r="B323" s="8" t="s">
        <v>1263</v>
      </c>
    </row>
    <row r="324" spans="1:2" x14ac:dyDescent="0.2">
      <c r="A324" t="s">
        <v>1265</v>
      </c>
      <c r="B324" s="8" t="s">
        <v>1266</v>
      </c>
    </row>
    <row r="325" spans="1:2" x14ac:dyDescent="0.2">
      <c r="A325" t="s">
        <v>1268</v>
      </c>
      <c r="B325" s="8" t="s">
        <v>1269</v>
      </c>
    </row>
    <row r="326" spans="1:2" x14ac:dyDescent="0.2">
      <c r="A326" t="s">
        <v>1271</v>
      </c>
      <c r="B326" s="8" t="s">
        <v>1272</v>
      </c>
    </row>
    <row r="327" spans="1:2" x14ac:dyDescent="0.2">
      <c r="A327" t="s">
        <v>1274</v>
      </c>
      <c r="B327" s="8" t="s">
        <v>1275</v>
      </c>
    </row>
    <row r="328" spans="1:2" x14ac:dyDescent="0.2">
      <c r="A328" t="s">
        <v>1277</v>
      </c>
      <c r="B328" s="8" t="s">
        <v>1278</v>
      </c>
    </row>
    <row r="329" spans="1:2" x14ac:dyDescent="0.2">
      <c r="A329" t="s">
        <v>1279</v>
      </c>
      <c r="B329" s="8" t="s">
        <v>1280</v>
      </c>
    </row>
    <row r="330" spans="1:2" x14ac:dyDescent="0.2">
      <c r="A330" t="s">
        <v>1282</v>
      </c>
      <c r="B330" s="8" t="s">
        <v>1283</v>
      </c>
    </row>
    <row r="331" spans="1:2" x14ac:dyDescent="0.2">
      <c r="A331" t="s">
        <v>1285</v>
      </c>
      <c r="B331" s="8" t="s">
        <v>1286</v>
      </c>
    </row>
    <row r="332" spans="1:2" x14ac:dyDescent="0.2">
      <c r="A332" t="s">
        <v>1288</v>
      </c>
      <c r="B332" s="8" t="s">
        <v>1289</v>
      </c>
    </row>
    <row r="333" spans="1:2" x14ac:dyDescent="0.2">
      <c r="A333" t="s">
        <v>1291</v>
      </c>
      <c r="B333" s="8" t="s">
        <v>357</v>
      </c>
    </row>
    <row r="334" spans="1:2" x14ac:dyDescent="0.2">
      <c r="A334" t="s">
        <v>1292</v>
      </c>
      <c r="B334" s="8" t="s">
        <v>1293</v>
      </c>
    </row>
    <row r="335" spans="1:2" x14ac:dyDescent="0.2">
      <c r="A335" t="s">
        <v>1295</v>
      </c>
      <c r="B335" s="8" t="s">
        <v>1296</v>
      </c>
    </row>
    <row r="336" spans="1:2" x14ac:dyDescent="0.2">
      <c r="A336" t="s">
        <v>1298</v>
      </c>
      <c r="B336" s="8" t="s">
        <v>357</v>
      </c>
    </row>
    <row r="337" spans="1:2" x14ac:dyDescent="0.2">
      <c r="A337" t="s">
        <v>1300</v>
      </c>
      <c r="B337" s="8" t="s">
        <v>1301</v>
      </c>
    </row>
    <row r="338" spans="1:2" x14ac:dyDescent="0.2">
      <c r="A338" t="s">
        <v>1303</v>
      </c>
      <c r="B338" s="8" t="s">
        <v>1304</v>
      </c>
    </row>
    <row r="339" spans="1:2" x14ac:dyDescent="0.2">
      <c r="A339" t="s">
        <v>1305</v>
      </c>
      <c r="B339" s="8" t="s">
        <v>357</v>
      </c>
    </row>
    <row r="340" spans="1:2" x14ac:dyDescent="0.2">
      <c r="A340" t="s">
        <v>1307</v>
      </c>
      <c r="B340" s="8" t="s">
        <v>1308</v>
      </c>
    </row>
    <row r="341" spans="1:2" x14ac:dyDescent="0.2">
      <c r="A341" t="s">
        <v>1310</v>
      </c>
      <c r="B341" s="8" t="s">
        <v>1311</v>
      </c>
    </row>
    <row r="342" spans="1:2" x14ac:dyDescent="0.2">
      <c r="A342" t="s">
        <v>1313</v>
      </c>
      <c r="B342" s="8" t="s">
        <v>218</v>
      </c>
    </row>
    <row r="343" spans="1:2" x14ac:dyDescent="0.2">
      <c r="A343" t="s">
        <v>1315</v>
      </c>
      <c r="B343" s="8" t="s">
        <v>1316</v>
      </c>
    </row>
    <row r="344" spans="1:2" x14ac:dyDescent="0.2">
      <c r="A344" t="s">
        <v>1318</v>
      </c>
      <c r="B344" s="8" t="s">
        <v>1319</v>
      </c>
    </row>
    <row r="345" spans="1:2" x14ac:dyDescent="0.2">
      <c r="A345" t="s">
        <v>1321</v>
      </c>
      <c r="B345" s="8" t="s">
        <v>1322</v>
      </c>
    </row>
    <row r="346" spans="1:2" x14ac:dyDescent="0.2">
      <c r="A346" t="s">
        <v>1324</v>
      </c>
      <c r="B346" s="8" t="s">
        <v>1325</v>
      </c>
    </row>
    <row r="347" spans="1:2" x14ac:dyDescent="0.2">
      <c r="A347" t="s">
        <v>1326</v>
      </c>
      <c r="B347" s="8" t="s">
        <v>1327</v>
      </c>
    </row>
    <row r="348" spans="1:2" x14ac:dyDescent="0.2">
      <c r="A348" t="s">
        <v>1329</v>
      </c>
      <c r="B348" s="8" t="s">
        <v>1330</v>
      </c>
    </row>
    <row r="349" spans="1:2" x14ac:dyDescent="0.2">
      <c r="A349" t="s">
        <v>1332</v>
      </c>
      <c r="B349" s="8" t="s">
        <v>1333</v>
      </c>
    </row>
    <row r="350" spans="1:2" x14ac:dyDescent="0.2">
      <c r="A350" t="s">
        <v>1335</v>
      </c>
      <c r="B350" s="8" t="s">
        <v>1336</v>
      </c>
    </row>
    <row r="351" spans="1:2" x14ac:dyDescent="0.2">
      <c r="A351" t="s">
        <v>1338</v>
      </c>
      <c r="B351" s="8" t="s">
        <v>1339</v>
      </c>
    </row>
    <row r="352" spans="1:2" x14ac:dyDescent="0.2">
      <c r="A352" t="s">
        <v>1341</v>
      </c>
      <c r="B352" s="8" t="s">
        <v>1342</v>
      </c>
    </row>
    <row r="353" spans="1:2" x14ac:dyDescent="0.2">
      <c r="A353" t="s">
        <v>1344</v>
      </c>
      <c r="B353" s="8" t="s">
        <v>1345</v>
      </c>
    </row>
    <row r="354" spans="1:2" x14ac:dyDescent="0.2">
      <c r="A354" t="s">
        <v>1346</v>
      </c>
      <c r="B354" s="8" t="s">
        <v>1347</v>
      </c>
    </row>
    <row r="355" spans="1:2" x14ac:dyDescent="0.2">
      <c r="A355" t="s">
        <v>1349</v>
      </c>
      <c r="B355" s="8" t="s">
        <v>1350</v>
      </c>
    </row>
    <row r="356" spans="1:2" x14ac:dyDescent="0.2">
      <c r="A356" t="s">
        <v>1352</v>
      </c>
      <c r="B356" s="8" t="s">
        <v>1353</v>
      </c>
    </row>
    <row r="357" spans="1:2" x14ac:dyDescent="0.2">
      <c r="A357" t="s">
        <v>1354</v>
      </c>
      <c r="B357" s="8" t="s">
        <v>1355</v>
      </c>
    </row>
    <row r="358" spans="1:2" x14ac:dyDescent="0.2">
      <c r="A358" t="s">
        <v>1357</v>
      </c>
      <c r="B358" s="8" t="s">
        <v>1358</v>
      </c>
    </row>
    <row r="359" spans="1:2" x14ac:dyDescent="0.2">
      <c r="A359" t="s">
        <v>1359</v>
      </c>
      <c r="B359" s="8" t="s">
        <v>1360</v>
      </c>
    </row>
    <row r="360" spans="1:2" x14ac:dyDescent="0.2">
      <c r="A360" t="s">
        <v>1361</v>
      </c>
      <c r="B360" s="8" t="s">
        <v>1362</v>
      </c>
    </row>
    <row r="361" spans="1:2" x14ac:dyDescent="0.2">
      <c r="A361" t="s">
        <v>1363</v>
      </c>
      <c r="B361" s="8" t="s">
        <v>1364</v>
      </c>
    </row>
    <row r="362" spans="1:2" x14ac:dyDescent="0.2">
      <c r="A362" t="s">
        <v>1366</v>
      </c>
      <c r="B362" s="8" t="s">
        <v>1367</v>
      </c>
    </row>
    <row r="363" spans="1:2" x14ac:dyDescent="0.2">
      <c r="A363" t="s">
        <v>1368</v>
      </c>
      <c r="B363" s="8" t="s">
        <v>1369</v>
      </c>
    </row>
    <row r="364" spans="1:2" x14ac:dyDescent="0.2">
      <c r="A364" t="s">
        <v>1371</v>
      </c>
      <c r="B364" s="8" t="s">
        <v>1372</v>
      </c>
    </row>
    <row r="365" spans="1:2" x14ac:dyDescent="0.2">
      <c r="A365" t="s">
        <v>1374</v>
      </c>
      <c r="B365" s="8" t="s">
        <v>1375</v>
      </c>
    </row>
    <row r="366" spans="1:2" x14ac:dyDescent="0.2">
      <c r="A366" t="s">
        <v>1377</v>
      </c>
      <c r="B366" s="8" t="s">
        <v>1378</v>
      </c>
    </row>
    <row r="367" spans="1:2" x14ac:dyDescent="0.2">
      <c r="A367" t="s">
        <v>1380</v>
      </c>
      <c r="B367" s="8" t="s">
        <v>1381</v>
      </c>
    </row>
    <row r="368" spans="1:2" x14ac:dyDescent="0.2">
      <c r="A368" t="s">
        <v>1383</v>
      </c>
      <c r="B368" s="8" t="s">
        <v>1384</v>
      </c>
    </row>
    <row r="369" spans="1:2" x14ac:dyDescent="0.2">
      <c r="A369" t="s">
        <v>1386</v>
      </c>
      <c r="B369" s="8" t="s">
        <v>1387</v>
      </c>
    </row>
    <row r="370" spans="1:2" x14ac:dyDescent="0.2">
      <c r="A370" t="s">
        <v>1389</v>
      </c>
      <c r="B370" s="8" t="s">
        <v>1390</v>
      </c>
    </row>
    <row r="371" spans="1:2" x14ac:dyDescent="0.2">
      <c r="A371" t="s">
        <v>1389</v>
      </c>
      <c r="B371" s="8" t="s">
        <v>1390</v>
      </c>
    </row>
    <row r="372" spans="1:2" x14ac:dyDescent="0.2">
      <c r="A372" t="s">
        <v>1392</v>
      </c>
      <c r="B372" s="8" t="s">
        <v>1393</v>
      </c>
    </row>
    <row r="373" spans="1:2" x14ac:dyDescent="0.2">
      <c r="A373" t="s">
        <v>1394</v>
      </c>
      <c r="B373" s="8" t="s">
        <v>1395</v>
      </c>
    </row>
    <row r="374" spans="1:2" x14ac:dyDescent="0.2">
      <c r="A374" t="s">
        <v>1397</v>
      </c>
      <c r="B374" s="8" t="s">
        <v>1398</v>
      </c>
    </row>
    <row r="375" spans="1:2" x14ac:dyDescent="0.2">
      <c r="A375" t="s">
        <v>1400</v>
      </c>
      <c r="B375" s="8" t="s">
        <v>357</v>
      </c>
    </row>
    <row r="376" spans="1:2" x14ac:dyDescent="0.2">
      <c r="A376" t="s">
        <v>1401</v>
      </c>
      <c r="B376" s="8" t="s">
        <v>1402</v>
      </c>
    </row>
    <row r="377" spans="1:2" x14ac:dyDescent="0.2">
      <c r="A377" t="s">
        <v>1404</v>
      </c>
      <c r="B377" s="8" t="s">
        <v>1405</v>
      </c>
    </row>
    <row r="378" spans="1:2" x14ac:dyDescent="0.2">
      <c r="A378" t="s">
        <v>1407</v>
      </c>
      <c r="B378" s="8" t="s">
        <v>1408</v>
      </c>
    </row>
    <row r="379" spans="1:2" x14ac:dyDescent="0.2">
      <c r="A379" t="s">
        <v>1410</v>
      </c>
      <c r="B379" s="8" t="s">
        <v>1411</v>
      </c>
    </row>
    <row r="380" spans="1:2" x14ac:dyDescent="0.2">
      <c r="A380" t="s">
        <v>1412</v>
      </c>
      <c r="B380" s="8" t="s">
        <v>1413</v>
      </c>
    </row>
    <row r="381" spans="1:2" x14ac:dyDescent="0.2">
      <c r="A381" t="s">
        <v>1415</v>
      </c>
      <c r="B381" s="8" t="s">
        <v>1416</v>
      </c>
    </row>
    <row r="382" spans="1:2" x14ac:dyDescent="0.2">
      <c r="A382" t="s">
        <v>1418</v>
      </c>
      <c r="B382" s="8" t="s">
        <v>1419</v>
      </c>
    </row>
    <row r="383" spans="1:2" x14ac:dyDescent="0.2">
      <c r="A383" t="s">
        <v>1421</v>
      </c>
      <c r="B383" s="8" t="s">
        <v>357</v>
      </c>
    </row>
    <row r="384" spans="1:2" x14ac:dyDescent="0.2">
      <c r="A384" t="s">
        <v>1422</v>
      </c>
      <c r="B384" s="8" t="s">
        <v>1423</v>
      </c>
    </row>
    <row r="385" spans="1:2" x14ac:dyDescent="0.2">
      <c r="A385" t="s">
        <v>1425</v>
      </c>
      <c r="B385" s="8" t="s">
        <v>1426</v>
      </c>
    </row>
    <row r="386" spans="1:2" x14ac:dyDescent="0.2">
      <c r="A386" t="s">
        <v>1428</v>
      </c>
      <c r="B386" s="8" t="s">
        <v>1429</v>
      </c>
    </row>
    <row r="387" spans="1:2" x14ac:dyDescent="0.2">
      <c r="A387" t="s">
        <v>1431</v>
      </c>
      <c r="B387" s="8" t="s">
        <v>1432</v>
      </c>
    </row>
    <row r="388" spans="1:2" x14ac:dyDescent="0.2">
      <c r="A388" t="s">
        <v>1434</v>
      </c>
      <c r="B388" s="8" t="s">
        <v>1435</v>
      </c>
    </row>
    <row r="389" spans="1:2" x14ac:dyDescent="0.2">
      <c r="A389" t="s">
        <v>1437</v>
      </c>
      <c r="B389" s="8" t="s">
        <v>1438</v>
      </c>
    </row>
    <row r="390" spans="1:2" x14ac:dyDescent="0.2">
      <c r="A390" t="s">
        <v>1440</v>
      </c>
      <c r="B390" s="8" t="s">
        <v>1441</v>
      </c>
    </row>
    <row r="391" spans="1:2" x14ac:dyDescent="0.2">
      <c r="A391" t="s">
        <v>1443</v>
      </c>
      <c r="B391" s="8" t="s">
        <v>1444</v>
      </c>
    </row>
    <row r="392" spans="1:2" x14ac:dyDescent="0.2">
      <c r="A392" t="s">
        <v>1446</v>
      </c>
      <c r="B392" s="8" t="s">
        <v>1447</v>
      </c>
    </row>
    <row r="393" spans="1:2" x14ac:dyDescent="0.2">
      <c r="A393" t="s">
        <v>1449</v>
      </c>
      <c r="B393" s="8" t="s">
        <v>1450</v>
      </c>
    </row>
    <row r="394" spans="1:2" x14ac:dyDescent="0.2">
      <c r="A394" t="s">
        <v>1452</v>
      </c>
      <c r="B394" s="8" t="s">
        <v>1453</v>
      </c>
    </row>
    <row r="395" spans="1:2" x14ac:dyDescent="0.2">
      <c r="A395" t="s">
        <v>1455</v>
      </c>
      <c r="B395" s="8" t="s">
        <v>209</v>
      </c>
    </row>
    <row r="396" spans="1:2" x14ac:dyDescent="0.2">
      <c r="A396" t="s">
        <v>1457</v>
      </c>
      <c r="B396" s="8" t="s">
        <v>1458</v>
      </c>
    </row>
    <row r="397" spans="1:2" x14ac:dyDescent="0.2">
      <c r="A397" t="s">
        <v>1460</v>
      </c>
      <c r="B397" s="8" t="s">
        <v>1461</v>
      </c>
    </row>
    <row r="398" spans="1:2" x14ac:dyDescent="0.2">
      <c r="A398" t="s">
        <v>1463</v>
      </c>
      <c r="B398" s="8" t="s">
        <v>1464</v>
      </c>
    </row>
    <row r="399" spans="1:2" x14ac:dyDescent="0.2">
      <c r="A399" t="s">
        <v>1466</v>
      </c>
      <c r="B399" s="8" t="s">
        <v>1467</v>
      </c>
    </row>
    <row r="400" spans="1:2" x14ac:dyDescent="0.2">
      <c r="A400" t="s">
        <v>1469</v>
      </c>
      <c r="B400" s="8" t="s">
        <v>1470</v>
      </c>
    </row>
    <row r="401" spans="1:2" x14ac:dyDescent="0.2">
      <c r="A401" t="s">
        <v>1472</v>
      </c>
      <c r="B401" s="8" t="s">
        <v>1473</v>
      </c>
    </row>
    <row r="402" spans="1:2" x14ac:dyDescent="0.2">
      <c r="A402" t="s">
        <v>1475</v>
      </c>
      <c r="B402" s="8" t="s">
        <v>1476</v>
      </c>
    </row>
    <row r="403" spans="1:2" x14ac:dyDescent="0.2">
      <c r="A403" t="s">
        <v>1478</v>
      </c>
      <c r="B403" s="8" t="s">
        <v>1479</v>
      </c>
    </row>
    <row r="404" spans="1:2" x14ac:dyDescent="0.2">
      <c r="A404" t="s">
        <v>1481</v>
      </c>
      <c r="B404" s="8" t="s">
        <v>1482</v>
      </c>
    </row>
    <row r="405" spans="1:2" x14ac:dyDescent="0.2">
      <c r="A405" t="s">
        <v>1484</v>
      </c>
      <c r="B405" s="8" t="s">
        <v>1485</v>
      </c>
    </row>
    <row r="406" spans="1:2" x14ac:dyDescent="0.2">
      <c r="A406" t="s">
        <v>1487</v>
      </c>
      <c r="B406" s="8" t="s">
        <v>1488</v>
      </c>
    </row>
    <row r="407" spans="1:2" x14ac:dyDescent="0.2">
      <c r="A407" t="s">
        <v>1490</v>
      </c>
      <c r="B407" s="8" t="s">
        <v>1491</v>
      </c>
    </row>
    <row r="408" spans="1:2" x14ac:dyDescent="0.2">
      <c r="A408" t="s">
        <v>1493</v>
      </c>
      <c r="B408" s="8" t="s">
        <v>1494</v>
      </c>
    </row>
    <row r="409" spans="1:2" x14ac:dyDescent="0.2">
      <c r="A409" t="s">
        <v>1496</v>
      </c>
      <c r="B409" s="8" t="s">
        <v>1497</v>
      </c>
    </row>
    <row r="410" spans="1:2" x14ac:dyDescent="0.2">
      <c r="A410" t="s">
        <v>1499</v>
      </c>
      <c r="B410" s="8" t="s">
        <v>357</v>
      </c>
    </row>
    <row r="411" spans="1:2" x14ac:dyDescent="0.2">
      <c r="A411" t="s">
        <v>1500</v>
      </c>
      <c r="B411" s="8" t="s">
        <v>1501</v>
      </c>
    </row>
    <row r="412" spans="1:2" x14ac:dyDescent="0.2">
      <c r="A412" t="s">
        <v>1503</v>
      </c>
      <c r="B412" s="8" t="s">
        <v>1504</v>
      </c>
    </row>
    <row r="413" spans="1:2" x14ac:dyDescent="0.2">
      <c r="A413" t="s">
        <v>1506</v>
      </c>
      <c r="B413" s="8" t="s">
        <v>1507</v>
      </c>
    </row>
    <row r="414" spans="1:2" x14ac:dyDescent="0.2">
      <c r="A414" t="s">
        <v>1509</v>
      </c>
      <c r="B414" s="8" t="s">
        <v>1510</v>
      </c>
    </row>
    <row r="415" spans="1:2" x14ac:dyDescent="0.2">
      <c r="A415" t="s">
        <v>1512</v>
      </c>
      <c r="B415" s="8" t="s">
        <v>1513</v>
      </c>
    </row>
    <row r="416" spans="1:2" x14ac:dyDescent="0.2">
      <c r="A416" t="s">
        <v>1515</v>
      </c>
      <c r="B416" s="8" t="s">
        <v>1516</v>
      </c>
    </row>
    <row r="417" spans="1:2" x14ac:dyDescent="0.2">
      <c r="A417" t="s">
        <v>1518</v>
      </c>
      <c r="B417" s="8" t="s">
        <v>1519</v>
      </c>
    </row>
    <row r="418" spans="1:2" x14ac:dyDescent="0.2">
      <c r="A418" t="s">
        <v>1520</v>
      </c>
      <c r="B418" s="8" t="s">
        <v>1521</v>
      </c>
    </row>
    <row r="419" spans="1:2" x14ac:dyDescent="0.2">
      <c r="A419" t="s">
        <v>1523</v>
      </c>
      <c r="B419" s="8" t="s">
        <v>1524</v>
      </c>
    </row>
    <row r="420" spans="1:2" x14ac:dyDescent="0.2">
      <c r="A420" t="s">
        <v>1526</v>
      </c>
      <c r="B420" s="8" t="s">
        <v>1527</v>
      </c>
    </row>
    <row r="421" spans="1:2" x14ac:dyDescent="0.2">
      <c r="A421" t="s">
        <v>1529</v>
      </c>
      <c r="B421" s="8" t="s">
        <v>1530</v>
      </c>
    </row>
    <row r="422" spans="1:2" x14ac:dyDescent="0.2">
      <c r="A422" t="s">
        <v>1531</v>
      </c>
      <c r="B422" s="8" t="s">
        <v>1532</v>
      </c>
    </row>
    <row r="423" spans="1:2" x14ac:dyDescent="0.2">
      <c r="A423" t="s">
        <v>1534</v>
      </c>
      <c r="B423" s="8" t="s">
        <v>1535</v>
      </c>
    </row>
    <row r="424" spans="1:2" x14ac:dyDescent="0.2">
      <c r="A424" t="s">
        <v>1536</v>
      </c>
      <c r="B424" s="8" t="s">
        <v>1537</v>
      </c>
    </row>
    <row r="425" spans="1:2" x14ac:dyDescent="0.2">
      <c r="A425" t="s">
        <v>1539</v>
      </c>
      <c r="B425" s="8" t="s">
        <v>1540</v>
      </c>
    </row>
    <row r="426" spans="1:2" x14ac:dyDescent="0.2">
      <c r="A426" t="s">
        <v>1542</v>
      </c>
      <c r="B426" s="8" t="s">
        <v>1543</v>
      </c>
    </row>
    <row r="427" spans="1:2" x14ac:dyDescent="0.2">
      <c r="A427" t="s">
        <v>1545</v>
      </c>
      <c r="B427" s="8" t="s">
        <v>1546</v>
      </c>
    </row>
    <row r="428" spans="1:2" x14ac:dyDescent="0.2">
      <c r="A428" t="s">
        <v>1548</v>
      </c>
      <c r="B428" s="8" t="s">
        <v>1549</v>
      </c>
    </row>
    <row r="429" spans="1:2" x14ac:dyDescent="0.2">
      <c r="A429" t="s">
        <v>1551</v>
      </c>
      <c r="B429" s="8" t="s">
        <v>1552</v>
      </c>
    </row>
    <row r="430" spans="1:2" x14ac:dyDescent="0.2">
      <c r="A430" t="s">
        <v>1554</v>
      </c>
      <c r="B430" s="8" t="s">
        <v>1555</v>
      </c>
    </row>
    <row r="431" spans="1:2" x14ac:dyDescent="0.2">
      <c r="A431" t="s">
        <v>1556</v>
      </c>
      <c r="B431" s="8" t="s">
        <v>1557</v>
      </c>
    </row>
    <row r="432" spans="1:2" x14ac:dyDescent="0.2">
      <c r="A432" t="s">
        <v>1559</v>
      </c>
      <c r="B432" s="8" t="s">
        <v>1560</v>
      </c>
    </row>
    <row r="433" spans="1:2" x14ac:dyDescent="0.2">
      <c r="A433" t="s">
        <v>1562</v>
      </c>
      <c r="B433" s="8" t="s">
        <v>1563</v>
      </c>
    </row>
    <row r="434" spans="1:2" x14ac:dyDescent="0.2">
      <c r="A434" t="s">
        <v>1565</v>
      </c>
      <c r="B434" s="8" t="s">
        <v>1566</v>
      </c>
    </row>
    <row r="435" spans="1:2" x14ac:dyDescent="0.2">
      <c r="A435" t="s">
        <v>1568</v>
      </c>
      <c r="B435" s="8" t="s">
        <v>1569</v>
      </c>
    </row>
    <row r="436" spans="1:2" x14ac:dyDescent="0.2">
      <c r="A436" t="s">
        <v>1571</v>
      </c>
      <c r="B436" s="8" t="s">
        <v>1572</v>
      </c>
    </row>
    <row r="437" spans="1:2" x14ac:dyDescent="0.2">
      <c r="A437" t="s">
        <v>1574</v>
      </c>
      <c r="B437" s="8" t="s">
        <v>1575</v>
      </c>
    </row>
    <row r="438" spans="1:2" x14ac:dyDescent="0.2">
      <c r="A438" t="s">
        <v>1577</v>
      </c>
      <c r="B438" s="8" t="s">
        <v>1578</v>
      </c>
    </row>
    <row r="439" spans="1:2" x14ac:dyDescent="0.2">
      <c r="A439" t="s">
        <v>1580</v>
      </c>
      <c r="B439" s="8" t="s">
        <v>1578</v>
      </c>
    </row>
    <row r="440" spans="1:2" x14ac:dyDescent="0.2">
      <c r="A440" t="s">
        <v>1581</v>
      </c>
      <c r="B440" s="8" t="s">
        <v>1582</v>
      </c>
    </row>
    <row r="441" spans="1:2" x14ac:dyDescent="0.2">
      <c r="A441" t="s">
        <v>1584</v>
      </c>
      <c r="B441" s="8" t="s">
        <v>1585</v>
      </c>
    </row>
    <row r="442" spans="1:2" x14ac:dyDescent="0.2">
      <c r="A442" t="s">
        <v>1587</v>
      </c>
      <c r="B442" s="8" t="s">
        <v>1588</v>
      </c>
    </row>
    <row r="443" spans="1:2" x14ac:dyDescent="0.2">
      <c r="A443" t="s">
        <v>1590</v>
      </c>
      <c r="B443" s="8" t="s">
        <v>1591</v>
      </c>
    </row>
    <row r="444" spans="1:2" x14ac:dyDescent="0.2">
      <c r="A444" t="s">
        <v>1593</v>
      </c>
      <c r="B444" s="8" t="s">
        <v>357</v>
      </c>
    </row>
    <row r="445" spans="1:2" x14ac:dyDescent="0.2">
      <c r="A445" t="s">
        <v>1594</v>
      </c>
      <c r="B445" s="8" t="s">
        <v>1595</v>
      </c>
    </row>
    <row r="446" spans="1:2" x14ac:dyDescent="0.2">
      <c r="A446" t="s">
        <v>1597</v>
      </c>
      <c r="B446" s="8" t="s">
        <v>1598</v>
      </c>
    </row>
    <row r="447" spans="1:2" x14ac:dyDescent="0.2">
      <c r="A447" t="s">
        <v>1600</v>
      </c>
      <c r="B447" s="8" t="s">
        <v>1601</v>
      </c>
    </row>
    <row r="448" spans="1:2" x14ac:dyDescent="0.2">
      <c r="A448" t="s">
        <v>1603</v>
      </c>
      <c r="B448" s="8" t="s">
        <v>1604</v>
      </c>
    </row>
    <row r="449" spans="1:2" x14ac:dyDescent="0.2">
      <c r="A449" t="s">
        <v>1606</v>
      </c>
      <c r="B449" s="8" t="s">
        <v>1607</v>
      </c>
    </row>
    <row r="450" spans="1:2" x14ac:dyDescent="0.2">
      <c r="A450" t="s">
        <v>1609</v>
      </c>
      <c r="B450" s="8" t="s">
        <v>803</v>
      </c>
    </row>
    <row r="451" spans="1:2" x14ac:dyDescent="0.2">
      <c r="A451" t="s">
        <v>1610</v>
      </c>
      <c r="B451" s="8" t="s">
        <v>1611</v>
      </c>
    </row>
    <row r="452" spans="1:2" x14ac:dyDescent="0.2">
      <c r="A452" t="s">
        <v>1613</v>
      </c>
      <c r="B452" s="8" t="s">
        <v>337</v>
      </c>
    </row>
    <row r="453" spans="1:2" x14ac:dyDescent="0.2">
      <c r="A453" t="s">
        <v>1615</v>
      </c>
      <c r="B453" s="8" t="s">
        <v>1616</v>
      </c>
    </row>
    <row r="454" spans="1:2" x14ac:dyDescent="0.2">
      <c r="A454" t="s">
        <v>1618</v>
      </c>
      <c r="B454" s="8" t="s">
        <v>1619</v>
      </c>
    </row>
    <row r="455" spans="1:2" x14ac:dyDescent="0.2">
      <c r="A455" t="s">
        <v>1621</v>
      </c>
      <c r="B455" s="8" t="s">
        <v>1622</v>
      </c>
    </row>
    <row r="456" spans="1:2" x14ac:dyDescent="0.2">
      <c r="A456" t="s">
        <v>1624</v>
      </c>
      <c r="B456" s="8" t="s">
        <v>1622</v>
      </c>
    </row>
    <row r="457" spans="1:2" x14ac:dyDescent="0.2">
      <c r="A457" t="s">
        <v>1625</v>
      </c>
      <c r="B457" s="8" t="s">
        <v>1622</v>
      </c>
    </row>
    <row r="458" spans="1:2" x14ac:dyDescent="0.2">
      <c r="A458" t="s">
        <v>1626</v>
      </c>
      <c r="B458" s="8" t="s">
        <v>1627</v>
      </c>
    </row>
    <row r="459" spans="1:2" x14ac:dyDescent="0.2">
      <c r="A459" t="s">
        <v>1629</v>
      </c>
      <c r="B459" s="8" t="s">
        <v>1630</v>
      </c>
    </row>
    <row r="460" spans="1:2" x14ac:dyDescent="0.2">
      <c r="A460" t="s">
        <v>1632</v>
      </c>
      <c r="B460" s="8" t="s">
        <v>1633</v>
      </c>
    </row>
    <row r="461" spans="1:2" x14ac:dyDescent="0.2">
      <c r="A461" t="s">
        <v>1635</v>
      </c>
      <c r="B461" s="8" t="s">
        <v>1636</v>
      </c>
    </row>
    <row r="462" spans="1:2" x14ac:dyDescent="0.2">
      <c r="A462" t="s">
        <v>1638</v>
      </c>
      <c r="B462" s="8" t="s">
        <v>1639</v>
      </c>
    </row>
    <row r="463" spans="1:2" x14ac:dyDescent="0.2">
      <c r="A463" t="s">
        <v>1641</v>
      </c>
      <c r="B463" s="8" t="s">
        <v>1642</v>
      </c>
    </row>
    <row r="464" spans="1:2" x14ac:dyDescent="0.2">
      <c r="A464" t="s">
        <v>1643</v>
      </c>
      <c r="B464" s="8" t="s">
        <v>1644</v>
      </c>
    </row>
    <row r="465" spans="1:2" x14ac:dyDescent="0.2">
      <c r="A465" t="s">
        <v>1646</v>
      </c>
      <c r="B465" s="8" t="s">
        <v>1647</v>
      </c>
    </row>
    <row r="466" spans="1:2" x14ac:dyDescent="0.2">
      <c r="A466" t="s">
        <v>1649</v>
      </c>
      <c r="B466" s="8" t="s">
        <v>1650</v>
      </c>
    </row>
    <row r="467" spans="1:2" x14ac:dyDescent="0.2">
      <c r="A467" t="s">
        <v>1652</v>
      </c>
      <c r="B467" s="8" t="s">
        <v>1653</v>
      </c>
    </row>
    <row r="468" spans="1:2" x14ac:dyDescent="0.2">
      <c r="A468" t="s">
        <v>1655</v>
      </c>
      <c r="B468" s="8" t="s">
        <v>1656</v>
      </c>
    </row>
    <row r="469" spans="1:2" x14ac:dyDescent="0.2">
      <c r="A469" t="s">
        <v>1658</v>
      </c>
      <c r="B469" s="8" t="s">
        <v>1659</v>
      </c>
    </row>
    <row r="470" spans="1:2" x14ac:dyDescent="0.2">
      <c r="A470" t="s">
        <v>1661</v>
      </c>
      <c r="B470" s="8" t="s">
        <v>1662</v>
      </c>
    </row>
    <row r="471" spans="1:2" x14ac:dyDescent="0.2">
      <c r="A471" t="s">
        <v>1664</v>
      </c>
      <c r="B471" s="8" t="s">
        <v>1665</v>
      </c>
    </row>
    <row r="472" spans="1:2" x14ac:dyDescent="0.2">
      <c r="A472" t="s">
        <v>1667</v>
      </c>
      <c r="B472" s="8" t="s">
        <v>1668</v>
      </c>
    </row>
    <row r="473" spans="1:2" x14ac:dyDescent="0.2">
      <c r="A473" t="s">
        <v>1670</v>
      </c>
      <c r="B473" s="8" t="s">
        <v>1671</v>
      </c>
    </row>
    <row r="474" spans="1:2" x14ac:dyDescent="0.2">
      <c r="A474" t="s">
        <v>1673</v>
      </c>
      <c r="B474" s="8" t="s">
        <v>1674</v>
      </c>
    </row>
    <row r="475" spans="1:2" x14ac:dyDescent="0.2">
      <c r="A475" t="s">
        <v>1676</v>
      </c>
      <c r="B475" s="8" t="s">
        <v>1677</v>
      </c>
    </row>
    <row r="476" spans="1:2" x14ac:dyDescent="0.2">
      <c r="A476" t="s">
        <v>1679</v>
      </c>
      <c r="B476" s="8" t="s">
        <v>1680</v>
      </c>
    </row>
    <row r="477" spans="1:2" x14ac:dyDescent="0.2">
      <c r="A477" t="s">
        <v>1682</v>
      </c>
      <c r="B477" s="8" t="s">
        <v>1683</v>
      </c>
    </row>
    <row r="478" spans="1:2" x14ac:dyDescent="0.2">
      <c r="A478" t="s">
        <v>1685</v>
      </c>
      <c r="B478" s="8" t="s">
        <v>1686</v>
      </c>
    </row>
    <row r="479" spans="1:2" x14ac:dyDescent="0.2">
      <c r="A479" t="s">
        <v>1688</v>
      </c>
      <c r="B479" s="8" t="s">
        <v>1689</v>
      </c>
    </row>
    <row r="480" spans="1:2" x14ac:dyDescent="0.2">
      <c r="A480" t="s">
        <v>1691</v>
      </c>
      <c r="B480" s="8" t="s">
        <v>1692</v>
      </c>
    </row>
    <row r="481" spans="1:2" x14ac:dyDescent="0.2">
      <c r="A481" t="s">
        <v>1694</v>
      </c>
      <c r="B481" s="8" t="s">
        <v>1695</v>
      </c>
    </row>
    <row r="482" spans="1:2" x14ac:dyDescent="0.2">
      <c r="A482" t="s">
        <v>1697</v>
      </c>
      <c r="B482" s="8" t="s">
        <v>1698</v>
      </c>
    </row>
    <row r="483" spans="1:2" x14ac:dyDescent="0.2">
      <c r="A483" t="s">
        <v>1700</v>
      </c>
      <c r="B483" s="8" t="s">
        <v>1701</v>
      </c>
    </row>
    <row r="484" spans="1:2" x14ac:dyDescent="0.2">
      <c r="A484" t="s">
        <v>1703</v>
      </c>
      <c r="B484" s="8" t="s">
        <v>1704</v>
      </c>
    </row>
    <row r="485" spans="1:2" x14ac:dyDescent="0.2">
      <c r="A485" t="s">
        <v>1706</v>
      </c>
      <c r="B485" s="8" t="s">
        <v>1707</v>
      </c>
    </row>
    <row r="486" spans="1:2" x14ac:dyDescent="0.2">
      <c r="A486" t="s">
        <v>1709</v>
      </c>
      <c r="B486" s="8" t="s">
        <v>1710</v>
      </c>
    </row>
    <row r="487" spans="1:2" x14ac:dyDescent="0.2">
      <c r="A487" t="s">
        <v>1712</v>
      </c>
      <c r="B487" s="8" t="s">
        <v>1713</v>
      </c>
    </row>
    <row r="488" spans="1:2" x14ac:dyDescent="0.2">
      <c r="A488" t="s">
        <v>1715</v>
      </c>
      <c r="B488" s="8" t="s">
        <v>1716</v>
      </c>
    </row>
    <row r="489" spans="1:2" x14ac:dyDescent="0.2">
      <c r="A489" t="s">
        <v>1718</v>
      </c>
      <c r="B489" s="8" t="s">
        <v>1719</v>
      </c>
    </row>
    <row r="490" spans="1:2" x14ac:dyDescent="0.2">
      <c r="A490" t="s">
        <v>1721</v>
      </c>
      <c r="B490" s="8" t="s">
        <v>1722</v>
      </c>
    </row>
    <row r="491" spans="1:2" x14ac:dyDescent="0.2">
      <c r="A491" t="s">
        <v>1724</v>
      </c>
      <c r="B491" s="8" t="s">
        <v>1725</v>
      </c>
    </row>
    <row r="492" spans="1:2" x14ac:dyDescent="0.2">
      <c r="A492" t="s">
        <v>1726</v>
      </c>
      <c r="B492" s="8" t="s">
        <v>1727</v>
      </c>
    </row>
    <row r="493" spans="1:2" x14ac:dyDescent="0.2">
      <c r="A493" t="s">
        <v>1729</v>
      </c>
      <c r="B493" s="8" t="s">
        <v>1730</v>
      </c>
    </row>
    <row r="494" spans="1:2" x14ac:dyDescent="0.2">
      <c r="A494" t="s">
        <v>1732</v>
      </c>
      <c r="B494" s="8" t="s">
        <v>1733</v>
      </c>
    </row>
    <row r="495" spans="1:2" x14ac:dyDescent="0.2">
      <c r="A495" t="s">
        <v>1735</v>
      </c>
      <c r="B495" s="8" t="s">
        <v>1736</v>
      </c>
    </row>
    <row r="496" spans="1:2" x14ac:dyDescent="0.2">
      <c r="A496" t="s">
        <v>1738</v>
      </c>
      <c r="B496" s="8" t="s">
        <v>1739</v>
      </c>
    </row>
    <row r="497" spans="1:2" x14ac:dyDescent="0.2">
      <c r="A497" t="s">
        <v>1741</v>
      </c>
      <c r="B497" s="8" t="s">
        <v>1742</v>
      </c>
    </row>
    <row r="498" spans="1:2" x14ac:dyDescent="0.2">
      <c r="A498" t="s">
        <v>1744</v>
      </c>
      <c r="B498" s="8" t="s">
        <v>1745</v>
      </c>
    </row>
    <row r="499" spans="1:2" x14ac:dyDescent="0.2">
      <c r="A499" t="s">
        <v>1747</v>
      </c>
      <c r="B499" s="8" t="s">
        <v>1748</v>
      </c>
    </row>
    <row r="500" spans="1:2" x14ac:dyDescent="0.2">
      <c r="A500" t="s">
        <v>1750</v>
      </c>
      <c r="B500" s="8" t="s">
        <v>1751</v>
      </c>
    </row>
    <row r="501" spans="1:2" x14ac:dyDescent="0.2">
      <c r="A501" t="s">
        <v>1753</v>
      </c>
      <c r="B501" s="8" t="s">
        <v>1754</v>
      </c>
    </row>
    <row r="502" spans="1:2" x14ac:dyDescent="0.2">
      <c r="A502" t="s">
        <v>1756</v>
      </c>
      <c r="B502" s="8" t="s">
        <v>357</v>
      </c>
    </row>
    <row r="503" spans="1:2" x14ac:dyDescent="0.2">
      <c r="A503" t="s">
        <v>1758</v>
      </c>
      <c r="B503" s="8" t="s">
        <v>1759</v>
      </c>
    </row>
    <row r="504" spans="1:2" x14ac:dyDescent="0.2">
      <c r="A504" t="s">
        <v>1761</v>
      </c>
      <c r="B504" s="8" t="s">
        <v>1762</v>
      </c>
    </row>
    <row r="505" spans="1:2" x14ac:dyDescent="0.2">
      <c r="A505" t="s">
        <v>1764</v>
      </c>
      <c r="B505" s="8" t="s">
        <v>1765</v>
      </c>
    </row>
    <row r="506" spans="1:2" x14ac:dyDescent="0.2">
      <c r="A506" t="s">
        <v>1767</v>
      </c>
      <c r="B506" s="8" t="s">
        <v>1768</v>
      </c>
    </row>
    <row r="507" spans="1:2" x14ac:dyDescent="0.2">
      <c r="A507" t="s">
        <v>1770</v>
      </c>
      <c r="B507" s="8" t="s">
        <v>1771</v>
      </c>
    </row>
    <row r="508" spans="1:2" x14ac:dyDescent="0.2">
      <c r="A508" t="s">
        <v>1772</v>
      </c>
      <c r="B508" s="8" t="s">
        <v>1773</v>
      </c>
    </row>
    <row r="509" spans="1:2" x14ac:dyDescent="0.2">
      <c r="A509" t="s">
        <v>1774</v>
      </c>
      <c r="B509" s="8" t="s">
        <v>1775</v>
      </c>
    </row>
    <row r="510" spans="1:2" x14ac:dyDescent="0.2">
      <c r="A510" t="s">
        <v>1776</v>
      </c>
      <c r="B510" s="8" t="s">
        <v>1777</v>
      </c>
    </row>
    <row r="511" spans="1:2" x14ac:dyDescent="0.2">
      <c r="A511" t="s">
        <v>1779</v>
      </c>
      <c r="B511" s="8" t="s">
        <v>1780</v>
      </c>
    </row>
    <row r="512" spans="1:2" x14ac:dyDescent="0.2">
      <c r="A512" t="s">
        <v>1782</v>
      </c>
      <c r="B512" s="8" t="s">
        <v>1783</v>
      </c>
    </row>
    <row r="513" spans="1:2" x14ac:dyDescent="0.2">
      <c r="A513" t="s">
        <v>1784</v>
      </c>
      <c r="B513" s="8" t="s">
        <v>1785</v>
      </c>
    </row>
    <row r="514" spans="1:2" x14ac:dyDescent="0.2">
      <c r="A514" t="s">
        <v>1787</v>
      </c>
      <c r="B514" s="8" t="s">
        <v>1788</v>
      </c>
    </row>
    <row r="515" spans="1:2" x14ac:dyDescent="0.2">
      <c r="A515" t="s">
        <v>1790</v>
      </c>
      <c r="B515" s="8" t="s">
        <v>1791</v>
      </c>
    </row>
    <row r="516" spans="1:2" x14ac:dyDescent="0.2">
      <c r="A516" t="s">
        <v>1793</v>
      </c>
      <c r="B516" s="8" t="s">
        <v>1794</v>
      </c>
    </row>
    <row r="517" spans="1:2" x14ac:dyDescent="0.2">
      <c r="A517" t="s">
        <v>1795</v>
      </c>
      <c r="B517" s="8" t="s">
        <v>1796</v>
      </c>
    </row>
    <row r="518" spans="1:2" x14ac:dyDescent="0.2">
      <c r="A518" t="s">
        <v>1797</v>
      </c>
      <c r="B518" s="8" t="s">
        <v>357</v>
      </c>
    </row>
    <row r="519" spans="1:2" x14ac:dyDescent="0.2">
      <c r="A519" t="s">
        <v>1798</v>
      </c>
      <c r="B519" s="8" t="s">
        <v>357</v>
      </c>
    </row>
    <row r="520" spans="1:2" x14ac:dyDescent="0.2">
      <c r="A520" t="s">
        <v>1799</v>
      </c>
      <c r="B520" s="8" t="s">
        <v>357</v>
      </c>
    </row>
    <row r="521" spans="1:2" x14ac:dyDescent="0.2">
      <c r="A521" t="s">
        <v>1800</v>
      </c>
      <c r="B521" s="8" t="s">
        <v>1801</v>
      </c>
    </row>
    <row r="522" spans="1:2" x14ac:dyDescent="0.2">
      <c r="A522" t="s">
        <v>1803</v>
      </c>
      <c r="B522" s="8" t="s">
        <v>1804</v>
      </c>
    </row>
    <row r="523" spans="1:2" x14ac:dyDescent="0.2">
      <c r="A523" t="s">
        <v>1806</v>
      </c>
      <c r="B523" s="8" t="s">
        <v>1807</v>
      </c>
    </row>
    <row r="524" spans="1:2" x14ac:dyDescent="0.2">
      <c r="A524" t="s">
        <v>1809</v>
      </c>
      <c r="B524" s="8" t="s">
        <v>1810</v>
      </c>
    </row>
    <row r="525" spans="1:2" x14ac:dyDescent="0.2">
      <c r="A525" t="s">
        <v>1812</v>
      </c>
      <c r="B525" s="8" t="s">
        <v>1813</v>
      </c>
    </row>
    <row r="526" spans="1:2" x14ac:dyDescent="0.2">
      <c r="A526" t="s">
        <v>1814</v>
      </c>
      <c r="B526" s="8" t="s">
        <v>1815</v>
      </c>
    </row>
    <row r="527" spans="1:2" x14ac:dyDescent="0.2">
      <c r="A527" t="s">
        <v>1817</v>
      </c>
      <c r="B527" s="8" t="s">
        <v>1818</v>
      </c>
    </row>
    <row r="528" spans="1:2" x14ac:dyDescent="0.2">
      <c r="A528" t="s">
        <v>1820</v>
      </c>
      <c r="B528" s="8" t="s">
        <v>1821</v>
      </c>
    </row>
    <row r="529" spans="1:2" x14ac:dyDescent="0.2">
      <c r="A529" t="s">
        <v>1823</v>
      </c>
      <c r="B529" s="8" t="s">
        <v>1824</v>
      </c>
    </row>
    <row r="530" spans="1:2" x14ac:dyDescent="0.2">
      <c r="A530" t="s">
        <v>1826</v>
      </c>
      <c r="B530" s="8" t="s">
        <v>1827</v>
      </c>
    </row>
    <row r="531" spans="1:2" x14ac:dyDescent="0.2">
      <c r="A531" t="s">
        <v>1829</v>
      </c>
      <c r="B531" s="8" t="s">
        <v>1830</v>
      </c>
    </row>
    <row r="532" spans="1:2" x14ac:dyDescent="0.2">
      <c r="A532" t="s">
        <v>1832</v>
      </c>
      <c r="B532" s="8" t="s">
        <v>1833</v>
      </c>
    </row>
    <row r="533" spans="1:2" x14ac:dyDescent="0.2">
      <c r="A533" t="s">
        <v>1835</v>
      </c>
      <c r="B533" s="8" t="s">
        <v>1836</v>
      </c>
    </row>
    <row r="534" spans="1:2" x14ac:dyDescent="0.2">
      <c r="A534" t="s">
        <v>1838</v>
      </c>
      <c r="B534" s="8" t="s">
        <v>1839</v>
      </c>
    </row>
    <row r="535" spans="1:2" x14ac:dyDescent="0.2">
      <c r="A535" t="s">
        <v>1841</v>
      </c>
      <c r="B535" s="8" t="s">
        <v>1842</v>
      </c>
    </row>
    <row r="536" spans="1:2" x14ac:dyDescent="0.2">
      <c r="A536" t="s">
        <v>1844</v>
      </c>
      <c r="B536" s="8" t="s">
        <v>1845</v>
      </c>
    </row>
    <row r="537" spans="1:2" x14ac:dyDescent="0.2">
      <c r="A537" t="s">
        <v>1847</v>
      </c>
      <c r="B537" s="8" t="s">
        <v>357</v>
      </c>
    </row>
    <row r="538" spans="1:2" x14ac:dyDescent="0.2">
      <c r="A538" t="s">
        <v>1848</v>
      </c>
      <c r="B538" s="8" t="s">
        <v>1849</v>
      </c>
    </row>
    <row r="539" spans="1:2" x14ac:dyDescent="0.2">
      <c r="A539" t="s">
        <v>1851</v>
      </c>
      <c r="B539" s="8" t="s">
        <v>1852</v>
      </c>
    </row>
    <row r="540" spans="1:2" x14ac:dyDescent="0.2">
      <c r="A540" t="s">
        <v>1854</v>
      </c>
      <c r="B540" s="8" t="s">
        <v>1855</v>
      </c>
    </row>
    <row r="541" spans="1:2" x14ac:dyDescent="0.2">
      <c r="A541" t="s">
        <v>1857</v>
      </c>
      <c r="B541" s="8" t="s">
        <v>1858</v>
      </c>
    </row>
    <row r="542" spans="1:2" x14ac:dyDescent="0.2">
      <c r="A542" t="s">
        <v>1860</v>
      </c>
      <c r="B542" s="8" t="s">
        <v>1861</v>
      </c>
    </row>
    <row r="543" spans="1:2" x14ac:dyDescent="0.2">
      <c r="A543" t="s">
        <v>1863</v>
      </c>
      <c r="B543" s="8" t="s">
        <v>1864</v>
      </c>
    </row>
    <row r="544" spans="1:2" x14ac:dyDescent="0.2">
      <c r="A544" t="s">
        <v>1866</v>
      </c>
      <c r="B544" s="8" t="s">
        <v>1867</v>
      </c>
    </row>
    <row r="545" spans="1:2" x14ac:dyDescent="0.2">
      <c r="A545" t="s">
        <v>1869</v>
      </c>
      <c r="B545" s="8" t="s">
        <v>1867</v>
      </c>
    </row>
    <row r="546" spans="1:2" x14ac:dyDescent="0.2">
      <c r="A546" t="s">
        <v>1870</v>
      </c>
      <c r="B546" s="8" t="s">
        <v>203</v>
      </c>
    </row>
    <row r="547" spans="1:2" x14ac:dyDescent="0.2">
      <c r="A547" t="s">
        <v>1871</v>
      </c>
      <c r="B547" s="8" t="s">
        <v>203</v>
      </c>
    </row>
    <row r="548" spans="1:2" x14ac:dyDescent="0.2">
      <c r="A548" t="s">
        <v>1872</v>
      </c>
      <c r="B548" s="8" t="s">
        <v>1873</v>
      </c>
    </row>
    <row r="549" spans="1:2" x14ac:dyDescent="0.2">
      <c r="A549" t="s">
        <v>1875</v>
      </c>
      <c r="B549" s="8" t="s">
        <v>1876</v>
      </c>
    </row>
    <row r="550" spans="1:2" x14ac:dyDescent="0.2">
      <c r="A550" t="s">
        <v>1878</v>
      </c>
      <c r="B550" s="8" t="s">
        <v>1879</v>
      </c>
    </row>
    <row r="551" spans="1:2" x14ac:dyDescent="0.2">
      <c r="A551" t="s">
        <v>1881</v>
      </c>
      <c r="B551" s="8" t="s">
        <v>357</v>
      </c>
    </row>
    <row r="552" spans="1:2" x14ac:dyDescent="0.2">
      <c r="A552" t="s">
        <v>1882</v>
      </c>
      <c r="B552" s="8" t="s">
        <v>1883</v>
      </c>
    </row>
    <row r="553" spans="1:2" x14ac:dyDescent="0.2">
      <c r="A553" t="s">
        <v>1884</v>
      </c>
      <c r="B553" s="8" t="s">
        <v>1885</v>
      </c>
    </row>
    <row r="554" spans="1:2" x14ac:dyDescent="0.2">
      <c r="A554" t="s">
        <v>1887</v>
      </c>
      <c r="B554" s="8" t="s">
        <v>1888</v>
      </c>
    </row>
    <row r="555" spans="1:2" x14ac:dyDescent="0.2">
      <c r="A555" t="s">
        <v>1890</v>
      </c>
      <c r="B555" s="8" t="s">
        <v>1891</v>
      </c>
    </row>
    <row r="556" spans="1:2" x14ac:dyDescent="0.2">
      <c r="A556" t="s">
        <v>1893</v>
      </c>
      <c r="B556" s="8" t="s">
        <v>1894</v>
      </c>
    </row>
    <row r="557" spans="1:2" x14ac:dyDescent="0.2">
      <c r="A557" t="s">
        <v>1896</v>
      </c>
      <c r="B557" s="8" t="s">
        <v>1897</v>
      </c>
    </row>
    <row r="558" spans="1:2" x14ac:dyDescent="0.2">
      <c r="A558" t="s">
        <v>1899</v>
      </c>
      <c r="B558" s="8" t="s">
        <v>1900</v>
      </c>
    </row>
    <row r="559" spans="1:2" x14ac:dyDescent="0.2">
      <c r="A559" t="s">
        <v>1902</v>
      </c>
      <c r="B559" s="8" t="s">
        <v>1903</v>
      </c>
    </row>
    <row r="560" spans="1:2" x14ac:dyDescent="0.2">
      <c r="A560" t="s">
        <v>1905</v>
      </c>
      <c r="B560" s="8" t="s">
        <v>1906</v>
      </c>
    </row>
    <row r="561" spans="1:2" x14ac:dyDescent="0.2">
      <c r="A561" t="s">
        <v>1908</v>
      </c>
      <c r="B561" s="8" t="s">
        <v>1909</v>
      </c>
    </row>
    <row r="562" spans="1:2" x14ac:dyDescent="0.2">
      <c r="A562" t="s">
        <v>1911</v>
      </c>
      <c r="B562" s="8" t="s">
        <v>1912</v>
      </c>
    </row>
    <row r="563" spans="1:2" x14ac:dyDescent="0.2">
      <c r="A563" t="s">
        <v>1914</v>
      </c>
      <c r="B563" s="8" t="s">
        <v>1915</v>
      </c>
    </row>
    <row r="564" spans="1:2" x14ac:dyDescent="0.2">
      <c r="A564" t="s">
        <v>1917</v>
      </c>
      <c r="B564" s="8" t="s">
        <v>1918</v>
      </c>
    </row>
    <row r="565" spans="1:2" x14ac:dyDescent="0.2">
      <c r="A565" t="s">
        <v>1920</v>
      </c>
      <c r="B565" s="8" t="s">
        <v>1921</v>
      </c>
    </row>
    <row r="566" spans="1:2" x14ac:dyDescent="0.2">
      <c r="A566" t="s">
        <v>1923</v>
      </c>
      <c r="B566" s="8" t="s">
        <v>1924</v>
      </c>
    </row>
    <row r="567" spans="1:2" x14ac:dyDescent="0.2">
      <c r="A567" t="s">
        <v>1926</v>
      </c>
      <c r="B567" s="8" t="s">
        <v>1927</v>
      </c>
    </row>
    <row r="568" spans="1:2" x14ac:dyDescent="0.2">
      <c r="A568" t="s">
        <v>1929</v>
      </c>
      <c r="B568" s="8" t="s">
        <v>1930</v>
      </c>
    </row>
    <row r="569" spans="1:2" x14ac:dyDescent="0.2">
      <c r="A569" t="s">
        <v>1932</v>
      </c>
      <c r="B569" s="8" t="s">
        <v>1933</v>
      </c>
    </row>
    <row r="570" spans="1:2" x14ac:dyDescent="0.2">
      <c r="A570" t="s">
        <v>1935</v>
      </c>
      <c r="B570" s="8" t="s">
        <v>1936</v>
      </c>
    </row>
    <row r="571" spans="1:2" x14ac:dyDescent="0.2">
      <c r="A571" t="s">
        <v>1938</v>
      </c>
      <c r="B571" s="8" t="s">
        <v>1939</v>
      </c>
    </row>
    <row r="572" spans="1:2" x14ac:dyDescent="0.2">
      <c r="A572" t="s">
        <v>1941</v>
      </c>
      <c r="B572" s="8" t="s">
        <v>1942</v>
      </c>
    </row>
    <row r="573" spans="1:2" x14ac:dyDescent="0.2">
      <c r="A573" t="s">
        <v>1944</v>
      </c>
      <c r="B573" s="8" t="s">
        <v>1945</v>
      </c>
    </row>
    <row r="574" spans="1:2" x14ac:dyDescent="0.2">
      <c r="A574" t="s">
        <v>1947</v>
      </c>
      <c r="B574" s="8" t="s">
        <v>1948</v>
      </c>
    </row>
    <row r="575" spans="1:2" x14ac:dyDescent="0.2">
      <c r="A575" t="s">
        <v>1949</v>
      </c>
      <c r="B575" s="8" t="s">
        <v>1950</v>
      </c>
    </row>
    <row r="576" spans="1:2" x14ac:dyDescent="0.2">
      <c r="A576" t="s">
        <v>1951</v>
      </c>
      <c r="B576" s="8" t="s">
        <v>1952</v>
      </c>
    </row>
    <row r="577" spans="1:2" x14ac:dyDescent="0.2">
      <c r="A577" t="s">
        <v>1954</v>
      </c>
      <c r="B577" s="8" t="s">
        <v>1955</v>
      </c>
    </row>
    <row r="578" spans="1:2" x14ac:dyDescent="0.2">
      <c r="A578" t="s">
        <v>1957</v>
      </c>
      <c r="B578" s="8" t="s">
        <v>1958</v>
      </c>
    </row>
    <row r="579" spans="1:2" x14ac:dyDescent="0.2">
      <c r="A579" t="s">
        <v>1960</v>
      </c>
      <c r="B579" s="8" t="s">
        <v>1961</v>
      </c>
    </row>
    <row r="580" spans="1:2" x14ac:dyDescent="0.2">
      <c r="A580" t="s">
        <v>1963</v>
      </c>
      <c r="B580" s="8" t="s">
        <v>1964</v>
      </c>
    </row>
    <row r="581" spans="1:2" x14ac:dyDescent="0.2">
      <c r="A581" t="s">
        <v>1966</v>
      </c>
      <c r="B581" s="8" t="s">
        <v>1967</v>
      </c>
    </row>
    <row r="582" spans="1:2" x14ac:dyDescent="0.2">
      <c r="A582" t="s">
        <v>1969</v>
      </c>
      <c r="B582" s="8" t="s">
        <v>1970</v>
      </c>
    </row>
    <row r="583" spans="1:2" x14ac:dyDescent="0.2">
      <c r="A583" t="s">
        <v>1972</v>
      </c>
      <c r="B583" s="8" t="s">
        <v>1973</v>
      </c>
    </row>
    <row r="584" spans="1:2" x14ac:dyDescent="0.2">
      <c r="A584" t="s">
        <v>1975</v>
      </c>
      <c r="B584" s="8" t="s">
        <v>1976</v>
      </c>
    </row>
    <row r="585" spans="1:2" x14ac:dyDescent="0.2">
      <c r="A585" t="s">
        <v>1977</v>
      </c>
      <c r="B585" s="8" t="s">
        <v>1978</v>
      </c>
    </row>
    <row r="586" spans="1:2" x14ac:dyDescent="0.2">
      <c r="A586" t="s">
        <v>1980</v>
      </c>
      <c r="B586" s="8" t="s">
        <v>1981</v>
      </c>
    </row>
    <row r="587" spans="1:2" x14ac:dyDescent="0.2">
      <c r="A587" t="s">
        <v>1983</v>
      </c>
      <c r="B587" s="8" t="s">
        <v>1984</v>
      </c>
    </row>
    <row r="588" spans="1:2" x14ac:dyDescent="0.2">
      <c r="A588" t="s">
        <v>1986</v>
      </c>
      <c r="B588" s="8" t="s">
        <v>357</v>
      </c>
    </row>
    <row r="589" spans="1:2" x14ac:dyDescent="0.2">
      <c r="A589" t="s">
        <v>1988</v>
      </c>
      <c r="B589" s="8" t="s">
        <v>225</v>
      </c>
    </row>
    <row r="590" spans="1:2" x14ac:dyDescent="0.2">
      <c r="A590" t="s">
        <v>1991</v>
      </c>
      <c r="B590" s="8" t="s">
        <v>1992</v>
      </c>
    </row>
    <row r="591" spans="1:2" x14ac:dyDescent="0.2">
      <c r="A591" t="s">
        <v>1993</v>
      </c>
      <c r="B591" s="8" t="s">
        <v>1994</v>
      </c>
    </row>
    <row r="592" spans="1:2" x14ac:dyDescent="0.2">
      <c r="A592" t="s">
        <v>1996</v>
      </c>
      <c r="B592" s="8" t="s">
        <v>1994</v>
      </c>
    </row>
    <row r="593" spans="1:2" x14ac:dyDescent="0.2">
      <c r="A593" t="s">
        <v>1997</v>
      </c>
      <c r="B593" s="8" t="s">
        <v>210</v>
      </c>
    </row>
    <row r="594" spans="1:2" x14ac:dyDescent="0.2">
      <c r="A594" t="s">
        <v>1999</v>
      </c>
      <c r="B594" s="8" t="s">
        <v>2000</v>
      </c>
    </row>
    <row r="595" spans="1:2" x14ac:dyDescent="0.2">
      <c r="A595" t="s">
        <v>2002</v>
      </c>
      <c r="B595" s="8" t="s">
        <v>2000</v>
      </c>
    </row>
    <row r="596" spans="1:2" x14ac:dyDescent="0.2">
      <c r="A596" t="s">
        <v>2003</v>
      </c>
      <c r="B596" s="8" t="s">
        <v>2004</v>
      </c>
    </row>
    <row r="597" spans="1:2" x14ac:dyDescent="0.2">
      <c r="A597" t="s">
        <v>2006</v>
      </c>
      <c r="B597" s="8" t="s">
        <v>242</v>
      </c>
    </row>
    <row r="598" spans="1:2" x14ac:dyDescent="0.2">
      <c r="A598" t="s">
        <v>2008</v>
      </c>
      <c r="B598" s="8" t="s">
        <v>211</v>
      </c>
    </row>
    <row r="599" spans="1:2" x14ac:dyDescent="0.2">
      <c r="A599" t="s">
        <v>2010</v>
      </c>
      <c r="B599" s="8" t="s">
        <v>2011</v>
      </c>
    </row>
    <row r="600" spans="1:2" x14ac:dyDescent="0.2">
      <c r="A600" t="s">
        <v>2013</v>
      </c>
      <c r="B600" s="8" t="s">
        <v>2014</v>
      </c>
    </row>
    <row r="601" spans="1:2" x14ac:dyDescent="0.2">
      <c r="A601" t="s">
        <v>2016</v>
      </c>
      <c r="B601" s="8" t="s">
        <v>2017</v>
      </c>
    </row>
    <row r="602" spans="1:2" x14ac:dyDescent="0.2">
      <c r="A602" t="s">
        <v>2019</v>
      </c>
      <c r="B602" s="8" t="s">
        <v>206</v>
      </c>
    </row>
    <row r="603" spans="1:2" x14ac:dyDescent="0.2">
      <c r="A603" t="s">
        <v>2021</v>
      </c>
      <c r="B603" s="8" t="s">
        <v>2025</v>
      </c>
    </row>
    <row r="604" spans="1:2" x14ac:dyDescent="0.2">
      <c r="A604" t="s">
        <v>2027</v>
      </c>
      <c r="B604" s="8" t="s">
        <v>2029</v>
      </c>
    </row>
    <row r="605" spans="1:2" x14ac:dyDescent="0.2">
      <c r="A605" t="s">
        <v>2031</v>
      </c>
      <c r="B605" s="8" t="s">
        <v>2032</v>
      </c>
    </row>
    <row r="606" spans="1:2" x14ac:dyDescent="0.2">
      <c r="A606" t="s">
        <v>2033</v>
      </c>
      <c r="B606" s="8" t="s">
        <v>2034</v>
      </c>
    </row>
    <row r="607" spans="1:2" x14ac:dyDescent="0.2">
      <c r="A607" t="s">
        <v>2035</v>
      </c>
      <c r="B607" s="8" t="s">
        <v>2037</v>
      </c>
    </row>
    <row r="608" spans="1:2" x14ac:dyDescent="0.2">
      <c r="A608" t="s">
        <v>2038</v>
      </c>
      <c r="B608" s="8" t="s">
        <v>2039</v>
      </c>
    </row>
    <row r="609" spans="1:2" x14ac:dyDescent="0.2">
      <c r="A609" t="s">
        <v>2040</v>
      </c>
      <c r="B609" s="8" t="s">
        <v>2041</v>
      </c>
    </row>
    <row r="610" spans="1:2" x14ac:dyDescent="0.2">
      <c r="A610" t="s">
        <v>2043</v>
      </c>
      <c r="B610" s="8" t="s">
        <v>2044</v>
      </c>
    </row>
    <row r="611" spans="1:2" x14ac:dyDescent="0.2">
      <c r="A611" t="s">
        <v>2046</v>
      </c>
      <c r="B611" s="8" t="s">
        <v>2047</v>
      </c>
    </row>
    <row r="612" spans="1:2" x14ac:dyDescent="0.2">
      <c r="A612" t="s">
        <v>2048</v>
      </c>
      <c r="B612" s="8" t="s">
        <v>2050</v>
      </c>
    </row>
    <row r="613" spans="1:2" x14ac:dyDescent="0.2">
      <c r="A613" t="s">
        <v>2052</v>
      </c>
      <c r="B613" s="8" t="s">
        <v>2054</v>
      </c>
    </row>
    <row r="614" spans="1:2" x14ac:dyDescent="0.2">
      <c r="A614" t="s">
        <v>2055</v>
      </c>
      <c r="B614" s="8" t="s">
        <v>2054</v>
      </c>
    </row>
    <row r="615" spans="1:2" x14ac:dyDescent="0.2">
      <c r="A615" t="s">
        <v>2056</v>
      </c>
      <c r="B615" s="8" t="s">
        <v>2057</v>
      </c>
    </row>
    <row r="616" spans="1:2" x14ac:dyDescent="0.2">
      <c r="A616" t="s">
        <v>2059</v>
      </c>
      <c r="B616" s="8" t="s">
        <v>2060</v>
      </c>
    </row>
    <row r="617" spans="1:2" x14ac:dyDescent="0.2">
      <c r="A617" t="s">
        <v>2062</v>
      </c>
      <c r="B617" s="8" t="s">
        <v>2063</v>
      </c>
    </row>
    <row r="618" spans="1:2" x14ac:dyDescent="0.2">
      <c r="A618" t="s">
        <v>2065</v>
      </c>
      <c r="B618" s="8" t="s">
        <v>2066</v>
      </c>
    </row>
    <row r="619" spans="1:2" x14ac:dyDescent="0.2">
      <c r="A619" t="s">
        <v>2068</v>
      </c>
      <c r="B619" s="8" t="s">
        <v>2069</v>
      </c>
    </row>
    <row r="620" spans="1:2" x14ac:dyDescent="0.2">
      <c r="A620" t="s">
        <v>2071</v>
      </c>
      <c r="B620" s="8" t="s">
        <v>2072</v>
      </c>
    </row>
    <row r="621" spans="1:2" x14ac:dyDescent="0.2">
      <c r="A621" t="s">
        <v>2074</v>
      </c>
      <c r="B621" s="8" t="s">
        <v>2075</v>
      </c>
    </row>
    <row r="622" spans="1:2" x14ac:dyDescent="0.2">
      <c r="A622" t="s">
        <v>2077</v>
      </c>
      <c r="B622" s="8" t="s">
        <v>2078</v>
      </c>
    </row>
    <row r="623" spans="1:2" x14ac:dyDescent="0.2">
      <c r="A623" t="s">
        <v>2079</v>
      </c>
      <c r="B623" s="8" t="s">
        <v>2080</v>
      </c>
    </row>
    <row r="624" spans="1:2" x14ac:dyDescent="0.2">
      <c r="A624" t="s">
        <v>2082</v>
      </c>
      <c r="B624" s="8" t="s">
        <v>2083</v>
      </c>
    </row>
    <row r="625" spans="1:2" x14ac:dyDescent="0.2">
      <c r="A625" t="s">
        <v>2085</v>
      </c>
      <c r="B625" s="8" t="s">
        <v>2086</v>
      </c>
    </row>
    <row r="626" spans="1:2" x14ac:dyDescent="0.2">
      <c r="A626" t="s">
        <v>2088</v>
      </c>
      <c r="B626" s="8" t="s">
        <v>2089</v>
      </c>
    </row>
    <row r="627" spans="1:2" x14ac:dyDescent="0.2">
      <c r="A627" t="s">
        <v>2091</v>
      </c>
      <c r="B627" s="8" t="s">
        <v>2092</v>
      </c>
    </row>
    <row r="628" spans="1:2" x14ac:dyDescent="0.2">
      <c r="A628" t="s">
        <v>2094</v>
      </c>
      <c r="B628" s="8" t="s">
        <v>2096</v>
      </c>
    </row>
    <row r="629" spans="1:2" x14ac:dyDescent="0.2">
      <c r="A629" t="s">
        <v>2097</v>
      </c>
      <c r="B629" s="8" t="s">
        <v>2098</v>
      </c>
    </row>
    <row r="630" spans="1:2" x14ac:dyDescent="0.2">
      <c r="A630" t="s">
        <v>2100</v>
      </c>
      <c r="B630" s="8" t="s">
        <v>2102</v>
      </c>
    </row>
    <row r="631" spans="1:2" x14ac:dyDescent="0.2">
      <c r="A631" t="s">
        <v>2103</v>
      </c>
      <c r="B631" s="8" t="s">
        <v>2098</v>
      </c>
    </row>
    <row r="632" spans="1:2" x14ac:dyDescent="0.2">
      <c r="A632" t="s">
        <v>2105</v>
      </c>
      <c r="B632" s="8" t="s">
        <v>296</v>
      </c>
    </row>
    <row r="633" spans="1:2" x14ac:dyDescent="0.2">
      <c r="A633" t="s">
        <v>2108</v>
      </c>
      <c r="B633" s="8" t="s">
        <v>2109</v>
      </c>
    </row>
    <row r="634" spans="1:2" x14ac:dyDescent="0.2">
      <c r="A634" t="s">
        <v>2111</v>
      </c>
      <c r="B634" s="8" t="s">
        <v>2112</v>
      </c>
    </row>
    <row r="635" spans="1:2" x14ac:dyDescent="0.2">
      <c r="A635" t="s">
        <v>2114</v>
      </c>
      <c r="B635" s="8" t="s">
        <v>287</v>
      </c>
    </row>
    <row r="636" spans="1:2" x14ac:dyDescent="0.2">
      <c r="A636" t="s">
        <v>2116</v>
      </c>
      <c r="B636" s="8" t="s">
        <v>2117</v>
      </c>
    </row>
    <row r="637" spans="1:2" x14ac:dyDescent="0.2">
      <c r="A637" t="s">
        <v>2119</v>
      </c>
      <c r="B637" s="8" t="s">
        <v>2120</v>
      </c>
    </row>
    <row r="638" spans="1:2" x14ac:dyDescent="0.2">
      <c r="A638" t="s">
        <v>2122</v>
      </c>
      <c r="B638" s="8" t="s">
        <v>2123</v>
      </c>
    </row>
    <row r="639" spans="1:2" x14ac:dyDescent="0.2">
      <c r="A639" t="s">
        <v>2125</v>
      </c>
      <c r="B639" s="8" t="s">
        <v>2126</v>
      </c>
    </row>
    <row r="640" spans="1:2" x14ac:dyDescent="0.2">
      <c r="A640" t="s">
        <v>2128</v>
      </c>
      <c r="B640" s="8" t="s">
        <v>2129</v>
      </c>
    </row>
    <row r="641" spans="1:2" x14ac:dyDescent="0.2">
      <c r="A641" t="s">
        <v>2131</v>
      </c>
      <c r="B641" s="8" t="s">
        <v>2132</v>
      </c>
    </row>
    <row r="642" spans="1:2" x14ac:dyDescent="0.2">
      <c r="A642" t="s">
        <v>2134</v>
      </c>
      <c r="B642" s="8" t="s">
        <v>2135</v>
      </c>
    </row>
    <row r="643" spans="1:2" x14ac:dyDescent="0.2">
      <c r="A643" t="s">
        <v>57</v>
      </c>
      <c r="B643" s="8" t="s">
        <v>254</v>
      </c>
    </row>
    <row r="644" spans="1:2" x14ac:dyDescent="0.2">
      <c r="A644" t="s">
        <v>2138</v>
      </c>
      <c r="B644" s="8" t="s">
        <v>2139</v>
      </c>
    </row>
    <row r="645" spans="1:2" x14ac:dyDescent="0.2">
      <c r="A645" t="s">
        <v>2141</v>
      </c>
      <c r="B645" s="8" t="s">
        <v>2142</v>
      </c>
    </row>
    <row r="646" spans="1:2" x14ac:dyDescent="0.2">
      <c r="A646" t="s">
        <v>2144</v>
      </c>
      <c r="B646" s="8" t="s">
        <v>2145</v>
      </c>
    </row>
    <row r="647" spans="1:2" x14ac:dyDescent="0.2">
      <c r="A647" t="s">
        <v>2147</v>
      </c>
      <c r="B647" s="8" t="s">
        <v>2148</v>
      </c>
    </row>
    <row r="648" spans="1:2" x14ac:dyDescent="0.2">
      <c r="A648" t="s">
        <v>2150</v>
      </c>
      <c r="B648" s="8" t="s">
        <v>2151</v>
      </c>
    </row>
    <row r="649" spans="1:2" x14ac:dyDescent="0.2">
      <c r="A649" t="s">
        <v>2153</v>
      </c>
      <c r="B649" s="8" t="s">
        <v>2155</v>
      </c>
    </row>
    <row r="650" spans="1:2" x14ac:dyDescent="0.2">
      <c r="A650" t="s">
        <v>2157</v>
      </c>
      <c r="B650" s="8" t="s">
        <v>2158</v>
      </c>
    </row>
    <row r="651" spans="1:2" x14ac:dyDescent="0.2">
      <c r="A651" t="s">
        <v>2160</v>
      </c>
      <c r="B651" s="8" t="s">
        <v>2161</v>
      </c>
    </row>
    <row r="652" spans="1:2" x14ac:dyDescent="0.2">
      <c r="A652" t="s">
        <v>2163</v>
      </c>
      <c r="B652" s="8" t="s">
        <v>2164</v>
      </c>
    </row>
    <row r="653" spans="1:2" x14ac:dyDescent="0.2">
      <c r="A653" t="s">
        <v>2166</v>
      </c>
      <c r="B653" s="8" t="s">
        <v>2167</v>
      </c>
    </row>
    <row r="654" spans="1:2" x14ac:dyDescent="0.2">
      <c r="A654" t="s">
        <v>2169</v>
      </c>
      <c r="B654" s="8" t="s">
        <v>2170</v>
      </c>
    </row>
    <row r="655" spans="1:2" x14ac:dyDescent="0.2">
      <c r="A655" t="s">
        <v>2172</v>
      </c>
      <c r="B655" s="8" t="s">
        <v>2174</v>
      </c>
    </row>
    <row r="656" spans="1:2" x14ac:dyDescent="0.2">
      <c r="A656" t="s">
        <v>2176</v>
      </c>
      <c r="B656" s="8" t="s">
        <v>2177</v>
      </c>
    </row>
    <row r="657" spans="1:2" x14ac:dyDescent="0.2">
      <c r="A657" t="s">
        <v>2178</v>
      </c>
      <c r="B657" s="8" t="s">
        <v>2179</v>
      </c>
    </row>
    <row r="658" spans="1:2" x14ac:dyDescent="0.2">
      <c r="A658" t="s">
        <v>2181</v>
      </c>
      <c r="B658" s="8" t="s">
        <v>2182</v>
      </c>
    </row>
    <row r="659" spans="1:2" x14ac:dyDescent="0.2">
      <c r="A659" t="s">
        <v>2184</v>
      </c>
      <c r="B659" s="8" t="s">
        <v>2185</v>
      </c>
    </row>
    <row r="660" spans="1:2" x14ac:dyDescent="0.2">
      <c r="A660" t="s">
        <v>2187</v>
      </c>
      <c r="B660" s="8" t="s">
        <v>2188</v>
      </c>
    </row>
    <row r="661" spans="1:2" x14ac:dyDescent="0.2">
      <c r="A661" t="s">
        <v>2190</v>
      </c>
      <c r="B661" s="8" t="s">
        <v>2191</v>
      </c>
    </row>
    <row r="662" spans="1:2" x14ac:dyDescent="0.2">
      <c r="A662" t="s">
        <v>2193</v>
      </c>
      <c r="B662" s="8" t="s">
        <v>309</v>
      </c>
    </row>
    <row r="663" spans="1:2" x14ac:dyDescent="0.2">
      <c r="A663" t="s">
        <v>2195</v>
      </c>
      <c r="B663" s="8" t="s">
        <v>2196</v>
      </c>
    </row>
    <row r="664" spans="1:2" x14ac:dyDescent="0.2">
      <c r="A664" t="s">
        <v>2198</v>
      </c>
      <c r="B664" s="8" t="s">
        <v>2199</v>
      </c>
    </row>
    <row r="665" spans="1:2" x14ac:dyDescent="0.2">
      <c r="A665" t="s">
        <v>2201</v>
      </c>
      <c r="B665" s="8" t="s">
        <v>2202</v>
      </c>
    </row>
    <row r="666" spans="1:2" x14ac:dyDescent="0.2">
      <c r="A666" t="s">
        <v>2204</v>
      </c>
      <c r="B666" s="8" t="s">
        <v>2205</v>
      </c>
    </row>
    <row r="667" spans="1:2" x14ac:dyDescent="0.2">
      <c r="A667" t="s">
        <v>2207</v>
      </c>
      <c r="B667" s="8" t="s">
        <v>2208</v>
      </c>
    </row>
    <row r="668" spans="1:2" x14ac:dyDescent="0.2">
      <c r="A668" t="s">
        <v>2209</v>
      </c>
      <c r="B668" s="8" t="s">
        <v>2210</v>
      </c>
    </row>
    <row r="669" spans="1:2" x14ac:dyDescent="0.2">
      <c r="A669" t="s">
        <v>2212</v>
      </c>
      <c r="B669" s="8" t="s">
        <v>2213</v>
      </c>
    </row>
    <row r="670" spans="1:2" x14ac:dyDescent="0.2">
      <c r="A670" t="s">
        <v>2215</v>
      </c>
      <c r="B670" s="8" t="s">
        <v>2216</v>
      </c>
    </row>
    <row r="671" spans="1:2" x14ac:dyDescent="0.2">
      <c r="A671" t="s">
        <v>2218</v>
      </c>
      <c r="B671" s="8" t="s">
        <v>2219</v>
      </c>
    </row>
    <row r="672" spans="1:2" x14ac:dyDescent="0.2">
      <c r="A672" t="s">
        <v>2221</v>
      </c>
      <c r="B672" s="8" t="s">
        <v>2223</v>
      </c>
    </row>
    <row r="673" spans="1:2" x14ac:dyDescent="0.2">
      <c r="A673" t="s">
        <v>2224</v>
      </c>
      <c r="B673" s="8" t="s">
        <v>2225</v>
      </c>
    </row>
    <row r="674" spans="1:2" x14ac:dyDescent="0.2">
      <c r="A674" t="s">
        <v>2227</v>
      </c>
      <c r="B674" s="8" t="s">
        <v>2228</v>
      </c>
    </row>
    <row r="675" spans="1:2" x14ac:dyDescent="0.2">
      <c r="A675" t="s">
        <v>2230</v>
      </c>
      <c r="B675" s="8" t="s">
        <v>2231</v>
      </c>
    </row>
    <row r="676" spans="1:2" x14ac:dyDescent="0.2">
      <c r="A676" t="s">
        <v>2233</v>
      </c>
      <c r="B676" s="8" t="s">
        <v>2234</v>
      </c>
    </row>
    <row r="677" spans="1:2" x14ac:dyDescent="0.2">
      <c r="A677" t="s">
        <v>2235</v>
      </c>
      <c r="B677" s="8" t="s">
        <v>2236</v>
      </c>
    </row>
    <row r="678" spans="1:2" x14ac:dyDescent="0.2">
      <c r="A678" t="s">
        <v>2238</v>
      </c>
      <c r="B678" s="8" t="s">
        <v>2239</v>
      </c>
    </row>
    <row r="679" spans="1:2" x14ac:dyDescent="0.2">
      <c r="A679" t="s">
        <v>2241</v>
      </c>
      <c r="B679" s="8" t="s">
        <v>2242</v>
      </c>
    </row>
    <row r="680" spans="1:2" x14ac:dyDescent="0.2">
      <c r="A680" t="s">
        <v>2244</v>
      </c>
      <c r="B680" s="8" t="s">
        <v>2245</v>
      </c>
    </row>
    <row r="681" spans="1:2" x14ac:dyDescent="0.2">
      <c r="A681" t="s">
        <v>2247</v>
      </c>
      <c r="B681" s="8" t="s">
        <v>2248</v>
      </c>
    </row>
    <row r="682" spans="1:2" x14ac:dyDescent="0.2">
      <c r="A682" t="s">
        <v>2250</v>
      </c>
      <c r="B682" s="8" t="s">
        <v>2251</v>
      </c>
    </row>
    <row r="683" spans="1:2" x14ac:dyDescent="0.2">
      <c r="A683" t="s">
        <v>2253</v>
      </c>
      <c r="B683" s="8" t="s">
        <v>2254</v>
      </c>
    </row>
    <row r="684" spans="1:2" x14ac:dyDescent="0.2">
      <c r="A684" t="s">
        <v>2256</v>
      </c>
      <c r="B684" s="8" t="s">
        <v>2258</v>
      </c>
    </row>
    <row r="685" spans="1:2" x14ac:dyDescent="0.2">
      <c r="A685" t="s">
        <v>2260</v>
      </c>
      <c r="B685" s="8" t="s">
        <v>2261</v>
      </c>
    </row>
    <row r="686" spans="1:2" x14ac:dyDescent="0.2">
      <c r="A686" t="s">
        <v>2263</v>
      </c>
      <c r="B686" s="8" t="s">
        <v>2264</v>
      </c>
    </row>
    <row r="687" spans="1:2" x14ac:dyDescent="0.2">
      <c r="A687" t="s">
        <v>2266</v>
      </c>
      <c r="B687" s="8" t="s">
        <v>2267</v>
      </c>
    </row>
    <row r="688" spans="1:2" x14ac:dyDescent="0.2">
      <c r="A688" t="s">
        <v>2269</v>
      </c>
      <c r="B688" s="8" t="s">
        <v>357</v>
      </c>
    </row>
    <row r="689" spans="1:2" x14ac:dyDescent="0.2">
      <c r="A689" t="s">
        <v>2270</v>
      </c>
      <c r="B689" s="8" t="s">
        <v>2271</v>
      </c>
    </row>
    <row r="690" spans="1:2" x14ac:dyDescent="0.2">
      <c r="A690" t="s">
        <v>2273</v>
      </c>
      <c r="B690" s="8" t="s">
        <v>2274</v>
      </c>
    </row>
    <row r="691" spans="1:2" x14ac:dyDescent="0.2">
      <c r="A691" t="s">
        <v>2276</v>
      </c>
      <c r="B691" s="8" t="s">
        <v>2274</v>
      </c>
    </row>
    <row r="692" spans="1:2" x14ac:dyDescent="0.2">
      <c r="A692" t="s">
        <v>2277</v>
      </c>
      <c r="B692" s="8" t="s">
        <v>2274</v>
      </c>
    </row>
    <row r="693" spans="1:2" x14ac:dyDescent="0.2">
      <c r="A693" t="s">
        <v>2278</v>
      </c>
      <c r="B693" s="8" t="s">
        <v>2274</v>
      </c>
    </row>
    <row r="694" spans="1:2" x14ac:dyDescent="0.2">
      <c r="A694" t="s">
        <v>2279</v>
      </c>
      <c r="B694" s="8" t="s">
        <v>2280</v>
      </c>
    </row>
    <row r="695" spans="1:2" x14ac:dyDescent="0.2">
      <c r="A695" t="s">
        <v>2282</v>
      </c>
      <c r="B695" s="8" t="s">
        <v>2283</v>
      </c>
    </row>
    <row r="696" spans="1:2" x14ac:dyDescent="0.2">
      <c r="A696" t="s">
        <v>2285</v>
      </c>
      <c r="B696" s="8" t="s">
        <v>2286</v>
      </c>
    </row>
    <row r="697" spans="1:2" x14ac:dyDescent="0.2">
      <c r="A697" t="s">
        <v>2288</v>
      </c>
      <c r="B697" s="8" t="s">
        <v>2289</v>
      </c>
    </row>
    <row r="698" spans="1:2" x14ac:dyDescent="0.2">
      <c r="A698" t="s">
        <v>2291</v>
      </c>
      <c r="B698" s="8" t="s">
        <v>2289</v>
      </c>
    </row>
    <row r="699" spans="1:2" x14ac:dyDescent="0.2">
      <c r="A699" t="s">
        <v>2293</v>
      </c>
      <c r="B699" s="8" t="s">
        <v>2289</v>
      </c>
    </row>
    <row r="700" spans="1:2" x14ac:dyDescent="0.2">
      <c r="A700" t="s">
        <v>2295</v>
      </c>
      <c r="B700" s="8" t="s">
        <v>2296</v>
      </c>
    </row>
    <row r="701" spans="1:2" x14ac:dyDescent="0.2">
      <c r="A701" t="s">
        <v>2298</v>
      </c>
      <c r="B701" s="8" t="s">
        <v>357</v>
      </c>
    </row>
    <row r="702" spans="1:2" x14ac:dyDescent="0.2">
      <c r="A702" t="s">
        <v>2299</v>
      </c>
      <c r="B702" s="8" t="s">
        <v>2300</v>
      </c>
    </row>
    <row r="703" spans="1:2" x14ac:dyDescent="0.2">
      <c r="A703" t="s">
        <v>2301</v>
      </c>
      <c r="B703" s="8" t="s">
        <v>2302</v>
      </c>
    </row>
    <row r="704" spans="1:2" x14ac:dyDescent="0.2">
      <c r="A704" t="s">
        <v>2304</v>
      </c>
      <c r="B704" s="8" t="s">
        <v>2305</v>
      </c>
    </row>
    <row r="705" spans="1:2" x14ac:dyDescent="0.2">
      <c r="A705" t="s">
        <v>2307</v>
      </c>
      <c r="B705" s="8" t="s">
        <v>2308</v>
      </c>
    </row>
    <row r="706" spans="1:2" x14ac:dyDescent="0.2">
      <c r="A706" t="s">
        <v>2310</v>
      </c>
      <c r="B706" s="8" t="s">
        <v>2311</v>
      </c>
    </row>
    <row r="707" spans="1:2" x14ac:dyDescent="0.2">
      <c r="A707" t="s">
        <v>2313</v>
      </c>
      <c r="B707" s="8" t="s">
        <v>2314</v>
      </c>
    </row>
    <row r="708" spans="1:2" x14ac:dyDescent="0.2">
      <c r="A708" t="s">
        <v>2316</v>
      </c>
      <c r="B708" s="8" t="s">
        <v>2317</v>
      </c>
    </row>
    <row r="709" spans="1:2" x14ac:dyDescent="0.2">
      <c r="A709" t="s">
        <v>2319</v>
      </c>
      <c r="B709" s="8" t="s">
        <v>2320</v>
      </c>
    </row>
    <row r="710" spans="1:2" x14ac:dyDescent="0.2">
      <c r="A710" t="s">
        <v>2322</v>
      </c>
      <c r="B710" s="8" t="s">
        <v>2323</v>
      </c>
    </row>
    <row r="711" spans="1:2" x14ac:dyDescent="0.2">
      <c r="A711" t="s">
        <v>2325</v>
      </c>
      <c r="B711" s="8" t="s">
        <v>2326</v>
      </c>
    </row>
    <row r="712" spans="1:2" x14ac:dyDescent="0.2">
      <c r="A712" t="s">
        <v>2327</v>
      </c>
      <c r="B712" s="8" t="s">
        <v>2328</v>
      </c>
    </row>
    <row r="713" spans="1:2" x14ac:dyDescent="0.2">
      <c r="A713" t="s">
        <v>2330</v>
      </c>
      <c r="B713" s="8" t="s">
        <v>2331</v>
      </c>
    </row>
    <row r="714" spans="1:2" x14ac:dyDescent="0.2">
      <c r="A714" t="s">
        <v>2333</v>
      </c>
      <c r="B714" s="8" t="s">
        <v>2331</v>
      </c>
    </row>
    <row r="715" spans="1:2" x14ac:dyDescent="0.2">
      <c r="A715" t="s">
        <v>2334</v>
      </c>
      <c r="B715" s="8" t="s">
        <v>2335</v>
      </c>
    </row>
    <row r="716" spans="1:2" x14ac:dyDescent="0.2">
      <c r="A716" t="s">
        <v>2337</v>
      </c>
      <c r="B716" s="8" t="s">
        <v>2338</v>
      </c>
    </row>
    <row r="717" spans="1:2" x14ac:dyDescent="0.2">
      <c r="A717" t="s">
        <v>2340</v>
      </c>
      <c r="B717" s="8" t="s">
        <v>2341</v>
      </c>
    </row>
    <row r="718" spans="1:2" x14ac:dyDescent="0.2">
      <c r="A718" t="s">
        <v>2343</v>
      </c>
      <c r="B718" s="8" t="s">
        <v>2344</v>
      </c>
    </row>
    <row r="719" spans="1:2" x14ac:dyDescent="0.2">
      <c r="A719" t="s">
        <v>2345</v>
      </c>
      <c r="B719" s="8" t="s">
        <v>2346</v>
      </c>
    </row>
    <row r="720" spans="1:2" x14ac:dyDescent="0.2">
      <c r="A720" t="s">
        <v>2348</v>
      </c>
      <c r="B720" s="8" t="s">
        <v>2349</v>
      </c>
    </row>
    <row r="721" spans="1:2" x14ac:dyDescent="0.2">
      <c r="A721" t="s">
        <v>2351</v>
      </c>
      <c r="B721" s="8" t="s">
        <v>2349</v>
      </c>
    </row>
    <row r="722" spans="1:2" x14ac:dyDescent="0.2">
      <c r="A722" t="s">
        <v>2352</v>
      </c>
      <c r="B722" s="8" t="s">
        <v>2349</v>
      </c>
    </row>
    <row r="723" spans="1:2" x14ac:dyDescent="0.2">
      <c r="A723" t="s">
        <v>2353</v>
      </c>
      <c r="B723" s="8" t="s">
        <v>2354</v>
      </c>
    </row>
    <row r="724" spans="1:2" x14ac:dyDescent="0.2">
      <c r="A724" t="s">
        <v>2356</v>
      </c>
      <c r="B724" s="8" t="s">
        <v>2357</v>
      </c>
    </row>
    <row r="725" spans="1:2" x14ac:dyDescent="0.2">
      <c r="A725" t="s">
        <v>2359</v>
      </c>
      <c r="B725" s="8" t="s">
        <v>2360</v>
      </c>
    </row>
    <row r="726" spans="1:2" x14ac:dyDescent="0.2">
      <c r="A726" t="s">
        <v>2362</v>
      </c>
      <c r="B726" s="8" t="s">
        <v>2363</v>
      </c>
    </row>
    <row r="727" spans="1:2" x14ac:dyDescent="0.2">
      <c r="A727" t="s">
        <v>2365</v>
      </c>
      <c r="B727" s="8" t="s">
        <v>2366</v>
      </c>
    </row>
    <row r="728" spans="1:2" x14ac:dyDescent="0.2">
      <c r="A728" t="s">
        <v>2368</v>
      </c>
      <c r="B728" s="8" t="s">
        <v>2369</v>
      </c>
    </row>
    <row r="729" spans="1:2" x14ac:dyDescent="0.2">
      <c r="A729" t="s">
        <v>2371</v>
      </c>
      <c r="B729" s="8" t="s">
        <v>2372</v>
      </c>
    </row>
    <row r="730" spans="1:2" x14ac:dyDescent="0.2">
      <c r="A730" t="s">
        <v>2374</v>
      </c>
      <c r="B730" s="8" t="s">
        <v>2375</v>
      </c>
    </row>
    <row r="731" spans="1:2" x14ac:dyDescent="0.2">
      <c r="A731" t="s">
        <v>2377</v>
      </c>
      <c r="B731" s="8" t="s">
        <v>2378</v>
      </c>
    </row>
    <row r="732" spans="1:2" x14ac:dyDescent="0.2">
      <c r="A732" t="s">
        <v>2380</v>
      </c>
      <c r="B732" s="8" t="s">
        <v>2381</v>
      </c>
    </row>
    <row r="733" spans="1:2" x14ac:dyDescent="0.2">
      <c r="A733" t="s">
        <v>2383</v>
      </c>
      <c r="B733" s="8" t="s">
        <v>2384</v>
      </c>
    </row>
    <row r="734" spans="1:2" x14ac:dyDescent="0.2">
      <c r="A734" t="s">
        <v>2386</v>
      </c>
      <c r="B734" s="8" t="s">
        <v>2387</v>
      </c>
    </row>
    <row r="735" spans="1:2" x14ac:dyDescent="0.2">
      <c r="A735" t="s">
        <v>2389</v>
      </c>
      <c r="B735" s="8" t="s">
        <v>2390</v>
      </c>
    </row>
    <row r="736" spans="1:2" x14ac:dyDescent="0.2">
      <c r="A736" t="s">
        <v>2392</v>
      </c>
      <c r="B736" s="8" t="s">
        <v>2393</v>
      </c>
    </row>
    <row r="737" spans="1:2" x14ac:dyDescent="0.2">
      <c r="A737" t="s">
        <v>2395</v>
      </c>
      <c r="B737" s="8" t="s">
        <v>2396</v>
      </c>
    </row>
    <row r="738" spans="1:2" x14ac:dyDescent="0.2">
      <c r="A738" t="s">
        <v>2398</v>
      </c>
      <c r="B738" s="8" t="s">
        <v>2399</v>
      </c>
    </row>
    <row r="739" spans="1:2" x14ac:dyDescent="0.2">
      <c r="A739" t="s">
        <v>2401</v>
      </c>
      <c r="B739" s="8" t="s">
        <v>357</v>
      </c>
    </row>
    <row r="740" spans="1:2" x14ac:dyDescent="0.2">
      <c r="A740" t="s">
        <v>2402</v>
      </c>
      <c r="B740" s="8" t="s">
        <v>357</v>
      </c>
    </row>
    <row r="741" spans="1:2" x14ac:dyDescent="0.2">
      <c r="A741" t="s">
        <v>2403</v>
      </c>
      <c r="B741" s="8" t="s">
        <v>2404</v>
      </c>
    </row>
    <row r="742" spans="1:2" x14ac:dyDescent="0.2">
      <c r="A742" t="s">
        <v>2406</v>
      </c>
      <c r="B742" s="8" t="s">
        <v>2407</v>
      </c>
    </row>
    <row r="743" spans="1:2" x14ac:dyDescent="0.2">
      <c r="A743" t="s">
        <v>2409</v>
      </c>
      <c r="B743" s="8" t="s">
        <v>2410</v>
      </c>
    </row>
    <row r="744" spans="1:2" x14ac:dyDescent="0.2">
      <c r="A744" t="s">
        <v>2412</v>
      </c>
      <c r="B744" s="8" t="s">
        <v>357</v>
      </c>
    </row>
    <row r="745" spans="1:2" x14ac:dyDescent="0.2">
      <c r="A745" t="s">
        <v>2414</v>
      </c>
      <c r="B745" s="8" t="s">
        <v>241</v>
      </c>
    </row>
    <row r="746" spans="1:2" x14ac:dyDescent="0.2">
      <c r="A746" t="s">
        <v>2416</v>
      </c>
      <c r="B746" s="8" t="s">
        <v>357</v>
      </c>
    </row>
    <row r="747" spans="1:2" x14ac:dyDescent="0.2">
      <c r="A747" t="s">
        <v>2417</v>
      </c>
      <c r="B747" s="8" t="s">
        <v>357</v>
      </c>
    </row>
    <row r="748" spans="1:2" x14ac:dyDescent="0.2">
      <c r="A748" t="s">
        <v>2418</v>
      </c>
      <c r="B748" s="8" t="s">
        <v>2419</v>
      </c>
    </row>
    <row r="749" spans="1:2" x14ac:dyDescent="0.2">
      <c r="A749" t="s">
        <v>2421</v>
      </c>
      <c r="B749" s="8" t="s">
        <v>2422</v>
      </c>
    </row>
    <row r="750" spans="1:2" x14ac:dyDescent="0.2">
      <c r="A750" t="s">
        <v>2424</v>
      </c>
      <c r="B750" s="8" t="s">
        <v>2425</v>
      </c>
    </row>
    <row r="751" spans="1:2" x14ac:dyDescent="0.2">
      <c r="A751" t="s">
        <v>2427</v>
      </c>
      <c r="B751" s="8" t="s">
        <v>2428</v>
      </c>
    </row>
    <row r="752" spans="1:2" x14ac:dyDescent="0.2">
      <c r="A752" t="s">
        <v>2430</v>
      </c>
      <c r="B752" s="8" t="s">
        <v>2431</v>
      </c>
    </row>
    <row r="753" spans="1:2" x14ac:dyDescent="0.2">
      <c r="A753" t="s">
        <v>2432</v>
      </c>
      <c r="B753" s="8" t="s">
        <v>2433</v>
      </c>
    </row>
    <row r="754" spans="1:2" x14ac:dyDescent="0.2">
      <c r="A754" t="s">
        <v>2435</v>
      </c>
      <c r="B754" s="8" t="s">
        <v>357</v>
      </c>
    </row>
    <row r="755" spans="1:2" x14ac:dyDescent="0.2">
      <c r="A755" t="s">
        <v>2437</v>
      </c>
      <c r="B755" s="8" t="s">
        <v>2438</v>
      </c>
    </row>
    <row r="756" spans="1:2" x14ac:dyDescent="0.2">
      <c r="A756" t="s">
        <v>2440</v>
      </c>
      <c r="B756" s="8" t="s">
        <v>2441</v>
      </c>
    </row>
    <row r="757" spans="1:2" x14ac:dyDescent="0.2">
      <c r="A757" t="s">
        <v>2442</v>
      </c>
      <c r="B757" s="8" t="s">
        <v>2443</v>
      </c>
    </row>
    <row r="758" spans="1:2" x14ac:dyDescent="0.2">
      <c r="A758" t="s">
        <v>2444</v>
      </c>
      <c r="B758" s="8" t="s">
        <v>2445</v>
      </c>
    </row>
    <row r="759" spans="1:2" x14ac:dyDescent="0.2">
      <c r="A759" t="s">
        <v>2447</v>
      </c>
      <c r="B759" s="8" t="s">
        <v>2448</v>
      </c>
    </row>
    <row r="760" spans="1:2" x14ac:dyDescent="0.2">
      <c r="A760" t="s">
        <v>2450</v>
      </c>
      <c r="B760" s="8" t="s">
        <v>2451</v>
      </c>
    </row>
    <row r="761" spans="1:2" x14ac:dyDescent="0.2">
      <c r="A761" t="s">
        <v>2452</v>
      </c>
      <c r="B761" s="8" t="s">
        <v>2453</v>
      </c>
    </row>
    <row r="762" spans="1:2" x14ac:dyDescent="0.2">
      <c r="A762" t="s">
        <v>2455</v>
      </c>
      <c r="B762" s="8" t="s">
        <v>2456</v>
      </c>
    </row>
    <row r="763" spans="1:2" x14ac:dyDescent="0.2">
      <c r="A763" t="s">
        <v>2458</v>
      </c>
      <c r="B763" s="8" t="s">
        <v>2459</v>
      </c>
    </row>
    <row r="764" spans="1:2" x14ac:dyDescent="0.2">
      <c r="A764" t="s">
        <v>2461</v>
      </c>
      <c r="B764" s="8" t="s">
        <v>2462</v>
      </c>
    </row>
    <row r="765" spans="1:2" x14ac:dyDescent="0.2">
      <c r="A765" t="s">
        <v>2464</v>
      </c>
      <c r="B765" s="8" t="s">
        <v>2465</v>
      </c>
    </row>
    <row r="766" spans="1:2" x14ac:dyDescent="0.2">
      <c r="A766" t="s">
        <v>2467</v>
      </c>
      <c r="B766" s="8" t="s">
        <v>2468</v>
      </c>
    </row>
    <row r="767" spans="1:2" x14ac:dyDescent="0.2">
      <c r="A767" t="s">
        <v>2470</v>
      </c>
      <c r="B767" s="8" t="s">
        <v>357</v>
      </c>
    </row>
    <row r="768" spans="1:2" x14ac:dyDescent="0.2">
      <c r="A768" t="s">
        <v>2471</v>
      </c>
      <c r="B768" s="8" t="s">
        <v>2472</v>
      </c>
    </row>
    <row r="769" spans="1:2" x14ac:dyDescent="0.2">
      <c r="A769" t="s">
        <v>2474</v>
      </c>
      <c r="B769" s="8" t="s">
        <v>2475</v>
      </c>
    </row>
    <row r="770" spans="1:2" x14ac:dyDescent="0.2">
      <c r="A770" t="s">
        <v>2477</v>
      </c>
      <c r="B770" s="8" t="s">
        <v>2478</v>
      </c>
    </row>
    <row r="771" spans="1:2" x14ac:dyDescent="0.2">
      <c r="A771" t="s">
        <v>2480</v>
      </c>
      <c r="B771" s="8" t="s">
        <v>2478</v>
      </c>
    </row>
    <row r="772" spans="1:2" x14ac:dyDescent="0.2">
      <c r="A772" t="s">
        <v>2481</v>
      </c>
      <c r="B772" s="8" t="s">
        <v>2478</v>
      </c>
    </row>
    <row r="773" spans="1:2" x14ac:dyDescent="0.2">
      <c r="A773" t="s">
        <v>2482</v>
      </c>
      <c r="B773" s="8" t="s">
        <v>2478</v>
      </c>
    </row>
    <row r="774" spans="1:2" x14ac:dyDescent="0.2">
      <c r="A774" t="s">
        <v>2483</v>
      </c>
      <c r="B774" s="8" t="s">
        <v>2478</v>
      </c>
    </row>
    <row r="775" spans="1:2" x14ac:dyDescent="0.2">
      <c r="A775" t="s">
        <v>2484</v>
      </c>
      <c r="B775" s="8" t="s">
        <v>2478</v>
      </c>
    </row>
    <row r="776" spans="1:2" x14ac:dyDescent="0.2">
      <c r="A776" t="s">
        <v>2485</v>
      </c>
      <c r="B776" s="8" t="s">
        <v>2486</v>
      </c>
    </row>
    <row r="777" spans="1:2" x14ac:dyDescent="0.2">
      <c r="A777" t="s">
        <v>2488</v>
      </c>
      <c r="B777" s="8" t="s">
        <v>2489</v>
      </c>
    </row>
    <row r="778" spans="1:2" x14ac:dyDescent="0.2">
      <c r="A778" t="s">
        <v>2491</v>
      </c>
      <c r="B778" s="8" t="s">
        <v>2489</v>
      </c>
    </row>
    <row r="779" spans="1:2" x14ac:dyDescent="0.2">
      <c r="A779" t="s">
        <v>2492</v>
      </c>
      <c r="B779" s="8" t="s">
        <v>2493</v>
      </c>
    </row>
    <row r="780" spans="1:2" x14ac:dyDescent="0.2">
      <c r="A780" t="s">
        <v>2495</v>
      </c>
      <c r="B780" s="8" t="s">
        <v>2496</v>
      </c>
    </row>
    <row r="781" spans="1:2" x14ac:dyDescent="0.2">
      <c r="A781" t="s">
        <v>2497</v>
      </c>
      <c r="B781" s="8" t="s">
        <v>2498</v>
      </c>
    </row>
    <row r="782" spans="1:2" x14ac:dyDescent="0.2">
      <c r="A782" t="s">
        <v>2499</v>
      </c>
      <c r="B782" s="8" t="s">
        <v>2498</v>
      </c>
    </row>
    <row r="783" spans="1:2" x14ac:dyDescent="0.2">
      <c r="A783" t="s">
        <v>2500</v>
      </c>
      <c r="B783" s="8" t="s">
        <v>2501</v>
      </c>
    </row>
    <row r="784" spans="1:2" x14ac:dyDescent="0.2">
      <c r="A784" t="s">
        <v>2503</v>
      </c>
      <c r="B784" s="8" t="s">
        <v>2501</v>
      </c>
    </row>
    <row r="785" spans="1:2" x14ac:dyDescent="0.2">
      <c r="A785" t="s">
        <v>2504</v>
      </c>
      <c r="B785" s="8" t="s">
        <v>2505</v>
      </c>
    </row>
    <row r="786" spans="1:2" x14ac:dyDescent="0.2">
      <c r="A786" t="s">
        <v>2507</v>
      </c>
      <c r="B786" s="8" t="s">
        <v>357</v>
      </c>
    </row>
    <row r="787" spans="1:2" x14ac:dyDescent="0.2">
      <c r="A787" t="s">
        <v>2510</v>
      </c>
      <c r="B787" s="8" t="s">
        <v>2511</v>
      </c>
    </row>
    <row r="788" spans="1:2" x14ac:dyDescent="0.2">
      <c r="A788" t="s">
        <v>2513</v>
      </c>
      <c r="B788" s="8" t="s">
        <v>2514</v>
      </c>
    </row>
    <row r="789" spans="1:2" x14ac:dyDescent="0.2">
      <c r="A789" t="s">
        <v>2516</v>
      </c>
      <c r="B789" s="8" t="s">
        <v>357</v>
      </c>
    </row>
    <row r="790" spans="1:2" x14ac:dyDescent="0.2">
      <c r="A790" t="s">
        <v>2517</v>
      </c>
      <c r="B790" s="8" t="s">
        <v>357</v>
      </c>
    </row>
    <row r="791" spans="1:2" x14ac:dyDescent="0.2">
      <c r="A791" t="s">
        <v>2518</v>
      </c>
      <c r="B791" s="8" t="s">
        <v>2519</v>
      </c>
    </row>
    <row r="792" spans="1:2" x14ac:dyDescent="0.2">
      <c r="A792" t="s">
        <v>2521</v>
      </c>
      <c r="B792" s="8" t="s">
        <v>2522</v>
      </c>
    </row>
    <row r="793" spans="1:2" x14ac:dyDescent="0.2">
      <c r="A793" t="s">
        <v>2523</v>
      </c>
      <c r="B793" s="8" t="s">
        <v>2522</v>
      </c>
    </row>
    <row r="794" spans="1:2" x14ac:dyDescent="0.2">
      <c r="A794" t="s">
        <v>2524</v>
      </c>
      <c r="B794" s="8" t="s">
        <v>2522</v>
      </c>
    </row>
    <row r="795" spans="1:2" x14ac:dyDescent="0.2">
      <c r="A795" t="s">
        <v>2525</v>
      </c>
      <c r="B795" s="8" t="s">
        <v>2522</v>
      </c>
    </row>
    <row r="796" spans="1:2" x14ac:dyDescent="0.2">
      <c r="A796" t="s">
        <v>2526</v>
      </c>
      <c r="B796" s="8" t="s">
        <v>2522</v>
      </c>
    </row>
    <row r="797" spans="1:2" x14ac:dyDescent="0.2">
      <c r="A797" t="s">
        <v>2527</v>
      </c>
      <c r="B797" s="8" t="s">
        <v>2522</v>
      </c>
    </row>
    <row r="798" spans="1:2" x14ac:dyDescent="0.2">
      <c r="A798" t="s">
        <v>2528</v>
      </c>
      <c r="B798" s="8" t="s">
        <v>2522</v>
      </c>
    </row>
    <row r="799" spans="1:2" x14ac:dyDescent="0.2">
      <c r="A799" t="s">
        <v>2529</v>
      </c>
      <c r="B799" s="8" t="s">
        <v>2522</v>
      </c>
    </row>
    <row r="800" spans="1:2" x14ac:dyDescent="0.2">
      <c r="A800" t="s">
        <v>2530</v>
      </c>
      <c r="B800" s="8" t="s">
        <v>2531</v>
      </c>
    </row>
    <row r="801" spans="1:2" x14ac:dyDescent="0.2">
      <c r="A801" t="s">
        <v>2533</v>
      </c>
      <c r="B801" s="8" t="s">
        <v>2534</v>
      </c>
    </row>
    <row r="802" spans="1:2" x14ac:dyDescent="0.2">
      <c r="A802" t="s">
        <v>2536</v>
      </c>
      <c r="B802" s="8" t="s">
        <v>357</v>
      </c>
    </row>
    <row r="803" spans="1:2" x14ac:dyDescent="0.2">
      <c r="A803" t="s">
        <v>2538</v>
      </c>
      <c r="B803" s="8" t="s">
        <v>2539</v>
      </c>
    </row>
    <row r="804" spans="1:2" x14ac:dyDescent="0.2">
      <c r="A804" t="s">
        <v>2541</v>
      </c>
      <c r="B804" s="8" t="s">
        <v>2542</v>
      </c>
    </row>
    <row r="805" spans="1:2" x14ac:dyDescent="0.2">
      <c r="A805" t="s">
        <v>2544</v>
      </c>
      <c r="B805" s="8" t="s">
        <v>2545</v>
      </c>
    </row>
    <row r="806" spans="1:2" x14ac:dyDescent="0.2">
      <c r="A806" t="s">
        <v>2547</v>
      </c>
      <c r="B806" s="8" t="s">
        <v>2548</v>
      </c>
    </row>
    <row r="807" spans="1:2" x14ac:dyDescent="0.2">
      <c r="A807" t="s">
        <v>2550</v>
      </c>
      <c r="B807" s="8" t="s">
        <v>2551</v>
      </c>
    </row>
    <row r="808" spans="1:2" x14ac:dyDescent="0.2">
      <c r="A808" t="s">
        <v>2553</v>
      </c>
      <c r="B808" s="8" t="s">
        <v>2554</v>
      </c>
    </row>
    <row r="809" spans="1:2" x14ac:dyDescent="0.2">
      <c r="A809" t="s">
        <v>2556</v>
      </c>
      <c r="B809" s="8" t="s">
        <v>2557</v>
      </c>
    </row>
    <row r="810" spans="1:2" x14ac:dyDescent="0.2">
      <c r="A810" t="s">
        <v>2559</v>
      </c>
      <c r="B810" s="8" t="s">
        <v>2560</v>
      </c>
    </row>
    <row r="811" spans="1:2" x14ac:dyDescent="0.2">
      <c r="A811" t="s">
        <v>2561</v>
      </c>
      <c r="B811" s="8" t="s">
        <v>2562</v>
      </c>
    </row>
    <row r="812" spans="1:2" x14ac:dyDescent="0.2">
      <c r="A812" t="s">
        <v>2564</v>
      </c>
      <c r="B812" s="8" t="s">
        <v>2565</v>
      </c>
    </row>
    <row r="813" spans="1:2" x14ac:dyDescent="0.2">
      <c r="A813" t="s">
        <v>2567</v>
      </c>
      <c r="B813" s="8" t="s">
        <v>2568</v>
      </c>
    </row>
    <row r="814" spans="1:2" x14ac:dyDescent="0.2">
      <c r="A814" t="s">
        <v>2570</v>
      </c>
      <c r="B814" s="8" t="s">
        <v>231</v>
      </c>
    </row>
    <row r="815" spans="1:2" x14ac:dyDescent="0.2">
      <c r="A815" t="s">
        <v>2572</v>
      </c>
      <c r="B815" s="8" t="s">
        <v>2573</v>
      </c>
    </row>
    <row r="816" spans="1:2" x14ac:dyDescent="0.2">
      <c r="A816" t="s">
        <v>2575</v>
      </c>
      <c r="B816" s="8" t="s">
        <v>2576</v>
      </c>
    </row>
    <row r="817" spans="1:2" x14ac:dyDescent="0.2">
      <c r="A817" t="s">
        <v>2578</v>
      </c>
      <c r="B817" s="8" t="s">
        <v>2579</v>
      </c>
    </row>
    <row r="818" spans="1:2" x14ac:dyDescent="0.2">
      <c r="A818" t="s">
        <v>2581</v>
      </c>
      <c r="B818" s="8" t="s">
        <v>2582</v>
      </c>
    </row>
    <row r="819" spans="1:2" x14ac:dyDescent="0.2">
      <c r="A819" t="s">
        <v>2584</v>
      </c>
      <c r="B819" s="8" t="s">
        <v>2585</v>
      </c>
    </row>
    <row r="820" spans="1:2" x14ac:dyDescent="0.2">
      <c r="A820" t="s">
        <v>2587</v>
      </c>
      <c r="B820" s="8" t="s">
        <v>2588</v>
      </c>
    </row>
    <row r="821" spans="1:2" x14ac:dyDescent="0.2">
      <c r="A821" t="s">
        <v>2590</v>
      </c>
      <c r="B821" s="8" t="s">
        <v>2591</v>
      </c>
    </row>
    <row r="822" spans="1:2" x14ac:dyDescent="0.2">
      <c r="A822" t="s">
        <v>2592</v>
      </c>
      <c r="B822" s="8" t="s">
        <v>2593</v>
      </c>
    </row>
    <row r="823" spans="1:2" x14ac:dyDescent="0.2">
      <c r="A823" t="s">
        <v>2595</v>
      </c>
      <c r="B823" s="8" t="s">
        <v>2596</v>
      </c>
    </row>
    <row r="824" spans="1:2" x14ac:dyDescent="0.2">
      <c r="A824" t="s">
        <v>40</v>
      </c>
      <c r="B824" s="8" t="s">
        <v>230</v>
      </c>
    </row>
    <row r="825" spans="1:2" x14ac:dyDescent="0.2">
      <c r="A825" t="s">
        <v>2599</v>
      </c>
      <c r="B825" s="8" t="s">
        <v>357</v>
      </c>
    </row>
    <row r="826" spans="1:2" x14ac:dyDescent="0.2">
      <c r="A826" t="s">
        <v>2601</v>
      </c>
      <c r="B826" s="8" t="s">
        <v>2602</v>
      </c>
    </row>
    <row r="827" spans="1:2" x14ac:dyDescent="0.2">
      <c r="A827" t="s">
        <v>2603</v>
      </c>
      <c r="B827" s="8" t="s">
        <v>2604</v>
      </c>
    </row>
    <row r="828" spans="1:2" x14ac:dyDescent="0.2">
      <c r="A828" t="s">
        <v>2606</v>
      </c>
      <c r="B828" s="8" t="s">
        <v>357</v>
      </c>
    </row>
    <row r="829" spans="1:2" x14ac:dyDescent="0.2">
      <c r="A829" t="s">
        <v>2608</v>
      </c>
      <c r="B829" s="8" t="s">
        <v>2609</v>
      </c>
    </row>
    <row r="830" spans="1:2" x14ac:dyDescent="0.2">
      <c r="A830" t="s">
        <v>2611</v>
      </c>
      <c r="B830" s="8" t="s">
        <v>2612</v>
      </c>
    </row>
    <row r="831" spans="1:2" x14ac:dyDescent="0.2">
      <c r="A831" t="s">
        <v>2614</v>
      </c>
      <c r="B831" s="8" t="s">
        <v>2615</v>
      </c>
    </row>
    <row r="832" spans="1:2" x14ac:dyDescent="0.2">
      <c r="A832" t="s">
        <v>2617</v>
      </c>
      <c r="B832" s="8" t="s">
        <v>2618</v>
      </c>
    </row>
    <row r="833" spans="1:2" x14ac:dyDescent="0.2">
      <c r="A833" t="s">
        <v>2620</v>
      </c>
      <c r="B833" s="8" t="s">
        <v>2621</v>
      </c>
    </row>
    <row r="834" spans="1:2" x14ac:dyDescent="0.2">
      <c r="A834" t="s">
        <v>2623</v>
      </c>
      <c r="B834" s="8" t="s">
        <v>2624</v>
      </c>
    </row>
    <row r="835" spans="1:2" x14ac:dyDescent="0.2">
      <c r="A835" t="s">
        <v>2626</v>
      </c>
      <c r="B835" s="8" t="s">
        <v>2627</v>
      </c>
    </row>
    <row r="836" spans="1:2" x14ac:dyDescent="0.2">
      <c r="A836" t="s">
        <v>2629</v>
      </c>
      <c r="B836" s="8" t="s">
        <v>2627</v>
      </c>
    </row>
    <row r="837" spans="1:2" x14ac:dyDescent="0.2">
      <c r="A837" t="s">
        <v>2630</v>
      </c>
      <c r="B837" s="8" t="s">
        <v>2631</v>
      </c>
    </row>
    <row r="838" spans="1:2" x14ac:dyDescent="0.2">
      <c r="A838" t="s">
        <v>2633</v>
      </c>
      <c r="B838" s="8" t="s">
        <v>651</v>
      </c>
    </row>
    <row r="839" spans="1:2" x14ac:dyDescent="0.2">
      <c r="A839" t="s">
        <v>2635</v>
      </c>
      <c r="B839" s="8" t="s">
        <v>2636</v>
      </c>
    </row>
    <row r="840" spans="1:2" x14ac:dyDescent="0.2">
      <c r="A840" t="s">
        <v>2638</v>
      </c>
      <c r="B840" s="8" t="s">
        <v>2639</v>
      </c>
    </row>
    <row r="841" spans="1:2" x14ac:dyDescent="0.2">
      <c r="A841" t="s">
        <v>2641</v>
      </c>
      <c r="B841" s="8" t="s">
        <v>2642</v>
      </c>
    </row>
    <row r="842" spans="1:2" x14ac:dyDescent="0.2">
      <c r="A842" t="s">
        <v>2644</v>
      </c>
      <c r="B842" s="8" t="s">
        <v>2645</v>
      </c>
    </row>
    <row r="843" spans="1:2" x14ac:dyDescent="0.2">
      <c r="A843" t="s">
        <v>2647</v>
      </c>
      <c r="B843" s="8" t="s">
        <v>2648</v>
      </c>
    </row>
    <row r="844" spans="1:2" x14ac:dyDescent="0.2">
      <c r="A844" t="s">
        <v>2650</v>
      </c>
      <c r="B844" s="8" t="s">
        <v>2651</v>
      </c>
    </row>
    <row r="845" spans="1:2" x14ac:dyDescent="0.2">
      <c r="A845" t="s">
        <v>2653</v>
      </c>
      <c r="B845" s="8" t="s">
        <v>2654</v>
      </c>
    </row>
    <row r="846" spans="1:2" x14ac:dyDescent="0.2">
      <c r="A846" t="s">
        <v>2656</v>
      </c>
      <c r="B846" s="8" t="s">
        <v>2657</v>
      </c>
    </row>
    <row r="847" spans="1:2" x14ac:dyDescent="0.2">
      <c r="A847" t="s">
        <v>2659</v>
      </c>
      <c r="B847" s="8" t="s">
        <v>2660</v>
      </c>
    </row>
    <row r="848" spans="1:2" x14ac:dyDescent="0.2">
      <c r="A848" t="s">
        <v>2662</v>
      </c>
      <c r="B848" s="8" t="s">
        <v>2663</v>
      </c>
    </row>
    <row r="849" spans="1:2" x14ac:dyDescent="0.2">
      <c r="A849" t="s">
        <v>2665</v>
      </c>
      <c r="B849" s="8" t="s">
        <v>2663</v>
      </c>
    </row>
    <row r="850" spans="1:2" x14ac:dyDescent="0.2">
      <c r="A850" t="s">
        <v>2666</v>
      </c>
      <c r="B850" s="8" t="s">
        <v>2667</v>
      </c>
    </row>
    <row r="851" spans="1:2" x14ac:dyDescent="0.2">
      <c r="A851" t="s">
        <v>2669</v>
      </c>
      <c r="B851" s="8" t="s">
        <v>2667</v>
      </c>
    </row>
    <row r="852" spans="1:2" x14ac:dyDescent="0.2">
      <c r="A852" t="s">
        <v>2670</v>
      </c>
      <c r="B852" s="8" t="s">
        <v>2671</v>
      </c>
    </row>
    <row r="853" spans="1:2" x14ac:dyDescent="0.2">
      <c r="A853" t="s">
        <v>2673</v>
      </c>
      <c r="B853" s="8" t="s">
        <v>2674</v>
      </c>
    </row>
    <row r="854" spans="1:2" x14ac:dyDescent="0.2">
      <c r="A854" t="s">
        <v>2676</v>
      </c>
      <c r="B854" s="8" t="s">
        <v>2677</v>
      </c>
    </row>
    <row r="855" spans="1:2" x14ac:dyDescent="0.2">
      <c r="A855" t="s">
        <v>2679</v>
      </c>
      <c r="B855" s="8" t="s">
        <v>2680</v>
      </c>
    </row>
    <row r="856" spans="1:2" x14ac:dyDescent="0.2">
      <c r="A856" t="s">
        <v>2682</v>
      </c>
      <c r="B856" s="8" t="s">
        <v>2683</v>
      </c>
    </row>
    <row r="857" spans="1:2" x14ac:dyDescent="0.2">
      <c r="A857" t="s">
        <v>2685</v>
      </c>
      <c r="B857" s="8" t="s">
        <v>2686</v>
      </c>
    </row>
    <row r="858" spans="1:2" x14ac:dyDescent="0.2">
      <c r="A858" t="s">
        <v>2687</v>
      </c>
      <c r="B858" s="8" t="s">
        <v>2688</v>
      </c>
    </row>
    <row r="859" spans="1:2" x14ac:dyDescent="0.2">
      <c r="A859" t="s">
        <v>2690</v>
      </c>
      <c r="B859" s="8" t="s">
        <v>2691</v>
      </c>
    </row>
    <row r="860" spans="1:2" x14ac:dyDescent="0.2">
      <c r="A860" t="s">
        <v>2693</v>
      </c>
      <c r="B860" s="8" t="s">
        <v>2694</v>
      </c>
    </row>
    <row r="861" spans="1:2" x14ac:dyDescent="0.2">
      <c r="A861" t="s">
        <v>2696</v>
      </c>
      <c r="B861" s="8" t="s">
        <v>2697</v>
      </c>
    </row>
    <row r="862" spans="1:2" x14ac:dyDescent="0.2">
      <c r="A862" t="s">
        <v>2699</v>
      </c>
      <c r="B862" s="8" t="s">
        <v>2700</v>
      </c>
    </row>
    <row r="863" spans="1:2" x14ac:dyDescent="0.2">
      <c r="A863" t="s">
        <v>2702</v>
      </c>
      <c r="B863" s="8" t="s">
        <v>2703</v>
      </c>
    </row>
    <row r="864" spans="1:2" x14ac:dyDescent="0.2">
      <c r="A864" t="s">
        <v>2705</v>
      </c>
      <c r="B864" s="8" t="s">
        <v>2706</v>
      </c>
    </row>
    <row r="865" spans="1:2" x14ac:dyDescent="0.2">
      <c r="A865" t="s">
        <v>2708</v>
      </c>
      <c r="B865" s="8" t="s">
        <v>2709</v>
      </c>
    </row>
    <row r="866" spans="1:2" x14ac:dyDescent="0.2">
      <c r="A866" t="s">
        <v>2711</v>
      </c>
      <c r="B866" s="8" t="s">
        <v>2712</v>
      </c>
    </row>
    <row r="867" spans="1:2" x14ac:dyDescent="0.2">
      <c r="A867" t="s">
        <v>2714</v>
      </c>
      <c r="B867" s="8" t="s">
        <v>2715</v>
      </c>
    </row>
    <row r="868" spans="1:2" x14ac:dyDescent="0.2">
      <c r="A868" t="s">
        <v>2717</v>
      </c>
      <c r="B868" s="8" t="s">
        <v>2718</v>
      </c>
    </row>
    <row r="869" spans="1:2" x14ac:dyDescent="0.2">
      <c r="A869" t="s">
        <v>2720</v>
      </c>
      <c r="B869" s="8" t="s">
        <v>2721</v>
      </c>
    </row>
    <row r="870" spans="1:2" x14ac:dyDescent="0.2">
      <c r="A870" t="s">
        <v>2723</v>
      </c>
      <c r="B870" s="8" t="s">
        <v>2724</v>
      </c>
    </row>
    <row r="871" spans="1:2" x14ac:dyDescent="0.2">
      <c r="A871" t="s">
        <v>2726</v>
      </c>
      <c r="B871" s="8" t="s">
        <v>2727</v>
      </c>
    </row>
    <row r="872" spans="1:2" x14ac:dyDescent="0.2">
      <c r="A872" t="s">
        <v>2729</v>
      </c>
      <c r="B872" s="8" t="s">
        <v>2730</v>
      </c>
    </row>
    <row r="873" spans="1:2" x14ac:dyDescent="0.2">
      <c r="A873" t="s">
        <v>2732</v>
      </c>
      <c r="B873" s="8" t="s">
        <v>2733</v>
      </c>
    </row>
    <row r="874" spans="1:2" x14ac:dyDescent="0.2">
      <c r="A874" t="s">
        <v>2735</v>
      </c>
      <c r="B874" s="8" t="s">
        <v>2736</v>
      </c>
    </row>
    <row r="875" spans="1:2" x14ac:dyDescent="0.2">
      <c r="A875" t="s">
        <v>2737</v>
      </c>
      <c r="B875" s="8" t="s">
        <v>2738</v>
      </c>
    </row>
    <row r="876" spans="1:2" x14ac:dyDescent="0.2">
      <c r="A876" t="s">
        <v>2740</v>
      </c>
      <c r="B876" s="8" t="s">
        <v>2741</v>
      </c>
    </row>
    <row r="877" spans="1:2" x14ac:dyDescent="0.2">
      <c r="A877" t="s">
        <v>2743</v>
      </c>
      <c r="B877" s="8" t="s">
        <v>2744</v>
      </c>
    </row>
    <row r="878" spans="1:2" x14ac:dyDescent="0.2">
      <c r="A878" t="s">
        <v>2746</v>
      </c>
      <c r="B878" s="8" t="s">
        <v>2747</v>
      </c>
    </row>
    <row r="879" spans="1:2" x14ac:dyDescent="0.2">
      <c r="A879" t="s">
        <v>2749</v>
      </c>
      <c r="B879" s="8" t="s">
        <v>2750</v>
      </c>
    </row>
    <row r="880" spans="1:2" x14ac:dyDescent="0.2">
      <c r="A880" t="s">
        <v>2752</v>
      </c>
      <c r="B880" s="8" t="s">
        <v>2753</v>
      </c>
    </row>
    <row r="881" spans="1:2" x14ac:dyDescent="0.2">
      <c r="A881" t="s">
        <v>2755</v>
      </c>
      <c r="B881" s="8" t="s">
        <v>2756</v>
      </c>
    </row>
    <row r="882" spans="1:2" x14ac:dyDescent="0.2">
      <c r="A882" t="s">
        <v>2758</v>
      </c>
      <c r="B882" s="8" t="s">
        <v>286</v>
      </c>
    </row>
    <row r="883" spans="1:2" x14ac:dyDescent="0.2">
      <c r="A883" t="s">
        <v>2760</v>
      </c>
      <c r="B883" s="8" t="s">
        <v>2761</v>
      </c>
    </row>
    <row r="884" spans="1:2" x14ac:dyDescent="0.2">
      <c r="A884" t="s">
        <v>2763</v>
      </c>
      <c r="B884" s="8" t="s">
        <v>2764</v>
      </c>
    </row>
    <row r="885" spans="1:2" x14ac:dyDescent="0.2">
      <c r="A885" t="s">
        <v>2766</v>
      </c>
      <c r="B885" s="8" t="s">
        <v>2767</v>
      </c>
    </row>
    <row r="886" spans="1:2" x14ac:dyDescent="0.2">
      <c r="A886" t="s">
        <v>2769</v>
      </c>
      <c r="B886" s="8" t="s">
        <v>2770</v>
      </c>
    </row>
    <row r="887" spans="1:2" x14ac:dyDescent="0.2">
      <c r="A887" t="s">
        <v>2772</v>
      </c>
      <c r="B887" s="8" t="s">
        <v>2773</v>
      </c>
    </row>
    <row r="888" spans="1:2" x14ac:dyDescent="0.2">
      <c r="A888" t="s">
        <v>2775</v>
      </c>
      <c r="B888" s="8" t="s">
        <v>2776</v>
      </c>
    </row>
    <row r="889" spans="1:2" x14ac:dyDescent="0.2">
      <c r="A889" t="s">
        <v>2778</v>
      </c>
      <c r="B889" s="8" t="s">
        <v>2779</v>
      </c>
    </row>
    <row r="890" spans="1:2" x14ac:dyDescent="0.2">
      <c r="A890" t="s">
        <v>2781</v>
      </c>
      <c r="B890" s="8" t="s">
        <v>2782</v>
      </c>
    </row>
    <row r="891" spans="1:2" x14ac:dyDescent="0.2">
      <c r="A891" t="s">
        <v>2784</v>
      </c>
      <c r="B891" s="8" t="s">
        <v>2785</v>
      </c>
    </row>
    <row r="892" spans="1:2" x14ac:dyDescent="0.2">
      <c r="A892" t="s">
        <v>2787</v>
      </c>
      <c r="B892" s="8" t="s">
        <v>2788</v>
      </c>
    </row>
    <row r="893" spans="1:2" x14ac:dyDescent="0.2">
      <c r="A893" t="s">
        <v>2790</v>
      </c>
      <c r="B893" s="8" t="s">
        <v>2791</v>
      </c>
    </row>
    <row r="894" spans="1:2" x14ac:dyDescent="0.2">
      <c r="A894" t="s">
        <v>2793</v>
      </c>
      <c r="B894" s="8" t="s">
        <v>595</v>
      </c>
    </row>
    <row r="895" spans="1:2" x14ac:dyDescent="0.2">
      <c r="A895" t="s">
        <v>2795</v>
      </c>
      <c r="B895" s="8" t="s">
        <v>357</v>
      </c>
    </row>
    <row r="896" spans="1:2" x14ac:dyDescent="0.2">
      <c r="A896" t="s">
        <v>2796</v>
      </c>
      <c r="B896" s="8" t="s">
        <v>2797</v>
      </c>
    </row>
    <row r="897" spans="1:2" x14ac:dyDescent="0.2">
      <c r="A897" t="s">
        <v>2799</v>
      </c>
      <c r="B897" s="8" t="s">
        <v>2800</v>
      </c>
    </row>
    <row r="898" spans="1:2" x14ac:dyDescent="0.2">
      <c r="A898" t="s">
        <v>2802</v>
      </c>
      <c r="B898" s="8" t="s">
        <v>2803</v>
      </c>
    </row>
    <row r="899" spans="1:2" x14ac:dyDescent="0.2">
      <c r="A899" t="s">
        <v>2805</v>
      </c>
      <c r="B899" s="8" t="s">
        <v>2806</v>
      </c>
    </row>
    <row r="900" spans="1:2" x14ac:dyDescent="0.2">
      <c r="A900" t="s">
        <v>2808</v>
      </c>
      <c r="B900" s="8" t="s">
        <v>2806</v>
      </c>
    </row>
    <row r="901" spans="1:2" x14ac:dyDescent="0.2">
      <c r="A901" t="s">
        <v>2809</v>
      </c>
      <c r="B901" s="8" t="s">
        <v>357</v>
      </c>
    </row>
    <row r="902" spans="1:2" x14ac:dyDescent="0.2">
      <c r="A902" t="s">
        <v>2811</v>
      </c>
      <c r="B902" s="8" t="s">
        <v>2812</v>
      </c>
    </row>
    <row r="903" spans="1:2" x14ac:dyDescent="0.2">
      <c r="A903" t="s">
        <v>2814</v>
      </c>
      <c r="B903" s="8" t="s">
        <v>2815</v>
      </c>
    </row>
    <row r="904" spans="1:2" x14ac:dyDescent="0.2">
      <c r="A904" t="s">
        <v>2817</v>
      </c>
      <c r="B904" s="8" t="s">
        <v>2818</v>
      </c>
    </row>
    <row r="905" spans="1:2" x14ac:dyDescent="0.2">
      <c r="A905" t="s">
        <v>2820</v>
      </c>
      <c r="B905" s="8" t="s">
        <v>2821</v>
      </c>
    </row>
    <row r="906" spans="1:2" x14ac:dyDescent="0.2">
      <c r="A906" t="s">
        <v>2823</v>
      </c>
      <c r="B906" s="8" t="s">
        <v>357</v>
      </c>
    </row>
    <row r="907" spans="1:2" x14ac:dyDescent="0.2">
      <c r="A907" t="s">
        <v>2825</v>
      </c>
      <c r="B907" s="8" t="s">
        <v>357</v>
      </c>
    </row>
    <row r="908" spans="1:2" x14ac:dyDescent="0.2">
      <c r="A908" t="s">
        <v>2827</v>
      </c>
      <c r="B908" s="8" t="s">
        <v>2828</v>
      </c>
    </row>
    <row r="909" spans="1:2" x14ac:dyDescent="0.2">
      <c r="A909" t="s">
        <v>2829</v>
      </c>
      <c r="B909" s="8" t="s">
        <v>2830</v>
      </c>
    </row>
    <row r="910" spans="1:2" x14ac:dyDescent="0.2">
      <c r="A910" t="s">
        <v>2832</v>
      </c>
      <c r="B910" s="8" t="s">
        <v>307</v>
      </c>
    </row>
    <row r="911" spans="1:2" x14ac:dyDescent="0.2">
      <c r="A911" t="s">
        <v>2833</v>
      </c>
      <c r="B911" s="8" t="s">
        <v>307</v>
      </c>
    </row>
    <row r="912" spans="1:2" x14ac:dyDescent="0.2">
      <c r="A912" t="s">
        <v>2834</v>
      </c>
      <c r="B912" s="8" t="s">
        <v>2835</v>
      </c>
    </row>
    <row r="913" spans="1:2" x14ac:dyDescent="0.2">
      <c r="A913" t="s">
        <v>2837</v>
      </c>
      <c r="B913" s="8" t="s">
        <v>2838</v>
      </c>
    </row>
    <row r="914" spans="1:2" x14ac:dyDescent="0.2">
      <c r="A914" t="s">
        <v>2840</v>
      </c>
      <c r="B914" s="8" t="s">
        <v>357</v>
      </c>
    </row>
    <row r="915" spans="1:2" x14ac:dyDescent="0.2">
      <c r="A915" t="s">
        <v>2842</v>
      </c>
      <c r="B915" s="8" t="s">
        <v>2843</v>
      </c>
    </row>
    <row r="916" spans="1:2" x14ac:dyDescent="0.2">
      <c r="A916" t="s">
        <v>2845</v>
      </c>
      <c r="B916" s="8" t="s">
        <v>2846</v>
      </c>
    </row>
    <row r="917" spans="1:2" x14ac:dyDescent="0.2">
      <c r="A917" t="s">
        <v>2848</v>
      </c>
      <c r="B917" s="8" t="s">
        <v>2849</v>
      </c>
    </row>
    <row r="918" spans="1:2" x14ac:dyDescent="0.2">
      <c r="A918" t="s">
        <v>2851</v>
      </c>
      <c r="B918" s="8" t="s">
        <v>2852</v>
      </c>
    </row>
    <row r="919" spans="1:2" x14ac:dyDescent="0.2">
      <c r="A919" t="s">
        <v>2854</v>
      </c>
      <c r="B919" s="8" t="s">
        <v>2855</v>
      </c>
    </row>
    <row r="920" spans="1:2" x14ac:dyDescent="0.2">
      <c r="A920" t="s">
        <v>2857</v>
      </c>
      <c r="B920" s="8" t="s">
        <v>2858</v>
      </c>
    </row>
    <row r="921" spans="1:2" x14ac:dyDescent="0.2">
      <c r="A921" t="s">
        <v>2860</v>
      </c>
      <c r="B921" s="8" t="s">
        <v>2861</v>
      </c>
    </row>
    <row r="922" spans="1:2" x14ac:dyDescent="0.2">
      <c r="A922" t="s">
        <v>2863</v>
      </c>
      <c r="B922" s="8" t="s">
        <v>2864</v>
      </c>
    </row>
    <row r="923" spans="1:2" x14ac:dyDescent="0.2">
      <c r="A923" t="s">
        <v>2866</v>
      </c>
      <c r="B923" s="8" t="s">
        <v>2867</v>
      </c>
    </row>
    <row r="924" spans="1:2" x14ac:dyDescent="0.2">
      <c r="A924" t="s">
        <v>2869</v>
      </c>
      <c r="B924" s="8" t="s">
        <v>2870</v>
      </c>
    </row>
    <row r="925" spans="1:2" x14ac:dyDescent="0.2">
      <c r="A925" t="s">
        <v>2872</v>
      </c>
      <c r="B925" s="8" t="s">
        <v>2873</v>
      </c>
    </row>
    <row r="926" spans="1:2" x14ac:dyDescent="0.2">
      <c r="A926" t="s">
        <v>2875</v>
      </c>
      <c r="B926" s="8" t="s">
        <v>2876</v>
      </c>
    </row>
    <row r="927" spans="1:2" x14ac:dyDescent="0.2">
      <c r="A927" t="s">
        <v>2878</v>
      </c>
      <c r="B927" s="8" t="s">
        <v>2879</v>
      </c>
    </row>
    <row r="928" spans="1:2" x14ac:dyDescent="0.2">
      <c r="A928" t="s">
        <v>2881</v>
      </c>
      <c r="B928" s="8" t="s">
        <v>2882</v>
      </c>
    </row>
    <row r="929" spans="1:2" x14ac:dyDescent="0.2">
      <c r="A929" t="s">
        <v>2884</v>
      </c>
      <c r="B929" s="8" t="s">
        <v>2885</v>
      </c>
    </row>
    <row r="930" spans="1:2" x14ac:dyDescent="0.2">
      <c r="A930" t="s">
        <v>2887</v>
      </c>
      <c r="B930" s="8" t="s">
        <v>357</v>
      </c>
    </row>
    <row r="931" spans="1:2" x14ac:dyDescent="0.2">
      <c r="A931" t="s">
        <v>2889</v>
      </c>
      <c r="B931" s="8" t="s">
        <v>2890</v>
      </c>
    </row>
    <row r="932" spans="1:2" x14ac:dyDescent="0.2">
      <c r="A932" t="s">
        <v>2892</v>
      </c>
      <c r="B932" s="8" t="s">
        <v>357</v>
      </c>
    </row>
    <row r="933" spans="1:2" x14ac:dyDescent="0.2">
      <c r="A933" t="s">
        <v>2894</v>
      </c>
      <c r="B933" s="8" t="s">
        <v>2895</v>
      </c>
    </row>
    <row r="934" spans="1:2" x14ac:dyDescent="0.2">
      <c r="A934" t="s">
        <v>2897</v>
      </c>
      <c r="B934" s="8" t="s">
        <v>2895</v>
      </c>
    </row>
    <row r="935" spans="1:2" x14ac:dyDescent="0.2">
      <c r="A935" t="s">
        <v>2898</v>
      </c>
      <c r="B935" s="8" t="s">
        <v>2895</v>
      </c>
    </row>
    <row r="936" spans="1:2" x14ac:dyDescent="0.2">
      <c r="A936" t="s">
        <v>2899</v>
      </c>
      <c r="B936" s="8" t="s">
        <v>2900</v>
      </c>
    </row>
    <row r="937" spans="1:2" x14ac:dyDescent="0.2">
      <c r="A937" t="s">
        <v>2902</v>
      </c>
      <c r="B937" s="8" t="s">
        <v>2903</v>
      </c>
    </row>
    <row r="938" spans="1:2" x14ac:dyDescent="0.2">
      <c r="A938" t="s">
        <v>2905</v>
      </c>
      <c r="B938" s="8" t="s">
        <v>2906</v>
      </c>
    </row>
    <row r="939" spans="1:2" x14ac:dyDescent="0.2">
      <c r="A939" t="s">
        <v>2908</v>
      </c>
      <c r="B939" s="8" t="s">
        <v>2909</v>
      </c>
    </row>
    <row r="940" spans="1:2" x14ac:dyDescent="0.2">
      <c r="A940" t="s">
        <v>2911</v>
      </c>
      <c r="B940" s="8" t="s">
        <v>337</v>
      </c>
    </row>
    <row r="941" spans="1:2" x14ac:dyDescent="0.2">
      <c r="A941" t="s">
        <v>2913</v>
      </c>
      <c r="B941" s="8" t="s">
        <v>2914</v>
      </c>
    </row>
    <row r="942" spans="1:2" x14ac:dyDescent="0.2">
      <c r="A942" t="s">
        <v>2916</v>
      </c>
      <c r="B942" s="8" t="s">
        <v>2917</v>
      </c>
    </row>
    <row r="943" spans="1:2" x14ac:dyDescent="0.2">
      <c r="A943" t="s">
        <v>2919</v>
      </c>
      <c r="B943" s="8" t="s">
        <v>2920</v>
      </c>
    </row>
    <row r="944" spans="1:2" x14ac:dyDescent="0.2">
      <c r="A944" t="s">
        <v>2922</v>
      </c>
      <c r="B944" s="8" t="s">
        <v>2923</v>
      </c>
    </row>
    <row r="945" spans="1:2" x14ac:dyDescent="0.2">
      <c r="A945" t="s">
        <v>2925</v>
      </c>
      <c r="B945" s="8" t="s">
        <v>2926</v>
      </c>
    </row>
    <row r="946" spans="1:2" x14ac:dyDescent="0.2">
      <c r="A946" t="s">
        <v>2928</v>
      </c>
      <c r="B946" s="8" t="s">
        <v>2929</v>
      </c>
    </row>
    <row r="947" spans="1:2" x14ac:dyDescent="0.2">
      <c r="A947" t="s">
        <v>2931</v>
      </c>
      <c r="B947" s="8" t="s">
        <v>2932</v>
      </c>
    </row>
    <row r="948" spans="1:2" x14ac:dyDescent="0.2">
      <c r="A948" t="s">
        <v>2934</v>
      </c>
      <c r="B948" s="8" t="s">
        <v>2935</v>
      </c>
    </row>
    <row r="949" spans="1:2" x14ac:dyDescent="0.2">
      <c r="A949" t="s">
        <v>2937</v>
      </c>
      <c r="B949" s="8" t="s">
        <v>2938</v>
      </c>
    </row>
    <row r="950" spans="1:2" x14ac:dyDescent="0.2">
      <c r="A950" t="s">
        <v>2940</v>
      </c>
      <c r="B950" s="8" t="s">
        <v>2941</v>
      </c>
    </row>
    <row r="951" spans="1:2" x14ac:dyDescent="0.2">
      <c r="A951" t="s">
        <v>2943</v>
      </c>
      <c r="B951" s="8" t="s">
        <v>2944</v>
      </c>
    </row>
    <row r="952" spans="1:2" x14ac:dyDescent="0.2">
      <c r="A952" t="s">
        <v>2946</v>
      </c>
      <c r="B952" s="8" t="s">
        <v>2947</v>
      </c>
    </row>
    <row r="953" spans="1:2" x14ac:dyDescent="0.2">
      <c r="A953" t="s">
        <v>2949</v>
      </c>
      <c r="B953" s="8" t="s">
        <v>2950</v>
      </c>
    </row>
    <row r="954" spans="1:2" x14ac:dyDescent="0.2">
      <c r="A954" t="s">
        <v>2952</v>
      </c>
      <c r="B954" s="8" t="s">
        <v>2953</v>
      </c>
    </row>
    <row r="955" spans="1:2" x14ac:dyDescent="0.2">
      <c r="A955" t="s">
        <v>2955</v>
      </c>
      <c r="B955" s="8" t="s">
        <v>2956</v>
      </c>
    </row>
    <row r="956" spans="1:2" x14ac:dyDescent="0.2">
      <c r="A956" t="s">
        <v>2958</v>
      </c>
      <c r="B956" s="8" t="s">
        <v>2959</v>
      </c>
    </row>
    <row r="957" spans="1:2" x14ac:dyDescent="0.2">
      <c r="A957" t="s">
        <v>2961</v>
      </c>
      <c r="B957" s="8" t="s">
        <v>2962</v>
      </c>
    </row>
    <row r="958" spans="1:2" x14ac:dyDescent="0.2">
      <c r="A958" t="s">
        <v>2964</v>
      </c>
      <c r="B958" s="8" t="s">
        <v>2965</v>
      </c>
    </row>
    <row r="959" spans="1:2" x14ac:dyDescent="0.2">
      <c r="A959" t="s">
        <v>2967</v>
      </c>
      <c r="B959" s="8" t="s">
        <v>2968</v>
      </c>
    </row>
    <row r="960" spans="1:2" x14ac:dyDescent="0.2">
      <c r="A960" t="s">
        <v>2970</v>
      </c>
      <c r="B960" s="8" t="s">
        <v>2971</v>
      </c>
    </row>
    <row r="961" spans="1:2" x14ac:dyDescent="0.2">
      <c r="A961" t="s">
        <v>2973</v>
      </c>
      <c r="B961" s="8" t="s">
        <v>2971</v>
      </c>
    </row>
    <row r="962" spans="1:2" x14ac:dyDescent="0.2">
      <c r="A962" t="s">
        <v>2974</v>
      </c>
      <c r="B962" s="8" t="s">
        <v>2975</v>
      </c>
    </row>
    <row r="963" spans="1:2" x14ac:dyDescent="0.2">
      <c r="A963" t="s">
        <v>2977</v>
      </c>
      <c r="B963" s="8" t="s">
        <v>317</v>
      </c>
    </row>
    <row r="964" spans="1:2" x14ac:dyDescent="0.2">
      <c r="A964" t="s">
        <v>2979</v>
      </c>
      <c r="B964" s="8" t="s">
        <v>2980</v>
      </c>
    </row>
    <row r="965" spans="1:2" x14ac:dyDescent="0.2">
      <c r="A965" t="s">
        <v>2982</v>
      </c>
      <c r="B965" s="8" t="s">
        <v>2983</v>
      </c>
    </row>
    <row r="966" spans="1:2" x14ac:dyDescent="0.2">
      <c r="A966" t="s">
        <v>2985</v>
      </c>
      <c r="B966" s="8" t="s">
        <v>2986</v>
      </c>
    </row>
    <row r="967" spans="1:2" x14ac:dyDescent="0.2">
      <c r="A967" t="s">
        <v>2988</v>
      </c>
      <c r="B967" s="8" t="s">
        <v>2989</v>
      </c>
    </row>
    <row r="968" spans="1:2" x14ac:dyDescent="0.2">
      <c r="A968" t="s">
        <v>2990</v>
      </c>
      <c r="B968" s="8" t="s">
        <v>2991</v>
      </c>
    </row>
    <row r="969" spans="1:2" x14ac:dyDescent="0.2">
      <c r="A969" t="s">
        <v>2993</v>
      </c>
      <c r="B969" s="8" t="s">
        <v>2994</v>
      </c>
    </row>
    <row r="970" spans="1:2" x14ac:dyDescent="0.2">
      <c r="A970" t="s">
        <v>2996</v>
      </c>
      <c r="B970" s="8" t="s">
        <v>2997</v>
      </c>
    </row>
    <row r="971" spans="1:2" x14ac:dyDescent="0.2">
      <c r="A971" t="s">
        <v>2998</v>
      </c>
      <c r="B971" s="8" t="s">
        <v>2999</v>
      </c>
    </row>
    <row r="972" spans="1:2" x14ac:dyDescent="0.2">
      <c r="A972" t="s">
        <v>3001</v>
      </c>
      <c r="B972" s="8" t="s">
        <v>3002</v>
      </c>
    </row>
    <row r="973" spans="1:2" x14ac:dyDescent="0.2">
      <c r="A973" t="s">
        <v>3004</v>
      </c>
      <c r="B973" s="8" t="s">
        <v>3005</v>
      </c>
    </row>
    <row r="974" spans="1:2" x14ac:dyDescent="0.2">
      <c r="A974" t="s">
        <v>3007</v>
      </c>
      <c r="B974" s="8" t="s">
        <v>3008</v>
      </c>
    </row>
    <row r="975" spans="1:2" x14ac:dyDescent="0.2">
      <c r="A975" t="s">
        <v>3010</v>
      </c>
      <c r="B975" s="8" t="s">
        <v>3011</v>
      </c>
    </row>
    <row r="976" spans="1:2" x14ac:dyDescent="0.2">
      <c r="A976" t="s">
        <v>3013</v>
      </c>
      <c r="B976" s="8" t="s">
        <v>3011</v>
      </c>
    </row>
    <row r="977" spans="1:2" x14ac:dyDescent="0.2">
      <c r="A977" t="s">
        <v>3014</v>
      </c>
      <c r="B977" s="8" t="s">
        <v>3015</v>
      </c>
    </row>
    <row r="978" spans="1:2" x14ac:dyDescent="0.2">
      <c r="A978" t="s">
        <v>3017</v>
      </c>
      <c r="B978" s="8" t="s">
        <v>3018</v>
      </c>
    </row>
    <row r="979" spans="1:2" x14ac:dyDescent="0.2">
      <c r="A979" t="s">
        <v>3020</v>
      </c>
      <c r="B979" s="8" t="s">
        <v>3021</v>
      </c>
    </row>
    <row r="980" spans="1:2" x14ac:dyDescent="0.2">
      <c r="A980" t="s">
        <v>3023</v>
      </c>
      <c r="B980" s="8" t="s">
        <v>3024</v>
      </c>
    </row>
    <row r="981" spans="1:2" x14ac:dyDescent="0.2">
      <c r="A981" t="s">
        <v>3026</v>
      </c>
      <c r="B981" s="8" t="s">
        <v>3027</v>
      </c>
    </row>
    <row r="982" spans="1:2" x14ac:dyDescent="0.2">
      <c r="A982" t="s">
        <v>3029</v>
      </c>
      <c r="B982" s="8" t="s">
        <v>3030</v>
      </c>
    </row>
    <row r="983" spans="1:2" x14ac:dyDescent="0.2">
      <c r="A983" t="s">
        <v>3032</v>
      </c>
      <c r="B983" s="8" t="s">
        <v>3033</v>
      </c>
    </row>
    <row r="984" spans="1:2" x14ac:dyDescent="0.2">
      <c r="A984" t="s">
        <v>3035</v>
      </c>
      <c r="B984" s="8" t="s">
        <v>3036</v>
      </c>
    </row>
    <row r="985" spans="1:2" x14ac:dyDescent="0.2">
      <c r="A985" t="s">
        <v>3038</v>
      </c>
      <c r="B985" s="8" t="s">
        <v>3039</v>
      </c>
    </row>
    <row r="986" spans="1:2" x14ac:dyDescent="0.2">
      <c r="A986" t="s">
        <v>3041</v>
      </c>
      <c r="B986" s="8" t="s">
        <v>3042</v>
      </c>
    </row>
    <row r="987" spans="1:2" x14ac:dyDescent="0.2">
      <c r="A987" t="s">
        <v>3044</v>
      </c>
      <c r="B987" s="8" t="s">
        <v>357</v>
      </c>
    </row>
    <row r="988" spans="1:2" x14ac:dyDescent="0.2">
      <c r="A988" t="s">
        <v>3045</v>
      </c>
      <c r="B988" s="8" t="s">
        <v>3046</v>
      </c>
    </row>
    <row r="989" spans="1:2" x14ac:dyDescent="0.2">
      <c r="A989" t="s">
        <v>3048</v>
      </c>
      <c r="B989" s="8" t="s">
        <v>357</v>
      </c>
    </row>
    <row r="990" spans="1:2" x14ac:dyDescent="0.2">
      <c r="A990" t="s">
        <v>3049</v>
      </c>
      <c r="B990" s="8" t="s">
        <v>3050</v>
      </c>
    </row>
    <row r="991" spans="1:2" x14ac:dyDescent="0.2">
      <c r="A991" t="s">
        <v>3051</v>
      </c>
      <c r="B991" s="8" t="s">
        <v>3052</v>
      </c>
    </row>
    <row r="992" spans="1:2" x14ac:dyDescent="0.2">
      <c r="A992" t="s">
        <v>3054</v>
      </c>
      <c r="B992" s="8" t="s">
        <v>3055</v>
      </c>
    </row>
    <row r="993" spans="1:2" x14ac:dyDescent="0.2">
      <c r="A993" t="s">
        <v>3057</v>
      </c>
      <c r="B993" s="8" t="s">
        <v>3058</v>
      </c>
    </row>
    <row r="994" spans="1:2" x14ac:dyDescent="0.2">
      <c r="A994" t="s">
        <v>3060</v>
      </c>
      <c r="B994" s="8" t="s">
        <v>3061</v>
      </c>
    </row>
    <row r="995" spans="1:2" x14ac:dyDescent="0.2">
      <c r="A995" t="s">
        <v>3063</v>
      </c>
      <c r="B995" s="8" t="s">
        <v>3064</v>
      </c>
    </row>
    <row r="996" spans="1:2" x14ac:dyDescent="0.2">
      <c r="A996" t="s">
        <v>3066</v>
      </c>
      <c r="B996" s="8" t="s">
        <v>3067</v>
      </c>
    </row>
    <row r="997" spans="1:2" x14ac:dyDescent="0.2">
      <c r="A997" t="s">
        <v>3069</v>
      </c>
      <c r="B997" s="8" t="s">
        <v>3070</v>
      </c>
    </row>
    <row r="998" spans="1:2" x14ac:dyDescent="0.2">
      <c r="A998" t="s">
        <v>3072</v>
      </c>
      <c r="B998" s="8" t="s">
        <v>2296</v>
      </c>
    </row>
    <row r="999" spans="1:2" x14ac:dyDescent="0.2">
      <c r="A999" t="s">
        <v>3073</v>
      </c>
      <c r="B999" s="8" t="s">
        <v>3074</v>
      </c>
    </row>
    <row r="1000" spans="1:2" x14ac:dyDescent="0.2">
      <c r="A1000" t="s">
        <v>3076</v>
      </c>
      <c r="B1000" s="8" t="s">
        <v>3077</v>
      </c>
    </row>
    <row r="1001" spans="1:2" x14ac:dyDescent="0.2">
      <c r="A1001" t="s">
        <v>3079</v>
      </c>
      <c r="B1001" s="8" t="s">
        <v>3080</v>
      </c>
    </row>
    <row r="1002" spans="1:2" x14ac:dyDescent="0.2">
      <c r="A1002" t="s">
        <v>3082</v>
      </c>
      <c r="B1002" s="8" t="s">
        <v>3083</v>
      </c>
    </row>
    <row r="1003" spans="1:2" x14ac:dyDescent="0.2">
      <c r="A1003" t="s">
        <v>3084</v>
      </c>
      <c r="B1003" s="8" t="s">
        <v>3085</v>
      </c>
    </row>
    <row r="1004" spans="1:2" x14ac:dyDescent="0.2">
      <c r="A1004" t="s">
        <v>3087</v>
      </c>
      <c r="B1004" s="8" t="s">
        <v>3088</v>
      </c>
    </row>
    <row r="1005" spans="1:2" x14ac:dyDescent="0.2">
      <c r="A1005" t="s">
        <v>3090</v>
      </c>
      <c r="B1005" s="8" t="s">
        <v>357</v>
      </c>
    </row>
    <row r="1006" spans="1:2" x14ac:dyDescent="0.2">
      <c r="A1006" t="s">
        <v>3092</v>
      </c>
      <c r="B1006" s="8" t="s">
        <v>3093</v>
      </c>
    </row>
    <row r="1007" spans="1:2" x14ac:dyDescent="0.2">
      <c r="A1007" t="s">
        <v>3095</v>
      </c>
      <c r="B1007" s="8" t="s">
        <v>3096</v>
      </c>
    </row>
    <row r="1008" spans="1:2" x14ac:dyDescent="0.2">
      <c r="A1008" t="s">
        <v>3098</v>
      </c>
      <c r="B1008" s="8" t="s">
        <v>3099</v>
      </c>
    </row>
    <row r="1009" spans="1:2" x14ac:dyDescent="0.2">
      <c r="A1009" t="s">
        <v>3101</v>
      </c>
      <c r="B1009" s="8" t="s">
        <v>310</v>
      </c>
    </row>
    <row r="1010" spans="1:2" x14ac:dyDescent="0.2">
      <c r="A1010" t="s">
        <v>3103</v>
      </c>
      <c r="B1010" s="8" t="s">
        <v>3104</v>
      </c>
    </row>
    <row r="1011" spans="1:2" x14ac:dyDescent="0.2">
      <c r="A1011" t="s">
        <v>3106</v>
      </c>
      <c r="B1011" s="8" t="s">
        <v>3107</v>
      </c>
    </row>
    <row r="1012" spans="1:2" x14ac:dyDescent="0.2">
      <c r="A1012" t="s">
        <v>3109</v>
      </c>
      <c r="B1012" s="8" t="s">
        <v>3110</v>
      </c>
    </row>
    <row r="1013" spans="1:2" x14ac:dyDescent="0.2">
      <c r="A1013" t="s">
        <v>3111</v>
      </c>
      <c r="B1013" s="8" t="s">
        <v>3112</v>
      </c>
    </row>
    <row r="1014" spans="1:2" x14ac:dyDescent="0.2">
      <c r="A1014" t="s">
        <v>3113</v>
      </c>
      <c r="B1014" s="8" t="s">
        <v>3114</v>
      </c>
    </row>
    <row r="1015" spans="1:2" x14ac:dyDescent="0.2">
      <c r="A1015" t="s">
        <v>3116</v>
      </c>
      <c r="B1015" s="8" t="s">
        <v>3117</v>
      </c>
    </row>
    <row r="1016" spans="1:2" x14ac:dyDescent="0.2">
      <c r="A1016" t="s">
        <v>3119</v>
      </c>
      <c r="B1016" s="8" t="s">
        <v>260</v>
      </c>
    </row>
    <row r="1017" spans="1:2" x14ac:dyDescent="0.2">
      <c r="A1017" t="s">
        <v>3121</v>
      </c>
      <c r="B1017" s="8" t="s">
        <v>3122</v>
      </c>
    </row>
    <row r="1018" spans="1:2" x14ac:dyDescent="0.2">
      <c r="A1018" t="s">
        <v>3124</v>
      </c>
      <c r="B1018" s="8" t="s">
        <v>3125</v>
      </c>
    </row>
    <row r="1019" spans="1:2" x14ac:dyDescent="0.2">
      <c r="A1019" t="s">
        <v>3126</v>
      </c>
      <c r="B1019" s="8" t="s">
        <v>3127</v>
      </c>
    </row>
    <row r="1020" spans="1:2" x14ac:dyDescent="0.2">
      <c r="A1020" t="s">
        <v>3129</v>
      </c>
      <c r="B1020" s="8" t="s">
        <v>3130</v>
      </c>
    </row>
    <row r="1021" spans="1:2" x14ac:dyDescent="0.2">
      <c r="A1021" t="s">
        <v>3132</v>
      </c>
      <c r="B1021" s="8" t="s">
        <v>3130</v>
      </c>
    </row>
    <row r="1022" spans="1:2" x14ac:dyDescent="0.2">
      <c r="A1022" t="s">
        <v>3133</v>
      </c>
      <c r="B1022" s="8" t="s">
        <v>3134</v>
      </c>
    </row>
    <row r="1023" spans="1:2" x14ac:dyDescent="0.2">
      <c r="A1023" t="s">
        <v>3136</v>
      </c>
      <c r="B1023" s="8" t="s">
        <v>3137</v>
      </c>
    </row>
    <row r="1024" spans="1:2" x14ac:dyDescent="0.2">
      <c r="A1024" t="s">
        <v>3138</v>
      </c>
      <c r="B1024" s="8" t="s">
        <v>3139</v>
      </c>
    </row>
    <row r="1025" spans="1:2" x14ac:dyDescent="0.2">
      <c r="A1025" t="s">
        <v>3141</v>
      </c>
      <c r="B1025" s="8" t="s">
        <v>3142</v>
      </c>
    </row>
    <row r="1026" spans="1:2" x14ac:dyDescent="0.2">
      <c r="A1026" t="s">
        <v>3144</v>
      </c>
      <c r="B1026" s="8" t="s">
        <v>3145</v>
      </c>
    </row>
    <row r="1027" spans="1:2" x14ac:dyDescent="0.2">
      <c r="A1027" t="s">
        <v>3147</v>
      </c>
      <c r="B1027" s="8" t="s">
        <v>3148</v>
      </c>
    </row>
    <row r="1028" spans="1:2" x14ac:dyDescent="0.2">
      <c r="A1028" t="s">
        <v>3150</v>
      </c>
      <c r="B1028" s="8" t="s">
        <v>3151</v>
      </c>
    </row>
    <row r="1029" spans="1:2" x14ac:dyDescent="0.2">
      <c r="A1029" t="s">
        <v>3153</v>
      </c>
      <c r="B1029" s="8" t="s">
        <v>3154</v>
      </c>
    </row>
    <row r="1030" spans="1:2" x14ac:dyDescent="0.2">
      <c r="A1030" t="s">
        <v>3155</v>
      </c>
      <c r="B1030" s="8" t="s">
        <v>3156</v>
      </c>
    </row>
    <row r="1031" spans="1:2" x14ac:dyDescent="0.2">
      <c r="A1031" t="s">
        <v>3158</v>
      </c>
      <c r="B1031" s="8" t="s">
        <v>273</v>
      </c>
    </row>
    <row r="1032" spans="1:2" x14ac:dyDescent="0.2">
      <c r="A1032" t="s">
        <v>3160</v>
      </c>
      <c r="B1032" s="8" t="s">
        <v>357</v>
      </c>
    </row>
    <row r="1033" spans="1:2" x14ac:dyDescent="0.2">
      <c r="A1033" t="s">
        <v>3161</v>
      </c>
      <c r="B1033" s="8" t="s">
        <v>3162</v>
      </c>
    </row>
    <row r="1034" spans="1:2" x14ac:dyDescent="0.2">
      <c r="A1034" t="s">
        <v>3164</v>
      </c>
      <c r="B1034" s="8" t="s">
        <v>3165</v>
      </c>
    </row>
    <row r="1035" spans="1:2" x14ac:dyDescent="0.2">
      <c r="A1035" t="s">
        <v>3167</v>
      </c>
      <c r="B1035" s="8" t="s">
        <v>3168</v>
      </c>
    </row>
    <row r="1036" spans="1:2" x14ac:dyDescent="0.2">
      <c r="A1036" t="s">
        <v>3169</v>
      </c>
      <c r="B1036" s="8" t="s">
        <v>3170</v>
      </c>
    </row>
    <row r="1037" spans="1:2" x14ac:dyDescent="0.2">
      <c r="A1037" t="s">
        <v>3172</v>
      </c>
      <c r="B1037" s="8" t="s">
        <v>3173</v>
      </c>
    </row>
    <row r="1038" spans="1:2" x14ac:dyDescent="0.2">
      <c r="A1038" t="s">
        <v>3175</v>
      </c>
      <c r="B1038" s="8" t="s">
        <v>3176</v>
      </c>
    </row>
    <row r="1039" spans="1:2" x14ac:dyDescent="0.2">
      <c r="A1039" t="s">
        <v>3178</v>
      </c>
      <c r="B1039" s="8" t="s">
        <v>3179</v>
      </c>
    </row>
    <row r="1040" spans="1:2" x14ac:dyDescent="0.2">
      <c r="A1040" t="s">
        <v>3181</v>
      </c>
      <c r="B1040" s="8" t="s">
        <v>3182</v>
      </c>
    </row>
    <row r="1041" spans="1:2" x14ac:dyDescent="0.2">
      <c r="A1041" t="s">
        <v>3184</v>
      </c>
      <c r="B1041" s="8" t="s">
        <v>3185</v>
      </c>
    </row>
    <row r="1042" spans="1:2" x14ac:dyDescent="0.2">
      <c r="A1042" t="s">
        <v>3187</v>
      </c>
      <c r="B1042" s="8" t="s">
        <v>3188</v>
      </c>
    </row>
    <row r="1043" spans="1:2" x14ac:dyDescent="0.2">
      <c r="A1043" t="s">
        <v>3190</v>
      </c>
      <c r="B1043" s="8" t="s">
        <v>3191</v>
      </c>
    </row>
    <row r="1044" spans="1:2" x14ac:dyDescent="0.2">
      <c r="A1044" t="s">
        <v>3193</v>
      </c>
      <c r="B1044" s="8" t="s">
        <v>3194</v>
      </c>
    </row>
    <row r="1045" spans="1:2" x14ac:dyDescent="0.2">
      <c r="A1045" t="s">
        <v>3196</v>
      </c>
      <c r="B1045" s="8" t="s">
        <v>3197</v>
      </c>
    </row>
    <row r="1046" spans="1:2" x14ac:dyDescent="0.2">
      <c r="A1046" t="s">
        <v>3199</v>
      </c>
      <c r="B1046" s="8" t="s">
        <v>3200</v>
      </c>
    </row>
    <row r="1047" spans="1:2" x14ac:dyDescent="0.2">
      <c r="A1047" t="s">
        <v>3202</v>
      </c>
      <c r="B1047" s="8" t="s">
        <v>3203</v>
      </c>
    </row>
    <row r="1048" spans="1:2" x14ac:dyDescent="0.2">
      <c r="A1048" t="s">
        <v>3205</v>
      </c>
      <c r="B1048" s="8" t="s">
        <v>3206</v>
      </c>
    </row>
    <row r="1049" spans="1:2" x14ac:dyDescent="0.2">
      <c r="A1049" t="s">
        <v>3208</v>
      </c>
      <c r="B1049" s="8" t="s">
        <v>3209</v>
      </c>
    </row>
    <row r="1050" spans="1:2" x14ac:dyDescent="0.2">
      <c r="A1050" t="s">
        <v>3210</v>
      </c>
      <c r="B1050" s="8" t="s">
        <v>3211</v>
      </c>
    </row>
    <row r="1051" spans="1:2" x14ac:dyDescent="0.2">
      <c r="A1051" t="s">
        <v>3213</v>
      </c>
      <c r="B1051" s="8" t="s">
        <v>312</v>
      </c>
    </row>
    <row r="1052" spans="1:2" x14ac:dyDescent="0.2">
      <c r="A1052" t="s">
        <v>3214</v>
      </c>
      <c r="B1052" s="8" t="s">
        <v>3215</v>
      </c>
    </row>
    <row r="1053" spans="1:2" x14ac:dyDescent="0.2">
      <c r="A1053" t="s">
        <v>3217</v>
      </c>
      <c r="B1053" s="8" t="s">
        <v>3218</v>
      </c>
    </row>
    <row r="1054" spans="1:2" x14ac:dyDescent="0.2">
      <c r="A1054" t="s">
        <v>3220</v>
      </c>
      <c r="B1054" s="8" t="s">
        <v>3221</v>
      </c>
    </row>
    <row r="1055" spans="1:2" x14ac:dyDescent="0.2">
      <c r="A1055" t="s">
        <v>3223</v>
      </c>
      <c r="B1055" s="8" t="s">
        <v>3224</v>
      </c>
    </row>
    <row r="1056" spans="1:2" x14ac:dyDescent="0.2">
      <c r="A1056" t="s">
        <v>3226</v>
      </c>
      <c r="B1056" s="8" t="s">
        <v>3227</v>
      </c>
    </row>
    <row r="1057" spans="1:2" x14ac:dyDescent="0.2">
      <c r="A1057" t="s">
        <v>3229</v>
      </c>
      <c r="B1057" s="8" t="s">
        <v>3230</v>
      </c>
    </row>
    <row r="1058" spans="1:2" x14ac:dyDescent="0.2">
      <c r="A1058" t="s">
        <v>3231</v>
      </c>
      <c r="B1058" s="8" t="s">
        <v>3232</v>
      </c>
    </row>
    <row r="1059" spans="1:2" x14ac:dyDescent="0.2">
      <c r="A1059" t="s">
        <v>3234</v>
      </c>
      <c r="B1059" s="8" t="s">
        <v>3235</v>
      </c>
    </row>
    <row r="1060" spans="1:2" x14ac:dyDescent="0.2">
      <c r="A1060" t="s">
        <v>3237</v>
      </c>
      <c r="B1060" s="8" t="s">
        <v>3238</v>
      </c>
    </row>
    <row r="1061" spans="1:2" x14ac:dyDescent="0.2">
      <c r="A1061" t="s">
        <v>3240</v>
      </c>
      <c r="B1061" s="8" t="s">
        <v>3241</v>
      </c>
    </row>
    <row r="1062" spans="1:2" x14ac:dyDescent="0.2">
      <c r="A1062" t="s">
        <v>3243</v>
      </c>
      <c r="B1062" s="8" t="s">
        <v>3244</v>
      </c>
    </row>
    <row r="1063" spans="1:2" x14ac:dyDescent="0.2">
      <c r="A1063" t="s">
        <v>3246</v>
      </c>
      <c r="B1063" s="8" t="s">
        <v>3247</v>
      </c>
    </row>
    <row r="1064" spans="1:2" x14ac:dyDescent="0.2">
      <c r="A1064" t="s">
        <v>3249</v>
      </c>
      <c r="B1064" s="8" t="s">
        <v>3250</v>
      </c>
    </row>
    <row r="1065" spans="1:2" x14ac:dyDescent="0.2">
      <c r="A1065" t="s">
        <v>3252</v>
      </c>
      <c r="B1065" s="8" t="s">
        <v>3253</v>
      </c>
    </row>
    <row r="1066" spans="1:2" x14ac:dyDescent="0.2">
      <c r="A1066" t="s">
        <v>3255</v>
      </c>
      <c r="B1066" s="8" t="s">
        <v>3256</v>
      </c>
    </row>
    <row r="1067" spans="1:2" x14ac:dyDescent="0.2">
      <c r="A1067" t="s">
        <v>3258</v>
      </c>
      <c r="B1067" s="8" t="s">
        <v>3259</v>
      </c>
    </row>
    <row r="1068" spans="1:2" x14ac:dyDescent="0.2">
      <c r="A1068" t="s">
        <v>3261</v>
      </c>
      <c r="B1068" s="8" t="s">
        <v>3262</v>
      </c>
    </row>
    <row r="1069" spans="1:2" x14ac:dyDescent="0.2">
      <c r="A1069" t="s">
        <v>3264</v>
      </c>
      <c r="B1069" s="8" t="s">
        <v>3265</v>
      </c>
    </row>
    <row r="1070" spans="1:2" x14ac:dyDescent="0.2">
      <c r="A1070" t="s">
        <v>3267</v>
      </c>
      <c r="B1070" s="8" t="s">
        <v>3268</v>
      </c>
    </row>
    <row r="1071" spans="1:2" x14ac:dyDescent="0.2">
      <c r="A1071" t="s">
        <v>3270</v>
      </c>
      <c r="B1071" s="8" t="s">
        <v>3271</v>
      </c>
    </row>
    <row r="1072" spans="1:2" x14ac:dyDescent="0.2">
      <c r="A1072" t="s">
        <v>3273</v>
      </c>
      <c r="B1072" s="8" t="s">
        <v>3274</v>
      </c>
    </row>
    <row r="1073" spans="1:2" x14ac:dyDescent="0.2">
      <c r="A1073" t="s">
        <v>3276</v>
      </c>
      <c r="B1073" s="8" t="s">
        <v>3277</v>
      </c>
    </row>
    <row r="1074" spans="1:2" x14ac:dyDescent="0.2">
      <c r="A1074" t="s">
        <v>3279</v>
      </c>
      <c r="B1074" s="8" t="s">
        <v>3280</v>
      </c>
    </row>
    <row r="1075" spans="1:2" x14ac:dyDescent="0.2">
      <c r="A1075" t="s">
        <v>3282</v>
      </c>
      <c r="B1075" s="8" t="s">
        <v>266</v>
      </c>
    </row>
    <row r="1076" spans="1:2" x14ac:dyDescent="0.2">
      <c r="A1076" t="s">
        <v>3284</v>
      </c>
      <c r="B1076" s="8" t="s">
        <v>3285</v>
      </c>
    </row>
    <row r="1077" spans="1:2" x14ac:dyDescent="0.2">
      <c r="A1077" t="s">
        <v>3287</v>
      </c>
      <c r="B1077" s="8" t="s">
        <v>3285</v>
      </c>
    </row>
    <row r="1078" spans="1:2" x14ac:dyDescent="0.2">
      <c r="A1078" t="s">
        <v>3288</v>
      </c>
      <c r="B1078" s="8" t="s">
        <v>3285</v>
      </c>
    </row>
    <row r="1079" spans="1:2" x14ac:dyDescent="0.2">
      <c r="A1079" t="s">
        <v>3289</v>
      </c>
      <c r="B1079" s="8" t="s">
        <v>3290</v>
      </c>
    </row>
    <row r="1080" spans="1:2" x14ac:dyDescent="0.2">
      <c r="A1080" t="s">
        <v>3292</v>
      </c>
      <c r="B1080" s="8" t="s">
        <v>3293</v>
      </c>
    </row>
    <row r="1081" spans="1:2" x14ac:dyDescent="0.2">
      <c r="A1081" t="s">
        <v>3295</v>
      </c>
      <c r="B1081" s="8" t="s">
        <v>3296</v>
      </c>
    </row>
    <row r="1082" spans="1:2" x14ac:dyDescent="0.2">
      <c r="A1082" t="s">
        <v>3298</v>
      </c>
      <c r="B1082" s="8" t="s">
        <v>3299</v>
      </c>
    </row>
    <row r="1083" spans="1:2" x14ac:dyDescent="0.2">
      <c r="A1083" t="s">
        <v>3301</v>
      </c>
      <c r="B1083" s="8" t="s">
        <v>3302</v>
      </c>
    </row>
    <row r="1084" spans="1:2" x14ac:dyDescent="0.2">
      <c r="A1084" t="s">
        <v>3304</v>
      </c>
      <c r="B1084" s="8" t="s">
        <v>3305</v>
      </c>
    </row>
    <row r="1085" spans="1:2" x14ac:dyDescent="0.2">
      <c r="A1085" t="s">
        <v>3307</v>
      </c>
      <c r="B1085" s="8" t="s">
        <v>3308</v>
      </c>
    </row>
    <row r="1086" spans="1:2" x14ac:dyDescent="0.2">
      <c r="A1086" t="s">
        <v>3310</v>
      </c>
      <c r="B1086" s="8" t="s">
        <v>357</v>
      </c>
    </row>
    <row r="1087" spans="1:2" x14ac:dyDescent="0.2">
      <c r="A1087" t="s">
        <v>3312</v>
      </c>
      <c r="B1087" s="8" t="s">
        <v>3313</v>
      </c>
    </row>
    <row r="1088" spans="1:2" x14ac:dyDescent="0.2">
      <c r="A1088" t="s">
        <v>3315</v>
      </c>
      <c r="B1088" s="8" t="s">
        <v>357</v>
      </c>
    </row>
    <row r="1089" spans="1:2" x14ac:dyDescent="0.2">
      <c r="A1089" t="s">
        <v>3316</v>
      </c>
      <c r="B1089" s="8" t="s">
        <v>3317</v>
      </c>
    </row>
    <row r="1090" spans="1:2" x14ac:dyDescent="0.2">
      <c r="A1090" t="s">
        <v>3319</v>
      </c>
      <c r="B1090" s="8" t="s">
        <v>3320</v>
      </c>
    </row>
    <row r="1091" spans="1:2" x14ac:dyDescent="0.2">
      <c r="A1091" t="s">
        <v>3321</v>
      </c>
      <c r="B1091" s="8" t="s">
        <v>3322</v>
      </c>
    </row>
    <row r="1092" spans="1:2" x14ac:dyDescent="0.2">
      <c r="A1092" t="s">
        <v>3324</v>
      </c>
      <c r="B1092" s="8" t="s">
        <v>3325</v>
      </c>
    </row>
    <row r="1093" spans="1:2" x14ac:dyDescent="0.2">
      <c r="A1093" t="s">
        <v>3327</v>
      </c>
      <c r="B1093" s="8" t="s">
        <v>3328</v>
      </c>
    </row>
    <row r="1094" spans="1:2" x14ac:dyDescent="0.2">
      <c r="A1094" t="s">
        <v>3330</v>
      </c>
      <c r="B1094" s="8" t="s">
        <v>3331</v>
      </c>
    </row>
    <row r="1095" spans="1:2" x14ac:dyDescent="0.2">
      <c r="A1095" t="s">
        <v>3333</v>
      </c>
      <c r="B1095" s="8" t="s">
        <v>3334</v>
      </c>
    </row>
    <row r="1096" spans="1:2" x14ac:dyDescent="0.2">
      <c r="A1096" t="s">
        <v>3336</v>
      </c>
      <c r="B1096" s="8" t="s">
        <v>3337</v>
      </c>
    </row>
    <row r="1097" spans="1:2" x14ac:dyDescent="0.2">
      <c r="A1097" t="s">
        <v>3339</v>
      </c>
      <c r="B1097" s="8" t="s">
        <v>3340</v>
      </c>
    </row>
    <row r="1098" spans="1:2" x14ac:dyDescent="0.2">
      <c r="A1098" t="s">
        <v>3342</v>
      </c>
      <c r="B1098" s="8" t="s">
        <v>3343</v>
      </c>
    </row>
    <row r="1099" spans="1:2" x14ac:dyDescent="0.2">
      <c r="A1099" t="s">
        <v>3345</v>
      </c>
      <c r="B1099" s="8" t="s">
        <v>3346</v>
      </c>
    </row>
    <row r="1100" spans="1:2" x14ac:dyDescent="0.2">
      <c r="A1100" t="s">
        <v>3348</v>
      </c>
      <c r="B1100" s="8" t="s">
        <v>3349</v>
      </c>
    </row>
    <row r="1101" spans="1:2" x14ac:dyDescent="0.2">
      <c r="A1101" t="s">
        <v>3351</v>
      </c>
      <c r="B1101" s="8" t="s">
        <v>3352</v>
      </c>
    </row>
    <row r="1102" spans="1:2" x14ac:dyDescent="0.2">
      <c r="A1102" t="s">
        <v>3354</v>
      </c>
      <c r="B1102" s="8" t="s">
        <v>3355</v>
      </c>
    </row>
    <row r="1103" spans="1:2" x14ac:dyDescent="0.2">
      <c r="A1103" t="s">
        <v>3357</v>
      </c>
      <c r="B1103" s="8" t="s">
        <v>3358</v>
      </c>
    </row>
    <row r="1104" spans="1:2" x14ac:dyDescent="0.2">
      <c r="A1104" t="s">
        <v>3360</v>
      </c>
      <c r="B1104" s="8" t="s">
        <v>3361</v>
      </c>
    </row>
    <row r="1105" spans="1:2" x14ac:dyDescent="0.2">
      <c r="A1105" t="s">
        <v>3363</v>
      </c>
      <c r="B1105" s="8" t="s">
        <v>3364</v>
      </c>
    </row>
    <row r="1106" spans="1:2" x14ac:dyDescent="0.2">
      <c r="A1106" t="s">
        <v>3366</v>
      </c>
      <c r="B1106" s="8" t="s">
        <v>3367</v>
      </c>
    </row>
    <row r="1107" spans="1:2" x14ac:dyDescent="0.2">
      <c r="A1107" t="s">
        <v>3369</v>
      </c>
      <c r="B1107" s="8" t="s">
        <v>3370</v>
      </c>
    </row>
    <row r="1108" spans="1:2" x14ac:dyDescent="0.2">
      <c r="A1108" t="s">
        <v>3372</v>
      </c>
      <c r="B1108" s="8" t="s">
        <v>3373</v>
      </c>
    </row>
    <row r="1109" spans="1:2" x14ac:dyDescent="0.2">
      <c r="A1109" t="s">
        <v>3375</v>
      </c>
      <c r="B1109" s="8" t="s">
        <v>3376</v>
      </c>
    </row>
    <row r="1110" spans="1:2" x14ac:dyDescent="0.2">
      <c r="A1110" t="s">
        <v>3378</v>
      </c>
      <c r="B1110" s="8" t="s">
        <v>3379</v>
      </c>
    </row>
    <row r="1111" spans="1:2" x14ac:dyDescent="0.2">
      <c r="A1111" t="s">
        <v>3381</v>
      </c>
      <c r="B1111" s="8" t="s">
        <v>3382</v>
      </c>
    </row>
    <row r="1112" spans="1:2" x14ac:dyDescent="0.2">
      <c r="A1112" t="s">
        <v>3384</v>
      </c>
      <c r="B1112" s="8" t="s">
        <v>3385</v>
      </c>
    </row>
    <row r="1113" spans="1:2" x14ac:dyDescent="0.2">
      <c r="A1113" t="s">
        <v>3387</v>
      </c>
      <c r="B1113" s="8" t="s">
        <v>3385</v>
      </c>
    </row>
    <row r="1114" spans="1:2" x14ac:dyDescent="0.2">
      <c r="A1114" t="s">
        <v>3388</v>
      </c>
      <c r="B1114" s="8" t="s">
        <v>3385</v>
      </c>
    </row>
    <row r="1115" spans="1:2" x14ac:dyDescent="0.2">
      <c r="A1115" t="s">
        <v>3389</v>
      </c>
      <c r="B1115" s="8" t="s">
        <v>3385</v>
      </c>
    </row>
    <row r="1116" spans="1:2" x14ac:dyDescent="0.2">
      <c r="A1116" t="s">
        <v>3390</v>
      </c>
      <c r="B1116" s="8" t="s">
        <v>3391</v>
      </c>
    </row>
    <row r="1117" spans="1:2" x14ac:dyDescent="0.2">
      <c r="A1117" t="s">
        <v>3393</v>
      </c>
      <c r="B1117" s="8" t="s">
        <v>3394</v>
      </c>
    </row>
    <row r="1118" spans="1:2" x14ac:dyDescent="0.2">
      <c r="A1118" t="s">
        <v>3396</v>
      </c>
      <c r="B1118" s="8" t="s">
        <v>3397</v>
      </c>
    </row>
    <row r="1119" spans="1:2" x14ac:dyDescent="0.2">
      <c r="A1119" t="s">
        <v>3398</v>
      </c>
      <c r="B1119" s="8" t="s">
        <v>3399</v>
      </c>
    </row>
    <row r="1120" spans="1:2" x14ac:dyDescent="0.2">
      <c r="A1120" t="s">
        <v>3401</v>
      </c>
      <c r="B1120" s="8" t="s">
        <v>3402</v>
      </c>
    </row>
    <row r="1121" spans="1:2" x14ac:dyDescent="0.2">
      <c r="A1121" t="s">
        <v>3404</v>
      </c>
      <c r="B1121" s="8" t="s">
        <v>3405</v>
      </c>
    </row>
    <row r="1122" spans="1:2" x14ac:dyDescent="0.2">
      <c r="A1122" t="s">
        <v>3407</v>
      </c>
      <c r="B1122" s="8" t="s">
        <v>3408</v>
      </c>
    </row>
    <row r="1123" spans="1:2" x14ac:dyDescent="0.2">
      <c r="A1123" t="s">
        <v>3410</v>
      </c>
      <c r="B1123" s="8" t="s">
        <v>3411</v>
      </c>
    </row>
    <row r="1124" spans="1:2" x14ac:dyDescent="0.2">
      <c r="A1124" t="s">
        <v>3413</v>
      </c>
      <c r="B1124" s="8" t="s">
        <v>3414</v>
      </c>
    </row>
    <row r="1125" spans="1:2" x14ac:dyDescent="0.2">
      <c r="A1125" t="s">
        <v>3415</v>
      </c>
      <c r="B1125" s="8" t="s">
        <v>3416</v>
      </c>
    </row>
    <row r="1126" spans="1:2" x14ac:dyDescent="0.2">
      <c r="A1126" t="s">
        <v>3418</v>
      </c>
      <c r="B1126" s="8" t="s">
        <v>3419</v>
      </c>
    </row>
    <row r="1127" spans="1:2" x14ac:dyDescent="0.2">
      <c r="A1127" t="s">
        <v>3421</v>
      </c>
      <c r="B1127" s="8" t="s">
        <v>357</v>
      </c>
    </row>
    <row r="1128" spans="1:2" x14ac:dyDescent="0.2">
      <c r="A1128" t="s">
        <v>3423</v>
      </c>
      <c r="B1128" s="8" t="s">
        <v>3424</v>
      </c>
    </row>
    <row r="1129" spans="1:2" x14ac:dyDescent="0.2">
      <c r="A1129" t="s">
        <v>3426</v>
      </c>
      <c r="B1129" s="8" t="s">
        <v>3427</v>
      </c>
    </row>
    <row r="1130" spans="1:2" x14ac:dyDescent="0.2">
      <c r="A1130" t="s">
        <v>3429</v>
      </c>
      <c r="B1130" s="8" t="s">
        <v>3430</v>
      </c>
    </row>
    <row r="1131" spans="1:2" x14ac:dyDescent="0.2">
      <c r="A1131" t="s">
        <v>3432</v>
      </c>
      <c r="B1131" s="8" t="s">
        <v>3433</v>
      </c>
    </row>
    <row r="1132" spans="1:2" x14ac:dyDescent="0.2">
      <c r="A1132" t="s">
        <v>3435</v>
      </c>
      <c r="B1132" s="8" t="s">
        <v>3436</v>
      </c>
    </row>
    <row r="1133" spans="1:2" x14ac:dyDescent="0.2">
      <c r="A1133" t="s">
        <v>3438</v>
      </c>
      <c r="B1133" s="8" t="s">
        <v>3439</v>
      </c>
    </row>
    <row r="1134" spans="1:2" x14ac:dyDescent="0.2">
      <c r="A1134" t="s">
        <v>3441</v>
      </c>
      <c r="B1134" s="8" t="s">
        <v>3442</v>
      </c>
    </row>
    <row r="1135" spans="1:2" x14ac:dyDescent="0.2">
      <c r="A1135" t="s">
        <v>3444</v>
      </c>
      <c r="B1135" s="8" t="s">
        <v>3445</v>
      </c>
    </row>
    <row r="1136" spans="1:2" x14ac:dyDescent="0.2">
      <c r="A1136" t="s">
        <v>3447</v>
      </c>
      <c r="B1136" s="8" t="s">
        <v>3448</v>
      </c>
    </row>
    <row r="1137" spans="1:2" x14ac:dyDescent="0.2">
      <c r="A1137" t="s">
        <v>3450</v>
      </c>
      <c r="B1137" s="8" t="s">
        <v>3451</v>
      </c>
    </row>
    <row r="1138" spans="1:2" x14ac:dyDescent="0.2">
      <c r="A1138" t="s">
        <v>3453</v>
      </c>
      <c r="B1138" s="8" t="s">
        <v>3454</v>
      </c>
    </row>
    <row r="1139" spans="1:2" x14ac:dyDescent="0.2">
      <c r="A1139" t="s">
        <v>3456</v>
      </c>
      <c r="B1139" s="8" t="s">
        <v>3457</v>
      </c>
    </row>
    <row r="1140" spans="1:2" x14ac:dyDescent="0.2">
      <c r="A1140" t="s">
        <v>3459</v>
      </c>
      <c r="B1140" s="8" t="s">
        <v>3460</v>
      </c>
    </row>
    <row r="1141" spans="1:2" x14ac:dyDescent="0.2">
      <c r="A1141" t="s">
        <v>3462</v>
      </c>
      <c r="B1141" s="8" t="s">
        <v>3463</v>
      </c>
    </row>
    <row r="1142" spans="1:2" x14ac:dyDescent="0.2">
      <c r="A1142" t="s">
        <v>3465</v>
      </c>
      <c r="B1142" s="8" t="s">
        <v>3466</v>
      </c>
    </row>
    <row r="1143" spans="1:2" x14ac:dyDescent="0.2">
      <c r="A1143" t="s">
        <v>3468</v>
      </c>
      <c r="B1143" s="8" t="s">
        <v>3469</v>
      </c>
    </row>
    <row r="1144" spans="1:2" x14ac:dyDescent="0.2">
      <c r="A1144" t="s">
        <v>3471</v>
      </c>
      <c r="B1144" s="8" t="s">
        <v>3472</v>
      </c>
    </row>
    <row r="1145" spans="1:2" x14ac:dyDescent="0.2">
      <c r="A1145" t="s">
        <v>3474</v>
      </c>
      <c r="B1145" s="8" t="s">
        <v>3475</v>
      </c>
    </row>
    <row r="1146" spans="1:2" x14ac:dyDescent="0.2">
      <c r="A1146" t="s">
        <v>3477</v>
      </c>
      <c r="B1146" s="8" t="s">
        <v>3478</v>
      </c>
    </row>
    <row r="1147" spans="1:2" x14ac:dyDescent="0.2">
      <c r="A1147" t="s">
        <v>3480</v>
      </c>
      <c r="B1147" s="8" t="s">
        <v>3481</v>
      </c>
    </row>
    <row r="1148" spans="1:2" x14ac:dyDescent="0.2">
      <c r="A1148" t="s">
        <v>3483</v>
      </c>
      <c r="B1148" s="8" t="s">
        <v>3484</v>
      </c>
    </row>
    <row r="1149" spans="1:2" x14ac:dyDescent="0.2">
      <c r="A1149" t="s">
        <v>3486</v>
      </c>
      <c r="B1149" s="8" t="s">
        <v>3487</v>
      </c>
    </row>
    <row r="1150" spans="1:2" x14ac:dyDescent="0.2">
      <c r="A1150" t="s">
        <v>3489</v>
      </c>
      <c r="B1150" s="8" t="s">
        <v>3490</v>
      </c>
    </row>
    <row r="1151" spans="1:2" x14ac:dyDescent="0.2">
      <c r="A1151" t="s">
        <v>3492</v>
      </c>
      <c r="B1151" s="8" t="s">
        <v>3493</v>
      </c>
    </row>
    <row r="1152" spans="1:2" x14ac:dyDescent="0.2">
      <c r="A1152" t="s">
        <v>3495</v>
      </c>
      <c r="B1152" s="8" t="s">
        <v>3496</v>
      </c>
    </row>
    <row r="1153" spans="1:2" x14ac:dyDescent="0.2">
      <c r="A1153" t="s">
        <v>3498</v>
      </c>
      <c r="B1153" s="8" t="s">
        <v>3499</v>
      </c>
    </row>
    <row r="1154" spans="1:2" x14ac:dyDescent="0.2">
      <c r="A1154" t="s">
        <v>3501</v>
      </c>
      <c r="B1154" s="8" t="s">
        <v>3502</v>
      </c>
    </row>
    <row r="1155" spans="1:2" x14ac:dyDescent="0.2">
      <c r="A1155" t="s">
        <v>3504</v>
      </c>
      <c r="B1155" s="8" t="s">
        <v>261</v>
      </c>
    </row>
    <row r="1156" spans="1:2" x14ac:dyDescent="0.2">
      <c r="A1156" t="s">
        <v>3505</v>
      </c>
      <c r="B1156" s="8" t="s">
        <v>3506</v>
      </c>
    </row>
    <row r="1157" spans="1:2" x14ac:dyDescent="0.2">
      <c r="A1157" t="s">
        <v>3507</v>
      </c>
      <c r="B1157" s="8" t="s">
        <v>3508</v>
      </c>
    </row>
    <row r="1158" spans="1:2" x14ac:dyDescent="0.2">
      <c r="A1158" t="s">
        <v>3509</v>
      </c>
      <c r="B1158" s="8" t="s">
        <v>3510</v>
      </c>
    </row>
    <row r="1159" spans="1:2" x14ac:dyDescent="0.2">
      <c r="A1159" t="s">
        <v>3511</v>
      </c>
      <c r="B1159" s="8" t="s">
        <v>3512</v>
      </c>
    </row>
    <row r="1160" spans="1:2" x14ac:dyDescent="0.2">
      <c r="A1160" t="s">
        <v>3513</v>
      </c>
      <c r="B1160" s="8" t="s">
        <v>3514</v>
      </c>
    </row>
    <row r="1161" spans="1:2" x14ac:dyDescent="0.2">
      <c r="A1161" t="s">
        <v>3515</v>
      </c>
      <c r="B1161" s="8" t="s">
        <v>3516</v>
      </c>
    </row>
    <row r="1162" spans="1:2" x14ac:dyDescent="0.2">
      <c r="A1162" t="s">
        <v>3518</v>
      </c>
      <c r="B1162" s="8" t="s">
        <v>3519</v>
      </c>
    </row>
    <row r="1163" spans="1:2" x14ac:dyDescent="0.2">
      <c r="A1163" t="s">
        <v>3521</v>
      </c>
      <c r="B1163" s="8" t="s">
        <v>3522</v>
      </c>
    </row>
    <row r="1164" spans="1:2" x14ac:dyDescent="0.2">
      <c r="A1164" t="s">
        <v>3524</v>
      </c>
      <c r="B1164" s="8" t="s">
        <v>3525</v>
      </c>
    </row>
    <row r="1165" spans="1:2" x14ac:dyDescent="0.2">
      <c r="A1165" t="s">
        <v>3527</v>
      </c>
      <c r="B1165" s="8" t="s">
        <v>3528</v>
      </c>
    </row>
    <row r="1166" spans="1:2" x14ac:dyDescent="0.2">
      <c r="A1166" t="s">
        <v>3530</v>
      </c>
      <c r="B1166" s="8" t="s">
        <v>3531</v>
      </c>
    </row>
    <row r="1167" spans="1:2" x14ac:dyDescent="0.2">
      <c r="A1167" t="s">
        <v>3533</v>
      </c>
      <c r="B1167" s="8" t="s">
        <v>3534</v>
      </c>
    </row>
    <row r="1168" spans="1:2" x14ac:dyDescent="0.2">
      <c r="A1168" t="s">
        <v>3536</v>
      </c>
      <c r="B1168" s="8" t="s">
        <v>3537</v>
      </c>
    </row>
    <row r="1169" spans="1:2" x14ac:dyDescent="0.2">
      <c r="A1169" t="s">
        <v>3539</v>
      </c>
      <c r="B1169" s="8" t="s">
        <v>3540</v>
      </c>
    </row>
    <row r="1170" spans="1:2" x14ac:dyDescent="0.2">
      <c r="A1170" t="s">
        <v>3542</v>
      </c>
      <c r="B1170" s="8" t="s">
        <v>3540</v>
      </c>
    </row>
    <row r="1171" spans="1:2" x14ac:dyDescent="0.2">
      <c r="A1171" t="s">
        <v>3543</v>
      </c>
      <c r="B1171" s="8" t="s">
        <v>3544</v>
      </c>
    </row>
    <row r="1172" spans="1:2" x14ac:dyDescent="0.2">
      <c r="A1172" t="s">
        <v>3546</v>
      </c>
      <c r="B1172" s="8" t="s">
        <v>3547</v>
      </c>
    </row>
    <row r="1173" spans="1:2" x14ac:dyDescent="0.2">
      <c r="A1173" t="s">
        <v>3549</v>
      </c>
      <c r="B1173" s="8" t="s">
        <v>3550</v>
      </c>
    </row>
    <row r="1174" spans="1:2" x14ac:dyDescent="0.2">
      <c r="A1174" t="s">
        <v>3552</v>
      </c>
      <c r="B1174" s="8" t="s">
        <v>3553</v>
      </c>
    </row>
    <row r="1175" spans="1:2" x14ac:dyDescent="0.2">
      <c r="A1175" t="s">
        <v>3555</v>
      </c>
      <c r="B1175" s="8" t="s">
        <v>3556</v>
      </c>
    </row>
    <row r="1176" spans="1:2" x14ac:dyDescent="0.2">
      <c r="A1176" t="s">
        <v>3558</v>
      </c>
      <c r="B1176" s="8" t="s">
        <v>3559</v>
      </c>
    </row>
    <row r="1177" spans="1:2" x14ac:dyDescent="0.2">
      <c r="A1177" t="s">
        <v>3560</v>
      </c>
      <c r="B1177" s="8" t="s">
        <v>3561</v>
      </c>
    </row>
    <row r="1178" spans="1:2" x14ac:dyDescent="0.2">
      <c r="A1178" t="s">
        <v>3563</v>
      </c>
      <c r="B1178" s="8" t="s">
        <v>3564</v>
      </c>
    </row>
    <row r="1179" spans="1:2" x14ac:dyDescent="0.2">
      <c r="A1179" t="s">
        <v>3566</v>
      </c>
      <c r="B1179" s="8" t="s">
        <v>3567</v>
      </c>
    </row>
    <row r="1180" spans="1:2" x14ac:dyDescent="0.2">
      <c r="A1180" t="s">
        <v>3569</v>
      </c>
      <c r="B1180" s="8" t="s">
        <v>290</v>
      </c>
    </row>
    <row r="1181" spans="1:2" x14ac:dyDescent="0.2">
      <c r="A1181" t="s">
        <v>3571</v>
      </c>
      <c r="B1181" s="8" t="s">
        <v>3572</v>
      </c>
    </row>
    <row r="1182" spans="1:2" x14ac:dyDescent="0.2">
      <c r="A1182" t="s">
        <v>3574</v>
      </c>
      <c r="B1182" s="8" t="s">
        <v>3575</v>
      </c>
    </row>
    <row r="1183" spans="1:2" x14ac:dyDescent="0.2">
      <c r="A1183" t="s">
        <v>3577</v>
      </c>
      <c r="B1183" s="8" t="s">
        <v>3575</v>
      </c>
    </row>
    <row r="1184" spans="1:2" x14ac:dyDescent="0.2">
      <c r="A1184" t="s">
        <v>3578</v>
      </c>
      <c r="B1184" s="8" t="s">
        <v>3579</v>
      </c>
    </row>
    <row r="1185" spans="1:2" x14ac:dyDescent="0.2">
      <c r="A1185" t="s">
        <v>3581</v>
      </c>
      <c r="B1185" s="8" t="s">
        <v>3582</v>
      </c>
    </row>
    <row r="1186" spans="1:2" x14ac:dyDescent="0.2">
      <c r="A1186" t="s">
        <v>3584</v>
      </c>
      <c r="B1186" s="8" t="s">
        <v>3585</v>
      </c>
    </row>
    <row r="1187" spans="1:2" x14ac:dyDescent="0.2">
      <c r="A1187" t="s">
        <v>3587</v>
      </c>
      <c r="B1187" s="8" t="s">
        <v>3585</v>
      </c>
    </row>
    <row r="1188" spans="1:2" x14ac:dyDescent="0.2">
      <c r="A1188" t="s">
        <v>3588</v>
      </c>
      <c r="B1188" s="8" t="s">
        <v>3585</v>
      </c>
    </row>
    <row r="1189" spans="1:2" x14ac:dyDescent="0.2">
      <c r="A1189" t="s">
        <v>3589</v>
      </c>
      <c r="B1189" s="8" t="s">
        <v>3585</v>
      </c>
    </row>
    <row r="1190" spans="1:2" x14ac:dyDescent="0.2">
      <c r="A1190" t="s">
        <v>3590</v>
      </c>
      <c r="B1190" s="8" t="s">
        <v>3591</v>
      </c>
    </row>
    <row r="1191" spans="1:2" x14ac:dyDescent="0.2">
      <c r="A1191" t="s">
        <v>3593</v>
      </c>
      <c r="B1191" s="8" t="s">
        <v>3594</v>
      </c>
    </row>
    <row r="1192" spans="1:2" x14ac:dyDescent="0.2">
      <c r="A1192" t="s">
        <v>3596</v>
      </c>
      <c r="B1192" s="8" t="s">
        <v>226</v>
      </c>
    </row>
    <row r="1193" spans="1:2" x14ac:dyDescent="0.2">
      <c r="A1193" t="s">
        <v>3598</v>
      </c>
      <c r="B1193" s="8" t="s">
        <v>3599</v>
      </c>
    </row>
    <row r="1194" spans="1:2" x14ac:dyDescent="0.2">
      <c r="A1194" t="s">
        <v>3601</v>
      </c>
      <c r="B1194" s="8" t="s">
        <v>3602</v>
      </c>
    </row>
    <row r="1195" spans="1:2" x14ac:dyDescent="0.2">
      <c r="A1195" t="s">
        <v>3604</v>
      </c>
      <c r="B1195" s="8" t="s">
        <v>3605</v>
      </c>
    </row>
    <row r="1196" spans="1:2" x14ac:dyDescent="0.2">
      <c r="A1196" t="s">
        <v>3607</v>
      </c>
      <c r="B1196" s="8" t="s">
        <v>3608</v>
      </c>
    </row>
    <row r="1197" spans="1:2" x14ac:dyDescent="0.2">
      <c r="A1197" t="s">
        <v>3610</v>
      </c>
      <c r="B1197" s="8" t="s">
        <v>3611</v>
      </c>
    </row>
    <row r="1198" spans="1:2" x14ac:dyDescent="0.2">
      <c r="A1198" t="s">
        <v>3613</v>
      </c>
      <c r="B1198" s="8" t="s">
        <v>3614</v>
      </c>
    </row>
    <row r="1199" spans="1:2" x14ac:dyDescent="0.2">
      <c r="A1199" t="s">
        <v>3616</v>
      </c>
      <c r="B1199" s="8" t="s">
        <v>3617</v>
      </c>
    </row>
    <row r="1200" spans="1:2" x14ac:dyDescent="0.2">
      <c r="A1200" t="s">
        <v>3619</v>
      </c>
      <c r="B1200" s="8" t="s">
        <v>3620</v>
      </c>
    </row>
    <row r="1201" spans="1:2" x14ac:dyDescent="0.2">
      <c r="A1201" t="s">
        <v>3622</v>
      </c>
      <c r="B1201" s="8" t="s">
        <v>235</v>
      </c>
    </row>
    <row r="1202" spans="1:2" x14ac:dyDescent="0.2">
      <c r="A1202" t="s">
        <v>3624</v>
      </c>
      <c r="B1202" s="8" t="s">
        <v>3625</v>
      </c>
    </row>
    <row r="1203" spans="1:2" x14ac:dyDescent="0.2">
      <c r="A1203" t="s">
        <v>3627</v>
      </c>
      <c r="B1203" s="8" t="s">
        <v>3628</v>
      </c>
    </row>
    <row r="1204" spans="1:2" x14ac:dyDescent="0.2">
      <c r="A1204" t="s">
        <v>3630</v>
      </c>
      <c r="B1204" s="8" t="s">
        <v>3631</v>
      </c>
    </row>
    <row r="1205" spans="1:2" x14ac:dyDescent="0.2">
      <c r="A1205" t="s">
        <v>3633</v>
      </c>
      <c r="B1205" s="8" t="s">
        <v>3634</v>
      </c>
    </row>
    <row r="1206" spans="1:2" x14ac:dyDescent="0.2">
      <c r="A1206" t="s">
        <v>3636</v>
      </c>
      <c r="B1206" s="8" t="s">
        <v>3634</v>
      </c>
    </row>
    <row r="1207" spans="1:2" x14ac:dyDescent="0.2">
      <c r="A1207" t="s">
        <v>3637</v>
      </c>
      <c r="B1207" s="8" t="s">
        <v>3638</v>
      </c>
    </row>
    <row r="1208" spans="1:2" x14ac:dyDescent="0.2">
      <c r="A1208" t="s">
        <v>3640</v>
      </c>
      <c r="B1208" s="8" t="s">
        <v>3641</v>
      </c>
    </row>
    <row r="1209" spans="1:2" x14ac:dyDescent="0.2">
      <c r="A1209" t="s">
        <v>3643</v>
      </c>
      <c r="B1209" s="8" t="s">
        <v>3644</v>
      </c>
    </row>
    <row r="1210" spans="1:2" x14ac:dyDescent="0.2">
      <c r="A1210" t="s">
        <v>3646</v>
      </c>
      <c r="B1210" s="8" t="s">
        <v>3647</v>
      </c>
    </row>
    <row r="1211" spans="1:2" x14ac:dyDescent="0.2">
      <c r="A1211" t="s">
        <v>3649</v>
      </c>
      <c r="B1211" s="8" t="s">
        <v>3650</v>
      </c>
    </row>
    <row r="1212" spans="1:2" x14ac:dyDescent="0.2">
      <c r="A1212" t="s">
        <v>3652</v>
      </c>
      <c r="B1212" s="8" t="s">
        <v>3653</v>
      </c>
    </row>
    <row r="1213" spans="1:2" x14ac:dyDescent="0.2">
      <c r="A1213" t="s">
        <v>3655</v>
      </c>
      <c r="B1213" s="8" t="s">
        <v>3656</v>
      </c>
    </row>
    <row r="1214" spans="1:2" x14ac:dyDescent="0.2">
      <c r="A1214" t="s">
        <v>3658</v>
      </c>
      <c r="B1214" s="8" t="s">
        <v>357</v>
      </c>
    </row>
    <row r="1215" spans="1:2" x14ac:dyDescent="0.2">
      <c r="A1215" t="s">
        <v>3660</v>
      </c>
      <c r="B1215" s="8" t="s">
        <v>3661</v>
      </c>
    </row>
    <row r="1216" spans="1:2" x14ac:dyDescent="0.2">
      <c r="A1216" t="s">
        <v>3663</v>
      </c>
      <c r="B1216" s="8" t="s">
        <v>357</v>
      </c>
    </row>
    <row r="1217" spans="1:2" x14ac:dyDescent="0.2">
      <c r="A1217" t="s">
        <v>3664</v>
      </c>
      <c r="B1217" s="8" t="s">
        <v>3665</v>
      </c>
    </row>
    <row r="1218" spans="1:2" x14ac:dyDescent="0.2">
      <c r="A1218" t="s">
        <v>3667</v>
      </c>
      <c r="B1218" s="8" t="s">
        <v>3668</v>
      </c>
    </row>
    <row r="1219" spans="1:2" x14ac:dyDescent="0.2">
      <c r="A1219" t="s">
        <v>3670</v>
      </c>
      <c r="B1219" s="8" t="s">
        <v>3671</v>
      </c>
    </row>
    <row r="1220" spans="1:2" x14ac:dyDescent="0.2">
      <c r="A1220" t="s">
        <v>3673</v>
      </c>
      <c r="B1220" s="8" t="s">
        <v>3674</v>
      </c>
    </row>
    <row r="1221" spans="1:2" x14ac:dyDescent="0.2">
      <c r="A1221" t="s">
        <v>3676</v>
      </c>
      <c r="B1221" s="8" t="s">
        <v>3677</v>
      </c>
    </row>
    <row r="1222" spans="1:2" x14ac:dyDescent="0.2">
      <c r="A1222" t="s">
        <v>3679</v>
      </c>
      <c r="B1222" s="8" t="s">
        <v>3680</v>
      </c>
    </row>
    <row r="1223" spans="1:2" x14ac:dyDescent="0.2">
      <c r="A1223" t="s">
        <v>3682</v>
      </c>
      <c r="B1223" s="8" t="s">
        <v>3683</v>
      </c>
    </row>
    <row r="1224" spans="1:2" x14ac:dyDescent="0.2">
      <c r="A1224" t="s">
        <v>3685</v>
      </c>
      <c r="B1224" s="8" t="s">
        <v>3686</v>
      </c>
    </row>
    <row r="1225" spans="1:2" x14ac:dyDescent="0.2">
      <c r="A1225" t="s">
        <v>3688</v>
      </c>
      <c r="B1225" s="8" t="s">
        <v>3686</v>
      </c>
    </row>
    <row r="1226" spans="1:2" x14ac:dyDescent="0.2">
      <c r="A1226" t="s">
        <v>3689</v>
      </c>
      <c r="B1226" s="8" t="s">
        <v>357</v>
      </c>
    </row>
    <row r="1227" spans="1:2" x14ac:dyDescent="0.2">
      <c r="A1227" t="s">
        <v>3691</v>
      </c>
      <c r="B1227" s="8" t="s">
        <v>3692</v>
      </c>
    </row>
    <row r="1228" spans="1:2" x14ac:dyDescent="0.2">
      <c r="A1228" t="s">
        <v>3694</v>
      </c>
      <c r="B1228" s="8" t="s">
        <v>3695</v>
      </c>
    </row>
    <row r="1229" spans="1:2" x14ac:dyDescent="0.2">
      <c r="A1229" t="s">
        <v>3697</v>
      </c>
      <c r="B1229" s="8" t="s">
        <v>3698</v>
      </c>
    </row>
    <row r="1230" spans="1:2" x14ac:dyDescent="0.2">
      <c r="A1230" t="s">
        <v>3700</v>
      </c>
      <c r="B1230" s="8" t="s">
        <v>3701</v>
      </c>
    </row>
    <row r="1231" spans="1:2" x14ac:dyDescent="0.2">
      <c r="A1231" t="s">
        <v>3703</v>
      </c>
      <c r="B1231" s="8" t="s">
        <v>3704</v>
      </c>
    </row>
    <row r="1232" spans="1:2" x14ac:dyDescent="0.2">
      <c r="A1232" t="s">
        <v>3706</v>
      </c>
      <c r="B1232" s="8" t="s">
        <v>3707</v>
      </c>
    </row>
    <row r="1233" spans="1:2" x14ac:dyDescent="0.2">
      <c r="A1233" t="s">
        <v>3709</v>
      </c>
      <c r="B1233" s="8" t="s">
        <v>3710</v>
      </c>
    </row>
    <row r="1234" spans="1:2" x14ac:dyDescent="0.2">
      <c r="A1234" t="s">
        <v>3712</v>
      </c>
      <c r="B1234" s="8" t="s">
        <v>3713</v>
      </c>
    </row>
    <row r="1235" spans="1:2" x14ac:dyDescent="0.2">
      <c r="A1235" t="s">
        <v>3715</v>
      </c>
      <c r="B1235" s="8" t="s">
        <v>3716</v>
      </c>
    </row>
    <row r="1236" spans="1:2" x14ac:dyDescent="0.2">
      <c r="A1236" t="s">
        <v>3718</v>
      </c>
      <c r="B1236" s="8" t="s">
        <v>3719</v>
      </c>
    </row>
    <row r="1237" spans="1:2" x14ac:dyDescent="0.2">
      <c r="A1237" t="s">
        <v>3721</v>
      </c>
      <c r="B1237" s="8" t="s">
        <v>357</v>
      </c>
    </row>
    <row r="1238" spans="1:2" x14ac:dyDescent="0.2">
      <c r="A1238" t="s">
        <v>3722</v>
      </c>
      <c r="B1238" s="8" t="s">
        <v>3723</v>
      </c>
    </row>
    <row r="1239" spans="1:2" x14ac:dyDescent="0.2">
      <c r="A1239" t="s">
        <v>3725</v>
      </c>
      <c r="B1239" s="8" t="s">
        <v>3726</v>
      </c>
    </row>
    <row r="1240" spans="1:2" x14ac:dyDescent="0.2">
      <c r="A1240" t="s">
        <v>3728</v>
      </c>
      <c r="B1240" s="8" t="s">
        <v>3729</v>
      </c>
    </row>
    <row r="1241" spans="1:2" x14ac:dyDescent="0.2">
      <c r="A1241" t="s">
        <v>3731</v>
      </c>
      <c r="B1241" s="8" t="s">
        <v>3732</v>
      </c>
    </row>
    <row r="1242" spans="1:2" x14ac:dyDescent="0.2">
      <c r="A1242" t="s">
        <v>3734</v>
      </c>
      <c r="B1242" s="8" t="s">
        <v>3735</v>
      </c>
    </row>
    <row r="1243" spans="1:2" x14ac:dyDescent="0.2">
      <c r="A1243" t="s">
        <v>3737</v>
      </c>
      <c r="B1243" s="8" t="s">
        <v>3738</v>
      </c>
    </row>
    <row r="1244" spans="1:2" x14ac:dyDescent="0.2">
      <c r="A1244" t="s">
        <v>3740</v>
      </c>
      <c r="B1244" s="8" t="s">
        <v>3741</v>
      </c>
    </row>
    <row r="1245" spans="1:2" x14ac:dyDescent="0.2">
      <c r="A1245" t="s">
        <v>3743</v>
      </c>
      <c r="B1245" s="8" t="s">
        <v>3744</v>
      </c>
    </row>
    <row r="1246" spans="1:2" x14ac:dyDescent="0.2">
      <c r="A1246" t="s">
        <v>3746</v>
      </c>
      <c r="B1246" s="8" t="s">
        <v>3747</v>
      </c>
    </row>
    <row r="1247" spans="1:2" x14ac:dyDescent="0.2">
      <c r="A1247" t="s">
        <v>3749</v>
      </c>
      <c r="B1247" s="8" t="s">
        <v>3750</v>
      </c>
    </row>
    <row r="1248" spans="1:2" x14ac:dyDescent="0.2">
      <c r="A1248" t="s">
        <v>3752</v>
      </c>
      <c r="B1248" s="8" t="s">
        <v>3753</v>
      </c>
    </row>
    <row r="1249" spans="1:2" x14ac:dyDescent="0.2">
      <c r="A1249" t="s">
        <v>3755</v>
      </c>
      <c r="B1249" s="8" t="s">
        <v>3756</v>
      </c>
    </row>
    <row r="1250" spans="1:2" x14ac:dyDescent="0.2">
      <c r="A1250" t="s">
        <v>3758</v>
      </c>
      <c r="B1250" s="8" t="s">
        <v>3759</v>
      </c>
    </row>
    <row r="1251" spans="1:2" x14ac:dyDescent="0.2">
      <c r="A1251" t="s">
        <v>3761</v>
      </c>
      <c r="B1251" s="8" t="s">
        <v>3762</v>
      </c>
    </row>
    <row r="1252" spans="1:2" x14ac:dyDescent="0.2">
      <c r="A1252" t="s">
        <v>3764</v>
      </c>
      <c r="B1252" s="8" t="s">
        <v>3765</v>
      </c>
    </row>
    <row r="1253" spans="1:2" x14ac:dyDescent="0.2">
      <c r="A1253" t="s">
        <v>3767</v>
      </c>
      <c r="B1253" s="8" t="s">
        <v>3768</v>
      </c>
    </row>
    <row r="1254" spans="1:2" x14ac:dyDescent="0.2">
      <c r="A1254" t="s">
        <v>3770</v>
      </c>
      <c r="B1254" s="8" t="s">
        <v>284</v>
      </c>
    </row>
    <row r="1255" spans="1:2" x14ac:dyDescent="0.2">
      <c r="A1255" t="s">
        <v>3772</v>
      </c>
      <c r="B1255" s="8" t="s">
        <v>3773</v>
      </c>
    </row>
    <row r="1256" spans="1:2" x14ac:dyDescent="0.2">
      <c r="A1256" t="s">
        <v>3774</v>
      </c>
      <c r="B1256" s="8" t="s">
        <v>3775</v>
      </c>
    </row>
    <row r="1257" spans="1:2" x14ac:dyDescent="0.2">
      <c r="A1257" t="s">
        <v>3777</v>
      </c>
      <c r="B1257" s="8" t="s">
        <v>3778</v>
      </c>
    </row>
    <row r="1258" spans="1:2" x14ac:dyDescent="0.2">
      <c r="A1258" t="s">
        <v>3780</v>
      </c>
      <c r="B1258" s="8" t="s">
        <v>3778</v>
      </c>
    </row>
    <row r="1259" spans="1:2" x14ac:dyDescent="0.2">
      <c r="A1259" t="s">
        <v>3781</v>
      </c>
      <c r="B1259" s="8" t="s">
        <v>3782</v>
      </c>
    </row>
    <row r="1260" spans="1:2" x14ac:dyDescent="0.2">
      <c r="A1260" t="s">
        <v>3784</v>
      </c>
      <c r="B1260" s="8" t="s">
        <v>3785</v>
      </c>
    </row>
    <row r="1261" spans="1:2" x14ac:dyDescent="0.2">
      <c r="A1261" t="s">
        <v>3787</v>
      </c>
      <c r="B1261" s="8" t="s">
        <v>3788</v>
      </c>
    </row>
    <row r="1262" spans="1:2" x14ac:dyDescent="0.2">
      <c r="A1262" t="s">
        <v>3790</v>
      </c>
      <c r="B1262" s="8" t="s">
        <v>3791</v>
      </c>
    </row>
    <row r="1263" spans="1:2" x14ac:dyDescent="0.2">
      <c r="A1263" t="s">
        <v>3793</v>
      </c>
      <c r="B1263" s="8" t="s">
        <v>3791</v>
      </c>
    </row>
    <row r="1264" spans="1:2" x14ac:dyDescent="0.2">
      <c r="A1264" t="s">
        <v>3794</v>
      </c>
      <c r="B1264" s="8" t="s">
        <v>357</v>
      </c>
    </row>
    <row r="1265" spans="1:2" x14ac:dyDescent="0.2">
      <c r="A1265" t="s">
        <v>3796</v>
      </c>
      <c r="B1265" s="8" t="s">
        <v>3797</v>
      </c>
    </row>
    <row r="1266" spans="1:2" x14ac:dyDescent="0.2">
      <c r="A1266" t="s">
        <v>3799</v>
      </c>
      <c r="B1266" s="8" t="s">
        <v>3800</v>
      </c>
    </row>
    <row r="1267" spans="1:2" x14ac:dyDescent="0.2">
      <c r="A1267" t="s">
        <v>3802</v>
      </c>
      <c r="B1267" s="8" t="s">
        <v>3803</v>
      </c>
    </row>
    <row r="1268" spans="1:2" x14ac:dyDescent="0.2">
      <c r="A1268" t="s">
        <v>3805</v>
      </c>
      <c r="B1268" s="8" t="s">
        <v>3806</v>
      </c>
    </row>
    <row r="1269" spans="1:2" x14ac:dyDescent="0.2">
      <c r="A1269" t="s">
        <v>3808</v>
      </c>
      <c r="B1269" s="8" t="s">
        <v>3809</v>
      </c>
    </row>
    <row r="1270" spans="1:2" x14ac:dyDescent="0.2">
      <c r="A1270" t="s">
        <v>3811</v>
      </c>
      <c r="B1270" s="8" t="s">
        <v>3812</v>
      </c>
    </row>
    <row r="1271" spans="1:2" x14ac:dyDescent="0.2">
      <c r="A1271" t="s">
        <v>3814</v>
      </c>
      <c r="B1271" s="8" t="s">
        <v>3812</v>
      </c>
    </row>
    <row r="1272" spans="1:2" x14ac:dyDescent="0.2">
      <c r="A1272" t="s">
        <v>3815</v>
      </c>
      <c r="B1272" s="8" t="s">
        <v>3812</v>
      </c>
    </row>
    <row r="1273" spans="1:2" x14ac:dyDescent="0.2">
      <c r="A1273" t="s">
        <v>3816</v>
      </c>
      <c r="B1273" s="8" t="s">
        <v>3817</v>
      </c>
    </row>
    <row r="1274" spans="1:2" x14ac:dyDescent="0.2">
      <c r="A1274" t="s">
        <v>3819</v>
      </c>
      <c r="B1274" s="8" t="s">
        <v>3820</v>
      </c>
    </row>
    <row r="1275" spans="1:2" x14ac:dyDescent="0.2">
      <c r="A1275" t="s">
        <v>3822</v>
      </c>
      <c r="B1275" s="8" t="s">
        <v>3823</v>
      </c>
    </row>
    <row r="1276" spans="1:2" x14ac:dyDescent="0.2">
      <c r="A1276" t="s">
        <v>3825</v>
      </c>
      <c r="B1276" s="8" t="s">
        <v>3826</v>
      </c>
    </row>
    <row r="1277" spans="1:2" x14ac:dyDescent="0.2">
      <c r="A1277" t="s">
        <v>3828</v>
      </c>
      <c r="B1277" s="8" t="s">
        <v>3829</v>
      </c>
    </row>
    <row r="1278" spans="1:2" x14ac:dyDescent="0.2">
      <c r="A1278" t="s">
        <v>3831</v>
      </c>
      <c r="B1278" s="8" t="s">
        <v>3832</v>
      </c>
    </row>
    <row r="1279" spans="1:2" x14ac:dyDescent="0.2">
      <c r="A1279" t="s">
        <v>3834</v>
      </c>
      <c r="B1279" s="8" t="s">
        <v>3835</v>
      </c>
    </row>
    <row r="1280" spans="1:2" x14ac:dyDescent="0.2">
      <c r="A1280" t="s">
        <v>3837</v>
      </c>
      <c r="B1280" s="8" t="s">
        <v>3838</v>
      </c>
    </row>
    <row r="1281" spans="1:2" x14ac:dyDescent="0.2">
      <c r="A1281" t="s">
        <v>3840</v>
      </c>
      <c r="B1281" s="8" t="s">
        <v>3841</v>
      </c>
    </row>
    <row r="1282" spans="1:2" x14ac:dyDescent="0.2">
      <c r="A1282" t="s">
        <v>3843</v>
      </c>
      <c r="B1282" s="8" t="s">
        <v>3844</v>
      </c>
    </row>
    <row r="1283" spans="1:2" x14ac:dyDescent="0.2">
      <c r="A1283" t="s">
        <v>3846</v>
      </c>
      <c r="B1283" s="8" t="s">
        <v>3847</v>
      </c>
    </row>
    <row r="1284" spans="1:2" x14ac:dyDescent="0.2">
      <c r="A1284" t="s">
        <v>3849</v>
      </c>
      <c r="B1284" s="8" t="s">
        <v>3850</v>
      </c>
    </row>
    <row r="1285" spans="1:2" x14ac:dyDescent="0.2">
      <c r="A1285" t="s">
        <v>3852</v>
      </c>
      <c r="B1285" s="8" t="s">
        <v>3853</v>
      </c>
    </row>
    <row r="1286" spans="1:2" x14ac:dyDescent="0.2">
      <c r="A1286" t="s">
        <v>3855</v>
      </c>
      <c r="B1286" s="8" t="s">
        <v>357</v>
      </c>
    </row>
    <row r="1287" spans="1:2" x14ac:dyDescent="0.2">
      <c r="A1287" t="s">
        <v>3856</v>
      </c>
      <c r="B1287" s="8" t="s">
        <v>3857</v>
      </c>
    </row>
    <row r="1288" spans="1:2" x14ac:dyDescent="0.2">
      <c r="A1288" t="s">
        <v>3858</v>
      </c>
      <c r="B1288" s="8" t="s">
        <v>3859</v>
      </c>
    </row>
    <row r="1289" spans="1:2" x14ac:dyDescent="0.2">
      <c r="A1289" t="s">
        <v>3860</v>
      </c>
      <c r="B1289" s="8" t="s">
        <v>3861</v>
      </c>
    </row>
    <row r="1290" spans="1:2" x14ac:dyDescent="0.2">
      <c r="A1290" t="s">
        <v>3863</v>
      </c>
      <c r="B1290" s="8" t="s">
        <v>3864</v>
      </c>
    </row>
    <row r="1291" spans="1:2" x14ac:dyDescent="0.2">
      <c r="A1291" t="s">
        <v>3866</v>
      </c>
      <c r="B1291" s="8" t="s">
        <v>3867</v>
      </c>
    </row>
    <row r="1292" spans="1:2" x14ac:dyDescent="0.2">
      <c r="A1292" t="s">
        <v>3869</v>
      </c>
      <c r="B1292" s="8" t="s">
        <v>3870</v>
      </c>
    </row>
    <row r="1293" spans="1:2" x14ac:dyDescent="0.2">
      <c r="A1293" t="s">
        <v>3872</v>
      </c>
      <c r="B1293" s="8" t="s">
        <v>3873</v>
      </c>
    </row>
    <row r="1294" spans="1:2" x14ac:dyDescent="0.2">
      <c r="A1294" t="s">
        <v>3875</v>
      </c>
      <c r="B1294" s="8" t="s">
        <v>3876</v>
      </c>
    </row>
    <row r="1295" spans="1:2" x14ac:dyDescent="0.2">
      <c r="A1295" t="s">
        <v>3878</v>
      </c>
      <c r="B1295" s="8" t="s">
        <v>357</v>
      </c>
    </row>
    <row r="1296" spans="1:2" x14ac:dyDescent="0.2">
      <c r="A1296" t="s">
        <v>3880</v>
      </c>
      <c r="B1296" s="8" t="s">
        <v>357</v>
      </c>
    </row>
    <row r="1297" spans="1:2" x14ac:dyDescent="0.2">
      <c r="A1297" t="s">
        <v>3881</v>
      </c>
      <c r="B1297" s="8" t="s">
        <v>3882</v>
      </c>
    </row>
    <row r="1298" spans="1:2" x14ac:dyDescent="0.2">
      <c r="A1298" t="s">
        <v>3884</v>
      </c>
      <c r="B1298" s="8" t="s">
        <v>3859</v>
      </c>
    </row>
    <row r="1299" spans="1:2" x14ac:dyDescent="0.2">
      <c r="A1299" t="s">
        <v>3886</v>
      </c>
      <c r="B1299" s="8" t="s">
        <v>357</v>
      </c>
    </row>
    <row r="1300" spans="1:2" x14ac:dyDescent="0.2">
      <c r="A1300" t="s">
        <v>3887</v>
      </c>
      <c r="B1300" s="8" t="s">
        <v>3888</v>
      </c>
    </row>
    <row r="1301" spans="1:2" x14ac:dyDescent="0.2">
      <c r="A1301" t="s">
        <v>3890</v>
      </c>
      <c r="B1301" s="8" t="s">
        <v>3891</v>
      </c>
    </row>
    <row r="1302" spans="1:2" x14ac:dyDescent="0.2">
      <c r="A1302" t="s">
        <v>3893</v>
      </c>
      <c r="B1302" s="8" t="s">
        <v>3894</v>
      </c>
    </row>
    <row r="1303" spans="1:2" x14ac:dyDescent="0.2">
      <c r="A1303" t="s">
        <v>3896</v>
      </c>
      <c r="B1303" s="8" t="s">
        <v>3897</v>
      </c>
    </row>
    <row r="1304" spans="1:2" x14ac:dyDescent="0.2">
      <c r="A1304" t="s">
        <v>3899</v>
      </c>
      <c r="B1304" s="8" t="s">
        <v>3900</v>
      </c>
    </row>
    <row r="1305" spans="1:2" x14ac:dyDescent="0.2">
      <c r="A1305" t="s">
        <v>3902</v>
      </c>
      <c r="B1305" s="8" t="s">
        <v>357</v>
      </c>
    </row>
    <row r="1306" spans="1:2" x14ac:dyDescent="0.2">
      <c r="A1306" t="s">
        <v>3903</v>
      </c>
      <c r="B1306" s="8" t="s">
        <v>3904</v>
      </c>
    </row>
    <row r="1307" spans="1:2" x14ac:dyDescent="0.2">
      <c r="A1307" t="s">
        <v>3906</v>
      </c>
      <c r="B1307" s="8" t="s">
        <v>3907</v>
      </c>
    </row>
    <row r="1308" spans="1:2" x14ac:dyDescent="0.2">
      <c r="A1308" t="s">
        <v>3909</v>
      </c>
      <c r="B1308" s="8" t="s">
        <v>824</v>
      </c>
    </row>
    <row r="1309" spans="1:2" x14ac:dyDescent="0.2">
      <c r="A1309" t="s">
        <v>3910</v>
      </c>
      <c r="B1309" s="8" t="s">
        <v>3911</v>
      </c>
    </row>
    <row r="1310" spans="1:2" x14ac:dyDescent="0.2">
      <c r="A1310" t="s">
        <v>3913</v>
      </c>
      <c r="B1310" s="8" t="s">
        <v>3914</v>
      </c>
    </row>
    <row r="1311" spans="1:2" x14ac:dyDescent="0.2">
      <c r="A1311" t="s">
        <v>3916</v>
      </c>
      <c r="B1311" s="8" t="s">
        <v>3917</v>
      </c>
    </row>
    <row r="1312" spans="1:2" x14ac:dyDescent="0.2">
      <c r="A1312" t="s">
        <v>3919</v>
      </c>
      <c r="B1312" s="8" t="s">
        <v>3920</v>
      </c>
    </row>
    <row r="1313" spans="1:2" x14ac:dyDescent="0.2">
      <c r="A1313" t="s">
        <v>3922</v>
      </c>
      <c r="B1313" s="8" t="s">
        <v>3923</v>
      </c>
    </row>
    <row r="1314" spans="1:2" x14ac:dyDescent="0.2">
      <c r="A1314" t="s">
        <v>3925</v>
      </c>
      <c r="B1314" s="8" t="s">
        <v>3926</v>
      </c>
    </row>
    <row r="1315" spans="1:2" x14ac:dyDescent="0.2">
      <c r="A1315" t="s">
        <v>3928</v>
      </c>
      <c r="B1315" s="8" t="s">
        <v>3929</v>
      </c>
    </row>
    <row r="1316" spans="1:2" x14ac:dyDescent="0.2">
      <c r="A1316" t="s">
        <v>3931</v>
      </c>
      <c r="B1316" s="8" t="s">
        <v>3932</v>
      </c>
    </row>
    <row r="1317" spans="1:2" x14ac:dyDescent="0.2">
      <c r="A1317" t="s">
        <v>3934</v>
      </c>
      <c r="B1317" s="8" t="s">
        <v>3935</v>
      </c>
    </row>
    <row r="1318" spans="1:2" x14ac:dyDescent="0.2">
      <c r="A1318" t="s">
        <v>3937</v>
      </c>
      <c r="B1318" s="8" t="s">
        <v>3938</v>
      </c>
    </row>
    <row r="1319" spans="1:2" x14ac:dyDescent="0.2">
      <c r="A1319" t="s">
        <v>3940</v>
      </c>
      <c r="B1319" s="8" t="s">
        <v>3941</v>
      </c>
    </row>
    <row r="1320" spans="1:2" x14ac:dyDescent="0.2">
      <c r="A1320" t="s">
        <v>3943</v>
      </c>
      <c r="B1320" s="8" t="s">
        <v>3944</v>
      </c>
    </row>
    <row r="1321" spans="1:2" x14ac:dyDescent="0.2">
      <c r="A1321" t="s">
        <v>3946</v>
      </c>
      <c r="B1321" s="8" t="s">
        <v>3947</v>
      </c>
    </row>
    <row r="1322" spans="1:2" x14ac:dyDescent="0.2">
      <c r="A1322" t="s">
        <v>3949</v>
      </c>
      <c r="B1322" s="8" t="s">
        <v>3950</v>
      </c>
    </row>
    <row r="1323" spans="1:2" x14ac:dyDescent="0.2">
      <c r="A1323" t="s">
        <v>3951</v>
      </c>
      <c r="B1323" s="8" t="s">
        <v>3952</v>
      </c>
    </row>
    <row r="1324" spans="1:2" x14ac:dyDescent="0.2">
      <c r="A1324" t="s">
        <v>3954</v>
      </c>
      <c r="B1324" s="8" t="s">
        <v>3955</v>
      </c>
    </row>
    <row r="1325" spans="1:2" x14ac:dyDescent="0.2">
      <c r="A1325" t="s">
        <v>3957</v>
      </c>
      <c r="B1325" s="8" t="s">
        <v>3958</v>
      </c>
    </row>
    <row r="1326" spans="1:2" x14ac:dyDescent="0.2">
      <c r="A1326" t="s">
        <v>3960</v>
      </c>
      <c r="B1326" s="8" t="s">
        <v>357</v>
      </c>
    </row>
    <row r="1327" spans="1:2" x14ac:dyDescent="0.2">
      <c r="A1327" t="s">
        <v>3961</v>
      </c>
      <c r="B1327" s="8" t="s">
        <v>3962</v>
      </c>
    </row>
    <row r="1328" spans="1:2" x14ac:dyDescent="0.2">
      <c r="A1328" t="s">
        <v>3964</v>
      </c>
      <c r="B1328" s="8" t="s">
        <v>3965</v>
      </c>
    </row>
    <row r="1329" spans="1:2" x14ac:dyDescent="0.2">
      <c r="A1329" t="s">
        <v>3967</v>
      </c>
      <c r="B1329" s="8" t="s">
        <v>3968</v>
      </c>
    </row>
    <row r="1330" spans="1:2" x14ac:dyDescent="0.2">
      <c r="A1330" t="s">
        <v>3970</v>
      </c>
      <c r="B1330" s="8" t="s">
        <v>3971</v>
      </c>
    </row>
    <row r="1331" spans="1:2" x14ac:dyDescent="0.2">
      <c r="A1331" t="s">
        <v>3973</v>
      </c>
      <c r="B1331" s="8" t="s">
        <v>3974</v>
      </c>
    </row>
    <row r="1332" spans="1:2" x14ac:dyDescent="0.2">
      <c r="A1332" t="s">
        <v>3976</v>
      </c>
      <c r="B1332" s="8" t="s">
        <v>3977</v>
      </c>
    </row>
    <row r="1333" spans="1:2" x14ac:dyDescent="0.2">
      <c r="A1333" t="s">
        <v>3979</v>
      </c>
      <c r="B1333" s="8" t="s">
        <v>3980</v>
      </c>
    </row>
    <row r="1334" spans="1:2" x14ac:dyDescent="0.2">
      <c r="A1334" t="s">
        <v>3982</v>
      </c>
      <c r="B1334" s="8" t="s">
        <v>3983</v>
      </c>
    </row>
    <row r="1335" spans="1:2" x14ac:dyDescent="0.2">
      <c r="A1335" t="s">
        <v>3985</v>
      </c>
      <c r="B1335" s="8" t="s">
        <v>3986</v>
      </c>
    </row>
    <row r="1336" spans="1:2" x14ac:dyDescent="0.2">
      <c r="A1336" t="s">
        <v>3988</v>
      </c>
      <c r="B1336" s="8" t="s">
        <v>3989</v>
      </c>
    </row>
    <row r="1337" spans="1:2" x14ac:dyDescent="0.2">
      <c r="A1337" t="s">
        <v>3991</v>
      </c>
      <c r="B1337" s="8" t="s">
        <v>3992</v>
      </c>
    </row>
    <row r="1338" spans="1:2" x14ac:dyDescent="0.2">
      <c r="A1338" t="s">
        <v>3994</v>
      </c>
      <c r="B1338" s="8" t="s">
        <v>3995</v>
      </c>
    </row>
    <row r="1339" spans="1:2" x14ac:dyDescent="0.2">
      <c r="A1339" t="s">
        <v>3997</v>
      </c>
      <c r="B1339" s="8" t="s">
        <v>3998</v>
      </c>
    </row>
    <row r="1340" spans="1:2" x14ac:dyDescent="0.2">
      <c r="A1340" t="s">
        <v>4000</v>
      </c>
      <c r="B1340" s="8" t="s">
        <v>4001</v>
      </c>
    </row>
    <row r="1341" spans="1:2" x14ac:dyDescent="0.2">
      <c r="A1341" t="s">
        <v>4003</v>
      </c>
      <c r="B1341" s="8" t="s">
        <v>4004</v>
      </c>
    </row>
    <row r="1342" spans="1:2" x14ac:dyDescent="0.2">
      <c r="A1342" t="s">
        <v>4006</v>
      </c>
      <c r="B1342" s="8" t="s">
        <v>4007</v>
      </c>
    </row>
    <row r="1343" spans="1:2" x14ac:dyDescent="0.2">
      <c r="A1343" t="s">
        <v>4009</v>
      </c>
      <c r="B1343" s="8" t="s">
        <v>4010</v>
      </c>
    </row>
    <row r="1344" spans="1:2" x14ac:dyDescent="0.2">
      <c r="A1344" t="s">
        <v>4012</v>
      </c>
      <c r="B1344" s="8" t="s">
        <v>4013</v>
      </c>
    </row>
    <row r="1345" spans="1:2" x14ac:dyDescent="0.2">
      <c r="A1345" t="s">
        <v>4014</v>
      </c>
      <c r="B1345" s="8" t="s">
        <v>4015</v>
      </c>
    </row>
    <row r="1346" spans="1:2" x14ac:dyDescent="0.2">
      <c r="A1346" t="s">
        <v>4017</v>
      </c>
      <c r="B1346" s="8" t="s">
        <v>4018</v>
      </c>
    </row>
    <row r="1347" spans="1:2" x14ac:dyDescent="0.2">
      <c r="A1347" t="s">
        <v>4020</v>
      </c>
      <c r="B1347" s="8" t="s">
        <v>4018</v>
      </c>
    </row>
    <row r="1348" spans="1:2" x14ac:dyDescent="0.2">
      <c r="A1348" t="s">
        <v>4021</v>
      </c>
      <c r="B1348" s="8" t="s">
        <v>4018</v>
      </c>
    </row>
    <row r="1349" spans="1:2" x14ac:dyDescent="0.2">
      <c r="A1349" t="s">
        <v>4022</v>
      </c>
      <c r="B1349" s="8" t="s">
        <v>4018</v>
      </c>
    </row>
    <row r="1350" spans="1:2" x14ac:dyDescent="0.2">
      <c r="A1350" t="s">
        <v>4023</v>
      </c>
      <c r="B1350" s="8" t="s">
        <v>4018</v>
      </c>
    </row>
    <row r="1351" spans="1:2" x14ac:dyDescent="0.2">
      <c r="A1351" t="s">
        <v>4024</v>
      </c>
      <c r="B1351" s="8" t="s">
        <v>4018</v>
      </c>
    </row>
    <row r="1352" spans="1:2" x14ac:dyDescent="0.2">
      <c r="A1352" t="s">
        <v>4025</v>
      </c>
      <c r="B1352" s="8" t="s">
        <v>4026</v>
      </c>
    </row>
    <row r="1353" spans="1:2" x14ac:dyDescent="0.2">
      <c r="A1353" t="s">
        <v>4028</v>
      </c>
      <c r="B1353" s="8" t="s">
        <v>4029</v>
      </c>
    </row>
    <row r="1354" spans="1:2" x14ac:dyDescent="0.2">
      <c r="A1354" t="s">
        <v>4030</v>
      </c>
      <c r="B1354" s="8" t="s">
        <v>4031</v>
      </c>
    </row>
    <row r="1355" spans="1:2" x14ac:dyDescent="0.2">
      <c r="A1355" t="s">
        <v>4033</v>
      </c>
      <c r="B1355" s="8" t="s">
        <v>4034</v>
      </c>
    </row>
    <row r="1356" spans="1:2" x14ac:dyDescent="0.2">
      <c r="A1356" t="s">
        <v>4036</v>
      </c>
      <c r="B1356" s="8" t="s">
        <v>4037</v>
      </c>
    </row>
    <row r="1357" spans="1:2" x14ac:dyDescent="0.2">
      <c r="A1357" t="s">
        <v>4039</v>
      </c>
      <c r="B1357" s="8" t="s">
        <v>4040</v>
      </c>
    </row>
    <row r="1358" spans="1:2" x14ac:dyDescent="0.2">
      <c r="A1358" t="s">
        <v>4042</v>
      </c>
      <c r="B1358" s="8" t="s">
        <v>357</v>
      </c>
    </row>
    <row r="1359" spans="1:2" x14ac:dyDescent="0.2">
      <c r="A1359" t="s">
        <v>4044</v>
      </c>
      <c r="B1359" s="8" t="s">
        <v>4045</v>
      </c>
    </row>
    <row r="1360" spans="1:2" x14ac:dyDescent="0.2">
      <c r="A1360" t="s">
        <v>4046</v>
      </c>
      <c r="B1360" s="8" t="s">
        <v>4047</v>
      </c>
    </row>
    <row r="1361" spans="1:2" x14ac:dyDescent="0.2">
      <c r="A1361" t="s">
        <v>4048</v>
      </c>
      <c r="B1361" s="8" t="s">
        <v>4049</v>
      </c>
    </row>
    <row r="1362" spans="1:2" x14ac:dyDescent="0.2">
      <c r="A1362" t="s">
        <v>4051</v>
      </c>
      <c r="B1362" s="8" t="s">
        <v>4052</v>
      </c>
    </row>
    <row r="1363" spans="1:2" x14ac:dyDescent="0.2">
      <c r="A1363" t="s">
        <v>4054</v>
      </c>
      <c r="B1363" s="8" t="s">
        <v>839</v>
      </c>
    </row>
    <row r="1364" spans="1:2" x14ac:dyDescent="0.2">
      <c r="A1364" t="s">
        <v>4056</v>
      </c>
      <c r="B1364" s="8" t="s">
        <v>4057</v>
      </c>
    </row>
    <row r="1365" spans="1:2" x14ac:dyDescent="0.2">
      <c r="A1365" t="s">
        <v>4059</v>
      </c>
      <c r="B1365" s="8" t="s">
        <v>4060</v>
      </c>
    </row>
    <row r="1366" spans="1:2" x14ac:dyDescent="0.2">
      <c r="A1366" t="s">
        <v>4062</v>
      </c>
      <c r="B1366" s="8" t="s">
        <v>4063</v>
      </c>
    </row>
    <row r="1367" spans="1:2" x14ac:dyDescent="0.2">
      <c r="A1367" t="s">
        <v>4065</v>
      </c>
      <c r="B1367" s="8" t="s">
        <v>4063</v>
      </c>
    </row>
    <row r="1368" spans="1:2" x14ac:dyDescent="0.2">
      <c r="A1368" t="s">
        <v>4066</v>
      </c>
      <c r="B1368" s="8" t="s">
        <v>4067</v>
      </c>
    </row>
    <row r="1369" spans="1:2" x14ac:dyDescent="0.2">
      <c r="A1369" t="s">
        <v>4069</v>
      </c>
      <c r="B1369" s="8" t="s">
        <v>4070</v>
      </c>
    </row>
    <row r="1370" spans="1:2" x14ac:dyDescent="0.2">
      <c r="A1370" t="s">
        <v>4072</v>
      </c>
      <c r="B1370" s="8" t="s">
        <v>4073</v>
      </c>
    </row>
    <row r="1371" spans="1:2" x14ac:dyDescent="0.2">
      <c r="A1371" t="s">
        <v>4075</v>
      </c>
      <c r="B1371" s="8" t="s">
        <v>4076</v>
      </c>
    </row>
    <row r="1372" spans="1:2" x14ac:dyDescent="0.2">
      <c r="A1372" t="s">
        <v>4078</v>
      </c>
      <c r="B1372" s="8" t="s">
        <v>4079</v>
      </c>
    </row>
    <row r="1373" spans="1:2" x14ac:dyDescent="0.2">
      <c r="A1373" t="s">
        <v>4081</v>
      </c>
      <c r="B1373" s="8" t="s">
        <v>4079</v>
      </c>
    </row>
    <row r="1374" spans="1:2" x14ac:dyDescent="0.2">
      <c r="A1374" t="s">
        <v>4082</v>
      </c>
      <c r="B1374" s="8" t="s">
        <v>4079</v>
      </c>
    </row>
    <row r="1375" spans="1:2" x14ac:dyDescent="0.2">
      <c r="A1375" t="s">
        <v>4083</v>
      </c>
      <c r="B1375" s="8" t="s">
        <v>4084</v>
      </c>
    </row>
    <row r="1376" spans="1:2" x14ac:dyDescent="0.2">
      <c r="A1376" t="s">
        <v>4086</v>
      </c>
      <c r="B1376" s="8" t="s">
        <v>4087</v>
      </c>
    </row>
    <row r="1377" spans="1:2" x14ac:dyDescent="0.2">
      <c r="A1377" t="s">
        <v>4089</v>
      </c>
      <c r="B1377" s="8" t="s">
        <v>4090</v>
      </c>
    </row>
    <row r="1378" spans="1:2" x14ac:dyDescent="0.2">
      <c r="A1378" t="s">
        <v>4092</v>
      </c>
      <c r="B1378" s="8" t="s">
        <v>4093</v>
      </c>
    </row>
    <row r="1379" spans="1:2" x14ac:dyDescent="0.2">
      <c r="A1379" t="s">
        <v>4095</v>
      </c>
      <c r="B1379" s="8" t="s">
        <v>4096</v>
      </c>
    </row>
    <row r="1380" spans="1:2" x14ac:dyDescent="0.2">
      <c r="A1380" t="s">
        <v>4098</v>
      </c>
      <c r="B1380" s="8" t="s">
        <v>4099</v>
      </c>
    </row>
    <row r="1381" spans="1:2" x14ac:dyDescent="0.2">
      <c r="A1381" t="s">
        <v>4101</v>
      </c>
      <c r="B1381" s="8" t="s">
        <v>357</v>
      </c>
    </row>
    <row r="1382" spans="1:2" x14ac:dyDescent="0.2">
      <c r="A1382" t="s">
        <v>4103</v>
      </c>
      <c r="B1382" s="8" t="s">
        <v>4104</v>
      </c>
    </row>
    <row r="1383" spans="1:2" x14ac:dyDescent="0.2">
      <c r="A1383" t="s">
        <v>4106</v>
      </c>
      <c r="B1383" s="8" t="s">
        <v>4107</v>
      </c>
    </row>
    <row r="1384" spans="1:2" x14ac:dyDescent="0.2">
      <c r="A1384" t="s">
        <v>4109</v>
      </c>
      <c r="B1384" s="8" t="s">
        <v>4110</v>
      </c>
    </row>
    <row r="1385" spans="1:2" x14ac:dyDescent="0.2">
      <c r="A1385" t="s">
        <v>4112</v>
      </c>
      <c r="B1385" s="8" t="s">
        <v>4113</v>
      </c>
    </row>
    <row r="1386" spans="1:2" x14ac:dyDescent="0.2">
      <c r="A1386" t="s">
        <v>4115</v>
      </c>
      <c r="B1386" s="8" t="s">
        <v>4116</v>
      </c>
    </row>
    <row r="1387" spans="1:2" x14ac:dyDescent="0.2">
      <c r="A1387" t="s">
        <v>4117</v>
      </c>
      <c r="B1387" s="8" t="s">
        <v>4118</v>
      </c>
    </row>
    <row r="1388" spans="1:2" x14ac:dyDescent="0.2">
      <c r="A1388" t="s">
        <v>4120</v>
      </c>
      <c r="B1388" s="8" t="s">
        <v>4121</v>
      </c>
    </row>
    <row r="1389" spans="1:2" x14ac:dyDescent="0.2">
      <c r="A1389" t="s">
        <v>4123</v>
      </c>
      <c r="B1389" s="8" t="s">
        <v>4124</v>
      </c>
    </row>
    <row r="1390" spans="1:2" x14ac:dyDescent="0.2">
      <c r="A1390" t="s">
        <v>4126</v>
      </c>
      <c r="B1390" s="8" t="s">
        <v>4127</v>
      </c>
    </row>
    <row r="1391" spans="1:2" x14ac:dyDescent="0.2">
      <c r="A1391" t="s">
        <v>4129</v>
      </c>
      <c r="B1391" s="8" t="s">
        <v>4130</v>
      </c>
    </row>
    <row r="1392" spans="1:2" x14ac:dyDescent="0.2">
      <c r="A1392" t="s">
        <v>4132</v>
      </c>
      <c r="B1392" s="8" t="s">
        <v>337</v>
      </c>
    </row>
    <row r="1393" spans="1:2" x14ac:dyDescent="0.2">
      <c r="A1393" t="s">
        <v>4134</v>
      </c>
      <c r="B1393" s="8" t="s">
        <v>4135</v>
      </c>
    </row>
    <row r="1394" spans="1:2" x14ac:dyDescent="0.2">
      <c r="A1394" t="s">
        <v>4137</v>
      </c>
      <c r="B1394" s="8" t="s">
        <v>4138</v>
      </c>
    </row>
    <row r="1395" spans="1:2" x14ac:dyDescent="0.2">
      <c r="A1395" t="s">
        <v>4140</v>
      </c>
      <c r="B1395" s="8" t="s">
        <v>4141</v>
      </c>
    </row>
    <row r="1396" spans="1:2" x14ac:dyDescent="0.2">
      <c r="A1396" t="s">
        <v>4143</v>
      </c>
      <c r="B1396" s="8" t="s">
        <v>4144</v>
      </c>
    </row>
    <row r="1397" spans="1:2" x14ac:dyDescent="0.2">
      <c r="A1397" t="s">
        <v>4145</v>
      </c>
      <c r="B1397" s="8" t="s">
        <v>4146</v>
      </c>
    </row>
    <row r="1398" spans="1:2" x14ac:dyDescent="0.2">
      <c r="A1398" t="s">
        <v>4148</v>
      </c>
      <c r="B1398" s="8" t="s">
        <v>4149</v>
      </c>
    </row>
    <row r="1399" spans="1:2" x14ac:dyDescent="0.2">
      <c r="A1399" t="s">
        <v>4151</v>
      </c>
      <c r="B1399" s="8" t="s">
        <v>4152</v>
      </c>
    </row>
    <row r="1400" spans="1:2" x14ac:dyDescent="0.2">
      <c r="A1400" t="s">
        <v>4154</v>
      </c>
      <c r="B1400" s="8" t="s">
        <v>4155</v>
      </c>
    </row>
    <row r="1401" spans="1:2" x14ac:dyDescent="0.2">
      <c r="A1401" t="s">
        <v>4157</v>
      </c>
      <c r="B1401" s="8" t="s">
        <v>4158</v>
      </c>
    </row>
    <row r="1402" spans="1:2" x14ac:dyDescent="0.2">
      <c r="A1402" t="s">
        <v>4160</v>
      </c>
      <c r="B1402" s="8" t="s">
        <v>4158</v>
      </c>
    </row>
    <row r="1403" spans="1:2" x14ac:dyDescent="0.2">
      <c r="A1403" t="s">
        <v>4161</v>
      </c>
      <c r="B1403" s="8" t="s">
        <v>4162</v>
      </c>
    </row>
    <row r="1404" spans="1:2" x14ac:dyDescent="0.2">
      <c r="A1404" t="s">
        <v>4164</v>
      </c>
      <c r="B1404" s="8" t="s">
        <v>4165</v>
      </c>
    </row>
    <row r="1405" spans="1:2" x14ac:dyDescent="0.2">
      <c r="A1405" t="s">
        <v>4167</v>
      </c>
      <c r="B1405" s="8" t="s">
        <v>4168</v>
      </c>
    </row>
    <row r="1406" spans="1:2" x14ac:dyDescent="0.2">
      <c r="A1406" t="s">
        <v>4170</v>
      </c>
      <c r="B1406" s="8" t="s">
        <v>4171</v>
      </c>
    </row>
    <row r="1407" spans="1:2" x14ac:dyDescent="0.2">
      <c r="A1407" t="s">
        <v>4173</v>
      </c>
      <c r="B1407" s="8" t="s">
        <v>4174</v>
      </c>
    </row>
    <row r="1408" spans="1:2" x14ac:dyDescent="0.2">
      <c r="A1408" t="s">
        <v>4176</v>
      </c>
      <c r="B1408" s="8" t="s">
        <v>4174</v>
      </c>
    </row>
    <row r="1409" spans="1:2" x14ac:dyDescent="0.2">
      <c r="A1409" t="s">
        <v>4177</v>
      </c>
      <c r="B1409" s="8" t="s">
        <v>4178</v>
      </c>
    </row>
    <row r="1410" spans="1:2" x14ac:dyDescent="0.2">
      <c r="A1410" t="s">
        <v>4180</v>
      </c>
      <c r="B1410" s="8" t="s">
        <v>4181</v>
      </c>
    </row>
    <row r="1411" spans="1:2" x14ac:dyDescent="0.2">
      <c r="A1411" t="s">
        <v>4183</v>
      </c>
      <c r="B1411" s="8" t="s">
        <v>4184</v>
      </c>
    </row>
    <row r="1412" spans="1:2" x14ac:dyDescent="0.2">
      <c r="A1412" t="s">
        <v>4186</v>
      </c>
      <c r="B1412" s="8" t="s">
        <v>4187</v>
      </c>
    </row>
    <row r="1413" spans="1:2" x14ac:dyDescent="0.2">
      <c r="A1413" t="s">
        <v>4189</v>
      </c>
      <c r="B1413" s="8" t="s">
        <v>4190</v>
      </c>
    </row>
    <row r="1414" spans="1:2" x14ac:dyDescent="0.2">
      <c r="A1414" t="s">
        <v>4192</v>
      </c>
      <c r="B1414" s="8" t="s">
        <v>4193</v>
      </c>
    </row>
    <row r="1415" spans="1:2" x14ac:dyDescent="0.2">
      <c r="A1415" t="s">
        <v>4194</v>
      </c>
      <c r="B1415" s="8" t="s">
        <v>4195</v>
      </c>
    </row>
    <row r="1416" spans="1:2" x14ac:dyDescent="0.2">
      <c r="A1416" t="s">
        <v>4197</v>
      </c>
      <c r="B1416" s="8" t="s">
        <v>4198</v>
      </c>
    </row>
    <row r="1417" spans="1:2" x14ac:dyDescent="0.2">
      <c r="A1417" t="s">
        <v>4200</v>
      </c>
      <c r="B1417" s="8" t="s">
        <v>4201</v>
      </c>
    </row>
    <row r="1418" spans="1:2" x14ac:dyDescent="0.2">
      <c r="A1418" t="s">
        <v>4203</v>
      </c>
      <c r="B1418" s="8" t="s">
        <v>4204</v>
      </c>
    </row>
    <row r="1419" spans="1:2" x14ac:dyDescent="0.2">
      <c r="A1419" t="s">
        <v>4206</v>
      </c>
      <c r="B1419" s="8" t="s">
        <v>4207</v>
      </c>
    </row>
    <row r="1420" spans="1:2" x14ac:dyDescent="0.2">
      <c r="A1420" t="s">
        <v>4209</v>
      </c>
      <c r="B1420" s="8" t="s">
        <v>4210</v>
      </c>
    </row>
    <row r="1421" spans="1:2" x14ac:dyDescent="0.2">
      <c r="A1421" t="s">
        <v>4212</v>
      </c>
      <c r="B1421" s="8" t="s">
        <v>4213</v>
      </c>
    </row>
    <row r="1422" spans="1:2" x14ac:dyDescent="0.2">
      <c r="A1422" t="s">
        <v>4215</v>
      </c>
      <c r="B1422" s="8" t="s">
        <v>357</v>
      </c>
    </row>
    <row r="1423" spans="1:2" x14ac:dyDescent="0.2">
      <c r="A1423" t="s">
        <v>4216</v>
      </c>
      <c r="B1423" s="8" t="s">
        <v>4217</v>
      </c>
    </row>
    <row r="1424" spans="1:2" x14ac:dyDescent="0.2">
      <c r="A1424" t="s">
        <v>4219</v>
      </c>
      <c r="B1424" s="8" t="s">
        <v>4220</v>
      </c>
    </row>
    <row r="1425" spans="1:2" x14ac:dyDescent="0.2">
      <c r="A1425" t="s">
        <v>4222</v>
      </c>
      <c r="B1425" s="8" t="s">
        <v>357</v>
      </c>
    </row>
    <row r="1426" spans="1:2" x14ac:dyDescent="0.2">
      <c r="A1426" t="s">
        <v>4224</v>
      </c>
      <c r="B1426" s="8" t="s">
        <v>4225</v>
      </c>
    </row>
    <row r="1427" spans="1:2" x14ac:dyDescent="0.2">
      <c r="A1427" t="s">
        <v>4227</v>
      </c>
      <c r="B1427" s="8" t="s">
        <v>4228</v>
      </c>
    </row>
    <row r="1428" spans="1:2" x14ac:dyDescent="0.2">
      <c r="A1428" t="s">
        <v>4230</v>
      </c>
      <c r="B1428" s="8" t="s">
        <v>4231</v>
      </c>
    </row>
    <row r="1429" spans="1:2" x14ac:dyDescent="0.2">
      <c r="A1429" t="s">
        <v>4233</v>
      </c>
      <c r="B1429" s="8" t="s">
        <v>4234</v>
      </c>
    </row>
    <row r="1430" spans="1:2" x14ac:dyDescent="0.2">
      <c r="A1430" t="s">
        <v>4236</v>
      </c>
      <c r="B1430" s="8" t="s">
        <v>283</v>
      </c>
    </row>
    <row r="1431" spans="1:2" x14ac:dyDescent="0.2">
      <c r="A1431" t="s">
        <v>4238</v>
      </c>
      <c r="B1431" s="8" t="s">
        <v>4239</v>
      </c>
    </row>
    <row r="1432" spans="1:2" x14ac:dyDescent="0.2">
      <c r="A1432" t="s">
        <v>4240</v>
      </c>
      <c r="B1432" s="8" t="s">
        <v>4241</v>
      </c>
    </row>
    <row r="1433" spans="1:2" x14ac:dyDescent="0.2">
      <c r="A1433" t="s">
        <v>4243</v>
      </c>
      <c r="B1433" s="8" t="s">
        <v>4244</v>
      </c>
    </row>
    <row r="1434" spans="1:2" x14ac:dyDescent="0.2">
      <c r="A1434" t="s">
        <v>4246</v>
      </c>
      <c r="B1434" s="8" t="s">
        <v>4247</v>
      </c>
    </row>
    <row r="1435" spans="1:2" x14ac:dyDescent="0.2">
      <c r="A1435" t="s">
        <v>4249</v>
      </c>
      <c r="B1435" s="8" t="s">
        <v>4250</v>
      </c>
    </row>
    <row r="1436" spans="1:2" x14ac:dyDescent="0.2">
      <c r="A1436" t="s">
        <v>4252</v>
      </c>
      <c r="B1436" s="8" t="s">
        <v>4253</v>
      </c>
    </row>
    <row r="1437" spans="1:2" x14ac:dyDescent="0.2">
      <c r="A1437" t="s">
        <v>4254</v>
      </c>
      <c r="B1437" s="8" t="s">
        <v>4255</v>
      </c>
    </row>
    <row r="1438" spans="1:2" x14ac:dyDescent="0.2">
      <c r="A1438" t="s">
        <v>4257</v>
      </c>
      <c r="B1438" s="8" t="s">
        <v>4258</v>
      </c>
    </row>
    <row r="1439" spans="1:2" x14ac:dyDescent="0.2">
      <c r="A1439" t="s">
        <v>4260</v>
      </c>
      <c r="B1439" s="8" t="s">
        <v>4261</v>
      </c>
    </row>
    <row r="1440" spans="1:2" x14ac:dyDescent="0.2">
      <c r="A1440" t="s">
        <v>4263</v>
      </c>
      <c r="B1440" s="8" t="s">
        <v>221</v>
      </c>
    </row>
    <row r="1441" spans="1:2" x14ac:dyDescent="0.2">
      <c r="A1441" t="s">
        <v>4265</v>
      </c>
      <c r="B1441" s="8" t="s">
        <v>4266</v>
      </c>
    </row>
    <row r="1442" spans="1:2" x14ac:dyDescent="0.2">
      <c r="A1442" t="s">
        <v>4268</v>
      </c>
      <c r="B1442" s="8" t="s">
        <v>4269</v>
      </c>
    </row>
    <row r="1443" spans="1:2" x14ac:dyDescent="0.2">
      <c r="A1443" t="s">
        <v>4271</v>
      </c>
      <c r="B1443" s="8" t="s">
        <v>4272</v>
      </c>
    </row>
    <row r="1444" spans="1:2" x14ac:dyDescent="0.2">
      <c r="A1444" t="s">
        <v>4274</v>
      </c>
      <c r="B1444" s="8" t="s">
        <v>4275</v>
      </c>
    </row>
    <row r="1445" spans="1:2" x14ac:dyDescent="0.2">
      <c r="A1445" t="s">
        <v>4277</v>
      </c>
      <c r="B1445" s="8" t="s">
        <v>4278</v>
      </c>
    </row>
    <row r="1446" spans="1:2" x14ac:dyDescent="0.2">
      <c r="A1446" t="s">
        <v>4280</v>
      </c>
      <c r="B1446" s="8" t="s">
        <v>4281</v>
      </c>
    </row>
    <row r="1447" spans="1:2" x14ac:dyDescent="0.2">
      <c r="A1447" t="s">
        <v>4283</v>
      </c>
      <c r="B1447" s="8" t="s">
        <v>4284</v>
      </c>
    </row>
    <row r="1448" spans="1:2" x14ac:dyDescent="0.2">
      <c r="A1448" t="s">
        <v>4286</v>
      </c>
      <c r="B1448" s="8" t="s">
        <v>4287</v>
      </c>
    </row>
    <row r="1449" spans="1:2" x14ac:dyDescent="0.2">
      <c r="A1449" t="s">
        <v>4289</v>
      </c>
      <c r="B1449" s="8" t="s">
        <v>4290</v>
      </c>
    </row>
    <row r="1450" spans="1:2" x14ac:dyDescent="0.2">
      <c r="A1450" t="s">
        <v>4292</v>
      </c>
      <c r="B1450" s="8" t="s">
        <v>4293</v>
      </c>
    </row>
    <row r="1451" spans="1:2" x14ac:dyDescent="0.2">
      <c r="A1451" t="s">
        <v>4295</v>
      </c>
      <c r="B1451" s="8" t="s">
        <v>4296</v>
      </c>
    </row>
    <row r="1452" spans="1:2" x14ac:dyDescent="0.2">
      <c r="A1452" t="s">
        <v>4298</v>
      </c>
      <c r="B1452" s="8" t="s">
        <v>4299</v>
      </c>
    </row>
    <row r="1453" spans="1:2" x14ac:dyDescent="0.2">
      <c r="A1453" t="s">
        <v>4301</v>
      </c>
      <c r="B1453" s="8" t="s">
        <v>4302</v>
      </c>
    </row>
    <row r="1454" spans="1:2" x14ac:dyDescent="0.2">
      <c r="A1454" t="s">
        <v>4304</v>
      </c>
      <c r="B1454" s="8" t="s">
        <v>4305</v>
      </c>
    </row>
    <row r="1455" spans="1:2" x14ac:dyDescent="0.2">
      <c r="A1455" t="s">
        <v>4307</v>
      </c>
      <c r="B1455" s="8" t="s">
        <v>4308</v>
      </c>
    </row>
    <row r="1456" spans="1:2" x14ac:dyDescent="0.2">
      <c r="A1456" t="s">
        <v>4310</v>
      </c>
      <c r="B1456" s="8" t="s">
        <v>4311</v>
      </c>
    </row>
    <row r="1457" spans="1:2" x14ac:dyDescent="0.2">
      <c r="A1457" t="s">
        <v>4313</v>
      </c>
      <c r="B1457" s="8" t="s">
        <v>4314</v>
      </c>
    </row>
    <row r="1458" spans="1:2" x14ac:dyDescent="0.2">
      <c r="A1458" t="s">
        <v>4316</v>
      </c>
      <c r="B1458" s="8" t="s">
        <v>4317</v>
      </c>
    </row>
    <row r="1459" spans="1:2" x14ac:dyDescent="0.2">
      <c r="A1459" t="s">
        <v>4319</v>
      </c>
      <c r="B1459" s="8" t="s">
        <v>4320</v>
      </c>
    </row>
    <row r="1460" spans="1:2" x14ac:dyDescent="0.2">
      <c r="A1460" t="s">
        <v>4322</v>
      </c>
      <c r="B1460" s="8" t="s">
        <v>4323</v>
      </c>
    </row>
    <row r="1461" spans="1:2" x14ac:dyDescent="0.2">
      <c r="A1461" t="s">
        <v>4325</v>
      </c>
      <c r="B1461" s="8" t="s">
        <v>4326</v>
      </c>
    </row>
    <row r="1462" spans="1:2" x14ac:dyDescent="0.2">
      <c r="A1462" t="s">
        <v>4328</v>
      </c>
      <c r="B1462" s="8" t="s">
        <v>4326</v>
      </c>
    </row>
    <row r="1463" spans="1:2" x14ac:dyDescent="0.2">
      <c r="A1463" t="s">
        <v>4329</v>
      </c>
      <c r="B1463" s="8" t="s">
        <v>4330</v>
      </c>
    </row>
    <row r="1464" spans="1:2" x14ac:dyDescent="0.2">
      <c r="A1464" t="s">
        <v>4332</v>
      </c>
      <c r="B1464" s="8" t="s">
        <v>4333</v>
      </c>
    </row>
    <row r="1465" spans="1:2" x14ac:dyDescent="0.2">
      <c r="A1465" t="s">
        <v>4335</v>
      </c>
      <c r="B1465" s="8" t="s">
        <v>4336</v>
      </c>
    </row>
    <row r="1466" spans="1:2" x14ac:dyDescent="0.2">
      <c r="A1466" t="s">
        <v>4338</v>
      </c>
      <c r="B1466" s="8" t="s">
        <v>4339</v>
      </c>
    </row>
    <row r="1467" spans="1:2" x14ac:dyDescent="0.2">
      <c r="A1467" t="s">
        <v>4341</v>
      </c>
      <c r="B1467" s="8" t="s">
        <v>4342</v>
      </c>
    </row>
    <row r="1468" spans="1:2" x14ac:dyDescent="0.2">
      <c r="A1468" t="s">
        <v>4344</v>
      </c>
      <c r="B1468" s="8" t="s">
        <v>4345</v>
      </c>
    </row>
    <row r="1469" spans="1:2" x14ac:dyDescent="0.2">
      <c r="A1469" t="s">
        <v>4347</v>
      </c>
      <c r="B1469" s="8" t="s">
        <v>357</v>
      </c>
    </row>
    <row r="1470" spans="1:2" x14ac:dyDescent="0.2">
      <c r="A1470" t="s">
        <v>4349</v>
      </c>
      <c r="B1470" s="8" t="s">
        <v>4350</v>
      </c>
    </row>
    <row r="1471" spans="1:2" x14ac:dyDescent="0.2">
      <c r="A1471" t="s">
        <v>4352</v>
      </c>
      <c r="B1471" s="8" t="s">
        <v>4353</v>
      </c>
    </row>
    <row r="1472" spans="1:2" x14ac:dyDescent="0.2">
      <c r="A1472" t="s">
        <v>4355</v>
      </c>
      <c r="B1472" s="8" t="s">
        <v>4356</v>
      </c>
    </row>
    <row r="1473" spans="1:2" x14ac:dyDescent="0.2">
      <c r="A1473" t="s">
        <v>4358</v>
      </c>
      <c r="B1473" s="8" t="s">
        <v>4359</v>
      </c>
    </row>
    <row r="1474" spans="1:2" x14ac:dyDescent="0.2">
      <c r="A1474" t="s">
        <v>4361</v>
      </c>
      <c r="B1474" s="8" t="s">
        <v>4362</v>
      </c>
    </row>
    <row r="1475" spans="1:2" x14ac:dyDescent="0.2">
      <c r="A1475" t="s">
        <v>4364</v>
      </c>
      <c r="B1475" s="8" t="s">
        <v>4365</v>
      </c>
    </row>
    <row r="1476" spans="1:2" x14ac:dyDescent="0.2">
      <c r="A1476" t="s">
        <v>4367</v>
      </c>
      <c r="B1476" s="8" t="s">
        <v>4368</v>
      </c>
    </row>
    <row r="1477" spans="1:2" x14ac:dyDescent="0.2">
      <c r="A1477" t="s">
        <v>4370</v>
      </c>
      <c r="B1477" s="8" t="s">
        <v>4371</v>
      </c>
    </row>
    <row r="1478" spans="1:2" x14ac:dyDescent="0.2">
      <c r="A1478" t="s">
        <v>4373</v>
      </c>
      <c r="B1478" s="8" t="s">
        <v>4374</v>
      </c>
    </row>
    <row r="1479" spans="1:2" x14ac:dyDescent="0.2">
      <c r="A1479" t="s">
        <v>4376</v>
      </c>
      <c r="B1479" s="8" t="s">
        <v>4377</v>
      </c>
    </row>
    <row r="1480" spans="1:2" x14ac:dyDescent="0.2">
      <c r="A1480" t="s">
        <v>4379</v>
      </c>
      <c r="B1480" s="8" t="s">
        <v>4380</v>
      </c>
    </row>
    <row r="1481" spans="1:2" x14ac:dyDescent="0.2">
      <c r="A1481" t="s">
        <v>4382</v>
      </c>
      <c r="B1481" s="8" t="s">
        <v>4383</v>
      </c>
    </row>
    <row r="1482" spans="1:2" x14ac:dyDescent="0.2">
      <c r="A1482" t="s">
        <v>4385</v>
      </c>
      <c r="B1482" s="8" t="s">
        <v>357</v>
      </c>
    </row>
    <row r="1483" spans="1:2" x14ac:dyDescent="0.2">
      <c r="A1483" t="s">
        <v>4387</v>
      </c>
      <c r="B1483" s="8" t="s">
        <v>4388</v>
      </c>
    </row>
    <row r="1484" spans="1:2" x14ac:dyDescent="0.2">
      <c r="A1484" t="s">
        <v>4390</v>
      </c>
      <c r="B1484" s="8" t="s">
        <v>4391</v>
      </c>
    </row>
    <row r="1485" spans="1:2" x14ac:dyDescent="0.2">
      <c r="A1485" t="s">
        <v>4392</v>
      </c>
      <c r="B1485" s="8" t="s">
        <v>4393</v>
      </c>
    </row>
    <row r="1486" spans="1:2" x14ac:dyDescent="0.2">
      <c r="A1486" t="s">
        <v>4395</v>
      </c>
      <c r="B1486" s="8" t="s">
        <v>4396</v>
      </c>
    </row>
    <row r="1487" spans="1:2" x14ac:dyDescent="0.2">
      <c r="A1487" t="s">
        <v>4398</v>
      </c>
      <c r="B1487" s="8" t="s">
        <v>357</v>
      </c>
    </row>
    <row r="1488" spans="1:2" x14ac:dyDescent="0.2">
      <c r="A1488" t="s">
        <v>4399</v>
      </c>
      <c r="B1488" s="8" t="s">
        <v>4400</v>
      </c>
    </row>
    <row r="1489" spans="1:2" x14ac:dyDescent="0.2">
      <c r="A1489" t="s">
        <v>4402</v>
      </c>
      <c r="B1489" s="8" t="s">
        <v>4403</v>
      </c>
    </row>
    <row r="1490" spans="1:2" x14ac:dyDescent="0.2">
      <c r="A1490" t="s">
        <v>4405</v>
      </c>
      <c r="B1490" s="8" t="s">
        <v>4406</v>
      </c>
    </row>
    <row r="1491" spans="1:2" x14ac:dyDescent="0.2">
      <c r="A1491" t="s">
        <v>4408</v>
      </c>
      <c r="B1491" s="8" t="s">
        <v>4409</v>
      </c>
    </row>
    <row r="1492" spans="1:2" x14ac:dyDescent="0.2">
      <c r="A1492" t="s">
        <v>4411</v>
      </c>
      <c r="B1492" s="8" t="s">
        <v>4412</v>
      </c>
    </row>
    <row r="1493" spans="1:2" x14ac:dyDescent="0.2">
      <c r="A1493" t="s">
        <v>4414</v>
      </c>
      <c r="B1493" s="8" t="s">
        <v>4412</v>
      </c>
    </row>
    <row r="1494" spans="1:2" x14ac:dyDescent="0.2">
      <c r="A1494" t="s">
        <v>4415</v>
      </c>
      <c r="B1494" s="8" t="s">
        <v>4416</v>
      </c>
    </row>
    <row r="1495" spans="1:2" x14ac:dyDescent="0.2">
      <c r="A1495" t="s">
        <v>4417</v>
      </c>
      <c r="B1495" s="8" t="s">
        <v>4418</v>
      </c>
    </row>
    <row r="1496" spans="1:2" x14ac:dyDescent="0.2">
      <c r="A1496" t="s">
        <v>4420</v>
      </c>
      <c r="B1496" s="8" t="s">
        <v>4421</v>
      </c>
    </row>
    <row r="1497" spans="1:2" x14ac:dyDescent="0.2">
      <c r="A1497" t="s">
        <v>4423</v>
      </c>
      <c r="B1497" s="8" t="s">
        <v>4424</v>
      </c>
    </row>
    <row r="1498" spans="1:2" x14ac:dyDescent="0.2">
      <c r="A1498" t="s">
        <v>4426</v>
      </c>
      <c r="B1498" s="8" t="s">
        <v>4427</v>
      </c>
    </row>
    <row r="1499" spans="1:2" x14ac:dyDescent="0.2">
      <c r="A1499" t="s">
        <v>4429</v>
      </c>
      <c r="B1499" s="8" t="s">
        <v>4430</v>
      </c>
    </row>
    <row r="1500" spans="1:2" x14ac:dyDescent="0.2">
      <c r="A1500" t="s">
        <v>4432</v>
      </c>
      <c r="B1500" s="8" t="s">
        <v>4433</v>
      </c>
    </row>
    <row r="1501" spans="1:2" x14ac:dyDescent="0.2">
      <c r="A1501" t="s">
        <v>4435</v>
      </c>
      <c r="B1501" s="8" t="s">
        <v>4436</v>
      </c>
    </row>
    <row r="1502" spans="1:2" x14ac:dyDescent="0.2">
      <c r="A1502" t="s">
        <v>4438</v>
      </c>
      <c r="B1502" s="8" t="s">
        <v>4439</v>
      </c>
    </row>
    <row r="1503" spans="1:2" x14ac:dyDescent="0.2">
      <c r="A1503" t="s">
        <v>4441</v>
      </c>
      <c r="B1503" s="8" t="s">
        <v>357</v>
      </c>
    </row>
    <row r="1504" spans="1:2" x14ac:dyDescent="0.2">
      <c r="A1504" t="s">
        <v>4443</v>
      </c>
      <c r="B1504" s="8" t="s">
        <v>4444</v>
      </c>
    </row>
    <row r="1505" spans="1:2" x14ac:dyDescent="0.2">
      <c r="A1505" t="s">
        <v>4446</v>
      </c>
      <c r="B1505" s="8" t="s">
        <v>4447</v>
      </c>
    </row>
    <row r="1506" spans="1:2" x14ac:dyDescent="0.2">
      <c r="A1506" t="s">
        <v>4449</v>
      </c>
      <c r="B1506" s="8" t="s">
        <v>4450</v>
      </c>
    </row>
    <row r="1507" spans="1:2" x14ac:dyDescent="0.2">
      <c r="A1507" t="s">
        <v>4452</v>
      </c>
      <c r="B1507" s="8" t="s">
        <v>4453</v>
      </c>
    </row>
    <row r="1508" spans="1:2" x14ac:dyDescent="0.2">
      <c r="A1508" t="s">
        <v>4455</v>
      </c>
      <c r="B1508" s="8" t="s">
        <v>4456</v>
      </c>
    </row>
    <row r="1509" spans="1:2" x14ac:dyDescent="0.2">
      <c r="A1509" t="s">
        <v>4458</v>
      </c>
      <c r="B1509" s="8" t="s">
        <v>4459</v>
      </c>
    </row>
    <row r="1510" spans="1:2" x14ac:dyDescent="0.2">
      <c r="A1510" t="s">
        <v>4461</v>
      </c>
      <c r="B1510" s="8" t="s">
        <v>4462</v>
      </c>
    </row>
    <row r="1511" spans="1:2" x14ac:dyDescent="0.2">
      <c r="A1511" t="s">
        <v>4464</v>
      </c>
      <c r="B1511" s="8" t="s">
        <v>4465</v>
      </c>
    </row>
    <row r="1512" spans="1:2" x14ac:dyDescent="0.2">
      <c r="A1512" t="s">
        <v>4467</v>
      </c>
      <c r="B1512" s="8" t="s">
        <v>4468</v>
      </c>
    </row>
    <row r="1513" spans="1:2" x14ac:dyDescent="0.2">
      <c r="A1513" t="s">
        <v>4470</v>
      </c>
      <c r="B1513" s="8" t="s">
        <v>4471</v>
      </c>
    </row>
    <row r="1514" spans="1:2" x14ac:dyDescent="0.2">
      <c r="A1514" t="s">
        <v>4473</v>
      </c>
      <c r="B1514" s="8" t="s">
        <v>357</v>
      </c>
    </row>
    <row r="1515" spans="1:2" x14ac:dyDescent="0.2">
      <c r="A1515" t="s">
        <v>4475</v>
      </c>
      <c r="B1515" s="8" t="s">
        <v>4476</v>
      </c>
    </row>
    <row r="1516" spans="1:2" x14ac:dyDescent="0.2">
      <c r="A1516" t="s">
        <v>4477</v>
      </c>
      <c r="B1516" s="8" t="s">
        <v>4478</v>
      </c>
    </row>
    <row r="1517" spans="1:2" x14ac:dyDescent="0.2">
      <c r="A1517" t="s">
        <v>4480</v>
      </c>
      <c r="B1517" s="8" t="s">
        <v>4481</v>
      </c>
    </row>
    <row r="1518" spans="1:2" x14ac:dyDescent="0.2">
      <c r="A1518" t="s">
        <v>4483</v>
      </c>
      <c r="B1518" s="8" t="s">
        <v>4484</v>
      </c>
    </row>
    <row r="1519" spans="1:2" x14ac:dyDescent="0.2">
      <c r="A1519" t="s">
        <v>4486</v>
      </c>
      <c r="B1519" s="8" t="s">
        <v>272</v>
      </c>
    </row>
    <row r="1520" spans="1:2" x14ac:dyDescent="0.2">
      <c r="A1520" t="s">
        <v>4488</v>
      </c>
      <c r="B1520" s="8" t="s">
        <v>4489</v>
      </c>
    </row>
    <row r="1521" spans="1:2" x14ac:dyDescent="0.2">
      <c r="A1521" t="s">
        <v>4491</v>
      </c>
      <c r="B1521" s="8" t="s">
        <v>4492</v>
      </c>
    </row>
    <row r="1522" spans="1:2" x14ac:dyDescent="0.2">
      <c r="A1522" t="s">
        <v>4494</v>
      </c>
      <c r="B1522" s="8" t="s">
        <v>4495</v>
      </c>
    </row>
    <row r="1523" spans="1:2" x14ac:dyDescent="0.2">
      <c r="A1523" t="s">
        <v>4497</v>
      </c>
      <c r="B1523" s="8" t="s">
        <v>4498</v>
      </c>
    </row>
    <row r="1524" spans="1:2" x14ac:dyDescent="0.2">
      <c r="A1524" t="s">
        <v>4500</v>
      </c>
      <c r="B1524" s="8" t="s">
        <v>255</v>
      </c>
    </row>
    <row r="1525" spans="1:2" x14ac:dyDescent="0.2">
      <c r="A1525" t="s">
        <v>4502</v>
      </c>
      <c r="B1525" s="8" t="s">
        <v>4503</v>
      </c>
    </row>
    <row r="1526" spans="1:2" x14ac:dyDescent="0.2">
      <c r="A1526" t="s">
        <v>4505</v>
      </c>
      <c r="B1526" s="8" t="s">
        <v>4506</v>
      </c>
    </row>
    <row r="1527" spans="1:2" x14ac:dyDescent="0.2">
      <c r="A1527" t="s">
        <v>4508</v>
      </c>
      <c r="B1527" s="8" t="s">
        <v>4509</v>
      </c>
    </row>
    <row r="1528" spans="1:2" x14ac:dyDescent="0.2">
      <c r="A1528" t="s">
        <v>4511</v>
      </c>
      <c r="B1528" s="8" t="s">
        <v>4512</v>
      </c>
    </row>
    <row r="1529" spans="1:2" x14ac:dyDescent="0.2">
      <c r="A1529" t="s">
        <v>4514</v>
      </c>
      <c r="B1529" s="8" t="s">
        <v>4515</v>
      </c>
    </row>
    <row r="1530" spans="1:2" x14ac:dyDescent="0.2">
      <c r="A1530" t="s">
        <v>4517</v>
      </c>
      <c r="B1530" s="8" t="s">
        <v>4518</v>
      </c>
    </row>
    <row r="1531" spans="1:2" x14ac:dyDescent="0.2">
      <c r="A1531" t="s">
        <v>4520</v>
      </c>
      <c r="B1531" s="8" t="s">
        <v>4521</v>
      </c>
    </row>
    <row r="1532" spans="1:2" x14ac:dyDescent="0.2">
      <c r="A1532" t="s">
        <v>4523</v>
      </c>
      <c r="B1532" s="8" t="s">
        <v>4524</v>
      </c>
    </row>
    <row r="1533" spans="1:2" x14ac:dyDescent="0.2">
      <c r="A1533" t="s">
        <v>4526</v>
      </c>
      <c r="B1533" s="8" t="s">
        <v>4527</v>
      </c>
    </row>
    <row r="1534" spans="1:2" x14ac:dyDescent="0.2">
      <c r="A1534" t="s">
        <v>4529</v>
      </c>
      <c r="B1534" s="8" t="s">
        <v>4530</v>
      </c>
    </row>
    <row r="1535" spans="1:2" x14ac:dyDescent="0.2">
      <c r="A1535" t="s">
        <v>4532</v>
      </c>
      <c r="B1535" s="8" t="s">
        <v>4533</v>
      </c>
    </row>
    <row r="1536" spans="1:2" x14ac:dyDescent="0.2">
      <c r="A1536" t="s">
        <v>4535</v>
      </c>
      <c r="B1536" s="8" t="s">
        <v>4536</v>
      </c>
    </row>
    <row r="1537" spans="1:2" x14ac:dyDescent="0.2">
      <c r="A1537" t="s">
        <v>4538</v>
      </c>
      <c r="B1537" s="8" t="s">
        <v>4539</v>
      </c>
    </row>
    <row r="1538" spans="1:2" x14ac:dyDescent="0.2">
      <c r="A1538" t="s">
        <v>4541</v>
      </c>
      <c r="B1538" s="8" t="s">
        <v>4542</v>
      </c>
    </row>
    <row r="1539" spans="1:2" x14ac:dyDescent="0.2">
      <c r="A1539" t="s">
        <v>4544</v>
      </c>
      <c r="B1539" s="8" t="s">
        <v>4542</v>
      </c>
    </row>
    <row r="1540" spans="1:2" x14ac:dyDescent="0.2">
      <c r="A1540" t="s">
        <v>4545</v>
      </c>
      <c r="B1540" s="8" t="s">
        <v>4546</v>
      </c>
    </row>
    <row r="1541" spans="1:2" x14ac:dyDescent="0.2">
      <c r="A1541" t="s">
        <v>4548</v>
      </c>
      <c r="B1541" s="8" t="s">
        <v>4549</v>
      </c>
    </row>
    <row r="1542" spans="1:2" x14ac:dyDescent="0.2">
      <c r="A1542" t="s">
        <v>4551</v>
      </c>
      <c r="B1542" s="8" t="s">
        <v>4552</v>
      </c>
    </row>
    <row r="1543" spans="1:2" x14ac:dyDescent="0.2">
      <c r="A1543" t="s">
        <v>4554</v>
      </c>
      <c r="B1543" s="8" t="s">
        <v>357</v>
      </c>
    </row>
    <row r="1544" spans="1:2" x14ac:dyDescent="0.2">
      <c r="A1544" t="s">
        <v>4555</v>
      </c>
      <c r="B1544" s="8" t="s">
        <v>357</v>
      </c>
    </row>
    <row r="1545" spans="1:2" x14ac:dyDescent="0.2">
      <c r="A1545" t="s">
        <v>4556</v>
      </c>
      <c r="B1545" s="8" t="s">
        <v>4557</v>
      </c>
    </row>
    <row r="1546" spans="1:2" x14ac:dyDescent="0.2">
      <c r="A1546" t="s">
        <v>4559</v>
      </c>
      <c r="B1546" s="8" t="s">
        <v>4560</v>
      </c>
    </row>
    <row r="1547" spans="1:2" x14ac:dyDescent="0.2">
      <c r="A1547" t="s">
        <v>4562</v>
      </c>
      <c r="B1547" s="8" t="s">
        <v>4563</v>
      </c>
    </row>
    <row r="1548" spans="1:2" x14ac:dyDescent="0.2">
      <c r="A1548" t="s">
        <v>4565</v>
      </c>
      <c r="B1548" s="8" t="s">
        <v>4566</v>
      </c>
    </row>
    <row r="1549" spans="1:2" x14ac:dyDescent="0.2">
      <c r="A1549" t="s">
        <v>4568</v>
      </c>
      <c r="B1549" s="8" t="s">
        <v>259</v>
      </c>
    </row>
    <row r="1550" spans="1:2" x14ac:dyDescent="0.2">
      <c r="A1550" t="s">
        <v>4570</v>
      </c>
      <c r="B1550" s="8" t="s">
        <v>4571</v>
      </c>
    </row>
    <row r="1551" spans="1:2" x14ac:dyDescent="0.2">
      <c r="A1551" t="s">
        <v>4573</v>
      </c>
      <c r="B1551" s="8" t="s">
        <v>4574</v>
      </c>
    </row>
    <row r="1552" spans="1:2" x14ac:dyDescent="0.2">
      <c r="A1552" t="s">
        <v>4576</v>
      </c>
      <c r="B1552" s="8" t="s">
        <v>4577</v>
      </c>
    </row>
    <row r="1553" spans="1:2" x14ac:dyDescent="0.2">
      <c r="A1553" t="s">
        <v>4579</v>
      </c>
      <c r="B1553" s="8" t="s">
        <v>4580</v>
      </c>
    </row>
    <row r="1554" spans="1:2" x14ac:dyDescent="0.2">
      <c r="A1554" t="s">
        <v>4582</v>
      </c>
      <c r="B1554" s="8" t="s">
        <v>4583</v>
      </c>
    </row>
    <row r="1555" spans="1:2" x14ac:dyDescent="0.2">
      <c r="A1555" t="s">
        <v>4585</v>
      </c>
      <c r="B1555" s="8" t="s">
        <v>4586</v>
      </c>
    </row>
    <row r="1556" spans="1:2" x14ac:dyDescent="0.2">
      <c r="A1556" t="s">
        <v>4587</v>
      </c>
      <c r="B1556" s="8" t="s">
        <v>960</v>
      </c>
    </row>
    <row r="1557" spans="1:2" x14ac:dyDescent="0.2">
      <c r="A1557" t="s">
        <v>4589</v>
      </c>
      <c r="B1557" s="8" t="s">
        <v>4590</v>
      </c>
    </row>
    <row r="1558" spans="1:2" x14ac:dyDescent="0.2">
      <c r="A1558" t="s">
        <v>4592</v>
      </c>
      <c r="B1558" s="8" t="s">
        <v>4593</v>
      </c>
    </row>
    <row r="1559" spans="1:2" x14ac:dyDescent="0.2">
      <c r="A1559" t="s">
        <v>4595</v>
      </c>
      <c r="B1559" s="8" t="s">
        <v>4593</v>
      </c>
    </row>
    <row r="1560" spans="1:2" x14ac:dyDescent="0.2">
      <c r="A1560" t="s">
        <v>4596</v>
      </c>
      <c r="B1560" s="8" t="s">
        <v>357</v>
      </c>
    </row>
    <row r="1561" spans="1:2" x14ac:dyDescent="0.2">
      <c r="A1561" t="s">
        <v>4598</v>
      </c>
      <c r="B1561" s="8" t="s">
        <v>4599</v>
      </c>
    </row>
    <row r="1562" spans="1:2" x14ac:dyDescent="0.2">
      <c r="A1562" t="s">
        <v>4600</v>
      </c>
      <c r="B1562" s="8" t="s">
        <v>4601</v>
      </c>
    </row>
    <row r="1563" spans="1:2" x14ac:dyDescent="0.2">
      <c r="A1563" t="s">
        <v>4603</v>
      </c>
      <c r="B1563" s="8" t="s">
        <v>4604</v>
      </c>
    </row>
    <row r="1564" spans="1:2" x14ac:dyDescent="0.2">
      <c r="A1564" t="s">
        <v>4606</v>
      </c>
      <c r="B1564" s="8" t="s">
        <v>4607</v>
      </c>
    </row>
    <row r="1565" spans="1:2" x14ac:dyDescent="0.2">
      <c r="A1565" t="s">
        <v>4609</v>
      </c>
      <c r="B1565" s="8" t="s">
        <v>4610</v>
      </c>
    </row>
    <row r="1566" spans="1:2" x14ac:dyDescent="0.2">
      <c r="A1566" t="s">
        <v>4612</v>
      </c>
      <c r="B1566" s="8" t="s">
        <v>4613</v>
      </c>
    </row>
    <row r="1567" spans="1:2" x14ac:dyDescent="0.2">
      <c r="A1567" t="s">
        <v>4615</v>
      </c>
      <c r="B1567" s="8" t="s">
        <v>4616</v>
      </c>
    </row>
    <row r="1568" spans="1:2" x14ac:dyDescent="0.2">
      <c r="A1568" t="s">
        <v>4618</v>
      </c>
      <c r="B1568" s="8" t="s">
        <v>4619</v>
      </c>
    </row>
    <row r="1569" spans="1:2" x14ac:dyDescent="0.2">
      <c r="A1569" t="s">
        <v>4621</v>
      </c>
      <c r="B1569" s="8" t="s">
        <v>4622</v>
      </c>
    </row>
    <row r="1570" spans="1:2" x14ac:dyDescent="0.2">
      <c r="A1570" t="s">
        <v>4623</v>
      </c>
      <c r="B1570" s="8" t="s">
        <v>4624</v>
      </c>
    </row>
    <row r="1571" spans="1:2" x14ac:dyDescent="0.2">
      <c r="A1571" t="s">
        <v>4625</v>
      </c>
      <c r="B1571" s="8" t="s">
        <v>4626</v>
      </c>
    </row>
    <row r="1572" spans="1:2" x14ac:dyDescent="0.2">
      <c r="A1572" t="s">
        <v>4628</v>
      </c>
      <c r="B1572" s="8" t="s">
        <v>4629</v>
      </c>
    </row>
    <row r="1573" spans="1:2" x14ac:dyDescent="0.2">
      <c r="A1573" t="s">
        <v>4631</v>
      </c>
      <c r="B1573" s="8" t="s">
        <v>4632</v>
      </c>
    </row>
    <row r="1574" spans="1:2" x14ac:dyDescent="0.2">
      <c r="A1574" t="s">
        <v>4634</v>
      </c>
      <c r="B1574" s="8" t="s">
        <v>4635</v>
      </c>
    </row>
    <row r="1575" spans="1:2" x14ac:dyDescent="0.2">
      <c r="A1575" t="s">
        <v>4637</v>
      </c>
      <c r="B1575" s="8" t="s">
        <v>4638</v>
      </c>
    </row>
    <row r="1576" spans="1:2" x14ac:dyDescent="0.2">
      <c r="A1576" t="s">
        <v>4639</v>
      </c>
      <c r="B1576" s="8" t="s">
        <v>4640</v>
      </c>
    </row>
    <row r="1577" spans="1:2" x14ac:dyDescent="0.2">
      <c r="A1577" t="s">
        <v>4642</v>
      </c>
      <c r="B1577" s="8" t="s">
        <v>4643</v>
      </c>
    </row>
    <row r="1578" spans="1:2" x14ac:dyDescent="0.2">
      <c r="A1578" t="s">
        <v>4645</v>
      </c>
      <c r="B1578" s="8" t="s">
        <v>4646</v>
      </c>
    </row>
    <row r="1579" spans="1:2" x14ac:dyDescent="0.2">
      <c r="A1579" t="s">
        <v>4648</v>
      </c>
      <c r="B1579" s="8" t="s">
        <v>4649</v>
      </c>
    </row>
    <row r="1580" spans="1:2" x14ac:dyDescent="0.2">
      <c r="A1580" t="s">
        <v>4651</v>
      </c>
      <c r="B1580" s="8" t="s">
        <v>4652</v>
      </c>
    </row>
    <row r="1581" spans="1:2" x14ac:dyDescent="0.2">
      <c r="A1581" t="s">
        <v>4654</v>
      </c>
      <c r="B1581" s="8" t="s">
        <v>4655</v>
      </c>
    </row>
    <row r="1582" spans="1:2" x14ac:dyDescent="0.2">
      <c r="A1582" t="s">
        <v>4657</v>
      </c>
      <c r="B1582" s="8" t="s">
        <v>4658</v>
      </c>
    </row>
    <row r="1583" spans="1:2" x14ac:dyDescent="0.2">
      <c r="A1583" t="s">
        <v>4660</v>
      </c>
      <c r="B1583" s="8" t="s">
        <v>4661</v>
      </c>
    </row>
    <row r="1584" spans="1:2" x14ac:dyDescent="0.2">
      <c r="A1584" t="s">
        <v>4663</v>
      </c>
      <c r="B1584" s="8" t="s">
        <v>4664</v>
      </c>
    </row>
    <row r="1585" spans="1:2" x14ac:dyDescent="0.2">
      <c r="A1585" t="s">
        <v>4666</v>
      </c>
      <c r="B1585" s="8" t="s">
        <v>4667</v>
      </c>
    </row>
    <row r="1586" spans="1:2" x14ac:dyDescent="0.2">
      <c r="A1586" t="s">
        <v>4669</v>
      </c>
      <c r="B1586" s="8" t="s">
        <v>4670</v>
      </c>
    </row>
    <row r="1587" spans="1:2" x14ac:dyDescent="0.2">
      <c r="A1587" t="s">
        <v>4672</v>
      </c>
      <c r="B1587" s="8" t="s">
        <v>4673</v>
      </c>
    </row>
    <row r="1588" spans="1:2" x14ac:dyDescent="0.2">
      <c r="A1588" t="s">
        <v>4675</v>
      </c>
      <c r="B1588" s="8" t="s">
        <v>4676</v>
      </c>
    </row>
    <row r="1589" spans="1:2" x14ac:dyDescent="0.2">
      <c r="A1589" t="s">
        <v>4678</v>
      </c>
      <c r="B1589" s="8" t="s">
        <v>4679</v>
      </c>
    </row>
    <row r="1590" spans="1:2" x14ac:dyDescent="0.2">
      <c r="A1590" t="s">
        <v>4681</v>
      </c>
      <c r="B1590" s="8" t="s">
        <v>4682</v>
      </c>
    </row>
    <row r="1591" spans="1:2" x14ac:dyDescent="0.2">
      <c r="A1591" t="s">
        <v>4684</v>
      </c>
      <c r="B1591" s="8" t="s">
        <v>4682</v>
      </c>
    </row>
    <row r="1592" spans="1:2" x14ac:dyDescent="0.2">
      <c r="A1592" t="s">
        <v>4685</v>
      </c>
      <c r="B1592" s="8" t="s">
        <v>4686</v>
      </c>
    </row>
    <row r="1593" spans="1:2" x14ac:dyDescent="0.2">
      <c r="A1593" t="s">
        <v>4688</v>
      </c>
      <c r="B1593" s="8" t="s">
        <v>4689</v>
      </c>
    </row>
    <row r="1594" spans="1:2" x14ac:dyDescent="0.2">
      <c r="A1594" t="s">
        <v>4691</v>
      </c>
      <c r="B1594" s="8" t="s">
        <v>4692</v>
      </c>
    </row>
    <row r="1595" spans="1:2" x14ac:dyDescent="0.2">
      <c r="A1595" t="s">
        <v>4693</v>
      </c>
      <c r="B1595" s="8" t="s">
        <v>4694</v>
      </c>
    </row>
    <row r="1596" spans="1:2" x14ac:dyDescent="0.2">
      <c r="A1596" t="s">
        <v>4696</v>
      </c>
      <c r="B1596" s="8" t="s">
        <v>4697</v>
      </c>
    </row>
    <row r="1597" spans="1:2" x14ac:dyDescent="0.2">
      <c r="A1597" t="s">
        <v>4699</v>
      </c>
      <c r="B1597" s="8" t="s">
        <v>4700</v>
      </c>
    </row>
    <row r="1598" spans="1:2" x14ac:dyDescent="0.2">
      <c r="A1598" t="s">
        <v>4702</v>
      </c>
      <c r="B1598" s="8" t="s">
        <v>4703</v>
      </c>
    </row>
    <row r="1599" spans="1:2" x14ac:dyDescent="0.2">
      <c r="A1599" t="s">
        <v>4705</v>
      </c>
      <c r="B1599" s="8" t="s">
        <v>357</v>
      </c>
    </row>
    <row r="1600" spans="1:2" x14ac:dyDescent="0.2">
      <c r="A1600" t="s">
        <v>4707</v>
      </c>
      <c r="B1600" s="8" t="s">
        <v>4708</v>
      </c>
    </row>
    <row r="1601" spans="1:2" x14ac:dyDescent="0.2">
      <c r="A1601" t="s">
        <v>4710</v>
      </c>
      <c r="B1601" s="8" t="s">
        <v>4711</v>
      </c>
    </row>
    <row r="1602" spans="1:2" x14ac:dyDescent="0.2">
      <c r="A1602" t="s">
        <v>4713</v>
      </c>
      <c r="B1602" s="8" t="s">
        <v>4714</v>
      </c>
    </row>
    <row r="1603" spans="1:2" x14ac:dyDescent="0.2">
      <c r="A1603" t="s">
        <v>4716</v>
      </c>
      <c r="B1603" s="8" t="s">
        <v>4717</v>
      </c>
    </row>
    <row r="1604" spans="1:2" x14ac:dyDescent="0.2">
      <c r="A1604" t="s">
        <v>4719</v>
      </c>
      <c r="B1604" s="8" t="s">
        <v>4720</v>
      </c>
    </row>
    <row r="1605" spans="1:2" x14ac:dyDescent="0.2">
      <c r="A1605" t="s">
        <v>4722</v>
      </c>
      <c r="B1605" s="8" t="s">
        <v>357</v>
      </c>
    </row>
    <row r="1606" spans="1:2" x14ac:dyDescent="0.2">
      <c r="A1606" t="s">
        <v>4724</v>
      </c>
      <c r="B1606" s="8" t="s">
        <v>4725</v>
      </c>
    </row>
    <row r="1607" spans="1:2" x14ac:dyDescent="0.2">
      <c r="A1607" t="s">
        <v>4727</v>
      </c>
      <c r="B1607" s="8" t="s">
        <v>357</v>
      </c>
    </row>
    <row r="1608" spans="1:2" x14ac:dyDescent="0.2">
      <c r="A1608" t="s">
        <v>4729</v>
      </c>
      <c r="B1608" s="8" t="s">
        <v>4730</v>
      </c>
    </row>
    <row r="1609" spans="1:2" x14ac:dyDescent="0.2">
      <c r="A1609" t="s">
        <v>4732</v>
      </c>
      <c r="B1609" s="8" t="s">
        <v>4733</v>
      </c>
    </row>
    <row r="1610" spans="1:2" x14ac:dyDescent="0.2">
      <c r="A1610" t="s">
        <v>4735</v>
      </c>
      <c r="B1610" s="8" t="s">
        <v>4736</v>
      </c>
    </row>
    <row r="1611" spans="1:2" x14ac:dyDescent="0.2">
      <c r="A1611" t="s">
        <v>4738</v>
      </c>
      <c r="B1611" s="8" t="s">
        <v>4739</v>
      </c>
    </row>
    <row r="1612" spans="1:2" x14ac:dyDescent="0.2">
      <c r="A1612" t="s">
        <v>4740</v>
      </c>
      <c r="B1612" s="8" t="s">
        <v>4741</v>
      </c>
    </row>
    <row r="1613" spans="1:2" x14ac:dyDescent="0.2">
      <c r="A1613" t="s">
        <v>4743</v>
      </c>
      <c r="B1613" s="8" t="s">
        <v>4744</v>
      </c>
    </row>
    <row r="1614" spans="1:2" x14ac:dyDescent="0.2">
      <c r="A1614" t="s">
        <v>4746</v>
      </c>
      <c r="B1614" s="8" t="s">
        <v>4747</v>
      </c>
    </row>
    <row r="1615" spans="1:2" x14ac:dyDescent="0.2">
      <c r="A1615" t="s">
        <v>4749</v>
      </c>
      <c r="B1615" s="8" t="s">
        <v>357</v>
      </c>
    </row>
    <row r="1616" spans="1:2" x14ac:dyDescent="0.2">
      <c r="A1616" t="s">
        <v>4751</v>
      </c>
      <c r="B1616" s="8" t="s">
        <v>4752</v>
      </c>
    </row>
    <row r="1617" spans="1:2" x14ac:dyDescent="0.2">
      <c r="A1617" t="s">
        <v>4754</v>
      </c>
      <c r="B1617" s="8" t="s">
        <v>4755</v>
      </c>
    </row>
    <row r="1618" spans="1:2" x14ac:dyDescent="0.2">
      <c r="A1618" t="s">
        <v>4757</v>
      </c>
      <c r="B1618" s="8" t="s">
        <v>4758</v>
      </c>
    </row>
    <row r="1619" spans="1:2" x14ac:dyDescent="0.2">
      <c r="A1619" t="s">
        <v>4759</v>
      </c>
      <c r="B1619" s="8" t="s">
        <v>4760</v>
      </c>
    </row>
    <row r="1620" spans="1:2" x14ac:dyDescent="0.2">
      <c r="A1620" t="s">
        <v>4762</v>
      </c>
      <c r="B1620" s="8" t="s">
        <v>4763</v>
      </c>
    </row>
    <row r="1621" spans="1:2" x14ac:dyDescent="0.2">
      <c r="A1621" t="s">
        <v>4765</v>
      </c>
      <c r="B1621" s="8" t="s">
        <v>4766</v>
      </c>
    </row>
    <row r="1622" spans="1:2" x14ac:dyDescent="0.2">
      <c r="A1622" t="s">
        <v>4768</v>
      </c>
      <c r="B1622" s="8" t="s">
        <v>4769</v>
      </c>
    </row>
    <row r="1623" spans="1:2" x14ac:dyDescent="0.2">
      <c r="A1623" t="s">
        <v>4771</v>
      </c>
      <c r="B1623" s="8" t="s">
        <v>4772</v>
      </c>
    </row>
    <row r="1624" spans="1:2" x14ac:dyDescent="0.2">
      <c r="A1624" t="s">
        <v>4774</v>
      </c>
      <c r="B1624" s="8" t="s">
        <v>4775</v>
      </c>
    </row>
    <row r="1625" spans="1:2" x14ac:dyDescent="0.2">
      <c r="A1625" t="s">
        <v>4777</v>
      </c>
      <c r="B1625" s="8" t="s">
        <v>267</v>
      </c>
    </row>
    <row r="1626" spans="1:2" x14ac:dyDescent="0.2">
      <c r="A1626" t="s">
        <v>4779</v>
      </c>
      <c r="B1626" s="8" t="s">
        <v>267</v>
      </c>
    </row>
    <row r="1627" spans="1:2" x14ac:dyDescent="0.2">
      <c r="A1627" t="s">
        <v>4780</v>
      </c>
      <c r="B1627" s="8" t="s">
        <v>267</v>
      </c>
    </row>
    <row r="1628" spans="1:2" x14ac:dyDescent="0.2">
      <c r="A1628" t="s">
        <v>4781</v>
      </c>
      <c r="B1628" s="8" t="s">
        <v>4782</v>
      </c>
    </row>
    <row r="1629" spans="1:2" x14ac:dyDescent="0.2">
      <c r="A1629" t="s">
        <v>4784</v>
      </c>
      <c r="B1629" s="8" t="s">
        <v>4785</v>
      </c>
    </row>
    <row r="1630" spans="1:2" x14ac:dyDescent="0.2">
      <c r="A1630" t="s">
        <v>4787</v>
      </c>
      <c r="B1630" s="8" t="s">
        <v>4788</v>
      </c>
    </row>
    <row r="1631" spans="1:2" x14ac:dyDescent="0.2">
      <c r="A1631" t="s">
        <v>4790</v>
      </c>
      <c r="B1631" s="8" t="s">
        <v>4791</v>
      </c>
    </row>
    <row r="1632" spans="1:2" x14ac:dyDescent="0.2">
      <c r="A1632" t="s">
        <v>4793</v>
      </c>
      <c r="B1632" s="8" t="s">
        <v>4794</v>
      </c>
    </row>
    <row r="1633" spans="1:2" x14ac:dyDescent="0.2">
      <c r="A1633" t="s">
        <v>4796</v>
      </c>
      <c r="B1633" s="8" t="s">
        <v>4797</v>
      </c>
    </row>
    <row r="1634" spans="1:2" x14ac:dyDescent="0.2">
      <c r="A1634" t="s">
        <v>4799</v>
      </c>
      <c r="B1634" s="8" t="s">
        <v>4800</v>
      </c>
    </row>
    <row r="1635" spans="1:2" x14ac:dyDescent="0.2">
      <c r="A1635" t="s">
        <v>4802</v>
      </c>
      <c r="B1635" s="8" t="s">
        <v>4803</v>
      </c>
    </row>
    <row r="1636" spans="1:2" x14ac:dyDescent="0.2">
      <c r="A1636" t="s">
        <v>4805</v>
      </c>
      <c r="B1636" s="8" t="s">
        <v>4806</v>
      </c>
    </row>
    <row r="1637" spans="1:2" x14ac:dyDescent="0.2">
      <c r="A1637" t="s">
        <v>4808</v>
      </c>
      <c r="B1637" s="8" t="s">
        <v>4809</v>
      </c>
    </row>
    <row r="1638" spans="1:2" x14ac:dyDescent="0.2">
      <c r="A1638" t="s">
        <v>4811</v>
      </c>
      <c r="B1638" s="8" t="s">
        <v>4812</v>
      </c>
    </row>
    <row r="1639" spans="1:2" x14ac:dyDescent="0.2">
      <c r="A1639" t="s">
        <v>4814</v>
      </c>
      <c r="B1639" s="8" t="s">
        <v>4815</v>
      </c>
    </row>
    <row r="1640" spans="1:2" x14ac:dyDescent="0.2">
      <c r="A1640" t="s">
        <v>4817</v>
      </c>
      <c r="B1640" s="8" t="s">
        <v>4818</v>
      </c>
    </row>
    <row r="1641" spans="1:2" x14ac:dyDescent="0.2">
      <c r="A1641" t="s">
        <v>4820</v>
      </c>
      <c r="B1641" s="8" t="s">
        <v>4821</v>
      </c>
    </row>
    <row r="1642" spans="1:2" x14ac:dyDescent="0.2">
      <c r="A1642" t="s">
        <v>4823</v>
      </c>
      <c r="B1642" s="8" t="s">
        <v>4824</v>
      </c>
    </row>
    <row r="1643" spans="1:2" x14ac:dyDescent="0.2">
      <c r="A1643" t="s">
        <v>4826</v>
      </c>
      <c r="B1643" s="8" t="s">
        <v>4827</v>
      </c>
    </row>
    <row r="1644" spans="1:2" x14ac:dyDescent="0.2">
      <c r="A1644" t="s">
        <v>4829</v>
      </c>
      <c r="B1644" s="8" t="s">
        <v>4830</v>
      </c>
    </row>
    <row r="1645" spans="1:2" x14ac:dyDescent="0.2">
      <c r="A1645" t="s">
        <v>4832</v>
      </c>
      <c r="B1645" s="8" t="s">
        <v>4833</v>
      </c>
    </row>
    <row r="1646" spans="1:2" x14ac:dyDescent="0.2">
      <c r="A1646" t="s">
        <v>4835</v>
      </c>
      <c r="B1646" s="8" t="s">
        <v>4836</v>
      </c>
    </row>
    <row r="1647" spans="1:2" x14ac:dyDescent="0.2">
      <c r="A1647" t="s">
        <v>4838</v>
      </c>
      <c r="B1647" s="8" t="s">
        <v>4839</v>
      </c>
    </row>
    <row r="1648" spans="1:2" x14ac:dyDescent="0.2">
      <c r="A1648" t="s">
        <v>4841</v>
      </c>
      <c r="B1648" s="8" t="s">
        <v>4842</v>
      </c>
    </row>
    <row r="1649" spans="1:2" x14ac:dyDescent="0.2">
      <c r="A1649" t="s">
        <v>4844</v>
      </c>
      <c r="B1649" s="8" t="s">
        <v>224</v>
      </c>
    </row>
    <row r="1650" spans="1:2" x14ac:dyDescent="0.2">
      <c r="A1650" t="s">
        <v>4846</v>
      </c>
      <c r="B1650" s="8" t="s">
        <v>4847</v>
      </c>
    </row>
    <row r="1651" spans="1:2" x14ac:dyDescent="0.2">
      <c r="A1651" t="s">
        <v>4849</v>
      </c>
      <c r="B1651" s="8" t="s">
        <v>4850</v>
      </c>
    </row>
    <row r="1652" spans="1:2" x14ac:dyDescent="0.2">
      <c r="A1652" t="s">
        <v>4852</v>
      </c>
      <c r="B1652" s="8" t="s">
        <v>4853</v>
      </c>
    </row>
    <row r="1653" spans="1:2" x14ac:dyDescent="0.2">
      <c r="A1653" t="s">
        <v>4855</v>
      </c>
      <c r="B1653" s="8" t="s">
        <v>4856</v>
      </c>
    </row>
    <row r="1654" spans="1:2" x14ac:dyDescent="0.2">
      <c r="A1654" t="s">
        <v>4858</v>
      </c>
      <c r="B1654" s="8" t="s">
        <v>4859</v>
      </c>
    </row>
    <row r="1655" spans="1:2" x14ac:dyDescent="0.2">
      <c r="A1655" t="s">
        <v>4861</v>
      </c>
      <c r="B1655" s="8" t="s">
        <v>4862</v>
      </c>
    </row>
    <row r="1656" spans="1:2" x14ac:dyDescent="0.2">
      <c r="A1656" t="s">
        <v>4864</v>
      </c>
      <c r="B1656" s="8" t="s">
        <v>4865</v>
      </c>
    </row>
    <row r="1657" spans="1:2" x14ac:dyDescent="0.2">
      <c r="A1657" t="s">
        <v>4867</v>
      </c>
      <c r="B1657" s="8" t="s">
        <v>4868</v>
      </c>
    </row>
    <row r="1658" spans="1:2" x14ac:dyDescent="0.2">
      <c r="A1658" t="s">
        <v>4870</v>
      </c>
      <c r="B1658" s="8" t="s">
        <v>4871</v>
      </c>
    </row>
    <row r="1659" spans="1:2" x14ac:dyDescent="0.2">
      <c r="A1659" t="s">
        <v>4873</v>
      </c>
      <c r="B1659" s="8" t="s">
        <v>4874</v>
      </c>
    </row>
    <row r="1660" spans="1:2" x14ac:dyDescent="0.2">
      <c r="A1660" t="s">
        <v>4876</v>
      </c>
      <c r="B1660" s="8" t="s">
        <v>357</v>
      </c>
    </row>
    <row r="1661" spans="1:2" x14ac:dyDescent="0.2">
      <c r="A1661" t="s">
        <v>4877</v>
      </c>
      <c r="B1661" s="8" t="s">
        <v>4878</v>
      </c>
    </row>
    <row r="1662" spans="1:2" x14ac:dyDescent="0.2">
      <c r="A1662" t="s">
        <v>4880</v>
      </c>
      <c r="B1662" s="8" t="s">
        <v>4881</v>
      </c>
    </row>
    <row r="1663" spans="1:2" x14ac:dyDescent="0.2">
      <c r="A1663" t="s">
        <v>4883</v>
      </c>
      <c r="B1663" s="8" t="s">
        <v>4881</v>
      </c>
    </row>
    <row r="1664" spans="1:2" x14ac:dyDescent="0.2">
      <c r="A1664" t="s">
        <v>4884</v>
      </c>
      <c r="B1664" s="8" t="s">
        <v>4885</v>
      </c>
    </row>
    <row r="1665" spans="1:2" x14ac:dyDescent="0.2">
      <c r="A1665" t="s">
        <v>4887</v>
      </c>
      <c r="B1665" s="8" t="s">
        <v>4888</v>
      </c>
    </row>
    <row r="1666" spans="1:2" x14ac:dyDescent="0.2">
      <c r="A1666" t="s">
        <v>4890</v>
      </c>
      <c r="B1666" s="8" t="s">
        <v>4891</v>
      </c>
    </row>
    <row r="1667" spans="1:2" x14ac:dyDescent="0.2">
      <c r="A1667" t="s">
        <v>4893</v>
      </c>
      <c r="B1667" s="8" t="s">
        <v>4894</v>
      </c>
    </row>
    <row r="1668" spans="1:2" x14ac:dyDescent="0.2">
      <c r="A1668" t="s">
        <v>4896</v>
      </c>
      <c r="B1668" s="8" t="s">
        <v>357</v>
      </c>
    </row>
    <row r="1669" spans="1:2" x14ac:dyDescent="0.2">
      <c r="A1669" t="s">
        <v>4897</v>
      </c>
      <c r="B1669" s="8" t="s">
        <v>4898</v>
      </c>
    </row>
    <row r="1670" spans="1:2" x14ac:dyDescent="0.2">
      <c r="A1670" t="s">
        <v>4900</v>
      </c>
      <c r="B1670" s="8" t="s">
        <v>4901</v>
      </c>
    </row>
    <row r="1671" spans="1:2" x14ac:dyDescent="0.2">
      <c r="A1671" t="s">
        <v>4903</v>
      </c>
      <c r="B1671" s="8" t="s">
        <v>4904</v>
      </c>
    </row>
    <row r="1672" spans="1:2" x14ac:dyDescent="0.2">
      <c r="A1672" t="s">
        <v>4906</v>
      </c>
      <c r="B1672" s="8" t="s">
        <v>4907</v>
      </c>
    </row>
    <row r="1673" spans="1:2" x14ac:dyDescent="0.2">
      <c r="A1673" t="s">
        <v>4909</v>
      </c>
      <c r="B1673" s="8" t="s">
        <v>4910</v>
      </c>
    </row>
    <row r="1674" spans="1:2" x14ac:dyDescent="0.2">
      <c r="A1674" t="s">
        <v>4912</v>
      </c>
      <c r="B1674" s="8" t="s">
        <v>4913</v>
      </c>
    </row>
    <row r="1675" spans="1:2" x14ac:dyDescent="0.2">
      <c r="A1675" t="s">
        <v>4915</v>
      </c>
      <c r="B1675" s="8" t="s">
        <v>4916</v>
      </c>
    </row>
    <row r="1676" spans="1:2" x14ac:dyDescent="0.2">
      <c r="A1676" t="s">
        <v>4918</v>
      </c>
      <c r="B1676" s="8" t="s">
        <v>4919</v>
      </c>
    </row>
    <row r="1677" spans="1:2" x14ac:dyDescent="0.2">
      <c r="A1677" t="s">
        <v>4921</v>
      </c>
      <c r="B1677" s="8" t="s">
        <v>4922</v>
      </c>
    </row>
    <row r="1678" spans="1:2" x14ac:dyDescent="0.2">
      <c r="A1678" t="s">
        <v>4924</v>
      </c>
      <c r="B1678" s="8" t="s">
        <v>4925</v>
      </c>
    </row>
    <row r="1679" spans="1:2" x14ac:dyDescent="0.2">
      <c r="A1679" t="s">
        <v>4927</v>
      </c>
      <c r="B1679" s="8" t="s">
        <v>4928</v>
      </c>
    </row>
    <row r="1680" spans="1:2" x14ac:dyDescent="0.2">
      <c r="A1680" t="s">
        <v>4930</v>
      </c>
      <c r="B1680" s="8" t="s">
        <v>4931</v>
      </c>
    </row>
    <row r="1681" spans="1:2" x14ac:dyDescent="0.2">
      <c r="A1681" t="s">
        <v>4933</v>
      </c>
      <c r="B1681" s="8" t="s">
        <v>4934</v>
      </c>
    </row>
    <row r="1682" spans="1:2" x14ac:dyDescent="0.2">
      <c r="A1682" t="s">
        <v>4936</v>
      </c>
      <c r="B1682" s="8" t="s">
        <v>4937</v>
      </c>
    </row>
    <row r="1683" spans="1:2" x14ac:dyDescent="0.2">
      <c r="A1683" t="s">
        <v>4939</v>
      </c>
      <c r="B1683" s="8" t="s">
        <v>4940</v>
      </c>
    </row>
    <row r="1684" spans="1:2" x14ac:dyDescent="0.2">
      <c r="A1684" t="s">
        <v>4942</v>
      </c>
      <c r="B1684" s="8" t="s">
        <v>4943</v>
      </c>
    </row>
    <row r="1685" spans="1:2" x14ac:dyDescent="0.2">
      <c r="A1685" t="s">
        <v>4945</v>
      </c>
      <c r="B1685" s="8" t="s">
        <v>4946</v>
      </c>
    </row>
    <row r="1686" spans="1:2" x14ac:dyDescent="0.2">
      <c r="A1686" t="s">
        <v>4948</v>
      </c>
      <c r="B1686" s="8" t="s">
        <v>357</v>
      </c>
    </row>
    <row r="1687" spans="1:2" x14ac:dyDescent="0.2">
      <c r="A1687" t="s">
        <v>4949</v>
      </c>
      <c r="B1687" s="8" t="s">
        <v>4950</v>
      </c>
    </row>
    <row r="1688" spans="1:2" x14ac:dyDescent="0.2">
      <c r="A1688" t="s">
        <v>4952</v>
      </c>
      <c r="B1688" s="8" t="s">
        <v>4953</v>
      </c>
    </row>
    <row r="1689" spans="1:2" x14ac:dyDescent="0.2">
      <c r="A1689" t="s">
        <v>4955</v>
      </c>
      <c r="B1689" s="8" t="s">
        <v>4956</v>
      </c>
    </row>
    <row r="1690" spans="1:2" x14ac:dyDescent="0.2">
      <c r="A1690" t="s">
        <v>4958</v>
      </c>
      <c r="B1690" s="8" t="s">
        <v>4959</v>
      </c>
    </row>
    <row r="1691" spans="1:2" x14ac:dyDescent="0.2">
      <c r="A1691" t="s">
        <v>4961</v>
      </c>
      <c r="B1691" s="8" t="s">
        <v>4962</v>
      </c>
    </row>
    <row r="1692" spans="1:2" x14ac:dyDescent="0.2">
      <c r="A1692" t="s">
        <v>4964</v>
      </c>
      <c r="B1692" s="8" t="s">
        <v>4965</v>
      </c>
    </row>
    <row r="1693" spans="1:2" x14ac:dyDescent="0.2">
      <c r="A1693" t="s">
        <v>4967</v>
      </c>
      <c r="B1693" s="8" t="s">
        <v>4968</v>
      </c>
    </row>
    <row r="1694" spans="1:2" x14ac:dyDescent="0.2">
      <c r="A1694" t="s">
        <v>4970</v>
      </c>
      <c r="B1694" s="8" t="s">
        <v>4971</v>
      </c>
    </row>
    <row r="1695" spans="1:2" x14ac:dyDescent="0.2">
      <c r="A1695" t="s">
        <v>4973</v>
      </c>
      <c r="B1695" s="8" t="s">
        <v>4974</v>
      </c>
    </row>
    <row r="1696" spans="1:2" x14ac:dyDescent="0.2">
      <c r="A1696" t="s">
        <v>4976</v>
      </c>
      <c r="B1696" s="8" t="s">
        <v>4977</v>
      </c>
    </row>
    <row r="1697" spans="1:2" x14ac:dyDescent="0.2">
      <c r="A1697" t="s">
        <v>4979</v>
      </c>
      <c r="B1697" s="8" t="s">
        <v>4980</v>
      </c>
    </row>
    <row r="1698" spans="1:2" x14ac:dyDescent="0.2">
      <c r="A1698" t="s">
        <v>4982</v>
      </c>
      <c r="B1698" s="8" t="s">
        <v>4983</v>
      </c>
    </row>
    <row r="1699" spans="1:2" x14ac:dyDescent="0.2">
      <c r="A1699" t="s">
        <v>4985</v>
      </c>
      <c r="B1699" s="8" t="s">
        <v>4986</v>
      </c>
    </row>
    <row r="1700" spans="1:2" x14ac:dyDescent="0.2">
      <c r="A1700" t="s">
        <v>4988</v>
      </c>
      <c r="B1700" s="8" t="s">
        <v>4986</v>
      </c>
    </row>
    <row r="1701" spans="1:2" x14ac:dyDescent="0.2">
      <c r="A1701" t="s">
        <v>4989</v>
      </c>
      <c r="B1701" s="8" t="s">
        <v>4986</v>
      </c>
    </row>
    <row r="1702" spans="1:2" x14ac:dyDescent="0.2">
      <c r="A1702" t="s">
        <v>4990</v>
      </c>
      <c r="B1702" s="8" t="s">
        <v>4991</v>
      </c>
    </row>
    <row r="1703" spans="1:2" x14ac:dyDescent="0.2">
      <c r="A1703" t="s">
        <v>4993</v>
      </c>
      <c r="B1703" s="8" t="s">
        <v>4994</v>
      </c>
    </row>
    <row r="1704" spans="1:2" x14ac:dyDescent="0.2">
      <c r="A1704" t="s">
        <v>4996</v>
      </c>
      <c r="B1704" s="8" t="s">
        <v>4997</v>
      </c>
    </row>
    <row r="1705" spans="1:2" x14ac:dyDescent="0.2">
      <c r="A1705" t="s">
        <v>4999</v>
      </c>
      <c r="B1705" s="8" t="s">
        <v>5000</v>
      </c>
    </row>
    <row r="1706" spans="1:2" x14ac:dyDescent="0.2">
      <c r="A1706" t="s">
        <v>5002</v>
      </c>
      <c r="B1706" s="8" t="s">
        <v>5003</v>
      </c>
    </row>
    <row r="1707" spans="1:2" x14ac:dyDescent="0.2">
      <c r="A1707" t="s">
        <v>5005</v>
      </c>
      <c r="B1707" s="8" t="s">
        <v>5006</v>
      </c>
    </row>
    <row r="1708" spans="1:2" x14ac:dyDescent="0.2">
      <c r="A1708" t="s">
        <v>5007</v>
      </c>
      <c r="B1708" s="8" t="s">
        <v>5008</v>
      </c>
    </row>
    <row r="1709" spans="1:2" x14ac:dyDescent="0.2">
      <c r="A1709" t="s">
        <v>5010</v>
      </c>
      <c r="B1709" s="8" t="s">
        <v>5011</v>
      </c>
    </row>
    <row r="1710" spans="1:2" x14ac:dyDescent="0.2">
      <c r="A1710" t="s">
        <v>5013</v>
      </c>
      <c r="B1710" s="8" t="s">
        <v>5014</v>
      </c>
    </row>
    <row r="1711" spans="1:2" x14ac:dyDescent="0.2">
      <c r="A1711" t="s">
        <v>5016</v>
      </c>
      <c r="B1711" s="8" t="s">
        <v>5017</v>
      </c>
    </row>
    <row r="1712" spans="1:2" x14ac:dyDescent="0.2">
      <c r="A1712" t="s">
        <v>5019</v>
      </c>
      <c r="B1712" s="8" t="s">
        <v>5020</v>
      </c>
    </row>
    <row r="1713" spans="1:2" x14ac:dyDescent="0.2">
      <c r="A1713" t="s">
        <v>5022</v>
      </c>
      <c r="B1713" s="8" t="s">
        <v>5023</v>
      </c>
    </row>
    <row r="1714" spans="1:2" x14ac:dyDescent="0.2">
      <c r="A1714" t="s">
        <v>5025</v>
      </c>
      <c r="B1714" s="8" t="s">
        <v>5026</v>
      </c>
    </row>
    <row r="1715" spans="1:2" x14ac:dyDescent="0.2">
      <c r="A1715" t="s">
        <v>5028</v>
      </c>
      <c r="B1715" s="8" t="s">
        <v>5029</v>
      </c>
    </row>
    <row r="1716" spans="1:2" x14ac:dyDescent="0.2">
      <c r="A1716" t="s">
        <v>5031</v>
      </c>
      <c r="B1716" s="8" t="s">
        <v>5032</v>
      </c>
    </row>
    <row r="1717" spans="1:2" x14ac:dyDescent="0.2">
      <c r="A1717" t="s">
        <v>5034</v>
      </c>
      <c r="B1717" s="8" t="s">
        <v>357</v>
      </c>
    </row>
    <row r="1718" spans="1:2" x14ac:dyDescent="0.2">
      <c r="A1718" t="s">
        <v>5036</v>
      </c>
      <c r="B1718" s="8" t="s">
        <v>1050</v>
      </c>
    </row>
    <row r="1719" spans="1:2" x14ac:dyDescent="0.2">
      <c r="A1719" t="s">
        <v>5037</v>
      </c>
      <c r="B1719" s="8" t="s">
        <v>357</v>
      </c>
    </row>
    <row r="1720" spans="1:2" x14ac:dyDescent="0.2">
      <c r="A1720" t="s">
        <v>5039</v>
      </c>
      <c r="B1720" s="8" t="s">
        <v>5040</v>
      </c>
    </row>
    <row r="1721" spans="1:2" x14ac:dyDescent="0.2">
      <c r="A1721" t="s">
        <v>5042</v>
      </c>
      <c r="B1721" s="8" t="s">
        <v>5043</v>
      </c>
    </row>
    <row r="1722" spans="1:2" x14ac:dyDescent="0.2">
      <c r="A1722" t="s">
        <v>5045</v>
      </c>
      <c r="B1722" s="8" t="s">
        <v>5046</v>
      </c>
    </row>
    <row r="1723" spans="1:2" x14ac:dyDescent="0.2">
      <c r="A1723" t="s">
        <v>5048</v>
      </c>
      <c r="B1723" s="8" t="s">
        <v>5049</v>
      </c>
    </row>
    <row r="1724" spans="1:2" x14ac:dyDescent="0.2">
      <c r="A1724" t="s">
        <v>5051</v>
      </c>
      <c r="B1724" s="8" t="s">
        <v>5052</v>
      </c>
    </row>
    <row r="1725" spans="1:2" x14ac:dyDescent="0.2">
      <c r="A1725" t="s">
        <v>5054</v>
      </c>
      <c r="B1725" s="8" t="s">
        <v>5055</v>
      </c>
    </row>
    <row r="1726" spans="1:2" x14ac:dyDescent="0.2">
      <c r="A1726" t="s">
        <v>5057</v>
      </c>
      <c r="B1726" s="8" t="s">
        <v>5058</v>
      </c>
    </row>
    <row r="1727" spans="1:2" x14ac:dyDescent="0.2">
      <c r="A1727" t="s">
        <v>5060</v>
      </c>
      <c r="B1727" s="8" t="s">
        <v>249</v>
      </c>
    </row>
    <row r="1728" spans="1:2" x14ac:dyDescent="0.2">
      <c r="A1728" t="s">
        <v>5062</v>
      </c>
      <c r="B1728" s="8" t="s">
        <v>5063</v>
      </c>
    </row>
    <row r="1729" spans="1:2" x14ac:dyDescent="0.2">
      <c r="A1729" t="s">
        <v>5065</v>
      </c>
      <c r="B1729" s="8" t="s">
        <v>357</v>
      </c>
    </row>
    <row r="1730" spans="1:2" x14ac:dyDescent="0.2">
      <c r="A1730" t="s">
        <v>5066</v>
      </c>
      <c r="B1730" s="8" t="s">
        <v>5067</v>
      </c>
    </row>
    <row r="1731" spans="1:2" x14ac:dyDescent="0.2">
      <c r="A1731" t="s">
        <v>5069</v>
      </c>
      <c r="B1731" s="8" t="s">
        <v>5070</v>
      </c>
    </row>
    <row r="1732" spans="1:2" x14ac:dyDescent="0.2">
      <c r="A1732" t="s">
        <v>5072</v>
      </c>
      <c r="B1732" s="8" t="s">
        <v>5073</v>
      </c>
    </row>
    <row r="1733" spans="1:2" x14ac:dyDescent="0.2">
      <c r="A1733" t="s">
        <v>5075</v>
      </c>
      <c r="B1733" s="8" t="s">
        <v>5076</v>
      </c>
    </row>
    <row r="1734" spans="1:2" x14ac:dyDescent="0.2">
      <c r="A1734" t="s">
        <v>5078</v>
      </c>
      <c r="B1734" s="8" t="s">
        <v>5079</v>
      </c>
    </row>
    <row r="1735" spans="1:2" x14ac:dyDescent="0.2">
      <c r="A1735" t="s">
        <v>5081</v>
      </c>
      <c r="B1735" s="8" t="s">
        <v>5082</v>
      </c>
    </row>
    <row r="1736" spans="1:2" x14ac:dyDescent="0.2">
      <c r="A1736" t="s">
        <v>5084</v>
      </c>
      <c r="B1736" s="8" t="s">
        <v>5085</v>
      </c>
    </row>
    <row r="1737" spans="1:2" x14ac:dyDescent="0.2">
      <c r="A1737" t="s">
        <v>5087</v>
      </c>
      <c r="B1737" s="8" t="s">
        <v>5088</v>
      </c>
    </row>
    <row r="1738" spans="1:2" x14ac:dyDescent="0.2">
      <c r="A1738" t="s">
        <v>5090</v>
      </c>
      <c r="B1738" s="8" t="s">
        <v>357</v>
      </c>
    </row>
    <row r="1739" spans="1:2" x14ac:dyDescent="0.2">
      <c r="A1739" t="s">
        <v>5092</v>
      </c>
      <c r="B1739" s="8" t="s">
        <v>5093</v>
      </c>
    </row>
    <row r="1740" spans="1:2" x14ac:dyDescent="0.2">
      <c r="A1740" t="s">
        <v>5095</v>
      </c>
      <c r="B1740" s="8" t="s">
        <v>5096</v>
      </c>
    </row>
    <row r="1741" spans="1:2" x14ac:dyDescent="0.2">
      <c r="A1741" t="s">
        <v>5098</v>
      </c>
      <c r="B1741" s="8" t="s">
        <v>5099</v>
      </c>
    </row>
    <row r="1742" spans="1:2" x14ac:dyDescent="0.2">
      <c r="A1742" t="s">
        <v>5101</v>
      </c>
      <c r="B1742" s="8" t="s">
        <v>5102</v>
      </c>
    </row>
    <row r="1743" spans="1:2" x14ac:dyDescent="0.2">
      <c r="A1743" t="s">
        <v>5104</v>
      </c>
      <c r="B1743" s="8" t="s">
        <v>5102</v>
      </c>
    </row>
    <row r="1744" spans="1:2" x14ac:dyDescent="0.2">
      <c r="A1744" t="s">
        <v>5105</v>
      </c>
      <c r="B1744" s="8" t="s">
        <v>5102</v>
      </c>
    </row>
    <row r="1745" spans="1:2" x14ac:dyDescent="0.2">
      <c r="A1745" t="s">
        <v>5106</v>
      </c>
      <c r="B1745" s="8" t="s">
        <v>5102</v>
      </c>
    </row>
    <row r="1746" spans="1:2" x14ac:dyDescent="0.2">
      <c r="A1746" t="s">
        <v>5107</v>
      </c>
      <c r="B1746" s="8" t="s">
        <v>5108</v>
      </c>
    </row>
    <row r="1747" spans="1:2" x14ac:dyDescent="0.2">
      <c r="A1747" t="s">
        <v>5110</v>
      </c>
      <c r="B1747" s="8" t="s">
        <v>357</v>
      </c>
    </row>
    <row r="1748" spans="1:2" x14ac:dyDescent="0.2">
      <c r="A1748" t="s">
        <v>5112</v>
      </c>
      <c r="B1748" s="8" t="s">
        <v>5113</v>
      </c>
    </row>
    <row r="1749" spans="1:2" x14ac:dyDescent="0.2">
      <c r="A1749" t="s">
        <v>5115</v>
      </c>
      <c r="B1749" s="8" t="s">
        <v>5116</v>
      </c>
    </row>
    <row r="1750" spans="1:2" x14ac:dyDescent="0.2">
      <c r="A1750" t="s">
        <v>5118</v>
      </c>
      <c r="B1750" s="8" t="s">
        <v>5119</v>
      </c>
    </row>
    <row r="1751" spans="1:2" x14ac:dyDescent="0.2">
      <c r="A1751" t="s">
        <v>5121</v>
      </c>
      <c r="B1751" s="8" t="s">
        <v>5119</v>
      </c>
    </row>
    <row r="1752" spans="1:2" x14ac:dyDescent="0.2">
      <c r="A1752" t="s">
        <v>5122</v>
      </c>
      <c r="B1752" s="8" t="s">
        <v>5119</v>
      </c>
    </row>
    <row r="1753" spans="1:2" x14ac:dyDescent="0.2">
      <c r="A1753" t="s">
        <v>5123</v>
      </c>
      <c r="B1753" s="8" t="s">
        <v>5119</v>
      </c>
    </row>
    <row r="1754" spans="1:2" x14ac:dyDescent="0.2">
      <c r="A1754" t="s">
        <v>5124</v>
      </c>
      <c r="B1754" s="8" t="s">
        <v>5119</v>
      </c>
    </row>
    <row r="1755" spans="1:2" x14ac:dyDescent="0.2">
      <c r="A1755" t="s">
        <v>5125</v>
      </c>
      <c r="B1755" s="8" t="s">
        <v>5126</v>
      </c>
    </row>
    <row r="1756" spans="1:2" x14ac:dyDescent="0.2">
      <c r="A1756" t="s">
        <v>5127</v>
      </c>
      <c r="B1756" s="8" t="s">
        <v>5128</v>
      </c>
    </row>
    <row r="1757" spans="1:2" x14ac:dyDescent="0.2">
      <c r="A1757" t="s">
        <v>5130</v>
      </c>
      <c r="B1757" s="8" t="s">
        <v>5128</v>
      </c>
    </row>
    <row r="1758" spans="1:2" x14ac:dyDescent="0.2">
      <c r="A1758" t="s">
        <v>5131</v>
      </c>
      <c r="B1758" s="8" t="s">
        <v>5132</v>
      </c>
    </row>
    <row r="1759" spans="1:2" x14ac:dyDescent="0.2">
      <c r="A1759" t="s">
        <v>5134</v>
      </c>
      <c r="B1759" s="8" t="s">
        <v>5132</v>
      </c>
    </row>
    <row r="1760" spans="1:2" x14ac:dyDescent="0.2">
      <c r="A1760" t="s">
        <v>5135</v>
      </c>
      <c r="B1760" s="8" t="s">
        <v>5132</v>
      </c>
    </row>
    <row r="1761" spans="1:2" x14ac:dyDescent="0.2">
      <c r="A1761" t="s">
        <v>5136</v>
      </c>
      <c r="B1761" s="8" t="s">
        <v>5137</v>
      </c>
    </row>
    <row r="1762" spans="1:2" x14ac:dyDescent="0.2">
      <c r="A1762" t="s">
        <v>5139</v>
      </c>
      <c r="B1762" s="8" t="s">
        <v>357</v>
      </c>
    </row>
    <row r="1763" spans="1:2" x14ac:dyDescent="0.2">
      <c r="A1763" t="s">
        <v>5140</v>
      </c>
      <c r="B1763" s="8" t="s">
        <v>5141</v>
      </c>
    </row>
    <row r="1764" spans="1:2" x14ac:dyDescent="0.2">
      <c r="A1764" t="s">
        <v>5143</v>
      </c>
      <c r="B1764" s="8" t="s">
        <v>5144</v>
      </c>
    </row>
    <row r="1765" spans="1:2" x14ac:dyDescent="0.2">
      <c r="A1765" t="s">
        <v>5145</v>
      </c>
      <c r="B1765" s="8" t="s">
        <v>5146</v>
      </c>
    </row>
    <row r="1766" spans="1:2" x14ac:dyDescent="0.2">
      <c r="A1766" t="s">
        <v>5148</v>
      </c>
      <c r="B1766" s="8" t="s">
        <v>357</v>
      </c>
    </row>
    <row r="1767" spans="1:2" x14ac:dyDescent="0.2">
      <c r="A1767" t="s">
        <v>5149</v>
      </c>
      <c r="B1767" s="8" t="s">
        <v>5150</v>
      </c>
    </row>
    <row r="1768" spans="1:2" x14ac:dyDescent="0.2">
      <c r="A1768" t="s">
        <v>5152</v>
      </c>
      <c r="B1768" s="8" t="s">
        <v>5153</v>
      </c>
    </row>
    <row r="1769" spans="1:2" x14ac:dyDescent="0.2">
      <c r="A1769" t="s">
        <v>5154</v>
      </c>
      <c r="B1769" s="8" t="s">
        <v>5155</v>
      </c>
    </row>
    <row r="1770" spans="1:2" x14ac:dyDescent="0.2">
      <c r="A1770" t="s">
        <v>5157</v>
      </c>
      <c r="B1770" s="8" t="s">
        <v>5158</v>
      </c>
    </row>
    <row r="1771" spans="1:2" x14ac:dyDescent="0.2">
      <c r="A1771" t="s">
        <v>5160</v>
      </c>
      <c r="B1771" s="8" t="s">
        <v>5161</v>
      </c>
    </row>
    <row r="1772" spans="1:2" x14ac:dyDescent="0.2">
      <c r="A1772" t="s">
        <v>5163</v>
      </c>
      <c r="B1772" s="8" t="s">
        <v>5164</v>
      </c>
    </row>
    <row r="1773" spans="1:2" x14ac:dyDescent="0.2">
      <c r="A1773" t="s">
        <v>5166</v>
      </c>
      <c r="B1773" s="8" t="s">
        <v>5167</v>
      </c>
    </row>
    <row r="1774" spans="1:2" x14ac:dyDescent="0.2">
      <c r="A1774" t="s">
        <v>5169</v>
      </c>
      <c r="B1774" s="8" t="s">
        <v>5170</v>
      </c>
    </row>
    <row r="1775" spans="1:2" x14ac:dyDescent="0.2">
      <c r="A1775" t="s">
        <v>5172</v>
      </c>
      <c r="B1775" s="8" t="s">
        <v>5173</v>
      </c>
    </row>
    <row r="1776" spans="1:2" x14ac:dyDescent="0.2">
      <c r="A1776" t="s">
        <v>5175</v>
      </c>
      <c r="B1776" s="8" t="s">
        <v>5176</v>
      </c>
    </row>
    <row r="1777" spans="1:2" x14ac:dyDescent="0.2">
      <c r="A1777" t="s">
        <v>5178</v>
      </c>
      <c r="B1777" s="8" t="s">
        <v>5179</v>
      </c>
    </row>
    <row r="1778" spans="1:2" x14ac:dyDescent="0.2">
      <c r="A1778" t="s">
        <v>5181</v>
      </c>
      <c r="B1778" s="8" t="s">
        <v>5182</v>
      </c>
    </row>
    <row r="1779" spans="1:2" x14ac:dyDescent="0.2">
      <c r="A1779" t="s">
        <v>5184</v>
      </c>
      <c r="B1779" s="8" t="s">
        <v>5185</v>
      </c>
    </row>
    <row r="1780" spans="1:2" x14ac:dyDescent="0.2">
      <c r="A1780" t="s">
        <v>5187</v>
      </c>
      <c r="B1780" s="8" t="s">
        <v>5188</v>
      </c>
    </row>
    <row r="1781" spans="1:2" x14ac:dyDescent="0.2">
      <c r="A1781" t="s">
        <v>5190</v>
      </c>
      <c r="B1781" s="8" t="s">
        <v>5191</v>
      </c>
    </row>
    <row r="1782" spans="1:2" x14ac:dyDescent="0.2">
      <c r="A1782" t="s">
        <v>5193</v>
      </c>
      <c r="B1782" s="8" t="s">
        <v>5194</v>
      </c>
    </row>
    <row r="1783" spans="1:2" x14ac:dyDescent="0.2">
      <c r="A1783" t="s">
        <v>5196</v>
      </c>
      <c r="B1783" s="8" t="s">
        <v>5197</v>
      </c>
    </row>
    <row r="1784" spans="1:2" x14ac:dyDescent="0.2">
      <c r="A1784" t="s">
        <v>5199</v>
      </c>
      <c r="B1784" s="8" t="s">
        <v>5200</v>
      </c>
    </row>
    <row r="1785" spans="1:2" x14ac:dyDescent="0.2">
      <c r="A1785" t="s">
        <v>5202</v>
      </c>
      <c r="B1785" s="8" t="s">
        <v>5203</v>
      </c>
    </row>
    <row r="1786" spans="1:2" x14ac:dyDescent="0.2">
      <c r="A1786" t="s">
        <v>5205</v>
      </c>
      <c r="B1786" s="8" t="s">
        <v>5206</v>
      </c>
    </row>
    <row r="1787" spans="1:2" x14ac:dyDescent="0.2">
      <c r="A1787" t="s">
        <v>5208</v>
      </c>
      <c r="B1787" s="8" t="s">
        <v>5209</v>
      </c>
    </row>
    <row r="1788" spans="1:2" x14ac:dyDescent="0.2">
      <c r="A1788" t="s">
        <v>5211</v>
      </c>
      <c r="B1788" s="8" t="s">
        <v>5212</v>
      </c>
    </row>
    <row r="1789" spans="1:2" x14ac:dyDescent="0.2">
      <c r="A1789" t="s">
        <v>5214</v>
      </c>
      <c r="B1789" s="8" t="s">
        <v>5215</v>
      </c>
    </row>
    <row r="1790" spans="1:2" x14ac:dyDescent="0.2">
      <c r="A1790" t="s">
        <v>5217</v>
      </c>
      <c r="B1790" s="8" t="s">
        <v>5218</v>
      </c>
    </row>
    <row r="1791" spans="1:2" x14ac:dyDescent="0.2">
      <c r="A1791" t="s">
        <v>5220</v>
      </c>
      <c r="B1791" s="8" t="s">
        <v>5221</v>
      </c>
    </row>
    <row r="1792" spans="1:2" x14ac:dyDescent="0.2">
      <c r="A1792" t="s">
        <v>5222</v>
      </c>
      <c r="B1792" s="8" t="s">
        <v>5223</v>
      </c>
    </row>
    <row r="1793" spans="1:2" x14ac:dyDescent="0.2">
      <c r="A1793" t="s">
        <v>5225</v>
      </c>
      <c r="B1793" s="8" t="s">
        <v>5226</v>
      </c>
    </row>
    <row r="1794" spans="1:2" x14ac:dyDescent="0.2">
      <c r="A1794" t="s">
        <v>5228</v>
      </c>
      <c r="B1794" s="8" t="s">
        <v>5229</v>
      </c>
    </row>
    <row r="1795" spans="1:2" x14ac:dyDescent="0.2">
      <c r="A1795" t="s">
        <v>5231</v>
      </c>
      <c r="B1795" s="8" t="s">
        <v>5232</v>
      </c>
    </row>
    <row r="1796" spans="1:2" x14ac:dyDescent="0.2">
      <c r="A1796" t="s">
        <v>5234</v>
      </c>
      <c r="B1796" s="8" t="s">
        <v>5235</v>
      </c>
    </row>
    <row r="1797" spans="1:2" x14ac:dyDescent="0.2">
      <c r="A1797" t="s">
        <v>5237</v>
      </c>
      <c r="B1797" s="8" t="s">
        <v>5238</v>
      </c>
    </row>
    <row r="1798" spans="1:2" x14ac:dyDescent="0.2">
      <c r="A1798" t="s">
        <v>5240</v>
      </c>
      <c r="B1798" s="8" t="s">
        <v>5241</v>
      </c>
    </row>
    <row r="1799" spans="1:2" x14ac:dyDescent="0.2">
      <c r="A1799" t="s">
        <v>5243</v>
      </c>
      <c r="B1799" s="8" t="s">
        <v>5244</v>
      </c>
    </row>
    <row r="1800" spans="1:2" x14ac:dyDescent="0.2">
      <c r="A1800" t="s">
        <v>5246</v>
      </c>
      <c r="B1800" s="8" t="s">
        <v>5247</v>
      </c>
    </row>
    <row r="1801" spans="1:2" x14ac:dyDescent="0.2">
      <c r="A1801" t="s">
        <v>5248</v>
      </c>
      <c r="B1801" s="8" t="s">
        <v>5249</v>
      </c>
    </row>
    <row r="1802" spans="1:2" x14ac:dyDescent="0.2">
      <c r="A1802" t="s">
        <v>5251</v>
      </c>
      <c r="B1802" s="8" t="s">
        <v>5252</v>
      </c>
    </row>
    <row r="1803" spans="1:2" x14ac:dyDescent="0.2">
      <c r="A1803" t="s">
        <v>5254</v>
      </c>
      <c r="B1803" s="8" t="s">
        <v>5255</v>
      </c>
    </row>
    <row r="1804" spans="1:2" x14ac:dyDescent="0.2">
      <c r="A1804" t="s">
        <v>5257</v>
      </c>
      <c r="B1804" s="8" t="s">
        <v>5258</v>
      </c>
    </row>
    <row r="1805" spans="1:2" x14ac:dyDescent="0.2">
      <c r="A1805" t="s">
        <v>5260</v>
      </c>
      <c r="B1805" s="8" t="s">
        <v>5261</v>
      </c>
    </row>
    <row r="1806" spans="1:2" x14ac:dyDescent="0.2">
      <c r="A1806" t="s">
        <v>5263</v>
      </c>
      <c r="B1806" s="8" t="s">
        <v>357</v>
      </c>
    </row>
    <row r="1807" spans="1:2" x14ac:dyDescent="0.2">
      <c r="A1807" t="s">
        <v>5265</v>
      </c>
      <c r="B1807" s="8" t="s">
        <v>5266</v>
      </c>
    </row>
    <row r="1808" spans="1:2" x14ac:dyDescent="0.2">
      <c r="A1808" t="s">
        <v>5268</v>
      </c>
      <c r="B1808" s="8" t="s">
        <v>5269</v>
      </c>
    </row>
    <row r="1809" spans="1:2" x14ac:dyDescent="0.2">
      <c r="A1809" t="s">
        <v>5271</v>
      </c>
      <c r="B1809" s="8" t="s">
        <v>357</v>
      </c>
    </row>
    <row r="1810" spans="1:2" x14ac:dyDescent="0.2">
      <c r="A1810" t="s">
        <v>5272</v>
      </c>
      <c r="B1810" s="8" t="s">
        <v>5273</v>
      </c>
    </row>
    <row r="1811" spans="1:2" x14ac:dyDescent="0.2">
      <c r="A1811" t="s">
        <v>5275</v>
      </c>
      <c r="B1811" s="8" t="s">
        <v>5276</v>
      </c>
    </row>
    <row r="1812" spans="1:2" x14ac:dyDescent="0.2">
      <c r="A1812" t="s">
        <v>5277</v>
      </c>
      <c r="B1812" s="8" t="s">
        <v>5278</v>
      </c>
    </row>
    <row r="1813" spans="1:2" x14ac:dyDescent="0.2">
      <c r="A1813" t="s">
        <v>5280</v>
      </c>
      <c r="B1813" s="8" t="s">
        <v>5281</v>
      </c>
    </row>
    <row r="1814" spans="1:2" x14ac:dyDescent="0.2">
      <c r="A1814" t="s">
        <v>5283</v>
      </c>
      <c r="B1814" s="8" t="s">
        <v>5281</v>
      </c>
    </row>
    <row r="1815" spans="1:2" x14ac:dyDescent="0.2">
      <c r="A1815" t="s">
        <v>5284</v>
      </c>
      <c r="B1815" s="8" t="s">
        <v>5285</v>
      </c>
    </row>
    <row r="1816" spans="1:2" x14ac:dyDescent="0.2">
      <c r="A1816" t="s">
        <v>5287</v>
      </c>
      <c r="B1816" s="8" t="s">
        <v>5288</v>
      </c>
    </row>
    <row r="1817" spans="1:2" x14ac:dyDescent="0.2">
      <c r="A1817" t="s">
        <v>5290</v>
      </c>
      <c r="B1817" s="8" t="s">
        <v>5291</v>
      </c>
    </row>
    <row r="1818" spans="1:2" x14ac:dyDescent="0.2">
      <c r="A1818" t="s">
        <v>5293</v>
      </c>
      <c r="B1818" s="8" t="s">
        <v>5294</v>
      </c>
    </row>
    <row r="1819" spans="1:2" x14ac:dyDescent="0.2">
      <c r="A1819" t="s">
        <v>5296</v>
      </c>
      <c r="B1819" s="8" t="s">
        <v>5297</v>
      </c>
    </row>
    <row r="1820" spans="1:2" x14ac:dyDescent="0.2">
      <c r="A1820" t="s">
        <v>5299</v>
      </c>
      <c r="B1820" s="8" t="s">
        <v>5300</v>
      </c>
    </row>
    <row r="1821" spans="1:2" x14ac:dyDescent="0.2">
      <c r="A1821" t="s">
        <v>5302</v>
      </c>
      <c r="B1821" s="8" t="s">
        <v>5303</v>
      </c>
    </row>
    <row r="1822" spans="1:2" x14ac:dyDescent="0.2">
      <c r="A1822" t="s">
        <v>5305</v>
      </c>
      <c r="B1822" s="8" t="s">
        <v>5306</v>
      </c>
    </row>
    <row r="1823" spans="1:2" x14ac:dyDescent="0.2">
      <c r="A1823" t="s">
        <v>5308</v>
      </c>
      <c r="B1823" s="8" t="s">
        <v>5309</v>
      </c>
    </row>
    <row r="1824" spans="1:2" x14ac:dyDescent="0.2">
      <c r="A1824" t="s">
        <v>5310</v>
      </c>
      <c r="B1824" s="8" t="s">
        <v>5311</v>
      </c>
    </row>
    <row r="1825" spans="1:2" x14ac:dyDescent="0.2">
      <c r="A1825" t="s">
        <v>5313</v>
      </c>
      <c r="B1825" s="8" t="s">
        <v>5314</v>
      </c>
    </row>
    <row r="1826" spans="1:2" x14ac:dyDescent="0.2">
      <c r="A1826" t="s">
        <v>5316</v>
      </c>
      <c r="B1826" s="8" t="s">
        <v>5316</v>
      </c>
    </row>
    <row r="1827" spans="1:2" x14ac:dyDescent="0.2">
      <c r="A1827" t="s">
        <v>5318</v>
      </c>
      <c r="B1827" s="8" t="s">
        <v>5319</v>
      </c>
    </row>
    <row r="1828" spans="1:2" x14ac:dyDescent="0.2">
      <c r="A1828" t="s">
        <v>5321</v>
      </c>
      <c r="B1828" s="8" t="s">
        <v>5322</v>
      </c>
    </row>
    <row r="1829" spans="1:2" x14ac:dyDescent="0.2">
      <c r="A1829" t="s">
        <v>5324</v>
      </c>
      <c r="B1829" s="8" t="s">
        <v>5325</v>
      </c>
    </row>
    <row r="1830" spans="1:2" x14ac:dyDescent="0.2">
      <c r="A1830" t="s">
        <v>5327</v>
      </c>
      <c r="B1830" s="8" t="s">
        <v>5328</v>
      </c>
    </row>
    <row r="1831" spans="1:2" x14ac:dyDescent="0.2">
      <c r="A1831" t="s">
        <v>5330</v>
      </c>
      <c r="B1831" s="8" t="s">
        <v>357</v>
      </c>
    </row>
    <row r="1832" spans="1:2" x14ac:dyDescent="0.2">
      <c r="A1832" t="s">
        <v>5331</v>
      </c>
      <c r="B1832" s="8" t="s">
        <v>357</v>
      </c>
    </row>
    <row r="1833" spans="1:2" x14ac:dyDescent="0.2">
      <c r="A1833" t="s">
        <v>5333</v>
      </c>
      <c r="B1833" s="8" t="s">
        <v>5334</v>
      </c>
    </row>
    <row r="1834" spans="1:2" x14ac:dyDescent="0.2">
      <c r="A1834" t="s">
        <v>5336</v>
      </c>
      <c r="B1834" s="8" t="s">
        <v>5337</v>
      </c>
    </row>
    <row r="1835" spans="1:2" x14ac:dyDescent="0.2">
      <c r="A1835" t="s">
        <v>5339</v>
      </c>
      <c r="B1835" s="8" t="s">
        <v>5340</v>
      </c>
    </row>
    <row r="1836" spans="1:2" x14ac:dyDescent="0.2">
      <c r="A1836" t="s">
        <v>5342</v>
      </c>
      <c r="B1836" s="8" t="s">
        <v>5343</v>
      </c>
    </row>
    <row r="1837" spans="1:2" x14ac:dyDescent="0.2">
      <c r="A1837" t="s">
        <v>5345</v>
      </c>
      <c r="B1837" s="8" t="s">
        <v>5343</v>
      </c>
    </row>
    <row r="1838" spans="1:2" x14ac:dyDescent="0.2">
      <c r="A1838" t="s">
        <v>5346</v>
      </c>
      <c r="B1838" s="8" t="s">
        <v>5343</v>
      </c>
    </row>
    <row r="1839" spans="1:2" x14ac:dyDescent="0.2">
      <c r="A1839" t="s">
        <v>5347</v>
      </c>
      <c r="B1839" s="8" t="s">
        <v>5343</v>
      </c>
    </row>
    <row r="1840" spans="1:2" x14ac:dyDescent="0.2">
      <c r="A1840" t="s">
        <v>5348</v>
      </c>
      <c r="B1840" s="8" t="s">
        <v>5349</v>
      </c>
    </row>
    <row r="1841" spans="1:2" x14ac:dyDescent="0.2">
      <c r="A1841" t="s">
        <v>5351</v>
      </c>
      <c r="B1841" s="8" t="s">
        <v>5352</v>
      </c>
    </row>
    <row r="1842" spans="1:2" x14ac:dyDescent="0.2">
      <c r="A1842" t="s">
        <v>5354</v>
      </c>
      <c r="B1842" s="8" t="s">
        <v>5355</v>
      </c>
    </row>
    <row r="1843" spans="1:2" x14ac:dyDescent="0.2">
      <c r="A1843" t="s">
        <v>5357</v>
      </c>
      <c r="B1843" s="8" t="s">
        <v>5358</v>
      </c>
    </row>
    <row r="1844" spans="1:2" x14ac:dyDescent="0.2">
      <c r="A1844" t="s">
        <v>5360</v>
      </c>
      <c r="B1844" s="8" t="s">
        <v>5361</v>
      </c>
    </row>
    <row r="1845" spans="1:2" x14ac:dyDescent="0.2">
      <c r="A1845" t="s">
        <v>5363</v>
      </c>
      <c r="B1845" s="8" t="s">
        <v>5364</v>
      </c>
    </row>
    <row r="1846" spans="1:2" x14ac:dyDescent="0.2">
      <c r="A1846" t="s">
        <v>5366</v>
      </c>
      <c r="B1846" s="8" t="s">
        <v>5367</v>
      </c>
    </row>
    <row r="1847" spans="1:2" x14ac:dyDescent="0.2">
      <c r="A1847" t="s">
        <v>5369</v>
      </c>
      <c r="B1847" s="8" t="s">
        <v>5370</v>
      </c>
    </row>
    <row r="1848" spans="1:2" x14ac:dyDescent="0.2">
      <c r="A1848" t="s">
        <v>5372</v>
      </c>
      <c r="B1848" s="8" t="s">
        <v>5373</v>
      </c>
    </row>
    <row r="1849" spans="1:2" x14ac:dyDescent="0.2">
      <c r="A1849" t="s">
        <v>5375</v>
      </c>
      <c r="B1849" s="8" t="s">
        <v>5376</v>
      </c>
    </row>
    <row r="1850" spans="1:2" x14ac:dyDescent="0.2">
      <c r="A1850" t="s">
        <v>5378</v>
      </c>
      <c r="B1850" s="8" t="s">
        <v>5379</v>
      </c>
    </row>
    <row r="1851" spans="1:2" x14ac:dyDescent="0.2">
      <c r="A1851" t="s">
        <v>5380</v>
      </c>
      <c r="B1851" s="8" t="s">
        <v>5381</v>
      </c>
    </row>
    <row r="1852" spans="1:2" x14ac:dyDescent="0.2">
      <c r="A1852" t="s">
        <v>5383</v>
      </c>
      <c r="B1852" s="8" t="s">
        <v>5384</v>
      </c>
    </row>
    <row r="1853" spans="1:2" x14ac:dyDescent="0.2">
      <c r="A1853" t="s">
        <v>5385</v>
      </c>
      <c r="B1853" s="8" t="s">
        <v>5384</v>
      </c>
    </row>
    <row r="1854" spans="1:2" x14ac:dyDescent="0.2">
      <c r="A1854" t="s">
        <v>5386</v>
      </c>
      <c r="B1854" s="8" t="s">
        <v>5387</v>
      </c>
    </row>
    <row r="1855" spans="1:2" x14ac:dyDescent="0.2">
      <c r="A1855" t="s">
        <v>5389</v>
      </c>
      <c r="B1855" s="8" t="s">
        <v>5390</v>
      </c>
    </row>
    <row r="1856" spans="1:2" x14ac:dyDescent="0.2">
      <c r="A1856" t="s">
        <v>5391</v>
      </c>
      <c r="B1856" s="8" t="s">
        <v>5392</v>
      </c>
    </row>
    <row r="1857" spans="1:2" x14ac:dyDescent="0.2">
      <c r="A1857" t="s">
        <v>5394</v>
      </c>
      <c r="B1857" s="8" t="s">
        <v>5395</v>
      </c>
    </row>
    <row r="1858" spans="1:2" x14ac:dyDescent="0.2">
      <c r="A1858" t="s">
        <v>5397</v>
      </c>
      <c r="B1858" s="8" t="s">
        <v>5398</v>
      </c>
    </row>
    <row r="1859" spans="1:2" x14ac:dyDescent="0.2">
      <c r="A1859" t="s">
        <v>5400</v>
      </c>
      <c r="B1859" s="8" t="s">
        <v>5401</v>
      </c>
    </row>
    <row r="1860" spans="1:2" x14ac:dyDescent="0.2">
      <c r="A1860" t="s">
        <v>5403</v>
      </c>
      <c r="B1860" s="8" t="s">
        <v>5404</v>
      </c>
    </row>
    <row r="1861" spans="1:2" x14ac:dyDescent="0.2">
      <c r="A1861" t="s">
        <v>5406</v>
      </c>
      <c r="B1861" s="8" t="s">
        <v>5407</v>
      </c>
    </row>
    <row r="1862" spans="1:2" x14ac:dyDescent="0.2">
      <c r="A1862" t="s">
        <v>5409</v>
      </c>
      <c r="B1862" s="8" t="s">
        <v>5410</v>
      </c>
    </row>
    <row r="1863" spans="1:2" x14ac:dyDescent="0.2">
      <c r="A1863" t="s">
        <v>5412</v>
      </c>
      <c r="B1863" s="8" t="s">
        <v>5413</v>
      </c>
    </row>
    <row r="1864" spans="1:2" x14ac:dyDescent="0.2">
      <c r="A1864" t="s">
        <v>5415</v>
      </c>
      <c r="B1864" s="8" t="s">
        <v>5416</v>
      </c>
    </row>
    <row r="1865" spans="1:2" x14ac:dyDescent="0.2">
      <c r="A1865" t="s">
        <v>5418</v>
      </c>
      <c r="B1865" s="8" t="s">
        <v>5419</v>
      </c>
    </row>
    <row r="1866" spans="1:2" x14ac:dyDescent="0.2">
      <c r="A1866" t="s">
        <v>5421</v>
      </c>
      <c r="B1866" s="8" t="s">
        <v>5419</v>
      </c>
    </row>
    <row r="1867" spans="1:2" x14ac:dyDescent="0.2">
      <c r="A1867" t="s">
        <v>5422</v>
      </c>
      <c r="B1867" s="8" t="s">
        <v>5423</v>
      </c>
    </row>
    <row r="1868" spans="1:2" x14ac:dyDescent="0.2">
      <c r="A1868" t="s">
        <v>5425</v>
      </c>
      <c r="B1868" s="8" t="s">
        <v>5426</v>
      </c>
    </row>
    <row r="1869" spans="1:2" x14ac:dyDescent="0.2">
      <c r="A1869" t="s">
        <v>5428</v>
      </c>
      <c r="B1869" s="8" t="s">
        <v>5429</v>
      </c>
    </row>
    <row r="1870" spans="1:2" x14ac:dyDescent="0.2">
      <c r="A1870" t="s">
        <v>5431</v>
      </c>
      <c r="B1870" s="8" t="s">
        <v>5429</v>
      </c>
    </row>
    <row r="1871" spans="1:2" x14ac:dyDescent="0.2">
      <c r="A1871" t="s">
        <v>5432</v>
      </c>
      <c r="B1871" s="8" t="s">
        <v>5433</v>
      </c>
    </row>
    <row r="1872" spans="1:2" x14ac:dyDescent="0.2">
      <c r="A1872" t="s">
        <v>5435</v>
      </c>
      <c r="B1872" s="8" t="s">
        <v>5436</v>
      </c>
    </row>
    <row r="1873" spans="1:2" x14ac:dyDescent="0.2">
      <c r="A1873" t="s">
        <v>5438</v>
      </c>
      <c r="B1873" s="8" t="s">
        <v>5439</v>
      </c>
    </row>
    <row r="1874" spans="1:2" x14ac:dyDescent="0.2">
      <c r="A1874" t="s">
        <v>5441</v>
      </c>
      <c r="B1874" s="8" t="s">
        <v>5439</v>
      </c>
    </row>
    <row r="1875" spans="1:2" x14ac:dyDescent="0.2">
      <c r="A1875" t="s">
        <v>5442</v>
      </c>
      <c r="B1875" s="8" t="s">
        <v>5443</v>
      </c>
    </row>
    <row r="1876" spans="1:2" x14ac:dyDescent="0.2">
      <c r="A1876" t="s">
        <v>5445</v>
      </c>
      <c r="B1876" s="8" t="s">
        <v>5446</v>
      </c>
    </row>
    <row r="1877" spans="1:2" x14ac:dyDescent="0.2">
      <c r="A1877" t="s">
        <v>5448</v>
      </c>
      <c r="B1877" s="8" t="s">
        <v>5449</v>
      </c>
    </row>
    <row r="1878" spans="1:2" x14ac:dyDescent="0.2">
      <c r="A1878" t="s">
        <v>5451</v>
      </c>
      <c r="B1878" s="8" t="s">
        <v>5452</v>
      </c>
    </row>
    <row r="1879" spans="1:2" x14ac:dyDescent="0.2">
      <c r="A1879" t="s">
        <v>5453</v>
      </c>
      <c r="B1879" s="8" t="s">
        <v>5454</v>
      </c>
    </row>
    <row r="1880" spans="1:2" x14ac:dyDescent="0.2">
      <c r="A1880" t="s">
        <v>5455</v>
      </c>
      <c r="B1880" s="8" t="s">
        <v>357</v>
      </c>
    </row>
    <row r="1881" spans="1:2" x14ac:dyDescent="0.2">
      <c r="A1881" t="s">
        <v>5457</v>
      </c>
      <c r="B1881" s="8" t="s">
        <v>357</v>
      </c>
    </row>
    <row r="1882" spans="1:2" x14ac:dyDescent="0.2">
      <c r="A1882" t="s">
        <v>5458</v>
      </c>
      <c r="B1882" s="8" t="s">
        <v>357</v>
      </c>
    </row>
    <row r="1883" spans="1:2" x14ac:dyDescent="0.2">
      <c r="A1883" t="s">
        <v>5459</v>
      </c>
      <c r="B1883" s="8" t="s">
        <v>5460</v>
      </c>
    </row>
    <row r="1884" spans="1:2" x14ac:dyDescent="0.2">
      <c r="A1884" t="s">
        <v>5462</v>
      </c>
      <c r="B1884" s="8" t="s">
        <v>357</v>
      </c>
    </row>
    <row r="1885" spans="1:2" x14ac:dyDescent="0.2">
      <c r="A1885" t="s">
        <v>5463</v>
      </c>
      <c r="B1885" s="8" t="s">
        <v>5464</v>
      </c>
    </row>
    <row r="1886" spans="1:2" x14ac:dyDescent="0.2">
      <c r="A1886" t="s">
        <v>5466</v>
      </c>
      <c r="B1886" s="8" t="s">
        <v>5467</v>
      </c>
    </row>
    <row r="1887" spans="1:2" x14ac:dyDescent="0.2">
      <c r="A1887" t="s">
        <v>5469</v>
      </c>
      <c r="B1887" s="8" t="s">
        <v>5470</v>
      </c>
    </row>
    <row r="1888" spans="1:2" x14ac:dyDescent="0.2">
      <c r="A1888" t="s">
        <v>5472</v>
      </c>
      <c r="B1888" s="8" t="s">
        <v>357</v>
      </c>
    </row>
    <row r="1889" spans="1:2" x14ac:dyDescent="0.2">
      <c r="A1889" t="s">
        <v>5474</v>
      </c>
      <c r="B1889" s="8" t="s">
        <v>304</v>
      </c>
    </row>
    <row r="1890" spans="1:2" x14ac:dyDescent="0.2">
      <c r="A1890" t="s">
        <v>5476</v>
      </c>
      <c r="B1890" s="8" t="s">
        <v>5477</v>
      </c>
    </row>
    <row r="1891" spans="1:2" x14ac:dyDescent="0.2">
      <c r="A1891" t="s">
        <v>5479</v>
      </c>
      <c r="B1891" s="8" t="s">
        <v>5480</v>
      </c>
    </row>
    <row r="1892" spans="1:2" x14ac:dyDescent="0.2">
      <c r="A1892" t="s">
        <v>5482</v>
      </c>
      <c r="B1892" s="8" t="s">
        <v>1132</v>
      </c>
    </row>
    <row r="1893" spans="1:2" x14ac:dyDescent="0.2">
      <c r="A1893" t="s">
        <v>5484</v>
      </c>
      <c r="B1893" s="8" t="s">
        <v>1132</v>
      </c>
    </row>
    <row r="1894" spans="1:2" x14ac:dyDescent="0.2">
      <c r="A1894" t="s">
        <v>5486</v>
      </c>
      <c r="B1894" s="8" t="s">
        <v>5487</v>
      </c>
    </row>
    <row r="1895" spans="1:2" x14ac:dyDescent="0.2">
      <c r="A1895" t="s">
        <v>5489</v>
      </c>
      <c r="B1895" s="8" t="s">
        <v>5490</v>
      </c>
    </row>
    <row r="1896" spans="1:2" x14ac:dyDescent="0.2">
      <c r="A1896" t="s">
        <v>5492</v>
      </c>
      <c r="B1896" s="8" t="s">
        <v>5493</v>
      </c>
    </row>
    <row r="1897" spans="1:2" x14ac:dyDescent="0.2">
      <c r="A1897" t="s">
        <v>5495</v>
      </c>
      <c r="B1897" s="8" t="s">
        <v>5496</v>
      </c>
    </row>
    <row r="1898" spans="1:2" x14ac:dyDescent="0.2">
      <c r="A1898" t="s">
        <v>5498</v>
      </c>
      <c r="B1898" s="8" t="s">
        <v>5499</v>
      </c>
    </row>
    <row r="1899" spans="1:2" x14ac:dyDescent="0.2">
      <c r="A1899" t="s">
        <v>5501</v>
      </c>
      <c r="B1899" s="8" t="s">
        <v>5502</v>
      </c>
    </row>
    <row r="1900" spans="1:2" x14ac:dyDescent="0.2">
      <c r="A1900" t="s">
        <v>5504</v>
      </c>
      <c r="B1900" s="8" t="s">
        <v>5505</v>
      </c>
    </row>
    <row r="1901" spans="1:2" x14ac:dyDescent="0.2">
      <c r="A1901" t="s">
        <v>5507</v>
      </c>
      <c r="B1901" s="8" t="s">
        <v>5508</v>
      </c>
    </row>
    <row r="1902" spans="1:2" x14ac:dyDescent="0.2">
      <c r="A1902" t="s">
        <v>5510</v>
      </c>
      <c r="B1902" s="8" t="s">
        <v>5511</v>
      </c>
    </row>
    <row r="1903" spans="1:2" x14ac:dyDescent="0.2">
      <c r="A1903" t="s">
        <v>5513</v>
      </c>
      <c r="B1903" s="8" t="s">
        <v>5514</v>
      </c>
    </row>
    <row r="1904" spans="1:2" x14ac:dyDescent="0.2">
      <c r="A1904" t="s">
        <v>5516</v>
      </c>
      <c r="B1904" s="8" t="s">
        <v>5517</v>
      </c>
    </row>
    <row r="1905" spans="1:2" x14ac:dyDescent="0.2">
      <c r="A1905" t="s">
        <v>5519</v>
      </c>
      <c r="B1905" s="8" t="s">
        <v>5520</v>
      </c>
    </row>
    <row r="1906" spans="1:2" x14ac:dyDescent="0.2">
      <c r="A1906" t="s">
        <v>5522</v>
      </c>
      <c r="B1906" s="8" t="s">
        <v>5523</v>
      </c>
    </row>
    <row r="1907" spans="1:2" x14ac:dyDescent="0.2">
      <c r="A1907" t="s">
        <v>5525</v>
      </c>
      <c r="B1907" s="8" t="s">
        <v>5526</v>
      </c>
    </row>
    <row r="1908" spans="1:2" x14ac:dyDescent="0.2">
      <c r="A1908" t="s">
        <v>5528</v>
      </c>
      <c r="B1908" s="8" t="s">
        <v>5529</v>
      </c>
    </row>
    <row r="1909" spans="1:2" x14ac:dyDescent="0.2">
      <c r="A1909" t="s">
        <v>5530</v>
      </c>
      <c r="B1909" s="8" t="s">
        <v>5531</v>
      </c>
    </row>
    <row r="1910" spans="1:2" x14ac:dyDescent="0.2">
      <c r="A1910" t="s">
        <v>5533</v>
      </c>
      <c r="B1910" s="8" t="s">
        <v>5534</v>
      </c>
    </row>
    <row r="1911" spans="1:2" x14ac:dyDescent="0.2">
      <c r="A1911" t="s">
        <v>5536</v>
      </c>
      <c r="B1911" s="8" t="s">
        <v>5537</v>
      </c>
    </row>
    <row r="1912" spans="1:2" x14ac:dyDescent="0.2">
      <c r="A1912" t="s">
        <v>5539</v>
      </c>
      <c r="B1912" s="8" t="s">
        <v>5540</v>
      </c>
    </row>
    <row r="1913" spans="1:2" x14ac:dyDescent="0.2">
      <c r="A1913" t="s">
        <v>5542</v>
      </c>
      <c r="B1913" s="8" t="s">
        <v>5543</v>
      </c>
    </row>
    <row r="1914" spans="1:2" x14ac:dyDescent="0.2">
      <c r="A1914" t="s">
        <v>5545</v>
      </c>
      <c r="B1914" s="8" t="s">
        <v>5546</v>
      </c>
    </row>
    <row r="1915" spans="1:2" x14ac:dyDescent="0.2">
      <c r="A1915" t="s">
        <v>5548</v>
      </c>
      <c r="B1915" s="8" t="s">
        <v>5549</v>
      </c>
    </row>
    <row r="1916" spans="1:2" x14ac:dyDescent="0.2">
      <c r="A1916" t="s">
        <v>5551</v>
      </c>
      <c r="B1916" s="8" t="s">
        <v>5552</v>
      </c>
    </row>
    <row r="1917" spans="1:2" x14ac:dyDescent="0.2">
      <c r="A1917" t="s">
        <v>5554</v>
      </c>
      <c r="B1917" s="8" t="s">
        <v>5555</v>
      </c>
    </row>
    <row r="1918" spans="1:2" x14ac:dyDescent="0.2">
      <c r="A1918" t="s">
        <v>5557</v>
      </c>
      <c r="B1918" s="8" t="s">
        <v>5558</v>
      </c>
    </row>
    <row r="1919" spans="1:2" x14ac:dyDescent="0.2">
      <c r="A1919" t="s">
        <v>5560</v>
      </c>
      <c r="B1919" s="8" t="s">
        <v>5561</v>
      </c>
    </row>
    <row r="1920" spans="1:2" x14ac:dyDescent="0.2">
      <c r="A1920" t="s">
        <v>5563</v>
      </c>
      <c r="B1920" s="8" t="s">
        <v>357</v>
      </c>
    </row>
    <row r="1921" spans="1:2" x14ac:dyDescent="0.2">
      <c r="A1921" t="s">
        <v>5564</v>
      </c>
      <c r="B1921" s="8" t="s">
        <v>5565</v>
      </c>
    </row>
    <row r="1922" spans="1:2" x14ac:dyDescent="0.2">
      <c r="A1922" t="s">
        <v>5567</v>
      </c>
      <c r="B1922" s="8" t="s">
        <v>5568</v>
      </c>
    </row>
    <row r="1923" spans="1:2" x14ac:dyDescent="0.2">
      <c r="A1923" t="s">
        <v>5570</v>
      </c>
      <c r="B1923" s="8" t="s">
        <v>5571</v>
      </c>
    </row>
    <row r="1924" spans="1:2" x14ac:dyDescent="0.2">
      <c r="A1924" t="s">
        <v>5573</v>
      </c>
      <c r="B1924" s="8" t="s">
        <v>5574</v>
      </c>
    </row>
    <row r="1925" spans="1:2" x14ac:dyDescent="0.2">
      <c r="A1925" t="s">
        <v>5576</v>
      </c>
      <c r="B1925" s="8" t="s">
        <v>5577</v>
      </c>
    </row>
    <row r="1926" spans="1:2" x14ac:dyDescent="0.2">
      <c r="A1926" t="s">
        <v>5579</v>
      </c>
      <c r="B1926" s="8" t="s">
        <v>5580</v>
      </c>
    </row>
    <row r="1927" spans="1:2" x14ac:dyDescent="0.2">
      <c r="A1927" t="s">
        <v>5582</v>
      </c>
      <c r="B1927" s="8" t="s">
        <v>5583</v>
      </c>
    </row>
    <row r="1928" spans="1:2" x14ac:dyDescent="0.2">
      <c r="A1928" t="s">
        <v>5585</v>
      </c>
      <c r="B1928" s="8" t="s">
        <v>5586</v>
      </c>
    </row>
    <row r="1929" spans="1:2" x14ac:dyDescent="0.2">
      <c r="A1929" t="s">
        <v>5588</v>
      </c>
      <c r="B1929" s="8" t="s">
        <v>357</v>
      </c>
    </row>
    <row r="1930" spans="1:2" x14ac:dyDescent="0.2">
      <c r="A1930" t="s">
        <v>5590</v>
      </c>
      <c r="B1930" s="8" t="s">
        <v>1150</v>
      </c>
    </row>
    <row r="1931" spans="1:2" x14ac:dyDescent="0.2">
      <c r="A1931" t="s">
        <v>5591</v>
      </c>
      <c r="B1931" s="8" t="s">
        <v>5592</v>
      </c>
    </row>
    <row r="1932" spans="1:2" x14ac:dyDescent="0.2">
      <c r="A1932" t="s">
        <v>5594</v>
      </c>
      <c r="B1932" s="8" t="s">
        <v>313</v>
      </c>
    </row>
    <row r="1933" spans="1:2" x14ac:dyDescent="0.2">
      <c r="A1933" t="s">
        <v>5596</v>
      </c>
      <c r="B1933" s="8" t="s">
        <v>5597</v>
      </c>
    </row>
    <row r="1934" spans="1:2" x14ac:dyDescent="0.2">
      <c r="A1934" t="s">
        <v>5599</v>
      </c>
      <c r="B1934" s="8" t="s">
        <v>5600</v>
      </c>
    </row>
    <row r="1935" spans="1:2" x14ac:dyDescent="0.2">
      <c r="A1935" t="s">
        <v>5602</v>
      </c>
      <c r="B1935" s="8" t="s">
        <v>5603</v>
      </c>
    </row>
    <row r="1936" spans="1:2" x14ac:dyDescent="0.2">
      <c r="A1936" t="s">
        <v>5605</v>
      </c>
      <c r="B1936" s="8" t="s">
        <v>5606</v>
      </c>
    </row>
    <row r="1937" spans="1:2" x14ac:dyDescent="0.2">
      <c r="A1937" t="s">
        <v>5608</v>
      </c>
      <c r="B1937" s="8" t="s">
        <v>5609</v>
      </c>
    </row>
    <row r="1938" spans="1:2" x14ac:dyDescent="0.2">
      <c r="A1938" t="s">
        <v>5611</v>
      </c>
      <c r="B1938" s="8" t="s">
        <v>5612</v>
      </c>
    </row>
    <row r="1939" spans="1:2" x14ac:dyDescent="0.2">
      <c r="A1939" t="s">
        <v>5614</v>
      </c>
      <c r="B1939" s="8" t="s">
        <v>5615</v>
      </c>
    </row>
    <row r="1940" spans="1:2" x14ac:dyDescent="0.2">
      <c r="A1940" t="s">
        <v>5617</v>
      </c>
      <c r="B1940" s="8" t="s">
        <v>5618</v>
      </c>
    </row>
    <row r="1941" spans="1:2" x14ac:dyDescent="0.2">
      <c r="A1941" t="s">
        <v>5620</v>
      </c>
      <c r="B1941" s="8" t="s">
        <v>5621</v>
      </c>
    </row>
    <row r="1942" spans="1:2" x14ac:dyDescent="0.2">
      <c r="A1942" t="s">
        <v>5623</v>
      </c>
      <c r="B1942" s="8" t="s">
        <v>357</v>
      </c>
    </row>
    <row r="1943" spans="1:2" x14ac:dyDescent="0.2">
      <c r="A1943" t="s">
        <v>5625</v>
      </c>
      <c r="B1943" s="8" t="s">
        <v>5626</v>
      </c>
    </row>
    <row r="1944" spans="1:2" x14ac:dyDescent="0.2">
      <c r="A1944" t="s">
        <v>5627</v>
      </c>
      <c r="B1944" s="8" t="s">
        <v>5628</v>
      </c>
    </row>
    <row r="1945" spans="1:2" x14ac:dyDescent="0.2">
      <c r="A1945" t="s">
        <v>5630</v>
      </c>
      <c r="B1945" s="8" t="s">
        <v>5631</v>
      </c>
    </row>
    <row r="1946" spans="1:2" x14ac:dyDescent="0.2">
      <c r="A1946" t="s">
        <v>5633</v>
      </c>
      <c r="B1946" s="8" t="s">
        <v>5634</v>
      </c>
    </row>
    <row r="1947" spans="1:2" x14ac:dyDescent="0.2">
      <c r="A1947" t="s">
        <v>5636</v>
      </c>
      <c r="B1947" s="8" t="s">
        <v>5637</v>
      </c>
    </row>
    <row r="1948" spans="1:2" x14ac:dyDescent="0.2">
      <c r="A1948" t="s">
        <v>5639</v>
      </c>
      <c r="B1948" s="8" t="s">
        <v>5640</v>
      </c>
    </row>
    <row r="1949" spans="1:2" x14ac:dyDescent="0.2">
      <c r="A1949" t="s">
        <v>5642</v>
      </c>
      <c r="B1949" s="8" t="s">
        <v>5643</v>
      </c>
    </row>
    <row r="1950" spans="1:2" x14ac:dyDescent="0.2">
      <c r="A1950" t="s">
        <v>5645</v>
      </c>
      <c r="B1950" s="8" t="s">
        <v>5646</v>
      </c>
    </row>
    <row r="1951" spans="1:2" x14ac:dyDescent="0.2">
      <c r="A1951" t="s">
        <v>5648</v>
      </c>
      <c r="B1951" s="8" t="s">
        <v>5649</v>
      </c>
    </row>
    <row r="1952" spans="1:2" x14ac:dyDescent="0.2">
      <c r="A1952" t="s">
        <v>5651</v>
      </c>
      <c r="B1952" s="8" t="s">
        <v>5652</v>
      </c>
    </row>
    <row r="1953" spans="1:2" x14ac:dyDescent="0.2">
      <c r="A1953" t="s">
        <v>5654</v>
      </c>
      <c r="B1953" s="8" t="s">
        <v>357</v>
      </c>
    </row>
    <row r="1954" spans="1:2" x14ac:dyDescent="0.2">
      <c r="A1954" t="s">
        <v>5656</v>
      </c>
      <c r="B1954" s="8" t="s">
        <v>357</v>
      </c>
    </row>
    <row r="1955" spans="1:2" x14ac:dyDescent="0.2">
      <c r="A1955" t="s">
        <v>5658</v>
      </c>
      <c r="B1955" s="8" t="s">
        <v>5659</v>
      </c>
    </row>
    <row r="1956" spans="1:2" x14ac:dyDescent="0.2">
      <c r="A1956" t="s">
        <v>5661</v>
      </c>
      <c r="B1956" s="8" t="s">
        <v>5662</v>
      </c>
    </row>
    <row r="1957" spans="1:2" x14ac:dyDescent="0.2">
      <c r="A1957" t="s">
        <v>5664</v>
      </c>
      <c r="B1957" s="8" t="s">
        <v>5665</v>
      </c>
    </row>
    <row r="1958" spans="1:2" x14ac:dyDescent="0.2">
      <c r="A1958" t="s">
        <v>5667</v>
      </c>
      <c r="B1958" s="8" t="s">
        <v>5668</v>
      </c>
    </row>
    <row r="1959" spans="1:2" x14ac:dyDescent="0.2">
      <c r="A1959" t="s">
        <v>5670</v>
      </c>
      <c r="B1959" s="8" t="s">
        <v>5671</v>
      </c>
    </row>
    <row r="1960" spans="1:2" x14ac:dyDescent="0.2">
      <c r="A1960" t="s">
        <v>5673</v>
      </c>
      <c r="B1960" s="8" t="s">
        <v>5674</v>
      </c>
    </row>
    <row r="1961" spans="1:2" x14ac:dyDescent="0.2">
      <c r="A1961" t="s">
        <v>5676</v>
      </c>
      <c r="B1961" s="8" t="s">
        <v>5677</v>
      </c>
    </row>
    <row r="1962" spans="1:2" x14ac:dyDescent="0.2">
      <c r="A1962" t="s">
        <v>5679</v>
      </c>
      <c r="B1962" s="8" t="s">
        <v>5680</v>
      </c>
    </row>
    <row r="1963" spans="1:2" x14ac:dyDescent="0.2">
      <c r="A1963" t="s">
        <v>5682</v>
      </c>
      <c r="B1963" s="8" t="s">
        <v>5683</v>
      </c>
    </row>
    <row r="1964" spans="1:2" x14ac:dyDescent="0.2">
      <c r="A1964" t="s">
        <v>5685</v>
      </c>
      <c r="B1964" s="8" t="s">
        <v>5686</v>
      </c>
    </row>
    <row r="1965" spans="1:2" x14ac:dyDescent="0.2">
      <c r="A1965" t="s">
        <v>5688</v>
      </c>
      <c r="B1965" s="8" t="s">
        <v>5689</v>
      </c>
    </row>
    <row r="1966" spans="1:2" x14ac:dyDescent="0.2">
      <c r="A1966" t="s">
        <v>5690</v>
      </c>
      <c r="B1966" s="8" t="s">
        <v>5691</v>
      </c>
    </row>
    <row r="1967" spans="1:2" x14ac:dyDescent="0.2">
      <c r="A1967" t="s">
        <v>5692</v>
      </c>
      <c r="B1967" s="8" t="s">
        <v>5693</v>
      </c>
    </row>
    <row r="1968" spans="1:2" x14ac:dyDescent="0.2">
      <c r="A1968" t="s">
        <v>5694</v>
      </c>
      <c r="B1968" s="8" t="s">
        <v>357</v>
      </c>
    </row>
    <row r="1969" spans="1:2" x14ac:dyDescent="0.2">
      <c r="A1969" t="s">
        <v>5696</v>
      </c>
      <c r="B1969" s="8" t="s">
        <v>357</v>
      </c>
    </row>
    <row r="1970" spans="1:2" x14ac:dyDescent="0.2">
      <c r="A1970" t="s">
        <v>5697</v>
      </c>
      <c r="B1970" s="8" t="s">
        <v>5698</v>
      </c>
    </row>
    <row r="1971" spans="1:2" x14ac:dyDescent="0.2">
      <c r="A1971" t="s">
        <v>5700</v>
      </c>
      <c r="B1971" s="8" t="s">
        <v>5701</v>
      </c>
    </row>
    <row r="1972" spans="1:2" x14ac:dyDescent="0.2">
      <c r="A1972" t="s">
        <v>5702</v>
      </c>
      <c r="B1972" s="8" t="s">
        <v>5703</v>
      </c>
    </row>
    <row r="1973" spans="1:2" x14ac:dyDescent="0.2">
      <c r="A1973" t="s">
        <v>5705</v>
      </c>
      <c r="B1973" s="8" t="s">
        <v>5706</v>
      </c>
    </row>
    <row r="1974" spans="1:2" x14ac:dyDescent="0.2">
      <c r="A1974" t="s">
        <v>5707</v>
      </c>
      <c r="B1974" s="8" t="s">
        <v>5708</v>
      </c>
    </row>
    <row r="1975" spans="1:2" x14ac:dyDescent="0.2">
      <c r="A1975" t="s">
        <v>5710</v>
      </c>
      <c r="B1975" s="8" t="s">
        <v>5711</v>
      </c>
    </row>
    <row r="1976" spans="1:2" x14ac:dyDescent="0.2">
      <c r="A1976" t="s">
        <v>5713</v>
      </c>
      <c r="B1976" s="8" t="s">
        <v>5714</v>
      </c>
    </row>
    <row r="1977" spans="1:2" x14ac:dyDescent="0.2">
      <c r="A1977" t="s">
        <v>5715</v>
      </c>
      <c r="B1977" s="8" t="s">
        <v>5716</v>
      </c>
    </row>
    <row r="1978" spans="1:2" x14ac:dyDescent="0.2">
      <c r="A1978" t="s">
        <v>5718</v>
      </c>
      <c r="B1978" s="8" t="s">
        <v>5719</v>
      </c>
    </row>
    <row r="1979" spans="1:2" x14ac:dyDescent="0.2">
      <c r="A1979" t="s">
        <v>5721</v>
      </c>
      <c r="B1979" s="8" t="s">
        <v>5722</v>
      </c>
    </row>
    <row r="1980" spans="1:2" x14ac:dyDescent="0.2">
      <c r="A1980" t="s">
        <v>5724</v>
      </c>
      <c r="B1980" s="8" t="s">
        <v>5725</v>
      </c>
    </row>
    <row r="1981" spans="1:2" x14ac:dyDescent="0.2">
      <c r="A1981" t="s">
        <v>5727</v>
      </c>
      <c r="B1981" s="8" t="s">
        <v>5728</v>
      </c>
    </row>
    <row r="1982" spans="1:2" x14ac:dyDescent="0.2">
      <c r="A1982" t="s">
        <v>5730</v>
      </c>
      <c r="B1982" s="8" t="s">
        <v>5731</v>
      </c>
    </row>
    <row r="1983" spans="1:2" x14ac:dyDescent="0.2">
      <c r="A1983" t="s">
        <v>5733</v>
      </c>
      <c r="B1983" s="8" t="s">
        <v>5734</v>
      </c>
    </row>
    <row r="1984" spans="1:2" x14ac:dyDescent="0.2">
      <c r="A1984" t="s">
        <v>5736</v>
      </c>
      <c r="B1984" s="8" t="s">
        <v>5737</v>
      </c>
    </row>
    <row r="1985" spans="1:2" x14ac:dyDescent="0.2">
      <c r="A1985" t="s">
        <v>5739</v>
      </c>
      <c r="B1985" s="8" t="s">
        <v>5740</v>
      </c>
    </row>
    <row r="1986" spans="1:2" x14ac:dyDescent="0.2">
      <c r="A1986" t="s">
        <v>5742</v>
      </c>
      <c r="B1986" s="8" t="s">
        <v>5743</v>
      </c>
    </row>
    <row r="1987" spans="1:2" x14ac:dyDescent="0.2">
      <c r="A1987" t="s">
        <v>5745</v>
      </c>
      <c r="B1987" s="8" t="s">
        <v>5746</v>
      </c>
    </row>
    <row r="1988" spans="1:2" x14ac:dyDescent="0.2">
      <c r="A1988" t="s">
        <v>5748</v>
      </c>
      <c r="B1988" s="8" t="s">
        <v>5749</v>
      </c>
    </row>
    <row r="1989" spans="1:2" x14ac:dyDescent="0.2">
      <c r="A1989" t="s">
        <v>5751</v>
      </c>
      <c r="B1989" s="8" t="s">
        <v>5752</v>
      </c>
    </row>
    <row r="1990" spans="1:2" x14ac:dyDescent="0.2">
      <c r="A1990" t="s">
        <v>5754</v>
      </c>
      <c r="B1990" s="8" t="s">
        <v>5755</v>
      </c>
    </row>
    <row r="1991" spans="1:2" x14ac:dyDescent="0.2">
      <c r="A1991" t="s">
        <v>5757</v>
      </c>
      <c r="B1991" s="8" t="s">
        <v>5758</v>
      </c>
    </row>
    <row r="1992" spans="1:2" x14ac:dyDescent="0.2">
      <c r="A1992" t="s">
        <v>5760</v>
      </c>
      <c r="B1992" s="8" t="s">
        <v>5761</v>
      </c>
    </row>
    <row r="1993" spans="1:2" x14ac:dyDescent="0.2">
      <c r="A1993" t="s">
        <v>5763</v>
      </c>
      <c r="B1993" s="8" t="s">
        <v>357</v>
      </c>
    </row>
    <row r="1994" spans="1:2" x14ac:dyDescent="0.2">
      <c r="A1994" t="s">
        <v>5765</v>
      </c>
      <c r="B1994" s="8" t="s">
        <v>5766</v>
      </c>
    </row>
    <row r="1995" spans="1:2" x14ac:dyDescent="0.2">
      <c r="A1995" t="s">
        <v>5768</v>
      </c>
      <c r="B1995" s="8" t="s">
        <v>5769</v>
      </c>
    </row>
    <row r="1996" spans="1:2" x14ac:dyDescent="0.2">
      <c r="A1996" t="s">
        <v>5771</v>
      </c>
      <c r="B1996" s="8" t="s">
        <v>5772</v>
      </c>
    </row>
    <row r="1997" spans="1:2" x14ac:dyDescent="0.2">
      <c r="A1997" t="s">
        <v>5773</v>
      </c>
      <c r="B1997" s="8" t="s">
        <v>5774</v>
      </c>
    </row>
    <row r="1998" spans="1:2" x14ac:dyDescent="0.2">
      <c r="A1998" t="s">
        <v>5776</v>
      </c>
      <c r="B1998" s="8" t="s">
        <v>5777</v>
      </c>
    </row>
    <row r="1999" spans="1:2" x14ac:dyDescent="0.2">
      <c r="A1999" t="s">
        <v>5779</v>
      </c>
      <c r="B1999" s="8" t="s">
        <v>5780</v>
      </c>
    </row>
    <row r="2000" spans="1:2" x14ac:dyDescent="0.2">
      <c r="A2000" t="s">
        <v>5782</v>
      </c>
      <c r="B2000" s="8" t="s">
        <v>5783</v>
      </c>
    </row>
    <row r="2001" spans="1:2" x14ac:dyDescent="0.2">
      <c r="A2001" t="s">
        <v>5784</v>
      </c>
      <c r="B2001" s="8" t="s">
        <v>5785</v>
      </c>
    </row>
    <row r="2002" spans="1:2" x14ac:dyDescent="0.2">
      <c r="A2002" t="s">
        <v>5787</v>
      </c>
      <c r="B2002" s="8" t="s">
        <v>5788</v>
      </c>
    </row>
    <row r="2003" spans="1:2" x14ac:dyDescent="0.2">
      <c r="A2003" t="s">
        <v>5789</v>
      </c>
      <c r="B2003" s="8" t="s">
        <v>5790</v>
      </c>
    </row>
    <row r="2004" spans="1:2" x14ac:dyDescent="0.2">
      <c r="A2004" t="s">
        <v>5792</v>
      </c>
      <c r="B2004" s="8" t="s">
        <v>5793</v>
      </c>
    </row>
    <row r="2005" spans="1:2" x14ac:dyDescent="0.2">
      <c r="A2005" t="s">
        <v>85</v>
      </c>
      <c r="B2005" s="8" t="s">
        <v>272</v>
      </c>
    </row>
    <row r="2006" spans="1:2" x14ac:dyDescent="0.2">
      <c r="A2006" t="s">
        <v>5795</v>
      </c>
      <c r="B2006" s="8" t="s">
        <v>357</v>
      </c>
    </row>
    <row r="2007" spans="1:2" x14ac:dyDescent="0.2">
      <c r="A2007" t="s">
        <v>5797</v>
      </c>
      <c r="B2007" s="8" t="s">
        <v>5798</v>
      </c>
    </row>
    <row r="2008" spans="1:2" x14ac:dyDescent="0.2">
      <c r="A2008" t="s">
        <v>5800</v>
      </c>
      <c r="B2008" s="8" t="s">
        <v>5801</v>
      </c>
    </row>
    <row r="2009" spans="1:2" x14ac:dyDescent="0.2">
      <c r="A2009" t="s">
        <v>5802</v>
      </c>
      <c r="B2009" s="8" t="s">
        <v>5803</v>
      </c>
    </row>
    <row r="2010" spans="1:2" x14ac:dyDescent="0.2">
      <c r="A2010" t="s">
        <v>5804</v>
      </c>
      <c r="B2010" s="8" t="s">
        <v>5805</v>
      </c>
    </row>
    <row r="2011" spans="1:2" x14ac:dyDescent="0.2">
      <c r="A2011" t="s">
        <v>5807</v>
      </c>
      <c r="B2011" s="8" t="s">
        <v>5808</v>
      </c>
    </row>
    <row r="2012" spans="1:2" x14ac:dyDescent="0.2">
      <c r="A2012" t="s">
        <v>5810</v>
      </c>
      <c r="B2012" s="8" t="s">
        <v>5811</v>
      </c>
    </row>
    <row r="2013" spans="1:2" x14ac:dyDescent="0.2">
      <c r="A2013" t="s">
        <v>5813</v>
      </c>
      <c r="B2013" s="8" t="s">
        <v>5814</v>
      </c>
    </row>
    <row r="2014" spans="1:2" x14ac:dyDescent="0.2">
      <c r="A2014" t="s">
        <v>5816</v>
      </c>
      <c r="B2014" s="8" t="s">
        <v>5817</v>
      </c>
    </row>
    <row r="2015" spans="1:2" x14ac:dyDescent="0.2">
      <c r="A2015" t="s">
        <v>5819</v>
      </c>
      <c r="B2015" s="8" t="s">
        <v>5820</v>
      </c>
    </row>
    <row r="2016" spans="1:2" x14ac:dyDescent="0.2">
      <c r="A2016" t="s">
        <v>5822</v>
      </c>
      <c r="B2016" s="8" t="s">
        <v>5823</v>
      </c>
    </row>
    <row r="2017" spans="1:2" x14ac:dyDescent="0.2">
      <c r="A2017" t="s">
        <v>5825</v>
      </c>
      <c r="B2017" s="8" t="s">
        <v>5826</v>
      </c>
    </row>
    <row r="2018" spans="1:2" x14ac:dyDescent="0.2">
      <c r="A2018" t="s">
        <v>5828</v>
      </c>
      <c r="B2018" s="8" t="s">
        <v>5829</v>
      </c>
    </row>
    <row r="2019" spans="1:2" x14ac:dyDescent="0.2">
      <c r="A2019" t="s">
        <v>5831</v>
      </c>
      <c r="B2019" s="8" t="s">
        <v>5832</v>
      </c>
    </row>
    <row r="2020" spans="1:2" x14ac:dyDescent="0.2">
      <c r="A2020" t="s">
        <v>5834</v>
      </c>
      <c r="B2020" s="8" t="s">
        <v>5835</v>
      </c>
    </row>
    <row r="2021" spans="1:2" x14ac:dyDescent="0.2">
      <c r="A2021" t="s">
        <v>5837</v>
      </c>
      <c r="B2021" s="8" t="s">
        <v>5838</v>
      </c>
    </row>
    <row r="2022" spans="1:2" x14ac:dyDescent="0.2">
      <c r="A2022" t="s">
        <v>5840</v>
      </c>
      <c r="B2022" s="8" t="s">
        <v>5841</v>
      </c>
    </row>
    <row r="2023" spans="1:2" x14ac:dyDescent="0.2">
      <c r="A2023" t="s">
        <v>5843</v>
      </c>
      <c r="B2023" s="8" t="s">
        <v>5844</v>
      </c>
    </row>
    <row r="2024" spans="1:2" x14ac:dyDescent="0.2">
      <c r="A2024" t="s">
        <v>5846</v>
      </c>
      <c r="B2024" s="8" t="s">
        <v>5847</v>
      </c>
    </row>
    <row r="2025" spans="1:2" x14ac:dyDescent="0.2">
      <c r="A2025" t="s">
        <v>5849</v>
      </c>
      <c r="B2025" s="8" t="s">
        <v>5850</v>
      </c>
    </row>
    <row r="2026" spans="1:2" x14ac:dyDescent="0.2">
      <c r="A2026" t="s">
        <v>5852</v>
      </c>
      <c r="B2026" s="8" t="s">
        <v>5853</v>
      </c>
    </row>
    <row r="2027" spans="1:2" x14ac:dyDescent="0.2">
      <c r="A2027" t="s">
        <v>5855</v>
      </c>
      <c r="B2027" s="8" t="s">
        <v>5856</v>
      </c>
    </row>
    <row r="2028" spans="1:2" x14ac:dyDescent="0.2">
      <c r="A2028" t="s">
        <v>5858</v>
      </c>
      <c r="B2028" s="8" t="s">
        <v>5859</v>
      </c>
    </row>
    <row r="2029" spans="1:2" x14ac:dyDescent="0.2">
      <c r="A2029" t="s">
        <v>5860</v>
      </c>
      <c r="B2029" s="8" t="s">
        <v>5861</v>
      </c>
    </row>
    <row r="2030" spans="1:2" x14ac:dyDescent="0.2">
      <c r="A2030" t="s">
        <v>5863</v>
      </c>
      <c r="B2030" s="8" t="s">
        <v>5864</v>
      </c>
    </row>
    <row r="2031" spans="1:2" x14ac:dyDescent="0.2">
      <c r="A2031" t="s">
        <v>5866</v>
      </c>
      <c r="B2031" s="8" t="s">
        <v>5867</v>
      </c>
    </row>
    <row r="2032" spans="1:2" x14ac:dyDescent="0.2">
      <c r="A2032" t="s">
        <v>5869</v>
      </c>
      <c r="B2032" s="8" t="s">
        <v>5870</v>
      </c>
    </row>
    <row r="2033" spans="1:2" x14ac:dyDescent="0.2">
      <c r="A2033" t="s">
        <v>5871</v>
      </c>
      <c r="B2033" s="8" t="s">
        <v>357</v>
      </c>
    </row>
    <row r="2034" spans="1:2" x14ac:dyDescent="0.2">
      <c r="A2034" t="s">
        <v>5872</v>
      </c>
      <c r="B2034" s="8" t="s">
        <v>5873</v>
      </c>
    </row>
    <row r="2035" spans="1:2" x14ac:dyDescent="0.2">
      <c r="A2035" t="s">
        <v>5875</v>
      </c>
      <c r="B2035" s="8" t="s">
        <v>5876</v>
      </c>
    </row>
    <row r="2036" spans="1:2" x14ac:dyDescent="0.2">
      <c r="A2036" t="s">
        <v>5878</v>
      </c>
      <c r="B2036" s="8" t="s">
        <v>5879</v>
      </c>
    </row>
    <row r="2037" spans="1:2" x14ac:dyDescent="0.2">
      <c r="A2037" t="s">
        <v>5881</v>
      </c>
      <c r="B2037" s="8" t="s">
        <v>5882</v>
      </c>
    </row>
    <row r="2038" spans="1:2" x14ac:dyDescent="0.2">
      <c r="A2038" t="s">
        <v>5884</v>
      </c>
      <c r="B2038" s="8" t="s">
        <v>5885</v>
      </c>
    </row>
    <row r="2039" spans="1:2" x14ac:dyDescent="0.2">
      <c r="A2039" t="s">
        <v>5886</v>
      </c>
      <c r="B2039" s="8" t="s">
        <v>5887</v>
      </c>
    </row>
    <row r="2040" spans="1:2" x14ac:dyDescent="0.2">
      <c r="A2040" t="s">
        <v>5889</v>
      </c>
      <c r="B2040" s="8" t="s">
        <v>5890</v>
      </c>
    </row>
    <row r="2041" spans="1:2" x14ac:dyDescent="0.2">
      <c r="A2041" t="s">
        <v>5891</v>
      </c>
      <c r="B2041" s="8" t="s">
        <v>5892</v>
      </c>
    </row>
    <row r="2042" spans="1:2" x14ac:dyDescent="0.2">
      <c r="A2042" t="s">
        <v>5893</v>
      </c>
      <c r="B2042" s="8" t="s">
        <v>5894</v>
      </c>
    </row>
    <row r="2043" spans="1:2" x14ac:dyDescent="0.2">
      <c r="A2043" t="s">
        <v>5896</v>
      </c>
      <c r="B2043" s="8" t="s">
        <v>5897</v>
      </c>
    </row>
    <row r="2044" spans="1:2" x14ac:dyDescent="0.2">
      <c r="A2044" t="s">
        <v>5899</v>
      </c>
      <c r="B2044" s="8" t="s">
        <v>357</v>
      </c>
    </row>
    <row r="2045" spans="1:2" x14ac:dyDescent="0.2">
      <c r="A2045" t="s">
        <v>5900</v>
      </c>
      <c r="B2045" s="8" t="s">
        <v>5901</v>
      </c>
    </row>
    <row r="2046" spans="1:2" x14ac:dyDescent="0.2">
      <c r="A2046" t="s">
        <v>5903</v>
      </c>
      <c r="B2046" s="8" t="s">
        <v>5904</v>
      </c>
    </row>
    <row r="2047" spans="1:2" x14ac:dyDescent="0.2">
      <c r="A2047" t="s">
        <v>5906</v>
      </c>
      <c r="B2047" s="8" t="s">
        <v>5907</v>
      </c>
    </row>
    <row r="2048" spans="1:2" x14ac:dyDescent="0.2">
      <c r="A2048" t="s">
        <v>5909</v>
      </c>
      <c r="B2048" s="8" t="s">
        <v>5910</v>
      </c>
    </row>
    <row r="2049" spans="1:2" x14ac:dyDescent="0.2">
      <c r="A2049" t="s">
        <v>5912</v>
      </c>
      <c r="B2049" s="8" t="s">
        <v>5913</v>
      </c>
    </row>
    <row r="2050" spans="1:2" x14ac:dyDescent="0.2">
      <c r="A2050" t="s">
        <v>5915</v>
      </c>
      <c r="B2050" s="8" t="s">
        <v>5916</v>
      </c>
    </row>
    <row r="2051" spans="1:2" x14ac:dyDescent="0.2">
      <c r="A2051" t="s">
        <v>5917</v>
      </c>
      <c r="B2051" s="8" t="s">
        <v>5918</v>
      </c>
    </row>
    <row r="2052" spans="1:2" x14ac:dyDescent="0.2">
      <c r="A2052" t="s">
        <v>5920</v>
      </c>
      <c r="B2052" s="8" t="s">
        <v>5921</v>
      </c>
    </row>
    <row r="2053" spans="1:2" x14ac:dyDescent="0.2">
      <c r="A2053" t="s">
        <v>5923</v>
      </c>
      <c r="B2053" s="8" t="s">
        <v>357</v>
      </c>
    </row>
    <row r="2054" spans="1:2" x14ac:dyDescent="0.2">
      <c r="A2054" t="s">
        <v>5924</v>
      </c>
      <c r="B2054" s="8" t="s">
        <v>5925</v>
      </c>
    </row>
    <row r="2055" spans="1:2" x14ac:dyDescent="0.2">
      <c r="A2055" t="s">
        <v>5927</v>
      </c>
      <c r="B2055" s="8" t="s">
        <v>5928</v>
      </c>
    </row>
    <row r="2056" spans="1:2" x14ac:dyDescent="0.2">
      <c r="A2056" t="s">
        <v>5930</v>
      </c>
      <c r="B2056" s="8" t="s">
        <v>357</v>
      </c>
    </row>
    <row r="2057" spans="1:2" x14ac:dyDescent="0.2">
      <c r="A2057" t="s">
        <v>5932</v>
      </c>
      <c r="B2057" s="8" t="s">
        <v>5933</v>
      </c>
    </row>
    <row r="2058" spans="1:2" x14ac:dyDescent="0.2">
      <c r="A2058" t="s">
        <v>5935</v>
      </c>
      <c r="B2058" s="8" t="s">
        <v>5936</v>
      </c>
    </row>
    <row r="2059" spans="1:2" x14ac:dyDescent="0.2">
      <c r="A2059" t="s">
        <v>5938</v>
      </c>
      <c r="B2059" s="8" t="s">
        <v>5939</v>
      </c>
    </row>
    <row r="2060" spans="1:2" x14ac:dyDescent="0.2">
      <c r="A2060" t="s">
        <v>5941</v>
      </c>
      <c r="B2060" s="8" t="s">
        <v>5942</v>
      </c>
    </row>
    <row r="2061" spans="1:2" x14ac:dyDescent="0.2">
      <c r="A2061" t="s">
        <v>5944</v>
      </c>
      <c r="B2061" s="8" t="s">
        <v>5945</v>
      </c>
    </row>
    <row r="2062" spans="1:2" x14ac:dyDescent="0.2">
      <c r="A2062" t="s">
        <v>5947</v>
      </c>
      <c r="B2062" s="8" t="s">
        <v>5948</v>
      </c>
    </row>
    <row r="2063" spans="1:2" x14ac:dyDescent="0.2">
      <c r="A2063" t="s">
        <v>5950</v>
      </c>
      <c r="B2063" s="8" t="s">
        <v>5951</v>
      </c>
    </row>
    <row r="2064" spans="1:2" x14ac:dyDescent="0.2">
      <c r="A2064" t="s">
        <v>5953</v>
      </c>
      <c r="B2064" s="8" t="s">
        <v>5954</v>
      </c>
    </row>
    <row r="2065" spans="1:2" x14ac:dyDescent="0.2">
      <c r="A2065" t="s">
        <v>5955</v>
      </c>
      <c r="B2065" s="8" t="s">
        <v>5956</v>
      </c>
    </row>
    <row r="2066" spans="1:2" x14ac:dyDescent="0.2">
      <c r="A2066" t="s">
        <v>5958</v>
      </c>
      <c r="B2066" s="8" t="s">
        <v>5959</v>
      </c>
    </row>
    <row r="2067" spans="1:2" x14ac:dyDescent="0.2">
      <c r="A2067" t="s">
        <v>5961</v>
      </c>
      <c r="B2067" s="8" t="s">
        <v>5962</v>
      </c>
    </row>
    <row r="2068" spans="1:2" x14ac:dyDescent="0.2">
      <c r="A2068" t="s">
        <v>5964</v>
      </c>
      <c r="B2068" s="8" t="s">
        <v>5965</v>
      </c>
    </row>
    <row r="2069" spans="1:2" x14ac:dyDescent="0.2">
      <c r="A2069" t="s">
        <v>5967</v>
      </c>
      <c r="B2069" s="8" t="s">
        <v>5968</v>
      </c>
    </row>
    <row r="2070" spans="1:2" x14ac:dyDescent="0.2">
      <c r="A2070" t="s">
        <v>5970</v>
      </c>
      <c r="B2070" s="8" t="s">
        <v>5971</v>
      </c>
    </row>
    <row r="2071" spans="1:2" x14ac:dyDescent="0.2">
      <c r="A2071" t="s">
        <v>5972</v>
      </c>
      <c r="B2071" s="8" t="s">
        <v>5973</v>
      </c>
    </row>
    <row r="2072" spans="1:2" x14ac:dyDescent="0.2">
      <c r="A2072" t="s">
        <v>5975</v>
      </c>
      <c r="B2072" s="8" t="s">
        <v>5976</v>
      </c>
    </row>
    <row r="2073" spans="1:2" x14ac:dyDescent="0.2">
      <c r="A2073" t="s">
        <v>5978</v>
      </c>
      <c r="B2073" s="8" t="s">
        <v>5979</v>
      </c>
    </row>
    <row r="2074" spans="1:2" x14ac:dyDescent="0.2">
      <c r="A2074" t="s">
        <v>5981</v>
      </c>
      <c r="B2074" s="8" t="s">
        <v>5982</v>
      </c>
    </row>
    <row r="2075" spans="1:2" x14ac:dyDescent="0.2">
      <c r="A2075" t="s">
        <v>5984</v>
      </c>
      <c r="B2075" s="8" t="s">
        <v>5985</v>
      </c>
    </row>
    <row r="2076" spans="1:2" x14ac:dyDescent="0.2">
      <c r="A2076" t="s">
        <v>5987</v>
      </c>
      <c r="B2076" s="8" t="s">
        <v>5988</v>
      </c>
    </row>
    <row r="2077" spans="1:2" x14ac:dyDescent="0.2">
      <c r="A2077" t="s">
        <v>5990</v>
      </c>
      <c r="B2077" s="8" t="s">
        <v>337</v>
      </c>
    </row>
    <row r="2078" spans="1:2" x14ac:dyDescent="0.2">
      <c r="A2078" t="s">
        <v>5991</v>
      </c>
      <c r="B2078" s="8" t="s">
        <v>5992</v>
      </c>
    </row>
    <row r="2079" spans="1:2" x14ac:dyDescent="0.2">
      <c r="A2079" t="s">
        <v>5994</v>
      </c>
      <c r="B2079" s="8" t="s">
        <v>5995</v>
      </c>
    </row>
    <row r="2080" spans="1:2" x14ac:dyDescent="0.2">
      <c r="A2080" t="s">
        <v>5997</v>
      </c>
      <c r="B2080" s="8" t="s">
        <v>5998</v>
      </c>
    </row>
    <row r="2081" spans="1:2" x14ac:dyDescent="0.2">
      <c r="A2081" t="s">
        <v>6000</v>
      </c>
      <c r="B2081" s="8" t="s">
        <v>6001</v>
      </c>
    </row>
    <row r="2082" spans="1:2" x14ac:dyDescent="0.2">
      <c r="A2082" t="s">
        <v>6003</v>
      </c>
      <c r="B2082" s="8" t="s">
        <v>6004</v>
      </c>
    </row>
    <row r="2083" spans="1:2" x14ac:dyDescent="0.2">
      <c r="A2083" t="s">
        <v>6006</v>
      </c>
      <c r="B2083" s="8" t="s">
        <v>6007</v>
      </c>
    </row>
    <row r="2084" spans="1:2" x14ac:dyDescent="0.2">
      <c r="A2084" t="s">
        <v>6009</v>
      </c>
      <c r="B2084" s="8" t="s">
        <v>6010</v>
      </c>
    </row>
    <row r="2085" spans="1:2" x14ac:dyDescent="0.2">
      <c r="A2085" t="s">
        <v>6011</v>
      </c>
      <c r="B2085" s="8" t="s">
        <v>6012</v>
      </c>
    </row>
    <row r="2086" spans="1:2" x14ac:dyDescent="0.2">
      <c r="A2086" t="s">
        <v>6014</v>
      </c>
      <c r="B2086" s="8" t="s">
        <v>6015</v>
      </c>
    </row>
    <row r="2087" spans="1:2" x14ac:dyDescent="0.2">
      <c r="A2087" t="s">
        <v>6017</v>
      </c>
      <c r="B2087" s="8" t="s">
        <v>6018</v>
      </c>
    </row>
    <row r="2088" spans="1:2" x14ac:dyDescent="0.2">
      <c r="A2088" t="s">
        <v>6020</v>
      </c>
      <c r="B2088" s="8" t="s">
        <v>6021</v>
      </c>
    </row>
    <row r="2089" spans="1:2" x14ac:dyDescent="0.2">
      <c r="A2089" t="s">
        <v>6022</v>
      </c>
      <c r="B2089" s="8" t="s">
        <v>6023</v>
      </c>
    </row>
    <row r="2090" spans="1:2" x14ac:dyDescent="0.2">
      <c r="A2090" t="s">
        <v>6025</v>
      </c>
      <c r="B2090" s="8" t="s">
        <v>6026</v>
      </c>
    </row>
    <row r="2091" spans="1:2" x14ac:dyDescent="0.2">
      <c r="A2091" t="s">
        <v>6027</v>
      </c>
      <c r="B2091" s="8" t="s">
        <v>357</v>
      </c>
    </row>
    <row r="2092" spans="1:2" x14ac:dyDescent="0.2">
      <c r="A2092" t="s">
        <v>6029</v>
      </c>
      <c r="B2092" s="8" t="s">
        <v>6030</v>
      </c>
    </row>
    <row r="2093" spans="1:2" x14ac:dyDescent="0.2">
      <c r="A2093" t="s">
        <v>6032</v>
      </c>
      <c r="B2093" s="8" t="s">
        <v>6033</v>
      </c>
    </row>
    <row r="2094" spans="1:2" x14ac:dyDescent="0.2">
      <c r="A2094" t="s">
        <v>6035</v>
      </c>
      <c r="B2094" s="8" t="s">
        <v>6036</v>
      </c>
    </row>
    <row r="2095" spans="1:2" x14ac:dyDescent="0.2">
      <c r="A2095" t="s">
        <v>6038</v>
      </c>
      <c r="B2095" s="8" t="s">
        <v>6039</v>
      </c>
    </row>
    <row r="2096" spans="1:2" x14ac:dyDescent="0.2">
      <c r="A2096" t="s">
        <v>6041</v>
      </c>
      <c r="B2096" s="8" t="s">
        <v>6042</v>
      </c>
    </row>
    <row r="2097" spans="1:2" x14ac:dyDescent="0.2">
      <c r="A2097" t="s">
        <v>6044</v>
      </c>
      <c r="B2097" s="8" t="s">
        <v>1275</v>
      </c>
    </row>
    <row r="2098" spans="1:2" x14ac:dyDescent="0.2">
      <c r="A2098" t="s">
        <v>6045</v>
      </c>
      <c r="B2098" s="8" t="s">
        <v>1275</v>
      </c>
    </row>
    <row r="2099" spans="1:2" x14ac:dyDescent="0.2">
      <c r="A2099" t="s">
        <v>6046</v>
      </c>
      <c r="B2099" s="8" t="s">
        <v>6047</v>
      </c>
    </row>
    <row r="2100" spans="1:2" x14ac:dyDescent="0.2">
      <c r="A2100" t="s">
        <v>6049</v>
      </c>
      <c r="B2100" s="8" t="s">
        <v>6050</v>
      </c>
    </row>
    <row r="2101" spans="1:2" x14ac:dyDescent="0.2">
      <c r="A2101" t="s">
        <v>6052</v>
      </c>
      <c r="B2101" s="8" t="s">
        <v>6053</v>
      </c>
    </row>
    <row r="2102" spans="1:2" x14ac:dyDescent="0.2">
      <c r="A2102" t="s">
        <v>6055</v>
      </c>
      <c r="B2102" s="8" t="s">
        <v>6056</v>
      </c>
    </row>
    <row r="2103" spans="1:2" x14ac:dyDescent="0.2">
      <c r="A2103" t="s">
        <v>6058</v>
      </c>
      <c r="B2103" s="8" t="s">
        <v>6059</v>
      </c>
    </row>
    <row r="2104" spans="1:2" x14ac:dyDescent="0.2">
      <c r="A2104" t="s">
        <v>6061</v>
      </c>
      <c r="B2104" s="8" t="s">
        <v>6062</v>
      </c>
    </row>
    <row r="2105" spans="1:2" x14ac:dyDescent="0.2">
      <c r="A2105" t="s">
        <v>6063</v>
      </c>
      <c r="B2105" s="8" t="s">
        <v>6064</v>
      </c>
    </row>
    <row r="2106" spans="1:2" x14ac:dyDescent="0.2">
      <c r="A2106" t="s">
        <v>6066</v>
      </c>
      <c r="B2106" s="8" t="s">
        <v>6067</v>
      </c>
    </row>
    <row r="2107" spans="1:2" x14ac:dyDescent="0.2">
      <c r="A2107" t="s">
        <v>6069</v>
      </c>
      <c r="B2107" s="8" t="s">
        <v>6070</v>
      </c>
    </row>
    <row r="2108" spans="1:2" x14ac:dyDescent="0.2">
      <c r="A2108" t="s">
        <v>6072</v>
      </c>
      <c r="B2108" s="8" t="s">
        <v>6073</v>
      </c>
    </row>
    <row r="2109" spans="1:2" x14ac:dyDescent="0.2">
      <c r="A2109" t="s">
        <v>6075</v>
      </c>
      <c r="B2109" s="8" t="s">
        <v>6076</v>
      </c>
    </row>
    <row r="2110" spans="1:2" x14ac:dyDescent="0.2">
      <c r="A2110" t="s">
        <v>6078</v>
      </c>
      <c r="B2110" s="8" t="s">
        <v>6076</v>
      </c>
    </row>
    <row r="2111" spans="1:2" x14ac:dyDescent="0.2">
      <c r="A2111" t="s">
        <v>6079</v>
      </c>
      <c r="B2111" s="8" t="s">
        <v>6080</v>
      </c>
    </row>
    <row r="2112" spans="1:2" x14ac:dyDescent="0.2">
      <c r="A2112" t="s">
        <v>6082</v>
      </c>
      <c r="B2112" s="8" t="s">
        <v>6083</v>
      </c>
    </row>
    <row r="2113" spans="1:2" x14ac:dyDescent="0.2">
      <c r="A2113" t="s">
        <v>6085</v>
      </c>
      <c r="B2113" s="8" t="s">
        <v>6086</v>
      </c>
    </row>
    <row r="2114" spans="1:2" x14ac:dyDescent="0.2">
      <c r="A2114" t="s">
        <v>6088</v>
      </c>
      <c r="B2114" s="8" t="s">
        <v>6089</v>
      </c>
    </row>
    <row r="2115" spans="1:2" x14ac:dyDescent="0.2">
      <c r="A2115" t="s">
        <v>6091</v>
      </c>
      <c r="B2115" s="8" t="s">
        <v>234</v>
      </c>
    </row>
    <row r="2116" spans="1:2" x14ac:dyDescent="0.2">
      <c r="A2116" t="s">
        <v>6093</v>
      </c>
      <c r="B2116" s="8" t="s">
        <v>234</v>
      </c>
    </row>
    <row r="2117" spans="1:2" x14ac:dyDescent="0.2">
      <c r="A2117" t="s">
        <v>6094</v>
      </c>
      <c r="B2117" s="8" t="s">
        <v>234</v>
      </c>
    </row>
    <row r="2118" spans="1:2" x14ac:dyDescent="0.2">
      <c r="A2118" t="s">
        <v>6095</v>
      </c>
      <c r="B2118" s="8" t="s">
        <v>6096</v>
      </c>
    </row>
    <row r="2119" spans="1:2" x14ac:dyDescent="0.2">
      <c r="A2119" t="s">
        <v>6098</v>
      </c>
      <c r="B2119" s="8" t="s">
        <v>6099</v>
      </c>
    </row>
    <row r="2120" spans="1:2" x14ac:dyDescent="0.2">
      <c r="A2120" t="s">
        <v>6101</v>
      </c>
      <c r="B2120" s="8" t="s">
        <v>6102</v>
      </c>
    </row>
    <row r="2121" spans="1:2" x14ac:dyDescent="0.2">
      <c r="A2121" t="s">
        <v>6104</v>
      </c>
      <c r="B2121" s="8" t="s">
        <v>6105</v>
      </c>
    </row>
    <row r="2122" spans="1:2" x14ac:dyDescent="0.2">
      <c r="A2122" t="s">
        <v>6107</v>
      </c>
      <c r="B2122" s="8" t="s">
        <v>6108</v>
      </c>
    </row>
    <row r="2123" spans="1:2" x14ac:dyDescent="0.2">
      <c r="A2123" t="s">
        <v>6110</v>
      </c>
      <c r="B2123" s="8" t="s">
        <v>6111</v>
      </c>
    </row>
    <row r="2124" spans="1:2" x14ac:dyDescent="0.2">
      <c r="A2124" t="s">
        <v>6113</v>
      </c>
      <c r="B2124" s="8" t="s">
        <v>6114</v>
      </c>
    </row>
    <row r="2125" spans="1:2" x14ac:dyDescent="0.2">
      <c r="A2125" t="s">
        <v>6116</v>
      </c>
      <c r="B2125" s="8" t="s">
        <v>6117</v>
      </c>
    </row>
    <row r="2126" spans="1:2" x14ac:dyDescent="0.2">
      <c r="A2126" t="s">
        <v>6119</v>
      </c>
      <c r="B2126" s="8" t="s">
        <v>6120</v>
      </c>
    </row>
    <row r="2127" spans="1:2" x14ac:dyDescent="0.2">
      <c r="A2127" t="s">
        <v>6122</v>
      </c>
      <c r="B2127" s="8" t="s">
        <v>6123</v>
      </c>
    </row>
    <row r="2128" spans="1:2" x14ac:dyDescent="0.2">
      <c r="A2128" t="s">
        <v>6125</v>
      </c>
      <c r="B2128" s="8" t="s">
        <v>6126</v>
      </c>
    </row>
    <row r="2129" spans="1:2" x14ac:dyDescent="0.2">
      <c r="A2129" t="s">
        <v>6128</v>
      </c>
      <c r="B2129" s="8" t="s">
        <v>6129</v>
      </c>
    </row>
    <row r="2130" spans="1:2" x14ac:dyDescent="0.2">
      <c r="A2130" t="s">
        <v>6131</v>
      </c>
      <c r="B2130" s="8" t="s">
        <v>6132</v>
      </c>
    </row>
    <row r="2131" spans="1:2" x14ac:dyDescent="0.2">
      <c r="A2131" t="s">
        <v>6133</v>
      </c>
      <c r="B2131" s="8" t="s">
        <v>6134</v>
      </c>
    </row>
    <row r="2132" spans="1:2" x14ac:dyDescent="0.2">
      <c r="A2132" t="s">
        <v>6136</v>
      </c>
      <c r="B2132" s="8" t="s">
        <v>6137</v>
      </c>
    </row>
    <row r="2133" spans="1:2" x14ac:dyDescent="0.2">
      <c r="A2133" t="s">
        <v>6139</v>
      </c>
      <c r="B2133" s="8" t="s">
        <v>6140</v>
      </c>
    </row>
    <row r="2134" spans="1:2" x14ac:dyDescent="0.2">
      <c r="A2134" t="s">
        <v>6142</v>
      </c>
      <c r="B2134" s="8" t="s">
        <v>6143</v>
      </c>
    </row>
    <row r="2135" spans="1:2" x14ac:dyDescent="0.2">
      <c r="A2135" t="s">
        <v>6145</v>
      </c>
      <c r="B2135" s="8" t="s">
        <v>6146</v>
      </c>
    </row>
    <row r="2136" spans="1:2" x14ac:dyDescent="0.2">
      <c r="A2136" t="s">
        <v>6147</v>
      </c>
      <c r="B2136" s="8" t="s">
        <v>6148</v>
      </c>
    </row>
    <row r="2137" spans="1:2" x14ac:dyDescent="0.2">
      <c r="A2137" t="s">
        <v>6150</v>
      </c>
      <c r="B2137" s="8" t="s">
        <v>6151</v>
      </c>
    </row>
    <row r="2138" spans="1:2" x14ac:dyDescent="0.2">
      <c r="A2138" t="s">
        <v>6153</v>
      </c>
      <c r="B2138" s="8" t="s">
        <v>6154</v>
      </c>
    </row>
    <row r="2139" spans="1:2" x14ac:dyDescent="0.2">
      <c r="A2139" t="s">
        <v>6156</v>
      </c>
      <c r="B2139" s="8" t="s">
        <v>6157</v>
      </c>
    </row>
    <row r="2140" spans="1:2" x14ac:dyDescent="0.2">
      <c r="A2140" t="s">
        <v>6159</v>
      </c>
      <c r="B2140" s="8" t="s">
        <v>6160</v>
      </c>
    </row>
    <row r="2141" spans="1:2" x14ac:dyDescent="0.2">
      <c r="A2141" t="s">
        <v>6162</v>
      </c>
      <c r="B2141" s="8" t="s">
        <v>6163</v>
      </c>
    </row>
    <row r="2142" spans="1:2" x14ac:dyDescent="0.2">
      <c r="A2142" t="s">
        <v>6165</v>
      </c>
      <c r="B2142" s="8" t="s">
        <v>6166</v>
      </c>
    </row>
    <row r="2143" spans="1:2" x14ac:dyDescent="0.2">
      <c r="A2143" t="s">
        <v>6168</v>
      </c>
      <c r="B2143" s="8" t="s">
        <v>6169</v>
      </c>
    </row>
    <row r="2144" spans="1:2" x14ac:dyDescent="0.2">
      <c r="A2144" t="s">
        <v>6171</v>
      </c>
      <c r="B2144" s="8" t="s">
        <v>6172</v>
      </c>
    </row>
    <row r="2145" spans="1:2" x14ac:dyDescent="0.2">
      <c r="A2145" t="s">
        <v>6174</v>
      </c>
      <c r="B2145" s="8" t="s">
        <v>6175</v>
      </c>
    </row>
    <row r="2146" spans="1:2" x14ac:dyDescent="0.2">
      <c r="A2146" t="s">
        <v>6177</v>
      </c>
      <c r="B2146" s="8" t="s">
        <v>6178</v>
      </c>
    </row>
    <row r="2147" spans="1:2" x14ac:dyDescent="0.2">
      <c r="A2147" t="s">
        <v>6180</v>
      </c>
      <c r="B2147" s="8" t="s">
        <v>6181</v>
      </c>
    </row>
    <row r="2148" spans="1:2" x14ac:dyDescent="0.2">
      <c r="A2148" t="s">
        <v>6183</v>
      </c>
      <c r="B2148" s="8" t="s">
        <v>6184</v>
      </c>
    </row>
    <row r="2149" spans="1:2" x14ac:dyDescent="0.2">
      <c r="A2149" t="s">
        <v>6185</v>
      </c>
      <c r="B2149" s="8" t="s">
        <v>6186</v>
      </c>
    </row>
    <row r="2150" spans="1:2" x14ac:dyDescent="0.2">
      <c r="A2150" t="s">
        <v>6188</v>
      </c>
      <c r="B2150" s="8" t="s">
        <v>357</v>
      </c>
    </row>
    <row r="2151" spans="1:2" x14ac:dyDescent="0.2">
      <c r="A2151" t="s">
        <v>6190</v>
      </c>
      <c r="B2151" s="8" t="s">
        <v>6191</v>
      </c>
    </row>
    <row r="2152" spans="1:2" x14ac:dyDescent="0.2">
      <c r="A2152" t="s">
        <v>6193</v>
      </c>
      <c r="B2152" s="8" t="s">
        <v>6194</v>
      </c>
    </row>
    <row r="2153" spans="1:2" x14ac:dyDescent="0.2">
      <c r="A2153" t="s">
        <v>6196</v>
      </c>
      <c r="B2153" s="8" t="s">
        <v>6197</v>
      </c>
    </row>
    <row r="2154" spans="1:2" x14ac:dyDescent="0.2">
      <c r="A2154" t="s">
        <v>6198</v>
      </c>
      <c r="B2154" s="8" t="s">
        <v>6199</v>
      </c>
    </row>
    <row r="2155" spans="1:2" x14ac:dyDescent="0.2">
      <c r="A2155" t="s">
        <v>6201</v>
      </c>
      <c r="B2155" s="8" t="s">
        <v>6199</v>
      </c>
    </row>
    <row r="2156" spans="1:2" x14ac:dyDescent="0.2">
      <c r="A2156" t="s">
        <v>6202</v>
      </c>
      <c r="B2156" s="8" t="s">
        <v>6203</v>
      </c>
    </row>
    <row r="2157" spans="1:2" x14ac:dyDescent="0.2">
      <c r="A2157" t="s">
        <v>6205</v>
      </c>
      <c r="B2157" s="8" t="s">
        <v>6206</v>
      </c>
    </row>
    <row r="2158" spans="1:2" x14ac:dyDescent="0.2">
      <c r="A2158" t="s">
        <v>6208</v>
      </c>
      <c r="B2158" s="8" t="s">
        <v>357</v>
      </c>
    </row>
    <row r="2159" spans="1:2" x14ac:dyDescent="0.2">
      <c r="A2159" t="s">
        <v>6210</v>
      </c>
      <c r="B2159" s="8" t="s">
        <v>2004</v>
      </c>
    </row>
    <row r="2160" spans="1:2" x14ac:dyDescent="0.2">
      <c r="A2160" t="s">
        <v>6211</v>
      </c>
      <c r="B2160" s="8" t="s">
        <v>6212</v>
      </c>
    </row>
    <row r="2161" spans="1:2" x14ac:dyDescent="0.2">
      <c r="A2161" t="s">
        <v>6214</v>
      </c>
      <c r="B2161" s="8" t="s">
        <v>6215</v>
      </c>
    </row>
    <row r="2162" spans="1:2" x14ac:dyDescent="0.2">
      <c r="A2162" t="s">
        <v>6217</v>
      </c>
      <c r="B2162" s="8" t="s">
        <v>6218</v>
      </c>
    </row>
    <row r="2163" spans="1:2" x14ac:dyDescent="0.2">
      <c r="A2163" t="s">
        <v>6220</v>
      </c>
      <c r="B2163" s="8" t="s">
        <v>357</v>
      </c>
    </row>
    <row r="2164" spans="1:2" x14ac:dyDescent="0.2">
      <c r="A2164" t="s">
        <v>6221</v>
      </c>
      <c r="B2164" s="8" t="s">
        <v>6222</v>
      </c>
    </row>
    <row r="2165" spans="1:2" x14ac:dyDescent="0.2">
      <c r="A2165" t="s">
        <v>6224</v>
      </c>
      <c r="B2165" s="8" t="s">
        <v>6225</v>
      </c>
    </row>
    <row r="2166" spans="1:2" x14ac:dyDescent="0.2">
      <c r="A2166" t="s">
        <v>6227</v>
      </c>
      <c r="B2166" s="8" t="s">
        <v>6228</v>
      </c>
    </row>
    <row r="2167" spans="1:2" x14ac:dyDescent="0.2">
      <c r="A2167" t="s">
        <v>6230</v>
      </c>
      <c r="B2167" s="8" t="s">
        <v>6231</v>
      </c>
    </row>
    <row r="2168" spans="1:2" x14ac:dyDescent="0.2">
      <c r="A2168" t="s">
        <v>6233</v>
      </c>
      <c r="B2168" s="8" t="s">
        <v>6234</v>
      </c>
    </row>
    <row r="2169" spans="1:2" x14ac:dyDescent="0.2">
      <c r="A2169" t="s">
        <v>6236</v>
      </c>
      <c r="B2169" s="8" t="s">
        <v>6237</v>
      </c>
    </row>
    <row r="2170" spans="1:2" x14ac:dyDescent="0.2">
      <c r="A2170" t="s">
        <v>6239</v>
      </c>
      <c r="B2170" s="8" t="s">
        <v>6237</v>
      </c>
    </row>
    <row r="2171" spans="1:2" x14ac:dyDescent="0.2">
      <c r="A2171" t="s">
        <v>6240</v>
      </c>
      <c r="B2171" s="8" t="s">
        <v>6241</v>
      </c>
    </row>
    <row r="2172" spans="1:2" x14ac:dyDescent="0.2">
      <c r="A2172" t="s">
        <v>6243</v>
      </c>
      <c r="B2172" s="8" t="s">
        <v>357</v>
      </c>
    </row>
    <row r="2173" spans="1:2" x14ac:dyDescent="0.2">
      <c r="A2173" t="s">
        <v>6245</v>
      </c>
      <c r="B2173" s="8" t="s">
        <v>6246</v>
      </c>
    </row>
    <row r="2174" spans="1:2" x14ac:dyDescent="0.2">
      <c r="A2174" t="s">
        <v>6248</v>
      </c>
      <c r="B2174" s="8" t="s">
        <v>293</v>
      </c>
    </row>
    <row r="2175" spans="1:2" x14ac:dyDescent="0.2">
      <c r="A2175" t="s">
        <v>6250</v>
      </c>
      <c r="B2175" s="8" t="s">
        <v>293</v>
      </c>
    </row>
    <row r="2176" spans="1:2" x14ac:dyDescent="0.2">
      <c r="A2176" t="s">
        <v>6251</v>
      </c>
      <c r="B2176" s="8" t="s">
        <v>293</v>
      </c>
    </row>
    <row r="2177" spans="1:2" x14ac:dyDescent="0.2">
      <c r="A2177" t="s">
        <v>6252</v>
      </c>
      <c r="B2177" s="8" t="s">
        <v>293</v>
      </c>
    </row>
    <row r="2178" spans="1:2" x14ac:dyDescent="0.2">
      <c r="A2178" t="s">
        <v>6253</v>
      </c>
      <c r="B2178" s="8" t="s">
        <v>6254</v>
      </c>
    </row>
    <row r="2179" spans="1:2" x14ac:dyDescent="0.2">
      <c r="A2179" t="s">
        <v>6256</v>
      </c>
      <c r="B2179" s="8" t="s">
        <v>6257</v>
      </c>
    </row>
    <row r="2180" spans="1:2" x14ac:dyDescent="0.2">
      <c r="A2180" t="s">
        <v>6259</v>
      </c>
      <c r="B2180" s="8" t="s">
        <v>6260</v>
      </c>
    </row>
    <row r="2181" spans="1:2" x14ac:dyDescent="0.2">
      <c r="A2181" t="s">
        <v>6262</v>
      </c>
      <c r="B2181" s="8" t="s">
        <v>6263</v>
      </c>
    </row>
    <row r="2182" spans="1:2" x14ac:dyDescent="0.2">
      <c r="A2182" t="s">
        <v>6265</v>
      </c>
      <c r="B2182" s="8" t="s">
        <v>6266</v>
      </c>
    </row>
    <row r="2183" spans="1:2" x14ac:dyDescent="0.2">
      <c r="A2183" t="s">
        <v>6268</v>
      </c>
      <c r="B2183" s="8" t="s">
        <v>6269</v>
      </c>
    </row>
    <row r="2184" spans="1:2" x14ac:dyDescent="0.2">
      <c r="A2184" t="s">
        <v>6271</v>
      </c>
      <c r="B2184" s="8" t="s">
        <v>6272</v>
      </c>
    </row>
    <row r="2185" spans="1:2" x14ac:dyDescent="0.2">
      <c r="A2185" t="s">
        <v>6274</v>
      </c>
      <c r="B2185" s="8" t="s">
        <v>6275</v>
      </c>
    </row>
    <row r="2186" spans="1:2" x14ac:dyDescent="0.2">
      <c r="A2186" t="s">
        <v>6277</v>
      </c>
      <c r="B2186" s="8" t="s">
        <v>6278</v>
      </c>
    </row>
    <row r="2187" spans="1:2" x14ac:dyDescent="0.2">
      <c r="A2187" t="s">
        <v>6280</v>
      </c>
      <c r="B2187" s="8" t="s">
        <v>6281</v>
      </c>
    </row>
    <row r="2188" spans="1:2" x14ac:dyDescent="0.2">
      <c r="A2188" t="s">
        <v>6282</v>
      </c>
      <c r="B2188" s="8" t="s">
        <v>6283</v>
      </c>
    </row>
    <row r="2189" spans="1:2" x14ac:dyDescent="0.2">
      <c r="A2189" t="s">
        <v>6285</v>
      </c>
      <c r="B2189" s="8" t="s">
        <v>6286</v>
      </c>
    </row>
    <row r="2190" spans="1:2" x14ac:dyDescent="0.2">
      <c r="A2190" t="s">
        <v>6287</v>
      </c>
      <c r="B2190" s="8" t="s">
        <v>6288</v>
      </c>
    </row>
    <row r="2191" spans="1:2" x14ac:dyDescent="0.2">
      <c r="A2191" t="s">
        <v>6290</v>
      </c>
      <c r="B2191" s="8" t="s">
        <v>6291</v>
      </c>
    </row>
    <row r="2192" spans="1:2" x14ac:dyDescent="0.2">
      <c r="A2192" t="s">
        <v>6293</v>
      </c>
      <c r="B2192" s="8" t="s">
        <v>6294</v>
      </c>
    </row>
    <row r="2193" spans="1:2" x14ac:dyDescent="0.2">
      <c r="A2193" t="s">
        <v>6296</v>
      </c>
      <c r="B2193" s="8" t="s">
        <v>6297</v>
      </c>
    </row>
    <row r="2194" spans="1:2" x14ac:dyDescent="0.2">
      <c r="A2194" t="s">
        <v>6299</v>
      </c>
      <c r="B2194" s="8" t="s">
        <v>6300</v>
      </c>
    </row>
    <row r="2195" spans="1:2" x14ac:dyDescent="0.2">
      <c r="A2195" t="s">
        <v>6302</v>
      </c>
      <c r="B2195" s="8" t="s">
        <v>6303</v>
      </c>
    </row>
    <row r="2196" spans="1:2" x14ac:dyDescent="0.2">
      <c r="A2196" t="s">
        <v>6305</v>
      </c>
      <c r="B2196" s="8" t="s">
        <v>6306</v>
      </c>
    </row>
    <row r="2197" spans="1:2" x14ac:dyDescent="0.2">
      <c r="A2197" t="s">
        <v>6308</v>
      </c>
      <c r="B2197" s="8" t="s">
        <v>6309</v>
      </c>
    </row>
    <row r="2198" spans="1:2" x14ac:dyDescent="0.2">
      <c r="A2198" t="s">
        <v>6311</v>
      </c>
      <c r="B2198" s="8" t="s">
        <v>6312</v>
      </c>
    </row>
    <row r="2199" spans="1:2" x14ac:dyDescent="0.2">
      <c r="A2199" t="s">
        <v>6314</v>
      </c>
      <c r="B2199" s="8" t="s">
        <v>6315</v>
      </c>
    </row>
    <row r="2200" spans="1:2" x14ac:dyDescent="0.2">
      <c r="A2200" t="s">
        <v>6317</v>
      </c>
      <c r="B2200" s="8" t="s">
        <v>357</v>
      </c>
    </row>
    <row r="2201" spans="1:2" x14ac:dyDescent="0.2">
      <c r="A2201" t="s">
        <v>6318</v>
      </c>
      <c r="B2201" s="8" t="s">
        <v>357</v>
      </c>
    </row>
    <row r="2202" spans="1:2" x14ac:dyDescent="0.2">
      <c r="A2202" t="s">
        <v>6319</v>
      </c>
      <c r="B2202" s="8" t="s">
        <v>6320</v>
      </c>
    </row>
    <row r="2203" spans="1:2" x14ac:dyDescent="0.2">
      <c r="A2203" t="s">
        <v>6322</v>
      </c>
      <c r="B2203" s="8" t="s">
        <v>6323</v>
      </c>
    </row>
    <row r="2204" spans="1:2" x14ac:dyDescent="0.2">
      <c r="A2204" t="s">
        <v>6325</v>
      </c>
      <c r="B2204" s="8" t="s">
        <v>6326</v>
      </c>
    </row>
    <row r="2205" spans="1:2" x14ac:dyDescent="0.2">
      <c r="A2205" t="s">
        <v>6328</v>
      </c>
      <c r="B2205" s="8" t="s">
        <v>6329</v>
      </c>
    </row>
    <row r="2206" spans="1:2" x14ac:dyDescent="0.2">
      <c r="A2206" t="s">
        <v>6331</v>
      </c>
      <c r="B2206" s="8" t="s">
        <v>6332</v>
      </c>
    </row>
    <row r="2207" spans="1:2" x14ac:dyDescent="0.2">
      <c r="A2207" t="s">
        <v>6334</v>
      </c>
      <c r="B2207" s="8" t="s">
        <v>6335</v>
      </c>
    </row>
    <row r="2208" spans="1:2" x14ac:dyDescent="0.2">
      <c r="A2208" t="s">
        <v>6337</v>
      </c>
      <c r="B2208" s="8" t="s">
        <v>6338</v>
      </c>
    </row>
    <row r="2209" spans="1:2" x14ac:dyDescent="0.2">
      <c r="A2209" t="s">
        <v>6340</v>
      </c>
      <c r="B2209" s="8" t="s">
        <v>6341</v>
      </c>
    </row>
    <row r="2210" spans="1:2" x14ac:dyDescent="0.2">
      <c r="A2210" t="s">
        <v>6343</v>
      </c>
      <c r="B2210" s="8" t="s">
        <v>6344</v>
      </c>
    </row>
    <row r="2211" spans="1:2" x14ac:dyDescent="0.2">
      <c r="A2211" t="s">
        <v>6346</v>
      </c>
      <c r="B2211" s="8" t="s">
        <v>6347</v>
      </c>
    </row>
    <row r="2212" spans="1:2" x14ac:dyDescent="0.2">
      <c r="A2212" t="s">
        <v>6349</v>
      </c>
      <c r="B2212" s="8" t="s">
        <v>6350</v>
      </c>
    </row>
    <row r="2213" spans="1:2" x14ac:dyDescent="0.2">
      <c r="A2213" t="s">
        <v>6352</v>
      </c>
      <c r="B2213" s="8" t="s">
        <v>6353</v>
      </c>
    </row>
    <row r="2214" spans="1:2" x14ac:dyDescent="0.2">
      <c r="A2214" t="s">
        <v>6355</v>
      </c>
      <c r="B2214" s="8" t="s">
        <v>6356</v>
      </c>
    </row>
    <row r="2215" spans="1:2" x14ac:dyDescent="0.2">
      <c r="A2215" t="s">
        <v>6358</v>
      </c>
      <c r="B2215" s="8" t="s">
        <v>6359</v>
      </c>
    </row>
    <row r="2216" spans="1:2" x14ac:dyDescent="0.2">
      <c r="A2216" t="s">
        <v>6361</v>
      </c>
      <c r="B2216" s="8" t="s">
        <v>6362</v>
      </c>
    </row>
    <row r="2217" spans="1:2" x14ac:dyDescent="0.2">
      <c r="A2217" t="s">
        <v>6364</v>
      </c>
      <c r="B2217" s="8" t="s">
        <v>6365</v>
      </c>
    </row>
    <row r="2218" spans="1:2" x14ac:dyDescent="0.2">
      <c r="A2218" t="s">
        <v>6367</v>
      </c>
      <c r="B2218" s="8" t="s">
        <v>268</v>
      </c>
    </row>
    <row r="2219" spans="1:2" x14ac:dyDescent="0.2">
      <c r="A2219" t="s">
        <v>6369</v>
      </c>
      <c r="B2219" s="8" t="s">
        <v>6370</v>
      </c>
    </row>
    <row r="2220" spans="1:2" x14ac:dyDescent="0.2">
      <c r="A2220" t="s">
        <v>6372</v>
      </c>
      <c r="B2220" s="8" t="s">
        <v>357</v>
      </c>
    </row>
    <row r="2221" spans="1:2" x14ac:dyDescent="0.2">
      <c r="A2221" t="s">
        <v>6374</v>
      </c>
      <c r="B2221" s="8" t="s">
        <v>6375</v>
      </c>
    </row>
    <row r="2222" spans="1:2" x14ac:dyDescent="0.2">
      <c r="A2222" t="s">
        <v>6377</v>
      </c>
      <c r="B2222" s="8" t="s">
        <v>6375</v>
      </c>
    </row>
    <row r="2223" spans="1:2" x14ac:dyDescent="0.2">
      <c r="A2223" t="s">
        <v>6378</v>
      </c>
      <c r="B2223" s="8" t="s">
        <v>6375</v>
      </c>
    </row>
    <row r="2224" spans="1:2" x14ac:dyDescent="0.2">
      <c r="A2224" t="s">
        <v>6379</v>
      </c>
      <c r="B2224" s="8" t="s">
        <v>6375</v>
      </c>
    </row>
    <row r="2225" spans="1:2" x14ac:dyDescent="0.2">
      <c r="A2225" t="s">
        <v>6381</v>
      </c>
      <c r="B2225" s="8" t="s">
        <v>6382</v>
      </c>
    </row>
    <row r="2226" spans="1:2" x14ac:dyDescent="0.2">
      <c r="A2226" t="s">
        <v>6384</v>
      </c>
      <c r="B2226" s="8" t="s">
        <v>6385</v>
      </c>
    </row>
    <row r="2227" spans="1:2" x14ac:dyDescent="0.2">
      <c r="A2227" t="s">
        <v>78</v>
      </c>
      <c r="B2227" s="8" t="s">
        <v>277</v>
      </c>
    </row>
    <row r="2228" spans="1:2" x14ac:dyDescent="0.2">
      <c r="A2228" t="s">
        <v>6388</v>
      </c>
      <c r="B2228" s="8" t="s">
        <v>6389</v>
      </c>
    </row>
    <row r="2229" spans="1:2" x14ac:dyDescent="0.2">
      <c r="A2229" t="s">
        <v>6391</v>
      </c>
      <c r="B2229" s="8" t="s">
        <v>6392</v>
      </c>
    </row>
    <row r="2230" spans="1:2" x14ac:dyDescent="0.2">
      <c r="A2230" t="s">
        <v>6394</v>
      </c>
      <c r="B2230" s="8" t="s">
        <v>6395</v>
      </c>
    </row>
    <row r="2231" spans="1:2" x14ac:dyDescent="0.2">
      <c r="A2231" t="s">
        <v>6397</v>
      </c>
      <c r="B2231" s="8" t="s">
        <v>6398</v>
      </c>
    </row>
    <row r="2232" spans="1:2" x14ac:dyDescent="0.2">
      <c r="A2232" t="s">
        <v>6400</v>
      </c>
      <c r="B2232" s="8" t="s">
        <v>6401</v>
      </c>
    </row>
    <row r="2233" spans="1:2" x14ac:dyDescent="0.2">
      <c r="A2233" t="s">
        <v>6403</v>
      </c>
      <c r="B2233" s="8" t="s">
        <v>6404</v>
      </c>
    </row>
    <row r="2234" spans="1:2" x14ac:dyDescent="0.2">
      <c r="A2234" t="s">
        <v>6406</v>
      </c>
      <c r="B2234" s="8" t="s">
        <v>6407</v>
      </c>
    </row>
    <row r="2235" spans="1:2" x14ac:dyDescent="0.2">
      <c r="A2235" t="s">
        <v>6409</v>
      </c>
      <c r="B2235" s="8" t="s">
        <v>6410</v>
      </c>
    </row>
    <row r="2236" spans="1:2" x14ac:dyDescent="0.2">
      <c r="A2236" t="s">
        <v>6412</v>
      </c>
      <c r="B2236" s="8" t="s">
        <v>6413</v>
      </c>
    </row>
    <row r="2237" spans="1:2" x14ac:dyDescent="0.2">
      <c r="A2237" t="s">
        <v>6415</v>
      </c>
      <c r="B2237" s="8" t="s">
        <v>6416</v>
      </c>
    </row>
    <row r="2238" spans="1:2" x14ac:dyDescent="0.2">
      <c r="A2238" t="s">
        <v>6417</v>
      </c>
      <c r="B2238" s="8" t="s">
        <v>6416</v>
      </c>
    </row>
    <row r="2239" spans="1:2" x14ac:dyDescent="0.2">
      <c r="A2239" t="s">
        <v>6418</v>
      </c>
      <c r="B2239" s="8" t="s">
        <v>6419</v>
      </c>
    </row>
    <row r="2240" spans="1:2" x14ac:dyDescent="0.2">
      <c r="A2240" t="s">
        <v>6420</v>
      </c>
      <c r="B2240" s="8" t="s">
        <v>6421</v>
      </c>
    </row>
    <row r="2241" spans="1:2" x14ac:dyDescent="0.2">
      <c r="A2241" t="s">
        <v>6423</v>
      </c>
      <c r="B2241" s="8" t="s">
        <v>6424</v>
      </c>
    </row>
    <row r="2242" spans="1:2" x14ac:dyDescent="0.2">
      <c r="A2242" t="s">
        <v>6426</v>
      </c>
      <c r="B2242" s="8" t="s">
        <v>6427</v>
      </c>
    </row>
    <row r="2243" spans="1:2" x14ac:dyDescent="0.2">
      <c r="A2243" t="s">
        <v>6429</v>
      </c>
      <c r="B2243" s="8" t="s">
        <v>6430</v>
      </c>
    </row>
    <row r="2244" spans="1:2" x14ac:dyDescent="0.2">
      <c r="A2244" t="s">
        <v>6431</v>
      </c>
      <c r="B2244" s="8" t="s">
        <v>6432</v>
      </c>
    </row>
    <row r="2245" spans="1:2" x14ac:dyDescent="0.2">
      <c r="A2245" t="s">
        <v>6434</v>
      </c>
      <c r="B2245" s="8" t="s">
        <v>6435</v>
      </c>
    </row>
    <row r="2246" spans="1:2" x14ac:dyDescent="0.2">
      <c r="A2246" t="s">
        <v>6437</v>
      </c>
      <c r="B2246" s="8" t="s">
        <v>6438</v>
      </c>
    </row>
    <row r="2247" spans="1:2" x14ac:dyDescent="0.2">
      <c r="A2247" t="s">
        <v>6440</v>
      </c>
      <c r="B2247" s="8" t="s">
        <v>6441</v>
      </c>
    </row>
    <row r="2248" spans="1:2" x14ac:dyDescent="0.2">
      <c r="A2248" t="s">
        <v>6443</v>
      </c>
      <c r="B2248" s="8" t="s">
        <v>6444</v>
      </c>
    </row>
    <row r="2249" spans="1:2" x14ac:dyDescent="0.2">
      <c r="A2249" t="s">
        <v>6446</v>
      </c>
      <c r="B2249" s="8" t="s">
        <v>6447</v>
      </c>
    </row>
    <row r="2250" spans="1:2" x14ac:dyDescent="0.2">
      <c r="A2250" t="s">
        <v>6449</v>
      </c>
      <c r="B2250" s="8" t="s">
        <v>6450</v>
      </c>
    </row>
    <row r="2251" spans="1:2" x14ac:dyDescent="0.2">
      <c r="A2251" t="s">
        <v>6452</v>
      </c>
      <c r="B2251" s="8" t="s">
        <v>294</v>
      </c>
    </row>
    <row r="2252" spans="1:2" x14ac:dyDescent="0.2">
      <c r="A2252" t="s">
        <v>6454</v>
      </c>
      <c r="B2252" s="8" t="s">
        <v>6455</v>
      </c>
    </row>
    <row r="2253" spans="1:2" x14ac:dyDescent="0.2">
      <c r="A2253" t="s">
        <v>6457</v>
      </c>
      <c r="B2253" s="8" t="s">
        <v>6458</v>
      </c>
    </row>
    <row r="2254" spans="1:2" x14ac:dyDescent="0.2">
      <c r="A2254" t="s">
        <v>6460</v>
      </c>
      <c r="B2254" s="8" t="s">
        <v>6461</v>
      </c>
    </row>
    <row r="2255" spans="1:2" x14ac:dyDescent="0.2">
      <c r="A2255" t="s">
        <v>6463</v>
      </c>
      <c r="B2255" s="8" t="s">
        <v>6464</v>
      </c>
    </row>
    <row r="2256" spans="1:2" x14ac:dyDescent="0.2">
      <c r="A2256" t="s">
        <v>6465</v>
      </c>
      <c r="B2256" s="8" t="s">
        <v>6466</v>
      </c>
    </row>
    <row r="2257" spans="1:2" x14ac:dyDescent="0.2">
      <c r="A2257" t="s">
        <v>6468</v>
      </c>
      <c r="B2257" s="8" t="s">
        <v>6469</v>
      </c>
    </row>
    <row r="2258" spans="1:2" x14ac:dyDescent="0.2">
      <c r="A2258" t="s">
        <v>6471</v>
      </c>
      <c r="B2258" s="8" t="s">
        <v>6472</v>
      </c>
    </row>
    <row r="2259" spans="1:2" x14ac:dyDescent="0.2">
      <c r="A2259" t="s">
        <v>6474</v>
      </c>
      <c r="B2259" s="8" t="s">
        <v>6475</v>
      </c>
    </row>
    <row r="2260" spans="1:2" x14ac:dyDescent="0.2">
      <c r="A2260" t="s">
        <v>6477</v>
      </c>
      <c r="B2260" s="8" t="s">
        <v>6478</v>
      </c>
    </row>
    <row r="2261" spans="1:2" x14ac:dyDescent="0.2">
      <c r="A2261" t="s">
        <v>6480</v>
      </c>
      <c r="B2261" s="8" t="s">
        <v>6481</v>
      </c>
    </row>
    <row r="2262" spans="1:2" x14ac:dyDescent="0.2">
      <c r="A2262" t="s">
        <v>6483</v>
      </c>
      <c r="B2262" s="8" t="s">
        <v>6484</v>
      </c>
    </row>
    <row r="2263" spans="1:2" x14ac:dyDescent="0.2">
      <c r="A2263" t="s">
        <v>6486</v>
      </c>
      <c r="B2263" s="8" t="s">
        <v>6487</v>
      </c>
    </row>
    <row r="2264" spans="1:2" x14ac:dyDescent="0.2">
      <c r="A2264" t="s">
        <v>6489</v>
      </c>
      <c r="B2264" s="8" t="s">
        <v>6490</v>
      </c>
    </row>
    <row r="2265" spans="1:2" x14ac:dyDescent="0.2">
      <c r="A2265" t="s">
        <v>6492</v>
      </c>
      <c r="B2265" s="8" t="s">
        <v>6493</v>
      </c>
    </row>
    <row r="2266" spans="1:2" x14ac:dyDescent="0.2">
      <c r="A2266" t="s">
        <v>6495</v>
      </c>
      <c r="B2266" s="8" t="s">
        <v>6496</v>
      </c>
    </row>
    <row r="2267" spans="1:2" x14ac:dyDescent="0.2">
      <c r="A2267" t="s">
        <v>6497</v>
      </c>
      <c r="B2267" s="8" t="s">
        <v>6498</v>
      </c>
    </row>
    <row r="2268" spans="1:2" x14ac:dyDescent="0.2">
      <c r="A2268" t="s">
        <v>6500</v>
      </c>
      <c r="B2268" s="8" t="s">
        <v>6501</v>
      </c>
    </row>
    <row r="2269" spans="1:2" x14ac:dyDescent="0.2">
      <c r="A2269" t="s">
        <v>6503</v>
      </c>
      <c r="B2269" s="8" t="s">
        <v>6504</v>
      </c>
    </row>
    <row r="2270" spans="1:2" x14ac:dyDescent="0.2">
      <c r="A2270" t="s">
        <v>6506</v>
      </c>
      <c r="B2270" s="8" t="s">
        <v>6507</v>
      </c>
    </row>
    <row r="2271" spans="1:2" x14ac:dyDescent="0.2">
      <c r="A2271" t="s">
        <v>6509</v>
      </c>
      <c r="B2271" s="8" t="s">
        <v>6510</v>
      </c>
    </row>
    <row r="2272" spans="1:2" x14ac:dyDescent="0.2">
      <c r="A2272" t="s">
        <v>6512</v>
      </c>
      <c r="B2272" s="8" t="s">
        <v>6513</v>
      </c>
    </row>
    <row r="2273" spans="1:2" x14ac:dyDescent="0.2">
      <c r="A2273" t="s">
        <v>6514</v>
      </c>
      <c r="B2273" s="8" t="s">
        <v>6515</v>
      </c>
    </row>
    <row r="2274" spans="1:2" x14ac:dyDescent="0.2">
      <c r="A2274" t="s">
        <v>6517</v>
      </c>
      <c r="B2274" s="8" t="s">
        <v>6518</v>
      </c>
    </row>
    <row r="2275" spans="1:2" x14ac:dyDescent="0.2">
      <c r="A2275" t="s">
        <v>6520</v>
      </c>
      <c r="B2275" s="8" t="s">
        <v>357</v>
      </c>
    </row>
    <row r="2276" spans="1:2" x14ac:dyDescent="0.2">
      <c r="A2276" t="s">
        <v>6522</v>
      </c>
      <c r="B2276" s="8" t="s">
        <v>6523</v>
      </c>
    </row>
    <row r="2277" spans="1:2" x14ac:dyDescent="0.2">
      <c r="A2277" t="s">
        <v>6524</v>
      </c>
      <c r="B2277" s="8" t="s">
        <v>6525</v>
      </c>
    </row>
    <row r="2278" spans="1:2" x14ac:dyDescent="0.2">
      <c r="A2278" t="s">
        <v>6527</v>
      </c>
      <c r="B2278" s="8" t="s">
        <v>6528</v>
      </c>
    </row>
    <row r="2279" spans="1:2" x14ac:dyDescent="0.2">
      <c r="A2279" t="s">
        <v>6530</v>
      </c>
      <c r="B2279" s="8" t="s">
        <v>6531</v>
      </c>
    </row>
    <row r="2280" spans="1:2" x14ac:dyDescent="0.2">
      <c r="A2280" t="s">
        <v>6533</v>
      </c>
      <c r="B2280" s="8" t="s">
        <v>6534</v>
      </c>
    </row>
    <row r="2281" spans="1:2" x14ac:dyDescent="0.2">
      <c r="A2281" t="s">
        <v>6536</v>
      </c>
      <c r="B2281" s="8" t="s">
        <v>6537</v>
      </c>
    </row>
    <row r="2282" spans="1:2" x14ac:dyDescent="0.2">
      <c r="A2282" t="s">
        <v>6539</v>
      </c>
      <c r="B2282" s="8" t="s">
        <v>6540</v>
      </c>
    </row>
    <row r="2283" spans="1:2" x14ac:dyDescent="0.2">
      <c r="A2283" t="s">
        <v>6542</v>
      </c>
      <c r="B2283" s="8" t="s">
        <v>6543</v>
      </c>
    </row>
    <row r="2284" spans="1:2" x14ac:dyDescent="0.2">
      <c r="A2284" t="s">
        <v>6544</v>
      </c>
      <c r="B2284" s="8" t="s">
        <v>6543</v>
      </c>
    </row>
    <row r="2285" spans="1:2" x14ac:dyDescent="0.2">
      <c r="A2285" t="s">
        <v>6545</v>
      </c>
      <c r="B2285" s="8" t="s">
        <v>6546</v>
      </c>
    </row>
    <row r="2286" spans="1:2" x14ac:dyDescent="0.2">
      <c r="A2286" t="s">
        <v>6548</v>
      </c>
      <c r="B2286" s="8" t="s">
        <v>6549</v>
      </c>
    </row>
    <row r="2287" spans="1:2" x14ac:dyDescent="0.2">
      <c r="A2287" t="s">
        <v>6551</v>
      </c>
      <c r="B2287" s="8" t="s">
        <v>6552</v>
      </c>
    </row>
    <row r="2288" spans="1:2" x14ac:dyDescent="0.2">
      <c r="A2288" t="s">
        <v>6554</v>
      </c>
      <c r="B2288" s="8" t="s">
        <v>6555</v>
      </c>
    </row>
    <row r="2289" spans="1:2" x14ac:dyDescent="0.2">
      <c r="A2289" t="s">
        <v>6557</v>
      </c>
      <c r="B2289" s="8" t="s">
        <v>6558</v>
      </c>
    </row>
    <row r="2290" spans="1:2" x14ac:dyDescent="0.2">
      <c r="A2290" t="s">
        <v>6560</v>
      </c>
      <c r="B2290" s="8" t="s">
        <v>357</v>
      </c>
    </row>
    <row r="2291" spans="1:2" x14ac:dyDescent="0.2">
      <c r="A2291" t="s">
        <v>6561</v>
      </c>
      <c r="B2291" s="8" t="s">
        <v>6562</v>
      </c>
    </row>
    <row r="2292" spans="1:2" x14ac:dyDescent="0.2">
      <c r="A2292" t="s">
        <v>6564</v>
      </c>
      <c r="B2292" s="8" t="s">
        <v>357</v>
      </c>
    </row>
    <row r="2293" spans="1:2" x14ac:dyDescent="0.2">
      <c r="A2293" t="s">
        <v>6566</v>
      </c>
      <c r="B2293" s="8" t="s">
        <v>6567</v>
      </c>
    </row>
    <row r="2294" spans="1:2" x14ac:dyDescent="0.2">
      <c r="A2294" t="s">
        <v>6569</v>
      </c>
      <c r="B2294" s="8" t="s">
        <v>6570</v>
      </c>
    </row>
    <row r="2295" spans="1:2" x14ac:dyDescent="0.2">
      <c r="A2295" t="s">
        <v>6572</v>
      </c>
      <c r="B2295" s="8" t="s">
        <v>6573</v>
      </c>
    </row>
    <row r="2296" spans="1:2" x14ac:dyDescent="0.2">
      <c r="A2296" t="s">
        <v>6575</v>
      </c>
      <c r="B2296" s="8" t="s">
        <v>6576</v>
      </c>
    </row>
    <row r="2297" spans="1:2" x14ac:dyDescent="0.2">
      <c r="A2297" t="s">
        <v>6578</v>
      </c>
      <c r="B2297" s="8" t="s">
        <v>6579</v>
      </c>
    </row>
    <row r="2298" spans="1:2" x14ac:dyDescent="0.2">
      <c r="A2298" t="s">
        <v>6581</v>
      </c>
      <c r="B2298" s="8" t="s">
        <v>357</v>
      </c>
    </row>
    <row r="2299" spans="1:2" x14ac:dyDescent="0.2">
      <c r="A2299" t="s">
        <v>6582</v>
      </c>
      <c r="B2299" s="8" t="s">
        <v>6583</v>
      </c>
    </row>
    <row r="2300" spans="1:2" x14ac:dyDescent="0.2">
      <c r="A2300" t="s">
        <v>6585</v>
      </c>
      <c r="B2300" s="8" t="s">
        <v>357</v>
      </c>
    </row>
    <row r="2301" spans="1:2" x14ac:dyDescent="0.2">
      <c r="A2301" t="s">
        <v>6586</v>
      </c>
      <c r="B2301" s="8" t="s">
        <v>6587</v>
      </c>
    </row>
    <row r="2302" spans="1:2" x14ac:dyDescent="0.2">
      <c r="A2302" t="s">
        <v>6589</v>
      </c>
      <c r="B2302" s="8" t="s">
        <v>357</v>
      </c>
    </row>
    <row r="2303" spans="1:2" x14ac:dyDescent="0.2">
      <c r="A2303" t="s">
        <v>6591</v>
      </c>
      <c r="B2303" s="8" t="s">
        <v>6592</v>
      </c>
    </row>
    <row r="2304" spans="1:2" x14ac:dyDescent="0.2">
      <c r="A2304" t="s">
        <v>6594</v>
      </c>
      <c r="B2304" s="8" t="s">
        <v>6595</v>
      </c>
    </row>
    <row r="2305" spans="1:2" x14ac:dyDescent="0.2">
      <c r="A2305" t="s">
        <v>6597</v>
      </c>
      <c r="B2305" s="8" t="s">
        <v>357</v>
      </c>
    </row>
    <row r="2306" spans="1:2" x14ac:dyDescent="0.2">
      <c r="A2306" t="s">
        <v>6598</v>
      </c>
      <c r="B2306" s="8" t="s">
        <v>262</v>
      </c>
    </row>
    <row r="2307" spans="1:2" x14ac:dyDescent="0.2">
      <c r="A2307" t="s">
        <v>6599</v>
      </c>
      <c r="B2307" s="8" t="s">
        <v>262</v>
      </c>
    </row>
    <row r="2308" spans="1:2" x14ac:dyDescent="0.2">
      <c r="A2308" t="s">
        <v>6600</v>
      </c>
      <c r="B2308" s="8" t="s">
        <v>262</v>
      </c>
    </row>
    <row r="2309" spans="1:2" x14ac:dyDescent="0.2">
      <c r="A2309" t="s">
        <v>6601</v>
      </c>
      <c r="B2309" s="8" t="s">
        <v>6602</v>
      </c>
    </row>
    <row r="2310" spans="1:2" x14ac:dyDescent="0.2">
      <c r="A2310" t="s">
        <v>6604</v>
      </c>
      <c r="B2310" s="8" t="s">
        <v>6605</v>
      </c>
    </row>
    <row r="2311" spans="1:2" x14ac:dyDescent="0.2">
      <c r="A2311" t="s">
        <v>6607</v>
      </c>
      <c r="B2311" s="8" t="s">
        <v>6608</v>
      </c>
    </row>
    <row r="2312" spans="1:2" x14ac:dyDescent="0.2">
      <c r="A2312" t="s">
        <v>6610</v>
      </c>
      <c r="B2312" s="8" t="s">
        <v>6611</v>
      </c>
    </row>
    <row r="2313" spans="1:2" x14ac:dyDescent="0.2">
      <c r="A2313" t="s">
        <v>6613</v>
      </c>
      <c r="B2313" s="8" t="s">
        <v>6614</v>
      </c>
    </row>
    <row r="2314" spans="1:2" x14ac:dyDescent="0.2">
      <c r="A2314" t="s">
        <v>6616</v>
      </c>
      <c r="B2314" s="8" t="s">
        <v>6617</v>
      </c>
    </row>
    <row r="2315" spans="1:2" x14ac:dyDescent="0.2">
      <c r="A2315" t="s">
        <v>6619</v>
      </c>
      <c r="B2315" s="8" t="s">
        <v>6620</v>
      </c>
    </row>
    <row r="2316" spans="1:2" x14ac:dyDescent="0.2">
      <c r="A2316" t="s">
        <v>6622</v>
      </c>
      <c r="B2316" s="8" t="s">
        <v>6623</v>
      </c>
    </row>
    <row r="2317" spans="1:2" x14ac:dyDescent="0.2">
      <c r="A2317" t="s">
        <v>6624</v>
      </c>
      <c r="B2317" s="8" t="s">
        <v>6625</v>
      </c>
    </row>
    <row r="2318" spans="1:2" x14ac:dyDescent="0.2">
      <c r="A2318" t="s">
        <v>6627</v>
      </c>
      <c r="B2318" s="8" t="s">
        <v>6628</v>
      </c>
    </row>
    <row r="2319" spans="1:2" x14ac:dyDescent="0.2">
      <c r="A2319" t="s">
        <v>6630</v>
      </c>
      <c r="B2319" s="8" t="s">
        <v>6631</v>
      </c>
    </row>
    <row r="2320" spans="1:2" x14ac:dyDescent="0.2">
      <c r="A2320" t="s">
        <v>6633</v>
      </c>
      <c r="B2320" s="8" t="s">
        <v>6634</v>
      </c>
    </row>
    <row r="2321" spans="1:2" x14ac:dyDescent="0.2">
      <c r="A2321" t="s">
        <v>6636</v>
      </c>
      <c r="B2321" s="8" t="s">
        <v>6634</v>
      </c>
    </row>
    <row r="2322" spans="1:2" x14ac:dyDescent="0.2">
      <c r="A2322" t="s">
        <v>6637</v>
      </c>
      <c r="B2322" s="8" t="s">
        <v>6638</v>
      </c>
    </row>
    <row r="2323" spans="1:2" x14ac:dyDescent="0.2">
      <c r="A2323" t="s">
        <v>6640</v>
      </c>
      <c r="B2323" s="8" t="s">
        <v>6641</v>
      </c>
    </row>
    <row r="2324" spans="1:2" x14ac:dyDescent="0.2">
      <c r="A2324" t="s">
        <v>6643</v>
      </c>
      <c r="B2324" s="8" t="s">
        <v>6644</v>
      </c>
    </row>
    <row r="2325" spans="1:2" x14ac:dyDescent="0.2">
      <c r="A2325" t="s">
        <v>6646</v>
      </c>
      <c r="B2325" s="8" t="s">
        <v>6647</v>
      </c>
    </row>
    <row r="2326" spans="1:2" x14ac:dyDescent="0.2">
      <c r="A2326" t="s">
        <v>6649</v>
      </c>
      <c r="B2326" s="8" t="s">
        <v>6650</v>
      </c>
    </row>
    <row r="2327" spans="1:2" x14ac:dyDescent="0.2">
      <c r="A2327" t="s">
        <v>6652</v>
      </c>
      <c r="B2327" s="8" t="s">
        <v>357</v>
      </c>
    </row>
    <row r="2328" spans="1:2" x14ac:dyDescent="0.2">
      <c r="A2328" t="s">
        <v>6654</v>
      </c>
      <c r="B2328" s="8" t="s">
        <v>6655</v>
      </c>
    </row>
    <row r="2329" spans="1:2" x14ac:dyDescent="0.2">
      <c r="A2329" t="s">
        <v>6657</v>
      </c>
      <c r="B2329" s="8" t="s">
        <v>6658</v>
      </c>
    </row>
    <row r="2330" spans="1:2" x14ac:dyDescent="0.2">
      <c r="A2330" t="s">
        <v>1368</v>
      </c>
      <c r="B2330" s="8" t="s">
        <v>6660</v>
      </c>
    </row>
    <row r="2331" spans="1:2" x14ac:dyDescent="0.2">
      <c r="A2331" t="s">
        <v>6662</v>
      </c>
      <c r="B2331" s="8" t="s">
        <v>6663</v>
      </c>
    </row>
    <row r="2332" spans="1:2" x14ac:dyDescent="0.2">
      <c r="A2332" t="s">
        <v>6664</v>
      </c>
      <c r="B2332" s="8" t="s">
        <v>292</v>
      </c>
    </row>
    <row r="2333" spans="1:2" x14ac:dyDescent="0.2">
      <c r="A2333" t="s">
        <v>6666</v>
      </c>
      <c r="B2333" s="8" t="s">
        <v>6667</v>
      </c>
    </row>
    <row r="2334" spans="1:2" x14ac:dyDescent="0.2">
      <c r="A2334" t="s">
        <v>6669</v>
      </c>
      <c r="B2334" s="8" t="s">
        <v>6670</v>
      </c>
    </row>
    <row r="2335" spans="1:2" x14ac:dyDescent="0.2">
      <c r="A2335" t="s">
        <v>6658</v>
      </c>
      <c r="B2335" s="8" t="s">
        <v>6672</v>
      </c>
    </row>
    <row r="2336" spans="1:2" x14ac:dyDescent="0.2">
      <c r="A2336" t="s">
        <v>6674</v>
      </c>
      <c r="B2336" s="8" t="s">
        <v>6675</v>
      </c>
    </row>
    <row r="2337" spans="1:2" x14ac:dyDescent="0.2">
      <c r="A2337" t="s">
        <v>6677</v>
      </c>
      <c r="B2337" s="8" t="s">
        <v>6678</v>
      </c>
    </row>
    <row r="2338" spans="1:2" x14ac:dyDescent="0.2">
      <c r="A2338" t="s">
        <v>6680</v>
      </c>
      <c r="B2338" s="8" t="s">
        <v>6681</v>
      </c>
    </row>
    <row r="2339" spans="1:2" x14ac:dyDescent="0.2">
      <c r="A2339" t="s">
        <v>6683</v>
      </c>
      <c r="B2339" s="8" t="s">
        <v>6684</v>
      </c>
    </row>
    <row r="2340" spans="1:2" x14ac:dyDescent="0.2">
      <c r="A2340" t="s">
        <v>6685</v>
      </c>
      <c r="B2340" s="8" t="s">
        <v>6686</v>
      </c>
    </row>
    <row r="2341" spans="1:2" x14ac:dyDescent="0.2">
      <c r="A2341" t="s">
        <v>6688</v>
      </c>
      <c r="B2341" s="8" t="s">
        <v>6689</v>
      </c>
    </row>
    <row r="2342" spans="1:2" x14ac:dyDescent="0.2">
      <c r="A2342" t="s">
        <v>6690</v>
      </c>
      <c r="B2342" s="8" t="s">
        <v>6689</v>
      </c>
    </row>
    <row r="2343" spans="1:2" x14ac:dyDescent="0.2">
      <c r="A2343" t="s">
        <v>6691</v>
      </c>
      <c r="B2343" s="8" t="s">
        <v>6692</v>
      </c>
    </row>
    <row r="2344" spans="1:2" x14ac:dyDescent="0.2">
      <c r="A2344" t="s">
        <v>6694</v>
      </c>
      <c r="B2344" s="8" t="s">
        <v>6695</v>
      </c>
    </row>
    <row r="2345" spans="1:2" x14ac:dyDescent="0.2">
      <c r="A2345" t="s">
        <v>6696</v>
      </c>
      <c r="B2345" s="8" t="s">
        <v>357</v>
      </c>
    </row>
    <row r="2346" spans="1:2" x14ac:dyDescent="0.2">
      <c r="A2346" t="s">
        <v>6698</v>
      </c>
      <c r="B2346" s="8" t="s">
        <v>6699</v>
      </c>
    </row>
    <row r="2347" spans="1:2" x14ac:dyDescent="0.2">
      <c r="A2347" t="s">
        <v>6701</v>
      </c>
      <c r="B2347" s="8" t="s">
        <v>6702</v>
      </c>
    </row>
    <row r="2348" spans="1:2" x14ac:dyDescent="0.2">
      <c r="A2348" t="s">
        <v>6704</v>
      </c>
      <c r="B2348" s="8" t="s">
        <v>6705</v>
      </c>
    </row>
    <row r="2349" spans="1:2" x14ac:dyDescent="0.2">
      <c r="A2349" t="s">
        <v>6707</v>
      </c>
      <c r="B2349" s="8" t="s">
        <v>6708</v>
      </c>
    </row>
    <row r="2350" spans="1:2" x14ac:dyDescent="0.2">
      <c r="A2350" t="s">
        <v>6710</v>
      </c>
      <c r="B2350" s="8" t="s">
        <v>6708</v>
      </c>
    </row>
    <row r="2351" spans="1:2" x14ac:dyDescent="0.2">
      <c r="A2351" t="s">
        <v>6711</v>
      </c>
      <c r="B2351" s="8" t="s">
        <v>6708</v>
      </c>
    </row>
    <row r="2352" spans="1:2" x14ac:dyDescent="0.2">
      <c r="A2352" t="s">
        <v>6712</v>
      </c>
      <c r="B2352" s="8" t="s">
        <v>6713</v>
      </c>
    </row>
    <row r="2353" spans="1:2" x14ac:dyDescent="0.2">
      <c r="A2353" t="s">
        <v>6715</v>
      </c>
      <c r="B2353" s="8" t="s">
        <v>6716</v>
      </c>
    </row>
    <row r="2354" spans="1:2" x14ac:dyDescent="0.2">
      <c r="A2354" t="s">
        <v>6717</v>
      </c>
      <c r="B2354" s="8" t="s">
        <v>357</v>
      </c>
    </row>
    <row r="2355" spans="1:2" x14ac:dyDescent="0.2">
      <c r="A2355" t="s">
        <v>6718</v>
      </c>
      <c r="B2355" s="8" t="s">
        <v>6719</v>
      </c>
    </row>
    <row r="2356" spans="1:2" x14ac:dyDescent="0.2">
      <c r="A2356" t="s">
        <v>6721</v>
      </c>
      <c r="B2356" s="8" t="s">
        <v>6722</v>
      </c>
    </row>
    <row r="2357" spans="1:2" x14ac:dyDescent="0.2">
      <c r="A2357" t="s">
        <v>6724</v>
      </c>
      <c r="B2357" s="8" t="s">
        <v>6725</v>
      </c>
    </row>
    <row r="2358" spans="1:2" x14ac:dyDescent="0.2">
      <c r="A2358" t="s">
        <v>6727</v>
      </c>
      <c r="B2358" s="8" t="s">
        <v>6728</v>
      </c>
    </row>
    <row r="2359" spans="1:2" x14ac:dyDescent="0.2">
      <c r="A2359" t="s">
        <v>6730</v>
      </c>
      <c r="B2359" s="8" t="s">
        <v>6731</v>
      </c>
    </row>
    <row r="2360" spans="1:2" x14ac:dyDescent="0.2">
      <c r="A2360" t="s">
        <v>6733</v>
      </c>
      <c r="B2360" s="8" t="s">
        <v>6734</v>
      </c>
    </row>
    <row r="2361" spans="1:2" x14ac:dyDescent="0.2">
      <c r="A2361" t="s">
        <v>6736</v>
      </c>
      <c r="B2361" s="8" t="s">
        <v>6737</v>
      </c>
    </row>
    <row r="2362" spans="1:2" x14ac:dyDescent="0.2">
      <c r="A2362" t="s">
        <v>6739</v>
      </c>
      <c r="B2362" s="8" t="s">
        <v>6740</v>
      </c>
    </row>
    <row r="2363" spans="1:2" x14ac:dyDescent="0.2">
      <c r="A2363" t="s">
        <v>6742</v>
      </c>
      <c r="B2363" s="8" t="s">
        <v>357</v>
      </c>
    </row>
    <row r="2364" spans="1:2" x14ac:dyDescent="0.2">
      <c r="A2364" t="s">
        <v>6743</v>
      </c>
      <c r="B2364" s="8" t="s">
        <v>6744</v>
      </c>
    </row>
    <row r="2365" spans="1:2" x14ac:dyDescent="0.2">
      <c r="A2365" t="s">
        <v>6746</v>
      </c>
      <c r="B2365" s="8" t="s">
        <v>6747</v>
      </c>
    </row>
    <row r="2366" spans="1:2" x14ac:dyDescent="0.2">
      <c r="A2366" t="s">
        <v>6749</v>
      </c>
      <c r="B2366" s="8" t="s">
        <v>6750</v>
      </c>
    </row>
    <row r="2367" spans="1:2" x14ac:dyDescent="0.2">
      <c r="A2367" t="s">
        <v>6752</v>
      </c>
      <c r="B2367" s="8" t="s">
        <v>6753</v>
      </c>
    </row>
    <row r="2368" spans="1:2" x14ac:dyDescent="0.2">
      <c r="A2368" t="s">
        <v>6755</v>
      </c>
      <c r="B2368" s="8" t="s">
        <v>6756</v>
      </c>
    </row>
    <row r="2369" spans="1:2" x14ac:dyDescent="0.2">
      <c r="A2369" t="s">
        <v>6758</v>
      </c>
      <c r="B2369" s="8" t="s">
        <v>6759</v>
      </c>
    </row>
    <row r="2370" spans="1:2" x14ac:dyDescent="0.2">
      <c r="A2370" t="s">
        <v>6761</v>
      </c>
      <c r="B2370" s="8" t="s">
        <v>6762</v>
      </c>
    </row>
    <row r="2371" spans="1:2" x14ac:dyDescent="0.2">
      <c r="A2371" t="s">
        <v>6764</v>
      </c>
      <c r="B2371" s="8" t="s">
        <v>6765</v>
      </c>
    </row>
    <row r="2372" spans="1:2" x14ac:dyDescent="0.2">
      <c r="A2372" t="s">
        <v>6767</v>
      </c>
      <c r="B2372" s="8" t="s">
        <v>6768</v>
      </c>
    </row>
    <row r="2373" spans="1:2" x14ac:dyDescent="0.2">
      <c r="A2373" t="s">
        <v>6770</v>
      </c>
      <c r="B2373" s="8" t="s">
        <v>6771</v>
      </c>
    </row>
    <row r="2374" spans="1:2" x14ac:dyDescent="0.2">
      <c r="A2374" t="s">
        <v>6773</v>
      </c>
      <c r="B2374" s="8" t="s">
        <v>6774</v>
      </c>
    </row>
    <row r="2375" spans="1:2" x14ac:dyDescent="0.2">
      <c r="A2375" t="s">
        <v>6775</v>
      </c>
      <c r="B2375" s="8" t="s">
        <v>6776</v>
      </c>
    </row>
    <row r="2376" spans="1:2" x14ac:dyDescent="0.2">
      <c r="A2376" t="s">
        <v>6778</v>
      </c>
      <c r="B2376" s="8" t="s">
        <v>6779</v>
      </c>
    </row>
    <row r="2377" spans="1:2" x14ac:dyDescent="0.2">
      <c r="A2377" t="s">
        <v>6781</v>
      </c>
      <c r="B2377" s="8" t="s">
        <v>6782</v>
      </c>
    </row>
    <row r="2378" spans="1:2" x14ac:dyDescent="0.2">
      <c r="A2378" t="s">
        <v>6784</v>
      </c>
      <c r="B2378" s="8" t="s">
        <v>6785</v>
      </c>
    </row>
    <row r="2379" spans="1:2" x14ac:dyDescent="0.2">
      <c r="A2379" t="s">
        <v>6786</v>
      </c>
      <c r="B2379" s="8" t="s">
        <v>357</v>
      </c>
    </row>
    <row r="2380" spans="1:2" x14ac:dyDescent="0.2">
      <c r="A2380" t="s">
        <v>6787</v>
      </c>
      <c r="B2380" s="8" t="s">
        <v>6788</v>
      </c>
    </row>
    <row r="2381" spans="1:2" x14ac:dyDescent="0.2">
      <c r="A2381" t="s">
        <v>6790</v>
      </c>
      <c r="B2381" s="8" t="s">
        <v>6791</v>
      </c>
    </row>
    <row r="2382" spans="1:2" x14ac:dyDescent="0.2">
      <c r="A2382" t="s">
        <v>6793</v>
      </c>
      <c r="B2382" s="8" t="s">
        <v>6794</v>
      </c>
    </row>
    <row r="2383" spans="1:2" x14ac:dyDescent="0.2">
      <c r="A2383" t="s">
        <v>6796</v>
      </c>
      <c r="B2383" s="8" t="s">
        <v>6797</v>
      </c>
    </row>
    <row r="2384" spans="1:2" x14ac:dyDescent="0.2">
      <c r="A2384" t="s">
        <v>6799</v>
      </c>
      <c r="B2384" s="8" t="s">
        <v>357</v>
      </c>
    </row>
    <row r="2385" spans="1:2" x14ac:dyDescent="0.2">
      <c r="A2385" t="s">
        <v>6801</v>
      </c>
      <c r="B2385" s="8" t="s">
        <v>6802</v>
      </c>
    </row>
    <row r="2386" spans="1:2" x14ac:dyDescent="0.2">
      <c r="A2386" t="s">
        <v>6804</v>
      </c>
      <c r="B2386" s="8" t="s">
        <v>6805</v>
      </c>
    </row>
    <row r="2387" spans="1:2" x14ac:dyDescent="0.2">
      <c r="A2387" t="s">
        <v>6807</v>
      </c>
      <c r="B2387" s="8" t="s">
        <v>6808</v>
      </c>
    </row>
    <row r="2388" spans="1:2" x14ac:dyDescent="0.2">
      <c r="A2388" t="s">
        <v>6809</v>
      </c>
      <c r="B2388" s="8" t="s">
        <v>6810</v>
      </c>
    </row>
    <row r="2389" spans="1:2" x14ac:dyDescent="0.2">
      <c r="A2389" t="s">
        <v>6812</v>
      </c>
      <c r="B2389" s="8" t="s">
        <v>6813</v>
      </c>
    </row>
    <row r="2390" spans="1:2" x14ac:dyDescent="0.2">
      <c r="A2390" t="s">
        <v>6815</v>
      </c>
      <c r="B2390" s="8" t="s">
        <v>6816</v>
      </c>
    </row>
    <row r="2391" spans="1:2" x14ac:dyDescent="0.2">
      <c r="A2391" t="s">
        <v>6817</v>
      </c>
      <c r="B2391" s="8" t="s">
        <v>6816</v>
      </c>
    </row>
    <row r="2392" spans="1:2" x14ac:dyDescent="0.2">
      <c r="A2392" t="s">
        <v>6818</v>
      </c>
      <c r="B2392" s="8" t="s">
        <v>6813</v>
      </c>
    </row>
    <row r="2393" spans="1:2" x14ac:dyDescent="0.2">
      <c r="A2393" t="s">
        <v>6819</v>
      </c>
      <c r="B2393" s="8" t="s">
        <v>6820</v>
      </c>
    </row>
    <row r="2394" spans="1:2" x14ac:dyDescent="0.2">
      <c r="A2394" t="s">
        <v>6822</v>
      </c>
      <c r="B2394" s="8" t="s">
        <v>6823</v>
      </c>
    </row>
    <row r="2395" spans="1:2" x14ac:dyDescent="0.2">
      <c r="A2395" t="s">
        <v>6825</v>
      </c>
      <c r="B2395" s="8" t="s">
        <v>6826</v>
      </c>
    </row>
    <row r="2396" spans="1:2" x14ac:dyDescent="0.2">
      <c r="A2396" t="s">
        <v>6828</v>
      </c>
      <c r="B2396" s="8" t="s">
        <v>6829</v>
      </c>
    </row>
    <row r="2397" spans="1:2" x14ac:dyDescent="0.2">
      <c r="A2397" t="s">
        <v>6831</v>
      </c>
      <c r="B2397" s="8" t="s">
        <v>6832</v>
      </c>
    </row>
    <row r="2398" spans="1:2" x14ac:dyDescent="0.2">
      <c r="A2398" t="s">
        <v>6833</v>
      </c>
      <c r="B2398" s="8" t="s">
        <v>357</v>
      </c>
    </row>
    <row r="2399" spans="1:2" x14ac:dyDescent="0.2">
      <c r="A2399" t="s">
        <v>6834</v>
      </c>
      <c r="B2399" s="8" t="s">
        <v>6835</v>
      </c>
    </row>
    <row r="2400" spans="1:2" x14ac:dyDescent="0.2">
      <c r="A2400" t="s">
        <v>6837</v>
      </c>
      <c r="B2400" s="8" t="s">
        <v>6838</v>
      </c>
    </row>
    <row r="2401" spans="1:2" x14ac:dyDescent="0.2">
      <c r="A2401" t="s">
        <v>6840</v>
      </c>
      <c r="B2401" s="8" t="s">
        <v>6841</v>
      </c>
    </row>
    <row r="2402" spans="1:2" x14ac:dyDescent="0.2">
      <c r="A2402" t="s">
        <v>6843</v>
      </c>
      <c r="B2402" s="8" t="s">
        <v>6844</v>
      </c>
    </row>
    <row r="2403" spans="1:2" x14ac:dyDescent="0.2">
      <c r="A2403" t="s">
        <v>6846</v>
      </c>
      <c r="B2403" s="8" t="s">
        <v>6847</v>
      </c>
    </row>
    <row r="2404" spans="1:2" x14ac:dyDescent="0.2">
      <c r="A2404" t="s">
        <v>6849</v>
      </c>
      <c r="B2404" s="8" t="s">
        <v>6850</v>
      </c>
    </row>
    <row r="2405" spans="1:2" x14ac:dyDescent="0.2">
      <c r="A2405" t="s">
        <v>6852</v>
      </c>
      <c r="B2405" s="8" t="s">
        <v>6853</v>
      </c>
    </row>
    <row r="2406" spans="1:2" x14ac:dyDescent="0.2">
      <c r="A2406" t="s">
        <v>6855</v>
      </c>
      <c r="B2406" s="8" t="s">
        <v>223</v>
      </c>
    </row>
    <row r="2407" spans="1:2" x14ac:dyDescent="0.2">
      <c r="A2407" t="s">
        <v>6857</v>
      </c>
      <c r="B2407" s="8" t="s">
        <v>2296</v>
      </c>
    </row>
    <row r="2408" spans="1:2" x14ac:dyDescent="0.2">
      <c r="A2408" t="s">
        <v>6858</v>
      </c>
      <c r="B2408" s="8" t="s">
        <v>2296</v>
      </c>
    </row>
    <row r="2409" spans="1:2" x14ac:dyDescent="0.2">
      <c r="A2409" t="s">
        <v>6859</v>
      </c>
      <c r="B2409" s="8" t="s">
        <v>2296</v>
      </c>
    </row>
    <row r="2410" spans="1:2" x14ac:dyDescent="0.2">
      <c r="A2410" t="s">
        <v>6860</v>
      </c>
      <c r="B2410" s="8" t="s">
        <v>6861</v>
      </c>
    </row>
    <row r="2411" spans="1:2" x14ac:dyDescent="0.2">
      <c r="A2411" t="s">
        <v>6863</v>
      </c>
      <c r="B2411" s="8" t="s">
        <v>6864</v>
      </c>
    </row>
    <row r="2412" spans="1:2" x14ac:dyDescent="0.2">
      <c r="A2412" t="s">
        <v>6866</v>
      </c>
      <c r="B2412" s="8" t="s">
        <v>6867</v>
      </c>
    </row>
    <row r="2413" spans="1:2" x14ac:dyDescent="0.2">
      <c r="A2413" t="s">
        <v>6869</v>
      </c>
      <c r="B2413" s="8" t="s">
        <v>6870</v>
      </c>
    </row>
    <row r="2414" spans="1:2" x14ac:dyDescent="0.2">
      <c r="A2414" t="s">
        <v>6872</v>
      </c>
      <c r="B2414" s="8" t="s">
        <v>6873</v>
      </c>
    </row>
    <row r="2415" spans="1:2" x14ac:dyDescent="0.2">
      <c r="A2415" t="s">
        <v>6875</v>
      </c>
      <c r="B2415" s="8" t="s">
        <v>6876</v>
      </c>
    </row>
    <row r="2416" spans="1:2" x14ac:dyDescent="0.2">
      <c r="A2416" t="s">
        <v>6878</v>
      </c>
      <c r="B2416" s="8" t="s">
        <v>6879</v>
      </c>
    </row>
    <row r="2417" spans="1:2" x14ac:dyDescent="0.2">
      <c r="A2417" t="s">
        <v>6881</v>
      </c>
      <c r="B2417" s="8" t="s">
        <v>6882</v>
      </c>
    </row>
    <row r="2418" spans="1:2" x14ac:dyDescent="0.2">
      <c r="A2418" t="s">
        <v>6884</v>
      </c>
      <c r="B2418" s="8" t="s">
        <v>6885</v>
      </c>
    </row>
    <row r="2419" spans="1:2" x14ac:dyDescent="0.2">
      <c r="A2419" t="s">
        <v>6886</v>
      </c>
      <c r="B2419" s="8" t="s">
        <v>6887</v>
      </c>
    </row>
    <row r="2420" spans="1:2" x14ac:dyDescent="0.2">
      <c r="A2420" t="s">
        <v>6889</v>
      </c>
      <c r="B2420" s="8" t="s">
        <v>311</v>
      </c>
    </row>
    <row r="2421" spans="1:2" x14ac:dyDescent="0.2">
      <c r="A2421" t="s">
        <v>6891</v>
      </c>
      <c r="B2421" s="8" t="s">
        <v>6892</v>
      </c>
    </row>
    <row r="2422" spans="1:2" x14ac:dyDescent="0.2">
      <c r="A2422" t="s">
        <v>6894</v>
      </c>
      <c r="B2422" s="8" t="s">
        <v>357</v>
      </c>
    </row>
    <row r="2423" spans="1:2" x14ac:dyDescent="0.2">
      <c r="A2423" t="s">
        <v>6895</v>
      </c>
      <c r="B2423" s="8" t="s">
        <v>357</v>
      </c>
    </row>
    <row r="2424" spans="1:2" x14ac:dyDescent="0.2">
      <c r="A2424" t="s">
        <v>6897</v>
      </c>
      <c r="B2424" s="8" t="s">
        <v>6898</v>
      </c>
    </row>
    <row r="2425" spans="1:2" x14ac:dyDescent="0.2">
      <c r="A2425" t="s">
        <v>6900</v>
      </c>
      <c r="B2425" s="8" t="s">
        <v>6901</v>
      </c>
    </row>
    <row r="2426" spans="1:2" x14ac:dyDescent="0.2">
      <c r="A2426" t="s">
        <v>6903</v>
      </c>
      <c r="B2426" s="8" t="s">
        <v>6904</v>
      </c>
    </row>
    <row r="2427" spans="1:2" x14ac:dyDescent="0.2">
      <c r="A2427" t="s">
        <v>6906</v>
      </c>
      <c r="B2427" s="8" t="s">
        <v>6907</v>
      </c>
    </row>
    <row r="2428" spans="1:2" x14ac:dyDescent="0.2">
      <c r="A2428" t="s">
        <v>6909</v>
      </c>
      <c r="B2428" s="8" t="s">
        <v>357</v>
      </c>
    </row>
    <row r="2429" spans="1:2" x14ac:dyDescent="0.2">
      <c r="A2429" t="s">
        <v>6911</v>
      </c>
      <c r="B2429" s="8" t="s">
        <v>6912</v>
      </c>
    </row>
    <row r="2430" spans="1:2" x14ac:dyDescent="0.2">
      <c r="A2430" t="s">
        <v>6914</v>
      </c>
      <c r="B2430" s="8" t="s">
        <v>6915</v>
      </c>
    </row>
    <row r="2431" spans="1:2" x14ac:dyDescent="0.2">
      <c r="A2431" t="s">
        <v>6917</v>
      </c>
      <c r="B2431" s="8" t="s">
        <v>6918</v>
      </c>
    </row>
    <row r="2432" spans="1:2" x14ac:dyDescent="0.2">
      <c r="A2432" t="s">
        <v>6920</v>
      </c>
      <c r="B2432" s="8" t="s">
        <v>6921</v>
      </c>
    </row>
    <row r="2433" spans="1:2" x14ac:dyDescent="0.2">
      <c r="A2433" t="s">
        <v>6923</v>
      </c>
      <c r="B2433" s="8" t="s">
        <v>6924</v>
      </c>
    </row>
    <row r="2434" spans="1:2" x14ac:dyDescent="0.2">
      <c r="A2434" t="s">
        <v>6926</v>
      </c>
      <c r="B2434" s="8" t="s">
        <v>6927</v>
      </c>
    </row>
    <row r="2435" spans="1:2" x14ac:dyDescent="0.2">
      <c r="A2435" t="s">
        <v>6929</v>
      </c>
      <c r="B2435" s="8" t="s">
        <v>6930</v>
      </c>
    </row>
    <row r="2436" spans="1:2" x14ac:dyDescent="0.2">
      <c r="A2436" t="s">
        <v>6932</v>
      </c>
      <c r="B2436" s="8" t="s">
        <v>6933</v>
      </c>
    </row>
    <row r="2437" spans="1:2" x14ac:dyDescent="0.2">
      <c r="A2437" t="s">
        <v>6935</v>
      </c>
      <c r="B2437" s="8" t="s">
        <v>6936</v>
      </c>
    </row>
    <row r="2438" spans="1:2" x14ac:dyDescent="0.2">
      <c r="A2438" t="s">
        <v>6938</v>
      </c>
      <c r="B2438" s="8" t="s">
        <v>6939</v>
      </c>
    </row>
    <row r="2439" spans="1:2" x14ac:dyDescent="0.2">
      <c r="A2439" t="s">
        <v>6941</v>
      </c>
      <c r="B2439" s="8" t="s">
        <v>6942</v>
      </c>
    </row>
    <row r="2440" spans="1:2" x14ac:dyDescent="0.2">
      <c r="A2440" t="s">
        <v>6944</v>
      </c>
      <c r="B2440" s="8" t="s">
        <v>6945</v>
      </c>
    </row>
    <row r="2441" spans="1:2" x14ac:dyDescent="0.2">
      <c r="A2441" t="s">
        <v>6947</v>
      </c>
      <c r="B2441" s="8" t="s">
        <v>6948</v>
      </c>
    </row>
    <row r="2442" spans="1:2" x14ac:dyDescent="0.2">
      <c r="A2442" t="s">
        <v>6950</v>
      </c>
      <c r="B2442" s="8" t="s">
        <v>6951</v>
      </c>
    </row>
    <row r="2443" spans="1:2" x14ac:dyDescent="0.2">
      <c r="A2443" t="s">
        <v>6953</v>
      </c>
      <c r="B2443" s="8" t="s">
        <v>6954</v>
      </c>
    </row>
    <row r="2444" spans="1:2" x14ac:dyDescent="0.2">
      <c r="A2444" t="s">
        <v>6956</v>
      </c>
      <c r="B2444" s="8" t="s">
        <v>6957</v>
      </c>
    </row>
    <row r="2445" spans="1:2" x14ac:dyDescent="0.2">
      <c r="A2445" t="s">
        <v>6959</v>
      </c>
      <c r="B2445" s="8" t="s">
        <v>6960</v>
      </c>
    </row>
    <row r="2446" spans="1:2" x14ac:dyDescent="0.2">
      <c r="A2446" t="s">
        <v>6962</v>
      </c>
      <c r="B2446" s="8" t="s">
        <v>6963</v>
      </c>
    </row>
    <row r="2447" spans="1:2" x14ac:dyDescent="0.2">
      <c r="A2447" t="s">
        <v>6964</v>
      </c>
      <c r="B2447" s="8" t="s">
        <v>6965</v>
      </c>
    </row>
    <row r="2448" spans="1:2" x14ac:dyDescent="0.2">
      <c r="A2448" t="s">
        <v>6966</v>
      </c>
      <c r="B2448" s="8" t="s">
        <v>6967</v>
      </c>
    </row>
    <row r="2449" spans="1:2" x14ac:dyDescent="0.2">
      <c r="A2449" t="s">
        <v>6969</v>
      </c>
      <c r="B2449" s="8" t="s">
        <v>6970</v>
      </c>
    </row>
    <row r="2450" spans="1:2" x14ac:dyDescent="0.2">
      <c r="A2450" t="s">
        <v>6972</v>
      </c>
      <c r="B2450" s="8" t="s">
        <v>6973</v>
      </c>
    </row>
    <row r="2451" spans="1:2" x14ac:dyDescent="0.2">
      <c r="A2451" t="s">
        <v>6975</v>
      </c>
      <c r="B2451" s="8" t="s">
        <v>6973</v>
      </c>
    </row>
    <row r="2452" spans="1:2" x14ac:dyDescent="0.2">
      <c r="A2452" t="s">
        <v>6976</v>
      </c>
      <c r="B2452" s="8" t="s">
        <v>6973</v>
      </c>
    </row>
    <row r="2453" spans="1:2" x14ac:dyDescent="0.2">
      <c r="A2453" t="s">
        <v>6977</v>
      </c>
      <c r="B2453" s="8" t="s">
        <v>6978</v>
      </c>
    </row>
    <row r="2454" spans="1:2" x14ac:dyDescent="0.2">
      <c r="A2454" t="s">
        <v>6980</v>
      </c>
      <c r="B2454" s="8" t="s">
        <v>6981</v>
      </c>
    </row>
    <row r="2455" spans="1:2" x14ac:dyDescent="0.2">
      <c r="A2455" t="s">
        <v>6983</v>
      </c>
      <c r="B2455" s="8" t="s">
        <v>6984</v>
      </c>
    </row>
    <row r="2456" spans="1:2" x14ac:dyDescent="0.2">
      <c r="A2456" t="s">
        <v>6986</v>
      </c>
      <c r="B2456" s="8" t="s">
        <v>6987</v>
      </c>
    </row>
    <row r="2457" spans="1:2" x14ac:dyDescent="0.2">
      <c r="A2457" t="s">
        <v>6989</v>
      </c>
      <c r="B2457" s="8" t="s">
        <v>265</v>
      </c>
    </row>
    <row r="2458" spans="1:2" x14ac:dyDescent="0.2">
      <c r="A2458" t="s">
        <v>6991</v>
      </c>
      <c r="B2458" s="8" t="s">
        <v>6992</v>
      </c>
    </row>
    <row r="2459" spans="1:2" x14ac:dyDescent="0.2">
      <c r="A2459" t="s">
        <v>6994</v>
      </c>
      <c r="B2459" s="8" t="s">
        <v>6995</v>
      </c>
    </row>
    <row r="2460" spans="1:2" x14ac:dyDescent="0.2">
      <c r="A2460" t="s">
        <v>6997</v>
      </c>
      <c r="B2460" s="8" t="s">
        <v>323</v>
      </c>
    </row>
    <row r="2461" spans="1:2" x14ac:dyDescent="0.2">
      <c r="A2461" t="s">
        <v>6999</v>
      </c>
      <c r="B2461" s="8" t="s">
        <v>7000</v>
      </c>
    </row>
    <row r="2462" spans="1:2" x14ac:dyDescent="0.2">
      <c r="A2462" t="s">
        <v>7002</v>
      </c>
      <c r="B2462" s="8" t="s">
        <v>7003</v>
      </c>
    </row>
    <row r="2463" spans="1:2" x14ac:dyDescent="0.2">
      <c r="A2463" t="s">
        <v>7005</v>
      </c>
      <c r="B2463" s="8" t="s">
        <v>7006</v>
      </c>
    </row>
    <row r="2464" spans="1:2" x14ac:dyDescent="0.2">
      <c r="A2464" t="s">
        <v>7008</v>
      </c>
      <c r="B2464" s="8" t="s">
        <v>7009</v>
      </c>
    </row>
    <row r="2465" spans="1:2" x14ac:dyDescent="0.2">
      <c r="A2465" t="s">
        <v>7010</v>
      </c>
      <c r="B2465" s="8" t="s">
        <v>7011</v>
      </c>
    </row>
    <row r="2466" spans="1:2" x14ac:dyDescent="0.2">
      <c r="A2466" t="s">
        <v>7013</v>
      </c>
      <c r="B2466" s="8" t="s">
        <v>7014</v>
      </c>
    </row>
    <row r="2467" spans="1:2" x14ac:dyDescent="0.2">
      <c r="A2467" t="s">
        <v>7016</v>
      </c>
      <c r="B2467" s="8" t="s">
        <v>7017</v>
      </c>
    </row>
    <row r="2468" spans="1:2" x14ac:dyDescent="0.2">
      <c r="A2468" t="s">
        <v>7019</v>
      </c>
      <c r="B2468" s="8" t="s">
        <v>7020</v>
      </c>
    </row>
    <row r="2469" spans="1:2" x14ac:dyDescent="0.2">
      <c r="A2469" t="s">
        <v>7022</v>
      </c>
      <c r="B2469" s="8" t="s">
        <v>7023</v>
      </c>
    </row>
    <row r="2470" spans="1:2" x14ac:dyDescent="0.2">
      <c r="A2470" t="s">
        <v>7025</v>
      </c>
      <c r="B2470" s="8" t="s">
        <v>301</v>
      </c>
    </row>
    <row r="2471" spans="1:2" x14ac:dyDescent="0.2">
      <c r="A2471" t="s">
        <v>7027</v>
      </c>
      <c r="B2471" s="8" t="s">
        <v>7028</v>
      </c>
    </row>
    <row r="2472" spans="1:2" x14ac:dyDescent="0.2">
      <c r="A2472" t="s">
        <v>7030</v>
      </c>
      <c r="B2472" s="8" t="s">
        <v>7031</v>
      </c>
    </row>
    <row r="2473" spans="1:2" x14ac:dyDescent="0.2">
      <c r="A2473" t="s">
        <v>7033</v>
      </c>
      <c r="B2473" s="8" t="s">
        <v>7034</v>
      </c>
    </row>
    <row r="2474" spans="1:2" x14ac:dyDescent="0.2">
      <c r="A2474" t="s">
        <v>7036</v>
      </c>
      <c r="B2474" s="8" t="s">
        <v>7037</v>
      </c>
    </row>
    <row r="2475" spans="1:2" x14ac:dyDescent="0.2">
      <c r="A2475" t="s">
        <v>7038</v>
      </c>
      <c r="B2475" s="8" t="s">
        <v>7039</v>
      </c>
    </row>
    <row r="2476" spans="1:2" x14ac:dyDescent="0.2">
      <c r="A2476" t="s">
        <v>7041</v>
      </c>
      <c r="B2476" s="8" t="s">
        <v>7042</v>
      </c>
    </row>
    <row r="2477" spans="1:2" x14ac:dyDescent="0.2">
      <c r="A2477" t="s">
        <v>7044</v>
      </c>
      <c r="B2477" s="8" t="s">
        <v>7045</v>
      </c>
    </row>
    <row r="2478" spans="1:2" x14ac:dyDescent="0.2">
      <c r="A2478" t="s">
        <v>7046</v>
      </c>
      <c r="B2478" s="8" t="s">
        <v>7047</v>
      </c>
    </row>
    <row r="2479" spans="1:2" x14ac:dyDescent="0.2">
      <c r="A2479" t="s">
        <v>7049</v>
      </c>
      <c r="B2479" s="8" t="s">
        <v>7050</v>
      </c>
    </row>
    <row r="2480" spans="1:2" x14ac:dyDescent="0.2">
      <c r="A2480" t="s">
        <v>7052</v>
      </c>
      <c r="B2480" s="8" t="s">
        <v>7053</v>
      </c>
    </row>
    <row r="2481" spans="1:2" x14ac:dyDescent="0.2">
      <c r="A2481" t="s">
        <v>7055</v>
      </c>
      <c r="B2481" s="8" t="s">
        <v>7056</v>
      </c>
    </row>
    <row r="2482" spans="1:2" x14ac:dyDescent="0.2">
      <c r="A2482" t="s">
        <v>7058</v>
      </c>
      <c r="B2482" s="8" t="s">
        <v>7059</v>
      </c>
    </row>
    <row r="2483" spans="1:2" x14ac:dyDescent="0.2">
      <c r="A2483" t="s">
        <v>7061</v>
      </c>
      <c r="B2483" s="8" t="s">
        <v>7062</v>
      </c>
    </row>
    <row r="2484" spans="1:2" x14ac:dyDescent="0.2">
      <c r="A2484" t="s">
        <v>7064</v>
      </c>
      <c r="B2484" s="8" t="s">
        <v>7065</v>
      </c>
    </row>
    <row r="2485" spans="1:2" x14ac:dyDescent="0.2">
      <c r="A2485" t="s">
        <v>7067</v>
      </c>
      <c r="B2485" s="8" t="s">
        <v>7068</v>
      </c>
    </row>
    <row r="2486" spans="1:2" x14ac:dyDescent="0.2">
      <c r="A2486" t="s">
        <v>7070</v>
      </c>
      <c r="B2486" s="8" t="s">
        <v>7071</v>
      </c>
    </row>
    <row r="2487" spans="1:2" x14ac:dyDescent="0.2">
      <c r="A2487" t="s">
        <v>7073</v>
      </c>
      <c r="B2487" s="8" t="s">
        <v>7074</v>
      </c>
    </row>
    <row r="2488" spans="1:2" x14ac:dyDescent="0.2">
      <c r="A2488" t="s">
        <v>7076</v>
      </c>
      <c r="B2488" s="8" t="s">
        <v>7077</v>
      </c>
    </row>
    <row r="2489" spans="1:2" x14ac:dyDescent="0.2">
      <c r="A2489" t="s">
        <v>7078</v>
      </c>
      <c r="B2489" s="8" t="s">
        <v>7079</v>
      </c>
    </row>
    <row r="2490" spans="1:2" x14ac:dyDescent="0.2">
      <c r="A2490" t="s">
        <v>7081</v>
      </c>
      <c r="B2490" s="8" t="s">
        <v>209</v>
      </c>
    </row>
    <row r="2491" spans="1:2" x14ac:dyDescent="0.2">
      <c r="A2491" t="s">
        <v>7082</v>
      </c>
      <c r="B2491" s="8" t="s">
        <v>209</v>
      </c>
    </row>
    <row r="2492" spans="1:2" x14ac:dyDescent="0.2">
      <c r="A2492" t="s">
        <v>7083</v>
      </c>
      <c r="B2492" s="8" t="s">
        <v>209</v>
      </c>
    </row>
    <row r="2493" spans="1:2" x14ac:dyDescent="0.2">
      <c r="A2493" t="s">
        <v>7084</v>
      </c>
      <c r="B2493" s="8" t="s">
        <v>209</v>
      </c>
    </row>
    <row r="2494" spans="1:2" x14ac:dyDescent="0.2">
      <c r="A2494" t="s">
        <v>7085</v>
      </c>
      <c r="B2494" s="8" t="s">
        <v>7086</v>
      </c>
    </row>
    <row r="2495" spans="1:2" x14ac:dyDescent="0.2">
      <c r="A2495" t="s">
        <v>7087</v>
      </c>
      <c r="B2495" s="8" t="s">
        <v>7086</v>
      </c>
    </row>
    <row r="2496" spans="1:2" x14ac:dyDescent="0.2">
      <c r="A2496" t="s">
        <v>7088</v>
      </c>
      <c r="B2496" s="8" t="s">
        <v>7086</v>
      </c>
    </row>
    <row r="2497" spans="1:2" x14ac:dyDescent="0.2">
      <c r="A2497" t="s">
        <v>7089</v>
      </c>
      <c r="B2497" s="8" t="s">
        <v>7090</v>
      </c>
    </row>
    <row r="2498" spans="1:2" x14ac:dyDescent="0.2">
      <c r="A2498" t="s">
        <v>7092</v>
      </c>
      <c r="B2498" s="8" t="s">
        <v>7093</v>
      </c>
    </row>
    <row r="2499" spans="1:2" x14ac:dyDescent="0.2">
      <c r="A2499" t="s">
        <v>7095</v>
      </c>
      <c r="B2499" s="8" t="s">
        <v>7096</v>
      </c>
    </row>
    <row r="2500" spans="1:2" x14ac:dyDescent="0.2">
      <c r="A2500" t="s">
        <v>7098</v>
      </c>
      <c r="B2500" s="8" t="s">
        <v>7099</v>
      </c>
    </row>
    <row r="2501" spans="1:2" x14ac:dyDescent="0.2">
      <c r="A2501" t="s">
        <v>7101</v>
      </c>
      <c r="B2501" s="8" t="s">
        <v>7102</v>
      </c>
    </row>
    <row r="2502" spans="1:2" x14ac:dyDescent="0.2">
      <c r="A2502" t="s">
        <v>7104</v>
      </c>
      <c r="B2502" s="8" t="s">
        <v>7105</v>
      </c>
    </row>
    <row r="2503" spans="1:2" x14ac:dyDescent="0.2">
      <c r="A2503" t="s">
        <v>7107</v>
      </c>
      <c r="B2503" s="8" t="s">
        <v>7108</v>
      </c>
    </row>
    <row r="2504" spans="1:2" x14ac:dyDescent="0.2">
      <c r="A2504" t="s">
        <v>7110</v>
      </c>
      <c r="B2504" s="8" t="s">
        <v>7111</v>
      </c>
    </row>
    <row r="2505" spans="1:2" x14ac:dyDescent="0.2">
      <c r="A2505" t="s">
        <v>7113</v>
      </c>
      <c r="B2505" s="8" t="s">
        <v>7114</v>
      </c>
    </row>
    <row r="2506" spans="1:2" x14ac:dyDescent="0.2">
      <c r="A2506" t="s">
        <v>7113</v>
      </c>
      <c r="B2506" s="8" t="s">
        <v>7114</v>
      </c>
    </row>
    <row r="2507" spans="1:2" x14ac:dyDescent="0.2">
      <c r="A2507" t="s">
        <v>7116</v>
      </c>
      <c r="B2507" s="8" t="s">
        <v>7117</v>
      </c>
    </row>
    <row r="2508" spans="1:2" x14ac:dyDescent="0.2">
      <c r="A2508" t="s">
        <v>7119</v>
      </c>
      <c r="B2508" s="8" t="s">
        <v>7120</v>
      </c>
    </row>
    <row r="2509" spans="1:2" x14ac:dyDescent="0.2">
      <c r="A2509" t="s">
        <v>7122</v>
      </c>
      <c r="B2509" s="8" t="s">
        <v>357</v>
      </c>
    </row>
    <row r="2510" spans="1:2" x14ac:dyDescent="0.2">
      <c r="A2510" t="s">
        <v>7124</v>
      </c>
      <c r="B2510" s="8" t="s">
        <v>357</v>
      </c>
    </row>
    <row r="2511" spans="1:2" x14ac:dyDescent="0.2">
      <c r="A2511" t="s">
        <v>7125</v>
      </c>
      <c r="B2511" s="8" t="s">
        <v>357</v>
      </c>
    </row>
    <row r="2512" spans="1:2" x14ac:dyDescent="0.2">
      <c r="A2512" t="s">
        <v>7126</v>
      </c>
      <c r="B2512" s="8" t="s">
        <v>357</v>
      </c>
    </row>
    <row r="2513" spans="1:2" x14ac:dyDescent="0.2">
      <c r="A2513" t="s">
        <v>7127</v>
      </c>
      <c r="B2513" s="8" t="s">
        <v>7128</v>
      </c>
    </row>
    <row r="2514" spans="1:2" x14ac:dyDescent="0.2">
      <c r="A2514" t="s">
        <v>7130</v>
      </c>
      <c r="B2514" s="8" t="s">
        <v>7131</v>
      </c>
    </row>
    <row r="2515" spans="1:2" x14ac:dyDescent="0.2">
      <c r="A2515" t="s">
        <v>7133</v>
      </c>
      <c r="B2515" s="8" t="s">
        <v>7134</v>
      </c>
    </row>
    <row r="2516" spans="1:2" x14ac:dyDescent="0.2">
      <c r="A2516" t="s">
        <v>7136</v>
      </c>
      <c r="B2516" s="8" t="s">
        <v>7137</v>
      </c>
    </row>
    <row r="2517" spans="1:2" x14ac:dyDescent="0.2">
      <c r="A2517" t="s">
        <v>75</v>
      </c>
      <c r="B2517" s="8" t="s">
        <v>275</v>
      </c>
    </row>
    <row r="2518" spans="1:2" x14ac:dyDescent="0.2">
      <c r="A2518" t="s">
        <v>7140</v>
      </c>
      <c r="B2518" s="8" t="s">
        <v>7141</v>
      </c>
    </row>
    <row r="2519" spans="1:2" x14ac:dyDescent="0.2">
      <c r="A2519" t="s">
        <v>7143</v>
      </c>
      <c r="B2519" s="8" t="s">
        <v>7144</v>
      </c>
    </row>
    <row r="2520" spans="1:2" x14ac:dyDescent="0.2">
      <c r="A2520" t="s">
        <v>7146</v>
      </c>
      <c r="B2520" s="8" t="s">
        <v>7147</v>
      </c>
    </row>
    <row r="2521" spans="1:2" x14ac:dyDescent="0.2">
      <c r="A2521" t="s">
        <v>7149</v>
      </c>
      <c r="B2521" s="8" t="s">
        <v>7150</v>
      </c>
    </row>
    <row r="2522" spans="1:2" x14ac:dyDescent="0.2">
      <c r="A2522" t="s">
        <v>7151</v>
      </c>
      <c r="B2522" s="8" t="s">
        <v>357</v>
      </c>
    </row>
    <row r="2523" spans="1:2" x14ac:dyDescent="0.2">
      <c r="A2523" t="s">
        <v>7153</v>
      </c>
      <c r="B2523" s="8" t="s">
        <v>7154</v>
      </c>
    </row>
    <row r="2524" spans="1:2" x14ac:dyDescent="0.2">
      <c r="A2524" t="s">
        <v>7156</v>
      </c>
      <c r="B2524" s="8" t="s">
        <v>7157</v>
      </c>
    </row>
    <row r="2525" spans="1:2" x14ac:dyDescent="0.2">
      <c r="A2525" t="s">
        <v>7159</v>
      </c>
      <c r="B2525" s="8" t="s">
        <v>7160</v>
      </c>
    </row>
    <row r="2526" spans="1:2" x14ac:dyDescent="0.2">
      <c r="A2526" t="s">
        <v>7162</v>
      </c>
      <c r="B2526" s="8" t="s">
        <v>7163</v>
      </c>
    </row>
    <row r="2527" spans="1:2" x14ac:dyDescent="0.2">
      <c r="A2527" t="s">
        <v>7165</v>
      </c>
      <c r="B2527" s="8" t="s">
        <v>7166</v>
      </c>
    </row>
    <row r="2528" spans="1:2" x14ac:dyDescent="0.2">
      <c r="A2528" t="s">
        <v>7167</v>
      </c>
      <c r="B2528" s="8" t="s">
        <v>7168</v>
      </c>
    </row>
    <row r="2529" spans="1:2" x14ac:dyDescent="0.2">
      <c r="A2529" t="s">
        <v>7170</v>
      </c>
      <c r="B2529" s="8" t="s">
        <v>7171</v>
      </c>
    </row>
    <row r="2530" spans="1:2" x14ac:dyDescent="0.2">
      <c r="A2530" t="s">
        <v>7173</v>
      </c>
      <c r="B2530" s="8" t="s">
        <v>7174</v>
      </c>
    </row>
    <row r="2531" spans="1:2" x14ac:dyDescent="0.2">
      <c r="A2531" t="s">
        <v>7176</v>
      </c>
      <c r="B2531" s="8" t="s">
        <v>7177</v>
      </c>
    </row>
    <row r="2532" spans="1:2" x14ac:dyDescent="0.2">
      <c r="A2532" t="s">
        <v>7178</v>
      </c>
      <c r="B2532" s="8" t="s">
        <v>7179</v>
      </c>
    </row>
    <row r="2533" spans="1:2" x14ac:dyDescent="0.2">
      <c r="A2533" t="s">
        <v>7181</v>
      </c>
      <c r="B2533" s="8" t="s">
        <v>7182</v>
      </c>
    </row>
    <row r="2534" spans="1:2" x14ac:dyDescent="0.2">
      <c r="A2534" t="s">
        <v>7184</v>
      </c>
      <c r="B2534" s="8" t="s">
        <v>7185</v>
      </c>
    </row>
    <row r="2535" spans="1:2" x14ac:dyDescent="0.2">
      <c r="A2535" t="s">
        <v>7187</v>
      </c>
      <c r="B2535" s="8" t="s">
        <v>7188</v>
      </c>
    </row>
    <row r="2536" spans="1:2" x14ac:dyDescent="0.2">
      <c r="A2536" t="s">
        <v>7190</v>
      </c>
      <c r="B2536" s="8" t="s">
        <v>7191</v>
      </c>
    </row>
    <row r="2537" spans="1:2" x14ac:dyDescent="0.2">
      <c r="A2537" t="s">
        <v>7193</v>
      </c>
      <c r="B2537" s="8" t="s">
        <v>7194</v>
      </c>
    </row>
    <row r="2538" spans="1:2" x14ac:dyDescent="0.2">
      <c r="A2538" t="s">
        <v>7196</v>
      </c>
      <c r="B2538" s="8" t="s">
        <v>7197</v>
      </c>
    </row>
    <row r="2539" spans="1:2" x14ac:dyDescent="0.2">
      <c r="A2539" t="s">
        <v>7199</v>
      </c>
      <c r="B2539" s="8" t="s">
        <v>7200</v>
      </c>
    </row>
    <row r="2540" spans="1:2" x14ac:dyDescent="0.2">
      <c r="A2540" t="s">
        <v>7202</v>
      </c>
      <c r="B2540" s="8" t="s">
        <v>7203</v>
      </c>
    </row>
    <row r="2541" spans="1:2" x14ac:dyDescent="0.2">
      <c r="A2541" t="s">
        <v>7205</v>
      </c>
      <c r="B2541" s="8" t="s">
        <v>7206</v>
      </c>
    </row>
    <row r="2542" spans="1:2" x14ac:dyDescent="0.2">
      <c r="A2542" t="s">
        <v>7208</v>
      </c>
      <c r="B2542" s="8" t="s">
        <v>7209</v>
      </c>
    </row>
    <row r="2543" spans="1:2" x14ac:dyDescent="0.2">
      <c r="A2543" t="s">
        <v>7211</v>
      </c>
      <c r="B2543" s="8" t="s">
        <v>7212</v>
      </c>
    </row>
    <row r="2544" spans="1:2" x14ac:dyDescent="0.2">
      <c r="A2544" t="s">
        <v>7214</v>
      </c>
      <c r="B2544" s="8" t="s">
        <v>7215</v>
      </c>
    </row>
    <row r="2545" spans="1:2" x14ac:dyDescent="0.2">
      <c r="A2545" t="s">
        <v>7217</v>
      </c>
      <c r="B2545" s="8" t="s">
        <v>7215</v>
      </c>
    </row>
    <row r="2546" spans="1:2" x14ac:dyDescent="0.2">
      <c r="A2546" t="s">
        <v>7218</v>
      </c>
      <c r="B2546" s="8" t="s">
        <v>7215</v>
      </c>
    </row>
    <row r="2547" spans="1:2" x14ac:dyDescent="0.2">
      <c r="A2547" t="s">
        <v>7219</v>
      </c>
      <c r="B2547" s="8" t="s">
        <v>7220</v>
      </c>
    </row>
    <row r="2548" spans="1:2" x14ac:dyDescent="0.2">
      <c r="A2548" t="s">
        <v>7221</v>
      </c>
      <c r="B2548" s="8" t="s">
        <v>7220</v>
      </c>
    </row>
    <row r="2549" spans="1:2" x14ac:dyDescent="0.2">
      <c r="A2549" t="s">
        <v>7222</v>
      </c>
      <c r="B2549" s="8" t="s">
        <v>7220</v>
      </c>
    </row>
    <row r="2550" spans="1:2" x14ac:dyDescent="0.2">
      <c r="A2550" t="s">
        <v>7223</v>
      </c>
      <c r="B2550" s="8" t="s">
        <v>7220</v>
      </c>
    </row>
    <row r="2551" spans="1:2" x14ac:dyDescent="0.2">
      <c r="A2551" t="s">
        <v>7224</v>
      </c>
      <c r="B2551" s="8" t="s">
        <v>7225</v>
      </c>
    </row>
    <row r="2552" spans="1:2" x14ac:dyDescent="0.2">
      <c r="A2552" t="s">
        <v>7227</v>
      </c>
      <c r="B2552" s="8" t="s">
        <v>7228</v>
      </c>
    </row>
    <row r="2553" spans="1:2" x14ac:dyDescent="0.2">
      <c r="A2553" t="s">
        <v>7230</v>
      </c>
      <c r="B2553" s="8" t="s">
        <v>7231</v>
      </c>
    </row>
    <row r="2554" spans="1:2" x14ac:dyDescent="0.2">
      <c r="A2554" t="s">
        <v>7233</v>
      </c>
      <c r="B2554" s="8" t="s">
        <v>7234</v>
      </c>
    </row>
    <row r="2555" spans="1:2" x14ac:dyDescent="0.2">
      <c r="A2555" t="s">
        <v>7236</v>
      </c>
      <c r="B2555" s="8" t="s">
        <v>7237</v>
      </c>
    </row>
    <row r="2556" spans="1:2" x14ac:dyDescent="0.2">
      <c r="A2556" t="s">
        <v>7239</v>
      </c>
      <c r="B2556" s="8" t="s">
        <v>7240</v>
      </c>
    </row>
    <row r="2557" spans="1:2" x14ac:dyDescent="0.2">
      <c r="A2557" t="s">
        <v>7242</v>
      </c>
      <c r="B2557" s="8" t="s">
        <v>7243</v>
      </c>
    </row>
    <row r="2558" spans="1:2" x14ac:dyDescent="0.2">
      <c r="A2558" t="s">
        <v>7245</v>
      </c>
      <c r="B2558" s="8" t="s">
        <v>7246</v>
      </c>
    </row>
    <row r="2559" spans="1:2" x14ac:dyDescent="0.2">
      <c r="A2559" t="s">
        <v>7248</v>
      </c>
      <c r="B2559" s="8" t="s">
        <v>7249</v>
      </c>
    </row>
    <row r="2560" spans="1:2" x14ac:dyDescent="0.2">
      <c r="A2560" t="s">
        <v>7251</v>
      </c>
      <c r="B2560" s="8" t="s">
        <v>7252</v>
      </c>
    </row>
    <row r="2561" spans="1:2" x14ac:dyDescent="0.2">
      <c r="A2561" t="s">
        <v>7253</v>
      </c>
      <c r="B2561" s="8" t="s">
        <v>7254</v>
      </c>
    </row>
    <row r="2562" spans="1:2" x14ac:dyDescent="0.2">
      <c r="A2562" t="s">
        <v>7256</v>
      </c>
      <c r="B2562" s="8" t="s">
        <v>7257</v>
      </c>
    </row>
    <row r="2563" spans="1:2" x14ac:dyDescent="0.2">
      <c r="A2563" t="s">
        <v>7259</v>
      </c>
      <c r="B2563" s="8" t="s">
        <v>5817</v>
      </c>
    </row>
    <row r="2564" spans="1:2" x14ac:dyDescent="0.2">
      <c r="A2564" t="s">
        <v>7260</v>
      </c>
      <c r="B2564" s="8" t="s">
        <v>7261</v>
      </c>
    </row>
    <row r="2565" spans="1:2" x14ac:dyDescent="0.2">
      <c r="A2565" t="s">
        <v>7263</v>
      </c>
      <c r="B2565" s="8" t="s">
        <v>7264</v>
      </c>
    </row>
    <row r="2566" spans="1:2" x14ac:dyDescent="0.2">
      <c r="A2566" t="s">
        <v>7266</v>
      </c>
      <c r="B2566" s="8" t="s">
        <v>7267</v>
      </c>
    </row>
    <row r="2567" spans="1:2" x14ac:dyDescent="0.2">
      <c r="A2567" t="s">
        <v>7269</v>
      </c>
      <c r="B2567" s="8" t="s">
        <v>7270</v>
      </c>
    </row>
    <row r="2568" spans="1:2" x14ac:dyDescent="0.2">
      <c r="A2568" t="s">
        <v>7271</v>
      </c>
      <c r="B2568" s="8" t="s">
        <v>7272</v>
      </c>
    </row>
    <row r="2569" spans="1:2" x14ac:dyDescent="0.2">
      <c r="A2569" t="s">
        <v>7274</v>
      </c>
      <c r="B2569" s="8" t="s">
        <v>7275</v>
      </c>
    </row>
    <row r="2570" spans="1:2" x14ac:dyDescent="0.2">
      <c r="A2570" t="s">
        <v>7277</v>
      </c>
      <c r="B2570" s="8" t="s">
        <v>7278</v>
      </c>
    </row>
    <row r="2571" spans="1:2" x14ac:dyDescent="0.2">
      <c r="A2571" t="s">
        <v>7280</v>
      </c>
      <c r="B2571" s="8" t="s">
        <v>7278</v>
      </c>
    </row>
    <row r="2572" spans="1:2" x14ac:dyDescent="0.2">
      <c r="A2572" t="s">
        <v>7281</v>
      </c>
      <c r="B2572" s="8" t="s">
        <v>357</v>
      </c>
    </row>
    <row r="2573" spans="1:2" x14ac:dyDescent="0.2">
      <c r="A2573" t="s">
        <v>7283</v>
      </c>
      <c r="B2573" s="8" t="s">
        <v>7284</v>
      </c>
    </row>
    <row r="2574" spans="1:2" x14ac:dyDescent="0.2">
      <c r="A2574" t="s">
        <v>7286</v>
      </c>
      <c r="B2574" s="8" t="s">
        <v>7287</v>
      </c>
    </row>
    <row r="2575" spans="1:2" x14ac:dyDescent="0.2">
      <c r="A2575" t="s">
        <v>7289</v>
      </c>
      <c r="B2575" s="8" t="s">
        <v>7290</v>
      </c>
    </row>
    <row r="2576" spans="1:2" x14ac:dyDescent="0.2">
      <c r="A2576" t="s">
        <v>7292</v>
      </c>
      <c r="B2576" s="8" t="s">
        <v>7293</v>
      </c>
    </row>
    <row r="2577" spans="1:2" x14ac:dyDescent="0.2">
      <c r="A2577" t="s">
        <v>7295</v>
      </c>
      <c r="B2577" s="8" t="s">
        <v>239</v>
      </c>
    </row>
    <row r="2578" spans="1:2" x14ac:dyDescent="0.2">
      <c r="A2578" t="s">
        <v>7297</v>
      </c>
      <c r="B2578" s="8" t="s">
        <v>7298</v>
      </c>
    </row>
    <row r="2579" spans="1:2" x14ac:dyDescent="0.2">
      <c r="A2579" t="s">
        <v>7300</v>
      </c>
      <c r="B2579" s="8" t="s">
        <v>7301</v>
      </c>
    </row>
    <row r="2580" spans="1:2" x14ac:dyDescent="0.2">
      <c r="A2580" t="s">
        <v>7303</v>
      </c>
      <c r="B2580" s="8" t="s">
        <v>7304</v>
      </c>
    </row>
    <row r="2581" spans="1:2" x14ac:dyDescent="0.2">
      <c r="A2581" t="s">
        <v>7306</v>
      </c>
      <c r="B2581" s="8" t="s">
        <v>7307</v>
      </c>
    </row>
    <row r="2582" spans="1:2" x14ac:dyDescent="0.2">
      <c r="A2582" t="s">
        <v>7309</v>
      </c>
      <c r="B2582" s="8" t="s">
        <v>7310</v>
      </c>
    </row>
    <row r="2583" spans="1:2" x14ac:dyDescent="0.2">
      <c r="A2583" t="s">
        <v>7312</v>
      </c>
      <c r="B2583" s="8" t="s">
        <v>7313</v>
      </c>
    </row>
    <row r="2584" spans="1:2" x14ac:dyDescent="0.2">
      <c r="A2584" t="s">
        <v>7314</v>
      </c>
      <c r="B2584" s="8" t="s">
        <v>7315</v>
      </c>
    </row>
    <row r="2585" spans="1:2" x14ac:dyDescent="0.2">
      <c r="A2585" t="s">
        <v>7317</v>
      </c>
      <c r="B2585" s="8" t="s">
        <v>7318</v>
      </c>
    </row>
    <row r="2586" spans="1:2" x14ac:dyDescent="0.2">
      <c r="A2586" t="s">
        <v>7320</v>
      </c>
      <c r="B2586" s="8" t="s">
        <v>7321</v>
      </c>
    </row>
    <row r="2587" spans="1:2" x14ac:dyDescent="0.2">
      <c r="A2587" t="s">
        <v>7323</v>
      </c>
      <c r="B2587" s="8" t="s">
        <v>7324</v>
      </c>
    </row>
    <row r="2588" spans="1:2" x14ac:dyDescent="0.2">
      <c r="A2588" t="s">
        <v>7326</v>
      </c>
      <c r="B2588" s="8" t="s">
        <v>7327</v>
      </c>
    </row>
    <row r="2589" spans="1:2" x14ac:dyDescent="0.2">
      <c r="A2589" t="s">
        <v>7329</v>
      </c>
      <c r="B2589" s="8" t="s">
        <v>7330</v>
      </c>
    </row>
    <row r="2590" spans="1:2" x14ac:dyDescent="0.2">
      <c r="A2590" t="s">
        <v>7332</v>
      </c>
      <c r="B2590" s="8" t="s">
        <v>7333</v>
      </c>
    </row>
    <row r="2591" spans="1:2" x14ac:dyDescent="0.2">
      <c r="A2591" t="s">
        <v>7335</v>
      </c>
      <c r="B2591" s="8" t="s">
        <v>7336</v>
      </c>
    </row>
    <row r="2592" spans="1:2" x14ac:dyDescent="0.2">
      <c r="A2592" t="s">
        <v>7338</v>
      </c>
      <c r="B2592" s="8" t="s">
        <v>7339</v>
      </c>
    </row>
    <row r="2593" spans="1:2" x14ac:dyDescent="0.2">
      <c r="A2593" t="s">
        <v>7341</v>
      </c>
      <c r="B2593" s="8" t="s">
        <v>7342</v>
      </c>
    </row>
    <row r="2594" spans="1:2" x14ac:dyDescent="0.2">
      <c r="A2594" t="s">
        <v>7344</v>
      </c>
      <c r="B2594" s="8" t="s">
        <v>7345</v>
      </c>
    </row>
    <row r="2595" spans="1:2" x14ac:dyDescent="0.2">
      <c r="A2595" t="s">
        <v>7346</v>
      </c>
      <c r="B2595" s="8" t="s">
        <v>7345</v>
      </c>
    </row>
    <row r="2596" spans="1:2" x14ac:dyDescent="0.2">
      <c r="A2596" t="s">
        <v>7347</v>
      </c>
      <c r="B2596" s="8" t="s">
        <v>7348</v>
      </c>
    </row>
    <row r="2597" spans="1:2" x14ac:dyDescent="0.2">
      <c r="A2597" t="s">
        <v>7350</v>
      </c>
      <c r="B2597" s="8" t="s">
        <v>7351</v>
      </c>
    </row>
    <row r="2598" spans="1:2" x14ac:dyDescent="0.2">
      <c r="A2598" t="s">
        <v>7353</v>
      </c>
      <c r="B2598" s="8" t="s">
        <v>7354</v>
      </c>
    </row>
    <row r="2599" spans="1:2" x14ac:dyDescent="0.2">
      <c r="A2599" t="s">
        <v>7356</v>
      </c>
      <c r="B2599" s="8" t="s">
        <v>7357</v>
      </c>
    </row>
    <row r="2600" spans="1:2" x14ac:dyDescent="0.2">
      <c r="A2600" t="s">
        <v>7359</v>
      </c>
      <c r="B2600" s="8" t="s">
        <v>7360</v>
      </c>
    </row>
    <row r="2601" spans="1:2" x14ac:dyDescent="0.2">
      <c r="A2601" t="s">
        <v>7361</v>
      </c>
      <c r="B2601" s="8" t="s">
        <v>7362</v>
      </c>
    </row>
    <row r="2602" spans="1:2" x14ac:dyDescent="0.2">
      <c r="A2602" t="s">
        <v>7364</v>
      </c>
      <c r="B2602" s="8" t="s">
        <v>7365</v>
      </c>
    </row>
    <row r="2603" spans="1:2" x14ac:dyDescent="0.2">
      <c r="A2603" t="s">
        <v>7367</v>
      </c>
      <c r="B2603" s="8" t="s">
        <v>7368</v>
      </c>
    </row>
    <row r="2604" spans="1:2" x14ac:dyDescent="0.2">
      <c r="A2604" t="s">
        <v>7370</v>
      </c>
      <c r="B2604" s="8" t="s">
        <v>7371</v>
      </c>
    </row>
    <row r="2605" spans="1:2" x14ac:dyDescent="0.2">
      <c r="A2605" t="s">
        <v>7373</v>
      </c>
      <c r="B2605" s="8" t="s">
        <v>7374</v>
      </c>
    </row>
    <row r="2606" spans="1:2" x14ac:dyDescent="0.2">
      <c r="A2606" t="s">
        <v>7376</v>
      </c>
      <c r="B2606" s="8" t="s">
        <v>7377</v>
      </c>
    </row>
    <row r="2607" spans="1:2" x14ac:dyDescent="0.2">
      <c r="A2607" t="s">
        <v>7378</v>
      </c>
      <c r="B2607" s="8" t="s">
        <v>7379</v>
      </c>
    </row>
    <row r="2608" spans="1:2" x14ac:dyDescent="0.2">
      <c r="A2608" t="s">
        <v>7381</v>
      </c>
      <c r="B2608" s="8" t="s">
        <v>7382</v>
      </c>
    </row>
    <row r="2609" spans="1:2" x14ac:dyDescent="0.2">
      <c r="A2609" t="s">
        <v>7384</v>
      </c>
      <c r="B2609" s="8" t="s">
        <v>7385</v>
      </c>
    </row>
    <row r="2610" spans="1:2" x14ac:dyDescent="0.2">
      <c r="A2610" t="s">
        <v>7387</v>
      </c>
      <c r="B2610" s="8" t="s">
        <v>7388</v>
      </c>
    </row>
    <row r="2611" spans="1:2" x14ac:dyDescent="0.2">
      <c r="A2611" t="s">
        <v>7390</v>
      </c>
      <c r="B2611" s="8" t="s">
        <v>7391</v>
      </c>
    </row>
    <row r="2612" spans="1:2" x14ac:dyDescent="0.2">
      <c r="A2612" t="s">
        <v>7393</v>
      </c>
      <c r="B2612" s="8" t="s">
        <v>7394</v>
      </c>
    </row>
    <row r="2613" spans="1:2" x14ac:dyDescent="0.2">
      <c r="A2613" t="s">
        <v>7395</v>
      </c>
      <c r="B2613" s="8" t="s">
        <v>7396</v>
      </c>
    </row>
    <row r="2614" spans="1:2" x14ac:dyDescent="0.2">
      <c r="A2614" t="s">
        <v>7398</v>
      </c>
      <c r="B2614" s="8" t="s">
        <v>7399</v>
      </c>
    </row>
    <row r="2615" spans="1:2" x14ac:dyDescent="0.2">
      <c r="A2615" t="s">
        <v>7401</v>
      </c>
      <c r="B2615" s="8" t="s">
        <v>7402</v>
      </c>
    </row>
    <row r="2616" spans="1:2" x14ac:dyDescent="0.2">
      <c r="A2616" t="s">
        <v>7404</v>
      </c>
      <c r="B2616" s="8" t="s">
        <v>7405</v>
      </c>
    </row>
    <row r="2617" spans="1:2" x14ac:dyDescent="0.2">
      <c r="A2617" t="s">
        <v>7407</v>
      </c>
      <c r="B2617" s="8" t="s">
        <v>7408</v>
      </c>
    </row>
    <row r="2618" spans="1:2" x14ac:dyDescent="0.2">
      <c r="A2618" t="s">
        <v>7410</v>
      </c>
      <c r="B2618" s="8" t="s">
        <v>357</v>
      </c>
    </row>
    <row r="2619" spans="1:2" x14ac:dyDescent="0.2">
      <c r="A2619" t="s">
        <v>7412</v>
      </c>
      <c r="B2619" s="8" t="s">
        <v>7413</v>
      </c>
    </row>
    <row r="2620" spans="1:2" x14ac:dyDescent="0.2">
      <c r="A2620" t="s">
        <v>7415</v>
      </c>
      <c r="B2620" s="8" t="s">
        <v>7416</v>
      </c>
    </row>
    <row r="2621" spans="1:2" x14ac:dyDescent="0.2">
      <c r="A2621" t="s">
        <v>7418</v>
      </c>
      <c r="B2621" s="8" t="s">
        <v>7419</v>
      </c>
    </row>
    <row r="2622" spans="1:2" x14ac:dyDescent="0.2">
      <c r="A2622" t="s">
        <v>7421</v>
      </c>
      <c r="B2622" s="8" t="s">
        <v>7422</v>
      </c>
    </row>
    <row r="2623" spans="1:2" x14ac:dyDescent="0.2">
      <c r="A2623" t="s">
        <v>7424</v>
      </c>
      <c r="B2623" s="8" t="s">
        <v>7425</v>
      </c>
    </row>
    <row r="2624" spans="1:2" x14ac:dyDescent="0.2">
      <c r="A2624" t="s">
        <v>7427</v>
      </c>
      <c r="B2624" s="8" t="s">
        <v>7428</v>
      </c>
    </row>
    <row r="2625" spans="1:2" x14ac:dyDescent="0.2">
      <c r="A2625" t="s">
        <v>7430</v>
      </c>
      <c r="B2625" s="8" t="s">
        <v>7431</v>
      </c>
    </row>
    <row r="2626" spans="1:2" x14ac:dyDescent="0.2">
      <c r="A2626" t="s">
        <v>7433</v>
      </c>
      <c r="B2626" s="8" t="s">
        <v>7434</v>
      </c>
    </row>
    <row r="2627" spans="1:2" x14ac:dyDescent="0.2">
      <c r="A2627" t="s">
        <v>7436</v>
      </c>
      <c r="B2627" s="8" t="s">
        <v>7437</v>
      </c>
    </row>
    <row r="2628" spans="1:2" x14ac:dyDescent="0.2">
      <c r="A2628" t="s">
        <v>7439</v>
      </c>
      <c r="B2628" s="8" t="s">
        <v>7440</v>
      </c>
    </row>
    <row r="2629" spans="1:2" x14ac:dyDescent="0.2">
      <c r="A2629" t="s">
        <v>7442</v>
      </c>
      <c r="B2629" s="8" t="s">
        <v>7443</v>
      </c>
    </row>
    <row r="2630" spans="1:2" x14ac:dyDescent="0.2">
      <c r="A2630" t="s">
        <v>7445</v>
      </c>
      <c r="B2630" s="8" t="s">
        <v>7446</v>
      </c>
    </row>
    <row r="2631" spans="1:2" x14ac:dyDescent="0.2">
      <c r="A2631" t="s">
        <v>7448</v>
      </c>
      <c r="B2631" s="8" t="s">
        <v>7449</v>
      </c>
    </row>
    <row r="2632" spans="1:2" x14ac:dyDescent="0.2">
      <c r="A2632" t="s">
        <v>7450</v>
      </c>
      <c r="B2632" s="8" t="s">
        <v>7451</v>
      </c>
    </row>
    <row r="2633" spans="1:2" x14ac:dyDescent="0.2">
      <c r="A2633" t="s">
        <v>7453</v>
      </c>
      <c r="B2633" s="8" t="s">
        <v>7454</v>
      </c>
    </row>
    <row r="2634" spans="1:2" x14ac:dyDescent="0.2">
      <c r="A2634" t="s">
        <v>7456</v>
      </c>
      <c r="B2634" s="8" t="s">
        <v>7457</v>
      </c>
    </row>
    <row r="2635" spans="1:2" x14ac:dyDescent="0.2">
      <c r="A2635" t="s">
        <v>7459</v>
      </c>
      <c r="B2635" s="8" t="s">
        <v>7460</v>
      </c>
    </row>
    <row r="2636" spans="1:2" x14ac:dyDescent="0.2">
      <c r="A2636" t="s">
        <v>7462</v>
      </c>
      <c r="B2636" s="8" t="s">
        <v>7463</v>
      </c>
    </row>
    <row r="2637" spans="1:2" x14ac:dyDescent="0.2">
      <c r="A2637" t="s">
        <v>7465</v>
      </c>
      <c r="B2637" s="8" t="s">
        <v>357</v>
      </c>
    </row>
    <row r="2638" spans="1:2" x14ac:dyDescent="0.2">
      <c r="A2638" t="s">
        <v>7466</v>
      </c>
      <c r="B2638" s="8" t="s">
        <v>357</v>
      </c>
    </row>
    <row r="2639" spans="1:2" x14ac:dyDescent="0.2">
      <c r="A2639" t="s">
        <v>7468</v>
      </c>
      <c r="B2639" s="8" t="s">
        <v>7469</v>
      </c>
    </row>
    <row r="2640" spans="1:2" x14ac:dyDescent="0.2">
      <c r="A2640" t="s">
        <v>7471</v>
      </c>
      <c r="B2640" s="8" t="s">
        <v>7472</v>
      </c>
    </row>
    <row r="2641" spans="1:2" x14ac:dyDescent="0.2">
      <c r="A2641" t="s">
        <v>7474</v>
      </c>
      <c r="B2641" s="8" t="s">
        <v>7475</v>
      </c>
    </row>
    <row r="2642" spans="1:2" x14ac:dyDescent="0.2">
      <c r="A2642" t="s">
        <v>7477</v>
      </c>
      <c r="B2642" s="8" t="s">
        <v>7478</v>
      </c>
    </row>
    <row r="2643" spans="1:2" x14ac:dyDescent="0.2">
      <c r="A2643" t="s">
        <v>7480</v>
      </c>
      <c r="B2643" s="8" t="s">
        <v>7481</v>
      </c>
    </row>
    <row r="2644" spans="1:2" x14ac:dyDescent="0.2">
      <c r="A2644" t="s">
        <v>7483</v>
      </c>
      <c r="B2644" s="8" t="s">
        <v>7484</v>
      </c>
    </row>
    <row r="2645" spans="1:2" x14ac:dyDescent="0.2">
      <c r="A2645" t="s">
        <v>7486</v>
      </c>
      <c r="B2645" s="8" t="s">
        <v>7487</v>
      </c>
    </row>
    <row r="2646" spans="1:2" x14ac:dyDescent="0.2">
      <c r="A2646" t="s">
        <v>7489</v>
      </c>
      <c r="B2646" s="8" t="s">
        <v>1566</v>
      </c>
    </row>
    <row r="2647" spans="1:2" x14ac:dyDescent="0.2">
      <c r="A2647" t="s">
        <v>7491</v>
      </c>
      <c r="B2647" s="8" t="s">
        <v>7492</v>
      </c>
    </row>
    <row r="2648" spans="1:2" x14ac:dyDescent="0.2">
      <c r="A2648" t="s">
        <v>7494</v>
      </c>
      <c r="B2648" s="8" t="s">
        <v>7495</v>
      </c>
    </row>
    <row r="2649" spans="1:2" x14ac:dyDescent="0.2">
      <c r="A2649" t="s">
        <v>7497</v>
      </c>
      <c r="B2649" s="8" t="s">
        <v>7498</v>
      </c>
    </row>
    <row r="2650" spans="1:2" x14ac:dyDescent="0.2">
      <c r="A2650" t="s">
        <v>7500</v>
      </c>
      <c r="B2650" s="8" t="s">
        <v>7501</v>
      </c>
    </row>
    <row r="2651" spans="1:2" x14ac:dyDescent="0.2">
      <c r="A2651" t="s">
        <v>7503</v>
      </c>
      <c r="B2651" s="8" t="s">
        <v>7504</v>
      </c>
    </row>
    <row r="2652" spans="1:2" x14ac:dyDescent="0.2">
      <c r="A2652" t="s">
        <v>7506</v>
      </c>
      <c r="B2652" s="8" t="s">
        <v>357</v>
      </c>
    </row>
    <row r="2653" spans="1:2" x14ac:dyDescent="0.2">
      <c r="A2653" t="s">
        <v>7508</v>
      </c>
      <c r="B2653" s="8" t="s">
        <v>7509</v>
      </c>
    </row>
    <row r="2654" spans="1:2" x14ac:dyDescent="0.2">
      <c r="A2654" t="s">
        <v>7511</v>
      </c>
      <c r="B2654" s="8" t="s">
        <v>7512</v>
      </c>
    </row>
    <row r="2655" spans="1:2" x14ac:dyDescent="0.2">
      <c r="A2655" t="s">
        <v>7514</v>
      </c>
      <c r="B2655" s="8" t="s">
        <v>258</v>
      </c>
    </row>
    <row r="2656" spans="1:2" x14ac:dyDescent="0.2">
      <c r="A2656" t="s">
        <v>7515</v>
      </c>
      <c r="B2656" s="8" t="s">
        <v>7516</v>
      </c>
    </row>
    <row r="2657" spans="1:2" x14ac:dyDescent="0.2">
      <c r="A2657" t="s">
        <v>7517</v>
      </c>
      <c r="B2657" s="8" t="s">
        <v>7518</v>
      </c>
    </row>
    <row r="2658" spans="1:2" x14ac:dyDescent="0.2">
      <c r="A2658" t="s">
        <v>7519</v>
      </c>
      <c r="B2658" s="8" t="s">
        <v>7520</v>
      </c>
    </row>
    <row r="2659" spans="1:2" x14ac:dyDescent="0.2">
      <c r="A2659" t="s">
        <v>7521</v>
      </c>
      <c r="B2659" s="8" t="s">
        <v>7522</v>
      </c>
    </row>
    <row r="2660" spans="1:2" x14ac:dyDescent="0.2">
      <c r="A2660" t="s">
        <v>7524</v>
      </c>
      <c r="B2660" s="8" t="s">
        <v>7525</v>
      </c>
    </row>
    <row r="2661" spans="1:2" x14ac:dyDescent="0.2">
      <c r="A2661" t="s">
        <v>7526</v>
      </c>
      <c r="B2661" s="8" t="s">
        <v>7527</v>
      </c>
    </row>
    <row r="2662" spans="1:2" x14ac:dyDescent="0.2">
      <c r="A2662" t="s">
        <v>7528</v>
      </c>
      <c r="B2662" s="8" t="s">
        <v>7529</v>
      </c>
    </row>
    <row r="2663" spans="1:2" x14ac:dyDescent="0.2">
      <c r="A2663" t="s">
        <v>7530</v>
      </c>
      <c r="B2663" s="8" t="s">
        <v>7531</v>
      </c>
    </row>
    <row r="2664" spans="1:2" x14ac:dyDescent="0.2">
      <c r="A2664" t="s">
        <v>7533</v>
      </c>
      <c r="B2664" s="8" t="s">
        <v>7534</v>
      </c>
    </row>
    <row r="2665" spans="1:2" x14ac:dyDescent="0.2">
      <c r="A2665" t="s">
        <v>7536</v>
      </c>
      <c r="B2665" s="8" t="s">
        <v>7537</v>
      </c>
    </row>
    <row r="2666" spans="1:2" x14ac:dyDescent="0.2">
      <c r="A2666" t="s">
        <v>7539</v>
      </c>
      <c r="B2666" s="8" t="s">
        <v>7540</v>
      </c>
    </row>
    <row r="2667" spans="1:2" x14ac:dyDescent="0.2">
      <c r="A2667" t="s">
        <v>7542</v>
      </c>
      <c r="B2667" s="8" t="s">
        <v>7543</v>
      </c>
    </row>
    <row r="2668" spans="1:2" x14ac:dyDescent="0.2">
      <c r="A2668" t="s">
        <v>7545</v>
      </c>
      <c r="B2668" s="8" t="s">
        <v>7546</v>
      </c>
    </row>
    <row r="2669" spans="1:2" x14ac:dyDescent="0.2">
      <c r="A2669" t="s">
        <v>7548</v>
      </c>
      <c r="B2669" s="8" t="s">
        <v>7549</v>
      </c>
    </row>
    <row r="2670" spans="1:2" x14ac:dyDescent="0.2">
      <c r="A2670" t="s">
        <v>7551</v>
      </c>
      <c r="B2670" s="8" t="s">
        <v>7552</v>
      </c>
    </row>
    <row r="2671" spans="1:2" x14ac:dyDescent="0.2">
      <c r="A2671" t="s">
        <v>7554</v>
      </c>
      <c r="B2671" s="8" t="s">
        <v>7555</v>
      </c>
    </row>
    <row r="2672" spans="1:2" x14ac:dyDescent="0.2">
      <c r="A2672" t="s">
        <v>7557</v>
      </c>
      <c r="B2672" s="8" t="s">
        <v>7555</v>
      </c>
    </row>
    <row r="2673" spans="1:2" x14ac:dyDescent="0.2">
      <c r="A2673" t="s">
        <v>7558</v>
      </c>
      <c r="B2673" s="8" t="s">
        <v>7559</v>
      </c>
    </row>
    <row r="2674" spans="1:2" x14ac:dyDescent="0.2">
      <c r="A2674" t="s">
        <v>7561</v>
      </c>
      <c r="B2674" s="8" t="s">
        <v>7562</v>
      </c>
    </row>
    <row r="2675" spans="1:2" x14ac:dyDescent="0.2">
      <c r="A2675" t="s">
        <v>7564</v>
      </c>
      <c r="B2675" s="8" t="s">
        <v>7565</v>
      </c>
    </row>
    <row r="2676" spans="1:2" x14ac:dyDescent="0.2">
      <c r="A2676" t="s">
        <v>7567</v>
      </c>
      <c r="B2676" s="8" t="s">
        <v>280</v>
      </c>
    </row>
    <row r="2677" spans="1:2" x14ac:dyDescent="0.2">
      <c r="A2677" t="s">
        <v>7569</v>
      </c>
      <c r="B2677" s="8" t="s">
        <v>7570</v>
      </c>
    </row>
    <row r="2678" spans="1:2" x14ac:dyDescent="0.2">
      <c r="A2678" t="s">
        <v>7572</v>
      </c>
      <c r="B2678" s="8" t="s">
        <v>7573</v>
      </c>
    </row>
    <row r="2679" spans="1:2" x14ac:dyDescent="0.2">
      <c r="A2679" t="s">
        <v>7575</v>
      </c>
      <c r="B2679" s="8" t="s">
        <v>7576</v>
      </c>
    </row>
    <row r="2680" spans="1:2" x14ac:dyDescent="0.2">
      <c r="A2680" t="s">
        <v>7578</v>
      </c>
      <c r="B2680" s="8" t="s">
        <v>7579</v>
      </c>
    </row>
    <row r="2681" spans="1:2" x14ac:dyDescent="0.2">
      <c r="A2681" t="s">
        <v>7581</v>
      </c>
      <c r="B2681" s="8" t="s">
        <v>7582</v>
      </c>
    </row>
    <row r="2682" spans="1:2" x14ac:dyDescent="0.2">
      <c r="A2682" t="s">
        <v>7584</v>
      </c>
      <c r="B2682" s="8" t="s">
        <v>7585</v>
      </c>
    </row>
    <row r="2683" spans="1:2" x14ac:dyDescent="0.2">
      <c r="A2683" t="s">
        <v>7587</v>
      </c>
      <c r="B2683" s="8" t="s">
        <v>7588</v>
      </c>
    </row>
    <row r="2684" spans="1:2" x14ac:dyDescent="0.2">
      <c r="A2684" t="s">
        <v>7590</v>
      </c>
      <c r="B2684" s="8" t="s">
        <v>7591</v>
      </c>
    </row>
    <row r="2685" spans="1:2" x14ac:dyDescent="0.2">
      <c r="A2685" t="s">
        <v>7593</v>
      </c>
      <c r="B2685" s="8" t="s">
        <v>7594</v>
      </c>
    </row>
    <row r="2686" spans="1:2" x14ac:dyDescent="0.2">
      <c r="A2686" t="s">
        <v>7596</v>
      </c>
      <c r="B2686" s="8" t="s">
        <v>357</v>
      </c>
    </row>
    <row r="2687" spans="1:2" x14ac:dyDescent="0.2">
      <c r="A2687" t="s">
        <v>7598</v>
      </c>
      <c r="B2687" s="8" t="s">
        <v>357</v>
      </c>
    </row>
    <row r="2688" spans="1:2" x14ac:dyDescent="0.2">
      <c r="A2688" t="s">
        <v>7599</v>
      </c>
      <c r="B2688" s="8" t="s">
        <v>7600</v>
      </c>
    </row>
    <row r="2689" spans="1:2" x14ac:dyDescent="0.2">
      <c r="A2689" t="s">
        <v>7602</v>
      </c>
      <c r="B2689" s="8" t="s">
        <v>7603</v>
      </c>
    </row>
    <row r="2690" spans="1:2" x14ac:dyDescent="0.2">
      <c r="A2690" t="s">
        <v>7605</v>
      </c>
      <c r="B2690" s="8" t="s">
        <v>7606</v>
      </c>
    </row>
    <row r="2691" spans="1:2" x14ac:dyDescent="0.2">
      <c r="A2691" t="s">
        <v>7608</v>
      </c>
      <c r="B2691" s="8" t="s">
        <v>7609</v>
      </c>
    </row>
    <row r="2692" spans="1:2" x14ac:dyDescent="0.2">
      <c r="A2692" t="s">
        <v>7611</v>
      </c>
      <c r="B2692" s="8" t="s">
        <v>7612</v>
      </c>
    </row>
    <row r="2693" spans="1:2" x14ac:dyDescent="0.2">
      <c r="A2693" t="s">
        <v>7614</v>
      </c>
      <c r="B2693" s="8" t="s">
        <v>7615</v>
      </c>
    </row>
    <row r="2694" spans="1:2" x14ac:dyDescent="0.2">
      <c r="A2694" t="s">
        <v>7617</v>
      </c>
      <c r="B2694" s="8" t="s">
        <v>7618</v>
      </c>
    </row>
    <row r="2695" spans="1:2" x14ac:dyDescent="0.2">
      <c r="A2695" t="s">
        <v>7620</v>
      </c>
      <c r="B2695" s="8" t="s">
        <v>7621</v>
      </c>
    </row>
    <row r="2696" spans="1:2" x14ac:dyDescent="0.2">
      <c r="A2696" t="s">
        <v>7622</v>
      </c>
      <c r="B2696" s="8" t="s">
        <v>7623</v>
      </c>
    </row>
    <row r="2697" spans="1:2" x14ac:dyDescent="0.2">
      <c r="A2697" t="s">
        <v>7625</v>
      </c>
      <c r="B2697" s="8" t="s">
        <v>7626</v>
      </c>
    </row>
    <row r="2698" spans="1:2" x14ac:dyDescent="0.2">
      <c r="A2698" t="s">
        <v>7628</v>
      </c>
      <c r="B2698" s="8" t="s">
        <v>1588</v>
      </c>
    </row>
    <row r="2699" spans="1:2" x14ac:dyDescent="0.2">
      <c r="A2699" t="s">
        <v>7630</v>
      </c>
      <c r="B2699" s="8" t="s">
        <v>7631</v>
      </c>
    </row>
    <row r="2700" spans="1:2" x14ac:dyDescent="0.2">
      <c r="A2700" t="s">
        <v>7633</v>
      </c>
      <c r="B2700" s="8" t="s">
        <v>7634</v>
      </c>
    </row>
    <row r="2701" spans="1:2" x14ac:dyDescent="0.2">
      <c r="A2701" t="s">
        <v>7636</v>
      </c>
      <c r="B2701" s="8" t="s">
        <v>7637</v>
      </c>
    </row>
    <row r="2702" spans="1:2" x14ac:dyDescent="0.2">
      <c r="A2702" t="s">
        <v>7639</v>
      </c>
      <c r="B2702" s="8" t="s">
        <v>7640</v>
      </c>
    </row>
    <row r="2703" spans="1:2" x14ac:dyDescent="0.2">
      <c r="A2703" t="s">
        <v>7642</v>
      </c>
      <c r="B2703" s="8" t="s">
        <v>7643</v>
      </c>
    </row>
    <row r="2704" spans="1:2" x14ac:dyDescent="0.2">
      <c r="A2704" t="s">
        <v>7645</v>
      </c>
      <c r="B2704" s="8" t="s">
        <v>7646</v>
      </c>
    </row>
    <row r="2705" spans="1:2" x14ac:dyDescent="0.2">
      <c r="A2705" t="s">
        <v>7648</v>
      </c>
      <c r="B2705" s="8" t="s">
        <v>7649</v>
      </c>
    </row>
    <row r="2706" spans="1:2" x14ac:dyDescent="0.2">
      <c r="A2706" t="s">
        <v>7651</v>
      </c>
      <c r="B2706" s="8" t="s">
        <v>7652</v>
      </c>
    </row>
    <row r="2707" spans="1:2" x14ac:dyDescent="0.2">
      <c r="A2707" t="s">
        <v>7654</v>
      </c>
      <c r="B2707" s="8" t="s">
        <v>7655</v>
      </c>
    </row>
    <row r="2708" spans="1:2" x14ac:dyDescent="0.2">
      <c r="A2708" t="s">
        <v>7657</v>
      </c>
      <c r="B2708" s="8" t="s">
        <v>357</v>
      </c>
    </row>
    <row r="2709" spans="1:2" x14ac:dyDescent="0.2">
      <c r="A2709" t="s">
        <v>7658</v>
      </c>
      <c r="B2709" s="8" t="s">
        <v>357</v>
      </c>
    </row>
    <row r="2710" spans="1:2" x14ac:dyDescent="0.2">
      <c r="A2710" t="s">
        <v>7660</v>
      </c>
      <c r="B2710" s="8" t="s">
        <v>7661</v>
      </c>
    </row>
    <row r="2711" spans="1:2" x14ac:dyDescent="0.2">
      <c r="A2711" t="s">
        <v>7663</v>
      </c>
      <c r="B2711" s="8" t="s">
        <v>7664</v>
      </c>
    </row>
    <row r="2712" spans="1:2" x14ac:dyDescent="0.2">
      <c r="A2712" t="s">
        <v>7666</v>
      </c>
      <c r="B2712" s="8" t="s">
        <v>7667</v>
      </c>
    </row>
    <row r="2713" spans="1:2" x14ac:dyDescent="0.2">
      <c r="A2713" t="s">
        <v>7669</v>
      </c>
      <c r="B2713" s="8" t="s">
        <v>7670</v>
      </c>
    </row>
    <row r="2714" spans="1:2" x14ac:dyDescent="0.2">
      <c r="A2714" t="s">
        <v>7672</v>
      </c>
      <c r="B2714" s="8" t="s">
        <v>7673</v>
      </c>
    </row>
    <row r="2715" spans="1:2" x14ac:dyDescent="0.2">
      <c r="A2715" t="s">
        <v>7675</v>
      </c>
      <c r="B2715" s="8" t="s">
        <v>7676</v>
      </c>
    </row>
    <row r="2716" spans="1:2" x14ac:dyDescent="0.2">
      <c r="A2716" t="s">
        <v>7678</v>
      </c>
      <c r="B2716" s="8" t="s">
        <v>357</v>
      </c>
    </row>
    <row r="2717" spans="1:2" x14ac:dyDescent="0.2">
      <c r="A2717" t="s">
        <v>7679</v>
      </c>
      <c r="B2717" s="8" t="s">
        <v>357</v>
      </c>
    </row>
    <row r="2718" spans="1:2" x14ac:dyDescent="0.2">
      <c r="A2718" t="s">
        <v>7680</v>
      </c>
      <c r="B2718" s="8" t="s">
        <v>357</v>
      </c>
    </row>
    <row r="2719" spans="1:2" x14ac:dyDescent="0.2">
      <c r="A2719" t="s">
        <v>7682</v>
      </c>
      <c r="B2719" s="8" t="s">
        <v>357</v>
      </c>
    </row>
    <row r="2720" spans="1:2" x14ac:dyDescent="0.2">
      <c r="A2720" t="s">
        <v>7683</v>
      </c>
      <c r="B2720" s="8" t="s">
        <v>7684</v>
      </c>
    </row>
    <row r="2721" spans="1:2" x14ac:dyDescent="0.2">
      <c r="A2721" t="s">
        <v>7686</v>
      </c>
      <c r="B2721" s="8" t="s">
        <v>7687</v>
      </c>
    </row>
    <row r="2722" spans="1:2" x14ac:dyDescent="0.2">
      <c r="A2722" t="s">
        <v>7689</v>
      </c>
      <c r="B2722" s="8" t="s">
        <v>7690</v>
      </c>
    </row>
    <row r="2723" spans="1:2" x14ac:dyDescent="0.2">
      <c r="A2723" t="s">
        <v>7692</v>
      </c>
      <c r="B2723" s="8" t="s">
        <v>7693</v>
      </c>
    </row>
    <row r="2724" spans="1:2" x14ac:dyDescent="0.2">
      <c r="A2724" t="s">
        <v>7695</v>
      </c>
      <c r="B2724" s="8" t="s">
        <v>7696</v>
      </c>
    </row>
    <row r="2725" spans="1:2" x14ac:dyDescent="0.2">
      <c r="A2725" t="s">
        <v>7698</v>
      </c>
      <c r="B2725" s="8" t="s">
        <v>7699</v>
      </c>
    </row>
    <row r="2726" spans="1:2" x14ac:dyDescent="0.2">
      <c r="A2726" t="s">
        <v>7701</v>
      </c>
      <c r="B2726" s="8" t="s">
        <v>7702</v>
      </c>
    </row>
    <row r="2727" spans="1:2" x14ac:dyDescent="0.2">
      <c r="A2727" t="s">
        <v>7703</v>
      </c>
      <c r="B2727" s="8" t="s">
        <v>7704</v>
      </c>
    </row>
    <row r="2728" spans="1:2" x14ac:dyDescent="0.2">
      <c r="A2728" t="s">
        <v>7706</v>
      </c>
      <c r="B2728" s="8" t="s">
        <v>7704</v>
      </c>
    </row>
    <row r="2729" spans="1:2" x14ac:dyDescent="0.2">
      <c r="A2729" t="s">
        <v>7708</v>
      </c>
      <c r="B2729" s="8" t="s">
        <v>7704</v>
      </c>
    </row>
    <row r="2730" spans="1:2" x14ac:dyDescent="0.2">
      <c r="A2730" t="s">
        <v>7710</v>
      </c>
      <c r="B2730" s="8" t="s">
        <v>7704</v>
      </c>
    </row>
    <row r="2731" spans="1:2" x14ac:dyDescent="0.2">
      <c r="A2731" t="s">
        <v>7712</v>
      </c>
      <c r="B2731" s="8" t="s">
        <v>7704</v>
      </c>
    </row>
    <row r="2732" spans="1:2" x14ac:dyDescent="0.2">
      <c r="A2732" t="s">
        <v>7714</v>
      </c>
      <c r="B2732" s="8" t="s">
        <v>7715</v>
      </c>
    </row>
    <row r="2733" spans="1:2" x14ac:dyDescent="0.2">
      <c r="A2733" t="s">
        <v>7717</v>
      </c>
      <c r="B2733" s="8" t="s">
        <v>227</v>
      </c>
    </row>
    <row r="2734" spans="1:2" x14ac:dyDescent="0.2">
      <c r="A2734" t="s">
        <v>7719</v>
      </c>
      <c r="B2734" s="8" t="s">
        <v>357</v>
      </c>
    </row>
    <row r="2735" spans="1:2" x14ac:dyDescent="0.2">
      <c r="A2735" t="s">
        <v>7720</v>
      </c>
      <c r="B2735" s="8" t="s">
        <v>357</v>
      </c>
    </row>
    <row r="2736" spans="1:2" x14ac:dyDescent="0.2">
      <c r="A2736" t="s">
        <v>7721</v>
      </c>
      <c r="B2736" s="8" t="s">
        <v>7722</v>
      </c>
    </row>
    <row r="2737" spans="1:2" x14ac:dyDescent="0.2">
      <c r="A2737" t="s">
        <v>7724</v>
      </c>
      <c r="B2737" s="8" t="s">
        <v>357</v>
      </c>
    </row>
    <row r="2738" spans="1:2" x14ac:dyDescent="0.2">
      <c r="A2738" t="s">
        <v>7726</v>
      </c>
      <c r="B2738" s="8" t="s">
        <v>357</v>
      </c>
    </row>
    <row r="2739" spans="1:2" x14ac:dyDescent="0.2">
      <c r="A2739" t="s">
        <v>7727</v>
      </c>
      <c r="B2739" s="8" t="s">
        <v>7728</v>
      </c>
    </row>
    <row r="2740" spans="1:2" x14ac:dyDescent="0.2">
      <c r="A2740" t="s">
        <v>7730</v>
      </c>
      <c r="B2740" s="8" t="s">
        <v>357</v>
      </c>
    </row>
    <row r="2741" spans="1:2" x14ac:dyDescent="0.2">
      <c r="A2741" t="s">
        <v>7731</v>
      </c>
      <c r="B2741" s="8" t="s">
        <v>7732</v>
      </c>
    </row>
    <row r="2742" spans="1:2" x14ac:dyDescent="0.2">
      <c r="A2742" t="s">
        <v>7734</v>
      </c>
      <c r="B2742" s="8" t="s">
        <v>7735</v>
      </c>
    </row>
    <row r="2743" spans="1:2" x14ac:dyDescent="0.2">
      <c r="A2743" t="s">
        <v>7737</v>
      </c>
      <c r="B2743" s="8" t="s">
        <v>7738</v>
      </c>
    </row>
    <row r="2744" spans="1:2" x14ac:dyDescent="0.2">
      <c r="A2744" t="s">
        <v>7740</v>
      </c>
      <c r="B2744" s="8" t="s">
        <v>7741</v>
      </c>
    </row>
    <row r="2745" spans="1:2" x14ac:dyDescent="0.2">
      <c r="A2745" t="s">
        <v>7743</v>
      </c>
      <c r="B2745" s="8" t="s">
        <v>7744</v>
      </c>
    </row>
    <row r="2746" spans="1:2" x14ac:dyDescent="0.2">
      <c r="A2746" t="s">
        <v>7746</v>
      </c>
      <c r="B2746" s="8" t="s">
        <v>7747</v>
      </c>
    </row>
    <row r="2747" spans="1:2" x14ac:dyDescent="0.2">
      <c r="A2747" t="s">
        <v>7749</v>
      </c>
      <c r="B2747" s="8" t="s">
        <v>7750</v>
      </c>
    </row>
    <row r="2748" spans="1:2" x14ac:dyDescent="0.2">
      <c r="A2748" t="s">
        <v>7752</v>
      </c>
      <c r="B2748" s="8" t="s">
        <v>7753</v>
      </c>
    </row>
    <row r="2749" spans="1:2" x14ac:dyDescent="0.2">
      <c r="A2749" t="s">
        <v>7755</v>
      </c>
      <c r="B2749" s="8" t="s">
        <v>7756</v>
      </c>
    </row>
    <row r="2750" spans="1:2" x14ac:dyDescent="0.2">
      <c r="A2750" t="s">
        <v>7758</v>
      </c>
      <c r="B2750" s="8" t="s">
        <v>7759</v>
      </c>
    </row>
    <row r="2751" spans="1:2" x14ac:dyDescent="0.2">
      <c r="A2751" t="s">
        <v>7761</v>
      </c>
      <c r="B2751" s="8" t="s">
        <v>7762</v>
      </c>
    </row>
    <row r="2752" spans="1:2" x14ac:dyDescent="0.2">
      <c r="A2752" t="s">
        <v>7764</v>
      </c>
      <c r="B2752" s="8" t="s">
        <v>7765</v>
      </c>
    </row>
    <row r="2753" spans="1:2" x14ac:dyDescent="0.2">
      <c r="A2753" t="s">
        <v>7767</v>
      </c>
      <c r="B2753" s="8" t="s">
        <v>211</v>
      </c>
    </row>
    <row r="2754" spans="1:2" x14ac:dyDescent="0.2">
      <c r="A2754" t="s">
        <v>7768</v>
      </c>
      <c r="B2754" s="8" t="s">
        <v>7769</v>
      </c>
    </row>
    <row r="2755" spans="1:2" x14ac:dyDescent="0.2">
      <c r="A2755" t="s">
        <v>7771</v>
      </c>
      <c r="B2755" s="8" t="s">
        <v>7772</v>
      </c>
    </row>
    <row r="2756" spans="1:2" x14ac:dyDescent="0.2">
      <c r="A2756" t="s">
        <v>7773</v>
      </c>
      <c r="B2756" s="8" t="s">
        <v>7774</v>
      </c>
    </row>
    <row r="2757" spans="1:2" x14ac:dyDescent="0.2">
      <c r="A2757" t="s">
        <v>7776</v>
      </c>
      <c r="B2757" s="8" t="s">
        <v>7777</v>
      </c>
    </row>
    <row r="2758" spans="1:2" x14ac:dyDescent="0.2">
      <c r="A2758" t="s">
        <v>7779</v>
      </c>
      <c r="B2758" s="8" t="s">
        <v>7780</v>
      </c>
    </row>
    <row r="2759" spans="1:2" x14ac:dyDescent="0.2">
      <c r="A2759" t="s">
        <v>7781</v>
      </c>
      <c r="B2759" s="8" t="s">
        <v>7782</v>
      </c>
    </row>
    <row r="2760" spans="1:2" x14ac:dyDescent="0.2">
      <c r="A2760" t="s">
        <v>1621</v>
      </c>
      <c r="B2760" s="8" t="s">
        <v>1622</v>
      </c>
    </row>
    <row r="2761" spans="1:2" x14ac:dyDescent="0.2">
      <c r="A2761" t="s">
        <v>7784</v>
      </c>
      <c r="B2761" s="8" t="s">
        <v>7785</v>
      </c>
    </row>
    <row r="2762" spans="1:2" x14ac:dyDescent="0.2">
      <c r="A2762" t="s">
        <v>7787</v>
      </c>
      <c r="B2762" s="8" t="s">
        <v>7788</v>
      </c>
    </row>
    <row r="2763" spans="1:2" x14ac:dyDescent="0.2">
      <c r="A2763" t="s">
        <v>7790</v>
      </c>
      <c r="B2763" s="8" t="s">
        <v>7791</v>
      </c>
    </row>
    <row r="2764" spans="1:2" x14ac:dyDescent="0.2">
      <c r="A2764" t="s">
        <v>7793</v>
      </c>
      <c r="B2764" s="8" t="s">
        <v>7794</v>
      </c>
    </row>
    <row r="2765" spans="1:2" x14ac:dyDescent="0.2">
      <c r="A2765" t="s">
        <v>7796</v>
      </c>
      <c r="B2765" s="8" t="s">
        <v>7797</v>
      </c>
    </row>
    <row r="2766" spans="1:2" x14ac:dyDescent="0.2">
      <c r="A2766" t="s">
        <v>7799</v>
      </c>
      <c r="B2766" s="8" t="s">
        <v>357</v>
      </c>
    </row>
    <row r="2767" spans="1:2" x14ac:dyDescent="0.2">
      <c r="A2767" t="s">
        <v>7801</v>
      </c>
      <c r="B2767" s="8" t="s">
        <v>7802</v>
      </c>
    </row>
    <row r="2768" spans="1:2" x14ac:dyDescent="0.2">
      <c r="A2768" t="s">
        <v>7804</v>
      </c>
      <c r="B2768" s="8" t="s">
        <v>7805</v>
      </c>
    </row>
    <row r="2769" spans="1:2" x14ac:dyDescent="0.2">
      <c r="A2769" t="s">
        <v>7807</v>
      </c>
      <c r="B2769" s="8" t="s">
        <v>7805</v>
      </c>
    </row>
    <row r="2770" spans="1:2" x14ac:dyDescent="0.2">
      <c r="A2770" t="s">
        <v>7808</v>
      </c>
      <c r="B2770" s="8" t="s">
        <v>7805</v>
      </c>
    </row>
    <row r="2771" spans="1:2" x14ac:dyDescent="0.2">
      <c r="A2771" t="s">
        <v>7809</v>
      </c>
      <c r="B2771" s="8" t="s">
        <v>7805</v>
      </c>
    </row>
    <row r="2772" spans="1:2" x14ac:dyDescent="0.2">
      <c r="A2772" t="s">
        <v>7810</v>
      </c>
      <c r="B2772" s="8" t="s">
        <v>7811</v>
      </c>
    </row>
    <row r="2773" spans="1:2" x14ac:dyDescent="0.2">
      <c r="A2773" t="s">
        <v>7813</v>
      </c>
      <c r="B2773" s="8" t="s">
        <v>7814</v>
      </c>
    </row>
    <row r="2774" spans="1:2" x14ac:dyDescent="0.2">
      <c r="A2774" t="s">
        <v>7816</v>
      </c>
      <c r="B2774" s="8" t="s">
        <v>7817</v>
      </c>
    </row>
    <row r="2775" spans="1:2" x14ac:dyDescent="0.2">
      <c r="A2775" t="s">
        <v>7819</v>
      </c>
      <c r="B2775" s="8" t="s">
        <v>7820</v>
      </c>
    </row>
    <row r="2776" spans="1:2" x14ac:dyDescent="0.2">
      <c r="A2776" t="s">
        <v>7822</v>
      </c>
      <c r="B2776" s="8" t="s">
        <v>7823</v>
      </c>
    </row>
    <row r="2777" spans="1:2" x14ac:dyDescent="0.2">
      <c r="A2777" t="s">
        <v>7825</v>
      </c>
      <c r="B2777" s="8" t="s">
        <v>7826</v>
      </c>
    </row>
    <row r="2778" spans="1:2" x14ac:dyDescent="0.2">
      <c r="A2778" t="s">
        <v>7828</v>
      </c>
      <c r="B2778" s="8" t="s">
        <v>7829</v>
      </c>
    </row>
    <row r="2779" spans="1:2" x14ac:dyDescent="0.2">
      <c r="A2779" t="s">
        <v>7831</v>
      </c>
      <c r="B2779" s="8" t="s">
        <v>7832</v>
      </c>
    </row>
    <row r="2780" spans="1:2" x14ac:dyDescent="0.2">
      <c r="A2780" t="s">
        <v>7834</v>
      </c>
      <c r="B2780" s="8" t="s">
        <v>7835</v>
      </c>
    </row>
    <row r="2781" spans="1:2" x14ac:dyDescent="0.2">
      <c r="A2781" t="s">
        <v>7837</v>
      </c>
      <c r="B2781" s="8" t="s">
        <v>357</v>
      </c>
    </row>
    <row r="2782" spans="1:2" x14ac:dyDescent="0.2">
      <c r="A2782" t="s">
        <v>7838</v>
      </c>
      <c r="B2782" s="8" t="s">
        <v>7839</v>
      </c>
    </row>
    <row r="2783" spans="1:2" x14ac:dyDescent="0.2">
      <c r="A2783" t="s">
        <v>7841</v>
      </c>
      <c r="B2783" s="8" t="s">
        <v>7839</v>
      </c>
    </row>
    <row r="2784" spans="1:2" x14ac:dyDescent="0.2">
      <c r="A2784" t="s">
        <v>7842</v>
      </c>
      <c r="B2784" s="8" t="s">
        <v>7839</v>
      </c>
    </row>
    <row r="2785" spans="1:2" x14ac:dyDescent="0.2">
      <c r="A2785" t="s">
        <v>7843</v>
      </c>
      <c r="B2785" s="8" t="s">
        <v>7839</v>
      </c>
    </row>
    <row r="2786" spans="1:2" x14ac:dyDescent="0.2">
      <c r="A2786" t="s">
        <v>7844</v>
      </c>
      <c r="B2786" s="8" t="s">
        <v>7845</v>
      </c>
    </row>
    <row r="2787" spans="1:2" x14ac:dyDescent="0.2">
      <c r="A2787" t="s">
        <v>7847</v>
      </c>
      <c r="B2787" s="8" t="s">
        <v>7848</v>
      </c>
    </row>
    <row r="2788" spans="1:2" x14ac:dyDescent="0.2">
      <c r="A2788" t="s">
        <v>7850</v>
      </c>
      <c r="B2788" s="8" t="s">
        <v>7851</v>
      </c>
    </row>
    <row r="2789" spans="1:2" x14ac:dyDescent="0.2">
      <c r="A2789" t="s">
        <v>7852</v>
      </c>
      <c r="B2789" s="8" t="s">
        <v>7853</v>
      </c>
    </row>
    <row r="2790" spans="1:2" x14ac:dyDescent="0.2">
      <c r="A2790" t="s">
        <v>7855</v>
      </c>
      <c r="B2790" s="8" t="s">
        <v>7856</v>
      </c>
    </row>
    <row r="2791" spans="1:2" x14ac:dyDescent="0.2">
      <c r="A2791" t="s">
        <v>7857</v>
      </c>
      <c r="B2791" s="8" t="s">
        <v>7858</v>
      </c>
    </row>
    <row r="2792" spans="1:2" x14ac:dyDescent="0.2">
      <c r="A2792" t="s">
        <v>7860</v>
      </c>
      <c r="B2792" s="8" t="s">
        <v>7858</v>
      </c>
    </row>
    <row r="2793" spans="1:2" x14ac:dyDescent="0.2">
      <c r="A2793" t="s">
        <v>7861</v>
      </c>
      <c r="B2793" s="8" t="s">
        <v>7862</v>
      </c>
    </row>
    <row r="2794" spans="1:2" x14ac:dyDescent="0.2">
      <c r="A2794" t="s">
        <v>7864</v>
      </c>
      <c r="B2794" s="8" t="s">
        <v>7865</v>
      </c>
    </row>
    <row r="2795" spans="1:2" x14ac:dyDescent="0.2">
      <c r="A2795" t="s">
        <v>7867</v>
      </c>
      <c r="B2795" s="8" t="s">
        <v>7868</v>
      </c>
    </row>
    <row r="2796" spans="1:2" x14ac:dyDescent="0.2">
      <c r="A2796" t="s">
        <v>7870</v>
      </c>
      <c r="B2796" s="8" t="s">
        <v>7871</v>
      </c>
    </row>
    <row r="2797" spans="1:2" x14ac:dyDescent="0.2">
      <c r="A2797" t="s">
        <v>7873</v>
      </c>
      <c r="B2797" s="8" t="s">
        <v>7871</v>
      </c>
    </row>
    <row r="2798" spans="1:2" x14ac:dyDescent="0.2">
      <c r="A2798" t="s">
        <v>7874</v>
      </c>
      <c r="B2798" s="8" t="s">
        <v>7871</v>
      </c>
    </row>
    <row r="2799" spans="1:2" x14ac:dyDescent="0.2">
      <c r="A2799" t="s">
        <v>7875</v>
      </c>
      <c r="B2799" s="8" t="s">
        <v>7871</v>
      </c>
    </row>
    <row r="2800" spans="1:2" x14ac:dyDescent="0.2">
      <c r="A2800" t="s">
        <v>7876</v>
      </c>
      <c r="B2800" s="8" t="s">
        <v>7871</v>
      </c>
    </row>
    <row r="2801" spans="1:2" x14ac:dyDescent="0.2">
      <c r="A2801" t="s">
        <v>7877</v>
      </c>
      <c r="B2801" s="8" t="s">
        <v>7871</v>
      </c>
    </row>
    <row r="2802" spans="1:2" x14ac:dyDescent="0.2">
      <c r="A2802" t="s">
        <v>7878</v>
      </c>
      <c r="B2802" s="8" t="s">
        <v>357</v>
      </c>
    </row>
    <row r="2803" spans="1:2" x14ac:dyDescent="0.2">
      <c r="A2803" t="s">
        <v>7879</v>
      </c>
      <c r="B2803" s="8" t="s">
        <v>7880</v>
      </c>
    </row>
    <row r="2804" spans="1:2" x14ac:dyDescent="0.2">
      <c r="A2804" t="s">
        <v>7882</v>
      </c>
      <c r="B2804" s="8" t="s">
        <v>7883</v>
      </c>
    </row>
    <row r="2805" spans="1:2" x14ac:dyDescent="0.2">
      <c r="A2805" t="s">
        <v>7885</v>
      </c>
      <c r="B2805" s="8" t="s">
        <v>357</v>
      </c>
    </row>
    <row r="2806" spans="1:2" x14ac:dyDescent="0.2">
      <c r="A2806" t="s">
        <v>7887</v>
      </c>
      <c r="B2806" s="8" t="s">
        <v>7888</v>
      </c>
    </row>
    <row r="2807" spans="1:2" x14ac:dyDescent="0.2">
      <c r="A2807" t="s">
        <v>7890</v>
      </c>
      <c r="B2807" s="8" t="s">
        <v>7891</v>
      </c>
    </row>
    <row r="2808" spans="1:2" x14ac:dyDescent="0.2">
      <c r="A2808" t="s">
        <v>7893</v>
      </c>
      <c r="B2808" s="8" t="s">
        <v>7894</v>
      </c>
    </row>
    <row r="2809" spans="1:2" x14ac:dyDescent="0.2">
      <c r="A2809" t="s">
        <v>7896</v>
      </c>
      <c r="B2809" s="8" t="s">
        <v>7897</v>
      </c>
    </row>
    <row r="2810" spans="1:2" x14ac:dyDescent="0.2">
      <c r="A2810" t="s">
        <v>7899</v>
      </c>
      <c r="B2810" s="8" t="s">
        <v>7900</v>
      </c>
    </row>
    <row r="2811" spans="1:2" x14ac:dyDescent="0.2">
      <c r="A2811" t="s">
        <v>7902</v>
      </c>
      <c r="B2811" s="8" t="s">
        <v>7903</v>
      </c>
    </row>
    <row r="2812" spans="1:2" x14ac:dyDescent="0.2">
      <c r="A2812" t="s">
        <v>7905</v>
      </c>
      <c r="B2812" s="8" t="s">
        <v>7906</v>
      </c>
    </row>
    <row r="2813" spans="1:2" x14ac:dyDescent="0.2">
      <c r="A2813" t="s">
        <v>7907</v>
      </c>
      <c r="B2813" s="8" t="s">
        <v>7908</v>
      </c>
    </row>
    <row r="2814" spans="1:2" x14ac:dyDescent="0.2">
      <c r="A2814" t="s">
        <v>7909</v>
      </c>
      <c r="B2814" s="8" t="s">
        <v>7910</v>
      </c>
    </row>
    <row r="2815" spans="1:2" x14ac:dyDescent="0.2">
      <c r="A2815" t="s">
        <v>7912</v>
      </c>
      <c r="B2815" s="8" t="s">
        <v>7913</v>
      </c>
    </row>
    <row r="2816" spans="1:2" x14ac:dyDescent="0.2">
      <c r="A2816" t="s">
        <v>7915</v>
      </c>
      <c r="B2816" s="8" t="s">
        <v>7916</v>
      </c>
    </row>
    <row r="2817" spans="1:2" x14ac:dyDescent="0.2">
      <c r="A2817" t="s">
        <v>7918</v>
      </c>
      <c r="B2817" s="8" t="s">
        <v>7919</v>
      </c>
    </row>
    <row r="2818" spans="1:2" x14ac:dyDescent="0.2">
      <c r="A2818" t="s">
        <v>7921</v>
      </c>
      <c r="B2818" s="8" t="s">
        <v>7922</v>
      </c>
    </row>
    <row r="2819" spans="1:2" x14ac:dyDescent="0.2">
      <c r="A2819" t="s">
        <v>7924</v>
      </c>
      <c r="B2819" s="8" t="s">
        <v>7925</v>
      </c>
    </row>
    <row r="2820" spans="1:2" x14ac:dyDescent="0.2">
      <c r="A2820" t="s">
        <v>7927</v>
      </c>
      <c r="B2820" s="8" t="s">
        <v>7928</v>
      </c>
    </row>
    <row r="2821" spans="1:2" x14ac:dyDescent="0.2">
      <c r="A2821" t="s">
        <v>7930</v>
      </c>
      <c r="B2821" s="8" t="s">
        <v>7931</v>
      </c>
    </row>
    <row r="2822" spans="1:2" x14ac:dyDescent="0.2">
      <c r="A2822" t="s">
        <v>7933</v>
      </c>
      <c r="B2822" s="8" t="s">
        <v>7934</v>
      </c>
    </row>
    <row r="2823" spans="1:2" x14ac:dyDescent="0.2">
      <c r="A2823" t="s">
        <v>7936</v>
      </c>
      <c r="B2823" s="8" t="s">
        <v>7937</v>
      </c>
    </row>
    <row r="2824" spans="1:2" x14ac:dyDescent="0.2">
      <c r="A2824" t="s">
        <v>7939</v>
      </c>
      <c r="B2824" s="8" t="s">
        <v>7940</v>
      </c>
    </row>
    <row r="2825" spans="1:2" x14ac:dyDescent="0.2">
      <c r="A2825" t="s">
        <v>7942</v>
      </c>
      <c r="B2825" s="8" t="s">
        <v>322</v>
      </c>
    </row>
    <row r="2826" spans="1:2" x14ac:dyDescent="0.2">
      <c r="A2826" t="s">
        <v>7944</v>
      </c>
      <c r="B2826" s="8" t="s">
        <v>7945</v>
      </c>
    </row>
    <row r="2827" spans="1:2" x14ac:dyDescent="0.2">
      <c r="A2827" t="s">
        <v>7947</v>
      </c>
      <c r="B2827" s="8" t="s">
        <v>7948</v>
      </c>
    </row>
    <row r="2828" spans="1:2" x14ac:dyDescent="0.2">
      <c r="A2828" t="s">
        <v>7950</v>
      </c>
      <c r="B2828" s="8" t="s">
        <v>7951</v>
      </c>
    </row>
    <row r="2829" spans="1:2" x14ac:dyDescent="0.2">
      <c r="A2829" t="s">
        <v>7953</v>
      </c>
      <c r="B2829" s="8" t="s">
        <v>7954</v>
      </c>
    </row>
    <row r="2830" spans="1:2" x14ac:dyDescent="0.2">
      <c r="A2830" t="s">
        <v>7955</v>
      </c>
      <c r="B2830" s="8" t="s">
        <v>7956</v>
      </c>
    </row>
    <row r="2831" spans="1:2" x14ac:dyDescent="0.2">
      <c r="A2831" t="s">
        <v>7958</v>
      </c>
      <c r="B2831" s="8" t="s">
        <v>7959</v>
      </c>
    </row>
    <row r="2832" spans="1:2" x14ac:dyDescent="0.2">
      <c r="A2832" t="s">
        <v>7961</v>
      </c>
      <c r="B2832" s="8" t="s">
        <v>7962</v>
      </c>
    </row>
    <row r="2833" spans="1:2" x14ac:dyDescent="0.2">
      <c r="A2833" t="s">
        <v>7964</v>
      </c>
      <c r="B2833" s="8" t="s">
        <v>357</v>
      </c>
    </row>
    <row r="2834" spans="1:2" x14ac:dyDescent="0.2">
      <c r="A2834" t="s">
        <v>7966</v>
      </c>
      <c r="B2834" s="8" t="s">
        <v>7967</v>
      </c>
    </row>
    <row r="2835" spans="1:2" x14ac:dyDescent="0.2">
      <c r="A2835" t="s">
        <v>7969</v>
      </c>
      <c r="B2835" s="8" t="s">
        <v>7970</v>
      </c>
    </row>
    <row r="2836" spans="1:2" x14ac:dyDescent="0.2">
      <c r="A2836" t="s">
        <v>7972</v>
      </c>
      <c r="B2836" s="8" t="s">
        <v>7973</v>
      </c>
    </row>
    <row r="2837" spans="1:2" x14ac:dyDescent="0.2">
      <c r="A2837" t="s">
        <v>7975</v>
      </c>
      <c r="B2837" s="8" t="s">
        <v>7976</v>
      </c>
    </row>
    <row r="2838" spans="1:2" x14ac:dyDescent="0.2">
      <c r="A2838" t="s">
        <v>7978</v>
      </c>
      <c r="B2838" s="8" t="s">
        <v>7979</v>
      </c>
    </row>
    <row r="2839" spans="1:2" x14ac:dyDescent="0.2">
      <c r="A2839" t="s">
        <v>7981</v>
      </c>
      <c r="B2839" s="8" t="s">
        <v>7982</v>
      </c>
    </row>
    <row r="2840" spans="1:2" x14ac:dyDescent="0.2">
      <c r="A2840" t="s">
        <v>7984</v>
      </c>
      <c r="B2840" s="8" t="s">
        <v>7985</v>
      </c>
    </row>
    <row r="2841" spans="1:2" x14ac:dyDescent="0.2">
      <c r="A2841" t="s">
        <v>7987</v>
      </c>
      <c r="B2841" s="8" t="s">
        <v>7988</v>
      </c>
    </row>
    <row r="2842" spans="1:2" x14ac:dyDescent="0.2">
      <c r="A2842" t="s">
        <v>7990</v>
      </c>
      <c r="B2842" s="8" t="s">
        <v>7991</v>
      </c>
    </row>
    <row r="2843" spans="1:2" x14ac:dyDescent="0.2">
      <c r="A2843" t="s">
        <v>7993</v>
      </c>
      <c r="B2843" s="8" t="s">
        <v>7994</v>
      </c>
    </row>
    <row r="2844" spans="1:2" x14ac:dyDescent="0.2">
      <c r="A2844" t="s">
        <v>7996</v>
      </c>
      <c r="B2844" s="8" t="s">
        <v>7997</v>
      </c>
    </row>
    <row r="2845" spans="1:2" x14ac:dyDescent="0.2">
      <c r="A2845" t="s">
        <v>7999</v>
      </c>
      <c r="B2845" s="8" t="s">
        <v>8000</v>
      </c>
    </row>
    <row r="2846" spans="1:2" x14ac:dyDescent="0.2">
      <c r="A2846" t="s">
        <v>8002</v>
      </c>
      <c r="B2846" s="8" t="s">
        <v>8003</v>
      </c>
    </row>
    <row r="2847" spans="1:2" x14ac:dyDescent="0.2">
      <c r="A2847" t="s">
        <v>8005</v>
      </c>
      <c r="B2847" s="8" t="s">
        <v>8006</v>
      </c>
    </row>
    <row r="2848" spans="1:2" x14ac:dyDescent="0.2">
      <c r="A2848" t="s">
        <v>8008</v>
      </c>
      <c r="B2848" s="8" t="s">
        <v>232</v>
      </c>
    </row>
    <row r="2849" spans="1:2" x14ac:dyDescent="0.2">
      <c r="A2849" t="s">
        <v>8010</v>
      </c>
      <c r="B2849" s="8" t="s">
        <v>8011</v>
      </c>
    </row>
    <row r="2850" spans="1:2" x14ac:dyDescent="0.2">
      <c r="A2850" t="s">
        <v>8013</v>
      </c>
      <c r="B2850" s="8" t="s">
        <v>8014</v>
      </c>
    </row>
    <row r="2851" spans="1:2" x14ac:dyDescent="0.2">
      <c r="A2851" t="s">
        <v>8016</v>
      </c>
      <c r="B2851" s="8" t="s">
        <v>8014</v>
      </c>
    </row>
    <row r="2852" spans="1:2" x14ac:dyDescent="0.2">
      <c r="A2852" t="s">
        <v>8017</v>
      </c>
      <c r="B2852" s="8" t="s">
        <v>8018</v>
      </c>
    </row>
    <row r="2853" spans="1:2" x14ac:dyDescent="0.2">
      <c r="A2853" t="s">
        <v>8020</v>
      </c>
      <c r="B2853" s="8" t="s">
        <v>8021</v>
      </c>
    </row>
    <row r="2854" spans="1:2" x14ac:dyDescent="0.2">
      <c r="A2854" t="s">
        <v>8023</v>
      </c>
      <c r="B2854" s="8" t="s">
        <v>8024</v>
      </c>
    </row>
    <row r="2855" spans="1:2" x14ac:dyDescent="0.2">
      <c r="A2855" t="s">
        <v>8026</v>
      </c>
      <c r="B2855" s="8" t="s">
        <v>8027</v>
      </c>
    </row>
    <row r="2856" spans="1:2" x14ac:dyDescent="0.2">
      <c r="A2856" t="s">
        <v>8029</v>
      </c>
      <c r="B2856" s="8" t="s">
        <v>8030</v>
      </c>
    </row>
    <row r="2857" spans="1:2" x14ac:dyDescent="0.2">
      <c r="A2857" t="s">
        <v>8032</v>
      </c>
      <c r="B2857" s="8" t="s">
        <v>8033</v>
      </c>
    </row>
    <row r="2858" spans="1:2" x14ac:dyDescent="0.2">
      <c r="A2858" t="s">
        <v>8034</v>
      </c>
      <c r="B2858" s="8" t="s">
        <v>8035</v>
      </c>
    </row>
    <row r="2859" spans="1:2" x14ac:dyDescent="0.2">
      <c r="A2859" t="s">
        <v>8037</v>
      </c>
      <c r="B2859" s="8" t="s">
        <v>8038</v>
      </c>
    </row>
    <row r="2860" spans="1:2" x14ac:dyDescent="0.2">
      <c r="A2860" t="s">
        <v>8040</v>
      </c>
      <c r="B2860" s="8" t="s">
        <v>8041</v>
      </c>
    </row>
    <row r="2861" spans="1:2" x14ac:dyDescent="0.2">
      <c r="A2861" t="s">
        <v>8043</v>
      </c>
      <c r="B2861" s="8" t="s">
        <v>8044</v>
      </c>
    </row>
    <row r="2862" spans="1:2" x14ac:dyDescent="0.2">
      <c r="A2862" t="s">
        <v>8046</v>
      </c>
      <c r="B2862" s="8" t="s">
        <v>8047</v>
      </c>
    </row>
    <row r="2863" spans="1:2" x14ac:dyDescent="0.2">
      <c r="A2863" t="s">
        <v>8049</v>
      </c>
      <c r="B2863" s="8" t="s">
        <v>8050</v>
      </c>
    </row>
    <row r="2864" spans="1:2" x14ac:dyDescent="0.2">
      <c r="A2864" t="s">
        <v>8052</v>
      </c>
      <c r="B2864" s="8" t="s">
        <v>8053</v>
      </c>
    </row>
    <row r="2865" spans="1:2" x14ac:dyDescent="0.2">
      <c r="A2865" t="s">
        <v>8055</v>
      </c>
      <c r="B2865" s="8" t="s">
        <v>8056</v>
      </c>
    </row>
    <row r="2866" spans="1:2" x14ac:dyDescent="0.2">
      <c r="A2866" t="s">
        <v>8058</v>
      </c>
      <c r="B2866" s="8" t="s">
        <v>8059</v>
      </c>
    </row>
    <row r="2867" spans="1:2" x14ac:dyDescent="0.2">
      <c r="A2867" t="s">
        <v>8060</v>
      </c>
      <c r="B2867" s="8" t="s">
        <v>8061</v>
      </c>
    </row>
    <row r="2868" spans="1:2" x14ac:dyDescent="0.2">
      <c r="A2868" t="s">
        <v>8063</v>
      </c>
      <c r="B2868" s="8" t="s">
        <v>8064</v>
      </c>
    </row>
    <row r="2869" spans="1:2" x14ac:dyDescent="0.2">
      <c r="A2869" t="s">
        <v>8066</v>
      </c>
      <c r="B2869" s="8" t="s">
        <v>8067</v>
      </c>
    </row>
    <row r="2870" spans="1:2" x14ac:dyDescent="0.2">
      <c r="A2870" t="s">
        <v>8069</v>
      </c>
      <c r="B2870" s="8" t="s">
        <v>8070</v>
      </c>
    </row>
    <row r="2871" spans="1:2" x14ac:dyDescent="0.2">
      <c r="A2871" t="s">
        <v>8072</v>
      </c>
      <c r="B2871" s="8" t="s">
        <v>8073</v>
      </c>
    </row>
    <row r="2872" spans="1:2" x14ac:dyDescent="0.2">
      <c r="A2872" t="s">
        <v>8075</v>
      </c>
      <c r="B2872" s="8" t="s">
        <v>8076</v>
      </c>
    </row>
    <row r="2873" spans="1:2" x14ac:dyDescent="0.2">
      <c r="A2873" t="s">
        <v>8078</v>
      </c>
      <c r="B2873" s="8" t="s">
        <v>8079</v>
      </c>
    </row>
    <row r="2874" spans="1:2" x14ac:dyDescent="0.2">
      <c r="A2874" t="s">
        <v>8081</v>
      </c>
      <c r="B2874" s="8" t="s">
        <v>8082</v>
      </c>
    </row>
    <row r="2875" spans="1:2" x14ac:dyDescent="0.2">
      <c r="A2875" t="s">
        <v>8084</v>
      </c>
      <c r="B2875" s="8" t="s">
        <v>8085</v>
      </c>
    </row>
    <row r="2876" spans="1:2" x14ac:dyDescent="0.2">
      <c r="A2876" t="s">
        <v>8086</v>
      </c>
      <c r="B2876" s="8" t="s">
        <v>8087</v>
      </c>
    </row>
    <row r="2877" spans="1:2" x14ac:dyDescent="0.2">
      <c r="A2877" t="s">
        <v>8089</v>
      </c>
      <c r="B2877" s="8" t="s">
        <v>357</v>
      </c>
    </row>
    <row r="2878" spans="1:2" x14ac:dyDescent="0.2">
      <c r="A2878" t="s">
        <v>8090</v>
      </c>
      <c r="B2878" s="8" t="s">
        <v>8091</v>
      </c>
    </row>
    <row r="2879" spans="1:2" x14ac:dyDescent="0.2">
      <c r="A2879" t="s">
        <v>8093</v>
      </c>
      <c r="B2879" s="8" t="s">
        <v>8094</v>
      </c>
    </row>
    <row r="2880" spans="1:2" x14ac:dyDescent="0.2">
      <c r="A2880" t="s">
        <v>8096</v>
      </c>
      <c r="B2880" s="8" t="s">
        <v>8094</v>
      </c>
    </row>
    <row r="2881" spans="1:2" x14ac:dyDescent="0.2">
      <c r="A2881" t="s">
        <v>8097</v>
      </c>
      <c r="B2881" s="8" t="s">
        <v>8098</v>
      </c>
    </row>
    <row r="2882" spans="1:2" x14ac:dyDescent="0.2">
      <c r="A2882" t="s">
        <v>8100</v>
      </c>
      <c r="B2882" s="8" t="s">
        <v>8101</v>
      </c>
    </row>
    <row r="2883" spans="1:2" x14ac:dyDescent="0.2">
      <c r="A2883" t="s">
        <v>8103</v>
      </c>
      <c r="B2883" s="8" t="s">
        <v>8104</v>
      </c>
    </row>
    <row r="2884" spans="1:2" x14ac:dyDescent="0.2">
      <c r="A2884" t="s">
        <v>8106</v>
      </c>
      <c r="B2884" s="8" t="s">
        <v>8107</v>
      </c>
    </row>
    <row r="2885" spans="1:2" x14ac:dyDescent="0.2">
      <c r="A2885" t="s">
        <v>8109</v>
      </c>
      <c r="B2885" s="8" t="s">
        <v>8110</v>
      </c>
    </row>
    <row r="2886" spans="1:2" x14ac:dyDescent="0.2">
      <c r="A2886" t="s">
        <v>8112</v>
      </c>
      <c r="B2886" s="8" t="s">
        <v>8113</v>
      </c>
    </row>
    <row r="2887" spans="1:2" x14ac:dyDescent="0.2">
      <c r="A2887" t="s">
        <v>8115</v>
      </c>
      <c r="B2887" s="8" t="s">
        <v>8116</v>
      </c>
    </row>
    <row r="2888" spans="1:2" x14ac:dyDescent="0.2">
      <c r="A2888" t="s">
        <v>8118</v>
      </c>
      <c r="B2888" s="8" t="s">
        <v>8119</v>
      </c>
    </row>
    <row r="2889" spans="1:2" x14ac:dyDescent="0.2">
      <c r="A2889" t="s">
        <v>8121</v>
      </c>
      <c r="B2889" s="8" t="s">
        <v>8122</v>
      </c>
    </row>
    <row r="2890" spans="1:2" x14ac:dyDescent="0.2">
      <c r="A2890" t="s">
        <v>8124</v>
      </c>
      <c r="B2890" s="8" t="s">
        <v>8125</v>
      </c>
    </row>
    <row r="2891" spans="1:2" x14ac:dyDescent="0.2">
      <c r="A2891" t="s">
        <v>8127</v>
      </c>
      <c r="B2891" s="8" t="s">
        <v>8128</v>
      </c>
    </row>
    <row r="2892" spans="1:2" x14ac:dyDescent="0.2">
      <c r="A2892" t="s">
        <v>8130</v>
      </c>
      <c r="B2892" s="8" t="s">
        <v>8131</v>
      </c>
    </row>
    <row r="2893" spans="1:2" x14ac:dyDescent="0.2">
      <c r="A2893" t="s">
        <v>8132</v>
      </c>
      <c r="B2893" s="8" t="s">
        <v>8133</v>
      </c>
    </row>
    <row r="2894" spans="1:2" x14ac:dyDescent="0.2">
      <c r="A2894" t="s">
        <v>8135</v>
      </c>
      <c r="B2894" s="8" t="s">
        <v>8136</v>
      </c>
    </row>
    <row r="2895" spans="1:2" x14ac:dyDescent="0.2">
      <c r="A2895" t="s">
        <v>8138</v>
      </c>
      <c r="B2895" s="8" t="s">
        <v>8139</v>
      </c>
    </row>
    <row r="2896" spans="1:2" x14ac:dyDescent="0.2">
      <c r="A2896" t="s">
        <v>8140</v>
      </c>
      <c r="B2896" s="8" t="s">
        <v>8141</v>
      </c>
    </row>
    <row r="2897" spans="1:2" x14ac:dyDescent="0.2">
      <c r="A2897" t="s">
        <v>8143</v>
      </c>
      <c r="B2897" s="8" t="s">
        <v>8144</v>
      </c>
    </row>
    <row r="2898" spans="1:2" x14ac:dyDescent="0.2">
      <c r="A2898" t="s">
        <v>8146</v>
      </c>
      <c r="B2898" s="8" t="s">
        <v>8147</v>
      </c>
    </row>
    <row r="2899" spans="1:2" x14ac:dyDescent="0.2">
      <c r="A2899" t="s">
        <v>8149</v>
      </c>
      <c r="B2899" s="8" t="s">
        <v>8150</v>
      </c>
    </row>
    <row r="2900" spans="1:2" x14ac:dyDescent="0.2">
      <c r="A2900" t="s">
        <v>8152</v>
      </c>
      <c r="B2900" s="8" t="s">
        <v>8153</v>
      </c>
    </row>
    <row r="2901" spans="1:2" x14ac:dyDescent="0.2">
      <c r="A2901" t="s">
        <v>8155</v>
      </c>
      <c r="B2901" s="8" t="s">
        <v>8156</v>
      </c>
    </row>
    <row r="2902" spans="1:2" x14ac:dyDescent="0.2">
      <c r="A2902" t="s">
        <v>8158</v>
      </c>
      <c r="B2902" s="8" t="s">
        <v>8159</v>
      </c>
    </row>
    <row r="2903" spans="1:2" x14ac:dyDescent="0.2">
      <c r="A2903" t="s">
        <v>8161</v>
      </c>
      <c r="B2903" s="8" t="s">
        <v>357</v>
      </c>
    </row>
    <row r="2904" spans="1:2" x14ac:dyDescent="0.2">
      <c r="A2904" t="s">
        <v>8162</v>
      </c>
      <c r="B2904" s="8" t="s">
        <v>8163</v>
      </c>
    </row>
    <row r="2905" spans="1:2" x14ac:dyDescent="0.2">
      <c r="A2905" t="s">
        <v>8165</v>
      </c>
      <c r="B2905" s="8" t="s">
        <v>8166</v>
      </c>
    </row>
    <row r="2906" spans="1:2" x14ac:dyDescent="0.2">
      <c r="A2906" t="s">
        <v>8168</v>
      </c>
      <c r="B2906" s="8" t="s">
        <v>8169</v>
      </c>
    </row>
    <row r="2907" spans="1:2" x14ac:dyDescent="0.2">
      <c r="A2907" t="s">
        <v>8171</v>
      </c>
      <c r="B2907" s="8" t="s">
        <v>8172</v>
      </c>
    </row>
    <row r="2908" spans="1:2" x14ac:dyDescent="0.2">
      <c r="A2908" t="s">
        <v>8174</v>
      </c>
      <c r="B2908" s="8" t="s">
        <v>8175</v>
      </c>
    </row>
    <row r="2909" spans="1:2" x14ac:dyDescent="0.2">
      <c r="A2909" t="s">
        <v>8177</v>
      </c>
      <c r="B2909" s="8" t="s">
        <v>8178</v>
      </c>
    </row>
    <row r="2910" spans="1:2" x14ac:dyDescent="0.2">
      <c r="A2910" t="s">
        <v>8180</v>
      </c>
      <c r="B2910" s="8" t="s">
        <v>8181</v>
      </c>
    </row>
    <row r="2911" spans="1:2" x14ac:dyDescent="0.2">
      <c r="A2911" t="s">
        <v>8183</v>
      </c>
      <c r="B2911" s="8" t="s">
        <v>8184</v>
      </c>
    </row>
    <row r="2912" spans="1:2" x14ac:dyDescent="0.2">
      <c r="A2912" t="s">
        <v>8185</v>
      </c>
      <c r="B2912" s="8" t="s">
        <v>357</v>
      </c>
    </row>
    <row r="2913" spans="1:2" x14ac:dyDescent="0.2">
      <c r="A2913" t="s">
        <v>8187</v>
      </c>
      <c r="B2913" s="8" t="s">
        <v>8188</v>
      </c>
    </row>
    <row r="2914" spans="1:2" x14ac:dyDescent="0.2">
      <c r="A2914" t="s">
        <v>8190</v>
      </c>
      <c r="B2914" s="8" t="s">
        <v>8191</v>
      </c>
    </row>
    <row r="2915" spans="1:2" x14ac:dyDescent="0.2">
      <c r="A2915" t="s">
        <v>8193</v>
      </c>
      <c r="B2915" s="8" t="s">
        <v>8194</v>
      </c>
    </row>
    <row r="2916" spans="1:2" x14ac:dyDescent="0.2">
      <c r="A2916" t="s">
        <v>8196</v>
      </c>
      <c r="B2916" s="8" t="s">
        <v>8197</v>
      </c>
    </row>
    <row r="2917" spans="1:2" x14ac:dyDescent="0.2">
      <c r="A2917" t="s">
        <v>8199</v>
      </c>
      <c r="B2917" s="8" t="s">
        <v>8200</v>
      </c>
    </row>
    <row r="2918" spans="1:2" x14ac:dyDescent="0.2">
      <c r="A2918" t="s">
        <v>8202</v>
      </c>
      <c r="B2918" s="8" t="s">
        <v>8203</v>
      </c>
    </row>
    <row r="2919" spans="1:2" x14ac:dyDescent="0.2">
      <c r="A2919" t="s">
        <v>8205</v>
      </c>
      <c r="B2919" s="8" t="s">
        <v>8206</v>
      </c>
    </row>
    <row r="2920" spans="1:2" x14ac:dyDescent="0.2">
      <c r="A2920" t="s">
        <v>8207</v>
      </c>
      <c r="B2920" s="8" t="s">
        <v>8208</v>
      </c>
    </row>
    <row r="2921" spans="1:2" x14ac:dyDescent="0.2">
      <c r="A2921" t="s">
        <v>8210</v>
      </c>
      <c r="B2921" s="8" t="s">
        <v>8211</v>
      </c>
    </row>
    <row r="2922" spans="1:2" x14ac:dyDescent="0.2">
      <c r="A2922" t="s">
        <v>8213</v>
      </c>
      <c r="B2922" s="8" t="s">
        <v>8214</v>
      </c>
    </row>
    <row r="2923" spans="1:2" x14ac:dyDescent="0.2">
      <c r="A2923" t="s">
        <v>8216</v>
      </c>
      <c r="B2923" s="8" t="s">
        <v>8217</v>
      </c>
    </row>
    <row r="2924" spans="1:2" x14ac:dyDescent="0.2">
      <c r="A2924" t="s">
        <v>8219</v>
      </c>
      <c r="B2924" s="8" t="s">
        <v>8220</v>
      </c>
    </row>
    <row r="2925" spans="1:2" x14ac:dyDescent="0.2">
      <c r="A2925" t="s">
        <v>8222</v>
      </c>
      <c r="B2925" s="8" t="s">
        <v>8223</v>
      </c>
    </row>
    <row r="2926" spans="1:2" x14ac:dyDescent="0.2">
      <c r="A2926" t="s">
        <v>8225</v>
      </c>
      <c r="B2926" s="8" t="s">
        <v>8226</v>
      </c>
    </row>
    <row r="2927" spans="1:2" x14ac:dyDescent="0.2">
      <c r="A2927" t="s">
        <v>8228</v>
      </c>
      <c r="B2927" s="8" t="s">
        <v>8229</v>
      </c>
    </row>
    <row r="2928" spans="1:2" x14ac:dyDescent="0.2">
      <c r="A2928" t="s">
        <v>8231</v>
      </c>
      <c r="B2928" s="8" t="s">
        <v>8232</v>
      </c>
    </row>
    <row r="2929" spans="1:2" x14ac:dyDescent="0.2">
      <c r="A2929" t="s">
        <v>8234</v>
      </c>
      <c r="B2929" s="8" t="s">
        <v>8235</v>
      </c>
    </row>
    <row r="2930" spans="1:2" x14ac:dyDescent="0.2">
      <c r="A2930" t="s">
        <v>8237</v>
      </c>
      <c r="B2930" s="8" t="s">
        <v>8238</v>
      </c>
    </row>
    <row r="2931" spans="1:2" x14ac:dyDescent="0.2">
      <c r="A2931" t="s">
        <v>8240</v>
      </c>
      <c r="B2931" s="8" t="s">
        <v>8241</v>
      </c>
    </row>
    <row r="2932" spans="1:2" x14ac:dyDescent="0.2">
      <c r="A2932" t="s">
        <v>8243</v>
      </c>
      <c r="B2932" s="8" t="s">
        <v>8244</v>
      </c>
    </row>
    <row r="2933" spans="1:2" x14ac:dyDescent="0.2">
      <c r="A2933" t="s">
        <v>8246</v>
      </c>
      <c r="B2933" s="8" t="s">
        <v>8247</v>
      </c>
    </row>
    <row r="2934" spans="1:2" x14ac:dyDescent="0.2">
      <c r="A2934" t="s">
        <v>8248</v>
      </c>
      <c r="B2934" s="8" t="s">
        <v>8249</v>
      </c>
    </row>
    <row r="2935" spans="1:2" x14ac:dyDescent="0.2">
      <c r="A2935" t="s">
        <v>8251</v>
      </c>
      <c r="B2935" s="8" t="s">
        <v>8252</v>
      </c>
    </row>
    <row r="2936" spans="1:2" x14ac:dyDescent="0.2">
      <c r="A2936" t="s">
        <v>8254</v>
      </c>
      <c r="B2936" s="8" t="s">
        <v>8255</v>
      </c>
    </row>
    <row r="2937" spans="1:2" x14ac:dyDescent="0.2">
      <c r="A2937" t="s">
        <v>8257</v>
      </c>
      <c r="B2937" s="8" t="s">
        <v>8258</v>
      </c>
    </row>
    <row r="2938" spans="1:2" x14ac:dyDescent="0.2">
      <c r="A2938" t="s">
        <v>8260</v>
      </c>
      <c r="B2938" s="8" t="s">
        <v>8261</v>
      </c>
    </row>
    <row r="2939" spans="1:2" x14ac:dyDescent="0.2">
      <c r="A2939" t="s">
        <v>8263</v>
      </c>
      <c r="B2939" s="8" t="s">
        <v>8264</v>
      </c>
    </row>
    <row r="2940" spans="1:2" x14ac:dyDescent="0.2">
      <c r="A2940" t="s">
        <v>8266</v>
      </c>
      <c r="B2940" s="8" t="s">
        <v>295</v>
      </c>
    </row>
    <row r="2941" spans="1:2" x14ac:dyDescent="0.2">
      <c r="A2941" t="s">
        <v>8268</v>
      </c>
      <c r="B2941" s="8" t="s">
        <v>8269</v>
      </c>
    </row>
    <row r="2942" spans="1:2" x14ac:dyDescent="0.2">
      <c r="A2942" t="s">
        <v>8271</v>
      </c>
      <c r="B2942" s="8" t="s">
        <v>8272</v>
      </c>
    </row>
    <row r="2943" spans="1:2" x14ac:dyDescent="0.2">
      <c r="A2943" t="s">
        <v>8274</v>
      </c>
      <c r="B2943" s="8" t="s">
        <v>8275</v>
      </c>
    </row>
    <row r="2944" spans="1:2" x14ac:dyDescent="0.2">
      <c r="A2944" t="s">
        <v>8277</v>
      </c>
      <c r="B2944" s="8" t="s">
        <v>357</v>
      </c>
    </row>
    <row r="2945" spans="1:2" x14ac:dyDescent="0.2">
      <c r="A2945" t="s">
        <v>8278</v>
      </c>
      <c r="B2945" s="8" t="s">
        <v>8279</v>
      </c>
    </row>
    <row r="2946" spans="1:2" x14ac:dyDescent="0.2">
      <c r="A2946" t="s">
        <v>8281</v>
      </c>
      <c r="B2946" s="8" t="s">
        <v>8282</v>
      </c>
    </row>
    <row r="2947" spans="1:2" x14ac:dyDescent="0.2">
      <c r="A2947" t="s">
        <v>8284</v>
      </c>
      <c r="B2947" s="8" t="s">
        <v>8285</v>
      </c>
    </row>
    <row r="2948" spans="1:2" x14ac:dyDescent="0.2">
      <c r="A2948" t="s">
        <v>8287</v>
      </c>
      <c r="B2948" s="8" t="s">
        <v>212</v>
      </c>
    </row>
    <row r="2949" spans="1:2" x14ac:dyDescent="0.2">
      <c r="A2949" t="s">
        <v>8289</v>
      </c>
      <c r="B2949" s="8" t="s">
        <v>212</v>
      </c>
    </row>
    <row r="2950" spans="1:2" x14ac:dyDescent="0.2">
      <c r="A2950" t="s">
        <v>8290</v>
      </c>
      <c r="B2950" s="8" t="s">
        <v>212</v>
      </c>
    </row>
    <row r="2951" spans="1:2" x14ac:dyDescent="0.2">
      <c r="A2951" t="s">
        <v>8291</v>
      </c>
      <c r="B2951" s="8" t="s">
        <v>212</v>
      </c>
    </row>
    <row r="2952" spans="1:2" x14ac:dyDescent="0.2">
      <c r="A2952" t="s">
        <v>8292</v>
      </c>
      <c r="B2952" s="8" t="s">
        <v>8293</v>
      </c>
    </row>
    <row r="2953" spans="1:2" x14ac:dyDescent="0.2">
      <c r="A2953" t="s">
        <v>8295</v>
      </c>
      <c r="B2953" s="8" t="s">
        <v>8296</v>
      </c>
    </row>
    <row r="2954" spans="1:2" x14ac:dyDescent="0.2">
      <c r="A2954" t="s">
        <v>8297</v>
      </c>
      <c r="B2954" s="8" t="s">
        <v>8298</v>
      </c>
    </row>
    <row r="2955" spans="1:2" x14ac:dyDescent="0.2">
      <c r="A2955" t="s">
        <v>8300</v>
      </c>
      <c r="B2955" s="8" t="s">
        <v>8301</v>
      </c>
    </row>
    <row r="2956" spans="1:2" x14ac:dyDescent="0.2">
      <c r="A2956" t="s">
        <v>8302</v>
      </c>
      <c r="B2956" s="8" t="s">
        <v>8303</v>
      </c>
    </row>
    <row r="2957" spans="1:2" x14ac:dyDescent="0.2">
      <c r="A2957" t="s">
        <v>8305</v>
      </c>
      <c r="B2957" s="8" t="s">
        <v>8306</v>
      </c>
    </row>
    <row r="2958" spans="1:2" x14ac:dyDescent="0.2">
      <c r="A2958" t="s">
        <v>8308</v>
      </c>
      <c r="B2958" s="8" t="s">
        <v>8306</v>
      </c>
    </row>
    <row r="2959" spans="1:2" x14ac:dyDescent="0.2">
      <c r="A2959" t="s">
        <v>8309</v>
      </c>
      <c r="B2959" s="8" t="s">
        <v>8310</v>
      </c>
    </row>
    <row r="2960" spans="1:2" x14ac:dyDescent="0.2">
      <c r="A2960" t="s">
        <v>8312</v>
      </c>
      <c r="B2960" s="8" t="s">
        <v>8313</v>
      </c>
    </row>
    <row r="2961" spans="1:2" x14ac:dyDescent="0.2">
      <c r="A2961" t="s">
        <v>8315</v>
      </c>
      <c r="B2961" s="8" t="s">
        <v>8316</v>
      </c>
    </row>
    <row r="2962" spans="1:2" x14ac:dyDescent="0.2">
      <c r="A2962" t="s">
        <v>8318</v>
      </c>
      <c r="B2962" s="8" t="s">
        <v>8319</v>
      </c>
    </row>
    <row r="2963" spans="1:2" x14ac:dyDescent="0.2">
      <c r="A2963" t="s">
        <v>8321</v>
      </c>
      <c r="B2963" s="8" t="s">
        <v>8322</v>
      </c>
    </row>
    <row r="2964" spans="1:2" x14ac:dyDescent="0.2">
      <c r="A2964" t="s">
        <v>8324</v>
      </c>
      <c r="B2964" s="8" t="s">
        <v>8325</v>
      </c>
    </row>
    <row r="2965" spans="1:2" x14ac:dyDescent="0.2">
      <c r="A2965" t="s">
        <v>8327</v>
      </c>
      <c r="B2965" s="8" t="s">
        <v>8328</v>
      </c>
    </row>
    <row r="2966" spans="1:2" x14ac:dyDescent="0.2">
      <c r="A2966" t="s">
        <v>8330</v>
      </c>
      <c r="B2966" s="8" t="s">
        <v>8331</v>
      </c>
    </row>
    <row r="2967" spans="1:2" x14ac:dyDescent="0.2">
      <c r="A2967" t="s">
        <v>8333</v>
      </c>
      <c r="B2967" s="8" t="s">
        <v>357</v>
      </c>
    </row>
    <row r="2968" spans="1:2" x14ac:dyDescent="0.2">
      <c r="A2968" t="s">
        <v>8334</v>
      </c>
      <c r="B2968" s="8" t="s">
        <v>8335</v>
      </c>
    </row>
    <row r="2969" spans="1:2" x14ac:dyDescent="0.2">
      <c r="A2969" t="s">
        <v>8336</v>
      </c>
      <c r="B2969" s="8" t="s">
        <v>357</v>
      </c>
    </row>
    <row r="2970" spans="1:2" x14ac:dyDescent="0.2">
      <c r="A2970" t="s">
        <v>8337</v>
      </c>
      <c r="B2970" s="8" t="s">
        <v>8338</v>
      </c>
    </row>
    <row r="2971" spans="1:2" x14ac:dyDescent="0.2">
      <c r="A2971" t="s">
        <v>8340</v>
      </c>
      <c r="B2971" s="8" t="s">
        <v>8341</v>
      </c>
    </row>
    <row r="2972" spans="1:2" x14ac:dyDescent="0.2">
      <c r="A2972" t="s">
        <v>8343</v>
      </c>
      <c r="B2972" s="8" t="s">
        <v>8344</v>
      </c>
    </row>
    <row r="2973" spans="1:2" x14ac:dyDescent="0.2">
      <c r="A2973" t="s">
        <v>8346</v>
      </c>
      <c r="B2973" s="8" t="s">
        <v>8347</v>
      </c>
    </row>
    <row r="2974" spans="1:2" x14ac:dyDescent="0.2">
      <c r="A2974" t="s">
        <v>8349</v>
      </c>
      <c r="B2974" s="8" t="s">
        <v>8350</v>
      </c>
    </row>
    <row r="2975" spans="1:2" x14ac:dyDescent="0.2">
      <c r="A2975" t="s">
        <v>8351</v>
      </c>
      <c r="B2975" s="8" t="s">
        <v>8352</v>
      </c>
    </row>
    <row r="2976" spans="1:2" x14ac:dyDescent="0.2">
      <c r="A2976" t="s">
        <v>8354</v>
      </c>
      <c r="B2976" s="8" t="s">
        <v>8355</v>
      </c>
    </row>
    <row r="2977" spans="1:2" x14ac:dyDescent="0.2">
      <c r="A2977" t="s">
        <v>8357</v>
      </c>
      <c r="B2977" s="8" t="s">
        <v>8358</v>
      </c>
    </row>
    <row r="2978" spans="1:2" x14ac:dyDescent="0.2">
      <c r="A2978" t="s">
        <v>8360</v>
      </c>
      <c r="B2978" s="8" t="s">
        <v>8361</v>
      </c>
    </row>
    <row r="2979" spans="1:2" x14ac:dyDescent="0.2">
      <c r="A2979" t="s">
        <v>8363</v>
      </c>
      <c r="B2979" s="8" t="s">
        <v>8364</v>
      </c>
    </row>
    <row r="2980" spans="1:2" x14ac:dyDescent="0.2">
      <c r="A2980" t="s">
        <v>8366</v>
      </c>
      <c r="B2980" s="8" t="s">
        <v>8367</v>
      </c>
    </row>
    <row r="2981" spans="1:2" x14ac:dyDescent="0.2">
      <c r="A2981" t="s">
        <v>8369</v>
      </c>
      <c r="B2981" s="8" t="s">
        <v>357</v>
      </c>
    </row>
    <row r="2982" spans="1:2" x14ac:dyDescent="0.2">
      <c r="A2982" t="s">
        <v>8371</v>
      </c>
      <c r="B2982" s="8" t="s">
        <v>8372</v>
      </c>
    </row>
    <row r="2983" spans="1:2" x14ac:dyDescent="0.2">
      <c r="A2983" t="s">
        <v>8374</v>
      </c>
      <c r="B2983" s="8" t="s">
        <v>8375</v>
      </c>
    </row>
    <row r="2984" spans="1:2" x14ac:dyDescent="0.2">
      <c r="A2984" t="s">
        <v>8377</v>
      </c>
      <c r="B2984" s="8" t="s">
        <v>8378</v>
      </c>
    </row>
    <row r="2985" spans="1:2" x14ac:dyDescent="0.2">
      <c r="A2985" t="s">
        <v>8380</v>
      </c>
      <c r="B2985" s="8" t="s">
        <v>8381</v>
      </c>
    </row>
    <row r="2986" spans="1:2" x14ac:dyDescent="0.2">
      <c r="A2986" t="s">
        <v>8383</v>
      </c>
      <c r="B2986" s="8" t="s">
        <v>8384</v>
      </c>
    </row>
    <row r="2987" spans="1:2" x14ac:dyDescent="0.2">
      <c r="A2987" t="s">
        <v>8386</v>
      </c>
      <c r="B2987" s="8" t="s">
        <v>8387</v>
      </c>
    </row>
    <row r="2988" spans="1:2" x14ac:dyDescent="0.2">
      <c r="A2988" t="s">
        <v>8389</v>
      </c>
      <c r="B2988" s="8" t="s">
        <v>8390</v>
      </c>
    </row>
    <row r="2989" spans="1:2" x14ac:dyDescent="0.2">
      <c r="A2989" t="s">
        <v>8392</v>
      </c>
      <c r="B2989" s="8" t="s">
        <v>8393</v>
      </c>
    </row>
    <row r="2990" spans="1:2" x14ac:dyDescent="0.2">
      <c r="A2990" t="s">
        <v>8395</v>
      </c>
      <c r="B2990" s="8" t="s">
        <v>8393</v>
      </c>
    </row>
    <row r="2991" spans="1:2" x14ac:dyDescent="0.2">
      <c r="A2991" t="s">
        <v>8396</v>
      </c>
      <c r="B2991" s="8" t="s">
        <v>8393</v>
      </c>
    </row>
    <row r="2992" spans="1:2" x14ac:dyDescent="0.2">
      <c r="A2992" t="s">
        <v>8397</v>
      </c>
      <c r="B2992" s="8" t="s">
        <v>8393</v>
      </c>
    </row>
    <row r="2993" spans="1:2" x14ac:dyDescent="0.2">
      <c r="A2993" t="s">
        <v>8398</v>
      </c>
      <c r="B2993" s="8" t="s">
        <v>8399</v>
      </c>
    </row>
    <row r="2994" spans="1:2" x14ac:dyDescent="0.2">
      <c r="A2994" t="s">
        <v>8401</v>
      </c>
      <c r="B2994" s="8" t="s">
        <v>357</v>
      </c>
    </row>
    <row r="2995" spans="1:2" x14ac:dyDescent="0.2">
      <c r="A2995" t="s">
        <v>8402</v>
      </c>
      <c r="B2995" s="8" t="s">
        <v>8403</v>
      </c>
    </row>
    <row r="2996" spans="1:2" x14ac:dyDescent="0.2">
      <c r="A2996" t="s">
        <v>8405</v>
      </c>
      <c r="B2996" s="8" t="s">
        <v>8406</v>
      </c>
    </row>
    <row r="2997" spans="1:2" x14ac:dyDescent="0.2">
      <c r="A2997" t="s">
        <v>8408</v>
      </c>
      <c r="B2997" s="8" t="s">
        <v>8409</v>
      </c>
    </row>
    <row r="2998" spans="1:2" x14ac:dyDescent="0.2">
      <c r="A2998" t="s">
        <v>8411</v>
      </c>
      <c r="B2998" s="8" t="s">
        <v>8412</v>
      </c>
    </row>
    <row r="2999" spans="1:2" x14ac:dyDescent="0.2">
      <c r="A2999" t="s">
        <v>8414</v>
      </c>
      <c r="B2999" s="8" t="s">
        <v>8415</v>
      </c>
    </row>
    <row r="3000" spans="1:2" x14ac:dyDescent="0.2">
      <c r="A3000" t="s">
        <v>8417</v>
      </c>
      <c r="B3000" s="8" t="s">
        <v>8418</v>
      </c>
    </row>
    <row r="3001" spans="1:2" x14ac:dyDescent="0.2">
      <c r="A3001" t="s">
        <v>8420</v>
      </c>
      <c r="B3001" s="8" t="s">
        <v>8421</v>
      </c>
    </row>
    <row r="3002" spans="1:2" x14ac:dyDescent="0.2">
      <c r="A3002" t="s">
        <v>8423</v>
      </c>
      <c r="B3002" s="8" t="s">
        <v>8424</v>
      </c>
    </row>
    <row r="3003" spans="1:2" x14ac:dyDescent="0.2">
      <c r="A3003" t="s">
        <v>8426</v>
      </c>
      <c r="B3003" s="8" t="s">
        <v>8427</v>
      </c>
    </row>
    <row r="3004" spans="1:2" x14ac:dyDescent="0.2">
      <c r="A3004" t="s">
        <v>8429</v>
      </c>
      <c r="B3004" s="8" t="s">
        <v>8430</v>
      </c>
    </row>
    <row r="3005" spans="1:2" x14ac:dyDescent="0.2">
      <c r="A3005" t="s">
        <v>8431</v>
      </c>
      <c r="B3005" s="8" t="s">
        <v>8432</v>
      </c>
    </row>
    <row r="3006" spans="1:2" x14ac:dyDescent="0.2">
      <c r="A3006" t="s">
        <v>8434</v>
      </c>
      <c r="B3006" s="8" t="s">
        <v>8435</v>
      </c>
    </row>
    <row r="3007" spans="1:2" x14ac:dyDescent="0.2">
      <c r="A3007" t="s">
        <v>8437</v>
      </c>
      <c r="B3007" s="8" t="s">
        <v>8438</v>
      </c>
    </row>
    <row r="3008" spans="1:2" x14ac:dyDescent="0.2">
      <c r="A3008" t="s">
        <v>8440</v>
      </c>
      <c r="B3008" s="8" t="s">
        <v>8441</v>
      </c>
    </row>
    <row r="3009" spans="1:2" x14ac:dyDescent="0.2">
      <c r="A3009" t="s">
        <v>8443</v>
      </c>
      <c r="B3009" s="8" t="s">
        <v>8444</v>
      </c>
    </row>
    <row r="3010" spans="1:2" x14ac:dyDescent="0.2">
      <c r="A3010" t="s">
        <v>8446</v>
      </c>
      <c r="B3010" s="8" t="s">
        <v>8447</v>
      </c>
    </row>
    <row r="3011" spans="1:2" x14ac:dyDescent="0.2">
      <c r="A3011" t="s">
        <v>8449</v>
      </c>
      <c r="B3011" s="8" t="s">
        <v>337</v>
      </c>
    </row>
    <row r="3012" spans="1:2" x14ac:dyDescent="0.2">
      <c r="A3012" t="s">
        <v>8451</v>
      </c>
      <c r="B3012" s="8" t="s">
        <v>337</v>
      </c>
    </row>
    <row r="3013" spans="1:2" x14ac:dyDescent="0.2">
      <c r="A3013" t="s">
        <v>8452</v>
      </c>
      <c r="B3013" s="8" t="s">
        <v>337</v>
      </c>
    </row>
    <row r="3014" spans="1:2" x14ac:dyDescent="0.2">
      <c r="A3014" t="s">
        <v>8453</v>
      </c>
      <c r="B3014" s="8" t="s">
        <v>337</v>
      </c>
    </row>
    <row r="3015" spans="1:2" x14ac:dyDescent="0.2">
      <c r="A3015" t="s">
        <v>8454</v>
      </c>
      <c r="B3015" s="8" t="s">
        <v>337</v>
      </c>
    </row>
    <row r="3016" spans="1:2" x14ac:dyDescent="0.2">
      <c r="A3016" t="s">
        <v>8455</v>
      </c>
      <c r="B3016" s="8" t="s">
        <v>337</v>
      </c>
    </row>
    <row r="3017" spans="1:2" x14ac:dyDescent="0.2">
      <c r="A3017" t="s">
        <v>8456</v>
      </c>
      <c r="B3017" s="8" t="s">
        <v>337</v>
      </c>
    </row>
    <row r="3018" spans="1:2" x14ac:dyDescent="0.2">
      <c r="A3018" t="s">
        <v>8457</v>
      </c>
      <c r="B3018" s="8" t="s">
        <v>357</v>
      </c>
    </row>
    <row r="3019" spans="1:2" x14ac:dyDescent="0.2">
      <c r="A3019" t="s">
        <v>8459</v>
      </c>
      <c r="B3019" s="8" t="s">
        <v>8460</v>
      </c>
    </row>
    <row r="3020" spans="1:2" x14ac:dyDescent="0.2">
      <c r="A3020" t="s">
        <v>8461</v>
      </c>
      <c r="B3020" s="8" t="s">
        <v>8462</v>
      </c>
    </row>
    <row r="3021" spans="1:2" x14ac:dyDescent="0.2">
      <c r="A3021" t="s">
        <v>107</v>
      </c>
      <c r="B3021" s="8" t="s">
        <v>316</v>
      </c>
    </row>
    <row r="3022" spans="1:2" x14ac:dyDescent="0.2">
      <c r="A3022" t="s">
        <v>8465</v>
      </c>
      <c r="B3022" s="8" t="s">
        <v>357</v>
      </c>
    </row>
    <row r="3023" spans="1:2" x14ac:dyDescent="0.2">
      <c r="A3023" t="s">
        <v>8467</v>
      </c>
      <c r="B3023" s="8" t="s">
        <v>8468</v>
      </c>
    </row>
    <row r="3024" spans="1:2" x14ac:dyDescent="0.2">
      <c r="A3024" t="s">
        <v>8470</v>
      </c>
      <c r="B3024" s="8" t="s">
        <v>8471</v>
      </c>
    </row>
    <row r="3025" spans="1:2" x14ac:dyDescent="0.2">
      <c r="A3025" t="s">
        <v>8473</v>
      </c>
      <c r="B3025" s="8" t="s">
        <v>8474</v>
      </c>
    </row>
    <row r="3026" spans="1:2" x14ac:dyDescent="0.2">
      <c r="A3026" t="s">
        <v>8476</v>
      </c>
      <c r="B3026" s="8" t="s">
        <v>8477</v>
      </c>
    </row>
    <row r="3027" spans="1:2" x14ac:dyDescent="0.2">
      <c r="A3027" t="s">
        <v>8479</v>
      </c>
      <c r="B3027" s="8" t="s">
        <v>8480</v>
      </c>
    </row>
    <row r="3028" spans="1:2" x14ac:dyDescent="0.2">
      <c r="A3028" t="s">
        <v>8482</v>
      </c>
      <c r="B3028" s="8" t="s">
        <v>8483</v>
      </c>
    </row>
    <row r="3029" spans="1:2" x14ac:dyDescent="0.2">
      <c r="A3029" t="s">
        <v>8485</v>
      </c>
      <c r="B3029" s="8" t="s">
        <v>8486</v>
      </c>
    </row>
    <row r="3030" spans="1:2" x14ac:dyDescent="0.2">
      <c r="A3030" t="s">
        <v>8488</v>
      </c>
      <c r="B3030" s="8" t="s">
        <v>8489</v>
      </c>
    </row>
    <row r="3031" spans="1:2" x14ac:dyDescent="0.2">
      <c r="A3031" t="s">
        <v>8490</v>
      </c>
      <c r="B3031" s="8" t="s">
        <v>8491</v>
      </c>
    </row>
    <row r="3032" spans="1:2" x14ac:dyDescent="0.2">
      <c r="A3032" t="s">
        <v>8493</v>
      </c>
      <c r="B3032" s="8" t="s">
        <v>8494</v>
      </c>
    </row>
    <row r="3033" spans="1:2" x14ac:dyDescent="0.2">
      <c r="A3033" t="s">
        <v>8496</v>
      </c>
      <c r="B3033" s="8" t="s">
        <v>8497</v>
      </c>
    </row>
    <row r="3034" spans="1:2" x14ac:dyDescent="0.2">
      <c r="A3034" t="s">
        <v>8499</v>
      </c>
      <c r="B3034" s="8" t="s">
        <v>8500</v>
      </c>
    </row>
    <row r="3035" spans="1:2" x14ac:dyDescent="0.2">
      <c r="A3035" t="s">
        <v>8502</v>
      </c>
      <c r="B3035" s="8" t="s">
        <v>8503</v>
      </c>
    </row>
    <row r="3036" spans="1:2" x14ac:dyDescent="0.2">
      <c r="A3036" t="s">
        <v>8505</v>
      </c>
      <c r="B3036" s="8" t="s">
        <v>8506</v>
      </c>
    </row>
    <row r="3037" spans="1:2" x14ac:dyDescent="0.2">
      <c r="A3037" t="s">
        <v>8508</v>
      </c>
      <c r="B3037" s="8" t="s">
        <v>8509</v>
      </c>
    </row>
    <row r="3038" spans="1:2" x14ac:dyDescent="0.2">
      <c r="A3038" t="s">
        <v>8511</v>
      </c>
      <c r="B3038" s="8" t="s">
        <v>8512</v>
      </c>
    </row>
    <row r="3039" spans="1:2" x14ac:dyDescent="0.2">
      <c r="A3039" t="s">
        <v>8514</v>
      </c>
      <c r="B3039" s="8" t="s">
        <v>8515</v>
      </c>
    </row>
    <row r="3040" spans="1:2" x14ac:dyDescent="0.2">
      <c r="A3040" t="s">
        <v>8517</v>
      </c>
      <c r="B3040" s="8" t="s">
        <v>8518</v>
      </c>
    </row>
    <row r="3041" spans="1:2" x14ac:dyDescent="0.2">
      <c r="A3041" t="s">
        <v>8520</v>
      </c>
      <c r="B3041" s="8" t="s">
        <v>357</v>
      </c>
    </row>
    <row r="3042" spans="1:2" x14ac:dyDescent="0.2">
      <c r="A3042" t="s">
        <v>8522</v>
      </c>
      <c r="B3042" s="8" t="s">
        <v>8523</v>
      </c>
    </row>
    <row r="3043" spans="1:2" x14ac:dyDescent="0.2">
      <c r="A3043" t="s">
        <v>8525</v>
      </c>
      <c r="B3043" s="8" t="s">
        <v>8526</v>
      </c>
    </row>
    <row r="3044" spans="1:2" x14ac:dyDescent="0.2">
      <c r="A3044" t="s">
        <v>8528</v>
      </c>
      <c r="B3044" s="8" t="s">
        <v>8529</v>
      </c>
    </row>
    <row r="3045" spans="1:2" x14ac:dyDescent="0.2">
      <c r="A3045" t="s">
        <v>8531</v>
      </c>
      <c r="B3045" s="8" t="s">
        <v>8532</v>
      </c>
    </row>
    <row r="3046" spans="1:2" x14ac:dyDescent="0.2">
      <c r="A3046" t="s">
        <v>8534</v>
      </c>
      <c r="B3046" s="8" t="s">
        <v>8535</v>
      </c>
    </row>
    <row r="3047" spans="1:2" x14ac:dyDescent="0.2">
      <c r="A3047" t="s">
        <v>8537</v>
      </c>
      <c r="B3047" s="8" t="s">
        <v>8538</v>
      </c>
    </row>
    <row r="3048" spans="1:2" x14ac:dyDescent="0.2">
      <c r="A3048" t="s">
        <v>8540</v>
      </c>
      <c r="B3048" s="8" t="s">
        <v>8541</v>
      </c>
    </row>
    <row r="3049" spans="1:2" x14ac:dyDescent="0.2">
      <c r="A3049" t="s">
        <v>8542</v>
      </c>
      <c r="B3049" s="8" t="s">
        <v>8543</v>
      </c>
    </row>
    <row r="3050" spans="1:2" x14ac:dyDescent="0.2">
      <c r="A3050" t="s">
        <v>8544</v>
      </c>
      <c r="B3050" s="8" t="s">
        <v>8545</v>
      </c>
    </row>
    <row r="3051" spans="1:2" x14ac:dyDescent="0.2">
      <c r="A3051" t="s">
        <v>8547</v>
      </c>
      <c r="B3051" s="8" t="s">
        <v>8548</v>
      </c>
    </row>
    <row r="3052" spans="1:2" x14ac:dyDescent="0.2">
      <c r="A3052" t="s">
        <v>8550</v>
      </c>
      <c r="B3052" s="8" t="s">
        <v>8551</v>
      </c>
    </row>
    <row r="3053" spans="1:2" x14ac:dyDescent="0.2">
      <c r="A3053" t="s">
        <v>8553</v>
      </c>
      <c r="B3053" s="8" t="s">
        <v>8554</v>
      </c>
    </row>
    <row r="3054" spans="1:2" x14ac:dyDescent="0.2">
      <c r="A3054" t="s">
        <v>8556</v>
      </c>
      <c r="B3054" s="8" t="s">
        <v>8557</v>
      </c>
    </row>
    <row r="3055" spans="1:2" x14ac:dyDescent="0.2">
      <c r="A3055" t="s">
        <v>8559</v>
      </c>
      <c r="B3055" s="8" t="s">
        <v>8560</v>
      </c>
    </row>
    <row r="3056" spans="1:2" x14ac:dyDescent="0.2">
      <c r="A3056" t="s">
        <v>8562</v>
      </c>
      <c r="B3056" s="8" t="s">
        <v>8563</v>
      </c>
    </row>
    <row r="3057" spans="1:2" x14ac:dyDescent="0.2">
      <c r="A3057" t="s">
        <v>8565</v>
      </c>
      <c r="B3057" s="8" t="s">
        <v>357</v>
      </c>
    </row>
    <row r="3058" spans="1:2" x14ac:dyDescent="0.2">
      <c r="A3058" t="s">
        <v>8567</v>
      </c>
      <c r="B3058" s="8" t="s">
        <v>8568</v>
      </c>
    </row>
    <row r="3059" spans="1:2" x14ac:dyDescent="0.2">
      <c r="A3059" t="s">
        <v>8570</v>
      </c>
      <c r="B3059" s="8" t="s">
        <v>8571</v>
      </c>
    </row>
    <row r="3060" spans="1:2" x14ac:dyDescent="0.2">
      <c r="A3060" t="s">
        <v>8573</v>
      </c>
      <c r="B3060" s="8" t="s">
        <v>8574</v>
      </c>
    </row>
    <row r="3061" spans="1:2" x14ac:dyDescent="0.2">
      <c r="A3061" t="s">
        <v>8576</v>
      </c>
      <c r="B3061" s="8" t="s">
        <v>8577</v>
      </c>
    </row>
    <row r="3062" spans="1:2" x14ac:dyDescent="0.2">
      <c r="A3062" t="s">
        <v>8579</v>
      </c>
      <c r="B3062" s="8" t="s">
        <v>8580</v>
      </c>
    </row>
    <row r="3063" spans="1:2" x14ac:dyDescent="0.2">
      <c r="A3063" t="s">
        <v>8582</v>
      </c>
      <c r="B3063" s="8" t="s">
        <v>8583</v>
      </c>
    </row>
    <row r="3064" spans="1:2" x14ac:dyDescent="0.2">
      <c r="A3064" t="s">
        <v>8585</v>
      </c>
      <c r="B3064" s="8" t="s">
        <v>8586</v>
      </c>
    </row>
    <row r="3065" spans="1:2" x14ac:dyDescent="0.2">
      <c r="A3065" t="s">
        <v>8587</v>
      </c>
      <c r="B3065" s="8" t="s">
        <v>8588</v>
      </c>
    </row>
    <row r="3066" spans="1:2" x14ac:dyDescent="0.2">
      <c r="A3066" t="s">
        <v>8590</v>
      </c>
      <c r="B3066" s="8" t="s">
        <v>8591</v>
      </c>
    </row>
    <row r="3067" spans="1:2" x14ac:dyDescent="0.2">
      <c r="A3067" t="s">
        <v>8593</v>
      </c>
      <c r="B3067" s="8" t="s">
        <v>8594</v>
      </c>
    </row>
    <row r="3068" spans="1:2" x14ac:dyDescent="0.2">
      <c r="A3068" t="s">
        <v>8596</v>
      </c>
      <c r="B3068" s="8" t="s">
        <v>8597</v>
      </c>
    </row>
    <row r="3069" spans="1:2" x14ac:dyDescent="0.2">
      <c r="A3069" t="s">
        <v>8598</v>
      </c>
      <c r="B3069" s="8" t="s">
        <v>8599</v>
      </c>
    </row>
    <row r="3070" spans="1:2" x14ac:dyDescent="0.2">
      <c r="A3070" t="s">
        <v>8601</v>
      </c>
      <c r="B3070" s="8" t="s">
        <v>8602</v>
      </c>
    </row>
    <row r="3071" spans="1:2" x14ac:dyDescent="0.2">
      <c r="A3071" t="s">
        <v>8604</v>
      </c>
      <c r="B3071" s="8" t="s">
        <v>8605</v>
      </c>
    </row>
    <row r="3072" spans="1:2" x14ac:dyDescent="0.2">
      <c r="A3072" t="s">
        <v>8607</v>
      </c>
      <c r="B3072" s="8" t="s">
        <v>8608</v>
      </c>
    </row>
    <row r="3073" spans="1:2" x14ac:dyDescent="0.2">
      <c r="A3073" t="s">
        <v>8610</v>
      </c>
      <c r="B3073" s="8" t="s">
        <v>8611</v>
      </c>
    </row>
    <row r="3074" spans="1:2" x14ac:dyDescent="0.2">
      <c r="A3074" t="s">
        <v>8612</v>
      </c>
      <c r="B3074" s="8" t="s">
        <v>8613</v>
      </c>
    </row>
    <row r="3075" spans="1:2" x14ac:dyDescent="0.2">
      <c r="A3075" t="s">
        <v>8615</v>
      </c>
      <c r="B3075" s="8" t="s">
        <v>8616</v>
      </c>
    </row>
    <row r="3076" spans="1:2" x14ac:dyDescent="0.2">
      <c r="A3076" t="s">
        <v>8617</v>
      </c>
      <c r="B3076" s="8" t="s">
        <v>8618</v>
      </c>
    </row>
    <row r="3077" spans="1:2" x14ac:dyDescent="0.2">
      <c r="A3077" t="s">
        <v>8620</v>
      </c>
      <c r="B3077" s="8" t="s">
        <v>8621</v>
      </c>
    </row>
    <row r="3078" spans="1:2" x14ac:dyDescent="0.2">
      <c r="A3078" t="s">
        <v>8623</v>
      </c>
      <c r="B3078" s="8" t="s">
        <v>8624</v>
      </c>
    </row>
    <row r="3079" spans="1:2" x14ac:dyDescent="0.2">
      <c r="A3079" t="s">
        <v>8626</v>
      </c>
      <c r="B3079" s="8" t="s">
        <v>8627</v>
      </c>
    </row>
    <row r="3080" spans="1:2" x14ac:dyDescent="0.2">
      <c r="A3080" t="s">
        <v>8629</v>
      </c>
      <c r="B3080" s="8" t="s">
        <v>8630</v>
      </c>
    </row>
    <row r="3081" spans="1:2" x14ac:dyDescent="0.2">
      <c r="A3081" t="s">
        <v>8632</v>
      </c>
      <c r="B3081" s="8" t="s">
        <v>270</v>
      </c>
    </row>
    <row r="3082" spans="1:2" x14ac:dyDescent="0.2">
      <c r="A3082" t="s">
        <v>8634</v>
      </c>
      <c r="B3082" s="8" t="s">
        <v>8635</v>
      </c>
    </row>
    <row r="3083" spans="1:2" x14ac:dyDescent="0.2">
      <c r="A3083" t="s">
        <v>8637</v>
      </c>
      <c r="B3083" s="8" t="s">
        <v>8635</v>
      </c>
    </row>
    <row r="3084" spans="1:2" x14ac:dyDescent="0.2">
      <c r="A3084" t="s">
        <v>8638</v>
      </c>
      <c r="B3084" s="8" t="s">
        <v>8639</v>
      </c>
    </row>
    <row r="3085" spans="1:2" x14ac:dyDescent="0.2">
      <c r="A3085" t="s">
        <v>8641</v>
      </c>
      <c r="B3085" s="8" t="s">
        <v>357</v>
      </c>
    </row>
    <row r="3086" spans="1:2" x14ac:dyDescent="0.2">
      <c r="A3086" t="s">
        <v>8643</v>
      </c>
      <c r="B3086" s="8" t="s">
        <v>8644</v>
      </c>
    </row>
    <row r="3087" spans="1:2" x14ac:dyDescent="0.2">
      <c r="A3087" t="s">
        <v>8646</v>
      </c>
      <c r="B3087" s="8" t="s">
        <v>8647</v>
      </c>
    </row>
    <row r="3088" spans="1:2" x14ac:dyDescent="0.2">
      <c r="A3088" t="s">
        <v>8649</v>
      </c>
      <c r="B3088" s="8" t="s">
        <v>8650</v>
      </c>
    </row>
    <row r="3089" spans="1:2" x14ac:dyDescent="0.2">
      <c r="A3089" t="s">
        <v>8651</v>
      </c>
      <c r="B3089" s="8" t="s">
        <v>8652</v>
      </c>
    </row>
    <row r="3090" spans="1:2" x14ac:dyDescent="0.2">
      <c r="A3090" t="s">
        <v>8654</v>
      </c>
      <c r="B3090" s="8" t="s">
        <v>8655</v>
      </c>
    </row>
    <row r="3091" spans="1:2" x14ac:dyDescent="0.2">
      <c r="A3091" t="s">
        <v>8657</v>
      </c>
      <c r="B3091" s="8" t="s">
        <v>8658</v>
      </c>
    </row>
    <row r="3092" spans="1:2" x14ac:dyDescent="0.2">
      <c r="A3092" t="s">
        <v>8659</v>
      </c>
      <c r="B3092" s="8" t="s">
        <v>357</v>
      </c>
    </row>
    <row r="3093" spans="1:2" x14ac:dyDescent="0.2">
      <c r="A3093" t="s">
        <v>8661</v>
      </c>
      <c r="B3093" s="8" t="s">
        <v>8662</v>
      </c>
    </row>
    <row r="3094" spans="1:2" x14ac:dyDescent="0.2">
      <c r="A3094" t="s">
        <v>8664</v>
      </c>
      <c r="B3094" s="8" t="s">
        <v>8662</v>
      </c>
    </row>
    <row r="3095" spans="1:2" x14ac:dyDescent="0.2">
      <c r="A3095" t="s">
        <v>8665</v>
      </c>
      <c r="B3095" s="8" t="s">
        <v>8666</v>
      </c>
    </row>
    <row r="3096" spans="1:2" x14ac:dyDescent="0.2">
      <c r="A3096" t="s">
        <v>8668</v>
      </c>
      <c r="B3096" s="8" t="s">
        <v>8669</v>
      </c>
    </row>
    <row r="3097" spans="1:2" x14ac:dyDescent="0.2">
      <c r="A3097" t="s">
        <v>8670</v>
      </c>
      <c r="B3097" s="8" t="s">
        <v>8671</v>
      </c>
    </row>
    <row r="3098" spans="1:2" x14ac:dyDescent="0.2">
      <c r="A3098" t="s">
        <v>8673</v>
      </c>
      <c r="B3098" s="8" t="s">
        <v>8674</v>
      </c>
    </row>
    <row r="3099" spans="1:2" x14ac:dyDescent="0.2">
      <c r="A3099" t="s">
        <v>8675</v>
      </c>
      <c r="B3099" s="8" t="s">
        <v>8676</v>
      </c>
    </row>
    <row r="3100" spans="1:2" x14ac:dyDescent="0.2">
      <c r="A3100" t="s">
        <v>8675</v>
      </c>
      <c r="B3100" s="8" t="s">
        <v>8676</v>
      </c>
    </row>
    <row r="3101" spans="1:2" x14ac:dyDescent="0.2">
      <c r="A3101" t="s">
        <v>8678</v>
      </c>
      <c r="B3101" s="8" t="s">
        <v>8679</v>
      </c>
    </row>
    <row r="3102" spans="1:2" x14ac:dyDescent="0.2">
      <c r="A3102" t="s">
        <v>8681</v>
      </c>
      <c r="B3102" s="8" t="s">
        <v>8682</v>
      </c>
    </row>
    <row r="3103" spans="1:2" x14ac:dyDescent="0.2">
      <c r="A3103" t="s">
        <v>8683</v>
      </c>
      <c r="B3103" s="8" t="s">
        <v>8684</v>
      </c>
    </row>
    <row r="3104" spans="1:2" x14ac:dyDescent="0.2">
      <c r="A3104" t="s">
        <v>8686</v>
      </c>
      <c r="B3104" s="8" t="s">
        <v>8687</v>
      </c>
    </row>
    <row r="3105" spans="1:2" x14ac:dyDescent="0.2">
      <c r="A3105" t="s">
        <v>8689</v>
      </c>
      <c r="B3105" s="8" t="s">
        <v>8690</v>
      </c>
    </row>
    <row r="3106" spans="1:2" x14ac:dyDescent="0.2">
      <c r="A3106" t="s">
        <v>8691</v>
      </c>
      <c r="B3106" s="8" t="s">
        <v>8692</v>
      </c>
    </row>
    <row r="3107" spans="1:2" x14ac:dyDescent="0.2">
      <c r="A3107" t="s">
        <v>8694</v>
      </c>
      <c r="B3107" s="8" t="s">
        <v>8695</v>
      </c>
    </row>
    <row r="3108" spans="1:2" x14ac:dyDescent="0.2">
      <c r="A3108" t="s">
        <v>8696</v>
      </c>
      <c r="B3108" s="8" t="s">
        <v>8697</v>
      </c>
    </row>
    <row r="3109" spans="1:2" x14ac:dyDescent="0.2">
      <c r="A3109" t="s">
        <v>8699</v>
      </c>
      <c r="B3109" s="8" t="s">
        <v>8700</v>
      </c>
    </row>
    <row r="3110" spans="1:2" x14ac:dyDescent="0.2">
      <c r="A3110" t="s">
        <v>8701</v>
      </c>
      <c r="B3110" s="8" t="s">
        <v>8702</v>
      </c>
    </row>
    <row r="3111" spans="1:2" x14ac:dyDescent="0.2">
      <c r="A3111" t="s">
        <v>8703</v>
      </c>
      <c r="B3111" s="8" t="s">
        <v>8704</v>
      </c>
    </row>
    <row r="3112" spans="1:2" x14ac:dyDescent="0.2">
      <c r="A3112" t="s">
        <v>8705</v>
      </c>
      <c r="B3112" s="8" t="s">
        <v>357</v>
      </c>
    </row>
    <row r="3113" spans="1:2" x14ac:dyDescent="0.2">
      <c r="A3113" t="s">
        <v>8707</v>
      </c>
      <c r="B3113" s="8" t="s">
        <v>8708</v>
      </c>
    </row>
    <row r="3114" spans="1:2" x14ac:dyDescent="0.2">
      <c r="A3114" t="s">
        <v>8710</v>
      </c>
      <c r="B3114" s="8" t="s">
        <v>357</v>
      </c>
    </row>
    <row r="3115" spans="1:2" x14ac:dyDescent="0.2">
      <c r="A3115" t="s">
        <v>8712</v>
      </c>
      <c r="B3115" s="8" t="s">
        <v>8713</v>
      </c>
    </row>
    <row r="3116" spans="1:2" x14ac:dyDescent="0.2">
      <c r="A3116" t="s">
        <v>8715</v>
      </c>
      <c r="B3116" s="8" t="s">
        <v>8716</v>
      </c>
    </row>
    <row r="3117" spans="1:2" x14ac:dyDescent="0.2">
      <c r="A3117" t="s">
        <v>8718</v>
      </c>
      <c r="B3117" s="8" t="s">
        <v>8719</v>
      </c>
    </row>
    <row r="3118" spans="1:2" x14ac:dyDescent="0.2">
      <c r="A3118" t="s">
        <v>8721</v>
      </c>
      <c r="B3118" s="8" t="s">
        <v>8722</v>
      </c>
    </row>
    <row r="3119" spans="1:2" x14ac:dyDescent="0.2">
      <c r="A3119" t="s">
        <v>8724</v>
      </c>
      <c r="B3119" s="8" t="s">
        <v>8725</v>
      </c>
    </row>
    <row r="3120" spans="1:2" x14ac:dyDescent="0.2">
      <c r="A3120" t="s">
        <v>8727</v>
      </c>
      <c r="B3120" s="8" t="s">
        <v>8728</v>
      </c>
    </row>
    <row r="3121" spans="1:2" x14ac:dyDescent="0.2">
      <c r="A3121" t="s">
        <v>8729</v>
      </c>
      <c r="B3121" s="8" t="s">
        <v>8730</v>
      </c>
    </row>
    <row r="3122" spans="1:2" x14ac:dyDescent="0.2">
      <c r="A3122" t="s">
        <v>8732</v>
      </c>
      <c r="B3122" s="8" t="s">
        <v>8733</v>
      </c>
    </row>
    <row r="3123" spans="1:2" x14ac:dyDescent="0.2">
      <c r="A3123" t="s">
        <v>8735</v>
      </c>
      <c r="B3123" s="8" t="s">
        <v>8736</v>
      </c>
    </row>
    <row r="3124" spans="1:2" x14ac:dyDescent="0.2">
      <c r="A3124" t="s">
        <v>8738</v>
      </c>
      <c r="B3124" s="8" t="s">
        <v>2050</v>
      </c>
    </row>
    <row r="3125" spans="1:2" x14ac:dyDescent="0.2">
      <c r="A3125" t="s">
        <v>8740</v>
      </c>
      <c r="B3125" s="8" t="s">
        <v>8741</v>
      </c>
    </row>
    <row r="3126" spans="1:2" x14ac:dyDescent="0.2">
      <c r="A3126" t="s">
        <v>8743</v>
      </c>
      <c r="B3126" s="8" t="s">
        <v>8744</v>
      </c>
    </row>
    <row r="3127" spans="1:2" x14ac:dyDescent="0.2">
      <c r="A3127" t="s">
        <v>8746</v>
      </c>
      <c r="B3127" s="8" t="s">
        <v>8747</v>
      </c>
    </row>
    <row r="3128" spans="1:2" x14ac:dyDescent="0.2">
      <c r="A3128" t="s">
        <v>8749</v>
      </c>
      <c r="B3128" s="8" t="s">
        <v>8750</v>
      </c>
    </row>
    <row r="3129" spans="1:2" x14ac:dyDescent="0.2">
      <c r="A3129" t="s">
        <v>8752</v>
      </c>
      <c r="B3129" s="8" t="s">
        <v>8753</v>
      </c>
    </row>
    <row r="3130" spans="1:2" x14ac:dyDescent="0.2">
      <c r="A3130" t="s">
        <v>8755</v>
      </c>
      <c r="B3130" s="8" t="s">
        <v>8756</v>
      </c>
    </row>
    <row r="3131" spans="1:2" x14ac:dyDescent="0.2">
      <c r="A3131" t="s">
        <v>8758</v>
      </c>
      <c r="B3131" s="8" t="s">
        <v>8759</v>
      </c>
    </row>
    <row r="3132" spans="1:2" x14ac:dyDescent="0.2">
      <c r="A3132" t="s">
        <v>8761</v>
      </c>
      <c r="B3132" s="8" t="s">
        <v>8762</v>
      </c>
    </row>
    <row r="3133" spans="1:2" x14ac:dyDescent="0.2">
      <c r="A3133" t="s">
        <v>8764</v>
      </c>
      <c r="B3133" s="8" t="s">
        <v>8765</v>
      </c>
    </row>
    <row r="3134" spans="1:2" x14ac:dyDescent="0.2">
      <c r="A3134" t="s">
        <v>8767</v>
      </c>
      <c r="B3134" s="8" t="s">
        <v>8768</v>
      </c>
    </row>
    <row r="3135" spans="1:2" x14ac:dyDescent="0.2">
      <c r="A3135" t="s">
        <v>8770</v>
      </c>
      <c r="B3135" s="8" t="s">
        <v>8771</v>
      </c>
    </row>
    <row r="3136" spans="1:2" x14ac:dyDescent="0.2">
      <c r="A3136" t="s">
        <v>8773</v>
      </c>
      <c r="B3136" s="8" t="s">
        <v>8774</v>
      </c>
    </row>
    <row r="3137" spans="1:2" x14ac:dyDescent="0.2">
      <c r="A3137" t="s">
        <v>8775</v>
      </c>
      <c r="B3137" s="8" t="s">
        <v>8776</v>
      </c>
    </row>
    <row r="3138" spans="1:2" x14ac:dyDescent="0.2">
      <c r="A3138" t="s">
        <v>8778</v>
      </c>
      <c r="B3138" s="8" t="s">
        <v>8779</v>
      </c>
    </row>
    <row r="3139" spans="1:2" x14ac:dyDescent="0.2">
      <c r="A3139" t="s">
        <v>8781</v>
      </c>
      <c r="B3139" s="8" t="s">
        <v>8782</v>
      </c>
    </row>
    <row r="3140" spans="1:2" x14ac:dyDescent="0.2">
      <c r="A3140" t="s">
        <v>8784</v>
      </c>
      <c r="B3140" s="8" t="s">
        <v>8785</v>
      </c>
    </row>
    <row r="3141" spans="1:2" x14ac:dyDescent="0.2">
      <c r="A3141" t="s">
        <v>8787</v>
      </c>
      <c r="B3141" s="8" t="s">
        <v>8788</v>
      </c>
    </row>
    <row r="3142" spans="1:2" x14ac:dyDescent="0.2">
      <c r="A3142" t="s">
        <v>8790</v>
      </c>
      <c r="B3142" s="8" t="s">
        <v>357</v>
      </c>
    </row>
    <row r="3143" spans="1:2" x14ac:dyDescent="0.2">
      <c r="A3143" t="s">
        <v>8792</v>
      </c>
      <c r="B3143" s="8" t="s">
        <v>8793</v>
      </c>
    </row>
    <row r="3144" spans="1:2" x14ac:dyDescent="0.2">
      <c r="A3144" t="s">
        <v>8795</v>
      </c>
      <c r="B3144" s="8" t="s">
        <v>8796</v>
      </c>
    </row>
    <row r="3145" spans="1:2" x14ac:dyDescent="0.2">
      <c r="A3145" t="s">
        <v>8798</v>
      </c>
      <c r="B3145" s="8" t="s">
        <v>8799</v>
      </c>
    </row>
    <row r="3146" spans="1:2" x14ac:dyDescent="0.2">
      <c r="A3146" t="s">
        <v>8801</v>
      </c>
      <c r="B3146" s="8" t="s">
        <v>8802</v>
      </c>
    </row>
    <row r="3147" spans="1:2" x14ac:dyDescent="0.2">
      <c r="A3147" t="s">
        <v>8804</v>
      </c>
      <c r="B3147" s="8" t="s">
        <v>8805</v>
      </c>
    </row>
    <row r="3148" spans="1:2" x14ac:dyDescent="0.2">
      <c r="A3148" t="s">
        <v>8807</v>
      </c>
      <c r="B3148" s="8" t="s">
        <v>8808</v>
      </c>
    </row>
    <row r="3149" spans="1:2" x14ac:dyDescent="0.2">
      <c r="A3149" t="s">
        <v>8810</v>
      </c>
      <c r="B3149" s="8" t="s">
        <v>8811</v>
      </c>
    </row>
    <row r="3150" spans="1:2" x14ac:dyDescent="0.2">
      <c r="A3150" t="s">
        <v>8813</v>
      </c>
      <c r="B3150" s="8" t="s">
        <v>8811</v>
      </c>
    </row>
    <row r="3151" spans="1:2" x14ac:dyDescent="0.2">
      <c r="A3151" t="s">
        <v>8814</v>
      </c>
      <c r="B3151" s="8" t="s">
        <v>8815</v>
      </c>
    </row>
    <row r="3152" spans="1:2" x14ac:dyDescent="0.2">
      <c r="A3152" t="s">
        <v>8816</v>
      </c>
      <c r="B3152" s="8" t="s">
        <v>8817</v>
      </c>
    </row>
    <row r="3153" spans="1:2" x14ac:dyDescent="0.2">
      <c r="A3153" t="s">
        <v>8819</v>
      </c>
      <c r="B3153" s="8" t="s">
        <v>8820</v>
      </c>
    </row>
    <row r="3154" spans="1:2" x14ac:dyDescent="0.2">
      <c r="A3154" t="s">
        <v>8822</v>
      </c>
      <c r="B3154" s="8" t="s">
        <v>8823</v>
      </c>
    </row>
    <row r="3155" spans="1:2" x14ac:dyDescent="0.2">
      <c r="A3155" t="s">
        <v>8825</v>
      </c>
      <c r="B3155" s="8" t="s">
        <v>8826</v>
      </c>
    </row>
    <row r="3156" spans="1:2" x14ac:dyDescent="0.2">
      <c r="A3156" t="s">
        <v>8828</v>
      </c>
      <c r="B3156" s="8" t="s">
        <v>8829</v>
      </c>
    </row>
    <row r="3157" spans="1:2" x14ac:dyDescent="0.2">
      <c r="A3157" t="s">
        <v>8830</v>
      </c>
      <c r="B3157" s="8" t="s">
        <v>8831</v>
      </c>
    </row>
    <row r="3158" spans="1:2" x14ac:dyDescent="0.2">
      <c r="A3158" t="s">
        <v>8832</v>
      </c>
      <c r="B3158" s="8" t="s">
        <v>8833</v>
      </c>
    </row>
    <row r="3159" spans="1:2" x14ac:dyDescent="0.2">
      <c r="A3159" t="s">
        <v>8834</v>
      </c>
      <c r="B3159" s="8" t="s">
        <v>8835</v>
      </c>
    </row>
    <row r="3160" spans="1:2" x14ac:dyDescent="0.2">
      <c r="A3160" t="s">
        <v>8837</v>
      </c>
      <c r="B3160" s="8" t="s">
        <v>8835</v>
      </c>
    </row>
    <row r="3161" spans="1:2" x14ac:dyDescent="0.2">
      <c r="A3161" t="s">
        <v>8838</v>
      </c>
      <c r="B3161" s="8" t="s">
        <v>8839</v>
      </c>
    </row>
    <row r="3162" spans="1:2" x14ac:dyDescent="0.2">
      <c r="A3162" t="s">
        <v>8841</v>
      </c>
      <c r="B3162" s="8" t="s">
        <v>8842</v>
      </c>
    </row>
    <row r="3163" spans="1:2" x14ac:dyDescent="0.2">
      <c r="A3163" t="s">
        <v>8844</v>
      </c>
      <c r="B3163" s="8" t="s">
        <v>8845</v>
      </c>
    </row>
    <row r="3164" spans="1:2" x14ac:dyDescent="0.2">
      <c r="A3164" t="s">
        <v>8847</v>
      </c>
      <c r="B3164" s="8" t="s">
        <v>8848</v>
      </c>
    </row>
    <row r="3165" spans="1:2" x14ac:dyDescent="0.2">
      <c r="A3165" t="s">
        <v>8850</v>
      </c>
      <c r="B3165" s="8" t="s">
        <v>8848</v>
      </c>
    </row>
    <row r="3166" spans="1:2" x14ac:dyDescent="0.2">
      <c r="A3166" t="s">
        <v>8851</v>
      </c>
      <c r="B3166" s="8" t="s">
        <v>8848</v>
      </c>
    </row>
    <row r="3167" spans="1:2" x14ac:dyDescent="0.2">
      <c r="A3167" t="s">
        <v>8852</v>
      </c>
      <c r="B3167" s="8" t="s">
        <v>8848</v>
      </c>
    </row>
    <row r="3168" spans="1:2" x14ac:dyDescent="0.2">
      <c r="A3168" t="s">
        <v>8853</v>
      </c>
      <c r="B3168" s="8" t="s">
        <v>8854</v>
      </c>
    </row>
    <row r="3169" spans="1:2" x14ac:dyDescent="0.2">
      <c r="A3169" t="s">
        <v>8856</v>
      </c>
      <c r="B3169" s="8" t="s">
        <v>8857</v>
      </c>
    </row>
    <row r="3170" spans="1:2" x14ac:dyDescent="0.2">
      <c r="A3170" t="s">
        <v>8859</v>
      </c>
      <c r="B3170" s="8" t="s">
        <v>8860</v>
      </c>
    </row>
    <row r="3171" spans="1:2" x14ac:dyDescent="0.2">
      <c r="A3171" t="s">
        <v>8862</v>
      </c>
      <c r="B3171" s="8" t="s">
        <v>8863</v>
      </c>
    </row>
    <row r="3172" spans="1:2" x14ac:dyDescent="0.2">
      <c r="A3172" t="s">
        <v>8865</v>
      </c>
      <c r="B3172" s="8" t="s">
        <v>8866</v>
      </c>
    </row>
    <row r="3173" spans="1:2" x14ac:dyDescent="0.2">
      <c r="A3173" t="s">
        <v>8868</v>
      </c>
      <c r="B3173" s="8" t="s">
        <v>8869</v>
      </c>
    </row>
    <row r="3174" spans="1:2" x14ac:dyDescent="0.2">
      <c r="A3174" t="s">
        <v>8871</v>
      </c>
      <c r="B3174" s="8" t="s">
        <v>357</v>
      </c>
    </row>
    <row r="3175" spans="1:2" x14ac:dyDescent="0.2">
      <c r="A3175" t="s">
        <v>8872</v>
      </c>
      <c r="B3175" s="8" t="s">
        <v>8873</v>
      </c>
    </row>
    <row r="3176" spans="1:2" x14ac:dyDescent="0.2">
      <c r="A3176" t="s">
        <v>8875</v>
      </c>
      <c r="B3176" s="8" t="s">
        <v>220</v>
      </c>
    </row>
    <row r="3177" spans="1:2" x14ac:dyDescent="0.2">
      <c r="A3177" t="s">
        <v>8877</v>
      </c>
      <c r="B3177" s="8" t="s">
        <v>8878</v>
      </c>
    </row>
    <row r="3178" spans="1:2" x14ac:dyDescent="0.2">
      <c r="A3178" t="s">
        <v>8880</v>
      </c>
      <c r="B3178" s="8" t="s">
        <v>8881</v>
      </c>
    </row>
    <row r="3179" spans="1:2" x14ac:dyDescent="0.2">
      <c r="A3179" t="s">
        <v>8883</v>
      </c>
      <c r="B3179" s="8" t="s">
        <v>218</v>
      </c>
    </row>
    <row r="3180" spans="1:2" x14ac:dyDescent="0.2">
      <c r="A3180" t="s">
        <v>8884</v>
      </c>
      <c r="B3180" s="8" t="s">
        <v>1864</v>
      </c>
    </row>
    <row r="3181" spans="1:2" x14ac:dyDescent="0.2">
      <c r="A3181" t="s">
        <v>8885</v>
      </c>
      <c r="B3181" s="8" t="s">
        <v>8886</v>
      </c>
    </row>
    <row r="3182" spans="1:2" x14ac:dyDescent="0.2">
      <c r="A3182" t="s">
        <v>8888</v>
      </c>
      <c r="B3182" s="8" t="s">
        <v>357</v>
      </c>
    </row>
    <row r="3183" spans="1:2" x14ac:dyDescent="0.2">
      <c r="A3183" t="s">
        <v>8889</v>
      </c>
      <c r="B3183" s="8" t="s">
        <v>8890</v>
      </c>
    </row>
    <row r="3184" spans="1:2" x14ac:dyDescent="0.2">
      <c r="A3184" t="s">
        <v>8892</v>
      </c>
      <c r="B3184" s="8" t="s">
        <v>8893</v>
      </c>
    </row>
    <row r="3185" spans="1:2" x14ac:dyDescent="0.2">
      <c r="A3185" t="s">
        <v>8895</v>
      </c>
      <c r="B3185" s="8" t="s">
        <v>8896</v>
      </c>
    </row>
    <row r="3186" spans="1:2" x14ac:dyDescent="0.2">
      <c r="A3186" t="s">
        <v>8898</v>
      </c>
      <c r="B3186" s="8" t="s">
        <v>357</v>
      </c>
    </row>
    <row r="3187" spans="1:2" x14ac:dyDescent="0.2">
      <c r="A3187" t="s">
        <v>8900</v>
      </c>
      <c r="B3187" s="8" t="s">
        <v>291</v>
      </c>
    </row>
    <row r="3188" spans="1:2" x14ac:dyDescent="0.2">
      <c r="A3188" t="s">
        <v>8902</v>
      </c>
      <c r="B3188" s="8" t="s">
        <v>319</v>
      </c>
    </row>
    <row r="3189" spans="1:2" x14ac:dyDescent="0.2">
      <c r="A3189" t="s">
        <v>8904</v>
      </c>
      <c r="B3189" s="8" t="s">
        <v>8905</v>
      </c>
    </row>
    <row r="3190" spans="1:2" x14ac:dyDescent="0.2">
      <c r="A3190" t="s">
        <v>8907</v>
      </c>
      <c r="B3190" s="8" t="s">
        <v>8908</v>
      </c>
    </row>
    <row r="3191" spans="1:2" x14ac:dyDescent="0.2">
      <c r="A3191" t="s">
        <v>8910</v>
      </c>
      <c r="B3191" s="8" t="s">
        <v>8911</v>
      </c>
    </row>
    <row r="3192" spans="1:2" x14ac:dyDescent="0.2">
      <c r="A3192" t="s">
        <v>8913</v>
      </c>
      <c r="B3192" s="8" t="s">
        <v>8914</v>
      </c>
    </row>
    <row r="3193" spans="1:2" x14ac:dyDescent="0.2">
      <c r="A3193" t="s">
        <v>8916</v>
      </c>
      <c r="B3193" s="8" t="s">
        <v>8917</v>
      </c>
    </row>
    <row r="3194" spans="1:2" x14ac:dyDescent="0.2">
      <c r="A3194" t="s">
        <v>8919</v>
      </c>
      <c r="B3194" s="8" t="s">
        <v>8920</v>
      </c>
    </row>
    <row r="3195" spans="1:2" x14ac:dyDescent="0.2">
      <c r="A3195" t="s">
        <v>8922</v>
      </c>
      <c r="B3195" s="8" t="s">
        <v>8923</v>
      </c>
    </row>
    <row r="3196" spans="1:2" x14ac:dyDescent="0.2">
      <c r="A3196" t="s">
        <v>8925</v>
      </c>
      <c r="B3196" s="8" t="s">
        <v>8926</v>
      </c>
    </row>
    <row r="3197" spans="1:2" x14ac:dyDescent="0.2">
      <c r="A3197" t="s">
        <v>8928</v>
      </c>
      <c r="B3197" s="8" t="s">
        <v>8929</v>
      </c>
    </row>
    <row r="3198" spans="1:2" x14ac:dyDescent="0.2">
      <c r="A3198" t="s">
        <v>8931</v>
      </c>
      <c r="B3198" s="8" t="s">
        <v>203</v>
      </c>
    </row>
    <row r="3199" spans="1:2" x14ac:dyDescent="0.2">
      <c r="A3199" t="s">
        <v>8932</v>
      </c>
      <c r="B3199" s="8" t="s">
        <v>8933</v>
      </c>
    </row>
    <row r="3200" spans="1:2" x14ac:dyDescent="0.2">
      <c r="A3200" t="s">
        <v>8935</v>
      </c>
      <c r="B3200" s="8" t="s">
        <v>8936</v>
      </c>
    </row>
    <row r="3201" spans="1:2" x14ac:dyDescent="0.2">
      <c r="A3201" t="s">
        <v>8938</v>
      </c>
      <c r="B3201" s="8" t="s">
        <v>357</v>
      </c>
    </row>
    <row r="3202" spans="1:2" x14ac:dyDescent="0.2">
      <c r="A3202" t="s">
        <v>8940</v>
      </c>
      <c r="B3202" s="8" t="s">
        <v>8941</v>
      </c>
    </row>
    <row r="3203" spans="1:2" x14ac:dyDescent="0.2">
      <c r="A3203" t="s">
        <v>8943</v>
      </c>
      <c r="B3203" s="8" t="s">
        <v>8944</v>
      </c>
    </row>
    <row r="3204" spans="1:2" x14ac:dyDescent="0.2">
      <c r="A3204" t="s">
        <v>8946</v>
      </c>
      <c r="B3204" s="8" t="s">
        <v>8947</v>
      </c>
    </row>
    <row r="3205" spans="1:2" x14ac:dyDescent="0.2">
      <c r="A3205" t="s">
        <v>8949</v>
      </c>
      <c r="B3205" s="8" t="s">
        <v>8950</v>
      </c>
    </row>
    <row r="3206" spans="1:2" x14ac:dyDescent="0.2">
      <c r="A3206" t="s">
        <v>8952</v>
      </c>
      <c r="B3206" s="8" t="s">
        <v>8953</v>
      </c>
    </row>
    <row r="3207" spans="1:2" x14ac:dyDescent="0.2">
      <c r="A3207" t="s">
        <v>8955</v>
      </c>
      <c r="B3207" s="8" t="s">
        <v>8956</v>
      </c>
    </row>
    <row r="3208" spans="1:2" x14ac:dyDescent="0.2">
      <c r="A3208" t="s">
        <v>8958</v>
      </c>
      <c r="B3208" s="8" t="s">
        <v>8959</v>
      </c>
    </row>
    <row r="3209" spans="1:2" x14ac:dyDescent="0.2">
      <c r="A3209" t="s">
        <v>8961</v>
      </c>
      <c r="B3209" s="8" t="s">
        <v>8962</v>
      </c>
    </row>
    <row r="3210" spans="1:2" x14ac:dyDescent="0.2">
      <c r="A3210" t="s">
        <v>8964</v>
      </c>
      <c r="B3210" s="8" t="s">
        <v>8965</v>
      </c>
    </row>
    <row r="3211" spans="1:2" x14ac:dyDescent="0.2">
      <c r="A3211" t="s">
        <v>8967</v>
      </c>
      <c r="B3211" s="8" t="s">
        <v>8968</v>
      </c>
    </row>
    <row r="3212" spans="1:2" x14ac:dyDescent="0.2">
      <c r="A3212" t="s">
        <v>8970</v>
      </c>
      <c r="B3212" s="8" t="s">
        <v>8971</v>
      </c>
    </row>
    <row r="3213" spans="1:2" x14ac:dyDescent="0.2">
      <c r="A3213" t="s">
        <v>8973</v>
      </c>
      <c r="B3213" s="8" t="s">
        <v>8974</v>
      </c>
    </row>
    <row r="3214" spans="1:2" x14ac:dyDescent="0.2">
      <c r="A3214" t="s">
        <v>8976</v>
      </c>
      <c r="B3214" s="8" t="s">
        <v>8977</v>
      </c>
    </row>
    <row r="3215" spans="1:2" x14ac:dyDescent="0.2">
      <c r="A3215" t="s">
        <v>8979</v>
      </c>
      <c r="B3215" s="8" t="s">
        <v>8980</v>
      </c>
    </row>
    <row r="3216" spans="1:2" x14ac:dyDescent="0.2">
      <c r="A3216" t="s">
        <v>8982</v>
      </c>
      <c r="B3216" s="8" t="s">
        <v>357</v>
      </c>
    </row>
    <row r="3217" spans="1:2" x14ac:dyDescent="0.2">
      <c r="A3217" t="s">
        <v>8984</v>
      </c>
      <c r="B3217" s="8" t="s">
        <v>8985</v>
      </c>
    </row>
    <row r="3218" spans="1:2" x14ac:dyDescent="0.2">
      <c r="A3218" t="s">
        <v>8987</v>
      </c>
      <c r="B3218" s="8" t="s">
        <v>357</v>
      </c>
    </row>
    <row r="3219" spans="1:2" x14ac:dyDescent="0.2">
      <c r="A3219" t="s">
        <v>8988</v>
      </c>
      <c r="B3219" s="8" t="s">
        <v>8989</v>
      </c>
    </row>
    <row r="3220" spans="1:2" x14ac:dyDescent="0.2">
      <c r="A3220" t="s">
        <v>8990</v>
      </c>
      <c r="B3220" s="8" t="s">
        <v>8991</v>
      </c>
    </row>
    <row r="3221" spans="1:2" x14ac:dyDescent="0.2">
      <c r="A3221" t="s">
        <v>8993</v>
      </c>
      <c r="B3221" s="8" t="s">
        <v>8994</v>
      </c>
    </row>
    <row r="3222" spans="1:2" x14ac:dyDescent="0.2">
      <c r="A3222" t="s">
        <v>8996</v>
      </c>
      <c r="B3222" s="8" t="s">
        <v>8997</v>
      </c>
    </row>
    <row r="3223" spans="1:2" x14ac:dyDescent="0.2">
      <c r="A3223" t="s">
        <v>8999</v>
      </c>
      <c r="B3223" s="8" t="s">
        <v>9000</v>
      </c>
    </row>
    <row r="3224" spans="1:2" x14ac:dyDescent="0.2">
      <c r="A3224" t="s">
        <v>9001</v>
      </c>
      <c r="B3224" s="8" t="s">
        <v>9002</v>
      </c>
    </row>
    <row r="3225" spans="1:2" x14ac:dyDescent="0.2">
      <c r="A3225" t="s">
        <v>9004</v>
      </c>
      <c r="B3225" s="8" t="s">
        <v>9005</v>
      </c>
    </row>
    <row r="3226" spans="1:2" x14ac:dyDescent="0.2">
      <c r="A3226" t="s">
        <v>9007</v>
      </c>
      <c r="B3226" s="8" t="s">
        <v>9008</v>
      </c>
    </row>
    <row r="3227" spans="1:2" x14ac:dyDescent="0.2">
      <c r="A3227" t="s">
        <v>9010</v>
      </c>
      <c r="B3227" s="8" t="s">
        <v>9011</v>
      </c>
    </row>
    <row r="3228" spans="1:2" x14ac:dyDescent="0.2">
      <c r="A3228" t="s">
        <v>9013</v>
      </c>
      <c r="B3228" s="8" t="s">
        <v>357</v>
      </c>
    </row>
    <row r="3229" spans="1:2" x14ac:dyDescent="0.2">
      <c r="A3229" t="s">
        <v>9014</v>
      </c>
      <c r="B3229" s="8" t="s">
        <v>9015</v>
      </c>
    </row>
    <row r="3230" spans="1:2" x14ac:dyDescent="0.2">
      <c r="A3230" t="s">
        <v>9016</v>
      </c>
      <c r="B3230" s="8" t="s">
        <v>9017</v>
      </c>
    </row>
    <row r="3231" spans="1:2" x14ac:dyDescent="0.2">
      <c r="A3231" t="s">
        <v>9019</v>
      </c>
      <c r="B3231" s="8" t="s">
        <v>9020</v>
      </c>
    </row>
    <row r="3232" spans="1:2" x14ac:dyDescent="0.2">
      <c r="A3232" t="s">
        <v>9022</v>
      </c>
      <c r="B3232" s="8" t="s">
        <v>9023</v>
      </c>
    </row>
    <row r="3233" spans="1:2" x14ac:dyDescent="0.2">
      <c r="A3233" t="s">
        <v>9025</v>
      </c>
      <c r="B3233" s="8" t="s">
        <v>9026</v>
      </c>
    </row>
    <row r="3234" spans="1:2" x14ac:dyDescent="0.2">
      <c r="A3234" t="s">
        <v>9028</v>
      </c>
      <c r="B3234" s="8" t="s">
        <v>9029</v>
      </c>
    </row>
    <row r="3235" spans="1:2" x14ac:dyDescent="0.2">
      <c r="A3235" t="s">
        <v>9031</v>
      </c>
      <c r="B3235" s="8" t="s">
        <v>9032</v>
      </c>
    </row>
    <row r="3236" spans="1:2" x14ac:dyDescent="0.2">
      <c r="A3236" t="s">
        <v>9033</v>
      </c>
      <c r="B3236" s="8" t="s">
        <v>9034</v>
      </c>
    </row>
    <row r="3237" spans="1:2" x14ac:dyDescent="0.2">
      <c r="A3237" t="s">
        <v>9036</v>
      </c>
      <c r="B3237" s="8" t="s">
        <v>9037</v>
      </c>
    </row>
    <row r="3238" spans="1:2" x14ac:dyDescent="0.2">
      <c r="A3238" t="s">
        <v>9039</v>
      </c>
      <c r="B3238" s="8" t="s">
        <v>9040</v>
      </c>
    </row>
    <row r="3239" spans="1:2" x14ac:dyDescent="0.2">
      <c r="A3239" t="s">
        <v>9042</v>
      </c>
      <c r="B3239" s="8" t="s">
        <v>9043</v>
      </c>
    </row>
    <row r="3240" spans="1:2" x14ac:dyDescent="0.2">
      <c r="A3240" t="s">
        <v>9045</v>
      </c>
      <c r="B3240" s="8" t="s">
        <v>9046</v>
      </c>
    </row>
    <row r="3241" spans="1:2" x14ac:dyDescent="0.2">
      <c r="A3241" t="s">
        <v>9048</v>
      </c>
      <c r="B3241" s="8" t="s">
        <v>9049</v>
      </c>
    </row>
    <row r="3242" spans="1:2" x14ac:dyDescent="0.2">
      <c r="A3242" t="s">
        <v>9051</v>
      </c>
      <c r="B3242" s="8" t="s">
        <v>9052</v>
      </c>
    </row>
    <row r="3243" spans="1:2" x14ac:dyDescent="0.2">
      <c r="A3243" t="s">
        <v>9054</v>
      </c>
      <c r="B3243" s="8" t="s">
        <v>9055</v>
      </c>
    </row>
    <row r="3244" spans="1:2" x14ac:dyDescent="0.2">
      <c r="A3244" t="s">
        <v>9057</v>
      </c>
      <c r="B3244" s="8" t="s">
        <v>9058</v>
      </c>
    </row>
    <row r="3245" spans="1:2" x14ac:dyDescent="0.2">
      <c r="A3245" t="s">
        <v>9060</v>
      </c>
      <c r="B3245" s="8" t="s">
        <v>9061</v>
      </c>
    </row>
    <row r="3246" spans="1:2" x14ac:dyDescent="0.2">
      <c r="A3246" t="s">
        <v>9063</v>
      </c>
      <c r="B3246" s="8" t="s">
        <v>9064</v>
      </c>
    </row>
    <row r="3247" spans="1:2" x14ac:dyDescent="0.2">
      <c r="A3247" t="s">
        <v>9066</v>
      </c>
      <c r="B3247" s="8" t="s">
        <v>9067</v>
      </c>
    </row>
    <row r="3248" spans="1:2" x14ac:dyDescent="0.2">
      <c r="A3248" t="s">
        <v>9069</v>
      </c>
      <c r="B3248" s="8" t="s">
        <v>9070</v>
      </c>
    </row>
    <row r="3249" spans="1:2" x14ac:dyDescent="0.2">
      <c r="A3249" t="s">
        <v>9072</v>
      </c>
      <c r="B3249" s="8" t="s">
        <v>357</v>
      </c>
    </row>
    <row r="3250" spans="1:2" x14ac:dyDescent="0.2">
      <c r="A3250" t="s">
        <v>9074</v>
      </c>
      <c r="B3250" s="8" t="s">
        <v>9075</v>
      </c>
    </row>
    <row r="3251" spans="1:2" x14ac:dyDescent="0.2">
      <c r="A3251" t="s">
        <v>9077</v>
      </c>
      <c r="B3251" s="8" t="s">
        <v>9078</v>
      </c>
    </row>
    <row r="3252" spans="1:2" x14ac:dyDescent="0.2">
      <c r="A3252" t="s">
        <v>9080</v>
      </c>
      <c r="B3252" s="8" t="s">
        <v>9081</v>
      </c>
    </row>
    <row r="3253" spans="1:2" x14ac:dyDescent="0.2">
      <c r="A3253" t="s">
        <v>9083</v>
      </c>
      <c r="B3253" s="8" t="s">
        <v>9084</v>
      </c>
    </row>
    <row r="3254" spans="1:2" x14ac:dyDescent="0.2">
      <c r="A3254" t="s">
        <v>9086</v>
      </c>
      <c r="B3254" s="8" t="s">
        <v>9087</v>
      </c>
    </row>
    <row r="3255" spans="1:2" x14ac:dyDescent="0.2">
      <c r="A3255" t="s">
        <v>9089</v>
      </c>
      <c r="B3255" s="8" t="s">
        <v>9090</v>
      </c>
    </row>
    <row r="3256" spans="1:2" x14ac:dyDescent="0.2">
      <c r="A3256" t="s">
        <v>9092</v>
      </c>
      <c r="B3256" s="8" t="s">
        <v>9093</v>
      </c>
    </row>
    <row r="3257" spans="1:2" x14ac:dyDescent="0.2">
      <c r="A3257" t="s">
        <v>9095</v>
      </c>
      <c r="B3257" s="8" t="s">
        <v>9096</v>
      </c>
    </row>
    <row r="3258" spans="1:2" x14ac:dyDescent="0.2">
      <c r="A3258" t="s">
        <v>9098</v>
      </c>
      <c r="B3258" s="8" t="s">
        <v>9096</v>
      </c>
    </row>
    <row r="3259" spans="1:2" x14ac:dyDescent="0.2">
      <c r="A3259" t="s">
        <v>9099</v>
      </c>
      <c r="B3259" s="8" t="s">
        <v>9096</v>
      </c>
    </row>
    <row r="3260" spans="1:2" x14ac:dyDescent="0.2">
      <c r="A3260" t="s">
        <v>9100</v>
      </c>
      <c r="B3260" s="8" t="s">
        <v>9096</v>
      </c>
    </row>
    <row r="3261" spans="1:2" x14ac:dyDescent="0.2">
      <c r="A3261" t="s">
        <v>9101</v>
      </c>
      <c r="B3261" s="8" t="s">
        <v>9102</v>
      </c>
    </row>
    <row r="3262" spans="1:2" x14ac:dyDescent="0.2">
      <c r="A3262" t="s">
        <v>9104</v>
      </c>
      <c r="B3262" s="8" t="s">
        <v>9105</v>
      </c>
    </row>
    <row r="3263" spans="1:2" x14ac:dyDescent="0.2">
      <c r="A3263" t="s">
        <v>9107</v>
      </c>
      <c r="B3263" s="8" t="s">
        <v>9108</v>
      </c>
    </row>
    <row r="3264" spans="1:2" x14ac:dyDescent="0.2">
      <c r="A3264" t="s">
        <v>9110</v>
      </c>
      <c r="B3264" s="8" t="s">
        <v>9111</v>
      </c>
    </row>
    <row r="3265" spans="1:2" x14ac:dyDescent="0.2">
      <c r="A3265" t="s">
        <v>9113</v>
      </c>
      <c r="B3265" s="8" t="s">
        <v>357</v>
      </c>
    </row>
    <row r="3266" spans="1:2" x14ac:dyDescent="0.2">
      <c r="A3266" t="s">
        <v>9115</v>
      </c>
      <c r="B3266" s="8" t="s">
        <v>9116</v>
      </c>
    </row>
    <row r="3267" spans="1:2" x14ac:dyDescent="0.2">
      <c r="A3267" t="s">
        <v>9118</v>
      </c>
      <c r="B3267" s="8" t="s">
        <v>9119</v>
      </c>
    </row>
    <row r="3268" spans="1:2" x14ac:dyDescent="0.2">
      <c r="A3268" t="s">
        <v>9120</v>
      </c>
      <c r="B3268" s="8" t="s">
        <v>9121</v>
      </c>
    </row>
    <row r="3269" spans="1:2" x14ac:dyDescent="0.2">
      <c r="A3269" t="s">
        <v>9123</v>
      </c>
      <c r="B3269" s="8" t="s">
        <v>9124</v>
      </c>
    </row>
    <row r="3270" spans="1:2" x14ac:dyDescent="0.2">
      <c r="A3270" t="s">
        <v>9126</v>
      </c>
      <c r="B3270" s="8" t="s">
        <v>9127</v>
      </c>
    </row>
    <row r="3271" spans="1:2" x14ac:dyDescent="0.2">
      <c r="A3271" t="s">
        <v>9129</v>
      </c>
      <c r="B3271" s="8" t="s">
        <v>9130</v>
      </c>
    </row>
    <row r="3272" spans="1:2" x14ac:dyDescent="0.2">
      <c r="A3272" t="s">
        <v>9132</v>
      </c>
      <c r="B3272" s="8" t="s">
        <v>9133</v>
      </c>
    </row>
    <row r="3273" spans="1:2" x14ac:dyDescent="0.2">
      <c r="A3273" t="s">
        <v>9135</v>
      </c>
      <c r="B3273" s="8" t="s">
        <v>9136</v>
      </c>
    </row>
    <row r="3274" spans="1:2" x14ac:dyDescent="0.2">
      <c r="A3274" t="s">
        <v>9138</v>
      </c>
      <c r="B3274" s="8" t="s">
        <v>9139</v>
      </c>
    </row>
    <row r="3275" spans="1:2" x14ac:dyDescent="0.2">
      <c r="A3275" t="s">
        <v>9141</v>
      </c>
      <c r="B3275" s="8" t="s">
        <v>9142</v>
      </c>
    </row>
    <row r="3276" spans="1:2" x14ac:dyDescent="0.2">
      <c r="A3276" t="s">
        <v>9144</v>
      </c>
      <c r="B3276" s="8" t="s">
        <v>9145</v>
      </c>
    </row>
    <row r="3277" spans="1:2" x14ac:dyDescent="0.2">
      <c r="A3277" t="s">
        <v>9147</v>
      </c>
      <c r="B3277" s="8" t="s">
        <v>9148</v>
      </c>
    </row>
    <row r="3278" spans="1:2" x14ac:dyDescent="0.2">
      <c r="A3278" t="s">
        <v>9150</v>
      </c>
      <c r="B3278" s="8" t="s">
        <v>9151</v>
      </c>
    </row>
    <row r="3279" spans="1:2" x14ac:dyDescent="0.2">
      <c r="A3279" t="s">
        <v>9153</v>
      </c>
      <c r="B3279" s="8" t="s">
        <v>9154</v>
      </c>
    </row>
    <row r="3280" spans="1:2" x14ac:dyDescent="0.2">
      <c r="A3280" t="s">
        <v>9155</v>
      </c>
      <c r="B3280" s="8" t="s">
        <v>9154</v>
      </c>
    </row>
    <row r="3281" spans="1:2" x14ac:dyDescent="0.2">
      <c r="A3281" t="s">
        <v>9156</v>
      </c>
      <c r="B3281" s="8" t="s">
        <v>9157</v>
      </c>
    </row>
    <row r="3282" spans="1:2" x14ac:dyDescent="0.2">
      <c r="A3282" t="s">
        <v>9159</v>
      </c>
      <c r="B3282" s="8" t="s">
        <v>357</v>
      </c>
    </row>
    <row r="3283" spans="1:2" x14ac:dyDescent="0.2">
      <c r="A3283" t="s">
        <v>9160</v>
      </c>
      <c r="B3283" s="8" t="s">
        <v>9161</v>
      </c>
    </row>
    <row r="3284" spans="1:2" x14ac:dyDescent="0.2">
      <c r="A3284" t="s">
        <v>9163</v>
      </c>
      <c r="B3284" s="8" t="s">
        <v>9164</v>
      </c>
    </row>
    <row r="3285" spans="1:2" x14ac:dyDescent="0.2">
      <c r="A3285" t="s">
        <v>9165</v>
      </c>
      <c r="B3285" s="8" t="s">
        <v>9166</v>
      </c>
    </row>
    <row r="3286" spans="1:2" x14ac:dyDescent="0.2">
      <c r="A3286" t="s">
        <v>9168</v>
      </c>
      <c r="B3286" s="8" t="s">
        <v>9169</v>
      </c>
    </row>
    <row r="3287" spans="1:2" x14ac:dyDescent="0.2">
      <c r="A3287" t="s">
        <v>9170</v>
      </c>
      <c r="B3287" s="8" t="s">
        <v>9171</v>
      </c>
    </row>
    <row r="3288" spans="1:2" x14ac:dyDescent="0.2">
      <c r="A3288" t="s">
        <v>9173</v>
      </c>
      <c r="B3288" s="8" t="s">
        <v>9174</v>
      </c>
    </row>
    <row r="3289" spans="1:2" x14ac:dyDescent="0.2">
      <c r="A3289" t="s">
        <v>9176</v>
      </c>
      <c r="B3289" s="8" t="s">
        <v>9177</v>
      </c>
    </row>
    <row r="3290" spans="1:2" x14ac:dyDescent="0.2">
      <c r="A3290" t="s">
        <v>9179</v>
      </c>
      <c r="B3290" s="8" t="s">
        <v>9180</v>
      </c>
    </row>
    <row r="3291" spans="1:2" x14ac:dyDescent="0.2">
      <c r="A3291" t="s">
        <v>9182</v>
      </c>
      <c r="B3291" s="8" t="s">
        <v>9183</v>
      </c>
    </row>
    <row r="3292" spans="1:2" x14ac:dyDescent="0.2">
      <c r="A3292" t="s">
        <v>9185</v>
      </c>
      <c r="B3292" s="8" t="s">
        <v>9186</v>
      </c>
    </row>
    <row r="3293" spans="1:2" x14ac:dyDescent="0.2">
      <c r="A3293" t="s">
        <v>9188</v>
      </c>
      <c r="B3293" s="8" t="s">
        <v>357</v>
      </c>
    </row>
    <row r="3294" spans="1:2" x14ac:dyDescent="0.2">
      <c r="A3294" t="s">
        <v>9190</v>
      </c>
      <c r="B3294" s="8" t="s">
        <v>9191</v>
      </c>
    </row>
    <row r="3295" spans="1:2" x14ac:dyDescent="0.2">
      <c r="A3295" t="s">
        <v>9193</v>
      </c>
      <c r="B3295" s="8" t="s">
        <v>9194</v>
      </c>
    </row>
    <row r="3296" spans="1:2" x14ac:dyDescent="0.2">
      <c r="A3296" t="s">
        <v>9196</v>
      </c>
      <c r="B3296" s="8" t="s">
        <v>9197</v>
      </c>
    </row>
    <row r="3297" spans="1:2" x14ac:dyDescent="0.2">
      <c r="A3297" t="s">
        <v>9199</v>
      </c>
      <c r="B3297" s="8" t="s">
        <v>9200</v>
      </c>
    </row>
    <row r="3298" spans="1:2" x14ac:dyDescent="0.2">
      <c r="A3298" t="s">
        <v>9202</v>
      </c>
      <c r="B3298" s="8" t="s">
        <v>9203</v>
      </c>
    </row>
    <row r="3299" spans="1:2" x14ac:dyDescent="0.2">
      <c r="A3299" t="s">
        <v>9205</v>
      </c>
      <c r="B3299" s="8" t="s">
        <v>9203</v>
      </c>
    </row>
    <row r="3300" spans="1:2" x14ac:dyDescent="0.2">
      <c r="A3300" t="s">
        <v>9206</v>
      </c>
      <c r="B3300" s="8" t="s">
        <v>9203</v>
      </c>
    </row>
    <row r="3301" spans="1:2" x14ac:dyDescent="0.2">
      <c r="A3301" t="s">
        <v>9207</v>
      </c>
      <c r="B3301" s="8" t="s">
        <v>9203</v>
      </c>
    </row>
    <row r="3302" spans="1:2" x14ac:dyDescent="0.2">
      <c r="A3302" t="s">
        <v>9208</v>
      </c>
      <c r="B3302" s="8" t="s">
        <v>9203</v>
      </c>
    </row>
    <row r="3303" spans="1:2" x14ac:dyDescent="0.2">
      <c r="A3303" t="s">
        <v>9209</v>
      </c>
      <c r="B3303" s="8" t="s">
        <v>9203</v>
      </c>
    </row>
    <row r="3304" spans="1:2" x14ac:dyDescent="0.2">
      <c r="A3304" t="s">
        <v>9210</v>
      </c>
      <c r="B3304" s="8" t="s">
        <v>9211</v>
      </c>
    </row>
    <row r="3305" spans="1:2" x14ac:dyDescent="0.2">
      <c r="A3305" t="s">
        <v>9213</v>
      </c>
      <c r="B3305" s="8" t="s">
        <v>9214</v>
      </c>
    </row>
    <row r="3306" spans="1:2" x14ac:dyDescent="0.2">
      <c r="A3306" t="s">
        <v>9216</v>
      </c>
      <c r="B3306" s="8" t="s">
        <v>9217</v>
      </c>
    </row>
    <row r="3307" spans="1:2" x14ac:dyDescent="0.2">
      <c r="A3307" t="s">
        <v>9219</v>
      </c>
      <c r="B3307" s="8" t="s">
        <v>9220</v>
      </c>
    </row>
    <row r="3308" spans="1:2" x14ac:dyDescent="0.2">
      <c r="A3308" t="s">
        <v>9222</v>
      </c>
      <c r="B3308" s="8" t="s">
        <v>9223</v>
      </c>
    </row>
    <row r="3309" spans="1:2" x14ac:dyDescent="0.2">
      <c r="A3309" t="s">
        <v>9225</v>
      </c>
      <c r="B3309" s="8" t="s">
        <v>9226</v>
      </c>
    </row>
    <row r="3310" spans="1:2" x14ac:dyDescent="0.2">
      <c r="A3310" t="s">
        <v>9228</v>
      </c>
      <c r="B3310" s="8" t="s">
        <v>9229</v>
      </c>
    </row>
    <row r="3311" spans="1:2" x14ac:dyDescent="0.2">
      <c r="A3311" t="s">
        <v>9230</v>
      </c>
      <c r="B3311" s="8" t="s">
        <v>252</v>
      </c>
    </row>
    <row r="3312" spans="1:2" x14ac:dyDescent="0.2">
      <c r="A3312" t="s">
        <v>9232</v>
      </c>
      <c r="B3312" s="8" t="s">
        <v>9233</v>
      </c>
    </row>
    <row r="3313" spans="1:2" x14ac:dyDescent="0.2">
      <c r="A3313" t="s">
        <v>9235</v>
      </c>
      <c r="B3313" s="8" t="s">
        <v>9236</v>
      </c>
    </row>
    <row r="3314" spans="1:2" x14ac:dyDescent="0.2">
      <c r="A3314" t="s">
        <v>9238</v>
      </c>
      <c r="B3314" s="8" t="s">
        <v>9239</v>
      </c>
    </row>
    <row r="3315" spans="1:2" x14ac:dyDescent="0.2">
      <c r="A3315" t="s">
        <v>9240</v>
      </c>
      <c r="B3315" s="8" t="s">
        <v>9241</v>
      </c>
    </row>
    <row r="3316" spans="1:2" x14ac:dyDescent="0.2">
      <c r="A3316" t="s">
        <v>9243</v>
      </c>
      <c r="B3316" s="8" t="s">
        <v>9244</v>
      </c>
    </row>
    <row r="3317" spans="1:2" x14ac:dyDescent="0.2">
      <c r="A3317" t="s">
        <v>9246</v>
      </c>
      <c r="B3317" s="8" t="s">
        <v>9247</v>
      </c>
    </row>
    <row r="3318" spans="1:2" x14ac:dyDescent="0.2">
      <c r="A3318" t="s">
        <v>9249</v>
      </c>
      <c r="B3318" s="8" t="s">
        <v>9250</v>
      </c>
    </row>
    <row r="3319" spans="1:2" x14ac:dyDescent="0.2">
      <c r="A3319" t="s">
        <v>9252</v>
      </c>
      <c r="B3319" s="8" t="s">
        <v>315</v>
      </c>
    </row>
    <row r="3320" spans="1:2" x14ac:dyDescent="0.2">
      <c r="A3320" t="s">
        <v>9254</v>
      </c>
      <c r="B3320" s="8" t="s">
        <v>9255</v>
      </c>
    </row>
    <row r="3321" spans="1:2" x14ac:dyDescent="0.2">
      <c r="A3321" t="s">
        <v>9257</v>
      </c>
      <c r="B3321" s="8" t="s">
        <v>9258</v>
      </c>
    </row>
    <row r="3322" spans="1:2" x14ac:dyDescent="0.2">
      <c r="A3322" t="s">
        <v>9260</v>
      </c>
      <c r="B3322" s="8" t="s">
        <v>9261</v>
      </c>
    </row>
    <row r="3323" spans="1:2" x14ac:dyDescent="0.2">
      <c r="A3323" t="s">
        <v>9263</v>
      </c>
      <c r="B3323" s="8" t="s">
        <v>9264</v>
      </c>
    </row>
    <row r="3324" spans="1:2" x14ac:dyDescent="0.2">
      <c r="A3324" t="s">
        <v>9266</v>
      </c>
      <c r="B3324" s="8" t="s">
        <v>9267</v>
      </c>
    </row>
    <row r="3325" spans="1:2" x14ac:dyDescent="0.2">
      <c r="A3325" t="s">
        <v>9269</v>
      </c>
      <c r="B3325" s="8" t="s">
        <v>9270</v>
      </c>
    </row>
    <row r="3326" spans="1:2" x14ac:dyDescent="0.2">
      <c r="A3326" t="s">
        <v>9272</v>
      </c>
      <c r="B3326" s="8" t="s">
        <v>357</v>
      </c>
    </row>
    <row r="3327" spans="1:2" x14ac:dyDescent="0.2">
      <c r="A3327" t="s">
        <v>9273</v>
      </c>
      <c r="B3327" s="8" t="s">
        <v>9274</v>
      </c>
    </row>
    <row r="3328" spans="1:2" x14ac:dyDescent="0.2">
      <c r="A3328" t="s">
        <v>9276</v>
      </c>
      <c r="B3328" s="8" t="s">
        <v>9277</v>
      </c>
    </row>
    <row r="3329" spans="1:2" x14ac:dyDescent="0.2">
      <c r="A3329" t="s">
        <v>9279</v>
      </c>
      <c r="B3329" s="8" t="s">
        <v>9280</v>
      </c>
    </row>
    <row r="3330" spans="1:2" x14ac:dyDescent="0.2">
      <c r="A3330" t="s">
        <v>9282</v>
      </c>
      <c r="B3330" s="8" t="s">
        <v>9283</v>
      </c>
    </row>
    <row r="3331" spans="1:2" x14ac:dyDescent="0.2">
      <c r="A3331" t="s">
        <v>9285</v>
      </c>
      <c r="B3331" s="8" t="s">
        <v>9286</v>
      </c>
    </row>
    <row r="3332" spans="1:2" x14ac:dyDescent="0.2">
      <c r="A3332" t="s">
        <v>9288</v>
      </c>
      <c r="B3332" s="8" t="s">
        <v>9289</v>
      </c>
    </row>
    <row r="3333" spans="1:2" x14ac:dyDescent="0.2">
      <c r="A3333" t="s">
        <v>9291</v>
      </c>
      <c r="B3333" s="8" t="s">
        <v>9292</v>
      </c>
    </row>
    <row r="3334" spans="1:2" x14ac:dyDescent="0.2">
      <c r="A3334" t="s">
        <v>9294</v>
      </c>
      <c r="B3334" s="8" t="s">
        <v>9295</v>
      </c>
    </row>
    <row r="3335" spans="1:2" x14ac:dyDescent="0.2">
      <c r="A3335" t="s">
        <v>9297</v>
      </c>
      <c r="B3335" s="8" t="s">
        <v>9298</v>
      </c>
    </row>
    <row r="3336" spans="1:2" x14ac:dyDescent="0.2">
      <c r="A3336" t="s">
        <v>9300</v>
      </c>
      <c r="B3336" s="8" t="s">
        <v>9301</v>
      </c>
    </row>
    <row r="3337" spans="1:2" x14ac:dyDescent="0.2">
      <c r="A3337" t="s">
        <v>9303</v>
      </c>
      <c r="B3337" s="8" t="s">
        <v>9304</v>
      </c>
    </row>
    <row r="3338" spans="1:2" x14ac:dyDescent="0.2">
      <c r="A3338" t="s">
        <v>9306</v>
      </c>
      <c r="B3338" s="8" t="s">
        <v>9307</v>
      </c>
    </row>
    <row r="3339" spans="1:2" x14ac:dyDescent="0.2">
      <c r="A3339" t="s">
        <v>9309</v>
      </c>
      <c r="B3339" s="8" t="s">
        <v>357</v>
      </c>
    </row>
    <row r="3340" spans="1:2" x14ac:dyDescent="0.2">
      <c r="A3340" t="s">
        <v>9310</v>
      </c>
      <c r="B3340" s="8" t="s">
        <v>357</v>
      </c>
    </row>
    <row r="3341" spans="1:2" x14ac:dyDescent="0.2">
      <c r="A3341" t="s">
        <v>9311</v>
      </c>
      <c r="B3341" s="8" t="s">
        <v>9312</v>
      </c>
    </row>
    <row r="3342" spans="1:2" x14ac:dyDescent="0.2">
      <c r="A3342" t="s">
        <v>9314</v>
      </c>
      <c r="B3342" s="8" t="s">
        <v>9315</v>
      </c>
    </row>
    <row r="3343" spans="1:2" x14ac:dyDescent="0.2">
      <c r="A3343" t="s">
        <v>9317</v>
      </c>
      <c r="B3343" s="8" t="s">
        <v>9318</v>
      </c>
    </row>
    <row r="3344" spans="1:2" x14ac:dyDescent="0.2">
      <c r="A3344" t="s">
        <v>9320</v>
      </c>
      <c r="B3344" s="8" t="s">
        <v>9321</v>
      </c>
    </row>
    <row r="3345" spans="1:2" x14ac:dyDescent="0.2">
      <c r="A3345" t="s">
        <v>9323</v>
      </c>
      <c r="B3345" s="8" t="s">
        <v>9324</v>
      </c>
    </row>
    <row r="3346" spans="1:2" x14ac:dyDescent="0.2">
      <c r="A3346" t="s">
        <v>9326</v>
      </c>
      <c r="B3346" s="8" t="s">
        <v>9327</v>
      </c>
    </row>
    <row r="3347" spans="1:2" x14ac:dyDescent="0.2">
      <c r="A3347" t="s">
        <v>9329</v>
      </c>
      <c r="B3347" s="8" t="s">
        <v>9330</v>
      </c>
    </row>
    <row r="3348" spans="1:2" x14ac:dyDescent="0.2">
      <c r="A3348" t="s">
        <v>9332</v>
      </c>
      <c r="B3348" s="8" t="s">
        <v>9333</v>
      </c>
    </row>
    <row r="3349" spans="1:2" x14ac:dyDescent="0.2">
      <c r="A3349" t="s">
        <v>9334</v>
      </c>
      <c r="B3349" s="8" t="s">
        <v>9335</v>
      </c>
    </row>
    <row r="3350" spans="1:2" x14ac:dyDescent="0.2">
      <c r="A3350" t="s">
        <v>9337</v>
      </c>
      <c r="B3350" s="8" t="s">
        <v>9338</v>
      </c>
    </row>
    <row r="3351" spans="1:2" x14ac:dyDescent="0.2">
      <c r="A3351" t="s">
        <v>9340</v>
      </c>
      <c r="B3351" s="8" t="s">
        <v>9341</v>
      </c>
    </row>
    <row r="3352" spans="1:2" x14ac:dyDescent="0.2">
      <c r="A3352" t="s">
        <v>9343</v>
      </c>
      <c r="B3352" s="8" t="s">
        <v>9344</v>
      </c>
    </row>
    <row r="3353" spans="1:2" x14ac:dyDescent="0.2">
      <c r="A3353" t="s">
        <v>9346</v>
      </c>
      <c r="B3353" s="8" t="s">
        <v>9347</v>
      </c>
    </row>
    <row r="3354" spans="1:2" x14ac:dyDescent="0.2">
      <c r="A3354" t="s">
        <v>9349</v>
      </c>
      <c r="B3354" s="8" t="s">
        <v>9350</v>
      </c>
    </row>
    <row r="3355" spans="1:2" x14ac:dyDescent="0.2">
      <c r="A3355" t="s">
        <v>9352</v>
      </c>
      <c r="B3355" s="8" t="s">
        <v>9353</v>
      </c>
    </row>
    <row r="3356" spans="1:2" x14ac:dyDescent="0.2">
      <c r="A3356" t="s">
        <v>9355</v>
      </c>
      <c r="B3356" s="8" t="s">
        <v>9356</v>
      </c>
    </row>
    <row r="3357" spans="1:2" x14ac:dyDescent="0.2">
      <c r="A3357" t="s">
        <v>9358</v>
      </c>
      <c r="B3357" s="8" t="s">
        <v>9359</v>
      </c>
    </row>
    <row r="3358" spans="1:2" x14ac:dyDescent="0.2">
      <c r="A3358" t="s">
        <v>9361</v>
      </c>
      <c r="B3358" s="8" t="s">
        <v>9362</v>
      </c>
    </row>
    <row r="3359" spans="1:2" x14ac:dyDescent="0.2">
      <c r="A3359" t="s">
        <v>9364</v>
      </c>
      <c r="B3359" s="8" t="s">
        <v>9365</v>
      </c>
    </row>
    <row r="3360" spans="1:2" x14ac:dyDescent="0.2">
      <c r="A3360" t="s">
        <v>9367</v>
      </c>
      <c r="B3360" s="8" t="s">
        <v>208</v>
      </c>
    </row>
    <row r="3361" spans="1:2" x14ac:dyDescent="0.2">
      <c r="A3361" t="s">
        <v>9369</v>
      </c>
      <c r="B3361" s="8" t="s">
        <v>9370</v>
      </c>
    </row>
    <row r="3362" spans="1:2" x14ac:dyDescent="0.2">
      <c r="A3362" t="s">
        <v>9372</v>
      </c>
      <c r="B3362" s="8" t="s">
        <v>357</v>
      </c>
    </row>
    <row r="3363" spans="1:2" x14ac:dyDescent="0.2">
      <c r="A3363" t="s">
        <v>9373</v>
      </c>
      <c r="B3363" s="8" t="s">
        <v>9374</v>
      </c>
    </row>
    <row r="3364" spans="1:2" x14ac:dyDescent="0.2">
      <c r="A3364" t="s">
        <v>9376</v>
      </c>
      <c r="B3364" s="8" t="s">
        <v>9377</v>
      </c>
    </row>
    <row r="3365" spans="1:2" x14ac:dyDescent="0.2">
      <c r="A3365" t="s">
        <v>9379</v>
      </c>
      <c r="B3365" s="8" t="s">
        <v>9380</v>
      </c>
    </row>
    <row r="3366" spans="1:2" x14ac:dyDescent="0.2">
      <c r="A3366" t="s">
        <v>9382</v>
      </c>
      <c r="B3366" s="8" t="s">
        <v>9383</v>
      </c>
    </row>
    <row r="3367" spans="1:2" x14ac:dyDescent="0.2">
      <c r="A3367" t="s">
        <v>9385</v>
      </c>
      <c r="B3367" s="8" t="s">
        <v>9386</v>
      </c>
    </row>
    <row r="3368" spans="1:2" x14ac:dyDescent="0.2">
      <c r="A3368" t="s">
        <v>9388</v>
      </c>
      <c r="B3368" s="8" t="s">
        <v>9389</v>
      </c>
    </row>
    <row r="3369" spans="1:2" x14ac:dyDescent="0.2">
      <c r="A3369" t="s">
        <v>9391</v>
      </c>
      <c r="B3369" s="8" t="s">
        <v>9392</v>
      </c>
    </row>
    <row r="3370" spans="1:2" x14ac:dyDescent="0.2">
      <c r="A3370" t="s">
        <v>9394</v>
      </c>
      <c r="B3370" s="8" t="s">
        <v>9395</v>
      </c>
    </row>
    <row r="3371" spans="1:2" x14ac:dyDescent="0.2">
      <c r="A3371" t="s">
        <v>9397</v>
      </c>
      <c r="B3371" s="8" t="s">
        <v>9398</v>
      </c>
    </row>
    <row r="3372" spans="1:2" x14ac:dyDescent="0.2">
      <c r="A3372" t="s">
        <v>9400</v>
      </c>
      <c r="B3372" s="8" t="s">
        <v>357</v>
      </c>
    </row>
    <row r="3373" spans="1:2" x14ac:dyDescent="0.2">
      <c r="A3373" t="s">
        <v>9402</v>
      </c>
      <c r="B3373" s="8" t="s">
        <v>9403</v>
      </c>
    </row>
    <row r="3374" spans="1:2" x14ac:dyDescent="0.2">
      <c r="A3374" t="s">
        <v>9405</v>
      </c>
      <c r="B3374" s="8" t="s">
        <v>9406</v>
      </c>
    </row>
    <row r="3375" spans="1:2" x14ac:dyDescent="0.2">
      <c r="A3375" t="s">
        <v>9408</v>
      </c>
      <c r="B3375" s="8" t="s">
        <v>9409</v>
      </c>
    </row>
    <row r="3376" spans="1:2" x14ac:dyDescent="0.2">
      <c r="A3376" t="s">
        <v>9411</v>
      </c>
      <c r="B3376" s="8" t="s">
        <v>9412</v>
      </c>
    </row>
    <row r="3377" spans="1:2" x14ac:dyDescent="0.2">
      <c r="A3377" t="s">
        <v>9414</v>
      </c>
      <c r="B3377" s="8" t="s">
        <v>9415</v>
      </c>
    </row>
    <row r="3378" spans="1:2" x14ac:dyDescent="0.2">
      <c r="A3378" t="s">
        <v>9417</v>
      </c>
      <c r="B3378" s="8" t="s">
        <v>9418</v>
      </c>
    </row>
    <row r="3379" spans="1:2" x14ac:dyDescent="0.2">
      <c r="A3379" t="s">
        <v>9420</v>
      </c>
      <c r="B3379" s="8" t="s">
        <v>9421</v>
      </c>
    </row>
    <row r="3380" spans="1:2" x14ac:dyDescent="0.2">
      <c r="A3380" t="s">
        <v>9423</v>
      </c>
      <c r="B3380" s="8" t="s">
        <v>9424</v>
      </c>
    </row>
    <row r="3381" spans="1:2" x14ac:dyDescent="0.2">
      <c r="A3381" t="s">
        <v>9426</v>
      </c>
      <c r="B3381" s="8" t="s">
        <v>9427</v>
      </c>
    </row>
    <row r="3386" spans="1:2" x14ac:dyDescent="0.2">
      <c r="B3386"/>
    </row>
    <row r="3387" spans="1:2" x14ac:dyDescent="0.2">
      <c r="B3387"/>
    </row>
    <row r="3388" spans="1:2" x14ac:dyDescent="0.2">
      <c r="B3388"/>
    </row>
    <row r="3389" spans="1:2" x14ac:dyDescent="0.2">
      <c r="B3389"/>
    </row>
    <row r="3390" spans="1:2" x14ac:dyDescent="0.2">
      <c r="B3390"/>
    </row>
    <row r="3391" spans="1:2" x14ac:dyDescent="0.2">
      <c r="B3391"/>
    </row>
    <row r="3392" spans="1:2" x14ac:dyDescent="0.2">
      <c r="B3392"/>
    </row>
    <row r="3393" spans="2:2" x14ac:dyDescent="0.2">
      <c r="B3393"/>
    </row>
    <row r="3394" spans="2:2" x14ac:dyDescent="0.2">
      <c r="B3394"/>
    </row>
    <row r="3395" spans="2:2" x14ac:dyDescent="0.2">
      <c r="B3395"/>
    </row>
    <row r="3396" spans="2:2" x14ac:dyDescent="0.2">
      <c r="B3396"/>
    </row>
    <row r="3397" spans="2:2" x14ac:dyDescent="0.2">
      <c r="B3397"/>
    </row>
    <row r="3398" spans="2:2" x14ac:dyDescent="0.2">
      <c r="B3398"/>
    </row>
    <row r="3399" spans="2:2" x14ac:dyDescent="0.2">
      <c r="B3399"/>
    </row>
    <row r="3400" spans="2:2" x14ac:dyDescent="0.2">
      <c r="B3400"/>
    </row>
    <row r="3401" spans="2:2" x14ac:dyDescent="0.2">
      <c r="B3401"/>
    </row>
    <row r="3402" spans="2:2" x14ac:dyDescent="0.2">
      <c r="B3402"/>
    </row>
    <row r="3403" spans="2:2" x14ac:dyDescent="0.2">
      <c r="B3403"/>
    </row>
    <row r="3404" spans="2:2" x14ac:dyDescent="0.2">
      <c r="B3404"/>
    </row>
    <row r="3405" spans="2:2" x14ac:dyDescent="0.2">
      <c r="B3405"/>
    </row>
    <row r="3406" spans="2:2" x14ac:dyDescent="0.2">
      <c r="B3406"/>
    </row>
    <row r="3407" spans="2:2" x14ac:dyDescent="0.2">
      <c r="B3407"/>
    </row>
    <row r="3408" spans="2:2" x14ac:dyDescent="0.2">
      <c r="B3408"/>
    </row>
    <row r="3409" spans="2:2" x14ac:dyDescent="0.2">
      <c r="B3409"/>
    </row>
    <row r="3410" spans="2:2" x14ac:dyDescent="0.2">
      <c r="B3410"/>
    </row>
    <row r="3411" spans="2:2" x14ac:dyDescent="0.2">
      <c r="B3411"/>
    </row>
    <row r="3412" spans="2:2" x14ac:dyDescent="0.2">
      <c r="B3412"/>
    </row>
    <row r="3413" spans="2:2" x14ac:dyDescent="0.2">
      <c r="B3413"/>
    </row>
    <row r="3414" spans="2:2" x14ac:dyDescent="0.2">
      <c r="B3414"/>
    </row>
    <row r="3415" spans="2:2" x14ac:dyDescent="0.2">
      <c r="B3415"/>
    </row>
    <row r="3416" spans="2:2" x14ac:dyDescent="0.2">
      <c r="B3416"/>
    </row>
    <row r="3417" spans="2:2" x14ac:dyDescent="0.2">
      <c r="B3417"/>
    </row>
    <row r="3418" spans="2:2" x14ac:dyDescent="0.2">
      <c r="B3418"/>
    </row>
    <row r="3419" spans="2:2" x14ac:dyDescent="0.2">
      <c r="B3419"/>
    </row>
    <row r="3420" spans="2:2" x14ac:dyDescent="0.2">
      <c r="B3420"/>
    </row>
    <row r="3421" spans="2:2" x14ac:dyDescent="0.2">
      <c r="B3421"/>
    </row>
    <row r="3422" spans="2:2" x14ac:dyDescent="0.2">
      <c r="B3422"/>
    </row>
    <row r="3423" spans="2:2" x14ac:dyDescent="0.2">
      <c r="B3423"/>
    </row>
    <row r="3424" spans="2:2" x14ac:dyDescent="0.2">
      <c r="B3424"/>
    </row>
    <row r="3425" spans="2:2" x14ac:dyDescent="0.2">
      <c r="B3425"/>
    </row>
    <row r="3426" spans="2:2" x14ac:dyDescent="0.2">
      <c r="B3426"/>
    </row>
    <row r="3427" spans="2:2" x14ac:dyDescent="0.2">
      <c r="B3427"/>
    </row>
    <row r="3428" spans="2:2" x14ac:dyDescent="0.2">
      <c r="B3428"/>
    </row>
    <row r="3429" spans="2:2" x14ac:dyDescent="0.2">
      <c r="B3429"/>
    </row>
    <row r="3430" spans="2:2" x14ac:dyDescent="0.2">
      <c r="B3430"/>
    </row>
    <row r="3431" spans="2:2" x14ac:dyDescent="0.2">
      <c r="B3431"/>
    </row>
    <row r="3432" spans="2:2" x14ac:dyDescent="0.2">
      <c r="B3432"/>
    </row>
    <row r="3433" spans="2:2" x14ac:dyDescent="0.2">
      <c r="B3433"/>
    </row>
    <row r="3434" spans="2:2" x14ac:dyDescent="0.2">
      <c r="B3434"/>
    </row>
    <row r="3435" spans="2:2" x14ac:dyDescent="0.2">
      <c r="B3435"/>
    </row>
    <row r="3436" spans="2:2" x14ac:dyDescent="0.2">
      <c r="B3436"/>
    </row>
    <row r="3437" spans="2:2" x14ac:dyDescent="0.2">
      <c r="B3437"/>
    </row>
    <row r="3438" spans="2:2" x14ac:dyDescent="0.2">
      <c r="B3438"/>
    </row>
    <row r="3439" spans="2:2" x14ac:dyDescent="0.2">
      <c r="B3439"/>
    </row>
    <row r="3440" spans="2:2" x14ac:dyDescent="0.2">
      <c r="B3440"/>
    </row>
    <row r="3441" spans="2:2" x14ac:dyDescent="0.2">
      <c r="B3441"/>
    </row>
    <row r="3442" spans="2:2" x14ac:dyDescent="0.2">
      <c r="B3442"/>
    </row>
    <row r="3443" spans="2:2" x14ac:dyDescent="0.2">
      <c r="B3443"/>
    </row>
    <row r="3444" spans="2:2" x14ac:dyDescent="0.2">
      <c r="B3444"/>
    </row>
    <row r="3445" spans="2:2" x14ac:dyDescent="0.2">
      <c r="B3445"/>
    </row>
    <row r="3446" spans="2:2" x14ac:dyDescent="0.2">
      <c r="B3446"/>
    </row>
    <row r="3447" spans="2:2" x14ac:dyDescent="0.2">
      <c r="B3447"/>
    </row>
    <row r="3448" spans="2:2" x14ac:dyDescent="0.2">
      <c r="B3448"/>
    </row>
    <row r="3449" spans="2:2" x14ac:dyDescent="0.2">
      <c r="B3449"/>
    </row>
    <row r="3450" spans="2:2" x14ac:dyDescent="0.2">
      <c r="B3450"/>
    </row>
    <row r="3451" spans="2:2" x14ac:dyDescent="0.2">
      <c r="B3451"/>
    </row>
    <row r="3452" spans="2:2" x14ac:dyDescent="0.2">
      <c r="B3452"/>
    </row>
    <row r="3453" spans="2:2" x14ac:dyDescent="0.2">
      <c r="B3453"/>
    </row>
    <row r="3454" spans="2:2" x14ac:dyDescent="0.2">
      <c r="B3454"/>
    </row>
    <row r="3455" spans="2:2" x14ac:dyDescent="0.2">
      <c r="B3455"/>
    </row>
    <row r="3456" spans="2:2" x14ac:dyDescent="0.2">
      <c r="B3456"/>
    </row>
    <row r="3457" spans="2:2" x14ac:dyDescent="0.2">
      <c r="B3457"/>
    </row>
    <row r="3458" spans="2:2" x14ac:dyDescent="0.2">
      <c r="B3458"/>
    </row>
    <row r="3459" spans="2:2" x14ac:dyDescent="0.2">
      <c r="B3459"/>
    </row>
    <row r="3460" spans="2:2" x14ac:dyDescent="0.2">
      <c r="B3460"/>
    </row>
    <row r="3461" spans="2:2" x14ac:dyDescent="0.2">
      <c r="B3461"/>
    </row>
    <row r="3462" spans="2:2" x14ac:dyDescent="0.2">
      <c r="B3462"/>
    </row>
    <row r="3463" spans="2:2" x14ac:dyDescent="0.2">
      <c r="B3463"/>
    </row>
    <row r="3464" spans="2:2" x14ac:dyDescent="0.2">
      <c r="B3464"/>
    </row>
    <row r="3465" spans="2:2" x14ac:dyDescent="0.2">
      <c r="B3465"/>
    </row>
    <row r="3466" spans="2:2" x14ac:dyDescent="0.2">
      <c r="B3466"/>
    </row>
    <row r="3467" spans="2:2" x14ac:dyDescent="0.2">
      <c r="B3467"/>
    </row>
    <row r="3468" spans="2:2" x14ac:dyDescent="0.2">
      <c r="B3468"/>
    </row>
    <row r="3469" spans="2:2" x14ac:dyDescent="0.2">
      <c r="B3469"/>
    </row>
    <row r="3470" spans="2:2" x14ac:dyDescent="0.2">
      <c r="B3470"/>
    </row>
    <row r="3471" spans="2:2" x14ac:dyDescent="0.2">
      <c r="B3471"/>
    </row>
    <row r="3472" spans="2:2" x14ac:dyDescent="0.2">
      <c r="B3472"/>
    </row>
    <row r="3473" spans="2:2" x14ac:dyDescent="0.2">
      <c r="B3473"/>
    </row>
    <row r="3474" spans="2:2" x14ac:dyDescent="0.2">
      <c r="B3474"/>
    </row>
    <row r="3475" spans="2:2" x14ac:dyDescent="0.2">
      <c r="B3475"/>
    </row>
    <row r="3476" spans="2:2" x14ac:dyDescent="0.2">
      <c r="B3476"/>
    </row>
    <row r="3477" spans="2:2" x14ac:dyDescent="0.2">
      <c r="B3477"/>
    </row>
    <row r="3478" spans="2:2" x14ac:dyDescent="0.2">
      <c r="B3478"/>
    </row>
    <row r="3479" spans="2:2" x14ac:dyDescent="0.2">
      <c r="B3479"/>
    </row>
    <row r="3480" spans="2:2" x14ac:dyDescent="0.2">
      <c r="B3480"/>
    </row>
    <row r="3481" spans="2:2" x14ac:dyDescent="0.2">
      <c r="B3481"/>
    </row>
    <row r="3482" spans="2:2" x14ac:dyDescent="0.2">
      <c r="B3482"/>
    </row>
    <row r="3483" spans="2:2" x14ac:dyDescent="0.2">
      <c r="B3483"/>
    </row>
    <row r="3484" spans="2:2" x14ac:dyDescent="0.2">
      <c r="B3484"/>
    </row>
    <row r="3485" spans="2:2" x14ac:dyDescent="0.2">
      <c r="B3485"/>
    </row>
    <row r="3486" spans="2:2" x14ac:dyDescent="0.2">
      <c r="B3486"/>
    </row>
    <row r="3487" spans="2:2" x14ac:dyDescent="0.2">
      <c r="B3487"/>
    </row>
    <row r="3488" spans="2:2" x14ac:dyDescent="0.2">
      <c r="B3488"/>
    </row>
    <row r="3489" spans="2:2" x14ac:dyDescent="0.2">
      <c r="B3489"/>
    </row>
    <row r="3490" spans="2:2" x14ac:dyDescent="0.2">
      <c r="B3490"/>
    </row>
    <row r="3491" spans="2:2" x14ac:dyDescent="0.2">
      <c r="B3491"/>
    </row>
    <row r="3492" spans="2:2" x14ac:dyDescent="0.2">
      <c r="B3492"/>
    </row>
    <row r="3493" spans="2:2" x14ac:dyDescent="0.2">
      <c r="B3493"/>
    </row>
    <row r="3494" spans="2:2" x14ac:dyDescent="0.2">
      <c r="B3494"/>
    </row>
    <row r="3495" spans="2:2" x14ac:dyDescent="0.2">
      <c r="B3495"/>
    </row>
    <row r="3496" spans="2:2" x14ac:dyDescent="0.2">
      <c r="B3496"/>
    </row>
    <row r="3497" spans="2:2" x14ac:dyDescent="0.2">
      <c r="B3497"/>
    </row>
    <row r="3498" spans="2:2" x14ac:dyDescent="0.2">
      <c r="B3498"/>
    </row>
    <row r="3499" spans="2:2" x14ac:dyDescent="0.2">
      <c r="B3499"/>
    </row>
    <row r="3500" spans="2:2" x14ac:dyDescent="0.2">
      <c r="B3500"/>
    </row>
    <row r="3501" spans="2:2" x14ac:dyDescent="0.2">
      <c r="B3501"/>
    </row>
    <row r="3502" spans="2:2" x14ac:dyDescent="0.2">
      <c r="B3502"/>
    </row>
    <row r="3503" spans="2:2" x14ac:dyDescent="0.2">
      <c r="B3503"/>
    </row>
    <row r="3504" spans="2:2" x14ac:dyDescent="0.2">
      <c r="B3504"/>
    </row>
    <row r="3505" spans="2:2" x14ac:dyDescent="0.2">
      <c r="B3505"/>
    </row>
    <row r="3506" spans="2:2" x14ac:dyDescent="0.2">
      <c r="B3506"/>
    </row>
    <row r="3507" spans="2:2" x14ac:dyDescent="0.2">
      <c r="B3507"/>
    </row>
    <row r="3508" spans="2:2" x14ac:dyDescent="0.2">
      <c r="B3508"/>
    </row>
    <row r="3509" spans="2:2" x14ac:dyDescent="0.2">
      <c r="B3509"/>
    </row>
    <row r="3510" spans="2:2" x14ac:dyDescent="0.2">
      <c r="B3510"/>
    </row>
    <row r="3511" spans="2:2" x14ac:dyDescent="0.2">
      <c r="B3511"/>
    </row>
    <row r="3512" spans="2:2" x14ac:dyDescent="0.2">
      <c r="B3512"/>
    </row>
    <row r="3513" spans="2:2" x14ac:dyDescent="0.2">
      <c r="B3513"/>
    </row>
    <row r="3514" spans="2:2" x14ac:dyDescent="0.2">
      <c r="B3514"/>
    </row>
    <row r="3515" spans="2:2" x14ac:dyDescent="0.2">
      <c r="B3515"/>
    </row>
    <row r="3516" spans="2:2" x14ac:dyDescent="0.2">
      <c r="B3516"/>
    </row>
    <row r="3517" spans="2:2" x14ac:dyDescent="0.2">
      <c r="B3517"/>
    </row>
    <row r="3518" spans="2:2" x14ac:dyDescent="0.2">
      <c r="B3518"/>
    </row>
    <row r="3519" spans="2:2" x14ac:dyDescent="0.2">
      <c r="B3519"/>
    </row>
    <row r="3520" spans="2:2" x14ac:dyDescent="0.2">
      <c r="B3520"/>
    </row>
    <row r="3521" spans="2:2" x14ac:dyDescent="0.2">
      <c r="B3521"/>
    </row>
    <row r="3522" spans="2:2" x14ac:dyDescent="0.2">
      <c r="B3522"/>
    </row>
    <row r="3523" spans="2:2" x14ac:dyDescent="0.2">
      <c r="B3523"/>
    </row>
    <row r="3524" spans="2:2" x14ac:dyDescent="0.2">
      <c r="B3524"/>
    </row>
    <row r="3525" spans="2:2" x14ac:dyDescent="0.2">
      <c r="B3525"/>
    </row>
    <row r="3526" spans="2:2" x14ac:dyDescent="0.2">
      <c r="B3526"/>
    </row>
    <row r="3527" spans="2:2" x14ac:dyDescent="0.2">
      <c r="B3527"/>
    </row>
    <row r="3528" spans="2:2" x14ac:dyDescent="0.2">
      <c r="B3528"/>
    </row>
    <row r="3529" spans="2:2" x14ac:dyDescent="0.2">
      <c r="B3529"/>
    </row>
    <row r="3530" spans="2:2" x14ac:dyDescent="0.2">
      <c r="B3530"/>
    </row>
    <row r="3531" spans="2:2" x14ac:dyDescent="0.2">
      <c r="B3531"/>
    </row>
    <row r="3532" spans="2:2" x14ac:dyDescent="0.2">
      <c r="B3532"/>
    </row>
    <row r="3533" spans="2:2" x14ac:dyDescent="0.2">
      <c r="B3533"/>
    </row>
    <row r="3534" spans="2:2" x14ac:dyDescent="0.2">
      <c r="B3534"/>
    </row>
    <row r="3535" spans="2:2" x14ac:dyDescent="0.2">
      <c r="B3535"/>
    </row>
    <row r="3536" spans="2:2" x14ac:dyDescent="0.2">
      <c r="B3536"/>
    </row>
    <row r="3537" spans="2:2" x14ac:dyDescent="0.2">
      <c r="B3537"/>
    </row>
    <row r="3538" spans="2:2" x14ac:dyDescent="0.2">
      <c r="B3538"/>
    </row>
    <row r="3539" spans="2:2" x14ac:dyDescent="0.2">
      <c r="B3539"/>
    </row>
    <row r="3540" spans="2:2" x14ac:dyDescent="0.2">
      <c r="B3540"/>
    </row>
    <row r="3541" spans="2:2" x14ac:dyDescent="0.2">
      <c r="B3541"/>
    </row>
    <row r="3542" spans="2:2" x14ac:dyDescent="0.2">
      <c r="B3542"/>
    </row>
    <row r="3543" spans="2:2" x14ac:dyDescent="0.2">
      <c r="B3543"/>
    </row>
    <row r="3544" spans="2:2" x14ac:dyDescent="0.2">
      <c r="B3544"/>
    </row>
    <row r="3545" spans="2:2" x14ac:dyDescent="0.2">
      <c r="B3545"/>
    </row>
    <row r="3546" spans="2:2" x14ac:dyDescent="0.2">
      <c r="B3546"/>
    </row>
    <row r="3547" spans="2:2" x14ac:dyDescent="0.2">
      <c r="B3547"/>
    </row>
    <row r="3548" spans="2:2" x14ac:dyDescent="0.2">
      <c r="B3548"/>
    </row>
    <row r="3549" spans="2:2" x14ac:dyDescent="0.2">
      <c r="B3549"/>
    </row>
    <row r="3550" spans="2:2" x14ac:dyDescent="0.2">
      <c r="B3550"/>
    </row>
    <row r="3551" spans="2:2" x14ac:dyDescent="0.2">
      <c r="B3551"/>
    </row>
    <row r="3552" spans="2:2" x14ac:dyDescent="0.2">
      <c r="B3552"/>
    </row>
    <row r="3553" spans="2:2" x14ac:dyDescent="0.2">
      <c r="B3553"/>
    </row>
    <row r="3554" spans="2:2" x14ac:dyDescent="0.2">
      <c r="B3554"/>
    </row>
    <row r="3555" spans="2:2" x14ac:dyDescent="0.2">
      <c r="B3555"/>
    </row>
    <row r="3556" spans="2:2" x14ac:dyDescent="0.2">
      <c r="B3556"/>
    </row>
    <row r="3557" spans="2:2" x14ac:dyDescent="0.2">
      <c r="B3557"/>
    </row>
    <row r="3558" spans="2:2" x14ac:dyDescent="0.2">
      <c r="B3558"/>
    </row>
    <row r="3559" spans="2:2" x14ac:dyDescent="0.2">
      <c r="B3559"/>
    </row>
    <row r="3560" spans="2:2" x14ac:dyDescent="0.2">
      <c r="B3560"/>
    </row>
    <row r="3561" spans="2:2" x14ac:dyDescent="0.2">
      <c r="B3561"/>
    </row>
    <row r="3562" spans="2:2" x14ac:dyDescent="0.2">
      <c r="B3562"/>
    </row>
    <row r="3563" spans="2:2" x14ac:dyDescent="0.2">
      <c r="B3563"/>
    </row>
    <row r="3564" spans="2:2" x14ac:dyDescent="0.2">
      <c r="B3564"/>
    </row>
    <row r="3565" spans="2:2" x14ac:dyDescent="0.2">
      <c r="B3565"/>
    </row>
    <row r="3566" spans="2:2" x14ac:dyDescent="0.2">
      <c r="B3566"/>
    </row>
    <row r="3567" spans="2:2" x14ac:dyDescent="0.2">
      <c r="B3567"/>
    </row>
    <row r="3568" spans="2:2" x14ac:dyDescent="0.2">
      <c r="B3568"/>
    </row>
    <row r="3569" spans="2:2" x14ac:dyDescent="0.2">
      <c r="B3569"/>
    </row>
    <row r="3570" spans="2:2" x14ac:dyDescent="0.2">
      <c r="B3570"/>
    </row>
    <row r="3571" spans="2:2" x14ac:dyDescent="0.2">
      <c r="B3571"/>
    </row>
    <row r="3572" spans="2:2" x14ac:dyDescent="0.2">
      <c r="B3572"/>
    </row>
    <row r="3573" spans="2:2" x14ac:dyDescent="0.2">
      <c r="B3573"/>
    </row>
    <row r="3574" spans="2:2" x14ac:dyDescent="0.2">
      <c r="B3574"/>
    </row>
    <row r="3575" spans="2:2" x14ac:dyDescent="0.2">
      <c r="B3575"/>
    </row>
    <row r="3576" spans="2:2" x14ac:dyDescent="0.2">
      <c r="B3576"/>
    </row>
    <row r="3577" spans="2:2" x14ac:dyDescent="0.2">
      <c r="B3577"/>
    </row>
    <row r="3578" spans="2:2" x14ac:dyDescent="0.2">
      <c r="B3578"/>
    </row>
    <row r="3579" spans="2:2" x14ac:dyDescent="0.2">
      <c r="B3579"/>
    </row>
    <row r="3580" spans="2:2" x14ac:dyDescent="0.2">
      <c r="B3580"/>
    </row>
    <row r="3581" spans="2:2" x14ac:dyDescent="0.2">
      <c r="B3581"/>
    </row>
    <row r="3582" spans="2:2" x14ac:dyDescent="0.2">
      <c r="B3582"/>
    </row>
    <row r="3583" spans="2:2" x14ac:dyDescent="0.2">
      <c r="B3583"/>
    </row>
    <row r="3584" spans="2:2" x14ac:dyDescent="0.2">
      <c r="B3584"/>
    </row>
    <row r="3585" spans="2:2" x14ac:dyDescent="0.2">
      <c r="B3585"/>
    </row>
    <row r="3586" spans="2:2" x14ac:dyDescent="0.2">
      <c r="B3586"/>
    </row>
    <row r="3587" spans="2:2" x14ac:dyDescent="0.2">
      <c r="B3587"/>
    </row>
    <row r="3588" spans="2:2" x14ac:dyDescent="0.2">
      <c r="B3588"/>
    </row>
    <row r="3589" spans="2:2" x14ac:dyDescent="0.2">
      <c r="B3589"/>
    </row>
    <row r="3590" spans="2:2" x14ac:dyDescent="0.2">
      <c r="B3590"/>
    </row>
    <row r="3591" spans="2:2" x14ac:dyDescent="0.2">
      <c r="B3591"/>
    </row>
    <row r="3592" spans="2:2" x14ac:dyDescent="0.2">
      <c r="B3592"/>
    </row>
    <row r="3593" spans="2:2" x14ac:dyDescent="0.2">
      <c r="B3593"/>
    </row>
    <row r="3594" spans="2:2" x14ac:dyDescent="0.2">
      <c r="B3594"/>
    </row>
    <row r="3595" spans="2:2" x14ac:dyDescent="0.2">
      <c r="B3595"/>
    </row>
    <row r="3596" spans="2:2" x14ac:dyDescent="0.2">
      <c r="B3596"/>
    </row>
    <row r="3597" spans="2:2" x14ac:dyDescent="0.2">
      <c r="B3597"/>
    </row>
    <row r="3598" spans="2:2" x14ac:dyDescent="0.2">
      <c r="B3598"/>
    </row>
    <row r="3599" spans="2:2" x14ac:dyDescent="0.2">
      <c r="B3599"/>
    </row>
    <row r="3600" spans="2:2" x14ac:dyDescent="0.2">
      <c r="B3600"/>
    </row>
    <row r="3601" spans="2:2" x14ac:dyDescent="0.2">
      <c r="B3601"/>
    </row>
    <row r="3602" spans="2:2" x14ac:dyDescent="0.2">
      <c r="B3602"/>
    </row>
    <row r="3603" spans="2:2" x14ac:dyDescent="0.2">
      <c r="B3603"/>
    </row>
    <row r="3604" spans="2:2" x14ac:dyDescent="0.2">
      <c r="B3604"/>
    </row>
    <row r="3605" spans="2:2" x14ac:dyDescent="0.2">
      <c r="B3605"/>
    </row>
    <row r="3606" spans="2:2" x14ac:dyDescent="0.2">
      <c r="B3606"/>
    </row>
    <row r="3607" spans="2:2" x14ac:dyDescent="0.2">
      <c r="B3607"/>
    </row>
    <row r="3608" spans="2:2" x14ac:dyDescent="0.2">
      <c r="B3608"/>
    </row>
    <row r="3609" spans="2:2" x14ac:dyDescent="0.2">
      <c r="B3609"/>
    </row>
    <row r="3610" spans="2:2" x14ac:dyDescent="0.2">
      <c r="B3610"/>
    </row>
    <row r="3611" spans="2:2" x14ac:dyDescent="0.2">
      <c r="B3611"/>
    </row>
    <row r="3612" spans="2:2" x14ac:dyDescent="0.2">
      <c r="B3612"/>
    </row>
    <row r="3613" spans="2:2" x14ac:dyDescent="0.2">
      <c r="B3613"/>
    </row>
    <row r="3614" spans="2:2" x14ac:dyDescent="0.2">
      <c r="B3614"/>
    </row>
    <row r="3615" spans="2:2" x14ac:dyDescent="0.2">
      <c r="B3615"/>
    </row>
    <row r="3616" spans="2:2" x14ac:dyDescent="0.2">
      <c r="B3616"/>
    </row>
    <row r="3617" spans="2:2" x14ac:dyDescent="0.2">
      <c r="B3617"/>
    </row>
    <row r="3618" spans="2:2" x14ac:dyDescent="0.2">
      <c r="B3618"/>
    </row>
    <row r="3619" spans="2:2" x14ac:dyDescent="0.2">
      <c r="B3619"/>
    </row>
    <row r="3620" spans="2:2" x14ac:dyDescent="0.2">
      <c r="B3620"/>
    </row>
    <row r="3621" spans="2:2" x14ac:dyDescent="0.2">
      <c r="B3621"/>
    </row>
    <row r="3622" spans="2:2" x14ac:dyDescent="0.2">
      <c r="B3622"/>
    </row>
    <row r="3623" spans="2:2" x14ac:dyDescent="0.2">
      <c r="B3623"/>
    </row>
    <row r="3624" spans="2:2" x14ac:dyDescent="0.2">
      <c r="B3624"/>
    </row>
    <row r="3625" spans="2:2" x14ac:dyDescent="0.2">
      <c r="B3625"/>
    </row>
    <row r="3626" spans="2:2" x14ac:dyDescent="0.2">
      <c r="B3626"/>
    </row>
    <row r="3627" spans="2:2" x14ac:dyDescent="0.2">
      <c r="B3627"/>
    </row>
    <row r="3628" spans="2:2" x14ac:dyDescent="0.2">
      <c r="B3628"/>
    </row>
    <row r="3629" spans="2:2" x14ac:dyDescent="0.2">
      <c r="B3629"/>
    </row>
    <row r="3630" spans="2:2" x14ac:dyDescent="0.2">
      <c r="B3630"/>
    </row>
    <row r="3631" spans="2:2" x14ac:dyDescent="0.2">
      <c r="B3631"/>
    </row>
    <row r="3632" spans="2:2" x14ac:dyDescent="0.2">
      <c r="B3632"/>
    </row>
    <row r="3633" spans="2:2" x14ac:dyDescent="0.2">
      <c r="B3633"/>
    </row>
    <row r="3634" spans="2:2" x14ac:dyDescent="0.2">
      <c r="B3634"/>
    </row>
    <row r="3635" spans="2:2" x14ac:dyDescent="0.2">
      <c r="B3635"/>
    </row>
    <row r="3636" spans="2:2" x14ac:dyDescent="0.2">
      <c r="B3636"/>
    </row>
    <row r="3637" spans="2:2" x14ac:dyDescent="0.2">
      <c r="B3637"/>
    </row>
    <row r="3638" spans="2:2" x14ac:dyDescent="0.2">
      <c r="B3638"/>
    </row>
    <row r="3639" spans="2:2" x14ac:dyDescent="0.2">
      <c r="B3639"/>
    </row>
    <row r="3640" spans="2:2" x14ac:dyDescent="0.2">
      <c r="B3640"/>
    </row>
    <row r="3641" spans="2:2" x14ac:dyDescent="0.2">
      <c r="B3641"/>
    </row>
    <row r="3642" spans="2:2" x14ac:dyDescent="0.2">
      <c r="B3642"/>
    </row>
    <row r="3643" spans="2:2" x14ac:dyDescent="0.2">
      <c r="B3643"/>
    </row>
    <row r="3644" spans="2:2" x14ac:dyDescent="0.2">
      <c r="B3644"/>
    </row>
    <row r="3645" spans="2:2" x14ac:dyDescent="0.2">
      <c r="B3645"/>
    </row>
    <row r="3646" spans="2:2" x14ac:dyDescent="0.2">
      <c r="B3646"/>
    </row>
    <row r="3647" spans="2:2" x14ac:dyDescent="0.2">
      <c r="B3647"/>
    </row>
    <row r="3648" spans="2:2" x14ac:dyDescent="0.2">
      <c r="B3648"/>
    </row>
    <row r="3649" spans="2:2" x14ac:dyDescent="0.2">
      <c r="B3649"/>
    </row>
    <row r="3650" spans="2:2" x14ac:dyDescent="0.2">
      <c r="B3650"/>
    </row>
    <row r="3651" spans="2:2" x14ac:dyDescent="0.2">
      <c r="B3651"/>
    </row>
    <row r="3652" spans="2:2" x14ac:dyDescent="0.2">
      <c r="B3652"/>
    </row>
    <row r="3653" spans="2:2" x14ac:dyDescent="0.2">
      <c r="B3653"/>
    </row>
    <row r="3654" spans="2:2" x14ac:dyDescent="0.2">
      <c r="B3654"/>
    </row>
    <row r="3655" spans="2:2" x14ac:dyDescent="0.2">
      <c r="B3655"/>
    </row>
    <row r="3656" spans="2:2" x14ac:dyDescent="0.2">
      <c r="B3656"/>
    </row>
    <row r="3657" spans="2:2" x14ac:dyDescent="0.2">
      <c r="B3657"/>
    </row>
    <row r="3658" spans="2:2" x14ac:dyDescent="0.2">
      <c r="B3658"/>
    </row>
    <row r="3659" spans="2:2" x14ac:dyDescent="0.2">
      <c r="B3659"/>
    </row>
    <row r="3660" spans="2:2" x14ac:dyDescent="0.2">
      <c r="B3660"/>
    </row>
    <row r="3661" spans="2:2" x14ac:dyDescent="0.2">
      <c r="B3661"/>
    </row>
    <row r="3662" spans="2:2" x14ac:dyDescent="0.2">
      <c r="B3662"/>
    </row>
    <row r="3663" spans="2:2" x14ac:dyDescent="0.2">
      <c r="B3663"/>
    </row>
    <row r="3664" spans="2:2" x14ac:dyDescent="0.2">
      <c r="B3664"/>
    </row>
    <row r="3665" spans="2:2" x14ac:dyDescent="0.2">
      <c r="B3665"/>
    </row>
    <row r="3666" spans="2:2" x14ac:dyDescent="0.2">
      <c r="B3666"/>
    </row>
    <row r="3667" spans="2:2" x14ac:dyDescent="0.2">
      <c r="B3667"/>
    </row>
    <row r="3668" spans="2:2" x14ac:dyDescent="0.2">
      <c r="B3668"/>
    </row>
    <row r="3669" spans="2:2" x14ac:dyDescent="0.2">
      <c r="B3669"/>
    </row>
    <row r="3670" spans="2:2" x14ac:dyDescent="0.2">
      <c r="B3670"/>
    </row>
    <row r="3671" spans="2:2" x14ac:dyDescent="0.2">
      <c r="B3671"/>
    </row>
    <row r="3672" spans="2:2" x14ac:dyDescent="0.2">
      <c r="B3672"/>
    </row>
    <row r="3673" spans="2:2" x14ac:dyDescent="0.2">
      <c r="B3673"/>
    </row>
    <row r="3674" spans="2:2" x14ac:dyDescent="0.2">
      <c r="B3674"/>
    </row>
    <row r="3675" spans="2:2" x14ac:dyDescent="0.2">
      <c r="B3675"/>
    </row>
    <row r="3676" spans="2:2" x14ac:dyDescent="0.2">
      <c r="B3676"/>
    </row>
    <row r="3677" spans="2:2" x14ac:dyDescent="0.2">
      <c r="B3677"/>
    </row>
    <row r="3678" spans="2:2" x14ac:dyDescent="0.2">
      <c r="B3678"/>
    </row>
    <row r="3679" spans="2:2" x14ac:dyDescent="0.2">
      <c r="B3679"/>
    </row>
    <row r="3680" spans="2:2" x14ac:dyDescent="0.2">
      <c r="B3680"/>
    </row>
    <row r="3681" spans="2:2" x14ac:dyDescent="0.2">
      <c r="B3681"/>
    </row>
    <row r="3682" spans="2:2" x14ac:dyDescent="0.2">
      <c r="B3682"/>
    </row>
    <row r="3683" spans="2:2" x14ac:dyDescent="0.2">
      <c r="B3683"/>
    </row>
    <row r="3684" spans="2:2" x14ac:dyDescent="0.2">
      <c r="B3684"/>
    </row>
    <row r="3685" spans="2:2" x14ac:dyDescent="0.2">
      <c r="B3685"/>
    </row>
    <row r="3686" spans="2:2" x14ac:dyDescent="0.2">
      <c r="B3686"/>
    </row>
    <row r="3687" spans="2:2" x14ac:dyDescent="0.2">
      <c r="B3687"/>
    </row>
    <row r="3688" spans="2:2" x14ac:dyDescent="0.2">
      <c r="B3688"/>
    </row>
    <row r="3689" spans="2:2" x14ac:dyDescent="0.2">
      <c r="B3689"/>
    </row>
    <row r="3690" spans="2:2" x14ac:dyDescent="0.2">
      <c r="B3690"/>
    </row>
    <row r="3691" spans="2:2" x14ac:dyDescent="0.2">
      <c r="B3691"/>
    </row>
    <row r="3692" spans="2:2" x14ac:dyDescent="0.2">
      <c r="B3692"/>
    </row>
    <row r="3693" spans="2:2" x14ac:dyDescent="0.2">
      <c r="B3693"/>
    </row>
    <row r="3694" spans="2:2" x14ac:dyDescent="0.2">
      <c r="B3694"/>
    </row>
    <row r="3695" spans="2:2" x14ac:dyDescent="0.2">
      <c r="B3695"/>
    </row>
    <row r="3696" spans="2:2" x14ac:dyDescent="0.2">
      <c r="B3696"/>
    </row>
    <row r="3697" spans="2:2" x14ac:dyDescent="0.2">
      <c r="B3697"/>
    </row>
    <row r="3698" spans="2:2" x14ac:dyDescent="0.2">
      <c r="B3698"/>
    </row>
    <row r="3699" spans="2:2" x14ac:dyDescent="0.2">
      <c r="B3699"/>
    </row>
    <row r="3700" spans="2:2" x14ac:dyDescent="0.2">
      <c r="B3700"/>
    </row>
    <row r="3701" spans="2:2" x14ac:dyDescent="0.2">
      <c r="B3701"/>
    </row>
    <row r="3702" spans="2:2" x14ac:dyDescent="0.2">
      <c r="B3702"/>
    </row>
    <row r="3703" spans="2:2" x14ac:dyDescent="0.2">
      <c r="B3703"/>
    </row>
    <row r="3704" spans="2:2" x14ac:dyDescent="0.2">
      <c r="B3704"/>
    </row>
    <row r="3705" spans="2:2" x14ac:dyDescent="0.2">
      <c r="B3705"/>
    </row>
    <row r="3706" spans="2:2" x14ac:dyDescent="0.2">
      <c r="B3706"/>
    </row>
    <row r="3707" spans="2:2" x14ac:dyDescent="0.2">
      <c r="B3707"/>
    </row>
    <row r="3708" spans="2:2" x14ac:dyDescent="0.2">
      <c r="B3708"/>
    </row>
    <row r="3709" spans="2:2" x14ac:dyDescent="0.2">
      <c r="B3709"/>
    </row>
    <row r="3710" spans="2:2" x14ac:dyDescent="0.2">
      <c r="B3710"/>
    </row>
    <row r="3711" spans="2:2" x14ac:dyDescent="0.2">
      <c r="B3711"/>
    </row>
    <row r="3712" spans="2:2" x14ac:dyDescent="0.2">
      <c r="B3712"/>
    </row>
    <row r="3713" spans="2:2" x14ac:dyDescent="0.2">
      <c r="B3713"/>
    </row>
    <row r="3714" spans="2:2" x14ac:dyDescent="0.2">
      <c r="B3714"/>
    </row>
    <row r="3715" spans="2:2" x14ac:dyDescent="0.2">
      <c r="B3715"/>
    </row>
    <row r="3716" spans="2:2" x14ac:dyDescent="0.2">
      <c r="B3716"/>
    </row>
    <row r="3717" spans="2:2" x14ac:dyDescent="0.2">
      <c r="B3717"/>
    </row>
    <row r="3718" spans="2:2" x14ac:dyDescent="0.2">
      <c r="B3718"/>
    </row>
    <row r="3719" spans="2:2" x14ac:dyDescent="0.2">
      <c r="B3719"/>
    </row>
    <row r="3720" spans="2:2" x14ac:dyDescent="0.2">
      <c r="B3720"/>
    </row>
    <row r="3721" spans="2:2" x14ac:dyDescent="0.2">
      <c r="B3721"/>
    </row>
    <row r="3722" spans="2:2" x14ac:dyDescent="0.2">
      <c r="B3722"/>
    </row>
    <row r="3723" spans="2:2" x14ac:dyDescent="0.2">
      <c r="B3723"/>
    </row>
    <row r="3724" spans="2:2" x14ac:dyDescent="0.2">
      <c r="B3724"/>
    </row>
    <row r="3725" spans="2:2" x14ac:dyDescent="0.2">
      <c r="B3725"/>
    </row>
    <row r="3726" spans="2:2" x14ac:dyDescent="0.2">
      <c r="B3726"/>
    </row>
    <row r="3727" spans="2:2" x14ac:dyDescent="0.2">
      <c r="B3727"/>
    </row>
    <row r="3728" spans="2:2" x14ac:dyDescent="0.2">
      <c r="B3728"/>
    </row>
    <row r="3729" spans="2:2" x14ac:dyDescent="0.2">
      <c r="B3729"/>
    </row>
    <row r="3730" spans="2:2" x14ac:dyDescent="0.2">
      <c r="B3730"/>
    </row>
    <row r="3731" spans="2:2" x14ac:dyDescent="0.2">
      <c r="B3731"/>
    </row>
    <row r="3732" spans="2:2" x14ac:dyDescent="0.2">
      <c r="B3732"/>
    </row>
    <row r="3733" spans="2:2" x14ac:dyDescent="0.2">
      <c r="B3733"/>
    </row>
    <row r="3734" spans="2:2" x14ac:dyDescent="0.2">
      <c r="B3734"/>
    </row>
    <row r="3735" spans="2:2" x14ac:dyDescent="0.2">
      <c r="B3735"/>
    </row>
    <row r="3736" spans="2:2" x14ac:dyDescent="0.2">
      <c r="B3736"/>
    </row>
    <row r="3737" spans="2:2" x14ac:dyDescent="0.2">
      <c r="B3737"/>
    </row>
    <row r="3738" spans="2:2" x14ac:dyDescent="0.2">
      <c r="B3738"/>
    </row>
    <row r="3739" spans="2:2" x14ac:dyDescent="0.2">
      <c r="B3739"/>
    </row>
    <row r="3740" spans="2:2" x14ac:dyDescent="0.2">
      <c r="B3740"/>
    </row>
    <row r="3741" spans="2:2" x14ac:dyDescent="0.2">
      <c r="B3741"/>
    </row>
    <row r="3742" spans="2:2" x14ac:dyDescent="0.2">
      <c r="B3742"/>
    </row>
    <row r="3743" spans="2:2" x14ac:dyDescent="0.2">
      <c r="B3743"/>
    </row>
    <row r="3744" spans="2:2" x14ac:dyDescent="0.2">
      <c r="B3744"/>
    </row>
    <row r="3745" spans="2:2" x14ac:dyDescent="0.2">
      <c r="B3745"/>
    </row>
    <row r="3746" spans="2:2" x14ac:dyDescent="0.2">
      <c r="B3746"/>
    </row>
    <row r="3747" spans="2:2" x14ac:dyDescent="0.2">
      <c r="B3747"/>
    </row>
    <row r="3748" spans="2:2" x14ac:dyDescent="0.2">
      <c r="B3748"/>
    </row>
    <row r="3749" spans="2:2" x14ac:dyDescent="0.2">
      <c r="B3749"/>
    </row>
    <row r="3750" spans="2:2" x14ac:dyDescent="0.2">
      <c r="B3750"/>
    </row>
    <row r="3751" spans="2:2" x14ac:dyDescent="0.2">
      <c r="B3751"/>
    </row>
    <row r="3752" spans="2:2" x14ac:dyDescent="0.2">
      <c r="B3752"/>
    </row>
    <row r="3753" spans="2:2" x14ac:dyDescent="0.2">
      <c r="B3753"/>
    </row>
    <row r="3754" spans="2:2" x14ac:dyDescent="0.2">
      <c r="B3754"/>
    </row>
    <row r="3755" spans="2:2" x14ac:dyDescent="0.2">
      <c r="B3755"/>
    </row>
    <row r="3756" spans="2:2" x14ac:dyDescent="0.2">
      <c r="B3756"/>
    </row>
    <row r="3757" spans="2:2" x14ac:dyDescent="0.2">
      <c r="B3757"/>
    </row>
    <row r="3758" spans="2:2" x14ac:dyDescent="0.2">
      <c r="B3758"/>
    </row>
    <row r="3759" spans="2:2" x14ac:dyDescent="0.2">
      <c r="B3759"/>
    </row>
    <row r="3760" spans="2:2" x14ac:dyDescent="0.2">
      <c r="B3760"/>
    </row>
    <row r="3761" spans="2:2" x14ac:dyDescent="0.2">
      <c r="B3761"/>
    </row>
    <row r="3762" spans="2:2" x14ac:dyDescent="0.2">
      <c r="B3762"/>
    </row>
    <row r="3763" spans="2:2" x14ac:dyDescent="0.2">
      <c r="B3763"/>
    </row>
    <row r="3764" spans="2:2" x14ac:dyDescent="0.2">
      <c r="B3764"/>
    </row>
    <row r="3765" spans="2:2" x14ac:dyDescent="0.2">
      <c r="B3765"/>
    </row>
    <row r="3766" spans="2:2" x14ac:dyDescent="0.2">
      <c r="B3766"/>
    </row>
    <row r="3767" spans="2:2" x14ac:dyDescent="0.2">
      <c r="B3767"/>
    </row>
    <row r="3768" spans="2:2" x14ac:dyDescent="0.2">
      <c r="B3768"/>
    </row>
    <row r="3769" spans="2:2" x14ac:dyDescent="0.2">
      <c r="B3769"/>
    </row>
    <row r="3770" spans="2:2" x14ac:dyDescent="0.2">
      <c r="B3770"/>
    </row>
    <row r="3771" spans="2:2" x14ac:dyDescent="0.2">
      <c r="B3771"/>
    </row>
    <row r="3772" spans="2:2" x14ac:dyDescent="0.2">
      <c r="B3772"/>
    </row>
    <row r="3773" spans="2:2" x14ac:dyDescent="0.2">
      <c r="B3773"/>
    </row>
    <row r="3774" spans="2:2" x14ac:dyDescent="0.2">
      <c r="B3774"/>
    </row>
    <row r="3775" spans="2:2" x14ac:dyDescent="0.2">
      <c r="B3775"/>
    </row>
    <row r="3776" spans="2:2" x14ac:dyDescent="0.2">
      <c r="B3776"/>
    </row>
    <row r="3777" spans="2:2" x14ac:dyDescent="0.2">
      <c r="B3777"/>
    </row>
    <row r="3778" spans="2:2" x14ac:dyDescent="0.2">
      <c r="B3778"/>
    </row>
    <row r="3779" spans="2:2" x14ac:dyDescent="0.2">
      <c r="B3779"/>
    </row>
    <row r="3780" spans="2:2" x14ac:dyDescent="0.2">
      <c r="B3780"/>
    </row>
    <row r="3781" spans="2:2" x14ac:dyDescent="0.2">
      <c r="B3781"/>
    </row>
    <row r="3782" spans="2:2" x14ac:dyDescent="0.2">
      <c r="B3782"/>
    </row>
    <row r="3783" spans="2:2" x14ac:dyDescent="0.2">
      <c r="B3783"/>
    </row>
    <row r="3784" spans="2:2" x14ac:dyDescent="0.2">
      <c r="B3784"/>
    </row>
    <row r="3785" spans="2:2" x14ac:dyDescent="0.2">
      <c r="B3785"/>
    </row>
    <row r="3786" spans="2:2" x14ac:dyDescent="0.2">
      <c r="B3786"/>
    </row>
    <row r="3787" spans="2:2" x14ac:dyDescent="0.2">
      <c r="B3787"/>
    </row>
    <row r="3788" spans="2:2" x14ac:dyDescent="0.2">
      <c r="B3788"/>
    </row>
    <row r="3789" spans="2:2" x14ac:dyDescent="0.2">
      <c r="B3789"/>
    </row>
    <row r="3790" spans="2:2" x14ac:dyDescent="0.2">
      <c r="B3790"/>
    </row>
    <row r="3791" spans="2:2" x14ac:dyDescent="0.2">
      <c r="B3791"/>
    </row>
    <row r="3792" spans="2:2" x14ac:dyDescent="0.2">
      <c r="B3792"/>
    </row>
    <row r="3793" spans="2:2" x14ac:dyDescent="0.2">
      <c r="B3793"/>
    </row>
    <row r="3794" spans="2:2" x14ac:dyDescent="0.2">
      <c r="B3794"/>
    </row>
    <row r="3795" spans="2:2" x14ac:dyDescent="0.2">
      <c r="B3795"/>
    </row>
    <row r="3796" spans="2:2" x14ac:dyDescent="0.2">
      <c r="B3796"/>
    </row>
    <row r="3797" spans="2:2" x14ac:dyDescent="0.2">
      <c r="B3797"/>
    </row>
    <row r="3798" spans="2:2" x14ac:dyDescent="0.2">
      <c r="B3798"/>
    </row>
    <row r="3799" spans="2:2" x14ac:dyDescent="0.2">
      <c r="B3799"/>
    </row>
    <row r="3800" spans="2:2" x14ac:dyDescent="0.2">
      <c r="B3800"/>
    </row>
    <row r="3801" spans="2:2" x14ac:dyDescent="0.2">
      <c r="B3801"/>
    </row>
    <row r="3802" spans="2:2" x14ac:dyDescent="0.2">
      <c r="B3802"/>
    </row>
    <row r="3803" spans="2:2" x14ac:dyDescent="0.2">
      <c r="B3803"/>
    </row>
    <row r="3804" spans="2:2" x14ac:dyDescent="0.2">
      <c r="B3804"/>
    </row>
    <row r="3805" spans="2:2" x14ac:dyDescent="0.2">
      <c r="B3805"/>
    </row>
    <row r="3806" spans="2:2" x14ac:dyDescent="0.2">
      <c r="B3806"/>
    </row>
    <row r="3807" spans="2:2" x14ac:dyDescent="0.2">
      <c r="B3807"/>
    </row>
    <row r="3808" spans="2:2" x14ac:dyDescent="0.2">
      <c r="B3808"/>
    </row>
    <row r="3809" spans="2:2" x14ac:dyDescent="0.2">
      <c r="B3809"/>
    </row>
    <row r="3810" spans="2:2" x14ac:dyDescent="0.2">
      <c r="B3810"/>
    </row>
    <row r="3811" spans="2:2" x14ac:dyDescent="0.2">
      <c r="B3811"/>
    </row>
    <row r="3812" spans="2:2" x14ac:dyDescent="0.2">
      <c r="B3812"/>
    </row>
    <row r="3813" spans="2:2" x14ac:dyDescent="0.2">
      <c r="B3813"/>
    </row>
    <row r="3814" spans="2:2" x14ac:dyDescent="0.2">
      <c r="B3814"/>
    </row>
    <row r="3815" spans="2:2" x14ac:dyDescent="0.2">
      <c r="B3815"/>
    </row>
    <row r="3816" spans="2:2" x14ac:dyDescent="0.2">
      <c r="B3816"/>
    </row>
    <row r="3817" spans="2:2" x14ac:dyDescent="0.2">
      <c r="B3817"/>
    </row>
    <row r="3818" spans="2:2" x14ac:dyDescent="0.2">
      <c r="B3818"/>
    </row>
    <row r="3819" spans="2:2" x14ac:dyDescent="0.2">
      <c r="B3819"/>
    </row>
    <row r="3820" spans="2:2" x14ac:dyDescent="0.2">
      <c r="B3820"/>
    </row>
    <row r="3821" spans="2:2" x14ac:dyDescent="0.2">
      <c r="B3821"/>
    </row>
    <row r="3822" spans="2:2" x14ac:dyDescent="0.2">
      <c r="B3822"/>
    </row>
    <row r="3823" spans="2:2" x14ac:dyDescent="0.2">
      <c r="B3823"/>
    </row>
    <row r="3824" spans="2:2" x14ac:dyDescent="0.2">
      <c r="B3824"/>
    </row>
    <row r="3825" spans="2:2" x14ac:dyDescent="0.2">
      <c r="B3825"/>
    </row>
    <row r="3826" spans="2:2" x14ac:dyDescent="0.2">
      <c r="B3826"/>
    </row>
    <row r="3827" spans="2:2" x14ac:dyDescent="0.2">
      <c r="B3827"/>
    </row>
    <row r="3828" spans="2:2" x14ac:dyDescent="0.2">
      <c r="B3828"/>
    </row>
    <row r="3829" spans="2:2" x14ac:dyDescent="0.2">
      <c r="B3829"/>
    </row>
    <row r="3830" spans="2:2" x14ac:dyDescent="0.2">
      <c r="B3830"/>
    </row>
    <row r="3831" spans="2:2" x14ac:dyDescent="0.2">
      <c r="B3831"/>
    </row>
    <row r="3832" spans="2:2" x14ac:dyDescent="0.2">
      <c r="B3832"/>
    </row>
    <row r="3833" spans="2:2" x14ac:dyDescent="0.2">
      <c r="B3833"/>
    </row>
    <row r="3834" spans="2:2" x14ac:dyDescent="0.2">
      <c r="B3834"/>
    </row>
    <row r="3835" spans="2:2" x14ac:dyDescent="0.2">
      <c r="B3835"/>
    </row>
    <row r="3836" spans="2:2" x14ac:dyDescent="0.2">
      <c r="B3836"/>
    </row>
    <row r="3837" spans="2:2" x14ac:dyDescent="0.2">
      <c r="B3837"/>
    </row>
    <row r="3838" spans="2:2" x14ac:dyDescent="0.2">
      <c r="B3838"/>
    </row>
    <row r="3839" spans="2:2" x14ac:dyDescent="0.2">
      <c r="B3839"/>
    </row>
    <row r="3840" spans="2:2" x14ac:dyDescent="0.2">
      <c r="B3840"/>
    </row>
    <row r="3841" spans="2:2" x14ac:dyDescent="0.2">
      <c r="B3841"/>
    </row>
    <row r="3842" spans="2:2" x14ac:dyDescent="0.2">
      <c r="B3842"/>
    </row>
    <row r="3843" spans="2:2" x14ac:dyDescent="0.2">
      <c r="B3843"/>
    </row>
    <row r="3844" spans="2:2" x14ac:dyDescent="0.2">
      <c r="B3844"/>
    </row>
    <row r="3845" spans="2:2" x14ac:dyDescent="0.2">
      <c r="B3845"/>
    </row>
    <row r="3846" spans="2:2" x14ac:dyDescent="0.2">
      <c r="B3846"/>
    </row>
    <row r="3847" spans="2:2" x14ac:dyDescent="0.2">
      <c r="B3847"/>
    </row>
    <row r="3848" spans="2:2" x14ac:dyDescent="0.2">
      <c r="B3848"/>
    </row>
    <row r="3849" spans="2:2" x14ac:dyDescent="0.2">
      <c r="B3849"/>
    </row>
    <row r="3850" spans="2:2" x14ac:dyDescent="0.2">
      <c r="B3850"/>
    </row>
    <row r="3851" spans="2:2" x14ac:dyDescent="0.2">
      <c r="B3851"/>
    </row>
    <row r="3852" spans="2:2" x14ac:dyDescent="0.2">
      <c r="B3852"/>
    </row>
    <row r="3853" spans="2:2" x14ac:dyDescent="0.2">
      <c r="B3853"/>
    </row>
    <row r="3854" spans="2:2" x14ac:dyDescent="0.2">
      <c r="B3854"/>
    </row>
    <row r="3855" spans="2:2" x14ac:dyDescent="0.2">
      <c r="B3855"/>
    </row>
    <row r="3856" spans="2:2" x14ac:dyDescent="0.2">
      <c r="B3856"/>
    </row>
    <row r="3857" spans="2:2" x14ac:dyDescent="0.2">
      <c r="B3857"/>
    </row>
    <row r="3858" spans="2:2" x14ac:dyDescent="0.2">
      <c r="B3858"/>
    </row>
    <row r="3859" spans="2:2" x14ac:dyDescent="0.2">
      <c r="B3859"/>
    </row>
    <row r="3860" spans="2:2" x14ac:dyDescent="0.2">
      <c r="B3860"/>
    </row>
    <row r="3861" spans="2:2" x14ac:dyDescent="0.2">
      <c r="B3861"/>
    </row>
    <row r="3862" spans="2:2" x14ac:dyDescent="0.2">
      <c r="B3862"/>
    </row>
    <row r="3863" spans="2:2" x14ac:dyDescent="0.2">
      <c r="B3863"/>
    </row>
    <row r="3864" spans="2:2" x14ac:dyDescent="0.2">
      <c r="B3864"/>
    </row>
    <row r="3865" spans="2:2" x14ac:dyDescent="0.2">
      <c r="B3865"/>
    </row>
    <row r="3866" spans="2:2" x14ac:dyDescent="0.2">
      <c r="B3866"/>
    </row>
    <row r="3867" spans="2:2" x14ac:dyDescent="0.2">
      <c r="B3867"/>
    </row>
    <row r="3868" spans="2:2" x14ac:dyDescent="0.2">
      <c r="B3868"/>
    </row>
    <row r="3869" spans="2:2" x14ac:dyDescent="0.2">
      <c r="B3869"/>
    </row>
    <row r="3870" spans="2:2" x14ac:dyDescent="0.2">
      <c r="B3870"/>
    </row>
    <row r="3871" spans="2:2" x14ac:dyDescent="0.2">
      <c r="B3871"/>
    </row>
    <row r="3872" spans="2:2" x14ac:dyDescent="0.2">
      <c r="B3872"/>
    </row>
    <row r="3873" spans="2:2" x14ac:dyDescent="0.2">
      <c r="B3873"/>
    </row>
    <row r="3874" spans="2:2" x14ac:dyDescent="0.2">
      <c r="B3874"/>
    </row>
    <row r="3875" spans="2:2" x14ac:dyDescent="0.2">
      <c r="B3875"/>
    </row>
    <row r="3876" spans="2:2" x14ac:dyDescent="0.2">
      <c r="B3876"/>
    </row>
    <row r="3877" spans="2:2" x14ac:dyDescent="0.2">
      <c r="B3877"/>
    </row>
    <row r="3878" spans="2:2" x14ac:dyDescent="0.2">
      <c r="B3878"/>
    </row>
    <row r="3879" spans="2:2" x14ac:dyDescent="0.2">
      <c r="B3879"/>
    </row>
    <row r="3880" spans="2:2" x14ac:dyDescent="0.2">
      <c r="B3880"/>
    </row>
    <row r="3881" spans="2:2" x14ac:dyDescent="0.2">
      <c r="B3881"/>
    </row>
    <row r="3882" spans="2:2" x14ac:dyDescent="0.2">
      <c r="B3882"/>
    </row>
    <row r="3883" spans="2:2" x14ac:dyDescent="0.2">
      <c r="B3883"/>
    </row>
    <row r="3884" spans="2:2" x14ac:dyDescent="0.2">
      <c r="B3884"/>
    </row>
    <row r="3885" spans="2:2" x14ac:dyDescent="0.2">
      <c r="B3885"/>
    </row>
    <row r="3886" spans="2:2" x14ac:dyDescent="0.2">
      <c r="B3886"/>
    </row>
    <row r="3887" spans="2:2" x14ac:dyDescent="0.2">
      <c r="B3887"/>
    </row>
    <row r="3888" spans="2:2" x14ac:dyDescent="0.2">
      <c r="B3888"/>
    </row>
    <row r="3889" spans="2:2" x14ac:dyDescent="0.2">
      <c r="B3889"/>
    </row>
    <row r="3890" spans="2:2" x14ac:dyDescent="0.2">
      <c r="B3890"/>
    </row>
    <row r="3891" spans="2:2" x14ac:dyDescent="0.2">
      <c r="B3891"/>
    </row>
    <row r="3892" spans="2:2" x14ac:dyDescent="0.2">
      <c r="B3892"/>
    </row>
    <row r="3893" spans="2:2" x14ac:dyDescent="0.2">
      <c r="B3893"/>
    </row>
    <row r="3894" spans="2:2" x14ac:dyDescent="0.2">
      <c r="B3894"/>
    </row>
    <row r="3895" spans="2:2" x14ac:dyDescent="0.2">
      <c r="B3895"/>
    </row>
    <row r="3896" spans="2:2" x14ac:dyDescent="0.2">
      <c r="B3896"/>
    </row>
    <row r="3897" spans="2:2" x14ac:dyDescent="0.2">
      <c r="B3897"/>
    </row>
    <row r="3898" spans="2:2" x14ac:dyDescent="0.2">
      <c r="B3898"/>
    </row>
    <row r="3899" spans="2:2" x14ac:dyDescent="0.2">
      <c r="B3899"/>
    </row>
    <row r="3900" spans="2:2" x14ac:dyDescent="0.2">
      <c r="B3900"/>
    </row>
    <row r="3901" spans="2:2" x14ac:dyDescent="0.2">
      <c r="B3901"/>
    </row>
    <row r="3902" spans="2:2" x14ac:dyDescent="0.2">
      <c r="B3902"/>
    </row>
    <row r="3903" spans="2:2" x14ac:dyDescent="0.2">
      <c r="B3903"/>
    </row>
    <row r="3904" spans="2:2" x14ac:dyDescent="0.2">
      <c r="B3904"/>
    </row>
    <row r="3905" spans="2:2" x14ac:dyDescent="0.2">
      <c r="B3905"/>
    </row>
    <row r="3906" spans="2:2" x14ac:dyDescent="0.2">
      <c r="B3906"/>
    </row>
    <row r="3907" spans="2:2" x14ac:dyDescent="0.2">
      <c r="B3907"/>
    </row>
    <row r="3908" spans="2:2" x14ac:dyDescent="0.2">
      <c r="B3908"/>
    </row>
    <row r="3909" spans="2:2" x14ac:dyDescent="0.2">
      <c r="B3909"/>
    </row>
    <row r="3910" spans="2:2" x14ac:dyDescent="0.2">
      <c r="B3910"/>
    </row>
    <row r="3911" spans="2:2" x14ac:dyDescent="0.2">
      <c r="B3911"/>
    </row>
    <row r="3912" spans="2:2" x14ac:dyDescent="0.2">
      <c r="B3912"/>
    </row>
    <row r="3913" spans="2:2" x14ac:dyDescent="0.2">
      <c r="B3913"/>
    </row>
    <row r="3914" spans="2:2" x14ac:dyDescent="0.2">
      <c r="B3914"/>
    </row>
    <row r="3915" spans="2:2" x14ac:dyDescent="0.2">
      <c r="B3915"/>
    </row>
    <row r="3916" spans="2:2" x14ac:dyDescent="0.2">
      <c r="B3916"/>
    </row>
    <row r="3917" spans="2:2" x14ac:dyDescent="0.2">
      <c r="B3917"/>
    </row>
    <row r="3918" spans="2:2" x14ac:dyDescent="0.2">
      <c r="B3918"/>
    </row>
    <row r="3919" spans="2:2" x14ac:dyDescent="0.2">
      <c r="B3919"/>
    </row>
    <row r="3920" spans="2:2" x14ac:dyDescent="0.2">
      <c r="B3920"/>
    </row>
    <row r="3921" spans="2:2" x14ac:dyDescent="0.2">
      <c r="B3921"/>
    </row>
    <row r="3922" spans="2:2" x14ac:dyDescent="0.2">
      <c r="B3922"/>
    </row>
    <row r="3923" spans="2:2" x14ac:dyDescent="0.2">
      <c r="B3923"/>
    </row>
    <row r="3924" spans="2:2" x14ac:dyDescent="0.2">
      <c r="B3924"/>
    </row>
    <row r="3925" spans="2:2" x14ac:dyDescent="0.2">
      <c r="B3925"/>
    </row>
    <row r="3926" spans="2:2" x14ac:dyDescent="0.2">
      <c r="B3926"/>
    </row>
    <row r="3927" spans="2:2" x14ac:dyDescent="0.2">
      <c r="B3927"/>
    </row>
    <row r="3928" spans="2:2" x14ac:dyDescent="0.2">
      <c r="B3928"/>
    </row>
    <row r="3929" spans="2:2" x14ac:dyDescent="0.2">
      <c r="B3929"/>
    </row>
    <row r="3930" spans="2:2" x14ac:dyDescent="0.2">
      <c r="B3930"/>
    </row>
    <row r="3931" spans="2:2" x14ac:dyDescent="0.2">
      <c r="B3931"/>
    </row>
    <row r="3932" spans="2:2" x14ac:dyDescent="0.2">
      <c r="B3932"/>
    </row>
    <row r="3933" spans="2:2" x14ac:dyDescent="0.2">
      <c r="B3933"/>
    </row>
    <row r="3934" spans="2:2" x14ac:dyDescent="0.2">
      <c r="B3934"/>
    </row>
    <row r="3935" spans="2:2" x14ac:dyDescent="0.2">
      <c r="B3935"/>
    </row>
    <row r="3936" spans="2:2" x14ac:dyDescent="0.2">
      <c r="B3936"/>
    </row>
    <row r="3937" spans="2:2" x14ac:dyDescent="0.2">
      <c r="B3937"/>
    </row>
    <row r="3938" spans="2:2" x14ac:dyDescent="0.2">
      <c r="B3938"/>
    </row>
    <row r="3939" spans="2:2" x14ac:dyDescent="0.2">
      <c r="B3939"/>
    </row>
    <row r="3940" spans="2:2" x14ac:dyDescent="0.2">
      <c r="B3940"/>
    </row>
    <row r="3941" spans="2:2" x14ac:dyDescent="0.2">
      <c r="B3941"/>
    </row>
    <row r="3942" spans="2:2" x14ac:dyDescent="0.2">
      <c r="B3942"/>
    </row>
    <row r="3943" spans="2:2" x14ac:dyDescent="0.2">
      <c r="B3943"/>
    </row>
    <row r="3944" spans="2:2" x14ac:dyDescent="0.2">
      <c r="B3944"/>
    </row>
    <row r="3945" spans="2:2" x14ac:dyDescent="0.2">
      <c r="B3945"/>
    </row>
    <row r="3946" spans="2:2" x14ac:dyDescent="0.2">
      <c r="B3946"/>
    </row>
    <row r="3947" spans="2:2" x14ac:dyDescent="0.2">
      <c r="B3947"/>
    </row>
    <row r="3948" spans="2:2" x14ac:dyDescent="0.2">
      <c r="B3948"/>
    </row>
    <row r="3949" spans="2:2" x14ac:dyDescent="0.2">
      <c r="B3949"/>
    </row>
    <row r="3950" spans="2:2" x14ac:dyDescent="0.2">
      <c r="B3950"/>
    </row>
    <row r="3951" spans="2:2" x14ac:dyDescent="0.2">
      <c r="B3951"/>
    </row>
    <row r="3952" spans="2:2" x14ac:dyDescent="0.2">
      <c r="B3952"/>
    </row>
    <row r="3953" spans="2:2" x14ac:dyDescent="0.2">
      <c r="B3953"/>
    </row>
    <row r="3954" spans="2:2" x14ac:dyDescent="0.2">
      <c r="B3954"/>
    </row>
    <row r="3955" spans="2:2" x14ac:dyDescent="0.2">
      <c r="B3955"/>
    </row>
    <row r="3956" spans="2:2" x14ac:dyDescent="0.2">
      <c r="B3956"/>
    </row>
    <row r="3957" spans="2:2" x14ac:dyDescent="0.2">
      <c r="B3957"/>
    </row>
    <row r="3958" spans="2:2" x14ac:dyDescent="0.2">
      <c r="B3958"/>
    </row>
    <row r="3959" spans="2:2" x14ac:dyDescent="0.2">
      <c r="B3959"/>
    </row>
    <row r="3960" spans="2:2" x14ac:dyDescent="0.2">
      <c r="B3960"/>
    </row>
    <row r="3961" spans="2:2" x14ac:dyDescent="0.2">
      <c r="B3961"/>
    </row>
    <row r="3962" spans="2:2" x14ac:dyDescent="0.2">
      <c r="B3962"/>
    </row>
    <row r="3963" spans="2:2" x14ac:dyDescent="0.2">
      <c r="B3963"/>
    </row>
    <row r="3964" spans="2:2" x14ac:dyDescent="0.2">
      <c r="B3964"/>
    </row>
    <row r="3965" spans="2:2" x14ac:dyDescent="0.2">
      <c r="B3965"/>
    </row>
    <row r="3966" spans="2:2" x14ac:dyDescent="0.2">
      <c r="B3966"/>
    </row>
    <row r="3967" spans="2:2" x14ac:dyDescent="0.2">
      <c r="B3967"/>
    </row>
    <row r="3968" spans="2:2" x14ac:dyDescent="0.2">
      <c r="B3968"/>
    </row>
    <row r="3969" spans="2:2" x14ac:dyDescent="0.2">
      <c r="B3969"/>
    </row>
    <row r="3970" spans="2:2" x14ac:dyDescent="0.2">
      <c r="B3970"/>
    </row>
    <row r="3971" spans="2:2" x14ac:dyDescent="0.2">
      <c r="B3971"/>
    </row>
    <row r="3972" spans="2:2" x14ac:dyDescent="0.2">
      <c r="B3972"/>
    </row>
    <row r="3973" spans="2:2" x14ac:dyDescent="0.2">
      <c r="B3973"/>
    </row>
    <row r="3974" spans="2:2" x14ac:dyDescent="0.2">
      <c r="B3974"/>
    </row>
    <row r="3975" spans="2:2" x14ac:dyDescent="0.2">
      <c r="B3975"/>
    </row>
    <row r="3976" spans="2:2" x14ac:dyDescent="0.2">
      <c r="B3976"/>
    </row>
    <row r="3977" spans="2:2" x14ac:dyDescent="0.2">
      <c r="B3977"/>
    </row>
    <row r="3978" spans="2:2" x14ac:dyDescent="0.2">
      <c r="B3978"/>
    </row>
    <row r="3979" spans="2:2" x14ac:dyDescent="0.2">
      <c r="B3979"/>
    </row>
    <row r="3980" spans="2:2" x14ac:dyDescent="0.2">
      <c r="B3980"/>
    </row>
    <row r="3981" spans="2:2" x14ac:dyDescent="0.2">
      <c r="B3981"/>
    </row>
    <row r="3982" spans="2:2" x14ac:dyDescent="0.2">
      <c r="B3982"/>
    </row>
    <row r="3983" spans="2:2" x14ac:dyDescent="0.2">
      <c r="B3983"/>
    </row>
    <row r="3984" spans="2:2" x14ac:dyDescent="0.2">
      <c r="B3984"/>
    </row>
    <row r="3985" spans="2:2" x14ac:dyDescent="0.2">
      <c r="B3985"/>
    </row>
    <row r="3986" spans="2:2" x14ac:dyDescent="0.2">
      <c r="B3986"/>
    </row>
    <row r="3987" spans="2:2" x14ac:dyDescent="0.2">
      <c r="B3987"/>
    </row>
    <row r="3988" spans="2:2" x14ac:dyDescent="0.2">
      <c r="B3988"/>
    </row>
    <row r="3989" spans="2:2" x14ac:dyDescent="0.2">
      <c r="B3989"/>
    </row>
    <row r="3990" spans="2:2" x14ac:dyDescent="0.2">
      <c r="B3990"/>
    </row>
    <row r="3991" spans="2:2" x14ac:dyDescent="0.2">
      <c r="B3991"/>
    </row>
    <row r="3992" spans="2:2" x14ac:dyDescent="0.2">
      <c r="B3992"/>
    </row>
    <row r="3993" spans="2:2" x14ac:dyDescent="0.2">
      <c r="B3993"/>
    </row>
    <row r="3994" spans="2:2" x14ac:dyDescent="0.2">
      <c r="B3994"/>
    </row>
    <row r="3995" spans="2:2" x14ac:dyDescent="0.2">
      <c r="B3995"/>
    </row>
    <row r="3996" spans="2:2" x14ac:dyDescent="0.2">
      <c r="B3996"/>
    </row>
    <row r="3997" spans="2:2" x14ac:dyDescent="0.2">
      <c r="B3997"/>
    </row>
    <row r="3998" spans="2:2" x14ac:dyDescent="0.2">
      <c r="B3998"/>
    </row>
    <row r="3999" spans="2:2" x14ac:dyDescent="0.2">
      <c r="B3999"/>
    </row>
    <row r="4000" spans="2:2" x14ac:dyDescent="0.2">
      <c r="B4000"/>
    </row>
    <row r="4001" spans="2:2" x14ac:dyDescent="0.2">
      <c r="B4001"/>
    </row>
    <row r="4002" spans="2:2" x14ac:dyDescent="0.2">
      <c r="B4002"/>
    </row>
    <row r="4003" spans="2:2" x14ac:dyDescent="0.2">
      <c r="B4003"/>
    </row>
    <row r="4004" spans="2:2" x14ac:dyDescent="0.2">
      <c r="B4004"/>
    </row>
    <row r="4005" spans="2:2" x14ac:dyDescent="0.2">
      <c r="B4005"/>
    </row>
    <row r="4006" spans="2:2" x14ac:dyDescent="0.2">
      <c r="B4006"/>
    </row>
    <row r="4007" spans="2:2" x14ac:dyDescent="0.2">
      <c r="B4007"/>
    </row>
    <row r="4008" spans="2:2" x14ac:dyDescent="0.2">
      <c r="B4008"/>
    </row>
    <row r="4009" spans="2:2" x14ac:dyDescent="0.2">
      <c r="B4009"/>
    </row>
    <row r="4010" spans="2:2" x14ac:dyDescent="0.2">
      <c r="B4010"/>
    </row>
    <row r="4011" spans="2:2" x14ac:dyDescent="0.2">
      <c r="B4011"/>
    </row>
    <row r="4012" spans="2:2" x14ac:dyDescent="0.2">
      <c r="B4012"/>
    </row>
    <row r="4013" spans="2:2" x14ac:dyDescent="0.2">
      <c r="B4013"/>
    </row>
    <row r="4014" spans="2:2" x14ac:dyDescent="0.2">
      <c r="B4014"/>
    </row>
    <row r="4015" spans="2:2" x14ac:dyDescent="0.2">
      <c r="B4015"/>
    </row>
    <row r="4016" spans="2:2" x14ac:dyDescent="0.2">
      <c r="B4016"/>
    </row>
    <row r="4017" spans="2:2" x14ac:dyDescent="0.2">
      <c r="B4017"/>
    </row>
    <row r="4018" spans="2:2" x14ac:dyDescent="0.2">
      <c r="B4018"/>
    </row>
    <row r="4019" spans="2:2" x14ac:dyDescent="0.2">
      <c r="B4019"/>
    </row>
    <row r="4020" spans="2:2" x14ac:dyDescent="0.2">
      <c r="B4020"/>
    </row>
    <row r="4021" spans="2:2" x14ac:dyDescent="0.2">
      <c r="B4021"/>
    </row>
    <row r="4022" spans="2:2" x14ac:dyDescent="0.2">
      <c r="B4022"/>
    </row>
    <row r="4023" spans="2:2" x14ac:dyDescent="0.2">
      <c r="B4023"/>
    </row>
    <row r="4024" spans="2:2" x14ac:dyDescent="0.2">
      <c r="B4024"/>
    </row>
    <row r="4025" spans="2:2" x14ac:dyDescent="0.2">
      <c r="B4025"/>
    </row>
    <row r="4026" spans="2:2" x14ac:dyDescent="0.2">
      <c r="B4026"/>
    </row>
    <row r="4027" spans="2:2" x14ac:dyDescent="0.2">
      <c r="B4027"/>
    </row>
    <row r="4028" spans="2:2" x14ac:dyDescent="0.2">
      <c r="B4028"/>
    </row>
    <row r="4029" spans="2:2" x14ac:dyDescent="0.2">
      <c r="B4029"/>
    </row>
    <row r="4030" spans="2:2" x14ac:dyDescent="0.2">
      <c r="B4030"/>
    </row>
    <row r="4031" spans="2:2" x14ac:dyDescent="0.2">
      <c r="B4031"/>
    </row>
    <row r="4032" spans="2:2" x14ac:dyDescent="0.2">
      <c r="B4032"/>
    </row>
    <row r="4033" spans="2:2" x14ac:dyDescent="0.2">
      <c r="B4033"/>
    </row>
    <row r="4034" spans="2:2" x14ac:dyDescent="0.2">
      <c r="B4034"/>
    </row>
    <row r="4035" spans="2:2" x14ac:dyDescent="0.2">
      <c r="B4035"/>
    </row>
    <row r="4036" spans="2:2" x14ac:dyDescent="0.2">
      <c r="B4036"/>
    </row>
    <row r="4037" spans="2:2" x14ac:dyDescent="0.2">
      <c r="B4037"/>
    </row>
    <row r="4038" spans="2:2" x14ac:dyDescent="0.2">
      <c r="B4038"/>
    </row>
    <row r="4039" spans="2:2" x14ac:dyDescent="0.2">
      <c r="B4039"/>
    </row>
    <row r="4040" spans="2:2" x14ac:dyDescent="0.2">
      <c r="B4040"/>
    </row>
    <row r="4041" spans="2:2" x14ac:dyDescent="0.2">
      <c r="B4041"/>
    </row>
    <row r="4042" spans="2:2" x14ac:dyDescent="0.2">
      <c r="B4042"/>
    </row>
    <row r="4043" spans="2:2" x14ac:dyDescent="0.2">
      <c r="B4043"/>
    </row>
    <row r="4044" spans="2:2" x14ac:dyDescent="0.2">
      <c r="B4044"/>
    </row>
    <row r="4045" spans="2:2" x14ac:dyDescent="0.2">
      <c r="B4045"/>
    </row>
    <row r="4046" spans="2:2" x14ac:dyDescent="0.2">
      <c r="B4046"/>
    </row>
    <row r="4047" spans="2:2" x14ac:dyDescent="0.2">
      <c r="B4047"/>
    </row>
    <row r="4048" spans="2:2" x14ac:dyDescent="0.2">
      <c r="B4048"/>
    </row>
    <row r="4049" spans="2:2" x14ac:dyDescent="0.2">
      <c r="B4049"/>
    </row>
    <row r="4050" spans="2:2" x14ac:dyDescent="0.2">
      <c r="B4050"/>
    </row>
    <row r="4051" spans="2:2" x14ac:dyDescent="0.2">
      <c r="B4051"/>
    </row>
    <row r="4052" spans="2:2" x14ac:dyDescent="0.2">
      <c r="B4052"/>
    </row>
    <row r="4053" spans="2:2" x14ac:dyDescent="0.2">
      <c r="B4053"/>
    </row>
    <row r="4054" spans="2:2" x14ac:dyDescent="0.2">
      <c r="B4054"/>
    </row>
    <row r="4055" spans="2:2" x14ac:dyDescent="0.2">
      <c r="B4055"/>
    </row>
    <row r="4056" spans="2:2" x14ac:dyDescent="0.2">
      <c r="B4056"/>
    </row>
    <row r="4057" spans="2:2" x14ac:dyDescent="0.2">
      <c r="B4057"/>
    </row>
    <row r="4058" spans="2:2" x14ac:dyDescent="0.2">
      <c r="B4058"/>
    </row>
    <row r="4059" spans="2:2" x14ac:dyDescent="0.2">
      <c r="B4059"/>
    </row>
    <row r="4060" spans="2:2" x14ac:dyDescent="0.2">
      <c r="B4060"/>
    </row>
    <row r="4061" spans="2:2" x14ac:dyDescent="0.2">
      <c r="B4061"/>
    </row>
    <row r="4062" spans="2:2" x14ac:dyDescent="0.2">
      <c r="B4062"/>
    </row>
    <row r="4063" spans="2:2" x14ac:dyDescent="0.2">
      <c r="B4063"/>
    </row>
    <row r="4064" spans="2:2" x14ac:dyDescent="0.2">
      <c r="B4064"/>
    </row>
    <row r="4065" spans="2:2" x14ac:dyDescent="0.2">
      <c r="B4065"/>
    </row>
    <row r="4066" spans="2:2" x14ac:dyDescent="0.2">
      <c r="B4066"/>
    </row>
    <row r="4067" spans="2:2" x14ac:dyDescent="0.2">
      <c r="B4067"/>
    </row>
    <row r="4068" spans="2:2" x14ac:dyDescent="0.2">
      <c r="B4068"/>
    </row>
    <row r="4069" spans="2:2" x14ac:dyDescent="0.2">
      <c r="B4069"/>
    </row>
    <row r="4070" spans="2:2" x14ac:dyDescent="0.2">
      <c r="B4070"/>
    </row>
    <row r="4071" spans="2:2" x14ac:dyDescent="0.2">
      <c r="B4071"/>
    </row>
    <row r="4072" spans="2:2" x14ac:dyDescent="0.2">
      <c r="B4072"/>
    </row>
    <row r="4073" spans="2:2" x14ac:dyDescent="0.2">
      <c r="B4073"/>
    </row>
    <row r="4074" spans="2:2" x14ac:dyDescent="0.2">
      <c r="B4074"/>
    </row>
    <row r="4075" spans="2:2" x14ac:dyDescent="0.2">
      <c r="B4075"/>
    </row>
    <row r="4076" spans="2:2" x14ac:dyDescent="0.2">
      <c r="B4076"/>
    </row>
    <row r="4077" spans="2:2" x14ac:dyDescent="0.2">
      <c r="B4077"/>
    </row>
    <row r="4078" spans="2:2" x14ac:dyDescent="0.2">
      <c r="B4078"/>
    </row>
    <row r="4079" spans="2:2" x14ac:dyDescent="0.2">
      <c r="B4079"/>
    </row>
    <row r="4080" spans="2:2" x14ac:dyDescent="0.2">
      <c r="B4080"/>
    </row>
    <row r="4081" spans="2:2" x14ac:dyDescent="0.2">
      <c r="B4081"/>
    </row>
    <row r="4082" spans="2:2" x14ac:dyDescent="0.2">
      <c r="B4082"/>
    </row>
    <row r="4083" spans="2:2" x14ac:dyDescent="0.2">
      <c r="B4083"/>
    </row>
    <row r="4084" spans="2:2" x14ac:dyDescent="0.2">
      <c r="B4084"/>
    </row>
    <row r="4085" spans="2:2" x14ac:dyDescent="0.2">
      <c r="B4085"/>
    </row>
    <row r="4086" spans="2:2" x14ac:dyDescent="0.2">
      <c r="B4086"/>
    </row>
    <row r="4087" spans="2:2" x14ac:dyDescent="0.2">
      <c r="B4087"/>
    </row>
    <row r="4088" spans="2:2" x14ac:dyDescent="0.2">
      <c r="B4088"/>
    </row>
    <row r="4089" spans="2:2" x14ac:dyDescent="0.2">
      <c r="B4089"/>
    </row>
    <row r="4090" spans="2:2" x14ac:dyDescent="0.2">
      <c r="B4090"/>
    </row>
    <row r="4091" spans="2:2" x14ac:dyDescent="0.2">
      <c r="B4091"/>
    </row>
    <row r="4092" spans="2:2" x14ac:dyDescent="0.2">
      <c r="B4092"/>
    </row>
    <row r="4093" spans="2:2" x14ac:dyDescent="0.2">
      <c r="B4093"/>
    </row>
    <row r="4094" spans="2:2" x14ac:dyDescent="0.2">
      <c r="B4094"/>
    </row>
    <row r="4095" spans="2:2" x14ac:dyDescent="0.2">
      <c r="B4095"/>
    </row>
    <row r="4096" spans="2:2" x14ac:dyDescent="0.2">
      <c r="B4096"/>
    </row>
    <row r="4097" spans="2:2" x14ac:dyDescent="0.2">
      <c r="B4097"/>
    </row>
    <row r="4098" spans="2:2" x14ac:dyDescent="0.2">
      <c r="B4098"/>
    </row>
    <row r="4099" spans="2:2" x14ac:dyDescent="0.2">
      <c r="B4099"/>
    </row>
    <row r="4100" spans="2:2" x14ac:dyDescent="0.2">
      <c r="B4100"/>
    </row>
    <row r="4101" spans="2:2" x14ac:dyDescent="0.2">
      <c r="B4101"/>
    </row>
    <row r="4102" spans="2:2" x14ac:dyDescent="0.2">
      <c r="B4102"/>
    </row>
    <row r="4103" spans="2:2" x14ac:dyDescent="0.2">
      <c r="B4103"/>
    </row>
    <row r="4104" spans="2:2" x14ac:dyDescent="0.2">
      <c r="B4104"/>
    </row>
    <row r="4105" spans="2:2" x14ac:dyDescent="0.2">
      <c r="B4105"/>
    </row>
    <row r="4106" spans="2:2" x14ac:dyDescent="0.2">
      <c r="B4106"/>
    </row>
    <row r="4107" spans="2:2" x14ac:dyDescent="0.2">
      <c r="B4107"/>
    </row>
    <row r="4108" spans="2:2" x14ac:dyDescent="0.2">
      <c r="B4108"/>
    </row>
    <row r="4109" spans="2:2" x14ac:dyDescent="0.2">
      <c r="B4109"/>
    </row>
    <row r="4110" spans="2:2" x14ac:dyDescent="0.2">
      <c r="B4110"/>
    </row>
    <row r="4111" spans="2:2" x14ac:dyDescent="0.2">
      <c r="B4111"/>
    </row>
    <row r="4112" spans="2:2" x14ac:dyDescent="0.2">
      <c r="B4112"/>
    </row>
    <row r="4113" spans="2:2" x14ac:dyDescent="0.2">
      <c r="B4113"/>
    </row>
    <row r="4114" spans="2:2" x14ac:dyDescent="0.2">
      <c r="B4114"/>
    </row>
    <row r="4115" spans="2:2" x14ac:dyDescent="0.2">
      <c r="B4115"/>
    </row>
    <row r="4116" spans="2:2" x14ac:dyDescent="0.2">
      <c r="B4116"/>
    </row>
    <row r="4117" spans="2:2" x14ac:dyDescent="0.2">
      <c r="B4117"/>
    </row>
    <row r="4118" spans="2:2" x14ac:dyDescent="0.2">
      <c r="B4118"/>
    </row>
    <row r="4119" spans="2:2" x14ac:dyDescent="0.2">
      <c r="B4119"/>
    </row>
    <row r="4120" spans="2:2" x14ac:dyDescent="0.2">
      <c r="B4120"/>
    </row>
    <row r="4121" spans="2:2" x14ac:dyDescent="0.2">
      <c r="B4121"/>
    </row>
    <row r="4122" spans="2:2" x14ac:dyDescent="0.2">
      <c r="B4122"/>
    </row>
    <row r="4123" spans="2:2" x14ac:dyDescent="0.2">
      <c r="B4123"/>
    </row>
    <row r="4124" spans="2:2" x14ac:dyDescent="0.2">
      <c r="B4124"/>
    </row>
    <row r="4125" spans="2:2" x14ac:dyDescent="0.2">
      <c r="B4125"/>
    </row>
    <row r="4126" spans="2:2" x14ac:dyDescent="0.2">
      <c r="B4126"/>
    </row>
    <row r="4127" spans="2:2" x14ac:dyDescent="0.2">
      <c r="B4127"/>
    </row>
    <row r="4128" spans="2:2" x14ac:dyDescent="0.2">
      <c r="B4128"/>
    </row>
    <row r="4129" spans="2:2" x14ac:dyDescent="0.2">
      <c r="B4129"/>
    </row>
    <row r="4130" spans="2:2" x14ac:dyDescent="0.2">
      <c r="B4130"/>
    </row>
    <row r="4131" spans="2:2" x14ac:dyDescent="0.2">
      <c r="B4131"/>
    </row>
    <row r="4132" spans="2:2" x14ac:dyDescent="0.2">
      <c r="B4132"/>
    </row>
    <row r="4133" spans="2:2" x14ac:dyDescent="0.2">
      <c r="B4133"/>
    </row>
    <row r="4134" spans="2:2" x14ac:dyDescent="0.2">
      <c r="B4134"/>
    </row>
    <row r="4135" spans="2:2" x14ac:dyDescent="0.2">
      <c r="B4135"/>
    </row>
    <row r="4136" spans="2:2" x14ac:dyDescent="0.2">
      <c r="B4136"/>
    </row>
    <row r="4137" spans="2:2" x14ac:dyDescent="0.2">
      <c r="B4137"/>
    </row>
    <row r="4138" spans="2:2" x14ac:dyDescent="0.2">
      <c r="B4138"/>
    </row>
    <row r="4139" spans="2:2" x14ac:dyDescent="0.2">
      <c r="B4139"/>
    </row>
    <row r="4140" spans="2:2" x14ac:dyDescent="0.2">
      <c r="B4140"/>
    </row>
    <row r="4141" spans="2:2" x14ac:dyDescent="0.2">
      <c r="B4141"/>
    </row>
    <row r="4142" spans="2:2" x14ac:dyDescent="0.2">
      <c r="B4142"/>
    </row>
    <row r="4143" spans="2:2" x14ac:dyDescent="0.2">
      <c r="B4143"/>
    </row>
    <row r="4144" spans="2:2" x14ac:dyDescent="0.2">
      <c r="B4144"/>
    </row>
    <row r="4145" spans="2:2" x14ac:dyDescent="0.2">
      <c r="B4145"/>
    </row>
    <row r="4146" spans="2:2" x14ac:dyDescent="0.2">
      <c r="B4146"/>
    </row>
    <row r="4147" spans="2:2" x14ac:dyDescent="0.2">
      <c r="B4147"/>
    </row>
    <row r="4148" spans="2:2" x14ac:dyDescent="0.2">
      <c r="B4148"/>
    </row>
    <row r="4149" spans="2:2" x14ac:dyDescent="0.2">
      <c r="B4149"/>
    </row>
    <row r="4150" spans="2:2" x14ac:dyDescent="0.2">
      <c r="B4150"/>
    </row>
    <row r="4151" spans="2:2" x14ac:dyDescent="0.2">
      <c r="B4151"/>
    </row>
    <row r="4152" spans="2:2" x14ac:dyDescent="0.2">
      <c r="B4152"/>
    </row>
    <row r="4153" spans="2:2" x14ac:dyDescent="0.2">
      <c r="B4153"/>
    </row>
    <row r="4154" spans="2:2" x14ac:dyDescent="0.2">
      <c r="B4154"/>
    </row>
    <row r="4155" spans="2:2" x14ac:dyDescent="0.2">
      <c r="B4155"/>
    </row>
    <row r="4156" spans="2:2" x14ac:dyDescent="0.2">
      <c r="B4156"/>
    </row>
    <row r="4157" spans="2:2" x14ac:dyDescent="0.2">
      <c r="B4157"/>
    </row>
    <row r="4158" spans="2:2" x14ac:dyDescent="0.2">
      <c r="B4158"/>
    </row>
    <row r="4159" spans="2:2" x14ac:dyDescent="0.2">
      <c r="B4159"/>
    </row>
    <row r="4160" spans="2:2" x14ac:dyDescent="0.2">
      <c r="B4160"/>
    </row>
    <row r="4161" spans="2:2" x14ac:dyDescent="0.2">
      <c r="B4161"/>
    </row>
    <row r="4162" spans="2:2" x14ac:dyDescent="0.2">
      <c r="B4162"/>
    </row>
    <row r="4163" spans="2:2" x14ac:dyDescent="0.2">
      <c r="B4163"/>
    </row>
    <row r="4164" spans="2:2" x14ac:dyDescent="0.2">
      <c r="B4164"/>
    </row>
    <row r="4165" spans="2:2" x14ac:dyDescent="0.2">
      <c r="B4165"/>
    </row>
    <row r="4166" spans="2:2" x14ac:dyDescent="0.2">
      <c r="B4166"/>
    </row>
    <row r="4167" spans="2:2" x14ac:dyDescent="0.2">
      <c r="B4167"/>
    </row>
    <row r="4168" spans="2:2" x14ac:dyDescent="0.2">
      <c r="B4168"/>
    </row>
    <row r="4169" spans="2:2" x14ac:dyDescent="0.2">
      <c r="B4169"/>
    </row>
    <row r="4170" spans="2:2" x14ac:dyDescent="0.2">
      <c r="B4170"/>
    </row>
    <row r="4171" spans="2:2" x14ac:dyDescent="0.2">
      <c r="B4171"/>
    </row>
    <row r="4172" spans="2:2" x14ac:dyDescent="0.2">
      <c r="B4172"/>
    </row>
    <row r="4173" spans="2:2" x14ac:dyDescent="0.2">
      <c r="B4173"/>
    </row>
    <row r="4174" spans="2:2" x14ac:dyDescent="0.2">
      <c r="B4174"/>
    </row>
    <row r="4175" spans="2:2" x14ac:dyDescent="0.2">
      <c r="B4175"/>
    </row>
    <row r="4176" spans="2:2" x14ac:dyDescent="0.2">
      <c r="B4176"/>
    </row>
    <row r="4177" spans="2:2" x14ac:dyDescent="0.2">
      <c r="B4177"/>
    </row>
    <row r="4178" spans="2:2" x14ac:dyDescent="0.2">
      <c r="B4178"/>
    </row>
    <row r="4179" spans="2:2" x14ac:dyDescent="0.2">
      <c r="B4179"/>
    </row>
    <row r="4180" spans="2:2" x14ac:dyDescent="0.2">
      <c r="B4180"/>
    </row>
    <row r="4181" spans="2:2" x14ac:dyDescent="0.2">
      <c r="B4181"/>
    </row>
    <row r="4182" spans="2:2" x14ac:dyDescent="0.2">
      <c r="B4182"/>
    </row>
    <row r="4183" spans="2:2" x14ac:dyDescent="0.2">
      <c r="B4183"/>
    </row>
    <row r="4184" spans="2:2" x14ac:dyDescent="0.2">
      <c r="B4184"/>
    </row>
    <row r="4185" spans="2:2" x14ac:dyDescent="0.2">
      <c r="B4185"/>
    </row>
    <row r="4186" spans="2:2" x14ac:dyDescent="0.2">
      <c r="B4186"/>
    </row>
    <row r="4187" spans="2:2" x14ac:dyDescent="0.2">
      <c r="B4187"/>
    </row>
    <row r="4188" spans="2:2" x14ac:dyDescent="0.2">
      <c r="B4188"/>
    </row>
    <row r="4189" spans="2:2" x14ac:dyDescent="0.2">
      <c r="B4189"/>
    </row>
    <row r="4190" spans="2:2" x14ac:dyDescent="0.2">
      <c r="B4190"/>
    </row>
    <row r="4191" spans="2:2" x14ac:dyDescent="0.2">
      <c r="B4191"/>
    </row>
    <row r="4192" spans="2:2" x14ac:dyDescent="0.2">
      <c r="B4192"/>
    </row>
    <row r="4193" spans="2:2" x14ac:dyDescent="0.2">
      <c r="B4193"/>
    </row>
    <row r="4194" spans="2:2" x14ac:dyDescent="0.2">
      <c r="B4194"/>
    </row>
    <row r="4195" spans="2:2" x14ac:dyDescent="0.2">
      <c r="B4195"/>
    </row>
    <row r="4196" spans="2:2" x14ac:dyDescent="0.2">
      <c r="B4196"/>
    </row>
    <row r="4197" spans="2:2" x14ac:dyDescent="0.2">
      <c r="B4197"/>
    </row>
    <row r="4198" spans="2:2" x14ac:dyDescent="0.2">
      <c r="B4198"/>
    </row>
    <row r="4199" spans="2:2" x14ac:dyDescent="0.2">
      <c r="B4199"/>
    </row>
    <row r="4200" spans="2:2" x14ac:dyDescent="0.2">
      <c r="B4200"/>
    </row>
    <row r="4201" spans="2:2" x14ac:dyDescent="0.2">
      <c r="B4201"/>
    </row>
    <row r="4202" spans="2:2" x14ac:dyDescent="0.2">
      <c r="B4202"/>
    </row>
    <row r="4203" spans="2:2" x14ac:dyDescent="0.2">
      <c r="B4203"/>
    </row>
    <row r="4204" spans="2:2" x14ac:dyDescent="0.2">
      <c r="B4204"/>
    </row>
    <row r="4205" spans="2:2" x14ac:dyDescent="0.2">
      <c r="B4205"/>
    </row>
    <row r="4206" spans="2:2" x14ac:dyDescent="0.2">
      <c r="B4206"/>
    </row>
    <row r="4207" spans="2:2" x14ac:dyDescent="0.2">
      <c r="B4207"/>
    </row>
    <row r="4208" spans="2:2" x14ac:dyDescent="0.2">
      <c r="B4208"/>
    </row>
    <row r="4209" spans="2:2" x14ac:dyDescent="0.2">
      <c r="B4209"/>
    </row>
    <row r="4210" spans="2:2" x14ac:dyDescent="0.2">
      <c r="B4210"/>
    </row>
    <row r="4211" spans="2:2" x14ac:dyDescent="0.2">
      <c r="B4211"/>
    </row>
    <row r="4212" spans="2:2" x14ac:dyDescent="0.2">
      <c r="B4212"/>
    </row>
    <row r="4213" spans="2:2" x14ac:dyDescent="0.2">
      <c r="B4213"/>
    </row>
    <row r="4214" spans="2:2" x14ac:dyDescent="0.2">
      <c r="B4214"/>
    </row>
    <row r="4215" spans="2:2" x14ac:dyDescent="0.2">
      <c r="B4215"/>
    </row>
    <row r="4216" spans="2:2" x14ac:dyDescent="0.2">
      <c r="B4216"/>
    </row>
    <row r="4217" spans="2:2" x14ac:dyDescent="0.2">
      <c r="B4217"/>
    </row>
    <row r="4218" spans="2:2" x14ac:dyDescent="0.2">
      <c r="B4218"/>
    </row>
    <row r="4219" spans="2:2" x14ac:dyDescent="0.2">
      <c r="B4219"/>
    </row>
    <row r="4220" spans="2:2" x14ac:dyDescent="0.2">
      <c r="B4220"/>
    </row>
    <row r="4221" spans="2:2" x14ac:dyDescent="0.2">
      <c r="B4221"/>
    </row>
    <row r="4222" spans="2:2" x14ac:dyDescent="0.2">
      <c r="B4222"/>
    </row>
    <row r="4223" spans="2:2" x14ac:dyDescent="0.2">
      <c r="B4223"/>
    </row>
    <row r="4224" spans="2:2" x14ac:dyDescent="0.2">
      <c r="B4224"/>
    </row>
    <row r="4225" spans="2:2" x14ac:dyDescent="0.2">
      <c r="B4225"/>
    </row>
    <row r="4226" spans="2:2" x14ac:dyDescent="0.2">
      <c r="B4226"/>
    </row>
    <row r="4227" spans="2:2" x14ac:dyDescent="0.2">
      <c r="B4227"/>
    </row>
    <row r="4228" spans="2:2" x14ac:dyDescent="0.2">
      <c r="B4228"/>
    </row>
    <row r="4229" spans="2:2" x14ac:dyDescent="0.2">
      <c r="B4229"/>
    </row>
    <row r="4230" spans="2:2" x14ac:dyDescent="0.2">
      <c r="B4230"/>
    </row>
    <row r="4231" spans="2:2" x14ac:dyDescent="0.2">
      <c r="B4231"/>
    </row>
    <row r="4232" spans="2:2" x14ac:dyDescent="0.2">
      <c r="B4232"/>
    </row>
    <row r="4233" spans="2:2" x14ac:dyDescent="0.2">
      <c r="B4233"/>
    </row>
    <row r="4234" spans="2:2" x14ac:dyDescent="0.2">
      <c r="B4234"/>
    </row>
    <row r="4235" spans="2:2" x14ac:dyDescent="0.2">
      <c r="B4235"/>
    </row>
    <row r="4236" spans="2:2" x14ac:dyDescent="0.2">
      <c r="B4236"/>
    </row>
    <row r="4237" spans="2:2" x14ac:dyDescent="0.2">
      <c r="B4237"/>
    </row>
    <row r="4238" spans="2:2" x14ac:dyDescent="0.2">
      <c r="B4238"/>
    </row>
    <row r="4239" spans="2:2" x14ac:dyDescent="0.2">
      <c r="B4239"/>
    </row>
    <row r="4240" spans="2:2" x14ac:dyDescent="0.2">
      <c r="B4240"/>
    </row>
    <row r="4241" spans="2:2" x14ac:dyDescent="0.2">
      <c r="B4241"/>
    </row>
    <row r="4242" spans="2:2" x14ac:dyDescent="0.2">
      <c r="B4242"/>
    </row>
    <row r="4243" spans="2:2" x14ac:dyDescent="0.2">
      <c r="B4243"/>
    </row>
    <row r="4244" spans="2:2" x14ac:dyDescent="0.2">
      <c r="B4244"/>
    </row>
    <row r="4245" spans="2:2" x14ac:dyDescent="0.2">
      <c r="B4245"/>
    </row>
    <row r="4246" spans="2:2" x14ac:dyDescent="0.2">
      <c r="B4246"/>
    </row>
    <row r="4247" spans="2:2" x14ac:dyDescent="0.2">
      <c r="B4247"/>
    </row>
    <row r="4248" spans="2:2" x14ac:dyDescent="0.2">
      <c r="B4248"/>
    </row>
    <row r="4249" spans="2:2" x14ac:dyDescent="0.2">
      <c r="B4249"/>
    </row>
    <row r="4250" spans="2:2" x14ac:dyDescent="0.2">
      <c r="B4250"/>
    </row>
    <row r="4251" spans="2:2" x14ac:dyDescent="0.2">
      <c r="B4251"/>
    </row>
    <row r="4252" spans="2:2" x14ac:dyDescent="0.2">
      <c r="B4252"/>
    </row>
    <row r="4253" spans="2:2" x14ac:dyDescent="0.2">
      <c r="B4253"/>
    </row>
    <row r="4254" spans="2:2" x14ac:dyDescent="0.2">
      <c r="B4254"/>
    </row>
    <row r="4255" spans="2:2" x14ac:dyDescent="0.2">
      <c r="B4255"/>
    </row>
    <row r="4256" spans="2:2" x14ac:dyDescent="0.2">
      <c r="B4256"/>
    </row>
    <row r="4257" spans="2:2" x14ac:dyDescent="0.2">
      <c r="B4257"/>
    </row>
    <row r="4258" spans="2:2" x14ac:dyDescent="0.2">
      <c r="B4258"/>
    </row>
    <row r="4259" spans="2:2" x14ac:dyDescent="0.2">
      <c r="B4259"/>
    </row>
    <row r="4260" spans="2:2" x14ac:dyDescent="0.2">
      <c r="B4260"/>
    </row>
    <row r="4261" spans="2:2" x14ac:dyDescent="0.2">
      <c r="B4261"/>
    </row>
    <row r="4262" spans="2:2" x14ac:dyDescent="0.2">
      <c r="B4262"/>
    </row>
    <row r="4263" spans="2:2" x14ac:dyDescent="0.2">
      <c r="B4263"/>
    </row>
    <row r="4264" spans="2:2" x14ac:dyDescent="0.2">
      <c r="B4264"/>
    </row>
    <row r="4265" spans="2:2" x14ac:dyDescent="0.2">
      <c r="B4265"/>
    </row>
    <row r="4266" spans="2:2" x14ac:dyDescent="0.2">
      <c r="B4266"/>
    </row>
    <row r="4267" spans="2:2" x14ac:dyDescent="0.2">
      <c r="B4267"/>
    </row>
    <row r="4268" spans="2:2" x14ac:dyDescent="0.2">
      <c r="B4268"/>
    </row>
    <row r="4269" spans="2:2" x14ac:dyDescent="0.2">
      <c r="B4269"/>
    </row>
    <row r="4270" spans="2:2" x14ac:dyDescent="0.2">
      <c r="B4270"/>
    </row>
    <row r="4271" spans="2:2" x14ac:dyDescent="0.2">
      <c r="B4271"/>
    </row>
    <row r="4272" spans="2:2" x14ac:dyDescent="0.2">
      <c r="B4272"/>
    </row>
    <row r="4273" spans="2:2" x14ac:dyDescent="0.2">
      <c r="B4273"/>
    </row>
    <row r="4274" spans="2:2" x14ac:dyDescent="0.2">
      <c r="B4274"/>
    </row>
    <row r="4275" spans="2:2" x14ac:dyDescent="0.2">
      <c r="B4275"/>
    </row>
    <row r="4276" spans="2:2" x14ac:dyDescent="0.2">
      <c r="B4276"/>
    </row>
    <row r="4277" spans="2:2" x14ac:dyDescent="0.2">
      <c r="B4277"/>
    </row>
    <row r="4278" spans="2:2" x14ac:dyDescent="0.2">
      <c r="B4278"/>
    </row>
    <row r="4279" spans="2:2" x14ac:dyDescent="0.2">
      <c r="B4279"/>
    </row>
    <row r="4280" spans="2:2" x14ac:dyDescent="0.2">
      <c r="B4280"/>
    </row>
    <row r="4281" spans="2:2" x14ac:dyDescent="0.2">
      <c r="B4281"/>
    </row>
    <row r="4282" spans="2:2" x14ac:dyDescent="0.2">
      <c r="B4282"/>
    </row>
    <row r="4283" spans="2:2" x14ac:dyDescent="0.2">
      <c r="B4283"/>
    </row>
    <row r="4284" spans="2:2" x14ac:dyDescent="0.2">
      <c r="B4284"/>
    </row>
    <row r="4285" spans="2:2" x14ac:dyDescent="0.2">
      <c r="B4285"/>
    </row>
    <row r="4286" spans="2:2" x14ac:dyDescent="0.2">
      <c r="B4286"/>
    </row>
    <row r="4287" spans="2:2" x14ac:dyDescent="0.2">
      <c r="B4287"/>
    </row>
    <row r="4288" spans="2:2" x14ac:dyDescent="0.2">
      <c r="B4288"/>
    </row>
    <row r="4289" spans="2:2" x14ac:dyDescent="0.2">
      <c r="B4289"/>
    </row>
    <row r="4290" spans="2:2" x14ac:dyDescent="0.2">
      <c r="B4290"/>
    </row>
    <row r="4291" spans="2:2" x14ac:dyDescent="0.2">
      <c r="B4291"/>
    </row>
    <row r="4292" spans="2:2" x14ac:dyDescent="0.2">
      <c r="B4292"/>
    </row>
    <row r="4293" spans="2:2" x14ac:dyDescent="0.2">
      <c r="B4293"/>
    </row>
    <row r="4294" spans="2:2" x14ac:dyDescent="0.2">
      <c r="B4294"/>
    </row>
    <row r="4295" spans="2:2" x14ac:dyDescent="0.2">
      <c r="B4295"/>
    </row>
    <row r="4296" spans="2:2" x14ac:dyDescent="0.2">
      <c r="B4296"/>
    </row>
    <row r="4297" spans="2:2" x14ac:dyDescent="0.2">
      <c r="B4297"/>
    </row>
    <row r="4298" spans="2:2" x14ac:dyDescent="0.2">
      <c r="B4298"/>
    </row>
    <row r="4299" spans="2:2" x14ac:dyDescent="0.2">
      <c r="B4299"/>
    </row>
    <row r="4300" spans="2:2" x14ac:dyDescent="0.2">
      <c r="B4300"/>
    </row>
    <row r="4301" spans="2:2" x14ac:dyDescent="0.2">
      <c r="B4301"/>
    </row>
    <row r="4302" spans="2:2" x14ac:dyDescent="0.2">
      <c r="B4302"/>
    </row>
    <row r="4303" spans="2:2" x14ac:dyDescent="0.2">
      <c r="B4303"/>
    </row>
    <row r="4304" spans="2:2" x14ac:dyDescent="0.2">
      <c r="B4304"/>
    </row>
    <row r="4305" spans="2:2" x14ac:dyDescent="0.2">
      <c r="B4305"/>
    </row>
    <row r="4306" spans="2:2" x14ac:dyDescent="0.2">
      <c r="B4306"/>
    </row>
    <row r="4307" spans="2:2" x14ac:dyDescent="0.2">
      <c r="B4307"/>
    </row>
    <row r="4308" spans="2:2" x14ac:dyDescent="0.2">
      <c r="B4308"/>
    </row>
    <row r="4309" spans="2:2" x14ac:dyDescent="0.2">
      <c r="B4309"/>
    </row>
    <row r="4310" spans="2:2" x14ac:dyDescent="0.2">
      <c r="B4310"/>
    </row>
    <row r="4311" spans="2:2" x14ac:dyDescent="0.2">
      <c r="B4311"/>
    </row>
    <row r="4312" spans="2:2" x14ac:dyDescent="0.2">
      <c r="B4312"/>
    </row>
    <row r="4313" spans="2:2" x14ac:dyDescent="0.2">
      <c r="B4313"/>
    </row>
    <row r="4314" spans="2:2" x14ac:dyDescent="0.2">
      <c r="B4314"/>
    </row>
    <row r="4315" spans="2:2" x14ac:dyDescent="0.2">
      <c r="B4315"/>
    </row>
    <row r="4316" spans="2:2" x14ac:dyDescent="0.2">
      <c r="B4316"/>
    </row>
    <row r="4317" spans="2:2" x14ac:dyDescent="0.2">
      <c r="B4317"/>
    </row>
    <row r="4318" spans="2:2" x14ac:dyDescent="0.2">
      <c r="B4318"/>
    </row>
    <row r="4319" spans="2:2" x14ac:dyDescent="0.2">
      <c r="B4319"/>
    </row>
    <row r="4320" spans="2:2" x14ac:dyDescent="0.2">
      <c r="B4320"/>
    </row>
    <row r="4321" spans="2:2" x14ac:dyDescent="0.2">
      <c r="B4321"/>
    </row>
    <row r="4322" spans="2:2" x14ac:dyDescent="0.2">
      <c r="B4322"/>
    </row>
    <row r="4323" spans="2:2" x14ac:dyDescent="0.2">
      <c r="B4323"/>
    </row>
    <row r="4324" spans="2:2" x14ac:dyDescent="0.2">
      <c r="B4324"/>
    </row>
    <row r="4325" spans="2:2" x14ac:dyDescent="0.2">
      <c r="B4325"/>
    </row>
    <row r="4326" spans="2:2" x14ac:dyDescent="0.2">
      <c r="B4326"/>
    </row>
    <row r="4327" spans="2:2" x14ac:dyDescent="0.2">
      <c r="B4327"/>
    </row>
    <row r="4328" spans="2:2" x14ac:dyDescent="0.2">
      <c r="B4328"/>
    </row>
    <row r="4329" spans="2:2" x14ac:dyDescent="0.2">
      <c r="B4329"/>
    </row>
    <row r="4330" spans="2:2" x14ac:dyDescent="0.2">
      <c r="B4330"/>
    </row>
    <row r="4331" spans="2:2" x14ac:dyDescent="0.2">
      <c r="B4331"/>
    </row>
    <row r="4332" spans="2:2" x14ac:dyDescent="0.2">
      <c r="B4332"/>
    </row>
    <row r="4333" spans="2:2" x14ac:dyDescent="0.2">
      <c r="B4333"/>
    </row>
    <row r="4334" spans="2:2" x14ac:dyDescent="0.2">
      <c r="B4334"/>
    </row>
    <row r="4335" spans="2:2" x14ac:dyDescent="0.2">
      <c r="B4335"/>
    </row>
    <row r="4336" spans="2:2" x14ac:dyDescent="0.2">
      <c r="B4336"/>
    </row>
    <row r="4337" spans="2:2" x14ac:dyDescent="0.2">
      <c r="B4337"/>
    </row>
    <row r="4338" spans="2:2" x14ac:dyDescent="0.2">
      <c r="B4338"/>
    </row>
    <row r="4339" spans="2:2" x14ac:dyDescent="0.2">
      <c r="B4339"/>
    </row>
    <row r="4340" spans="2:2" x14ac:dyDescent="0.2">
      <c r="B4340"/>
    </row>
    <row r="4341" spans="2:2" x14ac:dyDescent="0.2">
      <c r="B4341"/>
    </row>
    <row r="4342" spans="2:2" x14ac:dyDescent="0.2">
      <c r="B4342"/>
    </row>
    <row r="4343" spans="2:2" x14ac:dyDescent="0.2">
      <c r="B4343"/>
    </row>
    <row r="4344" spans="2:2" x14ac:dyDescent="0.2">
      <c r="B4344"/>
    </row>
    <row r="4345" spans="2:2" x14ac:dyDescent="0.2">
      <c r="B4345"/>
    </row>
    <row r="4346" spans="2:2" x14ac:dyDescent="0.2">
      <c r="B4346"/>
    </row>
    <row r="4347" spans="2:2" x14ac:dyDescent="0.2">
      <c r="B4347"/>
    </row>
    <row r="4348" spans="2:2" x14ac:dyDescent="0.2">
      <c r="B4348"/>
    </row>
    <row r="4349" spans="2:2" x14ac:dyDescent="0.2">
      <c r="B4349"/>
    </row>
    <row r="4350" spans="2:2" x14ac:dyDescent="0.2">
      <c r="B4350"/>
    </row>
    <row r="4351" spans="2:2" x14ac:dyDescent="0.2">
      <c r="B4351"/>
    </row>
    <row r="4352" spans="2:2" x14ac:dyDescent="0.2">
      <c r="B4352"/>
    </row>
    <row r="4353" spans="2:2" x14ac:dyDescent="0.2">
      <c r="B4353"/>
    </row>
    <row r="4354" spans="2:2" x14ac:dyDescent="0.2">
      <c r="B4354"/>
    </row>
    <row r="4355" spans="2:2" x14ac:dyDescent="0.2">
      <c r="B4355"/>
    </row>
    <row r="4356" spans="2:2" x14ac:dyDescent="0.2">
      <c r="B4356"/>
    </row>
    <row r="4357" spans="2:2" x14ac:dyDescent="0.2">
      <c r="B4357"/>
    </row>
    <row r="4358" spans="2:2" x14ac:dyDescent="0.2">
      <c r="B4358"/>
    </row>
    <row r="4359" spans="2:2" x14ac:dyDescent="0.2">
      <c r="B4359"/>
    </row>
    <row r="4360" spans="2:2" x14ac:dyDescent="0.2">
      <c r="B4360"/>
    </row>
    <row r="4361" spans="2:2" x14ac:dyDescent="0.2">
      <c r="B4361"/>
    </row>
    <row r="4362" spans="2:2" x14ac:dyDescent="0.2">
      <c r="B4362"/>
    </row>
    <row r="4363" spans="2:2" x14ac:dyDescent="0.2">
      <c r="B4363"/>
    </row>
    <row r="4364" spans="2:2" x14ac:dyDescent="0.2">
      <c r="B4364"/>
    </row>
    <row r="4365" spans="2:2" x14ac:dyDescent="0.2">
      <c r="B4365"/>
    </row>
    <row r="4366" spans="2:2" x14ac:dyDescent="0.2">
      <c r="B4366"/>
    </row>
    <row r="4367" spans="2:2" x14ac:dyDescent="0.2">
      <c r="B4367"/>
    </row>
    <row r="4368" spans="2:2" x14ac:dyDescent="0.2">
      <c r="B4368"/>
    </row>
    <row r="4369" spans="2:2" x14ac:dyDescent="0.2">
      <c r="B4369"/>
    </row>
    <row r="4370" spans="2:2" x14ac:dyDescent="0.2">
      <c r="B4370"/>
    </row>
    <row r="4371" spans="2:2" x14ac:dyDescent="0.2">
      <c r="B4371"/>
    </row>
    <row r="4372" spans="2:2" x14ac:dyDescent="0.2">
      <c r="B4372"/>
    </row>
    <row r="4373" spans="2:2" x14ac:dyDescent="0.2">
      <c r="B4373"/>
    </row>
    <row r="4374" spans="2:2" x14ac:dyDescent="0.2">
      <c r="B4374"/>
    </row>
    <row r="4375" spans="2:2" x14ac:dyDescent="0.2">
      <c r="B4375"/>
    </row>
    <row r="4376" spans="2:2" x14ac:dyDescent="0.2">
      <c r="B4376"/>
    </row>
    <row r="4377" spans="2:2" x14ac:dyDescent="0.2">
      <c r="B4377"/>
    </row>
    <row r="4378" spans="2:2" x14ac:dyDescent="0.2">
      <c r="B4378"/>
    </row>
    <row r="4379" spans="2:2" x14ac:dyDescent="0.2">
      <c r="B4379"/>
    </row>
    <row r="4380" spans="2:2" x14ac:dyDescent="0.2">
      <c r="B4380"/>
    </row>
    <row r="4381" spans="2:2" x14ac:dyDescent="0.2">
      <c r="B4381"/>
    </row>
    <row r="4382" spans="2:2" x14ac:dyDescent="0.2">
      <c r="B4382"/>
    </row>
    <row r="4383" spans="2:2" x14ac:dyDescent="0.2">
      <c r="B4383"/>
    </row>
    <row r="4384" spans="2:2" x14ac:dyDescent="0.2">
      <c r="B4384"/>
    </row>
    <row r="4385" spans="2:2" x14ac:dyDescent="0.2">
      <c r="B4385"/>
    </row>
    <row r="4386" spans="2:2" x14ac:dyDescent="0.2">
      <c r="B4386"/>
    </row>
    <row r="4387" spans="2:2" x14ac:dyDescent="0.2">
      <c r="B4387"/>
    </row>
    <row r="4388" spans="2:2" x14ac:dyDescent="0.2">
      <c r="B4388"/>
    </row>
    <row r="4389" spans="2:2" x14ac:dyDescent="0.2">
      <c r="B4389"/>
    </row>
    <row r="4390" spans="2:2" x14ac:dyDescent="0.2">
      <c r="B4390"/>
    </row>
    <row r="4391" spans="2:2" x14ac:dyDescent="0.2">
      <c r="B4391"/>
    </row>
    <row r="4392" spans="2:2" x14ac:dyDescent="0.2">
      <c r="B4392"/>
    </row>
    <row r="4393" spans="2:2" x14ac:dyDescent="0.2">
      <c r="B4393"/>
    </row>
    <row r="4394" spans="2:2" x14ac:dyDescent="0.2">
      <c r="B4394"/>
    </row>
    <row r="4395" spans="2:2" x14ac:dyDescent="0.2">
      <c r="B4395"/>
    </row>
    <row r="4396" spans="2:2" x14ac:dyDescent="0.2">
      <c r="B4396"/>
    </row>
    <row r="4397" spans="2:2" x14ac:dyDescent="0.2">
      <c r="B4397"/>
    </row>
    <row r="4398" spans="2:2" x14ac:dyDescent="0.2">
      <c r="B4398"/>
    </row>
    <row r="4399" spans="2:2" x14ac:dyDescent="0.2">
      <c r="B4399"/>
    </row>
    <row r="4400" spans="2:2" x14ac:dyDescent="0.2">
      <c r="B4400"/>
    </row>
    <row r="4401" spans="2:2" x14ac:dyDescent="0.2">
      <c r="B4401"/>
    </row>
    <row r="4402" spans="2:2" x14ac:dyDescent="0.2">
      <c r="B4402"/>
    </row>
    <row r="4403" spans="2:2" x14ac:dyDescent="0.2">
      <c r="B4403"/>
    </row>
    <row r="4404" spans="2:2" x14ac:dyDescent="0.2">
      <c r="B4404"/>
    </row>
    <row r="4405" spans="2:2" x14ac:dyDescent="0.2">
      <c r="B4405"/>
    </row>
    <row r="4406" spans="2:2" x14ac:dyDescent="0.2">
      <c r="B4406"/>
    </row>
    <row r="4407" spans="2:2" x14ac:dyDescent="0.2">
      <c r="B4407"/>
    </row>
    <row r="4408" spans="2:2" x14ac:dyDescent="0.2">
      <c r="B4408"/>
    </row>
    <row r="4409" spans="2:2" x14ac:dyDescent="0.2">
      <c r="B4409"/>
    </row>
    <row r="4410" spans="2:2" x14ac:dyDescent="0.2">
      <c r="B4410"/>
    </row>
    <row r="4411" spans="2:2" x14ac:dyDescent="0.2">
      <c r="B4411"/>
    </row>
    <row r="4412" spans="2:2" x14ac:dyDescent="0.2">
      <c r="B4412"/>
    </row>
    <row r="4413" spans="2:2" x14ac:dyDescent="0.2">
      <c r="B4413"/>
    </row>
    <row r="4414" spans="2:2" x14ac:dyDescent="0.2">
      <c r="B4414"/>
    </row>
    <row r="4415" spans="2:2" x14ac:dyDescent="0.2">
      <c r="B4415"/>
    </row>
    <row r="4416" spans="2:2" x14ac:dyDescent="0.2">
      <c r="B4416"/>
    </row>
    <row r="4417" spans="2:2" x14ac:dyDescent="0.2">
      <c r="B4417"/>
    </row>
    <row r="4418" spans="2:2" x14ac:dyDescent="0.2">
      <c r="B4418"/>
    </row>
    <row r="4419" spans="2:2" x14ac:dyDescent="0.2">
      <c r="B4419"/>
    </row>
    <row r="4420" spans="2:2" x14ac:dyDescent="0.2">
      <c r="B4420"/>
    </row>
    <row r="4421" spans="2:2" x14ac:dyDescent="0.2">
      <c r="B4421"/>
    </row>
    <row r="4422" spans="2:2" x14ac:dyDescent="0.2">
      <c r="B4422"/>
    </row>
    <row r="4423" spans="2:2" x14ac:dyDescent="0.2">
      <c r="B4423"/>
    </row>
    <row r="4424" spans="2:2" x14ac:dyDescent="0.2">
      <c r="B4424"/>
    </row>
    <row r="4425" spans="2:2" x14ac:dyDescent="0.2">
      <c r="B4425"/>
    </row>
    <row r="4426" spans="2:2" x14ac:dyDescent="0.2">
      <c r="B4426"/>
    </row>
    <row r="4427" spans="2:2" x14ac:dyDescent="0.2">
      <c r="B4427"/>
    </row>
    <row r="4428" spans="2:2" x14ac:dyDescent="0.2">
      <c r="B4428"/>
    </row>
    <row r="4429" spans="2:2" x14ac:dyDescent="0.2">
      <c r="B4429"/>
    </row>
    <row r="4430" spans="2:2" x14ac:dyDescent="0.2">
      <c r="B4430"/>
    </row>
    <row r="4431" spans="2:2" x14ac:dyDescent="0.2">
      <c r="B4431"/>
    </row>
    <row r="4432" spans="2:2" x14ac:dyDescent="0.2">
      <c r="B4432"/>
    </row>
    <row r="4433" spans="2:2" x14ac:dyDescent="0.2">
      <c r="B4433"/>
    </row>
    <row r="4434" spans="2:2" x14ac:dyDescent="0.2">
      <c r="B4434"/>
    </row>
    <row r="4435" spans="2:2" x14ac:dyDescent="0.2">
      <c r="B4435"/>
    </row>
    <row r="4436" spans="2:2" x14ac:dyDescent="0.2">
      <c r="B4436"/>
    </row>
    <row r="4437" spans="2:2" x14ac:dyDescent="0.2">
      <c r="B4437"/>
    </row>
    <row r="4438" spans="2:2" x14ac:dyDescent="0.2">
      <c r="B4438"/>
    </row>
    <row r="4439" spans="2:2" x14ac:dyDescent="0.2">
      <c r="B4439"/>
    </row>
    <row r="4440" spans="2:2" x14ac:dyDescent="0.2">
      <c r="B4440"/>
    </row>
    <row r="4441" spans="2:2" x14ac:dyDescent="0.2">
      <c r="B4441"/>
    </row>
    <row r="4442" spans="2:2" x14ac:dyDescent="0.2">
      <c r="B4442"/>
    </row>
    <row r="4443" spans="2:2" x14ac:dyDescent="0.2">
      <c r="B4443"/>
    </row>
    <row r="4444" spans="2:2" x14ac:dyDescent="0.2">
      <c r="B4444"/>
    </row>
    <row r="4445" spans="2:2" x14ac:dyDescent="0.2">
      <c r="B4445"/>
    </row>
    <row r="4446" spans="2:2" x14ac:dyDescent="0.2">
      <c r="B4446"/>
    </row>
    <row r="4447" spans="2:2" x14ac:dyDescent="0.2">
      <c r="B4447"/>
    </row>
    <row r="4448" spans="2:2" x14ac:dyDescent="0.2">
      <c r="B4448"/>
    </row>
    <row r="4449" spans="2:2" x14ac:dyDescent="0.2">
      <c r="B4449"/>
    </row>
    <row r="4450" spans="2:2" x14ac:dyDescent="0.2">
      <c r="B4450"/>
    </row>
    <row r="4451" spans="2:2" x14ac:dyDescent="0.2">
      <c r="B4451"/>
    </row>
    <row r="4452" spans="2:2" x14ac:dyDescent="0.2">
      <c r="B4452"/>
    </row>
    <row r="4453" spans="2:2" x14ac:dyDescent="0.2">
      <c r="B4453"/>
    </row>
    <row r="4454" spans="2:2" x14ac:dyDescent="0.2">
      <c r="B4454"/>
    </row>
    <row r="4455" spans="2:2" x14ac:dyDescent="0.2">
      <c r="B4455"/>
    </row>
    <row r="4456" spans="2:2" x14ac:dyDescent="0.2">
      <c r="B4456"/>
    </row>
    <row r="4457" spans="2:2" x14ac:dyDescent="0.2">
      <c r="B4457"/>
    </row>
    <row r="4458" spans="2:2" x14ac:dyDescent="0.2">
      <c r="B4458"/>
    </row>
    <row r="4459" spans="2:2" x14ac:dyDescent="0.2">
      <c r="B4459"/>
    </row>
    <row r="4460" spans="2:2" x14ac:dyDescent="0.2">
      <c r="B4460"/>
    </row>
    <row r="4461" spans="2:2" x14ac:dyDescent="0.2">
      <c r="B4461"/>
    </row>
    <row r="4462" spans="2:2" x14ac:dyDescent="0.2">
      <c r="B4462"/>
    </row>
    <row r="4463" spans="2:2" x14ac:dyDescent="0.2">
      <c r="B4463"/>
    </row>
    <row r="4464" spans="2:2" x14ac:dyDescent="0.2">
      <c r="B4464"/>
    </row>
    <row r="4465" spans="2:2" x14ac:dyDescent="0.2">
      <c r="B4465"/>
    </row>
    <row r="4466" spans="2:2" x14ac:dyDescent="0.2">
      <c r="B4466"/>
    </row>
    <row r="4467" spans="2:2" x14ac:dyDescent="0.2">
      <c r="B4467"/>
    </row>
    <row r="4468" spans="2:2" x14ac:dyDescent="0.2">
      <c r="B4468"/>
    </row>
    <row r="4469" spans="2:2" x14ac:dyDescent="0.2">
      <c r="B4469"/>
    </row>
    <row r="4470" spans="2:2" x14ac:dyDescent="0.2">
      <c r="B4470"/>
    </row>
    <row r="4471" spans="2:2" x14ac:dyDescent="0.2">
      <c r="B4471"/>
    </row>
    <row r="4472" spans="2:2" x14ac:dyDescent="0.2">
      <c r="B4472"/>
    </row>
    <row r="4473" spans="2:2" x14ac:dyDescent="0.2">
      <c r="B4473"/>
    </row>
    <row r="4474" spans="2:2" x14ac:dyDescent="0.2">
      <c r="B4474"/>
    </row>
    <row r="4475" spans="2:2" x14ac:dyDescent="0.2">
      <c r="B4475"/>
    </row>
    <row r="4476" spans="2:2" x14ac:dyDescent="0.2">
      <c r="B4476"/>
    </row>
    <row r="4477" spans="2:2" x14ac:dyDescent="0.2">
      <c r="B4477"/>
    </row>
    <row r="4478" spans="2:2" x14ac:dyDescent="0.2">
      <c r="B4478"/>
    </row>
    <row r="4479" spans="2:2" x14ac:dyDescent="0.2">
      <c r="B4479"/>
    </row>
    <row r="4480" spans="2:2" x14ac:dyDescent="0.2">
      <c r="B4480"/>
    </row>
    <row r="4481" spans="2:2" x14ac:dyDescent="0.2">
      <c r="B4481"/>
    </row>
    <row r="4482" spans="2:2" x14ac:dyDescent="0.2">
      <c r="B4482"/>
    </row>
    <row r="4483" spans="2:2" x14ac:dyDescent="0.2">
      <c r="B4483"/>
    </row>
    <row r="4484" spans="2:2" x14ac:dyDescent="0.2">
      <c r="B4484"/>
    </row>
    <row r="4485" spans="2:2" x14ac:dyDescent="0.2">
      <c r="B4485"/>
    </row>
    <row r="4486" spans="2:2" x14ac:dyDescent="0.2">
      <c r="B4486"/>
    </row>
    <row r="4487" spans="2:2" x14ac:dyDescent="0.2">
      <c r="B4487"/>
    </row>
    <row r="4488" spans="2:2" x14ac:dyDescent="0.2">
      <c r="B4488"/>
    </row>
    <row r="4489" spans="2:2" x14ac:dyDescent="0.2">
      <c r="B4489"/>
    </row>
    <row r="4490" spans="2:2" x14ac:dyDescent="0.2">
      <c r="B4490"/>
    </row>
    <row r="4491" spans="2:2" x14ac:dyDescent="0.2">
      <c r="B4491"/>
    </row>
    <row r="4492" spans="2:2" x14ac:dyDescent="0.2">
      <c r="B4492"/>
    </row>
    <row r="4493" spans="2:2" x14ac:dyDescent="0.2">
      <c r="B4493"/>
    </row>
    <row r="4494" spans="2:2" x14ac:dyDescent="0.2">
      <c r="B4494"/>
    </row>
    <row r="4495" spans="2:2" x14ac:dyDescent="0.2">
      <c r="B4495"/>
    </row>
    <row r="4496" spans="2:2" x14ac:dyDescent="0.2">
      <c r="B4496"/>
    </row>
    <row r="4497" spans="2:2" x14ac:dyDescent="0.2">
      <c r="B4497"/>
    </row>
    <row r="4498" spans="2:2" x14ac:dyDescent="0.2">
      <c r="B4498"/>
    </row>
    <row r="4499" spans="2:2" x14ac:dyDescent="0.2">
      <c r="B4499"/>
    </row>
    <row r="4500" spans="2:2" x14ac:dyDescent="0.2">
      <c r="B4500"/>
    </row>
    <row r="4501" spans="2:2" x14ac:dyDescent="0.2">
      <c r="B4501"/>
    </row>
    <row r="4502" spans="2:2" x14ac:dyDescent="0.2">
      <c r="B4502"/>
    </row>
    <row r="4503" spans="2:2" x14ac:dyDescent="0.2">
      <c r="B4503"/>
    </row>
    <row r="4504" spans="2:2" x14ac:dyDescent="0.2">
      <c r="B4504"/>
    </row>
    <row r="4505" spans="2:2" x14ac:dyDescent="0.2">
      <c r="B4505"/>
    </row>
    <row r="4506" spans="2:2" x14ac:dyDescent="0.2">
      <c r="B4506"/>
    </row>
    <row r="4507" spans="2:2" x14ac:dyDescent="0.2">
      <c r="B4507"/>
    </row>
    <row r="4508" spans="2:2" x14ac:dyDescent="0.2">
      <c r="B4508"/>
    </row>
    <row r="4509" spans="2:2" x14ac:dyDescent="0.2">
      <c r="B4509"/>
    </row>
    <row r="4510" spans="2:2" x14ac:dyDescent="0.2">
      <c r="B4510"/>
    </row>
    <row r="4511" spans="2:2" x14ac:dyDescent="0.2">
      <c r="B4511"/>
    </row>
    <row r="4512" spans="2:2" x14ac:dyDescent="0.2">
      <c r="B4512"/>
    </row>
    <row r="4513" spans="2:2" x14ac:dyDescent="0.2">
      <c r="B4513"/>
    </row>
    <row r="4514" spans="2:2" x14ac:dyDescent="0.2">
      <c r="B4514"/>
    </row>
    <row r="4515" spans="2:2" x14ac:dyDescent="0.2">
      <c r="B4515"/>
    </row>
    <row r="4516" spans="2:2" x14ac:dyDescent="0.2">
      <c r="B4516"/>
    </row>
    <row r="4517" spans="2:2" x14ac:dyDescent="0.2">
      <c r="B4517"/>
    </row>
    <row r="4518" spans="2:2" x14ac:dyDescent="0.2">
      <c r="B4518"/>
    </row>
    <row r="4519" spans="2:2" x14ac:dyDescent="0.2">
      <c r="B4519"/>
    </row>
    <row r="4520" spans="2:2" x14ac:dyDescent="0.2">
      <c r="B4520"/>
    </row>
    <row r="4521" spans="2:2" x14ac:dyDescent="0.2">
      <c r="B4521"/>
    </row>
    <row r="4522" spans="2:2" x14ac:dyDescent="0.2">
      <c r="B4522"/>
    </row>
    <row r="4523" spans="2:2" x14ac:dyDescent="0.2">
      <c r="B4523"/>
    </row>
    <row r="4524" spans="2:2" x14ac:dyDescent="0.2">
      <c r="B4524"/>
    </row>
    <row r="4525" spans="2:2" x14ac:dyDescent="0.2">
      <c r="B4525"/>
    </row>
    <row r="4526" spans="2:2" x14ac:dyDescent="0.2">
      <c r="B4526"/>
    </row>
    <row r="4527" spans="2:2" x14ac:dyDescent="0.2">
      <c r="B4527"/>
    </row>
    <row r="4528" spans="2:2" x14ac:dyDescent="0.2">
      <c r="B4528"/>
    </row>
    <row r="4529" spans="2:2" x14ac:dyDescent="0.2">
      <c r="B4529"/>
    </row>
    <row r="4530" spans="2:2" x14ac:dyDescent="0.2">
      <c r="B4530"/>
    </row>
    <row r="4531" spans="2:2" x14ac:dyDescent="0.2">
      <c r="B4531"/>
    </row>
    <row r="4532" spans="2:2" x14ac:dyDescent="0.2">
      <c r="B4532"/>
    </row>
    <row r="4533" spans="2:2" x14ac:dyDescent="0.2">
      <c r="B4533"/>
    </row>
    <row r="4534" spans="2:2" x14ac:dyDescent="0.2">
      <c r="B4534"/>
    </row>
    <row r="4535" spans="2:2" x14ac:dyDescent="0.2">
      <c r="B4535"/>
    </row>
    <row r="4536" spans="2:2" x14ac:dyDescent="0.2">
      <c r="B4536"/>
    </row>
    <row r="4537" spans="2:2" x14ac:dyDescent="0.2">
      <c r="B4537"/>
    </row>
    <row r="4538" spans="2:2" x14ac:dyDescent="0.2">
      <c r="B4538"/>
    </row>
    <row r="4539" spans="2:2" x14ac:dyDescent="0.2">
      <c r="B4539"/>
    </row>
    <row r="4540" spans="2:2" x14ac:dyDescent="0.2">
      <c r="B4540"/>
    </row>
    <row r="4541" spans="2:2" x14ac:dyDescent="0.2">
      <c r="B4541"/>
    </row>
    <row r="4542" spans="2:2" x14ac:dyDescent="0.2">
      <c r="B4542"/>
    </row>
    <row r="4543" spans="2:2" x14ac:dyDescent="0.2">
      <c r="B4543"/>
    </row>
    <row r="4544" spans="2:2" x14ac:dyDescent="0.2">
      <c r="B4544"/>
    </row>
    <row r="4545" spans="2:2" x14ac:dyDescent="0.2">
      <c r="B4545"/>
    </row>
    <row r="4546" spans="2:2" x14ac:dyDescent="0.2">
      <c r="B4546"/>
    </row>
    <row r="4547" spans="2:2" x14ac:dyDescent="0.2">
      <c r="B4547"/>
    </row>
    <row r="4548" spans="2:2" x14ac:dyDescent="0.2">
      <c r="B4548"/>
    </row>
    <row r="4549" spans="2:2" x14ac:dyDescent="0.2">
      <c r="B4549"/>
    </row>
    <row r="4550" spans="2:2" x14ac:dyDescent="0.2">
      <c r="B4550"/>
    </row>
    <row r="4551" spans="2:2" x14ac:dyDescent="0.2">
      <c r="B4551"/>
    </row>
    <row r="4552" spans="2:2" x14ac:dyDescent="0.2">
      <c r="B4552"/>
    </row>
    <row r="4553" spans="2:2" x14ac:dyDescent="0.2">
      <c r="B4553"/>
    </row>
    <row r="4554" spans="2:2" x14ac:dyDescent="0.2">
      <c r="B4554"/>
    </row>
    <row r="4555" spans="2:2" x14ac:dyDescent="0.2">
      <c r="B4555"/>
    </row>
    <row r="4556" spans="2:2" x14ac:dyDescent="0.2">
      <c r="B4556"/>
    </row>
    <row r="4557" spans="2:2" x14ac:dyDescent="0.2">
      <c r="B4557"/>
    </row>
    <row r="4558" spans="2:2" x14ac:dyDescent="0.2">
      <c r="B4558"/>
    </row>
    <row r="4559" spans="2:2" x14ac:dyDescent="0.2">
      <c r="B4559"/>
    </row>
    <row r="4560" spans="2:2" x14ac:dyDescent="0.2">
      <c r="B4560"/>
    </row>
    <row r="4561" spans="2:2" x14ac:dyDescent="0.2">
      <c r="B4561"/>
    </row>
    <row r="4562" spans="2:2" x14ac:dyDescent="0.2">
      <c r="B4562"/>
    </row>
    <row r="4563" spans="2:2" x14ac:dyDescent="0.2">
      <c r="B4563"/>
    </row>
    <row r="4564" spans="2:2" x14ac:dyDescent="0.2">
      <c r="B4564"/>
    </row>
    <row r="4565" spans="2:2" x14ac:dyDescent="0.2">
      <c r="B4565"/>
    </row>
    <row r="4566" spans="2:2" x14ac:dyDescent="0.2">
      <c r="B4566"/>
    </row>
    <row r="4567" spans="2:2" x14ac:dyDescent="0.2">
      <c r="B4567"/>
    </row>
    <row r="4568" spans="2:2" x14ac:dyDescent="0.2">
      <c r="B4568"/>
    </row>
    <row r="4569" spans="2:2" x14ac:dyDescent="0.2">
      <c r="B4569"/>
    </row>
    <row r="4570" spans="2:2" x14ac:dyDescent="0.2">
      <c r="B4570"/>
    </row>
    <row r="4571" spans="2:2" x14ac:dyDescent="0.2">
      <c r="B4571"/>
    </row>
    <row r="4572" spans="2:2" x14ac:dyDescent="0.2">
      <c r="B4572"/>
    </row>
    <row r="4573" spans="2:2" x14ac:dyDescent="0.2">
      <c r="B4573"/>
    </row>
    <row r="4574" spans="2:2" x14ac:dyDescent="0.2">
      <c r="B4574"/>
    </row>
    <row r="4575" spans="2:2" x14ac:dyDescent="0.2">
      <c r="B4575"/>
    </row>
    <row r="4576" spans="2:2" x14ac:dyDescent="0.2">
      <c r="B4576"/>
    </row>
    <row r="4577" spans="2:2" x14ac:dyDescent="0.2">
      <c r="B4577"/>
    </row>
    <row r="4578" spans="2:2" x14ac:dyDescent="0.2">
      <c r="B4578"/>
    </row>
    <row r="4579" spans="2:2" x14ac:dyDescent="0.2">
      <c r="B4579"/>
    </row>
    <row r="4580" spans="2:2" x14ac:dyDescent="0.2">
      <c r="B4580"/>
    </row>
    <row r="4581" spans="2:2" x14ac:dyDescent="0.2">
      <c r="B4581"/>
    </row>
    <row r="4582" spans="2:2" x14ac:dyDescent="0.2">
      <c r="B4582"/>
    </row>
    <row r="4583" spans="2:2" x14ac:dyDescent="0.2">
      <c r="B4583"/>
    </row>
    <row r="4584" spans="2:2" x14ac:dyDescent="0.2">
      <c r="B4584"/>
    </row>
    <row r="4585" spans="2:2" x14ac:dyDescent="0.2">
      <c r="B4585"/>
    </row>
    <row r="4586" spans="2:2" x14ac:dyDescent="0.2">
      <c r="B4586"/>
    </row>
    <row r="4587" spans="2:2" x14ac:dyDescent="0.2">
      <c r="B4587"/>
    </row>
    <row r="4588" spans="2:2" x14ac:dyDescent="0.2">
      <c r="B4588"/>
    </row>
    <row r="4589" spans="2:2" x14ac:dyDescent="0.2">
      <c r="B4589"/>
    </row>
    <row r="4590" spans="2:2" x14ac:dyDescent="0.2">
      <c r="B4590"/>
    </row>
    <row r="4591" spans="2:2" x14ac:dyDescent="0.2">
      <c r="B4591"/>
    </row>
    <row r="4592" spans="2:2" x14ac:dyDescent="0.2">
      <c r="B4592"/>
    </row>
    <row r="4593" spans="2:2" x14ac:dyDescent="0.2">
      <c r="B4593"/>
    </row>
    <row r="4594" spans="2:2" x14ac:dyDescent="0.2">
      <c r="B4594"/>
    </row>
    <row r="4595" spans="2:2" x14ac:dyDescent="0.2">
      <c r="B4595"/>
    </row>
    <row r="4596" spans="2:2" x14ac:dyDescent="0.2">
      <c r="B4596"/>
    </row>
    <row r="4597" spans="2:2" x14ac:dyDescent="0.2">
      <c r="B4597"/>
    </row>
    <row r="4598" spans="2:2" x14ac:dyDescent="0.2">
      <c r="B4598"/>
    </row>
    <row r="4599" spans="2:2" x14ac:dyDescent="0.2">
      <c r="B4599"/>
    </row>
    <row r="4600" spans="2:2" x14ac:dyDescent="0.2">
      <c r="B4600"/>
    </row>
    <row r="4601" spans="2:2" x14ac:dyDescent="0.2">
      <c r="B4601"/>
    </row>
    <row r="4602" spans="2:2" x14ac:dyDescent="0.2">
      <c r="B4602"/>
    </row>
    <row r="4603" spans="2:2" x14ac:dyDescent="0.2">
      <c r="B4603"/>
    </row>
    <row r="4604" spans="2:2" x14ac:dyDescent="0.2">
      <c r="B4604"/>
    </row>
    <row r="4605" spans="2:2" x14ac:dyDescent="0.2">
      <c r="B4605"/>
    </row>
    <row r="4606" spans="2:2" x14ac:dyDescent="0.2">
      <c r="B4606"/>
    </row>
    <row r="4607" spans="2:2" x14ac:dyDescent="0.2">
      <c r="B4607"/>
    </row>
    <row r="4608" spans="2:2" x14ac:dyDescent="0.2">
      <c r="B4608"/>
    </row>
    <row r="4609" spans="2:2" x14ac:dyDescent="0.2">
      <c r="B4609"/>
    </row>
    <row r="4610" spans="2:2" x14ac:dyDescent="0.2">
      <c r="B4610"/>
    </row>
    <row r="4611" spans="2:2" x14ac:dyDescent="0.2">
      <c r="B4611"/>
    </row>
    <row r="4612" spans="2:2" x14ac:dyDescent="0.2">
      <c r="B4612"/>
    </row>
    <row r="4613" spans="2:2" x14ac:dyDescent="0.2">
      <c r="B4613"/>
    </row>
    <row r="4614" spans="2:2" x14ac:dyDescent="0.2">
      <c r="B4614"/>
    </row>
    <row r="4615" spans="2:2" x14ac:dyDescent="0.2">
      <c r="B4615"/>
    </row>
    <row r="4616" spans="2:2" x14ac:dyDescent="0.2">
      <c r="B4616"/>
    </row>
    <row r="4617" spans="2:2" x14ac:dyDescent="0.2">
      <c r="B4617"/>
    </row>
    <row r="4618" spans="2:2" x14ac:dyDescent="0.2">
      <c r="B4618"/>
    </row>
    <row r="4619" spans="2:2" x14ac:dyDescent="0.2">
      <c r="B4619"/>
    </row>
    <row r="4620" spans="2:2" x14ac:dyDescent="0.2">
      <c r="B4620"/>
    </row>
    <row r="4621" spans="2:2" x14ac:dyDescent="0.2">
      <c r="B4621"/>
    </row>
    <row r="4622" spans="2:2" x14ac:dyDescent="0.2">
      <c r="B4622"/>
    </row>
    <row r="4623" spans="2:2" x14ac:dyDescent="0.2">
      <c r="B4623"/>
    </row>
    <row r="4624" spans="2:2" x14ac:dyDescent="0.2">
      <c r="B4624"/>
    </row>
    <row r="4625" spans="2:2" x14ac:dyDescent="0.2">
      <c r="B4625"/>
    </row>
    <row r="4626" spans="2:2" x14ac:dyDescent="0.2">
      <c r="B4626"/>
    </row>
    <row r="4627" spans="2:2" x14ac:dyDescent="0.2">
      <c r="B4627"/>
    </row>
    <row r="4628" spans="2:2" x14ac:dyDescent="0.2">
      <c r="B4628"/>
    </row>
    <row r="4629" spans="2:2" x14ac:dyDescent="0.2">
      <c r="B4629"/>
    </row>
    <row r="4630" spans="2:2" x14ac:dyDescent="0.2">
      <c r="B4630"/>
    </row>
    <row r="4631" spans="2:2" x14ac:dyDescent="0.2">
      <c r="B4631"/>
    </row>
    <row r="4632" spans="2:2" x14ac:dyDescent="0.2">
      <c r="B4632"/>
    </row>
    <row r="4633" spans="2:2" x14ac:dyDescent="0.2">
      <c r="B4633"/>
    </row>
    <row r="4634" spans="2:2" x14ac:dyDescent="0.2">
      <c r="B4634"/>
    </row>
    <row r="4635" spans="2:2" x14ac:dyDescent="0.2">
      <c r="B4635"/>
    </row>
    <row r="4636" spans="2:2" x14ac:dyDescent="0.2">
      <c r="B4636"/>
    </row>
    <row r="4637" spans="2:2" x14ac:dyDescent="0.2">
      <c r="B4637"/>
    </row>
    <row r="4638" spans="2:2" x14ac:dyDescent="0.2">
      <c r="B4638"/>
    </row>
    <row r="4639" spans="2:2" x14ac:dyDescent="0.2">
      <c r="B4639"/>
    </row>
    <row r="4640" spans="2:2" x14ac:dyDescent="0.2">
      <c r="B4640"/>
    </row>
    <row r="4641" spans="2:2" x14ac:dyDescent="0.2">
      <c r="B4641"/>
    </row>
    <row r="4642" spans="2:2" x14ac:dyDescent="0.2">
      <c r="B4642"/>
    </row>
    <row r="4643" spans="2:2" x14ac:dyDescent="0.2">
      <c r="B4643"/>
    </row>
    <row r="4644" spans="2:2" x14ac:dyDescent="0.2">
      <c r="B4644"/>
    </row>
    <row r="4645" spans="2:2" x14ac:dyDescent="0.2">
      <c r="B4645"/>
    </row>
    <row r="4646" spans="2:2" x14ac:dyDescent="0.2">
      <c r="B4646"/>
    </row>
    <row r="4647" spans="2:2" x14ac:dyDescent="0.2">
      <c r="B4647"/>
    </row>
    <row r="4648" spans="2:2" x14ac:dyDescent="0.2">
      <c r="B4648"/>
    </row>
    <row r="4649" spans="2:2" x14ac:dyDescent="0.2">
      <c r="B4649"/>
    </row>
    <row r="4650" spans="2:2" x14ac:dyDescent="0.2">
      <c r="B4650"/>
    </row>
    <row r="4651" spans="2:2" x14ac:dyDescent="0.2">
      <c r="B4651"/>
    </row>
    <row r="4652" spans="2:2" x14ac:dyDescent="0.2">
      <c r="B4652"/>
    </row>
    <row r="4653" spans="2:2" x14ac:dyDescent="0.2">
      <c r="B4653"/>
    </row>
    <row r="4654" spans="2:2" x14ac:dyDescent="0.2">
      <c r="B4654"/>
    </row>
    <row r="4655" spans="2:2" x14ac:dyDescent="0.2">
      <c r="B4655"/>
    </row>
    <row r="4656" spans="2:2" x14ac:dyDescent="0.2">
      <c r="B4656"/>
    </row>
    <row r="4657" spans="2:2" x14ac:dyDescent="0.2">
      <c r="B4657"/>
    </row>
    <row r="4658" spans="2:2" x14ac:dyDescent="0.2">
      <c r="B4658"/>
    </row>
    <row r="4659" spans="2:2" x14ac:dyDescent="0.2">
      <c r="B4659"/>
    </row>
    <row r="4660" spans="2:2" x14ac:dyDescent="0.2">
      <c r="B4660"/>
    </row>
    <row r="4661" spans="2:2" x14ac:dyDescent="0.2">
      <c r="B4661"/>
    </row>
    <row r="4662" spans="2:2" x14ac:dyDescent="0.2">
      <c r="B4662"/>
    </row>
    <row r="4663" spans="2:2" x14ac:dyDescent="0.2">
      <c r="B4663"/>
    </row>
    <row r="4664" spans="2:2" x14ac:dyDescent="0.2">
      <c r="B4664"/>
    </row>
    <row r="4665" spans="2:2" x14ac:dyDescent="0.2">
      <c r="B4665"/>
    </row>
    <row r="4666" spans="2:2" x14ac:dyDescent="0.2">
      <c r="B4666"/>
    </row>
    <row r="4667" spans="2:2" x14ac:dyDescent="0.2">
      <c r="B4667"/>
    </row>
    <row r="4668" spans="2:2" x14ac:dyDescent="0.2">
      <c r="B4668"/>
    </row>
    <row r="4669" spans="2:2" x14ac:dyDescent="0.2">
      <c r="B4669"/>
    </row>
    <row r="4670" spans="2:2" x14ac:dyDescent="0.2">
      <c r="B4670"/>
    </row>
    <row r="4671" spans="2:2" x14ac:dyDescent="0.2">
      <c r="B4671"/>
    </row>
    <row r="4672" spans="2:2" x14ac:dyDescent="0.2">
      <c r="B4672"/>
    </row>
    <row r="4673" spans="2:2" x14ac:dyDescent="0.2">
      <c r="B4673"/>
    </row>
    <row r="4674" spans="2:2" x14ac:dyDescent="0.2">
      <c r="B4674"/>
    </row>
    <row r="4675" spans="2:2" x14ac:dyDescent="0.2">
      <c r="B4675"/>
    </row>
    <row r="4676" spans="2:2" x14ac:dyDescent="0.2">
      <c r="B4676"/>
    </row>
    <row r="4677" spans="2:2" x14ac:dyDescent="0.2">
      <c r="B4677"/>
    </row>
    <row r="4678" spans="2:2" x14ac:dyDescent="0.2">
      <c r="B4678"/>
    </row>
    <row r="4679" spans="2:2" x14ac:dyDescent="0.2">
      <c r="B4679"/>
    </row>
    <row r="4680" spans="2:2" x14ac:dyDescent="0.2">
      <c r="B4680"/>
    </row>
    <row r="4681" spans="2:2" x14ac:dyDescent="0.2">
      <c r="B4681"/>
    </row>
    <row r="4682" spans="2:2" x14ac:dyDescent="0.2">
      <c r="B4682"/>
    </row>
    <row r="4683" spans="2:2" x14ac:dyDescent="0.2">
      <c r="B4683"/>
    </row>
    <row r="4684" spans="2:2" x14ac:dyDescent="0.2">
      <c r="B4684"/>
    </row>
    <row r="4685" spans="2:2" x14ac:dyDescent="0.2">
      <c r="B4685"/>
    </row>
    <row r="4686" spans="2:2" x14ac:dyDescent="0.2">
      <c r="B4686"/>
    </row>
    <row r="4687" spans="2:2" x14ac:dyDescent="0.2">
      <c r="B4687"/>
    </row>
    <row r="4688" spans="2:2" x14ac:dyDescent="0.2">
      <c r="B4688"/>
    </row>
    <row r="4689" spans="2:2" x14ac:dyDescent="0.2">
      <c r="B4689"/>
    </row>
    <row r="4690" spans="2:2" x14ac:dyDescent="0.2">
      <c r="B4690"/>
    </row>
    <row r="4691" spans="2:2" x14ac:dyDescent="0.2">
      <c r="B4691"/>
    </row>
    <row r="4692" spans="2:2" x14ac:dyDescent="0.2">
      <c r="B4692"/>
    </row>
    <row r="4693" spans="2:2" x14ac:dyDescent="0.2">
      <c r="B4693"/>
    </row>
    <row r="4694" spans="2:2" x14ac:dyDescent="0.2">
      <c r="B4694"/>
    </row>
    <row r="4695" spans="2:2" x14ac:dyDescent="0.2">
      <c r="B4695"/>
    </row>
    <row r="4696" spans="2:2" x14ac:dyDescent="0.2">
      <c r="B4696"/>
    </row>
    <row r="4697" spans="2:2" x14ac:dyDescent="0.2">
      <c r="B4697"/>
    </row>
    <row r="4698" spans="2:2" x14ac:dyDescent="0.2">
      <c r="B4698"/>
    </row>
    <row r="4699" spans="2:2" x14ac:dyDescent="0.2">
      <c r="B4699"/>
    </row>
    <row r="4700" spans="2:2" x14ac:dyDescent="0.2">
      <c r="B4700"/>
    </row>
    <row r="4701" spans="2:2" x14ac:dyDescent="0.2">
      <c r="B4701"/>
    </row>
    <row r="4702" spans="2:2" x14ac:dyDescent="0.2">
      <c r="B4702"/>
    </row>
    <row r="4703" spans="2:2" x14ac:dyDescent="0.2">
      <c r="B4703"/>
    </row>
    <row r="4704" spans="2:2" x14ac:dyDescent="0.2">
      <c r="B4704"/>
    </row>
    <row r="4705" spans="2:2" x14ac:dyDescent="0.2">
      <c r="B4705"/>
    </row>
    <row r="4706" spans="2:2" x14ac:dyDescent="0.2">
      <c r="B4706"/>
    </row>
    <row r="4707" spans="2:2" x14ac:dyDescent="0.2">
      <c r="B4707"/>
    </row>
    <row r="4708" spans="2:2" x14ac:dyDescent="0.2">
      <c r="B4708"/>
    </row>
    <row r="4709" spans="2:2" x14ac:dyDescent="0.2">
      <c r="B4709"/>
    </row>
    <row r="4710" spans="2:2" x14ac:dyDescent="0.2">
      <c r="B4710"/>
    </row>
    <row r="4711" spans="2:2" x14ac:dyDescent="0.2">
      <c r="B4711"/>
    </row>
    <row r="4712" spans="2:2" x14ac:dyDescent="0.2">
      <c r="B4712"/>
    </row>
    <row r="4713" spans="2:2" x14ac:dyDescent="0.2">
      <c r="B4713"/>
    </row>
    <row r="4714" spans="2:2" x14ac:dyDescent="0.2">
      <c r="B4714"/>
    </row>
    <row r="4715" spans="2:2" x14ac:dyDescent="0.2">
      <c r="B4715"/>
    </row>
    <row r="4716" spans="2:2" x14ac:dyDescent="0.2">
      <c r="B4716"/>
    </row>
    <row r="4717" spans="2:2" x14ac:dyDescent="0.2">
      <c r="B4717"/>
    </row>
    <row r="4718" spans="2:2" x14ac:dyDescent="0.2">
      <c r="B4718"/>
    </row>
    <row r="4719" spans="2:2" x14ac:dyDescent="0.2">
      <c r="B4719"/>
    </row>
    <row r="4720" spans="2:2" x14ac:dyDescent="0.2">
      <c r="B4720"/>
    </row>
    <row r="4721" spans="2:2" x14ac:dyDescent="0.2">
      <c r="B4721"/>
    </row>
    <row r="4722" spans="2:2" x14ac:dyDescent="0.2">
      <c r="B4722"/>
    </row>
    <row r="4723" spans="2:2" x14ac:dyDescent="0.2">
      <c r="B4723"/>
    </row>
    <row r="4724" spans="2:2" x14ac:dyDescent="0.2">
      <c r="B4724"/>
    </row>
    <row r="4725" spans="2:2" x14ac:dyDescent="0.2">
      <c r="B4725"/>
    </row>
    <row r="4726" spans="2:2" x14ac:dyDescent="0.2">
      <c r="B4726"/>
    </row>
    <row r="4727" spans="2:2" x14ac:dyDescent="0.2">
      <c r="B4727"/>
    </row>
    <row r="4728" spans="2:2" x14ac:dyDescent="0.2">
      <c r="B4728"/>
    </row>
    <row r="4729" spans="2:2" x14ac:dyDescent="0.2">
      <c r="B4729"/>
    </row>
    <row r="4730" spans="2:2" x14ac:dyDescent="0.2">
      <c r="B4730"/>
    </row>
    <row r="4731" spans="2:2" x14ac:dyDescent="0.2">
      <c r="B4731"/>
    </row>
    <row r="4732" spans="2:2" x14ac:dyDescent="0.2">
      <c r="B4732"/>
    </row>
    <row r="4733" spans="2:2" x14ac:dyDescent="0.2">
      <c r="B4733"/>
    </row>
    <row r="4734" spans="2:2" x14ac:dyDescent="0.2">
      <c r="B4734"/>
    </row>
    <row r="4735" spans="2:2" x14ac:dyDescent="0.2">
      <c r="B4735"/>
    </row>
    <row r="4736" spans="2:2" x14ac:dyDescent="0.2">
      <c r="B4736"/>
    </row>
    <row r="4737" spans="2:2" x14ac:dyDescent="0.2">
      <c r="B4737"/>
    </row>
    <row r="4738" spans="2:2" x14ac:dyDescent="0.2">
      <c r="B4738"/>
    </row>
    <row r="4739" spans="2:2" x14ac:dyDescent="0.2">
      <c r="B4739"/>
    </row>
    <row r="4740" spans="2:2" x14ac:dyDescent="0.2">
      <c r="B4740"/>
    </row>
    <row r="4741" spans="2:2" x14ac:dyDescent="0.2">
      <c r="B4741"/>
    </row>
    <row r="4742" spans="2:2" x14ac:dyDescent="0.2">
      <c r="B4742"/>
    </row>
    <row r="4743" spans="2:2" x14ac:dyDescent="0.2">
      <c r="B4743"/>
    </row>
    <row r="4744" spans="2:2" x14ac:dyDescent="0.2">
      <c r="B4744"/>
    </row>
    <row r="4745" spans="2:2" x14ac:dyDescent="0.2">
      <c r="B4745"/>
    </row>
    <row r="4746" spans="2:2" x14ac:dyDescent="0.2">
      <c r="B4746"/>
    </row>
    <row r="4747" spans="2:2" x14ac:dyDescent="0.2">
      <c r="B4747"/>
    </row>
    <row r="4748" spans="2:2" x14ac:dyDescent="0.2">
      <c r="B4748"/>
    </row>
    <row r="4749" spans="2:2" x14ac:dyDescent="0.2">
      <c r="B4749"/>
    </row>
    <row r="4750" spans="2:2" x14ac:dyDescent="0.2">
      <c r="B4750"/>
    </row>
    <row r="4751" spans="2:2" x14ac:dyDescent="0.2">
      <c r="B4751"/>
    </row>
    <row r="4752" spans="2:2" x14ac:dyDescent="0.2">
      <c r="B4752"/>
    </row>
    <row r="4753" spans="2:2" x14ac:dyDescent="0.2">
      <c r="B4753"/>
    </row>
    <row r="4754" spans="2:2" x14ac:dyDescent="0.2">
      <c r="B4754"/>
    </row>
    <row r="4755" spans="2:2" x14ac:dyDescent="0.2">
      <c r="B4755"/>
    </row>
    <row r="4756" spans="2:2" x14ac:dyDescent="0.2">
      <c r="B4756"/>
    </row>
    <row r="4757" spans="2:2" x14ac:dyDescent="0.2">
      <c r="B4757"/>
    </row>
    <row r="4758" spans="2:2" x14ac:dyDescent="0.2">
      <c r="B4758"/>
    </row>
    <row r="4759" spans="2:2" x14ac:dyDescent="0.2">
      <c r="B4759"/>
    </row>
    <row r="4760" spans="2:2" x14ac:dyDescent="0.2">
      <c r="B4760"/>
    </row>
    <row r="4761" spans="2:2" x14ac:dyDescent="0.2">
      <c r="B4761"/>
    </row>
    <row r="4762" spans="2:2" x14ac:dyDescent="0.2">
      <c r="B4762"/>
    </row>
    <row r="4763" spans="2:2" x14ac:dyDescent="0.2">
      <c r="B4763"/>
    </row>
    <row r="4764" spans="2:2" x14ac:dyDescent="0.2">
      <c r="B4764"/>
    </row>
    <row r="4765" spans="2:2" x14ac:dyDescent="0.2">
      <c r="B4765"/>
    </row>
    <row r="4766" spans="2:2" x14ac:dyDescent="0.2">
      <c r="B4766"/>
    </row>
    <row r="4767" spans="2:2" x14ac:dyDescent="0.2">
      <c r="B4767"/>
    </row>
    <row r="4768" spans="2:2" x14ac:dyDescent="0.2">
      <c r="B4768"/>
    </row>
    <row r="4769" spans="2:2" x14ac:dyDescent="0.2">
      <c r="B4769"/>
    </row>
    <row r="4770" spans="2:2" x14ac:dyDescent="0.2">
      <c r="B4770"/>
    </row>
    <row r="4771" spans="2:2" x14ac:dyDescent="0.2">
      <c r="B4771"/>
    </row>
    <row r="4772" spans="2:2" x14ac:dyDescent="0.2">
      <c r="B4772"/>
    </row>
    <row r="4773" spans="2:2" x14ac:dyDescent="0.2">
      <c r="B4773"/>
    </row>
    <row r="4774" spans="2:2" x14ac:dyDescent="0.2">
      <c r="B4774"/>
    </row>
    <row r="4775" spans="2:2" x14ac:dyDescent="0.2">
      <c r="B4775"/>
    </row>
    <row r="4776" spans="2:2" x14ac:dyDescent="0.2">
      <c r="B4776"/>
    </row>
    <row r="4777" spans="2:2" x14ac:dyDescent="0.2">
      <c r="B4777"/>
    </row>
    <row r="4778" spans="2:2" x14ac:dyDescent="0.2">
      <c r="B4778"/>
    </row>
    <row r="4779" spans="2:2" x14ac:dyDescent="0.2">
      <c r="B4779"/>
    </row>
    <row r="4780" spans="2:2" x14ac:dyDescent="0.2">
      <c r="B4780"/>
    </row>
    <row r="4781" spans="2:2" x14ac:dyDescent="0.2">
      <c r="B4781"/>
    </row>
    <row r="4782" spans="2:2" x14ac:dyDescent="0.2">
      <c r="B4782"/>
    </row>
    <row r="4783" spans="2:2" x14ac:dyDescent="0.2">
      <c r="B4783"/>
    </row>
    <row r="4784" spans="2:2" x14ac:dyDescent="0.2">
      <c r="B4784"/>
    </row>
    <row r="4785" spans="2:2" x14ac:dyDescent="0.2">
      <c r="B4785"/>
    </row>
    <row r="4786" spans="2:2" x14ac:dyDescent="0.2">
      <c r="B4786"/>
    </row>
    <row r="4787" spans="2:2" x14ac:dyDescent="0.2">
      <c r="B4787"/>
    </row>
    <row r="4788" spans="2:2" x14ac:dyDescent="0.2">
      <c r="B4788"/>
    </row>
    <row r="4789" spans="2:2" x14ac:dyDescent="0.2">
      <c r="B4789"/>
    </row>
    <row r="4790" spans="2:2" x14ac:dyDescent="0.2">
      <c r="B4790"/>
    </row>
    <row r="4791" spans="2:2" x14ac:dyDescent="0.2">
      <c r="B4791"/>
    </row>
    <row r="4792" spans="2:2" x14ac:dyDescent="0.2">
      <c r="B4792"/>
    </row>
    <row r="4793" spans="2:2" x14ac:dyDescent="0.2">
      <c r="B4793"/>
    </row>
    <row r="4794" spans="2:2" x14ac:dyDescent="0.2">
      <c r="B4794"/>
    </row>
    <row r="4795" spans="2:2" x14ac:dyDescent="0.2">
      <c r="B4795"/>
    </row>
    <row r="4796" spans="2:2" x14ac:dyDescent="0.2">
      <c r="B4796"/>
    </row>
    <row r="4797" spans="2:2" x14ac:dyDescent="0.2">
      <c r="B4797"/>
    </row>
    <row r="4798" spans="2:2" x14ac:dyDescent="0.2">
      <c r="B4798"/>
    </row>
    <row r="4799" spans="2:2" x14ac:dyDescent="0.2">
      <c r="B4799"/>
    </row>
    <row r="4800" spans="2:2" x14ac:dyDescent="0.2">
      <c r="B4800"/>
    </row>
    <row r="4801" spans="2:2" x14ac:dyDescent="0.2">
      <c r="B4801"/>
    </row>
    <row r="4802" spans="2:2" x14ac:dyDescent="0.2">
      <c r="B4802"/>
    </row>
    <row r="4803" spans="2:2" x14ac:dyDescent="0.2">
      <c r="B4803"/>
    </row>
    <row r="4804" spans="2:2" x14ac:dyDescent="0.2">
      <c r="B4804"/>
    </row>
    <row r="4805" spans="2:2" x14ac:dyDescent="0.2">
      <c r="B4805"/>
    </row>
    <row r="4806" spans="2:2" x14ac:dyDescent="0.2">
      <c r="B4806"/>
    </row>
    <row r="4807" spans="2:2" x14ac:dyDescent="0.2">
      <c r="B4807"/>
    </row>
    <row r="4808" spans="2:2" x14ac:dyDescent="0.2">
      <c r="B4808"/>
    </row>
    <row r="4809" spans="2:2" x14ac:dyDescent="0.2">
      <c r="B4809"/>
    </row>
    <row r="4810" spans="2:2" x14ac:dyDescent="0.2">
      <c r="B4810"/>
    </row>
    <row r="4811" spans="2:2" x14ac:dyDescent="0.2">
      <c r="B4811"/>
    </row>
    <row r="4812" spans="2:2" x14ac:dyDescent="0.2">
      <c r="B4812"/>
    </row>
    <row r="4813" spans="2:2" x14ac:dyDescent="0.2">
      <c r="B4813"/>
    </row>
    <row r="4814" spans="2:2" x14ac:dyDescent="0.2">
      <c r="B4814"/>
    </row>
    <row r="4815" spans="2:2" x14ac:dyDescent="0.2">
      <c r="B4815"/>
    </row>
    <row r="4816" spans="2:2" x14ac:dyDescent="0.2">
      <c r="B4816"/>
    </row>
    <row r="4817" spans="2:2" x14ac:dyDescent="0.2">
      <c r="B4817"/>
    </row>
    <row r="4818" spans="2:2" x14ac:dyDescent="0.2">
      <c r="B4818"/>
    </row>
    <row r="4819" spans="2:2" x14ac:dyDescent="0.2">
      <c r="B4819"/>
    </row>
    <row r="4820" spans="2:2" x14ac:dyDescent="0.2">
      <c r="B4820"/>
    </row>
    <row r="4821" spans="2:2" x14ac:dyDescent="0.2">
      <c r="B4821"/>
    </row>
    <row r="4822" spans="2:2" x14ac:dyDescent="0.2">
      <c r="B4822"/>
    </row>
    <row r="4823" spans="2:2" x14ac:dyDescent="0.2">
      <c r="B4823"/>
    </row>
    <row r="4824" spans="2:2" x14ac:dyDescent="0.2">
      <c r="B4824"/>
    </row>
    <row r="4825" spans="2:2" x14ac:dyDescent="0.2">
      <c r="B4825"/>
    </row>
    <row r="4826" spans="2:2" x14ac:dyDescent="0.2">
      <c r="B4826"/>
    </row>
    <row r="4827" spans="2:2" x14ac:dyDescent="0.2">
      <c r="B4827"/>
    </row>
    <row r="4828" spans="2:2" x14ac:dyDescent="0.2">
      <c r="B4828"/>
    </row>
    <row r="4829" spans="2:2" x14ac:dyDescent="0.2">
      <c r="B4829"/>
    </row>
    <row r="4830" spans="2:2" x14ac:dyDescent="0.2">
      <c r="B4830"/>
    </row>
    <row r="4831" spans="2:2" x14ac:dyDescent="0.2">
      <c r="B4831"/>
    </row>
    <row r="4832" spans="2:2" x14ac:dyDescent="0.2">
      <c r="B4832"/>
    </row>
    <row r="4833" spans="2:2" x14ac:dyDescent="0.2">
      <c r="B4833"/>
    </row>
    <row r="4834" spans="2:2" x14ac:dyDescent="0.2">
      <c r="B4834"/>
    </row>
    <row r="4835" spans="2:2" x14ac:dyDescent="0.2">
      <c r="B4835"/>
    </row>
    <row r="4836" spans="2:2" x14ac:dyDescent="0.2">
      <c r="B4836"/>
    </row>
    <row r="4837" spans="2:2" x14ac:dyDescent="0.2">
      <c r="B4837"/>
    </row>
    <row r="4838" spans="2:2" x14ac:dyDescent="0.2">
      <c r="B4838"/>
    </row>
    <row r="4839" spans="2:2" x14ac:dyDescent="0.2">
      <c r="B4839"/>
    </row>
    <row r="4840" spans="2:2" x14ac:dyDescent="0.2">
      <c r="B4840"/>
    </row>
    <row r="4841" spans="2:2" x14ac:dyDescent="0.2">
      <c r="B4841"/>
    </row>
    <row r="4842" spans="2:2" x14ac:dyDescent="0.2">
      <c r="B4842"/>
    </row>
    <row r="4843" spans="2:2" x14ac:dyDescent="0.2">
      <c r="B4843"/>
    </row>
    <row r="4844" spans="2:2" x14ac:dyDescent="0.2">
      <c r="B4844"/>
    </row>
    <row r="4845" spans="2:2" x14ac:dyDescent="0.2">
      <c r="B4845"/>
    </row>
    <row r="4846" spans="2:2" x14ac:dyDescent="0.2">
      <c r="B4846"/>
    </row>
    <row r="4847" spans="2:2" x14ac:dyDescent="0.2">
      <c r="B4847"/>
    </row>
    <row r="4848" spans="2:2" x14ac:dyDescent="0.2">
      <c r="B4848"/>
    </row>
    <row r="4849" spans="2:2" x14ac:dyDescent="0.2">
      <c r="B4849"/>
    </row>
    <row r="4850" spans="2:2" x14ac:dyDescent="0.2">
      <c r="B4850"/>
    </row>
    <row r="4851" spans="2:2" x14ac:dyDescent="0.2">
      <c r="B4851"/>
    </row>
    <row r="4852" spans="2:2" x14ac:dyDescent="0.2">
      <c r="B4852"/>
    </row>
    <row r="4853" spans="2:2" x14ac:dyDescent="0.2">
      <c r="B4853"/>
    </row>
    <row r="4854" spans="2:2" x14ac:dyDescent="0.2">
      <c r="B4854"/>
    </row>
    <row r="4855" spans="2:2" x14ac:dyDescent="0.2">
      <c r="B4855"/>
    </row>
    <row r="4856" spans="2:2" x14ac:dyDescent="0.2">
      <c r="B4856"/>
    </row>
    <row r="4857" spans="2:2" x14ac:dyDescent="0.2">
      <c r="B4857"/>
    </row>
    <row r="4858" spans="2:2" x14ac:dyDescent="0.2">
      <c r="B4858"/>
    </row>
    <row r="4859" spans="2:2" x14ac:dyDescent="0.2">
      <c r="B4859"/>
    </row>
    <row r="4860" spans="2:2" x14ac:dyDescent="0.2">
      <c r="B4860"/>
    </row>
    <row r="4861" spans="2:2" x14ac:dyDescent="0.2">
      <c r="B4861"/>
    </row>
    <row r="4862" spans="2:2" x14ac:dyDescent="0.2">
      <c r="B4862"/>
    </row>
    <row r="4863" spans="2:2" x14ac:dyDescent="0.2">
      <c r="B4863"/>
    </row>
    <row r="4864" spans="2:2" x14ac:dyDescent="0.2">
      <c r="B4864"/>
    </row>
    <row r="4865" spans="2:2" x14ac:dyDescent="0.2">
      <c r="B4865"/>
    </row>
    <row r="4866" spans="2:2" x14ac:dyDescent="0.2">
      <c r="B4866"/>
    </row>
    <row r="4867" spans="2:2" x14ac:dyDescent="0.2">
      <c r="B4867"/>
    </row>
    <row r="4868" spans="2:2" x14ac:dyDescent="0.2">
      <c r="B4868"/>
    </row>
    <row r="4869" spans="2:2" x14ac:dyDescent="0.2">
      <c r="B4869"/>
    </row>
    <row r="4870" spans="2:2" x14ac:dyDescent="0.2">
      <c r="B4870"/>
    </row>
    <row r="4871" spans="2:2" x14ac:dyDescent="0.2">
      <c r="B4871"/>
    </row>
    <row r="4872" spans="2:2" x14ac:dyDescent="0.2">
      <c r="B4872"/>
    </row>
    <row r="4873" spans="2:2" x14ac:dyDescent="0.2">
      <c r="B4873"/>
    </row>
    <row r="4874" spans="2:2" x14ac:dyDescent="0.2">
      <c r="B4874"/>
    </row>
    <row r="4875" spans="2:2" x14ac:dyDescent="0.2">
      <c r="B4875"/>
    </row>
    <row r="4876" spans="2:2" x14ac:dyDescent="0.2">
      <c r="B4876"/>
    </row>
    <row r="4877" spans="2:2" x14ac:dyDescent="0.2">
      <c r="B4877"/>
    </row>
    <row r="4878" spans="2:2" x14ac:dyDescent="0.2">
      <c r="B4878"/>
    </row>
    <row r="4879" spans="2:2" x14ac:dyDescent="0.2">
      <c r="B4879"/>
    </row>
    <row r="4880" spans="2:2" x14ac:dyDescent="0.2">
      <c r="B4880"/>
    </row>
    <row r="4881" spans="2:2" x14ac:dyDescent="0.2">
      <c r="B4881"/>
    </row>
    <row r="4882" spans="2:2" x14ac:dyDescent="0.2">
      <c r="B4882"/>
    </row>
    <row r="4883" spans="2:2" x14ac:dyDescent="0.2">
      <c r="B4883"/>
    </row>
    <row r="4884" spans="2:2" x14ac:dyDescent="0.2">
      <c r="B4884"/>
    </row>
    <row r="4885" spans="2:2" x14ac:dyDescent="0.2">
      <c r="B4885"/>
    </row>
    <row r="4886" spans="2:2" x14ac:dyDescent="0.2">
      <c r="B4886"/>
    </row>
    <row r="4887" spans="2:2" x14ac:dyDescent="0.2">
      <c r="B4887"/>
    </row>
    <row r="4888" spans="2:2" x14ac:dyDescent="0.2">
      <c r="B4888"/>
    </row>
    <row r="4889" spans="2:2" x14ac:dyDescent="0.2">
      <c r="B4889"/>
    </row>
    <row r="4890" spans="2:2" x14ac:dyDescent="0.2">
      <c r="B4890"/>
    </row>
    <row r="4891" spans="2:2" x14ac:dyDescent="0.2">
      <c r="B4891"/>
    </row>
    <row r="4892" spans="2:2" x14ac:dyDescent="0.2">
      <c r="B4892"/>
    </row>
    <row r="4893" spans="2:2" x14ac:dyDescent="0.2">
      <c r="B4893"/>
    </row>
    <row r="4894" spans="2:2" x14ac:dyDescent="0.2">
      <c r="B4894"/>
    </row>
    <row r="4895" spans="2:2" x14ac:dyDescent="0.2">
      <c r="B4895"/>
    </row>
    <row r="4896" spans="2:2" x14ac:dyDescent="0.2">
      <c r="B4896"/>
    </row>
    <row r="4897" spans="2:2" x14ac:dyDescent="0.2">
      <c r="B4897"/>
    </row>
    <row r="4898" spans="2:2" x14ac:dyDescent="0.2">
      <c r="B4898"/>
    </row>
    <row r="4899" spans="2:2" x14ac:dyDescent="0.2">
      <c r="B4899"/>
    </row>
    <row r="4900" spans="2:2" x14ac:dyDescent="0.2">
      <c r="B4900"/>
    </row>
    <row r="4901" spans="2:2" x14ac:dyDescent="0.2">
      <c r="B4901"/>
    </row>
    <row r="4902" spans="2:2" x14ac:dyDescent="0.2">
      <c r="B4902"/>
    </row>
    <row r="4903" spans="2:2" x14ac:dyDescent="0.2">
      <c r="B4903"/>
    </row>
    <row r="4904" spans="2:2" x14ac:dyDescent="0.2">
      <c r="B4904"/>
    </row>
    <row r="4905" spans="2:2" x14ac:dyDescent="0.2">
      <c r="B4905"/>
    </row>
    <row r="4906" spans="2:2" x14ac:dyDescent="0.2">
      <c r="B4906"/>
    </row>
    <row r="4907" spans="2:2" x14ac:dyDescent="0.2">
      <c r="B4907"/>
    </row>
    <row r="4908" spans="2:2" x14ac:dyDescent="0.2">
      <c r="B4908"/>
    </row>
    <row r="4909" spans="2:2" x14ac:dyDescent="0.2">
      <c r="B4909"/>
    </row>
    <row r="4910" spans="2:2" x14ac:dyDescent="0.2">
      <c r="B4910"/>
    </row>
    <row r="4911" spans="2:2" x14ac:dyDescent="0.2">
      <c r="B4911"/>
    </row>
    <row r="4912" spans="2:2" x14ac:dyDescent="0.2">
      <c r="B4912"/>
    </row>
    <row r="4913" spans="2:2" x14ac:dyDescent="0.2">
      <c r="B4913"/>
    </row>
    <row r="4914" spans="2:2" x14ac:dyDescent="0.2">
      <c r="B4914"/>
    </row>
    <row r="4915" spans="2:2" x14ac:dyDescent="0.2">
      <c r="B4915"/>
    </row>
    <row r="4916" spans="2:2" x14ac:dyDescent="0.2">
      <c r="B4916"/>
    </row>
    <row r="4917" spans="2:2" x14ac:dyDescent="0.2">
      <c r="B4917"/>
    </row>
    <row r="4918" spans="2:2" x14ac:dyDescent="0.2">
      <c r="B4918"/>
    </row>
    <row r="4919" spans="2:2" x14ac:dyDescent="0.2">
      <c r="B4919"/>
    </row>
    <row r="4920" spans="2:2" x14ac:dyDescent="0.2">
      <c r="B4920"/>
    </row>
    <row r="4921" spans="2:2" x14ac:dyDescent="0.2">
      <c r="B4921"/>
    </row>
    <row r="4922" spans="2:2" x14ac:dyDescent="0.2">
      <c r="B4922"/>
    </row>
    <row r="4923" spans="2:2" x14ac:dyDescent="0.2">
      <c r="B4923"/>
    </row>
    <row r="4924" spans="2:2" x14ac:dyDescent="0.2">
      <c r="B4924"/>
    </row>
    <row r="4925" spans="2:2" x14ac:dyDescent="0.2">
      <c r="B4925"/>
    </row>
    <row r="4926" spans="2:2" x14ac:dyDescent="0.2">
      <c r="B4926"/>
    </row>
    <row r="4927" spans="2:2" x14ac:dyDescent="0.2">
      <c r="B4927"/>
    </row>
    <row r="4928" spans="2:2" x14ac:dyDescent="0.2">
      <c r="B4928"/>
    </row>
    <row r="4929" spans="2:2" x14ac:dyDescent="0.2">
      <c r="B4929"/>
    </row>
    <row r="4930" spans="2:2" x14ac:dyDescent="0.2">
      <c r="B4930"/>
    </row>
    <row r="4931" spans="2:2" x14ac:dyDescent="0.2">
      <c r="B4931"/>
    </row>
    <row r="4932" spans="2:2" x14ac:dyDescent="0.2">
      <c r="B4932"/>
    </row>
    <row r="4933" spans="2:2" x14ac:dyDescent="0.2">
      <c r="B4933"/>
    </row>
    <row r="4934" spans="2:2" x14ac:dyDescent="0.2">
      <c r="B4934"/>
    </row>
    <row r="4935" spans="2:2" x14ac:dyDescent="0.2">
      <c r="B4935"/>
    </row>
    <row r="4936" spans="2:2" x14ac:dyDescent="0.2">
      <c r="B4936"/>
    </row>
    <row r="4937" spans="2:2" x14ac:dyDescent="0.2">
      <c r="B4937"/>
    </row>
    <row r="4938" spans="2:2" x14ac:dyDescent="0.2">
      <c r="B4938"/>
    </row>
    <row r="4939" spans="2:2" x14ac:dyDescent="0.2">
      <c r="B4939"/>
    </row>
    <row r="4940" spans="2:2" x14ac:dyDescent="0.2">
      <c r="B4940"/>
    </row>
    <row r="4941" spans="2:2" x14ac:dyDescent="0.2">
      <c r="B4941"/>
    </row>
    <row r="4942" spans="2:2" x14ac:dyDescent="0.2">
      <c r="B4942"/>
    </row>
    <row r="4943" spans="2:2" x14ac:dyDescent="0.2">
      <c r="B4943"/>
    </row>
    <row r="4944" spans="2:2" x14ac:dyDescent="0.2">
      <c r="B4944"/>
    </row>
    <row r="4945" spans="2:2" x14ac:dyDescent="0.2">
      <c r="B4945"/>
    </row>
    <row r="4946" spans="2:2" x14ac:dyDescent="0.2">
      <c r="B4946"/>
    </row>
    <row r="4947" spans="2:2" x14ac:dyDescent="0.2">
      <c r="B4947"/>
    </row>
    <row r="4948" spans="2:2" x14ac:dyDescent="0.2">
      <c r="B4948"/>
    </row>
    <row r="4949" spans="2:2" x14ac:dyDescent="0.2">
      <c r="B4949"/>
    </row>
    <row r="4950" spans="2:2" x14ac:dyDescent="0.2">
      <c r="B4950"/>
    </row>
    <row r="4951" spans="2:2" x14ac:dyDescent="0.2">
      <c r="B4951"/>
    </row>
    <row r="4952" spans="2:2" x14ac:dyDescent="0.2">
      <c r="B4952"/>
    </row>
    <row r="4953" spans="2:2" x14ac:dyDescent="0.2">
      <c r="B4953"/>
    </row>
    <row r="4954" spans="2:2" x14ac:dyDescent="0.2">
      <c r="B4954"/>
    </row>
    <row r="4955" spans="2:2" x14ac:dyDescent="0.2">
      <c r="B4955"/>
    </row>
    <row r="4956" spans="2:2" x14ac:dyDescent="0.2">
      <c r="B4956"/>
    </row>
    <row r="4957" spans="2:2" x14ac:dyDescent="0.2">
      <c r="B4957"/>
    </row>
    <row r="4958" spans="2:2" x14ac:dyDescent="0.2">
      <c r="B4958"/>
    </row>
    <row r="4959" spans="2:2" x14ac:dyDescent="0.2">
      <c r="B4959"/>
    </row>
    <row r="4960" spans="2:2" x14ac:dyDescent="0.2">
      <c r="B4960"/>
    </row>
    <row r="4961" spans="2:2" x14ac:dyDescent="0.2">
      <c r="B4961"/>
    </row>
    <row r="4962" spans="2:2" x14ac:dyDescent="0.2">
      <c r="B4962"/>
    </row>
    <row r="4963" spans="2:2" x14ac:dyDescent="0.2">
      <c r="B4963"/>
    </row>
    <row r="4964" spans="2:2" x14ac:dyDescent="0.2">
      <c r="B4964"/>
    </row>
    <row r="4965" spans="2:2" x14ac:dyDescent="0.2">
      <c r="B4965"/>
    </row>
    <row r="4966" spans="2:2" x14ac:dyDescent="0.2">
      <c r="B4966"/>
    </row>
    <row r="4967" spans="2:2" x14ac:dyDescent="0.2">
      <c r="B4967"/>
    </row>
    <row r="4968" spans="2:2" x14ac:dyDescent="0.2">
      <c r="B4968"/>
    </row>
    <row r="4969" spans="2:2" x14ac:dyDescent="0.2">
      <c r="B4969"/>
    </row>
    <row r="4970" spans="2:2" x14ac:dyDescent="0.2">
      <c r="B4970"/>
    </row>
    <row r="4971" spans="2:2" x14ac:dyDescent="0.2">
      <c r="B4971"/>
    </row>
    <row r="4972" spans="2:2" x14ac:dyDescent="0.2">
      <c r="B4972"/>
    </row>
    <row r="4973" spans="2:2" x14ac:dyDescent="0.2">
      <c r="B4973"/>
    </row>
    <row r="4974" spans="2:2" x14ac:dyDescent="0.2">
      <c r="B4974"/>
    </row>
    <row r="4975" spans="2:2" x14ac:dyDescent="0.2">
      <c r="B4975"/>
    </row>
    <row r="4976" spans="2:2" x14ac:dyDescent="0.2">
      <c r="B4976"/>
    </row>
    <row r="4977" spans="2:2" x14ac:dyDescent="0.2">
      <c r="B4977"/>
    </row>
    <row r="4978" spans="2:2" x14ac:dyDescent="0.2">
      <c r="B4978"/>
    </row>
    <row r="4979" spans="2:2" x14ac:dyDescent="0.2">
      <c r="B4979"/>
    </row>
    <row r="4980" spans="2:2" x14ac:dyDescent="0.2">
      <c r="B4980"/>
    </row>
    <row r="4981" spans="2:2" x14ac:dyDescent="0.2">
      <c r="B4981"/>
    </row>
    <row r="4982" spans="2:2" x14ac:dyDescent="0.2">
      <c r="B4982"/>
    </row>
    <row r="4983" spans="2:2" x14ac:dyDescent="0.2">
      <c r="B4983"/>
    </row>
    <row r="4984" spans="2:2" x14ac:dyDescent="0.2">
      <c r="B4984"/>
    </row>
    <row r="4985" spans="2:2" x14ac:dyDescent="0.2">
      <c r="B4985"/>
    </row>
    <row r="4986" spans="2:2" x14ac:dyDescent="0.2">
      <c r="B4986"/>
    </row>
    <row r="4987" spans="2:2" x14ac:dyDescent="0.2">
      <c r="B4987"/>
    </row>
    <row r="4988" spans="2:2" x14ac:dyDescent="0.2">
      <c r="B4988"/>
    </row>
    <row r="4989" spans="2:2" x14ac:dyDescent="0.2">
      <c r="B4989"/>
    </row>
    <row r="4990" spans="2:2" x14ac:dyDescent="0.2">
      <c r="B4990"/>
    </row>
    <row r="4991" spans="2:2" x14ac:dyDescent="0.2">
      <c r="B4991"/>
    </row>
    <row r="4992" spans="2:2" x14ac:dyDescent="0.2">
      <c r="B4992"/>
    </row>
    <row r="4993" spans="2:2" x14ac:dyDescent="0.2">
      <c r="B4993"/>
    </row>
    <row r="4994" spans="2:2" x14ac:dyDescent="0.2">
      <c r="B4994"/>
    </row>
    <row r="4995" spans="2:2" x14ac:dyDescent="0.2">
      <c r="B4995"/>
    </row>
    <row r="4996" spans="2:2" x14ac:dyDescent="0.2">
      <c r="B4996"/>
    </row>
    <row r="4997" spans="2:2" x14ac:dyDescent="0.2">
      <c r="B4997"/>
    </row>
    <row r="4998" spans="2:2" x14ac:dyDescent="0.2">
      <c r="B4998"/>
    </row>
    <row r="4999" spans="2:2" x14ac:dyDescent="0.2">
      <c r="B4999"/>
    </row>
    <row r="5000" spans="2:2" x14ac:dyDescent="0.2">
      <c r="B5000"/>
    </row>
    <row r="5001" spans="2:2" x14ac:dyDescent="0.2">
      <c r="B5001"/>
    </row>
    <row r="5002" spans="2:2" x14ac:dyDescent="0.2">
      <c r="B5002"/>
    </row>
    <row r="5003" spans="2:2" x14ac:dyDescent="0.2">
      <c r="B5003"/>
    </row>
    <row r="5004" spans="2:2" x14ac:dyDescent="0.2">
      <c r="B5004"/>
    </row>
    <row r="5005" spans="2:2" x14ac:dyDescent="0.2">
      <c r="B5005"/>
    </row>
    <row r="5006" spans="2:2" x14ac:dyDescent="0.2">
      <c r="B5006"/>
    </row>
    <row r="5007" spans="2:2" x14ac:dyDescent="0.2">
      <c r="B5007"/>
    </row>
    <row r="5008" spans="2:2" x14ac:dyDescent="0.2">
      <c r="B5008"/>
    </row>
    <row r="5009" spans="2:2" x14ac:dyDescent="0.2">
      <c r="B5009"/>
    </row>
    <row r="5010" spans="2:2" x14ac:dyDescent="0.2">
      <c r="B5010"/>
    </row>
    <row r="5011" spans="2:2" x14ac:dyDescent="0.2">
      <c r="B5011"/>
    </row>
    <row r="5012" spans="2:2" x14ac:dyDescent="0.2">
      <c r="B5012"/>
    </row>
    <row r="5013" spans="2:2" x14ac:dyDescent="0.2">
      <c r="B5013"/>
    </row>
    <row r="5014" spans="2:2" x14ac:dyDescent="0.2">
      <c r="B5014"/>
    </row>
    <row r="5015" spans="2:2" x14ac:dyDescent="0.2">
      <c r="B5015"/>
    </row>
    <row r="5016" spans="2:2" x14ac:dyDescent="0.2">
      <c r="B5016"/>
    </row>
    <row r="5017" spans="2:2" x14ac:dyDescent="0.2">
      <c r="B5017"/>
    </row>
    <row r="5018" spans="2:2" x14ac:dyDescent="0.2">
      <c r="B5018"/>
    </row>
    <row r="5019" spans="2:2" x14ac:dyDescent="0.2">
      <c r="B5019"/>
    </row>
    <row r="5020" spans="2:2" x14ac:dyDescent="0.2">
      <c r="B5020"/>
    </row>
    <row r="5021" spans="2:2" x14ac:dyDescent="0.2">
      <c r="B5021"/>
    </row>
    <row r="5022" spans="2:2" x14ac:dyDescent="0.2">
      <c r="B5022"/>
    </row>
    <row r="5023" spans="2:2" x14ac:dyDescent="0.2">
      <c r="B5023"/>
    </row>
    <row r="5024" spans="2:2" x14ac:dyDescent="0.2">
      <c r="B5024"/>
    </row>
    <row r="5025" spans="2:2" x14ac:dyDescent="0.2">
      <c r="B5025"/>
    </row>
    <row r="5026" spans="2:2" x14ac:dyDescent="0.2">
      <c r="B5026"/>
    </row>
    <row r="5027" spans="2:2" x14ac:dyDescent="0.2">
      <c r="B5027"/>
    </row>
    <row r="5028" spans="2:2" x14ac:dyDescent="0.2">
      <c r="B5028"/>
    </row>
    <row r="5029" spans="2:2" x14ac:dyDescent="0.2">
      <c r="B5029"/>
    </row>
    <row r="5030" spans="2:2" x14ac:dyDescent="0.2">
      <c r="B5030"/>
    </row>
    <row r="5031" spans="2:2" x14ac:dyDescent="0.2">
      <c r="B5031"/>
    </row>
    <row r="5032" spans="2:2" x14ac:dyDescent="0.2">
      <c r="B5032"/>
    </row>
    <row r="5033" spans="2:2" x14ac:dyDescent="0.2">
      <c r="B5033"/>
    </row>
    <row r="5034" spans="2:2" x14ac:dyDescent="0.2">
      <c r="B5034"/>
    </row>
    <row r="5035" spans="2:2" x14ac:dyDescent="0.2">
      <c r="B5035"/>
    </row>
    <row r="5036" spans="2:2" x14ac:dyDescent="0.2">
      <c r="B5036"/>
    </row>
    <row r="5037" spans="2:2" x14ac:dyDescent="0.2">
      <c r="B5037"/>
    </row>
    <row r="5038" spans="2:2" x14ac:dyDescent="0.2">
      <c r="B5038"/>
    </row>
    <row r="5039" spans="2:2" x14ac:dyDescent="0.2">
      <c r="B5039"/>
    </row>
    <row r="5040" spans="2:2" x14ac:dyDescent="0.2">
      <c r="B5040"/>
    </row>
    <row r="5041" spans="2:2" x14ac:dyDescent="0.2">
      <c r="B5041"/>
    </row>
    <row r="5042" spans="2:2" x14ac:dyDescent="0.2">
      <c r="B5042"/>
    </row>
    <row r="5043" spans="2:2" x14ac:dyDescent="0.2">
      <c r="B5043"/>
    </row>
    <row r="5044" spans="2:2" x14ac:dyDescent="0.2">
      <c r="B5044"/>
    </row>
    <row r="5045" spans="2:2" x14ac:dyDescent="0.2">
      <c r="B5045"/>
    </row>
    <row r="5046" spans="2:2" x14ac:dyDescent="0.2">
      <c r="B5046"/>
    </row>
    <row r="5047" spans="2:2" x14ac:dyDescent="0.2">
      <c r="B5047"/>
    </row>
    <row r="5048" spans="2:2" x14ac:dyDescent="0.2">
      <c r="B5048"/>
    </row>
    <row r="5049" spans="2:2" x14ac:dyDescent="0.2">
      <c r="B5049"/>
    </row>
    <row r="5050" spans="2:2" x14ac:dyDescent="0.2">
      <c r="B5050"/>
    </row>
    <row r="5051" spans="2:2" x14ac:dyDescent="0.2">
      <c r="B5051"/>
    </row>
    <row r="5052" spans="2:2" x14ac:dyDescent="0.2">
      <c r="B5052"/>
    </row>
    <row r="5053" spans="2:2" x14ac:dyDescent="0.2">
      <c r="B5053"/>
    </row>
    <row r="5054" spans="2:2" x14ac:dyDescent="0.2">
      <c r="B5054"/>
    </row>
    <row r="5055" spans="2:2" x14ac:dyDescent="0.2">
      <c r="B5055"/>
    </row>
    <row r="5056" spans="2:2" x14ac:dyDescent="0.2">
      <c r="B5056"/>
    </row>
    <row r="5057" spans="2:2" x14ac:dyDescent="0.2">
      <c r="B5057"/>
    </row>
    <row r="5058" spans="2:2" x14ac:dyDescent="0.2">
      <c r="B5058"/>
    </row>
    <row r="5059" spans="2:2" x14ac:dyDescent="0.2">
      <c r="B5059"/>
    </row>
    <row r="5060" spans="2:2" x14ac:dyDescent="0.2">
      <c r="B5060"/>
    </row>
    <row r="5061" spans="2:2" x14ac:dyDescent="0.2">
      <c r="B5061"/>
    </row>
    <row r="5062" spans="2:2" x14ac:dyDescent="0.2">
      <c r="B5062"/>
    </row>
    <row r="5063" spans="2:2" x14ac:dyDescent="0.2">
      <c r="B5063"/>
    </row>
    <row r="5064" spans="2:2" x14ac:dyDescent="0.2">
      <c r="B5064"/>
    </row>
    <row r="5065" spans="2:2" x14ac:dyDescent="0.2">
      <c r="B5065"/>
    </row>
    <row r="5066" spans="2:2" x14ac:dyDescent="0.2">
      <c r="B5066"/>
    </row>
    <row r="5067" spans="2:2" x14ac:dyDescent="0.2">
      <c r="B5067"/>
    </row>
    <row r="5068" spans="2:2" x14ac:dyDescent="0.2">
      <c r="B5068"/>
    </row>
    <row r="5069" spans="2:2" x14ac:dyDescent="0.2">
      <c r="B5069"/>
    </row>
    <row r="5070" spans="2:2" x14ac:dyDescent="0.2">
      <c r="B5070"/>
    </row>
    <row r="5071" spans="2:2" x14ac:dyDescent="0.2">
      <c r="B5071"/>
    </row>
    <row r="5072" spans="2:2" x14ac:dyDescent="0.2">
      <c r="B5072"/>
    </row>
    <row r="5073" spans="2:2" x14ac:dyDescent="0.2">
      <c r="B5073"/>
    </row>
    <row r="5074" spans="2:2" x14ac:dyDescent="0.2">
      <c r="B5074"/>
    </row>
    <row r="5075" spans="2:2" x14ac:dyDescent="0.2">
      <c r="B5075"/>
    </row>
    <row r="5076" spans="2:2" x14ac:dyDescent="0.2">
      <c r="B5076"/>
    </row>
    <row r="5077" spans="2:2" x14ac:dyDescent="0.2">
      <c r="B5077"/>
    </row>
    <row r="5078" spans="2:2" x14ac:dyDescent="0.2">
      <c r="B5078"/>
    </row>
    <row r="5079" spans="2:2" x14ac:dyDescent="0.2">
      <c r="B5079"/>
    </row>
    <row r="5080" spans="2:2" x14ac:dyDescent="0.2">
      <c r="B5080"/>
    </row>
    <row r="5081" spans="2:2" x14ac:dyDescent="0.2">
      <c r="B5081"/>
    </row>
    <row r="5082" spans="2:2" x14ac:dyDescent="0.2">
      <c r="B5082"/>
    </row>
    <row r="5083" spans="2:2" x14ac:dyDescent="0.2">
      <c r="B5083"/>
    </row>
    <row r="5084" spans="2:2" x14ac:dyDescent="0.2">
      <c r="B5084"/>
    </row>
    <row r="5085" spans="2:2" x14ac:dyDescent="0.2">
      <c r="B5085"/>
    </row>
    <row r="5086" spans="2:2" x14ac:dyDescent="0.2">
      <c r="B5086"/>
    </row>
    <row r="5087" spans="2:2" x14ac:dyDescent="0.2">
      <c r="B5087"/>
    </row>
    <row r="5088" spans="2:2" x14ac:dyDescent="0.2">
      <c r="B5088"/>
    </row>
    <row r="5089" spans="2:2" x14ac:dyDescent="0.2">
      <c r="B5089"/>
    </row>
    <row r="5090" spans="2:2" x14ac:dyDescent="0.2">
      <c r="B5090"/>
    </row>
    <row r="5091" spans="2:2" x14ac:dyDescent="0.2">
      <c r="B5091"/>
    </row>
    <row r="5092" spans="2:2" x14ac:dyDescent="0.2">
      <c r="B5092"/>
    </row>
    <row r="5093" spans="2:2" x14ac:dyDescent="0.2">
      <c r="B5093"/>
    </row>
    <row r="5094" spans="2:2" x14ac:dyDescent="0.2">
      <c r="B5094"/>
    </row>
    <row r="5095" spans="2:2" x14ac:dyDescent="0.2">
      <c r="B5095"/>
    </row>
    <row r="5096" spans="2:2" x14ac:dyDescent="0.2">
      <c r="B5096"/>
    </row>
    <row r="5097" spans="2:2" x14ac:dyDescent="0.2">
      <c r="B5097"/>
    </row>
    <row r="5098" spans="2:2" x14ac:dyDescent="0.2">
      <c r="B5098"/>
    </row>
    <row r="5099" spans="2:2" x14ac:dyDescent="0.2">
      <c r="B5099"/>
    </row>
    <row r="5100" spans="2:2" x14ac:dyDescent="0.2">
      <c r="B5100"/>
    </row>
    <row r="5101" spans="2:2" x14ac:dyDescent="0.2">
      <c r="B5101"/>
    </row>
    <row r="5102" spans="2:2" x14ac:dyDescent="0.2">
      <c r="B5102"/>
    </row>
    <row r="5103" spans="2:2" x14ac:dyDescent="0.2">
      <c r="B5103"/>
    </row>
    <row r="5104" spans="2:2" x14ac:dyDescent="0.2">
      <c r="B5104"/>
    </row>
    <row r="5105" spans="2:2" x14ac:dyDescent="0.2">
      <c r="B5105"/>
    </row>
    <row r="5106" spans="2:2" x14ac:dyDescent="0.2">
      <c r="B5106"/>
    </row>
    <row r="5107" spans="2:2" x14ac:dyDescent="0.2">
      <c r="B5107"/>
    </row>
    <row r="5108" spans="2:2" x14ac:dyDescent="0.2">
      <c r="B5108"/>
    </row>
    <row r="5109" spans="2:2" x14ac:dyDescent="0.2">
      <c r="B5109"/>
    </row>
    <row r="5110" spans="2:2" x14ac:dyDescent="0.2">
      <c r="B5110"/>
    </row>
    <row r="5111" spans="2:2" x14ac:dyDescent="0.2">
      <c r="B5111"/>
    </row>
    <row r="5112" spans="2:2" x14ac:dyDescent="0.2">
      <c r="B5112"/>
    </row>
    <row r="5113" spans="2:2" x14ac:dyDescent="0.2">
      <c r="B5113"/>
    </row>
    <row r="5114" spans="2:2" x14ac:dyDescent="0.2">
      <c r="B5114"/>
    </row>
    <row r="5115" spans="2:2" x14ac:dyDescent="0.2">
      <c r="B5115"/>
    </row>
    <row r="5116" spans="2:2" x14ac:dyDescent="0.2">
      <c r="B5116"/>
    </row>
    <row r="5117" spans="2:2" x14ac:dyDescent="0.2">
      <c r="B5117"/>
    </row>
    <row r="5118" spans="2:2" x14ac:dyDescent="0.2">
      <c r="B5118"/>
    </row>
    <row r="5119" spans="2:2" x14ac:dyDescent="0.2">
      <c r="B5119"/>
    </row>
    <row r="5120" spans="2:2" x14ac:dyDescent="0.2">
      <c r="B5120"/>
    </row>
    <row r="5121" spans="2:2" x14ac:dyDescent="0.2">
      <c r="B5121"/>
    </row>
    <row r="5122" spans="2:2" x14ac:dyDescent="0.2">
      <c r="B5122"/>
    </row>
    <row r="5123" spans="2:2" x14ac:dyDescent="0.2">
      <c r="B5123"/>
    </row>
    <row r="5124" spans="2:2" x14ac:dyDescent="0.2">
      <c r="B5124"/>
    </row>
    <row r="5125" spans="2:2" x14ac:dyDescent="0.2">
      <c r="B5125"/>
    </row>
    <row r="5126" spans="2:2" x14ac:dyDescent="0.2">
      <c r="B5126"/>
    </row>
    <row r="5127" spans="2:2" x14ac:dyDescent="0.2">
      <c r="B5127"/>
    </row>
    <row r="5128" spans="2:2" x14ac:dyDescent="0.2">
      <c r="B5128"/>
    </row>
    <row r="5129" spans="2:2" x14ac:dyDescent="0.2">
      <c r="B5129"/>
    </row>
    <row r="5130" spans="2:2" x14ac:dyDescent="0.2">
      <c r="B5130"/>
    </row>
    <row r="5131" spans="2:2" x14ac:dyDescent="0.2">
      <c r="B5131"/>
    </row>
    <row r="5132" spans="2:2" x14ac:dyDescent="0.2">
      <c r="B5132"/>
    </row>
    <row r="5133" spans="2:2" x14ac:dyDescent="0.2">
      <c r="B5133"/>
    </row>
    <row r="5134" spans="2:2" x14ac:dyDescent="0.2">
      <c r="B5134"/>
    </row>
    <row r="5135" spans="2:2" x14ac:dyDescent="0.2">
      <c r="B5135"/>
    </row>
    <row r="5136" spans="2:2" x14ac:dyDescent="0.2">
      <c r="B5136"/>
    </row>
    <row r="5137" spans="2:2" x14ac:dyDescent="0.2">
      <c r="B5137"/>
    </row>
    <row r="5138" spans="2:2" x14ac:dyDescent="0.2">
      <c r="B5138"/>
    </row>
    <row r="5139" spans="2:2" x14ac:dyDescent="0.2">
      <c r="B5139"/>
    </row>
    <row r="5140" spans="2:2" x14ac:dyDescent="0.2">
      <c r="B5140"/>
    </row>
    <row r="5141" spans="2:2" x14ac:dyDescent="0.2">
      <c r="B5141"/>
    </row>
    <row r="5142" spans="2:2" x14ac:dyDescent="0.2">
      <c r="B5142"/>
    </row>
    <row r="5143" spans="2:2" x14ac:dyDescent="0.2">
      <c r="B5143"/>
    </row>
    <row r="5144" spans="2:2" x14ac:dyDescent="0.2">
      <c r="B5144"/>
    </row>
    <row r="5145" spans="2:2" x14ac:dyDescent="0.2">
      <c r="B5145"/>
    </row>
    <row r="5146" spans="2:2" x14ac:dyDescent="0.2">
      <c r="B5146"/>
    </row>
    <row r="5147" spans="2:2" x14ac:dyDescent="0.2">
      <c r="B5147"/>
    </row>
    <row r="5148" spans="2:2" x14ac:dyDescent="0.2">
      <c r="B5148"/>
    </row>
    <row r="5149" spans="2:2" x14ac:dyDescent="0.2">
      <c r="B5149"/>
    </row>
    <row r="5150" spans="2:2" x14ac:dyDescent="0.2">
      <c r="B5150"/>
    </row>
    <row r="5151" spans="2:2" x14ac:dyDescent="0.2">
      <c r="B5151"/>
    </row>
    <row r="5152" spans="2:2" x14ac:dyDescent="0.2">
      <c r="B5152"/>
    </row>
    <row r="5153" spans="2:2" x14ac:dyDescent="0.2">
      <c r="B5153"/>
    </row>
    <row r="5154" spans="2:2" x14ac:dyDescent="0.2">
      <c r="B5154"/>
    </row>
    <row r="5155" spans="2:2" x14ac:dyDescent="0.2">
      <c r="B5155"/>
    </row>
    <row r="5156" spans="2:2" x14ac:dyDescent="0.2">
      <c r="B5156"/>
    </row>
    <row r="5157" spans="2:2" x14ac:dyDescent="0.2">
      <c r="B5157"/>
    </row>
    <row r="5158" spans="2:2" x14ac:dyDescent="0.2">
      <c r="B5158"/>
    </row>
    <row r="5159" spans="2:2" x14ac:dyDescent="0.2">
      <c r="B5159"/>
    </row>
    <row r="5160" spans="2:2" x14ac:dyDescent="0.2">
      <c r="B5160"/>
    </row>
    <row r="5161" spans="2:2" x14ac:dyDescent="0.2">
      <c r="B5161"/>
    </row>
    <row r="5162" spans="2:2" x14ac:dyDescent="0.2">
      <c r="B5162"/>
    </row>
    <row r="5163" spans="2:2" x14ac:dyDescent="0.2">
      <c r="B5163"/>
    </row>
    <row r="5164" spans="2:2" x14ac:dyDescent="0.2">
      <c r="B5164"/>
    </row>
    <row r="5165" spans="2:2" x14ac:dyDescent="0.2">
      <c r="B5165"/>
    </row>
    <row r="5166" spans="2:2" x14ac:dyDescent="0.2">
      <c r="B5166"/>
    </row>
    <row r="5167" spans="2:2" x14ac:dyDescent="0.2">
      <c r="B5167"/>
    </row>
    <row r="5168" spans="2:2" x14ac:dyDescent="0.2">
      <c r="B5168"/>
    </row>
    <row r="5169" spans="2:2" x14ac:dyDescent="0.2">
      <c r="B5169"/>
    </row>
    <row r="5170" spans="2:2" x14ac:dyDescent="0.2">
      <c r="B5170"/>
    </row>
    <row r="5171" spans="2:2" x14ac:dyDescent="0.2">
      <c r="B5171"/>
    </row>
    <row r="5172" spans="2:2" x14ac:dyDescent="0.2">
      <c r="B5172"/>
    </row>
    <row r="5173" spans="2:2" x14ac:dyDescent="0.2">
      <c r="B5173"/>
    </row>
    <row r="5174" spans="2:2" x14ac:dyDescent="0.2">
      <c r="B5174"/>
    </row>
    <row r="5175" spans="2:2" x14ac:dyDescent="0.2">
      <c r="B5175"/>
    </row>
    <row r="5176" spans="2:2" x14ac:dyDescent="0.2">
      <c r="B5176"/>
    </row>
    <row r="5177" spans="2:2" x14ac:dyDescent="0.2">
      <c r="B5177"/>
    </row>
    <row r="5178" spans="2:2" x14ac:dyDescent="0.2">
      <c r="B5178"/>
    </row>
    <row r="5179" spans="2:2" x14ac:dyDescent="0.2">
      <c r="B5179"/>
    </row>
    <row r="5180" spans="2:2" x14ac:dyDescent="0.2">
      <c r="B5180"/>
    </row>
    <row r="5181" spans="2:2" x14ac:dyDescent="0.2">
      <c r="B5181"/>
    </row>
    <row r="5182" spans="2:2" x14ac:dyDescent="0.2">
      <c r="B5182"/>
    </row>
    <row r="5183" spans="2:2" x14ac:dyDescent="0.2">
      <c r="B5183"/>
    </row>
    <row r="5184" spans="2:2" x14ac:dyDescent="0.2">
      <c r="B5184"/>
    </row>
    <row r="5185" spans="2:2" x14ac:dyDescent="0.2">
      <c r="B5185"/>
    </row>
    <row r="5186" spans="2:2" x14ac:dyDescent="0.2">
      <c r="B5186"/>
    </row>
    <row r="5187" spans="2:2" x14ac:dyDescent="0.2">
      <c r="B5187"/>
    </row>
    <row r="5188" spans="2:2" x14ac:dyDescent="0.2">
      <c r="B5188"/>
    </row>
    <row r="5189" spans="2:2" x14ac:dyDescent="0.2">
      <c r="B5189"/>
    </row>
    <row r="5190" spans="2:2" x14ac:dyDescent="0.2">
      <c r="B5190"/>
    </row>
    <row r="5191" spans="2:2" x14ac:dyDescent="0.2">
      <c r="B5191"/>
    </row>
    <row r="5192" spans="2:2" x14ac:dyDescent="0.2">
      <c r="B5192"/>
    </row>
    <row r="5193" spans="2:2" x14ac:dyDescent="0.2">
      <c r="B5193"/>
    </row>
    <row r="5194" spans="2:2" x14ac:dyDescent="0.2">
      <c r="B5194"/>
    </row>
    <row r="5195" spans="2:2" x14ac:dyDescent="0.2">
      <c r="B5195"/>
    </row>
    <row r="5196" spans="2:2" x14ac:dyDescent="0.2">
      <c r="B5196"/>
    </row>
    <row r="5197" spans="2:2" x14ac:dyDescent="0.2">
      <c r="B5197"/>
    </row>
    <row r="5198" spans="2:2" x14ac:dyDescent="0.2">
      <c r="B5198"/>
    </row>
    <row r="5199" spans="2:2" x14ac:dyDescent="0.2">
      <c r="B5199"/>
    </row>
    <row r="5200" spans="2:2" x14ac:dyDescent="0.2">
      <c r="B5200"/>
    </row>
    <row r="5201" spans="2:2" x14ac:dyDescent="0.2">
      <c r="B5201"/>
    </row>
    <row r="5202" spans="2:2" x14ac:dyDescent="0.2">
      <c r="B5202"/>
    </row>
    <row r="5203" spans="2:2" x14ac:dyDescent="0.2">
      <c r="B5203"/>
    </row>
    <row r="5204" spans="2:2" x14ac:dyDescent="0.2">
      <c r="B5204"/>
    </row>
    <row r="5205" spans="2:2" x14ac:dyDescent="0.2">
      <c r="B5205"/>
    </row>
    <row r="5206" spans="2:2" x14ac:dyDescent="0.2">
      <c r="B5206"/>
    </row>
    <row r="5207" spans="2:2" x14ac:dyDescent="0.2">
      <c r="B5207"/>
    </row>
    <row r="5208" spans="2:2" x14ac:dyDescent="0.2">
      <c r="B5208"/>
    </row>
    <row r="5209" spans="2:2" x14ac:dyDescent="0.2">
      <c r="B5209"/>
    </row>
    <row r="5210" spans="2:2" x14ac:dyDescent="0.2">
      <c r="B5210"/>
    </row>
    <row r="5211" spans="2:2" x14ac:dyDescent="0.2">
      <c r="B5211"/>
    </row>
    <row r="5212" spans="2:2" x14ac:dyDescent="0.2">
      <c r="B5212"/>
    </row>
    <row r="5213" spans="2:2" x14ac:dyDescent="0.2">
      <c r="B5213"/>
    </row>
    <row r="5214" spans="2:2" x14ac:dyDescent="0.2">
      <c r="B5214"/>
    </row>
    <row r="5215" spans="2:2" x14ac:dyDescent="0.2">
      <c r="B5215"/>
    </row>
    <row r="5216" spans="2:2" x14ac:dyDescent="0.2">
      <c r="B5216"/>
    </row>
    <row r="5217" spans="2:2" x14ac:dyDescent="0.2">
      <c r="B5217"/>
    </row>
    <row r="5218" spans="2:2" x14ac:dyDescent="0.2">
      <c r="B5218"/>
    </row>
    <row r="5219" spans="2:2" x14ac:dyDescent="0.2">
      <c r="B5219"/>
    </row>
    <row r="5220" spans="2:2" x14ac:dyDescent="0.2">
      <c r="B5220"/>
    </row>
    <row r="5221" spans="2:2" x14ac:dyDescent="0.2">
      <c r="B5221"/>
    </row>
    <row r="5222" spans="2:2" x14ac:dyDescent="0.2">
      <c r="B5222"/>
    </row>
    <row r="5223" spans="2:2" x14ac:dyDescent="0.2">
      <c r="B5223"/>
    </row>
    <row r="5224" spans="2:2" x14ac:dyDescent="0.2">
      <c r="B5224"/>
    </row>
    <row r="5225" spans="2:2" x14ac:dyDescent="0.2">
      <c r="B5225"/>
    </row>
    <row r="5226" spans="2:2" x14ac:dyDescent="0.2">
      <c r="B5226"/>
    </row>
    <row r="5227" spans="2:2" x14ac:dyDescent="0.2">
      <c r="B5227"/>
    </row>
    <row r="5228" spans="2:2" x14ac:dyDescent="0.2">
      <c r="B5228"/>
    </row>
    <row r="5229" spans="2:2" x14ac:dyDescent="0.2">
      <c r="B5229"/>
    </row>
    <row r="5230" spans="2:2" x14ac:dyDescent="0.2">
      <c r="B5230"/>
    </row>
    <row r="5231" spans="2:2" x14ac:dyDescent="0.2">
      <c r="B5231"/>
    </row>
    <row r="5232" spans="2:2" x14ac:dyDescent="0.2">
      <c r="B5232"/>
    </row>
    <row r="5233" spans="2:2" x14ac:dyDescent="0.2">
      <c r="B5233"/>
    </row>
    <row r="5234" spans="2:2" x14ac:dyDescent="0.2">
      <c r="B5234"/>
    </row>
    <row r="5235" spans="2:2" x14ac:dyDescent="0.2">
      <c r="B5235"/>
    </row>
    <row r="5236" spans="2:2" x14ac:dyDescent="0.2">
      <c r="B5236"/>
    </row>
    <row r="5237" spans="2:2" x14ac:dyDescent="0.2">
      <c r="B5237"/>
    </row>
    <row r="5238" spans="2:2" x14ac:dyDescent="0.2">
      <c r="B5238"/>
    </row>
    <row r="5239" spans="2:2" x14ac:dyDescent="0.2">
      <c r="B5239"/>
    </row>
    <row r="5240" spans="2:2" x14ac:dyDescent="0.2">
      <c r="B5240"/>
    </row>
    <row r="5241" spans="2:2" x14ac:dyDescent="0.2">
      <c r="B5241"/>
    </row>
    <row r="5242" spans="2:2" x14ac:dyDescent="0.2">
      <c r="B5242"/>
    </row>
    <row r="5243" spans="2:2" x14ac:dyDescent="0.2">
      <c r="B5243"/>
    </row>
    <row r="5244" spans="2:2" x14ac:dyDescent="0.2">
      <c r="B5244"/>
    </row>
    <row r="5245" spans="2:2" x14ac:dyDescent="0.2">
      <c r="B5245"/>
    </row>
    <row r="5246" spans="2:2" x14ac:dyDescent="0.2">
      <c r="B5246"/>
    </row>
    <row r="5247" spans="2:2" x14ac:dyDescent="0.2">
      <c r="B5247"/>
    </row>
    <row r="5248" spans="2:2" x14ac:dyDescent="0.2">
      <c r="B5248"/>
    </row>
    <row r="5249" spans="2:2" x14ac:dyDescent="0.2">
      <c r="B5249"/>
    </row>
    <row r="5250" spans="2:2" x14ac:dyDescent="0.2">
      <c r="B5250"/>
    </row>
    <row r="5251" spans="2:2" x14ac:dyDescent="0.2">
      <c r="B5251"/>
    </row>
    <row r="5252" spans="2:2" x14ac:dyDescent="0.2">
      <c r="B5252"/>
    </row>
    <row r="5253" spans="2:2" x14ac:dyDescent="0.2">
      <c r="B5253"/>
    </row>
    <row r="5254" spans="2:2" x14ac:dyDescent="0.2">
      <c r="B5254"/>
    </row>
    <row r="5255" spans="2:2" x14ac:dyDescent="0.2">
      <c r="B5255"/>
    </row>
    <row r="5256" spans="2:2" x14ac:dyDescent="0.2">
      <c r="B5256"/>
    </row>
    <row r="5257" spans="2:2" x14ac:dyDescent="0.2">
      <c r="B5257"/>
    </row>
    <row r="5258" spans="2:2" x14ac:dyDescent="0.2">
      <c r="B5258"/>
    </row>
    <row r="5259" spans="2:2" x14ac:dyDescent="0.2">
      <c r="B5259"/>
    </row>
    <row r="5260" spans="2:2" x14ac:dyDescent="0.2">
      <c r="B5260"/>
    </row>
    <row r="5261" spans="2:2" x14ac:dyDescent="0.2">
      <c r="B5261"/>
    </row>
    <row r="5262" spans="2:2" x14ac:dyDescent="0.2">
      <c r="B5262"/>
    </row>
    <row r="5263" spans="2:2" x14ac:dyDescent="0.2">
      <c r="B5263"/>
    </row>
    <row r="5264" spans="2:2" x14ac:dyDescent="0.2">
      <c r="B5264"/>
    </row>
    <row r="5265" spans="2:2" x14ac:dyDescent="0.2">
      <c r="B5265"/>
    </row>
    <row r="5266" spans="2:2" x14ac:dyDescent="0.2">
      <c r="B5266"/>
    </row>
    <row r="5267" spans="2:2" x14ac:dyDescent="0.2">
      <c r="B5267"/>
    </row>
    <row r="5268" spans="2:2" x14ac:dyDescent="0.2">
      <c r="B5268"/>
    </row>
    <row r="5269" spans="2:2" x14ac:dyDescent="0.2">
      <c r="B5269"/>
    </row>
    <row r="5270" spans="2:2" x14ac:dyDescent="0.2">
      <c r="B5270"/>
    </row>
    <row r="5271" spans="2:2" x14ac:dyDescent="0.2">
      <c r="B5271"/>
    </row>
    <row r="5272" spans="2:2" x14ac:dyDescent="0.2">
      <c r="B5272"/>
    </row>
    <row r="5273" spans="2:2" x14ac:dyDescent="0.2">
      <c r="B5273"/>
    </row>
    <row r="5274" spans="2:2" x14ac:dyDescent="0.2">
      <c r="B5274"/>
    </row>
    <row r="5275" spans="2:2" x14ac:dyDescent="0.2">
      <c r="B5275"/>
    </row>
    <row r="5276" spans="2:2" x14ac:dyDescent="0.2">
      <c r="B5276"/>
    </row>
    <row r="5277" spans="2:2" x14ac:dyDescent="0.2">
      <c r="B5277"/>
    </row>
    <row r="5278" spans="2:2" x14ac:dyDescent="0.2">
      <c r="B5278"/>
    </row>
    <row r="5279" spans="2:2" x14ac:dyDescent="0.2">
      <c r="B5279"/>
    </row>
    <row r="5280" spans="2:2" x14ac:dyDescent="0.2">
      <c r="B5280"/>
    </row>
    <row r="5281" spans="2:2" x14ac:dyDescent="0.2">
      <c r="B5281"/>
    </row>
    <row r="5282" spans="2:2" x14ac:dyDescent="0.2">
      <c r="B5282"/>
    </row>
    <row r="5283" spans="2:2" x14ac:dyDescent="0.2">
      <c r="B5283"/>
    </row>
    <row r="5284" spans="2:2" x14ac:dyDescent="0.2">
      <c r="B5284"/>
    </row>
    <row r="5285" spans="2:2" x14ac:dyDescent="0.2">
      <c r="B5285"/>
    </row>
    <row r="5286" spans="2:2" x14ac:dyDescent="0.2">
      <c r="B5286"/>
    </row>
    <row r="5287" spans="2:2" x14ac:dyDescent="0.2">
      <c r="B5287"/>
    </row>
    <row r="5288" spans="2:2" x14ac:dyDescent="0.2">
      <c r="B5288"/>
    </row>
    <row r="5289" spans="2:2" x14ac:dyDescent="0.2">
      <c r="B5289"/>
    </row>
    <row r="5290" spans="2:2" x14ac:dyDescent="0.2">
      <c r="B5290"/>
    </row>
    <row r="5291" spans="2:2" x14ac:dyDescent="0.2">
      <c r="B5291"/>
    </row>
    <row r="5292" spans="2:2" x14ac:dyDescent="0.2">
      <c r="B5292"/>
    </row>
    <row r="5293" spans="2:2" x14ac:dyDescent="0.2">
      <c r="B5293"/>
    </row>
    <row r="5294" spans="2:2" x14ac:dyDescent="0.2">
      <c r="B5294"/>
    </row>
    <row r="5295" spans="2:2" x14ac:dyDescent="0.2">
      <c r="B5295"/>
    </row>
    <row r="5296" spans="2:2" x14ac:dyDescent="0.2">
      <c r="B5296"/>
    </row>
    <row r="5297" spans="2:2" x14ac:dyDescent="0.2">
      <c r="B5297"/>
    </row>
    <row r="5298" spans="2:2" x14ac:dyDescent="0.2">
      <c r="B5298"/>
    </row>
    <row r="5299" spans="2:2" x14ac:dyDescent="0.2">
      <c r="B5299"/>
    </row>
    <row r="5300" spans="2:2" x14ac:dyDescent="0.2">
      <c r="B5300"/>
    </row>
    <row r="5301" spans="2:2" x14ac:dyDescent="0.2">
      <c r="B5301"/>
    </row>
    <row r="5302" spans="2:2" x14ac:dyDescent="0.2">
      <c r="B5302"/>
    </row>
    <row r="5303" spans="2:2" x14ac:dyDescent="0.2">
      <c r="B5303"/>
    </row>
    <row r="5304" spans="2:2" x14ac:dyDescent="0.2">
      <c r="B5304"/>
    </row>
    <row r="5305" spans="2:2" x14ac:dyDescent="0.2">
      <c r="B5305"/>
    </row>
    <row r="5306" spans="2:2" x14ac:dyDescent="0.2">
      <c r="B5306"/>
    </row>
    <row r="5307" spans="2:2" x14ac:dyDescent="0.2">
      <c r="B5307"/>
    </row>
    <row r="5308" spans="2:2" x14ac:dyDescent="0.2">
      <c r="B5308"/>
    </row>
    <row r="5309" spans="2:2" x14ac:dyDescent="0.2">
      <c r="B5309"/>
    </row>
    <row r="5310" spans="2:2" x14ac:dyDescent="0.2">
      <c r="B5310"/>
    </row>
    <row r="5311" spans="2:2" x14ac:dyDescent="0.2">
      <c r="B5311"/>
    </row>
    <row r="5312" spans="2:2" x14ac:dyDescent="0.2">
      <c r="B5312"/>
    </row>
    <row r="5313" spans="2:2" x14ac:dyDescent="0.2">
      <c r="B5313"/>
    </row>
    <row r="5314" spans="2:2" x14ac:dyDescent="0.2">
      <c r="B5314"/>
    </row>
    <row r="5315" spans="2:2" x14ac:dyDescent="0.2">
      <c r="B5315"/>
    </row>
    <row r="5316" spans="2:2" x14ac:dyDescent="0.2">
      <c r="B5316"/>
    </row>
    <row r="5317" spans="2:2" x14ac:dyDescent="0.2">
      <c r="B5317"/>
    </row>
    <row r="5318" spans="2:2" x14ac:dyDescent="0.2">
      <c r="B5318"/>
    </row>
    <row r="5319" spans="2:2" x14ac:dyDescent="0.2">
      <c r="B5319"/>
    </row>
    <row r="5320" spans="2:2" x14ac:dyDescent="0.2">
      <c r="B5320"/>
    </row>
    <row r="5321" spans="2:2" x14ac:dyDescent="0.2">
      <c r="B5321"/>
    </row>
    <row r="5322" spans="2:2" x14ac:dyDescent="0.2">
      <c r="B5322"/>
    </row>
    <row r="5323" spans="2:2" x14ac:dyDescent="0.2">
      <c r="B5323"/>
    </row>
    <row r="5324" spans="2:2" x14ac:dyDescent="0.2">
      <c r="B5324"/>
    </row>
    <row r="5325" spans="2:2" x14ac:dyDescent="0.2">
      <c r="B5325"/>
    </row>
    <row r="5326" spans="2:2" x14ac:dyDescent="0.2">
      <c r="B5326"/>
    </row>
    <row r="5327" spans="2:2" x14ac:dyDescent="0.2">
      <c r="B5327"/>
    </row>
    <row r="5328" spans="2:2" x14ac:dyDescent="0.2">
      <c r="B5328"/>
    </row>
    <row r="5329" spans="2:2" x14ac:dyDescent="0.2">
      <c r="B5329"/>
    </row>
    <row r="5330" spans="2:2" x14ac:dyDescent="0.2">
      <c r="B5330"/>
    </row>
    <row r="5331" spans="2:2" x14ac:dyDescent="0.2">
      <c r="B5331"/>
    </row>
    <row r="5332" spans="2:2" x14ac:dyDescent="0.2">
      <c r="B5332"/>
    </row>
    <row r="5333" spans="2:2" x14ac:dyDescent="0.2">
      <c r="B5333"/>
    </row>
    <row r="5334" spans="2:2" x14ac:dyDescent="0.2">
      <c r="B5334"/>
    </row>
    <row r="5335" spans="2:2" x14ac:dyDescent="0.2">
      <c r="B5335"/>
    </row>
    <row r="5336" spans="2:2" x14ac:dyDescent="0.2">
      <c r="B5336"/>
    </row>
    <row r="5337" spans="2:2" x14ac:dyDescent="0.2">
      <c r="B5337"/>
    </row>
    <row r="5338" spans="2:2" x14ac:dyDescent="0.2">
      <c r="B5338"/>
    </row>
    <row r="5339" spans="2:2" x14ac:dyDescent="0.2">
      <c r="B5339"/>
    </row>
    <row r="5340" spans="2:2" x14ac:dyDescent="0.2">
      <c r="B5340"/>
    </row>
    <row r="5341" spans="2:2" x14ac:dyDescent="0.2">
      <c r="B5341"/>
    </row>
    <row r="5342" spans="2:2" x14ac:dyDescent="0.2">
      <c r="B5342"/>
    </row>
    <row r="5343" spans="2:2" x14ac:dyDescent="0.2">
      <c r="B5343"/>
    </row>
    <row r="5344" spans="2:2" x14ac:dyDescent="0.2">
      <c r="B5344"/>
    </row>
    <row r="5345" spans="2:2" x14ac:dyDescent="0.2">
      <c r="B5345"/>
    </row>
    <row r="5346" spans="2:2" x14ac:dyDescent="0.2">
      <c r="B5346"/>
    </row>
    <row r="5347" spans="2:2" x14ac:dyDescent="0.2">
      <c r="B5347"/>
    </row>
    <row r="5348" spans="2:2" x14ac:dyDescent="0.2">
      <c r="B5348"/>
    </row>
    <row r="5349" spans="2:2" x14ac:dyDescent="0.2">
      <c r="B5349"/>
    </row>
    <row r="5350" spans="2:2" x14ac:dyDescent="0.2">
      <c r="B5350"/>
    </row>
    <row r="5351" spans="2:2" x14ac:dyDescent="0.2">
      <c r="B5351"/>
    </row>
    <row r="5352" spans="2:2" x14ac:dyDescent="0.2">
      <c r="B5352"/>
    </row>
    <row r="5353" spans="2:2" x14ac:dyDescent="0.2">
      <c r="B5353"/>
    </row>
    <row r="5354" spans="2:2" x14ac:dyDescent="0.2">
      <c r="B5354"/>
    </row>
    <row r="5355" spans="2:2" x14ac:dyDescent="0.2">
      <c r="B5355"/>
    </row>
    <row r="5356" spans="2:2" x14ac:dyDescent="0.2">
      <c r="B5356"/>
    </row>
    <row r="5357" spans="2:2" x14ac:dyDescent="0.2">
      <c r="B5357"/>
    </row>
    <row r="5358" spans="2:2" x14ac:dyDescent="0.2">
      <c r="B5358"/>
    </row>
    <row r="5359" spans="2:2" x14ac:dyDescent="0.2">
      <c r="B5359"/>
    </row>
    <row r="5360" spans="2:2" x14ac:dyDescent="0.2">
      <c r="B5360"/>
    </row>
    <row r="5361" spans="2:2" x14ac:dyDescent="0.2">
      <c r="B5361"/>
    </row>
    <row r="5362" spans="2:2" x14ac:dyDescent="0.2">
      <c r="B5362"/>
    </row>
    <row r="5363" spans="2:2" x14ac:dyDescent="0.2">
      <c r="B5363"/>
    </row>
    <row r="5364" spans="2:2" x14ac:dyDescent="0.2">
      <c r="B5364"/>
    </row>
    <row r="5365" spans="2:2" x14ac:dyDescent="0.2">
      <c r="B5365"/>
    </row>
    <row r="5366" spans="2:2" x14ac:dyDescent="0.2">
      <c r="B5366"/>
    </row>
    <row r="5367" spans="2:2" x14ac:dyDescent="0.2">
      <c r="B5367"/>
    </row>
    <row r="5368" spans="2:2" x14ac:dyDescent="0.2">
      <c r="B5368"/>
    </row>
    <row r="5369" spans="2:2" x14ac:dyDescent="0.2">
      <c r="B5369"/>
    </row>
    <row r="5370" spans="2:2" x14ac:dyDescent="0.2">
      <c r="B5370"/>
    </row>
    <row r="5371" spans="2:2" x14ac:dyDescent="0.2">
      <c r="B5371"/>
    </row>
    <row r="5372" spans="2:2" x14ac:dyDescent="0.2">
      <c r="B5372"/>
    </row>
    <row r="5373" spans="2:2" x14ac:dyDescent="0.2">
      <c r="B5373"/>
    </row>
    <row r="5374" spans="2:2" x14ac:dyDescent="0.2">
      <c r="B5374"/>
    </row>
    <row r="5375" spans="2:2" x14ac:dyDescent="0.2">
      <c r="B5375"/>
    </row>
    <row r="5376" spans="2:2" x14ac:dyDescent="0.2">
      <c r="B5376"/>
    </row>
    <row r="5377" spans="2:2" x14ac:dyDescent="0.2">
      <c r="B5377"/>
    </row>
    <row r="5378" spans="2:2" x14ac:dyDescent="0.2">
      <c r="B5378"/>
    </row>
    <row r="5379" spans="2:2" x14ac:dyDescent="0.2">
      <c r="B5379"/>
    </row>
    <row r="5380" spans="2:2" x14ac:dyDescent="0.2">
      <c r="B5380"/>
    </row>
    <row r="5381" spans="2:2" x14ac:dyDescent="0.2">
      <c r="B5381"/>
    </row>
    <row r="5382" spans="2:2" x14ac:dyDescent="0.2">
      <c r="B5382"/>
    </row>
    <row r="5383" spans="2:2" x14ac:dyDescent="0.2">
      <c r="B5383"/>
    </row>
    <row r="5384" spans="2:2" x14ac:dyDescent="0.2">
      <c r="B5384"/>
    </row>
    <row r="5385" spans="2:2" x14ac:dyDescent="0.2">
      <c r="B5385"/>
    </row>
    <row r="5386" spans="2:2" x14ac:dyDescent="0.2">
      <c r="B5386"/>
    </row>
    <row r="5387" spans="2:2" x14ac:dyDescent="0.2">
      <c r="B5387"/>
    </row>
    <row r="5388" spans="2:2" x14ac:dyDescent="0.2">
      <c r="B5388"/>
    </row>
    <row r="5389" spans="2:2" x14ac:dyDescent="0.2">
      <c r="B5389"/>
    </row>
    <row r="5390" spans="2:2" x14ac:dyDescent="0.2">
      <c r="B5390"/>
    </row>
    <row r="5391" spans="2:2" x14ac:dyDescent="0.2">
      <c r="B5391"/>
    </row>
    <row r="5392" spans="2:2" x14ac:dyDescent="0.2">
      <c r="B5392"/>
    </row>
    <row r="5393" spans="2:2" x14ac:dyDescent="0.2">
      <c r="B5393"/>
    </row>
    <row r="5394" spans="2:2" x14ac:dyDescent="0.2">
      <c r="B5394"/>
    </row>
    <row r="5395" spans="2:2" x14ac:dyDescent="0.2">
      <c r="B5395"/>
    </row>
    <row r="5396" spans="2:2" x14ac:dyDescent="0.2">
      <c r="B5396"/>
    </row>
    <row r="5397" spans="2:2" x14ac:dyDescent="0.2">
      <c r="B5397"/>
    </row>
    <row r="5398" spans="2:2" x14ac:dyDescent="0.2">
      <c r="B5398"/>
    </row>
    <row r="5399" spans="2:2" x14ac:dyDescent="0.2">
      <c r="B5399"/>
    </row>
    <row r="5400" spans="2:2" x14ac:dyDescent="0.2">
      <c r="B5400"/>
    </row>
    <row r="5401" spans="2:2" x14ac:dyDescent="0.2">
      <c r="B54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 Hire 2008-09</vt:lpstr>
      <vt:lpstr>For Hire 2009-10</vt:lpstr>
      <vt:lpstr>For Hire 2011-12</vt:lpstr>
      <vt:lpstr>For Hire 2010-11</vt:lpstr>
      <vt:lpstr>For Hire 2012-13</vt:lpstr>
      <vt:lpstr>For Hire 2013-14</vt:lpstr>
      <vt:lpstr>For Hire 2015-16</vt:lpstr>
      <vt:lpstr>For Hire 2016-17</vt:lpstr>
      <vt:lpstr>For Hire 2017-18</vt:lpstr>
      <vt:lpstr>SCAC</vt:lpstr>
      <vt:lpstr>All Fleet</vt:lpstr>
      <vt:lpstr>Sheet1</vt:lpstr>
    </vt:vector>
  </TitlesOfParts>
  <Company>Northeastern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Amy</dc:creator>
  <cp:lastModifiedBy>Microsoft Office User</cp:lastModifiedBy>
  <dcterms:created xsi:type="dcterms:W3CDTF">2016-07-11T19:58:59Z</dcterms:created>
  <dcterms:modified xsi:type="dcterms:W3CDTF">2019-03-05T00:14:45Z</dcterms:modified>
</cp:coreProperties>
</file>